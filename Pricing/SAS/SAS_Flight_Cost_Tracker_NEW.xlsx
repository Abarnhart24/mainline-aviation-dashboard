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 Price Reference" sheetId="1" state="visible" r:id="rId1"/>
    <sheet xmlns:r="http://schemas.openxmlformats.org/officeDocument/2006/relationships" name="Flight Cost Tracker" sheetId="2" state="visible" r:id="rId2"/>
    <sheet xmlns:r="http://schemas.openxmlformats.org/officeDocument/2006/relationships" name="Service Code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M/D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8"/>
    </font>
    <font>
      <name val="Calibri"/>
      <b val="1"/>
      <sz val="9"/>
    </font>
    <font>
      <b val="1"/>
      <sz val="9"/>
    </font>
    <font>
      <name val="Calibri"/>
      <b val="1"/>
      <color rgb="00FFFFFF"/>
      <sz val="11"/>
    </font>
  </fonts>
  <fills count="41">
    <fill>
      <patternFill/>
    </fill>
    <fill>
      <patternFill patternType="gray125"/>
    </fill>
    <fill>
      <patternFill patternType="solid">
        <fgColor rgb="007E5109"/>
      </patternFill>
    </fill>
    <fill>
      <patternFill patternType="solid">
        <fgColor rgb="00A04000"/>
      </patternFill>
    </fill>
    <fill>
      <patternFill patternType="solid">
        <fgColor rgb="00FFF3E0"/>
      </patternFill>
    </fill>
    <fill>
      <patternFill patternType="solid">
        <fgColor rgb="00FDEBD0"/>
      </patternFill>
    </fill>
    <fill>
      <patternFill patternType="solid">
        <fgColor rgb="001E8449"/>
      </patternFill>
    </fill>
    <fill>
      <patternFill patternType="solid">
        <fgColor rgb="0027AE60"/>
      </patternFill>
    </fill>
    <fill>
      <patternFill patternType="solid">
        <fgColor rgb="00E8F8F5"/>
      </patternFill>
    </fill>
    <fill>
      <patternFill patternType="solid">
        <fgColor rgb="00D5F5E3"/>
      </patternFill>
    </fill>
    <fill>
      <patternFill patternType="solid">
        <fgColor rgb="001B4F72"/>
      </patternFill>
    </fill>
    <fill>
      <patternFill patternType="solid">
        <fgColor rgb="002471A3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7D3C98"/>
      </patternFill>
    </fill>
    <fill>
      <patternFill patternType="solid">
        <fgColor rgb="009B59B6"/>
      </patternFill>
    </fill>
    <fill>
      <patternFill patternType="solid">
        <fgColor rgb="00F5EEF8"/>
      </patternFill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7B3F00"/>
      </patternFill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566573"/>
      </patternFill>
    </fill>
    <fill>
      <patternFill patternType="solid">
        <fgColor rgb="00AAAAAA"/>
      </patternFill>
    </fill>
    <fill>
      <patternFill patternType="solid">
        <fgColor rgb="004A235A"/>
      </patternFill>
    </fill>
    <fill>
      <patternFill patternType="solid">
        <fgColor rgb="002E5899"/>
      </patternFill>
    </fill>
    <fill>
      <patternFill patternType="solid">
        <fgColor rgb="003D6B4F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AFAFA"/>
      </patternFill>
    </fill>
    <fill>
      <patternFill patternType="solid">
        <fgColor rgb="00DDDDDD"/>
      </patternFill>
    </fill>
    <fill>
      <patternFill patternType="solid">
        <fgColor rgb="00F0BB78"/>
      </patternFill>
    </fill>
    <fill>
      <patternFill patternType="solid">
        <fgColor rgb="00A9DFBF"/>
      </patternFill>
    </fill>
    <fill>
      <patternFill patternType="solid">
        <fgColor rgb="00E8DAEF"/>
      </patternFill>
    </fill>
    <fill>
      <patternFill patternType="solid">
        <fgColor rgb="00D0D3D4"/>
      </patternFill>
    </fill>
    <fill>
      <patternFill patternType="solid">
        <fgColor rgb="00AEB6BF"/>
      </patternFill>
    </fill>
    <fill>
      <patternFill patternType="solid">
        <fgColor rgb="00F0F3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165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165" fontId="3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/>
    </xf>
    <xf numFmtId="164" fontId="3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center" vertical="center" wrapText="1"/>
    </xf>
    <xf numFmtId="0" fontId="1" fillId="20" borderId="1" applyAlignment="1" pivotButton="0" quotePrefix="0" xfId="0">
      <alignment horizontal="center" vertical="center" wrapText="1"/>
    </xf>
    <xf numFmtId="0" fontId="1" fillId="21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 wrapText="1"/>
    </xf>
    <xf numFmtId="0" fontId="1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166" fontId="2" fillId="27" borderId="1" applyAlignment="1" pivotButton="0" quotePrefix="0" xfId="0">
      <alignment horizontal="center" vertical="center"/>
    </xf>
    <xf numFmtId="0" fontId="2" fillId="27" borderId="1" applyAlignment="1" pivotButton="0" quotePrefix="0" xfId="0">
      <alignment horizontal="center" vertical="center"/>
    </xf>
    <xf numFmtId="3" fontId="2" fillId="28" borderId="1" applyAlignment="1" pivotButton="0" quotePrefix="0" xfId="0">
      <alignment horizontal="center" vertical="center"/>
    </xf>
    <xf numFmtId="3" fontId="2" fillId="29" borderId="1" applyAlignment="1" pivotButton="0" quotePrefix="0" xfId="0">
      <alignment horizontal="center" vertical="center"/>
    </xf>
    <xf numFmtId="3" fontId="2" fillId="30" borderId="1" applyAlignment="1" pivotButton="0" quotePrefix="0" xfId="0">
      <alignment horizontal="center" vertical="center"/>
    </xf>
    <xf numFmtId="3" fontId="2" fillId="31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left" vertical="center"/>
    </xf>
    <xf numFmtId="0" fontId="2" fillId="33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164" fontId="3" fillId="34" borderId="1" applyAlignment="1" pivotButton="0" quotePrefix="0" xfId="0">
      <alignment horizontal="right" vertical="center"/>
    </xf>
    <xf numFmtId="164" fontId="2" fillId="9" borderId="1" applyAlignment="1" pivotButton="0" quotePrefix="0" xfId="0">
      <alignment horizontal="right" vertical="center"/>
    </xf>
    <xf numFmtId="164" fontId="2" fillId="35" borderId="1" applyAlignment="1" pivotButton="0" quotePrefix="0" xfId="0">
      <alignment horizontal="right" vertical="center"/>
    </xf>
    <xf numFmtId="164" fontId="1" fillId="7" borderId="1" applyAlignment="1" pivotButton="0" quotePrefix="0" xfId="0">
      <alignment horizontal="right" vertical="center"/>
    </xf>
    <xf numFmtId="164" fontId="3" fillId="12" borderId="1" applyAlignment="1" pivotButton="0" quotePrefix="0" xfId="0">
      <alignment horizontal="right" vertical="center"/>
    </xf>
    <xf numFmtId="165" fontId="3" fillId="12" borderId="1" applyAlignment="1" pivotButton="0" quotePrefix="0" xfId="0">
      <alignment horizontal="right" vertical="center"/>
    </xf>
    <xf numFmtId="164" fontId="2" fillId="36" borderId="1" applyAlignment="1" pivotButton="0" quotePrefix="0" xfId="0">
      <alignment horizontal="right" vertical="center"/>
    </xf>
    <xf numFmtId="0" fontId="3" fillId="37" borderId="1" applyAlignment="1" pivotButton="0" quotePrefix="0" xfId="0">
      <alignment horizontal="right" vertical="center"/>
    </xf>
    <xf numFmtId="0" fontId="2" fillId="37" borderId="1" applyAlignment="1" pivotButton="0" quotePrefix="0" xfId="0">
      <alignment horizontal="right" vertical="center"/>
    </xf>
    <xf numFmtId="3" fontId="5" fillId="38" borderId="1" applyAlignment="1" pivotButton="0" quotePrefix="0" xfId="0">
      <alignment horizontal="right" vertical="center"/>
    </xf>
    <xf numFmtId="164" fontId="5" fillId="38" borderId="1" applyAlignment="1" pivotButton="0" quotePrefix="0" xfId="0">
      <alignment horizontal="right" vertical="center"/>
    </xf>
    <xf numFmtId="165" fontId="6" fillId="38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/>
    </xf>
    <xf numFmtId="0" fontId="2" fillId="39" borderId="1" applyAlignment="1" pivotButton="0" quotePrefix="0" xfId="0">
      <alignment horizontal="left" vertical="center"/>
    </xf>
    <xf numFmtId="0" fontId="2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2" fillId="40" borderId="1" applyAlignment="1" pivotButton="0" quotePrefix="0" xfId="0">
      <alignment horizontal="left" vertical="center"/>
    </xf>
    <xf numFmtId="0" fontId="2" fillId="4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22" customHeight="1">
      <c r="A1" s="1" t="inlineStr">
        <is>
          <t>PRODUCTION COST RATES — per Pax  (Food DM + Wage DL from PnL Files)</t>
        </is>
      </c>
    </row>
    <row r="2">
      <c r="A2" s="2" t="inlineStr">
        <is>
          <t>Cycle</t>
        </is>
      </c>
      <c r="B2" s="2" t="inlineStr">
        <is>
          <t>Period</t>
        </is>
      </c>
      <c r="C2" s="2" t="inlineStr">
        <is>
          <t>BC $/pax</t>
        </is>
      </c>
      <c r="D2" s="2" t="inlineStr">
        <is>
          <t>PY $/pax</t>
        </is>
      </c>
      <c r="E2" s="2" t="inlineStr">
        <is>
          <t>EY $/pax</t>
        </is>
      </c>
      <c r="F2" s="2" t="inlineStr">
        <is>
          <t>K Crew $/pax</t>
        </is>
      </c>
      <c r="G2" s="2" t="inlineStr">
        <is>
          <t>P Crew $/pax</t>
        </is>
      </c>
      <c r="H2" s="2" t="inlineStr">
        <is>
          <t>Source</t>
        </is>
      </c>
    </row>
    <row r="3">
      <c r="A3" s="3" t="n">
        <v>1</v>
      </c>
      <c r="B3" s="3" t="inlineStr">
        <is>
          <t>January</t>
        </is>
      </c>
      <c r="C3" s="4" t="n">
        <v>29.72</v>
      </c>
      <c r="D3" s="4" t="n">
        <v>17.11</v>
      </c>
      <c r="E3" s="4" t="n">
        <v>8.369999999999999</v>
      </c>
      <c r="F3" s="4" t="n">
        <v>19.11</v>
      </c>
      <c r="G3" s="4" t="n">
        <v>16.67</v>
      </c>
      <c r="H3" s="3" t="inlineStr">
        <is>
          <t>C1 PnL (Jan 2026)</t>
        </is>
      </c>
    </row>
    <row r="4">
      <c r="A4" s="5" t="n">
        <v>2</v>
      </c>
      <c r="B4" s="5" t="inlineStr">
        <is>
          <t>Feb – Mar</t>
        </is>
      </c>
      <c r="C4" s="6" t="n">
        <v>28.11</v>
      </c>
      <c r="D4" s="6" t="n">
        <v>17.08</v>
      </c>
      <c r="E4" s="6" t="n">
        <v>8.25</v>
      </c>
      <c r="F4" s="6" t="n">
        <v>18</v>
      </c>
      <c r="G4" s="6" t="n">
        <v>16</v>
      </c>
      <c r="H4" s="5" t="inlineStr">
        <is>
          <t>C2 PnL (Feb–Mar 2026)</t>
        </is>
      </c>
    </row>
    <row r="5">
      <c r="A5" s="3" t="n">
        <v>3</v>
      </c>
      <c r="B5" s="3" t="inlineStr">
        <is>
          <t>April</t>
        </is>
      </c>
      <c r="C5" s="4" t="n">
        <v>28.99</v>
      </c>
      <c r="D5" s="4" t="n">
        <v>19.44</v>
      </c>
      <c r="E5" s="4" t="n">
        <v>9.49</v>
      </c>
      <c r="F5" s="4" t="n">
        <v>18.5</v>
      </c>
      <c r="G5" s="4" t="n">
        <v>16.5</v>
      </c>
      <c r="H5" s="3" t="inlineStr">
        <is>
          <t>C3 PnL (Apr 2026)</t>
        </is>
      </c>
    </row>
    <row r="6">
      <c r="A6" s="5" t="n">
        <v>4</v>
      </c>
      <c r="B6" s="5" t="inlineStr">
        <is>
          <t>May – Jun</t>
        </is>
      </c>
      <c r="C6" s="6" t="n">
        <v>30.96</v>
      </c>
      <c r="D6" s="6" t="n">
        <v>18.3</v>
      </c>
      <c r="E6" s="6" t="n">
        <v>10.45</v>
      </c>
      <c r="F6" s="6" t="n">
        <v>18.43</v>
      </c>
      <c r="G6" s="6" t="n">
        <v>20.28</v>
      </c>
      <c r="H6" s="5" t="inlineStr">
        <is>
          <t>C4 PnL (May–Jun 2026)</t>
        </is>
      </c>
    </row>
    <row r="7" ht="22" customHeight="1">
      <c r="A7" s="7" t="inlineStr">
        <is>
          <t>BILLED REVENUE RATES — per Pax  (What SAS Pays Mainline, from CSV Billing)</t>
        </is>
      </c>
    </row>
    <row r="8">
      <c r="A8" s="8" t="inlineStr">
        <is>
          <t>Cycle</t>
        </is>
      </c>
      <c r="B8" s="8" t="inlineStr">
        <is>
          <t>Period</t>
        </is>
      </c>
      <c r="C8" s="8" t="inlineStr">
        <is>
          <t>BC $/pax</t>
        </is>
      </c>
      <c r="D8" s="8" t="inlineStr">
        <is>
          <t>PY $/pax</t>
        </is>
      </c>
      <c r="E8" s="8" t="inlineStr">
        <is>
          <t>EY $/pax</t>
        </is>
      </c>
      <c r="F8" s="8" t="inlineStr">
        <is>
          <t>Crew Base/Flt</t>
        </is>
      </c>
      <c r="G8" s="8" t="inlineStr">
        <is>
          <t>Replen 3333</t>
        </is>
      </c>
      <c r="H8" s="8" t="inlineStr">
        <is>
          <t>Replen 3591</t>
        </is>
      </c>
    </row>
    <row r="9">
      <c r="A9" s="9" t="n">
        <v>1</v>
      </c>
      <c r="B9" s="9" t="inlineStr">
        <is>
          <t>January</t>
        </is>
      </c>
      <c r="C9" s="10" t="n">
        <v>41.5</v>
      </c>
      <c r="D9" s="10" t="n">
        <v>22</v>
      </c>
      <c r="E9" s="10" t="n">
        <v>11.85</v>
      </c>
      <c r="F9" s="10" t="n">
        <v>65</v>
      </c>
      <c r="G9" s="10" t="n">
        <v>953</v>
      </c>
      <c r="H9" s="10" t="n">
        <v>953</v>
      </c>
    </row>
    <row r="10">
      <c r="A10" s="11" t="n">
        <v>2</v>
      </c>
      <c r="B10" s="11" t="inlineStr">
        <is>
          <t>Feb – Mar</t>
        </is>
      </c>
      <c r="C10" s="12" t="n">
        <v>42.5</v>
      </c>
      <c r="D10" s="12" t="n">
        <v>23</v>
      </c>
      <c r="E10" s="12" t="n">
        <v>12.5</v>
      </c>
      <c r="F10" s="12" t="n">
        <v>65</v>
      </c>
      <c r="G10" s="12" t="n">
        <v>953</v>
      </c>
      <c r="H10" s="12" t="n">
        <v>953</v>
      </c>
    </row>
    <row r="11">
      <c r="A11" s="9" t="n">
        <v>3</v>
      </c>
      <c r="B11" s="9" t="inlineStr">
        <is>
          <t>April</t>
        </is>
      </c>
      <c r="C11" s="10" t="n">
        <v>43</v>
      </c>
      <c r="D11" s="10" t="n">
        <v>25</v>
      </c>
      <c r="E11" s="10" t="n">
        <v>13.44</v>
      </c>
      <c r="F11" s="10" t="n">
        <v>65</v>
      </c>
      <c r="G11" s="10" t="n">
        <v>953</v>
      </c>
      <c r="H11" s="10" t="n">
        <v>953</v>
      </c>
    </row>
    <row r="12">
      <c r="A12" s="11" t="n">
        <v>4</v>
      </c>
      <c r="B12" s="11" t="inlineStr">
        <is>
          <t>May – Jun</t>
        </is>
      </c>
      <c r="C12" s="12" t="n">
        <v>43.5</v>
      </c>
      <c r="D12" s="12" t="n">
        <v>23.5</v>
      </c>
      <c r="E12" s="12" t="n">
        <v>14.5</v>
      </c>
      <c r="F12" s="12" t="n">
        <v>65</v>
      </c>
      <c r="G12" s="12" t="n">
        <v>953</v>
      </c>
      <c r="H12" s="12" t="n">
        <v>1002</v>
      </c>
    </row>
    <row r="13" ht="22" customHeight="1">
      <c r="A13" s="13" t="inlineStr">
        <is>
          <t>IMPLIED MARGIN per Pax  (Revenue − Production Cost)</t>
        </is>
      </c>
    </row>
    <row r="14">
      <c r="A14" s="14" t="inlineStr">
        <is>
          <t>Cycle</t>
        </is>
      </c>
      <c r="B14" s="14" t="inlineStr">
        <is>
          <t>Period</t>
        </is>
      </c>
      <c r="C14" s="14" t="inlineStr">
        <is>
          <t>BC Margin $</t>
        </is>
      </c>
      <c r="D14" s="14" t="inlineStr">
        <is>
          <t>PY Margin $</t>
        </is>
      </c>
      <c r="E14" s="14" t="inlineStr">
        <is>
          <t>EY Margin $</t>
        </is>
      </c>
      <c r="F14" s="14" t="inlineStr">
        <is>
          <t>BC Margin %</t>
        </is>
      </c>
      <c r="G14" s="14" t="inlineStr">
        <is>
          <t>PY Margin %</t>
        </is>
      </c>
      <c r="H14" s="14" t="inlineStr">
        <is>
          <t>EY Margin %</t>
        </is>
      </c>
    </row>
    <row r="15">
      <c r="A15" s="15" t="n">
        <v>1</v>
      </c>
      <c r="B15" s="15" t="inlineStr">
        <is>
          <t>January</t>
        </is>
      </c>
      <c r="C15" s="16" t="n">
        <v>11.78</v>
      </c>
      <c r="D15" s="16" t="n">
        <v>4.890000000000001</v>
      </c>
      <c r="E15" s="16" t="n">
        <v>3.48</v>
      </c>
      <c r="F15" s="17" t="n">
        <v>0.283855421686747</v>
      </c>
      <c r="G15" s="17" t="n">
        <v>0.2222727272727273</v>
      </c>
      <c r="H15" s="17" t="n">
        <v>0.2936708860759494</v>
      </c>
    </row>
    <row r="16">
      <c r="A16" s="18" t="n">
        <v>2</v>
      </c>
      <c r="B16" s="18" t="inlineStr">
        <is>
          <t>Feb – Mar</t>
        </is>
      </c>
      <c r="C16" s="19" t="n">
        <v>14.39</v>
      </c>
      <c r="D16" s="19" t="n">
        <v>5.920000000000002</v>
      </c>
      <c r="E16" s="19" t="n">
        <v>4.25</v>
      </c>
      <c r="F16" s="20" t="n">
        <v>0.3385882352941176</v>
      </c>
      <c r="G16" s="20" t="n">
        <v>0.2573913043478261</v>
      </c>
      <c r="H16" s="20" t="n">
        <v>0.34</v>
      </c>
    </row>
    <row r="17">
      <c r="A17" s="15" t="n">
        <v>3</v>
      </c>
      <c r="B17" s="15" t="inlineStr">
        <is>
          <t>April</t>
        </is>
      </c>
      <c r="C17" s="16" t="n">
        <v>14.01</v>
      </c>
      <c r="D17" s="16" t="n">
        <v>5.559999999999999</v>
      </c>
      <c r="E17" s="16" t="n">
        <v>3.949999999999999</v>
      </c>
      <c r="F17" s="17" t="n">
        <v>0.3258139534883721</v>
      </c>
      <c r="G17" s="17" t="n">
        <v>0.2224</v>
      </c>
      <c r="H17" s="17" t="n">
        <v>0.2938988095238095</v>
      </c>
    </row>
    <row r="18">
      <c r="A18" s="18" t="n">
        <v>4</v>
      </c>
      <c r="B18" s="18" t="inlineStr">
        <is>
          <t>May – Jun</t>
        </is>
      </c>
      <c r="C18" s="19" t="n">
        <v>12.54</v>
      </c>
      <c r="D18" s="19" t="n">
        <v>5.199999999999999</v>
      </c>
      <c r="E18" s="19" t="n">
        <v>4.050000000000001</v>
      </c>
      <c r="F18" s="20" t="n">
        <v>0.2882758620689655</v>
      </c>
      <c r="G18" s="20" t="n">
        <v>0.2212765957446808</v>
      </c>
      <c r="H18" s="20" t="n">
        <v>0.2793103448275863</v>
      </c>
    </row>
    <row r="19">
      <c r="A19" s="21" t="inlineStr">
        <is>
          <t>SPML BILLING PRICES — per SPML Meal  (What SAS Pays Mainline per Special Meal)</t>
        </is>
      </c>
    </row>
    <row r="20">
      <c r="A20" s="22" t="inlineStr">
        <is>
          <t>Business Class (C)</t>
        </is>
      </c>
    </row>
    <row r="21">
      <c r="A21" s="23" t="inlineStr">
        <is>
          <t>AVML</t>
        </is>
      </c>
      <c r="B21" s="24" t="n">
        <v>39.14</v>
      </c>
      <c r="C21" s="23" t="inlineStr">
        <is>
          <t>BXML</t>
        </is>
      </c>
      <c r="D21" s="24" t="n">
        <v>12.23</v>
      </c>
      <c r="E21" s="23" t="inlineStr">
        <is>
          <t>BYML</t>
        </is>
      </c>
      <c r="F21" s="24" t="n">
        <v>12.15</v>
      </c>
      <c r="G21" s="23" t="inlineStr">
        <is>
          <t>BPML</t>
        </is>
      </c>
      <c r="H21" s="24" t="n">
        <v>7.62</v>
      </c>
    </row>
    <row r="22">
      <c r="A22" s="23" t="inlineStr">
        <is>
          <t>BFML</t>
        </is>
      </c>
      <c r="B22" s="24" t="n">
        <v>10.21</v>
      </c>
      <c r="C22" s="23" t="inlineStr">
        <is>
          <t>BVML</t>
        </is>
      </c>
      <c r="D22" s="24" t="n">
        <v>6.15</v>
      </c>
      <c r="E22" s="23" t="inlineStr">
        <is>
          <t>BMML</t>
        </is>
      </c>
      <c r="F22" s="24" t="n">
        <v>12.24</v>
      </c>
      <c r="G22" s="23" t="inlineStr">
        <is>
          <t>VLML</t>
        </is>
      </c>
      <c r="H22" s="24" t="n">
        <v>39.14</v>
      </c>
    </row>
    <row r="23">
      <c r="A23" s="23" t="inlineStr">
        <is>
          <t>VGML</t>
        </is>
      </c>
      <c r="B23" s="24" t="n">
        <v>39.14</v>
      </c>
      <c r="C23" s="23" t="inlineStr">
        <is>
          <t>LGML</t>
        </is>
      </c>
      <c r="D23" s="24" t="n">
        <v>40.31</v>
      </c>
    </row>
    <row r="24">
      <c r="A24" s="22" t="inlineStr">
        <is>
          <t>Premium Economy (Y)</t>
        </is>
      </c>
    </row>
    <row r="25">
      <c r="A25" s="23" t="inlineStr">
        <is>
          <t>AVML</t>
        </is>
      </c>
      <c r="B25" s="24" t="n">
        <v>19.69</v>
      </c>
      <c r="C25" s="23" t="inlineStr">
        <is>
          <t>CHML</t>
        </is>
      </c>
      <c r="D25" s="24" t="n">
        <v>16.74</v>
      </c>
      <c r="E25" s="23" t="inlineStr">
        <is>
          <t>LGML</t>
        </is>
      </c>
      <c r="F25" s="24" t="n">
        <v>20.28</v>
      </c>
      <c r="G25" s="23" t="inlineStr">
        <is>
          <t>VLML</t>
        </is>
      </c>
      <c r="H25" s="24" t="n">
        <v>19.69</v>
      </c>
    </row>
    <row r="26">
      <c r="A26" s="23" t="inlineStr">
        <is>
          <t>VGML</t>
        </is>
      </c>
      <c r="B26" s="24" t="n">
        <v>19.69</v>
      </c>
    </row>
    <row r="27">
      <c r="A27" s="22" t="inlineStr">
        <is>
          <t>Economy (M)</t>
        </is>
      </c>
    </row>
    <row r="28">
      <c r="A28" s="23" t="inlineStr">
        <is>
          <t>AVML</t>
        </is>
      </c>
      <c r="B28" s="24" t="n">
        <v>11.84</v>
      </c>
      <c r="C28" s="23" t="inlineStr">
        <is>
          <t>CHML</t>
        </is>
      </c>
      <c r="D28" s="24" t="n">
        <v>14.34</v>
      </c>
      <c r="E28" s="23" t="inlineStr">
        <is>
          <t>CKML</t>
        </is>
      </c>
      <c r="F28" s="24" t="n">
        <v>16.93</v>
      </c>
      <c r="G28" s="23" t="inlineStr">
        <is>
          <t>FIML</t>
        </is>
      </c>
      <c r="H28" s="24" t="n">
        <v>19.52</v>
      </c>
    </row>
    <row r="29">
      <c r="A29" s="23" t="inlineStr">
        <is>
          <t>GHML</t>
        </is>
      </c>
      <c r="B29" s="24" t="n">
        <v>22.35</v>
      </c>
      <c r="C29" s="23" t="inlineStr">
        <is>
          <t>LGML</t>
        </is>
      </c>
      <c r="D29" s="24" t="n">
        <v>13.92</v>
      </c>
      <c r="E29" s="23" t="inlineStr">
        <is>
          <t>MEML</t>
        </is>
      </c>
      <c r="F29" s="24" t="n">
        <v>21.55</v>
      </c>
      <c r="G29" s="23" t="inlineStr">
        <is>
          <t>VLML</t>
        </is>
      </c>
      <c r="H29" s="24" t="n">
        <v>13.92</v>
      </c>
    </row>
    <row r="30">
      <c r="A30" s="23" t="inlineStr">
        <is>
          <t>VGML</t>
        </is>
      </c>
      <c r="B30" s="24" t="n">
        <v>13.92</v>
      </c>
    </row>
    <row r="31">
      <c r="A31" s="22" t="inlineStr">
        <is>
          <t>Crew K SPML</t>
        </is>
      </c>
    </row>
    <row r="32">
      <c r="A32" s="23" t="inlineStr">
        <is>
          <t>VLML</t>
        </is>
      </c>
      <c r="B32" s="24" t="n">
        <v>30.23</v>
      </c>
      <c r="C32" s="23" t="inlineStr">
        <is>
          <t>LGML</t>
        </is>
      </c>
      <c r="D32" s="24" t="n">
        <v>30.23</v>
      </c>
      <c r="E32" s="23" t="inlineStr">
        <is>
          <t>VGML</t>
        </is>
      </c>
      <c r="F32" s="24" t="n">
        <v>28</v>
      </c>
    </row>
  </sheetData>
  <mergeCells count="8">
    <mergeCell ref="A7:H7"/>
    <mergeCell ref="A20:H20"/>
    <mergeCell ref="A24:H24"/>
    <mergeCell ref="A13:H13"/>
    <mergeCell ref="A19:H19"/>
    <mergeCell ref="A1:H1"/>
    <mergeCell ref="A27:H27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BC6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18" customWidth="1" min="37" max="37"/>
    <col width="2" customWidth="1" min="38" max="38"/>
    <col width="10" customWidth="1" min="39" max="39"/>
    <col width="10" customWidth="1" min="40" max="40"/>
    <col width="10" customWidth="1" min="41" max="41"/>
    <col width="11" customWidth="1" min="42" max="42"/>
    <col width="10" customWidth="1" min="43" max="43"/>
    <col width="13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0" customWidth="1" min="50" max="50"/>
    <col width="10" customWidth="1" min="51" max="51"/>
    <col width="13" customWidth="1" min="52" max="52"/>
    <col width="12" customWidth="1" min="53" max="53"/>
    <col width="8" customWidth="1" min="54" max="54"/>
    <col width="12" customWidth="1" min="55" max="55"/>
  </cols>
  <sheetData>
    <row r="1" ht="24" customHeight="1">
      <c r="A1" s="25" t="inlineStr">
        <is>
          <t>FLIGHT INFO</t>
        </is>
      </c>
      <c r="E1" s="26" t="inlineStr">
        <is>
          <t>PAX &amp; CREW</t>
        </is>
      </c>
      <c r="J1" s="27" t="inlineStr">
        <is>
          <t>BC SPML (C)</t>
        </is>
      </c>
      <c r="T1" s="21" t="inlineStr">
        <is>
          <t>PLUS SPML (Y)</t>
        </is>
      </c>
      <c r="Y1" s="28" t="inlineStr">
        <is>
          <t>ECONOMY SPML (M)</t>
        </is>
      </c>
      <c r="AH1" s="29" t="inlineStr">
        <is>
          <t>CREW K SPML</t>
        </is>
      </c>
      <c r="AK1" s="30" t="inlineStr">
        <is>
          <t>NOTES</t>
        </is>
      </c>
      <c r="AL1" s="31" t="inlineStr"/>
      <c r="AM1" s="1" t="inlineStr">
        <is>
          <t>PRODUCTION COST (what it costs to make)</t>
        </is>
      </c>
      <c r="AS1" s="7" t="inlineStr">
        <is>
          <t>BILLED REVENUE (what SAS pays Mainline)</t>
        </is>
      </c>
      <c r="BA1" s="13" t="inlineStr">
        <is>
          <t>GROSS PROFIT</t>
        </is>
      </c>
      <c r="BC1" s="32" t="inlineStr">
        <is>
          <t>ACTUAL BILLED
(May CSV)</t>
        </is>
      </c>
    </row>
    <row r="2" ht="30" customHeight="1">
      <c r="A2" s="33" t="inlineStr">
        <is>
          <t>Date</t>
        </is>
      </c>
      <c r="B2" s="33" t="inlineStr">
        <is>
          <t>Flight</t>
        </is>
      </c>
      <c r="C2" s="33" t="inlineStr">
        <is>
          <t>A/C</t>
        </is>
      </c>
      <c r="D2" s="33" t="inlineStr">
        <is>
          <t>Cyc</t>
        </is>
      </c>
      <c r="E2" s="34" t="inlineStr">
        <is>
          <t>BC
Pax</t>
        </is>
      </c>
      <c r="F2" s="34" t="inlineStr">
        <is>
          <t>PY
Pax</t>
        </is>
      </c>
      <c r="G2" s="34" t="inlineStr">
        <is>
          <t>EY
Pax</t>
        </is>
      </c>
      <c r="H2" s="34" t="inlineStr">
        <is>
          <t>K
Crew</t>
        </is>
      </c>
      <c r="I2" s="34" t="inlineStr">
        <is>
          <t>P
Crew</t>
        </is>
      </c>
      <c r="J2" s="35" t="inlineStr">
        <is>
          <t>AVML</t>
        </is>
      </c>
      <c r="K2" s="35" t="inlineStr">
        <is>
          <t>BXML</t>
        </is>
      </c>
      <c r="L2" s="35" t="inlineStr">
        <is>
          <t>BYML</t>
        </is>
      </c>
      <c r="M2" s="35" t="inlineStr">
        <is>
          <t>BPML</t>
        </is>
      </c>
      <c r="N2" s="35" t="inlineStr">
        <is>
          <t>BFML</t>
        </is>
      </c>
      <c r="O2" s="35" t="inlineStr">
        <is>
          <t>BVML</t>
        </is>
      </c>
      <c r="P2" s="35" t="inlineStr">
        <is>
          <t>BMML</t>
        </is>
      </c>
      <c r="Q2" s="35" t="inlineStr">
        <is>
          <t>VLML</t>
        </is>
      </c>
      <c r="R2" s="35" t="inlineStr">
        <is>
          <t>VGML</t>
        </is>
      </c>
      <c r="S2" s="35" t="inlineStr">
        <is>
          <t>LGML</t>
        </is>
      </c>
      <c r="T2" s="36" t="inlineStr">
        <is>
          <t>AVML</t>
        </is>
      </c>
      <c r="U2" s="36" t="inlineStr">
        <is>
          <t>CHML</t>
        </is>
      </c>
      <c r="V2" s="36" t="inlineStr">
        <is>
          <t>LGML</t>
        </is>
      </c>
      <c r="W2" s="36" t="inlineStr">
        <is>
          <t>VLML</t>
        </is>
      </c>
      <c r="X2" s="36" t="inlineStr">
        <is>
          <t>VGML</t>
        </is>
      </c>
      <c r="Y2" s="37" t="inlineStr">
        <is>
          <t>AVML</t>
        </is>
      </c>
      <c r="Z2" s="37" t="inlineStr">
        <is>
          <t>CHML</t>
        </is>
      </c>
      <c r="AA2" s="37" t="inlineStr">
        <is>
          <t>CKML</t>
        </is>
      </c>
      <c r="AB2" s="37" t="inlineStr">
        <is>
          <t>FIML</t>
        </is>
      </c>
      <c r="AC2" s="37" t="inlineStr">
        <is>
          <t>GHML</t>
        </is>
      </c>
      <c r="AD2" s="37" t="inlineStr">
        <is>
          <t>LGML</t>
        </is>
      </c>
      <c r="AE2" s="37" t="inlineStr">
        <is>
          <t>MEML</t>
        </is>
      </c>
      <c r="AF2" s="37" t="inlineStr">
        <is>
          <t>VLML</t>
        </is>
      </c>
      <c r="AG2" s="37" t="inlineStr">
        <is>
          <t>VGML</t>
        </is>
      </c>
      <c r="AH2" s="38" t="inlineStr">
        <is>
          <t>VLML</t>
        </is>
      </c>
      <c r="AI2" s="38" t="inlineStr">
        <is>
          <t>LGML</t>
        </is>
      </c>
      <c r="AJ2" s="38" t="inlineStr">
        <is>
          <t>VGML</t>
        </is>
      </c>
      <c r="AK2" s="39" t="inlineStr">
        <is>
          <t>Notes</t>
        </is>
      </c>
      <c r="AL2" s="40" t="inlineStr"/>
      <c r="AM2" s="41" t="inlineStr">
        <is>
          <t>BC
Prod Cost</t>
        </is>
      </c>
      <c r="AN2" s="41" t="inlineStr">
        <is>
          <t>PY
Prod Cost</t>
        </is>
      </c>
      <c r="AO2" s="41" t="inlineStr">
        <is>
          <t>EY
Prod Cost</t>
        </is>
      </c>
      <c r="AP2" s="41" t="inlineStr">
        <is>
          <t>Crew
Prod Cost</t>
        </is>
      </c>
      <c r="AQ2" s="41" t="inlineStr">
        <is>
          <t>Replen
Prod Cost</t>
        </is>
      </c>
      <c r="AR2" s="41" t="inlineStr">
        <is>
          <t>TOTAL
PROD COST</t>
        </is>
      </c>
      <c r="AS2" s="42" t="inlineStr">
        <is>
          <t>BC Std
Rev</t>
        </is>
      </c>
      <c r="AT2" s="42" t="inlineStr">
        <is>
          <t>BC SPML
Rev</t>
        </is>
      </c>
      <c r="AU2" s="42" t="inlineStr">
        <is>
          <t>BC Total
Rev</t>
        </is>
      </c>
      <c r="AV2" s="42" t="inlineStr">
        <is>
          <t>PY
Revenue</t>
        </is>
      </c>
      <c r="AW2" s="42" t="inlineStr">
        <is>
          <t>EY
Revenue</t>
        </is>
      </c>
      <c r="AX2" s="42" t="inlineStr">
        <is>
          <t>Crew
Revenue</t>
        </is>
      </c>
      <c r="AY2" s="42" t="inlineStr">
        <is>
          <t>Replen
Rev</t>
        </is>
      </c>
      <c r="AZ2" s="42" t="inlineStr">
        <is>
          <t>TOTAL
REVENUE</t>
        </is>
      </c>
      <c r="BA2" s="43" t="inlineStr">
        <is>
          <t>GROSS
PROFIT</t>
        </is>
      </c>
      <c r="BB2" s="43" t="inlineStr">
        <is>
          <t>MARGIN
%</t>
        </is>
      </c>
      <c r="BC2" s="44" t="inlineStr">
        <is>
          <t>ACTUAL
BILLED</t>
        </is>
      </c>
    </row>
    <row r="3" ht="16" customHeight="1">
      <c r="A3" s="45" t="inlineStr">
        <is>
          <t>1/9/2026</t>
        </is>
      </c>
      <c r="B3" s="46" t="inlineStr">
        <is>
          <t>SK0910</t>
        </is>
      </c>
      <c r="C3" s="46" t="inlineStr">
        <is>
          <t>3333</t>
        </is>
      </c>
      <c r="D3" s="46" t="inlineStr">
        <is>
          <t>C1</t>
        </is>
      </c>
      <c r="E3" s="47" t="n"/>
      <c r="F3" s="47" t="n"/>
      <c r="G3" s="47" t="n"/>
      <c r="H3" s="47" t="n"/>
      <c r="I3" s="47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9" t="n"/>
      <c r="U3" s="49" t="n"/>
      <c r="V3" s="49" t="n"/>
      <c r="W3" s="49" t="n"/>
      <c r="X3" s="49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  <c r="AH3" s="47" t="n"/>
      <c r="AI3" s="47" t="n"/>
      <c r="AJ3" s="47" t="n"/>
      <c r="AK3" s="51" t="n"/>
      <c r="AL3" s="52" t="n"/>
      <c r="AM3" s="53">
        <f>IF(E3="","",E3*29.72)</f>
        <v/>
      </c>
      <c r="AN3" s="53">
        <f>IF(F3="","",F3*17.11)</f>
        <v/>
      </c>
      <c r="AO3" s="53">
        <f>IF(G3="","",G3*8.37)</f>
        <v/>
      </c>
      <c r="AP3" s="53">
        <f>IF(AND(H3="",I3=""),"",IF(ISNUMBER(H3),H3*19.11,0)+IF(ISNUMBER(I3),I3*16.67,0))</f>
        <v/>
      </c>
      <c r="AQ3" s="53">
        <f>IF(E3="","",667.1)</f>
        <v/>
      </c>
      <c r="AR3" s="54">
        <f>IF(E3="","",IF(ISNUMBER(AM3),AM3,0)+IF(ISNUMBER(AN3),AN3,0)+IF(ISNUMBER(AO3),AO3,0)+IF(ISNUMBER(AP3),AP3,0)+IF(ISNUMBER(AQ3),AQ3,0))</f>
        <v/>
      </c>
      <c r="AS3" s="55">
        <f>IF(E3="","",MAX(E3-SUM(J3:S3),0)*41.5)</f>
        <v/>
      </c>
      <c r="AT3" s="55">
        <f>IF(E3="","",IF(ISNUMBER(J3),J3*39.14,0)+IF(ISNUMBER(K3),K3*12.23,0)+IF(ISNUMBER(L3),L3*12.15,0)+IF(ISNUMBER(M3),M3*7.62,0)+IF(ISNUMBER(N3),N3*10.21,0)+IF(ISNUMBER(O3),O3*6.15,0)+IF(ISNUMBER(P3),P3*12.24,0)+IF(ISNUMBER(Q3),Q3*39.14,0)+IF(ISNUMBER(R3),R3*39.14,0)+IF(ISNUMBER(S3),S3*40.31,0))</f>
        <v/>
      </c>
      <c r="AU3" s="56">
        <f>IF(E3="","",IF(ISNUMBER(AS3),AS3,0)+IF(ISNUMBER(AT3),AT3,0))</f>
        <v/>
      </c>
      <c r="AV3" s="55">
        <f>IF(F3="","",MAX(F3-SUM(T3:X3),0)*22.0+IF(ISNUMBER(T3),T3*19.69,0)+IF(ISNUMBER(U3),U3*16.74,0)+IF(ISNUMBER(V3),V3*20.28,0)+IF(ISNUMBER(W3),W3*19.69,0)+IF(ISNUMBER(X3),X3*19.69,0))</f>
        <v/>
      </c>
      <c r="AW3" s="55">
        <f>IF(G3="","",MAX(G3-SUM(Y3:AG3),0)*11.85+IF(ISNUMBER(Y3),Y3*11.84,0)+IF(ISNUMBER(Z3),Z3*14.34,0)+IF(ISNUMBER(AA3),AA3*16.93,0)+IF(ISNUMBER(AB3),AB3*19.52,0)+IF(ISNUMBER(AC3),AC3*22.35,0)+IF(ISNUMBER(AD3),AD3*13.92,0)+IF(ISNUMBER(AE3),AE3*21.55,0)+IF(ISNUMBER(AF3),AF3*13.92,0)+IF(ISNUMBER(AG3),AG3*13.92,0))</f>
        <v/>
      </c>
      <c r="AX3" s="55">
        <f>IF(AND(H3="",I3=""),"",65.0+IF(ISNUMBER(AH3),AH3*30.23,0)+IF(ISNUMBER(AI3),AI3*30.23,0)+IF(ISNUMBER(AJ3),AJ3*28.0,0))</f>
        <v/>
      </c>
      <c r="AY3" s="55">
        <f>IF(E3="","",953.0)</f>
        <v/>
      </c>
      <c r="AZ3" s="57">
        <f>IF(E3="","",IF(ISNUMBER(AU3),AU3,0)+IF(ISNUMBER(AV3),AV3,0)+IF(ISNUMBER(AW3),AW3,0)+IF(ISNUMBER(AX3),AX3,0)+IF(ISNUMBER(AY3),AY3,0))</f>
        <v/>
      </c>
      <c r="BA3" s="58">
        <f>IF(OR(E3="",AZ3=""),"",AZ3-AR3)</f>
        <v/>
      </c>
      <c r="BB3" s="59">
        <f>IF(OR(E3="",AZ3=0),"",BA3/AZ3)</f>
        <v/>
      </c>
      <c r="BC3" s="60" t="n"/>
    </row>
    <row r="4" ht="16" customHeight="1">
      <c r="A4" s="45" t="inlineStr">
        <is>
          <t>1/13/2026</t>
        </is>
      </c>
      <c r="B4" s="46" t="inlineStr">
        <is>
          <t>SK0910</t>
        </is>
      </c>
      <c r="C4" s="46" t="inlineStr">
        <is>
          <t>3333</t>
        </is>
      </c>
      <c r="D4" s="46" t="inlineStr">
        <is>
          <t>C1</t>
        </is>
      </c>
      <c r="E4" s="47" t="n"/>
      <c r="F4" s="47" t="n"/>
      <c r="G4" s="47" t="n"/>
      <c r="H4" s="47" t="n"/>
      <c r="I4" s="47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9" t="n"/>
      <c r="U4" s="49" t="n"/>
      <c r="V4" s="49" t="n"/>
      <c r="W4" s="49" t="n"/>
      <c r="X4" s="49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  <c r="AH4" s="47" t="n"/>
      <c r="AI4" s="47" t="n"/>
      <c r="AJ4" s="47" t="n"/>
      <c r="AK4" s="51" t="n"/>
      <c r="AL4" s="52" t="n"/>
      <c r="AM4" s="53">
        <f>IF(E4="","",E4*29.72)</f>
        <v/>
      </c>
      <c r="AN4" s="53">
        <f>IF(F4="","",F4*17.11)</f>
        <v/>
      </c>
      <c r="AO4" s="53">
        <f>IF(G4="","",G4*8.37)</f>
        <v/>
      </c>
      <c r="AP4" s="53">
        <f>IF(AND(H4="",I4=""),"",IF(ISNUMBER(H4),H4*19.11,0)+IF(ISNUMBER(I4),I4*16.67,0))</f>
        <v/>
      </c>
      <c r="AQ4" s="53">
        <f>IF(E4="","",667.1)</f>
        <v/>
      </c>
      <c r="AR4" s="54">
        <f>IF(E4="","",IF(ISNUMBER(AM4),AM4,0)+IF(ISNUMBER(AN4),AN4,0)+IF(ISNUMBER(AO4),AO4,0)+IF(ISNUMBER(AP4),AP4,0)+IF(ISNUMBER(AQ4),AQ4,0))</f>
        <v/>
      </c>
      <c r="AS4" s="55">
        <f>IF(E4="","",MAX(E4-SUM(J4:S4),0)*41.5)</f>
        <v/>
      </c>
      <c r="AT4" s="55">
        <f>IF(E4="","",IF(ISNUMBER(J4),J4*39.14,0)+IF(ISNUMBER(K4),K4*12.23,0)+IF(ISNUMBER(L4),L4*12.15,0)+IF(ISNUMBER(M4),M4*7.62,0)+IF(ISNUMBER(N4),N4*10.21,0)+IF(ISNUMBER(O4),O4*6.15,0)+IF(ISNUMBER(P4),P4*12.24,0)+IF(ISNUMBER(Q4),Q4*39.14,0)+IF(ISNUMBER(R4),R4*39.14,0)+IF(ISNUMBER(S4),S4*40.31,0))</f>
        <v/>
      </c>
      <c r="AU4" s="56">
        <f>IF(E4="","",IF(ISNUMBER(AS4),AS4,0)+IF(ISNUMBER(AT4),AT4,0))</f>
        <v/>
      </c>
      <c r="AV4" s="55">
        <f>IF(F4="","",MAX(F4-SUM(T4:X4),0)*22.0+IF(ISNUMBER(T4),T4*19.69,0)+IF(ISNUMBER(U4),U4*16.74,0)+IF(ISNUMBER(V4),V4*20.28,0)+IF(ISNUMBER(W4),W4*19.69,0)+IF(ISNUMBER(X4),X4*19.69,0))</f>
        <v/>
      </c>
      <c r="AW4" s="55">
        <f>IF(G4="","",MAX(G4-SUM(Y4:AG4),0)*11.85+IF(ISNUMBER(Y4),Y4*11.84,0)+IF(ISNUMBER(Z4),Z4*14.34,0)+IF(ISNUMBER(AA4),AA4*16.93,0)+IF(ISNUMBER(AB4),AB4*19.52,0)+IF(ISNUMBER(AC4),AC4*22.35,0)+IF(ISNUMBER(AD4),AD4*13.92,0)+IF(ISNUMBER(AE4),AE4*21.55,0)+IF(ISNUMBER(AF4),AF4*13.92,0)+IF(ISNUMBER(AG4),AG4*13.92,0))</f>
        <v/>
      </c>
      <c r="AX4" s="55">
        <f>IF(AND(H4="",I4=""),"",65.0+IF(ISNUMBER(AH4),AH4*30.23,0)+IF(ISNUMBER(AI4),AI4*30.23,0)+IF(ISNUMBER(AJ4),AJ4*28.0,0))</f>
        <v/>
      </c>
      <c r="AY4" s="55">
        <f>IF(E4="","",953.0)</f>
        <v/>
      </c>
      <c r="AZ4" s="57">
        <f>IF(E4="","",IF(ISNUMBER(AU4),AU4,0)+IF(ISNUMBER(AV4),AV4,0)+IF(ISNUMBER(AW4),AW4,0)+IF(ISNUMBER(AX4),AX4,0)+IF(ISNUMBER(AY4),AY4,0))</f>
        <v/>
      </c>
      <c r="BA4" s="58">
        <f>IF(OR(E4="",AZ4=""),"",AZ4-AR4)</f>
        <v/>
      </c>
      <c r="BB4" s="59">
        <f>IF(OR(E4="",AZ4=0),"",BA4/AZ4)</f>
        <v/>
      </c>
      <c r="BC4" s="60" t="n"/>
    </row>
    <row r="5" ht="16" customHeight="1">
      <c r="A5" s="45" t="inlineStr">
        <is>
          <t>1/16/2026</t>
        </is>
      </c>
      <c r="B5" s="46" t="inlineStr">
        <is>
          <t>SK0910</t>
        </is>
      </c>
      <c r="C5" s="46" t="inlineStr">
        <is>
          <t>3333</t>
        </is>
      </c>
      <c r="D5" s="46" t="inlineStr">
        <is>
          <t>C1</t>
        </is>
      </c>
      <c r="E5" s="47" t="n"/>
      <c r="F5" s="47" t="n"/>
      <c r="G5" s="47" t="n"/>
      <c r="H5" s="47" t="n"/>
      <c r="I5" s="47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9" t="n"/>
      <c r="U5" s="49" t="n"/>
      <c r="V5" s="49" t="n"/>
      <c r="W5" s="49" t="n"/>
      <c r="X5" s="49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  <c r="AH5" s="47" t="n"/>
      <c r="AI5" s="47" t="n"/>
      <c r="AJ5" s="47" t="n"/>
      <c r="AK5" s="51" t="n"/>
      <c r="AL5" s="52" t="n"/>
      <c r="AM5" s="53">
        <f>IF(E5="","",E5*29.72)</f>
        <v/>
      </c>
      <c r="AN5" s="53">
        <f>IF(F5="","",F5*17.11)</f>
        <v/>
      </c>
      <c r="AO5" s="53">
        <f>IF(G5="","",G5*8.37)</f>
        <v/>
      </c>
      <c r="AP5" s="53">
        <f>IF(AND(H5="",I5=""),"",IF(ISNUMBER(H5),H5*19.11,0)+IF(ISNUMBER(I5),I5*16.67,0))</f>
        <v/>
      </c>
      <c r="AQ5" s="53">
        <f>IF(E5="","",667.1)</f>
        <v/>
      </c>
      <c r="AR5" s="54">
        <f>IF(E5="","",IF(ISNUMBER(AM5),AM5,0)+IF(ISNUMBER(AN5),AN5,0)+IF(ISNUMBER(AO5),AO5,0)+IF(ISNUMBER(AP5),AP5,0)+IF(ISNUMBER(AQ5),AQ5,0))</f>
        <v/>
      </c>
      <c r="AS5" s="55">
        <f>IF(E5="","",MAX(E5-SUM(J5:S5),0)*41.5)</f>
        <v/>
      </c>
      <c r="AT5" s="55">
        <f>IF(E5="","",IF(ISNUMBER(J5),J5*39.14,0)+IF(ISNUMBER(K5),K5*12.23,0)+IF(ISNUMBER(L5),L5*12.15,0)+IF(ISNUMBER(M5),M5*7.62,0)+IF(ISNUMBER(N5),N5*10.21,0)+IF(ISNUMBER(O5),O5*6.15,0)+IF(ISNUMBER(P5),P5*12.24,0)+IF(ISNUMBER(Q5),Q5*39.14,0)+IF(ISNUMBER(R5),R5*39.14,0)+IF(ISNUMBER(S5),S5*40.31,0))</f>
        <v/>
      </c>
      <c r="AU5" s="56">
        <f>IF(E5="","",IF(ISNUMBER(AS5),AS5,0)+IF(ISNUMBER(AT5),AT5,0))</f>
        <v/>
      </c>
      <c r="AV5" s="55">
        <f>IF(F5="","",MAX(F5-SUM(T5:X5),0)*22.0+IF(ISNUMBER(T5),T5*19.69,0)+IF(ISNUMBER(U5),U5*16.74,0)+IF(ISNUMBER(V5),V5*20.28,0)+IF(ISNUMBER(W5),W5*19.69,0)+IF(ISNUMBER(X5),X5*19.69,0))</f>
        <v/>
      </c>
      <c r="AW5" s="55">
        <f>IF(G5="","",MAX(G5-SUM(Y5:AG5),0)*11.85+IF(ISNUMBER(Y5),Y5*11.84,0)+IF(ISNUMBER(Z5),Z5*14.34,0)+IF(ISNUMBER(AA5),AA5*16.93,0)+IF(ISNUMBER(AB5),AB5*19.52,0)+IF(ISNUMBER(AC5),AC5*22.35,0)+IF(ISNUMBER(AD5),AD5*13.92,0)+IF(ISNUMBER(AE5),AE5*21.55,0)+IF(ISNUMBER(AF5),AF5*13.92,0)+IF(ISNUMBER(AG5),AG5*13.92,0))</f>
        <v/>
      </c>
      <c r="AX5" s="55">
        <f>IF(AND(H5="",I5=""),"",65.0+IF(ISNUMBER(AH5),AH5*30.23,0)+IF(ISNUMBER(AI5),AI5*30.23,0)+IF(ISNUMBER(AJ5),AJ5*28.0,0))</f>
        <v/>
      </c>
      <c r="AY5" s="55">
        <f>IF(E5="","",953.0)</f>
        <v/>
      </c>
      <c r="AZ5" s="57">
        <f>IF(E5="","",IF(ISNUMBER(AU5),AU5,0)+IF(ISNUMBER(AV5),AV5,0)+IF(ISNUMBER(AW5),AW5,0)+IF(ISNUMBER(AX5),AX5,0)+IF(ISNUMBER(AY5),AY5,0))</f>
        <v/>
      </c>
      <c r="BA5" s="58">
        <f>IF(OR(E5="",AZ5=""),"",AZ5-AR5)</f>
        <v/>
      </c>
      <c r="BB5" s="59">
        <f>IF(OR(E5="",AZ5=0),"",BA5/AZ5)</f>
        <v/>
      </c>
      <c r="BC5" s="60" t="n"/>
    </row>
    <row r="6" ht="16" customHeight="1">
      <c r="A6" s="45" t="inlineStr">
        <is>
          <t>1/19/2026</t>
        </is>
      </c>
      <c r="B6" s="46" t="inlineStr">
        <is>
          <t>SK0910</t>
        </is>
      </c>
      <c r="C6" s="46" t="inlineStr">
        <is>
          <t>3333</t>
        </is>
      </c>
      <c r="D6" s="46" t="inlineStr">
        <is>
          <t>C1</t>
        </is>
      </c>
      <c r="E6" s="47" t="n"/>
      <c r="F6" s="47" t="n"/>
      <c r="G6" s="47" t="n"/>
      <c r="H6" s="47" t="n"/>
      <c r="I6" s="47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9" t="n"/>
      <c r="U6" s="49" t="n"/>
      <c r="V6" s="49" t="n"/>
      <c r="W6" s="49" t="n"/>
      <c r="X6" s="49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47" t="n"/>
      <c r="AI6" s="47" t="n"/>
      <c r="AJ6" s="47" t="n"/>
      <c r="AK6" s="51" t="n"/>
      <c r="AL6" s="52" t="n"/>
      <c r="AM6" s="53">
        <f>IF(E6="","",E6*29.72)</f>
        <v/>
      </c>
      <c r="AN6" s="53">
        <f>IF(F6="","",F6*17.11)</f>
        <v/>
      </c>
      <c r="AO6" s="53">
        <f>IF(G6="","",G6*8.37)</f>
        <v/>
      </c>
      <c r="AP6" s="53">
        <f>IF(AND(H6="",I6=""),"",IF(ISNUMBER(H6),H6*19.11,0)+IF(ISNUMBER(I6),I6*16.67,0))</f>
        <v/>
      </c>
      <c r="AQ6" s="53">
        <f>IF(E6="","",667.1)</f>
        <v/>
      </c>
      <c r="AR6" s="54">
        <f>IF(E6="","",IF(ISNUMBER(AM6),AM6,0)+IF(ISNUMBER(AN6),AN6,0)+IF(ISNUMBER(AO6),AO6,0)+IF(ISNUMBER(AP6),AP6,0)+IF(ISNUMBER(AQ6),AQ6,0))</f>
        <v/>
      </c>
      <c r="AS6" s="55">
        <f>IF(E6="","",MAX(E6-SUM(J6:S6),0)*41.5)</f>
        <v/>
      </c>
      <c r="AT6" s="55">
        <f>IF(E6="","",IF(ISNUMBER(J6),J6*39.14,0)+IF(ISNUMBER(K6),K6*12.23,0)+IF(ISNUMBER(L6),L6*12.15,0)+IF(ISNUMBER(M6),M6*7.62,0)+IF(ISNUMBER(N6),N6*10.21,0)+IF(ISNUMBER(O6),O6*6.15,0)+IF(ISNUMBER(P6),P6*12.24,0)+IF(ISNUMBER(Q6),Q6*39.14,0)+IF(ISNUMBER(R6),R6*39.14,0)+IF(ISNUMBER(S6),S6*40.31,0))</f>
        <v/>
      </c>
      <c r="AU6" s="56">
        <f>IF(E6="","",IF(ISNUMBER(AS6),AS6,0)+IF(ISNUMBER(AT6),AT6,0))</f>
        <v/>
      </c>
      <c r="AV6" s="55">
        <f>IF(F6="","",MAX(F6-SUM(T6:X6),0)*22.0+IF(ISNUMBER(T6),T6*19.69,0)+IF(ISNUMBER(U6),U6*16.74,0)+IF(ISNUMBER(V6),V6*20.28,0)+IF(ISNUMBER(W6),W6*19.69,0)+IF(ISNUMBER(X6),X6*19.69,0))</f>
        <v/>
      </c>
      <c r="AW6" s="55">
        <f>IF(G6="","",MAX(G6-SUM(Y6:AG6),0)*11.85+IF(ISNUMBER(Y6),Y6*11.84,0)+IF(ISNUMBER(Z6),Z6*14.34,0)+IF(ISNUMBER(AA6),AA6*16.93,0)+IF(ISNUMBER(AB6),AB6*19.52,0)+IF(ISNUMBER(AC6),AC6*22.35,0)+IF(ISNUMBER(AD6),AD6*13.92,0)+IF(ISNUMBER(AE6),AE6*21.55,0)+IF(ISNUMBER(AF6),AF6*13.92,0)+IF(ISNUMBER(AG6),AG6*13.92,0))</f>
        <v/>
      </c>
      <c r="AX6" s="55">
        <f>IF(AND(H6="",I6=""),"",65.0+IF(ISNUMBER(AH6),AH6*30.23,0)+IF(ISNUMBER(AI6),AI6*30.23,0)+IF(ISNUMBER(AJ6),AJ6*28.0,0))</f>
        <v/>
      </c>
      <c r="AY6" s="55">
        <f>IF(E6="","",953.0)</f>
        <v/>
      </c>
      <c r="AZ6" s="57">
        <f>IF(E6="","",IF(ISNUMBER(AU6),AU6,0)+IF(ISNUMBER(AV6),AV6,0)+IF(ISNUMBER(AW6),AW6,0)+IF(ISNUMBER(AX6),AX6,0)+IF(ISNUMBER(AY6),AY6,0))</f>
        <v/>
      </c>
      <c r="BA6" s="58">
        <f>IF(OR(E6="",AZ6=""),"",AZ6-AR6)</f>
        <v/>
      </c>
      <c r="BB6" s="59">
        <f>IF(OR(E6="",AZ6=0),"",BA6/AZ6)</f>
        <v/>
      </c>
      <c r="BC6" s="60" t="n"/>
    </row>
    <row r="7" ht="16" customHeight="1">
      <c r="A7" s="45" t="inlineStr">
        <is>
          <t>1/22/2026</t>
        </is>
      </c>
      <c r="B7" s="46" t="inlineStr">
        <is>
          <t>SK0910</t>
        </is>
      </c>
      <c r="C7" s="46" t="inlineStr">
        <is>
          <t>3333</t>
        </is>
      </c>
      <c r="D7" s="46" t="inlineStr">
        <is>
          <t>C1</t>
        </is>
      </c>
      <c r="E7" s="47" t="n"/>
      <c r="F7" s="47" t="n"/>
      <c r="G7" s="47" t="n"/>
      <c r="H7" s="47" t="n"/>
      <c r="I7" s="47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9" t="n"/>
      <c r="U7" s="49" t="n"/>
      <c r="V7" s="49" t="n"/>
      <c r="W7" s="49" t="n"/>
      <c r="X7" s="49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  <c r="AH7" s="47" t="n"/>
      <c r="AI7" s="47" t="n"/>
      <c r="AJ7" s="47" t="n"/>
      <c r="AK7" s="51" t="n"/>
      <c r="AL7" s="52" t="n"/>
      <c r="AM7" s="53">
        <f>IF(E7="","",E7*29.72)</f>
        <v/>
      </c>
      <c r="AN7" s="53">
        <f>IF(F7="","",F7*17.11)</f>
        <v/>
      </c>
      <c r="AO7" s="53">
        <f>IF(G7="","",G7*8.37)</f>
        <v/>
      </c>
      <c r="AP7" s="53">
        <f>IF(AND(H7="",I7=""),"",IF(ISNUMBER(H7),H7*19.11,0)+IF(ISNUMBER(I7),I7*16.67,0))</f>
        <v/>
      </c>
      <c r="AQ7" s="53">
        <f>IF(E7="","",667.1)</f>
        <v/>
      </c>
      <c r="AR7" s="54">
        <f>IF(E7="","",IF(ISNUMBER(AM7),AM7,0)+IF(ISNUMBER(AN7),AN7,0)+IF(ISNUMBER(AO7),AO7,0)+IF(ISNUMBER(AP7),AP7,0)+IF(ISNUMBER(AQ7),AQ7,0))</f>
        <v/>
      </c>
      <c r="AS7" s="55">
        <f>IF(E7="","",MAX(E7-SUM(J7:S7),0)*41.5)</f>
        <v/>
      </c>
      <c r="AT7" s="55">
        <f>IF(E7="","",IF(ISNUMBER(J7),J7*39.14,0)+IF(ISNUMBER(K7),K7*12.23,0)+IF(ISNUMBER(L7),L7*12.15,0)+IF(ISNUMBER(M7),M7*7.62,0)+IF(ISNUMBER(N7),N7*10.21,0)+IF(ISNUMBER(O7),O7*6.15,0)+IF(ISNUMBER(P7),P7*12.24,0)+IF(ISNUMBER(Q7),Q7*39.14,0)+IF(ISNUMBER(R7),R7*39.14,0)+IF(ISNUMBER(S7),S7*40.31,0))</f>
        <v/>
      </c>
      <c r="AU7" s="56">
        <f>IF(E7="","",IF(ISNUMBER(AS7),AS7,0)+IF(ISNUMBER(AT7),AT7,0))</f>
        <v/>
      </c>
      <c r="AV7" s="55">
        <f>IF(F7="","",MAX(F7-SUM(T7:X7),0)*22.0+IF(ISNUMBER(T7),T7*19.69,0)+IF(ISNUMBER(U7),U7*16.74,0)+IF(ISNUMBER(V7),V7*20.28,0)+IF(ISNUMBER(W7),W7*19.69,0)+IF(ISNUMBER(X7),X7*19.69,0))</f>
        <v/>
      </c>
      <c r="AW7" s="55">
        <f>IF(G7="","",MAX(G7-SUM(Y7:AG7),0)*11.85+IF(ISNUMBER(Y7),Y7*11.84,0)+IF(ISNUMBER(Z7),Z7*14.34,0)+IF(ISNUMBER(AA7),AA7*16.93,0)+IF(ISNUMBER(AB7),AB7*19.52,0)+IF(ISNUMBER(AC7),AC7*22.35,0)+IF(ISNUMBER(AD7),AD7*13.92,0)+IF(ISNUMBER(AE7),AE7*21.55,0)+IF(ISNUMBER(AF7),AF7*13.92,0)+IF(ISNUMBER(AG7),AG7*13.92,0))</f>
        <v/>
      </c>
      <c r="AX7" s="55">
        <f>IF(AND(H7="",I7=""),"",65.0+IF(ISNUMBER(AH7),AH7*30.23,0)+IF(ISNUMBER(AI7),AI7*30.23,0)+IF(ISNUMBER(AJ7),AJ7*28.0,0))</f>
        <v/>
      </c>
      <c r="AY7" s="55">
        <f>IF(E7="","",953.0)</f>
        <v/>
      </c>
      <c r="AZ7" s="57">
        <f>IF(E7="","",IF(ISNUMBER(AU7),AU7,0)+IF(ISNUMBER(AV7),AV7,0)+IF(ISNUMBER(AW7),AW7,0)+IF(ISNUMBER(AX7),AX7,0)+IF(ISNUMBER(AY7),AY7,0))</f>
        <v/>
      </c>
      <c r="BA7" s="58">
        <f>IF(OR(E7="",AZ7=""),"",AZ7-AR7)</f>
        <v/>
      </c>
      <c r="BB7" s="59">
        <f>IF(OR(E7="",AZ7=0),"",BA7/AZ7)</f>
        <v/>
      </c>
      <c r="BC7" s="60" t="n"/>
    </row>
    <row r="8" ht="16" customHeight="1">
      <c r="A8" s="45" t="inlineStr">
        <is>
          <t>1/26/2026</t>
        </is>
      </c>
      <c r="B8" s="46" t="inlineStr">
        <is>
          <t>SK0910</t>
        </is>
      </c>
      <c r="C8" s="46" t="inlineStr">
        <is>
          <t>3333</t>
        </is>
      </c>
      <c r="D8" s="46" t="inlineStr">
        <is>
          <t>C1</t>
        </is>
      </c>
      <c r="E8" s="47" t="n"/>
      <c r="F8" s="47" t="n"/>
      <c r="G8" s="47" t="n"/>
      <c r="H8" s="47" t="n"/>
      <c r="I8" s="47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9" t="n"/>
      <c r="U8" s="49" t="n"/>
      <c r="V8" s="49" t="n"/>
      <c r="W8" s="49" t="n"/>
      <c r="X8" s="49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  <c r="AH8" s="47" t="n"/>
      <c r="AI8" s="47" t="n"/>
      <c r="AJ8" s="47" t="n"/>
      <c r="AK8" s="51" t="n"/>
      <c r="AL8" s="52" t="n"/>
      <c r="AM8" s="53">
        <f>IF(E8="","",E8*29.72)</f>
        <v/>
      </c>
      <c r="AN8" s="53">
        <f>IF(F8="","",F8*17.11)</f>
        <v/>
      </c>
      <c r="AO8" s="53">
        <f>IF(G8="","",G8*8.37)</f>
        <v/>
      </c>
      <c r="AP8" s="53">
        <f>IF(AND(H8="",I8=""),"",IF(ISNUMBER(H8),H8*19.11,0)+IF(ISNUMBER(I8),I8*16.67,0))</f>
        <v/>
      </c>
      <c r="AQ8" s="53">
        <f>IF(E8="","",667.1)</f>
        <v/>
      </c>
      <c r="AR8" s="54">
        <f>IF(E8="","",IF(ISNUMBER(AM8),AM8,0)+IF(ISNUMBER(AN8),AN8,0)+IF(ISNUMBER(AO8),AO8,0)+IF(ISNUMBER(AP8),AP8,0)+IF(ISNUMBER(AQ8),AQ8,0))</f>
        <v/>
      </c>
      <c r="AS8" s="55">
        <f>IF(E8="","",MAX(E8-SUM(J8:S8),0)*41.5)</f>
        <v/>
      </c>
      <c r="AT8" s="55">
        <f>IF(E8="","",IF(ISNUMBER(J8),J8*39.14,0)+IF(ISNUMBER(K8),K8*12.23,0)+IF(ISNUMBER(L8),L8*12.15,0)+IF(ISNUMBER(M8),M8*7.62,0)+IF(ISNUMBER(N8),N8*10.21,0)+IF(ISNUMBER(O8),O8*6.15,0)+IF(ISNUMBER(P8),P8*12.24,0)+IF(ISNUMBER(Q8),Q8*39.14,0)+IF(ISNUMBER(R8),R8*39.14,0)+IF(ISNUMBER(S8),S8*40.31,0))</f>
        <v/>
      </c>
      <c r="AU8" s="56">
        <f>IF(E8="","",IF(ISNUMBER(AS8),AS8,0)+IF(ISNUMBER(AT8),AT8,0))</f>
        <v/>
      </c>
      <c r="AV8" s="55">
        <f>IF(F8="","",MAX(F8-SUM(T8:X8),0)*22.0+IF(ISNUMBER(T8),T8*19.69,0)+IF(ISNUMBER(U8),U8*16.74,0)+IF(ISNUMBER(V8),V8*20.28,0)+IF(ISNUMBER(W8),W8*19.69,0)+IF(ISNUMBER(X8),X8*19.69,0))</f>
        <v/>
      </c>
      <c r="AW8" s="55">
        <f>IF(G8="","",MAX(G8-SUM(Y8:AG8),0)*11.85+IF(ISNUMBER(Y8),Y8*11.84,0)+IF(ISNUMBER(Z8),Z8*14.34,0)+IF(ISNUMBER(AA8),AA8*16.93,0)+IF(ISNUMBER(AB8),AB8*19.52,0)+IF(ISNUMBER(AC8),AC8*22.35,0)+IF(ISNUMBER(AD8),AD8*13.92,0)+IF(ISNUMBER(AE8),AE8*21.55,0)+IF(ISNUMBER(AF8),AF8*13.92,0)+IF(ISNUMBER(AG8),AG8*13.92,0))</f>
        <v/>
      </c>
      <c r="AX8" s="55">
        <f>IF(AND(H8="",I8=""),"",65.0+IF(ISNUMBER(AH8),AH8*30.23,0)+IF(ISNUMBER(AI8),AI8*30.23,0)+IF(ISNUMBER(AJ8),AJ8*28.0,0))</f>
        <v/>
      </c>
      <c r="AY8" s="55">
        <f>IF(E8="","",953.0)</f>
        <v/>
      </c>
      <c r="AZ8" s="57">
        <f>IF(E8="","",IF(ISNUMBER(AU8),AU8,0)+IF(ISNUMBER(AV8),AV8,0)+IF(ISNUMBER(AW8),AW8,0)+IF(ISNUMBER(AX8),AX8,0)+IF(ISNUMBER(AY8),AY8,0))</f>
        <v/>
      </c>
      <c r="BA8" s="58">
        <f>IF(OR(E8="",AZ8=""),"",AZ8-AR8)</f>
        <v/>
      </c>
      <c r="BB8" s="59">
        <f>IF(OR(E8="",AZ8=0),"",BA8/AZ8)</f>
        <v/>
      </c>
      <c r="BC8" s="60" t="n"/>
    </row>
    <row r="9" ht="16" customHeight="1">
      <c r="A9" s="45" t="inlineStr">
        <is>
          <t>1/29/2026</t>
        </is>
      </c>
      <c r="B9" s="46" t="inlineStr">
        <is>
          <t>SK0910</t>
        </is>
      </c>
      <c r="C9" s="46" t="inlineStr">
        <is>
          <t>3333</t>
        </is>
      </c>
      <c r="D9" s="46" t="inlineStr">
        <is>
          <t>C1</t>
        </is>
      </c>
      <c r="E9" s="47" t="n"/>
      <c r="F9" s="47" t="n"/>
      <c r="G9" s="47" t="n"/>
      <c r="H9" s="47" t="n"/>
      <c r="I9" s="47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9" t="n"/>
      <c r="U9" s="49" t="n"/>
      <c r="V9" s="49" t="n"/>
      <c r="W9" s="49" t="n"/>
      <c r="X9" s="49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47" t="n"/>
      <c r="AI9" s="47" t="n"/>
      <c r="AJ9" s="47" t="n"/>
      <c r="AK9" s="51" t="n"/>
      <c r="AL9" s="52" t="n"/>
      <c r="AM9" s="53">
        <f>IF(E9="","",E9*29.72)</f>
        <v/>
      </c>
      <c r="AN9" s="53">
        <f>IF(F9="","",F9*17.11)</f>
        <v/>
      </c>
      <c r="AO9" s="53">
        <f>IF(G9="","",G9*8.37)</f>
        <v/>
      </c>
      <c r="AP9" s="53">
        <f>IF(AND(H9="",I9=""),"",IF(ISNUMBER(H9),H9*19.11,0)+IF(ISNUMBER(I9),I9*16.67,0))</f>
        <v/>
      </c>
      <c r="AQ9" s="53">
        <f>IF(E9="","",667.1)</f>
        <v/>
      </c>
      <c r="AR9" s="54">
        <f>IF(E9="","",IF(ISNUMBER(AM9),AM9,0)+IF(ISNUMBER(AN9),AN9,0)+IF(ISNUMBER(AO9),AO9,0)+IF(ISNUMBER(AP9),AP9,0)+IF(ISNUMBER(AQ9),AQ9,0))</f>
        <v/>
      </c>
      <c r="AS9" s="55">
        <f>IF(E9="","",MAX(E9-SUM(J9:S9),0)*41.5)</f>
        <v/>
      </c>
      <c r="AT9" s="55">
        <f>IF(E9="","",IF(ISNUMBER(J9),J9*39.14,0)+IF(ISNUMBER(K9),K9*12.23,0)+IF(ISNUMBER(L9),L9*12.15,0)+IF(ISNUMBER(M9),M9*7.62,0)+IF(ISNUMBER(N9),N9*10.21,0)+IF(ISNUMBER(O9),O9*6.15,0)+IF(ISNUMBER(P9),P9*12.24,0)+IF(ISNUMBER(Q9),Q9*39.14,0)+IF(ISNUMBER(R9),R9*39.14,0)+IF(ISNUMBER(S9),S9*40.31,0))</f>
        <v/>
      </c>
      <c r="AU9" s="56">
        <f>IF(E9="","",IF(ISNUMBER(AS9),AS9,0)+IF(ISNUMBER(AT9),AT9,0))</f>
        <v/>
      </c>
      <c r="AV9" s="55">
        <f>IF(F9="","",MAX(F9-SUM(T9:X9),0)*22.0+IF(ISNUMBER(T9),T9*19.69,0)+IF(ISNUMBER(U9),U9*16.74,0)+IF(ISNUMBER(V9),V9*20.28,0)+IF(ISNUMBER(W9),W9*19.69,0)+IF(ISNUMBER(X9),X9*19.69,0))</f>
        <v/>
      </c>
      <c r="AW9" s="55">
        <f>IF(G9="","",MAX(G9-SUM(Y9:AG9),0)*11.85+IF(ISNUMBER(Y9),Y9*11.84,0)+IF(ISNUMBER(Z9),Z9*14.34,0)+IF(ISNUMBER(AA9),AA9*16.93,0)+IF(ISNUMBER(AB9),AB9*19.52,0)+IF(ISNUMBER(AC9),AC9*22.35,0)+IF(ISNUMBER(AD9),AD9*13.92,0)+IF(ISNUMBER(AE9),AE9*21.55,0)+IF(ISNUMBER(AF9),AF9*13.92,0)+IF(ISNUMBER(AG9),AG9*13.92,0))</f>
        <v/>
      </c>
      <c r="AX9" s="55">
        <f>IF(AND(H9="",I9=""),"",65.0+IF(ISNUMBER(AH9),AH9*30.23,0)+IF(ISNUMBER(AI9),AI9*30.23,0)+IF(ISNUMBER(AJ9),AJ9*28.0,0))</f>
        <v/>
      </c>
      <c r="AY9" s="55">
        <f>IF(E9="","",953.0)</f>
        <v/>
      </c>
      <c r="AZ9" s="57">
        <f>IF(E9="","",IF(ISNUMBER(AU9),AU9,0)+IF(ISNUMBER(AV9),AV9,0)+IF(ISNUMBER(AW9),AW9,0)+IF(ISNUMBER(AX9),AX9,0)+IF(ISNUMBER(AY9),AY9,0))</f>
        <v/>
      </c>
      <c r="BA9" s="58">
        <f>IF(OR(E9="",AZ9=""),"",AZ9-AR9)</f>
        <v/>
      </c>
      <c r="BB9" s="59">
        <f>IF(OR(E9="",AZ9=0),"",BA9/AZ9)</f>
        <v/>
      </c>
      <c r="BC9" s="60" t="n"/>
    </row>
    <row r="10" ht="16" customHeight="1">
      <c r="A10" s="45" t="inlineStr">
        <is>
          <t>2/2/2026</t>
        </is>
      </c>
      <c r="B10" s="46" t="inlineStr">
        <is>
          <t>SK0910</t>
        </is>
      </c>
      <c r="C10" s="46" t="inlineStr">
        <is>
          <t>3333</t>
        </is>
      </c>
      <c r="D10" s="46" t="inlineStr">
        <is>
          <t>C2</t>
        </is>
      </c>
      <c r="E10" s="47" t="n"/>
      <c r="F10" s="47" t="n"/>
      <c r="G10" s="47" t="n"/>
      <c r="H10" s="47" t="n"/>
      <c r="I10" s="47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9" t="n"/>
      <c r="U10" s="49" t="n"/>
      <c r="V10" s="49" t="n"/>
      <c r="W10" s="49" t="n"/>
      <c r="X10" s="49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  <c r="AH10" s="47" t="n"/>
      <c r="AI10" s="47" t="n"/>
      <c r="AJ10" s="47" t="n"/>
      <c r="AK10" s="51" t="n"/>
      <c r="AL10" s="52" t="n"/>
      <c r="AM10" s="53">
        <f>IF(E10="","",E10*28.11)</f>
        <v/>
      </c>
      <c r="AN10" s="53">
        <f>IF(F10="","",F10*17.08)</f>
        <v/>
      </c>
      <c r="AO10" s="53">
        <f>IF(G10="","",G10*8.25)</f>
        <v/>
      </c>
      <c r="AP10" s="53">
        <f>IF(AND(H10="",I10=""),"",IF(ISNUMBER(H10),H10*18.0,0)+IF(ISNUMBER(I10),I10*16.0,0))</f>
        <v/>
      </c>
      <c r="AQ10" s="53">
        <f>IF(E10="","",667.1)</f>
        <v/>
      </c>
      <c r="AR10" s="54">
        <f>IF(E10="","",IF(ISNUMBER(AM10),AM10,0)+IF(ISNUMBER(AN10),AN10,0)+IF(ISNUMBER(AO10),AO10,0)+IF(ISNUMBER(AP10),AP10,0)+IF(ISNUMBER(AQ10),AQ10,0))</f>
        <v/>
      </c>
      <c r="AS10" s="55">
        <f>IF(E10="","",MAX(E10-SUM(J10:S10),0)*42.5)</f>
        <v/>
      </c>
      <c r="AT10" s="55">
        <f>IF(E10="","",IF(ISNUMBER(J10),J10*39.14,0)+IF(ISNUMBER(K10),K10*12.23,0)+IF(ISNUMBER(L10),L10*12.15,0)+IF(ISNUMBER(M10),M10*7.62,0)+IF(ISNUMBER(N10),N10*10.21,0)+IF(ISNUMBER(O10),O10*6.15,0)+IF(ISNUMBER(P10),P10*12.24,0)+IF(ISNUMBER(Q10),Q10*39.14,0)+IF(ISNUMBER(R10),R10*39.14,0)+IF(ISNUMBER(S10),S10*40.31,0))</f>
        <v/>
      </c>
      <c r="AU10" s="56">
        <f>IF(E10="","",IF(ISNUMBER(AS10),AS10,0)+IF(ISNUMBER(AT10),AT10,0))</f>
        <v/>
      </c>
      <c r="AV10" s="55">
        <f>IF(F10="","",MAX(F10-SUM(T10:X10),0)*23.0+IF(ISNUMBER(T10),T10*19.69,0)+IF(ISNUMBER(U10),U10*16.74,0)+IF(ISNUMBER(V10),V10*20.28,0)+IF(ISNUMBER(W10),W10*19.69,0)+IF(ISNUMBER(X10),X10*19.69,0))</f>
        <v/>
      </c>
      <c r="AW10" s="55">
        <f>IF(G10="","",MAX(G10-SUM(Y10:AG10),0)*12.5+IF(ISNUMBER(Y10),Y10*11.84,0)+IF(ISNUMBER(Z10),Z10*14.34,0)+IF(ISNUMBER(AA10),AA10*16.93,0)+IF(ISNUMBER(AB10),AB10*19.52,0)+IF(ISNUMBER(AC10),AC10*22.35,0)+IF(ISNUMBER(AD10),AD10*13.92,0)+IF(ISNUMBER(AE10),AE10*21.55,0)+IF(ISNUMBER(AF10),AF10*13.92,0)+IF(ISNUMBER(AG10),AG10*13.92,0))</f>
        <v/>
      </c>
      <c r="AX10" s="55">
        <f>IF(AND(H10="",I10=""),"",65.0+IF(ISNUMBER(AH10),AH10*30.23,0)+IF(ISNUMBER(AI10),AI10*30.23,0)+IF(ISNUMBER(AJ10),AJ10*28.0,0))</f>
        <v/>
      </c>
      <c r="AY10" s="55">
        <f>IF(E10="","",953.0)</f>
        <v/>
      </c>
      <c r="AZ10" s="57">
        <f>IF(E10="","",IF(ISNUMBER(AU10),AU10,0)+IF(ISNUMBER(AV10),AV10,0)+IF(ISNUMBER(AW10),AW10,0)+IF(ISNUMBER(AX10),AX10,0)+IF(ISNUMBER(AY10),AY10,0))</f>
        <v/>
      </c>
      <c r="BA10" s="58">
        <f>IF(OR(E10="",AZ10=""),"",AZ10-AR10)</f>
        <v/>
      </c>
      <c r="BB10" s="59">
        <f>IF(OR(E10="",AZ10=0),"",BA10/AZ10)</f>
        <v/>
      </c>
      <c r="BC10" s="60" t="n"/>
    </row>
    <row r="11" ht="16" customHeight="1">
      <c r="A11" s="45" t="inlineStr">
        <is>
          <t>2/5/2026</t>
        </is>
      </c>
      <c r="B11" s="46" t="inlineStr">
        <is>
          <t>SK0910</t>
        </is>
      </c>
      <c r="C11" s="46" t="inlineStr">
        <is>
          <t>3333</t>
        </is>
      </c>
      <c r="D11" s="46" t="inlineStr">
        <is>
          <t>C2</t>
        </is>
      </c>
      <c r="E11" s="47" t="n"/>
      <c r="F11" s="47" t="n"/>
      <c r="G11" s="47" t="n"/>
      <c r="H11" s="47" t="n"/>
      <c r="I11" s="47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9" t="n"/>
      <c r="U11" s="49" t="n"/>
      <c r="V11" s="49" t="n"/>
      <c r="W11" s="49" t="n"/>
      <c r="X11" s="49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  <c r="AH11" s="47" t="n"/>
      <c r="AI11" s="47" t="n"/>
      <c r="AJ11" s="47" t="n"/>
      <c r="AK11" s="51" t="n"/>
      <c r="AL11" s="52" t="n"/>
      <c r="AM11" s="53">
        <f>IF(E11="","",E11*28.11)</f>
        <v/>
      </c>
      <c r="AN11" s="53">
        <f>IF(F11="","",F11*17.08)</f>
        <v/>
      </c>
      <c r="AO11" s="53">
        <f>IF(G11="","",G11*8.25)</f>
        <v/>
      </c>
      <c r="AP11" s="53">
        <f>IF(AND(H11="",I11=""),"",IF(ISNUMBER(H11),H11*18.0,0)+IF(ISNUMBER(I11),I11*16.0,0))</f>
        <v/>
      </c>
      <c r="AQ11" s="53">
        <f>IF(E11="","",667.1)</f>
        <v/>
      </c>
      <c r="AR11" s="54">
        <f>IF(E11="","",IF(ISNUMBER(AM11),AM11,0)+IF(ISNUMBER(AN11),AN11,0)+IF(ISNUMBER(AO11),AO11,0)+IF(ISNUMBER(AP11),AP11,0)+IF(ISNUMBER(AQ11),AQ11,0))</f>
        <v/>
      </c>
      <c r="AS11" s="55">
        <f>IF(E11="","",MAX(E11-SUM(J11:S11),0)*42.5)</f>
        <v/>
      </c>
      <c r="AT11" s="55">
        <f>IF(E11="","",IF(ISNUMBER(J11),J11*39.14,0)+IF(ISNUMBER(K11),K11*12.23,0)+IF(ISNUMBER(L11),L11*12.15,0)+IF(ISNUMBER(M11),M11*7.62,0)+IF(ISNUMBER(N11),N11*10.21,0)+IF(ISNUMBER(O11),O11*6.15,0)+IF(ISNUMBER(P11),P11*12.24,0)+IF(ISNUMBER(Q11),Q11*39.14,0)+IF(ISNUMBER(R11),R11*39.14,0)+IF(ISNUMBER(S11),S11*40.31,0))</f>
        <v/>
      </c>
      <c r="AU11" s="56">
        <f>IF(E11="","",IF(ISNUMBER(AS11),AS11,0)+IF(ISNUMBER(AT11),AT11,0))</f>
        <v/>
      </c>
      <c r="AV11" s="55">
        <f>IF(F11="","",MAX(F11-SUM(T11:X11),0)*23.0+IF(ISNUMBER(T11),T11*19.69,0)+IF(ISNUMBER(U11),U11*16.74,0)+IF(ISNUMBER(V11),V11*20.28,0)+IF(ISNUMBER(W11),W11*19.69,0)+IF(ISNUMBER(X11),X11*19.69,0))</f>
        <v/>
      </c>
      <c r="AW11" s="55">
        <f>IF(G11="","",MAX(G11-SUM(Y11:AG11),0)*12.5+IF(ISNUMBER(Y11),Y11*11.84,0)+IF(ISNUMBER(Z11),Z11*14.34,0)+IF(ISNUMBER(AA11),AA11*16.93,0)+IF(ISNUMBER(AB11),AB11*19.52,0)+IF(ISNUMBER(AC11),AC11*22.35,0)+IF(ISNUMBER(AD11),AD11*13.92,0)+IF(ISNUMBER(AE11),AE11*21.55,0)+IF(ISNUMBER(AF11),AF11*13.92,0)+IF(ISNUMBER(AG11),AG11*13.92,0))</f>
        <v/>
      </c>
      <c r="AX11" s="55">
        <f>IF(AND(H11="",I11=""),"",65.0+IF(ISNUMBER(AH11),AH11*30.23,0)+IF(ISNUMBER(AI11),AI11*30.23,0)+IF(ISNUMBER(AJ11),AJ11*28.0,0))</f>
        <v/>
      </c>
      <c r="AY11" s="55">
        <f>IF(E11="","",953.0)</f>
        <v/>
      </c>
      <c r="AZ11" s="57">
        <f>IF(E11="","",IF(ISNUMBER(AU11),AU11,0)+IF(ISNUMBER(AV11),AV11,0)+IF(ISNUMBER(AW11),AW11,0)+IF(ISNUMBER(AX11),AX11,0)+IF(ISNUMBER(AY11),AY11,0))</f>
        <v/>
      </c>
      <c r="BA11" s="58">
        <f>IF(OR(E11="",AZ11=""),"",AZ11-AR11)</f>
        <v/>
      </c>
      <c r="BB11" s="59">
        <f>IF(OR(E11="",AZ11=0),"",BA11/AZ11)</f>
        <v/>
      </c>
      <c r="BC11" s="60" t="n"/>
    </row>
    <row r="12" ht="16" customHeight="1">
      <c r="A12" s="45" t="inlineStr">
        <is>
          <t>2/9/2026</t>
        </is>
      </c>
      <c r="B12" s="46" t="inlineStr">
        <is>
          <t>SK0910</t>
        </is>
      </c>
      <c r="C12" s="46" t="inlineStr">
        <is>
          <t>3333</t>
        </is>
      </c>
      <c r="D12" s="46" t="inlineStr">
        <is>
          <t>C2</t>
        </is>
      </c>
      <c r="E12" s="47" t="n"/>
      <c r="F12" s="47" t="n"/>
      <c r="G12" s="47" t="n"/>
      <c r="H12" s="47" t="n"/>
      <c r="I12" s="47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9" t="n"/>
      <c r="U12" s="49" t="n"/>
      <c r="V12" s="49" t="n"/>
      <c r="W12" s="49" t="n"/>
      <c r="X12" s="49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  <c r="AH12" s="47" t="n"/>
      <c r="AI12" s="47" t="n"/>
      <c r="AJ12" s="47" t="n"/>
      <c r="AK12" s="51" t="n"/>
      <c r="AL12" s="52" t="n"/>
      <c r="AM12" s="53">
        <f>IF(E12="","",E12*28.11)</f>
        <v/>
      </c>
      <c r="AN12" s="53">
        <f>IF(F12="","",F12*17.08)</f>
        <v/>
      </c>
      <c r="AO12" s="53">
        <f>IF(G12="","",G12*8.25)</f>
        <v/>
      </c>
      <c r="AP12" s="53">
        <f>IF(AND(H12="",I12=""),"",IF(ISNUMBER(H12),H12*18.0,0)+IF(ISNUMBER(I12),I12*16.0,0))</f>
        <v/>
      </c>
      <c r="AQ12" s="53">
        <f>IF(E12="","",667.1)</f>
        <v/>
      </c>
      <c r="AR12" s="54">
        <f>IF(E12="","",IF(ISNUMBER(AM12),AM12,0)+IF(ISNUMBER(AN12),AN12,0)+IF(ISNUMBER(AO12),AO12,0)+IF(ISNUMBER(AP12),AP12,0)+IF(ISNUMBER(AQ12),AQ12,0))</f>
        <v/>
      </c>
      <c r="AS12" s="55">
        <f>IF(E12="","",MAX(E12-SUM(J12:S12),0)*42.5)</f>
        <v/>
      </c>
      <c r="AT12" s="55">
        <f>IF(E12="","",IF(ISNUMBER(J12),J12*39.14,0)+IF(ISNUMBER(K12),K12*12.23,0)+IF(ISNUMBER(L12),L12*12.15,0)+IF(ISNUMBER(M12),M12*7.62,0)+IF(ISNUMBER(N12),N12*10.21,0)+IF(ISNUMBER(O12),O12*6.15,0)+IF(ISNUMBER(P12),P12*12.24,0)+IF(ISNUMBER(Q12),Q12*39.14,0)+IF(ISNUMBER(R12),R12*39.14,0)+IF(ISNUMBER(S12),S12*40.31,0))</f>
        <v/>
      </c>
      <c r="AU12" s="56">
        <f>IF(E12="","",IF(ISNUMBER(AS12),AS12,0)+IF(ISNUMBER(AT12),AT12,0))</f>
        <v/>
      </c>
      <c r="AV12" s="55">
        <f>IF(F12="","",MAX(F12-SUM(T12:X12),0)*23.0+IF(ISNUMBER(T12),T12*19.69,0)+IF(ISNUMBER(U12),U12*16.74,0)+IF(ISNUMBER(V12),V12*20.28,0)+IF(ISNUMBER(W12),W12*19.69,0)+IF(ISNUMBER(X12),X12*19.69,0))</f>
        <v/>
      </c>
      <c r="AW12" s="55">
        <f>IF(G12="","",MAX(G12-SUM(Y12:AG12),0)*12.5+IF(ISNUMBER(Y12),Y12*11.84,0)+IF(ISNUMBER(Z12),Z12*14.34,0)+IF(ISNUMBER(AA12),AA12*16.93,0)+IF(ISNUMBER(AB12),AB12*19.52,0)+IF(ISNUMBER(AC12),AC12*22.35,0)+IF(ISNUMBER(AD12),AD12*13.92,0)+IF(ISNUMBER(AE12),AE12*21.55,0)+IF(ISNUMBER(AF12),AF12*13.92,0)+IF(ISNUMBER(AG12),AG12*13.92,0))</f>
        <v/>
      </c>
      <c r="AX12" s="55">
        <f>IF(AND(H12="",I12=""),"",65.0+IF(ISNUMBER(AH12),AH12*30.23,0)+IF(ISNUMBER(AI12),AI12*30.23,0)+IF(ISNUMBER(AJ12),AJ12*28.0,0))</f>
        <v/>
      </c>
      <c r="AY12" s="55">
        <f>IF(E12="","",953.0)</f>
        <v/>
      </c>
      <c r="AZ12" s="57">
        <f>IF(E12="","",IF(ISNUMBER(AU12),AU12,0)+IF(ISNUMBER(AV12),AV12,0)+IF(ISNUMBER(AW12),AW12,0)+IF(ISNUMBER(AX12),AX12,0)+IF(ISNUMBER(AY12),AY12,0))</f>
        <v/>
      </c>
      <c r="BA12" s="58">
        <f>IF(OR(E12="",AZ12=""),"",AZ12-AR12)</f>
        <v/>
      </c>
      <c r="BB12" s="59">
        <f>IF(OR(E12="",AZ12=0),"",BA12/AZ12)</f>
        <v/>
      </c>
      <c r="BC12" s="60" t="n"/>
    </row>
    <row r="13" ht="16" customHeight="1">
      <c r="A13" s="45" t="inlineStr">
        <is>
          <t>2/12/2026</t>
        </is>
      </c>
      <c r="B13" s="46" t="inlineStr">
        <is>
          <t>SK0910</t>
        </is>
      </c>
      <c r="C13" s="46" t="inlineStr">
        <is>
          <t>3333</t>
        </is>
      </c>
      <c r="D13" s="46" t="inlineStr">
        <is>
          <t>C2</t>
        </is>
      </c>
      <c r="E13" s="47" t="n"/>
      <c r="F13" s="47" t="n"/>
      <c r="G13" s="47" t="n"/>
      <c r="H13" s="47" t="n"/>
      <c r="I13" s="47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9" t="n"/>
      <c r="U13" s="49" t="n"/>
      <c r="V13" s="49" t="n"/>
      <c r="W13" s="49" t="n"/>
      <c r="X13" s="49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47" t="n"/>
      <c r="AI13" s="47" t="n"/>
      <c r="AJ13" s="47" t="n"/>
      <c r="AK13" s="51" t="n"/>
      <c r="AL13" s="52" t="n"/>
      <c r="AM13" s="53">
        <f>IF(E13="","",E13*28.11)</f>
        <v/>
      </c>
      <c r="AN13" s="53">
        <f>IF(F13="","",F13*17.08)</f>
        <v/>
      </c>
      <c r="AO13" s="53">
        <f>IF(G13="","",G13*8.25)</f>
        <v/>
      </c>
      <c r="AP13" s="53">
        <f>IF(AND(H13="",I13=""),"",IF(ISNUMBER(H13),H13*18.0,0)+IF(ISNUMBER(I13),I13*16.0,0))</f>
        <v/>
      </c>
      <c r="AQ13" s="53">
        <f>IF(E13="","",667.1)</f>
        <v/>
      </c>
      <c r="AR13" s="54">
        <f>IF(E13="","",IF(ISNUMBER(AM13),AM13,0)+IF(ISNUMBER(AN13),AN13,0)+IF(ISNUMBER(AO13),AO13,0)+IF(ISNUMBER(AP13),AP13,0)+IF(ISNUMBER(AQ13),AQ13,0))</f>
        <v/>
      </c>
      <c r="AS13" s="55">
        <f>IF(E13="","",MAX(E13-SUM(J13:S13),0)*42.5)</f>
        <v/>
      </c>
      <c r="AT13" s="55">
        <f>IF(E13="","",IF(ISNUMBER(J13),J13*39.14,0)+IF(ISNUMBER(K13),K13*12.23,0)+IF(ISNUMBER(L13),L13*12.15,0)+IF(ISNUMBER(M13),M13*7.62,0)+IF(ISNUMBER(N13),N13*10.21,0)+IF(ISNUMBER(O13),O13*6.15,0)+IF(ISNUMBER(P13),P13*12.24,0)+IF(ISNUMBER(Q13),Q13*39.14,0)+IF(ISNUMBER(R13),R13*39.14,0)+IF(ISNUMBER(S13),S13*40.31,0))</f>
        <v/>
      </c>
      <c r="AU13" s="56">
        <f>IF(E13="","",IF(ISNUMBER(AS13),AS13,0)+IF(ISNUMBER(AT13),AT13,0))</f>
        <v/>
      </c>
      <c r="AV13" s="55">
        <f>IF(F13="","",MAX(F13-SUM(T13:X13),0)*23.0+IF(ISNUMBER(T13),T13*19.69,0)+IF(ISNUMBER(U13),U13*16.74,0)+IF(ISNUMBER(V13),V13*20.28,0)+IF(ISNUMBER(W13),W13*19.69,0)+IF(ISNUMBER(X13),X13*19.69,0))</f>
        <v/>
      </c>
      <c r="AW13" s="55">
        <f>IF(G13="","",MAX(G13-SUM(Y13:AG13),0)*12.5+IF(ISNUMBER(Y13),Y13*11.84,0)+IF(ISNUMBER(Z13),Z13*14.34,0)+IF(ISNUMBER(AA13),AA13*16.93,0)+IF(ISNUMBER(AB13),AB13*19.52,0)+IF(ISNUMBER(AC13),AC13*22.35,0)+IF(ISNUMBER(AD13),AD13*13.92,0)+IF(ISNUMBER(AE13),AE13*21.55,0)+IF(ISNUMBER(AF13),AF13*13.92,0)+IF(ISNUMBER(AG13),AG13*13.92,0))</f>
        <v/>
      </c>
      <c r="AX13" s="55">
        <f>IF(AND(H13="",I13=""),"",65.0+IF(ISNUMBER(AH13),AH13*30.23,0)+IF(ISNUMBER(AI13),AI13*30.23,0)+IF(ISNUMBER(AJ13),AJ13*28.0,0))</f>
        <v/>
      </c>
      <c r="AY13" s="55">
        <f>IF(E13="","",953.0)</f>
        <v/>
      </c>
      <c r="AZ13" s="57">
        <f>IF(E13="","",IF(ISNUMBER(AU13),AU13,0)+IF(ISNUMBER(AV13),AV13,0)+IF(ISNUMBER(AW13),AW13,0)+IF(ISNUMBER(AX13),AX13,0)+IF(ISNUMBER(AY13),AY13,0))</f>
        <v/>
      </c>
      <c r="BA13" s="58">
        <f>IF(OR(E13="",AZ13=""),"",AZ13-AR13)</f>
        <v/>
      </c>
      <c r="BB13" s="59">
        <f>IF(OR(E13="",AZ13=0),"",BA13/AZ13)</f>
        <v/>
      </c>
      <c r="BC13" s="60" t="n"/>
    </row>
    <row r="14" ht="16" customHeight="1">
      <c r="A14" s="45" t="inlineStr">
        <is>
          <t>2/16/2026</t>
        </is>
      </c>
      <c r="B14" s="46" t="inlineStr">
        <is>
          <t>SK0910</t>
        </is>
      </c>
      <c r="C14" s="46" t="inlineStr">
        <is>
          <t>3333</t>
        </is>
      </c>
      <c r="D14" s="46" t="inlineStr">
        <is>
          <t>C2</t>
        </is>
      </c>
      <c r="E14" s="47" t="n"/>
      <c r="F14" s="47" t="n"/>
      <c r="G14" s="47" t="n"/>
      <c r="H14" s="47" t="n"/>
      <c r="I14" s="47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9" t="n"/>
      <c r="U14" s="49" t="n"/>
      <c r="V14" s="49" t="n"/>
      <c r="W14" s="49" t="n"/>
      <c r="X14" s="49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47" t="n"/>
      <c r="AI14" s="47" t="n"/>
      <c r="AJ14" s="47" t="n"/>
      <c r="AK14" s="51" t="n"/>
      <c r="AL14" s="52" t="n"/>
      <c r="AM14" s="53">
        <f>IF(E14="","",E14*28.11)</f>
        <v/>
      </c>
      <c r="AN14" s="53">
        <f>IF(F14="","",F14*17.08)</f>
        <v/>
      </c>
      <c r="AO14" s="53">
        <f>IF(G14="","",G14*8.25)</f>
        <v/>
      </c>
      <c r="AP14" s="53">
        <f>IF(AND(H14="",I14=""),"",IF(ISNUMBER(H14),H14*18.0,0)+IF(ISNUMBER(I14),I14*16.0,0))</f>
        <v/>
      </c>
      <c r="AQ14" s="53">
        <f>IF(E14="","",667.1)</f>
        <v/>
      </c>
      <c r="AR14" s="54">
        <f>IF(E14="","",IF(ISNUMBER(AM14),AM14,0)+IF(ISNUMBER(AN14),AN14,0)+IF(ISNUMBER(AO14),AO14,0)+IF(ISNUMBER(AP14),AP14,0)+IF(ISNUMBER(AQ14),AQ14,0))</f>
        <v/>
      </c>
      <c r="AS14" s="55">
        <f>IF(E14="","",MAX(E14-SUM(J14:S14),0)*42.5)</f>
        <v/>
      </c>
      <c r="AT14" s="55">
        <f>IF(E14="","",IF(ISNUMBER(J14),J14*39.14,0)+IF(ISNUMBER(K14),K14*12.23,0)+IF(ISNUMBER(L14),L14*12.15,0)+IF(ISNUMBER(M14),M14*7.62,0)+IF(ISNUMBER(N14),N14*10.21,0)+IF(ISNUMBER(O14),O14*6.15,0)+IF(ISNUMBER(P14),P14*12.24,0)+IF(ISNUMBER(Q14),Q14*39.14,0)+IF(ISNUMBER(R14),R14*39.14,0)+IF(ISNUMBER(S14),S14*40.31,0))</f>
        <v/>
      </c>
      <c r="AU14" s="56">
        <f>IF(E14="","",IF(ISNUMBER(AS14),AS14,0)+IF(ISNUMBER(AT14),AT14,0))</f>
        <v/>
      </c>
      <c r="AV14" s="55">
        <f>IF(F14="","",MAX(F14-SUM(T14:X14),0)*23.0+IF(ISNUMBER(T14),T14*19.69,0)+IF(ISNUMBER(U14),U14*16.74,0)+IF(ISNUMBER(V14),V14*20.28,0)+IF(ISNUMBER(W14),W14*19.69,0)+IF(ISNUMBER(X14),X14*19.69,0))</f>
        <v/>
      </c>
      <c r="AW14" s="55">
        <f>IF(G14="","",MAX(G14-SUM(Y14:AG14),0)*12.5+IF(ISNUMBER(Y14),Y14*11.84,0)+IF(ISNUMBER(Z14),Z14*14.34,0)+IF(ISNUMBER(AA14),AA14*16.93,0)+IF(ISNUMBER(AB14),AB14*19.52,0)+IF(ISNUMBER(AC14),AC14*22.35,0)+IF(ISNUMBER(AD14),AD14*13.92,0)+IF(ISNUMBER(AE14),AE14*21.55,0)+IF(ISNUMBER(AF14),AF14*13.92,0)+IF(ISNUMBER(AG14),AG14*13.92,0))</f>
        <v/>
      </c>
      <c r="AX14" s="55">
        <f>IF(AND(H14="",I14=""),"",65.0+IF(ISNUMBER(AH14),AH14*30.23,0)+IF(ISNUMBER(AI14),AI14*30.23,0)+IF(ISNUMBER(AJ14),AJ14*28.0,0))</f>
        <v/>
      </c>
      <c r="AY14" s="55">
        <f>IF(E14="","",953.0)</f>
        <v/>
      </c>
      <c r="AZ14" s="57">
        <f>IF(E14="","",IF(ISNUMBER(AU14),AU14,0)+IF(ISNUMBER(AV14),AV14,0)+IF(ISNUMBER(AW14),AW14,0)+IF(ISNUMBER(AX14),AX14,0)+IF(ISNUMBER(AY14),AY14,0))</f>
        <v/>
      </c>
      <c r="BA14" s="58">
        <f>IF(OR(E14="",AZ14=""),"",AZ14-AR14)</f>
        <v/>
      </c>
      <c r="BB14" s="59">
        <f>IF(OR(E14="",AZ14=0),"",BA14/AZ14)</f>
        <v/>
      </c>
      <c r="BC14" s="60" t="n"/>
    </row>
    <row r="15" ht="16" customHeight="1">
      <c r="A15" s="45" t="inlineStr">
        <is>
          <t>2/19/2026</t>
        </is>
      </c>
      <c r="B15" s="46" t="inlineStr">
        <is>
          <t>SK0910</t>
        </is>
      </c>
      <c r="C15" s="46" t="inlineStr">
        <is>
          <t>3333</t>
        </is>
      </c>
      <c r="D15" s="46" t="inlineStr">
        <is>
          <t>C2</t>
        </is>
      </c>
      <c r="E15" s="47" t="n"/>
      <c r="F15" s="47" t="n"/>
      <c r="G15" s="47" t="n"/>
      <c r="H15" s="47" t="n"/>
      <c r="I15" s="47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9" t="n"/>
      <c r="U15" s="49" t="n"/>
      <c r="V15" s="49" t="n"/>
      <c r="W15" s="49" t="n"/>
      <c r="X15" s="49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47" t="n"/>
      <c r="AI15" s="47" t="n"/>
      <c r="AJ15" s="47" t="n"/>
      <c r="AK15" s="51" t="n"/>
      <c r="AL15" s="52" t="n"/>
      <c r="AM15" s="53">
        <f>IF(E15="","",E15*28.11)</f>
        <v/>
      </c>
      <c r="AN15" s="53">
        <f>IF(F15="","",F15*17.08)</f>
        <v/>
      </c>
      <c r="AO15" s="53">
        <f>IF(G15="","",G15*8.25)</f>
        <v/>
      </c>
      <c r="AP15" s="53">
        <f>IF(AND(H15="",I15=""),"",IF(ISNUMBER(H15),H15*18.0,0)+IF(ISNUMBER(I15),I15*16.0,0))</f>
        <v/>
      </c>
      <c r="AQ15" s="53">
        <f>IF(E15="","",667.1)</f>
        <v/>
      </c>
      <c r="AR15" s="54">
        <f>IF(E15="","",IF(ISNUMBER(AM15),AM15,0)+IF(ISNUMBER(AN15),AN15,0)+IF(ISNUMBER(AO15),AO15,0)+IF(ISNUMBER(AP15),AP15,0)+IF(ISNUMBER(AQ15),AQ15,0))</f>
        <v/>
      </c>
      <c r="AS15" s="55">
        <f>IF(E15="","",MAX(E15-SUM(J15:S15),0)*42.5)</f>
        <v/>
      </c>
      <c r="AT15" s="55">
        <f>IF(E15="","",IF(ISNUMBER(J15),J15*39.14,0)+IF(ISNUMBER(K15),K15*12.23,0)+IF(ISNUMBER(L15),L15*12.15,0)+IF(ISNUMBER(M15),M15*7.62,0)+IF(ISNUMBER(N15),N15*10.21,0)+IF(ISNUMBER(O15),O15*6.15,0)+IF(ISNUMBER(P15),P15*12.24,0)+IF(ISNUMBER(Q15),Q15*39.14,0)+IF(ISNUMBER(R15),R15*39.14,0)+IF(ISNUMBER(S15),S15*40.31,0))</f>
        <v/>
      </c>
      <c r="AU15" s="56">
        <f>IF(E15="","",IF(ISNUMBER(AS15),AS15,0)+IF(ISNUMBER(AT15),AT15,0))</f>
        <v/>
      </c>
      <c r="AV15" s="55">
        <f>IF(F15="","",MAX(F15-SUM(T15:X15),0)*23.0+IF(ISNUMBER(T15),T15*19.69,0)+IF(ISNUMBER(U15),U15*16.74,0)+IF(ISNUMBER(V15),V15*20.28,0)+IF(ISNUMBER(W15),W15*19.69,0)+IF(ISNUMBER(X15),X15*19.69,0))</f>
        <v/>
      </c>
      <c r="AW15" s="55">
        <f>IF(G15="","",MAX(G15-SUM(Y15:AG15),0)*12.5+IF(ISNUMBER(Y15),Y15*11.84,0)+IF(ISNUMBER(Z15),Z15*14.34,0)+IF(ISNUMBER(AA15),AA15*16.93,0)+IF(ISNUMBER(AB15),AB15*19.52,0)+IF(ISNUMBER(AC15),AC15*22.35,0)+IF(ISNUMBER(AD15),AD15*13.92,0)+IF(ISNUMBER(AE15),AE15*21.55,0)+IF(ISNUMBER(AF15),AF15*13.92,0)+IF(ISNUMBER(AG15),AG15*13.92,0))</f>
        <v/>
      </c>
      <c r="AX15" s="55">
        <f>IF(AND(H15="",I15=""),"",65.0+IF(ISNUMBER(AH15),AH15*30.23,0)+IF(ISNUMBER(AI15),AI15*30.23,0)+IF(ISNUMBER(AJ15),AJ15*28.0,0))</f>
        <v/>
      </c>
      <c r="AY15" s="55">
        <f>IF(E15="","",953.0)</f>
        <v/>
      </c>
      <c r="AZ15" s="57">
        <f>IF(E15="","",IF(ISNUMBER(AU15),AU15,0)+IF(ISNUMBER(AV15),AV15,0)+IF(ISNUMBER(AW15),AW15,0)+IF(ISNUMBER(AX15),AX15,0)+IF(ISNUMBER(AY15),AY15,0))</f>
        <v/>
      </c>
      <c r="BA15" s="58">
        <f>IF(OR(E15="",AZ15=""),"",AZ15-AR15)</f>
        <v/>
      </c>
      <c r="BB15" s="59">
        <f>IF(OR(E15="",AZ15=0),"",BA15/AZ15)</f>
        <v/>
      </c>
      <c r="BC15" s="60" t="n"/>
    </row>
    <row r="16" ht="16" customHeight="1">
      <c r="A16" s="45" t="inlineStr">
        <is>
          <t>2/23/2026</t>
        </is>
      </c>
      <c r="B16" s="46" t="inlineStr">
        <is>
          <t>SK0910</t>
        </is>
      </c>
      <c r="C16" s="46" t="inlineStr">
        <is>
          <t>3333</t>
        </is>
      </c>
      <c r="D16" s="46" t="inlineStr">
        <is>
          <t>C2</t>
        </is>
      </c>
      <c r="E16" s="47" t="n"/>
      <c r="F16" s="47" t="n"/>
      <c r="G16" s="47" t="n"/>
      <c r="H16" s="47" t="n"/>
      <c r="I16" s="47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9" t="n"/>
      <c r="U16" s="49" t="n"/>
      <c r="V16" s="49" t="n"/>
      <c r="W16" s="49" t="n"/>
      <c r="X16" s="49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47" t="n"/>
      <c r="AI16" s="47" t="n"/>
      <c r="AJ16" s="47" t="n"/>
      <c r="AK16" s="51" t="n"/>
      <c r="AL16" s="52" t="n"/>
      <c r="AM16" s="53">
        <f>IF(E16="","",E16*28.11)</f>
        <v/>
      </c>
      <c r="AN16" s="53">
        <f>IF(F16="","",F16*17.08)</f>
        <v/>
      </c>
      <c r="AO16" s="53">
        <f>IF(G16="","",G16*8.25)</f>
        <v/>
      </c>
      <c r="AP16" s="53">
        <f>IF(AND(H16="",I16=""),"",IF(ISNUMBER(H16),H16*18.0,0)+IF(ISNUMBER(I16),I16*16.0,0))</f>
        <v/>
      </c>
      <c r="AQ16" s="53">
        <f>IF(E16="","",667.1)</f>
        <v/>
      </c>
      <c r="AR16" s="54">
        <f>IF(E16="","",IF(ISNUMBER(AM16),AM16,0)+IF(ISNUMBER(AN16),AN16,0)+IF(ISNUMBER(AO16),AO16,0)+IF(ISNUMBER(AP16),AP16,0)+IF(ISNUMBER(AQ16),AQ16,0))</f>
        <v/>
      </c>
      <c r="AS16" s="55">
        <f>IF(E16="","",MAX(E16-SUM(J16:S16),0)*42.5)</f>
        <v/>
      </c>
      <c r="AT16" s="55">
        <f>IF(E16="","",IF(ISNUMBER(J16),J16*39.14,0)+IF(ISNUMBER(K16),K16*12.23,0)+IF(ISNUMBER(L16),L16*12.15,0)+IF(ISNUMBER(M16),M16*7.62,0)+IF(ISNUMBER(N16),N16*10.21,0)+IF(ISNUMBER(O16),O16*6.15,0)+IF(ISNUMBER(P16),P16*12.24,0)+IF(ISNUMBER(Q16),Q16*39.14,0)+IF(ISNUMBER(R16),R16*39.14,0)+IF(ISNUMBER(S16),S16*40.31,0))</f>
        <v/>
      </c>
      <c r="AU16" s="56">
        <f>IF(E16="","",IF(ISNUMBER(AS16),AS16,0)+IF(ISNUMBER(AT16),AT16,0))</f>
        <v/>
      </c>
      <c r="AV16" s="55">
        <f>IF(F16="","",MAX(F16-SUM(T16:X16),0)*23.0+IF(ISNUMBER(T16),T16*19.69,0)+IF(ISNUMBER(U16),U16*16.74,0)+IF(ISNUMBER(V16),V16*20.28,0)+IF(ISNUMBER(W16),W16*19.69,0)+IF(ISNUMBER(X16),X16*19.69,0))</f>
        <v/>
      </c>
      <c r="AW16" s="55">
        <f>IF(G16="","",MAX(G16-SUM(Y16:AG16),0)*12.5+IF(ISNUMBER(Y16),Y16*11.84,0)+IF(ISNUMBER(Z16),Z16*14.34,0)+IF(ISNUMBER(AA16),AA16*16.93,0)+IF(ISNUMBER(AB16),AB16*19.52,0)+IF(ISNUMBER(AC16),AC16*22.35,0)+IF(ISNUMBER(AD16),AD16*13.92,0)+IF(ISNUMBER(AE16),AE16*21.55,0)+IF(ISNUMBER(AF16),AF16*13.92,0)+IF(ISNUMBER(AG16),AG16*13.92,0))</f>
        <v/>
      </c>
      <c r="AX16" s="55">
        <f>IF(AND(H16="",I16=""),"",65.0+IF(ISNUMBER(AH16),AH16*30.23,0)+IF(ISNUMBER(AI16),AI16*30.23,0)+IF(ISNUMBER(AJ16),AJ16*28.0,0))</f>
        <v/>
      </c>
      <c r="AY16" s="55">
        <f>IF(E16="","",953.0)</f>
        <v/>
      </c>
      <c r="AZ16" s="57">
        <f>IF(E16="","",IF(ISNUMBER(AU16),AU16,0)+IF(ISNUMBER(AV16),AV16,0)+IF(ISNUMBER(AW16),AW16,0)+IF(ISNUMBER(AX16),AX16,0)+IF(ISNUMBER(AY16),AY16,0))</f>
        <v/>
      </c>
      <c r="BA16" s="58">
        <f>IF(OR(E16="",AZ16=""),"",AZ16-AR16)</f>
        <v/>
      </c>
      <c r="BB16" s="59">
        <f>IF(OR(E16="",AZ16=0),"",BA16/AZ16)</f>
        <v/>
      </c>
      <c r="BC16" s="60" t="n"/>
    </row>
    <row r="17" ht="16" customHeight="1">
      <c r="A17" s="45" t="inlineStr">
        <is>
          <t>2/26/2026</t>
        </is>
      </c>
      <c r="B17" s="46" t="inlineStr">
        <is>
          <t>SK0910</t>
        </is>
      </c>
      <c r="C17" s="46" t="inlineStr">
        <is>
          <t>3333</t>
        </is>
      </c>
      <c r="D17" s="46" t="inlineStr">
        <is>
          <t>C2</t>
        </is>
      </c>
      <c r="E17" s="47" t="n"/>
      <c r="F17" s="47" t="n"/>
      <c r="G17" s="47" t="n"/>
      <c r="H17" s="47" t="n"/>
      <c r="I17" s="47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9" t="n"/>
      <c r="U17" s="49" t="n"/>
      <c r="V17" s="49" t="n"/>
      <c r="W17" s="49" t="n"/>
      <c r="X17" s="49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47" t="n"/>
      <c r="AI17" s="47" t="n"/>
      <c r="AJ17" s="47" t="n"/>
      <c r="AK17" s="51" t="n"/>
      <c r="AL17" s="52" t="n"/>
      <c r="AM17" s="53">
        <f>IF(E17="","",E17*28.11)</f>
        <v/>
      </c>
      <c r="AN17" s="53">
        <f>IF(F17="","",F17*17.08)</f>
        <v/>
      </c>
      <c r="AO17" s="53">
        <f>IF(G17="","",G17*8.25)</f>
        <v/>
      </c>
      <c r="AP17" s="53">
        <f>IF(AND(H17="",I17=""),"",IF(ISNUMBER(H17),H17*18.0,0)+IF(ISNUMBER(I17),I17*16.0,0))</f>
        <v/>
      </c>
      <c r="AQ17" s="53">
        <f>IF(E17="","",667.1)</f>
        <v/>
      </c>
      <c r="AR17" s="54">
        <f>IF(E17="","",IF(ISNUMBER(AM17),AM17,0)+IF(ISNUMBER(AN17),AN17,0)+IF(ISNUMBER(AO17),AO17,0)+IF(ISNUMBER(AP17),AP17,0)+IF(ISNUMBER(AQ17),AQ17,0))</f>
        <v/>
      </c>
      <c r="AS17" s="55">
        <f>IF(E17="","",MAX(E17-SUM(J17:S17),0)*42.5)</f>
        <v/>
      </c>
      <c r="AT17" s="55">
        <f>IF(E17="","",IF(ISNUMBER(J17),J17*39.14,0)+IF(ISNUMBER(K17),K17*12.23,0)+IF(ISNUMBER(L17),L17*12.15,0)+IF(ISNUMBER(M17),M17*7.62,0)+IF(ISNUMBER(N17),N17*10.21,0)+IF(ISNUMBER(O17),O17*6.15,0)+IF(ISNUMBER(P17),P17*12.24,0)+IF(ISNUMBER(Q17),Q17*39.14,0)+IF(ISNUMBER(R17),R17*39.14,0)+IF(ISNUMBER(S17),S17*40.31,0))</f>
        <v/>
      </c>
      <c r="AU17" s="56">
        <f>IF(E17="","",IF(ISNUMBER(AS17),AS17,0)+IF(ISNUMBER(AT17),AT17,0))</f>
        <v/>
      </c>
      <c r="AV17" s="55">
        <f>IF(F17="","",MAX(F17-SUM(T17:X17),0)*23.0+IF(ISNUMBER(T17),T17*19.69,0)+IF(ISNUMBER(U17),U17*16.74,0)+IF(ISNUMBER(V17),V17*20.28,0)+IF(ISNUMBER(W17),W17*19.69,0)+IF(ISNUMBER(X17),X17*19.69,0))</f>
        <v/>
      </c>
      <c r="AW17" s="55">
        <f>IF(G17="","",MAX(G17-SUM(Y17:AG17),0)*12.5+IF(ISNUMBER(Y17),Y17*11.84,0)+IF(ISNUMBER(Z17),Z17*14.34,0)+IF(ISNUMBER(AA17),AA17*16.93,0)+IF(ISNUMBER(AB17),AB17*19.52,0)+IF(ISNUMBER(AC17),AC17*22.35,0)+IF(ISNUMBER(AD17),AD17*13.92,0)+IF(ISNUMBER(AE17),AE17*21.55,0)+IF(ISNUMBER(AF17),AF17*13.92,0)+IF(ISNUMBER(AG17),AG17*13.92,0))</f>
        <v/>
      </c>
      <c r="AX17" s="55">
        <f>IF(AND(H17="",I17=""),"",65.0+IF(ISNUMBER(AH17),AH17*30.23,0)+IF(ISNUMBER(AI17),AI17*30.23,0)+IF(ISNUMBER(AJ17),AJ17*28.0,0))</f>
        <v/>
      </c>
      <c r="AY17" s="55">
        <f>IF(E17="","",953.0)</f>
        <v/>
      </c>
      <c r="AZ17" s="57">
        <f>IF(E17="","",IF(ISNUMBER(AU17),AU17,0)+IF(ISNUMBER(AV17),AV17,0)+IF(ISNUMBER(AW17),AW17,0)+IF(ISNUMBER(AX17),AX17,0)+IF(ISNUMBER(AY17),AY17,0))</f>
        <v/>
      </c>
      <c r="BA17" s="58">
        <f>IF(OR(E17="",AZ17=""),"",AZ17-AR17)</f>
        <v/>
      </c>
      <c r="BB17" s="59">
        <f>IF(OR(E17="",AZ17=0),"",BA17/AZ17)</f>
        <v/>
      </c>
      <c r="BC17" s="60" t="n"/>
    </row>
    <row r="18" ht="16" customHeight="1">
      <c r="A18" s="45" t="inlineStr">
        <is>
          <t>3/2/2026</t>
        </is>
      </c>
      <c r="B18" s="46" t="inlineStr">
        <is>
          <t>SK0910</t>
        </is>
      </c>
      <c r="C18" s="46" t="inlineStr">
        <is>
          <t>3333</t>
        </is>
      </c>
      <c r="D18" s="46" t="inlineStr">
        <is>
          <t>C2</t>
        </is>
      </c>
      <c r="E18" s="47" t="n"/>
      <c r="F18" s="47" t="n"/>
      <c r="G18" s="47" t="n"/>
      <c r="H18" s="47" t="n"/>
      <c r="I18" s="47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9" t="n"/>
      <c r="U18" s="49" t="n"/>
      <c r="V18" s="49" t="n"/>
      <c r="W18" s="49" t="n"/>
      <c r="X18" s="49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47" t="n"/>
      <c r="AI18" s="47" t="n"/>
      <c r="AJ18" s="47" t="n"/>
      <c r="AK18" s="51" t="n"/>
      <c r="AL18" s="52" t="n"/>
      <c r="AM18" s="53">
        <f>IF(E18="","",E18*28.11)</f>
        <v/>
      </c>
      <c r="AN18" s="53">
        <f>IF(F18="","",F18*17.08)</f>
        <v/>
      </c>
      <c r="AO18" s="53">
        <f>IF(G18="","",G18*8.25)</f>
        <v/>
      </c>
      <c r="AP18" s="53">
        <f>IF(AND(H18="",I18=""),"",IF(ISNUMBER(H18),H18*18.0,0)+IF(ISNUMBER(I18),I18*16.0,0))</f>
        <v/>
      </c>
      <c r="AQ18" s="53">
        <f>IF(E18="","",667.1)</f>
        <v/>
      </c>
      <c r="AR18" s="54">
        <f>IF(E18="","",IF(ISNUMBER(AM18),AM18,0)+IF(ISNUMBER(AN18),AN18,0)+IF(ISNUMBER(AO18),AO18,0)+IF(ISNUMBER(AP18),AP18,0)+IF(ISNUMBER(AQ18),AQ18,0))</f>
        <v/>
      </c>
      <c r="AS18" s="55">
        <f>IF(E18="","",MAX(E18-SUM(J18:S18),0)*42.5)</f>
        <v/>
      </c>
      <c r="AT18" s="55">
        <f>IF(E18="","",IF(ISNUMBER(J18),J18*39.14,0)+IF(ISNUMBER(K18),K18*12.23,0)+IF(ISNUMBER(L18),L18*12.15,0)+IF(ISNUMBER(M18),M18*7.62,0)+IF(ISNUMBER(N18),N18*10.21,0)+IF(ISNUMBER(O18),O18*6.15,0)+IF(ISNUMBER(P18),P18*12.24,0)+IF(ISNUMBER(Q18),Q18*39.14,0)+IF(ISNUMBER(R18),R18*39.14,0)+IF(ISNUMBER(S18),S18*40.31,0))</f>
        <v/>
      </c>
      <c r="AU18" s="56">
        <f>IF(E18="","",IF(ISNUMBER(AS18),AS18,0)+IF(ISNUMBER(AT18),AT18,0))</f>
        <v/>
      </c>
      <c r="AV18" s="55">
        <f>IF(F18="","",MAX(F18-SUM(T18:X18),0)*23.0+IF(ISNUMBER(T18),T18*19.69,0)+IF(ISNUMBER(U18),U18*16.74,0)+IF(ISNUMBER(V18),V18*20.28,0)+IF(ISNUMBER(W18),W18*19.69,0)+IF(ISNUMBER(X18),X18*19.69,0))</f>
        <v/>
      </c>
      <c r="AW18" s="55">
        <f>IF(G18="","",MAX(G18-SUM(Y18:AG18),0)*12.5+IF(ISNUMBER(Y18),Y18*11.84,0)+IF(ISNUMBER(Z18),Z18*14.34,0)+IF(ISNUMBER(AA18),AA18*16.93,0)+IF(ISNUMBER(AB18),AB18*19.52,0)+IF(ISNUMBER(AC18),AC18*22.35,0)+IF(ISNUMBER(AD18),AD18*13.92,0)+IF(ISNUMBER(AE18),AE18*21.55,0)+IF(ISNUMBER(AF18),AF18*13.92,0)+IF(ISNUMBER(AG18),AG18*13.92,0))</f>
        <v/>
      </c>
      <c r="AX18" s="55">
        <f>IF(AND(H18="",I18=""),"",65.0+IF(ISNUMBER(AH18),AH18*30.23,0)+IF(ISNUMBER(AI18),AI18*30.23,0)+IF(ISNUMBER(AJ18),AJ18*28.0,0))</f>
        <v/>
      </c>
      <c r="AY18" s="55">
        <f>IF(E18="","",953.0)</f>
        <v/>
      </c>
      <c r="AZ18" s="57">
        <f>IF(E18="","",IF(ISNUMBER(AU18),AU18,0)+IF(ISNUMBER(AV18),AV18,0)+IF(ISNUMBER(AW18),AW18,0)+IF(ISNUMBER(AX18),AX18,0)+IF(ISNUMBER(AY18),AY18,0))</f>
        <v/>
      </c>
      <c r="BA18" s="58">
        <f>IF(OR(E18="",AZ18=""),"",AZ18-AR18)</f>
        <v/>
      </c>
      <c r="BB18" s="59">
        <f>IF(OR(E18="",AZ18=0),"",BA18/AZ18)</f>
        <v/>
      </c>
      <c r="BC18" s="60" t="n"/>
    </row>
    <row r="19" ht="16" customHeight="1">
      <c r="A19" s="45" t="inlineStr">
        <is>
          <t>3/5/2026</t>
        </is>
      </c>
      <c r="B19" s="46" t="inlineStr">
        <is>
          <t>SK0910</t>
        </is>
      </c>
      <c r="C19" s="46" t="inlineStr">
        <is>
          <t>3333</t>
        </is>
      </c>
      <c r="D19" s="46" t="inlineStr">
        <is>
          <t>C2</t>
        </is>
      </c>
      <c r="E19" s="47" t="n"/>
      <c r="F19" s="47" t="n"/>
      <c r="G19" s="47" t="n"/>
      <c r="H19" s="47" t="n"/>
      <c r="I19" s="47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9" t="n"/>
      <c r="U19" s="49" t="n"/>
      <c r="V19" s="49" t="n"/>
      <c r="W19" s="49" t="n"/>
      <c r="X19" s="49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  <c r="AH19" s="47" t="n"/>
      <c r="AI19" s="47" t="n"/>
      <c r="AJ19" s="47" t="n"/>
      <c r="AK19" s="51" t="n"/>
      <c r="AL19" s="52" t="n"/>
      <c r="AM19" s="53">
        <f>IF(E19="","",E19*28.11)</f>
        <v/>
      </c>
      <c r="AN19" s="53">
        <f>IF(F19="","",F19*17.08)</f>
        <v/>
      </c>
      <c r="AO19" s="53">
        <f>IF(G19="","",G19*8.25)</f>
        <v/>
      </c>
      <c r="AP19" s="53">
        <f>IF(AND(H19="",I19=""),"",IF(ISNUMBER(H19),H19*18.0,0)+IF(ISNUMBER(I19),I19*16.0,0))</f>
        <v/>
      </c>
      <c r="AQ19" s="53">
        <f>IF(E19="","",667.1)</f>
        <v/>
      </c>
      <c r="AR19" s="54">
        <f>IF(E19="","",IF(ISNUMBER(AM19),AM19,0)+IF(ISNUMBER(AN19),AN19,0)+IF(ISNUMBER(AO19),AO19,0)+IF(ISNUMBER(AP19),AP19,0)+IF(ISNUMBER(AQ19),AQ19,0))</f>
        <v/>
      </c>
      <c r="AS19" s="55">
        <f>IF(E19="","",MAX(E19-SUM(J19:S19),0)*42.5)</f>
        <v/>
      </c>
      <c r="AT19" s="55">
        <f>IF(E19="","",IF(ISNUMBER(J19),J19*39.14,0)+IF(ISNUMBER(K19),K19*12.23,0)+IF(ISNUMBER(L19),L19*12.15,0)+IF(ISNUMBER(M19),M19*7.62,0)+IF(ISNUMBER(N19),N19*10.21,0)+IF(ISNUMBER(O19),O19*6.15,0)+IF(ISNUMBER(P19),P19*12.24,0)+IF(ISNUMBER(Q19),Q19*39.14,0)+IF(ISNUMBER(R19),R19*39.14,0)+IF(ISNUMBER(S19),S19*40.31,0))</f>
        <v/>
      </c>
      <c r="AU19" s="56">
        <f>IF(E19="","",IF(ISNUMBER(AS19),AS19,0)+IF(ISNUMBER(AT19),AT19,0))</f>
        <v/>
      </c>
      <c r="AV19" s="55">
        <f>IF(F19="","",MAX(F19-SUM(T19:X19),0)*23.0+IF(ISNUMBER(T19),T19*19.69,0)+IF(ISNUMBER(U19),U19*16.74,0)+IF(ISNUMBER(V19),V19*20.28,0)+IF(ISNUMBER(W19),W19*19.69,0)+IF(ISNUMBER(X19),X19*19.69,0))</f>
        <v/>
      </c>
      <c r="AW19" s="55">
        <f>IF(G19="","",MAX(G19-SUM(Y19:AG19),0)*12.5+IF(ISNUMBER(Y19),Y19*11.84,0)+IF(ISNUMBER(Z19),Z19*14.34,0)+IF(ISNUMBER(AA19),AA19*16.93,0)+IF(ISNUMBER(AB19),AB19*19.52,0)+IF(ISNUMBER(AC19),AC19*22.35,0)+IF(ISNUMBER(AD19),AD19*13.92,0)+IF(ISNUMBER(AE19),AE19*21.55,0)+IF(ISNUMBER(AF19),AF19*13.92,0)+IF(ISNUMBER(AG19),AG19*13.92,0))</f>
        <v/>
      </c>
      <c r="AX19" s="55">
        <f>IF(AND(H19="",I19=""),"",65.0+IF(ISNUMBER(AH19),AH19*30.23,0)+IF(ISNUMBER(AI19),AI19*30.23,0)+IF(ISNUMBER(AJ19),AJ19*28.0,0))</f>
        <v/>
      </c>
      <c r="AY19" s="55">
        <f>IF(E19="","",953.0)</f>
        <v/>
      </c>
      <c r="AZ19" s="57">
        <f>IF(E19="","",IF(ISNUMBER(AU19),AU19,0)+IF(ISNUMBER(AV19),AV19,0)+IF(ISNUMBER(AW19),AW19,0)+IF(ISNUMBER(AX19),AX19,0)+IF(ISNUMBER(AY19),AY19,0))</f>
        <v/>
      </c>
      <c r="BA19" s="58">
        <f>IF(OR(E19="",AZ19=""),"",AZ19-AR19)</f>
        <v/>
      </c>
      <c r="BB19" s="59">
        <f>IF(OR(E19="",AZ19=0),"",BA19/AZ19)</f>
        <v/>
      </c>
      <c r="BC19" s="60" t="n"/>
    </row>
    <row r="20" ht="16" customHeight="1">
      <c r="A20" s="45" t="inlineStr">
        <is>
          <t>3/9/2026</t>
        </is>
      </c>
      <c r="B20" s="46" t="inlineStr">
        <is>
          <t>SK0910</t>
        </is>
      </c>
      <c r="C20" s="46" t="inlineStr">
        <is>
          <t>3333</t>
        </is>
      </c>
      <c r="D20" s="46" t="inlineStr">
        <is>
          <t>C2</t>
        </is>
      </c>
      <c r="E20" s="47" t="n"/>
      <c r="F20" s="47" t="n"/>
      <c r="G20" s="47" t="n"/>
      <c r="H20" s="47" t="n"/>
      <c r="I20" s="47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9" t="n"/>
      <c r="U20" s="49" t="n"/>
      <c r="V20" s="49" t="n"/>
      <c r="W20" s="49" t="n"/>
      <c r="X20" s="49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  <c r="AH20" s="47" t="n"/>
      <c r="AI20" s="47" t="n"/>
      <c r="AJ20" s="47" t="n"/>
      <c r="AK20" s="51" t="n"/>
      <c r="AL20" s="52" t="n"/>
      <c r="AM20" s="53">
        <f>IF(E20="","",E20*28.11)</f>
        <v/>
      </c>
      <c r="AN20" s="53">
        <f>IF(F20="","",F20*17.08)</f>
        <v/>
      </c>
      <c r="AO20" s="53">
        <f>IF(G20="","",G20*8.25)</f>
        <v/>
      </c>
      <c r="AP20" s="53">
        <f>IF(AND(H20="",I20=""),"",IF(ISNUMBER(H20),H20*18.0,0)+IF(ISNUMBER(I20),I20*16.0,0))</f>
        <v/>
      </c>
      <c r="AQ20" s="53">
        <f>IF(E20="","",667.1)</f>
        <v/>
      </c>
      <c r="AR20" s="54">
        <f>IF(E20="","",IF(ISNUMBER(AM20),AM20,0)+IF(ISNUMBER(AN20),AN20,0)+IF(ISNUMBER(AO20),AO20,0)+IF(ISNUMBER(AP20),AP20,0)+IF(ISNUMBER(AQ20),AQ20,0))</f>
        <v/>
      </c>
      <c r="AS20" s="55">
        <f>IF(E20="","",MAX(E20-SUM(J20:S20),0)*42.5)</f>
        <v/>
      </c>
      <c r="AT20" s="55">
        <f>IF(E20="","",IF(ISNUMBER(J20),J20*39.14,0)+IF(ISNUMBER(K20),K20*12.23,0)+IF(ISNUMBER(L20),L20*12.15,0)+IF(ISNUMBER(M20),M20*7.62,0)+IF(ISNUMBER(N20),N20*10.21,0)+IF(ISNUMBER(O20),O20*6.15,0)+IF(ISNUMBER(P20),P20*12.24,0)+IF(ISNUMBER(Q20),Q20*39.14,0)+IF(ISNUMBER(R20),R20*39.14,0)+IF(ISNUMBER(S20),S20*40.31,0))</f>
        <v/>
      </c>
      <c r="AU20" s="56">
        <f>IF(E20="","",IF(ISNUMBER(AS20),AS20,0)+IF(ISNUMBER(AT20),AT20,0))</f>
        <v/>
      </c>
      <c r="AV20" s="55">
        <f>IF(F20="","",MAX(F20-SUM(T20:X20),0)*23.0+IF(ISNUMBER(T20),T20*19.69,0)+IF(ISNUMBER(U20),U20*16.74,0)+IF(ISNUMBER(V20),V20*20.28,0)+IF(ISNUMBER(W20),W20*19.69,0)+IF(ISNUMBER(X20),X20*19.69,0))</f>
        <v/>
      </c>
      <c r="AW20" s="55">
        <f>IF(G20="","",MAX(G20-SUM(Y20:AG20),0)*12.5+IF(ISNUMBER(Y20),Y20*11.84,0)+IF(ISNUMBER(Z20),Z20*14.34,0)+IF(ISNUMBER(AA20),AA20*16.93,0)+IF(ISNUMBER(AB20),AB20*19.52,0)+IF(ISNUMBER(AC20),AC20*22.35,0)+IF(ISNUMBER(AD20),AD20*13.92,0)+IF(ISNUMBER(AE20),AE20*21.55,0)+IF(ISNUMBER(AF20),AF20*13.92,0)+IF(ISNUMBER(AG20),AG20*13.92,0))</f>
        <v/>
      </c>
      <c r="AX20" s="55">
        <f>IF(AND(H20="",I20=""),"",65.0+IF(ISNUMBER(AH20),AH20*30.23,0)+IF(ISNUMBER(AI20),AI20*30.23,0)+IF(ISNUMBER(AJ20),AJ20*28.0,0))</f>
        <v/>
      </c>
      <c r="AY20" s="55">
        <f>IF(E20="","",953.0)</f>
        <v/>
      </c>
      <c r="AZ20" s="57">
        <f>IF(E20="","",IF(ISNUMBER(AU20),AU20,0)+IF(ISNUMBER(AV20),AV20,0)+IF(ISNUMBER(AW20),AW20,0)+IF(ISNUMBER(AX20),AX20,0)+IF(ISNUMBER(AY20),AY20,0))</f>
        <v/>
      </c>
      <c r="BA20" s="58">
        <f>IF(OR(E20="",AZ20=""),"",AZ20-AR20)</f>
        <v/>
      </c>
      <c r="BB20" s="59">
        <f>IF(OR(E20="",AZ20=0),"",BA20/AZ20)</f>
        <v/>
      </c>
      <c r="BC20" s="60" t="n"/>
    </row>
    <row r="21" ht="16" customHeight="1">
      <c r="A21" s="45" t="inlineStr">
        <is>
          <t>3/12/2026</t>
        </is>
      </c>
      <c r="B21" s="46" t="inlineStr">
        <is>
          <t>SK0910</t>
        </is>
      </c>
      <c r="C21" s="46" t="inlineStr">
        <is>
          <t>3333</t>
        </is>
      </c>
      <c r="D21" s="46" t="inlineStr">
        <is>
          <t>C2</t>
        </is>
      </c>
      <c r="E21" s="47" t="n"/>
      <c r="F21" s="47" t="n"/>
      <c r="G21" s="47" t="n"/>
      <c r="H21" s="47" t="n"/>
      <c r="I21" s="47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9" t="n"/>
      <c r="U21" s="49" t="n"/>
      <c r="V21" s="49" t="n"/>
      <c r="W21" s="49" t="n"/>
      <c r="X21" s="49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  <c r="AH21" s="47" t="n"/>
      <c r="AI21" s="47" t="n"/>
      <c r="AJ21" s="47" t="n"/>
      <c r="AK21" s="51" t="n"/>
      <c r="AL21" s="52" t="n"/>
      <c r="AM21" s="53">
        <f>IF(E21="","",E21*28.11)</f>
        <v/>
      </c>
      <c r="AN21" s="53">
        <f>IF(F21="","",F21*17.08)</f>
        <v/>
      </c>
      <c r="AO21" s="53">
        <f>IF(G21="","",G21*8.25)</f>
        <v/>
      </c>
      <c r="AP21" s="53">
        <f>IF(AND(H21="",I21=""),"",IF(ISNUMBER(H21),H21*18.0,0)+IF(ISNUMBER(I21),I21*16.0,0))</f>
        <v/>
      </c>
      <c r="AQ21" s="53">
        <f>IF(E21="","",667.1)</f>
        <v/>
      </c>
      <c r="AR21" s="54">
        <f>IF(E21="","",IF(ISNUMBER(AM21),AM21,0)+IF(ISNUMBER(AN21),AN21,0)+IF(ISNUMBER(AO21),AO21,0)+IF(ISNUMBER(AP21),AP21,0)+IF(ISNUMBER(AQ21),AQ21,0))</f>
        <v/>
      </c>
      <c r="AS21" s="55">
        <f>IF(E21="","",MAX(E21-SUM(J21:S21),0)*42.5)</f>
        <v/>
      </c>
      <c r="AT21" s="55">
        <f>IF(E21="","",IF(ISNUMBER(J21),J21*39.14,0)+IF(ISNUMBER(K21),K21*12.23,0)+IF(ISNUMBER(L21),L21*12.15,0)+IF(ISNUMBER(M21),M21*7.62,0)+IF(ISNUMBER(N21),N21*10.21,0)+IF(ISNUMBER(O21),O21*6.15,0)+IF(ISNUMBER(P21),P21*12.24,0)+IF(ISNUMBER(Q21),Q21*39.14,0)+IF(ISNUMBER(R21),R21*39.14,0)+IF(ISNUMBER(S21),S21*40.31,0))</f>
        <v/>
      </c>
      <c r="AU21" s="56">
        <f>IF(E21="","",IF(ISNUMBER(AS21),AS21,0)+IF(ISNUMBER(AT21),AT21,0))</f>
        <v/>
      </c>
      <c r="AV21" s="55">
        <f>IF(F21="","",MAX(F21-SUM(T21:X21),0)*23.0+IF(ISNUMBER(T21),T21*19.69,0)+IF(ISNUMBER(U21),U21*16.74,0)+IF(ISNUMBER(V21),V21*20.28,0)+IF(ISNUMBER(W21),W21*19.69,0)+IF(ISNUMBER(X21),X21*19.69,0))</f>
        <v/>
      </c>
      <c r="AW21" s="55">
        <f>IF(G21="","",MAX(G21-SUM(Y21:AG21),0)*12.5+IF(ISNUMBER(Y21),Y21*11.84,0)+IF(ISNUMBER(Z21),Z21*14.34,0)+IF(ISNUMBER(AA21),AA21*16.93,0)+IF(ISNUMBER(AB21),AB21*19.52,0)+IF(ISNUMBER(AC21),AC21*22.35,0)+IF(ISNUMBER(AD21),AD21*13.92,0)+IF(ISNUMBER(AE21),AE21*21.55,0)+IF(ISNUMBER(AF21),AF21*13.92,0)+IF(ISNUMBER(AG21),AG21*13.92,0))</f>
        <v/>
      </c>
      <c r="AX21" s="55">
        <f>IF(AND(H21="",I21=""),"",65.0+IF(ISNUMBER(AH21),AH21*30.23,0)+IF(ISNUMBER(AI21),AI21*30.23,0)+IF(ISNUMBER(AJ21),AJ21*28.0,0))</f>
        <v/>
      </c>
      <c r="AY21" s="55">
        <f>IF(E21="","",953.0)</f>
        <v/>
      </c>
      <c r="AZ21" s="57">
        <f>IF(E21="","",IF(ISNUMBER(AU21),AU21,0)+IF(ISNUMBER(AV21),AV21,0)+IF(ISNUMBER(AW21),AW21,0)+IF(ISNUMBER(AX21),AX21,0)+IF(ISNUMBER(AY21),AY21,0))</f>
        <v/>
      </c>
      <c r="BA21" s="58">
        <f>IF(OR(E21="",AZ21=""),"",AZ21-AR21)</f>
        <v/>
      </c>
      <c r="BB21" s="59">
        <f>IF(OR(E21="",AZ21=0),"",BA21/AZ21)</f>
        <v/>
      </c>
      <c r="BC21" s="60" t="n"/>
    </row>
    <row r="22" ht="16" customHeight="1">
      <c r="A22" s="45" t="inlineStr">
        <is>
          <t>3/16/2026</t>
        </is>
      </c>
      <c r="B22" s="46" t="inlineStr">
        <is>
          <t>SK0910</t>
        </is>
      </c>
      <c r="C22" s="46" t="inlineStr">
        <is>
          <t>3333</t>
        </is>
      </c>
      <c r="D22" s="46" t="inlineStr">
        <is>
          <t>C2</t>
        </is>
      </c>
      <c r="E22" s="47" t="n"/>
      <c r="F22" s="47" t="n"/>
      <c r="G22" s="47" t="n"/>
      <c r="H22" s="47" t="n"/>
      <c r="I22" s="47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9" t="n"/>
      <c r="U22" s="49" t="n"/>
      <c r="V22" s="49" t="n"/>
      <c r="W22" s="49" t="n"/>
      <c r="X22" s="49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  <c r="AH22" s="47" t="n"/>
      <c r="AI22" s="47" t="n"/>
      <c r="AJ22" s="47" t="n"/>
      <c r="AK22" s="51" t="n"/>
      <c r="AL22" s="52" t="n"/>
      <c r="AM22" s="53">
        <f>IF(E22="","",E22*28.11)</f>
        <v/>
      </c>
      <c r="AN22" s="53">
        <f>IF(F22="","",F22*17.08)</f>
        <v/>
      </c>
      <c r="AO22" s="53">
        <f>IF(G22="","",G22*8.25)</f>
        <v/>
      </c>
      <c r="AP22" s="53">
        <f>IF(AND(H22="",I22=""),"",IF(ISNUMBER(H22),H22*18.0,0)+IF(ISNUMBER(I22),I22*16.0,0))</f>
        <v/>
      </c>
      <c r="AQ22" s="53">
        <f>IF(E22="","",667.1)</f>
        <v/>
      </c>
      <c r="AR22" s="54">
        <f>IF(E22="","",IF(ISNUMBER(AM22),AM22,0)+IF(ISNUMBER(AN22),AN22,0)+IF(ISNUMBER(AO22),AO22,0)+IF(ISNUMBER(AP22),AP22,0)+IF(ISNUMBER(AQ22),AQ22,0))</f>
        <v/>
      </c>
      <c r="AS22" s="55">
        <f>IF(E22="","",MAX(E22-SUM(J22:S22),0)*42.5)</f>
        <v/>
      </c>
      <c r="AT22" s="55">
        <f>IF(E22="","",IF(ISNUMBER(J22),J22*39.14,0)+IF(ISNUMBER(K22),K22*12.23,0)+IF(ISNUMBER(L22),L22*12.15,0)+IF(ISNUMBER(M22),M22*7.62,0)+IF(ISNUMBER(N22),N22*10.21,0)+IF(ISNUMBER(O22),O22*6.15,0)+IF(ISNUMBER(P22),P22*12.24,0)+IF(ISNUMBER(Q22),Q22*39.14,0)+IF(ISNUMBER(R22),R22*39.14,0)+IF(ISNUMBER(S22),S22*40.31,0))</f>
        <v/>
      </c>
      <c r="AU22" s="56">
        <f>IF(E22="","",IF(ISNUMBER(AS22),AS22,0)+IF(ISNUMBER(AT22),AT22,0))</f>
        <v/>
      </c>
      <c r="AV22" s="55">
        <f>IF(F22="","",MAX(F22-SUM(T22:X22),0)*23.0+IF(ISNUMBER(T22),T22*19.69,0)+IF(ISNUMBER(U22),U22*16.74,0)+IF(ISNUMBER(V22),V22*20.28,0)+IF(ISNUMBER(W22),W22*19.69,0)+IF(ISNUMBER(X22),X22*19.69,0))</f>
        <v/>
      </c>
      <c r="AW22" s="55">
        <f>IF(G22="","",MAX(G22-SUM(Y22:AG22),0)*12.5+IF(ISNUMBER(Y22),Y22*11.84,0)+IF(ISNUMBER(Z22),Z22*14.34,0)+IF(ISNUMBER(AA22),AA22*16.93,0)+IF(ISNUMBER(AB22),AB22*19.52,0)+IF(ISNUMBER(AC22),AC22*22.35,0)+IF(ISNUMBER(AD22),AD22*13.92,0)+IF(ISNUMBER(AE22),AE22*21.55,0)+IF(ISNUMBER(AF22),AF22*13.92,0)+IF(ISNUMBER(AG22),AG22*13.92,0))</f>
        <v/>
      </c>
      <c r="AX22" s="55">
        <f>IF(AND(H22="",I22=""),"",65.0+IF(ISNUMBER(AH22),AH22*30.23,0)+IF(ISNUMBER(AI22),AI22*30.23,0)+IF(ISNUMBER(AJ22),AJ22*28.0,0))</f>
        <v/>
      </c>
      <c r="AY22" s="55">
        <f>IF(E22="","",953.0)</f>
        <v/>
      </c>
      <c r="AZ22" s="57">
        <f>IF(E22="","",IF(ISNUMBER(AU22),AU22,0)+IF(ISNUMBER(AV22),AV22,0)+IF(ISNUMBER(AW22),AW22,0)+IF(ISNUMBER(AX22),AX22,0)+IF(ISNUMBER(AY22),AY22,0))</f>
        <v/>
      </c>
      <c r="BA22" s="58">
        <f>IF(OR(E22="",AZ22=""),"",AZ22-AR22)</f>
        <v/>
      </c>
      <c r="BB22" s="59">
        <f>IF(OR(E22="",AZ22=0),"",BA22/AZ22)</f>
        <v/>
      </c>
      <c r="BC22" s="60" t="n"/>
    </row>
    <row r="23" ht="16" customHeight="1">
      <c r="A23" s="45" t="inlineStr">
        <is>
          <t>3/19/2026</t>
        </is>
      </c>
      <c r="B23" s="46" t="inlineStr">
        <is>
          <t>SK0910</t>
        </is>
      </c>
      <c r="C23" s="46" t="inlineStr">
        <is>
          <t>3333</t>
        </is>
      </c>
      <c r="D23" s="46" t="inlineStr">
        <is>
          <t>C2</t>
        </is>
      </c>
      <c r="E23" s="47" t="n"/>
      <c r="F23" s="47" t="n"/>
      <c r="G23" s="47" t="n"/>
      <c r="H23" s="47" t="n"/>
      <c r="I23" s="47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9" t="n"/>
      <c r="U23" s="49" t="n"/>
      <c r="V23" s="49" t="n"/>
      <c r="W23" s="49" t="n"/>
      <c r="X23" s="49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  <c r="AH23" s="47" t="n"/>
      <c r="AI23" s="47" t="n"/>
      <c r="AJ23" s="47" t="n"/>
      <c r="AK23" s="51" t="n"/>
      <c r="AL23" s="52" t="n"/>
      <c r="AM23" s="53">
        <f>IF(E23="","",E23*28.11)</f>
        <v/>
      </c>
      <c r="AN23" s="53">
        <f>IF(F23="","",F23*17.08)</f>
        <v/>
      </c>
      <c r="AO23" s="53">
        <f>IF(G23="","",G23*8.25)</f>
        <v/>
      </c>
      <c r="AP23" s="53">
        <f>IF(AND(H23="",I23=""),"",IF(ISNUMBER(H23),H23*18.0,0)+IF(ISNUMBER(I23),I23*16.0,0))</f>
        <v/>
      </c>
      <c r="AQ23" s="53">
        <f>IF(E23="","",667.1)</f>
        <v/>
      </c>
      <c r="AR23" s="54">
        <f>IF(E23="","",IF(ISNUMBER(AM23),AM23,0)+IF(ISNUMBER(AN23),AN23,0)+IF(ISNUMBER(AO23),AO23,0)+IF(ISNUMBER(AP23),AP23,0)+IF(ISNUMBER(AQ23),AQ23,0))</f>
        <v/>
      </c>
      <c r="AS23" s="55">
        <f>IF(E23="","",MAX(E23-SUM(J23:S23),0)*42.5)</f>
        <v/>
      </c>
      <c r="AT23" s="55">
        <f>IF(E23="","",IF(ISNUMBER(J23),J23*39.14,0)+IF(ISNUMBER(K23),K23*12.23,0)+IF(ISNUMBER(L23),L23*12.15,0)+IF(ISNUMBER(M23),M23*7.62,0)+IF(ISNUMBER(N23),N23*10.21,0)+IF(ISNUMBER(O23),O23*6.15,0)+IF(ISNUMBER(P23),P23*12.24,0)+IF(ISNUMBER(Q23),Q23*39.14,0)+IF(ISNUMBER(R23),R23*39.14,0)+IF(ISNUMBER(S23),S23*40.31,0))</f>
        <v/>
      </c>
      <c r="AU23" s="56">
        <f>IF(E23="","",IF(ISNUMBER(AS23),AS23,0)+IF(ISNUMBER(AT23),AT23,0))</f>
        <v/>
      </c>
      <c r="AV23" s="55">
        <f>IF(F23="","",MAX(F23-SUM(T23:X23),0)*23.0+IF(ISNUMBER(T23),T23*19.69,0)+IF(ISNUMBER(U23),U23*16.74,0)+IF(ISNUMBER(V23),V23*20.28,0)+IF(ISNUMBER(W23),W23*19.69,0)+IF(ISNUMBER(X23),X23*19.69,0))</f>
        <v/>
      </c>
      <c r="AW23" s="55">
        <f>IF(G23="","",MAX(G23-SUM(Y23:AG23),0)*12.5+IF(ISNUMBER(Y23),Y23*11.84,0)+IF(ISNUMBER(Z23),Z23*14.34,0)+IF(ISNUMBER(AA23),AA23*16.93,0)+IF(ISNUMBER(AB23),AB23*19.52,0)+IF(ISNUMBER(AC23),AC23*22.35,0)+IF(ISNUMBER(AD23),AD23*13.92,0)+IF(ISNUMBER(AE23),AE23*21.55,0)+IF(ISNUMBER(AF23),AF23*13.92,0)+IF(ISNUMBER(AG23),AG23*13.92,0))</f>
        <v/>
      </c>
      <c r="AX23" s="55">
        <f>IF(AND(H23="",I23=""),"",65.0+IF(ISNUMBER(AH23),AH23*30.23,0)+IF(ISNUMBER(AI23),AI23*30.23,0)+IF(ISNUMBER(AJ23),AJ23*28.0,0))</f>
        <v/>
      </c>
      <c r="AY23" s="55">
        <f>IF(E23="","",953.0)</f>
        <v/>
      </c>
      <c r="AZ23" s="57">
        <f>IF(E23="","",IF(ISNUMBER(AU23),AU23,0)+IF(ISNUMBER(AV23),AV23,0)+IF(ISNUMBER(AW23),AW23,0)+IF(ISNUMBER(AX23),AX23,0)+IF(ISNUMBER(AY23),AY23,0))</f>
        <v/>
      </c>
      <c r="BA23" s="58">
        <f>IF(OR(E23="",AZ23=""),"",AZ23-AR23)</f>
        <v/>
      </c>
      <c r="BB23" s="59">
        <f>IF(OR(E23="",AZ23=0),"",BA23/AZ23)</f>
        <v/>
      </c>
      <c r="BC23" s="60" t="n"/>
    </row>
    <row r="24" ht="16" customHeight="1">
      <c r="A24" s="45" t="inlineStr">
        <is>
          <t>3/23/2026</t>
        </is>
      </c>
      <c r="B24" s="46" t="inlineStr">
        <is>
          <t>SK0910</t>
        </is>
      </c>
      <c r="C24" s="46" t="inlineStr">
        <is>
          <t>3333</t>
        </is>
      </c>
      <c r="D24" s="46" t="inlineStr">
        <is>
          <t>C2</t>
        </is>
      </c>
      <c r="E24" s="47" t="n"/>
      <c r="F24" s="47" t="n"/>
      <c r="G24" s="47" t="n"/>
      <c r="H24" s="47" t="n"/>
      <c r="I24" s="47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9" t="n"/>
      <c r="U24" s="49" t="n"/>
      <c r="V24" s="49" t="n"/>
      <c r="W24" s="49" t="n"/>
      <c r="X24" s="49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  <c r="AH24" s="47" t="n"/>
      <c r="AI24" s="47" t="n"/>
      <c r="AJ24" s="47" t="n"/>
      <c r="AK24" s="51" t="n"/>
      <c r="AL24" s="52" t="n"/>
      <c r="AM24" s="53">
        <f>IF(E24="","",E24*28.11)</f>
        <v/>
      </c>
      <c r="AN24" s="53">
        <f>IF(F24="","",F24*17.08)</f>
        <v/>
      </c>
      <c r="AO24" s="53">
        <f>IF(G24="","",G24*8.25)</f>
        <v/>
      </c>
      <c r="AP24" s="53">
        <f>IF(AND(H24="",I24=""),"",IF(ISNUMBER(H24),H24*18.0,0)+IF(ISNUMBER(I24),I24*16.0,0))</f>
        <v/>
      </c>
      <c r="AQ24" s="53">
        <f>IF(E24="","",667.1)</f>
        <v/>
      </c>
      <c r="AR24" s="54">
        <f>IF(E24="","",IF(ISNUMBER(AM24),AM24,0)+IF(ISNUMBER(AN24),AN24,0)+IF(ISNUMBER(AO24),AO24,0)+IF(ISNUMBER(AP24),AP24,0)+IF(ISNUMBER(AQ24),AQ24,0))</f>
        <v/>
      </c>
      <c r="AS24" s="55">
        <f>IF(E24="","",MAX(E24-SUM(J24:S24),0)*42.5)</f>
        <v/>
      </c>
      <c r="AT24" s="55">
        <f>IF(E24="","",IF(ISNUMBER(J24),J24*39.14,0)+IF(ISNUMBER(K24),K24*12.23,0)+IF(ISNUMBER(L24),L24*12.15,0)+IF(ISNUMBER(M24),M24*7.62,0)+IF(ISNUMBER(N24),N24*10.21,0)+IF(ISNUMBER(O24),O24*6.15,0)+IF(ISNUMBER(P24),P24*12.24,0)+IF(ISNUMBER(Q24),Q24*39.14,0)+IF(ISNUMBER(R24),R24*39.14,0)+IF(ISNUMBER(S24),S24*40.31,0))</f>
        <v/>
      </c>
      <c r="AU24" s="56">
        <f>IF(E24="","",IF(ISNUMBER(AS24),AS24,0)+IF(ISNUMBER(AT24),AT24,0))</f>
        <v/>
      </c>
      <c r="AV24" s="55">
        <f>IF(F24="","",MAX(F24-SUM(T24:X24),0)*23.0+IF(ISNUMBER(T24),T24*19.69,0)+IF(ISNUMBER(U24),U24*16.74,0)+IF(ISNUMBER(V24),V24*20.28,0)+IF(ISNUMBER(W24),W24*19.69,0)+IF(ISNUMBER(X24),X24*19.69,0))</f>
        <v/>
      </c>
      <c r="AW24" s="55">
        <f>IF(G24="","",MAX(G24-SUM(Y24:AG24),0)*12.5+IF(ISNUMBER(Y24),Y24*11.84,0)+IF(ISNUMBER(Z24),Z24*14.34,0)+IF(ISNUMBER(AA24),AA24*16.93,0)+IF(ISNUMBER(AB24),AB24*19.52,0)+IF(ISNUMBER(AC24),AC24*22.35,0)+IF(ISNUMBER(AD24),AD24*13.92,0)+IF(ISNUMBER(AE24),AE24*21.55,0)+IF(ISNUMBER(AF24),AF24*13.92,0)+IF(ISNUMBER(AG24),AG24*13.92,0))</f>
        <v/>
      </c>
      <c r="AX24" s="55">
        <f>IF(AND(H24="",I24=""),"",65.0+IF(ISNUMBER(AH24),AH24*30.23,0)+IF(ISNUMBER(AI24),AI24*30.23,0)+IF(ISNUMBER(AJ24),AJ24*28.0,0))</f>
        <v/>
      </c>
      <c r="AY24" s="55">
        <f>IF(E24="","",953.0)</f>
        <v/>
      </c>
      <c r="AZ24" s="57">
        <f>IF(E24="","",IF(ISNUMBER(AU24),AU24,0)+IF(ISNUMBER(AV24),AV24,0)+IF(ISNUMBER(AW24),AW24,0)+IF(ISNUMBER(AX24),AX24,0)+IF(ISNUMBER(AY24),AY24,0))</f>
        <v/>
      </c>
      <c r="BA24" s="58">
        <f>IF(OR(E24="",AZ24=""),"",AZ24-AR24)</f>
        <v/>
      </c>
      <c r="BB24" s="59">
        <f>IF(OR(E24="",AZ24=0),"",BA24/AZ24)</f>
        <v/>
      </c>
      <c r="BC24" s="60" t="n"/>
    </row>
    <row r="25" ht="16" customHeight="1">
      <c r="A25" s="45" t="inlineStr">
        <is>
          <t>3/26/2026</t>
        </is>
      </c>
      <c r="B25" s="46" t="inlineStr">
        <is>
          <t>SK0910</t>
        </is>
      </c>
      <c r="C25" s="46" t="inlineStr">
        <is>
          <t>3333</t>
        </is>
      </c>
      <c r="D25" s="46" t="inlineStr">
        <is>
          <t>C2</t>
        </is>
      </c>
      <c r="E25" s="47" t="n"/>
      <c r="F25" s="47" t="n"/>
      <c r="G25" s="47" t="n"/>
      <c r="H25" s="47" t="n"/>
      <c r="I25" s="47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9" t="n"/>
      <c r="U25" s="49" t="n"/>
      <c r="V25" s="49" t="n"/>
      <c r="W25" s="49" t="n"/>
      <c r="X25" s="49" t="n"/>
      <c r="Y25" s="50" t="n"/>
      <c r="Z25" s="50" t="n"/>
      <c r="AA25" s="50" t="n"/>
      <c r="AB25" s="50" t="n"/>
      <c r="AC25" s="50" t="n"/>
      <c r="AD25" s="50" t="n"/>
      <c r="AE25" s="50" t="n"/>
      <c r="AF25" s="50" t="n"/>
      <c r="AG25" s="50" t="n"/>
      <c r="AH25" s="47" t="n"/>
      <c r="AI25" s="47" t="n"/>
      <c r="AJ25" s="47" t="n"/>
      <c r="AK25" s="51" t="n"/>
      <c r="AL25" s="52" t="n"/>
      <c r="AM25" s="53">
        <f>IF(E25="","",E25*28.11)</f>
        <v/>
      </c>
      <c r="AN25" s="53">
        <f>IF(F25="","",F25*17.08)</f>
        <v/>
      </c>
      <c r="AO25" s="53">
        <f>IF(G25="","",G25*8.25)</f>
        <v/>
      </c>
      <c r="AP25" s="53">
        <f>IF(AND(H25="",I25=""),"",IF(ISNUMBER(H25),H25*18.0,0)+IF(ISNUMBER(I25),I25*16.0,0))</f>
        <v/>
      </c>
      <c r="AQ25" s="53">
        <f>IF(E25="","",667.1)</f>
        <v/>
      </c>
      <c r="AR25" s="54">
        <f>IF(E25="","",IF(ISNUMBER(AM25),AM25,0)+IF(ISNUMBER(AN25),AN25,0)+IF(ISNUMBER(AO25),AO25,0)+IF(ISNUMBER(AP25),AP25,0)+IF(ISNUMBER(AQ25),AQ25,0))</f>
        <v/>
      </c>
      <c r="AS25" s="55">
        <f>IF(E25="","",MAX(E25-SUM(J25:S25),0)*42.5)</f>
        <v/>
      </c>
      <c r="AT25" s="55">
        <f>IF(E25="","",IF(ISNUMBER(J25),J25*39.14,0)+IF(ISNUMBER(K25),K25*12.23,0)+IF(ISNUMBER(L25),L25*12.15,0)+IF(ISNUMBER(M25),M25*7.62,0)+IF(ISNUMBER(N25),N25*10.21,0)+IF(ISNUMBER(O25),O25*6.15,0)+IF(ISNUMBER(P25),P25*12.24,0)+IF(ISNUMBER(Q25),Q25*39.14,0)+IF(ISNUMBER(R25),R25*39.14,0)+IF(ISNUMBER(S25),S25*40.31,0))</f>
        <v/>
      </c>
      <c r="AU25" s="56">
        <f>IF(E25="","",IF(ISNUMBER(AS25),AS25,0)+IF(ISNUMBER(AT25),AT25,0))</f>
        <v/>
      </c>
      <c r="AV25" s="55">
        <f>IF(F25="","",MAX(F25-SUM(T25:X25),0)*23.0+IF(ISNUMBER(T25),T25*19.69,0)+IF(ISNUMBER(U25),U25*16.74,0)+IF(ISNUMBER(V25),V25*20.28,0)+IF(ISNUMBER(W25),W25*19.69,0)+IF(ISNUMBER(X25),X25*19.69,0))</f>
        <v/>
      </c>
      <c r="AW25" s="55">
        <f>IF(G25="","",MAX(G25-SUM(Y25:AG25),0)*12.5+IF(ISNUMBER(Y25),Y25*11.84,0)+IF(ISNUMBER(Z25),Z25*14.34,0)+IF(ISNUMBER(AA25),AA25*16.93,0)+IF(ISNUMBER(AB25),AB25*19.52,0)+IF(ISNUMBER(AC25),AC25*22.35,0)+IF(ISNUMBER(AD25),AD25*13.92,0)+IF(ISNUMBER(AE25),AE25*21.55,0)+IF(ISNUMBER(AF25),AF25*13.92,0)+IF(ISNUMBER(AG25),AG25*13.92,0))</f>
        <v/>
      </c>
      <c r="AX25" s="55">
        <f>IF(AND(H25="",I25=""),"",65.0+IF(ISNUMBER(AH25),AH25*30.23,0)+IF(ISNUMBER(AI25),AI25*30.23,0)+IF(ISNUMBER(AJ25),AJ25*28.0,0))</f>
        <v/>
      </c>
      <c r="AY25" s="55">
        <f>IF(E25="","",953.0)</f>
        <v/>
      </c>
      <c r="AZ25" s="57">
        <f>IF(E25="","",IF(ISNUMBER(AU25),AU25,0)+IF(ISNUMBER(AV25),AV25,0)+IF(ISNUMBER(AW25),AW25,0)+IF(ISNUMBER(AX25),AX25,0)+IF(ISNUMBER(AY25),AY25,0))</f>
        <v/>
      </c>
      <c r="BA25" s="58">
        <f>IF(OR(E25="",AZ25=""),"",AZ25-AR25)</f>
        <v/>
      </c>
      <c r="BB25" s="59">
        <f>IF(OR(E25="",AZ25=0),"",BA25/AZ25)</f>
        <v/>
      </c>
      <c r="BC25" s="60" t="n"/>
    </row>
    <row r="26" ht="16" customHeight="1">
      <c r="A26" s="45" t="inlineStr">
        <is>
          <t>3/30/2026</t>
        </is>
      </c>
      <c r="B26" s="46" t="inlineStr">
        <is>
          <t>SK0910</t>
        </is>
      </c>
      <c r="C26" s="46" t="inlineStr">
        <is>
          <t>3333</t>
        </is>
      </c>
      <c r="D26" s="46" t="inlineStr">
        <is>
          <t>C2</t>
        </is>
      </c>
      <c r="E26" s="47" t="n"/>
      <c r="F26" s="47" t="n"/>
      <c r="G26" s="47" t="n"/>
      <c r="H26" s="47" t="n"/>
      <c r="I26" s="47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9" t="n"/>
      <c r="U26" s="49" t="n"/>
      <c r="V26" s="49" t="n"/>
      <c r="W26" s="49" t="n"/>
      <c r="X26" s="49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  <c r="AH26" s="47" t="n"/>
      <c r="AI26" s="47" t="n"/>
      <c r="AJ26" s="47" t="n"/>
      <c r="AK26" s="51" t="n"/>
      <c r="AL26" s="52" t="n"/>
      <c r="AM26" s="53">
        <f>IF(E26="","",E26*28.11)</f>
        <v/>
      </c>
      <c r="AN26" s="53">
        <f>IF(F26="","",F26*17.08)</f>
        <v/>
      </c>
      <c r="AO26" s="53">
        <f>IF(G26="","",G26*8.25)</f>
        <v/>
      </c>
      <c r="AP26" s="53">
        <f>IF(AND(H26="",I26=""),"",IF(ISNUMBER(H26),H26*18.0,0)+IF(ISNUMBER(I26),I26*16.0,0))</f>
        <v/>
      </c>
      <c r="AQ26" s="53">
        <f>IF(E26="","",667.1)</f>
        <v/>
      </c>
      <c r="AR26" s="54">
        <f>IF(E26="","",IF(ISNUMBER(AM26),AM26,0)+IF(ISNUMBER(AN26),AN26,0)+IF(ISNUMBER(AO26),AO26,0)+IF(ISNUMBER(AP26),AP26,0)+IF(ISNUMBER(AQ26),AQ26,0))</f>
        <v/>
      </c>
      <c r="AS26" s="55">
        <f>IF(E26="","",MAX(E26-SUM(J26:S26),0)*42.5)</f>
        <v/>
      </c>
      <c r="AT26" s="55">
        <f>IF(E26="","",IF(ISNUMBER(J26),J26*39.14,0)+IF(ISNUMBER(K26),K26*12.23,0)+IF(ISNUMBER(L26),L26*12.15,0)+IF(ISNUMBER(M26),M26*7.62,0)+IF(ISNUMBER(N26),N26*10.21,0)+IF(ISNUMBER(O26),O26*6.15,0)+IF(ISNUMBER(P26),P26*12.24,0)+IF(ISNUMBER(Q26),Q26*39.14,0)+IF(ISNUMBER(R26),R26*39.14,0)+IF(ISNUMBER(S26),S26*40.31,0))</f>
        <v/>
      </c>
      <c r="AU26" s="56">
        <f>IF(E26="","",IF(ISNUMBER(AS26),AS26,0)+IF(ISNUMBER(AT26),AT26,0))</f>
        <v/>
      </c>
      <c r="AV26" s="55">
        <f>IF(F26="","",MAX(F26-SUM(T26:X26),0)*23.0+IF(ISNUMBER(T26),T26*19.69,0)+IF(ISNUMBER(U26),U26*16.74,0)+IF(ISNUMBER(V26),V26*20.28,0)+IF(ISNUMBER(W26),W26*19.69,0)+IF(ISNUMBER(X26),X26*19.69,0))</f>
        <v/>
      </c>
      <c r="AW26" s="55">
        <f>IF(G26="","",MAX(G26-SUM(Y26:AG26),0)*12.5+IF(ISNUMBER(Y26),Y26*11.84,0)+IF(ISNUMBER(Z26),Z26*14.34,0)+IF(ISNUMBER(AA26),AA26*16.93,0)+IF(ISNUMBER(AB26),AB26*19.52,0)+IF(ISNUMBER(AC26),AC26*22.35,0)+IF(ISNUMBER(AD26),AD26*13.92,0)+IF(ISNUMBER(AE26),AE26*21.55,0)+IF(ISNUMBER(AF26),AF26*13.92,0)+IF(ISNUMBER(AG26),AG26*13.92,0))</f>
        <v/>
      </c>
      <c r="AX26" s="55">
        <f>IF(AND(H26="",I26=""),"",65.0+IF(ISNUMBER(AH26),AH26*30.23,0)+IF(ISNUMBER(AI26),AI26*30.23,0)+IF(ISNUMBER(AJ26),AJ26*28.0,0))</f>
        <v/>
      </c>
      <c r="AY26" s="55">
        <f>IF(E26="","",953.0)</f>
        <v/>
      </c>
      <c r="AZ26" s="57">
        <f>IF(E26="","",IF(ISNUMBER(AU26),AU26,0)+IF(ISNUMBER(AV26),AV26,0)+IF(ISNUMBER(AW26),AW26,0)+IF(ISNUMBER(AX26),AX26,0)+IF(ISNUMBER(AY26),AY26,0))</f>
        <v/>
      </c>
      <c r="BA26" s="58">
        <f>IF(OR(E26="",AZ26=""),"",AZ26-AR26)</f>
        <v/>
      </c>
      <c r="BB26" s="59">
        <f>IF(OR(E26="",AZ26=0),"",BA26/AZ26)</f>
        <v/>
      </c>
      <c r="BC26" s="60" t="n"/>
    </row>
    <row r="27" ht="16" customHeight="1">
      <c r="A27" s="45" t="inlineStr">
        <is>
          <t>4/2/2026</t>
        </is>
      </c>
      <c r="B27" s="46" t="inlineStr">
        <is>
          <t>SK0910</t>
        </is>
      </c>
      <c r="C27" s="46" t="inlineStr">
        <is>
          <t>3333</t>
        </is>
      </c>
      <c r="D27" s="46" t="inlineStr">
        <is>
          <t>C3</t>
        </is>
      </c>
      <c r="E27" s="47" t="n"/>
      <c r="F27" s="47" t="n"/>
      <c r="G27" s="47" t="n"/>
      <c r="H27" s="47" t="n"/>
      <c r="I27" s="47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9" t="n"/>
      <c r="U27" s="49" t="n"/>
      <c r="V27" s="49" t="n"/>
      <c r="W27" s="49" t="n"/>
      <c r="X27" s="49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  <c r="AH27" s="47" t="n"/>
      <c r="AI27" s="47" t="n"/>
      <c r="AJ27" s="47" t="n"/>
      <c r="AK27" s="51" t="n"/>
      <c r="AL27" s="52" t="n"/>
      <c r="AM27" s="53">
        <f>IF(E27="","",E27*28.99)</f>
        <v/>
      </c>
      <c r="AN27" s="53">
        <f>IF(F27="","",F27*19.44)</f>
        <v/>
      </c>
      <c r="AO27" s="53">
        <f>IF(G27="","",G27*9.49)</f>
        <v/>
      </c>
      <c r="AP27" s="53">
        <f>IF(AND(H27="",I27=""),"",IF(ISNUMBER(H27),H27*18.5,0)+IF(ISNUMBER(I27),I27*16.5,0))</f>
        <v/>
      </c>
      <c r="AQ27" s="53">
        <f>IF(E27="","",667.1)</f>
        <v/>
      </c>
      <c r="AR27" s="54">
        <f>IF(E27="","",IF(ISNUMBER(AM27),AM27,0)+IF(ISNUMBER(AN27),AN27,0)+IF(ISNUMBER(AO27),AO27,0)+IF(ISNUMBER(AP27),AP27,0)+IF(ISNUMBER(AQ27),AQ27,0))</f>
        <v/>
      </c>
      <c r="AS27" s="55">
        <f>IF(E27="","",MAX(E27-SUM(J27:S27),0)*43.0)</f>
        <v/>
      </c>
      <c r="AT27" s="55">
        <f>IF(E27="","",IF(ISNUMBER(J27),J27*39.14,0)+IF(ISNUMBER(K27),K27*12.23,0)+IF(ISNUMBER(L27),L27*12.15,0)+IF(ISNUMBER(M27),M27*7.62,0)+IF(ISNUMBER(N27),N27*10.21,0)+IF(ISNUMBER(O27),O27*6.15,0)+IF(ISNUMBER(P27),P27*12.24,0)+IF(ISNUMBER(Q27),Q27*39.14,0)+IF(ISNUMBER(R27),R27*39.14,0)+IF(ISNUMBER(S27),S27*40.31,0))</f>
        <v/>
      </c>
      <c r="AU27" s="56">
        <f>IF(E27="","",IF(ISNUMBER(AS27),AS27,0)+IF(ISNUMBER(AT27),AT27,0))</f>
        <v/>
      </c>
      <c r="AV27" s="55">
        <f>IF(F27="","",MAX(F27-SUM(T27:X27),0)*25.0+IF(ISNUMBER(T27),T27*19.69,0)+IF(ISNUMBER(U27),U27*16.74,0)+IF(ISNUMBER(V27),V27*20.28,0)+IF(ISNUMBER(W27),W27*19.69,0)+IF(ISNUMBER(X27),X27*19.69,0))</f>
        <v/>
      </c>
      <c r="AW27" s="55">
        <f>IF(G27="","",MAX(G27-SUM(Y27:AG27),0)*13.44+IF(ISNUMBER(Y27),Y27*11.84,0)+IF(ISNUMBER(Z27),Z27*14.34,0)+IF(ISNUMBER(AA27),AA27*16.93,0)+IF(ISNUMBER(AB27),AB27*19.52,0)+IF(ISNUMBER(AC27),AC27*22.35,0)+IF(ISNUMBER(AD27),AD27*13.92,0)+IF(ISNUMBER(AE27),AE27*21.55,0)+IF(ISNUMBER(AF27),AF27*13.92,0)+IF(ISNUMBER(AG27),AG27*13.92,0))</f>
        <v/>
      </c>
      <c r="AX27" s="55">
        <f>IF(AND(H27="",I27=""),"",65.0+IF(ISNUMBER(AH27),AH27*30.23,0)+IF(ISNUMBER(AI27),AI27*30.23,0)+IF(ISNUMBER(AJ27),AJ27*28.0,0))</f>
        <v/>
      </c>
      <c r="AY27" s="55">
        <f>IF(E27="","",953.0)</f>
        <v/>
      </c>
      <c r="AZ27" s="57">
        <f>IF(E27="","",IF(ISNUMBER(AU27),AU27,0)+IF(ISNUMBER(AV27),AV27,0)+IF(ISNUMBER(AW27),AW27,0)+IF(ISNUMBER(AX27),AX27,0)+IF(ISNUMBER(AY27),AY27,0))</f>
        <v/>
      </c>
      <c r="BA27" s="58">
        <f>IF(OR(E27="",AZ27=""),"",AZ27-AR27)</f>
        <v/>
      </c>
      <c r="BB27" s="59">
        <f>IF(OR(E27="",AZ27=0),"",BA27/AZ27)</f>
        <v/>
      </c>
      <c r="BC27" s="60" t="n"/>
    </row>
    <row r="28" ht="16" customHeight="1">
      <c r="A28" s="45" t="inlineStr">
        <is>
          <t>4/6/2026</t>
        </is>
      </c>
      <c r="B28" s="46" t="inlineStr">
        <is>
          <t>SK0910</t>
        </is>
      </c>
      <c r="C28" s="46" t="inlineStr">
        <is>
          <t>3333</t>
        </is>
      </c>
      <c r="D28" s="46" t="inlineStr">
        <is>
          <t>C3</t>
        </is>
      </c>
      <c r="E28" s="47" t="n"/>
      <c r="F28" s="47" t="n"/>
      <c r="G28" s="47" t="n"/>
      <c r="H28" s="47" t="n"/>
      <c r="I28" s="47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9" t="n"/>
      <c r="U28" s="49" t="n"/>
      <c r="V28" s="49" t="n"/>
      <c r="W28" s="49" t="n"/>
      <c r="X28" s="49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  <c r="AH28" s="47" t="n"/>
      <c r="AI28" s="47" t="n"/>
      <c r="AJ28" s="47" t="n"/>
      <c r="AK28" s="51" t="n"/>
      <c r="AL28" s="52" t="n"/>
      <c r="AM28" s="53">
        <f>IF(E28="","",E28*28.99)</f>
        <v/>
      </c>
      <c r="AN28" s="53">
        <f>IF(F28="","",F28*19.44)</f>
        <v/>
      </c>
      <c r="AO28" s="53">
        <f>IF(G28="","",G28*9.49)</f>
        <v/>
      </c>
      <c r="AP28" s="53">
        <f>IF(AND(H28="",I28=""),"",IF(ISNUMBER(H28),H28*18.5,0)+IF(ISNUMBER(I28),I28*16.5,0))</f>
        <v/>
      </c>
      <c r="AQ28" s="53">
        <f>IF(E28="","",667.1)</f>
        <v/>
      </c>
      <c r="AR28" s="54">
        <f>IF(E28="","",IF(ISNUMBER(AM28),AM28,0)+IF(ISNUMBER(AN28),AN28,0)+IF(ISNUMBER(AO28),AO28,0)+IF(ISNUMBER(AP28),AP28,0)+IF(ISNUMBER(AQ28),AQ28,0))</f>
        <v/>
      </c>
      <c r="AS28" s="55">
        <f>IF(E28="","",MAX(E28-SUM(J28:S28),0)*43.0)</f>
        <v/>
      </c>
      <c r="AT28" s="55">
        <f>IF(E28="","",IF(ISNUMBER(J28),J28*39.14,0)+IF(ISNUMBER(K28),K28*12.23,0)+IF(ISNUMBER(L28),L28*12.15,0)+IF(ISNUMBER(M28),M28*7.62,0)+IF(ISNUMBER(N28),N28*10.21,0)+IF(ISNUMBER(O28),O28*6.15,0)+IF(ISNUMBER(P28),P28*12.24,0)+IF(ISNUMBER(Q28),Q28*39.14,0)+IF(ISNUMBER(R28),R28*39.14,0)+IF(ISNUMBER(S28),S28*40.31,0))</f>
        <v/>
      </c>
      <c r="AU28" s="56">
        <f>IF(E28="","",IF(ISNUMBER(AS28),AS28,0)+IF(ISNUMBER(AT28),AT28,0))</f>
        <v/>
      </c>
      <c r="AV28" s="55">
        <f>IF(F28="","",MAX(F28-SUM(T28:X28),0)*25.0+IF(ISNUMBER(T28),T28*19.69,0)+IF(ISNUMBER(U28),U28*16.74,0)+IF(ISNUMBER(V28),V28*20.28,0)+IF(ISNUMBER(W28),W28*19.69,0)+IF(ISNUMBER(X28),X28*19.69,0))</f>
        <v/>
      </c>
      <c r="AW28" s="55">
        <f>IF(G28="","",MAX(G28-SUM(Y28:AG28),0)*13.44+IF(ISNUMBER(Y28),Y28*11.84,0)+IF(ISNUMBER(Z28),Z28*14.34,0)+IF(ISNUMBER(AA28),AA28*16.93,0)+IF(ISNUMBER(AB28),AB28*19.52,0)+IF(ISNUMBER(AC28),AC28*22.35,0)+IF(ISNUMBER(AD28),AD28*13.92,0)+IF(ISNUMBER(AE28),AE28*21.55,0)+IF(ISNUMBER(AF28),AF28*13.92,0)+IF(ISNUMBER(AG28),AG28*13.92,0))</f>
        <v/>
      </c>
      <c r="AX28" s="55">
        <f>IF(AND(H28="",I28=""),"",65.0+IF(ISNUMBER(AH28),AH28*30.23,0)+IF(ISNUMBER(AI28),AI28*30.23,0)+IF(ISNUMBER(AJ28),AJ28*28.0,0))</f>
        <v/>
      </c>
      <c r="AY28" s="55">
        <f>IF(E28="","",953.0)</f>
        <v/>
      </c>
      <c r="AZ28" s="57">
        <f>IF(E28="","",IF(ISNUMBER(AU28),AU28,0)+IF(ISNUMBER(AV28),AV28,0)+IF(ISNUMBER(AW28),AW28,0)+IF(ISNUMBER(AX28),AX28,0)+IF(ISNUMBER(AY28),AY28,0))</f>
        <v/>
      </c>
      <c r="BA28" s="58">
        <f>IF(OR(E28="",AZ28=""),"",AZ28-AR28)</f>
        <v/>
      </c>
      <c r="BB28" s="59">
        <f>IF(OR(E28="",AZ28=0),"",BA28/AZ28)</f>
        <v/>
      </c>
      <c r="BC28" s="60" t="n"/>
    </row>
    <row r="29" ht="16" customHeight="1">
      <c r="A29" s="45" t="inlineStr">
        <is>
          <t>4/9/2026</t>
        </is>
      </c>
      <c r="B29" s="46" t="inlineStr">
        <is>
          <t>SK0910</t>
        </is>
      </c>
      <c r="C29" s="46" t="inlineStr">
        <is>
          <t>3333</t>
        </is>
      </c>
      <c r="D29" s="46" t="inlineStr">
        <is>
          <t>C3</t>
        </is>
      </c>
      <c r="E29" s="47" t="n"/>
      <c r="F29" s="47" t="n"/>
      <c r="G29" s="47" t="n"/>
      <c r="H29" s="47" t="n"/>
      <c r="I29" s="47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9" t="n"/>
      <c r="U29" s="49" t="n"/>
      <c r="V29" s="49" t="n"/>
      <c r="W29" s="49" t="n"/>
      <c r="X29" s="49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47" t="n"/>
      <c r="AI29" s="47" t="n"/>
      <c r="AJ29" s="47" t="n"/>
      <c r="AK29" s="51" t="n"/>
      <c r="AL29" s="52" t="n"/>
      <c r="AM29" s="53">
        <f>IF(E29="","",E29*28.99)</f>
        <v/>
      </c>
      <c r="AN29" s="53">
        <f>IF(F29="","",F29*19.44)</f>
        <v/>
      </c>
      <c r="AO29" s="53">
        <f>IF(G29="","",G29*9.49)</f>
        <v/>
      </c>
      <c r="AP29" s="53">
        <f>IF(AND(H29="",I29=""),"",IF(ISNUMBER(H29),H29*18.5,0)+IF(ISNUMBER(I29),I29*16.5,0))</f>
        <v/>
      </c>
      <c r="AQ29" s="53">
        <f>IF(E29="","",667.1)</f>
        <v/>
      </c>
      <c r="AR29" s="54">
        <f>IF(E29="","",IF(ISNUMBER(AM29),AM29,0)+IF(ISNUMBER(AN29),AN29,0)+IF(ISNUMBER(AO29),AO29,0)+IF(ISNUMBER(AP29),AP29,0)+IF(ISNUMBER(AQ29),AQ29,0))</f>
        <v/>
      </c>
      <c r="AS29" s="55">
        <f>IF(E29="","",MAX(E29-SUM(J29:S29),0)*43.0)</f>
        <v/>
      </c>
      <c r="AT29" s="55">
        <f>IF(E29="","",IF(ISNUMBER(J29),J29*39.14,0)+IF(ISNUMBER(K29),K29*12.23,0)+IF(ISNUMBER(L29),L29*12.15,0)+IF(ISNUMBER(M29),M29*7.62,0)+IF(ISNUMBER(N29),N29*10.21,0)+IF(ISNUMBER(O29),O29*6.15,0)+IF(ISNUMBER(P29),P29*12.24,0)+IF(ISNUMBER(Q29),Q29*39.14,0)+IF(ISNUMBER(R29),R29*39.14,0)+IF(ISNUMBER(S29),S29*40.31,0))</f>
        <v/>
      </c>
      <c r="AU29" s="56">
        <f>IF(E29="","",IF(ISNUMBER(AS29),AS29,0)+IF(ISNUMBER(AT29),AT29,0))</f>
        <v/>
      </c>
      <c r="AV29" s="55">
        <f>IF(F29="","",MAX(F29-SUM(T29:X29),0)*25.0+IF(ISNUMBER(T29),T29*19.69,0)+IF(ISNUMBER(U29),U29*16.74,0)+IF(ISNUMBER(V29),V29*20.28,0)+IF(ISNUMBER(W29),W29*19.69,0)+IF(ISNUMBER(X29),X29*19.69,0))</f>
        <v/>
      </c>
      <c r="AW29" s="55">
        <f>IF(G29="","",MAX(G29-SUM(Y29:AG29),0)*13.44+IF(ISNUMBER(Y29),Y29*11.84,0)+IF(ISNUMBER(Z29),Z29*14.34,0)+IF(ISNUMBER(AA29),AA29*16.93,0)+IF(ISNUMBER(AB29),AB29*19.52,0)+IF(ISNUMBER(AC29),AC29*22.35,0)+IF(ISNUMBER(AD29),AD29*13.92,0)+IF(ISNUMBER(AE29),AE29*21.55,0)+IF(ISNUMBER(AF29),AF29*13.92,0)+IF(ISNUMBER(AG29),AG29*13.92,0))</f>
        <v/>
      </c>
      <c r="AX29" s="55">
        <f>IF(AND(H29="",I29=""),"",65.0+IF(ISNUMBER(AH29),AH29*30.23,0)+IF(ISNUMBER(AI29),AI29*30.23,0)+IF(ISNUMBER(AJ29),AJ29*28.0,0))</f>
        <v/>
      </c>
      <c r="AY29" s="55">
        <f>IF(E29="","",953.0)</f>
        <v/>
      </c>
      <c r="AZ29" s="57">
        <f>IF(E29="","",IF(ISNUMBER(AU29),AU29,0)+IF(ISNUMBER(AV29),AV29,0)+IF(ISNUMBER(AW29),AW29,0)+IF(ISNUMBER(AX29),AX29,0)+IF(ISNUMBER(AY29),AY29,0))</f>
        <v/>
      </c>
      <c r="BA29" s="58">
        <f>IF(OR(E29="",AZ29=""),"",AZ29-AR29)</f>
        <v/>
      </c>
      <c r="BB29" s="59">
        <f>IF(OR(E29="",AZ29=0),"",BA29/AZ29)</f>
        <v/>
      </c>
      <c r="BC29" s="60" t="n"/>
    </row>
    <row r="30" ht="16" customHeight="1">
      <c r="A30" s="45" t="inlineStr">
        <is>
          <t>4/13/2026</t>
        </is>
      </c>
      <c r="B30" s="46" t="inlineStr">
        <is>
          <t>SK0910</t>
        </is>
      </c>
      <c r="C30" s="46" t="inlineStr">
        <is>
          <t>3333</t>
        </is>
      </c>
      <c r="D30" s="46" t="inlineStr">
        <is>
          <t>C3</t>
        </is>
      </c>
      <c r="E30" s="47" t="n"/>
      <c r="F30" s="47" t="n"/>
      <c r="G30" s="47" t="n"/>
      <c r="H30" s="47" t="n"/>
      <c r="I30" s="47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9" t="n"/>
      <c r="U30" s="49" t="n"/>
      <c r="V30" s="49" t="n"/>
      <c r="W30" s="49" t="n"/>
      <c r="X30" s="49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  <c r="AH30" s="47" t="n"/>
      <c r="AI30" s="47" t="n"/>
      <c r="AJ30" s="47" t="n"/>
      <c r="AK30" s="51" t="n"/>
      <c r="AL30" s="52" t="n"/>
      <c r="AM30" s="53">
        <f>IF(E30="","",E30*28.99)</f>
        <v/>
      </c>
      <c r="AN30" s="53">
        <f>IF(F30="","",F30*19.44)</f>
        <v/>
      </c>
      <c r="AO30" s="53">
        <f>IF(G30="","",G30*9.49)</f>
        <v/>
      </c>
      <c r="AP30" s="53">
        <f>IF(AND(H30="",I30=""),"",IF(ISNUMBER(H30),H30*18.5,0)+IF(ISNUMBER(I30),I30*16.5,0))</f>
        <v/>
      </c>
      <c r="AQ30" s="53">
        <f>IF(E30="","",667.1)</f>
        <v/>
      </c>
      <c r="AR30" s="54">
        <f>IF(E30="","",IF(ISNUMBER(AM30),AM30,0)+IF(ISNUMBER(AN30),AN30,0)+IF(ISNUMBER(AO30),AO30,0)+IF(ISNUMBER(AP30),AP30,0)+IF(ISNUMBER(AQ30),AQ30,0))</f>
        <v/>
      </c>
      <c r="AS30" s="55">
        <f>IF(E30="","",MAX(E30-SUM(J30:S30),0)*43.0)</f>
        <v/>
      </c>
      <c r="AT30" s="55">
        <f>IF(E30="","",IF(ISNUMBER(J30),J30*39.14,0)+IF(ISNUMBER(K30),K30*12.23,0)+IF(ISNUMBER(L30),L30*12.15,0)+IF(ISNUMBER(M30),M30*7.62,0)+IF(ISNUMBER(N30),N30*10.21,0)+IF(ISNUMBER(O30),O30*6.15,0)+IF(ISNUMBER(P30),P30*12.24,0)+IF(ISNUMBER(Q30),Q30*39.14,0)+IF(ISNUMBER(R30),R30*39.14,0)+IF(ISNUMBER(S30),S30*40.31,0))</f>
        <v/>
      </c>
      <c r="AU30" s="56">
        <f>IF(E30="","",IF(ISNUMBER(AS30),AS30,0)+IF(ISNUMBER(AT30),AT30,0))</f>
        <v/>
      </c>
      <c r="AV30" s="55">
        <f>IF(F30="","",MAX(F30-SUM(T30:X30),0)*25.0+IF(ISNUMBER(T30),T30*19.69,0)+IF(ISNUMBER(U30),U30*16.74,0)+IF(ISNUMBER(V30),V30*20.28,0)+IF(ISNUMBER(W30),W30*19.69,0)+IF(ISNUMBER(X30),X30*19.69,0))</f>
        <v/>
      </c>
      <c r="AW30" s="55">
        <f>IF(G30="","",MAX(G30-SUM(Y30:AG30),0)*13.44+IF(ISNUMBER(Y30),Y30*11.84,0)+IF(ISNUMBER(Z30),Z30*14.34,0)+IF(ISNUMBER(AA30),AA30*16.93,0)+IF(ISNUMBER(AB30),AB30*19.52,0)+IF(ISNUMBER(AC30),AC30*22.35,0)+IF(ISNUMBER(AD30),AD30*13.92,0)+IF(ISNUMBER(AE30),AE30*21.55,0)+IF(ISNUMBER(AF30),AF30*13.92,0)+IF(ISNUMBER(AG30),AG30*13.92,0))</f>
        <v/>
      </c>
      <c r="AX30" s="55">
        <f>IF(AND(H30="",I30=""),"",65.0+IF(ISNUMBER(AH30),AH30*30.23,0)+IF(ISNUMBER(AI30),AI30*30.23,0)+IF(ISNUMBER(AJ30),AJ30*28.0,0))</f>
        <v/>
      </c>
      <c r="AY30" s="55">
        <f>IF(E30="","",953.0)</f>
        <v/>
      </c>
      <c r="AZ30" s="57">
        <f>IF(E30="","",IF(ISNUMBER(AU30),AU30,0)+IF(ISNUMBER(AV30),AV30,0)+IF(ISNUMBER(AW30),AW30,0)+IF(ISNUMBER(AX30),AX30,0)+IF(ISNUMBER(AY30),AY30,0))</f>
        <v/>
      </c>
      <c r="BA30" s="58">
        <f>IF(OR(E30="",AZ30=""),"",AZ30-AR30)</f>
        <v/>
      </c>
      <c r="BB30" s="59">
        <f>IF(OR(E30="",AZ30=0),"",BA30/AZ30)</f>
        <v/>
      </c>
      <c r="BC30" s="60" t="n"/>
    </row>
    <row r="31" ht="16" customHeight="1">
      <c r="A31" s="45" t="inlineStr">
        <is>
          <t>4/16/2026</t>
        </is>
      </c>
      <c r="B31" s="46" t="inlineStr">
        <is>
          <t>SK0910</t>
        </is>
      </c>
      <c r="C31" s="46" t="inlineStr">
        <is>
          <t>3333</t>
        </is>
      </c>
      <c r="D31" s="46" t="inlineStr">
        <is>
          <t>C3</t>
        </is>
      </c>
      <c r="E31" s="47" t="n"/>
      <c r="F31" s="47" t="n"/>
      <c r="G31" s="47" t="n"/>
      <c r="H31" s="47" t="n"/>
      <c r="I31" s="47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9" t="n"/>
      <c r="U31" s="49" t="n"/>
      <c r="V31" s="49" t="n"/>
      <c r="W31" s="49" t="n"/>
      <c r="X31" s="49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47" t="n"/>
      <c r="AI31" s="47" t="n"/>
      <c r="AJ31" s="47" t="n"/>
      <c r="AK31" s="51" t="n"/>
      <c r="AL31" s="52" t="n"/>
      <c r="AM31" s="53">
        <f>IF(E31="","",E31*28.99)</f>
        <v/>
      </c>
      <c r="AN31" s="53">
        <f>IF(F31="","",F31*19.44)</f>
        <v/>
      </c>
      <c r="AO31" s="53">
        <f>IF(G31="","",G31*9.49)</f>
        <v/>
      </c>
      <c r="AP31" s="53">
        <f>IF(AND(H31="",I31=""),"",IF(ISNUMBER(H31),H31*18.5,0)+IF(ISNUMBER(I31),I31*16.5,0))</f>
        <v/>
      </c>
      <c r="AQ31" s="53">
        <f>IF(E31="","",667.1)</f>
        <v/>
      </c>
      <c r="AR31" s="54">
        <f>IF(E31="","",IF(ISNUMBER(AM31),AM31,0)+IF(ISNUMBER(AN31),AN31,0)+IF(ISNUMBER(AO31),AO31,0)+IF(ISNUMBER(AP31),AP31,0)+IF(ISNUMBER(AQ31),AQ31,0))</f>
        <v/>
      </c>
      <c r="AS31" s="55">
        <f>IF(E31="","",MAX(E31-SUM(J31:S31),0)*43.0)</f>
        <v/>
      </c>
      <c r="AT31" s="55">
        <f>IF(E31="","",IF(ISNUMBER(J31),J31*39.14,0)+IF(ISNUMBER(K31),K31*12.23,0)+IF(ISNUMBER(L31),L31*12.15,0)+IF(ISNUMBER(M31),M31*7.62,0)+IF(ISNUMBER(N31),N31*10.21,0)+IF(ISNUMBER(O31),O31*6.15,0)+IF(ISNUMBER(P31),P31*12.24,0)+IF(ISNUMBER(Q31),Q31*39.14,0)+IF(ISNUMBER(R31),R31*39.14,0)+IF(ISNUMBER(S31),S31*40.31,0))</f>
        <v/>
      </c>
      <c r="AU31" s="56">
        <f>IF(E31="","",IF(ISNUMBER(AS31),AS31,0)+IF(ISNUMBER(AT31),AT31,0))</f>
        <v/>
      </c>
      <c r="AV31" s="55">
        <f>IF(F31="","",MAX(F31-SUM(T31:X31),0)*25.0+IF(ISNUMBER(T31),T31*19.69,0)+IF(ISNUMBER(U31),U31*16.74,0)+IF(ISNUMBER(V31),V31*20.28,0)+IF(ISNUMBER(W31),W31*19.69,0)+IF(ISNUMBER(X31),X31*19.69,0))</f>
        <v/>
      </c>
      <c r="AW31" s="55">
        <f>IF(G31="","",MAX(G31-SUM(Y31:AG31),0)*13.44+IF(ISNUMBER(Y31),Y31*11.84,0)+IF(ISNUMBER(Z31),Z31*14.34,0)+IF(ISNUMBER(AA31),AA31*16.93,0)+IF(ISNUMBER(AB31),AB31*19.52,0)+IF(ISNUMBER(AC31),AC31*22.35,0)+IF(ISNUMBER(AD31),AD31*13.92,0)+IF(ISNUMBER(AE31),AE31*21.55,0)+IF(ISNUMBER(AF31),AF31*13.92,0)+IF(ISNUMBER(AG31),AG31*13.92,0))</f>
        <v/>
      </c>
      <c r="AX31" s="55">
        <f>IF(AND(H31="",I31=""),"",65.0+IF(ISNUMBER(AH31),AH31*30.23,0)+IF(ISNUMBER(AI31),AI31*30.23,0)+IF(ISNUMBER(AJ31),AJ31*28.0,0))</f>
        <v/>
      </c>
      <c r="AY31" s="55">
        <f>IF(E31="","",953.0)</f>
        <v/>
      </c>
      <c r="AZ31" s="57">
        <f>IF(E31="","",IF(ISNUMBER(AU31),AU31,0)+IF(ISNUMBER(AV31),AV31,0)+IF(ISNUMBER(AW31),AW31,0)+IF(ISNUMBER(AX31),AX31,0)+IF(ISNUMBER(AY31),AY31,0))</f>
        <v/>
      </c>
      <c r="BA31" s="58">
        <f>IF(OR(E31="",AZ31=""),"",AZ31-AR31)</f>
        <v/>
      </c>
      <c r="BB31" s="59">
        <f>IF(OR(E31="",AZ31=0),"",BA31/AZ31)</f>
        <v/>
      </c>
      <c r="BC31" s="60" t="n"/>
    </row>
    <row r="32" ht="16" customHeight="1">
      <c r="A32" s="45" t="inlineStr">
        <is>
          <t>4/20/2026</t>
        </is>
      </c>
      <c r="B32" s="46" t="inlineStr">
        <is>
          <t>SK0910</t>
        </is>
      </c>
      <c r="C32" s="46" t="inlineStr">
        <is>
          <t>3333</t>
        </is>
      </c>
      <c r="D32" s="46" t="inlineStr">
        <is>
          <t>C3</t>
        </is>
      </c>
      <c r="E32" s="47" t="n"/>
      <c r="F32" s="47" t="n"/>
      <c r="G32" s="47" t="n"/>
      <c r="H32" s="47" t="n"/>
      <c r="I32" s="47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9" t="n"/>
      <c r="U32" s="49" t="n"/>
      <c r="V32" s="49" t="n"/>
      <c r="W32" s="49" t="n"/>
      <c r="X32" s="49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  <c r="AH32" s="47" t="n"/>
      <c r="AI32" s="47" t="n"/>
      <c r="AJ32" s="47" t="n"/>
      <c r="AK32" s="51" t="n"/>
      <c r="AL32" s="52" t="n"/>
      <c r="AM32" s="53">
        <f>IF(E32="","",E32*28.99)</f>
        <v/>
      </c>
      <c r="AN32" s="53">
        <f>IF(F32="","",F32*19.44)</f>
        <v/>
      </c>
      <c r="AO32" s="53">
        <f>IF(G32="","",G32*9.49)</f>
        <v/>
      </c>
      <c r="AP32" s="53">
        <f>IF(AND(H32="",I32=""),"",IF(ISNUMBER(H32),H32*18.5,0)+IF(ISNUMBER(I32),I32*16.5,0))</f>
        <v/>
      </c>
      <c r="AQ32" s="53">
        <f>IF(E32="","",667.1)</f>
        <v/>
      </c>
      <c r="AR32" s="54">
        <f>IF(E32="","",IF(ISNUMBER(AM32),AM32,0)+IF(ISNUMBER(AN32),AN32,0)+IF(ISNUMBER(AO32),AO32,0)+IF(ISNUMBER(AP32),AP32,0)+IF(ISNUMBER(AQ32),AQ32,0))</f>
        <v/>
      </c>
      <c r="AS32" s="55">
        <f>IF(E32="","",MAX(E32-SUM(J32:S32),0)*43.0)</f>
        <v/>
      </c>
      <c r="AT32" s="55">
        <f>IF(E32="","",IF(ISNUMBER(J32),J32*39.14,0)+IF(ISNUMBER(K32),K32*12.23,0)+IF(ISNUMBER(L32),L32*12.15,0)+IF(ISNUMBER(M32),M32*7.62,0)+IF(ISNUMBER(N32),N32*10.21,0)+IF(ISNUMBER(O32),O32*6.15,0)+IF(ISNUMBER(P32),P32*12.24,0)+IF(ISNUMBER(Q32),Q32*39.14,0)+IF(ISNUMBER(R32),R32*39.14,0)+IF(ISNUMBER(S32),S32*40.31,0))</f>
        <v/>
      </c>
      <c r="AU32" s="56">
        <f>IF(E32="","",IF(ISNUMBER(AS32),AS32,0)+IF(ISNUMBER(AT32),AT32,0))</f>
        <v/>
      </c>
      <c r="AV32" s="55">
        <f>IF(F32="","",MAX(F32-SUM(T32:X32),0)*25.0+IF(ISNUMBER(T32),T32*19.69,0)+IF(ISNUMBER(U32),U32*16.74,0)+IF(ISNUMBER(V32),V32*20.28,0)+IF(ISNUMBER(W32),W32*19.69,0)+IF(ISNUMBER(X32),X32*19.69,0))</f>
        <v/>
      </c>
      <c r="AW32" s="55">
        <f>IF(G32="","",MAX(G32-SUM(Y32:AG32),0)*13.44+IF(ISNUMBER(Y32),Y32*11.84,0)+IF(ISNUMBER(Z32),Z32*14.34,0)+IF(ISNUMBER(AA32),AA32*16.93,0)+IF(ISNUMBER(AB32),AB32*19.52,0)+IF(ISNUMBER(AC32),AC32*22.35,0)+IF(ISNUMBER(AD32),AD32*13.92,0)+IF(ISNUMBER(AE32),AE32*21.55,0)+IF(ISNUMBER(AF32),AF32*13.92,0)+IF(ISNUMBER(AG32),AG32*13.92,0))</f>
        <v/>
      </c>
      <c r="AX32" s="55">
        <f>IF(AND(H32="",I32=""),"",65.0+IF(ISNUMBER(AH32),AH32*30.23,0)+IF(ISNUMBER(AI32),AI32*30.23,0)+IF(ISNUMBER(AJ32),AJ32*28.0,0))</f>
        <v/>
      </c>
      <c r="AY32" s="55">
        <f>IF(E32="","",953.0)</f>
        <v/>
      </c>
      <c r="AZ32" s="57">
        <f>IF(E32="","",IF(ISNUMBER(AU32),AU32,0)+IF(ISNUMBER(AV32),AV32,0)+IF(ISNUMBER(AW32),AW32,0)+IF(ISNUMBER(AX32),AX32,0)+IF(ISNUMBER(AY32),AY32,0))</f>
        <v/>
      </c>
      <c r="BA32" s="58">
        <f>IF(OR(E32="",AZ32=""),"",AZ32-AR32)</f>
        <v/>
      </c>
      <c r="BB32" s="59">
        <f>IF(OR(E32="",AZ32=0),"",BA32/AZ32)</f>
        <v/>
      </c>
      <c r="BC32" s="60" t="n"/>
    </row>
    <row r="33" ht="16" customHeight="1">
      <c r="A33" s="45" t="inlineStr">
        <is>
          <t>4/23/2026</t>
        </is>
      </c>
      <c r="B33" s="46" t="inlineStr">
        <is>
          <t>SK0910</t>
        </is>
      </c>
      <c r="C33" s="46" t="inlineStr">
        <is>
          <t>3333</t>
        </is>
      </c>
      <c r="D33" s="46" t="inlineStr">
        <is>
          <t>C3</t>
        </is>
      </c>
      <c r="E33" s="47" t="n"/>
      <c r="F33" s="47" t="n"/>
      <c r="G33" s="47" t="n"/>
      <c r="H33" s="47" t="n"/>
      <c r="I33" s="47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9" t="n"/>
      <c r="U33" s="49" t="n"/>
      <c r="V33" s="49" t="n"/>
      <c r="W33" s="49" t="n"/>
      <c r="X33" s="49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47" t="n"/>
      <c r="AI33" s="47" t="n"/>
      <c r="AJ33" s="47" t="n"/>
      <c r="AK33" s="51" t="n"/>
      <c r="AL33" s="52" t="n"/>
      <c r="AM33" s="53">
        <f>IF(E33="","",E33*28.99)</f>
        <v/>
      </c>
      <c r="AN33" s="53">
        <f>IF(F33="","",F33*19.44)</f>
        <v/>
      </c>
      <c r="AO33" s="53">
        <f>IF(G33="","",G33*9.49)</f>
        <v/>
      </c>
      <c r="AP33" s="53">
        <f>IF(AND(H33="",I33=""),"",IF(ISNUMBER(H33),H33*18.5,0)+IF(ISNUMBER(I33),I33*16.5,0))</f>
        <v/>
      </c>
      <c r="AQ33" s="53">
        <f>IF(E33="","",667.1)</f>
        <v/>
      </c>
      <c r="AR33" s="54">
        <f>IF(E33="","",IF(ISNUMBER(AM33),AM33,0)+IF(ISNUMBER(AN33),AN33,0)+IF(ISNUMBER(AO33),AO33,0)+IF(ISNUMBER(AP33),AP33,0)+IF(ISNUMBER(AQ33),AQ33,0))</f>
        <v/>
      </c>
      <c r="AS33" s="55">
        <f>IF(E33="","",MAX(E33-SUM(J33:S33),0)*43.0)</f>
        <v/>
      </c>
      <c r="AT33" s="55">
        <f>IF(E33="","",IF(ISNUMBER(J33),J33*39.14,0)+IF(ISNUMBER(K33),K33*12.23,0)+IF(ISNUMBER(L33),L33*12.15,0)+IF(ISNUMBER(M33),M33*7.62,0)+IF(ISNUMBER(N33),N33*10.21,0)+IF(ISNUMBER(O33),O33*6.15,0)+IF(ISNUMBER(P33),P33*12.24,0)+IF(ISNUMBER(Q33),Q33*39.14,0)+IF(ISNUMBER(R33),R33*39.14,0)+IF(ISNUMBER(S33),S33*40.31,0))</f>
        <v/>
      </c>
      <c r="AU33" s="56">
        <f>IF(E33="","",IF(ISNUMBER(AS33),AS33,0)+IF(ISNUMBER(AT33),AT33,0))</f>
        <v/>
      </c>
      <c r="AV33" s="55">
        <f>IF(F33="","",MAX(F33-SUM(T33:X33),0)*25.0+IF(ISNUMBER(T33),T33*19.69,0)+IF(ISNUMBER(U33),U33*16.74,0)+IF(ISNUMBER(V33),V33*20.28,0)+IF(ISNUMBER(W33),W33*19.69,0)+IF(ISNUMBER(X33),X33*19.69,0))</f>
        <v/>
      </c>
      <c r="AW33" s="55">
        <f>IF(G33="","",MAX(G33-SUM(Y33:AG33),0)*13.44+IF(ISNUMBER(Y33),Y33*11.84,0)+IF(ISNUMBER(Z33),Z33*14.34,0)+IF(ISNUMBER(AA33),AA33*16.93,0)+IF(ISNUMBER(AB33),AB33*19.52,0)+IF(ISNUMBER(AC33),AC33*22.35,0)+IF(ISNUMBER(AD33),AD33*13.92,0)+IF(ISNUMBER(AE33),AE33*21.55,0)+IF(ISNUMBER(AF33),AF33*13.92,0)+IF(ISNUMBER(AG33),AG33*13.92,0))</f>
        <v/>
      </c>
      <c r="AX33" s="55">
        <f>IF(AND(H33="",I33=""),"",65.0+IF(ISNUMBER(AH33),AH33*30.23,0)+IF(ISNUMBER(AI33),AI33*30.23,0)+IF(ISNUMBER(AJ33),AJ33*28.0,0))</f>
        <v/>
      </c>
      <c r="AY33" s="55">
        <f>IF(E33="","",953.0)</f>
        <v/>
      </c>
      <c r="AZ33" s="57">
        <f>IF(E33="","",IF(ISNUMBER(AU33),AU33,0)+IF(ISNUMBER(AV33),AV33,0)+IF(ISNUMBER(AW33),AW33,0)+IF(ISNUMBER(AX33),AX33,0)+IF(ISNUMBER(AY33),AY33,0))</f>
        <v/>
      </c>
      <c r="BA33" s="58">
        <f>IF(OR(E33="",AZ33=""),"",AZ33-AR33)</f>
        <v/>
      </c>
      <c r="BB33" s="59">
        <f>IF(OR(E33="",AZ33=0),"",BA33/AZ33)</f>
        <v/>
      </c>
      <c r="BC33" s="60" t="n"/>
    </row>
    <row r="34" ht="16" customHeight="1">
      <c r="A34" s="45" t="inlineStr">
        <is>
          <t>4/27/2026</t>
        </is>
      </c>
      <c r="B34" s="46" t="inlineStr">
        <is>
          <t>SK0910</t>
        </is>
      </c>
      <c r="C34" s="46" t="inlineStr">
        <is>
          <t>3333</t>
        </is>
      </c>
      <c r="D34" s="46" t="inlineStr">
        <is>
          <t>C3</t>
        </is>
      </c>
      <c r="E34" s="47" t="n"/>
      <c r="F34" s="47" t="n"/>
      <c r="G34" s="47" t="n"/>
      <c r="H34" s="47" t="n"/>
      <c r="I34" s="47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9" t="n"/>
      <c r="U34" s="49" t="n"/>
      <c r="V34" s="49" t="n"/>
      <c r="W34" s="49" t="n"/>
      <c r="X34" s="49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  <c r="AH34" s="47" t="n"/>
      <c r="AI34" s="47" t="n"/>
      <c r="AJ34" s="47" t="n"/>
      <c r="AK34" s="51" t="n"/>
      <c r="AL34" s="52" t="n"/>
      <c r="AM34" s="53">
        <f>IF(E34="","",E34*28.99)</f>
        <v/>
      </c>
      <c r="AN34" s="53">
        <f>IF(F34="","",F34*19.44)</f>
        <v/>
      </c>
      <c r="AO34" s="53">
        <f>IF(G34="","",G34*9.49)</f>
        <v/>
      </c>
      <c r="AP34" s="53">
        <f>IF(AND(H34="",I34=""),"",IF(ISNUMBER(H34),H34*18.5,0)+IF(ISNUMBER(I34),I34*16.5,0))</f>
        <v/>
      </c>
      <c r="AQ34" s="53">
        <f>IF(E34="","",667.1)</f>
        <v/>
      </c>
      <c r="AR34" s="54">
        <f>IF(E34="","",IF(ISNUMBER(AM34),AM34,0)+IF(ISNUMBER(AN34),AN34,0)+IF(ISNUMBER(AO34),AO34,0)+IF(ISNUMBER(AP34),AP34,0)+IF(ISNUMBER(AQ34),AQ34,0))</f>
        <v/>
      </c>
      <c r="AS34" s="55">
        <f>IF(E34="","",MAX(E34-SUM(J34:S34),0)*43.0)</f>
        <v/>
      </c>
      <c r="AT34" s="55">
        <f>IF(E34="","",IF(ISNUMBER(J34),J34*39.14,0)+IF(ISNUMBER(K34),K34*12.23,0)+IF(ISNUMBER(L34),L34*12.15,0)+IF(ISNUMBER(M34),M34*7.62,0)+IF(ISNUMBER(N34),N34*10.21,0)+IF(ISNUMBER(O34),O34*6.15,0)+IF(ISNUMBER(P34),P34*12.24,0)+IF(ISNUMBER(Q34),Q34*39.14,0)+IF(ISNUMBER(R34),R34*39.14,0)+IF(ISNUMBER(S34),S34*40.31,0))</f>
        <v/>
      </c>
      <c r="AU34" s="56">
        <f>IF(E34="","",IF(ISNUMBER(AS34),AS34,0)+IF(ISNUMBER(AT34),AT34,0))</f>
        <v/>
      </c>
      <c r="AV34" s="55">
        <f>IF(F34="","",MAX(F34-SUM(T34:X34),0)*25.0+IF(ISNUMBER(T34),T34*19.69,0)+IF(ISNUMBER(U34),U34*16.74,0)+IF(ISNUMBER(V34),V34*20.28,0)+IF(ISNUMBER(W34),W34*19.69,0)+IF(ISNUMBER(X34),X34*19.69,0))</f>
        <v/>
      </c>
      <c r="AW34" s="55">
        <f>IF(G34="","",MAX(G34-SUM(Y34:AG34),0)*13.44+IF(ISNUMBER(Y34),Y34*11.84,0)+IF(ISNUMBER(Z34),Z34*14.34,0)+IF(ISNUMBER(AA34),AA34*16.93,0)+IF(ISNUMBER(AB34),AB34*19.52,0)+IF(ISNUMBER(AC34),AC34*22.35,0)+IF(ISNUMBER(AD34),AD34*13.92,0)+IF(ISNUMBER(AE34),AE34*21.55,0)+IF(ISNUMBER(AF34),AF34*13.92,0)+IF(ISNUMBER(AG34),AG34*13.92,0))</f>
        <v/>
      </c>
      <c r="AX34" s="55">
        <f>IF(AND(H34="",I34=""),"",65.0+IF(ISNUMBER(AH34),AH34*30.23,0)+IF(ISNUMBER(AI34),AI34*30.23,0)+IF(ISNUMBER(AJ34),AJ34*28.0,0))</f>
        <v/>
      </c>
      <c r="AY34" s="55">
        <f>IF(E34="","",953.0)</f>
        <v/>
      </c>
      <c r="AZ34" s="57">
        <f>IF(E34="","",IF(ISNUMBER(AU34),AU34,0)+IF(ISNUMBER(AV34),AV34,0)+IF(ISNUMBER(AW34),AW34,0)+IF(ISNUMBER(AX34),AX34,0)+IF(ISNUMBER(AY34),AY34,0))</f>
        <v/>
      </c>
      <c r="BA34" s="58">
        <f>IF(OR(E34="",AZ34=""),"",AZ34-AR34)</f>
        <v/>
      </c>
      <c r="BB34" s="59">
        <f>IF(OR(E34="",AZ34=0),"",BA34/AZ34)</f>
        <v/>
      </c>
      <c r="BC34" s="60" t="n"/>
    </row>
    <row r="35" ht="16" customHeight="1">
      <c r="A35" s="45" t="inlineStr">
        <is>
          <t>4/30/2026</t>
        </is>
      </c>
      <c r="B35" s="46" t="inlineStr">
        <is>
          <t>SK0910</t>
        </is>
      </c>
      <c r="C35" s="46" t="inlineStr">
        <is>
          <t>3333</t>
        </is>
      </c>
      <c r="D35" s="46" t="inlineStr">
        <is>
          <t>C3</t>
        </is>
      </c>
      <c r="E35" s="47" t="n"/>
      <c r="F35" s="47" t="n"/>
      <c r="G35" s="47" t="n"/>
      <c r="H35" s="47" t="n"/>
      <c r="I35" s="47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9" t="n"/>
      <c r="U35" s="49" t="n"/>
      <c r="V35" s="49" t="n"/>
      <c r="W35" s="49" t="n"/>
      <c r="X35" s="49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47" t="n"/>
      <c r="AI35" s="47" t="n"/>
      <c r="AJ35" s="47" t="n"/>
      <c r="AK35" s="51" t="n"/>
      <c r="AL35" s="52" t="n"/>
      <c r="AM35" s="53">
        <f>IF(E35="","",E35*28.99)</f>
        <v/>
      </c>
      <c r="AN35" s="53">
        <f>IF(F35="","",F35*19.44)</f>
        <v/>
      </c>
      <c r="AO35" s="53">
        <f>IF(G35="","",G35*9.49)</f>
        <v/>
      </c>
      <c r="AP35" s="53">
        <f>IF(AND(H35="",I35=""),"",IF(ISNUMBER(H35),H35*18.5,0)+IF(ISNUMBER(I35),I35*16.5,0))</f>
        <v/>
      </c>
      <c r="AQ35" s="53">
        <f>IF(E35="","",667.1)</f>
        <v/>
      </c>
      <c r="AR35" s="54">
        <f>IF(E35="","",IF(ISNUMBER(AM35),AM35,0)+IF(ISNUMBER(AN35),AN35,0)+IF(ISNUMBER(AO35),AO35,0)+IF(ISNUMBER(AP35),AP35,0)+IF(ISNUMBER(AQ35),AQ35,0))</f>
        <v/>
      </c>
      <c r="AS35" s="55">
        <f>IF(E35="","",MAX(E35-SUM(J35:S35),0)*43.0)</f>
        <v/>
      </c>
      <c r="AT35" s="55">
        <f>IF(E35="","",IF(ISNUMBER(J35),J35*39.14,0)+IF(ISNUMBER(K35),K35*12.23,0)+IF(ISNUMBER(L35),L35*12.15,0)+IF(ISNUMBER(M35),M35*7.62,0)+IF(ISNUMBER(N35),N35*10.21,0)+IF(ISNUMBER(O35),O35*6.15,0)+IF(ISNUMBER(P35),P35*12.24,0)+IF(ISNUMBER(Q35),Q35*39.14,0)+IF(ISNUMBER(R35),R35*39.14,0)+IF(ISNUMBER(S35),S35*40.31,0))</f>
        <v/>
      </c>
      <c r="AU35" s="56">
        <f>IF(E35="","",IF(ISNUMBER(AS35),AS35,0)+IF(ISNUMBER(AT35),AT35,0))</f>
        <v/>
      </c>
      <c r="AV35" s="55">
        <f>IF(F35="","",MAX(F35-SUM(T35:X35),0)*25.0+IF(ISNUMBER(T35),T35*19.69,0)+IF(ISNUMBER(U35),U35*16.74,0)+IF(ISNUMBER(V35),V35*20.28,0)+IF(ISNUMBER(W35),W35*19.69,0)+IF(ISNUMBER(X35),X35*19.69,0))</f>
        <v/>
      </c>
      <c r="AW35" s="55">
        <f>IF(G35="","",MAX(G35-SUM(Y35:AG35),0)*13.44+IF(ISNUMBER(Y35),Y35*11.84,0)+IF(ISNUMBER(Z35),Z35*14.34,0)+IF(ISNUMBER(AA35),AA35*16.93,0)+IF(ISNUMBER(AB35),AB35*19.52,0)+IF(ISNUMBER(AC35),AC35*22.35,0)+IF(ISNUMBER(AD35),AD35*13.92,0)+IF(ISNUMBER(AE35),AE35*21.55,0)+IF(ISNUMBER(AF35),AF35*13.92,0)+IF(ISNUMBER(AG35),AG35*13.92,0))</f>
        <v/>
      </c>
      <c r="AX35" s="55">
        <f>IF(AND(H35="",I35=""),"",65.0+IF(ISNUMBER(AH35),AH35*30.23,0)+IF(ISNUMBER(AI35),AI35*30.23,0)+IF(ISNUMBER(AJ35),AJ35*28.0,0))</f>
        <v/>
      </c>
      <c r="AY35" s="55">
        <f>IF(E35="","",953.0)</f>
        <v/>
      </c>
      <c r="AZ35" s="57">
        <f>IF(E35="","",IF(ISNUMBER(AU35),AU35,0)+IF(ISNUMBER(AV35),AV35,0)+IF(ISNUMBER(AW35),AW35,0)+IF(ISNUMBER(AX35),AX35,0)+IF(ISNUMBER(AY35),AY35,0))</f>
        <v/>
      </c>
      <c r="BA35" s="58">
        <f>IF(OR(E35="",AZ35=""),"",AZ35-AR35)</f>
        <v/>
      </c>
      <c r="BB35" s="59">
        <f>IF(OR(E35="",AZ35=0),"",BA35/AZ35)</f>
        <v/>
      </c>
      <c r="BC35" s="60" t="n"/>
    </row>
    <row r="36" ht="16" customHeight="1">
      <c r="A36" s="45" t="inlineStr">
        <is>
          <t>5/2/2026</t>
        </is>
      </c>
      <c r="B36" s="46" t="inlineStr">
        <is>
          <t>SK0910</t>
        </is>
      </c>
      <c r="C36" s="46" t="inlineStr">
        <is>
          <t>3333</t>
        </is>
      </c>
      <c r="D36" s="46" t="inlineStr">
        <is>
          <t>C4</t>
        </is>
      </c>
      <c r="E36" s="50" t="n">
        <v>22</v>
      </c>
      <c r="F36" s="50" t="n">
        <v>30</v>
      </c>
      <c r="G36" s="50" t="n">
        <v>152</v>
      </c>
      <c r="H36" s="50" t="n">
        <v>6</v>
      </c>
      <c r="I36" s="50" t="n">
        <v>2</v>
      </c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9" t="n"/>
      <c r="U36" s="49" t="n"/>
      <c r="V36" s="49" t="n"/>
      <c r="W36" s="49" t="n"/>
      <c r="X36" s="49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  <c r="AH36" s="47" t="n"/>
      <c r="AI36" s="47" t="n"/>
      <c r="AJ36" s="47" t="n"/>
      <c r="AK36" s="51" t="n"/>
      <c r="AL36" s="52" t="n"/>
      <c r="AM36" s="53">
        <f>IF(E36="","",E36*30.96)</f>
        <v/>
      </c>
      <c r="AN36" s="53">
        <f>IF(F36="","",F36*18.3)</f>
        <v/>
      </c>
      <c r="AO36" s="53">
        <f>IF(G36="","",G36*10.45)</f>
        <v/>
      </c>
      <c r="AP36" s="53">
        <f>IF(AND(H36="",I36=""),"",IF(ISNUMBER(H36),H36*18.43,0)+IF(ISNUMBER(I36),I36*20.28,0))</f>
        <v/>
      </c>
      <c r="AQ36" s="53">
        <f>IF(E36="","",667.1)</f>
        <v/>
      </c>
      <c r="AR36" s="54">
        <f>IF(E36="","",IF(ISNUMBER(AM36),AM36,0)+IF(ISNUMBER(AN36),AN36,0)+IF(ISNUMBER(AO36),AO36,0)+IF(ISNUMBER(AP36),AP36,0)+IF(ISNUMBER(AQ36),AQ36,0))</f>
        <v/>
      </c>
      <c r="AS36" s="55">
        <f>IF(E36="","",MAX(E36-SUM(J36:S36),0)*43.5)</f>
        <v/>
      </c>
      <c r="AT36" s="55">
        <f>IF(E36="","",IF(ISNUMBER(J36),J36*39.14,0)+IF(ISNUMBER(K36),K36*12.23,0)+IF(ISNUMBER(L36),L36*12.15,0)+IF(ISNUMBER(M36),M36*7.62,0)+IF(ISNUMBER(N36),N36*10.21,0)+IF(ISNUMBER(O36),O36*6.15,0)+IF(ISNUMBER(P36),P36*12.24,0)+IF(ISNUMBER(Q36),Q36*39.14,0)+IF(ISNUMBER(R36),R36*39.14,0)+IF(ISNUMBER(S36),S36*40.31,0))</f>
        <v/>
      </c>
      <c r="AU36" s="56">
        <f>IF(E36="","",IF(ISNUMBER(AS36),AS36,0)+IF(ISNUMBER(AT36),AT36,0))</f>
        <v/>
      </c>
      <c r="AV36" s="55">
        <f>IF(F36="","",MAX(F36-SUM(T36:X36),0)*23.5+IF(ISNUMBER(T36),T36*19.69,0)+IF(ISNUMBER(U36),U36*16.74,0)+IF(ISNUMBER(V36),V36*20.28,0)+IF(ISNUMBER(W36),W36*19.69,0)+IF(ISNUMBER(X36),X36*19.69,0))</f>
        <v/>
      </c>
      <c r="AW36" s="55">
        <f>IF(G36="","",MAX(G36-SUM(Y36:AG36),0)*14.5+IF(ISNUMBER(Y36),Y36*11.84,0)+IF(ISNUMBER(Z36),Z36*14.34,0)+IF(ISNUMBER(AA36),AA36*16.93,0)+IF(ISNUMBER(AB36),AB36*19.52,0)+IF(ISNUMBER(AC36),AC36*22.35,0)+IF(ISNUMBER(AD36),AD36*13.92,0)+IF(ISNUMBER(AE36),AE36*21.55,0)+IF(ISNUMBER(AF36),AF36*13.92,0)+IF(ISNUMBER(AG36),AG36*13.92,0))</f>
        <v/>
      </c>
      <c r="AX36" s="55">
        <f>IF(AND(H36="",I36=""),"",65.0+IF(ISNUMBER(AH36),AH36*30.23,0)+IF(ISNUMBER(AI36),AI36*30.23,0)+IF(ISNUMBER(AJ36),AJ36*28.0,0))</f>
        <v/>
      </c>
      <c r="AY36" s="55">
        <f>IF(E36="","",953.0)</f>
        <v/>
      </c>
      <c r="AZ36" s="57">
        <f>IF(E36="","",IF(ISNUMBER(AU36),AU36,0)+IF(ISNUMBER(AV36),AV36,0)+IF(ISNUMBER(AW36),AW36,0)+IF(ISNUMBER(AX36),AX36,0)+IF(ISNUMBER(AY36),AY36,0))</f>
        <v/>
      </c>
      <c r="BA36" s="58">
        <f>IF(OR(E36="",AZ36=""),"",AZ36-AR36)</f>
        <v/>
      </c>
      <c r="BB36" s="59">
        <f>IF(OR(E36="",AZ36=0),"",BA36/AZ36)</f>
        <v/>
      </c>
      <c r="BC36" s="60" t="n">
        <v>6236.62</v>
      </c>
    </row>
    <row r="37" ht="16" customHeight="1">
      <c r="A37" s="45" t="inlineStr">
        <is>
          <t>5/4/2026</t>
        </is>
      </c>
      <c r="B37" s="46" t="inlineStr">
        <is>
          <t>SK0910</t>
        </is>
      </c>
      <c r="C37" s="46" t="inlineStr">
        <is>
          <t>3333</t>
        </is>
      </c>
      <c r="D37" s="46" t="inlineStr">
        <is>
          <t>C4</t>
        </is>
      </c>
      <c r="E37" s="50" t="n">
        <v>25</v>
      </c>
      <c r="F37" s="50" t="n">
        <v>32</v>
      </c>
      <c r="G37" s="50" t="n">
        <v>160</v>
      </c>
      <c r="H37" s="50" t="n">
        <v>6</v>
      </c>
      <c r="I37" s="50" t="n">
        <v>2</v>
      </c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9" t="n"/>
      <c r="U37" s="49" t="n"/>
      <c r="V37" s="49" t="n"/>
      <c r="W37" s="49" t="n"/>
      <c r="X37" s="49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47" t="n"/>
      <c r="AI37" s="47" t="n"/>
      <c r="AJ37" s="47" t="n"/>
      <c r="AK37" s="51" t="n"/>
      <c r="AL37" s="52" t="n"/>
      <c r="AM37" s="53">
        <f>IF(E37="","",E37*30.96)</f>
        <v/>
      </c>
      <c r="AN37" s="53">
        <f>IF(F37="","",F37*18.3)</f>
        <v/>
      </c>
      <c r="AO37" s="53">
        <f>IF(G37="","",G37*10.45)</f>
        <v/>
      </c>
      <c r="AP37" s="53">
        <f>IF(AND(H37="",I37=""),"",IF(ISNUMBER(H37),H37*18.43,0)+IF(ISNUMBER(I37),I37*20.28,0))</f>
        <v/>
      </c>
      <c r="AQ37" s="53">
        <f>IF(E37="","",667.1)</f>
        <v/>
      </c>
      <c r="AR37" s="54">
        <f>IF(E37="","",IF(ISNUMBER(AM37),AM37,0)+IF(ISNUMBER(AN37),AN37,0)+IF(ISNUMBER(AO37),AO37,0)+IF(ISNUMBER(AP37),AP37,0)+IF(ISNUMBER(AQ37),AQ37,0))</f>
        <v/>
      </c>
      <c r="AS37" s="55">
        <f>IF(E37="","",MAX(E37-SUM(J37:S37),0)*43.5)</f>
        <v/>
      </c>
      <c r="AT37" s="55">
        <f>IF(E37="","",IF(ISNUMBER(J37),J37*39.14,0)+IF(ISNUMBER(K37),K37*12.23,0)+IF(ISNUMBER(L37),L37*12.15,0)+IF(ISNUMBER(M37),M37*7.62,0)+IF(ISNUMBER(N37),N37*10.21,0)+IF(ISNUMBER(O37),O37*6.15,0)+IF(ISNUMBER(P37),P37*12.24,0)+IF(ISNUMBER(Q37),Q37*39.14,0)+IF(ISNUMBER(R37),R37*39.14,0)+IF(ISNUMBER(S37),S37*40.31,0))</f>
        <v/>
      </c>
      <c r="AU37" s="56">
        <f>IF(E37="","",IF(ISNUMBER(AS37),AS37,0)+IF(ISNUMBER(AT37),AT37,0))</f>
        <v/>
      </c>
      <c r="AV37" s="55">
        <f>IF(F37="","",MAX(F37-SUM(T37:X37),0)*23.5+IF(ISNUMBER(T37),T37*19.69,0)+IF(ISNUMBER(U37),U37*16.74,0)+IF(ISNUMBER(V37),V37*20.28,0)+IF(ISNUMBER(W37),W37*19.69,0)+IF(ISNUMBER(X37),X37*19.69,0))</f>
        <v/>
      </c>
      <c r="AW37" s="55">
        <f>IF(G37="","",MAX(G37-SUM(Y37:AG37),0)*14.5+IF(ISNUMBER(Y37),Y37*11.84,0)+IF(ISNUMBER(Z37),Z37*14.34,0)+IF(ISNUMBER(AA37),AA37*16.93,0)+IF(ISNUMBER(AB37),AB37*19.52,0)+IF(ISNUMBER(AC37),AC37*22.35,0)+IF(ISNUMBER(AD37),AD37*13.92,0)+IF(ISNUMBER(AE37),AE37*21.55,0)+IF(ISNUMBER(AF37),AF37*13.92,0)+IF(ISNUMBER(AG37),AG37*13.92,0))</f>
        <v/>
      </c>
      <c r="AX37" s="55">
        <f>IF(AND(H37="",I37=""),"",65.0+IF(ISNUMBER(AH37),AH37*30.23,0)+IF(ISNUMBER(AI37),AI37*30.23,0)+IF(ISNUMBER(AJ37),AJ37*28.0,0))</f>
        <v/>
      </c>
      <c r="AY37" s="55">
        <f>IF(E37="","",953.0)</f>
        <v/>
      </c>
      <c r="AZ37" s="57">
        <f>IF(E37="","",IF(ISNUMBER(AU37),AU37,0)+IF(ISNUMBER(AV37),AV37,0)+IF(ISNUMBER(AW37),AW37,0)+IF(ISNUMBER(AX37),AX37,0)+IF(ISNUMBER(AY37),AY37,0))</f>
        <v/>
      </c>
      <c r="BA37" s="58">
        <f>IF(OR(E37="",AZ37=""),"",AZ37-AR37)</f>
        <v/>
      </c>
      <c r="BB37" s="59">
        <f>IF(OR(E37="",AZ37=0),"",BA37/AZ37)</f>
        <v/>
      </c>
      <c r="BC37" s="60" t="n"/>
    </row>
    <row r="38" ht="16" customHeight="1">
      <c r="A38" s="45" t="inlineStr">
        <is>
          <t>5/5/2026</t>
        </is>
      </c>
      <c r="B38" s="46" t="inlineStr">
        <is>
          <t>SK0910</t>
        </is>
      </c>
      <c r="C38" s="46" t="inlineStr">
        <is>
          <t>3333</t>
        </is>
      </c>
      <c r="D38" s="46" t="inlineStr">
        <is>
          <t>C4</t>
        </is>
      </c>
      <c r="E38" s="50" t="n">
        <v>23</v>
      </c>
      <c r="F38" s="50" t="n">
        <v>31</v>
      </c>
      <c r="G38" s="50" t="n">
        <v>155</v>
      </c>
      <c r="H38" s="50" t="n">
        <v>6</v>
      </c>
      <c r="I38" s="50" t="n">
        <v>2</v>
      </c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9" t="n"/>
      <c r="U38" s="49" t="n"/>
      <c r="V38" s="49" t="n"/>
      <c r="W38" s="49" t="n"/>
      <c r="X38" s="49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47" t="n"/>
      <c r="AI38" s="47" t="n"/>
      <c r="AJ38" s="47" t="n"/>
      <c r="AK38" s="51" t="n"/>
      <c r="AL38" s="52" t="n"/>
      <c r="AM38" s="53">
        <f>IF(E38="","",E38*30.96)</f>
        <v/>
      </c>
      <c r="AN38" s="53">
        <f>IF(F38="","",F38*18.3)</f>
        <v/>
      </c>
      <c r="AO38" s="53">
        <f>IF(G38="","",G38*10.45)</f>
        <v/>
      </c>
      <c r="AP38" s="53">
        <f>IF(AND(H38="",I38=""),"",IF(ISNUMBER(H38),H38*18.43,0)+IF(ISNUMBER(I38),I38*20.28,0))</f>
        <v/>
      </c>
      <c r="AQ38" s="53">
        <f>IF(E38="","",667.1)</f>
        <v/>
      </c>
      <c r="AR38" s="54">
        <f>IF(E38="","",IF(ISNUMBER(AM38),AM38,0)+IF(ISNUMBER(AN38),AN38,0)+IF(ISNUMBER(AO38),AO38,0)+IF(ISNUMBER(AP38),AP38,0)+IF(ISNUMBER(AQ38),AQ38,0))</f>
        <v/>
      </c>
      <c r="AS38" s="55">
        <f>IF(E38="","",MAX(E38-SUM(J38:S38),0)*43.5)</f>
        <v/>
      </c>
      <c r="AT38" s="55">
        <f>IF(E38="","",IF(ISNUMBER(J38),J38*39.14,0)+IF(ISNUMBER(K38),K38*12.23,0)+IF(ISNUMBER(L38),L38*12.15,0)+IF(ISNUMBER(M38),M38*7.62,0)+IF(ISNUMBER(N38),N38*10.21,0)+IF(ISNUMBER(O38),O38*6.15,0)+IF(ISNUMBER(P38),P38*12.24,0)+IF(ISNUMBER(Q38),Q38*39.14,0)+IF(ISNUMBER(R38),R38*39.14,0)+IF(ISNUMBER(S38),S38*40.31,0))</f>
        <v/>
      </c>
      <c r="AU38" s="56">
        <f>IF(E38="","",IF(ISNUMBER(AS38),AS38,0)+IF(ISNUMBER(AT38),AT38,0))</f>
        <v/>
      </c>
      <c r="AV38" s="55">
        <f>IF(F38="","",MAX(F38-SUM(T38:X38),0)*23.5+IF(ISNUMBER(T38),T38*19.69,0)+IF(ISNUMBER(U38),U38*16.74,0)+IF(ISNUMBER(V38),V38*20.28,0)+IF(ISNUMBER(W38),W38*19.69,0)+IF(ISNUMBER(X38),X38*19.69,0))</f>
        <v/>
      </c>
      <c r="AW38" s="55">
        <f>IF(G38="","",MAX(G38-SUM(Y38:AG38),0)*14.5+IF(ISNUMBER(Y38),Y38*11.84,0)+IF(ISNUMBER(Z38),Z38*14.34,0)+IF(ISNUMBER(AA38),AA38*16.93,0)+IF(ISNUMBER(AB38),AB38*19.52,0)+IF(ISNUMBER(AC38),AC38*22.35,0)+IF(ISNUMBER(AD38),AD38*13.92,0)+IF(ISNUMBER(AE38),AE38*21.55,0)+IF(ISNUMBER(AF38),AF38*13.92,0)+IF(ISNUMBER(AG38),AG38*13.92,0))</f>
        <v/>
      </c>
      <c r="AX38" s="55">
        <f>IF(AND(H38="",I38=""),"",65.0+IF(ISNUMBER(AH38),AH38*30.23,0)+IF(ISNUMBER(AI38),AI38*30.23,0)+IF(ISNUMBER(AJ38),AJ38*28.0,0))</f>
        <v/>
      </c>
      <c r="AY38" s="55">
        <f>IF(E38="","",953.0)</f>
        <v/>
      </c>
      <c r="AZ38" s="57">
        <f>IF(E38="","",IF(ISNUMBER(AU38),AU38,0)+IF(ISNUMBER(AV38),AV38,0)+IF(ISNUMBER(AW38),AW38,0)+IF(ISNUMBER(AX38),AX38,0)+IF(ISNUMBER(AY38),AY38,0))</f>
        <v/>
      </c>
      <c r="BA38" s="58">
        <f>IF(OR(E38="",AZ38=""),"",AZ38-AR38)</f>
        <v/>
      </c>
      <c r="BB38" s="59">
        <f>IF(OR(E38="",AZ38=0),"",BA38/AZ38)</f>
        <v/>
      </c>
      <c r="BC38" s="60" t="n">
        <v>6376.98</v>
      </c>
    </row>
    <row r="39" ht="16" customHeight="1">
      <c r="A39" s="45" t="inlineStr">
        <is>
          <t>5/7/2026</t>
        </is>
      </c>
      <c r="B39" s="46" t="inlineStr">
        <is>
          <t>SK0910</t>
        </is>
      </c>
      <c r="C39" s="46" t="inlineStr">
        <is>
          <t>3333</t>
        </is>
      </c>
      <c r="D39" s="46" t="inlineStr">
        <is>
          <t>C4</t>
        </is>
      </c>
      <c r="E39" s="50" t="n">
        <v>24</v>
      </c>
      <c r="F39" s="50" t="n">
        <v>29</v>
      </c>
      <c r="G39" s="50" t="n">
        <v>158</v>
      </c>
      <c r="H39" s="50" t="n">
        <v>6</v>
      </c>
      <c r="I39" s="50" t="n">
        <v>2</v>
      </c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9" t="n"/>
      <c r="U39" s="49" t="n"/>
      <c r="V39" s="49" t="n"/>
      <c r="W39" s="49" t="n"/>
      <c r="X39" s="49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47" t="n"/>
      <c r="AI39" s="47" t="n"/>
      <c r="AJ39" s="47" t="n"/>
      <c r="AK39" s="51" t="n"/>
      <c r="AL39" s="52" t="n"/>
      <c r="AM39" s="53">
        <f>IF(E39="","",E39*30.96)</f>
        <v/>
      </c>
      <c r="AN39" s="53">
        <f>IF(F39="","",F39*18.3)</f>
        <v/>
      </c>
      <c r="AO39" s="53">
        <f>IF(G39="","",G39*10.45)</f>
        <v/>
      </c>
      <c r="AP39" s="53">
        <f>IF(AND(H39="",I39=""),"",IF(ISNUMBER(H39),H39*18.43,0)+IF(ISNUMBER(I39),I39*20.28,0))</f>
        <v/>
      </c>
      <c r="AQ39" s="53">
        <f>IF(E39="","",667.1)</f>
        <v/>
      </c>
      <c r="AR39" s="54">
        <f>IF(E39="","",IF(ISNUMBER(AM39),AM39,0)+IF(ISNUMBER(AN39),AN39,0)+IF(ISNUMBER(AO39),AO39,0)+IF(ISNUMBER(AP39),AP39,0)+IF(ISNUMBER(AQ39),AQ39,0))</f>
        <v/>
      </c>
      <c r="AS39" s="55">
        <f>IF(E39="","",MAX(E39-SUM(J39:S39),0)*43.5)</f>
        <v/>
      </c>
      <c r="AT39" s="55">
        <f>IF(E39="","",IF(ISNUMBER(J39),J39*39.14,0)+IF(ISNUMBER(K39),K39*12.23,0)+IF(ISNUMBER(L39),L39*12.15,0)+IF(ISNUMBER(M39),M39*7.62,0)+IF(ISNUMBER(N39),N39*10.21,0)+IF(ISNUMBER(O39),O39*6.15,0)+IF(ISNUMBER(P39),P39*12.24,0)+IF(ISNUMBER(Q39),Q39*39.14,0)+IF(ISNUMBER(R39),R39*39.14,0)+IF(ISNUMBER(S39),S39*40.31,0))</f>
        <v/>
      </c>
      <c r="AU39" s="56">
        <f>IF(E39="","",IF(ISNUMBER(AS39),AS39,0)+IF(ISNUMBER(AT39),AT39,0))</f>
        <v/>
      </c>
      <c r="AV39" s="55">
        <f>IF(F39="","",MAX(F39-SUM(T39:X39),0)*23.5+IF(ISNUMBER(T39),T39*19.69,0)+IF(ISNUMBER(U39),U39*16.74,0)+IF(ISNUMBER(V39),V39*20.28,0)+IF(ISNUMBER(W39),W39*19.69,0)+IF(ISNUMBER(X39),X39*19.69,0))</f>
        <v/>
      </c>
      <c r="AW39" s="55">
        <f>IF(G39="","",MAX(G39-SUM(Y39:AG39),0)*14.5+IF(ISNUMBER(Y39),Y39*11.84,0)+IF(ISNUMBER(Z39),Z39*14.34,0)+IF(ISNUMBER(AA39),AA39*16.93,0)+IF(ISNUMBER(AB39),AB39*19.52,0)+IF(ISNUMBER(AC39),AC39*22.35,0)+IF(ISNUMBER(AD39),AD39*13.92,0)+IF(ISNUMBER(AE39),AE39*21.55,0)+IF(ISNUMBER(AF39),AF39*13.92,0)+IF(ISNUMBER(AG39),AG39*13.92,0))</f>
        <v/>
      </c>
      <c r="AX39" s="55">
        <f>IF(AND(H39="",I39=""),"",65.0+IF(ISNUMBER(AH39),AH39*30.23,0)+IF(ISNUMBER(AI39),AI39*30.23,0)+IF(ISNUMBER(AJ39),AJ39*28.0,0))</f>
        <v/>
      </c>
      <c r="AY39" s="55">
        <f>IF(E39="","",953.0)</f>
        <v/>
      </c>
      <c r="AZ39" s="57">
        <f>IF(E39="","",IF(ISNUMBER(AU39),AU39,0)+IF(ISNUMBER(AV39),AV39,0)+IF(ISNUMBER(AW39),AW39,0)+IF(ISNUMBER(AX39),AX39,0)+IF(ISNUMBER(AY39),AY39,0))</f>
        <v/>
      </c>
      <c r="BA39" s="58">
        <f>IF(OR(E39="",AZ39=""),"",AZ39-AR39)</f>
        <v/>
      </c>
      <c r="BB39" s="59">
        <f>IF(OR(E39="",AZ39=0),"",BA39/AZ39)</f>
        <v/>
      </c>
      <c r="BC39" s="60" t="n">
        <v>6362.49</v>
      </c>
    </row>
    <row r="40" ht="16" customHeight="1">
      <c r="A40" s="45" t="inlineStr">
        <is>
          <t>5/8/2026</t>
        </is>
      </c>
      <c r="B40" s="46" t="inlineStr">
        <is>
          <t>SK0910</t>
        </is>
      </c>
      <c r="C40" s="46" t="inlineStr">
        <is>
          <t>3333</t>
        </is>
      </c>
      <c r="D40" s="46" t="inlineStr">
        <is>
          <t>C4</t>
        </is>
      </c>
      <c r="E40" s="50" t="n">
        <v>21</v>
      </c>
      <c r="F40" s="50" t="n">
        <v>33</v>
      </c>
      <c r="G40" s="50" t="n">
        <v>149</v>
      </c>
      <c r="H40" s="50" t="n">
        <v>6</v>
      </c>
      <c r="I40" s="50" t="n">
        <v>2</v>
      </c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9" t="n"/>
      <c r="U40" s="49" t="n"/>
      <c r="V40" s="49" t="n"/>
      <c r="W40" s="49" t="n"/>
      <c r="X40" s="49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47" t="n"/>
      <c r="AI40" s="47" t="n"/>
      <c r="AJ40" s="47" t="n"/>
      <c r="AK40" s="51" t="n"/>
      <c r="AL40" s="52" t="n"/>
      <c r="AM40" s="53">
        <f>IF(E40="","",E40*30.96)</f>
        <v/>
      </c>
      <c r="AN40" s="53">
        <f>IF(F40="","",F40*18.3)</f>
        <v/>
      </c>
      <c r="AO40" s="53">
        <f>IF(G40="","",G40*10.45)</f>
        <v/>
      </c>
      <c r="AP40" s="53">
        <f>IF(AND(H40="",I40=""),"",IF(ISNUMBER(H40),H40*18.43,0)+IF(ISNUMBER(I40),I40*20.28,0))</f>
        <v/>
      </c>
      <c r="AQ40" s="53">
        <f>IF(E40="","",667.1)</f>
        <v/>
      </c>
      <c r="AR40" s="54">
        <f>IF(E40="","",IF(ISNUMBER(AM40),AM40,0)+IF(ISNUMBER(AN40),AN40,0)+IF(ISNUMBER(AO40),AO40,0)+IF(ISNUMBER(AP40),AP40,0)+IF(ISNUMBER(AQ40),AQ40,0))</f>
        <v/>
      </c>
      <c r="AS40" s="55">
        <f>IF(E40="","",MAX(E40-SUM(J40:S40),0)*43.5)</f>
        <v/>
      </c>
      <c r="AT40" s="55">
        <f>IF(E40="","",IF(ISNUMBER(J40),J40*39.14,0)+IF(ISNUMBER(K40),K40*12.23,0)+IF(ISNUMBER(L40),L40*12.15,0)+IF(ISNUMBER(M40),M40*7.62,0)+IF(ISNUMBER(N40),N40*10.21,0)+IF(ISNUMBER(O40),O40*6.15,0)+IF(ISNUMBER(P40),P40*12.24,0)+IF(ISNUMBER(Q40),Q40*39.14,0)+IF(ISNUMBER(R40),R40*39.14,0)+IF(ISNUMBER(S40),S40*40.31,0))</f>
        <v/>
      </c>
      <c r="AU40" s="56">
        <f>IF(E40="","",IF(ISNUMBER(AS40),AS40,0)+IF(ISNUMBER(AT40),AT40,0))</f>
        <v/>
      </c>
      <c r="AV40" s="55">
        <f>IF(F40="","",MAX(F40-SUM(T40:X40),0)*23.5+IF(ISNUMBER(T40),T40*19.69,0)+IF(ISNUMBER(U40),U40*16.74,0)+IF(ISNUMBER(V40),V40*20.28,0)+IF(ISNUMBER(W40),W40*19.69,0)+IF(ISNUMBER(X40),X40*19.69,0))</f>
        <v/>
      </c>
      <c r="AW40" s="55">
        <f>IF(G40="","",MAX(G40-SUM(Y40:AG40),0)*14.5+IF(ISNUMBER(Y40),Y40*11.84,0)+IF(ISNUMBER(Z40),Z40*14.34,0)+IF(ISNUMBER(AA40),AA40*16.93,0)+IF(ISNUMBER(AB40),AB40*19.52,0)+IF(ISNUMBER(AC40),AC40*22.35,0)+IF(ISNUMBER(AD40),AD40*13.92,0)+IF(ISNUMBER(AE40),AE40*21.55,0)+IF(ISNUMBER(AF40),AF40*13.92,0)+IF(ISNUMBER(AG40),AG40*13.92,0))</f>
        <v/>
      </c>
      <c r="AX40" s="55">
        <f>IF(AND(H40="",I40=""),"",65.0+IF(ISNUMBER(AH40),AH40*30.23,0)+IF(ISNUMBER(AI40),AI40*30.23,0)+IF(ISNUMBER(AJ40),AJ40*28.0,0))</f>
        <v/>
      </c>
      <c r="AY40" s="55">
        <f>IF(E40="","",953.0)</f>
        <v/>
      </c>
      <c r="AZ40" s="57">
        <f>IF(E40="","",IF(ISNUMBER(AU40),AU40,0)+IF(ISNUMBER(AV40),AV40,0)+IF(ISNUMBER(AW40),AW40,0)+IF(ISNUMBER(AX40),AX40,0)+IF(ISNUMBER(AY40),AY40,0))</f>
        <v/>
      </c>
      <c r="BA40" s="58">
        <f>IF(OR(E40="",AZ40=""),"",AZ40-AR40)</f>
        <v/>
      </c>
      <c r="BB40" s="59">
        <f>IF(OR(E40="",AZ40=0),"",BA40/AZ40)</f>
        <v/>
      </c>
      <c r="BC40" s="60" t="n"/>
    </row>
    <row r="41" ht="16" customHeight="1">
      <c r="A41" s="45" t="inlineStr">
        <is>
          <t>5/11/2026</t>
        </is>
      </c>
      <c r="B41" s="46" t="inlineStr">
        <is>
          <t>SK0910</t>
        </is>
      </c>
      <c r="C41" s="46" t="inlineStr">
        <is>
          <t>3333</t>
        </is>
      </c>
      <c r="D41" s="46" t="inlineStr">
        <is>
          <t>C4</t>
        </is>
      </c>
      <c r="E41" s="50" t="n">
        <v>26</v>
      </c>
      <c r="F41" s="50" t="n">
        <v>28</v>
      </c>
      <c r="G41" s="50" t="n">
        <v>162</v>
      </c>
      <c r="H41" s="50" t="n">
        <v>6</v>
      </c>
      <c r="I41" s="50" t="n">
        <v>2</v>
      </c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9" t="n"/>
      <c r="U41" s="49" t="n"/>
      <c r="V41" s="49" t="n"/>
      <c r="W41" s="49" t="n"/>
      <c r="X41" s="49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47" t="n"/>
      <c r="AI41" s="47" t="n"/>
      <c r="AJ41" s="47" t="n"/>
      <c r="AK41" s="51" t="n"/>
      <c r="AL41" s="52" t="n"/>
      <c r="AM41" s="53">
        <f>IF(E41="","",E41*30.96)</f>
        <v/>
      </c>
      <c r="AN41" s="53">
        <f>IF(F41="","",F41*18.3)</f>
        <v/>
      </c>
      <c r="AO41" s="53">
        <f>IF(G41="","",G41*10.45)</f>
        <v/>
      </c>
      <c r="AP41" s="53">
        <f>IF(AND(H41="",I41=""),"",IF(ISNUMBER(H41),H41*18.43,0)+IF(ISNUMBER(I41),I41*20.28,0))</f>
        <v/>
      </c>
      <c r="AQ41" s="53">
        <f>IF(E41="","",667.1)</f>
        <v/>
      </c>
      <c r="AR41" s="54">
        <f>IF(E41="","",IF(ISNUMBER(AM41),AM41,0)+IF(ISNUMBER(AN41),AN41,0)+IF(ISNUMBER(AO41),AO41,0)+IF(ISNUMBER(AP41),AP41,0)+IF(ISNUMBER(AQ41),AQ41,0))</f>
        <v/>
      </c>
      <c r="AS41" s="55">
        <f>IF(E41="","",MAX(E41-SUM(J41:S41),0)*43.5)</f>
        <v/>
      </c>
      <c r="AT41" s="55">
        <f>IF(E41="","",IF(ISNUMBER(J41),J41*39.14,0)+IF(ISNUMBER(K41),K41*12.23,0)+IF(ISNUMBER(L41),L41*12.15,0)+IF(ISNUMBER(M41),M41*7.62,0)+IF(ISNUMBER(N41),N41*10.21,0)+IF(ISNUMBER(O41),O41*6.15,0)+IF(ISNUMBER(P41),P41*12.24,0)+IF(ISNUMBER(Q41),Q41*39.14,0)+IF(ISNUMBER(R41),R41*39.14,0)+IF(ISNUMBER(S41),S41*40.31,0))</f>
        <v/>
      </c>
      <c r="AU41" s="56">
        <f>IF(E41="","",IF(ISNUMBER(AS41),AS41,0)+IF(ISNUMBER(AT41),AT41,0))</f>
        <v/>
      </c>
      <c r="AV41" s="55">
        <f>IF(F41="","",MAX(F41-SUM(T41:X41),0)*23.5+IF(ISNUMBER(T41),T41*19.69,0)+IF(ISNUMBER(U41),U41*16.74,0)+IF(ISNUMBER(V41),V41*20.28,0)+IF(ISNUMBER(W41),W41*19.69,0)+IF(ISNUMBER(X41),X41*19.69,0))</f>
        <v/>
      </c>
      <c r="AW41" s="55">
        <f>IF(G41="","",MAX(G41-SUM(Y41:AG41),0)*14.5+IF(ISNUMBER(Y41),Y41*11.84,0)+IF(ISNUMBER(Z41),Z41*14.34,0)+IF(ISNUMBER(AA41),AA41*16.93,0)+IF(ISNUMBER(AB41),AB41*19.52,0)+IF(ISNUMBER(AC41),AC41*22.35,0)+IF(ISNUMBER(AD41),AD41*13.92,0)+IF(ISNUMBER(AE41),AE41*21.55,0)+IF(ISNUMBER(AF41),AF41*13.92,0)+IF(ISNUMBER(AG41),AG41*13.92,0))</f>
        <v/>
      </c>
      <c r="AX41" s="55">
        <f>IF(AND(H41="",I41=""),"",65.0+IF(ISNUMBER(AH41),AH41*30.23,0)+IF(ISNUMBER(AI41),AI41*30.23,0)+IF(ISNUMBER(AJ41),AJ41*28.0,0))</f>
        <v/>
      </c>
      <c r="AY41" s="55">
        <f>IF(E41="","",953.0)</f>
        <v/>
      </c>
      <c r="AZ41" s="57">
        <f>IF(E41="","",IF(ISNUMBER(AU41),AU41,0)+IF(ISNUMBER(AV41),AV41,0)+IF(ISNUMBER(AW41),AW41,0)+IF(ISNUMBER(AX41),AX41,0)+IF(ISNUMBER(AY41),AY41,0))</f>
        <v/>
      </c>
      <c r="BA41" s="58">
        <f>IF(OR(E41="",AZ41=""),"",AZ41-AR41)</f>
        <v/>
      </c>
      <c r="BB41" s="59">
        <f>IF(OR(E41="",AZ41=0),"",BA41/AZ41)</f>
        <v/>
      </c>
      <c r="BC41" s="60" t="n"/>
    </row>
    <row r="42" ht="16" customHeight="1">
      <c r="A42" s="45" t="inlineStr">
        <is>
          <t>5/12/2026</t>
        </is>
      </c>
      <c r="B42" s="46" t="inlineStr">
        <is>
          <t>SK0910</t>
        </is>
      </c>
      <c r="C42" s="46" t="inlineStr">
        <is>
          <t>3333</t>
        </is>
      </c>
      <c r="D42" s="46" t="inlineStr">
        <is>
          <t>C4</t>
        </is>
      </c>
      <c r="E42" s="50" t="n">
        <v>20</v>
      </c>
      <c r="F42" s="50" t="n">
        <v>34</v>
      </c>
      <c r="G42" s="50" t="n">
        <v>145</v>
      </c>
      <c r="H42" s="50" t="n">
        <v>6</v>
      </c>
      <c r="I42" s="50" t="n">
        <v>2</v>
      </c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9" t="n"/>
      <c r="U42" s="49" t="n"/>
      <c r="V42" s="49" t="n"/>
      <c r="W42" s="49" t="n"/>
      <c r="X42" s="49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47" t="n"/>
      <c r="AI42" s="47" t="n"/>
      <c r="AJ42" s="47" t="n"/>
      <c r="AK42" s="51" t="n"/>
      <c r="AL42" s="52" t="n"/>
      <c r="AM42" s="53">
        <f>IF(E42="","",E42*30.96)</f>
        <v/>
      </c>
      <c r="AN42" s="53">
        <f>IF(F42="","",F42*18.3)</f>
        <v/>
      </c>
      <c r="AO42" s="53">
        <f>IF(G42="","",G42*10.45)</f>
        <v/>
      </c>
      <c r="AP42" s="53">
        <f>IF(AND(H42="",I42=""),"",IF(ISNUMBER(H42),H42*18.43,0)+IF(ISNUMBER(I42),I42*20.28,0))</f>
        <v/>
      </c>
      <c r="AQ42" s="53">
        <f>IF(E42="","",667.1)</f>
        <v/>
      </c>
      <c r="AR42" s="54">
        <f>IF(E42="","",IF(ISNUMBER(AM42),AM42,0)+IF(ISNUMBER(AN42),AN42,0)+IF(ISNUMBER(AO42),AO42,0)+IF(ISNUMBER(AP42),AP42,0)+IF(ISNUMBER(AQ42),AQ42,0))</f>
        <v/>
      </c>
      <c r="AS42" s="55">
        <f>IF(E42="","",MAX(E42-SUM(J42:S42),0)*43.5)</f>
        <v/>
      </c>
      <c r="AT42" s="55">
        <f>IF(E42="","",IF(ISNUMBER(J42),J42*39.14,0)+IF(ISNUMBER(K42),K42*12.23,0)+IF(ISNUMBER(L42),L42*12.15,0)+IF(ISNUMBER(M42),M42*7.62,0)+IF(ISNUMBER(N42),N42*10.21,0)+IF(ISNUMBER(O42),O42*6.15,0)+IF(ISNUMBER(P42),P42*12.24,0)+IF(ISNUMBER(Q42),Q42*39.14,0)+IF(ISNUMBER(R42),R42*39.14,0)+IF(ISNUMBER(S42),S42*40.31,0))</f>
        <v/>
      </c>
      <c r="AU42" s="56">
        <f>IF(E42="","",IF(ISNUMBER(AS42),AS42,0)+IF(ISNUMBER(AT42),AT42,0))</f>
        <v/>
      </c>
      <c r="AV42" s="55">
        <f>IF(F42="","",MAX(F42-SUM(T42:X42),0)*23.5+IF(ISNUMBER(T42),T42*19.69,0)+IF(ISNUMBER(U42),U42*16.74,0)+IF(ISNUMBER(V42),V42*20.28,0)+IF(ISNUMBER(W42),W42*19.69,0)+IF(ISNUMBER(X42),X42*19.69,0))</f>
        <v/>
      </c>
      <c r="AW42" s="55">
        <f>IF(G42="","",MAX(G42-SUM(Y42:AG42),0)*14.5+IF(ISNUMBER(Y42),Y42*11.84,0)+IF(ISNUMBER(Z42),Z42*14.34,0)+IF(ISNUMBER(AA42),AA42*16.93,0)+IF(ISNUMBER(AB42),AB42*19.52,0)+IF(ISNUMBER(AC42),AC42*22.35,0)+IF(ISNUMBER(AD42),AD42*13.92,0)+IF(ISNUMBER(AE42),AE42*21.55,0)+IF(ISNUMBER(AF42),AF42*13.92,0)+IF(ISNUMBER(AG42),AG42*13.92,0))</f>
        <v/>
      </c>
      <c r="AX42" s="55">
        <f>IF(AND(H42="",I42=""),"",65.0+IF(ISNUMBER(AH42),AH42*30.23,0)+IF(ISNUMBER(AI42),AI42*30.23,0)+IF(ISNUMBER(AJ42),AJ42*28.0,0))</f>
        <v/>
      </c>
      <c r="AY42" s="55">
        <f>IF(E42="","",953.0)</f>
        <v/>
      </c>
      <c r="AZ42" s="57">
        <f>IF(E42="","",IF(ISNUMBER(AU42),AU42,0)+IF(ISNUMBER(AV42),AV42,0)+IF(ISNUMBER(AW42),AW42,0)+IF(ISNUMBER(AX42),AX42,0)+IF(ISNUMBER(AY42),AY42,0))</f>
        <v/>
      </c>
      <c r="BA42" s="58">
        <f>IF(OR(E42="",AZ42=""),"",AZ42-AR42)</f>
        <v/>
      </c>
      <c r="BB42" s="59">
        <f>IF(OR(E42="",AZ42=0),"",BA42/AZ42)</f>
        <v/>
      </c>
      <c r="BC42" s="60" t="n">
        <v>6195.27</v>
      </c>
    </row>
    <row r="43" ht="16" customHeight="1">
      <c r="A43" s="45" t="inlineStr">
        <is>
          <t>5/14/2026</t>
        </is>
      </c>
      <c r="B43" s="46" t="inlineStr">
        <is>
          <t>SK0910</t>
        </is>
      </c>
      <c r="C43" s="46" t="inlineStr">
        <is>
          <t>3333</t>
        </is>
      </c>
      <c r="D43" s="46" t="inlineStr">
        <is>
          <t>C4</t>
        </is>
      </c>
      <c r="E43" s="50" t="n">
        <v>23</v>
      </c>
      <c r="F43" s="50" t="n">
        <v>30</v>
      </c>
      <c r="G43" s="50" t="n">
        <v>157</v>
      </c>
      <c r="H43" s="50" t="n">
        <v>6</v>
      </c>
      <c r="I43" s="50" t="n">
        <v>2</v>
      </c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9" t="n"/>
      <c r="U43" s="49" t="n"/>
      <c r="V43" s="49" t="n"/>
      <c r="W43" s="49" t="n"/>
      <c r="X43" s="49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47" t="n"/>
      <c r="AI43" s="47" t="n"/>
      <c r="AJ43" s="47" t="n"/>
      <c r="AK43" s="51" t="n"/>
      <c r="AL43" s="52" t="n"/>
      <c r="AM43" s="53">
        <f>IF(E43="","",E43*30.96)</f>
        <v/>
      </c>
      <c r="AN43" s="53">
        <f>IF(F43="","",F43*18.3)</f>
        <v/>
      </c>
      <c r="AO43" s="53">
        <f>IF(G43="","",G43*10.45)</f>
        <v/>
      </c>
      <c r="AP43" s="53">
        <f>IF(AND(H43="",I43=""),"",IF(ISNUMBER(H43),H43*18.43,0)+IF(ISNUMBER(I43),I43*20.28,0))</f>
        <v/>
      </c>
      <c r="AQ43" s="53">
        <f>IF(E43="","",667.1)</f>
        <v/>
      </c>
      <c r="AR43" s="54">
        <f>IF(E43="","",IF(ISNUMBER(AM43),AM43,0)+IF(ISNUMBER(AN43),AN43,0)+IF(ISNUMBER(AO43),AO43,0)+IF(ISNUMBER(AP43),AP43,0)+IF(ISNUMBER(AQ43),AQ43,0))</f>
        <v/>
      </c>
      <c r="AS43" s="55">
        <f>IF(E43="","",MAX(E43-SUM(J43:S43),0)*43.5)</f>
        <v/>
      </c>
      <c r="AT43" s="55">
        <f>IF(E43="","",IF(ISNUMBER(J43),J43*39.14,0)+IF(ISNUMBER(K43),K43*12.23,0)+IF(ISNUMBER(L43),L43*12.15,0)+IF(ISNUMBER(M43),M43*7.62,0)+IF(ISNUMBER(N43),N43*10.21,0)+IF(ISNUMBER(O43),O43*6.15,0)+IF(ISNUMBER(P43),P43*12.24,0)+IF(ISNUMBER(Q43),Q43*39.14,0)+IF(ISNUMBER(R43),R43*39.14,0)+IF(ISNUMBER(S43),S43*40.31,0))</f>
        <v/>
      </c>
      <c r="AU43" s="56">
        <f>IF(E43="","",IF(ISNUMBER(AS43),AS43,0)+IF(ISNUMBER(AT43),AT43,0))</f>
        <v/>
      </c>
      <c r="AV43" s="55">
        <f>IF(F43="","",MAX(F43-SUM(T43:X43),0)*23.5+IF(ISNUMBER(T43),T43*19.69,0)+IF(ISNUMBER(U43),U43*16.74,0)+IF(ISNUMBER(V43),V43*20.28,0)+IF(ISNUMBER(W43),W43*19.69,0)+IF(ISNUMBER(X43),X43*19.69,0))</f>
        <v/>
      </c>
      <c r="AW43" s="55">
        <f>IF(G43="","",MAX(G43-SUM(Y43:AG43),0)*14.5+IF(ISNUMBER(Y43),Y43*11.84,0)+IF(ISNUMBER(Z43),Z43*14.34,0)+IF(ISNUMBER(AA43),AA43*16.93,0)+IF(ISNUMBER(AB43),AB43*19.52,0)+IF(ISNUMBER(AC43),AC43*22.35,0)+IF(ISNUMBER(AD43),AD43*13.92,0)+IF(ISNUMBER(AE43),AE43*21.55,0)+IF(ISNUMBER(AF43),AF43*13.92,0)+IF(ISNUMBER(AG43),AG43*13.92,0))</f>
        <v/>
      </c>
      <c r="AX43" s="55">
        <f>IF(AND(H43="",I43=""),"",65.0+IF(ISNUMBER(AH43),AH43*30.23,0)+IF(ISNUMBER(AI43),AI43*30.23,0)+IF(ISNUMBER(AJ43),AJ43*28.0,0))</f>
        <v/>
      </c>
      <c r="AY43" s="55">
        <f>IF(E43="","",953.0)</f>
        <v/>
      </c>
      <c r="AZ43" s="57">
        <f>IF(E43="","",IF(ISNUMBER(AU43),AU43,0)+IF(ISNUMBER(AV43),AV43,0)+IF(ISNUMBER(AW43),AW43,0)+IF(ISNUMBER(AX43),AX43,0)+IF(ISNUMBER(AY43),AY43,0))</f>
        <v/>
      </c>
      <c r="BA43" s="58">
        <f>IF(OR(E43="",AZ43=""),"",AZ43-AR43)</f>
        <v/>
      </c>
      <c r="BB43" s="59">
        <f>IF(OR(E43="",AZ43=0),"",BA43/AZ43)</f>
        <v/>
      </c>
      <c r="BC43" s="60" t="n">
        <v>6525.48</v>
      </c>
    </row>
    <row r="44" ht="16" customHeight="1">
      <c r="A44" s="45" t="inlineStr">
        <is>
          <t>5/15/2026</t>
        </is>
      </c>
      <c r="B44" s="46" t="inlineStr">
        <is>
          <t>SK0910</t>
        </is>
      </c>
      <c r="C44" s="46" t="inlineStr">
        <is>
          <t>3333</t>
        </is>
      </c>
      <c r="D44" s="46" t="inlineStr">
        <is>
          <t>C4</t>
        </is>
      </c>
      <c r="E44" s="50" t="n">
        <v>27</v>
      </c>
      <c r="F44" s="50" t="n">
        <v>31</v>
      </c>
      <c r="G44" s="50" t="n">
        <v>163</v>
      </c>
      <c r="H44" s="50" t="n">
        <v>6</v>
      </c>
      <c r="I44" s="50" t="n">
        <v>2</v>
      </c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9" t="n"/>
      <c r="U44" s="49" t="n"/>
      <c r="V44" s="49" t="n"/>
      <c r="W44" s="49" t="n"/>
      <c r="X44" s="49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47" t="n"/>
      <c r="AI44" s="47" t="n"/>
      <c r="AJ44" s="47" t="n"/>
      <c r="AK44" s="51" t="n"/>
      <c r="AL44" s="52" t="n"/>
      <c r="AM44" s="53">
        <f>IF(E44="","",E44*30.96)</f>
        <v/>
      </c>
      <c r="AN44" s="53">
        <f>IF(F44="","",F44*18.3)</f>
        <v/>
      </c>
      <c r="AO44" s="53">
        <f>IF(G44="","",G44*10.45)</f>
        <v/>
      </c>
      <c r="AP44" s="53">
        <f>IF(AND(H44="",I44=""),"",IF(ISNUMBER(H44),H44*18.43,0)+IF(ISNUMBER(I44),I44*20.28,0))</f>
        <v/>
      </c>
      <c r="AQ44" s="53">
        <f>IF(E44="","",667.1)</f>
        <v/>
      </c>
      <c r="AR44" s="54">
        <f>IF(E44="","",IF(ISNUMBER(AM44),AM44,0)+IF(ISNUMBER(AN44),AN44,0)+IF(ISNUMBER(AO44),AO44,0)+IF(ISNUMBER(AP44),AP44,0)+IF(ISNUMBER(AQ44),AQ44,0))</f>
        <v/>
      </c>
      <c r="AS44" s="55">
        <f>IF(E44="","",MAX(E44-SUM(J44:S44),0)*43.5)</f>
        <v/>
      </c>
      <c r="AT44" s="55">
        <f>IF(E44="","",IF(ISNUMBER(J44),J44*39.14,0)+IF(ISNUMBER(K44),K44*12.23,0)+IF(ISNUMBER(L44),L44*12.15,0)+IF(ISNUMBER(M44),M44*7.62,0)+IF(ISNUMBER(N44),N44*10.21,0)+IF(ISNUMBER(O44),O44*6.15,0)+IF(ISNUMBER(P44),P44*12.24,0)+IF(ISNUMBER(Q44),Q44*39.14,0)+IF(ISNUMBER(R44),R44*39.14,0)+IF(ISNUMBER(S44),S44*40.31,0))</f>
        <v/>
      </c>
      <c r="AU44" s="56">
        <f>IF(E44="","",IF(ISNUMBER(AS44),AS44,0)+IF(ISNUMBER(AT44),AT44,0))</f>
        <v/>
      </c>
      <c r="AV44" s="55">
        <f>IF(F44="","",MAX(F44-SUM(T44:X44),0)*23.5+IF(ISNUMBER(T44),T44*19.69,0)+IF(ISNUMBER(U44),U44*16.74,0)+IF(ISNUMBER(V44),V44*20.28,0)+IF(ISNUMBER(W44),W44*19.69,0)+IF(ISNUMBER(X44),X44*19.69,0))</f>
        <v/>
      </c>
      <c r="AW44" s="55">
        <f>IF(G44="","",MAX(G44-SUM(Y44:AG44),0)*14.5+IF(ISNUMBER(Y44),Y44*11.84,0)+IF(ISNUMBER(Z44),Z44*14.34,0)+IF(ISNUMBER(AA44),AA44*16.93,0)+IF(ISNUMBER(AB44),AB44*19.52,0)+IF(ISNUMBER(AC44),AC44*22.35,0)+IF(ISNUMBER(AD44),AD44*13.92,0)+IF(ISNUMBER(AE44),AE44*21.55,0)+IF(ISNUMBER(AF44),AF44*13.92,0)+IF(ISNUMBER(AG44),AG44*13.92,0))</f>
        <v/>
      </c>
      <c r="AX44" s="55">
        <f>IF(AND(H44="",I44=""),"",65.0+IF(ISNUMBER(AH44),AH44*30.23,0)+IF(ISNUMBER(AI44),AI44*30.23,0)+IF(ISNUMBER(AJ44),AJ44*28.0,0))</f>
        <v/>
      </c>
      <c r="AY44" s="55">
        <f>IF(E44="","",953.0)</f>
        <v/>
      </c>
      <c r="AZ44" s="57">
        <f>IF(E44="","",IF(ISNUMBER(AU44),AU44,0)+IF(ISNUMBER(AV44),AV44,0)+IF(ISNUMBER(AW44),AW44,0)+IF(ISNUMBER(AX44),AX44,0)+IF(ISNUMBER(AY44),AY44,0))</f>
        <v/>
      </c>
      <c r="BA44" s="58">
        <f>IF(OR(E44="",AZ44=""),"",AZ44-AR44)</f>
        <v/>
      </c>
      <c r="BB44" s="59">
        <f>IF(OR(E44="",AZ44=0),"",BA44/AZ44)</f>
        <v/>
      </c>
      <c r="BC44" s="60" t="n"/>
    </row>
    <row r="45" ht="16" customHeight="1">
      <c r="A45" s="45" t="inlineStr">
        <is>
          <t>5/18/2026</t>
        </is>
      </c>
      <c r="B45" s="46" t="inlineStr">
        <is>
          <t>SK0910</t>
        </is>
      </c>
      <c r="C45" s="46" t="inlineStr">
        <is>
          <t>3333</t>
        </is>
      </c>
      <c r="D45" s="46" t="inlineStr">
        <is>
          <t>C4</t>
        </is>
      </c>
      <c r="E45" s="50" t="n">
        <v>25</v>
      </c>
      <c r="F45" s="50" t="n">
        <v>29</v>
      </c>
      <c r="G45" s="50" t="n">
        <v>159</v>
      </c>
      <c r="H45" s="50" t="n">
        <v>6</v>
      </c>
      <c r="I45" s="50" t="n">
        <v>2</v>
      </c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9" t="n"/>
      <c r="U45" s="49" t="n"/>
      <c r="V45" s="49" t="n"/>
      <c r="W45" s="49" t="n"/>
      <c r="X45" s="49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47" t="n"/>
      <c r="AI45" s="47" t="n"/>
      <c r="AJ45" s="47" t="n"/>
      <c r="AK45" s="51" t="n"/>
      <c r="AL45" s="52" t="n"/>
      <c r="AM45" s="53">
        <f>IF(E45="","",E45*30.96)</f>
        <v/>
      </c>
      <c r="AN45" s="53">
        <f>IF(F45="","",F45*18.3)</f>
        <v/>
      </c>
      <c r="AO45" s="53">
        <f>IF(G45="","",G45*10.45)</f>
        <v/>
      </c>
      <c r="AP45" s="53">
        <f>IF(AND(H45="",I45=""),"",IF(ISNUMBER(H45),H45*18.43,0)+IF(ISNUMBER(I45),I45*20.28,0))</f>
        <v/>
      </c>
      <c r="AQ45" s="53">
        <f>IF(E45="","",667.1)</f>
        <v/>
      </c>
      <c r="AR45" s="54">
        <f>IF(E45="","",IF(ISNUMBER(AM45),AM45,0)+IF(ISNUMBER(AN45),AN45,0)+IF(ISNUMBER(AO45),AO45,0)+IF(ISNUMBER(AP45),AP45,0)+IF(ISNUMBER(AQ45),AQ45,0))</f>
        <v/>
      </c>
      <c r="AS45" s="55">
        <f>IF(E45="","",MAX(E45-SUM(J45:S45),0)*43.5)</f>
        <v/>
      </c>
      <c r="AT45" s="55">
        <f>IF(E45="","",IF(ISNUMBER(J45),J45*39.14,0)+IF(ISNUMBER(K45),K45*12.23,0)+IF(ISNUMBER(L45),L45*12.15,0)+IF(ISNUMBER(M45),M45*7.62,0)+IF(ISNUMBER(N45),N45*10.21,0)+IF(ISNUMBER(O45),O45*6.15,0)+IF(ISNUMBER(P45),P45*12.24,0)+IF(ISNUMBER(Q45),Q45*39.14,0)+IF(ISNUMBER(R45),R45*39.14,0)+IF(ISNUMBER(S45),S45*40.31,0))</f>
        <v/>
      </c>
      <c r="AU45" s="56">
        <f>IF(E45="","",IF(ISNUMBER(AS45),AS45,0)+IF(ISNUMBER(AT45),AT45,0))</f>
        <v/>
      </c>
      <c r="AV45" s="55">
        <f>IF(F45="","",MAX(F45-SUM(T45:X45),0)*23.5+IF(ISNUMBER(T45),T45*19.69,0)+IF(ISNUMBER(U45),U45*16.74,0)+IF(ISNUMBER(V45),V45*20.28,0)+IF(ISNUMBER(W45),W45*19.69,0)+IF(ISNUMBER(X45),X45*19.69,0))</f>
        <v/>
      </c>
      <c r="AW45" s="55">
        <f>IF(G45="","",MAX(G45-SUM(Y45:AG45),0)*14.5+IF(ISNUMBER(Y45),Y45*11.84,0)+IF(ISNUMBER(Z45),Z45*14.34,0)+IF(ISNUMBER(AA45),AA45*16.93,0)+IF(ISNUMBER(AB45),AB45*19.52,0)+IF(ISNUMBER(AC45),AC45*22.35,0)+IF(ISNUMBER(AD45),AD45*13.92,0)+IF(ISNUMBER(AE45),AE45*21.55,0)+IF(ISNUMBER(AF45),AF45*13.92,0)+IF(ISNUMBER(AG45),AG45*13.92,0))</f>
        <v/>
      </c>
      <c r="AX45" s="55">
        <f>IF(AND(H45="",I45=""),"",65.0+IF(ISNUMBER(AH45),AH45*30.23,0)+IF(ISNUMBER(AI45),AI45*30.23,0)+IF(ISNUMBER(AJ45),AJ45*28.0,0))</f>
        <v/>
      </c>
      <c r="AY45" s="55">
        <f>IF(E45="","",953.0)</f>
        <v/>
      </c>
      <c r="AZ45" s="57">
        <f>IF(E45="","",IF(ISNUMBER(AU45),AU45,0)+IF(ISNUMBER(AV45),AV45,0)+IF(ISNUMBER(AW45),AW45,0)+IF(ISNUMBER(AX45),AX45,0)+IF(ISNUMBER(AY45),AY45,0))</f>
        <v/>
      </c>
      <c r="BA45" s="58">
        <f>IF(OR(E45="",AZ45=""),"",AZ45-AR45)</f>
        <v/>
      </c>
      <c r="BB45" s="59">
        <f>IF(OR(E45="",AZ45=0),"",BA45/AZ45)</f>
        <v/>
      </c>
      <c r="BC45" s="60" t="n">
        <v>6388.81</v>
      </c>
    </row>
    <row r="46" ht="16" customHeight="1">
      <c r="A46" s="45" t="inlineStr">
        <is>
          <t>5/19/2026</t>
        </is>
      </c>
      <c r="B46" s="46" t="inlineStr">
        <is>
          <t>SK0910</t>
        </is>
      </c>
      <c r="C46" s="46" t="inlineStr">
        <is>
          <t>3333</t>
        </is>
      </c>
      <c r="D46" s="46" t="inlineStr">
        <is>
          <t>C4</t>
        </is>
      </c>
      <c r="E46" s="50" t="n">
        <v>22</v>
      </c>
      <c r="F46" s="50" t="n">
        <v>32</v>
      </c>
      <c r="G46" s="50" t="n">
        <v>151</v>
      </c>
      <c r="H46" s="50" t="n">
        <v>6</v>
      </c>
      <c r="I46" s="50" t="n">
        <v>2</v>
      </c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9" t="n"/>
      <c r="U46" s="49" t="n"/>
      <c r="V46" s="49" t="n"/>
      <c r="W46" s="49" t="n"/>
      <c r="X46" s="49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  <c r="AH46" s="47" t="n"/>
      <c r="AI46" s="47" t="n"/>
      <c r="AJ46" s="47" t="n"/>
      <c r="AK46" s="51" t="n"/>
      <c r="AL46" s="52" t="n"/>
      <c r="AM46" s="53">
        <f>IF(E46="","",E46*30.96)</f>
        <v/>
      </c>
      <c r="AN46" s="53">
        <f>IF(F46="","",F46*18.3)</f>
        <v/>
      </c>
      <c r="AO46" s="53">
        <f>IF(G46="","",G46*10.45)</f>
        <v/>
      </c>
      <c r="AP46" s="53">
        <f>IF(AND(H46="",I46=""),"",IF(ISNUMBER(H46),H46*18.43,0)+IF(ISNUMBER(I46),I46*20.28,0))</f>
        <v/>
      </c>
      <c r="AQ46" s="53">
        <f>IF(E46="","",667.1)</f>
        <v/>
      </c>
      <c r="AR46" s="54">
        <f>IF(E46="","",IF(ISNUMBER(AM46),AM46,0)+IF(ISNUMBER(AN46),AN46,0)+IF(ISNUMBER(AO46),AO46,0)+IF(ISNUMBER(AP46),AP46,0)+IF(ISNUMBER(AQ46),AQ46,0))</f>
        <v/>
      </c>
      <c r="AS46" s="55">
        <f>IF(E46="","",MAX(E46-SUM(J46:S46),0)*43.5)</f>
        <v/>
      </c>
      <c r="AT46" s="55">
        <f>IF(E46="","",IF(ISNUMBER(J46),J46*39.14,0)+IF(ISNUMBER(K46),K46*12.23,0)+IF(ISNUMBER(L46),L46*12.15,0)+IF(ISNUMBER(M46),M46*7.62,0)+IF(ISNUMBER(N46),N46*10.21,0)+IF(ISNUMBER(O46),O46*6.15,0)+IF(ISNUMBER(P46),P46*12.24,0)+IF(ISNUMBER(Q46),Q46*39.14,0)+IF(ISNUMBER(R46),R46*39.14,0)+IF(ISNUMBER(S46),S46*40.31,0))</f>
        <v/>
      </c>
      <c r="AU46" s="56">
        <f>IF(E46="","",IF(ISNUMBER(AS46),AS46,0)+IF(ISNUMBER(AT46),AT46,0))</f>
        <v/>
      </c>
      <c r="AV46" s="55">
        <f>IF(F46="","",MAX(F46-SUM(T46:X46),0)*23.5+IF(ISNUMBER(T46),T46*19.69,0)+IF(ISNUMBER(U46),U46*16.74,0)+IF(ISNUMBER(V46),V46*20.28,0)+IF(ISNUMBER(W46),W46*19.69,0)+IF(ISNUMBER(X46),X46*19.69,0))</f>
        <v/>
      </c>
      <c r="AW46" s="55">
        <f>IF(G46="","",MAX(G46-SUM(Y46:AG46),0)*14.5+IF(ISNUMBER(Y46),Y46*11.84,0)+IF(ISNUMBER(Z46),Z46*14.34,0)+IF(ISNUMBER(AA46),AA46*16.93,0)+IF(ISNUMBER(AB46),AB46*19.52,0)+IF(ISNUMBER(AC46),AC46*22.35,0)+IF(ISNUMBER(AD46),AD46*13.92,0)+IF(ISNUMBER(AE46),AE46*21.55,0)+IF(ISNUMBER(AF46),AF46*13.92,0)+IF(ISNUMBER(AG46),AG46*13.92,0))</f>
        <v/>
      </c>
      <c r="AX46" s="55">
        <f>IF(AND(H46="",I46=""),"",65.0+IF(ISNUMBER(AH46),AH46*30.23,0)+IF(ISNUMBER(AI46),AI46*30.23,0)+IF(ISNUMBER(AJ46),AJ46*28.0,0))</f>
        <v/>
      </c>
      <c r="AY46" s="55">
        <f>IF(E46="","",953.0)</f>
        <v/>
      </c>
      <c r="AZ46" s="57">
        <f>IF(E46="","",IF(ISNUMBER(AU46),AU46,0)+IF(ISNUMBER(AV46),AV46,0)+IF(ISNUMBER(AW46),AW46,0)+IF(ISNUMBER(AX46),AX46,0)+IF(ISNUMBER(AY46),AY46,0))</f>
        <v/>
      </c>
      <c r="BA46" s="58">
        <f>IF(OR(E46="",AZ46=""),"",AZ46-AR46)</f>
        <v/>
      </c>
      <c r="BB46" s="59">
        <f>IF(OR(E46="",AZ46=0),"",BA46/AZ46)</f>
        <v/>
      </c>
      <c r="BC46" s="60" t="n"/>
    </row>
    <row r="47" ht="16" customHeight="1">
      <c r="A47" s="45" t="inlineStr">
        <is>
          <t>5/21/2026</t>
        </is>
      </c>
      <c r="B47" s="46" t="inlineStr">
        <is>
          <t>SK0910</t>
        </is>
      </c>
      <c r="C47" s="46" t="inlineStr">
        <is>
          <t>3333</t>
        </is>
      </c>
      <c r="D47" s="46" t="inlineStr">
        <is>
          <t>C4</t>
        </is>
      </c>
      <c r="E47" s="50" t="n">
        <v>24</v>
      </c>
      <c r="F47" s="50" t="n">
        <v>30</v>
      </c>
      <c r="G47" s="50" t="n">
        <v>156</v>
      </c>
      <c r="H47" s="50" t="n">
        <v>6</v>
      </c>
      <c r="I47" s="50" t="n">
        <v>2</v>
      </c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9" t="n"/>
      <c r="U47" s="49" t="n"/>
      <c r="V47" s="49" t="n"/>
      <c r="W47" s="49" t="n"/>
      <c r="X47" s="49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47" t="n"/>
      <c r="AI47" s="47" t="n"/>
      <c r="AJ47" s="47" t="n"/>
      <c r="AK47" s="51" t="n"/>
      <c r="AL47" s="52" t="n"/>
      <c r="AM47" s="53">
        <f>IF(E47="","",E47*30.96)</f>
        <v/>
      </c>
      <c r="AN47" s="53">
        <f>IF(F47="","",F47*18.3)</f>
        <v/>
      </c>
      <c r="AO47" s="53">
        <f>IF(G47="","",G47*10.45)</f>
        <v/>
      </c>
      <c r="AP47" s="53">
        <f>IF(AND(H47="",I47=""),"",IF(ISNUMBER(H47),H47*18.43,0)+IF(ISNUMBER(I47),I47*20.28,0))</f>
        <v/>
      </c>
      <c r="AQ47" s="53">
        <f>IF(E47="","",667.1)</f>
        <v/>
      </c>
      <c r="AR47" s="54">
        <f>IF(E47="","",IF(ISNUMBER(AM47),AM47,0)+IF(ISNUMBER(AN47),AN47,0)+IF(ISNUMBER(AO47),AO47,0)+IF(ISNUMBER(AP47),AP47,0)+IF(ISNUMBER(AQ47),AQ47,0))</f>
        <v/>
      </c>
      <c r="AS47" s="55">
        <f>IF(E47="","",MAX(E47-SUM(J47:S47),0)*43.5)</f>
        <v/>
      </c>
      <c r="AT47" s="55">
        <f>IF(E47="","",IF(ISNUMBER(J47),J47*39.14,0)+IF(ISNUMBER(K47),K47*12.23,0)+IF(ISNUMBER(L47),L47*12.15,0)+IF(ISNUMBER(M47),M47*7.62,0)+IF(ISNUMBER(N47),N47*10.21,0)+IF(ISNUMBER(O47),O47*6.15,0)+IF(ISNUMBER(P47),P47*12.24,0)+IF(ISNUMBER(Q47),Q47*39.14,0)+IF(ISNUMBER(R47),R47*39.14,0)+IF(ISNUMBER(S47),S47*40.31,0))</f>
        <v/>
      </c>
      <c r="AU47" s="56">
        <f>IF(E47="","",IF(ISNUMBER(AS47),AS47,0)+IF(ISNUMBER(AT47),AT47,0))</f>
        <v/>
      </c>
      <c r="AV47" s="55">
        <f>IF(F47="","",MAX(F47-SUM(T47:X47),0)*23.5+IF(ISNUMBER(T47),T47*19.69,0)+IF(ISNUMBER(U47),U47*16.74,0)+IF(ISNUMBER(V47),V47*20.28,0)+IF(ISNUMBER(W47),W47*19.69,0)+IF(ISNUMBER(X47),X47*19.69,0))</f>
        <v/>
      </c>
      <c r="AW47" s="55">
        <f>IF(G47="","",MAX(G47-SUM(Y47:AG47),0)*14.5+IF(ISNUMBER(Y47),Y47*11.84,0)+IF(ISNUMBER(Z47),Z47*14.34,0)+IF(ISNUMBER(AA47),AA47*16.93,0)+IF(ISNUMBER(AB47),AB47*19.52,0)+IF(ISNUMBER(AC47),AC47*22.35,0)+IF(ISNUMBER(AD47),AD47*13.92,0)+IF(ISNUMBER(AE47),AE47*21.55,0)+IF(ISNUMBER(AF47),AF47*13.92,0)+IF(ISNUMBER(AG47),AG47*13.92,0))</f>
        <v/>
      </c>
      <c r="AX47" s="55">
        <f>IF(AND(H47="",I47=""),"",65.0+IF(ISNUMBER(AH47),AH47*30.23,0)+IF(ISNUMBER(AI47),AI47*30.23,0)+IF(ISNUMBER(AJ47),AJ47*28.0,0))</f>
        <v/>
      </c>
      <c r="AY47" s="55">
        <f>IF(E47="","",953.0)</f>
        <v/>
      </c>
      <c r="AZ47" s="57">
        <f>IF(E47="","",IF(ISNUMBER(AU47),AU47,0)+IF(ISNUMBER(AV47),AV47,0)+IF(ISNUMBER(AW47),AW47,0)+IF(ISNUMBER(AX47),AX47,0)+IF(ISNUMBER(AY47),AY47,0))</f>
        <v/>
      </c>
      <c r="BA47" s="58">
        <f>IF(OR(E47="",AZ47=""),"",AZ47-AR47)</f>
        <v/>
      </c>
      <c r="BB47" s="59">
        <f>IF(OR(E47="",AZ47=0),"",BA47/AZ47)</f>
        <v/>
      </c>
      <c r="BC47" s="60" t="n">
        <v>6360.1</v>
      </c>
    </row>
    <row r="48" ht="16" customHeight="1">
      <c r="A48" s="45" t="inlineStr">
        <is>
          <t>5/22/2026</t>
        </is>
      </c>
      <c r="B48" s="46" t="inlineStr">
        <is>
          <t>SK0910</t>
        </is>
      </c>
      <c r="C48" s="46" t="inlineStr">
        <is>
          <t>3333</t>
        </is>
      </c>
      <c r="D48" s="46" t="inlineStr">
        <is>
          <t>C4</t>
        </is>
      </c>
      <c r="E48" s="50" t="n">
        <v>26</v>
      </c>
      <c r="F48" s="50" t="n">
        <v>28</v>
      </c>
      <c r="G48" s="50" t="n">
        <v>161</v>
      </c>
      <c r="H48" s="50" t="n">
        <v>6</v>
      </c>
      <c r="I48" s="50" t="n">
        <v>2</v>
      </c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9" t="n"/>
      <c r="U48" s="49" t="n"/>
      <c r="V48" s="49" t="n"/>
      <c r="W48" s="49" t="n"/>
      <c r="X48" s="49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47" t="n"/>
      <c r="AI48" s="47" t="n"/>
      <c r="AJ48" s="47" t="n"/>
      <c r="AK48" s="51" t="n"/>
      <c r="AL48" s="52" t="n"/>
      <c r="AM48" s="53">
        <f>IF(E48="","",E48*30.96)</f>
        <v/>
      </c>
      <c r="AN48" s="53">
        <f>IF(F48="","",F48*18.3)</f>
        <v/>
      </c>
      <c r="AO48" s="53">
        <f>IF(G48="","",G48*10.45)</f>
        <v/>
      </c>
      <c r="AP48" s="53">
        <f>IF(AND(H48="",I48=""),"",IF(ISNUMBER(H48),H48*18.43,0)+IF(ISNUMBER(I48),I48*20.28,0))</f>
        <v/>
      </c>
      <c r="AQ48" s="53">
        <f>IF(E48="","",667.1)</f>
        <v/>
      </c>
      <c r="AR48" s="54">
        <f>IF(E48="","",IF(ISNUMBER(AM48),AM48,0)+IF(ISNUMBER(AN48),AN48,0)+IF(ISNUMBER(AO48),AO48,0)+IF(ISNUMBER(AP48),AP48,0)+IF(ISNUMBER(AQ48),AQ48,0))</f>
        <v/>
      </c>
      <c r="AS48" s="55">
        <f>IF(E48="","",MAX(E48-SUM(J48:S48),0)*43.5)</f>
        <v/>
      </c>
      <c r="AT48" s="55">
        <f>IF(E48="","",IF(ISNUMBER(J48),J48*39.14,0)+IF(ISNUMBER(K48),K48*12.23,0)+IF(ISNUMBER(L48),L48*12.15,0)+IF(ISNUMBER(M48),M48*7.62,0)+IF(ISNUMBER(N48),N48*10.21,0)+IF(ISNUMBER(O48),O48*6.15,0)+IF(ISNUMBER(P48),P48*12.24,0)+IF(ISNUMBER(Q48),Q48*39.14,0)+IF(ISNUMBER(R48),R48*39.14,0)+IF(ISNUMBER(S48),S48*40.31,0))</f>
        <v/>
      </c>
      <c r="AU48" s="56">
        <f>IF(E48="","",IF(ISNUMBER(AS48),AS48,0)+IF(ISNUMBER(AT48),AT48,0))</f>
        <v/>
      </c>
      <c r="AV48" s="55">
        <f>IF(F48="","",MAX(F48-SUM(T48:X48),0)*23.5+IF(ISNUMBER(T48),T48*19.69,0)+IF(ISNUMBER(U48),U48*16.74,0)+IF(ISNUMBER(V48),V48*20.28,0)+IF(ISNUMBER(W48),W48*19.69,0)+IF(ISNUMBER(X48),X48*19.69,0))</f>
        <v/>
      </c>
      <c r="AW48" s="55">
        <f>IF(G48="","",MAX(G48-SUM(Y48:AG48),0)*14.5+IF(ISNUMBER(Y48),Y48*11.84,0)+IF(ISNUMBER(Z48),Z48*14.34,0)+IF(ISNUMBER(AA48),AA48*16.93,0)+IF(ISNUMBER(AB48),AB48*19.52,0)+IF(ISNUMBER(AC48),AC48*22.35,0)+IF(ISNUMBER(AD48),AD48*13.92,0)+IF(ISNUMBER(AE48),AE48*21.55,0)+IF(ISNUMBER(AF48),AF48*13.92,0)+IF(ISNUMBER(AG48),AG48*13.92,0))</f>
        <v/>
      </c>
      <c r="AX48" s="55">
        <f>IF(AND(H48="",I48=""),"",65.0+IF(ISNUMBER(AH48),AH48*30.23,0)+IF(ISNUMBER(AI48),AI48*30.23,0)+IF(ISNUMBER(AJ48),AJ48*28.0,0))</f>
        <v/>
      </c>
      <c r="AY48" s="55">
        <f>IF(E48="","",953.0)</f>
        <v/>
      </c>
      <c r="AZ48" s="57">
        <f>IF(E48="","",IF(ISNUMBER(AU48),AU48,0)+IF(ISNUMBER(AV48),AV48,0)+IF(ISNUMBER(AW48),AW48,0)+IF(ISNUMBER(AX48),AX48,0)+IF(ISNUMBER(AY48),AY48,0))</f>
        <v/>
      </c>
      <c r="BA48" s="58">
        <f>IF(OR(E48="",AZ48=""),"",AZ48-AR48)</f>
        <v/>
      </c>
      <c r="BB48" s="59">
        <f>IF(OR(E48="",AZ48=0),"",BA48/AZ48)</f>
        <v/>
      </c>
      <c r="BC48" s="60" t="n">
        <v>6400.46</v>
      </c>
    </row>
    <row r="49" ht="16" customHeight="1">
      <c r="A49" s="45" t="inlineStr">
        <is>
          <t>5/25/2026</t>
        </is>
      </c>
      <c r="B49" s="46" t="inlineStr">
        <is>
          <t>SK0910</t>
        </is>
      </c>
      <c r="C49" s="46" t="inlineStr">
        <is>
          <t>3333</t>
        </is>
      </c>
      <c r="D49" s="46" t="inlineStr">
        <is>
          <t>C4</t>
        </is>
      </c>
      <c r="E49" s="50" t="n">
        <v>23</v>
      </c>
      <c r="F49" s="50" t="n">
        <v>31</v>
      </c>
      <c r="G49" s="50" t="n">
        <v>154</v>
      </c>
      <c r="H49" s="50" t="n">
        <v>6</v>
      </c>
      <c r="I49" s="50" t="n">
        <v>2</v>
      </c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9" t="n"/>
      <c r="U49" s="49" t="n"/>
      <c r="V49" s="49" t="n"/>
      <c r="W49" s="49" t="n"/>
      <c r="X49" s="49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47" t="n"/>
      <c r="AI49" s="47" t="n"/>
      <c r="AJ49" s="47" t="n"/>
      <c r="AK49" s="51" t="n"/>
      <c r="AL49" s="52" t="n"/>
      <c r="AM49" s="53">
        <f>IF(E49="","",E49*30.96)</f>
        <v/>
      </c>
      <c r="AN49" s="53">
        <f>IF(F49="","",F49*18.3)</f>
        <v/>
      </c>
      <c r="AO49" s="53">
        <f>IF(G49="","",G49*10.45)</f>
        <v/>
      </c>
      <c r="AP49" s="53">
        <f>IF(AND(H49="",I49=""),"",IF(ISNUMBER(H49),H49*18.43,0)+IF(ISNUMBER(I49),I49*20.28,0))</f>
        <v/>
      </c>
      <c r="AQ49" s="53">
        <f>IF(E49="","",667.1)</f>
        <v/>
      </c>
      <c r="AR49" s="54">
        <f>IF(E49="","",IF(ISNUMBER(AM49),AM49,0)+IF(ISNUMBER(AN49),AN49,0)+IF(ISNUMBER(AO49),AO49,0)+IF(ISNUMBER(AP49),AP49,0)+IF(ISNUMBER(AQ49),AQ49,0))</f>
        <v/>
      </c>
      <c r="AS49" s="55">
        <f>IF(E49="","",MAX(E49-SUM(J49:S49),0)*43.5)</f>
        <v/>
      </c>
      <c r="AT49" s="55">
        <f>IF(E49="","",IF(ISNUMBER(J49),J49*39.14,0)+IF(ISNUMBER(K49),K49*12.23,0)+IF(ISNUMBER(L49),L49*12.15,0)+IF(ISNUMBER(M49),M49*7.62,0)+IF(ISNUMBER(N49),N49*10.21,0)+IF(ISNUMBER(O49),O49*6.15,0)+IF(ISNUMBER(P49),P49*12.24,0)+IF(ISNUMBER(Q49),Q49*39.14,0)+IF(ISNUMBER(R49),R49*39.14,0)+IF(ISNUMBER(S49),S49*40.31,0))</f>
        <v/>
      </c>
      <c r="AU49" s="56">
        <f>IF(E49="","",IF(ISNUMBER(AS49),AS49,0)+IF(ISNUMBER(AT49),AT49,0))</f>
        <v/>
      </c>
      <c r="AV49" s="55">
        <f>IF(F49="","",MAX(F49-SUM(T49:X49),0)*23.5+IF(ISNUMBER(T49),T49*19.69,0)+IF(ISNUMBER(U49),U49*16.74,0)+IF(ISNUMBER(V49),V49*20.28,0)+IF(ISNUMBER(W49),W49*19.69,0)+IF(ISNUMBER(X49),X49*19.69,0))</f>
        <v/>
      </c>
      <c r="AW49" s="55">
        <f>IF(G49="","",MAX(G49-SUM(Y49:AG49),0)*14.5+IF(ISNUMBER(Y49),Y49*11.84,0)+IF(ISNUMBER(Z49),Z49*14.34,0)+IF(ISNUMBER(AA49),AA49*16.93,0)+IF(ISNUMBER(AB49),AB49*19.52,0)+IF(ISNUMBER(AC49),AC49*22.35,0)+IF(ISNUMBER(AD49),AD49*13.92,0)+IF(ISNUMBER(AE49),AE49*21.55,0)+IF(ISNUMBER(AF49),AF49*13.92,0)+IF(ISNUMBER(AG49),AG49*13.92,0))</f>
        <v/>
      </c>
      <c r="AX49" s="55">
        <f>IF(AND(H49="",I49=""),"",65.0+IF(ISNUMBER(AH49),AH49*30.23,0)+IF(ISNUMBER(AI49),AI49*30.23,0)+IF(ISNUMBER(AJ49),AJ49*28.0,0))</f>
        <v/>
      </c>
      <c r="AY49" s="55">
        <f>IF(E49="","",953.0)</f>
        <v/>
      </c>
      <c r="AZ49" s="57">
        <f>IF(E49="","",IF(ISNUMBER(AU49),AU49,0)+IF(ISNUMBER(AV49),AV49,0)+IF(ISNUMBER(AW49),AW49,0)+IF(ISNUMBER(AX49),AX49,0)+IF(ISNUMBER(AY49),AY49,0))</f>
        <v/>
      </c>
      <c r="BA49" s="58">
        <f>IF(OR(E49="",AZ49=""),"",AZ49-AR49)</f>
        <v/>
      </c>
      <c r="BB49" s="59">
        <f>IF(OR(E49="",AZ49=0),"",BA49/AZ49)</f>
        <v/>
      </c>
      <c r="BC49" s="60" t="n">
        <v>6187.34</v>
      </c>
    </row>
    <row r="50" ht="16" customHeight="1">
      <c r="A50" s="45" t="inlineStr">
        <is>
          <t>5/26/2026</t>
        </is>
      </c>
      <c r="B50" s="46" t="inlineStr">
        <is>
          <t>SK0910</t>
        </is>
      </c>
      <c r="C50" s="46" t="inlineStr">
        <is>
          <t>3333</t>
        </is>
      </c>
      <c r="D50" s="46" t="inlineStr">
        <is>
          <t>C4</t>
        </is>
      </c>
      <c r="E50" s="50" t="n">
        <v>21</v>
      </c>
      <c r="F50" s="50" t="n">
        <v>33</v>
      </c>
      <c r="G50" s="50" t="n">
        <v>148</v>
      </c>
      <c r="H50" s="50" t="n">
        <v>6</v>
      </c>
      <c r="I50" s="50" t="n">
        <v>2</v>
      </c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9" t="n"/>
      <c r="U50" s="49" t="n"/>
      <c r="V50" s="49" t="n"/>
      <c r="W50" s="49" t="n"/>
      <c r="X50" s="49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  <c r="AH50" s="47" t="n"/>
      <c r="AI50" s="47" t="n"/>
      <c r="AJ50" s="47" t="n"/>
      <c r="AK50" s="51" t="n"/>
      <c r="AL50" s="52" t="n"/>
      <c r="AM50" s="53">
        <f>IF(E50="","",E50*30.96)</f>
        <v/>
      </c>
      <c r="AN50" s="53">
        <f>IF(F50="","",F50*18.3)</f>
        <v/>
      </c>
      <c r="AO50" s="53">
        <f>IF(G50="","",G50*10.45)</f>
        <v/>
      </c>
      <c r="AP50" s="53">
        <f>IF(AND(H50="",I50=""),"",IF(ISNUMBER(H50),H50*18.43,0)+IF(ISNUMBER(I50),I50*20.28,0))</f>
        <v/>
      </c>
      <c r="AQ50" s="53">
        <f>IF(E50="","",667.1)</f>
        <v/>
      </c>
      <c r="AR50" s="54">
        <f>IF(E50="","",IF(ISNUMBER(AM50),AM50,0)+IF(ISNUMBER(AN50),AN50,0)+IF(ISNUMBER(AO50),AO50,0)+IF(ISNUMBER(AP50),AP50,0)+IF(ISNUMBER(AQ50),AQ50,0))</f>
        <v/>
      </c>
      <c r="AS50" s="55">
        <f>IF(E50="","",MAX(E50-SUM(J50:S50),0)*43.5)</f>
        <v/>
      </c>
      <c r="AT50" s="55">
        <f>IF(E50="","",IF(ISNUMBER(J50),J50*39.14,0)+IF(ISNUMBER(K50),K50*12.23,0)+IF(ISNUMBER(L50),L50*12.15,0)+IF(ISNUMBER(M50),M50*7.62,0)+IF(ISNUMBER(N50),N50*10.21,0)+IF(ISNUMBER(O50),O50*6.15,0)+IF(ISNUMBER(P50),P50*12.24,0)+IF(ISNUMBER(Q50),Q50*39.14,0)+IF(ISNUMBER(R50),R50*39.14,0)+IF(ISNUMBER(S50),S50*40.31,0))</f>
        <v/>
      </c>
      <c r="AU50" s="56">
        <f>IF(E50="","",IF(ISNUMBER(AS50),AS50,0)+IF(ISNUMBER(AT50),AT50,0))</f>
        <v/>
      </c>
      <c r="AV50" s="55">
        <f>IF(F50="","",MAX(F50-SUM(T50:X50),0)*23.5+IF(ISNUMBER(T50),T50*19.69,0)+IF(ISNUMBER(U50),U50*16.74,0)+IF(ISNUMBER(V50),V50*20.28,0)+IF(ISNUMBER(W50),W50*19.69,0)+IF(ISNUMBER(X50),X50*19.69,0))</f>
        <v/>
      </c>
      <c r="AW50" s="55">
        <f>IF(G50="","",MAX(G50-SUM(Y50:AG50),0)*14.5+IF(ISNUMBER(Y50),Y50*11.84,0)+IF(ISNUMBER(Z50),Z50*14.34,0)+IF(ISNUMBER(AA50),AA50*16.93,0)+IF(ISNUMBER(AB50),AB50*19.52,0)+IF(ISNUMBER(AC50),AC50*22.35,0)+IF(ISNUMBER(AD50),AD50*13.92,0)+IF(ISNUMBER(AE50),AE50*21.55,0)+IF(ISNUMBER(AF50),AF50*13.92,0)+IF(ISNUMBER(AG50),AG50*13.92,0))</f>
        <v/>
      </c>
      <c r="AX50" s="55">
        <f>IF(AND(H50="",I50=""),"",65.0+IF(ISNUMBER(AH50),AH50*30.23,0)+IF(ISNUMBER(AI50),AI50*30.23,0)+IF(ISNUMBER(AJ50),AJ50*28.0,0))</f>
        <v/>
      </c>
      <c r="AY50" s="55">
        <f>IF(E50="","",953.0)</f>
        <v/>
      </c>
      <c r="AZ50" s="57">
        <f>IF(E50="","",IF(ISNUMBER(AU50),AU50,0)+IF(ISNUMBER(AV50),AV50,0)+IF(ISNUMBER(AW50),AW50,0)+IF(ISNUMBER(AX50),AX50,0)+IF(ISNUMBER(AY50),AY50,0))</f>
        <v/>
      </c>
      <c r="BA50" s="58">
        <f>IF(OR(E50="",AZ50=""),"",AZ50-AR50)</f>
        <v/>
      </c>
      <c r="BB50" s="59">
        <f>IF(OR(E50="",AZ50=0),"",BA50/AZ50)</f>
        <v/>
      </c>
      <c r="BC50" s="60" t="n"/>
    </row>
    <row r="51" ht="16" customHeight="1">
      <c r="A51" s="45" t="inlineStr">
        <is>
          <t>5/28/2026</t>
        </is>
      </c>
      <c r="B51" s="46" t="inlineStr">
        <is>
          <t>SK0910</t>
        </is>
      </c>
      <c r="C51" s="46" t="inlineStr">
        <is>
          <t>3591</t>
        </is>
      </c>
      <c r="D51" s="46" t="inlineStr">
        <is>
          <t>C4</t>
        </is>
      </c>
      <c r="E51" s="50" t="n">
        <v>28</v>
      </c>
      <c r="F51" s="50" t="n">
        <v>36</v>
      </c>
      <c r="G51" s="50" t="n">
        <v>168</v>
      </c>
      <c r="H51" s="50" t="n">
        <v>7</v>
      </c>
      <c r="I51" s="50" t="n">
        <v>2</v>
      </c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9" t="n"/>
      <c r="U51" s="49" t="n"/>
      <c r="V51" s="49" t="n"/>
      <c r="W51" s="49" t="n"/>
      <c r="X51" s="49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47" t="n"/>
      <c r="AI51" s="47" t="n"/>
      <c r="AJ51" s="47" t="n"/>
      <c r="AK51" s="51" t="n"/>
      <c r="AL51" s="52" t="n"/>
      <c r="AM51" s="53">
        <f>IF(E51="","",E51*30.96)</f>
        <v/>
      </c>
      <c r="AN51" s="53">
        <f>IF(F51="","",F51*18.3)</f>
        <v/>
      </c>
      <c r="AO51" s="53">
        <f>IF(G51="","",G51*10.45)</f>
        <v/>
      </c>
      <c r="AP51" s="53">
        <f>IF(AND(H51="",I51=""),"",IF(ISNUMBER(H51),H51*18.43,0)+IF(ISNUMBER(I51),I51*20.28,0))</f>
        <v/>
      </c>
      <c r="AQ51" s="53">
        <f>IF(E51="","",701.4)</f>
        <v/>
      </c>
      <c r="AR51" s="54">
        <f>IF(E51="","",IF(ISNUMBER(AM51),AM51,0)+IF(ISNUMBER(AN51),AN51,0)+IF(ISNUMBER(AO51),AO51,0)+IF(ISNUMBER(AP51),AP51,0)+IF(ISNUMBER(AQ51),AQ51,0))</f>
        <v/>
      </c>
      <c r="AS51" s="55">
        <f>IF(E51="","",MAX(E51-SUM(J51:S51),0)*43.5)</f>
        <v/>
      </c>
      <c r="AT51" s="55">
        <f>IF(E51="","",IF(ISNUMBER(J51),J51*39.14,0)+IF(ISNUMBER(K51),K51*12.23,0)+IF(ISNUMBER(L51),L51*12.15,0)+IF(ISNUMBER(M51),M51*7.62,0)+IF(ISNUMBER(N51),N51*10.21,0)+IF(ISNUMBER(O51),O51*6.15,0)+IF(ISNUMBER(P51),P51*12.24,0)+IF(ISNUMBER(Q51),Q51*39.14,0)+IF(ISNUMBER(R51),R51*39.14,0)+IF(ISNUMBER(S51),S51*40.31,0))</f>
        <v/>
      </c>
      <c r="AU51" s="56">
        <f>IF(E51="","",IF(ISNUMBER(AS51),AS51,0)+IF(ISNUMBER(AT51),AT51,0))</f>
        <v/>
      </c>
      <c r="AV51" s="55">
        <f>IF(F51="","",MAX(F51-SUM(T51:X51),0)*23.5+IF(ISNUMBER(T51),T51*19.69,0)+IF(ISNUMBER(U51),U51*16.74,0)+IF(ISNUMBER(V51),V51*20.28,0)+IF(ISNUMBER(W51),W51*19.69,0)+IF(ISNUMBER(X51),X51*19.69,0))</f>
        <v/>
      </c>
      <c r="AW51" s="55">
        <f>IF(G51="","",MAX(G51-SUM(Y51:AG51),0)*14.5+IF(ISNUMBER(Y51),Y51*11.84,0)+IF(ISNUMBER(Z51),Z51*14.34,0)+IF(ISNUMBER(AA51),AA51*16.93,0)+IF(ISNUMBER(AB51),AB51*19.52,0)+IF(ISNUMBER(AC51),AC51*22.35,0)+IF(ISNUMBER(AD51),AD51*13.92,0)+IF(ISNUMBER(AE51),AE51*21.55,0)+IF(ISNUMBER(AF51),AF51*13.92,0)+IF(ISNUMBER(AG51),AG51*13.92,0))</f>
        <v/>
      </c>
      <c r="AX51" s="55">
        <f>IF(AND(H51="",I51=""),"",65.0+IF(ISNUMBER(AH51),AH51*30.23,0)+IF(ISNUMBER(AI51),AI51*30.23,0)+IF(ISNUMBER(AJ51),AJ51*28.0,0))</f>
        <v/>
      </c>
      <c r="AY51" s="55">
        <f>IF(E51="","",1002.0)</f>
        <v/>
      </c>
      <c r="AZ51" s="57">
        <f>IF(E51="","",IF(ISNUMBER(AU51),AU51,0)+IF(ISNUMBER(AV51),AV51,0)+IF(ISNUMBER(AW51),AW51,0)+IF(ISNUMBER(AX51),AX51,0)+IF(ISNUMBER(AY51),AY51,0))</f>
        <v/>
      </c>
      <c r="BA51" s="58">
        <f>IF(OR(E51="",AZ51=""),"",AZ51-AR51)</f>
        <v/>
      </c>
      <c r="BB51" s="59">
        <f>IF(OR(E51="",AZ51=0),"",BA51/AZ51)</f>
        <v/>
      </c>
      <c r="BC51" s="60" t="n">
        <v>6789.27</v>
      </c>
    </row>
    <row r="52" ht="16" customHeight="1">
      <c r="A52" s="45" t="inlineStr">
        <is>
          <t>5/29/2026</t>
        </is>
      </c>
      <c r="B52" s="46" t="inlineStr">
        <is>
          <t>SK0910</t>
        </is>
      </c>
      <c r="C52" s="46" t="inlineStr">
        <is>
          <t>3591</t>
        </is>
      </c>
      <c r="D52" s="46" t="inlineStr">
        <is>
          <t>C4</t>
        </is>
      </c>
      <c r="E52" s="50" t="n">
        <v>30</v>
      </c>
      <c r="F52" s="50" t="n">
        <v>38</v>
      </c>
      <c r="G52" s="50" t="n">
        <v>172</v>
      </c>
      <c r="H52" s="50" t="n">
        <v>7</v>
      </c>
      <c r="I52" s="50" t="n">
        <v>2</v>
      </c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9" t="n"/>
      <c r="U52" s="49" t="n"/>
      <c r="V52" s="49" t="n"/>
      <c r="W52" s="49" t="n"/>
      <c r="X52" s="49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47" t="n"/>
      <c r="AI52" s="47" t="n"/>
      <c r="AJ52" s="47" t="n"/>
      <c r="AK52" s="51" t="n"/>
      <c r="AL52" s="52" t="n"/>
      <c r="AM52" s="53">
        <f>IF(E52="","",E52*30.96)</f>
        <v/>
      </c>
      <c r="AN52" s="53">
        <f>IF(F52="","",F52*18.3)</f>
        <v/>
      </c>
      <c r="AO52" s="53">
        <f>IF(G52="","",G52*10.45)</f>
        <v/>
      </c>
      <c r="AP52" s="53">
        <f>IF(AND(H52="",I52=""),"",IF(ISNUMBER(H52),H52*18.43,0)+IF(ISNUMBER(I52),I52*20.28,0))</f>
        <v/>
      </c>
      <c r="AQ52" s="53">
        <f>IF(E52="","",701.4)</f>
        <v/>
      </c>
      <c r="AR52" s="54">
        <f>IF(E52="","",IF(ISNUMBER(AM52),AM52,0)+IF(ISNUMBER(AN52),AN52,0)+IF(ISNUMBER(AO52),AO52,0)+IF(ISNUMBER(AP52),AP52,0)+IF(ISNUMBER(AQ52),AQ52,0))</f>
        <v/>
      </c>
      <c r="AS52" s="55">
        <f>IF(E52="","",MAX(E52-SUM(J52:S52),0)*43.5)</f>
        <v/>
      </c>
      <c r="AT52" s="55">
        <f>IF(E52="","",IF(ISNUMBER(J52),J52*39.14,0)+IF(ISNUMBER(K52),K52*12.23,0)+IF(ISNUMBER(L52),L52*12.15,0)+IF(ISNUMBER(M52),M52*7.62,0)+IF(ISNUMBER(N52),N52*10.21,0)+IF(ISNUMBER(O52),O52*6.15,0)+IF(ISNUMBER(P52),P52*12.24,0)+IF(ISNUMBER(Q52),Q52*39.14,0)+IF(ISNUMBER(R52),R52*39.14,0)+IF(ISNUMBER(S52),S52*40.31,0))</f>
        <v/>
      </c>
      <c r="AU52" s="56">
        <f>IF(E52="","",IF(ISNUMBER(AS52),AS52,0)+IF(ISNUMBER(AT52),AT52,0))</f>
        <v/>
      </c>
      <c r="AV52" s="55">
        <f>IF(F52="","",MAX(F52-SUM(T52:X52),0)*23.5+IF(ISNUMBER(T52),T52*19.69,0)+IF(ISNUMBER(U52),U52*16.74,0)+IF(ISNUMBER(V52),V52*20.28,0)+IF(ISNUMBER(W52),W52*19.69,0)+IF(ISNUMBER(X52),X52*19.69,0))</f>
        <v/>
      </c>
      <c r="AW52" s="55">
        <f>IF(G52="","",MAX(G52-SUM(Y52:AG52),0)*14.5+IF(ISNUMBER(Y52),Y52*11.84,0)+IF(ISNUMBER(Z52),Z52*14.34,0)+IF(ISNUMBER(AA52),AA52*16.93,0)+IF(ISNUMBER(AB52),AB52*19.52,0)+IF(ISNUMBER(AC52),AC52*22.35,0)+IF(ISNUMBER(AD52),AD52*13.92,0)+IF(ISNUMBER(AE52),AE52*21.55,0)+IF(ISNUMBER(AF52),AF52*13.92,0)+IF(ISNUMBER(AG52),AG52*13.92,0))</f>
        <v/>
      </c>
      <c r="AX52" s="55">
        <f>IF(AND(H52="",I52=""),"",65.0+IF(ISNUMBER(AH52),AH52*30.23,0)+IF(ISNUMBER(AI52),AI52*30.23,0)+IF(ISNUMBER(AJ52),AJ52*28.0,0))</f>
        <v/>
      </c>
      <c r="AY52" s="55">
        <f>IF(E52="","",1002.0)</f>
        <v/>
      </c>
      <c r="AZ52" s="57">
        <f>IF(E52="","",IF(ISNUMBER(AU52),AU52,0)+IF(ISNUMBER(AV52),AV52,0)+IF(ISNUMBER(AW52),AW52,0)+IF(ISNUMBER(AX52),AX52,0)+IF(ISNUMBER(AY52),AY52,0))</f>
        <v/>
      </c>
      <c r="BA52" s="58">
        <f>IF(OR(E52="",AZ52=""),"",AZ52-AR52)</f>
        <v/>
      </c>
      <c r="BB52" s="59">
        <f>IF(OR(E52="",AZ52=0),"",BA52/AZ52)</f>
        <v/>
      </c>
      <c r="BC52" s="60" t="n">
        <v>6942.58</v>
      </c>
    </row>
    <row r="53" ht="16" customHeight="1">
      <c r="A53" s="45" t="inlineStr">
        <is>
          <t>5/30/2026</t>
        </is>
      </c>
      <c r="B53" s="46" t="inlineStr">
        <is>
          <t>SK0910</t>
        </is>
      </c>
      <c r="C53" s="46" t="inlineStr">
        <is>
          <t>3591</t>
        </is>
      </c>
      <c r="D53" s="46" t="inlineStr">
        <is>
          <t>C4</t>
        </is>
      </c>
      <c r="E53" s="50" t="n">
        <v>29</v>
      </c>
      <c r="F53" s="50" t="n">
        <v>37</v>
      </c>
      <c r="G53" s="50" t="n">
        <v>170</v>
      </c>
      <c r="H53" s="50" t="n">
        <v>7</v>
      </c>
      <c r="I53" s="50" t="n">
        <v>2</v>
      </c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9" t="n"/>
      <c r="U53" s="49" t="n"/>
      <c r="V53" s="49" t="n"/>
      <c r="W53" s="49" t="n"/>
      <c r="X53" s="49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47" t="n"/>
      <c r="AI53" s="47" t="n"/>
      <c r="AJ53" s="47" t="n"/>
      <c r="AK53" s="51" t="n"/>
      <c r="AL53" s="52" t="n"/>
      <c r="AM53" s="53">
        <f>IF(E53="","",E53*30.96)</f>
        <v/>
      </c>
      <c r="AN53" s="53">
        <f>IF(F53="","",F53*18.3)</f>
        <v/>
      </c>
      <c r="AO53" s="53">
        <f>IF(G53="","",G53*10.45)</f>
        <v/>
      </c>
      <c r="AP53" s="53">
        <f>IF(AND(H53="",I53=""),"",IF(ISNUMBER(H53),H53*18.43,0)+IF(ISNUMBER(I53),I53*20.28,0))</f>
        <v/>
      </c>
      <c r="AQ53" s="53">
        <f>IF(E53="","",701.4)</f>
        <v/>
      </c>
      <c r="AR53" s="54">
        <f>IF(E53="","",IF(ISNUMBER(AM53),AM53,0)+IF(ISNUMBER(AN53),AN53,0)+IF(ISNUMBER(AO53),AO53,0)+IF(ISNUMBER(AP53),AP53,0)+IF(ISNUMBER(AQ53),AQ53,0))</f>
        <v/>
      </c>
      <c r="AS53" s="55">
        <f>IF(E53="","",MAX(E53-SUM(J53:S53),0)*43.5)</f>
        <v/>
      </c>
      <c r="AT53" s="55">
        <f>IF(E53="","",IF(ISNUMBER(J53),J53*39.14,0)+IF(ISNUMBER(K53),K53*12.23,0)+IF(ISNUMBER(L53),L53*12.15,0)+IF(ISNUMBER(M53),M53*7.62,0)+IF(ISNUMBER(N53),N53*10.21,0)+IF(ISNUMBER(O53),O53*6.15,0)+IF(ISNUMBER(P53),P53*12.24,0)+IF(ISNUMBER(Q53),Q53*39.14,0)+IF(ISNUMBER(R53),R53*39.14,0)+IF(ISNUMBER(S53),S53*40.31,0))</f>
        <v/>
      </c>
      <c r="AU53" s="56">
        <f>IF(E53="","",IF(ISNUMBER(AS53),AS53,0)+IF(ISNUMBER(AT53),AT53,0))</f>
        <v/>
      </c>
      <c r="AV53" s="55">
        <f>IF(F53="","",MAX(F53-SUM(T53:X53),0)*23.5+IF(ISNUMBER(T53),T53*19.69,0)+IF(ISNUMBER(U53),U53*16.74,0)+IF(ISNUMBER(V53),V53*20.28,0)+IF(ISNUMBER(W53),W53*19.69,0)+IF(ISNUMBER(X53),X53*19.69,0))</f>
        <v/>
      </c>
      <c r="AW53" s="55">
        <f>IF(G53="","",MAX(G53-SUM(Y53:AG53),0)*14.5+IF(ISNUMBER(Y53),Y53*11.84,0)+IF(ISNUMBER(Z53),Z53*14.34,0)+IF(ISNUMBER(AA53),AA53*16.93,0)+IF(ISNUMBER(AB53),AB53*19.52,0)+IF(ISNUMBER(AC53),AC53*22.35,0)+IF(ISNUMBER(AD53),AD53*13.92,0)+IF(ISNUMBER(AE53),AE53*21.55,0)+IF(ISNUMBER(AF53),AF53*13.92,0)+IF(ISNUMBER(AG53),AG53*13.92,0))</f>
        <v/>
      </c>
      <c r="AX53" s="55">
        <f>IF(AND(H53="",I53=""),"",65.0+IF(ISNUMBER(AH53),AH53*30.23,0)+IF(ISNUMBER(AI53),AI53*30.23,0)+IF(ISNUMBER(AJ53),AJ53*28.0,0))</f>
        <v/>
      </c>
      <c r="AY53" s="55">
        <f>IF(E53="","",1002.0)</f>
        <v/>
      </c>
      <c r="AZ53" s="57">
        <f>IF(E53="","",IF(ISNUMBER(AU53),AU53,0)+IF(ISNUMBER(AV53),AV53,0)+IF(ISNUMBER(AW53),AW53,0)+IF(ISNUMBER(AX53),AX53,0)+IF(ISNUMBER(AY53),AY53,0))</f>
        <v/>
      </c>
      <c r="BA53" s="58">
        <f>IF(OR(E53="",AZ53=""),"",AZ53-AR53)</f>
        <v/>
      </c>
      <c r="BB53" s="59">
        <f>IF(OR(E53="",AZ53=0),"",BA53/AZ53)</f>
        <v/>
      </c>
      <c r="BC53" s="60" t="n">
        <v>6805.19</v>
      </c>
    </row>
    <row r="54" ht="16" customHeight="1">
      <c r="A54" s="45" t="inlineStr">
        <is>
          <t>5/31/2026</t>
        </is>
      </c>
      <c r="B54" s="46" t="inlineStr">
        <is>
          <t>SK0910</t>
        </is>
      </c>
      <c r="C54" s="46" t="inlineStr">
        <is>
          <t>3591</t>
        </is>
      </c>
      <c r="D54" s="46" t="inlineStr">
        <is>
          <t>C4</t>
        </is>
      </c>
      <c r="E54" s="50" t="n">
        <v>31</v>
      </c>
      <c r="F54" s="50" t="n">
        <v>39</v>
      </c>
      <c r="G54" s="50" t="n">
        <v>174</v>
      </c>
      <c r="H54" s="50" t="n">
        <v>7</v>
      </c>
      <c r="I54" s="50" t="n">
        <v>2</v>
      </c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9" t="n"/>
      <c r="U54" s="49" t="n"/>
      <c r="V54" s="49" t="n"/>
      <c r="W54" s="49" t="n"/>
      <c r="X54" s="49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47" t="n"/>
      <c r="AI54" s="47" t="n"/>
      <c r="AJ54" s="47" t="n"/>
      <c r="AK54" s="51" t="n"/>
      <c r="AL54" s="52" t="n"/>
      <c r="AM54" s="53">
        <f>IF(E54="","",E54*30.96)</f>
        <v/>
      </c>
      <c r="AN54" s="53">
        <f>IF(F54="","",F54*18.3)</f>
        <v/>
      </c>
      <c r="AO54" s="53">
        <f>IF(G54="","",G54*10.45)</f>
        <v/>
      </c>
      <c r="AP54" s="53">
        <f>IF(AND(H54="",I54=""),"",IF(ISNUMBER(H54),H54*18.43,0)+IF(ISNUMBER(I54),I54*20.28,0))</f>
        <v/>
      </c>
      <c r="AQ54" s="53">
        <f>IF(E54="","",701.4)</f>
        <v/>
      </c>
      <c r="AR54" s="54">
        <f>IF(E54="","",IF(ISNUMBER(AM54),AM54,0)+IF(ISNUMBER(AN54),AN54,0)+IF(ISNUMBER(AO54),AO54,0)+IF(ISNUMBER(AP54),AP54,0)+IF(ISNUMBER(AQ54),AQ54,0))</f>
        <v/>
      </c>
      <c r="AS54" s="55">
        <f>IF(E54="","",MAX(E54-SUM(J54:S54),0)*43.5)</f>
        <v/>
      </c>
      <c r="AT54" s="55">
        <f>IF(E54="","",IF(ISNUMBER(J54),J54*39.14,0)+IF(ISNUMBER(K54),K54*12.23,0)+IF(ISNUMBER(L54),L54*12.15,0)+IF(ISNUMBER(M54),M54*7.62,0)+IF(ISNUMBER(N54),N54*10.21,0)+IF(ISNUMBER(O54),O54*6.15,0)+IF(ISNUMBER(P54),P54*12.24,0)+IF(ISNUMBER(Q54),Q54*39.14,0)+IF(ISNUMBER(R54),R54*39.14,0)+IF(ISNUMBER(S54),S54*40.31,0))</f>
        <v/>
      </c>
      <c r="AU54" s="56">
        <f>IF(E54="","",IF(ISNUMBER(AS54),AS54,0)+IF(ISNUMBER(AT54),AT54,0))</f>
        <v/>
      </c>
      <c r="AV54" s="55">
        <f>IF(F54="","",MAX(F54-SUM(T54:X54),0)*23.5+IF(ISNUMBER(T54),T54*19.69,0)+IF(ISNUMBER(U54),U54*16.74,0)+IF(ISNUMBER(V54),V54*20.28,0)+IF(ISNUMBER(W54),W54*19.69,0)+IF(ISNUMBER(X54),X54*19.69,0))</f>
        <v/>
      </c>
      <c r="AW54" s="55">
        <f>IF(G54="","",MAX(G54-SUM(Y54:AG54),0)*14.5+IF(ISNUMBER(Y54),Y54*11.84,0)+IF(ISNUMBER(Z54),Z54*14.34,0)+IF(ISNUMBER(AA54),AA54*16.93,0)+IF(ISNUMBER(AB54),AB54*19.52,0)+IF(ISNUMBER(AC54),AC54*22.35,0)+IF(ISNUMBER(AD54),AD54*13.92,0)+IF(ISNUMBER(AE54),AE54*21.55,0)+IF(ISNUMBER(AF54),AF54*13.92,0)+IF(ISNUMBER(AG54),AG54*13.92,0))</f>
        <v/>
      </c>
      <c r="AX54" s="55">
        <f>IF(AND(H54="",I54=""),"",65.0+IF(ISNUMBER(AH54),AH54*30.23,0)+IF(ISNUMBER(AI54),AI54*30.23,0)+IF(ISNUMBER(AJ54),AJ54*28.0,0))</f>
        <v/>
      </c>
      <c r="AY54" s="55">
        <f>IF(E54="","",1002.0)</f>
        <v/>
      </c>
      <c r="AZ54" s="57">
        <f>IF(E54="","",IF(ISNUMBER(AU54),AU54,0)+IF(ISNUMBER(AV54),AV54,0)+IF(ISNUMBER(AW54),AW54,0)+IF(ISNUMBER(AX54),AX54,0)+IF(ISNUMBER(AY54),AY54,0))</f>
        <v/>
      </c>
      <c r="BA54" s="58">
        <f>IF(OR(E54="",AZ54=""),"",AZ54-AR54)</f>
        <v/>
      </c>
      <c r="BB54" s="59">
        <f>IF(OR(E54="",AZ54=0),"",BA54/AZ54)</f>
        <v/>
      </c>
      <c r="BC54" s="60" t="n">
        <v>7001.79</v>
      </c>
    </row>
    <row r="55" ht="16" customHeight="1">
      <c r="A55" s="45" t="inlineStr">
        <is>
          <t>6/1/2026</t>
        </is>
      </c>
      <c r="B55" s="46" t="inlineStr">
        <is>
          <t>SK0910</t>
        </is>
      </c>
      <c r="C55" s="46" t="inlineStr">
        <is>
          <t>3333</t>
        </is>
      </c>
      <c r="D55" s="46" t="inlineStr">
        <is>
          <t>C4</t>
        </is>
      </c>
      <c r="E55" s="47" t="n"/>
      <c r="F55" s="47" t="n"/>
      <c r="G55" s="47" t="n"/>
      <c r="H55" s="47" t="n"/>
      <c r="I55" s="47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9" t="n"/>
      <c r="U55" s="49" t="n"/>
      <c r="V55" s="49" t="n"/>
      <c r="W55" s="49" t="n"/>
      <c r="X55" s="49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47" t="n"/>
      <c r="AI55" s="47" t="n"/>
      <c r="AJ55" s="47" t="n"/>
      <c r="AK55" s="51" t="n"/>
      <c r="AL55" s="52" t="n"/>
      <c r="AM55" s="53">
        <f>IF(E55="","",E55*30.96)</f>
        <v/>
      </c>
      <c r="AN55" s="53">
        <f>IF(F55="","",F55*18.3)</f>
        <v/>
      </c>
      <c r="AO55" s="53">
        <f>IF(G55="","",G55*10.45)</f>
        <v/>
      </c>
      <c r="AP55" s="53">
        <f>IF(AND(H55="",I55=""),"",IF(ISNUMBER(H55),H55*18.43,0)+IF(ISNUMBER(I55),I55*20.28,0))</f>
        <v/>
      </c>
      <c r="AQ55" s="53">
        <f>IF(E55="","",667.1)</f>
        <v/>
      </c>
      <c r="AR55" s="54">
        <f>IF(E55="","",IF(ISNUMBER(AM55),AM55,0)+IF(ISNUMBER(AN55),AN55,0)+IF(ISNUMBER(AO55),AO55,0)+IF(ISNUMBER(AP55),AP55,0)+IF(ISNUMBER(AQ55),AQ55,0))</f>
        <v/>
      </c>
      <c r="AS55" s="55">
        <f>IF(E55="","",MAX(E55-SUM(J55:S55),0)*43.5)</f>
        <v/>
      </c>
      <c r="AT55" s="55">
        <f>IF(E55="","",IF(ISNUMBER(J55),J55*39.14,0)+IF(ISNUMBER(K55),K55*12.23,0)+IF(ISNUMBER(L55),L55*12.15,0)+IF(ISNUMBER(M55),M55*7.62,0)+IF(ISNUMBER(N55),N55*10.21,0)+IF(ISNUMBER(O55),O55*6.15,0)+IF(ISNUMBER(P55),P55*12.24,0)+IF(ISNUMBER(Q55),Q55*39.14,0)+IF(ISNUMBER(R55),R55*39.14,0)+IF(ISNUMBER(S55),S55*40.31,0))</f>
        <v/>
      </c>
      <c r="AU55" s="56">
        <f>IF(E55="","",IF(ISNUMBER(AS55),AS55,0)+IF(ISNUMBER(AT55),AT55,0))</f>
        <v/>
      </c>
      <c r="AV55" s="55">
        <f>IF(F55="","",MAX(F55-SUM(T55:X55),0)*23.5+IF(ISNUMBER(T55),T55*19.69,0)+IF(ISNUMBER(U55),U55*16.74,0)+IF(ISNUMBER(V55),V55*20.28,0)+IF(ISNUMBER(W55),W55*19.69,0)+IF(ISNUMBER(X55),X55*19.69,0))</f>
        <v/>
      </c>
      <c r="AW55" s="55">
        <f>IF(G55="","",MAX(G55-SUM(Y55:AG55),0)*14.5+IF(ISNUMBER(Y55),Y55*11.84,0)+IF(ISNUMBER(Z55),Z55*14.34,0)+IF(ISNUMBER(AA55),AA55*16.93,0)+IF(ISNUMBER(AB55),AB55*19.52,0)+IF(ISNUMBER(AC55),AC55*22.35,0)+IF(ISNUMBER(AD55),AD55*13.92,0)+IF(ISNUMBER(AE55),AE55*21.55,0)+IF(ISNUMBER(AF55),AF55*13.92,0)+IF(ISNUMBER(AG55),AG55*13.92,0))</f>
        <v/>
      </c>
      <c r="AX55" s="55">
        <f>IF(AND(H55="",I55=""),"",65.0+IF(ISNUMBER(AH55),AH55*30.23,0)+IF(ISNUMBER(AI55),AI55*30.23,0)+IF(ISNUMBER(AJ55),AJ55*28.0,0))</f>
        <v/>
      </c>
      <c r="AY55" s="55">
        <f>IF(E55="","",953.0)</f>
        <v/>
      </c>
      <c r="AZ55" s="57">
        <f>IF(E55="","",IF(ISNUMBER(AU55),AU55,0)+IF(ISNUMBER(AV55),AV55,0)+IF(ISNUMBER(AW55),AW55,0)+IF(ISNUMBER(AX55),AX55,0)+IF(ISNUMBER(AY55),AY55,0))</f>
        <v/>
      </c>
      <c r="BA55" s="58">
        <f>IF(OR(E55="",AZ55=""),"",AZ55-AR55)</f>
        <v/>
      </c>
      <c r="BB55" s="59">
        <f>IF(OR(E55="",AZ55=0),"",BA55/AZ55)</f>
        <v/>
      </c>
      <c r="BC55" s="60" t="n"/>
    </row>
    <row r="56" ht="16" customHeight="1">
      <c r="A56" s="45" t="inlineStr">
        <is>
          <t>6/4/2026</t>
        </is>
      </c>
      <c r="B56" s="46" t="inlineStr">
        <is>
          <t>SK0910</t>
        </is>
      </c>
      <c r="C56" s="46" t="inlineStr">
        <is>
          <t>3333</t>
        </is>
      </c>
      <c r="D56" s="46" t="inlineStr">
        <is>
          <t>C4</t>
        </is>
      </c>
      <c r="E56" s="47" t="n"/>
      <c r="F56" s="47" t="n"/>
      <c r="G56" s="47" t="n"/>
      <c r="H56" s="47" t="n"/>
      <c r="I56" s="47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9" t="n"/>
      <c r="U56" s="49" t="n"/>
      <c r="V56" s="49" t="n"/>
      <c r="W56" s="49" t="n"/>
      <c r="X56" s="49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47" t="n"/>
      <c r="AI56" s="47" t="n"/>
      <c r="AJ56" s="47" t="n"/>
      <c r="AK56" s="51" t="n"/>
      <c r="AL56" s="52" t="n"/>
      <c r="AM56" s="53">
        <f>IF(E56="","",E56*30.96)</f>
        <v/>
      </c>
      <c r="AN56" s="53">
        <f>IF(F56="","",F56*18.3)</f>
        <v/>
      </c>
      <c r="AO56" s="53">
        <f>IF(G56="","",G56*10.45)</f>
        <v/>
      </c>
      <c r="AP56" s="53">
        <f>IF(AND(H56="",I56=""),"",IF(ISNUMBER(H56),H56*18.43,0)+IF(ISNUMBER(I56),I56*20.28,0))</f>
        <v/>
      </c>
      <c r="AQ56" s="53">
        <f>IF(E56="","",667.1)</f>
        <v/>
      </c>
      <c r="AR56" s="54">
        <f>IF(E56="","",IF(ISNUMBER(AM56),AM56,0)+IF(ISNUMBER(AN56),AN56,0)+IF(ISNUMBER(AO56),AO56,0)+IF(ISNUMBER(AP56),AP56,0)+IF(ISNUMBER(AQ56),AQ56,0))</f>
        <v/>
      </c>
      <c r="AS56" s="55">
        <f>IF(E56="","",MAX(E56-SUM(J56:S56),0)*43.5)</f>
        <v/>
      </c>
      <c r="AT56" s="55">
        <f>IF(E56="","",IF(ISNUMBER(J56),J56*39.14,0)+IF(ISNUMBER(K56),K56*12.23,0)+IF(ISNUMBER(L56),L56*12.15,0)+IF(ISNUMBER(M56),M56*7.62,0)+IF(ISNUMBER(N56),N56*10.21,0)+IF(ISNUMBER(O56),O56*6.15,0)+IF(ISNUMBER(P56),P56*12.24,0)+IF(ISNUMBER(Q56),Q56*39.14,0)+IF(ISNUMBER(R56),R56*39.14,0)+IF(ISNUMBER(S56),S56*40.31,0))</f>
        <v/>
      </c>
      <c r="AU56" s="56">
        <f>IF(E56="","",IF(ISNUMBER(AS56),AS56,0)+IF(ISNUMBER(AT56),AT56,0))</f>
        <v/>
      </c>
      <c r="AV56" s="55">
        <f>IF(F56="","",MAX(F56-SUM(T56:X56),0)*23.5+IF(ISNUMBER(T56),T56*19.69,0)+IF(ISNUMBER(U56),U56*16.74,0)+IF(ISNUMBER(V56),V56*20.28,0)+IF(ISNUMBER(W56),W56*19.69,0)+IF(ISNUMBER(X56),X56*19.69,0))</f>
        <v/>
      </c>
      <c r="AW56" s="55">
        <f>IF(G56="","",MAX(G56-SUM(Y56:AG56),0)*14.5+IF(ISNUMBER(Y56),Y56*11.84,0)+IF(ISNUMBER(Z56),Z56*14.34,0)+IF(ISNUMBER(AA56),AA56*16.93,0)+IF(ISNUMBER(AB56),AB56*19.52,0)+IF(ISNUMBER(AC56),AC56*22.35,0)+IF(ISNUMBER(AD56),AD56*13.92,0)+IF(ISNUMBER(AE56),AE56*21.55,0)+IF(ISNUMBER(AF56),AF56*13.92,0)+IF(ISNUMBER(AG56),AG56*13.92,0))</f>
        <v/>
      </c>
      <c r="AX56" s="55">
        <f>IF(AND(H56="",I56=""),"",65.0+IF(ISNUMBER(AH56),AH56*30.23,0)+IF(ISNUMBER(AI56),AI56*30.23,0)+IF(ISNUMBER(AJ56),AJ56*28.0,0))</f>
        <v/>
      </c>
      <c r="AY56" s="55">
        <f>IF(E56="","",953.0)</f>
        <v/>
      </c>
      <c r="AZ56" s="57">
        <f>IF(E56="","",IF(ISNUMBER(AU56),AU56,0)+IF(ISNUMBER(AV56),AV56,0)+IF(ISNUMBER(AW56),AW56,0)+IF(ISNUMBER(AX56),AX56,0)+IF(ISNUMBER(AY56),AY56,0))</f>
        <v/>
      </c>
      <c r="BA56" s="58">
        <f>IF(OR(E56="",AZ56=""),"",AZ56-AR56)</f>
        <v/>
      </c>
      <c r="BB56" s="59">
        <f>IF(OR(E56="",AZ56=0),"",BA56/AZ56)</f>
        <v/>
      </c>
      <c r="BC56" s="60" t="n"/>
    </row>
    <row r="57" ht="16" customHeight="1">
      <c r="A57" s="45" t="inlineStr">
        <is>
          <t>6/8/2026</t>
        </is>
      </c>
      <c r="B57" s="46" t="inlineStr">
        <is>
          <t>SK0910</t>
        </is>
      </c>
      <c r="C57" s="46" t="inlineStr">
        <is>
          <t>3333</t>
        </is>
      </c>
      <c r="D57" s="46" t="inlineStr">
        <is>
          <t>C4</t>
        </is>
      </c>
      <c r="E57" s="47" t="n"/>
      <c r="F57" s="47" t="n"/>
      <c r="G57" s="47" t="n"/>
      <c r="H57" s="47" t="n"/>
      <c r="I57" s="47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9" t="n"/>
      <c r="U57" s="49" t="n"/>
      <c r="V57" s="49" t="n"/>
      <c r="W57" s="49" t="n"/>
      <c r="X57" s="49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47" t="n"/>
      <c r="AI57" s="47" t="n"/>
      <c r="AJ57" s="47" t="n"/>
      <c r="AK57" s="51" t="n"/>
      <c r="AL57" s="52" t="n"/>
      <c r="AM57" s="53">
        <f>IF(E57="","",E57*30.96)</f>
        <v/>
      </c>
      <c r="AN57" s="53">
        <f>IF(F57="","",F57*18.3)</f>
        <v/>
      </c>
      <c r="AO57" s="53">
        <f>IF(G57="","",G57*10.45)</f>
        <v/>
      </c>
      <c r="AP57" s="53">
        <f>IF(AND(H57="",I57=""),"",IF(ISNUMBER(H57),H57*18.43,0)+IF(ISNUMBER(I57),I57*20.28,0))</f>
        <v/>
      </c>
      <c r="AQ57" s="53">
        <f>IF(E57="","",667.1)</f>
        <v/>
      </c>
      <c r="AR57" s="54">
        <f>IF(E57="","",IF(ISNUMBER(AM57),AM57,0)+IF(ISNUMBER(AN57),AN57,0)+IF(ISNUMBER(AO57),AO57,0)+IF(ISNUMBER(AP57),AP57,0)+IF(ISNUMBER(AQ57),AQ57,0))</f>
        <v/>
      </c>
      <c r="AS57" s="55">
        <f>IF(E57="","",MAX(E57-SUM(J57:S57),0)*43.5)</f>
        <v/>
      </c>
      <c r="AT57" s="55">
        <f>IF(E57="","",IF(ISNUMBER(J57),J57*39.14,0)+IF(ISNUMBER(K57),K57*12.23,0)+IF(ISNUMBER(L57),L57*12.15,0)+IF(ISNUMBER(M57),M57*7.62,0)+IF(ISNUMBER(N57),N57*10.21,0)+IF(ISNUMBER(O57),O57*6.15,0)+IF(ISNUMBER(P57),P57*12.24,0)+IF(ISNUMBER(Q57),Q57*39.14,0)+IF(ISNUMBER(R57),R57*39.14,0)+IF(ISNUMBER(S57),S57*40.31,0))</f>
        <v/>
      </c>
      <c r="AU57" s="56">
        <f>IF(E57="","",IF(ISNUMBER(AS57),AS57,0)+IF(ISNUMBER(AT57),AT57,0))</f>
        <v/>
      </c>
      <c r="AV57" s="55">
        <f>IF(F57="","",MAX(F57-SUM(T57:X57),0)*23.5+IF(ISNUMBER(T57),T57*19.69,0)+IF(ISNUMBER(U57),U57*16.74,0)+IF(ISNUMBER(V57),V57*20.28,0)+IF(ISNUMBER(W57),W57*19.69,0)+IF(ISNUMBER(X57),X57*19.69,0))</f>
        <v/>
      </c>
      <c r="AW57" s="55">
        <f>IF(G57="","",MAX(G57-SUM(Y57:AG57),0)*14.5+IF(ISNUMBER(Y57),Y57*11.84,0)+IF(ISNUMBER(Z57),Z57*14.34,0)+IF(ISNUMBER(AA57),AA57*16.93,0)+IF(ISNUMBER(AB57),AB57*19.52,0)+IF(ISNUMBER(AC57),AC57*22.35,0)+IF(ISNUMBER(AD57),AD57*13.92,0)+IF(ISNUMBER(AE57),AE57*21.55,0)+IF(ISNUMBER(AF57),AF57*13.92,0)+IF(ISNUMBER(AG57),AG57*13.92,0))</f>
        <v/>
      </c>
      <c r="AX57" s="55">
        <f>IF(AND(H57="",I57=""),"",65.0+IF(ISNUMBER(AH57),AH57*30.23,0)+IF(ISNUMBER(AI57),AI57*30.23,0)+IF(ISNUMBER(AJ57),AJ57*28.0,0))</f>
        <v/>
      </c>
      <c r="AY57" s="55">
        <f>IF(E57="","",953.0)</f>
        <v/>
      </c>
      <c r="AZ57" s="57">
        <f>IF(E57="","",IF(ISNUMBER(AU57),AU57,0)+IF(ISNUMBER(AV57),AV57,0)+IF(ISNUMBER(AW57),AW57,0)+IF(ISNUMBER(AX57),AX57,0)+IF(ISNUMBER(AY57),AY57,0))</f>
        <v/>
      </c>
      <c r="BA57" s="58">
        <f>IF(OR(E57="",AZ57=""),"",AZ57-AR57)</f>
        <v/>
      </c>
      <c r="BB57" s="59">
        <f>IF(OR(E57="",AZ57=0),"",BA57/AZ57)</f>
        <v/>
      </c>
      <c r="BC57" s="60" t="n"/>
    </row>
    <row r="58" ht="16" customHeight="1">
      <c r="A58" s="45" t="inlineStr">
        <is>
          <t>6/11/2026</t>
        </is>
      </c>
      <c r="B58" s="46" t="inlineStr">
        <is>
          <t>SK0910</t>
        </is>
      </c>
      <c r="C58" s="46" t="inlineStr">
        <is>
          <t>3333</t>
        </is>
      </c>
      <c r="D58" s="46" t="inlineStr">
        <is>
          <t>C4</t>
        </is>
      </c>
      <c r="E58" s="47" t="n"/>
      <c r="F58" s="47" t="n"/>
      <c r="G58" s="47" t="n"/>
      <c r="H58" s="47" t="n"/>
      <c r="I58" s="47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9" t="n"/>
      <c r="U58" s="49" t="n"/>
      <c r="V58" s="49" t="n"/>
      <c r="W58" s="49" t="n"/>
      <c r="X58" s="49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  <c r="AH58" s="47" t="n"/>
      <c r="AI58" s="47" t="n"/>
      <c r="AJ58" s="47" t="n"/>
      <c r="AK58" s="51" t="n"/>
      <c r="AL58" s="52" t="n"/>
      <c r="AM58" s="53">
        <f>IF(E58="","",E58*30.96)</f>
        <v/>
      </c>
      <c r="AN58" s="53">
        <f>IF(F58="","",F58*18.3)</f>
        <v/>
      </c>
      <c r="AO58" s="53">
        <f>IF(G58="","",G58*10.45)</f>
        <v/>
      </c>
      <c r="AP58" s="53">
        <f>IF(AND(H58="",I58=""),"",IF(ISNUMBER(H58),H58*18.43,0)+IF(ISNUMBER(I58),I58*20.28,0))</f>
        <v/>
      </c>
      <c r="AQ58" s="53">
        <f>IF(E58="","",667.1)</f>
        <v/>
      </c>
      <c r="AR58" s="54">
        <f>IF(E58="","",IF(ISNUMBER(AM58),AM58,0)+IF(ISNUMBER(AN58),AN58,0)+IF(ISNUMBER(AO58),AO58,0)+IF(ISNUMBER(AP58),AP58,0)+IF(ISNUMBER(AQ58),AQ58,0))</f>
        <v/>
      </c>
      <c r="AS58" s="55">
        <f>IF(E58="","",MAX(E58-SUM(J58:S58),0)*43.5)</f>
        <v/>
      </c>
      <c r="AT58" s="55">
        <f>IF(E58="","",IF(ISNUMBER(J58),J58*39.14,0)+IF(ISNUMBER(K58),K58*12.23,0)+IF(ISNUMBER(L58),L58*12.15,0)+IF(ISNUMBER(M58),M58*7.62,0)+IF(ISNUMBER(N58),N58*10.21,0)+IF(ISNUMBER(O58),O58*6.15,0)+IF(ISNUMBER(P58),P58*12.24,0)+IF(ISNUMBER(Q58),Q58*39.14,0)+IF(ISNUMBER(R58),R58*39.14,0)+IF(ISNUMBER(S58),S58*40.31,0))</f>
        <v/>
      </c>
      <c r="AU58" s="56">
        <f>IF(E58="","",IF(ISNUMBER(AS58),AS58,0)+IF(ISNUMBER(AT58),AT58,0))</f>
        <v/>
      </c>
      <c r="AV58" s="55">
        <f>IF(F58="","",MAX(F58-SUM(T58:X58),0)*23.5+IF(ISNUMBER(T58),T58*19.69,0)+IF(ISNUMBER(U58),U58*16.74,0)+IF(ISNUMBER(V58),V58*20.28,0)+IF(ISNUMBER(W58),W58*19.69,0)+IF(ISNUMBER(X58),X58*19.69,0))</f>
        <v/>
      </c>
      <c r="AW58" s="55">
        <f>IF(G58="","",MAX(G58-SUM(Y58:AG58),0)*14.5+IF(ISNUMBER(Y58),Y58*11.84,0)+IF(ISNUMBER(Z58),Z58*14.34,0)+IF(ISNUMBER(AA58),AA58*16.93,0)+IF(ISNUMBER(AB58),AB58*19.52,0)+IF(ISNUMBER(AC58),AC58*22.35,0)+IF(ISNUMBER(AD58),AD58*13.92,0)+IF(ISNUMBER(AE58),AE58*21.55,0)+IF(ISNUMBER(AF58),AF58*13.92,0)+IF(ISNUMBER(AG58),AG58*13.92,0))</f>
        <v/>
      </c>
      <c r="AX58" s="55">
        <f>IF(AND(H58="",I58=""),"",65.0+IF(ISNUMBER(AH58),AH58*30.23,0)+IF(ISNUMBER(AI58),AI58*30.23,0)+IF(ISNUMBER(AJ58),AJ58*28.0,0))</f>
        <v/>
      </c>
      <c r="AY58" s="55">
        <f>IF(E58="","",953.0)</f>
        <v/>
      </c>
      <c r="AZ58" s="57">
        <f>IF(E58="","",IF(ISNUMBER(AU58),AU58,0)+IF(ISNUMBER(AV58),AV58,0)+IF(ISNUMBER(AW58),AW58,0)+IF(ISNUMBER(AX58),AX58,0)+IF(ISNUMBER(AY58),AY58,0))</f>
        <v/>
      </c>
      <c r="BA58" s="58">
        <f>IF(OR(E58="",AZ58=""),"",AZ58-AR58)</f>
        <v/>
      </c>
      <c r="BB58" s="59">
        <f>IF(OR(E58="",AZ58=0),"",BA58/AZ58)</f>
        <v/>
      </c>
      <c r="BC58" s="60" t="n"/>
    </row>
    <row r="59" ht="16" customHeight="1">
      <c r="A59" s="45" t="inlineStr">
        <is>
          <t>6/15/2026</t>
        </is>
      </c>
      <c r="B59" s="46" t="inlineStr">
        <is>
          <t>SK0910</t>
        </is>
      </c>
      <c r="C59" s="46" t="inlineStr">
        <is>
          <t>3333</t>
        </is>
      </c>
      <c r="D59" s="46" t="inlineStr">
        <is>
          <t>C4</t>
        </is>
      </c>
      <c r="E59" s="47" t="n"/>
      <c r="F59" s="47" t="n"/>
      <c r="G59" s="47" t="n"/>
      <c r="H59" s="47" t="n"/>
      <c r="I59" s="47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9" t="n"/>
      <c r="U59" s="49" t="n"/>
      <c r="V59" s="49" t="n"/>
      <c r="W59" s="49" t="n"/>
      <c r="X59" s="49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  <c r="AH59" s="47" t="n"/>
      <c r="AI59" s="47" t="n"/>
      <c r="AJ59" s="47" t="n"/>
      <c r="AK59" s="51" t="n"/>
      <c r="AL59" s="52" t="n"/>
      <c r="AM59" s="53">
        <f>IF(E59="","",E59*30.96)</f>
        <v/>
      </c>
      <c r="AN59" s="53">
        <f>IF(F59="","",F59*18.3)</f>
        <v/>
      </c>
      <c r="AO59" s="53">
        <f>IF(G59="","",G59*10.45)</f>
        <v/>
      </c>
      <c r="AP59" s="53">
        <f>IF(AND(H59="",I59=""),"",IF(ISNUMBER(H59),H59*18.43,0)+IF(ISNUMBER(I59),I59*20.28,0))</f>
        <v/>
      </c>
      <c r="AQ59" s="53">
        <f>IF(E59="","",667.1)</f>
        <v/>
      </c>
      <c r="AR59" s="54">
        <f>IF(E59="","",IF(ISNUMBER(AM59),AM59,0)+IF(ISNUMBER(AN59),AN59,0)+IF(ISNUMBER(AO59),AO59,0)+IF(ISNUMBER(AP59),AP59,0)+IF(ISNUMBER(AQ59),AQ59,0))</f>
        <v/>
      </c>
      <c r="AS59" s="55">
        <f>IF(E59="","",MAX(E59-SUM(J59:S59),0)*43.5)</f>
        <v/>
      </c>
      <c r="AT59" s="55">
        <f>IF(E59="","",IF(ISNUMBER(J59),J59*39.14,0)+IF(ISNUMBER(K59),K59*12.23,0)+IF(ISNUMBER(L59),L59*12.15,0)+IF(ISNUMBER(M59),M59*7.62,0)+IF(ISNUMBER(N59),N59*10.21,0)+IF(ISNUMBER(O59),O59*6.15,0)+IF(ISNUMBER(P59),P59*12.24,0)+IF(ISNUMBER(Q59),Q59*39.14,0)+IF(ISNUMBER(R59),R59*39.14,0)+IF(ISNUMBER(S59),S59*40.31,0))</f>
        <v/>
      </c>
      <c r="AU59" s="56">
        <f>IF(E59="","",IF(ISNUMBER(AS59),AS59,0)+IF(ISNUMBER(AT59),AT59,0))</f>
        <v/>
      </c>
      <c r="AV59" s="55">
        <f>IF(F59="","",MAX(F59-SUM(T59:X59),0)*23.5+IF(ISNUMBER(T59),T59*19.69,0)+IF(ISNUMBER(U59),U59*16.74,0)+IF(ISNUMBER(V59),V59*20.28,0)+IF(ISNUMBER(W59),W59*19.69,0)+IF(ISNUMBER(X59),X59*19.69,0))</f>
        <v/>
      </c>
      <c r="AW59" s="55">
        <f>IF(G59="","",MAX(G59-SUM(Y59:AG59),0)*14.5+IF(ISNUMBER(Y59),Y59*11.84,0)+IF(ISNUMBER(Z59),Z59*14.34,0)+IF(ISNUMBER(AA59),AA59*16.93,0)+IF(ISNUMBER(AB59),AB59*19.52,0)+IF(ISNUMBER(AC59),AC59*22.35,0)+IF(ISNUMBER(AD59),AD59*13.92,0)+IF(ISNUMBER(AE59),AE59*21.55,0)+IF(ISNUMBER(AF59),AF59*13.92,0)+IF(ISNUMBER(AG59),AG59*13.92,0))</f>
        <v/>
      </c>
      <c r="AX59" s="55">
        <f>IF(AND(H59="",I59=""),"",65.0+IF(ISNUMBER(AH59),AH59*30.23,0)+IF(ISNUMBER(AI59),AI59*30.23,0)+IF(ISNUMBER(AJ59),AJ59*28.0,0))</f>
        <v/>
      </c>
      <c r="AY59" s="55">
        <f>IF(E59="","",953.0)</f>
        <v/>
      </c>
      <c r="AZ59" s="57">
        <f>IF(E59="","",IF(ISNUMBER(AU59),AU59,0)+IF(ISNUMBER(AV59),AV59,0)+IF(ISNUMBER(AW59),AW59,0)+IF(ISNUMBER(AX59),AX59,0)+IF(ISNUMBER(AY59),AY59,0))</f>
        <v/>
      </c>
      <c r="BA59" s="58">
        <f>IF(OR(E59="",AZ59=""),"",AZ59-AR59)</f>
        <v/>
      </c>
      <c r="BB59" s="59">
        <f>IF(OR(E59="",AZ59=0),"",BA59/AZ59)</f>
        <v/>
      </c>
      <c r="BC59" s="60" t="n"/>
    </row>
    <row r="60" ht="16" customHeight="1">
      <c r="A60" s="45" t="inlineStr">
        <is>
          <t>6/18/2026</t>
        </is>
      </c>
      <c r="B60" s="46" t="inlineStr">
        <is>
          <t>SK0910</t>
        </is>
      </c>
      <c r="C60" s="46" t="inlineStr">
        <is>
          <t>3333</t>
        </is>
      </c>
      <c r="D60" s="46" t="inlineStr">
        <is>
          <t>C4</t>
        </is>
      </c>
      <c r="E60" s="47" t="n"/>
      <c r="F60" s="47" t="n"/>
      <c r="G60" s="47" t="n"/>
      <c r="H60" s="47" t="n"/>
      <c r="I60" s="47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9" t="n"/>
      <c r="U60" s="49" t="n"/>
      <c r="V60" s="49" t="n"/>
      <c r="W60" s="49" t="n"/>
      <c r="X60" s="49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47" t="n"/>
      <c r="AI60" s="47" t="n"/>
      <c r="AJ60" s="47" t="n"/>
      <c r="AK60" s="51" t="n"/>
      <c r="AL60" s="52" t="n"/>
      <c r="AM60" s="53">
        <f>IF(E60="","",E60*30.96)</f>
        <v/>
      </c>
      <c r="AN60" s="53">
        <f>IF(F60="","",F60*18.3)</f>
        <v/>
      </c>
      <c r="AO60" s="53">
        <f>IF(G60="","",G60*10.45)</f>
        <v/>
      </c>
      <c r="AP60" s="53">
        <f>IF(AND(H60="",I60=""),"",IF(ISNUMBER(H60),H60*18.43,0)+IF(ISNUMBER(I60),I60*20.28,0))</f>
        <v/>
      </c>
      <c r="AQ60" s="53">
        <f>IF(E60="","",667.1)</f>
        <v/>
      </c>
      <c r="AR60" s="54">
        <f>IF(E60="","",IF(ISNUMBER(AM60),AM60,0)+IF(ISNUMBER(AN60),AN60,0)+IF(ISNUMBER(AO60),AO60,0)+IF(ISNUMBER(AP60),AP60,0)+IF(ISNUMBER(AQ60),AQ60,0))</f>
        <v/>
      </c>
      <c r="AS60" s="55">
        <f>IF(E60="","",MAX(E60-SUM(J60:S60),0)*43.5)</f>
        <v/>
      </c>
      <c r="AT60" s="55">
        <f>IF(E60="","",IF(ISNUMBER(J60),J60*39.14,0)+IF(ISNUMBER(K60),K60*12.23,0)+IF(ISNUMBER(L60),L60*12.15,0)+IF(ISNUMBER(M60),M60*7.62,0)+IF(ISNUMBER(N60),N60*10.21,0)+IF(ISNUMBER(O60),O60*6.15,0)+IF(ISNUMBER(P60),P60*12.24,0)+IF(ISNUMBER(Q60),Q60*39.14,0)+IF(ISNUMBER(R60),R60*39.14,0)+IF(ISNUMBER(S60),S60*40.31,0))</f>
        <v/>
      </c>
      <c r="AU60" s="56">
        <f>IF(E60="","",IF(ISNUMBER(AS60),AS60,0)+IF(ISNUMBER(AT60),AT60,0))</f>
        <v/>
      </c>
      <c r="AV60" s="55">
        <f>IF(F60="","",MAX(F60-SUM(T60:X60),0)*23.5+IF(ISNUMBER(T60),T60*19.69,0)+IF(ISNUMBER(U60),U60*16.74,0)+IF(ISNUMBER(V60),V60*20.28,0)+IF(ISNUMBER(W60),W60*19.69,0)+IF(ISNUMBER(X60),X60*19.69,0))</f>
        <v/>
      </c>
      <c r="AW60" s="55">
        <f>IF(G60="","",MAX(G60-SUM(Y60:AG60),0)*14.5+IF(ISNUMBER(Y60),Y60*11.84,0)+IF(ISNUMBER(Z60),Z60*14.34,0)+IF(ISNUMBER(AA60),AA60*16.93,0)+IF(ISNUMBER(AB60),AB60*19.52,0)+IF(ISNUMBER(AC60),AC60*22.35,0)+IF(ISNUMBER(AD60),AD60*13.92,0)+IF(ISNUMBER(AE60),AE60*21.55,0)+IF(ISNUMBER(AF60),AF60*13.92,0)+IF(ISNUMBER(AG60),AG60*13.92,0))</f>
        <v/>
      </c>
      <c r="AX60" s="55">
        <f>IF(AND(H60="",I60=""),"",65.0+IF(ISNUMBER(AH60),AH60*30.23,0)+IF(ISNUMBER(AI60),AI60*30.23,0)+IF(ISNUMBER(AJ60),AJ60*28.0,0))</f>
        <v/>
      </c>
      <c r="AY60" s="55">
        <f>IF(E60="","",953.0)</f>
        <v/>
      </c>
      <c r="AZ60" s="57">
        <f>IF(E60="","",IF(ISNUMBER(AU60),AU60,0)+IF(ISNUMBER(AV60),AV60,0)+IF(ISNUMBER(AW60),AW60,0)+IF(ISNUMBER(AX60),AX60,0)+IF(ISNUMBER(AY60),AY60,0))</f>
        <v/>
      </c>
      <c r="BA60" s="58">
        <f>IF(OR(E60="",AZ60=""),"",AZ60-AR60)</f>
        <v/>
      </c>
      <c r="BB60" s="59">
        <f>IF(OR(E60="",AZ60=0),"",BA60/AZ60)</f>
        <v/>
      </c>
      <c r="BC60" s="60" t="n"/>
    </row>
    <row r="61" ht="16" customHeight="1">
      <c r="A61" s="45" t="inlineStr">
        <is>
          <t>6/22/2026</t>
        </is>
      </c>
      <c r="B61" s="46" t="inlineStr">
        <is>
          <t>SK0910</t>
        </is>
      </c>
      <c r="C61" s="46" t="inlineStr">
        <is>
          <t>3333</t>
        </is>
      </c>
      <c r="D61" s="46" t="inlineStr">
        <is>
          <t>C4</t>
        </is>
      </c>
      <c r="E61" s="47" t="n"/>
      <c r="F61" s="47" t="n"/>
      <c r="G61" s="47" t="n"/>
      <c r="H61" s="47" t="n"/>
      <c r="I61" s="47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9" t="n"/>
      <c r="U61" s="49" t="n"/>
      <c r="V61" s="49" t="n"/>
      <c r="W61" s="49" t="n"/>
      <c r="X61" s="49" t="n"/>
      <c r="Y61" s="50" t="n"/>
      <c r="Z61" s="50" t="n"/>
      <c r="AA61" s="50" t="n"/>
      <c r="AB61" s="50" t="n"/>
      <c r="AC61" s="50" t="n"/>
      <c r="AD61" s="50" t="n"/>
      <c r="AE61" s="50" t="n"/>
      <c r="AF61" s="50" t="n"/>
      <c r="AG61" s="50" t="n"/>
      <c r="AH61" s="47" t="n"/>
      <c r="AI61" s="47" t="n"/>
      <c r="AJ61" s="47" t="n"/>
      <c r="AK61" s="51" t="n"/>
      <c r="AL61" s="52" t="n"/>
      <c r="AM61" s="53">
        <f>IF(E61="","",E61*30.96)</f>
        <v/>
      </c>
      <c r="AN61" s="53">
        <f>IF(F61="","",F61*18.3)</f>
        <v/>
      </c>
      <c r="AO61" s="53">
        <f>IF(G61="","",G61*10.45)</f>
        <v/>
      </c>
      <c r="AP61" s="53">
        <f>IF(AND(H61="",I61=""),"",IF(ISNUMBER(H61),H61*18.43,0)+IF(ISNUMBER(I61),I61*20.28,0))</f>
        <v/>
      </c>
      <c r="AQ61" s="53">
        <f>IF(E61="","",667.1)</f>
        <v/>
      </c>
      <c r="AR61" s="54">
        <f>IF(E61="","",IF(ISNUMBER(AM61),AM61,0)+IF(ISNUMBER(AN61),AN61,0)+IF(ISNUMBER(AO61),AO61,0)+IF(ISNUMBER(AP61),AP61,0)+IF(ISNUMBER(AQ61),AQ61,0))</f>
        <v/>
      </c>
      <c r="AS61" s="55">
        <f>IF(E61="","",MAX(E61-SUM(J61:S61),0)*43.5)</f>
        <v/>
      </c>
      <c r="AT61" s="55">
        <f>IF(E61="","",IF(ISNUMBER(J61),J61*39.14,0)+IF(ISNUMBER(K61),K61*12.23,0)+IF(ISNUMBER(L61),L61*12.15,0)+IF(ISNUMBER(M61),M61*7.62,0)+IF(ISNUMBER(N61),N61*10.21,0)+IF(ISNUMBER(O61),O61*6.15,0)+IF(ISNUMBER(P61),P61*12.24,0)+IF(ISNUMBER(Q61),Q61*39.14,0)+IF(ISNUMBER(R61),R61*39.14,0)+IF(ISNUMBER(S61),S61*40.31,0))</f>
        <v/>
      </c>
      <c r="AU61" s="56">
        <f>IF(E61="","",IF(ISNUMBER(AS61),AS61,0)+IF(ISNUMBER(AT61),AT61,0))</f>
        <v/>
      </c>
      <c r="AV61" s="55">
        <f>IF(F61="","",MAX(F61-SUM(T61:X61),0)*23.5+IF(ISNUMBER(T61),T61*19.69,0)+IF(ISNUMBER(U61),U61*16.74,0)+IF(ISNUMBER(V61),V61*20.28,0)+IF(ISNUMBER(W61),W61*19.69,0)+IF(ISNUMBER(X61),X61*19.69,0))</f>
        <v/>
      </c>
      <c r="AW61" s="55">
        <f>IF(G61="","",MAX(G61-SUM(Y61:AG61),0)*14.5+IF(ISNUMBER(Y61),Y61*11.84,0)+IF(ISNUMBER(Z61),Z61*14.34,0)+IF(ISNUMBER(AA61),AA61*16.93,0)+IF(ISNUMBER(AB61),AB61*19.52,0)+IF(ISNUMBER(AC61),AC61*22.35,0)+IF(ISNUMBER(AD61),AD61*13.92,0)+IF(ISNUMBER(AE61),AE61*21.55,0)+IF(ISNUMBER(AF61),AF61*13.92,0)+IF(ISNUMBER(AG61),AG61*13.92,0))</f>
        <v/>
      </c>
      <c r="AX61" s="55">
        <f>IF(AND(H61="",I61=""),"",65.0+IF(ISNUMBER(AH61),AH61*30.23,0)+IF(ISNUMBER(AI61),AI61*30.23,0)+IF(ISNUMBER(AJ61),AJ61*28.0,0))</f>
        <v/>
      </c>
      <c r="AY61" s="55">
        <f>IF(E61="","",953.0)</f>
        <v/>
      </c>
      <c r="AZ61" s="57">
        <f>IF(E61="","",IF(ISNUMBER(AU61),AU61,0)+IF(ISNUMBER(AV61),AV61,0)+IF(ISNUMBER(AW61),AW61,0)+IF(ISNUMBER(AX61),AX61,0)+IF(ISNUMBER(AY61),AY61,0))</f>
        <v/>
      </c>
      <c r="BA61" s="58">
        <f>IF(OR(E61="",AZ61=""),"",AZ61-AR61)</f>
        <v/>
      </c>
      <c r="BB61" s="59">
        <f>IF(OR(E61="",AZ61=0),"",BA61/AZ61)</f>
        <v/>
      </c>
      <c r="BC61" s="60" t="n"/>
    </row>
    <row r="62" ht="16" customHeight="1">
      <c r="A62" s="45" t="inlineStr">
        <is>
          <t>6/25/2026</t>
        </is>
      </c>
      <c r="B62" s="46" t="inlineStr">
        <is>
          <t>SK0910</t>
        </is>
      </c>
      <c r="C62" s="46" t="inlineStr">
        <is>
          <t>3333</t>
        </is>
      </c>
      <c r="D62" s="46" t="inlineStr">
        <is>
          <t>C4</t>
        </is>
      </c>
      <c r="E62" s="47" t="n"/>
      <c r="F62" s="47" t="n"/>
      <c r="G62" s="47" t="n"/>
      <c r="H62" s="47" t="n"/>
      <c r="I62" s="47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9" t="n"/>
      <c r="U62" s="49" t="n"/>
      <c r="V62" s="49" t="n"/>
      <c r="W62" s="49" t="n"/>
      <c r="X62" s="49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  <c r="AH62" s="47" t="n"/>
      <c r="AI62" s="47" t="n"/>
      <c r="AJ62" s="47" t="n"/>
      <c r="AK62" s="51" t="n"/>
      <c r="AL62" s="52" t="n"/>
      <c r="AM62" s="53">
        <f>IF(E62="","",E62*30.96)</f>
        <v/>
      </c>
      <c r="AN62" s="53">
        <f>IF(F62="","",F62*18.3)</f>
        <v/>
      </c>
      <c r="AO62" s="53">
        <f>IF(G62="","",G62*10.45)</f>
        <v/>
      </c>
      <c r="AP62" s="53">
        <f>IF(AND(H62="",I62=""),"",IF(ISNUMBER(H62),H62*18.43,0)+IF(ISNUMBER(I62),I62*20.28,0))</f>
        <v/>
      </c>
      <c r="AQ62" s="53">
        <f>IF(E62="","",667.1)</f>
        <v/>
      </c>
      <c r="AR62" s="54">
        <f>IF(E62="","",IF(ISNUMBER(AM62),AM62,0)+IF(ISNUMBER(AN62),AN62,0)+IF(ISNUMBER(AO62),AO62,0)+IF(ISNUMBER(AP62),AP62,0)+IF(ISNUMBER(AQ62),AQ62,0))</f>
        <v/>
      </c>
      <c r="AS62" s="55">
        <f>IF(E62="","",MAX(E62-SUM(J62:S62),0)*43.5)</f>
        <v/>
      </c>
      <c r="AT62" s="55">
        <f>IF(E62="","",IF(ISNUMBER(J62),J62*39.14,0)+IF(ISNUMBER(K62),K62*12.23,0)+IF(ISNUMBER(L62),L62*12.15,0)+IF(ISNUMBER(M62),M62*7.62,0)+IF(ISNUMBER(N62),N62*10.21,0)+IF(ISNUMBER(O62),O62*6.15,0)+IF(ISNUMBER(P62),P62*12.24,0)+IF(ISNUMBER(Q62),Q62*39.14,0)+IF(ISNUMBER(R62),R62*39.14,0)+IF(ISNUMBER(S62),S62*40.31,0))</f>
        <v/>
      </c>
      <c r="AU62" s="56">
        <f>IF(E62="","",IF(ISNUMBER(AS62),AS62,0)+IF(ISNUMBER(AT62),AT62,0))</f>
        <v/>
      </c>
      <c r="AV62" s="55">
        <f>IF(F62="","",MAX(F62-SUM(T62:X62),0)*23.5+IF(ISNUMBER(T62),T62*19.69,0)+IF(ISNUMBER(U62),U62*16.74,0)+IF(ISNUMBER(V62),V62*20.28,0)+IF(ISNUMBER(W62),W62*19.69,0)+IF(ISNUMBER(X62),X62*19.69,0))</f>
        <v/>
      </c>
      <c r="AW62" s="55">
        <f>IF(G62="","",MAX(G62-SUM(Y62:AG62),0)*14.5+IF(ISNUMBER(Y62),Y62*11.84,0)+IF(ISNUMBER(Z62),Z62*14.34,0)+IF(ISNUMBER(AA62),AA62*16.93,0)+IF(ISNUMBER(AB62),AB62*19.52,0)+IF(ISNUMBER(AC62),AC62*22.35,0)+IF(ISNUMBER(AD62),AD62*13.92,0)+IF(ISNUMBER(AE62),AE62*21.55,0)+IF(ISNUMBER(AF62),AF62*13.92,0)+IF(ISNUMBER(AG62),AG62*13.92,0))</f>
        <v/>
      </c>
      <c r="AX62" s="55">
        <f>IF(AND(H62="",I62=""),"",65.0+IF(ISNUMBER(AH62),AH62*30.23,0)+IF(ISNUMBER(AI62),AI62*30.23,0)+IF(ISNUMBER(AJ62),AJ62*28.0,0))</f>
        <v/>
      </c>
      <c r="AY62" s="55">
        <f>IF(E62="","",953.0)</f>
        <v/>
      </c>
      <c r="AZ62" s="57">
        <f>IF(E62="","",IF(ISNUMBER(AU62),AU62,0)+IF(ISNUMBER(AV62),AV62,0)+IF(ISNUMBER(AW62),AW62,0)+IF(ISNUMBER(AX62),AX62,0)+IF(ISNUMBER(AY62),AY62,0))</f>
        <v/>
      </c>
      <c r="BA62" s="58">
        <f>IF(OR(E62="",AZ62=""),"",AZ62-AR62)</f>
        <v/>
      </c>
      <c r="BB62" s="59">
        <f>IF(OR(E62="",AZ62=0),"",BA62/AZ62)</f>
        <v/>
      </c>
      <c r="BC62" s="60" t="n"/>
    </row>
    <row r="63" ht="16" customHeight="1">
      <c r="A63" s="45" t="inlineStr">
        <is>
          <t>6/29/2026</t>
        </is>
      </c>
      <c r="B63" s="46" t="inlineStr">
        <is>
          <t>SK0910</t>
        </is>
      </c>
      <c r="C63" s="46" t="inlineStr">
        <is>
          <t>3333</t>
        </is>
      </c>
      <c r="D63" s="46" t="inlineStr">
        <is>
          <t>C4</t>
        </is>
      </c>
      <c r="E63" s="47" t="n"/>
      <c r="F63" s="47" t="n"/>
      <c r="G63" s="47" t="n"/>
      <c r="H63" s="47" t="n"/>
      <c r="I63" s="47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9" t="n"/>
      <c r="U63" s="49" t="n"/>
      <c r="V63" s="49" t="n"/>
      <c r="W63" s="49" t="n"/>
      <c r="X63" s="49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  <c r="AH63" s="47" t="n"/>
      <c r="AI63" s="47" t="n"/>
      <c r="AJ63" s="47" t="n"/>
      <c r="AK63" s="51" t="n"/>
      <c r="AL63" s="52" t="n"/>
      <c r="AM63" s="53">
        <f>IF(E63="","",E63*30.96)</f>
        <v/>
      </c>
      <c r="AN63" s="53">
        <f>IF(F63="","",F63*18.3)</f>
        <v/>
      </c>
      <c r="AO63" s="53">
        <f>IF(G63="","",G63*10.45)</f>
        <v/>
      </c>
      <c r="AP63" s="53">
        <f>IF(AND(H63="",I63=""),"",IF(ISNUMBER(H63),H63*18.43,0)+IF(ISNUMBER(I63),I63*20.28,0))</f>
        <v/>
      </c>
      <c r="AQ63" s="53">
        <f>IF(E63="","",667.1)</f>
        <v/>
      </c>
      <c r="AR63" s="54">
        <f>IF(E63="","",IF(ISNUMBER(AM63),AM63,0)+IF(ISNUMBER(AN63),AN63,0)+IF(ISNUMBER(AO63),AO63,0)+IF(ISNUMBER(AP63),AP63,0)+IF(ISNUMBER(AQ63),AQ63,0))</f>
        <v/>
      </c>
      <c r="AS63" s="55">
        <f>IF(E63="","",MAX(E63-SUM(J63:S63),0)*43.5)</f>
        <v/>
      </c>
      <c r="AT63" s="55">
        <f>IF(E63="","",IF(ISNUMBER(J63),J63*39.14,0)+IF(ISNUMBER(K63),K63*12.23,0)+IF(ISNUMBER(L63),L63*12.15,0)+IF(ISNUMBER(M63),M63*7.62,0)+IF(ISNUMBER(N63),N63*10.21,0)+IF(ISNUMBER(O63),O63*6.15,0)+IF(ISNUMBER(P63),P63*12.24,0)+IF(ISNUMBER(Q63),Q63*39.14,0)+IF(ISNUMBER(R63),R63*39.14,0)+IF(ISNUMBER(S63),S63*40.31,0))</f>
        <v/>
      </c>
      <c r="AU63" s="56">
        <f>IF(E63="","",IF(ISNUMBER(AS63),AS63,0)+IF(ISNUMBER(AT63),AT63,0))</f>
        <v/>
      </c>
      <c r="AV63" s="55">
        <f>IF(F63="","",MAX(F63-SUM(T63:X63),0)*23.5+IF(ISNUMBER(T63),T63*19.69,0)+IF(ISNUMBER(U63),U63*16.74,0)+IF(ISNUMBER(V63),V63*20.28,0)+IF(ISNUMBER(W63),W63*19.69,0)+IF(ISNUMBER(X63),X63*19.69,0))</f>
        <v/>
      </c>
      <c r="AW63" s="55">
        <f>IF(G63="","",MAX(G63-SUM(Y63:AG63),0)*14.5+IF(ISNUMBER(Y63),Y63*11.84,0)+IF(ISNUMBER(Z63),Z63*14.34,0)+IF(ISNUMBER(AA63),AA63*16.93,0)+IF(ISNUMBER(AB63),AB63*19.52,0)+IF(ISNUMBER(AC63),AC63*22.35,0)+IF(ISNUMBER(AD63),AD63*13.92,0)+IF(ISNUMBER(AE63),AE63*21.55,0)+IF(ISNUMBER(AF63),AF63*13.92,0)+IF(ISNUMBER(AG63),AG63*13.92,0))</f>
        <v/>
      </c>
      <c r="AX63" s="55">
        <f>IF(AND(H63="",I63=""),"",65.0+IF(ISNUMBER(AH63),AH63*30.23,0)+IF(ISNUMBER(AI63),AI63*30.23,0)+IF(ISNUMBER(AJ63),AJ63*28.0,0))</f>
        <v/>
      </c>
      <c r="AY63" s="55">
        <f>IF(E63="","",953.0)</f>
        <v/>
      </c>
      <c r="AZ63" s="57">
        <f>IF(E63="","",IF(ISNUMBER(AU63),AU63,0)+IF(ISNUMBER(AV63),AV63,0)+IF(ISNUMBER(AW63),AW63,0)+IF(ISNUMBER(AX63),AX63,0)+IF(ISNUMBER(AY63),AY63,0))</f>
        <v/>
      </c>
      <c r="BA63" s="58">
        <f>IF(OR(E63="",AZ63=""),"",AZ63-AR63)</f>
        <v/>
      </c>
      <c r="BB63" s="59">
        <f>IF(OR(E63="",AZ63=0),"",BA63/AZ63)</f>
        <v/>
      </c>
      <c r="BC63" s="60" t="n"/>
    </row>
    <row r="64" ht="18" customHeight="1">
      <c r="A64" s="61" t="inlineStr">
        <is>
          <t>TOTALS</t>
        </is>
      </c>
      <c r="B64" s="62" t="n"/>
      <c r="C64" s="62" t="n"/>
      <c r="D64" s="62" t="n"/>
      <c r="E64" s="63">
        <f>SUMIF(E3:E63,"&lt;&gt;")</f>
        <v/>
      </c>
      <c r="F64" s="63">
        <f>SUMIF(F3:F63,"&lt;&gt;")</f>
        <v/>
      </c>
      <c r="G64" s="63">
        <f>SUMIF(G3:G63,"&lt;&gt;")</f>
        <v/>
      </c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4">
        <f>SUMIF(AM3:AM63,"&lt;&gt;")</f>
        <v/>
      </c>
      <c r="AN64" s="64">
        <f>SUMIF(AN3:AN63,"&lt;&gt;")</f>
        <v/>
      </c>
      <c r="AO64" s="64">
        <f>SUMIF(AO3:AO63,"&lt;&gt;")</f>
        <v/>
      </c>
      <c r="AP64" s="64">
        <f>SUMIF(AP3:AP63,"&lt;&gt;")</f>
        <v/>
      </c>
      <c r="AQ64" s="64">
        <f>SUMIF(AQ3:AQ63,"&lt;&gt;")</f>
        <v/>
      </c>
      <c r="AR64" s="64">
        <f>SUMIF(AR3:AR63,"&lt;&gt;")</f>
        <v/>
      </c>
      <c r="AS64" s="64">
        <f>SUMIF(AS3:AS63,"&lt;&gt;")</f>
        <v/>
      </c>
      <c r="AT64" s="64">
        <f>SUMIF(AT3:AT63,"&lt;&gt;")</f>
        <v/>
      </c>
      <c r="AU64" s="64">
        <f>SUMIF(AU3:AU63,"&lt;&gt;")</f>
        <v/>
      </c>
      <c r="AV64" s="64">
        <f>SUMIF(AV3:AV63,"&lt;&gt;")</f>
        <v/>
      </c>
      <c r="AW64" s="64">
        <f>SUMIF(AW3:AW63,"&lt;&gt;")</f>
        <v/>
      </c>
      <c r="AX64" s="64">
        <f>SUMIF(AX3:AX63,"&lt;&gt;")</f>
        <v/>
      </c>
      <c r="AY64" s="64">
        <f>SUMIF(AY3:AY63,"&lt;&gt;")</f>
        <v/>
      </c>
      <c r="AZ64" s="64">
        <f>SUMIF(AZ3:AZ63,"&lt;&gt;")</f>
        <v/>
      </c>
      <c r="BA64" s="64">
        <f>SUMIF(BA3:BA63,"&lt;&gt;")</f>
        <v/>
      </c>
      <c r="BB64" s="65">
        <f>IFERROR((AZ64-AR64)/AZ64,"")</f>
        <v/>
      </c>
      <c r="BC64" s="64">
        <f>SUMIF(BC3:BC63,"&lt;&gt;")</f>
        <v/>
      </c>
    </row>
  </sheetData>
  <mergeCells count="12">
    <mergeCell ref="A1:D1"/>
    <mergeCell ref="AH1:AJ1"/>
    <mergeCell ref="BC1"/>
    <mergeCell ref="Y1:AG1"/>
    <mergeCell ref="BA1:BB1"/>
    <mergeCell ref="E1:I1"/>
    <mergeCell ref="T1:X1"/>
    <mergeCell ref="AM1:AR1"/>
    <mergeCell ref="AK1"/>
    <mergeCell ref="AS1:AZ1"/>
    <mergeCell ref="J1:S1"/>
    <mergeCell ref="A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66573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</cols>
  <sheetData>
    <row r="1" ht="22" customHeight="1">
      <c r="A1" s="66" t="inlineStr">
        <is>
          <t>SAS SERVICE CODE GUIDE</t>
        </is>
      </c>
    </row>
    <row r="2">
      <c r="A2" s="29" t="inlineStr">
        <is>
          <t>Code</t>
        </is>
      </c>
      <c r="B2" s="29" t="inlineStr">
        <is>
          <t>Description</t>
        </is>
      </c>
      <c r="C2" s="29" t="inlineStr">
        <is>
          <t>Cabin</t>
        </is>
      </c>
    </row>
    <row r="3">
      <c r="A3" s="67" t="inlineStr">
        <is>
          <t>AVML</t>
        </is>
      </c>
      <c r="B3" s="68" t="inlineStr">
        <is>
          <t>Asian Vegetarian Meal</t>
        </is>
      </c>
      <c r="C3" s="69" t="inlineStr">
        <is>
          <t>C,Y,M</t>
        </is>
      </c>
    </row>
    <row r="4">
      <c r="A4" s="70" t="inlineStr">
        <is>
          <t>BXML</t>
        </is>
      </c>
      <c r="B4" s="71" t="inlineStr">
        <is>
          <t>Baby Meal</t>
        </is>
      </c>
      <c r="C4" s="72" t="inlineStr">
        <is>
          <t>C</t>
        </is>
      </c>
    </row>
    <row r="5">
      <c r="A5" s="67" t="inlineStr">
        <is>
          <t>BYML</t>
        </is>
      </c>
      <c r="B5" s="68" t="inlineStr">
        <is>
          <t>Baby Meal (alt)</t>
        </is>
      </c>
      <c r="C5" s="69" t="inlineStr">
        <is>
          <t>C</t>
        </is>
      </c>
    </row>
    <row r="6">
      <c r="A6" s="70" t="inlineStr">
        <is>
          <t>BPML</t>
        </is>
      </c>
      <c r="B6" s="71" t="inlineStr">
        <is>
          <t>Bland/Soft Meal</t>
        </is>
      </c>
      <c r="C6" s="72" t="inlineStr">
        <is>
          <t>C</t>
        </is>
      </c>
    </row>
    <row r="7">
      <c r="A7" s="67" t="inlineStr">
        <is>
          <t>BFML</t>
        </is>
      </c>
      <c r="B7" s="68" t="inlineStr">
        <is>
          <t>Bland/Fat-restricted</t>
        </is>
      </c>
      <c r="C7" s="69" t="inlineStr">
        <is>
          <t>C</t>
        </is>
      </c>
    </row>
    <row r="8">
      <c r="A8" s="70" t="inlineStr">
        <is>
          <t>BVML</t>
        </is>
      </c>
      <c r="B8" s="71" t="inlineStr">
        <is>
          <t>Bland/Vegetarian</t>
        </is>
      </c>
      <c r="C8" s="72" t="inlineStr">
        <is>
          <t>C</t>
        </is>
      </c>
    </row>
    <row r="9">
      <c r="A9" s="67" t="inlineStr">
        <is>
          <t>BMML</t>
        </is>
      </c>
      <c r="B9" s="68" t="inlineStr">
        <is>
          <t>Bland/Muslim Meal</t>
        </is>
      </c>
      <c r="C9" s="69" t="inlineStr">
        <is>
          <t>C</t>
        </is>
      </c>
    </row>
    <row r="10">
      <c r="A10" s="70" t="inlineStr">
        <is>
          <t>VLML</t>
        </is>
      </c>
      <c r="B10" s="71" t="inlineStr">
        <is>
          <t>Lacto-Ovo Vegetarian</t>
        </is>
      </c>
      <c r="C10" s="72" t="inlineStr">
        <is>
          <t>C,K</t>
        </is>
      </c>
    </row>
    <row r="11">
      <c r="A11" s="67" t="inlineStr">
        <is>
          <t>VGML</t>
        </is>
      </c>
      <c r="B11" s="68" t="inlineStr">
        <is>
          <t>Vegan Meal</t>
        </is>
      </c>
      <c r="C11" s="69" t="inlineStr">
        <is>
          <t>C,K</t>
        </is>
      </c>
    </row>
    <row r="12">
      <c r="A12" s="70" t="inlineStr">
        <is>
          <t>LGML</t>
        </is>
      </c>
      <c r="B12" s="71" t="inlineStr">
        <is>
          <t>Low Gluten Meal</t>
        </is>
      </c>
      <c r="C12" s="72" t="inlineStr">
        <is>
          <t>C,Y,K</t>
        </is>
      </c>
    </row>
    <row r="13">
      <c r="A13" s="67" t="inlineStr">
        <is>
          <t>CHML</t>
        </is>
      </c>
      <c r="B13" s="68" t="inlineStr">
        <is>
          <t>Child Meal</t>
        </is>
      </c>
      <c r="C13" s="69" t="inlineStr">
        <is>
          <t>Y,M</t>
        </is>
      </c>
    </row>
    <row r="14">
      <c r="A14" s="70" t="inlineStr">
        <is>
          <t>CKML</t>
        </is>
      </c>
      <c r="B14" s="71" t="inlineStr">
        <is>
          <t>Chicken Meal (Eco Prem)</t>
        </is>
      </c>
      <c r="C14" s="72" t="inlineStr">
        <is>
          <t>M</t>
        </is>
      </c>
    </row>
    <row r="15">
      <c r="A15" s="67" t="inlineStr">
        <is>
          <t>FIML</t>
        </is>
      </c>
      <c r="B15" s="68" t="inlineStr">
        <is>
          <t>Fish Meal (Eco Prem)</t>
        </is>
      </c>
      <c r="C15" s="69" t="inlineStr">
        <is>
          <t>M</t>
        </is>
      </c>
    </row>
    <row r="16">
      <c r="A16" s="70" t="inlineStr">
        <is>
          <t>GHML</t>
        </is>
      </c>
      <c r="B16" s="71" t="inlineStr">
        <is>
          <t>Green Meal / Veg</t>
        </is>
      </c>
      <c r="C16" s="72" t="inlineStr">
        <is>
          <t>M</t>
        </is>
      </c>
    </row>
    <row r="17">
      <c r="A17" s="67" t="inlineStr">
        <is>
          <t>MEML</t>
        </is>
      </c>
      <c r="B17" s="68" t="inlineStr">
        <is>
          <t>Premium Meat Meal</t>
        </is>
      </c>
      <c r="C17" s="69" t="inlineStr">
        <is>
          <t>M</t>
        </is>
      </c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C7AAEDAF-24D4-402D-985A-5E178B2D5BB6}"/>
</file>

<file path=customXml/itemProps2.xml><?xml version="1.0" encoding="utf-8"?>
<ds:datastoreItem xmlns:ds="http://schemas.openxmlformats.org/officeDocument/2006/customXml" ds:itemID="{7D8C0E2C-314D-4479-B0F7-8B71384270A9}"/>
</file>

<file path=customXml/itemProps3.xml><?xml version="1.0" encoding="utf-8"?>
<ds:datastoreItem xmlns:ds="http://schemas.openxmlformats.org/officeDocument/2006/customXml" ds:itemID="{ECB9FA19-7555-4E08-9C41-A336F021D6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2026-06-24T16:54:48Z</dcterms:created>
  <dcterms:modified xsi:type="dcterms:W3CDTF">2026-06-24T16:54:49Z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