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goldberggroup.sharepoint.com/sites/ScandinavianAirlines/Shared Documents/General/SAS Menu Cycle 2 Document/Cost Breakdown/"/>
    </mc:Choice>
  </mc:AlternateContent>
  <xr:revisionPtr revIDLastSave="1525" documentId="13_ncr:1_{C360BD06-D75F-436B-9B1D-C1BF05A9CFE6}" xr6:coauthVersionLast="47" xr6:coauthVersionMax="47" xr10:uidLastSave="{93F43FB0-FB96-4E34-AC99-04D2B93A2BBF}"/>
  <bookViews>
    <workbookView xWindow="25590" yWindow="21480" windowWidth="29040" windowHeight="15720" activeTab="3" xr2:uid="{AACAC2DE-DE14-48E2-BB41-7EEDE298DE98}"/>
  </bookViews>
  <sheets>
    <sheet name="CS C C1-3" sheetId="1" r:id="rId1"/>
    <sheet name="CS Y C1-3" sheetId="3" r:id="rId2"/>
    <sheet name="CS M C1-3" sheetId="4" r:id="rId3"/>
    <sheet name="CS P K C3" sheetId="5" r:id="rId4"/>
    <sheet name="Special Meal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" i="3" l="1"/>
  <c r="G42" i="1" l="1"/>
  <c r="H39" i="1"/>
  <c r="G11" i="1"/>
  <c r="F91" i="1"/>
  <c r="I34" i="5"/>
  <c r="I40" i="5" s="1"/>
  <c r="I16" i="5"/>
  <c r="I29" i="5"/>
  <c r="I32" i="5" s="1"/>
  <c r="H63" i="3"/>
  <c r="H71" i="3" s="1"/>
  <c r="H20" i="3"/>
  <c r="H22" i="3" s="1"/>
  <c r="H31" i="1"/>
  <c r="H34" i="1" s="1"/>
  <c r="H41" i="1"/>
  <c r="H24" i="1"/>
  <c r="H21" i="1"/>
  <c r="I10" i="5"/>
  <c r="H23" i="1"/>
  <c r="H103" i="5"/>
  <c r="H110" i="5"/>
  <c r="H55" i="5"/>
  <c r="H56" i="5"/>
  <c r="H57" i="5"/>
  <c r="H58" i="5"/>
  <c r="H61" i="5"/>
  <c r="H62" i="5"/>
  <c r="H63" i="5"/>
  <c r="H64" i="5"/>
  <c r="G23" i="5"/>
  <c r="H23" i="5" s="1"/>
  <c r="G15" i="5"/>
  <c r="H15" i="5" s="1"/>
  <c r="G30" i="4"/>
  <c r="F128" i="1"/>
  <c r="G46" i="3"/>
  <c r="O38" i="3"/>
  <c r="O42" i="3"/>
  <c r="O39" i="3"/>
  <c r="F38" i="3"/>
  <c r="F53" i="1"/>
  <c r="F30" i="1"/>
  <c r="H28" i="1" l="1"/>
  <c r="H44" i="1"/>
  <c r="P42" i="3"/>
  <c r="P41" i="3"/>
  <c r="P40" i="3"/>
  <c r="P39" i="3"/>
  <c r="P38" i="3"/>
  <c r="G87" i="5"/>
  <c r="G81" i="5"/>
  <c r="G75" i="5"/>
  <c r="G68" i="5"/>
  <c r="F47" i="1"/>
  <c r="F60" i="1"/>
  <c r="F20" i="4"/>
  <c r="F45" i="3"/>
  <c r="G45" i="3" s="1"/>
  <c r="F39" i="1"/>
  <c r="P43" i="3" l="1"/>
  <c r="G109" i="5" l="1"/>
  <c r="G108" i="5"/>
  <c r="H108" i="5" s="1"/>
  <c r="G107" i="5"/>
  <c r="H107" i="5" s="1"/>
  <c r="G102" i="5"/>
  <c r="H102" i="5" s="1"/>
  <c r="G101" i="5"/>
  <c r="H101" i="5" s="1"/>
  <c r="G100" i="5"/>
  <c r="H100" i="5" s="1"/>
  <c r="H81" i="5"/>
  <c r="G78" i="5"/>
  <c r="H78" i="5" s="1"/>
  <c r="G74" i="5"/>
  <c r="H74" i="5" s="1"/>
  <c r="G71" i="5"/>
  <c r="H71" i="5" s="1"/>
  <c r="G67" i="5"/>
  <c r="H67" i="5" s="1"/>
  <c r="G19" i="5"/>
  <c r="H19" i="5" s="1"/>
  <c r="H111" i="5"/>
  <c r="H109" i="5"/>
  <c r="H104" i="5"/>
  <c r="H97" i="5"/>
  <c r="H96" i="5"/>
  <c r="H95" i="5"/>
  <c r="H94" i="5"/>
  <c r="H93" i="5"/>
  <c r="H90" i="5"/>
  <c r="H89" i="5"/>
  <c r="H88" i="5"/>
  <c r="H87" i="5"/>
  <c r="H84" i="5"/>
  <c r="H83" i="5"/>
  <c r="H82" i="5"/>
  <c r="H77" i="5"/>
  <c r="H76" i="5"/>
  <c r="H75" i="5"/>
  <c r="H70" i="5"/>
  <c r="H69" i="5"/>
  <c r="H68" i="5"/>
  <c r="H52" i="5"/>
  <c r="H51" i="5"/>
  <c r="H50" i="5"/>
  <c r="H49" i="5"/>
  <c r="H46" i="5"/>
  <c r="H45" i="5"/>
  <c r="H44" i="5"/>
  <c r="H43" i="5"/>
  <c r="H39" i="5"/>
  <c r="H38" i="5"/>
  <c r="H37" i="5"/>
  <c r="H36" i="5"/>
  <c r="H35" i="5"/>
  <c r="H34" i="5"/>
  <c r="H31" i="5"/>
  <c r="H30" i="5"/>
  <c r="H29" i="5"/>
  <c r="H28" i="5"/>
  <c r="H27" i="5"/>
  <c r="H26" i="5"/>
  <c r="H22" i="5"/>
  <c r="H21" i="5"/>
  <c r="H20" i="5"/>
  <c r="H18" i="5"/>
  <c r="H14" i="5"/>
  <c r="H13" i="5"/>
  <c r="H12" i="5"/>
  <c r="H11" i="5"/>
  <c r="H10" i="5"/>
  <c r="H7" i="5"/>
  <c r="H6" i="5"/>
  <c r="H5" i="5"/>
  <c r="N30" i="4"/>
  <c r="O30" i="4" s="1"/>
  <c r="O32" i="4" s="1"/>
  <c r="F31" i="4"/>
  <c r="G31" i="4" s="1"/>
  <c r="F23" i="4"/>
  <c r="G23" i="4" s="1"/>
  <c r="G42" i="4"/>
  <c r="G41" i="4"/>
  <c r="G40" i="4"/>
  <c r="G43" i="4" s="1"/>
  <c r="G37" i="4"/>
  <c r="G38" i="4" s="1"/>
  <c r="G34" i="4"/>
  <c r="G35" i="4" s="1"/>
  <c r="G27" i="4"/>
  <c r="G26" i="4"/>
  <c r="G25" i="4"/>
  <c r="G24" i="4"/>
  <c r="G20" i="4"/>
  <c r="G19" i="4"/>
  <c r="G18" i="4"/>
  <c r="G17" i="4"/>
  <c r="F31" i="3"/>
  <c r="G31" i="3" s="1"/>
  <c r="F25" i="3"/>
  <c r="G25" i="3" s="1"/>
  <c r="G70" i="3"/>
  <c r="G69" i="3"/>
  <c r="G68" i="3"/>
  <c r="G67" i="3"/>
  <c r="G66" i="3"/>
  <c r="G65" i="3"/>
  <c r="G64" i="3"/>
  <c r="G63" i="3"/>
  <c r="I71" i="3" s="1"/>
  <c r="G49" i="3"/>
  <c r="G50" i="3" s="1"/>
  <c r="G47" i="3"/>
  <c r="G42" i="3"/>
  <c r="G41" i="3"/>
  <c r="G40" i="3"/>
  <c r="G39" i="3"/>
  <c r="G38" i="3"/>
  <c r="G35" i="3"/>
  <c r="G34" i="3"/>
  <c r="G33" i="3"/>
  <c r="G32" i="3"/>
  <c r="G28" i="3"/>
  <c r="G27" i="3"/>
  <c r="G26" i="3"/>
  <c r="G24" i="3"/>
  <c r="G21" i="3"/>
  <c r="G20" i="3"/>
  <c r="F122" i="1"/>
  <c r="F118" i="1"/>
  <c r="G28" i="4" l="1"/>
  <c r="H112" i="5"/>
  <c r="H40" i="5"/>
  <c r="J40" i="5" s="1"/>
  <c r="H24" i="5"/>
  <c r="H53" i="5"/>
  <c r="G32" i="4"/>
  <c r="H85" i="5"/>
  <c r="H16" i="5"/>
  <c r="J16" i="5" s="1"/>
  <c r="H91" i="5"/>
  <c r="H8" i="5"/>
  <c r="H47" i="5"/>
  <c r="H72" i="5"/>
  <c r="H98" i="5"/>
  <c r="G43" i="3"/>
  <c r="G21" i="4"/>
  <c r="H105" i="5"/>
  <c r="H65" i="5"/>
  <c r="H59" i="5"/>
  <c r="H79" i="5"/>
  <c r="H32" i="5"/>
  <c r="J32" i="5" s="1"/>
  <c r="G36" i="3"/>
  <c r="G29" i="3"/>
  <c r="G22" i="3"/>
  <c r="I22" i="3" s="1"/>
  <c r="F54" i="1"/>
  <c r="F70" i="1"/>
  <c r="G60" i="1"/>
  <c r="G61" i="1"/>
  <c r="F50" i="1"/>
  <c r="G50" i="1" s="1"/>
  <c r="F46" i="1"/>
  <c r="G46" i="1" s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8" i="1"/>
  <c r="G127" i="1"/>
  <c r="G126" i="1"/>
  <c r="G125" i="1"/>
  <c r="G123" i="1"/>
  <c r="G122" i="1"/>
  <c r="G121" i="1"/>
  <c r="G120" i="1"/>
  <c r="G124" i="1" s="1"/>
  <c r="G118" i="1"/>
  <c r="G117" i="1"/>
  <c r="G116" i="1"/>
  <c r="G115" i="1"/>
  <c r="G114" i="1"/>
  <c r="G113" i="1"/>
  <c r="G112" i="1"/>
  <c r="G111" i="1"/>
  <c r="G109" i="1"/>
  <c r="G108" i="1"/>
  <c r="G107" i="1"/>
  <c r="G106" i="1"/>
  <c r="G105" i="1"/>
  <c r="G104" i="1"/>
  <c r="G103" i="1"/>
  <c r="G102" i="1"/>
  <c r="G101" i="1"/>
  <c r="G100" i="1"/>
  <c r="G99" i="1"/>
  <c r="G110" i="1" s="1"/>
  <c r="G97" i="1"/>
  <c r="G96" i="1"/>
  <c r="G95" i="1"/>
  <c r="G94" i="1"/>
  <c r="G93" i="1"/>
  <c r="G91" i="1"/>
  <c r="G90" i="1"/>
  <c r="G88" i="1"/>
  <c r="G87" i="1"/>
  <c r="G86" i="1"/>
  <c r="G84" i="1"/>
  <c r="G83" i="1"/>
  <c r="G82" i="1"/>
  <c r="G81" i="1"/>
  <c r="G80" i="1"/>
  <c r="G78" i="1"/>
  <c r="G77" i="1"/>
  <c r="G79" i="1" s="1"/>
  <c r="G75" i="1"/>
  <c r="G74" i="1"/>
  <c r="G73" i="1"/>
  <c r="G72" i="1"/>
  <c r="G70" i="1"/>
  <c r="G69" i="1"/>
  <c r="G68" i="1"/>
  <c r="G66" i="1"/>
  <c r="G65" i="1"/>
  <c r="G63" i="1"/>
  <c r="G62" i="1"/>
  <c r="G59" i="1"/>
  <c r="G57" i="1"/>
  <c r="G56" i="1"/>
  <c r="G55" i="1"/>
  <c r="G54" i="1"/>
  <c r="G53" i="1"/>
  <c r="G52" i="1"/>
  <c r="G49" i="1"/>
  <c r="G48" i="1"/>
  <c r="G47" i="1"/>
  <c r="G45" i="1"/>
  <c r="G43" i="1"/>
  <c r="G41" i="1"/>
  <c r="G40" i="1"/>
  <c r="G39" i="1"/>
  <c r="G38" i="1"/>
  <c r="G36" i="1"/>
  <c r="G35" i="1"/>
  <c r="G33" i="1"/>
  <c r="G32" i="1"/>
  <c r="G31" i="1"/>
  <c r="G30" i="1"/>
  <c r="G29" i="1"/>
  <c r="G34" i="1" s="1"/>
  <c r="I34" i="1" s="1"/>
  <c r="G27" i="1"/>
  <c r="G26" i="1"/>
  <c r="G25" i="1"/>
  <c r="G24" i="1"/>
  <c r="G23" i="1"/>
  <c r="G22" i="1"/>
  <c r="G21" i="1"/>
  <c r="G20" i="1"/>
  <c r="G18" i="1"/>
  <c r="G17" i="1"/>
  <c r="G16" i="1"/>
  <c r="G19" i="1" s="1"/>
  <c r="G14" i="1"/>
  <c r="G13" i="1"/>
  <c r="G12" i="1"/>
  <c r="G15" i="1" l="1"/>
  <c r="G28" i="1"/>
  <c r="I28" i="1" s="1"/>
  <c r="G37" i="1"/>
  <c r="G44" i="1"/>
  <c r="I44" i="1" s="1"/>
  <c r="G67" i="1"/>
  <c r="G71" i="1"/>
  <c r="G76" i="1"/>
  <c r="G85" i="1"/>
  <c r="G92" i="1"/>
  <c r="G129" i="1"/>
  <c r="G89" i="1"/>
  <c r="G58" i="1"/>
  <c r="G119" i="1"/>
  <c r="G98" i="1"/>
  <c r="G64" i="1"/>
  <c r="G51" i="1"/>
</calcChain>
</file>

<file path=xl/sharedStrings.xml><?xml version="1.0" encoding="utf-8"?>
<sst xmlns="http://schemas.openxmlformats.org/spreadsheetml/2006/main" count="971" uniqueCount="411">
  <si>
    <t>BUSINESS CLASS</t>
  </si>
  <si>
    <t>SAS IFX Description</t>
  </si>
  <si>
    <t>Weight / Pc</t>
  </si>
  <si>
    <t>Unit of M</t>
  </si>
  <si>
    <t>Load Ratio</t>
  </si>
  <si>
    <t>Quality, brand, supplier, origin, comments</t>
  </si>
  <si>
    <t>IC C S1 CUTLERY C2</t>
  </si>
  <si>
    <t xml:space="preserve">Food Cost </t>
  </si>
  <si>
    <t>Food Waste</t>
  </si>
  <si>
    <t>Cost Update with Heywood</t>
  </si>
  <si>
    <t>Cost Difference</t>
  </si>
  <si>
    <t xml:space="preserve">Price without any calculation was pulled from Optimum Calculation with correct weight </t>
  </si>
  <si>
    <t xml:space="preserve">Napkin/Tablecloth, Poly/Cotton, Grey </t>
  </si>
  <si>
    <t>Pc</t>
  </si>
  <si>
    <t>Bulk Packed - Drawer Interior</t>
  </si>
  <si>
    <t xml:space="preserve">Knife, Stainless, RS </t>
  </si>
  <si>
    <t xml:space="preserve">Fork, Stainless, RS </t>
  </si>
  <si>
    <t>Spoon, Stainless, Dessert/Soup, RS</t>
  </si>
  <si>
    <t xml:space="preserve">Salt &amp; Pepper, Twinpack </t>
  </si>
  <si>
    <t xml:space="preserve">Toothpick, Individually Packed </t>
  </si>
  <si>
    <t>IC C S1 SALAD C2</t>
  </si>
  <si>
    <t>Mesclun Mixed Greens</t>
  </si>
  <si>
    <t>gm</t>
  </si>
  <si>
    <t>2 Min</t>
  </si>
  <si>
    <t>300gm bag-10 pax  1 bag per 10 pax -2 Bag minimum 2 Cabins, 3 bags MAX</t>
  </si>
  <si>
    <t>IC C S1 SA GARNISH C2</t>
  </si>
  <si>
    <t>Toasted Sunflower Seeds</t>
  </si>
  <si>
    <t xml:space="preserve"> *PAX  Bulk Packed 2 min Wrapped Bowl with salad</t>
  </si>
  <si>
    <t>IC C S1+S2 BUTTER C2</t>
  </si>
  <si>
    <t xml:space="preserve">Premium Whipped Butter </t>
  </si>
  <si>
    <t>Bulk Packed All Services</t>
  </si>
  <si>
    <t>Maldon Flaky Salt</t>
  </si>
  <si>
    <t>IC C S1 ST-A MEAT C2</t>
  </si>
  <si>
    <t>Wagyu Round Top Pastrami  (HeyWoods)</t>
  </si>
  <si>
    <t>Duck Rillet (GFI)</t>
  </si>
  <si>
    <t>Soppressata (Heywoods)</t>
  </si>
  <si>
    <t>3 x 4</t>
  </si>
  <si>
    <t>Pickled Okra (DouxSouth), Halves</t>
  </si>
  <si>
    <t>2 x 6</t>
  </si>
  <si>
    <t>Fig Jam</t>
  </si>
  <si>
    <t>Black Mission Fig Halves</t>
  </si>
  <si>
    <t>1 x 5</t>
  </si>
  <si>
    <t>Mesculin Lettuce</t>
  </si>
  <si>
    <t>IC C S1 ST-B FISH C2</t>
  </si>
  <si>
    <t>Smoked Trout Salad</t>
  </si>
  <si>
    <t>Pickle Red Onions (Doux South)</t>
  </si>
  <si>
    <t>Cucumber Apple Salad</t>
  </si>
  <si>
    <t>IC C S1 ST GARNISH C2</t>
  </si>
  <si>
    <t>MLA RFP SAS 24 BC C2 ST A MEAT</t>
  </si>
  <si>
    <t>Shaved Radish</t>
  </si>
  <si>
    <t>Bulk Pack Bowl</t>
  </si>
  <si>
    <t>IC C S1 HM-A MEAT C2</t>
  </si>
  <si>
    <t>Braised Short Rib</t>
  </si>
  <si>
    <t>Braising Jus</t>
  </si>
  <si>
    <t>Smoked Tomato Jam</t>
  </si>
  <si>
    <t>Herb Roasted Fingeling Potatoes</t>
  </si>
  <si>
    <t xml:space="preserve">Blanched Marinated Asparagus </t>
  </si>
  <si>
    <t>IC C S1 HM-C POULTRY C2</t>
  </si>
  <si>
    <t>Lemon Confit Chicken Leg</t>
  </si>
  <si>
    <t>Bell and Evans Organic</t>
  </si>
  <si>
    <t>Wild Mushroom Conserva</t>
  </si>
  <si>
    <t>Lemon Chicken Jus</t>
  </si>
  <si>
    <t>with chicken</t>
  </si>
  <si>
    <t>Herbed Mash Potatoes</t>
  </si>
  <si>
    <t>order guide price is $0</t>
  </si>
  <si>
    <t>Steamed Baby Carrot Halves</t>
  </si>
  <si>
    <t>4x15</t>
  </si>
  <si>
    <t>missing from Optimum, order guide price is $2.19/LB</t>
  </si>
  <si>
    <t>IC C S1 HM-D VEG C2</t>
  </si>
  <si>
    <t>Pasta Mami Smoked Mozzerella Ravioli (PASTA MAMI)</t>
  </si>
  <si>
    <t>4 x 25</t>
  </si>
  <si>
    <t>awaiting suppier response for size correction</t>
  </si>
  <si>
    <t xml:space="preserve">Missing cost </t>
  </si>
  <si>
    <t>Marinara Sauce</t>
  </si>
  <si>
    <t>Missing cost, cost from sysco, $1.56 per lb</t>
  </si>
  <si>
    <t xml:space="preserve">Pesto Marinated Boccancini Mozzarella </t>
  </si>
  <si>
    <t>2x15</t>
  </si>
  <si>
    <t>Shredded Parmesan</t>
  </si>
  <si>
    <t xml:space="preserve">Blanched Spinach with Garlic </t>
  </si>
  <si>
    <t>IC C S1 HM - Pre Select ONLY -FISH</t>
  </si>
  <si>
    <t>Seared Seabass</t>
  </si>
  <si>
    <t>p- select</t>
  </si>
  <si>
    <t xml:space="preserve">price from order guide </t>
  </si>
  <si>
    <t>Steam Asparagus</t>
  </si>
  <si>
    <t>Truffle Cream Sauce</t>
  </si>
  <si>
    <t>IC C S1 HM GARNISH C2</t>
  </si>
  <si>
    <t>Rainbow Organic Micro Greens</t>
  </si>
  <si>
    <t>2 MIn</t>
  </si>
  <si>
    <t>Bulk Load Rimmed Garnish Bowl</t>
  </si>
  <si>
    <t>IC C S1 DE CHEESE C2</t>
  </si>
  <si>
    <t>Sweet Grass Dairy Thomasville Tomme</t>
  </si>
  <si>
    <t>Bulk Load</t>
  </si>
  <si>
    <t>Sweet Grass Dairy Green Hill Brie</t>
  </si>
  <si>
    <t>IC C S1 DE CAKE C2</t>
  </si>
  <si>
    <t>Banana Pudding Cheesecake</t>
  </si>
  <si>
    <t>2 tray min</t>
  </si>
  <si>
    <t>8 dessert per tray - square platter china</t>
  </si>
  <si>
    <t>Streusel Crumbles</t>
  </si>
  <si>
    <t>1 tray per 10 passsangers</t>
  </si>
  <si>
    <t>Blueberries</t>
  </si>
  <si>
    <t>3 x 1</t>
  </si>
  <si>
    <t>IC C S1 DE CAKE GARNISH C2</t>
  </si>
  <si>
    <t xml:space="preserve">Rhum Caramel </t>
  </si>
  <si>
    <t>Bulk Load Rimmed Garnish Bowl  10gm per pax</t>
  </si>
  <si>
    <t>IC C S1 DE FRUIT C2</t>
  </si>
  <si>
    <t>Grapes</t>
  </si>
  <si>
    <t>Bulk Load square platter china</t>
  </si>
  <si>
    <t>Honeydew (0,75 inch cubes)</t>
  </si>
  <si>
    <t>3-4 Variety Seasonal</t>
  </si>
  <si>
    <t>Cantaloupe (0,75 inch cubes)</t>
  </si>
  <si>
    <t>Pineapple (0,75 inch cubes)</t>
  </si>
  <si>
    <t>IC C S1 BRD Type 1 C2</t>
  </si>
  <si>
    <t>Sourdough</t>
  </si>
  <si>
    <t>10 roll per bag 50/50 light/dark</t>
  </si>
  <si>
    <t>Multi Grain Beer and Cheese Roll</t>
  </si>
  <si>
    <t>IC C S1 BRD Type 2 C2</t>
  </si>
  <si>
    <t>Artisan Baguette Sliced</t>
  </si>
  <si>
    <t>Pre-Sliced - Oven Bag (10 slice)</t>
  </si>
  <si>
    <t>cost from 18inch of baguette, Sysco</t>
  </si>
  <si>
    <t>Bar Bulk Load</t>
  </si>
  <si>
    <t xml:space="preserve">Celery Stick </t>
  </si>
  <si>
    <t>15 x 10</t>
  </si>
  <si>
    <t>Sliced Lemon Half Moon</t>
  </si>
  <si>
    <t>15x 10</t>
  </si>
  <si>
    <t>Lemon Wedges</t>
  </si>
  <si>
    <t>Lime Wedges</t>
  </si>
  <si>
    <t>IC C S2 TSU C2</t>
  </si>
  <si>
    <t>Tray, Food, Large, ATLAS</t>
  </si>
  <si>
    <t>Traymat, Large, Black, Disposable</t>
  </si>
  <si>
    <t>Cup, china, rs, coffee</t>
  </si>
  <si>
    <t>Bowl, china, small, rs, for butter</t>
  </si>
  <si>
    <t>Lid, for 971051, disposable</t>
  </si>
  <si>
    <t>Plate, large, china, rs, for cold cuts and cheese</t>
  </si>
  <si>
    <t>Lid, For 971055/971176, Disposable</t>
  </si>
  <si>
    <t>Plate or Saucer, Small, China, RS (bread plate)</t>
  </si>
  <si>
    <t>Bowl, Glass, Clear, RS (for over night oates)</t>
  </si>
  <si>
    <t>Lid, For 971086, Disposable</t>
  </si>
  <si>
    <t>IC C S2 COLD CUTS C2</t>
  </si>
  <si>
    <t>Plain Cream cheese (ball)</t>
  </si>
  <si>
    <t>Gm</t>
  </si>
  <si>
    <t>Sweet Grass Dairy Georgia Gouda X2 SLICE</t>
  </si>
  <si>
    <t>2 X 12</t>
  </si>
  <si>
    <t>Black Forest Ham</t>
  </si>
  <si>
    <t>Proscuitto</t>
  </si>
  <si>
    <t>Baby Spinach</t>
  </si>
  <si>
    <t xml:space="preserve">Fresh cucumber batons x 2  </t>
  </si>
  <si>
    <t>2x 5</t>
  </si>
  <si>
    <t xml:space="preserve"> </t>
  </si>
  <si>
    <t>Mini Sweet Peppers Halves</t>
  </si>
  <si>
    <t>2 x 10</t>
  </si>
  <si>
    <t>Missing cost in Optimum, sysco price is $5.125/lb</t>
  </si>
  <si>
    <t>IC C S2 FRUIT C2</t>
  </si>
  <si>
    <t>Coconut Chia Overnight Oats</t>
  </si>
  <si>
    <t>Mango Cube</t>
  </si>
  <si>
    <t>Missing cost in Optimum, sysco price "Dole Frozen 2/5lb Mango Chunck" $4.53/lb</t>
  </si>
  <si>
    <t>4x 1</t>
  </si>
  <si>
    <t xml:space="preserve">IC C S2 BRD </t>
  </si>
  <si>
    <t>Mini Croissant</t>
  </si>
  <si>
    <t>pastry box</t>
  </si>
  <si>
    <t>Six Grain Bread</t>
  </si>
  <si>
    <t>Mini Bagel</t>
  </si>
  <si>
    <t>IC C S1 AVML C3</t>
  </si>
  <si>
    <t xml:space="preserve"> SA-REGULAR SERVICE , S- CRUDITE PLATE, HM- CHICKPEA AND MUSHROOMS RED CURRY, WITH WILDRICE PILAF, ASPARAGUSDE - REG SRV</t>
  </si>
  <si>
    <t>IC C S1 CHML C3</t>
  </si>
  <si>
    <t>SA- REGULAR SERVICE , S- VEG BATON WITH RANCH, HM- SLICED CHICKEN BREAST WITH POTATO MASH AND BUTTERED PEAS, AND DE- REGULAR SERVICE</t>
  </si>
  <si>
    <t>IC C S1 LGML C3</t>
  </si>
  <si>
    <t>SA- GF SALAD, S- GF STARTER, HM- GF LACTO REGULAR MEAL, DE-GF DESSERT - BRD- GLUTENFREEE ROLL</t>
  </si>
  <si>
    <t>IC C S1 VGML C3</t>
  </si>
  <si>
    <t>SA- VV SALAD, S- CRUDITE PLATE HUMMUS , HM- VV CHICKPEA RED CURRY WITH WILDRICE PILAF , ASPARAGUS, DE- FRESH FRUIT</t>
  </si>
  <si>
    <t>IC C S1 VLML C3</t>
  </si>
  <si>
    <t>SA- REG SRV, S - CRUDITE PLATE HUMMUS/AOLI, HM- VEG OPTION, DE- REG SRV</t>
  </si>
  <si>
    <t>IC C S2 AVML C3</t>
  </si>
  <si>
    <t>S2- FARRO SALAD VEG PLATE FRUIT- REG SRV, YOGHURT- REG SRV, SW- REG SRV</t>
  </si>
  <si>
    <t>IC C S2 CHML C3</t>
  </si>
  <si>
    <t>S2- CP TURKEY, CHEESE,VEG STICK W. HUMMUSFRUIT-  EG SRV, YOGHURT -REG SRV, SW - EGGSALAD SANDWICH</t>
  </si>
  <si>
    <t>IC C S2 LGML C3</t>
  </si>
  <si>
    <t>S2 - GF COLDCUTS - FRUIT - GF NO GRANOLA - YOGHURT REGULAR SRV , SW- GF-VEG SANDWICH</t>
  </si>
  <si>
    <t>IC C S2 VGML C3</t>
  </si>
  <si>
    <t>S2 -  FARRO  SALAD ,CRUDITE WITH HUMMUS - FRUIT - REG SRV -COCONUT CHIA PUDDING W/ FRUIT -  - SW - VV SANDWICH</t>
  </si>
  <si>
    <t>IC C S2 VLML C3</t>
  </si>
  <si>
    <t>ARRO SALAD W/ MEZZE PLATE- REG SRV, YOGHURT - REG SRV, SW - REG SRV</t>
  </si>
  <si>
    <t>IC C S1 BKML C3</t>
  </si>
  <si>
    <t>IC C S2 BKML C3</t>
  </si>
  <si>
    <r>
      <t xml:space="preserve">Concept: </t>
    </r>
    <r>
      <rPr>
        <b/>
        <sz val="10"/>
        <color theme="1"/>
        <rFont val="Aptos Narrow"/>
        <family val="2"/>
        <scheme val="minor"/>
      </rPr>
      <t>01JUN24</t>
    </r>
    <r>
      <rPr>
        <sz val="10"/>
        <color theme="1"/>
        <rFont val="Aptos Narrow"/>
        <family val="2"/>
        <scheme val="minor"/>
      </rPr>
      <t xml:space="preserve"> | Version: 1 | Updated: 15DEC</t>
    </r>
    <r>
      <rPr>
        <b/>
        <sz val="10"/>
        <color theme="1"/>
        <rFont val="Aptos Narrow"/>
        <family val="2"/>
        <scheme val="minor"/>
      </rPr>
      <t>23</t>
    </r>
    <r>
      <rPr>
        <sz val="10"/>
        <color theme="1"/>
        <rFont val="Aptos Narrow"/>
        <family val="2"/>
        <scheme val="minor"/>
      </rPr>
      <t xml:space="preserve"> Currency USD</t>
    </r>
  </si>
  <si>
    <t>PLUS (PREMIUM ECO)</t>
  </si>
  <si>
    <t>IC Y S1 TSU C2</t>
  </si>
  <si>
    <t>Bag, For Cutlery</t>
  </si>
  <si>
    <t>1 x Fork, Stainless, RS</t>
  </si>
  <si>
    <t>1 x Spoon, Stainless, Coffee/Tea, RS</t>
  </si>
  <si>
    <t>1 x Spoon, Stainless, Dessert/Soup, RS</t>
  </si>
  <si>
    <t>1 x Knife, Stainless, RS</t>
  </si>
  <si>
    <t>1 x Napkin, Paper, White</t>
  </si>
  <si>
    <t>1 x Sugar, Portion Packed</t>
  </si>
  <si>
    <t>1 x Salt &amp; Pepper, Twinpack</t>
  </si>
  <si>
    <t>1 x Toothpick, Individually Packed</t>
  </si>
  <si>
    <t>Portioned packed butter 10-15 gm</t>
  </si>
  <si>
    <t>Portioned packed cracker</t>
  </si>
  <si>
    <t>RUSTICO FLAT BREAD</t>
  </si>
  <si>
    <t>Portioned packed cheese 15 g</t>
  </si>
  <si>
    <t>MINI BRIE WEDGE INVD WRAP</t>
  </si>
  <si>
    <t>IC Y S1 ST C2</t>
  </si>
  <si>
    <t>Pastami Slice</t>
  </si>
  <si>
    <t>Apple Kale Farro Salad</t>
  </si>
  <si>
    <t>IC Y S1 HM-A C2</t>
  </si>
  <si>
    <t>Cod Almondine</t>
  </si>
  <si>
    <t>Tarragon Cream Sauce</t>
  </si>
  <si>
    <t>with cod</t>
  </si>
  <si>
    <t>Wild Rice Pilaf</t>
  </si>
  <si>
    <t>Blanched Kale</t>
  </si>
  <si>
    <t xml:space="preserve">Roasted Cherry Tomato </t>
  </si>
  <si>
    <t>IC Y/M S1 HM-B C2</t>
  </si>
  <si>
    <t>Roasted Chicken Thigh</t>
  </si>
  <si>
    <t>Blanched Spinach with Garlic</t>
  </si>
  <si>
    <t>Herb Mash Potatoes</t>
  </si>
  <si>
    <t>Roasted Baby Carrots</t>
  </si>
  <si>
    <t>Veg Lacto Option 1 (GO)</t>
  </si>
  <si>
    <t>Veg Lacto Option 2 (PLUS)</t>
  </si>
  <si>
    <t>Mushroom Ravioli (josephs)</t>
  </si>
  <si>
    <t>3x30</t>
  </si>
  <si>
    <t>Mushroom Tortelinni (PASTS MAMI)</t>
  </si>
  <si>
    <t>4x25</t>
  </si>
  <si>
    <t>Pesto Cream</t>
  </si>
  <si>
    <t>Kale Pesto</t>
  </si>
  <si>
    <t>Spring Peas</t>
  </si>
  <si>
    <t>Blistered Tomato</t>
  </si>
  <si>
    <t>4 x 15</t>
  </si>
  <si>
    <t>Blanched Marinated Kale</t>
  </si>
  <si>
    <t>IC Y S1 DE C2</t>
  </si>
  <si>
    <t>Peach Cobbler Tart</t>
  </si>
  <si>
    <t>In House Bakery</t>
  </si>
  <si>
    <t>Creme Fraiche</t>
  </si>
  <si>
    <t>IC Y/M S1+S2 BRD Type 1 C2</t>
  </si>
  <si>
    <t>Six Grain Roll</t>
  </si>
  <si>
    <t>IC Y S2 TSU C2</t>
  </si>
  <si>
    <t>Tray, Food, Medium, ATLAS</t>
  </si>
  <si>
    <t>1 x Traymat, Medium, Black, Disposable</t>
  </si>
  <si>
    <t>1 x Plate, Melamine</t>
  </si>
  <si>
    <t>1 x Glass, Water/Champagne, RS</t>
  </si>
  <si>
    <t>1 x Lid, For 971173, Disposable</t>
  </si>
  <si>
    <t>Cutlery pack S2</t>
  </si>
  <si>
    <t>Portioned packed butter 10-15 g</t>
  </si>
  <si>
    <t>Portioned packed granola</t>
  </si>
  <si>
    <t>Portion packed full fat plain yoghurt</t>
  </si>
  <si>
    <t xml:space="preserve">Portioned packed marmalade </t>
  </si>
  <si>
    <t>IC Y S2 BREAKFAST PLATE C2</t>
  </si>
  <si>
    <t>Dark Forest Ham (HEYWOODS)</t>
  </si>
  <si>
    <t>Sweet Grass Dairy Georgia Gouda Slice</t>
  </si>
  <si>
    <t>2x 15</t>
  </si>
  <si>
    <t>Hard boiled egg half</t>
  </si>
  <si>
    <t xml:space="preserve">Cherry tomato </t>
  </si>
  <si>
    <t>Cucumber Batons</t>
  </si>
  <si>
    <t>2x 10</t>
  </si>
  <si>
    <t>Baby Spinach leaves</t>
  </si>
  <si>
    <t>Cantaloupe Wedge</t>
  </si>
  <si>
    <t>pc</t>
  </si>
  <si>
    <t>Honeydew Wedge</t>
  </si>
  <si>
    <t>IC Y S1 AVML C3</t>
  </si>
  <si>
    <t>ST - MEZZE PLATE HM - VEGAN RED CURRY</t>
  </si>
  <si>
    <t>IC Y S1 CHML C3</t>
  </si>
  <si>
    <t>ST - REG HM- GRILLED CHICKEN ,MASH , PEAS</t>
  </si>
  <si>
    <t>IC Y S1 LGML C3</t>
  </si>
  <si>
    <t xml:space="preserve">ST - REG HM - VEGAN RED CURRY </t>
  </si>
  <si>
    <t>IC Y S1 VGML C3</t>
  </si>
  <si>
    <t>MEZZE PLATE HM - TOFU ENTREE</t>
  </si>
  <si>
    <t>IC Y S1 VLML C3</t>
  </si>
  <si>
    <t>ST - MEZZE PLATE WITH CHEESE HM- TOFU ENTREE + CHEESE</t>
  </si>
  <si>
    <t>IC Y S2 AVML C3</t>
  </si>
  <si>
    <t>BK - FARRO SALAD WITH TOFU</t>
  </si>
  <si>
    <t>IC Y S2 CHML C3</t>
  </si>
  <si>
    <t>BK - REGULAR SERVICE HAM ONLY</t>
  </si>
  <si>
    <t>IC Y S2 LGML C3</t>
  </si>
  <si>
    <t>BK - REG SERVICE - NO GF NO DAIRY</t>
  </si>
  <si>
    <t>IC Y S2 VGML C3</t>
  </si>
  <si>
    <t>FARRO SALAD TOFU PLATE</t>
  </si>
  <si>
    <t>IC Y S2 VLML C3</t>
  </si>
  <si>
    <t>BK FARRO SALAD TOFU PLATE</t>
  </si>
  <si>
    <t>IC Y S1 BKML C3</t>
  </si>
  <si>
    <t>IC Y S2 BKML C3</t>
  </si>
  <si>
    <t>IC Y Overhead</t>
  </si>
  <si>
    <t>GO (ECONOMY)</t>
  </si>
  <si>
    <t>IC M S1 TSU C2</t>
  </si>
  <si>
    <t>1 x Traymat, Medium, Anti-Skid, Disposable</t>
  </si>
  <si>
    <t>1 x Cutlery, Type 4/1, Disp, Neutral</t>
  </si>
  <si>
    <t>1 x Insert, For Casserole, Disposable</t>
  </si>
  <si>
    <t>1 x Insert, X-Large, Disposable (for salad)</t>
  </si>
  <si>
    <t>1 x Lid, For 971205, Disposable</t>
  </si>
  <si>
    <t>1 x Insert, Small, Disposable (for dessert)</t>
  </si>
  <si>
    <t>1 x Lid , For 971207, Disposable, Small</t>
  </si>
  <si>
    <t>Portioned packed milk jigger</t>
  </si>
  <si>
    <t>Salad Dressing</t>
  </si>
  <si>
    <t>IC M S1 SALAD C2</t>
  </si>
  <si>
    <t>Mesclun Mixed Green Mix</t>
  </si>
  <si>
    <t>English Cucumber Slice</t>
  </si>
  <si>
    <t>Shredded carrots (julienned)</t>
  </si>
  <si>
    <t>Boccancini Mozzarella ball</t>
  </si>
  <si>
    <t>IC M S1 DE C2</t>
  </si>
  <si>
    <t>OPTION 3</t>
  </si>
  <si>
    <t>Stawberry Mousse</t>
  </si>
  <si>
    <t>PLAIN CHEESE CAKE BAR</t>
  </si>
  <si>
    <t>White Chocolate Curls</t>
  </si>
  <si>
    <t>PRICE OUT FOR STRAWBERRY WEDGE GARNISH  - OPTION 2</t>
  </si>
  <si>
    <t>Sourdough Roll</t>
  </si>
  <si>
    <t>IC M S2 JUICE C2</t>
  </si>
  <si>
    <t>PP Juice</t>
  </si>
  <si>
    <t xml:space="preserve">bulk loaded </t>
  </si>
  <si>
    <t xml:space="preserve">IC M S2 SW </t>
  </si>
  <si>
    <t>Nominated Hot Sandwich</t>
  </si>
  <si>
    <t>IC M S1 MEML C2</t>
  </si>
  <si>
    <t>IC M S1 CKML C2</t>
  </si>
  <si>
    <t>IC M S1 GHML C2</t>
  </si>
  <si>
    <t>IC M S1 CDML C3</t>
  </si>
  <si>
    <t>CHICKEN TENDER ENTREE</t>
  </si>
  <si>
    <t>IC M S1 GCML C3</t>
  </si>
  <si>
    <t>TOFU ENTREE</t>
  </si>
  <si>
    <t>IC M S1 VVML C3</t>
  </si>
  <si>
    <t>IC M S1 EVML C3</t>
  </si>
  <si>
    <t>IC M S2 ADML C3</t>
  </si>
  <si>
    <t>IC M S2 CDML C3</t>
  </si>
  <si>
    <t>IC M S2 GCML C3</t>
  </si>
  <si>
    <t>IC M S2 VVML C3</t>
  </si>
  <si>
    <t>IC M S2 EVML C3</t>
  </si>
  <si>
    <t>IC M S2 GHML C3</t>
  </si>
  <si>
    <t>IC M Overhead</t>
  </si>
  <si>
    <t>Crew Meals</t>
  </si>
  <si>
    <t xml:space="preserve">CRW P CM TSU </t>
  </si>
  <si>
    <t>SK Disposable cutlery</t>
  </si>
  <si>
    <t>Portion packed local butter</t>
  </si>
  <si>
    <t>Bread roll multigrain</t>
  </si>
  <si>
    <t>CRW K CM A</t>
  </si>
  <si>
    <t>HAM  x 2 slices</t>
  </si>
  <si>
    <t>HEY WOOD HAM</t>
  </si>
  <si>
    <t>Mayo (top and bottom)</t>
  </si>
  <si>
    <t>CUCUMBER SLICES</t>
  </si>
  <si>
    <t>MESCLUN MIX</t>
  </si>
  <si>
    <t>Pumpernickel Roll</t>
  </si>
  <si>
    <t>50-60</t>
  </si>
  <si>
    <t>Baked in house</t>
  </si>
  <si>
    <t>Potato Salad</t>
  </si>
  <si>
    <t>CRW K CM B</t>
  </si>
  <si>
    <t>FRESH MOZZARELLA</t>
  </si>
  <si>
    <t>PESTO MAYO</t>
  </si>
  <si>
    <t>ROASTED TOMATO</t>
  </si>
  <si>
    <t>BABY SPINACH</t>
  </si>
  <si>
    <t>Pasta Pesto Salad</t>
  </si>
  <si>
    <t xml:space="preserve">CRW P CM - Poultry or Salmon A </t>
  </si>
  <si>
    <t>Smoked salmon slices</t>
  </si>
  <si>
    <t>GOUDA SLICES</t>
  </si>
  <si>
    <t>PICKLED RED ONION</t>
  </si>
  <si>
    <t>Red cherry tomato</t>
  </si>
  <si>
    <t>CaperS</t>
  </si>
  <si>
    <t>GM</t>
  </si>
  <si>
    <t xml:space="preserve">CRW P CM - Meat B </t>
  </si>
  <si>
    <t>PASTRAMI 2X</t>
  </si>
  <si>
    <t>GOUDA CHEESE SLICES x 3</t>
  </si>
  <si>
    <t>Mesclun mix</t>
  </si>
  <si>
    <t xml:space="preserve">cherry tomato </t>
  </si>
  <si>
    <t>Red grapes x 4</t>
  </si>
  <si>
    <t xml:space="preserve">CRW P HM TSU </t>
  </si>
  <si>
    <t>Vinaigrette dressing</t>
  </si>
  <si>
    <t>PP local butter</t>
  </si>
  <si>
    <t>Bread</t>
  </si>
  <si>
    <t>SK disposable cutlery</t>
  </si>
  <si>
    <t xml:space="preserve">CRW K HM TSU </t>
  </si>
  <si>
    <t xml:space="preserve">CRW P HM Salad </t>
  </si>
  <si>
    <t>Chopped romaine lettuce</t>
  </si>
  <si>
    <t>Cucumber slices</t>
  </si>
  <si>
    <t>Carrot julienne</t>
  </si>
  <si>
    <t>Cherry tomato stemlesss</t>
  </si>
  <si>
    <t xml:space="preserve">CRW K HM Salad </t>
  </si>
  <si>
    <t xml:space="preserve">CRW P HM A </t>
  </si>
  <si>
    <t>Fox Brothers , local</t>
  </si>
  <si>
    <t xml:space="preserve">CRW K HM A </t>
  </si>
  <si>
    <t xml:space="preserve">CRW P HM B </t>
  </si>
  <si>
    <t xml:space="preserve">CRW K HM B </t>
  </si>
  <si>
    <t xml:space="preserve">CRW P HB TSU </t>
  </si>
  <si>
    <t>Portion packed local plain full fat yoghurt</t>
  </si>
  <si>
    <t>Portion packed local cheese</t>
  </si>
  <si>
    <t xml:space="preserve">CRW P HB </t>
  </si>
  <si>
    <t>SCAMBLED EGGS</t>
  </si>
  <si>
    <t>BLANCH MARINATED KALE</t>
  </si>
  <si>
    <t>BREAKFAST POTATOES</t>
  </si>
  <si>
    <t>TURKEY SAUSAGE LINK</t>
  </si>
  <si>
    <t>1X30</t>
  </si>
  <si>
    <t>HAM</t>
  </si>
  <si>
    <t xml:space="preserve">CRW K HB </t>
  </si>
  <si>
    <t>CRW P HM VGML (JVG)</t>
  </si>
  <si>
    <t>CRW P HM VLML (JVL)</t>
  </si>
  <si>
    <t>CRW P HM LGML (JLG)</t>
  </si>
  <si>
    <t>CRW K HM VGML (JVG)</t>
  </si>
  <si>
    <t>CRW K HM VLML (JVL)</t>
  </si>
  <si>
    <t>CRW K HM LGML (JLG)</t>
  </si>
  <si>
    <t>CRW P HB VGML (FVG)</t>
  </si>
  <si>
    <t>CRW P HB VLML (FVL)</t>
  </si>
  <si>
    <t>CRW P HB LGML (FLG)</t>
  </si>
  <si>
    <t>CRW K HB VLML (FVL)</t>
  </si>
  <si>
    <t>CRW K HB LGML (FLG)</t>
  </si>
  <si>
    <t>CRW P CM VGML (OVG)</t>
  </si>
  <si>
    <t>CRW P CM LGML (OLG)</t>
  </si>
  <si>
    <t>CRW P CM VLML (OVL)</t>
  </si>
  <si>
    <t>CRW K SWD VGML (OVG)</t>
  </si>
  <si>
    <t>CRW K SWD VLML (OVL)</t>
  </si>
  <si>
    <t>CRW K SWD LGML (OLG)</t>
  </si>
  <si>
    <t>CRW P CM VGML (SVG)</t>
  </si>
  <si>
    <t>CRW P CM VLML (SVL)</t>
  </si>
  <si>
    <t>CRW P CM LGML (SLG)</t>
  </si>
  <si>
    <t>CRW K SWD VGML (SVG)</t>
  </si>
  <si>
    <t>CRW K SWD VLML (SVL)</t>
  </si>
  <si>
    <t>CRW K SWD LGML (SLG)</t>
  </si>
  <si>
    <t>IC P Overhead</t>
  </si>
  <si>
    <t>IC K Overhead</t>
  </si>
  <si>
    <t>BUSINESS CLASS- special meals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</si>
</sst>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  <charset val="1"/>
    </font>
    <font>
      <sz val="11"/>
      <name val="ＭＳ Ｐゴシック"/>
      <family val="3"/>
      <charset val="128"/>
    </font>
    <font>
      <b/>
      <sz val="10"/>
      <name val="Aptos Narrow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10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166">
    <xf numFmtId="0" fontId="0" fillId="0" borderId="0" xfId="0"/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43" fontId="6" fillId="0" borderId="2" xfId="1" applyFont="1" applyFill="1" applyBorder="1" applyAlignment="1" applyProtection="1">
      <alignment horizontal="center"/>
    </xf>
    <xf numFmtId="0" fontId="6" fillId="0" borderId="2" xfId="0" applyFont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6" fillId="6" borderId="2" xfId="0" applyFont="1" applyFill="1" applyBorder="1" applyAlignment="1" applyProtection="1">
      <alignment horizontal="left"/>
      <protection locked="0"/>
    </xf>
    <xf numFmtId="43" fontId="6" fillId="6" borderId="2" xfId="1" applyFont="1" applyFill="1" applyBorder="1" applyAlignment="1" applyProtection="1">
      <alignment horizontal="center"/>
      <protection locked="0"/>
    </xf>
    <xf numFmtId="43" fontId="6" fillId="6" borderId="2" xfId="1" applyFont="1" applyFill="1" applyBorder="1" applyAlignment="1" applyProtection="1">
      <alignment horizontal="left"/>
      <protection locked="0"/>
    </xf>
    <xf numFmtId="0" fontId="6" fillId="6" borderId="2" xfId="0" applyFont="1" applyFill="1" applyBorder="1" applyAlignment="1" applyProtection="1">
      <alignment horizontal="center"/>
      <protection locked="0"/>
    </xf>
    <xf numFmtId="0" fontId="4" fillId="4" borderId="2" xfId="0" applyFont="1" applyFill="1" applyBorder="1" applyAlignment="1">
      <alignment horizontal="center"/>
    </xf>
    <xf numFmtId="0" fontId="5" fillId="6" borderId="2" xfId="0" applyFont="1" applyFill="1" applyBorder="1" applyAlignment="1" applyProtection="1">
      <alignment horizontal="left"/>
      <protection locked="0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43" fontId="6" fillId="0" borderId="2" xfId="1" applyFont="1" applyFill="1" applyBorder="1" applyAlignment="1" applyProtection="1">
      <alignment horizontal="center" vertical="center"/>
    </xf>
    <xf numFmtId="0" fontId="4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 applyProtection="1">
      <alignment vertical="center"/>
      <protection locked="0"/>
    </xf>
    <xf numFmtId="0" fontId="6" fillId="6" borderId="2" xfId="0" applyFont="1" applyFill="1" applyBorder="1" applyAlignment="1" applyProtection="1">
      <alignment horizontal="center" vertical="center"/>
      <protection locked="0"/>
    </xf>
    <xf numFmtId="43" fontId="6" fillId="6" borderId="2" xfId="1" applyFont="1" applyFill="1" applyBorder="1" applyAlignment="1" applyProtection="1">
      <alignment horizontal="center" vertical="center"/>
      <protection locked="0"/>
    </xf>
    <xf numFmtId="43" fontId="6" fillId="6" borderId="2" xfId="1" applyFont="1" applyFill="1" applyBorder="1" applyAlignment="1" applyProtection="1">
      <alignment horizontal="left" vertical="center"/>
      <protection locked="0"/>
    </xf>
    <xf numFmtId="0" fontId="4" fillId="5" borderId="2" xfId="0" applyFont="1" applyFill="1" applyBorder="1" applyAlignment="1">
      <alignment vertical="center"/>
    </xf>
    <xf numFmtId="0" fontId="5" fillId="6" borderId="2" xfId="0" applyFont="1" applyFill="1" applyBorder="1" applyAlignment="1" applyProtection="1">
      <alignment horizontal="left" vertical="center"/>
      <protection locked="0"/>
    </xf>
    <xf numFmtId="0" fontId="9" fillId="5" borderId="2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vertical="center"/>
    </xf>
    <xf numFmtId="0" fontId="11" fillId="5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 applyProtection="1">
      <alignment vertical="center"/>
      <protection locked="0"/>
    </xf>
    <xf numFmtId="0" fontId="10" fillId="5" borderId="2" xfId="0" applyFont="1" applyFill="1" applyBorder="1" applyAlignment="1">
      <alignment vertical="center"/>
    </xf>
    <xf numFmtId="9" fontId="11" fillId="5" borderId="2" xfId="0" applyNumberFormat="1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43" fontId="6" fillId="0" borderId="2" xfId="1" applyFont="1" applyFill="1" applyBorder="1" applyAlignment="1" applyProtection="1">
      <alignment horizontal="center" vertical="center"/>
      <protection locked="0"/>
    </xf>
    <xf numFmtId="0" fontId="6" fillId="6" borderId="2" xfId="0" applyFont="1" applyFill="1" applyBorder="1" applyAlignment="1">
      <alignment horizontal="left"/>
    </xf>
    <xf numFmtId="43" fontId="6" fillId="6" borderId="2" xfId="1" applyFont="1" applyFill="1" applyBorder="1" applyAlignment="1">
      <alignment horizontal="center"/>
    </xf>
    <xf numFmtId="0" fontId="4" fillId="7" borderId="2" xfId="0" applyFont="1" applyFill="1" applyBorder="1" applyAlignment="1">
      <alignment horizontal="left"/>
    </xf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vertical="center"/>
    </xf>
    <xf numFmtId="0" fontId="6" fillId="0" borderId="2" xfId="0" applyFont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43" fontId="6" fillId="2" borderId="2" xfId="1" applyFont="1" applyFill="1" applyBorder="1" applyAlignment="1" applyProtection="1">
      <alignment horizontal="center"/>
    </xf>
    <xf numFmtId="0" fontId="6" fillId="2" borderId="4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43" fontId="6" fillId="2" borderId="2" xfId="1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3" fontId="6" fillId="2" borderId="2" xfId="1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43" fontId="6" fillId="2" borderId="4" xfId="1" applyFont="1" applyFill="1" applyBorder="1" applyAlignment="1" applyProtection="1">
      <alignment horizontal="center" vertical="center"/>
      <protection locked="0"/>
    </xf>
    <xf numFmtId="9" fontId="6" fillId="6" borderId="2" xfId="1" applyNumberFormat="1" applyFont="1" applyFill="1" applyBorder="1" applyAlignment="1" applyProtection="1">
      <alignment horizontal="center"/>
      <protection locked="0"/>
    </xf>
    <xf numFmtId="0" fontId="5" fillId="3" borderId="2" xfId="0" applyFont="1" applyFill="1" applyBorder="1" applyAlignment="1">
      <alignment horizontal="center" vertical="center"/>
    </xf>
    <xf numFmtId="9" fontId="6" fillId="6" borderId="2" xfId="1" applyNumberFormat="1" applyFont="1" applyFill="1" applyBorder="1" applyAlignment="1" applyProtection="1">
      <alignment horizontal="center" vertical="center"/>
      <protection locked="0"/>
    </xf>
    <xf numFmtId="43" fontId="6" fillId="0" borderId="7" xfId="1" applyFont="1" applyFill="1" applyBorder="1" applyAlignment="1" applyProtection="1">
      <alignment horizontal="center" vertical="center"/>
    </xf>
    <xf numFmtId="9" fontId="0" fillId="0" borderId="0" xfId="0" applyNumberFormat="1"/>
    <xf numFmtId="0" fontId="6" fillId="8" borderId="2" xfId="0" applyFont="1" applyFill="1" applyBorder="1" applyAlignment="1" applyProtection="1">
      <alignment horizontal="left"/>
      <protection locked="0"/>
    </xf>
    <xf numFmtId="0" fontId="6" fillId="8" borderId="2" xfId="1" applyNumberFormat="1" applyFont="1" applyFill="1" applyBorder="1" applyAlignment="1" applyProtection="1">
      <alignment horizontal="center"/>
      <protection locked="0"/>
    </xf>
    <xf numFmtId="43" fontId="6" fillId="8" borderId="2" xfId="1" applyFont="1" applyFill="1" applyBorder="1" applyAlignment="1" applyProtection="1">
      <alignment horizontal="center"/>
      <protection locked="0"/>
    </xf>
    <xf numFmtId="0" fontId="14" fillId="9" borderId="0" xfId="0" applyFont="1" applyFill="1"/>
    <xf numFmtId="0" fontId="15" fillId="0" borderId="0" xfId="0" applyFont="1"/>
    <xf numFmtId="0" fontId="15" fillId="9" borderId="0" xfId="0" applyFont="1" applyFill="1"/>
    <xf numFmtId="0" fontId="15" fillId="10" borderId="0" xfId="0" applyFont="1" applyFill="1"/>
    <xf numFmtId="43" fontId="6" fillId="0" borderId="7" xfId="1" applyFont="1" applyFill="1" applyBorder="1" applyAlignment="1" applyProtection="1">
      <alignment horizontal="center" vertical="center"/>
      <protection locked="0"/>
    </xf>
    <xf numFmtId="0" fontId="16" fillId="0" borderId="0" xfId="0" applyFont="1"/>
    <xf numFmtId="0" fontId="7" fillId="6" borderId="2" xfId="0" applyFont="1" applyFill="1" applyBorder="1" applyAlignment="1" applyProtection="1">
      <alignment horizontal="left"/>
      <protection locked="0"/>
    </xf>
    <xf numFmtId="0" fontId="6" fillId="2" borderId="2" xfId="1" applyNumberFormat="1" applyFont="1" applyFill="1" applyBorder="1" applyAlignment="1" applyProtection="1">
      <alignment horizontal="center"/>
      <protection locked="0"/>
    </xf>
    <xf numFmtId="0" fontId="6" fillId="2" borderId="2" xfId="0" applyFont="1" applyFill="1" applyBorder="1" applyAlignment="1" applyProtection="1">
      <alignment horizontal="center"/>
      <protection locked="0"/>
    </xf>
    <xf numFmtId="0" fontId="17" fillId="11" borderId="2" xfId="0" applyFont="1" applyFill="1" applyBorder="1" applyAlignment="1">
      <alignment vertical="center"/>
    </xf>
    <xf numFmtId="0" fontId="17" fillId="11" borderId="2" xfId="0" applyFont="1" applyFill="1" applyBorder="1" applyAlignment="1">
      <alignment horizontal="center" vertical="center"/>
    </xf>
    <xf numFmtId="9" fontId="6" fillId="6" borderId="4" xfId="1" applyNumberFormat="1" applyFont="1" applyFill="1" applyBorder="1" applyAlignment="1" applyProtection="1">
      <alignment horizontal="center" vertical="center"/>
      <protection locked="0"/>
    </xf>
    <xf numFmtId="43" fontId="6" fillId="6" borderId="4" xfId="1" applyFont="1" applyFill="1" applyBorder="1" applyAlignment="1" applyProtection="1">
      <alignment horizontal="center"/>
      <protection locked="0"/>
    </xf>
    <xf numFmtId="43" fontId="6" fillId="6" borderId="6" xfId="1" applyFont="1" applyFill="1" applyBorder="1" applyAlignment="1" applyProtection="1">
      <alignment horizontal="center"/>
      <protection locked="0"/>
    </xf>
    <xf numFmtId="43" fontId="6" fillId="6" borderId="7" xfId="1" applyFont="1" applyFill="1" applyBorder="1" applyAlignment="1" applyProtection="1">
      <alignment horizontal="center"/>
      <protection locked="0"/>
    </xf>
    <xf numFmtId="0" fontId="15" fillId="0" borderId="3" xfId="0" applyFont="1" applyBorder="1"/>
    <xf numFmtId="0" fontId="0" fillId="0" borderId="3" xfId="0" applyBorder="1"/>
    <xf numFmtId="0" fontId="15" fillId="9" borderId="3" xfId="0" applyFont="1" applyFill="1" applyBorder="1"/>
    <xf numFmtId="0" fontId="14" fillId="9" borderId="3" xfId="0" applyFont="1" applyFill="1" applyBorder="1"/>
    <xf numFmtId="8" fontId="15" fillId="0" borderId="3" xfId="0" applyNumberFormat="1" applyFont="1" applyBorder="1"/>
    <xf numFmtId="0" fontId="0" fillId="2" borderId="3" xfId="0" applyFill="1" applyBorder="1"/>
    <xf numFmtId="0" fontId="15" fillId="0" borderId="3" xfId="0" applyFont="1" applyBorder="1" applyAlignment="1">
      <alignment horizontal="right"/>
    </xf>
    <xf numFmtId="0" fontId="0" fillId="12" borderId="3" xfId="0" applyFill="1" applyBorder="1"/>
    <xf numFmtId="0" fontId="2" fillId="0" borderId="3" xfId="0" applyFont="1" applyBorder="1"/>
    <xf numFmtId="0" fontId="15" fillId="10" borderId="3" xfId="0" applyFont="1" applyFill="1" applyBorder="1"/>
    <xf numFmtId="0" fontId="5" fillId="3" borderId="8" xfId="0" applyFont="1" applyFill="1" applyBorder="1" applyAlignment="1">
      <alignment horizontal="left"/>
    </xf>
    <xf numFmtId="43" fontId="6" fillId="0" borderId="8" xfId="1" applyFont="1" applyFill="1" applyBorder="1" applyAlignment="1" applyProtection="1">
      <alignment horizontal="left"/>
    </xf>
    <xf numFmtId="43" fontId="6" fillId="6" borderId="8" xfId="1" applyFont="1" applyFill="1" applyBorder="1" applyAlignment="1" applyProtection="1">
      <alignment horizontal="left"/>
      <protection locked="0"/>
    </xf>
    <xf numFmtId="43" fontId="6" fillId="8" borderId="8" xfId="1" applyFont="1" applyFill="1" applyBorder="1" applyAlignment="1" applyProtection="1">
      <alignment horizontal="left"/>
      <protection locked="0"/>
    </xf>
    <xf numFmtId="0" fontId="7" fillId="6" borderId="8" xfId="0" applyFont="1" applyFill="1" applyBorder="1" applyAlignment="1" applyProtection="1">
      <alignment horizontal="left"/>
      <protection locked="0"/>
    </xf>
    <xf numFmtId="9" fontId="6" fillId="6" borderId="8" xfId="1" applyNumberFormat="1" applyFont="1" applyFill="1" applyBorder="1" applyAlignment="1" applyProtection="1">
      <alignment horizontal="left"/>
      <protection locked="0"/>
    </xf>
    <xf numFmtId="43" fontId="6" fillId="2" borderId="8" xfId="1" applyFont="1" applyFill="1" applyBorder="1" applyAlignment="1" applyProtection="1">
      <alignment horizontal="left"/>
    </xf>
    <xf numFmtId="0" fontId="5" fillId="6" borderId="8" xfId="0" applyFont="1" applyFill="1" applyBorder="1" applyAlignment="1" applyProtection="1">
      <alignment horizontal="left"/>
      <protection locked="0"/>
    </xf>
    <xf numFmtId="0" fontId="18" fillId="13" borderId="3" xfId="0" applyFont="1" applyFill="1" applyBorder="1"/>
    <xf numFmtId="0" fontId="19" fillId="13" borderId="3" xfId="0" applyFont="1" applyFill="1" applyBorder="1"/>
    <xf numFmtId="0" fontId="19" fillId="13" borderId="3" xfId="0" applyFont="1" applyFill="1" applyBorder="1" applyAlignment="1">
      <alignment wrapText="1"/>
    </xf>
    <xf numFmtId="0" fontId="5" fillId="3" borderId="8" xfId="0" applyFont="1" applyFill="1" applyBorder="1" applyAlignment="1">
      <alignment horizontal="left" vertical="center"/>
    </xf>
    <xf numFmtId="43" fontId="6" fillId="2" borderId="8" xfId="1" applyFont="1" applyFill="1" applyBorder="1" applyAlignment="1" applyProtection="1">
      <alignment horizontal="left" vertical="center"/>
    </xf>
    <xf numFmtId="43" fontId="6" fillId="6" borderId="8" xfId="1" applyFont="1" applyFill="1" applyBorder="1" applyAlignment="1" applyProtection="1">
      <alignment horizontal="left" vertical="center"/>
      <protection locked="0"/>
    </xf>
    <xf numFmtId="43" fontId="6" fillId="0" borderId="8" xfId="1" applyFont="1" applyFill="1" applyBorder="1" applyAlignment="1" applyProtection="1">
      <alignment horizontal="left" vertical="center"/>
    </xf>
    <xf numFmtId="43" fontId="13" fillId="6" borderId="8" xfId="1" applyFont="1" applyFill="1" applyBorder="1" applyAlignment="1" applyProtection="1">
      <alignment horizontal="left" vertical="center"/>
      <protection locked="0"/>
    </xf>
    <xf numFmtId="0" fontId="5" fillId="6" borderId="8" xfId="0" applyFont="1" applyFill="1" applyBorder="1" applyAlignment="1" applyProtection="1">
      <alignment horizontal="left" vertical="center"/>
      <protection locked="0"/>
    </xf>
    <xf numFmtId="0" fontId="5" fillId="5" borderId="8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vertical="center"/>
    </xf>
    <xf numFmtId="0" fontId="6" fillId="6" borderId="5" xfId="0" applyFont="1" applyFill="1" applyBorder="1" applyAlignment="1" applyProtection="1">
      <alignment horizontal="left"/>
      <protection locked="0"/>
    </xf>
    <xf numFmtId="0" fontId="18" fillId="13" borderId="9" xfId="0" applyFont="1" applyFill="1" applyBorder="1"/>
    <xf numFmtId="0" fontId="19" fillId="13" borderId="9" xfId="0" applyFont="1" applyFill="1" applyBorder="1"/>
    <xf numFmtId="0" fontId="19" fillId="13" borderId="9" xfId="0" applyFont="1" applyFill="1" applyBorder="1" applyAlignment="1">
      <alignment wrapText="1"/>
    </xf>
    <xf numFmtId="0" fontId="0" fillId="10" borderId="3" xfId="0" applyFill="1" applyBorder="1"/>
    <xf numFmtId="0" fontId="4" fillId="0" borderId="3" xfId="0" applyFont="1" applyBorder="1" applyAlignment="1">
      <alignment vertical="center"/>
    </xf>
    <xf numFmtId="0" fontId="4" fillId="0" borderId="8" xfId="0" applyFont="1" applyBorder="1" applyAlignment="1">
      <alignment horizontal="left" vertical="top" wrapText="1"/>
    </xf>
    <xf numFmtId="43" fontId="6" fillId="0" borderId="8" xfId="1" applyFont="1" applyFill="1" applyBorder="1" applyAlignment="1" applyProtection="1">
      <alignment horizontal="left" vertical="center"/>
      <protection locked="0"/>
    </xf>
    <xf numFmtId="0" fontId="5" fillId="3" borderId="8" xfId="0" applyFont="1" applyFill="1" applyBorder="1" applyAlignment="1">
      <alignment vertical="center"/>
    </xf>
    <xf numFmtId="43" fontId="6" fillId="6" borderId="8" xfId="1" applyFont="1" applyFill="1" applyBorder="1" applyAlignment="1" applyProtection="1">
      <alignment horizontal="center"/>
      <protection locked="0"/>
    </xf>
    <xf numFmtId="43" fontId="6" fillId="6" borderId="8" xfId="1" applyFont="1" applyFill="1" applyBorder="1" applyAlignment="1" applyProtection="1">
      <alignment horizontal="center" vertical="center"/>
      <protection locked="0"/>
    </xf>
    <xf numFmtId="0" fontId="5" fillId="4" borderId="8" xfId="0" applyFont="1" applyFill="1" applyBorder="1" applyAlignment="1">
      <alignment horizontal="left" vertical="center"/>
    </xf>
    <xf numFmtId="0" fontId="6" fillId="6" borderId="5" xfId="0" applyFont="1" applyFill="1" applyBorder="1" applyAlignment="1" applyProtection="1">
      <alignment vertical="center"/>
      <protection locked="0"/>
    </xf>
    <xf numFmtId="0" fontId="5" fillId="5" borderId="8" xfId="0" applyFont="1" applyFill="1" applyBorder="1" applyAlignment="1">
      <alignment vertical="center"/>
    </xf>
    <xf numFmtId="43" fontId="6" fillId="2" borderId="8" xfId="1" applyFont="1" applyFill="1" applyBorder="1" applyAlignment="1" applyProtection="1">
      <alignment horizontal="center" vertical="center"/>
      <protection locked="0"/>
    </xf>
    <xf numFmtId="43" fontId="6" fillId="0" borderId="8" xfId="1" applyFont="1" applyFill="1" applyBorder="1" applyAlignment="1" applyProtection="1">
      <alignment horizontal="center" vertical="center"/>
      <protection locked="0"/>
    </xf>
    <xf numFmtId="0" fontId="17" fillId="11" borderId="8" xfId="0" applyFont="1" applyFill="1" applyBorder="1" applyAlignment="1">
      <alignment horizontal="center" vertical="center"/>
    </xf>
    <xf numFmtId="0" fontId="12" fillId="6" borderId="8" xfId="0" applyFont="1" applyFill="1" applyBorder="1" applyAlignment="1" applyProtection="1">
      <alignment vertical="center"/>
      <protection locked="0"/>
    </xf>
    <xf numFmtId="0" fontId="5" fillId="5" borderId="8" xfId="0" applyFont="1" applyFill="1" applyBorder="1" applyAlignment="1">
      <alignment horizontal="left"/>
    </xf>
    <xf numFmtId="43" fontId="6" fillId="6" borderId="3" xfId="1" applyFont="1" applyFill="1" applyBorder="1" applyAlignment="1" applyProtection="1">
      <alignment horizontal="center" vertical="center"/>
      <protection locked="0"/>
    </xf>
    <xf numFmtId="9" fontId="6" fillId="6" borderId="4" xfId="1" applyNumberFormat="1" applyFont="1" applyFill="1" applyBorder="1" applyAlignment="1" applyProtection="1">
      <alignment horizontal="center" vertical="center"/>
      <protection locked="0"/>
    </xf>
    <xf numFmtId="43" fontId="6" fillId="6" borderId="6" xfId="1" applyFont="1" applyFill="1" applyBorder="1" applyAlignment="1" applyProtection="1">
      <alignment horizontal="center" vertical="center"/>
      <protection locked="0"/>
    </xf>
    <xf numFmtId="43" fontId="6" fillId="6" borderId="7" xfId="1" applyFont="1" applyFill="1" applyBorder="1" applyAlignment="1" applyProtection="1">
      <alignment horizontal="center" vertical="center"/>
      <protection locked="0"/>
    </xf>
    <xf numFmtId="9" fontId="6" fillId="0" borderId="4" xfId="1" applyNumberFormat="1" applyFont="1" applyFill="1" applyBorder="1" applyAlignment="1" applyProtection="1">
      <alignment horizontal="center" vertical="center"/>
    </xf>
    <xf numFmtId="43" fontId="6" fillId="0" borderId="6" xfId="1" applyFont="1" applyFill="1" applyBorder="1" applyAlignment="1" applyProtection="1">
      <alignment horizontal="center" vertical="center"/>
    </xf>
    <xf numFmtId="43" fontId="6" fillId="0" borderId="7" xfId="1" applyFont="1" applyFill="1" applyBorder="1" applyAlignment="1" applyProtection="1">
      <alignment horizontal="center" vertical="center"/>
    </xf>
    <xf numFmtId="9" fontId="6" fillId="6" borderId="2" xfId="1" applyNumberFormat="1" applyFont="1" applyFill="1" applyBorder="1" applyAlignment="1" applyProtection="1">
      <alignment horizontal="center" vertical="center"/>
      <protection locked="0"/>
    </xf>
    <xf numFmtId="43" fontId="6" fillId="6" borderId="2" xfId="1" applyFont="1" applyFill="1" applyBorder="1" applyAlignment="1" applyProtection="1">
      <alignment horizontal="center" vertical="center"/>
      <protection locked="0"/>
    </xf>
    <xf numFmtId="9" fontId="6" fillId="6" borderId="4" xfId="1" applyNumberFormat="1" applyFont="1" applyFill="1" applyBorder="1" applyAlignment="1">
      <alignment horizontal="center" vertical="center"/>
    </xf>
    <xf numFmtId="43" fontId="6" fillId="6" borderId="6" xfId="1" applyFont="1" applyFill="1" applyBorder="1" applyAlignment="1">
      <alignment horizontal="center" vertical="center"/>
    </xf>
    <xf numFmtId="43" fontId="6" fillId="6" borderId="7" xfId="1" applyFont="1" applyFill="1" applyBorder="1" applyAlignment="1">
      <alignment horizontal="center" vertical="center"/>
    </xf>
    <xf numFmtId="43" fontId="6" fillId="6" borderId="4" xfId="1" applyFont="1" applyFill="1" applyBorder="1" applyAlignment="1" applyProtection="1">
      <alignment horizontal="center" vertical="center"/>
      <protection locked="0"/>
    </xf>
    <xf numFmtId="43" fontId="6" fillId="6" borderId="4" xfId="1" applyFont="1" applyFill="1" applyBorder="1" applyAlignment="1" applyProtection="1">
      <alignment horizontal="center"/>
      <protection locked="0"/>
    </xf>
    <xf numFmtId="43" fontId="6" fillId="6" borderId="6" xfId="1" applyFont="1" applyFill="1" applyBorder="1" applyAlignment="1" applyProtection="1">
      <alignment horizontal="center"/>
      <protection locked="0"/>
    </xf>
    <xf numFmtId="43" fontId="6" fillId="6" borderId="7" xfId="1" applyFont="1" applyFill="1" applyBorder="1" applyAlignment="1" applyProtection="1">
      <alignment horizontal="center"/>
      <protection locked="0"/>
    </xf>
    <xf numFmtId="9" fontId="6" fillId="6" borderId="4" xfId="1" applyNumberFormat="1" applyFont="1" applyFill="1" applyBorder="1" applyAlignment="1" applyProtection="1">
      <alignment horizontal="center"/>
      <protection locked="0"/>
    </xf>
    <xf numFmtId="43" fontId="6" fillId="2" borderId="10" xfId="1" applyFont="1" applyFill="1" applyBorder="1" applyAlignment="1" applyProtection="1">
      <alignment horizontal="center" vertical="center"/>
      <protection locked="0"/>
    </xf>
    <xf numFmtId="0" fontId="11" fillId="5" borderId="8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6DC56921-D6EA-47A3-B1C3-91544455CC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8AE9-632C-4AB5-AF12-5297FE889294}">
  <sheetPr>
    <pageSetUpPr fitToPage="1"/>
  </sheetPr>
  <dimension ref="A1:J141"/>
  <sheetViews>
    <sheetView topLeftCell="A113" zoomScaleNormal="100" workbookViewId="0">
      <selection activeCell="A125" sqref="A125:G128"/>
    </sheetView>
  </sheetViews>
  <sheetFormatPr defaultRowHeight="14.4"/>
  <cols>
    <col min="1" max="1" width="46" customWidth="1"/>
    <col min="2" max="4" width="10.6640625" style="60" customWidth="1"/>
    <col min="5" max="5" width="67.5546875" customWidth="1"/>
    <col min="6" max="6" width="18.33203125" style="84" customWidth="1"/>
    <col min="7" max="9" width="18.33203125" customWidth="1"/>
  </cols>
  <sheetData>
    <row r="1" spans="1:10" ht="17.399999999999999">
      <c r="A1" s="1" t="s">
        <v>0</v>
      </c>
      <c r="B1" s="2"/>
      <c r="C1" s="2"/>
      <c r="D1" s="2"/>
      <c r="E1" s="3"/>
    </row>
    <row r="2" spans="1:10">
      <c r="A2" s="4" t="s">
        <v>1</v>
      </c>
      <c r="B2" s="58" t="s">
        <v>2</v>
      </c>
      <c r="C2" s="58" t="s">
        <v>3</v>
      </c>
      <c r="D2" s="58" t="s">
        <v>4</v>
      </c>
      <c r="E2" s="4" t="s">
        <v>5</v>
      </c>
      <c r="G2" s="79">
        <v>0.05</v>
      </c>
    </row>
    <row r="3" spans="1:10" ht="28.8">
      <c r="A3" s="5" t="s">
        <v>6</v>
      </c>
      <c r="B3" s="59"/>
      <c r="C3" s="59"/>
      <c r="D3" s="59"/>
      <c r="E3" s="108"/>
      <c r="F3" s="116" t="s">
        <v>7</v>
      </c>
      <c r="G3" s="117" t="s">
        <v>8</v>
      </c>
      <c r="H3" s="118" t="s">
        <v>9</v>
      </c>
      <c r="I3" s="117" t="s">
        <v>10</v>
      </c>
      <c r="J3" s="88" t="s">
        <v>11</v>
      </c>
    </row>
    <row r="4" spans="1:10">
      <c r="A4" s="6" t="s">
        <v>12</v>
      </c>
      <c r="B4" s="56">
        <v>1</v>
      </c>
      <c r="C4" s="7" t="s">
        <v>13</v>
      </c>
      <c r="D4" s="150">
        <v>1</v>
      </c>
      <c r="E4" s="109" t="s">
        <v>14</v>
      </c>
      <c r="F4" s="98"/>
      <c r="G4" s="99"/>
      <c r="H4" s="99"/>
      <c r="I4" s="99"/>
    </row>
    <row r="5" spans="1:10">
      <c r="A5" s="8" t="s">
        <v>15</v>
      </c>
      <c r="B5" s="56">
        <v>3</v>
      </c>
      <c r="C5" s="7" t="s">
        <v>13</v>
      </c>
      <c r="D5" s="151"/>
      <c r="E5" s="109"/>
      <c r="F5" s="98"/>
      <c r="G5" s="99"/>
      <c r="H5" s="99"/>
      <c r="I5" s="99"/>
    </row>
    <row r="6" spans="1:10">
      <c r="A6" s="8" t="s">
        <v>16</v>
      </c>
      <c r="B6" s="56">
        <v>3</v>
      </c>
      <c r="C6" s="7" t="s">
        <v>13</v>
      </c>
      <c r="D6" s="151"/>
      <c r="E6" s="109"/>
      <c r="F6" s="98"/>
      <c r="G6" s="99"/>
      <c r="H6" s="99"/>
      <c r="I6" s="99"/>
    </row>
    <row r="7" spans="1:10">
      <c r="A7" s="8" t="s">
        <v>17</v>
      </c>
      <c r="B7" s="56">
        <v>1</v>
      </c>
      <c r="C7" s="7" t="s">
        <v>13</v>
      </c>
      <c r="D7" s="151"/>
      <c r="E7" s="109"/>
      <c r="F7" s="98"/>
      <c r="G7" s="99"/>
      <c r="H7" s="99"/>
      <c r="I7" s="99"/>
    </row>
    <row r="8" spans="1:10">
      <c r="A8" s="8" t="s">
        <v>18</v>
      </c>
      <c r="B8" s="56">
        <v>1</v>
      </c>
      <c r="C8" s="7" t="s">
        <v>13</v>
      </c>
      <c r="D8" s="151"/>
      <c r="E8" s="109"/>
      <c r="F8" s="98"/>
      <c r="G8" s="99"/>
      <c r="H8" s="99"/>
      <c r="I8" s="99"/>
    </row>
    <row r="9" spans="1:10">
      <c r="A9" s="8" t="s">
        <v>19</v>
      </c>
      <c r="B9" s="56">
        <v>1</v>
      </c>
      <c r="C9" s="7" t="s">
        <v>13</v>
      </c>
      <c r="D9" s="152"/>
      <c r="E9" s="109"/>
      <c r="F9" s="98"/>
      <c r="G9" s="99"/>
      <c r="H9" s="99"/>
      <c r="I9" s="99"/>
    </row>
    <row r="10" spans="1:10">
      <c r="A10" s="5" t="s">
        <v>20</v>
      </c>
      <c r="B10" s="59"/>
      <c r="C10" s="59"/>
      <c r="D10" s="59"/>
      <c r="E10" s="108"/>
      <c r="F10" s="98"/>
      <c r="G10" s="99"/>
      <c r="H10" s="99"/>
      <c r="I10" s="99"/>
    </row>
    <row r="11" spans="1:10">
      <c r="A11" s="11" t="s">
        <v>21</v>
      </c>
      <c r="B11" s="90">
        <v>250</v>
      </c>
      <c r="C11" s="12" t="s">
        <v>22</v>
      </c>
      <c r="D11" s="12" t="s">
        <v>23</v>
      </c>
      <c r="E11" s="110" t="s">
        <v>24</v>
      </c>
      <c r="F11" s="98">
        <v>1.4491000000000001</v>
      </c>
      <c r="G11" s="99">
        <f>F11*(1+$G$2)</f>
        <v>1.5215550000000002</v>
      </c>
      <c r="H11" s="99"/>
      <c r="I11" s="99"/>
    </row>
    <row r="12" spans="1:10">
      <c r="A12" s="80"/>
      <c r="B12" s="81"/>
      <c r="C12" s="82"/>
      <c r="D12" s="82"/>
      <c r="E12" s="111"/>
      <c r="F12" s="100"/>
      <c r="G12" s="101">
        <f>SUM(G11)</f>
        <v>1.5215550000000002</v>
      </c>
      <c r="H12" s="99"/>
      <c r="I12" s="99"/>
    </row>
    <row r="13" spans="1:10">
      <c r="A13" s="5" t="s">
        <v>25</v>
      </c>
      <c r="B13" s="59"/>
      <c r="C13" s="59"/>
      <c r="D13" s="59"/>
      <c r="E13" s="108"/>
      <c r="F13" s="98"/>
      <c r="G13" s="99">
        <f t="shared" ref="G13:G91" si="0">F13*(1+$G$2)</f>
        <v>0</v>
      </c>
      <c r="H13" s="99"/>
      <c r="I13" s="99"/>
    </row>
    <row r="14" spans="1:10">
      <c r="A14" s="11" t="s">
        <v>26</v>
      </c>
      <c r="B14" s="91">
        <v>100</v>
      </c>
      <c r="C14" s="12" t="s">
        <v>22</v>
      </c>
      <c r="D14" s="12" t="s">
        <v>23</v>
      </c>
      <c r="E14" s="110" t="s">
        <v>27</v>
      </c>
      <c r="F14" s="98">
        <v>0.23760000000000001</v>
      </c>
      <c r="G14" s="99">
        <f t="shared" si="0"/>
        <v>0.24948000000000001</v>
      </c>
      <c r="H14" s="99"/>
      <c r="I14" s="99"/>
    </row>
    <row r="15" spans="1:10">
      <c r="A15" s="80"/>
      <c r="B15" s="81"/>
      <c r="C15" s="82"/>
      <c r="D15" s="82"/>
      <c r="E15" s="111"/>
      <c r="F15" s="100"/>
      <c r="G15" s="101">
        <f>SUM(G13:G14)</f>
        <v>0.24948000000000001</v>
      </c>
      <c r="H15" s="99"/>
      <c r="I15" s="99"/>
    </row>
    <row r="16" spans="1:10">
      <c r="A16" s="5" t="s">
        <v>28</v>
      </c>
      <c r="B16" s="59"/>
      <c r="C16" s="59"/>
      <c r="D16" s="59"/>
      <c r="E16" s="108"/>
      <c r="F16" s="98"/>
      <c r="G16" s="99">
        <f t="shared" si="0"/>
        <v>0</v>
      </c>
      <c r="H16" s="99"/>
      <c r="I16" s="99"/>
    </row>
    <row r="17" spans="1:9">
      <c r="A17" s="89" t="s">
        <v>29</v>
      </c>
      <c r="B17" s="14">
        <v>14</v>
      </c>
      <c r="C17" s="12" t="s">
        <v>22</v>
      </c>
      <c r="D17" s="153">
        <v>1</v>
      </c>
      <c r="E17" s="112" t="s">
        <v>30</v>
      </c>
      <c r="F17" s="98">
        <v>7.46E-2</v>
      </c>
      <c r="G17" s="99">
        <f t="shared" si="0"/>
        <v>7.8329999999999997E-2</v>
      </c>
      <c r="H17" s="99"/>
      <c r="I17" s="99"/>
    </row>
    <row r="18" spans="1:9">
      <c r="A18" s="89" t="s">
        <v>31</v>
      </c>
      <c r="B18" s="14">
        <v>1</v>
      </c>
      <c r="C18" s="12" t="s">
        <v>22</v>
      </c>
      <c r="D18" s="154"/>
      <c r="E18" s="112"/>
      <c r="F18" s="98">
        <v>2.3E-3</v>
      </c>
      <c r="G18" s="99">
        <f t="shared" si="0"/>
        <v>2.415E-3</v>
      </c>
      <c r="H18" s="99"/>
      <c r="I18" s="99"/>
    </row>
    <row r="19" spans="1:9">
      <c r="A19" s="80"/>
      <c r="B19" s="81"/>
      <c r="C19" s="82"/>
      <c r="D19" s="82"/>
      <c r="E19" s="111"/>
      <c r="F19" s="100"/>
      <c r="G19" s="101">
        <f>SUM(G16:G18)</f>
        <v>8.0744999999999997E-2</v>
      </c>
      <c r="H19" s="99"/>
      <c r="I19" s="99"/>
    </row>
    <row r="20" spans="1:9">
      <c r="A20" s="5" t="s">
        <v>32</v>
      </c>
      <c r="B20" s="59"/>
      <c r="C20" s="59"/>
      <c r="D20" s="59"/>
      <c r="E20" s="108"/>
      <c r="F20" s="98"/>
      <c r="G20" s="99">
        <f t="shared" si="0"/>
        <v>0</v>
      </c>
      <c r="H20" s="99"/>
      <c r="I20" s="99"/>
    </row>
    <row r="21" spans="1:9">
      <c r="A21" s="11" t="s">
        <v>33</v>
      </c>
      <c r="B21" s="14">
        <v>15</v>
      </c>
      <c r="C21" s="12" t="s">
        <v>22</v>
      </c>
      <c r="D21" s="147">
        <v>0.6</v>
      </c>
      <c r="E21" s="113">
        <v>1.2</v>
      </c>
      <c r="F21" s="102">
        <v>0.26819999999999999</v>
      </c>
      <c r="G21" s="99">
        <f t="shared" si="0"/>
        <v>0.28161000000000003</v>
      </c>
      <c r="H21" s="103">
        <f>19.8/0.98/450*15</f>
        <v>0.67346938775510201</v>
      </c>
      <c r="I21" s="99"/>
    </row>
    <row r="22" spans="1:9">
      <c r="A22" s="11" t="s">
        <v>34</v>
      </c>
      <c r="B22" s="14">
        <v>10</v>
      </c>
      <c r="C22" s="12" t="s">
        <v>22</v>
      </c>
      <c r="D22" s="148"/>
      <c r="E22" s="110"/>
      <c r="F22" s="102">
        <v>0.33069999999999999</v>
      </c>
      <c r="G22" s="99">
        <f t="shared" si="0"/>
        <v>0.34723500000000002</v>
      </c>
      <c r="H22" s="99">
        <v>0.34723500000000002</v>
      </c>
      <c r="I22" s="99"/>
    </row>
    <row r="23" spans="1:9">
      <c r="A23" s="11" t="s">
        <v>35</v>
      </c>
      <c r="B23" s="14" t="s">
        <v>36</v>
      </c>
      <c r="C23" s="12" t="s">
        <v>22</v>
      </c>
      <c r="D23" s="148"/>
      <c r="E23" s="110"/>
      <c r="F23" s="102">
        <v>0.44969999999999999</v>
      </c>
      <c r="G23" s="99">
        <f t="shared" si="0"/>
        <v>0.47218500000000002</v>
      </c>
      <c r="H23" s="103">
        <f>18.15*1.02/450*12</f>
        <v>0.49367999999999995</v>
      </c>
      <c r="I23" s="99"/>
    </row>
    <row r="24" spans="1:9">
      <c r="A24" s="11" t="s">
        <v>37</v>
      </c>
      <c r="B24" s="14" t="s">
        <v>38</v>
      </c>
      <c r="C24" s="12" t="s">
        <v>22</v>
      </c>
      <c r="D24" s="148"/>
      <c r="E24" s="110"/>
      <c r="F24" s="102">
        <v>0.10730000000000001</v>
      </c>
      <c r="G24" s="99">
        <f t="shared" si="0"/>
        <v>0.11266500000000002</v>
      </c>
      <c r="H24" s="103">
        <f>64.9/0.98/0.75/128/2*16/450*12</f>
        <v>0.14716553287981859</v>
      </c>
      <c r="I24" s="99"/>
    </row>
    <row r="25" spans="1:9">
      <c r="A25" s="11" t="s">
        <v>39</v>
      </c>
      <c r="B25" s="14">
        <v>8</v>
      </c>
      <c r="C25" s="12" t="s">
        <v>22</v>
      </c>
      <c r="D25" s="148"/>
      <c r="E25" s="110"/>
      <c r="F25" s="104">
        <v>0.06</v>
      </c>
      <c r="G25" s="99">
        <f t="shared" si="0"/>
        <v>6.3E-2</v>
      </c>
      <c r="H25" s="99">
        <v>6.3E-2</v>
      </c>
      <c r="I25" s="99"/>
    </row>
    <row r="26" spans="1:9">
      <c r="A26" s="11" t="s">
        <v>40</v>
      </c>
      <c r="B26" s="14" t="s">
        <v>41</v>
      </c>
      <c r="C26" s="12" t="s">
        <v>22</v>
      </c>
      <c r="D26" s="148"/>
      <c r="E26" s="110"/>
      <c r="F26" s="104">
        <v>6.4600000000000005E-2</v>
      </c>
      <c r="G26" s="99">
        <f t="shared" si="0"/>
        <v>6.7830000000000001E-2</v>
      </c>
      <c r="H26" s="99">
        <v>6.7830000000000001E-2</v>
      </c>
      <c r="I26" s="99"/>
    </row>
    <row r="27" spans="1:9">
      <c r="A27" s="11" t="s">
        <v>42</v>
      </c>
      <c r="B27" s="14">
        <v>8</v>
      </c>
      <c r="C27" s="12" t="s">
        <v>22</v>
      </c>
      <c r="D27" s="149"/>
      <c r="E27" s="110"/>
      <c r="F27" s="98">
        <v>4.6399999999999997E-2</v>
      </c>
      <c r="G27" s="99">
        <f t="shared" si="0"/>
        <v>4.8719999999999999E-2</v>
      </c>
      <c r="H27" s="99">
        <v>4.8719999999999999E-2</v>
      </c>
      <c r="I27" s="99"/>
    </row>
    <row r="28" spans="1:9">
      <c r="A28" s="80"/>
      <c r="B28" s="81"/>
      <c r="C28" s="82"/>
      <c r="D28" s="82"/>
      <c r="E28" s="111"/>
      <c r="F28" s="100"/>
      <c r="G28" s="101">
        <f>SUM(G20:G27)</f>
        <v>1.3932450000000003</v>
      </c>
      <c r="H28" s="105">
        <f>SUM(H21:H27)</f>
        <v>1.8410999206349208</v>
      </c>
      <c r="I28" s="106">
        <f>H28-G28</f>
        <v>0.44785492063492049</v>
      </c>
    </row>
    <row r="29" spans="1:9">
      <c r="A29" s="5" t="s">
        <v>43</v>
      </c>
      <c r="B29" s="59"/>
      <c r="C29" s="59"/>
      <c r="D29" s="59"/>
      <c r="E29" s="108"/>
      <c r="F29" s="98"/>
      <c r="G29" s="99">
        <f t="shared" si="0"/>
        <v>0</v>
      </c>
      <c r="H29" s="99"/>
      <c r="I29" s="99"/>
    </row>
    <row r="30" spans="1:9">
      <c r="A30" s="11" t="s">
        <v>44</v>
      </c>
      <c r="B30" s="14">
        <v>40</v>
      </c>
      <c r="C30" s="12" t="s">
        <v>22</v>
      </c>
      <c r="D30" s="147">
        <v>0.6</v>
      </c>
      <c r="E30" s="113"/>
      <c r="F30" s="98">
        <f>16.66/450*40</f>
        <v>1.4808888888888889</v>
      </c>
      <c r="G30" s="99">
        <f t="shared" si="0"/>
        <v>1.5549333333333335</v>
      </c>
      <c r="H30" s="99">
        <v>1.5549333333333335</v>
      </c>
      <c r="I30" s="99"/>
    </row>
    <row r="31" spans="1:9">
      <c r="A31" s="11" t="s">
        <v>45</v>
      </c>
      <c r="B31" s="14">
        <v>10</v>
      </c>
      <c r="C31" s="12" t="s">
        <v>22</v>
      </c>
      <c r="D31" s="148"/>
      <c r="E31" s="110"/>
      <c r="F31" s="98">
        <v>4.19E-2</v>
      </c>
      <c r="G31" s="99">
        <f t="shared" si="0"/>
        <v>4.3994999999999999E-2</v>
      </c>
      <c r="H31" s="103">
        <f>96.8/0.98/0.85/128/5*16/450*10</f>
        <v>6.4559156996131781E-2</v>
      </c>
      <c r="I31" s="99"/>
    </row>
    <row r="32" spans="1:9">
      <c r="A32" s="11" t="s">
        <v>46</v>
      </c>
      <c r="B32" s="14">
        <v>30</v>
      </c>
      <c r="C32" s="12" t="s">
        <v>22</v>
      </c>
      <c r="D32" s="148"/>
      <c r="E32" s="110"/>
      <c r="F32" s="98">
        <v>4.53E-2</v>
      </c>
      <c r="G32" s="99">
        <f t="shared" si="0"/>
        <v>4.7565000000000003E-2</v>
      </c>
      <c r="H32" s="99">
        <v>4.7565000000000003E-2</v>
      </c>
      <c r="I32" s="99"/>
    </row>
    <row r="33" spans="1:10">
      <c r="A33" s="11" t="s">
        <v>21</v>
      </c>
      <c r="B33" s="14">
        <v>8</v>
      </c>
      <c r="C33" s="12" t="s">
        <v>22</v>
      </c>
      <c r="D33" s="149"/>
      <c r="E33" s="110"/>
      <c r="F33" s="98">
        <v>4.6399999999999997E-2</v>
      </c>
      <c r="G33" s="99">
        <f t="shared" si="0"/>
        <v>4.8719999999999999E-2</v>
      </c>
      <c r="H33" s="99">
        <v>4.8719999999999999E-2</v>
      </c>
      <c r="I33" s="99"/>
    </row>
    <row r="34" spans="1:10">
      <c r="A34" s="80"/>
      <c r="B34" s="81"/>
      <c r="C34" s="82"/>
      <c r="D34" s="82"/>
      <c r="E34" s="111"/>
      <c r="F34" s="100"/>
      <c r="G34" s="101">
        <f>SUM(G29:G33)</f>
        <v>1.6952133333333337</v>
      </c>
      <c r="H34" s="105">
        <f>SUM(H30:H33)</f>
        <v>1.7157774903294654</v>
      </c>
      <c r="I34" s="106">
        <f>H34-G34</f>
        <v>2.0564156996131677E-2</v>
      </c>
    </row>
    <row r="35" spans="1:10">
      <c r="A35" s="5" t="s">
        <v>47</v>
      </c>
      <c r="B35" s="59"/>
      <c r="C35" s="59"/>
      <c r="D35" s="59"/>
      <c r="E35" s="108" t="s">
        <v>48</v>
      </c>
      <c r="F35" s="98"/>
      <c r="G35" s="99">
        <f t="shared" si="0"/>
        <v>0</v>
      </c>
      <c r="H35" s="99"/>
      <c r="I35" s="99"/>
    </row>
    <row r="36" spans="1:10">
      <c r="A36" s="11" t="s">
        <v>49</v>
      </c>
      <c r="B36" s="91">
        <v>100</v>
      </c>
      <c r="C36" s="12" t="s">
        <v>22</v>
      </c>
      <c r="D36" s="75" t="s">
        <v>23</v>
      </c>
      <c r="E36" s="110" t="s">
        <v>50</v>
      </c>
      <c r="F36" s="98">
        <v>0.61729999999999996</v>
      </c>
      <c r="G36" s="99">
        <f t="shared" si="0"/>
        <v>0.64816499999999999</v>
      </c>
      <c r="H36" s="99"/>
      <c r="I36" s="99"/>
    </row>
    <row r="37" spans="1:10">
      <c r="A37" s="80"/>
      <c r="B37" s="81"/>
      <c r="C37" s="82"/>
      <c r="D37" s="82"/>
      <c r="E37" s="111"/>
      <c r="F37" s="100"/>
      <c r="G37" s="101">
        <f>SUM(G35:G36)</f>
        <v>0.64816499999999999</v>
      </c>
      <c r="H37" s="99"/>
      <c r="I37" s="99"/>
    </row>
    <row r="38" spans="1:10">
      <c r="A38" s="5" t="s">
        <v>51</v>
      </c>
      <c r="B38" s="59"/>
      <c r="C38" s="59"/>
      <c r="D38" s="59"/>
      <c r="E38" s="108"/>
      <c r="F38" s="98"/>
      <c r="G38" s="99">
        <f t="shared" si="0"/>
        <v>0</v>
      </c>
      <c r="H38" s="99"/>
      <c r="I38" s="99"/>
    </row>
    <row r="39" spans="1:10">
      <c r="A39" s="11" t="s">
        <v>52</v>
      </c>
      <c r="B39" s="14">
        <v>90</v>
      </c>
      <c r="C39" s="12" t="s">
        <v>22</v>
      </c>
      <c r="D39" s="147">
        <v>0.4</v>
      </c>
      <c r="E39" s="110"/>
      <c r="F39" s="98">
        <f>80.76/12</f>
        <v>6.73</v>
      </c>
      <c r="G39" s="99">
        <f t="shared" si="0"/>
        <v>7.0665000000000004</v>
      </c>
      <c r="H39" s="103">
        <f>72.15/14</f>
        <v>5.1535714285714294</v>
      </c>
      <c r="I39" s="99"/>
    </row>
    <row r="40" spans="1:10">
      <c r="A40" s="11" t="s">
        <v>53</v>
      </c>
      <c r="B40" s="14">
        <v>15</v>
      </c>
      <c r="C40" s="12" t="s">
        <v>22</v>
      </c>
      <c r="D40" s="148"/>
      <c r="E40" s="110"/>
      <c r="F40" s="98"/>
      <c r="G40" s="99">
        <f t="shared" si="0"/>
        <v>0</v>
      </c>
      <c r="H40" s="99">
        <v>0</v>
      </c>
      <c r="I40" s="99"/>
    </row>
    <row r="41" spans="1:10">
      <c r="A41" s="11" t="s">
        <v>54</v>
      </c>
      <c r="B41" s="14">
        <v>30</v>
      </c>
      <c r="C41" s="12" t="s">
        <v>22</v>
      </c>
      <c r="D41" s="148"/>
      <c r="E41" s="110"/>
      <c r="F41" s="98">
        <v>0.26469999999999999</v>
      </c>
      <c r="G41" s="99">
        <f t="shared" si="0"/>
        <v>0.27793499999999999</v>
      </c>
      <c r="H41" s="103">
        <f>79.2/0.98/2/128*16/450*30</f>
        <v>0.33673469387755101</v>
      </c>
      <c r="I41" s="99"/>
    </row>
    <row r="42" spans="1:10">
      <c r="A42" s="11" t="s">
        <v>55</v>
      </c>
      <c r="B42" s="14">
        <v>60</v>
      </c>
      <c r="C42" s="12" t="s">
        <v>22</v>
      </c>
      <c r="D42" s="148"/>
      <c r="E42" s="110"/>
      <c r="F42" s="98">
        <v>0.41930000000000001</v>
      </c>
      <c r="G42" s="99">
        <f>F42*(1+$G$2)</f>
        <v>0.44026500000000002</v>
      </c>
      <c r="H42" s="99">
        <v>0.44026500000000002</v>
      </c>
      <c r="I42" s="99"/>
    </row>
    <row r="43" spans="1:10">
      <c r="A43" s="11" t="s">
        <v>56</v>
      </c>
      <c r="B43" s="14">
        <v>40</v>
      </c>
      <c r="C43" s="12" t="s">
        <v>22</v>
      </c>
      <c r="D43" s="149"/>
      <c r="E43" s="110"/>
      <c r="F43" s="98">
        <v>0.40689999999999998</v>
      </c>
      <c r="G43" s="99">
        <f t="shared" si="0"/>
        <v>0.42724499999999999</v>
      </c>
      <c r="H43" s="99">
        <v>0.42724499999999999</v>
      </c>
      <c r="I43" s="99"/>
    </row>
    <row r="44" spans="1:10">
      <c r="A44" s="80"/>
      <c r="B44" s="81"/>
      <c r="C44" s="82"/>
      <c r="D44" s="82"/>
      <c r="E44" s="111"/>
      <c r="F44" s="100"/>
      <c r="G44" s="101">
        <f>SUM(G38:G43)</f>
        <v>8.2119450000000001</v>
      </c>
      <c r="H44" s="105">
        <f>SUM(H39:H43)</f>
        <v>6.3578161224489804</v>
      </c>
      <c r="I44" s="106">
        <f>H44-G44</f>
        <v>-1.8541288775510196</v>
      </c>
    </row>
    <row r="45" spans="1:10">
      <c r="A45" s="5" t="s">
        <v>57</v>
      </c>
      <c r="B45" s="59"/>
      <c r="C45" s="59"/>
      <c r="D45" s="59"/>
      <c r="E45" s="108"/>
      <c r="F45" s="98"/>
      <c r="G45" s="99">
        <f t="shared" si="0"/>
        <v>0</v>
      </c>
      <c r="H45" s="99"/>
      <c r="I45" s="99"/>
    </row>
    <row r="46" spans="1:10">
      <c r="A46" s="11" t="s">
        <v>58</v>
      </c>
      <c r="B46" s="14">
        <v>90</v>
      </c>
      <c r="C46" s="12" t="s">
        <v>22</v>
      </c>
      <c r="D46" s="147">
        <v>0.4</v>
      </c>
      <c r="E46" s="110" t="s">
        <v>59</v>
      </c>
      <c r="F46" s="98">
        <f>2.6796*1.1</f>
        <v>2.9475600000000006</v>
      </c>
      <c r="G46" s="99">
        <f t="shared" si="0"/>
        <v>3.0949380000000009</v>
      </c>
      <c r="H46" s="99"/>
      <c r="I46" s="99"/>
    </row>
    <row r="47" spans="1:10">
      <c r="A47" s="11" t="s">
        <v>60</v>
      </c>
      <c r="B47" s="14">
        <v>30</v>
      </c>
      <c r="C47" s="12" t="s">
        <v>22</v>
      </c>
      <c r="D47" s="148"/>
      <c r="E47" s="110"/>
      <c r="F47" s="107">
        <f>7.44/450*30</f>
        <v>0.496</v>
      </c>
      <c r="G47" s="99">
        <f t="shared" si="0"/>
        <v>0.52080000000000004</v>
      </c>
      <c r="H47" s="99"/>
      <c r="I47" s="99"/>
    </row>
    <row r="48" spans="1:10">
      <c r="A48" s="11" t="s">
        <v>61</v>
      </c>
      <c r="B48" s="14">
        <v>15</v>
      </c>
      <c r="C48" s="12" t="s">
        <v>22</v>
      </c>
      <c r="D48" s="148"/>
      <c r="E48" s="110"/>
      <c r="F48" s="98">
        <v>0</v>
      </c>
      <c r="G48" s="99">
        <f t="shared" si="0"/>
        <v>0</v>
      </c>
      <c r="H48" s="99"/>
      <c r="I48" s="99"/>
      <c r="J48" t="s">
        <v>62</v>
      </c>
    </row>
    <row r="49" spans="1:10">
      <c r="A49" s="11" t="s">
        <v>63</v>
      </c>
      <c r="B49" s="14">
        <v>60</v>
      </c>
      <c r="C49" s="12" t="s">
        <v>22</v>
      </c>
      <c r="D49" s="148"/>
      <c r="E49" s="110"/>
      <c r="F49" s="98">
        <v>0.15690000000000001</v>
      </c>
      <c r="G49" s="99">
        <f t="shared" si="0"/>
        <v>0.16474500000000003</v>
      </c>
      <c r="H49" s="99"/>
      <c r="I49" s="99"/>
      <c r="J49" t="s">
        <v>64</v>
      </c>
    </row>
    <row r="50" spans="1:10">
      <c r="A50" s="11" t="s">
        <v>65</v>
      </c>
      <c r="B50" s="34" t="s">
        <v>66</v>
      </c>
      <c r="C50" s="35" t="s">
        <v>22</v>
      </c>
      <c r="D50" s="149"/>
      <c r="E50" s="110"/>
      <c r="F50" s="98">
        <f>2.19/450*60</f>
        <v>0.29199999999999998</v>
      </c>
      <c r="G50" s="99">
        <f t="shared" si="0"/>
        <v>0.30659999999999998</v>
      </c>
      <c r="H50" s="99"/>
      <c r="I50" s="99"/>
      <c r="J50" t="s">
        <v>67</v>
      </c>
    </row>
    <row r="51" spans="1:10">
      <c r="A51" s="80"/>
      <c r="B51" s="81"/>
      <c r="C51" s="82"/>
      <c r="D51" s="82"/>
      <c r="E51" s="111"/>
      <c r="F51" s="100"/>
      <c r="G51" s="101">
        <f>SUM(G45:G50)</f>
        <v>4.0870830000000007</v>
      </c>
      <c r="H51" s="99"/>
      <c r="I51" s="99"/>
    </row>
    <row r="52" spans="1:10">
      <c r="A52" s="5" t="s">
        <v>68</v>
      </c>
      <c r="B52" s="59"/>
      <c r="C52" s="59"/>
      <c r="D52" s="59"/>
      <c r="E52" s="108"/>
      <c r="F52" s="98"/>
      <c r="G52" s="99">
        <f t="shared" si="0"/>
        <v>0</v>
      </c>
      <c r="H52" s="99"/>
      <c r="I52" s="99"/>
    </row>
    <row r="53" spans="1:10">
      <c r="A53" s="11" t="s">
        <v>69</v>
      </c>
      <c r="B53" s="14" t="s">
        <v>70</v>
      </c>
      <c r="C53" s="12" t="s">
        <v>22</v>
      </c>
      <c r="D53" s="147">
        <v>0.4</v>
      </c>
      <c r="E53" s="110" t="s">
        <v>71</v>
      </c>
      <c r="F53" s="107">
        <f>0.75*4</f>
        <v>3</v>
      </c>
      <c r="G53" s="99">
        <f t="shared" si="0"/>
        <v>3.1500000000000004</v>
      </c>
      <c r="H53" s="99"/>
      <c r="I53" s="99"/>
      <c r="J53" t="s">
        <v>72</v>
      </c>
    </row>
    <row r="54" spans="1:10">
      <c r="A54" s="11" t="s">
        <v>73</v>
      </c>
      <c r="B54" s="14">
        <v>75</v>
      </c>
      <c r="C54" s="12" t="s">
        <v>22</v>
      </c>
      <c r="D54" s="148"/>
      <c r="E54" s="110"/>
      <c r="F54" s="98">
        <f>1.56/450*75</f>
        <v>0.26</v>
      </c>
      <c r="G54" s="99">
        <f t="shared" si="0"/>
        <v>0.27300000000000002</v>
      </c>
      <c r="H54" s="99"/>
      <c r="I54" s="99"/>
      <c r="J54" t="s">
        <v>74</v>
      </c>
    </row>
    <row r="55" spans="1:10">
      <c r="A55" s="11" t="s">
        <v>75</v>
      </c>
      <c r="B55" s="14" t="s">
        <v>76</v>
      </c>
      <c r="C55" s="12" t="s">
        <v>22</v>
      </c>
      <c r="D55" s="148"/>
      <c r="E55" s="110"/>
      <c r="F55" s="98">
        <v>0.34289999999999998</v>
      </c>
      <c r="G55" s="99">
        <f t="shared" si="0"/>
        <v>0.360045</v>
      </c>
      <c r="H55" s="99"/>
      <c r="I55" s="99"/>
    </row>
    <row r="56" spans="1:10">
      <c r="A56" s="11" t="s">
        <v>77</v>
      </c>
      <c r="B56" s="14">
        <v>5</v>
      </c>
      <c r="C56" s="12" t="s">
        <v>22</v>
      </c>
      <c r="D56" s="148"/>
      <c r="E56" s="110"/>
      <c r="F56" s="98">
        <v>4.6300000000000001E-2</v>
      </c>
      <c r="G56" s="99">
        <f t="shared" si="0"/>
        <v>4.8615000000000005E-2</v>
      </c>
      <c r="H56" s="99"/>
      <c r="I56" s="99"/>
    </row>
    <row r="57" spans="1:10">
      <c r="A57" s="11" t="s">
        <v>78</v>
      </c>
      <c r="B57" s="14">
        <v>40</v>
      </c>
      <c r="C57" s="12" t="s">
        <v>22</v>
      </c>
      <c r="D57" s="149"/>
      <c r="E57" s="110"/>
      <c r="F57" s="98">
        <v>0.108</v>
      </c>
      <c r="G57" s="99">
        <f t="shared" si="0"/>
        <v>0.1134</v>
      </c>
      <c r="H57" s="99"/>
      <c r="I57" s="99"/>
    </row>
    <row r="58" spans="1:10">
      <c r="A58" s="80"/>
      <c r="B58" s="81"/>
      <c r="C58" s="82"/>
      <c r="D58" s="82"/>
      <c r="E58" s="111"/>
      <c r="F58" s="100"/>
      <c r="G58" s="101">
        <f>SUM(G52:G57)</f>
        <v>3.9450600000000002</v>
      </c>
      <c r="H58" s="99"/>
      <c r="I58" s="99"/>
    </row>
    <row r="59" spans="1:10">
      <c r="A59" s="5" t="s">
        <v>79</v>
      </c>
      <c r="B59" s="59"/>
      <c r="C59" s="59"/>
      <c r="D59" s="59"/>
      <c r="E59" s="108"/>
      <c r="F59" s="98"/>
      <c r="G59" s="99">
        <f t="shared" si="0"/>
        <v>0</v>
      </c>
      <c r="H59" s="99"/>
      <c r="I59" s="99"/>
    </row>
    <row r="60" spans="1:10">
      <c r="A60" s="11" t="s">
        <v>80</v>
      </c>
      <c r="B60" s="14">
        <v>90</v>
      </c>
      <c r="C60" s="12" t="s">
        <v>22</v>
      </c>
      <c r="D60" s="158" t="s">
        <v>81</v>
      </c>
      <c r="E60" s="110"/>
      <c r="F60" s="107">
        <f>122.09/12</f>
        <v>10.174166666666666</v>
      </c>
      <c r="G60" s="99">
        <f t="shared" si="0"/>
        <v>10.682875000000001</v>
      </c>
      <c r="H60" s="99"/>
      <c r="I60" s="99"/>
      <c r="J60" t="s">
        <v>82</v>
      </c>
    </row>
    <row r="61" spans="1:10">
      <c r="A61" s="11" t="s">
        <v>63</v>
      </c>
      <c r="B61" s="14">
        <v>60</v>
      </c>
      <c r="C61" s="12" t="s">
        <v>22</v>
      </c>
      <c r="D61" s="148"/>
      <c r="E61" s="110"/>
      <c r="F61" s="98">
        <v>0.15690000000000001</v>
      </c>
      <c r="G61" s="99">
        <f t="shared" si="0"/>
        <v>0.16474500000000003</v>
      </c>
      <c r="H61" s="99"/>
      <c r="I61" s="99"/>
      <c r="J61" t="s">
        <v>64</v>
      </c>
    </row>
    <row r="62" spans="1:10">
      <c r="A62" s="11" t="s">
        <v>83</v>
      </c>
      <c r="B62" s="14">
        <v>60</v>
      </c>
      <c r="C62" s="12" t="s">
        <v>22</v>
      </c>
      <c r="D62" s="148"/>
      <c r="E62" s="110"/>
      <c r="F62" s="98">
        <v>0.61029999999999995</v>
      </c>
      <c r="G62" s="99">
        <f t="shared" si="0"/>
        <v>0.64081500000000002</v>
      </c>
      <c r="H62" s="99"/>
      <c r="I62" s="99"/>
    </row>
    <row r="63" spans="1:10">
      <c r="A63" s="11" t="s">
        <v>84</v>
      </c>
      <c r="B63" s="14">
        <v>30</v>
      </c>
      <c r="C63" s="12" t="s">
        <v>22</v>
      </c>
      <c r="D63" s="149"/>
      <c r="E63" s="110"/>
      <c r="F63" s="98">
        <v>0.27129999999999999</v>
      </c>
      <c r="G63" s="99">
        <f t="shared" si="0"/>
        <v>0.28486499999999998</v>
      </c>
      <c r="H63" s="99"/>
      <c r="I63" s="99"/>
    </row>
    <row r="64" spans="1:10">
      <c r="A64" s="80"/>
      <c r="B64" s="81"/>
      <c r="C64" s="82"/>
      <c r="D64" s="82"/>
      <c r="E64" s="111"/>
      <c r="F64" s="100"/>
      <c r="G64" s="101">
        <f>SUM(G59:G63)</f>
        <v>11.773300000000001</v>
      </c>
      <c r="H64" s="99"/>
      <c r="I64" s="99"/>
    </row>
    <row r="65" spans="1:9">
      <c r="A65" s="5" t="s">
        <v>85</v>
      </c>
      <c r="B65" s="59"/>
      <c r="C65" s="59"/>
      <c r="D65" s="59"/>
      <c r="E65" s="108"/>
      <c r="F65" s="98"/>
      <c r="G65" s="99">
        <f t="shared" si="0"/>
        <v>0</v>
      </c>
      <c r="H65" s="99"/>
      <c r="I65" s="99"/>
    </row>
    <row r="66" spans="1:9">
      <c r="A66" s="11" t="s">
        <v>86</v>
      </c>
      <c r="B66" s="91">
        <v>90</v>
      </c>
      <c r="C66" s="12" t="s">
        <v>22</v>
      </c>
      <c r="D66" s="12" t="s">
        <v>87</v>
      </c>
      <c r="E66" s="110" t="s">
        <v>88</v>
      </c>
      <c r="F66" s="98">
        <v>7.7580999999999998</v>
      </c>
      <c r="G66" s="99">
        <f t="shared" si="0"/>
        <v>8.1460050000000006</v>
      </c>
      <c r="H66" s="99"/>
      <c r="I66" s="99"/>
    </row>
    <row r="67" spans="1:9">
      <c r="A67" s="80"/>
      <c r="B67" s="81"/>
      <c r="C67" s="82"/>
      <c r="D67" s="82"/>
      <c r="E67" s="111"/>
      <c r="F67" s="100"/>
      <c r="G67" s="101">
        <f>SUM(G65:G66)</f>
        <v>8.1460050000000006</v>
      </c>
      <c r="H67" s="99"/>
      <c r="I67" s="99"/>
    </row>
    <row r="68" spans="1:9">
      <c r="A68" s="5" t="s">
        <v>89</v>
      </c>
      <c r="B68" s="59"/>
      <c r="C68" s="59"/>
      <c r="D68" s="59"/>
      <c r="E68" s="108"/>
      <c r="F68" s="98"/>
      <c r="G68" s="99">
        <f t="shared" si="0"/>
        <v>0</v>
      </c>
      <c r="H68" s="99"/>
      <c r="I68" s="99"/>
    </row>
    <row r="69" spans="1:9">
      <c r="A69" s="11" t="s">
        <v>90</v>
      </c>
      <c r="B69" s="14">
        <v>20</v>
      </c>
      <c r="C69" s="12" t="s">
        <v>22</v>
      </c>
      <c r="D69" s="158" t="s">
        <v>23</v>
      </c>
      <c r="E69" s="110" t="s">
        <v>91</v>
      </c>
      <c r="F69" s="98">
        <v>1.4815</v>
      </c>
      <c r="G69" s="99">
        <f t="shared" si="0"/>
        <v>1.5555750000000002</v>
      </c>
      <c r="H69" s="99"/>
      <c r="I69" s="99"/>
    </row>
    <row r="70" spans="1:9">
      <c r="A70" s="11" t="s">
        <v>92</v>
      </c>
      <c r="B70" s="14">
        <v>20</v>
      </c>
      <c r="C70" s="12" t="s">
        <v>22</v>
      </c>
      <c r="D70" s="149"/>
      <c r="E70" s="110"/>
      <c r="F70" s="98">
        <f>0.2975+0.5</f>
        <v>0.79749999999999999</v>
      </c>
      <c r="G70" s="99">
        <f t="shared" si="0"/>
        <v>0.83737499999999998</v>
      </c>
      <c r="H70" s="99"/>
      <c r="I70" s="99"/>
    </row>
    <row r="71" spans="1:9">
      <c r="A71" s="80"/>
      <c r="B71" s="81"/>
      <c r="C71" s="82"/>
      <c r="D71" s="82"/>
      <c r="E71" s="111"/>
      <c r="F71" s="100"/>
      <c r="G71" s="101">
        <f>SUM(G68:G70)</f>
        <v>2.3929499999999999</v>
      </c>
      <c r="H71" s="99"/>
      <c r="I71" s="99"/>
    </row>
    <row r="72" spans="1:9">
      <c r="A72" s="5" t="s">
        <v>93</v>
      </c>
      <c r="B72" s="59"/>
      <c r="C72" s="59"/>
      <c r="D72" s="76"/>
      <c r="E72" s="108"/>
      <c r="F72" s="98"/>
      <c r="G72" s="99">
        <f t="shared" si="0"/>
        <v>0</v>
      </c>
      <c r="H72" s="99"/>
      <c r="I72" s="99"/>
    </row>
    <row r="73" spans="1:9">
      <c r="A73" s="11" t="s">
        <v>94</v>
      </c>
      <c r="B73" s="14">
        <v>45</v>
      </c>
      <c r="C73" s="12" t="s">
        <v>22</v>
      </c>
      <c r="D73" s="158" t="s">
        <v>95</v>
      </c>
      <c r="E73" s="110" t="s">
        <v>96</v>
      </c>
      <c r="F73" s="98">
        <v>0.64300000000000002</v>
      </c>
      <c r="G73" s="99">
        <f t="shared" si="0"/>
        <v>0.67515000000000003</v>
      </c>
      <c r="H73" s="99"/>
      <c r="I73" s="99"/>
    </row>
    <row r="74" spans="1:9">
      <c r="A74" s="11" t="s">
        <v>97</v>
      </c>
      <c r="B74" s="14">
        <v>3</v>
      </c>
      <c r="C74" s="12" t="s">
        <v>22</v>
      </c>
      <c r="D74" s="148"/>
      <c r="E74" s="110" t="s">
        <v>98</v>
      </c>
      <c r="F74" s="98">
        <v>7.9000000000000008E-3</v>
      </c>
      <c r="G74" s="99">
        <f t="shared" si="0"/>
        <v>8.295000000000002E-3</v>
      </c>
      <c r="H74" s="99"/>
      <c r="I74" s="99"/>
    </row>
    <row r="75" spans="1:9">
      <c r="A75" s="11" t="s">
        <v>99</v>
      </c>
      <c r="B75" s="14" t="s">
        <v>100</v>
      </c>
      <c r="C75" s="12" t="s">
        <v>22</v>
      </c>
      <c r="D75" s="149"/>
      <c r="E75" s="110"/>
      <c r="F75" s="98">
        <v>7.1999999999999995E-2</v>
      </c>
      <c r="G75" s="99">
        <f t="shared" si="0"/>
        <v>7.5600000000000001E-2</v>
      </c>
      <c r="H75" s="99"/>
      <c r="I75" s="99"/>
    </row>
    <row r="76" spans="1:9">
      <c r="A76" s="80"/>
      <c r="B76" s="81"/>
      <c r="C76" s="82"/>
      <c r="D76" s="82"/>
      <c r="E76" s="111"/>
      <c r="F76" s="100"/>
      <c r="G76" s="101">
        <f>SUM(G72:G75)</f>
        <v>0.75904500000000008</v>
      </c>
      <c r="H76" s="99"/>
      <c r="I76" s="99"/>
    </row>
    <row r="77" spans="1:9">
      <c r="A77" s="5" t="s">
        <v>101</v>
      </c>
      <c r="B77" s="59"/>
      <c r="C77" s="59"/>
      <c r="D77" s="76"/>
      <c r="E77" s="108"/>
      <c r="F77" s="98"/>
      <c r="G77" s="99">
        <f t="shared" si="0"/>
        <v>0</v>
      </c>
      <c r="H77" s="99"/>
      <c r="I77" s="99"/>
    </row>
    <row r="78" spans="1:9">
      <c r="A78" s="11" t="s">
        <v>102</v>
      </c>
      <c r="B78" s="91">
        <v>200</v>
      </c>
      <c r="C78" s="12" t="s">
        <v>22</v>
      </c>
      <c r="D78" s="35" t="s">
        <v>87</v>
      </c>
      <c r="E78" s="110" t="s">
        <v>103</v>
      </c>
      <c r="F78" s="98">
        <v>4.4371</v>
      </c>
      <c r="G78" s="99">
        <f t="shared" si="0"/>
        <v>4.6589550000000006</v>
      </c>
      <c r="H78" s="99"/>
      <c r="I78" s="99"/>
    </row>
    <row r="79" spans="1:9">
      <c r="A79" s="80"/>
      <c r="B79" s="81"/>
      <c r="C79" s="82"/>
      <c r="D79" s="82"/>
      <c r="E79" s="111"/>
      <c r="F79" s="100"/>
      <c r="G79" s="101">
        <f>SUM(G77:G78)</f>
        <v>4.6589550000000006</v>
      </c>
      <c r="H79" s="99"/>
      <c r="I79" s="99"/>
    </row>
    <row r="80" spans="1:9">
      <c r="A80" s="5" t="s">
        <v>104</v>
      </c>
      <c r="B80" s="59"/>
      <c r="C80" s="59"/>
      <c r="D80" s="76"/>
      <c r="E80" s="108"/>
      <c r="F80" s="98"/>
      <c r="G80" s="99">
        <f t="shared" si="0"/>
        <v>0</v>
      </c>
      <c r="H80" s="99"/>
      <c r="I80" s="99"/>
    </row>
    <row r="81" spans="1:10">
      <c r="A81" s="11" t="s">
        <v>105</v>
      </c>
      <c r="B81" s="91">
        <v>200</v>
      </c>
      <c r="C81" s="12" t="s">
        <v>22</v>
      </c>
      <c r="D81" s="158" t="s">
        <v>23</v>
      </c>
      <c r="E81" s="110" t="s">
        <v>106</v>
      </c>
      <c r="F81" s="98">
        <v>0.85029999999999994</v>
      </c>
      <c r="G81" s="99">
        <f t="shared" si="0"/>
        <v>0.89281500000000003</v>
      </c>
      <c r="H81" s="99"/>
      <c r="I81" s="99"/>
    </row>
    <row r="82" spans="1:10">
      <c r="A82" s="11" t="s">
        <v>107</v>
      </c>
      <c r="B82" s="91">
        <v>200</v>
      </c>
      <c r="C82" s="12" t="s">
        <v>22</v>
      </c>
      <c r="D82" s="148"/>
      <c r="E82" s="110" t="s">
        <v>108</v>
      </c>
      <c r="F82" s="98">
        <v>0.85129999999999995</v>
      </c>
      <c r="G82" s="99">
        <f t="shared" si="0"/>
        <v>0.89386500000000002</v>
      </c>
      <c r="H82" s="99"/>
      <c r="I82" s="99"/>
    </row>
    <row r="83" spans="1:10">
      <c r="A83" s="11" t="s">
        <v>109</v>
      </c>
      <c r="B83" s="91">
        <v>200</v>
      </c>
      <c r="C83" s="12" t="s">
        <v>22</v>
      </c>
      <c r="D83" s="148"/>
      <c r="E83" s="110"/>
      <c r="F83" s="98">
        <v>0.35049999999999998</v>
      </c>
      <c r="G83" s="99">
        <f t="shared" si="0"/>
        <v>0.36802499999999999</v>
      </c>
      <c r="H83" s="99"/>
      <c r="I83" s="99"/>
    </row>
    <row r="84" spans="1:10">
      <c r="A84" s="11" t="s">
        <v>110</v>
      </c>
      <c r="B84" s="91">
        <v>200</v>
      </c>
      <c r="C84" s="12" t="s">
        <v>22</v>
      </c>
      <c r="D84" s="149"/>
      <c r="E84" s="110"/>
      <c r="F84" s="98">
        <v>1.2765</v>
      </c>
      <c r="G84" s="99">
        <f t="shared" si="0"/>
        <v>1.340325</v>
      </c>
      <c r="H84" s="99"/>
      <c r="I84" s="99"/>
    </row>
    <row r="85" spans="1:10">
      <c r="A85" s="80"/>
      <c r="B85" s="81"/>
      <c r="C85" s="82"/>
      <c r="D85" s="82"/>
      <c r="E85" s="111"/>
      <c r="F85" s="100"/>
      <c r="G85" s="101">
        <f>SUM(G80:G84)</f>
        <v>3.4950299999999999</v>
      </c>
      <c r="H85" s="99"/>
      <c r="I85" s="99"/>
    </row>
    <row r="86" spans="1:10">
      <c r="A86" s="5" t="s">
        <v>111</v>
      </c>
      <c r="B86" s="59"/>
      <c r="C86" s="59"/>
      <c r="D86" s="59"/>
      <c r="E86" s="108"/>
      <c r="F86" s="98"/>
      <c r="G86" s="99">
        <f t="shared" si="0"/>
        <v>0</v>
      </c>
      <c r="H86" s="99"/>
      <c r="I86" s="99"/>
    </row>
    <row r="87" spans="1:10">
      <c r="A87" s="11" t="s">
        <v>112</v>
      </c>
      <c r="B87" s="14">
        <v>30</v>
      </c>
      <c r="C87" s="12" t="s">
        <v>22</v>
      </c>
      <c r="D87" s="75">
        <v>0.6</v>
      </c>
      <c r="E87" s="110" t="s">
        <v>113</v>
      </c>
      <c r="F87" s="98">
        <v>0.49</v>
      </c>
      <c r="G87" s="99">
        <f t="shared" si="0"/>
        <v>0.51449999999999996</v>
      </c>
      <c r="H87" s="99"/>
      <c r="I87" s="99"/>
    </row>
    <row r="88" spans="1:10">
      <c r="A88" s="11" t="s">
        <v>114</v>
      </c>
      <c r="B88" s="14">
        <v>40</v>
      </c>
      <c r="C88" s="12" t="s">
        <v>22</v>
      </c>
      <c r="D88" s="75">
        <v>0.6</v>
      </c>
      <c r="E88" s="110"/>
      <c r="F88" s="98">
        <v>0.51</v>
      </c>
      <c r="G88" s="99">
        <f t="shared" si="0"/>
        <v>0.53550000000000009</v>
      </c>
      <c r="H88" s="99"/>
      <c r="I88" s="99"/>
    </row>
    <row r="89" spans="1:10">
      <c r="A89" s="80"/>
      <c r="B89" s="81"/>
      <c r="C89" s="82"/>
      <c r="D89" s="82"/>
      <c r="E89" s="111"/>
      <c r="F89" s="100"/>
      <c r="G89" s="101">
        <f>SUM(G86:G88)</f>
        <v>1.05</v>
      </c>
      <c r="H89" s="99"/>
      <c r="I89" s="99"/>
    </row>
    <row r="90" spans="1:10">
      <c r="A90" s="5" t="s">
        <v>115</v>
      </c>
      <c r="B90" s="59"/>
      <c r="C90" s="59"/>
      <c r="D90" s="59"/>
      <c r="E90" s="108"/>
      <c r="F90" s="98"/>
      <c r="G90" s="99">
        <f t="shared" si="0"/>
        <v>0</v>
      </c>
      <c r="H90" s="99"/>
      <c r="I90" s="99"/>
    </row>
    <row r="91" spans="1:10">
      <c r="A91" s="11" t="s">
        <v>116</v>
      </c>
      <c r="B91" s="14">
        <v>500</v>
      </c>
      <c r="C91" s="12" t="s">
        <v>22</v>
      </c>
      <c r="D91" s="12" t="s">
        <v>23</v>
      </c>
      <c r="E91" s="110" t="s">
        <v>117</v>
      </c>
      <c r="F91" s="98">
        <f>31.45/24/10*16</f>
        <v>2.0966666666666667</v>
      </c>
      <c r="G91" s="99">
        <f t="shared" si="0"/>
        <v>2.2015000000000002</v>
      </c>
      <c r="H91" s="99"/>
      <c r="I91" s="99"/>
      <c r="J91" t="s">
        <v>118</v>
      </c>
    </row>
    <row r="92" spans="1:10">
      <c r="A92" s="80"/>
      <c r="B92" s="81"/>
      <c r="C92" s="82"/>
      <c r="D92" s="82"/>
      <c r="E92" s="111"/>
      <c r="F92" s="100"/>
      <c r="G92" s="101">
        <f>SUM(G90:G91)</f>
        <v>2.2015000000000002</v>
      </c>
      <c r="H92" s="99"/>
      <c r="I92" s="99"/>
    </row>
    <row r="93" spans="1:10">
      <c r="A93" s="5" t="s">
        <v>119</v>
      </c>
      <c r="B93" s="59"/>
      <c r="C93" s="59"/>
      <c r="D93" s="59"/>
      <c r="E93" s="108"/>
      <c r="F93" s="98"/>
      <c r="G93" s="99">
        <f t="shared" ref="G93:G141" si="1">F93*(1+$G$2)</f>
        <v>0</v>
      </c>
      <c r="H93" s="99"/>
      <c r="I93" s="99"/>
    </row>
    <row r="94" spans="1:10">
      <c r="A94" s="6" t="s">
        <v>120</v>
      </c>
      <c r="B94" s="56" t="s">
        <v>121</v>
      </c>
      <c r="C94" s="7" t="s">
        <v>22</v>
      </c>
      <c r="D94" s="150" t="s">
        <v>23</v>
      </c>
      <c r="E94" s="109"/>
      <c r="F94" s="98">
        <v>0.33900000000000002</v>
      </c>
      <c r="G94" s="99">
        <f t="shared" si="1"/>
        <v>0.35595000000000004</v>
      </c>
      <c r="H94" s="99"/>
      <c r="I94" s="99"/>
    </row>
    <row r="95" spans="1:10">
      <c r="A95" s="8" t="s">
        <v>122</v>
      </c>
      <c r="B95" s="56" t="s">
        <v>123</v>
      </c>
      <c r="C95" s="7" t="s">
        <v>22</v>
      </c>
      <c r="D95" s="151"/>
      <c r="E95" s="109"/>
      <c r="F95" s="98">
        <v>0.2019</v>
      </c>
      <c r="G95" s="99">
        <f t="shared" si="1"/>
        <v>0.21199500000000002</v>
      </c>
      <c r="H95" s="99"/>
      <c r="I95" s="99"/>
    </row>
    <row r="96" spans="1:10">
      <c r="A96" s="8" t="s">
        <v>124</v>
      </c>
      <c r="B96" s="56" t="s">
        <v>121</v>
      </c>
      <c r="C96" s="7" t="s">
        <v>22</v>
      </c>
      <c r="D96" s="151"/>
      <c r="E96" s="109"/>
      <c r="F96" s="98">
        <v>0.40379999999999999</v>
      </c>
      <c r="G96" s="99">
        <f t="shared" si="1"/>
        <v>0.42399000000000003</v>
      </c>
      <c r="H96" s="99"/>
      <c r="I96" s="99"/>
    </row>
    <row r="97" spans="1:9">
      <c r="A97" s="8" t="s">
        <v>125</v>
      </c>
      <c r="B97" s="56" t="s">
        <v>121</v>
      </c>
      <c r="C97" s="7" t="s">
        <v>22</v>
      </c>
      <c r="D97" s="151"/>
      <c r="E97" s="109"/>
      <c r="F97" s="98">
        <v>0.4824</v>
      </c>
      <c r="G97" s="99">
        <f t="shared" si="1"/>
        <v>0.50651999999999997</v>
      </c>
      <c r="H97" s="99"/>
      <c r="I97" s="99"/>
    </row>
    <row r="98" spans="1:9">
      <c r="A98" s="80"/>
      <c r="B98" s="81"/>
      <c r="C98" s="82"/>
      <c r="D98" s="82"/>
      <c r="E98" s="111"/>
      <c r="F98" s="100"/>
      <c r="G98" s="101">
        <f>SUM(G93:G97)</f>
        <v>1.4984549999999999</v>
      </c>
      <c r="H98" s="99"/>
      <c r="I98" s="99"/>
    </row>
    <row r="99" spans="1:9">
      <c r="A99" s="5" t="s">
        <v>126</v>
      </c>
      <c r="B99" s="59"/>
      <c r="C99" s="59"/>
      <c r="D99" s="59"/>
      <c r="E99" s="108"/>
      <c r="F99" s="98"/>
      <c r="G99" s="99">
        <f t="shared" si="1"/>
        <v>0</v>
      </c>
      <c r="H99" s="99"/>
      <c r="I99" s="99"/>
    </row>
    <row r="100" spans="1:9">
      <c r="A100" s="61" t="s">
        <v>127</v>
      </c>
      <c r="B100" s="62">
        <v>1</v>
      </c>
      <c r="C100" s="63" t="s">
        <v>13</v>
      </c>
      <c r="D100" s="63"/>
      <c r="E100" s="114"/>
      <c r="F100" s="98"/>
      <c r="G100" s="99">
        <f t="shared" si="1"/>
        <v>0</v>
      </c>
      <c r="H100" s="99"/>
      <c r="I100" s="99"/>
    </row>
    <row r="101" spans="1:9">
      <c r="A101" s="61" t="s">
        <v>128</v>
      </c>
      <c r="B101" s="62">
        <v>1</v>
      </c>
      <c r="C101" s="63" t="s">
        <v>13</v>
      </c>
      <c r="D101" s="63"/>
      <c r="E101" s="114"/>
      <c r="F101" s="98"/>
      <c r="G101" s="99">
        <f t="shared" si="1"/>
        <v>0</v>
      </c>
      <c r="H101" s="99"/>
      <c r="I101" s="99"/>
    </row>
    <row r="102" spans="1:9">
      <c r="A102" s="61" t="s">
        <v>129</v>
      </c>
      <c r="B102" s="62">
        <v>1</v>
      </c>
      <c r="C102" s="63" t="s">
        <v>13</v>
      </c>
      <c r="D102" s="63"/>
      <c r="E102" s="114"/>
      <c r="F102" s="98"/>
      <c r="G102" s="99">
        <f t="shared" si="1"/>
        <v>0</v>
      </c>
      <c r="H102" s="99"/>
      <c r="I102" s="99"/>
    </row>
    <row r="103" spans="1:9">
      <c r="A103" s="61" t="s">
        <v>130</v>
      </c>
      <c r="B103" s="62">
        <v>1</v>
      </c>
      <c r="C103" s="63" t="s">
        <v>13</v>
      </c>
      <c r="D103" s="63"/>
      <c r="E103" s="114"/>
      <c r="F103" s="98"/>
      <c r="G103" s="99">
        <f t="shared" si="1"/>
        <v>0</v>
      </c>
      <c r="H103" s="99"/>
      <c r="I103" s="99"/>
    </row>
    <row r="104" spans="1:9">
      <c r="A104" s="61" t="s">
        <v>131</v>
      </c>
      <c r="B104" s="62">
        <v>1</v>
      </c>
      <c r="C104" s="63" t="s">
        <v>13</v>
      </c>
      <c r="D104" s="63"/>
      <c r="E104" s="114"/>
      <c r="F104" s="98"/>
      <c r="G104" s="99">
        <f t="shared" si="1"/>
        <v>0</v>
      </c>
      <c r="H104" s="99"/>
      <c r="I104" s="99"/>
    </row>
    <row r="105" spans="1:9">
      <c r="A105" s="61" t="s">
        <v>132</v>
      </c>
      <c r="B105" s="62">
        <v>1</v>
      </c>
      <c r="C105" s="63" t="s">
        <v>13</v>
      </c>
      <c r="D105" s="63"/>
      <c r="E105" s="114"/>
      <c r="F105" s="98"/>
      <c r="G105" s="99">
        <f t="shared" si="1"/>
        <v>0</v>
      </c>
      <c r="H105" s="99"/>
      <c r="I105" s="99"/>
    </row>
    <row r="106" spans="1:9">
      <c r="A106" s="61" t="s">
        <v>133</v>
      </c>
      <c r="B106" s="62">
        <v>1</v>
      </c>
      <c r="C106" s="63" t="s">
        <v>13</v>
      </c>
      <c r="D106" s="63"/>
      <c r="E106" s="114"/>
      <c r="F106" s="98"/>
      <c r="G106" s="99">
        <f t="shared" si="1"/>
        <v>0</v>
      </c>
      <c r="H106" s="99"/>
      <c r="I106" s="99"/>
    </row>
    <row r="107" spans="1:9">
      <c r="A107" s="61" t="s">
        <v>134</v>
      </c>
      <c r="B107" s="62">
        <v>1</v>
      </c>
      <c r="C107" s="63" t="s">
        <v>13</v>
      </c>
      <c r="D107" s="63"/>
      <c r="E107" s="114"/>
      <c r="F107" s="98"/>
      <c r="G107" s="99">
        <f t="shared" si="1"/>
        <v>0</v>
      </c>
      <c r="H107" s="99"/>
      <c r="I107" s="99"/>
    </row>
    <row r="108" spans="1:9">
      <c r="A108" s="64" t="s">
        <v>135</v>
      </c>
      <c r="B108" s="62">
        <v>1</v>
      </c>
      <c r="C108" s="63" t="s">
        <v>13</v>
      </c>
      <c r="D108" s="63"/>
      <c r="E108" s="114"/>
      <c r="F108" s="98"/>
      <c r="G108" s="99">
        <f t="shared" si="1"/>
        <v>0</v>
      </c>
      <c r="H108" s="99"/>
      <c r="I108" s="99"/>
    </row>
    <row r="109" spans="1:9">
      <c r="A109" s="65" t="s">
        <v>136</v>
      </c>
      <c r="B109" s="66">
        <v>1</v>
      </c>
      <c r="C109" s="63" t="s">
        <v>13</v>
      </c>
      <c r="D109" s="63"/>
      <c r="E109" s="114"/>
      <c r="F109" s="98"/>
      <c r="G109" s="99">
        <f t="shared" si="1"/>
        <v>0</v>
      </c>
      <c r="H109" s="99"/>
      <c r="I109" s="99"/>
    </row>
    <row r="110" spans="1:9">
      <c r="A110" s="80"/>
      <c r="B110" s="81"/>
      <c r="C110" s="82"/>
      <c r="D110" s="82"/>
      <c r="E110" s="111"/>
      <c r="F110" s="100"/>
      <c r="G110" s="101">
        <f>SUM(G99:G109)</f>
        <v>0</v>
      </c>
      <c r="H110" s="99"/>
      <c r="I110" s="99"/>
    </row>
    <row r="111" spans="1:9">
      <c r="A111" s="5" t="s">
        <v>137</v>
      </c>
      <c r="B111" s="59"/>
      <c r="C111" s="59"/>
      <c r="D111" s="59"/>
      <c r="E111" s="108"/>
      <c r="F111" s="98"/>
      <c r="G111" s="99">
        <f t="shared" si="1"/>
        <v>0</v>
      </c>
      <c r="H111" s="99"/>
      <c r="I111" s="99"/>
    </row>
    <row r="112" spans="1:9">
      <c r="A112" s="51" t="s">
        <v>138</v>
      </c>
      <c r="B112" s="57">
        <v>45</v>
      </c>
      <c r="C112" s="52" t="s">
        <v>139</v>
      </c>
      <c r="D112" s="155">
        <v>1</v>
      </c>
      <c r="E112" s="110"/>
      <c r="F112" s="98">
        <v>0.25140000000000001</v>
      </c>
      <c r="G112" s="99">
        <f t="shared" si="1"/>
        <v>0.26397000000000004</v>
      </c>
      <c r="H112" s="99"/>
      <c r="I112" s="99"/>
    </row>
    <row r="113" spans="1:10">
      <c r="A113" s="11" t="s">
        <v>140</v>
      </c>
      <c r="B113" s="14" t="s">
        <v>141</v>
      </c>
      <c r="C113" s="12" t="s">
        <v>139</v>
      </c>
      <c r="D113" s="156"/>
      <c r="E113" s="110"/>
      <c r="F113" s="98">
        <v>1.8339000000000001</v>
      </c>
      <c r="G113" s="99">
        <f t="shared" si="1"/>
        <v>1.9255950000000002</v>
      </c>
      <c r="H113" s="99"/>
      <c r="I113" s="99"/>
    </row>
    <row r="114" spans="1:10">
      <c r="A114" s="11" t="s">
        <v>142</v>
      </c>
      <c r="B114" s="14">
        <v>15</v>
      </c>
      <c r="C114" s="12" t="s">
        <v>139</v>
      </c>
      <c r="D114" s="156"/>
      <c r="E114" s="110"/>
      <c r="F114" s="98">
        <v>0.15379999999999999</v>
      </c>
      <c r="G114" s="99">
        <f t="shared" si="1"/>
        <v>0.16148999999999999</v>
      </c>
      <c r="H114" s="99"/>
      <c r="I114" s="99"/>
    </row>
    <row r="115" spans="1:10">
      <c r="A115" s="11" t="s">
        <v>143</v>
      </c>
      <c r="B115" s="14">
        <v>10</v>
      </c>
      <c r="C115" s="12" t="s">
        <v>139</v>
      </c>
      <c r="D115" s="156"/>
      <c r="E115" s="110"/>
      <c r="F115" s="98">
        <v>0.83779999999999999</v>
      </c>
      <c r="G115" s="99">
        <f t="shared" si="1"/>
        <v>0.87968999999999997</v>
      </c>
      <c r="H115" s="99"/>
      <c r="I115" s="99"/>
    </row>
    <row r="116" spans="1:10">
      <c r="A116" s="11" t="s">
        <v>144</v>
      </c>
      <c r="B116" s="14">
        <v>8</v>
      </c>
      <c r="C116" s="12" t="s">
        <v>139</v>
      </c>
      <c r="D116" s="156"/>
      <c r="E116" s="110"/>
      <c r="F116" s="98">
        <v>3.6799999999999999E-2</v>
      </c>
      <c r="G116" s="99">
        <f t="shared" si="1"/>
        <v>3.8640000000000001E-2</v>
      </c>
      <c r="H116" s="99"/>
      <c r="I116" s="99"/>
    </row>
    <row r="117" spans="1:10">
      <c r="A117" s="11" t="s">
        <v>145</v>
      </c>
      <c r="B117" s="14" t="s">
        <v>146</v>
      </c>
      <c r="C117" s="12" t="s">
        <v>139</v>
      </c>
      <c r="D117" s="156"/>
      <c r="E117" s="110"/>
      <c r="F117" s="98">
        <v>8.6E-3</v>
      </c>
      <c r="G117" s="99">
        <f t="shared" si="1"/>
        <v>9.0299999999999998E-3</v>
      </c>
      <c r="H117" s="99"/>
      <c r="I117" s="99" t="s">
        <v>147</v>
      </c>
    </row>
    <row r="118" spans="1:10">
      <c r="A118" s="51" t="s">
        <v>148</v>
      </c>
      <c r="B118" s="57" t="s">
        <v>149</v>
      </c>
      <c r="C118" s="52" t="s">
        <v>22</v>
      </c>
      <c r="D118" s="157"/>
      <c r="E118" s="110"/>
      <c r="F118" s="98">
        <f>5.125/450/0.75*20</f>
        <v>0.3037037037037037</v>
      </c>
      <c r="G118" s="99">
        <f t="shared" si="1"/>
        <v>0.31888888888888889</v>
      </c>
      <c r="H118" s="99"/>
      <c r="I118" s="99"/>
      <c r="J118" t="s">
        <v>150</v>
      </c>
    </row>
    <row r="119" spans="1:10">
      <c r="A119" s="80"/>
      <c r="B119" s="81"/>
      <c r="C119" s="82"/>
      <c r="D119" s="82"/>
      <c r="E119" s="111"/>
      <c r="F119" s="100"/>
      <c r="G119" s="101">
        <f>SUM(G111:G118)</f>
        <v>3.5973038888888893</v>
      </c>
      <c r="H119" s="99"/>
      <c r="I119" s="99"/>
    </row>
    <row r="120" spans="1:10">
      <c r="A120" s="5" t="s">
        <v>151</v>
      </c>
      <c r="B120" s="59"/>
      <c r="C120" s="59"/>
      <c r="D120" s="59"/>
      <c r="E120" s="108"/>
      <c r="F120" s="98"/>
      <c r="G120" s="99">
        <f t="shared" si="1"/>
        <v>0</v>
      </c>
      <c r="H120" s="99"/>
      <c r="I120" s="99"/>
    </row>
    <row r="121" spans="1:10">
      <c r="A121" s="11" t="s">
        <v>152</v>
      </c>
      <c r="B121" s="14">
        <v>60</v>
      </c>
      <c r="C121" s="12" t="s">
        <v>22</v>
      </c>
      <c r="D121" s="147">
        <v>1</v>
      </c>
      <c r="E121" s="110"/>
      <c r="F121" s="98">
        <v>0.42009999999999997</v>
      </c>
      <c r="G121" s="99">
        <f t="shared" si="1"/>
        <v>0.44110499999999997</v>
      </c>
      <c r="H121" s="99"/>
      <c r="I121" s="99"/>
    </row>
    <row r="122" spans="1:10">
      <c r="A122" s="11" t="s">
        <v>153</v>
      </c>
      <c r="B122" s="14">
        <v>30</v>
      </c>
      <c r="C122" s="12" t="s">
        <v>22</v>
      </c>
      <c r="D122" s="148"/>
      <c r="E122" s="110"/>
      <c r="F122" s="98">
        <f>4.53/450*30</f>
        <v>0.30199999999999999</v>
      </c>
      <c r="G122" s="99">
        <f t="shared" si="1"/>
        <v>0.31709999999999999</v>
      </c>
      <c r="H122" s="99"/>
      <c r="I122" s="99"/>
      <c r="J122" t="s">
        <v>154</v>
      </c>
    </row>
    <row r="123" spans="1:10">
      <c r="A123" s="11" t="s">
        <v>99</v>
      </c>
      <c r="B123" s="91" t="s">
        <v>155</v>
      </c>
      <c r="C123" s="12" t="s">
        <v>22</v>
      </c>
      <c r="D123" s="149"/>
      <c r="E123" s="110"/>
      <c r="F123" s="98">
        <v>9.6000000000000002E-2</v>
      </c>
      <c r="G123" s="99">
        <f t="shared" si="1"/>
        <v>0.1008</v>
      </c>
      <c r="H123" s="99"/>
      <c r="I123" s="99"/>
    </row>
    <row r="124" spans="1:10">
      <c r="A124" s="80"/>
      <c r="B124" s="81"/>
      <c r="C124" s="82"/>
      <c r="D124" s="82"/>
      <c r="E124" s="111"/>
      <c r="F124" s="100"/>
      <c r="G124" s="101">
        <f>SUM(G120:G123)</f>
        <v>0.85900500000000002</v>
      </c>
      <c r="H124" s="99"/>
      <c r="I124" s="99"/>
    </row>
    <row r="125" spans="1:10">
      <c r="A125" s="5" t="s">
        <v>156</v>
      </c>
      <c r="B125" s="59"/>
      <c r="C125" s="59"/>
      <c r="D125" s="59"/>
      <c r="E125" s="108"/>
      <c r="F125" s="98"/>
      <c r="G125" s="99">
        <f t="shared" si="1"/>
        <v>0</v>
      </c>
      <c r="H125" s="99"/>
      <c r="I125" s="99"/>
    </row>
    <row r="126" spans="1:10">
      <c r="A126" s="11" t="s">
        <v>157</v>
      </c>
      <c r="B126" s="14">
        <v>30</v>
      </c>
      <c r="C126" s="12" t="s">
        <v>22</v>
      </c>
      <c r="D126" s="75">
        <v>0.4</v>
      </c>
      <c r="E126" s="110" t="s">
        <v>158</v>
      </c>
      <c r="F126" s="98">
        <v>0.69</v>
      </c>
      <c r="G126" s="99">
        <f t="shared" si="1"/>
        <v>0.72449999999999992</v>
      </c>
      <c r="H126" s="99"/>
      <c r="I126" s="99"/>
    </row>
    <row r="127" spans="1:10">
      <c r="A127" s="11" t="s">
        <v>159</v>
      </c>
      <c r="B127" s="14">
        <v>40</v>
      </c>
      <c r="C127" s="12" t="s">
        <v>22</v>
      </c>
      <c r="D127" s="75">
        <v>0.4</v>
      </c>
      <c r="E127" s="110"/>
      <c r="F127" s="98">
        <v>0.45</v>
      </c>
      <c r="G127" s="99">
        <f t="shared" si="1"/>
        <v>0.47250000000000003</v>
      </c>
      <c r="H127" s="99"/>
      <c r="I127" s="99"/>
    </row>
    <row r="128" spans="1:10">
      <c r="A128" s="11" t="s">
        <v>160</v>
      </c>
      <c r="B128" s="14">
        <v>40</v>
      </c>
      <c r="C128" s="12" t="s">
        <v>22</v>
      </c>
      <c r="D128" s="75">
        <v>0.4</v>
      </c>
      <c r="E128" s="110"/>
      <c r="F128" s="98">
        <f>0.185*1.3*1.1</f>
        <v>0.26455000000000001</v>
      </c>
      <c r="G128" s="99">
        <f t="shared" si="1"/>
        <v>0.27777750000000001</v>
      </c>
      <c r="H128" s="99"/>
      <c r="I128" s="99"/>
    </row>
    <row r="129" spans="1:9">
      <c r="A129" s="80"/>
      <c r="B129" s="81"/>
      <c r="C129" s="82"/>
      <c r="D129" s="82"/>
      <c r="E129" s="111"/>
      <c r="F129" s="100"/>
      <c r="G129" s="101">
        <f>SUM(G125:G128)</f>
        <v>1.4747775000000001</v>
      </c>
      <c r="H129" s="99"/>
      <c r="I129" s="99"/>
    </row>
    <row r="130" spans="1:9">
      <c r="A130" s="9" t="s">
        <v>161</v>
      </c>
      <c r="B130" s="15">
        <v>1</v>
      </c>
      <c r="C130" s="15" t="s">
        <v>13</v>
      </c>
      <c r="D130" s="15"/>
      <c r="E130" s="115" t="s">
        <v>162</v>
      </c>
      <c r="F130" s="98"/>
      <c r="G130" s="99">
        <f t="shared" si="1"/>
        <v>0</v>
      </c>
      <c r="H130" s="99"/>
      <c r="I130" s="99"/>
    </row>
    <row r="131" spans="1:9">
      <c r="A131" s="9" t="s">
        <v>163</v>
      </c>
      <c r="B131" s="15">
        <v>1</v>
      </c>
      <c r="C131" s="15" t="s">
        <v>13</v>
      </c>
      <c r="D131" s="15"/>
      <c r="E131" s="115" t="s">
        <v>164</v>
      </c>
      <c r="F131" s="98"/>
      <c r="G131" s="99">
        <f t="shared" si="1"/>
        <v>0</v>
      </c>
      <c r="H131" s="99"/>
      <c r="I131" s="99"/>
    </row>
    <row r="132" spans="1:9">
      <c r="A132" s="9" t="s">
        <v>165</v>
      </c>
      <c r="B132" s="15">
        <v>1</v>
      </c>
      <c r="C132" s="15" t="s">
        <v>13</v>
      </c>
      <c r="D132" s="15"/>
      <c r="E132" s="115" t="s">
        <v>166</v>
      </c>
      <c r="F132" s="98"/>
      <c r="G132" s="99">
        <f t="shared" si="1"/>
        <v>0</v>
      </c>
      <c r="H132" s="99"/>
      <c r="I132" s="99"/>
    </row>
    <row r="133" spans="1:9">
      <c r="A133" s="9" t="s">
        <v>167</v>
      </c>
      <c r="B133" s="15">
        <v>1</v>
      </c>
      <c r="C133" s="15" t="s">
        <v>13</v>
      </c>
      <c r="D133" s="15"/>
      <c r="E133" s="115" t="s">
        <v>168</v>
      </c>
      <c r="F133" s="98"/>
      <c r="G133" s="99">
        <f t="shared" si="1"/>
        <v>0</v>
      </c>
      <c r="H133" s="99"/>
      <c r="I133" s="99"/>
    </row>
    <row r="134" spans="1:9">
      <c r="A134" s="9" t="s">
        <v>169</v>
      </c>
      <c r="B134" s="15">
        <v>1</v>
      </c>
      <c r="C134" s="15" t="s">
        <v>13</v>
      </c>
      <c r="D134" s="15"/>
      <c r="E134" s="115" t="s">
        <v>170</v>
      </c>
      <c r="F134" s="98"/>
      <c r="G134" s="99">
        <f t="shared" si="1"/>
        <v>0</v>
      </c>
      <c r="H134" s="99"/>
      <c r="I134" s="99"/>
    </row>
    <row r="135" spans="1:9">
      <c r="A135" s="53" t="s">
        <v>171</v>
      </c>
      <c r="B135" s="54">
        <v>1</v>
      </c>
      <c r="C135" s="54" t="s">
        <v>13</v>
      </c>
      <c r="D135" s="54"/>
      <c r="E135" s="115" t="s">
        <v>172</v>
      </c>
      <c r="F135" s="98"/>
      <c r="G135" s="99">
        <f t="shared" si="1"/>
        <v>0</v>
      </c>
      <c r="H135" s="99"/>
      <c r="I135" s="99"/>
    </row>
    <row r="136" spans="1:9">
      <c r="A136" s="53" t="s">
        <v>173</v>
      </c>
      <c r="B136" s="54">
        <v>1</v>
      </c>
      <c r="C136" s="54" t="s">
        <v>13</v>
      </c>
      <c r="D136" s="54"/>
      <c r="E136" s="115" t="s">
        <v>174</v>
      </c>
      <c r="F136" s="98"/>
      <c r="G136" s="99">
        <f t="shared" si="1"/>
        <v>0</v>
      </c>
      <c r="H136" s="99"/>
      <c r="I136" s="99"/>
    </row>
    <row r="137" spans="1:9">
      <c r="A137" s="53" t="s">
        <v>175</v>
      </c>
      <c r="B137" s="54">
        <v>1</v>
      </c>
      <c r="C137" s="54" t="s">
        <v>13</v>
      </c>
      <c r="D137" s="54"/>
      <c r="E137" s="115" t="s">
        <v>176</v>
      </c>
      <c r="F137" s="98"/>
      <c r="G137" s="99">
        <f t="shared" si="1"/>
        <v>0</v>
      </c>
      <c r="H137" s="99"/>
      <c r="I137" s="99"/>
    </row>
    <row r="138" spans="1:9">
      <c r="A138" s="53" t="s">
        <v>177</v>
      </c>
      <c r="B138" s="54">
        <v>1</v>
      </c>
      <c r="C138" s="54" t="s">
        <v>13</v>
      </c>
      <c r="D138" s="54"/>
      <c r="E138" s="115" t="s">
        <v>178</v>
      </c>
      <c r="F138" s="98"/>
      <c r="G138" s="99">
        <f t="shared" si="1"/>
        <v>0</v>
      </c>
      <c r="H138" s="99"/>
      <c r="I138" s="99"/>
    </row>
    <row r="139" spans="1:9">
      <c r="A139" s="53" t="s">
        <v>179</v>
      </c>
      <c r="B139" s="54">
        <v>1</v>
      </c>
      <c r="C139" s="54" t="s">
        <v>13</v>
      </c>
      <c r="D139" s="54"/>
      <c r="E139" s="115" t="s">
        <v>180</v>
      </c>
      <c r="F139" s="98"/>
      <c r="G139" s="99">
        <f t="shared" si="1"/>
        <v>0</v>
      </c>
      <c r="H139" s="99"/>
      <c r="I139" s="99"/>
    </row>
    <row r="140" spans="1:9">
      <c r="A140" s="9" t="s">
        <v>181</v>
      </c>
      <c r="B140" s="15">
        <v>1</v>
      </c>
      <c r="C140" s="15" t="s">
        <v>13</v>
      </c>
      <c r="D140" s="15"/>
      <c r="E140" s="115"/>
      <c r="F140" s="98"/>
      <c r="G140" s="99">
        <f t="shared" si="1"/>
        <v>0</v>
      </c>
      <c r="H140" s="99"/>
      <c r="I140" s="99"/>
    </row>
    <row r="141" spans="1:9">
      <c r="A141" s="9" t="s">
        <v>182</v>
      </c>
      <c r="B141" s="15">
        <v>1</v>
      </c>
      <c r="C141" s="15" t="s">
        <v>13</v>
      </c>
      <c r="D141" s="15"/>
      <c r="E141" s="115"/>
      <c r="F141" s="98"/>
      <c r="G141" s="99">
        <f t="shared" si="1"/>
        <v>0</v>
      </c>
      <c r="H141" s="99"/>
      <c r="I141" s="99"/>
    </row>
  </sheetData>
  <mergeCells count="14">
    <mergeCell ref="D121:D123"/>
    <mergeCell ref="D46:D50"/>
    <mergeCell ref="D4:D9"/>
    <mergeCell ref="D17:D18"/>
    <mergeCell ref="D21:D27"/>
    <mergeCell ref="D30:D33"/>
    <mergeCell ref="D39:D43"/>
    <mergeCell ref="D112:D118"/>
    <mergeCell ref="D53:D57"/>
    <mergeCell ref="D60:D63"/>
    <mergeCell ref="D69:D70"/>
    <mergeCell ref="D81:D84"/>
    <mergeCell ref="D73:D75"/>
    <mergeCell ref="D94:D97"/>
  </mergeCells>
  <printOptions gridLines="1"/>
  <pageMargins left="0.25" right="0.25" top="0.75" bottom="0.75" header="0.3" footer="0.3"/>
  <pageSetup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2E0C-3D3D-4AE7-9FDC-CF61856E1F48}">
  <sheetPr>
    <pageSetUpPr fitToPage="1"/>
  </sheetPr>
  <dimension ref="A1:P86"/>
  <sheetViews>
    <sheetView topLeftCell="A68" zoomScaleNormal="100" workbookViewId="0">
      <selection activeCell="G72" sqref="G72"/>
    </sheetView>
  </sheetViews>
  <sheetFormatPr defaultRowHeight="14.4"/>
  <cols>
    <col min="1" max="1" width="59.109375" style="17" customWidth="1"/>
    <col min="2" max="4" width="10.6640625" style="18" customWidth="1"/>
    <col min="5" max="5" width="26.6640625" style="19" customWidth="1"/>
    <col min="6" max="9" width="18.33203125" customWidth="1"/>
    <col min="10" max="10" width="31.33203125" customWidth="1"/>
  </cols>
  <sheetData>
    <row r="1" spans="1:10">
      <c r="A1" s="17" t="s">
        <v>183</v>
      </c>
    </row>
    <row r="2" spans="1:10" ht="17.399999999999999">
      <c r="A2" s="20" t="s">
        <v>184</v>
      </c>
      <c r="B2" s="21"/>
      <c r="C2" s="21"/>
      <c r="D2" s="21"/>
      <c r="E2" s="22"/>
      <c r="F2" s="84"/>
      <c r="G2" s="79">
        <v>0.05</v>
      </c>
    </row>
    <row r="3" spans="1:10" ht="34.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128" t="s">
        <v>7</v>
      </c>
      <c r="G3" s="129" t="s">
        <v>8</v>
      </c>
      <c r="H3" s="130" t="s">
        <v>9</v>
      </c>
      <c r="I3" s="129" t="s">
        <v>10</v>
      </c>
      <c r="J3" s="88" t="s">
        <v>11</v>
      </c>
    </row>
    <row r="4" spans="1:10">
      <c r="A4" s="23" t="s">
        <v>185</v>
      </c>
      <c r="B4" s="24"/>
      <c r="C4" s="24"/>
      <c r="D4" s="24"/>
      <c r="E4" s="119"/>
      <c r="F4" s="99"/>
      <c r="G4" s="99"/>
      <c r="H4" s="99"/>
      <c r="I4" s="99"/>
    </row>
    <row r="5" spans="1:10">
      <c r="A5" s="67" t="s">
        <v>127</v>
      </c>
      <c r="B5" s="68">
        <v>1</v>
      </c>
      <c r="C5" s="69" t="s">
        <v>13</v>
      </c>
      <c r="D5" s="69"/>
      <c r="E5" s="120"/>
      <c r="F5" s="99"/>
      <c r="G5" s="99"/>
      <c r="H5" s="99"/>
      <c r="I5" s="99"/>
    </row>
    <row r="6" spans="1:10">
      <c r="A6" s="67" t="s">
        <v>128</v>
      </c>
      <c r="B6" s="68">
        <v>1</v>
      </c>
      <c r="C6" s="69" t="s">
        <v>13</v>
      </c>
      <c r="D6" s="69"/>
      <c r="E6" s="120"/>
      <c r="F6" s="99"/>
      <c r="G6" s="99"/>
      <c r="H6" s="99"/>
      <c r="I6" s="99"/>
    </row>
    <row r="7" spans="1:10">
      <c r="A7" s="67" t="s">
        <v>186</v>
      </c>
      <c r="B7" s="68">
        <v>1</v>
      </c>
      <c r="C7" s="69" t="s">
        <v>13</v>
      </c>
      <c r="D7" s="69"/>
      <c r="E7" s="120"/>
      <c r="F7" s="99"/>
      <c r="G7" s="99"/>
      <c r="H7" s="99"/>
      <c r="I7" s="99"/>
    </row>
    <row r="8" spans="1:10">
      <c r="A8" s="67" t="s">
        <v>187</v>
      </c>
      <c r="B8" s="68">
        <v>1</v>
      </c>
      <c r="C8" s="69" t="s">
        <v>13</v>
      </c>
      <c r="D8" s="69"/>
      <c r="E8" s="120"/>
      <c r="F8" s="99"/>
      <c r="G8" s="99"/>
      <c r="H8" s="99"/>
      <c r="I8" s="99"/>
    </row>
    <row r="9" spans="1:10">
      <c r="A9" s="67" t="s">
        <v>188</v>
      </c>
      <c r="B9" s="68">
        <v>1</v>
      </c>
      <c r="C9" s="69" t="s">
        <v>13</v>
      </c>
      <c r="D9" s="69"/>
      <c r="E9" s="120"/>
      <c r="F9" s="99"/>
      <c r="G9" s="99"/>
      <c r="H9" s="99"/>
      <c r="I9" s="99"/>
    </row>
    <row r="10" spans="1:10">
      <c r="A10" s="67" t="s">
        <v>189</v>
      </c>
      <c r="B10" s="68">
        <v>1</v>
      </c>
      <c r="C10" s="69" t="s">
        <v>13</v>
      </c>
      <c r="D10" s="69"/>
      <c r="E10" s="120"/>
      <c r="F10" s="99"/>
      <c r="G10" s="99"/>
      <c r="H10" s="99"/>
      <c r="I10" s="99"/>
    </row>
    <row r="11" spans="1:10">
      <c r="A11" s="67" t="s">
        <v>190</v>
      </c>
      <c r="B11" s="68">
        <v>1</v>
      </c>
      <c r="C11" s="69" t="s">
        <v>13</v>
      </c>
      <c r="D11" s="69"/>
      <c r="E11" s="120"/>
      <c r="F11" s="99"/>
      <c r="G11" s="99"/>
      <c r="H11" s="99"/>
      <c r="I11" s="99"/>
    </row>
    <row r="12" spans="1:10">
      <c r="A12" s="67" t="s">
        <v>191</v>
      </c>
      <c r="B12" s="68">
        <v>1</v>
      </c>
      <c r="C12" s="69" t="s">
        <v>13</v>
      </c>
      <c r="D12" s="69"/>
      <c r="E12" s="120"/>
      <c r="F12" s="99"/>
      <c r="G12" s="99"/>
      <c r="H12" s="99"/>
      <c r="I12" s="99"/>
    </row>
    <row r="13" spans="1:10">
      <c r="A13" s="67" t="s">
        <v>192</v>
      </c>
      <c r="B13" s="68">
        <v>1</v>
      </c>
      <c r="C13" s="69" t="s">
        <v>13</v>
      </c>
      <c r="D13" s="69"/>
      <c r="E13" s="120"/>
      <c r="F13" s="99"/>
      <c r="G13" s="99"/>
      <c r="H13" s="99"/>
      <c r="I13" s="99"/>
    </row>
    <row r="14" spans="1:10">
      <c r="A14" s="67" t="s">
        <v>193</v>
      </c>
      <c r="B14" s="68">
        <v>1</v>
      </c>
      <c r="C14" s="69" t="s">
        <v>13</v>
      </c>
      <c r="D14" s="69"/>
      <c r="E14" s="120"/>
      <c r="F14" s="99"/>
      <c r="G14" s="99"/>
      <c r="H14" s="99"/>
      <c r="I14" s="99"/>
    </row>
    <row r="15" spans="1:10">
      <c r="A15" s="67" t="s">
        <v>194</v>
      </c>
      <c r="B15" s="68">
        <v>1</v>
      </c>
      <c r="C15" s="69" t="s">
        <v>13</v>
      </c>
      <c r="D15" s="69"/>
      <c r="E15" s="120"/>
      <c r="F15" s="99"/>
      <c r="G15" s="99"/>
      <c r="H15" s="99"/>
      <c r="I15" s="99"/>
    </row>
    <row r="16" spans="1:10">
      <c r="A16" s="67" t="s">
        <v>195</v>
      </c>
      <c r="B16" s="68">
        <v>1</v>
      </c>
      <c r="C16" s="69" t="s">
        <v>13</v>
      </c>
      <c r="D16" s="69"/>
      <c r="E16" s="120"/>
      <c r="F16" s="99"/>
      <c r="G16" s="99"/>
      <c r="H16" s="99"/>
      <c r="I16" s="99"/>
    </row>
    <row r="17" spans="1:9">
      <c r="A17" s="67" t="s">
        <v>196</v>
      </c>
      <c r="B17" s="68">
        <v>1</v>
      </c>
      <c r="C17" s="69" t="s">
        <v>13</v>
      </c>
      <c r="D17" s="69"/>
      <c r="E17" s="120" t="s">
        <v>197</v>
      </c>
      <c r="F17" s="99"/>
      <c r="G17" s="99"/>
      <c r="H17" s="99"/>
      <c r="I17" s="99"/>
    </row>
    <row r="18" spans="1:9">
      <c r="A18" s="67" t="s">
        <v>198</v>
      </c>
      <c r="B18" s="68">
        <v>1</v>
      </c>
      <c r="C18" s="69" t="s">
        <v>13</v>
      </c>
      <c r="D18" s="69"/>
      <c r="E18" s="120" t="s">
        <v>199</v>
      </c>
      <c r="F18" s="99"/>
      <c r="G18" s="99"/>
      <c r="H18" s="99"/>
      <c r="I18" s="99"/>
    </row>
    <row r="19" spans="1:9">
      <c r="A19" s="23" t="s">
        <v>200</v>
      </c>
      <c r="B19" s="24"/>
      <c r="C19" s="24"/>
      <c r="D19" s="24"/>
      <c r="E19" s="119"/>
      <c r="F19" s="99"/>
      <c r="G19" s="99"/>
      <c r="H19" s="99"/>
      <c r="I19" s="99"/>
    </row>
    <row r="20" spans="1:9">
      <c r="A20" s="33" t="s">
        <v>201</v>
      </c>
      <c r="B20" s="34">
        <v>15</v>
      </c>
      <c r="C20" s="35" t="s">
        <v>22</v>
      </c>
      <c r="D20" s="147">
        <v>1</v>
      </c>
      <c r="E20" s="121"/>
      <c r="F20" s="98">
        <v>0.26819999999999999</v>
      </c>
      <c r="G20" s="99">
        <f>F20*(1+$G$2)</f>
        <v>0.28161000000000003</v>
      </c>
      <c r="H20" s="103">
        <f>19.8/0.98/450*15</f>
        <v>0.67346938775510201</v>
      </c>
      <c r="I20" s="99"/>
    </row>
    <row r="21" spans="1:9">
      <c r="A21" s="33" t="s">
        <v>202</v>
      </c>
      <c r="B21" s="34">
        <v>45</v>
      </c>
      <c r="C21" s="35" t="s">
        <v>22</v>
      </c>
      <c r="D21" s="149"/>
      <c r="E21" s="121"/>
      <c r="F21" s="98">
        <v>0.26329999999999998</v>
      </c>
      <c r="G21" s="99">
        <f>F21*(1+$G$2)</f>
        <v>0.27646500000000002</v>
      </c>
      <c r="H21" s="99">
        <v>0.27646500000000002</v>
      </c>
      <c r="I21" s="99"/>
    </row>
    <row r="22" spans="1:9">
      <c r="A22" s="80"/>
      <c r="B22" s="81"/>
      <c r="C22" s="82"/>
      <c r="D22" s="82"/>
      <c r="E22" s="111"/>
      <c r="F22" s="100"/>
      <c r="G22" s="101">
        <f>SUM(G20:G21)</f>
        <v>0.5580750000000001</v>
      </c>
      <c r="H22" s="105">
        <f>SUM(H20:H21)</f>
        <v>0.94993438775510208</v>
      </c>
      <c r="I22" s="106">
        <f>H22-G22</f>
        <v>0.39185938775510198</v>
      </c>
    </row>
    <row r="23" spans="1:9">
      <c r="A23" s="23" t="s">
        <v>203</v>
      </c>
      <c r="B23" s="24"/>
      <c r="C23" s="24"/>
      <c r="D23" s="24"/>
      <c r="E23" s="119"/>
      <c r="F23" s="99"/>
      <c r="G23" s="99"/>
      <c r="H23" s="99"/>
      <c r="I23" s="99"/>
    </row>
    <row r="24" spans="1:9">
      <c r="A24" s="33" t="s">
        <v>204</v>
      </c>
      <c r="B24" s="34">
        <v>90</v>
      </c>
      <c r="C24" s="35" t="s">
        <v>22</v>
      </c>
      <c r="D24" s="158"/>
      <c r="E24" s="121"/>
      <c r="F24" s="98">
        <v>2.48</v>
      </c>
      <c r="G24" s="99">
        <f t="shared" ref="G24:G28" si="0">F24*(1+$G$2)</f>
        <v>2.6040000000000001</v>
      </c>
      <c r="H24" s="99"/>
      <c r="I24" s="99"/>
    </row>
    <row r="25" spans="1:9">
      <c r="A25" s="33" t="s">
        <v>205</v>
      </c>
      <c r="B25" s="34">
        <v>15</v>
      </c>
      <c r="C25" s="35" t="s">
        <v>22</v>
      </c>
      <c r="D25" s="148"/>
      <c r="E25" s="121"/>
      <c r="F25" s="98">
        <f>3.1/450*15</f>
        <v>0.10333333333333333</v>
      </c>
      <c r="G25" s="99">
        <f t="shared" si="0"/>
        <v>0.1085</v>
      </c>
      <c r="H25" s="99" t="s">
        <v>206</v>
      </c>
      <c r="I25" s="99"/>
    </row>
    <row r="26" spans="1:9">
      <c r="A26" s="33" t="s">
        <v>207</v>
      </c>
      <c r="B26" s="34">
        <v>90</v>
      </c>
      <c r="C26" s="35" t="s">
        <v>22</v>
      </c>
      <c r="D26" s="148"/>
      <c r="E26" s="121"/>
      <c r="F26" s="98">
        <v>0.32490000000000002</v>
      </c>
      <c r="G26" s="99">
        <f t="shared" si="0"/>
        <v>0.34114500000000003</v>
      </c>
      <c r="H26" s="99"/>
      <c r="I26" s="99"/>
    </row>
    <row r="27" spans="1:9">
      <c r="A27" s="33" t="s">
        <v>208</v>
      </c>
      <c r="B27" s="34">
        <v>45</v>
      </c>
      <c r="C27" s="35" t="s">
        <v>22</v>
      </c>
      <c r="D27" s="148"/>
      <c r="E27" s="121"/>
      <c r="F27" s="98">
        <v>0.25640000000000002</v>
      </c>
      <c r="G27" s="99">
        <f t="shared" si="0"/>
        <v>0.26922000000000001</v>
      </c>
      <c r="H27" s="99"/>
      <c r="I27" s="99"/>
    </row>
    <row r="28" spans="1:9">
      <c r="A28" s="33" t="s">
        <v>209</v>
      </c>
      <c r="B28" s="34" t="s">
        <v>149</v>
      </c>
      <c r="C28" s="35" t="s">
        <v>22</v>
      </c>
      <c r="D28" s="149"/>
      <c r="E28" s="121"/>
      <c r="F28" s="98">
        <v>8.1000000000000003E-2</v>
      </c>
      <c r="G28" s="99">
        <f t="shared" si="0"/>
        <v>8.5050000000000001E-2</v>
      </c>
      <c r="H28" s="99"/>
      <c r="I28" s="99"/>
    </row>
    <row r="29" spans="1:9">
      <c r="A29" s="80"/>
      <c r="B29" s="81"/>
      <c r="C29" s="82"/>
      <c r="D29" s="82"/>
      <c r="E29" s="111"/>
      <c r="F29" s="100"/>
      <c r="G29" s="101">
        <f>SUM(G24:G28)</f>
        <v>3.407915</v>
      </c>
      <c r="H29" s="99"/>
      <c r="I29" s="99"/>
    </row>
    <row r="30" spans="1:9">
      <c r="A30" s="23" t="s">
        <v>210</v>
      </c>
      <c r="B30" s="24"/>
      <c r="C30" s="24"/>
      <c r="D30" s="24"/>
      <c r="E30" s="119"/>
      <c r="F30" s="99"/>
      <c r="G30" s="99"/>
      <c r="H30" s="99"/>
      <c r="I30" s="99"/>
    </row>
    <row r="31" spans="1:9">
      <c r="A31" s="11" t="s">
        <v>211</v>
      </c>
      <c r="B31" s="14">
        <v>90</v>
      </c>
      <c r="C31" s="12" t="s">
        <v>22</v>
      </c>
      <c r="D31" s="159"/>
      <c r="E31" s="110" t="s">
        <v>59</v>
      </c>
      <c r="F31" s="98">
        <f>0.7052*1.3*1.1</f>
        <v>1.0084360000000003</v>
      </c>
      <c r="G31" s="99">
        <f t="shared" ref="G31:G35" si="1">F31*(1+$G$2)</f>
        <v>1.0588578000000004</v>
      </c>
      <c r="H31" s="99"/>
      <c r="I31" s="99"/>
    </row>
    <row r="32" spans="1:9">
      <c r="A32" s="11" t="s">
        <v>84</v>
      </c>
      <c r="B32" s="14">
        <v>30</v>
      </c>
      <c r="C32" s="12" t="s">
        <v>22</v>
      </c>
      <c r="D32" s="160"/>
      <c r="E32" s="110"/>
      <c r="F32" s="98">
        <v>0.27129999999999999</v>
      </c>
      <c r="G32" s="99">
        <f t="shared" si="1"/>
        <v>0.28486499999999998</v>
      </c>
      <c r="H32" s="99"/>
      <c r="I32" s="99"/>
    </row>
    <row r="33" spans="1:16">
      <c r="A33" s="11" t="s">
        <v>212</v>
      </c>
      <c r="B33" s="14">
        <v>30</v>
      </c>
      <c r="C33" s="12" t="s">
        <v>22</v>
      </c>
      <c r="D33" s="160"/>
      <c r="E33" s="110"/>
      <c r="F33" s="98">
        <v>0.16</v>
      </c>
      <c r="G33" s="99">
        <f t="shared" si="1"/>
        <v>0.16800000000000001</v>
      </c>
      <c r="H33" s="99"/>
      <c r="I33" s="99"/>
    </row>
    <row r="34" spans="1:16">
      <c r="A34" s="11" t="s">
        <v>213</v>
      </c>
      <c r="B34" s="14">
        <v>60</v>
      </c>
      <c r="C34" s="12" t="s">
        <v>22</v>
      </c>
      <c r="D34" s="160"/>
      <c r="E34" s="110"/>
      <c r="F34" s="98">
        <v>0.15690000000000001</v>
      </c>
      <c r="G34" s="99">
        <f t="shared" si="1"/>
        <v>0.16474500000000003</v>
      </c>
      <c r="H34" s="99"/>
      <c r="I34" s="99"/>
    </row>
    <row r="35" spans="1:16">
      <c r="A35" s="11" t="s">
        <v>214</v>
      </c>
      <c r="B35" s="34">
        <v>30</v>
      </c>
      <c r="C35" s="35" t="s">
        <v>22</v>
      </c>
      <c r="D35" s="161"/>
      <c r="E35" s="121"/>
      <c r="F35" s="98">
        <v>0.23380000000000001</v>
      </c>
      <c r="G35" s="99">
        <f t="shared" si="1"/>
        <v>0.24549000000000001</v>
      </c>
      <c r="H35" s="99"/>
      <c r="I35" s="99"/>
    </row>
    <row r="36" spans="1:16">
      <c r="A36" s="80"/>
      <c r="B36" s="81"/>
      <c r="C36" s="82"/>
      <c r="D36" s="82"/>
      <c r="E36" s="111"/>
      <c r="F36" s="100"/>
      <c r="G36" s="101">
        <f>SUM(G31:G35)</f>
        <v>1.9219578000000002</v>
      </c>
      <c r="H36" s="99"/>
      <c r="I36" s="99"/>
    </row>
    <row r="37" spans="1:16" ht="14.4" customHeight="1">
      <c r="A37" s="23" t="s">
        <v>215</v>
      </c>
      <c r="B37" s="24"/>
      <c r="C37" s="24"/>
      <c r="D37" s="24"/>
      <c r="E37" s="119"/>
      <c r="F37" s="99"/>
      <c r="G37" s="99"/>
      <c r="H37" s="99"/>
      <c r="I37" s="99"/>
      <c r="J37" s="126" t="s">
        <v>216</v>
      </c>
      <c r="K37" s="24"/>
      <c r="L37" s="24"/>
      <c r="M37" s="24"/>
      <c r="N37" s="25"/>
    </row>
    <row r="38" spans="1:16" ht="14.4" customHeight="1">
      <c r="A38" s="11" t="s">
        <v>217</v>
      </c>
      <c r="B38" s="14" t="s">
        <v>218</v>
      </c>
      <c r="C38" s="12" t="s">
        <v>22</v>
      </c>
      <c r="D38" s="159"/>
      <c r="E38" s="110"/>
      <c r="F38" s="107">
        <f>0.62*4.5</f>
        <v>2.79</v>
      </c>
      <c r="G38" s="99">
        <f t="shared" ref="G38:G42" si="2">F38*(1+$G$2)</f>
        <v>2.9295</v>
      </c>
      <c r="H38" s="99"/>
      <c r="I38" s="99"/>
      <c r="J38" s="127" t="s">
        <v>219</v>
      </c>
      <c r="K38" s="14" t="s">
        <v>220</v>
      </c>
      <c r="L38" s="12" t="s">
        <v>22</v>
      </c>
      <c r="M38" s="95"/>
      <c r="N38" s="13"/>
      <c r="O38" s="86">
        <f>0.75*4</f>
        <v>3</v>
      </c>
      <c r="P38">
        <f t="shared" ref="P38:P42" si="3">O38*(1+$G$2)</f>
        <v>3.1500000000000004</v>
      </c>
    </row>
    <row r="39" spans="1:16" ht="14.4" customHeight="1">
      <c r="A39" s="11" t="s">
        <v>221</v>
      </c>
      <c r="B39" s="14">
        <v>60</v>
      </c>
      <c r="C39" s="12" t="s">
        <v>22</v>
      </c>
      <c r="D39" s="160"/>
      <c r="E39" s="110"/>
      <c r="F39" s="98">
        <v>0.4672</v>
      </c>
      <c r="G39" s="99">
        <f t="shared" si="2"/>
        <v>0.49056000000000005</v>
      </c>
      <c r="H39" s="99"/>
      <c r="I39" s="99"/>
      <c r="J39" s="127" t="s">
        <v>222</v>
      </c>
      <c r="K39" s="14">
        <v>45</v>
      </c>
      <c r="L39" s="12" t="s">
        <v>22</v>
      </c>
      <c r="M39" s="96"/>
      <c r="N39" s="13"/>
      <c r="O39" s="84">
        <f>0.3313*1.3*1.1</f>
        <v>0.47375900000000004</v>
      </c>
      <c r="P39">
        <f t="shared" si="3"/>
        <v>0.49744695000000005</v>
      </c>
    </row>
    <row r="40" spans="1:16" ht="14.4" customHeight="1">
      <c r="A40" s="11" t="s">
        <v>223</v>
      </c>
      <c r="B40" s="14">
        <v>15</v>
      </c>
      <c r="C40" s="12" t="s">
        <v>22</v>
      </c>
      <c r="D40" s="160"/>
      <c r="E40" s="110"/>
      <c r="F40" s="98">
        <v>9.5799999999999996E-2</v>
      </c>
      <c r="G40" s="99">
        <f t="shared" si="2"/>
        <v>0.10059</v>
      </c>
      <c r="H40" s="99"/>
      <c r="I40" s="99"/>
      <c r="J40" s="127" t="s">
        <v>224</v>
      </c>
      <c r="K40" s="14" t="s">
        <v>225</v>
      </c>
      <c r="L40" s="12" t="s">
        <v>22</v>
      </c>
      <c r="M40" s="96"/>
      <c r="N40" s="13"/>
      <c r="O40" s="84">
        <v>8.1000000000000003E-2</v>
      </c>
      <c r="P40">
        <f t="shared" si="3"/>
        <v>8.5050000000000001E-2</v>
      </c>
    </row>
    <row r="41" spans="1:16" ht="14.4" customHeight="1">
      <c r="A41" s="11" t="s">
        <v>77</v>
      </c>
      <c r="B41" s="14">
        <v>8</v>
      </c>
      <c r="C41" s="12" t="s">
        <v>22</v>
      </c>
      <c r="D41" s="160"/>
      <c r="E41" s="110"/>
      <c r="F41" s="98">
        <v>7.4099999999999999E-2</v>
      </c>
      <c r="G41" s="99">
        <f t="shared" si="2"/>
        <v>7.7804999999999999E-2</v>
      </c>
      <c r="H41" s="99"/>
      <c r="I41" s="99"/>
      <c r="J41" s="127" t="s">
        <v>77</v>
      </c>
      <c r="K41" s="14">
        <v>8</v>
      </c>
      <c r="L41" s="12" t="s">
        <v>22</v>
      </c>
      <c r="M41" s="96"/>
      <c r="N41" s="13"/>
      <c r="O41" s="84">
        <v>7.4099999999999999E-2</v>
      </c>
      <c r="P41">
        <f t="shared" si="3"/>
        <v>7.7804999999999999E-2</v>
      </c>
    </row>
    <row r="42" spans="1:16" ht="14.4" customHeight="1">
      <c r="A42" s="11"/>
      <c r="B42" s="34"/>
      <c r="C42" s="12" t="s">
        <v>22</v>
      </c>
      <c r="D42" s="161"/>
      <c r="E42" s="121"/>
      <c r="F42" s="98"/>
      <c r="G42" s="99">
        <f t="shared" si="2"/>
        <v>0</v>
      </c>
      <c r="H42" s="99"/>
      <c r="I42" s="99"/>
      <c r="J42" s="127" t="s">
        <v>226</v>
      </c>
      <c r="K42" s="34">
        <v>15</v>
      </c>
      <c r="L42" s="12" t="s">
        <v>22</v>
      </c>
      <c r="M42" s="97"/>
      <c r="N42" s="36"/>
      <c r="O42" s="84">
        <f>0.0855*1.3*1.1</f>
        <v>0.12226500000000003</v>
      </c>
      <c r="P42">
        <f t="shared" si="3"/>
        <v>0.12837825000000003</v>
      </c>
    </row>
    <row r="43" spans="1:16" ht="14.4" customHeight="1">
      <c r="A43" s="80"/>
      <c r="B43" s="81"/>
      <c r="C43" s="82"/>
      <c r="D43" s="82"/>
      <c r="E43" s="111"/>
      <c r="F43" s="100"/>
      <c r="G43" s="101">
        <f>SUM(G38:G42)</f>
        <v>3.598455</v>
      </c>
      <c r="H43" s="99"/>
      <c r="I43" s="99"/>
      <c r="O43" s="85"/>
      <c r="P43" s="83">
        <f>SUM(P38:P42)</f>
        <v>3.9386802000000003</v>
      </c>
    </row>
    <row r="44" spans="1:16">
      <c r="A44" s="23" t="s">
        <v>227</v>
      </c>
      <c r="B44" s="24"/>
      <c r="C44" s="24"/>
      <c r="D44" s="24"/>
      <c r="E44" s="119"/>
      <c r="F44" s="99"/>
      <c r="G44" s="99"/>
      <c r="H44" s="99"/>
      <c r="I44" s="99"/>
    </row>
    <row r="45" spans="1:16">
      <c r="A45" s="33" t="s">
        <v>228</v>
      </c>
      <c r="B45" s="34">
        <v>60</v>
      </c>
      <c r="C45" s="35" t="s">
        <v>22</v>
      </c>
      <c r="D45" s="35"/>
      <c r="E45" s="121" t="s">
        <v>229</v>
      </c>
      <c r="F45" s="98">
        <f>3.69/6</f>
        <v>0.61499999999999999</v>
      </c>
      <c r="G45" s="99">
        <f t="shared" ref="G45:G46" si="4">F45*(1+$G$2)</f>
        <v>0.64575000000000005</v>
      </c>
      <c r="H45" s="99"/>
      <c r="I45" s="99"/>
    </row>
    <row r="46" spans="1:16">
      <c r="A46" s="33" t="s">
        <v>230</v>
      </c>
      <c r="B46" s="34">
        <v>10</v>
      </c>
      <c r="C46" s="35" t="s">
        <v>22</v>
      </c>
      <c r="D46" s="35"/>
      <c r="E46" s="121"/>
      <c r="F46" s="98">
        <v>5.96E-2</v>
      </c>
      <c r="G46" s="99">
        <f t="shared" si="4"/>
        <v>6.2579999999999997E-2</v>
      </c>
      <c r="H46" s="99"/>
      <c r="I46" s="99"/>
    </row>
    <row r="47" spans="1:16">
      <c r="A47" s="80"/>
      <c r="B47" s="81"/>
      <c r="C47" s="82"/>
      <c r="D47" s="82"/>
      <c r="E47" s="111"/>
      <c r="F47" s="100"/>
      <c r="G47" s="101">
        <f>SUM(G45:G46)</f>
        <v>0.70833000000000002</v>
      </c>
      <c r="H47" s="99"/>
      <c r="I47" s="99"/>
    </row>
    <row r="48" spans="1:16">
      <c r="A48" s="23" t="s">
        <v>231</v>
      </c>
      <c r="B48" s="24"/>
      <c r="C48" s="24"/>
      <c r="D48" s="24"/>
      <c r="E48" s="119"/>
      <c r="F48" s="99"/>
      <c r="G48" s="99"/>
      <c r="H48" s="99"/>
      <c r="I48" s="99"/>
    </row>
    <row r="49" spans="1:9">
      <c r="A49" s="11" t="s">
        <v>232</v>
      </c>
      <c r="B49" s="34">
        <v>40</v>
      </c>
      <c r="C49" s="35" t="s">
        <v>22</v>
      </c>
      <c r="D49" s="35"/>
      <c r="E49" s="121"/>
      <c r="F49" s="98">
        <v>0.45</v>
      </c>
      <c r="G49" s="99">
        <f t="shared" ref="G49" si="5">F49*(1+$G$2)</f>
        <v>0.47250000000000003</v>
      </c>
      <c r="H49" s="99"/>
      <c r="I49" s="99"/>
    </row>
    <row r="50" spans="1:9">
      <c r="A50" s="80"/>
      <c r="B50" s="81"/>
      <c r="C50" s="82"/>
      <c r="D50" s="82"/>
      <c r="E50" s="111"/>
      <c r="F50" s="100"/>
      <c r="G50" s="101">
        <f>SUM(G49:G49)</f>
        <v>0.47250000000000003</v>
      </c>
      <c r="H50" s="99"/>
      <c r="I50" s="99"/>
    </row>
    <row r="51" spans="1:9">
      <c r="A51" s="23" t="s">
        <v>233</v>
      </c>
      <c r="B51" s="24"/>
      <c r="C51" s="24"/>
      <c r="D51" s="24"/>
      <c r="E51" s="119"/>
      <c r="F51" s="99"/>
      <c r="G51" s="99"/>
      <c r="H51" s="99"/>
      <c r="I51" s="99"/>
    </row>
    <row r="52" spans="1:9">
      <c r="A52" s="26" t="s">
        <v>234</v>
      </c>
      <c r="B52" s="27">
        <v>1</v>
      </c>
      <c r="C52" s="28" t="s">
        <v>13</v>
      </c>
      <c r="D52" s="28"/>
      <c r="E52" s="122"/>
      <c r="F52" s="99"/>
      <c r="G52" s="99"/>
      <c r="H52" s="99"/>
      <c r="I52" s="99"/>
    </row>
    <row r="53" spans="1:9">
      <c r="A53" s="26" t="s">
        <v>235</v>
      </c>
      <c r="B53" s="27">
        <v>1</v>
      </c>
      <c r="C53" s="28" t="s">
        <v>13</v>
      </c>
      <c r="D53" s="28"/>
      <c r="E53" s="122"/>
      <c r="F53" s="99"/>
      <c r="G53" s="99"/>
      <c r="H53" s="99"/>
      <c r="I53" s="99"/>
    </row>
    <row r="54" spans="1:9">
      <c r="A54" s="26" t="s">
        <v>236</v>
      </c>
      <c r="B54" s="27">
        <v>1</v>
      </c>
      <c r="C54" s="28" t="s">
        <v>13</v>
      </c>
      <c r="D54" s="28"/>
      <c r="E54" s="122"/>
      <c r="F54" s="99"/>
      <c r="G54" s="99"/>
      <c r="H54" s="99"/>
      <c r="I54" s="99"/>
    </row>
    <row r="55" spans="1:9">
      <c r="A55" s="26" t="s">
        <v>237</v>
      </c>
      <c r="B55" s="27">
        <v>1</v>
      </c>
      <c r="C55" s="28" t="s">
        <v>13</v>
      </c>
      <c r="D55" s="28"/>
      <c r="E55" s="122"/>
      <c r="F55" s="99"/>
      <c r="G55" s="99"/>
      <c r="H55" s="99"/>
      <c r="I55" s="99"/>
    </row>
    <row r="56" spans="1:9">
      <c r="A56" s="26" t="s">
        <v>238</v>
      </c>
      <c r="B56" s="27">
        <v>1</v>
      </c>
      <c r="C56" s="28" t="s">
        <v>13</v>
      </c>
      <c r="D56" s="28"/>
      <c r="E56" s="122"/>
      <c r="F56" s="99"/>
      <c r="G56" s="99"/>
      <c r="H56" s="99"/>
      <c r="I56" s="99"/>
    </row>
    <row r="57" spans="1:9">
      <c r="A57" s="26" t="s">
        <v>239</v>
      </c>
      <c r="B57" s="27">
        <v>1</v>
      </c>
      <c r="C57" s="28" t="s">
        <v>13</v>
      </c>
      <c r="D57" s="28"/>
      <c r="E57" s="122"/>
      <c r="F57" s="99"/>
      <c r="G57" s="99"/>
      <c r="H57" s="99"/>
      <c r="I57" s="99"/>
    </row>
    <row r="58" spans="1:9">
      <c r="A58" s="26" t="s">
        <v>240</v>
      </c>
      <c r="B58" s="27">
        <v>1</v>
      </c>
      <c r="C58" s="28" t="s">
        <v>13</v>
      </c>
      <c r="D58" s="28"/>
      <c r="E58" s="122"/>
      <c r="F58" s="99"/>
      <c r="G58" s="99"/>
      <c r="H58" s="99"/>
      <c r="I58" s="99"/>
    </row>
    <row r="59" spans="1:9">
      <c r="A59" s="26" t="s">
        <v>241</v>
      </c>
      <c r="B59" s="27">
        <v>1</v>
      </c>
      <c r="C59" s="28" t="s">
        <v>13</v>
      </c>
      <c r="D59" s="28"/>
      <c r="E59" s="122"/>
      <c r="F59" s="99"/>
      <c r="G59" s="99"/>
      <c r="H59" s="99"/>
      <c r="I59" s="99"/>
    </row>
    <row r="60" spans="1:9">
      <c r="A60" s="26" t="s">
        <v>242</v>
      </c>
      <c r="B60" s="27">
        <v>1</v>
      </c>
      <c r="C60" s="28" t="s">
        <v>13</v>
      </c>
      <c r="D60" s="28"/>
      <c r="E60" s="122"/>
      <c r="F60" s="99"/>
      <c r="G60" s="99"/>
      <c r="H60" s="99"/>
      <c r="I60" s="99"/>
    </row>
    <row r="61" spans="1:9">
      <c r="A61" s="26" t="s">
        <v>243</v>
      </c>
      <c r="B61" s="27">
        <v>1</v>
      </c>
      <c r="C61" s="28" t="s">
        <v>13</v>
      </c>
      <c r="D61" s="28"/>
      <c r="E61" s="122"/>
      <c r="F61" s="99"/>
      <c r="G61" s="99"/>
      <c r="H61" s="99"/>
      <c r="I61" s="99"/>
    </row>
    <row r="62" spans="1:9">
      <c r="A62" s="23" t="s">
        <v>244</v>
      </c>
      <c r="B62" s="24"/>
      <c r="C62" s="24"/>
      <c r="D62" s="24"/>
      <c r="E62" s="119"/>
      <c r="F62" s="99"/>
      <c r="G62" s="99"/>
      <c r="H62" s="99"/>
      <c r="I62" s="99"/>
    </row>
    <row r="63" spans="1:9">
      <c r="A63" s="33" t="s">
        <v>245</v>
      </c>
      <c r="B63" s="34">
        <v>30</v>
      </c>
      <c r="C63" s="35" t="s">
        <v>139</v>
      </c>
      <c r="D63" s="35"/>
      <c r="E63" s="121"/>
      <c r="F63" s="98">
        <v>0.3075</v>
      </c>
      <c r="G63" s="99">
        <f t="shared" ref="G63:G70" si="6">F63*(1+$G$2)</f>
        <v>0.32287500000000002</v>
      </c>
      <c r="H63" s="103">
        <f>10.73/0.98/450*30</f>
        <v>0.7299319727891157</v>
      </c>
      <c r="I63" s="99"/>
    </row>
    <row r="64" spans="1:9">
      <c r="A64" s="11" t="s">
        <v>246</v>
      </c>
      <c r="B64" s="34" t="s">
        <v>247</v>
      </c>
      <c r="C64" s="35" t="s">
        <v>139</v>
      </c>
      <c r="D64" s="35"/>
      <c r="E64" s="123"/>
      <c r="F64" s="98">
        <v>8.4900000000000003E-2</v>
      </c>
      <c r="G64" s="99">
        <f t="shared" si="6"/>
        <v>8.9145000000000002E-2</v>
      </c>
      <c r="H64" s="99">
        <v>8.9145000000000002E-2</v>
      </c>
      <c r="I64" s="99"/>
    </row>
    <row r="65" spans="1:9">
      <c r="A65" s="33" t="s">
        <v>248</v>
      </c>
      <c r="B65" s="34">
        <v>1</v>
      </c>
      <c r="C65" s="35" t="s">
        <v>13</v>
      </c>
      <c r="D65" s="35"/>
      <c r="E65" s="121"/>
      <c r="F65" s="98">
        <v>8.4900000000000003E-2</v>
      </c>
      <c r="G65" s="99">
        <f t="shared" si="6"/>
        <v>8.9145000000000002E-2</v>
      </c>
      <c r="H65" s="99">
        <v>8.9145000000000002E-2</v>
      </c>
      <c r="I65" s="99"/>
    </row>
    <row r="66" spans="1:9">
      <c r="A66" s="33" t="s">
        <v>249</v>
      </c>
      <c r="B66" s="34">
        <v>1</v>
      </c>
      <c r="C66" s="35" t="s">
        <v>13</v>
      </c>
      <c r="D66" s="35"/>
      <c r="E66" s="121"/>
      <c r="F66" s="98">
        <v>9.5200000000000007E-2</v>
      </c>
      <c r="G66" s="99">
        <f t="shared" si="6"/>
        <v>9.9960000000000007E-2</v>
      </c>
      <c r="H66" s="99">
        <v>9.9960000000000007E-2</v>
      </c>
      <c r="I66" s="99"/>
    </row>
    <row r="67" spans="1:9">
      <c r="A67" s="33" t="s">
        <v>250</v>
      </c>
      <c r="B67" s="34" t="s">
        <v>251</v>
      </c>
      <c r="C67" s="35" t="s">
        <v>22</v>
      </c>
      <c r="D67" s="35"/>
      <c r="E67" s="121"/>
      <c r="F67" s="98">
        <v>1.72E-2</v>
      </c>
      <c r="G67" s="99">
        <f t="shared" si="6"/>
        <v>1.806E-2</v>
      </c>
      <c r="H67" s="99">
        <v>1.806E-2</v>
      </c>
      <c r="I67" s="99"/>
    </row>
    <row r="68" spans="1:9">
      <c r="A68" s="33" t="s">
        <v>252</v>
      </c>
      <c r="B68" s="34">
        <v>10</v>
      </c>
      <c r="C68" s="35" t="s">
        <v>22</v>
      </c>
      <c r="D68" s="35"/>
      <c r="E68" s="121"/>
      <c r="F68" s="98">
        <v>4.5900000000000003E-2</v>
      </c>
      <c r="G68" s="99">
        <f t="shared" si="6"/>
        <v>4.8195000000000009E-2</v>
      </c>
      <c r="H68" s="99">
        <v>4.8195000000000009E-2</v>
      </c>
      <c r="I68" s="99"/>
    </row>
    <row r="69" spans="1:9">
      <c r="A69" s="33" t="s">
        <v>253</v>
      </c>
      <c r="B69" s="34">
        <v>1</v>
      </c>
      <c r="C69" s="35" t="s">
        <v>254</v>
      </c>
      <c r="D69" s="35"/>
      <c r="E69" s="121"/>
      <c r="F69" s="98">
        <v>0.3075</v>
      </c>
      <c r="G69" s="99">
        <f t="shared" si="6"/>
        <v>0.32287500000000002</v>
      </c>
      <c r="H69" s="99">
        <v>0.32287500000000002</v>
      </c>
      <c r="I69" s="99"/>
    </row>
    <row r="70" spans="1:9">
      <c r="A70" s="33" t="s">
        <v>255</v>
      </c>
      <c r="B70" s="34">
        <v>25</v>
      </c>
      <c r="C70" s="35" t="s">
        <v>139</v>
      </c>
      <c r="D70" s="35"/>
      <c r="E70" s="121"/>
      <c r="F70" s="98">
        <v>0.1419</v>
      </c>
      <c r="G70" s="99">
        <f t="shared" si="6"/>
        <v>0.14899500000000002</v>
      </c>
      <c r="H70" s="99">
        <v>0.14899500000000002</v>
      </c>
      <c r="I70" s="99"/>
    </row>
    <row r="71" spans="1:9">
      <c r="A71" s="80"/>
      <c r="B71" s="81"/>
      <c r="C71" s="82"/>
      <c r="D71" s="82"/>
      <c r="E71" s="111"/>
      <c r="F71" s="100"/>
      <c r="G71" s="101">
        <f>SUM(G63:G70)+0.25</f>
        <v>1.3892500000000001</v>
      </c>
      <c r="H71" s="105">
        <f>SUM(H63:H70)</f>
        <v>1.5463069727891157</v>
      </c>
      <c r="I71" s="106">
        <f>H71-G71</f>
        <v>0.15705697278911557</v>
      </c>
    </row>
    <row r="72" spans="1:9">
      <c r="A72" s="33"/>
      <c r="B72" s="34"/>
      <c r="C72" s="35"/>
      <c r="D72" s="35"/>
      <c r="E72" s="121"/>
      <c r="F72" s="99"/>
      <c r="G72" s="99"/>
      <c r="H72" s="99"/>
      <c r="I72" s="99"/>
    </row>
    <row r="73" spans="1:9">
      <c r="A73" s="33"/>
      <c r="B73" s="34"/>
      <c r="C73" s="35"/>
      <c r="D73" s="35"/>
      <c r="E73" s="121"/>
      <c r="F73" s="99"/>
      <c r="G73" s="99"/>
      <c r="H73" s="99"/>
      <c r="I73" s="99"/>
    </row>
    <row r="74" spans="1:9">
      <c r="A74" s="29" t="s">
        <v>256</v>
      </c>
      <c r="B74" s="29">
        <v>1</v>
      </c>
      <c r="C74" s="29" t="s">
        <v>13</v>
      </c>
      <c r="D74" s="29"/>
      <c r="E74" s="124" t="s">
        <v>257</v>
      </c>
      <c r="F74" s="99"/>
      <c r="G74" s="99"/>
      <c r="H74" s="99"/>
      <c r="I74" s="99"/>
    </row>
    <row r="75" spans="1:9">
      <c r="A75" s="29" t="s">
        <v>258</v>
      </c>
      <c r="B75" s="29">
        <v>1</v>
      </c>
      <c r="C75" s="29" t="s">
        <v>13</v>
      </c>
      <c r="D75" s="29"/>
      <c r="E75" s="124" t="s">
        <v>259</v>
      </c>
      <c r="F75" s="99"/>
      <c r="G75" s="99"/>
      <c r="H75" s="99"/>
      <c r="I75" s="99"/>
    </row>
    <row r="76" spans="1:9">
      <c r="A76" s="29" t="s">
        <v>260</v>
      </c>
      <c r="B76" s="29">
        <v>1</v>
      </c>
      <c r="C76" s="29" t="s">
        <v>13</v>
      </c>
      <c r="D76" s="29"/>
      <c r="E76" s="124" t="s">
        <v>261</v>
      </c>
      <c r="F76" s="99"/>
      <c r="G76" s="99"/>
      <c r="H76" s="99"/>
      <c r="I76" s="99"/>
    </row>
    <row r="77" spans="1:9">
      <c r="A77" s="29" t="s">
        <v>262</v>
      </c>
      <c r="B77" s="29">
        <v>1</v>
      </c>
      <c r="C77" s="29" t="s">
        <v>13</v>
      </c>
      <c r="D77" s="29"/>
      <c r="E77" s="124" t="s">
        <v>263</v>
      </c>
      <c r="F77" s="99"/>
      <c r="G77" s="99"/>
      <c r="H77" s="99"/>
      <c r="I77" s="99"/>
    </row>
    <row r="78" spans="1:9">
      <c r="A78" s="29" t="s">
        <v>264</v>
      </c>
      <c r="B78" s="29">
        <v>1</v>
      </c>
      <c r="C78" s="29" t="s">
        <v>13</v>
      </c>
      <c r="D78" s="29"/>
      <c r="E78" s="124" t="s">
        <v>265</v>
      </c>
      <c r="F78" s="99"/>
      <c r="G78" s="99"/>
      <c r="H78" s="99"/>
      <c r="I78" s="99"/>
    </row>
    <row r="79" spans="1:9">
      <c r="A79" s="55" t="s">
        <v>266</v>
      </c>
      <c r="B79" s="55">
        <v>1</v>
      </c>
      <c r="C79" s="55" t="s">
        <v>13</v>
      </c>
      <c r="D79" s="55"/>
      <c r="E79" s="124" t="s">
        <v>267</v>
      </c>
      <c r="F79" s="99"/>
      <c r="G79" s="99"/>
      <c r="H79" s="99"/>
      <c r="I79" s="99"/>
    </row>
    <row r="80" spans="1:9">
      <c r="A80" s="55" t="s">
        <v>268</v>
      </c>
      <c r="B80" s="55">
        <v>1</v>
      </c>
      <c r="C80" s="55" t="s">
        <v>13</v>
      </c>
      <c r="D80" s="55"/>
      <c r="E80" s="124" t="s">
        <v>269</v>
      </c>
      <c r="F80" s="99"/>
      <c r="G80" s="99"/>
      <c r="H80" s="99"/>
      <c r="I80" s="99"/>
    </row>
    <row r="81" spans="1:9">
      <c r="A81" s="55" t="s">
        <v>270</v>
      </c>
      <c r="B81" s="55">
        <v>1</v>
      </c>
      <c r="C81" s="55" t="s">
        <v>13</v>
      </c>
      <c r="D81" s="55"/>
      <c r="E81" s="124" t="s">
        <v>271</v>
      </c>
      <c r="F81" s="99"/>
      <c r="G81" s="99"/>
      <c r="H81" s="99"/>
      <c r="I81" s="99"/>
    </row>
    <row r="82" spans="1:9">
      <c r="A82" s="55" t="s">
        <v>272</v>
      </c>
      <c r="B82" s="55">
        <v>1</v>
      </c>
      <c r="C82" s="55" t="s">
        <v>13</v>
      </c>
      <c r="D82" s="55"/>
      <c r="E82" s="124" t="s">
        <v>273</v>
      </c>
      <c r="F82" s="99"/>
      <c r="G82" s="99"/>
      <c r="H82" s="99"/>
      <c r="I82" s="99"/>
    </row>
    <row r="83" spans="1:9">
      <c r="A83" s="55" t="s">
        <v>274</v>
      </c>
      <c r="B83" s="55">
        <v>1</v>
      </c>
      <c r="C83" s="55" t="s">
        <v>13</v>
      </c>
      <c r="D83" s="55"/>
      <c r="E83" s="124" t="s">
        <v>275</v>
      </c>
      <c r="F83" s="99"/>
      <c r="G83" s="99"/>
      <c r="H83" s="99"/>
      <c r="I83" s="99"/>
    </row>
    <row r="84" spans="1:9">
      <c r="A84" s="29" t="s">
        <v>276</v>
      </c>
      <c r="B84" s="29">
        <v>1</v>
      </c>
      <c r="C84" s="29" t="s">
        <v>13</v>
      </c>
      <c r="D84" s="29"/>
      <c r="E84" s="124"/>
      <c r="F84" s="99"/>
      <c r="G84" s="99"/>
      <c r="H84" s="99"/>
      <c r="I84" s="99"/>
    </row>
    <row r="85" spans="1:9">
      <c r="A85" s="29" t="s">
        <v>277</v>
      </c>
      <c r="B85" s="29">
        <v>1</v>
      </c>
      <c r="C85" s="29" t="s">
        <v>13</v>
      </c>
      <c r="D85" s="29"/>
      <c r="E85" s="124"/>
      <c r="F85" s="99"/>
      <c r="G85" s="99"/>
      <c r="H85" s="99"/>
      <c r="I85" s="99"/>
    </row>
    <row r="86" spans="1:9">
      <c r="A86" s="37" t="s">
        <v>278</v>
      </c>
      <c r="B86" s="37">
        <v>1</v>
      </c>
      <c r="C86" s="37" t="s">
        <v>13</v>
      </c>
      <c r="D86" s="37"/>
      <c r="E86" s="125"/>
      <c r="F86" s="99"/>
      <c r="G86" s="99"/>
      <c r="H86" s="99"/>
      <c r="I86" s="99"/>
    </row>
  </sheetData>
  <mergeCells count="4">
    <mergeCell ref="D20:D21"/>
    <mergeCell ref="D24:D28"/>
    <mergeCell ref="D31:D35"/>
    <mergeCell ref="D38:D42"/>
  </mergeCells>
  <pageMargins left="0.7" right="0.7" top="0.75" bottom="0.75" header="0.3" footer="0.3"/>
  <pageSetup scale="4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186C-DB82-4782-80A9-60811D78E2B8}">
  <sheetPr>
    <pageSetUpPr fitToPage="1"/>
  </sheetPr>
  <dimension ref="A1:O78"/>
  <sheetViews>
    <sheetView topLeftCell="A50" zoomScaleNormal="100" workbookViewId="0">
      <selection activeCell="A39" sqref="A39:G42"/>
    </sheetView>
  </sheetViews>
  <sheetFormatPr defaultRowHeight="14.4"/>
  <cols>
    <col min="1" max="1" width="45.6640625" style="17" customWidth="1"/>
    <col min="2" max="4" width="10.6640625" style="18" customWidth="1"/>
    <col min="5" max="5" width="67.33203125" style="19" customWidth="1"/>
    <col min="6" max="9" width="18.33203125" customWidth="1"/>
    <col min="10" max="10" width="30.6640625" customWidth="1"/>
  </cols>
  <sheetData>
    <row r="1" spans="1:10">
      <c r="A1" s="17" t="s">
        <v>183</v>
      </c>
    </row>
    <row r="2" spans="1:10" ht="17.399999999999999">
      <c r="A2" s="20" t="s">
        <v>279</v>
      </c>
      <c r="B2" s="21"/>
      <c r="C2" s="21"/>
      <c r="D2" s="21"/>
      <c r="E2" s="22"/>
      <c r="F2" s="84"/>
      <c r="G2" s="79">
        <v>0.05</v>
      </c>
    </row>
    <row r="3" spans="1:10" ht="30" customHeight="1">
      <c r="A3" s="4" t="s">
        <v>1</v>
      </c>
      <c r="B3" s="4" t="s">
        <v>2</v>
      </c>
      <c r="C3" s="4" t="s">
        <v>3</v>
      </c>
      <c r="D3" s="4" t="s">
        <v>4</v>
      </c>
      <c r="E3" s="133" t="s">
        <v>5</v>
      </c>
      <c r="F3" s="116" t="s">
        <v>7</v>
      </c>
      <c r="G3" s="117" t="s">
        <v>8</v>
      </c>
      <c r="H3" s="118" t="s">
        <v>9</v>
      </c>
      <c r="I3" s="117" t="s">
        <v>10</v>
      </c>
      <c r="J3" s="88" t="s">
        <v>11</v>
      </c>
    </row>
    <row r="4" spans="1:10">
      <c r="A4" s="23" t="s">
        <v>280</v>
      </c>
      <c r="B4" s="24"/>
      <c r="C4" s="24"/>
      <c r="D4" s="24"/>
      <c r="E4" s="119"/>
      <c r="F4" s="99"/>
      <c r="G4" s="99"/>
      <c r="H4" s="99"/>
      <c r="I4" s="99"/>
    </row>
    <row r="5" spans="1:10">
      <c r="A5" s="26" t="s">
        <v>234</v>
      </c>
      <c r="B5" s="27">
        <v>1</v>
      </c>
      <c r="C5" s="28" t="s">
        <v>13</v>
      </c>
      <c r="D5" s="150">
        <v>1</v>
      </c>
      <c r="E5" s="122"/>
      <c r="F5" s="99"/>
      <c r="G5" s="99"/>
      <c r="H5" s="99"/>
      <c r="I5" s="99"/>
    </row>
    <row r="6" spans="1:10">
      <c r="A6" s="26" t="s">
        <v>281</v>
      </c>
      <c r="B6" s="27">
        <v>1</v>
      </c>
      <c r="C6" s="28" t="s">
        <v>13</v>
      </c>
      <c r="D6" s="151"/>
      <c r="E6" s="122"/>
      <c r="F6" s="99"/>
      <c r="G6" s="99"/>
      <c r="H6" s="99"/>
      <c r="I6" s="99"/>
    </row>
    <row r="7" spans="1:10">
      <c r="A7" s="26" t="s">
        <v>282</v>
      </c>
      <c r="B7" s="27">
        <v>1</v>
      </c>
      <c r="C7" s="28" t="s">
        <v>13</v>
      </c>
      <c r="D7" s="151"/>
      <c r="E7" s="122"/>
      <c r="F7" s="99"/>
      <c r="G7" s="99"/>
      <c r="H7" s="99"/>
      <c r="I7" s="99"/>
    </row>
    <row r="8" spans="1:10">
      <c r="A8" s="26" t="s">
        <v>283</v>
      </c>
      <c r="B8" s="27">
        <v>1</v>
      </c>
      <c r="C8" s="28" t="s">
        <v>13</v>
      </c>
      <c r="D8" s="151"/>
      <c r="E8" s="122"/>
      <c r="F8" s="99"/>
      <c r="G8" s="99"/>
      <c r="H8" s="99"/>
      <c r="I8" s="99"/>
    </row>
    <row r="9" spans="1:10">
      <c r="A9" s="26" t="s">
        <v>284</v>
      </c>
      <c r="B9" s="27">
        <v>1</v>
      </c>
      <c r="C9" s="28" t="s">
        <v>13</v>
      </c>
      <c r="D9" s="151"/>
      <c r="E9" s="122"/>
      <c r="F9" s="99"/>
      <c r="G9" s="99"/>
      <c r="H9" s="99"/>
      <c r="I9" s="99"/>
    </row>
    <row r="10" spans="1:10">
      <c r="A10" s="26" t="s">
        <v>285</v>
      </c>
      <c r="B10" s="27">
        <v>1</v>
      </c>
      <c r="C10" s="28" t="s">
        <v>13</v>
      </c>
      <c r="D10" s="151"/>
      <c r="E10" s="122"/>
      <c r="F10" s="99"/>
      <c r="G10" s="99"/>
      <c r="H10" s="99"/>
      <c r="I10" s="99"/>
    </row>
    <row r="11" spans="1:10">
      <c r="A11" s="26" t="s">
        <v>286</v>
      </c>
      <c r="B11" s="27">
        <v>1</v>
      </c>
      <c r="C11" s="28" t="s">
        <v>13</v>
      </c>
      <c r="D11" s="151"/>
      <c r="E11" s="122"/>
      <c r="F11" s="99"/>
      <c r="G11" s="99"/>
      <c r="H11" s="99"/>
      <c r="I11" s="99"/>
    </row>
    <row r="12" spans="1:10">
      <c r="A12" s="26" t="s">
        <v>287</v>
      </c>
      <c r="B12" s="27">
        <v>1</v>
      </c>
      <c r="C12" s="28" t="s">
        <v>13</v>
      </c>
      <c r="D12" s="151"/>
      <c r="E12" s="122"/>
      <c r="F12" s="99"/>
      <c r="G12" s="99"/>
      <c r="H12" s="99"/>
      <c r="I12" s="99"/>
    </row>
    <row r="13" spans="1:10">
      <c r="A13" s="26" t="s">
        <v>240</v>
      </c>
      <c r="B13" s="27">
        <v>1</v>
      </c>
      <c r="C13" s="28" t="s">
        <v>13</v>
      </c>
      <c r="D13" s="151"/>
      <c r="E13" s="122"/>
      <c r="F13" s="99"/>
      <c r="G13" s="99"/>
      <c r="H13" s="99"/>
      <c r="I13" s="99"/>
    </row>
    <row r="14" spans="1:10">
      <c r="A14" s="26" t="s">
        <v>288</v>
      </c>
      <c r="B14" s="27">
        <v>1</v>
      </c>
      <c r="C14" s="28" t="s">
        <v>13</v>
      </c>
      <c r="D14" s="152"/>
      <c r="E14" s="122"/>
      <c r="F14" s="99"/>
      <c r="G14" s="99"/>
      <c r="H14" s="99"/>
      <c r="I14" s="99"/>
    </row>
    <row r="15" spans="1:10">
      <c r="A15" s="26" t="s">
        <v>289</v>
      </c>
      <c r="B15" s="27">
        <v>1</v>
      </c>
      <c r="C15" s="28" t="s">
        <v>13</v>
      </c>
      <c r="D15" s="78"/>
      <c r="E15" s="122"/>
      <c r="F15" s="131">
        <v>0.12</v>
      </c>
      <c r="G15" s="99"/>
      <c r="H15" s="99"/>
      <c r="I15" s="99"/>
    </row>
    <row r="16" spans="1:10">
      <c r="A16" s="23" t="s">
        <v>290</v>
      </c>
      <c r="B16" s="24"/>
      <c r="C16" s="24"/>
      <c r="D16" s="24"/>
      <c r="E16" s="119"/>
      <c r="F16" s="99"/>
      <c r="G16" s="99"/>
      <c r="H16" s="99"/>
      <c r="I16" s="99"/>
    </row>
    <row r="17" spans="1:15">
      <c r="A17" s="33" t="s">
        <v>291</v>
      </c>
      <c r="B17" s="34">
        <v>10</v>
      </c>
      <c r="C17" s="35" t="s">
        <v>22</v>
      </c>
      <c r="D17" s="147">
        <v>1</v>
      </c>
      <c r="E17" s="121"/>
      <c r="F17" s="99">
        <v>5.8000000000000003E-2</v>
      </c>
      <c r="G17" s="99">
        <f>F17*(1+$G$2)</f>
        <v>6.0900000000000003E-2</v>
      </c>
      <c r="H17" s="99"/>
      <c r="I17" s="99"/>
    </row>
    <row r="18" spans="1:15">
      <c r="A18" s="33" t="s">
        <v>292</v>
      </c>
      <c r="B18" s="34">
        <v>15</v>
      </c>
      <c r="C18" s="35" t="s">
        <v>139</v>
      </c>
      <c r="D18" s="148"/>
      <c r="E18" s="121"/>
      <c r="F18" s="99">
        <v>1.9599999999999999E-2</v>
      </c>
      <c r="G18" s="99">
        <f>F18*(1+$G$2)</f>
        <v>2.0580000000000001E-2</v>
      </c>
      <c r="H18" s="99"/>
      <c r="I18" s="99"/>
    </row>
    <row r="19" spans="1:15">
      <c r="A19" s="33" t="s">
        <v>293</v>
      </c>
      <c r="B19" s="34">
        <v>10</v>
      </c>
      <c r="C19" s="35" t="s">
        <v>22</v>
      </c>
      <c r="D19" s="148"/>
      <c r="E19" s="121"/>
      <c r="F19" s="99">
        <v>2.1399999999999999E-2</v>
      </c>
      <c r="G19" s="99">
        <f>F19*(1+$G$2)</f>
        <v>2.247E-2</v>
      </c>
      <c r="H19" s="99"/>
      <c r="I19" s="99"/>
    </row>
    <row r="20" spans="1:15">
      <c r="A20" s="33" t="s">
        <v>294</v>
      </c>
      <c r="B20" s="34">
        <v>20</v>
      </c>
      <c r="C20" s="35" t="s">
        <v>22</v>
      </c>
      <c r="D20" s="149"/>
      <c r="E20" s="121"/>
      <c r="F20" s="131">
        <f>6.85/450*20</f>
        <v>0.30444444444444446</v>
      </c>
      <c r="G20" s="99">
        <f>F20*(1+$G$2)</f>
        <v>0.31966666666666671</v>
      </c>
      <c r="H20" s="99"/>
      <c r="I20" s="99"/>
    </row>
    <row r="21" spans="1:15">
      <c r="A21" s="48"/>
      <c r="B21" s="49"/>
      <c r="C21" s="50"/>
      <c r="D21" s="87"/>
      <c r="E21" s="134"/>
      <c r="F21" s="100"/>
      <c r="G21" s="101">
        <f>SUM(G17:G20)</f>
        <v>0.4236166666666667</v>
      </c>
      <c r="H21" s="99"/>
      <c r="I21" s="99"/>
    </row>
    <row r="22" spans="1:15">
      <c r="A22" s="23" t="s">
        <v>210</v>
      </c>
      <c r="B22" s="24"/>
      <c r="C22" s="24"/>
      <c r="D22" s="24"/>
      <c r="E22" s="135"/>
      <c r="F22" s="99"/>
      <c r="G22" s="99"/>
      <c r="H22" s="99"/>
      <c r="I22" s="99"/>
    </row>
    <row r="23" spans="1:15">
      <c r="A23" s="11" t="s">
        <v>211</v>
      </c>
      <c r="B23" s="14">
        <v>90</v>
      </c>
      <c r="C23" s="12" t="s">
        <v>22</v>
      </c>
      <c r="D23" s="162">
        <v>1</v>
      </c>
      <c r="E23" s="136"/>
      <c r="F23" s="98">
        <f>0.7052*1.3*1.1</f>
        <v>1.0084360000000003</v>
      </c>
      <c r="G23" s="99">
        <f>F23*(1+$G$2)</f>
        <v>1.0588578000000004</v>
      </c>
      <c r="H23" s="99"/>
      <c r="I23" s="99"/>
    </row>
    <row r="24" spans="1:15">
      <c r="A24" s="11" t="s">
        <v>84</v>
      </c>
      <c r="B24" s="14">
        <v>30</v>
      </c>
      <c r="C24" s="12" t="s">
        <v>22</v>
      </c>
      <c r="D24" s="160"/>
      <c r="E24" s="136"/>
      <c r="F24" s="98">
        <v>0.27129999999999999</v>
      </c>
      <c r="G24" s="99">
        <f>F24*(1+$G$2)</f>
        <v>0.28486499999999998</v>
      </c>
      <c r="H24" s="99"/>
      <c r="I24" s="99"/>
    </row>
    <row r="25" spans="1:15">
      <c r="A25" s="11" t="s">
        <v>212</v>
      </c>
      <c r="B25" s="14">
        <v>30</v>
      </c>
      <c r="C25" s="12" t="s">
        <v>22</v>
      </c>
      <c r="D25" s="160"/>
      <c r="E25" s="136"/>
      <c r="F25" s="98">
        <v>0.16</v>
      </c>
      <c r="G25" s="99">
        <f>F25*(1+$G$2)</f>
        <v>0.16800000000000001</v>
      </c>
      <c r="H25" s="99"/>
      <c r="I25" s="99"/>
    </row>
    <row r="26" spans="1:15">
      <c r="A26" s="11" t="s">
        <v>213</v>
      </c>
      <c r="B26" s="14">
        <v>60</v>
      </c>
      <c r="C26" s="12" t="s">
        <v>22</v>
      </c>
      <c r="D26" s="160"/>
      <c r="E26" s="136"/>
      <c r="F26" s="98">
        <v>0.15690000000000001</v>
      </c>
      <c r="G26" s="99">
        <f>F26*(1+$G$2)</f>
        <v>0.16474500000000003</v>
      </c>
      <c r="H26" s="99"/>
      <c r="I26" s="99"/>
    </row>
    <row r="27" spans="1:15">
      <c r="A27" s="11" t="s">
        <v>214</v>
      </c>
      <c r="B27" s="34">
        <v>30</v>
      </c>
      <c r="C27" s="35" t="s">
        <v>22</v>
      </c>
      <c r="D27" s="161"/>
      <c r="E27" s="137"/>
      <c r="F27" s="98">
        <v>0.23380000000000001</v>
      </c>
      <c r="G27" s="99">
        <f>F27*(1+$G$2)</f>
        <v>0.24549000000000001</v>
      </c>
      <c r="H27" s="99"/>
      <c r="I27" s="99"/>
    </row>
    <row r="28" spans="1:15">
      <c r="A28" s="48"/>
      <c r="B28" s="49"/>
      <c r="C28" s="50"/>
      <c r="D28" s="87"/>
      <c r="E28" s="134"/>
      <c r="F28" s="100"/>
      <c r="G28" s="101">
        <f>SUM(G23:G27)</f>
        <v>1.9219578000000002</v>
      </c>
      <c r="H28" s="99"/>
      <c r="I28" s="99"/>
    </row>
    <row r="29" spans="1:15" ht="14.4" customHeight="1">
      <c r="A29" s="23" t="s">
        <v>295</v>
      </c>
      <c r="B29" s="24"/>
      <c r="C29" s="24"/>
      <c r="D29" s="24"/>
      <c r="E29" s="119"/>
      <c r="F29" s="99"/>
      <c r="G29" s="99"/>
      <c r="H29" s="99"/>
      <c r="I29" s="99"/>
      <c r="J29" s="126" t="s">
        <v>296</v>
      </c>
      <c r="K29" s="24"/>
      <c r="L29" s="24"/>
      <c r="M29" s="24"/>
    </row>
    <row r="30" spans="1:15" ht="14.4" customHeight="1">
      <c r="A30" s="33" t="s">
        <v>297</v>
      </c>
      <c r="B30" s="34">
        <v>60</v>
      </c>
      <c r="C30" s="35" t="s">
        <v>22</v>
      </c>
      <c r="D30" s="147">
        <v>1</v>
      </c>
      <c r="E30" s="121"/>
      <c r="F30" s="98">
        <v>0.40050000000000002</v>
      </c>
      <c r="G30" s="99">
        <f>F30</f>
        <v>0.40050000000000002</v>
      </c>
      <c r="H30" s="99"/>
      <c r="I30" s="99"/>
      <c r="J30" s="139" t="s">
        <v>298</v>
      </c>
      <c r="K30" s="34">
        <v>45</v>
      </c>
      <c r="L30" s="35" t="s">
        <v>22</v>
      </c>
      <c r="M30" s="94">
        <v>1</v>
      </c>
      <c r="N30">
        <f>19.82/40</f>
        <v>0.4955</v>
      </c>
      <c r="O30">
        <f>N30*(1+$G$2)</f>
        <v>0.52027500000000004</v>
      </c>
    </row>
    <row r="31" spans="1:15" ht="14.4" customHeight="1">
      <c r="A31" s="33" t="s">
        <v>299</v>
      </c>
      <c r="B31" s="34">
        <v>3</v>
      </c>
      <c r="C31" s="35" t="s">
        <v>22</v>
      </c>
      <c r="D31" s="149"/>
      <c r="E31" s="121" t="s">
        <v>300</v>
      </c>
      <c r="F31" s="99">
        <f>22.92/450*3</f>
        <v>0.15280000000000002</v>
      </c>
      <c r="G31" s="99">
        <f>F31</f>
        <v>0.15280000000000002</v>
      </c>
      <c r="H31" s="99"/>
      <c r="I31" s="99"/>
      <c r="J31" s="139"/>
      <c r="K31" s="34"/>
      <c r="L31" s="137"/>
      <c r="M31" s="146"/>
    </row>
    <row r="32" spans="1:15" ht="14.4" customHeight="1">
      <c r="A32" s="48"/>
      <c r="B32" s="49"/>
      <c r="C32" s="50"/>
      <c r="D32" s="87"/>
      <c r="E32" s="134"/>
      <c r="F32" s="100"/>
      <c r="G32" s="101">
        <f>SUM(G30:G31)</f>
        <v>0.55330000000000001</v>
      </c>
      <c r="H32" s="99"/>
      <c r="I32" s="99"/>
      <c r="N32" s="85"/>
      <c r="O32" s="83">
        <f>SUM(O30:O31)</f>
        <v>0.52027500000000004</v>
      </c>
    </row>
    <row r="33" spans="1:9">
      <c r="A33" s="23" t="s">
        <v>231</v>
      </c>
      <c r="B33" s="24"/>
      <c r="C33" s="24"/>
      <c r="D33" s="24"/>
      <c r="E33" s="119"/>
      <c r="F33" s="99"/>
      <c r="G33" s="99"/>
      <c r="H33" s="99"/>
      <c r="I33" s="99"/>
    </row>
    <row r="34" spans="1:9">
      <c r="A34" s="33" t="s">
        <v>301</v>
      </c>
      <c r="B34" s="34">
        <v>40</v>
      </c>
      <c r="C34" s="35" t="s">
        <v>22</v>
      </c>
      <c r="D34" s="77">
        <v>1.2</v>
      </c>
      <c r="E34" s="121"/>
      <c r="F34" s="98">
        <v>0.42</v>
      </c>
      <c r="G34" s="99">
        <f>F34*(1+$G$2)</f>
        <v>0.441</v>
      </c>
      <c r="H34" s="99"/>
      <c r="I34" s="99"/>
    </row>
    <row r="35" spans="1:9">
      <c r="A35" s="48"/>
      <c r="B35" s="49"/>
      <c r="C35" s="50"/>
      <c r="D35" s="87"/>
      <c r="E35" s="134"/>
      <c r="F35" s="100"/>
      <c r="G35" s="101">
        <f>SUM(G34)</f>
        <v>0.441</v>
      </c>
      <c r="H35" s="99"/>
      <c r="I35" s="99"/>
    </row>
    <row r="36" spans="1:9">
      <c r="A36" s="23" t="s">
        <v>302</v>
      </c>
      <c r="B36" s="24"/>
      <c r="C36" s="24"/>
      <c r="D36" s="24"/>
      <c r="E36" s="119"/>
      <c r="F36" s="99"/>
      <c r="G36" s="99"/>
      <c r="H36" s="99"/>
      <c r="I36" s="99"/>
    </row>
    <row r="37" spans="1:9">
      <c r="A37" s="33" t="s">
        <v>303</v>
      </c>
      <c r="B37" s="34">
        <v>1</v>
      </c>
      <c r="C37" s="35" t="s">
        <v>254</v>
      </c>
      <c r="D37" s="77">
        <v>1</v>
      </c>
      <c r="E37" s="121" t="s">
        <v>304</v>
      </c>
      <c r="F37" s="99"/>
      <c r="G37" s="99">
        <f>F37*(1+$G$2)</f>
        <v>0</v>
      </c>
      <c r="H37" s="99"/>
      <c r="I37" s="99"/>
    </row>
    <row r="38" spans="1:9">
      <c r="A38" s="48"/>
      <c r="B38" s="49"/>
      <c r="C38" s="50"/>
      <c r="D38" s="87"/>
      <c r="E38" s="134"/>
      <c r="F38" s="100"/>
      <c r="G38" s="101">
        <f>SUM(G37)</f>
        <v>0</v>
      </c>
      <c r="H38" s="99"/>
      <c r="I38" s="99"/>
    </row>
    <row r="39" spans="1:9">
      <c r="A39" s="23" t="s">
        <v>305</v>
      </c>
      <c r="B39" s="24"/>
      <c r="C39" s="24"/>
      <c r="D39" s="24"/>
      <c r="E39" s="119"/>
      <c r="F39" s="99"/>
      <c r="G39" s="99"/>
      <c r="H39" s="99"/>
      <c r="I39" s="99"/>
    </row>
    <row r="40" spans="1:9">
      <c r="A40" s="33" t="s">
        <v>306</v>
      </c>
      <c r="B40" s="34"/>
      <c r="C40" s="35"/>
      <c r="D40" s="147">
        <v>1</v>
      </c>
      <c r="E40" s="121"/>
      <c r="F40" s="99"/>
      <c r="G40" s="99">
        <f t="shared" ref="G40:G42" si="0">F40*(1+$G$2)</f>
        <v>0</v>
      </c>
      <c r="H40" s="99"/>
      <c r="I40" s="99"/>
    </row>
    <row r="41" spans="1:9">
      <c r="A41" s="33"/>
      <c r="B41" s="34"/>
      <c r="C41" s="35"/>
      <c r="D41" s="148"/>
      <c r="E41" s="121"/>
      <c r="F41" s="99"/>
      <c r="G41" s="99">
        <f t="shared" si="0"/>
        <v>0</v>
      </c>
      <c r="H41" s="99"/>
      <c r="I41" s="99"/>
    </row>
    <row r="42" spans="1:9">
      <c r="A42" s="33"/>
      <c r="B42" s="34"/>
      <c r="C42" s="35"/>
      <c r="D42" s="149"/>
      <c r="E42" s="121"/>
      <c r="F42" s="99"/>
      <c r="G42" s="99">
        <f t="shared" si="0"/>
        <v>0</v>
      </c>
      <c r="H42" s="99"/>
      <c r="I42" s="99"/>
    </row>
    <row r="43" spans="1:9">
      <c r="A43" s="48"/>
      <c r="B43" s="49"/>
      <c r="C43" s="50"/>
      <c r="D43" s="87"/>
      <c r="E43" s="134"/>
      <c r="F43" s="100"/>
      <c r="G43" s="101">
        <f>SUM(G40:G42)</f>
        <v>0</v>
      </c>
      <c r="H43" s="99"/>
      <c r="I43" s="99"/>
    </row>
    <row r="44" spans="1:9">
      <c r="A44" s="29" t="s">
        <v>307</v>
      </c>
      <c r="B44" s="30"/>
      <c r="C44" s="30"/>
      <c r="D44" s="30"/>
      <c r="E44" s="138"/>
      <c r="F44" s="99"/>
      <c r="G44" s="99"/>
      <c r="H44" s="106"/>
      <c r="I44" s="99"/>
    </row>
    <row r="45" spans="1:9">
      <c r="A45" s="48" t="s">
        <v>185</v>
      </c>
      <c r="B45" s="49">
        <v>1</v>
      </c>
      <c r="C45" s="50" t="s">
        <v>13</v>
      </c>
      <c r="D45" s="50"/>
      <c r="E45" s="134"/>
      <c r="F45" s="99"/>
      <c r="G45" s="99"/>
      <c r="H45" s="99"/>
      <c r="I45" s="99"/>
    </row>
    <row r="46" spans="1:9">
      <c r="A46" s="48" t="s">
        <v>200</v>
      </c>
      <c r="B46" s="49">
        <v>1</v>
      </c>
      <c r="C46" s="50" t="s">
        <v>13</v>
      </c>
      <c r="D46" s="50"/>
      <c r="E46" s="134"/>
      <c r="F46" s="99"/>
      <c r="G46" s="99"/>
      <c r="H46" s="99"/>
      <c r="I46" s="99"/>
    </row>
    <row r="47" spans="1:9">
      <c r="A47" s="48" t="s">
        <v>227</v>
      </c>
      <c r="B47" s="49">
        <v>1</v>
      </c>
      <c r="C47" s="50" t="s">
        <v>13</v>
      </c>
      <c r="D47" s="50"/>
      <c r="E47" s="134"/>
      <c r="F47" s="99"/>
      <c r="G47" s="99"/>
      <c r="H47" s="99"/>
      <c r="I47" s="99"/>
    </row>
    <row r="48" spans="1:9">
      <c r="A48" s="48" t="s">
        <v>51</v>
      </c>
      <c r="B48" s="49">
        <v>1</v>
      </c>
      <c r="C48" s="50" t="s">
        <v>13</v>
      </c>
      <c r="D48" s="50"/>
      <c r="E48" s="134"/>
      <c r="F48" s="99"/>
      <c r="G48" s="99"/>
      <c r="H48" s="99"/>
      <c r="I48" s="99"/>
    </row>
    <row r="49" spans="1:9">
      <c r="A49" s="48" t="s">
        <v>185</v>
      </c>
      <c r="B49" s="49">
        <v>1</v>
      </c>
      <c r="C49" s="50" t="s">
        <v>13</v>
      </c>
      <c r="D49" s="50"/>
      <c r="E49" s="134"/>
      <c r="F49" s="99"/>
      <c r="G49" s="99"/>
      <c r="H49" s="99"/>
      <c r="I49" s="99"/>
    </row>
    <row r="50" spans="1:9">
      <c r="A50" s="29" t="s">
        <v>308</v>
      </c>
      <c r="B50" s="30"/>
      <c r="C50" s="30"/>
      <c r="D50" s="30"/>
      <c r="E50" s="138"/>
      <c r="F50" s="99"/>
      <c r="G50" s="99"/>
      <c r="H50" s="106"/>
      <c r="I50" s="99"/>
    </row>
    <row r="51" spans="1:9">
      <c r="A51" s="48" t="s">
        <v>185</v>
      </c>
      <c r="B51" s="49">
        <v>1</v>
      </c>
      <c r="C51" s="50" t="s">
        <v>13</v>
      </c>
      <c r="D51" s="50"/>
      <c r="E51" s="134"/>
      <c r="F51" s="99"/>
      <c r="G51" s="99"/>
      <c r="H51" s="99"/>
      <c r="I51" s="99"/>
    </row>
    <row r="52" spans="1:9">
      <c r="A52" s="48" t="s">
        <v>200</v>
      </c>
      <c r="B52" s="49">
        <v>1</v>
      </c>
      <c r="C52" s="50" t="s">
        <v>13</v>
      </c>
      <c r="D52" s="50"/>
      <c r="E52" s="134"/>
      <c r="F52" s="99"/>
      <c r="G52" s="99"/>
      <c r="H52" s="99"/>
      <c r="I52" s="99"/>
    </row>
    <row r="53" spans="1:9">
      <c r="A53" s="48" t="s">
        <v>227</v>
      </c>
      <c r="B53" s="49">
        <v>1</v>
      </c>
      <c r="C53" s="50" t="s">
        <v>13</v>
      </c>
      <c r="D53" s="50"/>
      <c r="E53" s="134"/>
      <c r="F53" s="99"/>
      <c r="G53" s="99"/>
      <c r="H53" s="99"/>
      <c r="I53" s="99"/>
    </row>
    <row r="54" spans="1:9">
      <c r="A54" s="48" t="s">
        <v>57</v>
      </c>
      <c r="B54" s="49">
        <v>1</v>
      </c>
      <c r="C54" s="50" t="s">
        <v>13</v>
      </c>
      <c r="D54" s="50"/>
      <c r="E54" s="134"/>
      <c r="F54" s="99"/>
      <c r="G54" s="99"/>
      <c r="H54" s="99"/>
      <c r="I54" s="99"/>
    </row>
    <row r="55" spans="1:9">
      <c r="A55" s="48" t="s">
        <v>185</v>
      </c>
      <c r="B55" s="49">
        <v>1</v>
      </c>
      <c r="C55" s="50" t="s">
        <v>13</v>
      </c>
      <c r="D55" s="50"/>
      <c r="E55" s="134"/>
      <c r="F55" s="99"/>
      <c r="G55" s="99"/>
      <c r="H55" s="99"/>
      <c r="I55" s="99"/>
    </row>
    <row r="56" spans="1:9">
      <c r="A56" s="29" t="s">
        <v>309</v>
      </c>
      <c r="B56" s="30"/>
      <c r="C56" s="30"/>
      <c r="D56" s="30"/>
      <c r="E56" s="138"/>
      <c r="F56" s="99"/>
      <c r="G56" s="99"/>
      <c r="H56" s="106"/>
      <c r="I56" s="99"/>
    </row>
    <row r="57" spans="1:9">
      <c r="A57" s="48" t="s">
        <v>185</v>
      </c>
      <c r="B57" s="49">
        <v>1</v>
      </c>
      <c r="C57" s="50" t="s">
        <v>13</v>
      </c>
      <c r="D57" s="50"/>
      <c r="E57" s="134"/>
      <c r="F57" s="99"/>
      <c r="G57" s="99"/>
      <c r="H57" s="99"/>
      <c r="I57" s="99"/>
    </row>
    <row r="58" spans="1:9">
      <c r="A58" s="48" t="s">
        <v>200</v>
      </c>
      <c r="B58" s="49">
        <v>1</v>
      </c>
      <c r="C58" s="50" t="s">
        <v>13</v>
      </c>
      <c r="D58" s="50"/>
      <c r="E58" s="134"/>
      <c r="F58" s="99"/>
      <c r="G58" s="99"/>
      <c r="H58" s="99"/>
      <c r="I58" s="99"/>
    </row>
    <row r="59" spans="1:9">
      <c r="A59" s="48" t="s">
        <v>227</v>
      </c>
      <c r="B59" s="49">
        <v>1</v>
      </c>
      <c r="C59" s="50" t="s">
        <v>13</v>
      </c>
      <c r="D59" s="50"/>
      <c r="E59" s="134"/>
      <c r="F59" s="99"/>
      <c r="G59" s="99"/>
      <c r="H59" s="99"/>
      <c r="I59" s="99"/>
    </row>
    <row r="60" spans="1:9">
      <c r="A60" s="48" t="s">
        <v>68</v>
      </c>
      <c r="B60" s="49">
        <v>1</v>
      </c>
      <c r="C60" s="50" t="s">
        <v>13</v>
      </c>
      <c r="D60" s="50"/>
      <c r="E60" s="134"/>
      <c r="F60" s="99"/>
      <c r="G60" s="99"/>
      <c r="H60" s="99"/>
      <c r="I60" s="99"/>
    </row>
    <row r="61" spans="1:9">
      <c r="A61" s="48" t="s">
        <v>185</v>
      </c>
      <c r="B61" s="49">
        <v>1</v>
      </c>
      <c r="C61" s="50" t="s">
        <v>13</v>
      </c>
      <c r="D61" s="50"/>
      <c r="E61" s="134"/>
      <c r="F61" s="99"/>
      <c r="G61" s="99"/>
      <c r="H61" s="99"/>
      <c r="I61" s="99"/>
    </row>
    <row r="62" spans="1:9">
      <c r="A62" s="48"/>
      <c r="B62" s="49"/>
      <c r="C62" s="50"/>
      <c r="D62" s="50"/>
      <c r="E62" s="134"/>
      <c r="F62" s="99"/>
      <c r="G62" s="99"/>
      <c r="H62" s="99"/>
      <c r="I62" s="99"/>
    </row>
    <row r="63" spans="1:9">
      <c r="A63" s="48"/>
      <c r="B63" s="49"/>
      <c r="C63" s="50"/>
      <c r="D63" s="50"/>
      <c r="E63" s="134"/>
      <c r="F63" s="99"/>
      <c r="G63" s="99"/>
      <c r="H63" s="99"/>
      <c r="I63" s="99"/>
    </row>
    <row r="64" spans="1:9">
      <c r="A64" s="48"/>
      <c r="B64" s="49"/>
      <c r="C64" s="50"/>
      <c r="D64" s="50"/>
      <c r="E64" s="134"/>
      <c r="F64" s="99"/>
      <c r="G64" s="99"/>
      <c r="H64" s="99"/>
      <c r="I64" s="99"/>
    </row>
    <row r="65" spans="1:9">
      <c r="A65" s="48"/>
      <c r="B65" s="49"/>
      <c r="C65" s="50"/>
      <c r="D65" s="50"/>
      <c r="E65" s="134"/>
      <c r="F65" s="99"/>
      <c r="G65" s="99"/>
      <c r="H65" s="99"/>
      <c r="I65" s="99"/>
    </row>
    <row r="66" spans="1:9">
      <c r="B66" s="17"/>
      <c r="C66" s="17"/>
      <c r="D66" s="17"/>
      <c r="F66" s="99"/>
      <c r="G66" s="99"/>
      <c r="H66" s="99"/>
      <c r="I66" s="99"/>
    </row>
    <row r="67" spans="1:9">
      <c r="A67" s="29" t="s">
        <v>310</v>
      </c>
      <c r="B67" s="29">
        <v>1</v>
      </c>
      <c r="C67" s="29" t="s">
        <v>13</v>
      </c>
      <c r="D67" s="29"/>
      <c r="E67" s="124" t="s">
        <v>311</v>
      </c>
      <c r="F67" s="99"/>
      <c r="G67" s="99"/>
      <c r="H67" s="132"/>
      <c r="I67" s="99"/>
    </row>
    <row r="68" spans="1:9">
      <c r="A68" s="29" t="s">
        <v>312</v>
      </c>
      <c r="B68" s="29">
        <v>1</v>
      </c>
      <c r="C68" s="29" t="s">
        <v>13</v>
      </c>
      <c r="D68" s="29"/>
      <c r="E68" s="124" t="s">
        <v>313</v>
      </c>
      <c r="F68" s="99"/>
      <c r="G68" s="99"/>
      <c r="H68" s="99"/>
      <c r="I68" s="99"/>
    </row>
    <row r="69" spans="1:9">
      <c r="A69" s="29" t="s">
        <v>314</v>
      </c>
      <c r="B69" s="29">
        <v>1</v>
      </c>
      <c r="C69" s="29" t="s">
        <v>13</v>
      </c>
      <c r="D69" s="29"/>
      <c r="E69" s="124" t="s">
        <v>313</v>
      </c>
      <c r="F69" s="99"/>
      <c r="G69" s="99"/>
      <c r="H69" s="99"/>
      <c r="I69" s="99"/>
    </row>
    <row r="70" spans="1:9">
      <c r="A70" s="29" t="s">
        <v>315</v>
      </c>
      <c r="B70" s="29">
        <v>1</v>
      </c>
      <c r="C70" s="29" t="s">
        <v>13</v>
      </c>
      <c r="D70" s="29"/>
      <c r="E70" s="124" t="s">
        <v>313</v>
      </c>
      <c r="F70" s="99"/>
      <c r="G70" s="99"/>
      <c r="H70" s="99"/>
      <c r="I70" s="99"/>
    </row>
    <row r="71" spans="1:9">
      <c r="A71" s="55" t="s">
        <v>316</v>
      </c>
      <c r="B71" s="55">
        <v>1</v>
      </c>
      <c r="C71" s="55" t="s">
        <v>13</v>
      </c>
      <c r="D71" s="55"/>
      <c r="E71" s="124"/>
      <c r="F71" s="99"/>
      <c r="G71" s="99"/>
      <c r="H71" s="106"/>
      <c r="I71" s="99"/>
    </row>
    <row r="72" spans="1:9">
      <c r="A72" s="55" t="s">
        <v>317</v>
      </c>
      <c r="B72" s="55">
        <v>1</v>
      </c>
      <c r="C72" s="55" t="s">
        <v>13</v>
      </c>
      <c r="D72" s="55"/>
      <c r="E72" s="124"/>
      <c r="F72" s="99"/>
      <c r="G72" s="99"/>
      <c r="H72" s="99"/>
      <c r="I72" s="99"/>
    </row>
    <row r="73" spans="1:9">
      <c r="A73" s="55" t="s">
        <v>318</v>
      </c>
      <c r="B73" s="55">
        <v>1</v>
      </c>
      <c r="C73" s="55" t="s">
        <v>13</v>
      </c>
      <c r="D73" s="55"/>
      <c r="E73" s="124"/>
      <c r="F73" s="99"/>
      <c r="G73" s="99"/>
      <c r="H73" s="99"/>
      <c r="I73" s="99"/>
    </row>
    <row r="74" spans="1:9">
      <c r="A74" s="55" t="s">
        <v>319</v>
      </c>
      <c r="B74" s="55">
        <v>1</v>
      </c>
      <c r="C74" s="55" t="s">
        <v>13</v>
      </c>
      <c r="D74" s="55"/>
      <c r="E74" s="124"/>
      <c r="F74" s="99"/>
      <c r="G74" s="99"/>
      <c r="H74" s="99"/>
      <c r="I74" s="99"/>
    </row>
    <row r="75" spans="1:9">
      <c r="A75" s="29" t="s">
        <v>320</v>
      </c>
      <c r="B75" s="29">
        <v>1</v>
      </c>
      <c r="C75" s="29" t="s">
        <v>13</v>
      </c>
      <c r="D75" s="29"/>
      <c r="E75" s="124" t="s">
        <v>313</v>
      </c>
      <c r="F75" s="99"/>
      <c r="G75" s="99"/>
      <c r="H75" s="99"/>
      <c r="I75" s="99"/>
    </row>
    <row r="76" spans="1:9">
      <c r="A76" s="29" t="s">
        <v>321</v>
      </c>
      <c r="B76" s="29">
        <v>1</v>
      </c>
      <c r="C76" s="29" t="s">
        <v>13</v>
      </c>
      <c r="D76" s="29"/>
      <c r="E76" s="124" t="s">
        <v>313</v>
      </c>
      <c r="F76" s="99"/>
      <c r="G76" s="99"/>
      <c r="H76" s="99"/>
      <c r="I76" s="99"/>
    </row>
    <row r="77" spans="1:9">
      <c r="B77" s="17"/>
      <c r="C77" s="17"/>
      <c r="D77" s="17"/>
      <c r="F77" s="99"/>
      <c r="G77" s="99"/>
      <c r="H77" s="99"/>
      <c r="I77" s="99"/>
    </row>
    <row r="78" spans="1:9">
      <c r="A78" s="23" t="s">
        <v>322</v>
      </c>
      <c r="B78" s="23">
        <v>1</v>
      </c>
      <c r="C78" s="23" t="s">
        <v>13</v>
      </c>
      <c r="D78" s="23"/>
      <c r="E78" s="119"/>
      <c r="F78" s="99"/>
      <c r="G78" s="99"/>
      <c r="H78" s="99"/>
      <c r="I78" s="99"/>
    </row>
  </sheetData>
  <mergeCells count="5">
    <mergeCell ref="D40:D42"/>
    <mergeCell ref="D5:D14"/>
    <mergeCell ref="D17:D20"/>
    <mergeCell ref="D23:D27"/>
    <mergeCell ref="D30:D31"/>
  </mergeCells>
  <pageMargins left="0.7" right="0.7" top="0.75" bottom="0.75" header="0.3" footer="0.3"/>
  <pageSetup scale="3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DB3A-6B59-4AA2-8C8C-100BCE99104F}">
  <sheetPr>
    <pageSetUpPr fitToPage="1"/>
  </sheetPr>
  <dimension ref="B1:K138"/>
  <sheetViews>
    <sheetView tabSelected="1" topLeftCell="A86" zoomScaleNormal="100" workbookViewId="0">
      <selection activeCell="B106" sqref="B106:H111"/>
    </sheetView>
  </sheetViews>
  <sheetFormatPr defaultRowHeight="14.4"/>
  <cols>
    <col min="2" max="2" width="45.6640625" style="17" customWidth="1"/>
    <col min="3" max="3" width="17.44140625" style="18" customWidth="1"/>
    <col min="4" max="5" width="20.5546875" style="18" customWidth="1"/>
    <col min="6" max="6" width="61.33203125" style="18" customWidth="1"/>
    <col min="7" max="10" width="18.33203125" customWidth="1"/>
  </cols>
  <sheetData>
    <row r="1" spans="2:11">
      <c r="B1" s="17" t="s">
        <v>183</v>
      </c>
    </row>
    <row r="2" spans="2:11" ht="17.399999999999999">
      <c r="B2" s="20" t="s">
        <v>323</v>
      </c>
      <c r="C2" s="21"/>
      <c r="D2" s="21"/>
      <c r="E2" s="21"/>
      <c r="F2" s="21"/>
      <c r="G2" s="84"/>
      <c r="H2" s="79">
        <v>0.05</v>
      </c>
    </row>
    <row r="3" spans="2:11" ht="32.25" customHeight="1">
      <c r="B3" s="4" t="s">
        <v>1</v>
      </c>
      <c r="C3" s="4" t="s">
        <v>2</v>
      </c>
      <c r="D3" s="4" t="s">
        <v>3</v>
      </c>
      <c r="E3" s="4"/>
      <c r="F3" s="4" t="s">
        <v>5</v>
      </c>
      <c r="G3" s="128" t="s">
        <v>7</v>
      </c>
      <c r="H3" s="129" t="s">
        <v>8</v>
      </c>
      <c r="I3" s="130" t="s">
        <v>9</v>
      </c>
      <c r="J3" s="129" t="s">
        <v>10</v>
      </c>
      <c r="K3" s="88" t="s">
        <v>11</v>
      </c>
    </row>
    <row r="4" spans="2:11">
      <c r="B4" s="39" t="s">
        <v>324</v>
      </c>
      <c r="C4" s="40"/>
      <c r="D4" s="31"/>
      <c r="E4" s="140"/>
      <c r="F4" s="140"/>
      <c r="G4" s="99"/>
      <c r="H4" s="99"/>
      <c r="I4" s="99"/>
      <c r="J4" s="99"/>
    </row>
    <row r="5" spans="2:11">
      <c r="B5" s="70" t="s">
        <v>325</v>
      </c>
      <c r="C5" s="71">
        <v>1</v>
      </c>
      <c r="D5" s="72" t="s">
        <v>13</v>
      </c>
      <c r="E5" s="141"/>
      <c r="F5" s="141"/>
      <c r="G5" s="99"/>
      <c r="H5" s="99">
        <f>G5*(1+$H$2)</f>
        <v>0</v>
      </c>
      <c r="I5" s="99"/>
      <c r="J5" s="99"/>
    </row>
    <row r="6" spans="2:11">
      <c r="B6" s="70" t="s">
        <v>326</v>
      </c>
      <c r="C6" s="71">
        <v>1</v>
      </c>
      <c r="D6" s="72" t="s">
        <v>13</v>
      </c>
      <c r="E6" s="141"/>
      <c r="F6" s="141"/>
      <c r="G6" s="99"/>
      <c r="H6" s="99">
        <f>G6*(1+$H$2)</f>
        <v>0</v>
      </c>
      <c r="I6" s="99"/>
      <c r="J6" s="99"/>
    </row>
    <row r="7" spans="2:11">
      <c r="B7" s="70" t="s">
        <v>327</v>
      </c>
      <c r="C7" s="71">
        <v>1</v>
      </c>
      <c r="D7" s="72" t="s">
        <v>13</v>
      </c>
      <c r="E7" s="141"/>
      <c r="F7" s="141"/>
      <c r="G7" s="99"/>
      <c r="H7" s="99">
        <f>G7*(1+$H$2)</f>
        <v>0</v>
      </c>
      <c r="I7" s="99"/>
      <c r="J7" s="99"/>
    </row>
    <row r="8" spans="2:11">
      <c r="B8" s="48"/>
      <c r="C8" s="49"/>
      <c r="D8" s="50"/>
      <c r="E8" s="142"/>
      <c r="F8" s="142"/>
      <c r="G8" s="100"/>
      <c r="H8" s="101">
        <f>SUM(H5:H7)</f>
        <v>0</v>
      </c>
      <c r="I8" s="99"/>
      <c r="J8" s="99"/>
    </row>
    <row r="9" spans="2:11">
      <c r="B9" s="39" t="s">
        <v>328</v>
      </c>
      <c r="C9" s="31"/>
      <c r="D9" s="31"/>
      <c r="E9" s="140"/>
      <c r="F9" s="140"/>
      <c r="G9" s="99"/>
      <c r="H9" s="99"/>
      <c r="I9" s="99"/>
      <c r="J9" s="99"/>
    </row>
    <row r="10" spans="2:11">
      <c r="B10" s="70" t="s">
        <v>329</v>
      </c>
      <c r="C10" s="71">
        <v>30</v>
      </c>
      <c r="D10" s="72" t="s">
        <v>139</v>
      </c>
      <c r="E10" s="141"/>
      <c r="F10" s="141" t="s">
        <v>330</v>
      </c>
      <c r="G10" s="99">
        <v>0.16070000000000001</v>
      </c>
      <c r="H10" s="99">
        <f t="shared" ref="H10:H15" si="0">G10*(1+$H$2)</f>
        <v>0.16873500000000002</v>
      </c>
      <c r="I10" s="103">
        <f>10.73/0.98/450*30</f>
        <v>0.7299319727891157</v>
      </c>
      <c r="J10" s="99"/>
    </row>
    <row r="11" spans="2:11">
      <c r="B11" s="70" t="s">
        <v>331</v>
      </c>
      <c r="C11" s="71">
        <v>10</v>
      </c>
      <c r="D11" s="72" t="s">
        <v>139</v>
      </c>
      <c r="E11" s="141"/>
      <c r="F11" s="141"/>
      <c r="G11" s="99">
        <v>3.0099999999999998E-2</v>
      </c>
      <c r="H11" s="99">
        <f t="shared" si="0"/>
        <v>3.1605000000000001E-2</v>
      </c>
      <c r="I11" s="99">
        <v>3.1605000000000001E-2</v>
      </c>
      <c r="J11" s="99"/>
    </row>
    <row r="12" spans="2:11">
      <c r="B12" s="70" t="s">
        <v>332</v>
      </c>
      <c r="C12" s="71">
        <v>15</v>
      </c>
      <c r="D12" s="72" t="s">
        <v>139</v>
      </c>
      <c r="E12" s="141"/>
      <c r="F12" s="141"/>
      <c r="G12" s="99">
        <v>1.9599999999999999E-2</v>
      </c>
      <c r="H12" s="99">
        <f t="shared" si="0"/>
        <v>2.0580000000000001E-2</v>
      </c>
      <c r="I12" s="99">
        <v>2.0580000000000001E-2</v>
      </c>
      <c r="J12" s="99"/>
    </row>
    <row r="13" spans="2:11">
      <c r="B13" s="70" t="s">
        <v>333</v>
      </c>
      <c r="C13" s="71">
        <v>3</v>
      </c>
      <c r="D13" s="72" t="s">
        <v>139</v>
      </c>
      <c r="E13" s="141"/>
      <c r="F13" s="141"/>
      <c r="G13" s="99">
        <v>1.4E-2</v>
      </c>
      <c r="H13" s="99">
        <f t="shared" si="0"/>
        <v>1.4700000000000001E-2</v>
      </c>
      <c r="I13" s="99">
        <v>1.4700000000000001E-2</v>
      </c>
      <c r="J13" s="99"/>
    </row>
    <row r="14" spans="2:11">
      <c r="B14" s="70" t="s">
        <v>334</v>
      </c>
      <c r="C14" s="71" t="s">
        <v>335</v>
      </c>
      <c r="D14" s="72" t="s">
        <v>139</v>
      </c>
      <c r="E14" s="141"/>
      <c r="F14" s="143" t="s">
        <v>336</v>
      </c>
      <c r="G14" s="99">
        <v>0.50560000000000005</v>
      </c>
      <c r="H14" s="99">
        <f t="shared" si="0"/>
        <v>0.53088000000000013</v>
      </c>
      <c r="I14" s="99">
        <v>0.53088000000000013</v>
      </c>
      <c r="J14" s="99"/>
    </row>
    <row r="15" spans="2:11">
      <c r="B15" s="92" t="s">
        <v>337</v>
      </c>
      <c r="C15" s="93">
        <v>120</v>
      </c>
      <c r="D15" s="93" t="s">
        <v>139</v>
      </c>
      <c r="E15" s="143"/>
      <c r="F15" s="143"/>
      <c r="G15" s="99">
        <f>0.3258*1.3*1.1</f>
        <v>0.46589400000000003</v>
      </c>
      <c r="H15" s="99">
        <f t="shared" si="0"/>
        <v>0.48918870000000003</v>
      </c>
      <c r="I15" s="99">
        <v>0.48918870000000003</v>
      </c>
      <c r="J15" s="99"/>
    </row>
    <row r="16" spans="2:11">
      <c r="B16" s="48"/>
      <c r="C16" s="49"/>
      <c r="D16" s="50"/>
      <c r="E16" s="142"/>
      <c r="F16" s="142"/>
      <c r="G16" s="100"/>
      <c r="H16" s="101">
        <f>SUM(H10:H15)</f>
        <v>1.2556887000000003</v>
      </c>
      <c r="I16" s="105">
        <f>SUM(I10:I15)</f>
        <v>1.8168856727891161</v>
      </c>
      <c r="J16" s="106">
        <f>I16-H16</f>
        <v>0.56119697278911573</v>
      </c>
    </row>
    <row r="17" spans="2:10">
      <c r="B17" s="39" t="s">
        <v>338</v>
      </c>
      <c r="C17" s="31"/>
      <c r="D17" s="31"/>
      <c r="E17" s="140"/>
      <c r="F17" s="140"/>
      <c r="G17" s="99"/>
      <c r="H17" s="99"/>
      <c r="I17" s="99"/>
      <c r="J17" s="99"/>
    </row>
    <row r="18" spans="2:10">
      <c r="B18" s="70" t="s">
        <v>339</v>
      </c>
      <c r="C18" s="71">
        <v>20</v>
      </c>
      <c r="D18" s="72" t="s">
        <v>139</v>
      </c>
      <c r="E18" s="141"/>
      <c r="F18" s="141"/>
      <c r="G18" s="99">
        <v>0.2364</v>
      </c>
      <c r="H18" s="99">
        <f t="shared" ref="H18:H23" si="1">G18*(1+$H$2)</f>
        <v>0.24822</v>
      </c>
      <c r="I18" s="99"/>
      <c r="J18" s="99"/>
    </row>
    <row r="19" spans="2:10">
      <c r="B19" s="70" t="s">
        <v>340</v>
      </c>
      <c r="C19" s="71">
        <v>10</v>
      </c>
      <c r="D19" s="72" t="s">
        <v>139</v>
      </c>
      <c r="E19" s="141"/>
      <c r="F19" s="141"/>
      <c r="G19" s="99">
        <f>0.0943+0.0151</f>
        <v>0.1094</v>
      </c>
      <c r="H19" s="99">
        <f t="shared" si="1"/>
        <v>0.11487</v>
      </c>
      <c r="I19" s="99"/>
      <c r="J19" s="99"/>
    </row>
    <row r="20" spans="2:10">
      <c r="B20" s="70" t="s">
        <v>341</v>
      </c>
      <c r="C20" s="71">
        <v>30</v>
      </c>
      <c r="D20" s="72" t="s">
        <v>139</v>
      </c>
      <c r="E20" s="141"/>
      <c r="F20" s="141"/>
      <c r="G20" s="99">
        <v>0.15190000000000001</v>
      </c>
      <c r="H20" s="99">
        <f t="shared" si="1"/>
        <v>0.15949500000000003</v>
      </c>
      <c r="I20" s="99"/>
      <c r="J20" s="99"/>
    </row>
    <row r="21" spans="2:10">
      <c r="B21" s="70" t="s">
        <v>342</v>
      </c>
      <c r="C21" s="71">
        <v>3</v>
      </c>
      <c r="D21" s="72" t="s">
        <v>139</v>
      </c>
      <c r="E21" s="141"/>
      <c r="F21" s="141"/>
      <c r="G21" s="99">
        <v>1.38E-2</v>
      </c>
      <c r="H21" s="99">
        <f t="shared" si="1"/>
        <v>1.4490000000000001E-2</v>
      </c>
      <c r="I21" s="99"/>
      <c r="J21" s="99"/>
    </row>
    <row r="22" spans="2:10">
      <c r="B22" s="70" t="s">
        <v>334</v>
      </c>
      <c r="C22" s="71" t="s">
        <v>335</v>
      </c>
      <c r="D22" s="72" t="s">
        <v>139</v>
      </c>
      <c r="E22" s="141"/>
      <c r="F22" s="143" t="s">
        <v>336</v>
      </c>
      <c r="G22" s="99">
        <v>0.50560000000000005</v>
      </c>
      <c r="H22" s="99">
        <f t="shared" si="1"/>
        <v>0.53088000000000013</v>
      </c>
      <c r="I22" s="99"/>
      <c r="J22" s="99"/>
    </row>
    <row r="23" spans="2:10">
      <c r="B23" s="92" t="s">
        <v>343</v>
      </c>
      <c r="C23" s="93">
        <v>120</v>
      </c>
      <c r="D23" s="93" t="s">
        <v>139</v>
      </c>
      <c r="E23" s="143"/>
      <c r="F23" s="143"/>
      <c r="G23" s="99">
        <f>0.4218*1.3*1.1</f>
        <v>0.6031740000000001</v>
      </c>
      <c r="H23" s="99">
        <f t="shared" si="1"/>
        <v>0.63333270000000008</v>
      </c>
      <c r="I23" s="99"/>
      <c r="J23" s="99"/>
    </row>
    <row r="24" spans="2:10">
      <c r="B24" s="48"/>
      <c r="C24" s="49"/>
      <c r="D24" s="50"/>
      <c r="E24" s="142"/>
      <c r="F24" s="142"/>
      <c r="G24" s="100"/>
      <c r="H24" s="101">
        <f>SUM(H18:H23)</f>
        <v>1.7012877000000004</v>
      </c>
      <c r="I24" s="99"/>
      <c r="J24" s="99"/>
    </row>
    <row r="25" spans="2:10">
      <c r="B25" s="39" t="s">
        <v>344</v>
      </c>
      <c r="C25" s="31"/>
      <c r="D25" s="31"/>
      <c r="E25" s="140"/>
      <c r="F25" s="140"/>
      <c r="G25" s="99"/>
      <c r="H25" s="99"/>
      <c r="I25" s="99"/>
      <c r="J25" s="99"/>
    </row>
    <row r="26" spans="2:10">
      <c r="B26" s="70" t="s">
        <v>345</v>
      </c>
      <c r="C26" s="71">
        <v>40</v>
      </c>
      <c r="D26" s="72" t="s">
        <v>139</v>
      </c>
      <c r="E26" s="141"/>
      <c r="F26" s="141"/>
      <c r="G26" s="99">
        <v>0.96120000000000005</v>
      </c>
      <c r="H26" s="99">
        <f t="shared" ref="H26:H31" si="2">G26*(1+$H$2)</f>
        <v>1.00926</v>
      </c>
      <c r="I26" s="99">
        <v>1.00926</v>
      </c>
      <c r="J26" s="99"/>
    </row>
    <row r="27" spans="2:10">
      <c r="B27" s="70" t="s">
        <v>346</v>
      </c>
      <c r="C27" s="71">
        <v>30</v>
      </c>
      <c r="D27" s="72" t="s">
        <v>139</v>
      </c>
      <c r="E27" s="141"/>
      <c r="F27" s="141"/>
      <c r="G27" s="99">
        <v>0.40870000000000001</v>
      </c>
      <c r="H27" s="99">
        <f t="shared" si="2"/>
        <v>0.42913500000000004</v>
      </c>
      <c r="I27" s="99">
        <v>0.42913500000000004</v>
      </c>
      <c r="J27" s="99"/>
    </row>
    <row r="28" spans="2:10">
      <c r="B28" s="70" t="s">
        <v>342</v>
      </c>
      <c r="C28" s="71">
        <v>4</v>
      </c>
      <c r="D28" s="72" t="s">
        <v>139</v>
      </c>
      <c r="E28" s="141"/>
      <c r="F28" s="141"/>
      <c r="G28" s="99">
        <v>1.84E-2</v>
      </c>
      <c r="H28" s="99">
        <f t="shared" si="2"/>
        <v>1.932E-2</v>
      </c>
      <c r="I28" s="99">
        <v>1.932E-2</v>
      </c>
      <c r="J28" s="99"/>
    </row>
    <row r="29" spans="2:10">
      <c r="B29" s="70" t="s">
        <v>347</v>
      </c>
      <c r="C29" s="71">
        <v>10</v>
      </c>
      <c r="D29" s="72" t="s">
        <v>139</v>
      </c>
      <c r="E29" s="141"/>
      <c r="F29" s="141"/>
      <c r="G29" s="99">
        <v>4.5100000000000001E-2</v>
      </c>
      <c r="H29" s="99">
        <f t="shared" si="2"/>
        <v>4.7355000000000001E-2</v>
      </c>
      <c r="I29" s="103">
        <f>96.8/0.98/0.85/128/5*16/450*10</f>
        <v>6.4559156996131781E-2</v>
      </c>
      <c r="J29" s="99"/>
    </row>
    <row r="30" spans="2:10">
      <c r="B30" s="70" t="s">
        <v>348</v>
      </c>
      <c r="C30" s="71">
        <v>2</v>
      </c>
      <c r="D30" s="72" t="s">
        <v>13</v>
      </c>
      <c r="E30" s="141"/>
      <c r="F30" s="141"/>
      <c r="G30" s="99">
        <v>0.15870000000000001</v>
      </c>
      <c r="H30" s="99">
        <f t="shared" si="2"/>
        <v>0.16663500000000001</v>
      </c>
      <c r="I30" s="99">
        <v>0.16663500000000001</v>
      </c>
      <c r="J30" s="99"/>
    </row>
    <row r="31" spans="2:10">
      <c r="B31" s="70" t="s">
        <v>349</v>
      </c>
      <c r="C31" s="71">
        <v>3</v>
      </c>
      <c r="D31" s="72" t="s">
        <v>350</v>
      </c>
      <c r="E31" s="141"/>
      <c r="F31" s="141"/>
      <c r="G31" s="99">
        <v>2.6599999999999999E-2</v>
      </c>
      <c r="H31" s="99">
        <f t="shared" si="2"/>
        <v>2.793E-2</v>
      </c>
      <c r="I31" s="99">
        <v>2.793E-2</v>
      </c>
      <c r="J31" s="99"/>
    </row>
    <row r="32" spans="2:10">
      <c r="B32" s="48"/>
      <c r="C32" s="49"/>
      <c r="D32" s="50"/>
      <c r="E32" s="142"/>
      <c r="F32" s="142"/>
      <c r="G32" s="100"/>
      <c r="H32" s="101">
        <f>SUM(H26:H31)</f>
        <v>1.6996350000000002</v>
      </c>
      <c r="I32" s="105">
        <f>SUM(I26:I31)</f>
        <v>1.7168391569961319</v>
      </c>
      <c r="J32" s="106">
        <f>I32-H32</f>
        <v>1.7204156996131648E-2</v>
      </c>
    </row>
    <row r="33" spans="2:10">
      <c r="B33" s="39" t="s">
        <v>351</v>
      </c>
      <c r="C33" s="31"/>
      <c r="D33" s="31"/>
      <c r="E33" s="140"/>
      <c r="F33" s="140"/>
      <c r="G33" s="99"/>
      <c r="H33" s="99"/>
      <c r="I33" s="99"/>
      <c r="J33" s="99"/>
    </row>
    <row r="34" spans="2:10">
      <c r="B34" s="70" t="s">
        <v>352</v>
      </c>
      <c r="C34" s="71">
        <v>30</v>
      </c>
      <c r="D34" s="72" t="s">
        <v>139</v>
      </c>
      <c r="E34" s="141"/>
      <c r="F34" s="141"/>
      <c r="G34" s="99">
        <v>0.53639999999999999</v>
      </c>
      <c r="H34" s="99">
        <f t="shared" ref="H34:H39" si="3">G34*(1+$H$2)</f>
        <v>0.56322000000000005</v>
      </c>
      <c r="I34" s="103">
        <f>19.8/0.98/450*30</f>
        <v>1.346938775510204</v>
      </c>
      <c r="J34" s="99"/>
    </row>
    <row r="35" spans="2:10">
      <c r="B35" s="70" t="s">
        <v>353</v>
      </c>
      <c r="C35" s="71">
        <v>30</v>
      </c>
      <c r="D35" s="72" t="s">
        <v>139</v>
      </c>
      <c r="E35" s="141"/>
      <c r="F35" s="141"/>
      <c r="G35" s="99">
        <v>0.40870000000000001</v>
      </c>
      <c r="H35" s="99">
        <f t="shared" si="3"/>
        <v>0.42913500000000004</v>
      </c>
      <c r="I35" s="99">
        <v>0.42913500000000004</v>
      </c>
      <c r="J35" s="99"/>
    </row>
    <row r="36" spans="2:10">
      <c r="B36" s="70" t="s">
        <v>354</v>
      </c>
      <c r="C36" s="71">
        <v>4</v>
      </c>
      <c r="D36" s="72" t="s">
        <v>139</v>
      </c>
      <c r="E36" s="141"/>
      <c r="F36" s="141"/>
      <c r="G36" s="99">
        <v>2.3199999999999998E-2</v>
      </c>
      <c r="H36" s="99">
        <f t="shared" si="3"/>
        <v>2.436E-2</v>
      </c>
      <c r="I36" s="99">
        <v>2.436E-2</v>
      </c>
      <c r="J36" s="99"/>
    </row>
    <row r="37" spans="2:10">
      <c r="B37" s="70" t="s">
        <v>355</v>
      </c>
      <c r="C37" s="71">
        <v>2</v>
      </c>
      <c r="D37" s="72" t="s">
        <v>13</v>
      </c>
      <c r="E37" s="141"/>
      <c r="F37" s="141"/>
      <c r="G37" s="99">
        <v>0.15870000000000001</v>
      </c>
      <c r="H37" s="99">
        <f t="shared" si="3"/>
        <v>0.16663500000000001</v>
      </c>
      <c r="I37" s="99">
        <v>0.16663500000000001</v>
      </c>
      <c r="J37" s="99"/>
    </row>
    <row r="38" spans="2:10">
      <c r="B38" s="70" t="s">
        <v>356</v>
      </c>
      <c r="C38" s="71">
        <v>30</v>
      </c>
      <c r="D38" s="72" t="s">
        <v>139</v>
      </c>
      <c r="E38" s="141"/>
      <c r="F38" s="141"/>
      <c r="G38" s="99">
        <v>0.1701</v>
      </c>
      <c r="H38" s="99">
        <f t="shared" si="3"/>
        <v>0.17860500000000001</v>
      </c>
      <c r="I38" s="99">
        <v>0.17860500000000001</v>
      </c>
      <c r="J38" s="99"/>
    </row>
    <row r="39" spans="2:10">
      <c r="B39" s="70"/>
      <c r="C39" s="71"/>
      <c r="D39" s="72"/>
      <c r="E39" s="141"/>
      <c r="F39" s="141"/>
      <c r="G39" s="99"/>
      <c r="H39" s="99">
        <f t="shared" si="3"/>
        <v>0</v>
      </c>
      <c r="I39" s="99">
        <v>0</v>
      </c>
      <c r="J39" s="99"/>
    </row>
    <row r="40" spans="2:10">
      <c r="B40" s="48"/>
      <c r="C40" s="49"/>
      <c r="D40" s="50"/>
      <c r="E40" s="142"/>
      <c r="F40" s="142"/>
      <c r="G40" s="100"/>
      <c r="H40" s="101">
        <f>SUM(H34:H39)</f>
        <v>1.361955</v>
      </c>
      <c r="I40" s="105">
        <f>SUM(I34:I39)</f>
        <v>2.145673775510204</v>
      </c>
      <c r="J40" s="106">
        <f>I40-H40</f>
        <v>0.78371877551020397</v>
      </c>
    </row>
    <row r="41" spans="2:10">
      <c r="C41" s="17"/>
      <c r="D41" s="17"/>
      <c r="E41" s="17"/>
      <c r="F41" s="17"/>
      <c r="G41" s="99"/>
      <c r="H41" s="99"/>
      <c r="I41" s="99"/>
      <c r="J41" s="99"/>
    </row>
    <row r="42" spans="2:10">
      <c r="B42" s="39" t="s">
        <v>357</v>
      </c>
      <c r="C42" s="31"/>
      <c r="D42" s="31"/>
      <c r="E42" s="140"/>
      <c r="F42" s="140"/>
      <c r="G42" s="99"/>
      <c r="H42" s="99"/>
      <c r="I42" s="99"/>
      <c r="J42" s="99"/>
    </row>
    <row r="43" spans="2:10">
      <c r="B43" s="70" t="s">
        <v>358</v>
      </c>
      <c r="C43" s="71">
        <v>1</v>
      </c>
      <c r="D43" s="72" t="s">
        <v>13</v>
      </c>
      <c r="E43" s="141"/>
      <c r="F43" s="141"/>
      <c r="G43" s="99">
        <v>0.15</v>
      </c>
      <c r="H43" s="99">
        <f>G43*(1+$H$2)</f>
        <v>0.1575</v>
      </c>
      <c r="I43" s="99"/>
      <c r="J43" s="99"/>
    </row>
    <row r="44" spans="2:10">
      <c r="B44" s="70" t="s">
        <v>359</v>
      </c>
      <c r="C44" s="71">
        <v>1</v>
      </c>
      <c r="D44" s="72" t="s">
        <v>13</v>
      </c>
      <c r="E44" s="141"/>
      <c r="F44" s="141"/>
      <c r="G44" s="99"/>
      <c r="H44" s="99">
        <f>G44*(1+$H$2)</f>
        <v>0</v>
      </c>
      <c r="I44" s="99"/>
      <c r="J44" s="99"/>
    </row>
    <row r="45" spans="2:10">
      <c r="B45" s="70" t="s">
        <v>360</v>
      </c>
      <c r="C45" s="71">
        <v>1</v>
      </c>
      <c r="D45" s="72" t="s">
        <v>13</v>
      </c>
      <c r="E45" s="141"/>
      <c r="F45" s="141"/>
      <c r="G45" s="99"/>
      <c r="H45" s="99">
        <f>G45*(1+$H$2)</f>
        <v>0</v>
      </c>
      <c r="I45" s="99"/>
      <c r="J45" s="99"/>
    </row>
    <row r="46" spans="2:10">
      <c r="B46" s="70" t="s">
        <v>361</v>
      </c>
      <c r="C46" s="71">
        <v>1</v>
      </c>
      <c r="D46" s="72" t="s">
        <v>13</v>
      </c>
      <c r="E46" s="141"/>
      <c r="F46" s="141"/>
      <c r="G46" s="99"/>
      <c r="H46" s="99">
        <f>G46*(1+$H$2)</f>
        <v>0</v>
      </c>
      <c r="I46" s="99"/>
      <c r="J46" s="99"/>
    </row>
    <row r="47" spans="2:10">
      <c r="B47" s="48"/>
      <c r="C47" s="49"/>
      <c r="D47" s="50"/>
      <c r="E47" s="142"/>
      <c r="F47" s="142"/>
      <c r="G47" s="100"/>
      <c r="H47" s="101">
        <f>SUM(H43:H46)</f>
        <v>0.1575</v>
      </c>
      <c r="I47" s="99"/>
      <c r="J47" s="99"/>
    </row>
    <row r="48" spans="2:10">
      <c r="B48" s="39" t="s">
        <v>362</v>
      </c>
      <c r="C48" s="31"/>
      <c r="D48" s="31"/>
      <c r="E48" s="140"/>
      <c r="F48" s="140"/>
      <c r="G48" s="99"/>
      <c r="H48" s="99"/>
      <c r="I48" s="99"/>
      <c r="J48" s="99"/>
    </row>
    <row r="49" spans="2:10">
      <c r="B49" s="70" t="s">
        <v>358</v>
      </c>
      <c r="C49" s="71">
        <v>1</v>
      </c>
      <c r="D49" s="72" t="s">
        <v>13</v>
      </c>
      <c r="E49" s="141"/>
      <c r="F49" s="141"/>
      <c r="G49" s="99">
        <v>0.15</v>
      </c>
      <c r="H49" s="99">
        <f>G49*(1+$H$2)</f>
        <v>0.1575</v>
      </c>
      <c r="I49" s="99"/>
      <c r="J49" s="99"/>
    </row>
    <row r="50" spans="2:10">
      <c r="B50" s="70" t="s">
        <v>359</v>
      </c>
      <c r="C50" s="71">
        <v>1</v>
      </c>
      <c r="D50" s="72" t="s">
        <v>13</v>
      </c>
      <c r="E50" s="141"/>
      <c r="F50" s="141"/>
      <c r="G50" s="99"/>
      <c r="H50" s="99">
        <f>G50*(1+$H$2)</f>
        <v>0</v>
      </c>
      <c r="I50" s="99"/>
      <c r="J50" s="99"/>
    </row>
    <row r="51" spans="2:10">
      <c r="B51" s="70" t="s">
        <v>360</v>
      </c>
      <c r="C51" s="71">
        <v>1</v>
      </c>
      <c r="D51" s="72" t="s">
        <v>13</v>
      </c>
      <c r="E51" s="141"/>
      <c r="F51" s="141"/>
      <c r="G51" s="99"/>
      <c r="H51" s="99">
        <f>G51*(1+$H$2)</f>
        <v>0</v>
      </c>
      <c r="I51" s="99"/>
      <c r="J51" s="99"/>
    </row>
    <row r="52" spans="2:10">
      <c r="B52" s="70" t="s">
        <v>361</v>
      </c>
      <c r="C52" s="73">
        <v>1</v>
      </c>
      <c r="D52" s="74" t="s">
        <v>13</v>
      </c>
      <c r="E52" s="163"/>
      <c r="F52" s="141"/>
      <c r="G52" s="99"/>
      <c r="H52" s="99">
        <f>G52*(1+$H$2)</f>
        <v>0</v>
      </c>
      <c r="I52" s="99"/>
      <c r="J52" s="99"/>
    </row>
    <row r="53" spans="2:10">
      <c r="B53" s="48"/>
      <c r="C53" s="49"/>
      <c r="D53" s="50"/>
      <c r="E53" s="142"/>
      <c r="F53" s="142"/>
      <c r="G53" s="100"/>
      <c r="H53" s="101">
        <f>SUM(H49:H52)</f>
        <v>0.1575</v>
      </c>
      <c r="I53" s="99"/>
      <c r="J53" s="99"/>
    </row>
    <row r="54" spans="2:10">
      <c r="B54" s="39" t="s">
        <v>363</v>
      </c>
      <c r="C54" s="31"/>
      <c r="D54" s="31"/>
      <c r="E54" s="140"/>
      <c r="F54" s="140"/>
      <c r="G54" s="99"/>
      <c r="H54" s="99"/>
      <c r="I54" s="99"/>
      <c r="J54" s="99"/>
    </row>
    <row r="55" spans="2:10">
      <c r="B55" s="70" t="s">
        <v>364</v>
      </c>
      <c r="C55" s="71">
        <v>25</v>
      </c>
      <c r="D55" s="72" t="s">
        <v>139</v>
      </c>
      <c r="E55" s="141"/>
      <c r="F55" s="141"/>
      <c r="G55" s="99">
        <v>8.8200000000000001E-2</v>
      </c>
      <c r="H55" s="99">
        <f>G55*(1+$H$2)</f>
        <v>9.2609999999999998E-2</v>
      </c>
      <c r="I55" s="99"/>
      <c r="J55" s="99"/>
    </row>
    <row r="56" spans="2:10">
      <c r="B56" s="70" t="s">
        <v>365</v>
      </c>
      <c r="C56" s="71">
        <v>15</v>
      </c>
      <c r="D56" s="72" t="s">
        <v>139</v>
      </c>
      <c r="E56" s="141"/>
      <c r="F56" s="141"/>
      <c r="G56" s="99">
        <v>1.9599999999999999E-2</v>
      </c>
      <c r="H56" s="99">
        <f>G56*(1+$H$2)</f>
        <v>2.0580000000000001E-2</v>
      </c>
      <c r="I56" s="99"/>
      <c r="J56" s="99"/>
    </row>
    <row r="57" spans="2:10">
      <c r="B57" s="70" t="s">
        <v>366</v>
      </c>
      <c r="C57" s="71">
        <v>5</v>
      </c>
      <c r="D57" s="72" t="s">
        <v>139</v>
      </c>
      <c r="E57" s="141"/>
      <c r="F57" s="141"/>
      <c r="G57" s="99">
        <v>1.0699999999999999E-2</v>
      </c>
      <c r="H57" s="99">
        <f>G57*(1+$H$2)</f>
        <v>1.1235E-2</v>
      </c>
      <c r="I57" s="99"/>
      <c r="J57" s="99"/>
    </row>
    <row r="58" spans="2:10">
      <c r="B58" s="70" t="s">
        <v>367</v>
      </c>
      <c r="C58" s="71">
        <v>1</v>
      </c>
      <c r="D58" s="72" t="s">
        <v>13</v>
      </c>
      <c r="E58" s="141"/>
      <c r="F58" s="141"/>
      <c r="G58" s="99">
        <v>7.9299999999999995E-2</v>
      </c>
      <c r="H58" s="99">
        <f>G58*(1+$H$2)</f>
        <v>8.3265000000000006E-2</v>
      </c>
      <c r="I58" s="99"/>
      <c r="J58" s="99"/>
    </row>
    <row r="59" spans="2:10">
      <c r="B59" s="48"/>
      <c r="C59" s="49"/>
      <c r="D59" s="50"/>
      <c r="E59" s="142"/>
      <c r="F59" s="142"/>
      <c r="G59" s="100"/>
      <c r="H59" s="101">
        <f>SUM(H55:H58)</f>
        <v>0.20768999999999999</v>
      </c>
      <c r="I59" s="99"/>
      <c r="J59" s="99"/>
    </row>
    <row r="60" spans="2:10">
      <c r="B60" s="39" t="s">
        <v>368</v>
      </c>
      <c r="C60" s="31"/>
      <c r="D60" s="31"/>
      <c r="E60" s="140"/>
      <c r="F60" s="140"/>
      <c r="G60" s="99"/>
      <c r="H60" s="99"/>
      <c r="I60" s="99"/>
      <c r="J60" s="99"/>
    </row>
    <row r="61" spans="2:10">
      <c r="B61" s="70" t="s">
        <v>364</v>
      </c>
      <c r="C61" s="71">
        <v>25</v>
      </c>
      <c r="D61" s="72" t="s">
        <v>139</v>
      </c>
      <c r="E61" s="141"/>
      <c r="F61" s="141"/>
      <c r="G61" s="99">
        <v>8.8200000000000001E-2</v>
      </c>
      <c r="H61" s="99">
        <f>G61*(1+$H$2)</f>
        <v>9.2609999999999998E-2</v>
      </c>
      <c r="I61" s="99"/>
      <c r="J61" s="99"/>
    </row>
    <row r="62" spans="2:10">
      <c r="B62" s="70" t="s">
        <v>365</v>
      </c>
      <c r="C62" s="71">
        <v>15</v>
      </c>
      <c r="D62" s="72" t="s">
        <v>139</v>
      </c>
      <c r="E62" s="141"/>
      <c r="F62" s="141"/>
      <c r="G62" s="99">
        <v>1.9599999999999999E-2</v>
      </c>
      <c r="H62" s="99">
        <f>G62*(1+$H$2)</f>
        <v>2.0580000000000001E-2</v>
      </c>
      <c r="I62" s="99"/>
      <c r="J62" s="99"/>
    </row>
    <row r="63" spans="2:10">
      <c r="B63" s="70" t="s">
        <v>366</v>
      </c>
      <c r="C63" s="71">
        <v>5</v>
      </c>
      <c r="D63" s="72" t="s">
        <v>139</v>
      </c>
      <c r="E63" s="141"/>
      <c r="F63" s="141"/>
      <c r="G63" s="99">
        <v>1.0699999999999999E-2</v>
      </c>
      <c r="H63" s="99">
        <f>G63*(1+$H$2)</f>
        <v>1.1235E-2</v>
      </c>
      <c r="I63" s="99"/>
      <c r="J63" s="99"/>
    </row>
    <row r="64" spans="2:10">
      <c r="B64" s="70" t="s">
        <v>367</v>
      </c>
      <c r="C64" s="71">
        <v>1</v>
      </c>
      <c r="D64" s="72" t="s">
        <v>13</v>
      </c>
      <c r="E64" s="141"/>
      <c r="F64" s="141"/>
      <c r="G64" s="99">
        <v>7.9299999999999995E-2</v>
      </c>
      <c r="H64" s="99">
        <f>G64*(1+$H$2)</f>
        <v>8.3265000000000006E-2</v>
      </c>
      <c r="I64" s="99"/>
      <c r="J64" s="99"/>
    </row>
    <row r="65" spans="2:10">
      <c r="B65" s="48"/>
      <c r="C65" s="49"/>
      <c r="D65" s="50"/>
      <c r="E65" s="142"/>
      <c r="F65" s="142"/>
      <c r="G65" s="100"/>
      <c r="H65" s="101">
        <f>SUM(H61:H64)</f>
        <v>0.20768999999999999</v>
      </c>
      <c r="I65" s="99"/>
      <c r="J65" s="99"/>
    </row>
    <row r="66" spans="2:10">
      <c r="B66" s="39" t="s">
        <v>369</v>
      </c>
      <c r="C66" s="31"/>
      <c r="D66" s="31"/>
      <c r="E66" s="140"/>
      <c r="F66" s="140"/>
      <c r="G66" s="99"/>
      <c r="H66" s="99"/>
      <c r="I66" s="99"/>
      <c r="J66" s="99"/>
    </row>
    <row r="67" spans="2:10">
      <c r="B67" s="11" t="s">
        <v>58</v>
      </c>
      <c r="C67" s="14">
        <v>90</v>
      </c>
      <c r="D67" s="12" t="s">
        <v>22</v>
      </c>
      <c r="E67" s="136"/>
      <c r="F67" s="110" t="s">
        <v>370</v>
      </c>
      <c r="G67" s="98">
        <f>2.6796*1.1</f>
        <v>2.9475600000000006</v>
      </c>
      <c r="H67" s="99">
        <f t="shared" ref="H67:H71" si="4">G67*(1+$H$2)</f>
        <v>3.0949380000000009</v>
      </c>
      <c r="I67" s="99"/>
      <c r="J67" s="99"/>
    </row>
    <row r="68" spans="2:10">
      <c r="B68" s="11" t="s">
        <v>60</v>
      </c>
      <c r="C68" s="14">
        <v>30</v>
      </c>
      <c r="D68" s="12" t="s">
        <v>22</v>
      </c>
      <c r="E68" s="136"/>
      <c r="F68" s="110" t="s">
        <v>370</v>
      </c>
      <c r="G68" s="107">
        <f>7.44/450*30</f>
        <v>0.496</v>
      </c>
      <c r="H68" s="99">
        <f t="shared" si="4"/>
        <v>0.52080000000000004</v>
      </c>
      <c r="I68" s="99"/>
      <c r="J68" s="99"/>
    </row>
    <row r="69" spans="2:10">
      <c r="B69" s="11" t="s">
        <v>61</v>
      </c>
      <c r="C69" s="14">
        <v>15</v>
      </c>
      <c r="D69" s="12" t="s">
        <v>22</v>
      </c>
      <c r="E69" s="136"/>
      <c r="F69" s="110"/>
      <c r="G69" s="98">
        <v>0</v>
      </c>
      <c r="H69" s="99">
        <f t="shared" si="4"/>
        <v>0</v>
      </c>
      <c r="I69" s="99"/>
      <c r="J69" s="99"/>
    </row>
    <row r="70" spans="2:10">
      <c r="B70" s="11" t="s">
        <v>63</v>
      </c>
      <c r="C70" s="14">
        <v>60</v>
      </c>
      <c r="D70" s="12" t="s">
        <v>22</v>
      </c>
      <c r="E70" s="136"/>
      <c r="F70" s="110"/>
      <c r="G70" s="98">
        <v>0.15690000000000001</v>
      </c>
      <c r="H70" s="99">
        <f t="shared" si="4"/>
        <v>0.16474500000000003</v>
      </c>
      <c r="I70" s="99"/>
      <c r="J70" s="99"/>
    </row>
    <row r="71" spans="2:10">
      <c r="B71" s="11" t="s">
        <v>65</v>
      </c>
      <c r="C71" s="34" t="s">
        <v>66</v>
      </c>
      <c r="D71" s="35" t="s">
        <v>22</v>
      </c>
      <c r="E71" s="137"/>
      <c r="F71" s="110"/>
      <c r="G71" s="98">
        <f>2.19/450*60</f>
        <v>0.29199999999999998</v>
      </c>
      <c r="H71" s="99">
        <f t="shared" si="4"/>
        <v>0.30659999999999998</v>
      </c>
      <c r="I71" s="99"/>
      <c r="J71" s="99"/>
    </row>
    <row r="72" spans="2:10">
      <c r="B72" s="48"/>
      <c r="C72" s="49"/>
      <c r="D72" s="50"/>
      <c r="E72" s="142"/>
      <c r="F72" s="142"/>
      <c r="G72" s="100"/>
      <c r="H72" s="101">
        <f>SUM(H67:H71)</f>
        <v>4.0870830000000007</v>
      </c>
      <c r="I72" s="99"/>
      <c r="J72" s="99"/>
    </row>
    <row r="73" spans="2:10">
      <c r="B73" s="39" t="s">
        <v>371</v>
      </c>
      <c r="C73" s="31"/>
      <c r="D73" s="31"/>
      <c r="E73" s="140"/>
      <c r="F73" s="140"/>
      <c r="G73" s="99"/>
      <c r="H73" s="99"/>
      <c r="I73" s="99"/>
      <c r="J73" s="99"/>
    </row>
    <row r="74" spans="2:10">
      <c r="B74" s="11" t="s">
        <v>58</v>
      </c>
      <c r="C74" s="14">
        <v>90</v>
      </c>
      <c r="D74" s="12" t="s">
        <v>22</v>
      </c>
      <c r="E74" s="136"/>
      <c r="F74" s="110" t="s">
        <v>59</v>
      </c>
      <c r="G74" s="98">
        <f>2.6796*1.1</f>
        <v>2.9475600000000006</v>
      </c>
      <c r="H74" s="99">
        <f t="shared" ref="H74:H78" si="5">G74*(1+$H$2)</f>
        <v>3.0949380000000009</v>
      </c>
      <c r="I74" s="99"/>
      <c r="J74" s="99"/>
    </row>
    <row r="75" spans="2:10">
      <c r="B75" s="11" t="s">
        <v>60</v>
      </c>
      <c r="C75" s="14">
        <v>30</v>
      </c>
      <c r="D75" s="12" t="s">
        <v>22</v>
      </c>
      <c r="E75" s="136"/>
      <c r="F75" s="110"/>
      <c r="G75" s="107">
        <f>7.44/450*30</f>
        <v>0.496</v>
      </c>
      <c r="H75" s="99">
        <f t="shared" si="5"/>
        <v>0.52080000000000004</v>
      </c>
      <c r="I75" s="99"/>
      <c r="J75" s="99"/>
    </row>
    <row r="76" spans="2:10">
      <c r="B76" s="11" t="s">
        <v>61</v>
      </c>
      <c r="C76" s="14">
        <v>15</v>
      </c>
      <c r="D76" s="12" t="s">
        <v>22</v>
      </c>
      <c r="E76" s="136"/>
      <c r="F76" s="110"/>
      <c r="G76" s="98">
        <v>0</v>
      </c>
      <c r="H76" s="99">
        <f t="shared" si="5"/>
        <v>0</v>
      </c>
      <c r="I76" s="99"/>
      <c r="J76" s="99"/>
    </row>
    <row r="77" spans="2:10">
      <c r="B77" s="11" t="s">
        <v>63</v>
      </c>
      <c r="C77" s="14">
        <v>60</v>
      </c>
      <c r="D77" s="12" t="s">
        <v>22</v>
      </c>
      <c r="E77" s="136"/>
      <c r="F77" s="110"/>
      <c r="G77" s="98">
        <v>0.15690000000000001</v>
      </c>
      <c r="H77" s="99">
        <f t="shared" si="5"/>
        <v>0.16474500000000003</v>
      </c>
      <c r="I77" s="99"/>
      <c r="J77" s="99"/>
    </row>
    <row r="78" spans="2:10">
      <c r="B78" s="11" t="s">
        <v>65</v>
      </c>
      <c r="C78" s="34" t="s">
        <v>66</v>
      </c>
      <c r="D78" s="35" t="s">
        <v>22</v>
      </c>
      <c r="E78" s="137"/>
      <c r="F78" s="110"/>
      <c r="G78" s="98">
        <f>2.19/450*60</f>
        <v>0.29199999999999998</v>
      </c>
      <c r="H78" s="99">
        <f t="shared" si="5"/>
        <v>0.30659999999999998</v>
      </c>
      <c r="I78" s="99"/>
      <c r="J78" s="99"/>
    </row>
    <row r="79" spans="2:10">
      <c r="B79" s="48"/>
      <c r="C79" s="49"/>
      <c r="D79" s="50"/>
      <c r="E79" s="142"/>
      <c r="F79" s="142"/>
      <c r="G79" s="100"/>
      <c r="H79" s="101">
        <f>SUM(H74:H78)</f>
        <v>4.0870830000000007</v>
      </c>
      <c r="I79" s="99"/>
      <c r="J79" s="99"/>
    </row>
    <row r="80" spans="2:10">
      <c r="B80" s="39" t="s">
        <v>372</v>
      </c>
      <c r="C80" s="31"/>
      <c r="D80" s="31"/>
      <c r="E80" s="140"/>
      <c r="F80" s="140"/>
      <c r="G80" s="99"/>
      <c r="H80" s="99"/>
      <c r="I80" s="99"/>
      <c r="J80" s="99"/>
    </row>
    <row r="81" spans="2:10">
      <c r="B81" s="11" t="s">
        <v>80</v>
      </c>
      <c r="C81" s="14">
        <v>90</v>
      </c>
      <c r="D81" s="12" t="s">
        <v>22</v>
      </c>
      <c r="E81" s="136"/>
      <c r="F81" s="110"/>
      <c r="G81" s="107">
        <f>122.09/12</f>
        <v>10.174166666666666</v>
      </c>
      <c r="H81" s="99">
        <f t="shared" ref="H81:H84" si="6">G81*(1+$H$2)</f>
        <v>10.682875000000001</v>
      </c>
      <c r="I81" s="99"/>
      <c r="J81" s="99"/>
    </row>
    <row r="82" spans="2:10">
      <c r="B82" s="11" t="s">
        <v>63</v>
      </c>
      <c r="C82" s="14">
        <v>60</v>
      </c>
      <c r="D82" s="12" t="s">
        <v>22</v>
      </c>
      <c r="E82" s="136"/>
      <c r="F82" s="110"/>
      <c r="G82" s="98">
        <v>0.15690000000000001</v>
      </c>
      <c r="H82" s="99">
        <f t="shared" si="6"/>
        <v>0.16474500000000003</v>
      </c>
      <c r="I82" s="99"/>
      <c r="J82" s="99"/>
    </row>
    <row r="83" spans="2:10">
      <c r="B83" s="11" t="s">
        <v>83</v>
      </c>
      <c r="C83" s="14">
        <v>60</v>
      </c>
      <c r="D83" s="12" t="s">
        <v>22</v>
      </c>
      <c r="E83" s="136"/>
      <c r="F83" s="110"/>
      <c r="G83" s="98">
        <v>0.61029999999999995</v>
      </c>
      <c r="H83" s="99">
        <f t="shared" si="6"/>
        <v>0.64081500000000002</v>
      </c>
      <c r="I83" s="99"/>
      <c r="J83" s="99"/>
    </row>
    <row r="84" spans="2:10">
      <c r="B84" s="11" t="s">
        <v>84</v>
      </c>
      <c r="C84" s="14">
        <v>30</v>
      </c>
      <c r="D84" s="12" t="s">
        <v>22</v>
      </c>
      <c r="E84" s="136"/>
      <c r="F84" s="110"/>
      <c r="G84" s="98">
        <v>0.27129999999999999</v>
      </c>
      <c r="H84" s="99">
        <f t="shared" si="6"/>
        <v>0.28486499999999998</v>
      </c>
      <c r="I84" s="99"/>
      <c r="J84" s="99"/>
    </row>
    <row r="85" spans="2:10">
      <c r="B85" s="48"/>
      <c r="C85" s="49"/>
      <c r="D85" s="50"/>
      <c r="E85" s="142"/>
      <c r="F85" s="142"/>
      <c r="G85" s="100"/>
      <c r="H85" s="101">
        <f>SUM(H81:H84)</f>
        <v>11.773300000000001</v>
      </c>
      <c r="I85" s="99"/>
      <c r="J85" s="99"/>
    </row>
    <row r="86" spans="2:10">
      <c r="B86" s="39" t="s">
        <v>373</v>
      </c>
      <c r="C86" s="31"/>
      <c r="D86" s="31"/>
      <c r="E86" s="140"/>
      <c r="F86" s="140"/>
      <c r="G86" s="99"/>
      <c r="H86" s="99"/>
      <c r="I86" s="99"/>
      <c r="J86" s="99"/>
    </row>
    <row r="87" spans="2:10">
      <c r="B87" s="11" t="s">
        <v>80</v>
      </c>
      <c r="C87" s="14">
        <v>90</v>
      </c>
      <c r="D87" s="12" t="s">
        <v>22</v>
      </c>
      <c r="E87" s="136"/>
      <c r="F87" s="110" t="s">
        <v>59</v>
      </c>
      <c r="G87" s="107">
        <f>122.09/12</f>
        <v>10.174166666666666</v>
      </c>
      <c r="H87" s="99">
        <f t="shared" ref="H87:H90" si="7">G87*(1+$H$2)</f>
        <v>10.682875000000001</v>
      </c>
      <c r="I87" s="99"/>
      <c r="J87" s="99"/>
    </row>
    <row r="88" spans="2:10">
      <c r="B88" s="11" t="s">
        <v>63</v>
      </c>
      <c r="C88" s="14">
        <v>60</v>
      </c>
      <c r="D88" s="12" t="s">
        <v>22</v>
      </c>
      <c r="E88" s="136"/>
      <c r="F88" s="110"/>
      <c r="G88" s="98">
        <v>0.15690000000000001</v>
      </c>
      <c r="H88" s="99">
        <f t="shared" si="7"/>
        <v>0.16474500000000003</v>
      </c>
      <c r="I88" s="99"/>
      <c r="J88" s="99"/>
    </row>
    <row r="89" spans="2:10">
      <c r="B89" s="11" t="s">
        <v>83</v>
      </c>
      <c r="C89" s="14">
        <v>60</v>
      </c>
      <c r="D89" s="12" t="s">
        <v>22</v>
      </c>
      <c r="E89" s="136"/>
      <c r="F89" s="110"/>
      <c r="G89" s="98">
        <v>0.61029999999999995</v>
      </c>
      <c r="H89" s="99">
        <f t="shared" si="7"/>
        <v>0.64081500000000002</v>
      </c>
      <c r="I89" s="99"/>
      <c r="J89" s="99"/>
    </row>
    <row r="90" spans="2:10">
      <c r="B90" s="11" t="s">
        <v>84</v>
      </c>
      <c r="C90" s="14">
        <v>30</v>
      </c>
      <c r="D90" s="12" t="s">
        <v>22</v>
      </c>
      <c r="E90" s="136"/>
      <c r="F90" s="110"/>
      <c r="G90" s="98">
        <v>0.27129999999999999</v>
      </c>
      <c r="H90" s="99">
        <f t="shared" si="7"/>
        <v>0.28486499999999998</v>
      </c>
      <c r="I90" s="99"/>
      <c r="J90" s="99"/>
    </row>
    <row r="91" spans="2:10">
      <c r="B91" s="48"/>
      <c r="C91" s="49"/>
      <c r="D91" s="50"/>
      <c r="E91" s="142"/>
      <c r="F91" s="142"/>
      <c r="G91" s="100"/>
      <c r="H91" s="101">
        <f>SUM(H87:H90)</f>
        <v>11.773300000000001</v>
      </c>
      <c r="I91" s="99"/>
      <c r="J91" s="99"/>
    </row>
    <row r="92" spans="2:10">
      <c r="B92" s="39" t="s">
        <v>374</v>
      </c>
      <c r="C92" s="31"/>
      <c r="D92" s="31"/>
      <c r="E92" s="140"/>
      <c r="F92" s="140"/>
      <c r="G92" s="99"/>
      <c r="H92" s="99"/>
      <c r="I92" s="99"/>
      <c r="J92" s="99"/>
    </row>
    <row r="93" spans="2:10">
      <c r="B93" s="48" t="s">
        <v>325</v>
      </c>
      <c r="C93" s="49">
        <v>1</v>
      </c>
      <c r="D93" s="50" t="s">
        <v>13</v>
      </c>
      <c r="E93" s="142"/>
      <c r="F93" s="142"/>
      <c r="G93" s="99"/>
      <c r="H93" s="99">
        <f t="shared" ref="H93:H97" si="8">G93*(1+$H$2)</f>
        <v>0</v>
      </c>
      <c r="I93" s="99"/>
      <c r="J93" s="99"/>
    </row>
    <row r="94" spans="2:10">
      <c r="B94" s="48" t="s">
        <v>375</v>
      </c>
      <c r="C94" s="49">
        <v>1</v>
      </c>
      <c r="D94" s="50" t="s">
        <v>13</v>
      </c>
      <c r="E94" s="142"/>
      <c r="F94" s="142"/>
      <c r="G94" s="99"/>
      <c r="H94" s="99">
        <f t="shared" si="8"/>
        <v>0</v>
      </c>
      <c r="I94" s="99"/>
      <c r="J94" s="99"/>
    </row>
    <row r="95" spans="2:10">
      <c r="B95" s="48" t="s">
        <v>376</v>
      </c>
      <c r="C95" s="49">
        <v>1</v>
      </c>
      <c r="D95" s="50" t="s">
        <v>13</v>
      </c>
      <c r="E95" s="142"/>
      <c r="F95" s="142"/>
      <c r="G95" s="99"/>
      <c r="H95" s="99">
        <f t="shared" si="8"/>
        <v>0</v>
      </c>
      <c r="I95" s="99"/>
      <c r="J95" s="99"/>
    </row>
    <row r="96" spans="2:10">
      <c r="B96" s="48" t="s">
        <v>360</v>
      </c>
      <c r="C96" s="49">
        <v>2</v>
      </c>
      <c r="D96" s="50" t="s">
        <v>13</v>
      </c>
      <c r="E96" s="142"/>
      <c r="F96" s="142"/>
      <c r="G96" s="99"/>
      <c r="H96" s="99">
        <f t="shared" si="8"/>
        <v>0</v>
      </c>
      <c r="I96" s="99"/>
      <c r="J96" s="99"/>
    </row>
    <row r="97" spans="2:10">
      <c r="B97" s="48" t="s">
        <v>326</v>
      </c>
      <c r="C97" s="49">
        <v>1</v>
      </c>
      <c r="D97" s="50" t="s">
        <v>13</v>
      </c>
      <c r="E97" s="142"/>
      <c r="F97" s="142"/>
      <c r="G97" s="99"/>
      <c r="H97" s="99">
        <f t="shared" si="8"/>
        <v>0</v>
      </c>
      <c r="I97" s="99"/>
      <c r="J97" s="99"/>
    </row>
    <row r="98" spans="2:10">
      <c r="B98" s="48"/>
      <c r="C98" s="49"/>
      <c r="D98" s="50"/>
      <c r="E98" s="142"/>
      <c r="F98" s="142"/>
      <c r="G98" s="100"/>
      <c r="H98" s="101">
        <f>SUM(H93:H97)</f>
        <v>0</v>
      </c>
      <c r="I98" s="99"/>
      <c r="J98" s="99"/>
    </row>
    <row r="99" spans="2:10">
      <c r="B99" s="39" t="s">
        <v>377</v>
      </c>
      <c r="C99" s="31"/>
      <c r="D99" s="31"/>
      <c r="E99" s="140"/>
      <c r="F99" s="140"/>
      <c r="G99" s="99"/>
      <c r="H99" s="99"/>
      <c r="I99" s="99"/>
      <c r="J99" s="99"/>
    </row>
    <row r="100" spans="2:10">
      <c r="B100" s="48" t="s">
        <v>378</v>
      </c>
      <c r="C100" s="49">
        <v>100</v>
      </c>
      <c r="D100" s="50" t="s">
        <v>139</v>
      </c>
      <c r="E100" s="142"/>
      <c r="F100" s="142"/>
      <c r="G100" s="99">
        <f>0.3232*1.3*1.1</f>
        <v>0.46217600000000003</v>
      </c>
      <c r="H100" s="99">
        <f t="shared" ref="H100:H102" si="9">G100*(1+$H$2)</f>
        <v>0.48528480000000007</v>
      </c>
      <c r="I100" s="99"/>
      <c r="J100" s="99"/>
    </row>
    <row r="101" spans="2:10">
      <c r="B101" s="48" t="s">
        <v>379</v>
      </c>
      <c r="C101" s="49">
        <v>30</v>
      </c>
      <c r="D101" s="50" t="s">
        <v>139</v>
      </c>
      <c r="E101" s="142"/>
      <c r="F101" s="142"/>
      <c r="G101" s="99">
        <f>0.1709*1.3*1.1</f>
        <v>0.24438700000000002</v>
      </c>
      <c r="H101" s="99">
        <f t="shared" si="9"/>
        <v>0.25660635000000004</v>
      </c>
      <c r="I101" s="99"/>
      <c r="J101" s="99"/>
    </row>
    <row r="102" spans="2:10">
      <c r="B102" s="48" t="s">
        <v>380</v>
      </c>
      <c r="C102" s="49">
        <v>90</v>
      </c>
      <c r="D102" s="50" t="s">
        <v>350</v>
      </c>
      <c r="E102" s="142"/>
      <c r="F102" s="142"/>
      <c r="G102" s="99">
        <f>0.2451*1.3*1.1</f>
        <v>0.35049300000000005</v>
      </c>
      <c r="H102" s="99">
        <f t="shared" si="9"/>
        <v>0.36801765000000008</v>
      </c>
      <c r="I102" s="99"/>
      <c r="J102" s="99"/>
    </row>
    <row r="103" spans="2:10">
      <c r="B103" s="48" t="s">
        <v>381</v>
      </c>
      <c r="C103" s="49" t="s">
        <v>382</v>
      </c>
      <c r="D103" s="50" t="s">
        <v>350</v>
      </c>
      <c r="E103" s="142"/>
      <c r="F103" s="142"/>
      <c r="G103" s="99">
        <v>0.23980000000000001</v>
      </c>
      <c r="H103" s="99">
        <f>G103*(1+$H$2)</f>
        <v>0.25179000000000001</v>
      </c>
      <c r="I103" s="99"/>
      <c r="J103" s="99"/>
    </row>
    <row r="104" spans="2:10">
      <c r="B104" s="48" t="s">
        <v>383</v>
      </c>
      <c r="C104" s="49">
        <v>10</v>
      </c>
      <c r="D104" s="50" t="s">
        <v>350</v>
      </c>
      <c r="E104" s="142"/>
      <c r="F104" s="142"/>
      <c r="G104" s="99">
        <v>0.10249999999999999</v>
      </c>
      <c r="H104" s="99">
        <f>G104*(1+$H$2)</f>
        <v>0.107625</v>
      </c>
      <c r="I104" s="99"/>
      <c r="J104" s="99"/>
    </row>
    <row r="105" spans="2:10">
      <c r="B105" s="48"/>
      <c r="C105" s="49"/>
      <c r="D105" s="50"/>
      <c r="E105" s="142"/>
      <c r="F105" s="142"/>
      <c r="G105" s="100"/>
      <c r="H105" s="101">
        <f>SUM(H100:H104)</f>
        <v>1.4693238000000002</v>
      </c>
      <c r="I105" s="99"/>
      <c r="J105" s="99"/>
    </row>
    <row r="106" spans="2:10">
      <c r="B106" s="41" t="s">
        <v>384</v>
      </c>
      <c r="C106" s="31"/>
      <c r="D106" s="31"/>
      <c r="E106" s="140"/>
      <c r="F106" s="140"/>
      <c r="G106" s="99"/>
      <c r="H106" s="99"/>
      <c r="I106" s="99"/>
      <c r="J106" s="99"/>
    </row>
    <row r="107" spans="2:10">
      <c r="B107" s="48" t="s">
        <v>378</v>
      </c>
      <c r="C107" s="49">
        <v>100</v>
      </c>
      <c r="D107" s="50" t="s">
        <v>139</v>
      </c>
      <c r="E107" s="142"/>
      <c r="F107" s="142"/>
      <c r="G107" s="99">
        <f>0.3232*1.3*1.1</f>
        <v>0.46217600000000003</v>
      </c>
      <c r="H107" s="99">
        <f t="shared" ref="H107:H111" si="10">G107*(1+$H$2)</f>
        <v>0.48528480000000007</v>
      </c>
      <c r="I107" s="99"/>
      <c r="J107" s="99"/>
    </row>
    <row r="108" spans="2:10">
      <c r="B108" s="48" t="s">
        <v>379</v>
      </c>
      <c r="C108" s="49">
        <v>30</v>
      </c>
      <c r="D108" s="50" t="s">
        <v>139</v>
      </c>
      <c r="E108" s="142"/>
      <c r="F108" s="142"/>
      <c r="G108" s="99">
        <f>0.1709*1.3*1.1</f>
        <v>0.24438700000000002</v>
      </c>
      <c r="H108" s="99">
        <f t="shared" si="10"/>
        <v>0.25660635000000004</v>
      </c>
      <c r="I108" s="99"/>
      <c r="J108" s="99"/>
    </row>
    <row r="109" spans="2:10">
      <c r="B109" s="48" t="s">
        <v>380</v>
      </c>
      <c r="C109" s="49">
        <v>90</v>
      </c>
      <c r="D109" s="50" t="s">
        <v>350</v>
      </c>
      <c r="E109" s="142"/>
      <c r="F109" s="142"/>
      <c r="G109" s="99">
        <f>0.2451*1.3*1.1</f>
        <v>0.35049300000000005</v>
      </c>
      <c r="H109" s="99">
        <f t="shared" si="10"/>
        <v>0.36801765000000008</v>
      </c>
      <c r="I109" s="99"/>
      <c r="J109" s="99"/>
    </row>
    <row r="110" spans="2:10">
      <c r="B110" s="48" t="s">
        <v>381</v>
      </c>
      <c r="C110" s="49" t="s">
        <v>382</v>
      </c>
      <c r="D110" s="50" t="s">
        <v>350</v>
      </c>
      <c r="E110" s="142"/>
      <c r="F110" s="142"/>
      <c r="G110" s="99">
        <v>0.23980000000000001</v>
      </c>
      <c r="H110" s="99">
        <f t="shared" si="10"/>
        <v>0.25179000000000001</v>
      </c>
      <c r="I110" s="99"/>
      <c r="J110" s="99"/>
    </row>
    <row r="111" spans="2:10">
      <c r="B111" s="48" t="s">
        <v>383</v>
      </c>
      <c r="C111" s="49">
        <v>10</v>
      </c>
      <c r="D111" s="50" t="s">
        <v>350</v>
      </c>
      <c r="E111" s="142"/>
      <c r="F111" s="142"/>
      <c r="G111" s="99">
        <v>0.10249999999999999</v>
      </c>
      <c r="H111" s="99">
        <f t="shared" si="10"/>
        <v>0.107625</v>
      </c>
      <c r="I111" s="99"/>
      <c r="J111" s="99"/>
    </row>
    <row r="112" spans="2:10">
      <c r="B112" s="48"/>
      <c r="C112" s="49"/>
      <c r="D112" s="50"/>
      <c r="E112" s="142"/>
      <c r="F112" s="142"/>
      <c r="G112" s="100"/>
      <c r="H112" s="101">
        <f>SUM(H107:H111)</f>
        <v>1.4693238000000002</v>
      </c>
      <c r="I112" s="99"/>
      <c r="J112" s="99"/>
    </row>
    <row r="113" spans="2:10">
      <c r="B113" s="42" t="s">
        <v>385</v>
      </c>
      <c r="C113" s="43">
        <v>1</v>
      </c>
      <c r="D113" s="42" t="s">
        <v>13</v>
      </c>
      <c r="E113" s="164"/>
      <c r="F113" s="115"/>
      <c r="G113" s="99"/>
      <c r="H113" s="99"/>
      <c r="I113" s="99"/>
      <c r="J113" s="99"/>
    </row>
    <row r="114" spans="2:10">
      <c r="B114" s="42" t="s">
        <v>386</v>
      </c>
      <c r="C114" s="43">
        <v>1</v>
      </c>
      <c r="D114" s="42" t="s">
        <v>13</v>
      </c>
      <c r="E114" s="164"/>
      <c r="F114" s="115"/>
      <c r="G114" s="99"/>
      <c r="H114" s="99"/>
      <c r="I114" s="99"/>
      <c r="J114" s="99"/>
    </row>
    <row r="115" spans="2:10">
      <c r="B115" s="42" t="s">
        <v>387</v>
      </c>
      <c r="C115" s="43">
        <v>1</v>
      </c>
      <c r="D115" s="42" t="s">
        <v>13</v>
      </c>
      <c r="E115" s="164"/>
      <c r="F115" s="115"/>
      <c r="G115" s="99"/>
      <c r="H115" s="99"/>
      <c r="I115" s="99"/>
      <c r="J115" s="99"/>
    </row>
    <row r="116" spans="2:10">
      <c r="B116" s="42" t="s">
        <v>388</v>
      </c>
      <c r="C116" s="43">
        <v>1</v>
      </c>
      <c r="D116" s="42" t="s">
        <v>13</v>
      </c>
      <c r="E116" s="164"/>
      <c r="F116" s="115"/>
      <c r="G116" s="99"/>
      <c r="H116" s="99"/>
      <c r="I116" s="99"/>
      <c r="J116" s="99"/>
    </row>
    <row r="117" spans="2:10">
      <c r="B117" s="42" t="s">
        <v>389</v>
      </c>
      <c r="C117" s="43">
        <v>1</v>
      </c>
      <c r="D117" s="42" t="s">
        <v>13</v>
      </c>
      <c r="E117" s="164"/>
      <c r="F117" s="115"/>
      <c r="G117" s="99"/>
      <c r="H117" s="99"/>
      <c r="I117" s="99"/>
      <c r="J117" s="99"/>
    </row>
    <row r="118" spans="2:10">
      <c r="B118" s="42" t="s">
        <v>390</v>
      </c>
      <c r="C118" s="43">
        <v>1</v>
      </c>
      <c r="D118" s="42" t="s">
        <v>13</v>
      </c>
      <c r="E118" s="164"/>
      <c r="F118" s="115"/>
      <c r="G118" s="99"/>
      <c r="H118" s="99"/>
      <c r="I118" s="99"/>
      <c r="J118" s="99"/>
    </row>
    <row r="119" spans="2:10">
      <c r="B119" s="45" t="s">
        <v>391</v>
      </c>
      <c r="C119" s="43">
        <v>1</v>
      </c>
      <c r="D119" s="42" t="s">
        <v>13</v>
      </c>
      <c r="E119" s="164"/>
      <c r="F119" s="115"/>
      <c r="G119" s="99"/>
      <c r="H119" s="99"/>
      <c r="I119" s="99"/>
      <c r="J119" s="99"/>
    </row>
    <row r="120" spans="2:10">
      <c r="B120" s="45" t="s">
        <v>392</v>
      </c>
      <c r="C120" s="43">
        <v>1</v>
      </c>
      <c r="D120" s="42" t="s">
        <v>13</v>
      </c>
      <c r="E120" s="164"/>
      <c r="F120" s="115"/>
      <c r="G120" s="99"/>
      <c r="H120" s="99"/>
      <c r="I120" s="99"/>
      <c r="J120" s="99"/>
    </row>
    <row r="121" spans="2:10">
      <c r="B121" s="45" t="s">
        <v>393</v>
      </c>
      <c r="C121" s="43">
        <v>1</v>
      </c>
      <c r="D121" s="42" t="s">
        <v>13</v>
      </c>
      <c r="E121" s="164"/>
      <c r="F121" s="115"/>
      <c r="G121" s="99"/>
      <c r="H121" s="99"/>
      <c r="I121" s="99"/>
      <c r="J121" s="99"/>
    </row>
    <row r="122" spans="2:10">
      <c r="B122" s="42" t="s">
        <v>391</v>
      </c>
      <c r="C122" s="43">
        <v>1</v>
      </c>
      <c r="D122" s="42" t="s">
        <v>13</v>
      </c>
      <c r="E122" s="164"/>
      <c r="F122" s="115"/>
      <c r="G122" s="99"/>
      <c r="H122" s="99"/>
      <c r="I122" s="99"/>
      <c r="J122" s="99"/>
    </row>
    <row r="123" spans="2:10">
      <c r="B123" s="46" t="s">
        <v>394</v>
      </c>
      <c r="C123" s="43">
        <v>1</v>
      </c>
      <c r="D123" s="42" t="s">
        <v>13</v>
      </c>
      <c r="E123" s="164"/>
      <c r="F123" s="115"/>
      <c r="G123" s="99"/>
      <c r="H123" s="99"/>
      <c r="I123" s="99"/>
      <c r="J123" s="99"/>
    </row>
    <row r="124" spans="2:10">
      <c r="B124" s="46" t="s">
        <v>395</v>
      </c>
      <c r="C124" s="43">
        <v>1</v>
      </c>
      <c r="D124" s="42" t="s">
        <v>13</v>
      </c>
      <c r="E124" s="164"/>
      <c r="F124" s="115"/>
      <c r="G124" s="99"/>
      <c r="H124" s="99"/>
      <c r="I124" s="99"/>
      <c r="J124" s="99"/>
    </row>
    <row r="125" spans="2:10">
      <c r="B125" s="42" t="s">
        <v>396</v>
      </c>
      <c r="C125" s="43">
        <v>1</v>
      </c>
      <c r="D125" s="42" t="s">
        <v>13</v>
      </c>
      <c r="E125" s="164"/>
      <c r="F125" s="115"/>
      <c r="G125" s="99"/>
      <c r="H125" s="99"/>
      <c r="I125" s="99"/>
      <c r="J125" s="99"/>
    </row>
    <row r="126" spans="2:10">
      <c r="B126" s="45" t="s">
        <v>397</v>
      </c>
      <c r="C126" s="43">
        <v>1</v>
      </c>
      <c r="D126" s="42" t="s">
        <v>13</v>
      </c>
      <c r="E126" s="164"/>
      <c r="F126" s="115"/>
      <c r="G126" s="99"/>
      <c r="H126" s="99"/>
      <c r="I126" s="99"/>
      <c r="J126" s="99"/>
    </row>
    <row r="127" spans="2:10">
      <c r="B127" s="45" t="s">
        <v>398</v>
      </c>
      <c r="C127" s="43">
        <v>1</v>
      </c>
      <c r="D127" s="42" t="s">
        <v>13</v>
      </c>
      <c r="E127" s="164"/>
      <c r="F127" s="115"/>
      <c r="G127" s="99"/>
      <c r="H127" s="99"/>
      <c r="I127" s="99"/>
      <c r="J127" s="99"/>
    </row>
    <row r="128" spans="2:10">
      <c r="B128" s="45" t="s">
        <v>399</v>
      </c>
      <c r="C128" s="43">
        <v>1</v>
      </c>
      <c r="D128" s="42" t="s">
        <v>13</v>
      </c>
      <c r="E128" s="164"/>
      <c r="F128" s="144"/>
      <c r="G128" s="99"/>
      <c r="H128" s="99"/>
      <c r="I128" s="99"/>
      <c r="J128" s="99"/>
    </row>
    <row r="129" spans="2:10">
      <c r="B129" s="42" t="s">
        <v>400</v>
      </c>
      <c r="C129" s="43">
        <v>1</v>
      </c>
      <c r="D129" s="42" t="s">
        <v>13</v>
      </c>
      <c r="E129" s="164"/>
      <c r="F129" s="144"/>
      <c r="G129" s="99"/>
      <c r="H129" s="99"/>
      <c r="I129" s="99"/>
      <c r="J129" s="99"/>
    </row>
    <row r="130" spans="2:10">
      <c r="B130" s="42" t="s">
        <v>401</v>
      </c>
      <c r="C130" s="43">
        <v>1</v>
      </c>
      <c r="D130" s="42" t="s">
        <v>13</v>
      </c>
      <c r="E130" s="164"/>
      <c r="F130" s="144"/>
      <c r="G130" s="99"/>
      <c r="H130" s="99"/>
      <c r="I130" s="99"/>
      <c r="J130" s="99"/>
    </row>
    <row r="131" spans="2:10">
      <c r="B131" s="42" t="s">
        <v>402</v>
      </c>
      <c r="C131" s="43">
        <v>1</v>
      </c>
      <c r="D131" s="42" t="s">
        <v>13</v>
      </c>
      <c r="E131" s="164"/>
      <c r="F131" s="115"/>
      <c r="G131" s="99"/>
      <c r="H131" s="99"/>
      <c r="I131" s="99"/>
      <c r="J131" s="99"/>
    </row>
    <row r="132" spans="2:10">
      <c r="B132" s="42" t="s">
        <v>403</v>
      </c>
      <c r="C132" s="43">
        <v>1</v>
      </c>
      <c r="D132" s="42" t="s">
        <v>13</v>
      </c>
      <c r="E132" s="164"/>
      <c r="F132" s="115"/>
      <c r="G132" s="99"/>
      <c r="H132" s="99"/>
      <c r="I132" s="99"/>
      <c r="J132" s="99"/>
    </row>
    <row r="133" spans="2:10">
      <c r="B133" s="42" t="s">
        <v>404</v>
      </c>
      <c r="C133" s="43">
        <v>1</v>
      </c>
      <c r="D133" s="42" t="s">
        <v>13</v>
      </c>
      <c r="E133" s="164"/>
      <c r="F133" s="115"/>
      <c r="G133" s="99"/>
      <c r="H133" s="99"/>
      <c r="I133" s="99"/>
      <c r="J133" s="99"/>
    </row>
    <row r="134" spans="2:10">
      <c r="B134" s="42" t="s">
        <v>405</v>
      </c>
      <c r="C134" s="43">
        <v>1</v>
      </c>
      <c r="D134" s="42" t="s">
        <v>13</v>
      </c>
      <c r="E134" s="164"/>
      <c r="F134" s="144"/>
      <c r="G134" s="99"/>
      <c r="H134" s="99"/>
      <c r="I134" s="99"/>
      <c r="J134" s="99"/>
    </row>
    <row r="135" spans="2:10">
      <c r="B135" s="42" t="s">
        <v>406</v>
      </c>
      <c r="C135" s="43">
        <v>1</v>
      </c>
      <c r="D135" s="42" t="s">
        <v>13</v>
      </c>
      <c r="E135" s="164"/>
      <c r="F135" s="144"/>
      <c r="G135" s="99"/>
      <c r="H135" s="99"/>
      <c r="I135" s="99"/>
      <c r="J135" s="99"/>
    </row>
    <row r="136" spans="2:10">
      <c r="B136" s="42" t="s">
        <v>407</v>
      </c>
      <c r="C136" s="43">
        <v>1</v>
      </c>
      <c r="D136" s="42" t="s">
        <v>13</v>
      </c>
      <c r="E136" s="164"/>
      <c r="F136" s="144"/>
      <c r="G136" s="99"/>
      <c r="H136" s="99"/>
      <c r="I136" s="99"/>
      <c r="J136" s="99"/>
    </row>
    <row r="137" spans="2:10">
      <c r="B137" s="45" t="s">
        <v>408</v>
      </c>
      <c r="C137" s="47">
        <v>1</v>
      </c>
      <c r="D137" s="47" t="s">
        <v>13</v>
      </c>
      <c r="E137" s="165"/>
      <c r="F137" s="145"/>
      <c r="G137" s="99"/>
      <c r="H137" s="99"/>
      <c r="I137" s="99"/>
      <c r="J137" s="99"/>
    </row>
    <row r="138" spans="2:10">
      <c r="B138" s="45" t="s">
        <v>409</v>
      </c>
      <c r="C138" s="47">
        <v>1</v>
      </c>
      <c r="D138" s="47" t="s">
        <v>13</v>
      </c>
      <c r="E138" s="165"/>
      <c r="F138" s="145"/>
      <c r="G138" s="99"/>
      <c r="H138" s="99"/>
      <c r="I138" s="99"/>
      <c r="J138" s="99"/>
    </row>
  </sheetData>
  <pageMargins left="0.7" right="0.7" top="0.75" bottom="0.75" header="0.3" footer="0.3"/>
  <pageSetup scale="3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C835A-643A-40A7-BFCD-D0ECE022E4EB}">
  <sheetPr>
    <pageSetUpPr fitToPage="1"/>
  </sheetPr>
  <dimension ref="A1:D65"/>
  <sheetViews>
    <sheetView workbookViewId="0">
      <selection activeCell="D19" sqref="D19"/>
    </sheetView>
  </sheetViews>
  <sheetFormatPr defaultColWidth="9.109375" defaultRowHeight="14.4"/>
  <cols>
    <col min="1" max="1" width="51" customWidth="1"/>
    <col min="4" max="4" width="95" customWidth="1"/>
  </cols>
  <sheetData>
    <row r="1" spans="1:4" ht="17.399999999999999">
      <c r="A1" s="1" t="s">
        <v>410</v>
      </c>
    </row>
    <row r="2" spans="1:4">
      <c r="A2" s="9" t="s">
        <v>161</v>
      </c>
      <c r="B2" s="15">
        <v>1</v>
      </c>
      <c r="C2" s="15" t="s">
        <v>13</v>
      </c>
      <c r="D2" s="16"/>
    </row>
    <row r="3" spans="1:4">
      <c r="A3" s="9" t="s">
        <v>163</v>
      </c>
      <c r="B3" s="15">
        <v>1</v>
      </c>
      <c r="C3" s="15" t="s">
        <v>13</v>
      </c>
      <c r="D3" s="16"/>
    </row>
    <row r="4" spans="1:4">
      <c r="A4" s="9" t="s">
        <v>165</v>
      </c>
      <c r="B4" s="15">
        <v>1</v>
      </c>
      <c r="C4" s="15" t="s">
        <v>13</v>
      </c>
      <c r="D4" s="16"/>
    </row>
    <row r="5" spans="1:4">
      <c r="A5" s="9" t="s">
        <v>167</v>
      </c>
      <c r="B5" s="15">
        <v>1</v>
      </c>
      <c r="C5" s="15" t="s">
        <v>13</v>
      </c>
      <c r="D5" s="16"/>
    </row>
    <row r="6" spans="1:4">
      <c r="A6" s="9" t="s">
        <v>169</v>
      </c>
      <c r="B6" s="15">
        <v>1</v>
      </c>
      <c r="C6" s="15" t="s">
        <v>13</v>
      </c>
      <c r="D6" s="16"/>
    </row>
    <row r="7" spans="1:4">
      <c r="A7" s="53" t="s">
        <v>171</v>
      </c>
      <c r="B7" s="54">
        <v>1</v>
      </c>
      <c r="C7" s="54" t="s">
        <v>13</v>
      </c>
      <c r="D7" s="16"/>
    </row>
    <row r="8" spans="1:4">
      <c r="A8" s="53" t="s">
        <v>173</v>
      </c>
      <c r="B8" s="54">
        <v>1</v>
      </c>
      <c r="C8" s="54" t="s">
        <v>13</v>
      </c>
      <c r="D8" s="16"/>
    </row>
    <row r="9" spans="1:4">
      <c r="A9" s="53" t="s">
        <v>175</v>
      </c>
      <c r="B9" s="54">
        <v>1</v>
      </c>
      <c r="C9" s="54" t="s">
        <v>13</v>
      </c>
      <c r="D9" s="16"/>
    </row>
    <row r="10" spans="1:4">
      <c r="A10" s="53" t="s">
        <v>177</v>
      </c>
      <c r="B10" s="54">
        <v>1</v>
      </c>
      <c r="C10" s="54" t="s">
        <v>13</v>
      </c>
      <c r="D10" s="16"/>
    </row>
    <row r="11" spans="1:4">
      <c r="A11" s="53" t="s">
        <v>179</v>
      </c>
      <c r="B11" s="54">
        <v>1</v>
      </c>
      <c r="C11" s="54" t="s">
        <v>13</v>
      </c>
      <c r="D11" s="16"/>
    </row>
    <row r="12" spans="1:4">
      <c r="A12" s="9" t="s">
        <v>181</v>
      </c>
      <c r="B12" s="15">
        <v>1</v>
      </c>
      <c r="C12" s="15" t="s">
        <v>13</v>
      </c>
      <c r="D12" s="16"/>
    </row>
    <row r="13" spans="1:4">
      <c r="A13" s="9" t="s">
        <v>182</v>
      </c>
      <c r="B13" s="15">
        <v>1</v>
      </c>
      <c r="C13" s="15" t="s">
        <v>13</v>
      </c>
      <c r="D13" s="16"/>
    </row>
    <row r="14" spans="1:4" ht="17.399999999999999">
      <c r="A14" s="20" t="s">
        <v>184</v>
      </c>
    </row>
    <row r="15" spans="1:4">
      <c r="A15" s="29" t="s">
        <v>256</v>
      </c>
      <c r="B15" s="29">
        <v>1</v>
      </c>
      <c r="C15" s="29" t="s">
        <v>13</v>
      </c>
      <c r="D15" s="38"/>
    </row>
    <row r="16" spans="1:4">
      <c r="A16" s="29" t="s">
        <v>258</v>
      </c>
      <c r="B16" s="29">
        <v>1</v>
      </c>
      <c r="C16" s="29" t="s">
        <v>13</v>
      </c>
      <c r="D16" s="38"/>
    </row>
    <row r="17" spans="1:4">
      <c r="A17" s="29" t="s">
        <v>260</v>
      </c>
      <c r="B17" s="29">
        <v>1</v>
      </c>
      <c r="C17" s="29" t="s">
        <v>13</v>
      </c>
      <c r="D17" s="38"/>
    </row>
    <row r="18" spans="1:4">
      <c r="A18" s="29" t="s">
        <v>262</v>
      </c>
      <c r="B18" s="29">
        <v>1</v>
      </c>
      <c r="C18" s="29" t="s">
        <v>13</v>
      </c>
      <c r="D18" s="38"/>
    </row>
    <row r="19" spans="1:4">
      <c r="A19" s="29" t="s">
        <v>264</v>
      </c>
      <c r="B19" s="29">
        <v>1</v>
      </c>
      <c r="C19" s="29" t="s">
        <v>13</v>
      </c>
      <c r="D19" s="38"/>
    </row>
    <row r="20" spans="1:4">
      <c r="A20" s="55" t="s">
        <v>266</v>
      </c>
      <c r="B20" s="55">
        <v>1</v>
      </c>
      <c r="C20" s="55" t="s">
        <v>13</v>
      </c>
      <c r="D20" s="38"/>
    </row>
    <row r="21" spans="1:4">
      <c r="A21" s="55" t="s">
        <v>268</v>
      </c>
      <c r="B21" s="55">
        <v>1</v>
      </c>
      <c r="C21" s="55" t="s">
        <v>13</v>
      </c>
      <c r="D21" s="38"/>
    </row>
    <row r="22" spans="1:4">
      <c r="A22" s="55" t="s">
        <v>270</v>
      </c>
      <c r="B22" s="55">
        <v>1</v>
      </c>
      <c r="C22" s="55" t="s">
        <v>13</v>
      </c>
      <c r="D22" s="38"/>
    </row>
    <row r="23" spans="1:4">
      <c r="A23" s="55" t="s">
        <v>272</v>
      </c>
      <c r="B23" s="55">
        <v>1</v>
      </c>
      <c r="C23" s="55" t="s">
        <v>13</v>
      </c>
      <c r="D23" s="38"/>
    </row>
    <row r="24" spans="1:4">
      <c r="A24" s="55" t="s">
        <v>274</v>
      </c>
      <c r="B24" s="55">
        <v>1</v>
      </c>
      <c r="C24" s="55" t="s">
        <v>13</v>
      </c>
      <c r="D24" s="38"/>
    </row>
    <row r="25" spans="1:4">
      <c r="A25" s="29" t="s">
        <v>276</v>
      </c>
      <c r="B25" s="29">
        <v>1</v>
      </c>
      <c r="C25" s="29" t="s">
        <v>13</v>
      </c>
      <c r="D25" s="38"/>
    </row>
    <row r="26" spans="1:4">
      <c r="A26" s="29" t="s">
        <v>277</v>
      </c>
      <c r="B26" s="29">
        <v>1</v>
      </c>
      <c r="C26" s="29" t="s">
        <v>13</v>
      </c>
      <c r="D26" s="38"/>
    </row>
    <row r="27" spans="1:4">
      <c r="A27" s="37" t="s">
        <v>278</v>
      </c>
      <c r="B27" s="37">
        <v>1</v>
      </c>
      <c r="C27" s="37" t="s">
        <v>13</v>
      </c>
      <c r="D27" s="32"/>
    </row>
    <row r="28" spans="1:4" ht="17.399999999999999">
      <c r="A28" s="20" t="s">
        <v>279</v>
      </c>
    </row>
    <row r="29" spans="1:4">
      <c r="A29" s="29" t="s">
        <v>310</v>
      </c>
      <c r="B29" s="29">
        <v>1</v>
      </c>
      <c r="C29" s="29" t="s">
        <v>13</v>
      </c>
      <c r="D29" s="38"/>
    </row>
    <row r="30" spans="1:4">
      <c r="A30" s="29" t="s">
        <v>312</v>
      </c>
      <c r="B30" s="29">
        <v>1</v>
      </c>
      <c r="C30" s="29" t="s">
        <v>13</v>
      </c>
      <c r="D30" s="38"/>
    </row>
    <row r="31" spans="1:4">
      <c r="A31" s="29" t="s">
        <v>314</v>
      </c>
      <c r="B31" s="29">
        <v>1</v>
      </c>
      <c r="C31" s="29" t="s">
        <v>13</v>
      </c>
      <c r="D31" s="38"/>
    </row>
    <row r="32" spans="1:4">
      <c r="A32" s="29" t="s">
        <v>315</v>
      </c>
      <c r="B32" s="29">
        <v>1</v>
      </c>
      <c r="C32" s="29" t="s">
        <v>13</v>
      </c>
      <c r="D32" s="38"/>
    </row>
    <row r="33" spans="1:4">
      <c r="A33" s="55" t="s">
        <v>316</v>
      </c>
      <c r="B33" s="55">
        <v>1</v>
      </c>
      <c r="C33" s="55" t="s">
        <v>13</v>
      </c>
      <c r="D33" s="38"/>
    </row>
    <row r="34" spans="1:4">
      <c r="A34" s="55" t="s">
        <v>317</v>
      </c>
      <c r="B34" s="55">
        <v>1</v>
      </c>
      <c r="C34" s="55" t="s">
        <v>13</v>
      </c>
      <c r="D34" s="38"/>
    </row>
    <row r="35" spans="1:4">
      <c r="A35" s="55" t="s">
        <v>318</v>
      </c>
      <c r="B35" s="55">
        <v>1</v>
      </c>
      <c r="C35" s="55" t="s">
        <v>13</v>
      </c>
      <c r="D35" s="38"/>
    </row>
    <row r="36" spans="1:4">
      <c r="A36" s="55" t="s">
        <v>319</v>
      </c>
      <c r="B36" s="55">
        <v>1</v>
      </c>
      <c r="C36" s="55" t="s">
        <v>13</v>
      </c>
      <c r="D36" s="38"/>
    </row>
    <row r="37" spans="1:4">
      <c r="A37" s="29" t="s">
        <v>320</v>
      </c>
      <c r="B37" s="29">
        <v>1</v>
      </c>
      <c r="C37" s="29" t="s">
        <v>13</v>
      </c>
      <c r="D37" s="38"/>
    </row>
    <row r="38" spans="1:4">
      <c r="A38" s="29" t="s">
        <v>321</v>
      </c>
      <c r="B38" s="29">
        <v>1</v>
      </c>
      <c r="C38" s="29" t="s">
        <v>13</v>
      </c>
      <c r="D38" s="38"/>
    </row>
    <row r="39" spans="1:4" ht="17.399999999999999">
      <c r="A39" s="20" t="s">
        <v>323</v>
      </c>
      <c r="B39" s="17"/>
      <c r="C39" s="17"/>
      <c r="D39" s="19"/>
    </row>
    <row r="40" spans="1:4">
      <c r="A40" s="42" t="s">
        <v>385</v>
      </c>
      <c r="B40" s="43">
        <v>1</v>
      </c>
      <c r="C40" s="42" t="s">
        <v>13</v>
      </c>
      <c r="D40" s="16"/>
    </row>
    <row r="41" spans="1:4">
      <c r="A41" s="42" t="s">
        <v>386</v>
      </c>
      <c r="B41" s="43">
        <v>1</v>
      </c>
      <c r="C41" s="42" t="s">
        <v>13</v>
      </c>
      <c r="D41" s="16"/>
    </row>
    <row r="42" spans="1:4">
      <c r="A42" s="42" t="s">
        <v>387</v>
      </c>
      <c r="B42" s="43">
        <v>1</v>
      </c>
      <c r="C42" s="42" t="s">
        <v>13</v>
      </c>
      <c r="D42" s="16"/>
    </row>
    <row r="43" spans="1:4">
      <c r="A43" s="42" t="s">
        <v>388</v>
      </c>
      <c r="B43" s="43">
        <v>1</v>
      </c>
      <c r="C43" s="42" t="s">
        <v>13</v>
      </c>
      <c r="D43" s="16"/>
    </row>
    <row r="44" spans="1:4">
      <c r="A44" s="42" t="s">
        <v>389</v>
      </c>
      <c r="B44" s="43">
        <v>1</v>
      </c>
      <c r="C44" s="42" t="s">
        <v>13</v>
      </c>
      <c r="D44" s="16"/>
    </row>
    <row r="45" spans="1:4">
      <c r="A45" s="42" t="s">
        <v>390</v>
      </c>
      <c r="B45" s="43">
        <v>1</v>
      </c>
      <c r="C45" s="42" t="s">
        <v>13</v>
      </c>
      <c r="D45" s="16"/>
    </row>
    <row r="46" spans="1:4">
      <c r="A46" s="45" t="s">
        <v>391</v>
      </c>
      <c r="B46" s="43">
        <v>1</v>
      </c>
      <c r="C46" s="42" t="s">
        <v>13</v>
      </c>
      <c r="D46" s="16"/>
    </row>
    <row r="47" spans="1:4">
      <c r="A47" s="45" t="s">
        <v>392</v>
      </c>
      <c r="B47" s="43">
        <v>1</v>
      </c>
      <c r="C47" s="42" t="s">
        <v>13</v>
      </c>
      <c r="D47" s="16"/>
    </row>
    <row r="48" spans="1:4">
      <c r="A48" s="45" t="s">
        <v>393</v>
      </c>
      <c r="B48" s="43">
        <v>1</v>
      </c>
      <c r="C48" s="42" t="s">
        <v>13</v>
      </c>
      <c r="D48" s="16"/>
    </row>
    <row r="49" spans="1:4">
      <c r="A49" s="42" t="s">
        <v>391</v>
      </c>
      <c r="B49" s="43">
        <v>1</v>
      </c>
      <c r="C49" s="42" t="s">
        <v>13</v>
      </c>
      <c r="D49" s="16"/>
    </row>
    <row r="50" spans="1:4">
      <c r="A50" s="46" t="s">
        <v>394</v>
      </c>
      <c r="B50" s="43">
        <v>1</v>
      </c>
      <c r="C50" s="42" t="s">
        <v>13</v>
      </c>
      <c r="D50" s="16"/>
    </row>
    <row r="51" spans="1:4">
      <c r="A51" s="46" t="s">
        <v>395</v>
      </c>
      <c r="B51" s="43">
        <v>1</v>
      </c>
      <c r="C51" s="42" t="s">
        <v>13</v>
      </c>
      <c r="D51" s="16"/>
    </row>
    <row r="52" spans="1:4">
      <c r="A52" s="42" t="s">
        <v>396</v>
      </c>
      <c r="B52" s="43">
        <v>1</v>
      </c>
      <c r="C52" s="42" t="s">
        <v>13</v>
      </c>
      <c r="D52" s="16"/>
    </row>
    <row r="53" spans="1:4">
      <c r="A53" s="45" t="s">
        <v>397</v>
      </c>
      <c r="B53" s="43">
        <v>1</v>
      </c>
      <c r="C53" s="42" t="s">
        <v>13</v>
      </c>
      <c r="D53" s="16"/>
    </row>
    <row r="54" spans="1:4">
      <c r="A54" s="45" t="s">
        <v>398</v>
      </c>
      <c r="B54" s="43">
        <v>1</v>
      </c>
      <c r="C54" s="42" t="s">
        <v>13</v>
      </c>
      <c r="D54" s="16"/>
    </row>
    <row r="55" spans="1:4">
      <c r="A55" s="45" t="s">
        <v>399</v>
      </c>
      <c r="B55" s="43">
        <v>1</v>
      </c>
      <c r="C55" s="42" t="s">
        <v>13</v>
      </c>
      <c r="D55" s="44"/>
    </row>
    <row r="56" spans="1:4">
      <c r="A56" s="42" t="s">
        <v>400</v>
      </c>
      <c r="B56" s="43">
        <v>1</v>
      </c>
      <c r="C56" s="42" t="s">
        <v>13</v>
      </c>
      <c r="D56" s="44"/>
    </row>
    <row r="57" spans="1:4">
      <c r="A57" s="42" t="s">
        <v>401</v>
      </c>
      <c r="B57" s="43">
        <v>1</v>
      </c>
      <c r="C57" s="42" t="s">
        <v>13</v>
      </c>
      <c r="D57" s="44"/>
    </row>
    <row r="58" spans="1:4">
      <c r="A58" s="42" t="s">
        <v>402</v>
      </c>
      <c r="B58" s="43">
        <v>1</v>
      </c>
      <c r="C58" s="42" t="s">
        <v>13</v>
      </c>
      <c r="D58" s="16"/>
    </row>
    <row r="59" spans="1:4">
      <c r="A59" s="42" t="s">
        <v>403</v>
      </c>
      <c r="B59" s="43">
        <v>1</v>
      </c>
      <c r="C59" s="42" t="s">
        <v>13</v>
      </c>
      <c r="D59" s="16"/>
    </row>
    <row r="60" spans="1:4">
      <c r="A60" s="42" t="s">
        <v>404</v>
      </c>
      <c r="B60" s="43">
        <v>1</v>
      </c>
      <c r="C60" s="42" t="s">
        <v>13</v>
      </c>
      <c r="D60" s="16"/>
    </row>
    <row r="61" spans="1:4">
      <c r="A61" s="42" t="s">
        <v>405</v>
      </c>
      <c r="B61" s="43">
        <v>1</v>
      </c>
      <c r="C61" s="42" t="s">
        <v>13</v>
      </c>
      <c r="D61" s="44"/>
    </row>
    <row r="62" spans="1:4">
      <c r="A62" s="42" t="s">
        <v>406</v>
      </c>
      <c r="B62" s="43">
        <v>1</v>
      </c>
      <c r="C62" s="42" t="s">
        <v>13</v>
      </c>
      <c r="D62" s="44"/>
    </row>
    <row r="63" spans="1:4">
      <c r="A63" s="42" t="s">
        <v>407</v>
      </c>
      <c r="B63" s="43">
        <v>1</v>
      </c>
      <c r="C63" s="42" t="s">
        <v>13</v>
      </c>
      <c r="D63" s="44"/>
    </row>
    <row r="64" spans="1:4">
      <c r="A64" s="45" t="s">
        <v>408</v>
      </c>
      <c r="B64" s="47">
        <v>1</v>
      </c>
      <c r="C64" s="47" t="s">
        <v>13</v>
      </c>
      <c r="D64" s="10"/>
    </row>
    <row r="65" spans="1:4">
      <c r="A65" s="45" t="s">
        <v>409</v>
      </c>
      <c r="B65" s="47">
        <v>1</v>
      </c>
      <c r="C65" s="47" t="s">
        <v>13</v>
      </c>
      <c r="D65" s="10"/>
    </row>
  </sheetData>
  <pageMargins left="0.7" right="0.7" top="0.75" bottom="0.75" header="0.3" footer="0.3"/>
  <pageSetup scale="55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cca795c-b702-4d9c-a00f-4ea8e3fb1866">
      <UserInfo>
        <DisplayName>Sue  Lu</DisplayName>
        <AccountId>16</AccountId>
        <AccountType/>
      </UserInfo>
      <UserInfo>
        <DisplayName>Blair Hicks</DisplayName>
        <AccountId>15</AccountId>
        <AccountType/>
      </UserInfo>
      <UserInfo>
        <DisplayName>Chef Lauren Good</DisplayName>
        <AccountId>12</AccountId>
        <AccountType/>
      </UserInfo>
      <UserInfo>
        <DisplayName>Adam Difulvio</DisplayName>
        <AccountId>29</AccountId>
        <AccountType/>
      </UserInfo>
      <UserInfo>
        <DisplayName>Chef Marshall Rogers</DisplayName>
        <AccountId>14</AccountId>
        <AccountType/>
      </UserInfo>
      <UserInfo>
        <DisplayName>Caleb Cunningham</DisplayName>
        <AccountId>13</AccountId>
        <AccountType/>
      </UserInfo>
      <UserInfo>
        <DisplayName>Sherry Cox</DisplayName>
        <AccountId>17</AccountId>
        <AccountType/>
      </UserInfo>
    </SharedWithUsers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C7A03C-6546-469F-8411-4B59EEC417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321509-F9E0-4889-B1CD-7994E04532AC}">
  <ds:schemaRefs>
    <ds:schemaRef ds:uri="http://schemas.microsoft.com/office/2006/documentManagement/types"/>
    <ds:schemaRef ds:uri="http://purl.org/dc/terms/"/>
    <ds:schemaRef ds:uri="1cca795c-b702-4d9c-a00f-4ea8e3fb1866"/>
    <ds:schemaRef ds:uri="http://schemas.microsoft.com/office/2006/metadata/properties"/>
    <ds:schemaRef ds:uri="8be24d1f-f08e-46a7-9c6b-0452813a2a77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AB58D92-3458-4519-B466-923D750BF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e24d1f-f08e-46a7-9c6b-0452813a2a77"/>
    <ds:schemaRef ds:uri="1cca795c-b702-4d9c-a00f-4ea8e3fb18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CS C C1-3</vt:lpstr>
      <vt:lpstr>CS Y C1-3</vt:lpstr>
      <vt:lpstr>CS M C1-3</vt:lpstr>
      <vt:lpstr>CS P K C3</vt:lpstr>
      <vt:lpstr>Special Meals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Sue  Lu</dc:creator>
  <cp:keywords/>
  <dc:description/>
  <cp:lastModifiedBy>Anthony  Barnhart</cp:lastModifiedBy>
  <cp:revision/>
  <dcterms:created xsi:type="dcterms:W3CDTF">2024-02-23T19:31:22Z</dcterms:created>
  <dcterms:modified xsi:type="dcterms:W3CDTF">2025-06-23T15:39:17Z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  <property fmtid="{D5CDD505-2E9C-101B-9397-08002B2CF9AE}" pid="3" name="MediaServiceImageTags">
    <vt:lpwstr/>
  </property>
</Properties>
</file>