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goldberggroup-my.sharepoint.com/personal/slu_mainlineaviation_com/Documents/Airline catering file/Current Customer/SAS 202403/RFP 2024/MENU PROPOSAL/Breakdown/"/>
    </mc:Choice>
  </mc:AlternateContent>
  <xr:revisionPtr revIDLastSave="2161" documentId="8_{6B7F5108-3147-4942-960C-874D239AACB7}" xr6:coauthVersionLast="47" xr6:coauthVersionMax="47" xr10:uidLastSave="{5F68D21D-8648-4F0F-97DB-886A8AB9F08C}"/>
  <bookViews>
    <workbookView xWindow="47895" yWindow="-5340" windowWidth="19410" windowHeight="20985" firstSheet="2" activeTab="5" xr2:uid="{AACAC2DE-DE14-48E2-BB41-7EEDE298DE98}"/>
  </bookViews>
  <sheets>
    <sheet name="INSTRUCTION" sheetId="2" r:id="rId1"/>
    <sheet name="CS C C1-3" sheetId="1" r:id="rId2"/>
    <sheet name="CS Y C1-3" sheetId="3" r:id="rId3"/>
    <sheet name="CS M C1-3" sheetId="4" r:id="rId4"/>
    <sheet name="CS P K C3" sheetId="5" r:id="rId5"/>
    <sheet name="COST OF INGREDIENT" sheetId="6" r:id="rId6"/>
    <sheet name="BC spml calculation" sheetId="8" r:id="rId7"/>
    <sheet name="YC SPML calculation" sheetId="9" r:id="rId8"/>
    <sheet name="DESSERT BREAKDOWN" sheetId="10" r:id="rId9"/>
  </sheets>
  <definedNames>
    <definedName name="_xlnm._FilterDatabase" localSheetId="6" hidden="1">'BC spml calculation'!$A$1:$M$64</definedName>
    <definedName name="_xlnm._FilterDatabase" localSheetId="5" hidden="1">'COST OF INGREDIENT'!$A$1:$F$326</definedName>
    <definedName name="_xlnm._FilterDatabase" localSheetId="7" hidden="1">'YC SPML calculation'!$A$1:$N$15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8" i="6" l="1"/>
  <c r="E178" i="6" s="1"/>
  <c r="J178" i="6" s="1"/>
  <c r="C177" i="6"/>
  <c r="C176" i="6"/>
  <c r="C175" i="6"/>
  <c r="E175" i="6" s="1"/>
  <c r="J175" i="6" s="1"/>
  <c r="C174" i="6"/>
  <c r="E179" i="6"/>
  <c r="J179" i="6" s="1"/>
  <c r="E177" i="6"/>
  <c r="I177" i="6" s="1"/>
  <c r="E176" i="6"/>
  <c r="J176" i="6" s="1"/>
  <c r="C173" i="6"/>
  <c r="E173" i="6" s="1"/>
  <c r="C172" i="6"/>
  <c r="C171" i="6"/>
  <c r="E171" i="6"/>
  <c r="C170" i="6"/>
  <c r="C169" i="6"/>
  <c r="C168" i="6"/>
  <c r="J166" i="6"/>
  <c r="C167" i="6"/>
  <c r="E167" i="6" s="1"/>
  <c r="I167" i="6" s="1"/>
  <c r="E174" i="6"/>
  <c r="I174" i="6" s="1"/>
  <c r="E172" i="6"/>
  <c r="I172" i="6" s="1"/>
  <c r="E170" i="6"/>
  <c r="I170" i="6" s="1"/>
  <c r="E169" i="6"/>
  <c r="I169" i="6" s="1"/>
  <c r="E168" i="6"/>
  <c r="I168" i="6" s="1"/>
  <c r="E166" i="6"/>
  <c r="I166" i="6" s="1"/>
  <c r="C166" i="6"/>
  <c r="E122" i="10"/>
  <c r="E123" i="10"/>
  <c r="E115" i="10"/>
  <c r="E118" i="10" s="1"/>
  <c r="E119" i="10" s="1"/>
  <c r="E120" i="10" s="1"/>
  <c r="F120" i="10" s="1"/>
  <c r="C118" i="10"/>
  <c r="E117" i="10"/>
  <c r="E116" i="10"/>
  <c r="E66" i="10"/>
  <c r="D65" i="10"/>
  <c r="D66" i="10"/>
  <c r="D64" i="10"/>
  <c r="E110" i="10"/>
  <c r="E109" i="10"/>
  <c r="E108" i="10"/>
  <c r="E107" i="10"/>
  <c r="E106" i="10"/>
  <c r="E105" i="10"/>
  <c r="E104" i="10"/>
  <c r="E103" i="10"/>
  <c r="C109" i="10"/>
  <c r="D63" i="10"/>
  <c r="E100" i="10"/>
  <c r="C99" i="10"/>
  <c r="E99" i="10"/>
  <c r="E98" i="10"/>
  <c r="E97" i="10"/>
  <c r="E96" i="10"/>
  <c r="E95" i="10"/>
  <c r="E94" i="10"/>
  <c r="D61" i="10"/>
  <c r="D62" i="10"/>
  <c r="E91" i="10"/>
  <c r="C90" i="10"/>
  <c r="E90" i="10"/>
  <c r="E89" i="10"/>
  <c r="E88" i="10"/>
  <c r="E87" i="10"/>
  <c r="E86" i="10"/>
  <c r="E85" i="10"/>
  <c r="E84" i="10"/>
  <c r="E81" i="10"/>
  <c r="C80" i="10"/>
  <c r="E80" i="10"/>
  <c r="E79" i="10"/>
  <c r="E78" i="10"/>
  <c r="E77" i="10"/>
  <c r="E76" i="10"/>
  <c r="E75" i="10"/>
  <c r="E74" i="10"/>
  <c r="E73" i="10"/>
  <c r="E72" i="10"/>
  <c r="B63" i="10"/>
  <c r="B62" i="10"/>
  <c r="B61" i="10"/>
  <c r="B66" i="10"/>
  <c r="B67" i="10" s="1"/>
  <c r="B65" i="10"/>
  <c r="B64" i="10"/>
  <c r="G57" i="10"/>
  <c r="G56" i="10"/>
  <c r="G55" i="10"/>
  <c r="G54" i="10"/>
  <c r="G53" i="10"/>
  <c r="G52" i="10"/>
  <c r="G51" i="10"/>
  <c r="G50" i="10"/>
  <c r="G49" i="10"/>
  <c r="G48" i="10"/>
  <c r="G47" i="10"/>
  <c r="G46" i="10"/>
  <c r="B54" i="10"/>
  <c r="F7" i="10"/>
  <c r="E7" i="10"/>
  <c r="E5" i="10"/>
  <c r="E38" i="10"/>
  <c r="C37" i="10"/>
  <c r="E37" i="10"/>
  <c r="E35" i="10"/>
  <c r="E34" i="10"/>
  <c r="E32" i="10"/>
  <c r="E31" i="10"/>
  <c r="E28" i="10"/>
  <c r="E4" i="10" s="1"/>
  <c r="C27" i="10"/>
  <c r="E27" i="10"/>
  <c r="E26" i="10"/>
  <c r="E25" i="10"/>
  <c r="E24" i="10"/>
  <c r="E23" i="10"/>
  <c r="E22" i="10"/>
  <c r="E21" i="10"/>
  <c r="E20" i="10"/>
  <c r="E3" i="10"/>
  <c r="E15" i="10"/>
  <c r="E2" i="10" s="1"/>
  <c r="C14" i="10"/>
  <c r="E14" i="10"/>
  <c r="E13" i="10"/>
  <c r="E12" i="10"/>
  <c r="E11" i="10"/>
  <c r="B5" i="10"/>
  <c r="B4" i="10"/>
  <c r="B3" i="10"/>
  <c r="B2" i="10"/>
  <c r="B7" i="10" s="1"/>
  <c r="Q14" i="9"/>
  <c r="Q12" i="9"/>
  <c r="Q10" i="9"/>
  <c r="R14" i="9" s="1"/>
  <c r="Q8" i="9"/>
  <c r="R8" i="9" s="1"/>
  <c r="Q6" i="9"/>
  <c r="Q4" i="9"/>
  <c r="Q2" i="9"/>
  <c r="Q5" i="9"/>
  <c r="Q7" i="9"/>
  <c r="Q9" i="9"/>
  <c r="Q11" i="9"/>
  <c r="Q13" i="9"/>
  <c r="N2" i="9"/>
  <c r="O8" i="9" s="1"/>
  <c r="N3" i="9"/>
  <c r="N4" i="9"/>
  <c r="N5" i="9"/>
  <c r="N6" i="9"/>
  <c r="N7" i="9"/>
  <c r="N8" i="9"/>
  <c r="N9" i="9"/>
  <c r="N10" i="9"/>
  <c r="O14" i="9" s="1"/>
  <c r="N11" i="9"/>
  <c r="N12" i="9"/>
  <c r="N13" i="9"/>
  <c r="N14" i="9"/>
  <c r="N15" i="9"/>
  <c r="Q20" i="8"/>
  <c r="Q21" i="8"/>
  <c r="Q22" i="8"/>
  <c r="Q23" i="8"/>
  <c r="Q24" i="8"/>
  <c r="Q25" i="8"/>
  <c r="Q26" i="8"/>
  <c r="Q18" i="8"/>
  <c r="R26" i="8" s="1"/>
  <c r="Q11" i="8"/>
  <c r="Q17" i="8"/>
  <c r="Q10" i="8"/>
  <c r="Q9" i="8"/>
  <c r="Q7" i="8"/>
  <c r="Q6" i="8"/>
  <c r="Q5" i="8"/>
  <c r="Q3" i="8"/>
  <c r="Q4" i="8"/>
  <c r="Q8" i="8"/>
  <c r="Q12" i="8"/>
  <c r="Q13" i="8"/>
  <c r="Q14" i="8"/>
  <c r="Q15" i="8"/>
  <c r="Q16" i="8"/>
  <c r="Q19" i="8"/>
  <c r="Q2" i="8"/>
  <c r="R16" i="8" s="1"/>
  <c r="N26" i="8"/>
  <c r="N25" i="8"/>
  <c r="N21" i="8"/>
  <c r="N22" i="8"/>
  <c r="N23" i="8"/>
  <c r="N24" i="8"/>
  <c r="N20" i="8"/>
  <c r="N18" i="8"/>
  <c r="N17" i="8"/>
  <c r="N11" i="8"/>
  <c r="N10" i="8"/>
  <c r="N9" i="8"/>
  <c r="N7" i="8"/>
  <c r="N6" i="8"/>
  <c r="N5" i="8"/>
  <c r="N2" i="8"/>
  <c r="O16" i="8" s="1"/>
  <c r="N27" i="8"/>
  <c r="O27" i="8" s="1"/>
  <c r="N3" i="8"/>
  <c r="N4" i="8"/>
  <c r="N8" i="8"/>
  <c r="N12" i="8"/>
  <c r="N13" i="8"/>
  <c r="N14" i="8"/>
  <c r="N15" i="8"/>
  <c r="N16" i="8"/>
  <c r="N19" i="8"/>
  <c r="O26" i="8" s="1"/>
  <c r="C165" i="6"/>
  <c r="C142" i="6"/>
  <c r="C137" i="6"/>
  <c r="C159" i="6"/>
  <c r="J167" i="6" l="1"/>
  <c r="J170" i="6"/>
  <c r="J174" i="6"/>
  <c r="J177" i="6"/>
  <c r="I178" i="6"/>
  <c r="I175" i="6"/>
  <c r="I176" i="6"/>
  <c r="I179" i="6"/>
  <c r="I173" i="6"/>
  <c r="J173" i="6"/>
  <c r="J172" i="6"/>
  <c r="I171" i="6"/>
  <c r="J171" i="6"/>
  <c r="J169" i="6"/>
  <c r="J168" i="6"/>
  <c r="E165" i="6"/>
  <c r="G165" i="6" l="1"/>
  <c r="I165" i="6"/>
  <c r="J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C131" i="6"/>
  <c r="E131" i="6" s="1"/>
  <c r="E130" i="6"/>
  <c r="C129" i="6"/>
  <c r="E129" i="6" s="1"/>
  <c r="E128" i="6"/>
  <c r="E127" i="6"/>
  <c r="E126" i="6"/>
  <c r="E125" i="6"/>
  <c r="E124" i="6"/>
  <c r="E123" i="6"/>
  <c r="E122" i="6"/>
  <c r="C121" i="6"/>
  <c r="E121" i="6" s="1"/>
  <c r="E120" i="6"/>
  <c r="C119" i="6"/>
  <c r="E119" i="6" s="1"/>
  <c r="E118" i="6"/>
  <c r="C117" i="6"/>
  <c r="E117" i="6" s="1"/>
  <c r="C116" i="6"/>
  <c r="E116" i="6" s="1"/>
  <c r="E115" i="6"/>
  <c r="C114" i="6"/>
  <c r="E114" i="6" s="1"/>
  <c r="C113" i="6"/>
  <c r="E113" i="6" s="1"/>
  <c r="C112" i="6"/>
  <c r="E112" i="6" s="1"/>
  <c r="C111" i="6"/>
  <c r="E111" i="6" s="1"/>
  <c r="E110" i="6"/>
  <c r="C109" i="6"/>
  <c r="E109" i="6" s="1"/>
  <c r="E108" i="6"/>
  <c r="C107" i="6"/>
  <c r="E107" i="6" s="1"/>
  <c r="C106" i="6"/>
  <c r="E106" i="6" s="1"/>
  <c r="C105" i="6"/>
  <c r="E105" i="6" s="1"/>
  <c r="E104" i="6"/>
  <c r="C103" i="6"/>
  <c r="E103" i="6" s="1"/>
  <c r="C102" i="6"/>
  <c r="E102" i="6" s="1"/>
  <c r="C101" i="6"/>
  <c r="E101" i="6" s="1"/>
  <c r="C100" i="6"/>
  <c r="E100" i="6" s="1"/>
  <c r="E99" i="6"/>
  <c r="E98" i="6"/>
  <c r="E97" i="6"/>
  <c r="C96" i="6"/>
  <c r="E96" i="6" s="1"/>
  <c r="C95" i="6"/>
  <c r="E95" i="6" s="1"/>
  <c r="E94" i="6"/>
  <c r="E93" i="6"/>
  <c r="C92" i="6"/>
  <c r="E92" i="6" s="1"/>
  <c r="C91" i="6"/>
  <c r="E91" i="6" s="1"/>
  <c r="C90" i="6"/>
  <c r="E90" i="6" s="1"/>
  <c r="E89" i="6"/>
  <c r="E88" i="6"/>
  <c r="E87" i="6"/>
  <c r="C86" i="6"/>
  <c r="E86" i="6" s="1"/>
  <c r="C85" i="6"/>
  <c r="E85" i="6" s="1"/>
  <c r="E84" i="6"/>
  <c r="C83" i="6"/>
  <c r="E83" i="6" s="1"/>
  <c r="E82" i="6"/>
  <c r="E81" i="6"/>
  <c r="E80" i="6"/>
  <c r="E79" i="6"/>
  <c r="E78" i="6"/>
  <c r="E77" i="6"/>
  <c r="E76" i="6"/>
  <c r="E75" i="6"/>
  <c r="C74" i="6"/>
  <c r="E74" i="6" s="1"/>
  <c r="E73" i="6"/>
  <c r="E72" i="6"/>
  <c r="C71" i="6"/>
  <c r="E71" i="6" s="1"/>
  <c r="C70" i="6"/>
  <c r="E70" i="6" s="1"/>
  <c r="C69" i="6"/>
  <c r="E69" i="6" s="1"/>
  <c r="C68" i="6"/>
  <c r="E68" i="6" s="1"/>
  <c r="E67" i="6"/>
  <c r="E66" i="6"/>
  <c r="E65" i="6"/>
  <c r="E64" i="6"/>
  <c r="E63" i="6"/>
  <c r="E62" i="6"/>
  <c r="E61" i="6"/>
  <c r="E60" i="6"/>
  <c r="E59" i="6"/>
  <c r="E58" i="6"/>
  <c r="E57" i="6"/>
  <c r="E56" i="6"/>
  <c r="E55" i="6"/>
  <c r="E54" i="6"/>
  <c r="E53" i="6"/>
  <c r="C52" i="6"/>
  <c r="E52" i="6" s="1"/>
  <c r="C51" i="6"/>
  <c r="E51" i="6" s="1"/>
  <c r="E50" i="6"/>
  <c r="E49" i="6"/>
  <c r="E48" i="6"/>
  <c r="E47" i="6"/>
  <c r="E46" i="6"/>
  <c r="E45" i="6"/>
  <c r="E44" i="6"/>
  <c r="E43" i="6"/>
  <c r="E42" i="6"/>
  <c r="E41" i="6"/>
  <c r="C40" i="6"/>
  <c r="E40" i="6" s="1"/>
  <c r="E39" i="6"/>
  <c r="E38" i="6"/>
  <c r="C37" i="6"/>
  <c r="E37" i="6" s="1"/>
  <c r="C36" i="6"/>
  <c r="E36" i="6" s="1"/>
  <c r="C35" i="6"/>
  <c r="E35" i="6" s="1"/>
  <c r="C34" i="6"/>
  <c r="E34" i="6" s="1"/>
  <c r="C33" i="6"/>
  <c r="E33" i="6" s="1"/>
  <c r="E32" i="6"/>
  <c r="C31" i="6"/>
  <c r="E31" i="6" s="1"/>
  <c r="C30" i="6"/>
  <c r="E30" i="6" s="1"/>
  <c r="E29" i="6"/>
  <c r="E28" i="6"/>
  <c r="C27" i="6"/>
  <c r="E27" i="6" s="1"/>
  <c r="C26" i="6"/>
  <c r="E26" i="6" s="1"/>
  <c r="E25" i="6"/>
  <c r="C24" i="6"/>
  <c r="E24" i="6" s="1"/>
  <c r="C23" i="6"/>
  <c r="E23" i="6" s="1"/>
  <c r="C22" i="6"/>
  <c r="E22" i="6" s="1"/>
  <c r="C21" i="6"/>
  <c r="E21" i="6" s="1"/>
  <c r="E20" i="6"/>
  <c r="E19" i="6"/>
  <c r="E18" i="6"/>
  <c r="E17" i="6"/>
  <c r="E16" i="6"/>
  <c r="C15" i="6"/>
  <c r="E15" i="6" s="1"/>
  <c r="E14" i="6"/>
  <c r="E13" i="6"/>
  <c r="E12" i="6"/>
  <c r="E11" i="6"/>
  <c r="C10" i="6"/>
  <c r="E10" i="6" s="1"/>
  <c r="C9" i="6"/>
  <c r="E9" i="6" s="1"/>
  <c r="E8" i="6"/>
  <c r="E7" i="6"/>
  <c r="E6" i="6"/>
  <c r="C5" i="6"/>
  <c r="E5" i="6" s="1"/>
  <c r="C4" i="6"/>
  <c r="E4" i="6" s="1"/>
  <c r="C3" i="6"/>
  <c r="E3" i="6" s="1"/>
  <c r="C2" i="6"/>
  <c r="E2" i="6" s="1"/>
  <c r="I157" i="6" l="1"/>
  <c r="G157" i="6"/>
  <c r="J157" i="6"/>
  <c r="I156" i="6"/>
  <c r="G156" i="6"/>
  <c r="J156" i="6"/>
  <c r="I145" i="6"/>
  <c r="J145" i="6"/>
  <c r="I146" i="6"/>
  <c r="J146" i="6"/>
  <c r="J147" i="6"/>
  <c r="G147" i="6"/>
  <c r="I147" i="6"/>
  <c r="G160" i="6"/>
  <c r="I160" i="6"/>
  <c r="J160" i="6"/>
  <c r="G149" i="6"/>
  <c r="J149" i="6"/>
  <c r="I149" i="6"/>
  <c r="J138" i="6"/>
  <c r="I138" i="6"/>
  <c r="I150" i="6"/>
  <c r="G150" i="6"/>
  <c r="J150" i="6"/>
  <c r="I162" i="6"/>
  <c r="J162" i="6"/>
  <c r="I139" i="6"/>
  <c r="J139" i="6"/>
  <c r="I151" i="6"/>
  <c r="J151" i="6"/>
  <c r="I163" i="6"/>
  <c r="J163" i="6"/>
  <c r="I137" i="6"/>
  <c r="J137" i="6"/>
  <c r="I132" i="6"/>
  <c r="J132" i="6"/>
  <c r="J134" i="6"/>
  <c r="I134" i="6"/>
  <c r="J159" i="6"/>
  <c r="I159" i="6"/>
  <c r="G159" i="6"/>
  <c r="J148" i="6"/>
  <c r="I148" i="6"/>
  <c r="J128" i="6"/>
  <c r="I128" i="6"/>
  <c r="J164" i="6"/>
  <c r="I164" i="6"/>
  <c r="J129" i="6"/>
  <c r="I129" i="6"/>
  <c r="J153" i="6"/>
  <c r="I153" i="6"/>
  <c r="G153" i="6"/>
  <c r="J130" i="6"/>
  <c r="I130" i="6"/>
  <c r="I142" i="6"/>
  <c r="J142" i="6"/>
  <c r="J154" i="6"/>
  <c r="G154" i="6"/>
  <c r="I154" i="6"/>
  <c r="I144" i="6"/>
  <c r="J144" i="6"/>
  <c r="I133" i="6"/>
  <c r="J133" i="6"/>
  <c r="J158" i="6"/>
  <c r="G158" i="6"/>
  <c r="I158" i="6"/>
  <c r="J135" i="6"/>
  <c r="I135" i="6"/>
  <c r="J136" i="6"/>
  <c r="I136" i="6"/>
  <c r="I161" i="6"/>
  <c r="J161" i="6"/>
  <c r="G161" i="6"/>
  <c r="I140" i="6"/>
  <c r="J140" i="6"/>
  <c r="I152" i="6"/>
  <c r="J152" i="6"/>
  <c r="I141" i="6"/>
  <c r="J141" i="6"/>
  <c r="I131" i="6"/>
  <c r="J131" i="6"/>
  <c r="I143" i="6"/>
  <c r="J143" i="6"/>
  <c r="I155" i="6"/>
  <c r="J155" i="6"/>
  <c r="G155" i="6"/>
</calcChain>
</file>

<file path=xl/sharedStrings.xml><?xml version="1.0" encoding="utf-8"?>
<sst xmlns="http://schemas.openxmlformats.org/spreadsheetml/2006/main" count="2484" uniqueCount="1063">
  <si>
    <t>READ FIRST - Instructions</t>
  </si>
  <si>
    <t xml:space="preserve">How to fill out the cost sheets: </t>
  </si>
  <si>
    <t xml:space="preserve">Cycle 1 is only as a guiding reference as for the meals and shall not be calculated. </t>
  </si>
  <si>
    <t>For cycle 2 and 3, Please fill in your proposals of suggested meals, products and rawmaterials into SAS framework of concept of equipment per your optimizied sourcing, supply chain and production methods.</t>
  </si>
  <si>
    <t xml:space="preserve">Cycle 2 is set with a total cost with a cap per pax per class with an A350 configuration and load factor. </t>
  </si>
  <si>
    <r>
      <t xml:space="preserve">Cycle 2 Max cost for Business Class for all services including contribution for a regular meal of </t>
    </r>
    <r>
      <rPr>
        <b/>
        <u/>
        <sz val="11"/>
        <color rgb="FFFF0000"/>
        <rFont val="Arial"/>
        <family val="2"/>
      </rPr>
      <t xml:space="preserve">40 USD. </t>
    </r>
  </si>
  <si>
    <r>
      <t xml:space="preserve">Cycle 2 Max cost for SAS Plus for all services  including contributionfor are for a regular meal of </t>
    </r>
    <r>
      <rPr>
        <b/>
        <u/>
        <sz val="11"/>
        <color rgb="FFFF0000"/>
        <rFont val="Arial"/>
        <family val="2"/>
      </rPr>
      <t>22 USD</t>
    </r>
    <r>
      <rPr>
        <b/>
        <sz val="11"/>
        <color rgb="FFFF0000"/>
        <rFont val="Arial"/>
        <family val="2"/>
      </rPr>
      <t>.</t>
    </r>
  </si>
  <si>
    <r>
      <t xml:space="preserve">Cycle 2 Max cost for SAS Go all services  including contribution for a regular meal of </t>
    </r>
    <r>
      <rPr>
        <b/>
        <u/>
        <sz val="11"/>
        <color rgb="FFFF0000"/>
        <rFont val="Arial"/>
        <family val="2"/>
      </rPr>
      <t>15 USD.</t>
    </r>
  </si>
  <si>
    <t xml:space="preserve">Cycle 3 is your proposed menu without any budget cap of max cost. The total cost per pax per class for all regular may be higher or lower and than cycle 2. </t>
  </si>
  <si>
    <t xml:space="preserve">Cycle 3 Special Meals (SPML): Please propose meal suggestion according your capabalities for every SPML code listed in the cost sheet. Its only one code per 1st &amp; 2nd serivce that covers all items that shall as far ass possible be equal in the service to a regular meal. </t>
  </si>
  <si>
    <r>
      <t xml:space="preserve">It is important that the ingredients are explained in terms of Brand/Origin/Quality grade in column </t>
    </r>
    <r>
      <rPr>
        <b/>
        <sz val="11"/>
        <rFont val="Arial"/>
        <family val="2"/>
      </rPr>
      <t>E</t>
    </r>
    <r>
      <rPr>
        <sz val="11"/>
        <rFont val="Arial"/>
        <family val="2"/>
      </rPr>
      <t>. This information is required and part of evaluation.</t>
    </r>
  </si>
  <si>
    <t>Column D shall be fiilled in with weight i grams (gm) or quantaty in piece (pc). If a food rawmaterial or product is filled in with piece shall the weight be in the desription of the product.</t>
  </si>
  <si>
    <t>Column E shall be filled in with the selected unit of measuare, gm (gram) or pc.</t>
  </si>
  <si>
    <t>Column F shall be filled in with the direct raw material (dM) for the individual meal components. dM is the food cost.</t>
  </si>
  <si>
    <t>Column G shall be filled in with direct labor (dL) for the meal. dL is the labor cost.</t>
  </si>
  <si>
    <t xml:space="preserve">Overhead &amp; profit (contribution) has a seperate line item and is based as a set price for the complete service and not a percentage mark up on dM and dL according Scheduele 6.1.1. </t>
  </si>
  <si>
    <t xml:space="preserve">N.B. Load scale is only the information how SAS will order the dish per IFX code according to seated pax. </t>
  </si>
  <si>
    <t xml:space="preserve">Prices shall be submitted per dish without any conversion with a load scale. A dish a price. </t>
  </si>
  <si>
    <t xml:space="preserve">The prices shall be submitted according Schedule 6.1.1 Price Model and Services Charges Standard Model and in filled into the cost sheets per service per cost sheet in this file. No other file or modell. 
</t>
  </si>
  <si>
    <r>
      <t xml:space="preserve">Please note that the overhead is per pax and </t>
    </r>
    <r>
      <rPr>
        <u/>
        <sz val="11"/>
        <rFont val="Arial"/>
        <family val="2"/>
      </rPr>
      <t>not</t>
    </r>
    <r>
      <rPr>
        <sz val="11"/>
        <rFont val="Arial"/>
        <family val="2"/>
      </rPr>
      <t xml:space="preserve"> per each individual SAS IFX Spec Code /SAS IFX Description. </t>
    </r>
  </si>
  <si>
    <t>The overhead is listed with a seperate code per each invididual class C, Y, M, P and K.</t>
  </si>
  <si>
    <r>
      <rPr>
        <b/>
        <sz val="11"/>
        <rFont val="Arial"/>
        <family val="2"/>
      </rPr>
      <t>Sheet C Cost_Pax, Y Cost_Pax and M Cost_pax</t>
    </r>
    <r>
      <rPr>
        <sz val="11"/>
        <rFont val="Arial"/>
        <family val="2"/>
      </rPr>
      <t xml:space="preserve"> gives the total cost for all services per class per pax. It's preset rules according SAS load scale and order ratios that generates cost per service for regular meals per class. </t>
    </r>
  </si>
  <si>
    <t xml:space="preserve">Its only the cells that are colored that shall entered / filled in. </t>
  </si>
  <si>
    <t>All other cells shall not be changed or altered.</t>
  </si>
  <si>
    <t>Brand/Origin/Quality grade</t>
  </si>
  <si>
    <t>Nominated SAS owned product</t>
  </si>
  <si>
    <t xml:space="preserve">Selected SAS nominated product </t>
  </si>
  <si>
    <t>Abbreviations</t>
  </si>
  <si>
    <t>IC</t>
  </si>
  <si>
    <t>P</t>
  </si>
  <si>
    <t>K</t>
  </si>
  <si>
    <t>C</t>
  </si>
  <si>
    <t>Y</t>
  </si>
  <si>
    <t>M</t>
  </si>
  <si>
    <t>C, C1-4 (C1, C2 etc)</t>
  </si>
  <si>
    <t>CB</t>
  </si>
  <si>
    <t>HB</t>
  </si>
  <si>
    <t>CM</t>
  </si>
  <si>
    <t>HM</t>
  </si>
  <si>
    <t xml:space="preserve">TSU </t>
  </si>
  <si>
    <t>SK EQ</t>
  </si>
  <si>
    <t>S1</t>
  </si>
  <si>
    <t>S2</t>
  </si>
  <si>
    <t>ST</t>
  </si>
  <si>
    <t xml:space="preserve">DE </t>
  </si>
  <si>
    <t>BRD</t>
  </si>
  <si>
    <t>dL</t>
  </si>
  <si>
    <t>dM</t>
  </si>
  <si>
    <t>Selling price</t>
  </si>
  <si>
    <t xml:space="preserve">Evaluation </t>
  </si>
  <si>
    <t>Evaluation of the submission in this RFP document will be on total dM, total dL and how the gastromomic guidelines are adheard to and described in the column Brand/Origin/Quality grade</t>
  </si>
  <si>
    <t xml:space="preserve">If a generic product on a raw material is used describe it as generic and origin. </t>
  </si>
  <si>
    <t>Note</t>
  </si>
  <si>
    <t>Approximately 10% of crew meals are special meals.</t>
  </si>
  <si>
    <t>SAS Special meals and Pre order meal codes:</t>
  </si>
  <si>
    <t xml:space="preserve">MEML SAS Premium Menu – Meat, N.B. only available in SAS GO.  SAS Plus 1st serving Tray setup with the Business class Hot meal Meat portioned the aluminium disposable casserole 973113 and lid 973114. Regular 2nd service </t>
  </si>
  <si>
    <t xml:space="preserve">CKML SAS Premium Menu – Poultry, N.B. only available in SAS GO. SAS Plus 1st serving Tray setup with the Business class Hot meal Chicken portioned the aluminium disposable casserole 973113 and lid 973114. Regular 2nd service </t>
  </si>
  <si>
    <t>GHML SAS Premium Menu – Green, N.B. only available in SAS GO, Lacto ovo veg. SAS Plus 1st serving Tray setup with the Business class Hot meal fish portioned the aluminium disposable casserole 973113 and lid 973114 and 2nd serivce EVML</t>
  </si>
  <si>
    <t>BUSINESS CLASS</t>
  </si>
  <si>
    <t>SAS IFX Description</t>
  </si>
  <si>
    <t>Weight / Pc</t>
  </si>
  <si>
    <t>Unit of M</t>
  </si>
  <si>
    <t>Quality, brand, supplier, origin, comments</t>
  </si>
  <si>
    <t>IC C S1 CUTLERY C2</t>
  </si>
  <si>
    <t xml:space="preserve">Napkin/Tablecloth, Poly/Cotton, Grey </t>
  </si>
  <si>
    <t>Pc</t>
  </si>
  <si>
    <t xml:space="preserve">Knife, Stainless, RS </t>
  </si>
  <si>
    <t xml:space="preserve">Fork, Stainless, RS </t>
  </si>
  <si>
    <t>Spoon, Stainless, Dessert/Soup, RS</t>
  </si>
  <si>
    <t xml:space="preserve">Salt &amp; Pepper, Twinpack </t>
  </si>
  <si>
    <t xml:space="preserve">Toothpick, Individually Packed </t>
  </si>
  <si>
    <t>IC C S1 CUTLERY C3</t>
  </si>
  <si>
    <t>IC C S1 SALAD C1</t>
  </si>
  <si>
    <t>Mixed salad leaves</t>
  </si>
  <si>
    <t>gm</t>
  </si>
  <si>
    <t>Seasonal</t>
  </si>
  <si>
    <t>IC C S1 SALAD C2</t>
  </si>
  <si>
    <t>Mesclun Mixed Greens</t>
  </si>
  <si>
    <t>Heirloom Cherry/Grape tomato</t>
  </si>
  <si>
    <t xml:space="preserve">Cucumber Slices </t>
  </si>
  <si>
    <t>2 pc</t>
  </si>
  <si>
    <t>IC C S1 SALAD C3</t>
  </si>
  <si>
    <t>Baby Arugula</t>
  </si>
  <si>
    <t>Aromatic Poached Bosc Pear</t>
  </si>
  <si>
    <t>Premium Produced Product Locally Produced</t>
  </si>
  <si>
    <t>Goat Cheese</t>
  </si>
  <si>
    <t>IC C S1 SA GARNISH C1</t>
  </si>
  <si>
    <t>Shaved watermelon radish 1 mm</t>
  </si>
  <si>
    <t>Gm</t>
  </si>
  <si>
    <t> </t>
  </si>
  <si>
    <t>IC C S1 SA GARNISH C2</t>
  </si>
  <si>
    <t>Toasted Sunflower Seeds</t>
  </si>
  <si>
    <t>IC C S1 SA GARNISH C3</t>
  </si>
  <si>
    <t>Toasted Pepitas</t>
  </si>
  <si>
    <t>IC C S1+S2 BUTTER C1</t>
  </si>
  <si>
    <t>Butter puck salted</t>
  </si>
  <si>
    <t>Organic valley</t>
  </si>
  <si>
    <t>IC C S1+S2 BUTTER C2</t>
  </si>
  <si>
    <t>Banner Butter</t>
  </si>
  <si>
    <t xml:space="preserve">Locally Sourced Sustainable Butter 1/2 oz.  UW </t>
  </si>
  <si>
    <t>IC C S1+S2 BUTTER C3</t>
  </si>
  <si>
    <t>Locally Sourced Sustainable Butter</t>
  </si>
  <si>
    <t>IC C S1 ST-A MEAT C1</t>
  </si>
  <si>
    <t>Truffle saucisson sec</t>
  </si>
  <si>
    <t>3 x 4</t>
  </si>
  <si>
    <t xml:space="preserve">Pork pate de campagne with pistachio </t>
  </si>
  <si>
    <t>Duck prosciutto</t>
  </si>
  <si>
    <t>Upland cress</t>
  </si>
  <si>
    <t>Cornichons</t>
  </si>
  <si>
    <t>pc</t>
  </si>
  <si>
    <t>Cracked black Tellecherry pepper</t>
  </si>
  <si>
    <t>IC C S1 ST-A MEAT C2</t>
  </si>
  <si>
    <t>Beef Pastrami</t>
  </si>
  <si>
    <t>Heywoods Provisions (Local Vendor)</t>
  </si>
  <si>
    <t>Duck Rillet</t>
  </si>
  <si>
    <t>Soppressata</t>
  </si>
  <si>
    <t>Heywoods Provisions (Local Vendor)  $17.00 lb</t>
  </si>
  <si>
    <t>Fig Jam</t>
  </si>
  <si>
    <t>GFI</t>
  </si>
  <si>
    <t>Blair</t>
  </si>
  <si>
    <t>Mesculin Lettuce</t>
  </si>
  <si>
    <t>IC C S1 ST-A MEAT C3</t>
  </si>
  <si>
    <t>Italian Salami Slice</t>
  </si>
  <si>
    <t>3 pc x 5</t>
  </si>
  <si>
    <t xml:space="preserve">Pork Proscuitto </t>
  </si>
  <si>
    <t xml:space="preserve">Waygu Bressola </t>
  </si>
  <si>
    <t>Castelvetrano Olives</t>
  </si>
  <si>
    <t>USFOOD</t>
  </si>
  <si>
    <t>IC C S1 ST-B FISH C1</t>
  </si>
  <si>
    <t>Herb cured salmon (rosemary, thyme &amp; chives)</t>
  </si>
  <si>
    <t>2x20</t>
  </si>
  <si>
    <t>Red beet roasted in wedges</t>
  </si>
  <si>
    <t>2x10</t>
  </si>
  <si>
    <t>Humbold fog goat cheese (in "knuckles")</t>
  </si>
  <si>
    <t>3x4</t>
  </si>
  <si>
    <t>chiaggia beets ( sliced/ cut) 1 mm</t>
  </si>
  <si>
    <t>2x2</t>
  </si>
  <si>
    <t>Yellow beets roasted in wedges</t>
  </si>
  <si>
    <t>Baby spinach leaves as garnish</t>
  </si>
  <si>
    <t>IC C S1 ST-B FISH C2</t>
  </si>
  <si>
    <t>Smoked Trout</t>
  </si>
  <si>
    <t>INLAND SEAFOOD</t>
  </si>
  <si>
    <t>BLAIR</t>
  </si>
  <si>
    <t>Horseradish Dill Aioli</t>
  </si>
  <si>
    <t>Cucumber Apple Salad</t>
  </si>
  <si>
    <t xml:space="preserve">Cornichons </t>
  </si>
  <si>
    <t>IC C S1 ST-B FISH C3</t>
  </si>
  <si>
    <t>Smoked Salmon</t>
  </si>
  <si>
    <t>Acme Seafood Premium Quality</t>
  </si>
  <si>
    <t>Everything Cream Cheese</t>
  </si>
  <si>
    <t>Chopped Hard Boiled Egg</t>
  </si>
  <si>
    <t>Diced Red Onion</t>
  </si>
  <si>
    <t xml:space="preserve">Capers </t>
  </si>
  <si>
    <t>IC C S1 ST GARNISH C1</t>
  </si>
  <si>
    <t>Argan oil (for IC C S1 ST-B FISH C1)</t>
  </si>
  <si>
    <t>IC C S1 ST GARNISH C2</t>
  </si>
  <si>
    <t>Chive batons</t>
  </si>
  <si>
    <t>IC C S1 ST GARNISH C3</t>
  </si>
  <si>
    <t>Dill Sprigs</t>
  </si>
  <si>
    <t>IC C S1 HM-A MEAT C1</t>
  </si>
  <si>
    <t>Truffle braised kurobuta pork cheeks</t>
  </si>
  <si>
    <t>Braising liquid/sauce</t>
  </si>
  <si>
    <t>Celery root mashed</t>
  </si>
  <si>
    <t>Rapini ( sauteed)</t>
  </si>
  <si>
    <t>King oyster mushrooms ( grilled)</t>
  </si>
  <si>
    <t>IC C S1 HM-A MEAT C2</t>
  </si>
  <si>
    <t>Grilled Beef Tenderloin</t>
  </si>
  <si>
    <t>Smoked Tomato Jam</t>
  </si>
  <si>
    <t>Housemade</t>
  </si>
  <si>
    <t>Herb Roasted Fingeling Potatoes</t>
  </si>
  <si>
    <t>Roasted Asparagus</t>
  </si>
  <si>
    <t>IC C S1 HM-A MEAT C3</t>
  </si>
  <si>
    <t>Smoked Braised Short Rib</t>
  </si>
  <si>
    <t>Fox Brothers , local</t>
  </si>
  <si>
    <t>BBQ jus</t>
  </si>
  <si>
    <t>Garlic Thyme Mash Potatoes</t>
  </si>
  <si>
    <t>Sauteed Green Beans</t>
  </si>
  <si>
    <t>Roasted Cherry Tomatoes</t>
  </si>
  <si>
    <t>IC C S1 HM-C POULTRY C1</t>
  </si>
  <si>
    <t xml:space="preserve">Duck leg confit  </t>
  </si>
  <si>
    <t>White beans cassoulet</t>
  </si>
  <si>
    <t>Spring vegetables (baby turnips, fava beans -</t>
  </si>
  <si>
    <t>- baby carrots and baby leeks)</t>
  </si>
  <si>
    <t>Cassoulet juice</t>
  </si>
  <si>
    <t>IC C S1 HM-C POULTRY C2</t>
  </si>
  <si>
    <t>Sous Vide Airline Chicken Breast</t>
  </si>
  <si>
    <t>Bell and Evans Organic</t>
  </si>
  <si>
    <t>Wild Mushroom Sauce</t>
  </si>
  <si>
    <t>Sauteed Spinach with Garlic</t>
  </si>
  <si>
    <t>Parmesan Risotto</t>
  </si>
  <si>
    <t>IC C S1 HM-C POULTRY C3</t>
  </si>
  <si>
    <t>Roast Lemon Chicken Leg Quarter</t>
  </si>
  <si>
    <t>Piccata Sauce</t>
  </si>
  <si>
    <t>Herb Roasted Fingerling Potatoes</t>
  </si>
  <si>
    <t>Marinated Steamed Broccolini</t>
  </si>
  <si>
    <t>IC C S1 HM-D VEG C1</t>
  </si>
  <si>
    <t>Cauliflower steak (whole slice)</t>
  </si>
  <si>
    <t>Pumpkin coulis</t>
  </si>
  <si>
    <t>Ml</t>
  </si>
  <si>
    <t>Piccalilli pickles</t>
  </si>
  <si>
    <t>IC C S1 HM-D VEG C2</t>
  </si>
  <si>
    <t>Pasta Mami Smoked Mozzerella Ravioli</t>
  </si>
  <si>
    <t>Local Artisan Pasta Vendor</t>
  </si>
  <si>
    <t>Pomodrini Sauce</t>
  </si>
  <si>
    <t xml:space="preserve">Pesto Marinated Buffala Mozzarella </t>
  </si>
  <si>
    <t>Broccolini</t>
  </si>
  <si>
    <t>IC C S1 HM-D VEG C3</t>
  </si>
  <si>
    <t>Pasta Mami Wild Mushroom Tortellini</t>
  </si>
  <si>
    <t>1.25 EACH</t>
  </si>
  <si>
    <t>Truffle Cream Sauce</t>
  </si>
  <si>
    <t>Confit Wild Mushrooms</t>
  </si>
  <si>
    <t>WILD MUSHROOM BLEND, SUBRECIPE</t>
  </si>
  <si>
    <t>IC C S1 HM GARNISH C1</t>
  </si>
  <si>
    <t>Hemp seed granola</t>
  </si>
  <si>
    <t>IC C S1 HM GARNISH C2</t>
  </si>
  <si>
    <t>Rainbow Organic Micro Greens</t>
  </si>
  <si>
    <t>IC C S1 HM GARNISH C3</t>
  </si>
  <si>
    <t>IC C S1 DE CHEESE C1</t>
  </si>
  <si>
    <t>Humbolt Fog</t>
  </si>
  <si>
    <t>Comte (locally produced)</t>
  </si>
  <si>
    <t>IC C S1 DE CHEESE C2</t>
  </si>
  <si>
    <t>Sweet Grass Dairy Thomasville Tomme</t>
  </si>
  <si>
    <t>Locally Produced, Regenerative Farms</t>
  </si>
  <si>
    <t>Sweet Grass Dairy Asher Blue</t>
  </si>
  <si>
    <t>IC C S1 DE CHEESE C3</t>
  </si>
  <si>
    <t>Sweet Grass Dairy Green Hill</t>
  </si>
  <si>
    <t>Sweet Grass Dairy Georgia Gouda</t>
  </si>
  <si>
    <t>IC C S1 DE CAKE C1</t>
  </si>
  <si>
    <t>Cheery Clafoutis (baked in oven dish #971089)</t>
  </si>
  <si>
    <t>IC C S1 DE CAKE C2</t>
  </si>
  <si>
    <t>Banana Pudding Cheesecake</t>
  </si>
  <si>
    <t>AROUND $1.50</t>
  </si>
  <si>
    <t>IC C S1 DE CAKE C3</t>
  </si>
  <si>
    <t>Chocolate Mousse Cake</t>
  </si>
  <si>
    <t>ea</t>
  </si>
  <si>
    <t>IC C S1 DE CAKE GARNISH C1</t>
  </si>
  <si>
    <t>Vanilla bean sauce</t>
  </si>
  <si>
    <t>IC C S1 DE CAKE GARNISH C2</t>
  </si>
  <si>
    <t xml:space="preserve">Rhum Caramel </t>
  </si>
  <si>
    <t>seasonal</t>
  </si>
  <si>
    <t>BLAIR( GFI OR VENDOR)</t>
  </si>
  <si>
    <t>IC C S1 DE CAKE GARNISH C3</t>
  </si>
  <si>
    <t>Strawberry Coulis</t>
  </si>
  <si>
    <t xml:space="preserve">BLAIR /VENDOR </t>
  </si>
  <si>
    <t>IC C S1 DE FRUIT C1</t>
  </si>
  <si>
    <t>Cantaloupe (0,75 inch cubes)</t>
  </si>
  <si>
    <t>Watermelon(0,75 inch cubes)</t>
  </si>
  <si>
    <t>Pineapple (0,75 inch cubes)</t>
  </si>
  <si>
    <t>Honeydew (0,75 inch cubes)</t>
  </si>
  <si>
    <t>IC C S1 DE FRUIT C2</t>
  </si>
  <si>
    <t>Grapes</t>
  </si>
  <si>
    <t>IC C S1 DE FRUIT C3</t>
  </si>
  <si>
    <t>Blueberries</t>
  </si>
  <si>
    <t>Stawberries Quartered</t>
  </si>
  <si>
    <t>Kiwi (0.75 inch cubes)</t>
  </si>
  <si>
    <t>IC C S1 BRD Type 1 C1</t>
  </si>
  <si>
    <t>Brioche roll (Locally baked)</t>
  </si>
  <si>
    <t>Multi grain (locally baked)</t>
  </si>
  <si>
    <t>IC C S1 BRD Type 1 C2</t>
  </si>
  <si>
    <t>Herb Foccacia Roll</t>
  </si>
  <si>
    <t>Freshly Baked In House</t>
  </si>
  <si>
    <t>Multi Grain Beer and Cheese Roll</t>
  </si>
  <si>
    <t>IC C S1 BRD Type 1 C3</t>
  </si>
  <si>
    <t>IC C S1+S2 BRD Type 2 C1</t>
  </si>
  <si>
    <t xml:space="preserve">Six grain roll </t>
  </si>
  <si>
    <t>Sour dough roll</t>
  </si>
  <si>
    <t>IC C S1+S2 BRD Type 2 C2</t>
  </si>
  <si>
    <t>Honeywheat Roll</t>
  </si>
  <si>
    <t>White Dinner Roll</t>
  </si>
  <si>
    <t>IC C S1+S2 BRD Type 2 C3</t>
  </si>
  <si>
    <t>IC C S1 BRD Type 3 C1</t>
  </si>
  <si>
    <t>Sour dough bread loaf (sliced)</t>
  </si>
  <si>
    <t>IC C S1 BRD Type 3 C2</t>
  </si>
  <si>
    <t xml:space="preserve">Artisan Baguette </t>
  </si>
  <si>
    <t>IC C S1 BRD Type 3 C3</t>
  </si>
  <si>
    <t>IC C S2 BRD Type 1 C1</t>
  </si>
  <si>
    <t>Multi grain roll</t>
  </si>
  <si>
    <t>Ciabatta roll</t>
  </si>
  <si>
    <t>IC C S2 BRD Type 1 C2</t>
  </si>
  <si>
    <t>Kiss Roll( CHALLAH, PUMPERNICKLE, AND SOURDOUGH)</t>
  </si>
  <si>
    <t>IC C S2 BRD Type 1 C3</t>
  </si>
  <si>
    <t>IC C S2 BRD Croissant C1</t>
  </si>
  <si>
    <t>Mini croissant</t>
  </si>
  <si>
    <t>IC C S2 BRD Croissant C2</t>
  </si>
  <si>
    <t>Mini Croissant</t>
  </si>
  <si>
    <t xml:space="preserve">BLAIR </t>
  </si>
  <si>
    <t>IC C S2 BRD Croissant C3</t>
  </si>
  <si>
    <t>Mini Chocolate Croissant</t>
  </si>
  <si>
    <t>IC C S2 TSU C2</t>
  </si>
  <si>
    <t>Tray, Food, Large, ATLAS</t>
  </si>
  <si>
    <t>Traymat, Large, Black, Disposable</t>
  </si>
  <si>
    <t>Cup, china, rs, coffee</t>
  </si>
  <si>
    <t>Bowl, china, small, rs, for butter</t>
  </si>
  <si>
    <t>Lid, for 971051, disposable</t>
  </si>
  <si>
    <t>Plate, large, china, rs, for cold cuts and cheese</t>
  </si>
  <si>
    <t>Lid, For 971055/971176, Disposable</t>
  </si>
  <si>
    <t>Plate or Saucer, Small, China, RS (bread plate)</t>
  </si>
  <si>
    <t>Bowl, Glass, Clear, RS (for over night oates)</t>
  </si>
  <si>
    <t>Lid, For 971086, Disposable</t>
  </si>
  <si>
    <t>IC C S2 TSU C3</t>
  </si>
  <si>
    <t>IC C S2 COLD CUTS C1</t>
  </si>
  <si>
    <t>Cream cheese (ball)</t>
  </si>
  <si>
    <t>Swiss cheese x 2 slices</t>
  </si>
  <si>
    <t>Smoked ham (whole muscle)</t>
  </si>
  <si>
    <t>US</t>
  </si>
  <si>
    <t>Napoli salami slice</t>
  </si>
  <si>
    <t>Roman salad liner</t>
  </si>
  <si>
    <t xml:space="preserve">Fresh cucumber batons x 2  </t>
  </si>
  <si>
    <t>Cocktail tomato</t>
  </si>
  <si>
    <t>IC C S2 COLD CUTS C2</t>
  </si>
  <si>
    <t>Chive Cream cheese (ball)</t>
  </si>
  <si>
    <t>Sweet Grass Dairy Georgia Gouda X2 SLICE</t>
  </si>
  <si>
    <t>TOTAL WEIGHT 24G</t>
  </si>
  <si>
    <t>Black Forest Ham</t>
  </si>
  <si>
    <t>Procuitto</t>
  </si>
  <si>
    <t>Baby Spinach</t>
  </si>
  <si>
    <t>Cherry/Grape tomato</t>
  </si>
  <si>
    <t>IC C S2 COLD CUTS C3</t>
  </si>
  <si>
    <t>Veggie Cream cheese (ball)</t>
  </si>
  <si>
    <t>Sweet Grass Dairy Georgia Gouda x 2 slices</t>
  </si>
  <si>
    <t>Traditional Chorizo</t>
  </si>
  <si>
    <t>Jamon Serrano</t>
  </si>
  <si>
    <t>IC C S2 FRUIT C1</t>
  </si>
  <si>
    <t>Bircher Muesli/Overnight Oats</t>
  </si>
  <si>
    <t>Toasted Coconut Shaved (garnish on top)</t>
  </si>
  <si>
    <t>Fresh Strawberry, Cut in 4 Quarters (garnish on top)</t>
  </si>
  <si>
    <t>Blueberry Fresh ea (garnish on top)</t>
  </si>
  <si>
    <t>IC C S2 FRUIT C2</t>
  </si>
  <si>
    <t>Coconut Chia Overnight Oats</t>
  </si>
  <si>
    <t xml:space="preserve">VENDOR </t>
  </si>
  <si>
    <t>Granola (Seperate Bag)</t>
  </si>
  <si>
    <t>Strawberries quartered</t>
  </si>
  <si>
    <t>IC C S2 FRUIT C3</t>
  </si>
  <si>
    <t>Toasted Seed Granola (Seperate Bag)</t>
  </si>
  <si>
    <t>Mango Pineapple Compote</t>
  </si>
  <si>
    <t>IC C S2 YOGHURT C1</t>
  </si>
  <si>
    <t>Greek full fat plain yoghurt (portioned packed)</t>
  </si>
  <si>
    <t>IC C S2 YOGHURT C2</t>
  </si>
  <si>
    <t>Vanilla yoghurt (portioned packed)</t>
  </si>
  <si>
    <t>Chobani - premium</t>
  </si>
  <si>
    <t>4OZ/5OZ</t>
  </si>
  <si>
    <t>IC C S2 YOGHURT C3</t>
  </si>
  <si>
    <t>Blueberry greek yoghurt (portioned packed)</t>
  </si>
  <si>
    <t>IC C IBS SW C1</t>
  </si>
  <si>
    <t>Ciabatta bread</t>
  </si>
  <si>
    <t>Roman lettuce leaf</t>
  </si>
  <si>
    <t>Swiss cheese slice x 2</t>
  </si>
  <si>
    <t>Cream cheese spread (bottom and lid of bread)</t>
  </si>
  <si>
    <t>Red pepper strips x 2</t>
  </si>
  <si>
    <t>IC C IBS SW C2</t>
  </si>
  <si>
    <t>Arugula</t>
  </si>
  <si>
    <t>Sundried Tomato Pesto</t>
  </si>
  <si>
    <t>Mozzarella</t>
  </si>
  <si>
    <t>Basil Aoili</t>
  </si>
  <si>
    <t>IC C IBS SW C3</t>
  </si>
  <si>
    <t>Roasted Eggplant</t>
  </si>
  <si>
    <t>Roasted Red Pepper Halves</t>
  </si>
  <si>
    <t>Basil Pesto Hummus</t>
  </si>
  <si>
    <t>SPML</t>
  </si>
  <si>
    <t>IC C S1 AVML C3</t>
  </si>
  <si>
    <t xml:space="preserve"> SA-REGULAR SERVICE , S- CRUDITE PLATE, HM- LENTIL MUSHROOMS STEW, WITH FINGERLING POTATOES, DE - REG SRV</t>
  </si>
  <si>
    <t>IC C S1 CHML C3</t>
  </si>
  <si>
    <t>SA- REGULAR SERVICE , S- VEG BATON WITH RANCH, HM- CHICKEN TENDER WITH SUGAR FREE KETCHUP, DE- REGULAR SERVICE</t>
  </si>
  <si>
    <t>IC C S1 LGML C3</t>
  </si>
  <si>
    <t>SA- GF SALAD, S- GF STARTER, HM- GF MEAL, DE-GF DESSERT - BRD- GLUTENFREEE ROLL</t>
  </si>
  <si>
    <t>IC C S1 VGML C3</t>
  </si>
  <si>
    <t>SA- VV SALAD, S- CRUDITE PLATE , HM- VV ROASTED MIXED VEG WITH TOMATO BASED SAUCE, DE- FRESH FRUIT</t>
  </si>
  <si>
    <t>IC C S1 VLML C3</t>
  </si>
  <si>
    <t>SA- REG SRV, S - CRUDITE PLATE, HM- VEG OPTION, DE- REG SRV</t>
  </si>
  <si>
    <t>IC C S2 AVML C3</t>
  </si>
  <si>
    <t>S2- PITA BREAD VEG PLATE W/ HUMMUS, FRUIT- REG SRV, YOGHURT- REG SRV, SW- REG SRV</t>
  </si>
  <si>
    <t>IC C S2 CHML C3</t>
  </si>
  <si>
    <t>S2- TURKEY CHEESE W/TOAST BOILED EGG, FRUIT- REG SRV, YOGHURT -REG SRV, SW - TURKEY W/CHEESE SANDWICH</t>
  </si>
  <si>
    <t>IC C S2 LGML C3</t>
  </si>
  <si>
    <t>S2 - GF COLDCUTS - FRUIT - GF NO GRANOLA - YOGHURT REGULAR SRV , SW- GF- SANDWICH</t>
  </si>
  <si>
    <t>IC C S2 VGML C3</t>
  </si>
  <si>
    <t>S2 - PITA BREAD VEG PLATE W/ HUMMUS - FRUIT - REG SRV, YOGHURT -COCONUT CHIA PUDDING W/ FRUIT -  - SW - VV SANDWICH</t>
  </si>
  <si>
    <t>IC C S2 VLML C3</t>
  </si>
  <si>
    <t>S2- PITA BREAD VEG PLATE W/ HUMMUS AND BOILED EGG, FRUIT- REG SRV, YOGHURT - REG SRV, SW - REG SRV</t>
  </si>
  <si>
    <t>IC C S1 BKML C3</t>
  </si>
  <si>
    <t>IC C S2 BKML C3</t>
  </si>
  <si>
    <r>
      <t xml:space="preserve">Concept: </t>
    </r>
    <r>
      <rPr>
        <b/>
        <sz val="10"/>
        <color theme="1"/>
        <rFont val="Aptos Narrow"/>
        <family val="2"/>
        <scheme val="minor"/>
      </rPr>
      <t>01JUN24</t>
    </r>
    <r>
      <rPr>
        <sz val="10"/>
        <color theme="1"/>
        <rFont val="Aptos Narrow"/>
        <family val="2"/>
        <scheme val="minor"/>
      </rPr>
      <t xml:space="preserve"> | Version: 1 | Updated: 15DEC</t>
    </r>
    <r>
      <rPr>
        <b/>
        <sz val="10"/>
        <color theme="1"/>
        <rFont val="Aptos Narrow"/>
        <family val="2"/>
        <scheme val="minor"/>
      </rPr>
      <t>23</t>
    </r>
    <r>
      <rPr>
        <sz val="10"/>
        <color theme="1"/>
        <rFont val="Aptos Narrow"/>
        <family val="2"/>
        <scheme val="minor"/>
      </rPr>
      <t xml:space="preserve"> Currency USD</t>
    </r>
  </si>
  <si>
    <t>PLUS (PREMIUM ECO)</t>
  </si>
  <si>
    <t>IC Y S1 TSU C2</t>
  </si>
  <si>
    <t>Bag, For Cutlery</t>
  </si>
  <si>
    <t>1 x Fork, Stainless, RS</t>
  </si>
  <si>
    <t>1 x Spoon, Stainless, Coffee/Tea, RS</t>
  </si>
  <si>
    <t>1 x Spoon, Stainless, Dessert/Soup, RS</t>
  </si>
  <si>
    <t>1 x Knife, Stainless, RS</t>
  </si>
  <si>
    <t>1 x Napkin, Paper, White</t>
  </si>
  <si>
    <t>1 x Sugar, Portion Packed</t>
  </si>
  <si>
    <t>1 x Salt &amp; Pepper, Twinpack</t>
  </si>
  <si>
    <t>1 x Toothpick, Individually Packed</t>
  </si>
  <si>
    <t>Portioned packed butter 10-15 gm</t>
  </si>
  <si>
    <t>Portioned packed cracker</t>
  </si>
  <si>
    <t>Portioned packed cheese 15 g</t>
  </si>
  <si>
    <t>IC Y S1 TSU C3</t>
  </si>
  <si>
    <t>IC Y S1 ST C1</t>
  </si>
  <si>
    <t>Local air dried ham x 2 slices</t>
  </si>
  <si>
    <t>Kale grain salad</t>
  </si>
  <si>
    <t>Broccoli slaw</t>
  </si>
  <si>
    <t>IC Y S1 ST C2</t>
  </si>
  <si>
    <t>Black Forest Ham Slice</t>
  </si>
  <si>
    <t>2pc x 15</t>
  </si>
  <si>
    <t>DELI SLICE</t>
  </si>
  <si>
    <t>Farro Salad</t>
  </si>
  <si>
    <t>Horseradish Slaw</t>
  </si>
  <si>
    <t>IC Y S1 ST C3</t>
  </si>
  <si>
    <t>Smoked Turkey Slices</t>
  </si>
  <si>
    <t>Quinoa Lentil Salad</t>
  </si>
  <si>
    <t>Shaved Fennel Slaw</t>
  </si>
  <si>
    <t>IC Y S1 HM-A C1</t>
  </si>
  <si>
    <t>Hake fish fillet</t>
  </si>
  <si>
    <t>Oz</t>
  </si>
  <si>
    <t>White wine cream sauce</t>
  </si>
  <si>
    <t>Farro with fresh herbes</t>
  </si>
  <si>
    <t>Sauteed fresh zucchini &amp; mixed tomatoes</t>
  </si>
  <si>
    <t>IC Y S1 HM-A C2</t>
  </si>
  <si>
    <t>Roasted Seabass</t>
  </si>
  <si>
    <t xml:space="preserve">INLAND SEAFOOD </t>
  </si>
  <si>
    <t>Boullabaise Sauce</t>
  </si>
  <si>
    <t>Saffron Coucous</t>
  </si>
  <si>
    <t>Roasted Summer Vegetables (eggplant, zuchini, yellow squash, red onion)</t>
  </si>
  <si>
    <t>IC Y S1 HM-A C3</t>
  </si>
  <si>
    <t>Cod Almondine</t>
  </si>
  <si>
    <t>Tarragon Cream Sauce</t>
  </si>
  <si>
    <t>Wild Rice Pilaf</t>
  </si>
  <si>
    <t>Garlic Roasted Caulliflower</t>
  </si>
  <si>
    <t>IC Y/M S1 HM-B C1</t>
  </si>
  <si>
    <t>Oven roasted chicken ( half thigh/ half breast) Wellfare</t>
  </si>
  <si>
    <t>Chicken jus</t>
  </si>
  <si>
    <t>Mashed orange sweet potatoes</t>
  </si>
  <si>
    <t>Sauteed spring vegetables</t>
  </si>
  <si>
    <t>(green beans, peas, snow peas &amp; mexican onions)</t>
  </si>
  <si>
    <t xml:space="preserve"> </t>
  </si>
  <si>
    <t>IC Y/M S1 HM-B C2</t>
  </si>
  <si>
    <t xml:space="preserve">Sous Vide Airline Chicken Breast </t>
  </si>
  <si>
    <t>IC Y/M S1 HM-B C3</t>
  </si>
  <si>
    <t xml:space="preserve">Roast Lemon Chicken Thigh </t>
  </si>
  <si>
    <t>IC Y S1 DE C1</t>
  </si>
  <si>
    <t>Dark chocolate mousse</t>
  </si>
  <si>
    <t>Salty caramel sauce</t>
  </si>
  <si>
    <t>Cookie crumbles</t>
  </si>
  <si>
    <t>IC Y S1 DE C2</t>
  </si>
  <si>
    <t>Peach Cobbler Tart</t>
  </si>
  <si>
    <t>In House Bakery</t>
  </si>
  <si>
    <t>Blackberry Pastry Cream</t>
  </si>
  <si>
    <t>IC Y S1 DE C3</t>
  </si>
  <si>
    <t>Lemon Blueberry Cheese Cake</t>
  </si>
  <si>
    <t>IC Y/M S1+S2 BRD Type 1 C1</t>
  </si>
  <si>
    <t>IC Y/M S1+S2 BRD Type 1 C2</t>
  </si>
  <si>
    <t>IC Y/M S1+S2 BRD Type 1 C3</t>
  </si>
  <si>
    <t>IC Y S2 TSU C2</t>
  </si>
  <si>
    <t>Tray, Food, Medium, ATLAS</t>
  </si>
  <si>
    <t>1 x Traymat, Medium, Black, Disposable</t>
  </si>
  <si>
    <t>1 x Plate, Melamine</t>
  </si>
  <si>
    <t>1 x Glass, Water/Champagne, RS</t>
  </si>
  <si>
    <t>1 x Lid, For 971173, Disposable</t>
  </si>
  <si>
    <t>Cutlery pack S2</t>
  </si>
  <si>
    <t>Portioned packed butter 10-15 g</t>
  </si>
  <si>
    <t>Portioned packed granola</t>
  </si>
  <si>
    <t>Portion packed full fat plain yoghurt</t>
  </si>
  <si>
    <t xml:space="preserve">Portioned packed marmalade </t>
  </si>
  <si>
    <t>IC Y S2 TSU C3</t>
  </si>
  <si>
    <t>IC Y S2 BREAKFAST PLATE C1</t>
  </si>
  <si>
    <t>Black forest ham</t>
  </si>
  <si>
    <t>Cheddar cheese 15gm x 2</t>
  </si>
  <si>
    <t>Hard boiled egg half</t>
  </si>
  <si>
    <t>Cherry tomato stemless</t>
  </si>
  <si>
    <t>Roman lettuce liner</t>
  </si>
  <si>
    <t>Pineapple slice</t>
  </si>
  <si>
    <t>Watermelon chunk</t>
  </si>
  <si>
    <t>IC Y S2 BREAKFAST PLATE C2</t>
  </si>
  <si>
    <t>Proscuitto</t>
  </si>
  <si>
    <t xml:space="preserve">Cherry tomato </t>
  </si>
  <si>
    <t>Romaine leaf lettuce</t>
  </si>
  <si>
    <t>Orange Wheel</t>
  </si>
  <si>
    <t>Watermelon Wedge</t>
  </si>
  <si>
    <t>IC Y S2 BREAKFAST PLATE C3</t>
  </si>
  <si>
    <t>Corned Beef Slices</t>
  </si>
  <si>
    <t>Swiss Cheese slice</t>
  </si>
  <si>
    <t xml:space="preserve">Heirloom cherry tomato </t>
  </si>
  <si>
    <t>IC Y S1 AVML C3</t>
  </si>
  <si>
    <t>ST- NON MEAT STARTER, HM - LENTIL MUSHROOM  STEW W/ RICE , DE- FRESH FRUIT</t>
  </si>
  <si>
    <t>IC Y S1 CHML C3</t>
  </si>
  <si>
    <t>ST- VEG BATON W/ RANCH, HM- CHICKEN TENDER W/ SUGARFREE KETCHUP, DE - REG SRV</t>
  </si>
  <si>
    <t>IC Y S1 LGML C3</t>
  </si>
  <si>
    <t>ST- GF MEAT STARTER, HM - GF MEAL , DE- FRESH FRUIT</t>
  </si>
  <si>
    <t>IC Y S1 VGML C3</t>
  </si>
  <si>
    <t>ST- VV SALAD, HM- LENTIL MUSHROOM STEW W/ RICE , DE - FRESH FRUIT</t>
  </si>
  <si>
    <t>IC Y S1 VLML C3</t>
  </si>
  <si>
    <t>ST- NON MEAT STARTER, HM-VEG RAVIOLI , DE - REG SRV</t>
  </si>
  <si>
    <t>IC Y S2 AVML C3</t>
  </si>
  <si>
    <t>S2 - PITA W/ HUMMUS</t>
  </si>
  <si>
    <t>IC Y S2 CHML C3</t>
  </si>
  <si>
    <t>S2 - EGG SANDWICH</t>
  </si>
  <si>
    <t>IC Y S2 LGML C3</t>
  </si>
  <si>
    <t>S2 - VEG PLATE W/ HUMMJS</t>
  </si>
  <si>
    <t>IC Y S2 VGML C3</t>
  </si>
  <si>
    <t>IC Y S2 VLML C3</t>
  </si>
  <si>
    <t>S2 VEG PLATE WITH BOILED EGG</t>
  </si>
  <si>
    <t>IC Y S1 BKML C3</t>
  </si>
  <si>
    <t>IC Y S2 BKML C3</t>
  </si>
  <si>
    <t>IC Y Overhead</t>
  </si>
  <si>
    <t>GO (ECONOMY)</t>
  </si>
  <si>
    <t>IC M S1 TSU C2</t>
  </si>
  <si>
    <t>1 x Traymat, Medium, Anti-Skid, Disposable</t>
  </si>
  <si>
    <t>1 x Cutlery, Type 4/1, Disp, Neutral</t>
  </si>
  <si>
    <t>1 x Insert, For Casserole, Disposable</t>
  </si>
  <si>
    <t>1 x Insert, X-Large, Disposable (for salad)</t>
  </si>
  <si>
    <t>1 x Lid, For 971205, Disposable</t>
  </si>
  <si>
    <t>1 x Insert, Small, Disposable (for dessert)</t>
  </si>
  <si>
    <t>1 x Lid , For 971207, Disposable, Small</t>
  </si>
  <si>
    <t>Portioned packed milk jigger</t>
  </si>
  <si>
    <t>IC M S1 TSU C3</t>
  </si>
  <si>
    <t>IC M S1 SALAD C1</t>
  </si>
  <si>
    <t>Mesclun mix</t>
  </si>
  <si>
    <t>Blue cheese crumbled</t>
  </si>
  <si>
    <t>Shredded carrots (julienned)</t>
  </si>
  <si>
    <t>Toasted pepitas</t>
  </si>
  <si>
    <t>IC M S1 SALAD C2</t>
  </si>
  <si>
    <t>Mesclun Mixed Green Mix</t>
  </si>
  <si>
    <t>English Cucumber Slice</t>
  </si>
  <si>
    <t>IC M S1 SALAD C3</t>
  </si>
  <si>
    <t>Strawberry quartered</t>
  </si>
  <si>
    <t>Feta</t>
  </si>
  <si>
    <t xml:space="preserve">Herb Roast Chicken </t>
  </si>
  <si>
    <t>Lemon Buerre Blanc</t>
  </si>
  <si>
    <t>Potato Caponata</t>
  </si>
  <si>
    <t>Steamed Broccoli</t>
  </si>
  <si>
    <t xml:space="preserve"> BBQ Sauce</t>
  </si>
  <si>
    <t>IC M S1 DE C1</t>
  </si>
  <si>
    <t>Apple cheese cake</t>
  </si>
  <si>
    <t>Vanilla sauce</t>
  </si>
  <si>
    <t>IC M S1 DE C2</t>
  </si>
  <si>
    <t>Chocoloate Mousse</t>
  </si>
  <si>
    <t>White Chocolate Curls</t>
  </si>
  <si>
    <t>IC M S1 DE C3</t>
  </si>
  <si>
    <t>Passion Fruit Mousse</t>
  </si>
  <si>
    <t>Blueberry Coulis</t>
  </si>
  <si>
    <t>Honey Wheat Roll</t>
  </si>
  <si>
    <t>Wheat Potato Roll</t>
  </si>
  <si>
    <t>IC M S2 JUICE C1</t>
  </si>
  <si>
    <t>PP Orange juice cup</t>
  </si>
  <si>
    <t>IC M S2 JUICE C2</t>
  </si>
  <si>
    <t>PP Apple Juice</t>
  </si>
  <si>
    <t>IC M S2 JUICE C3</t>
  </si>
  <si>
    <t>Cranberry Juice</t>
  </si>
  <si>
    <t xml:space="preserve">IC M S2 SW </t>
  </si>
  <si>
    <t xml:space="preserve">Hot Breakfast Toast/ Eng. Muffin with Turkey &amp; Cheese </t>
  </si>
  <si>
    <t xml:space="preserve">Challah Toast </t>
  </si>
  <si>
    <t>Ham Slice</t>
  </si>
  <si>
    <t>Swiss Cheese Slice</t>
  </si>
  <si>
    <t>Buttermilk Bisuit</t>
  </si>
  <si>
    <t>Turkey Sausage Patty</t>
  </si>
  <si>
    <t>American Cheese Slice</t>
  </si>
  <si>
    <t>IC M S1 MEML C2</t>
  </si>
  <si>
    <t>Need to be modified based on BC menu</t>
  </si>
  <si>
    <t>IC M S1 MEML C3</t>
  </si>
  <si>
    <t>IC M S1 CKML C2</t>
  </si>
  <si>
    <t>IC M S1 CKML C3</t>
  </si>
  <si>
    <t>IC M S1 GHML C2</t>
  </si>
  <si>
    <t>IC M S1 GHML C3</t>
  </si>
  <si>
    <t>IC Y S1 ST C3 VVML</t>
  </si>
  <si>
    <t>IC M S1 CDML C3</t>
  </si>
  <si>
    <t>LENTIL STEW W/RICE</t>
  </si>
  <si>
    <t>IC M S1 GCML C3</t>
  </si>
  <si>
    <t xml:space="preserve">CHICKEN W/ SALAD </t>
  </si>
  <si>
    <t>IC M S1 VVML C3</t>
  </si>
  <si>
    <t>IC M S1 EVML C3</t>
  </si>
  <si>
    <t>IC M S2 ADML C3</t>
  </si>
  <si>
    <t>BREAKFAST POTATOES/ GRAVY</t>
  </si>
  <si>
    <t>IC M S2 CDML C3</t>
  </si>
  <si>
    <t>EGG SCRAMBLE W/POTATO</t>
  </si>
  <si>
    <t>IC M S2 GCML C3</t>
  </si>
  <si>
    <t>HAM LETTUCE WRAP W/CHEESE</t>
  </si>
  <si>
    <t>IC M S2 VVML C3</t>
  </si>
  <si>
    <t>IC M S2 EVML C3</t>
  </si>
  <si>
    <t>IC M S2 GHML C3</t>
  </si>
  <si>
    <t>IC M Overhead</t>
  </si>
  <si>
    <t>Crew Meals</t>
  </si>
  <si>
    <t xml:space="preserve">CRW P CM TSU </t>
  </si>
  <si>
    <t>SK Disposable cutlery</t>
  </si>
  <si>
    <t>Portion packed local butter</t>
  </si>
  <si>
    <t>Bread roll multigrain</t>
  </si>
  <si>
    <t>CRW K CM A</t>
  </si>
  <si>
    <t>Roast beef x 2 slices</t>
  </si>
  <si>
    <t>Mayo (top and bottom)</t>
  </si>
  <si>
    <t>Red pepper stripes x 2</t>
  </si>
  <si>
    <t>Ronman lettuce liner</t>
  </si>
  <si>
    <t>Ciabatta bread (50-60gr)</t>
  </si>
  <si>
    <t>CRW K CM B</t>
  </si>
  <si>
    <t>Monterey jack cheese x 2</t>
  </si>
  <si>
    <t>Cream cheese (top and bottom)</t>
  </si>
  <si>
    <t>Tomato spread</t>
  </si>
  <si>
    <t>Wheat pullman bread slices</t>
  </si>
  <si>
    <t xml:space="preserve">CRW P CM - Poultry or Salmon A </t>
  </si>
  <si>
    <t>Smoked salmon slices</t>
  </si>
  <si>
    <t>Blue cheese 3x10gm</t>
  </si>
  <si>
    <t>Frisee salad</t>
  </si>
  <si>
    <t>Yellow cherry tomato</t>
  </si>
  <si>
    <t>Red cherry tomato</t>
  </si>
  <si>
    <t>Caper berry</t>
  </si>
  <si>
    <t xml:space="preserve">CRW P CM - Meat B </t>
  </si>
  <si>
    <t>Air dried ham US</t>
  </si>
  <si>
    <t>Ham cured "81"</t>
  </si>
  <si>
    <t>Swiss cheese x 3</t>
  </si>
  <si>
    <t xml:space="preserve">cherry tomato </t>
  </si>
  <si>
    <t>Black olives</t>
  </si>
  <si>
    <t>Red grapes x 4</t>
  </si>
  <si>
    <t xml:space="preserve">CRW P HM TSU </t>
  </si>
  <si>
    <t>Vinaigrette dressing</t>
  </si>
  <si>
    <t>PP local butter</t>
  </si>
  <si>
    <t>Bread</t>
  </si>
  <si>
    <t>SK disposable cutlery</t>
  </si>
  <si>
    <t xml:space="preserve">CRW K HM TSU </t>
  </si>
  <si>
    <t xml:space="preserve">CRW P HM Salad </t>
  </si>
  <si>
    <t>Chopped romaine lettuce</t>
  </si>
  <si>
    <t>Cucumber slices</t>
  </si>
  <si>
    <t>Carrot julienne</t>
  </si>
  <si>
    <t>Cherry tomato stemlesss</t>
  </si>
  <si>
    <t xml:space="preserve">CRW K HM Salad </t>
  </si>
  <si>
    <t xml:space="preserve">CRW P HM A </t>
  </si>
  <si>
    <t>captain</t>
  </si>
  <si>
    <t xml:space="preserve">CRW K HM A </t>
  </si>
  <si>
    <t>crew</t>
  </si>
  <si>
    <t>Roasted Marbled Potatoes</t>
  </si>
  <si>
    <t xml:space="preserve">CRW P HM B </t>
  </si>
  <si>
    <t xml:space="preserve">CRW K HM B </t>
  </si>
  <si>
    <t>Roast Chicken Leg Quarter</t>
  </si>
  <si>
    <t>Mushroom Marsala Sauce</t>
  </si>
  <si>
    <t>Marinated Steamed Broccoli</t>
  </si>
  <si>
    <t xml:space="preserve">CRW P HB TSU </t>
  </si>
  <si>
    <t>Portion packed local plain full fat yoghurt</t>
  </si>
  <si>
    <t>Portion packed local cheese</t>
  </si>
  <si>
    <t xml:space="preserve">CRW K HB TSU </t>
  </si>
  <si>
    <t xml:space="preserve">CRW P HB </t>
  </si>
  <si>
    <t xml:space="preserve">Cheese chive omelet </t>
  </si>
  <si>
    <t xml:space="preserve">Sauteed mushrooms </t>
  </si>
  <si>
    <t>Roasted tomatoes</t>
  </si>
  <si>
    <t>Veal chipolata sausage</t>
  </si>
  <si>
    <t>Tri color potatoes</t>
  </si>
  <si>
    <t xml:space="preserve">CRW K HB </t>
  </si>
  <si>
    <t>CRW P HM VGML (JVG)</t>
  </si>
  <si>
    <t>CRW P HM VLML (JVL)</t>
  </si>
  <si>
    <t>CRW P HM LGML (JLG)</t>
  </si>
  <si>
    <t>CRW K HM VGML (JVG)</t>
  </si>
  <si>
    <t>CRW K HM VLML (JVL)</t>
  </si>
  <si>
    <t>CRW K HM LGML (JLG)</t>
  </si>
  <si>
    <t>CRW P HB VGML (FVG)</t>
  </si>
  <si>
    <t>CRW P HB VLML (FVL)</t>
  </si>
  <si>
    <t>CRW P HB LGML (FLG)</t>
  </si>
  <si>
    <t>CRW K HB VLML (FVL)</t>
  </si>
  <si>
    <t>CRW K HB LGML (FLG)</t>
  </si>
  <si>
    <t>CRW P CM VGML (OVG)</t>
  </si>
  <si>
    <t>CRW P CM LGML (OLG)</t>
  </si>
  <si>
    <t>CRW P CM VLML (OVL)</t>
  </si>
  <si>
    <t>CRW K SWD VGML (OVG)</t>
  </si>
  <si>
    <t>CRW K SWD VLML (OVL)</t>
  </si>
  <si>
    <t>CRW K SWD LGML (OLG)</t>
  </si>
  <si>
    <t>CRW P CM VGML (SVG)</t>
  </si>
  <si>
    <t>CRW P CM VLML (SVL)</t>
  </si>
  <si>
    <t>CRW P CM LGML (SLG)</t>
  </si>
  <si>
    <t>CRW K SWD VGML (SVG)</t>
  </si>
  <si>
    <t>CRW K SWD VLML (SVL)</t>
  </si>
  <si>
    <t>CRW K SWD LGML (SLG)</t>
  </si>
  <si>
    <t>IC P Overhead</t>
  </si>
  <si>
    <t>IC K Overhead</t>
  </si>
  <si>
    <t>CODE</t>
  </si>
  <si>
    <t>DESCRIPTION</t>
  </si>
  <si>
    <t>COST PER LB</t>
  </si>
  <si>
    <t>WASTE YIELD</t>
  </si>
  <si>
    <t>COST PER LB AFT. YIELD</t>
  </si>
  <si>
    <t>SPRING MIX</t>
  </si>
  <si>
    <t>CHERRY TOMATO</t>
  </si>
  <si>
    <t>BABY ARUGULA</t>
  </si>
  <si>
    <t>POACHED PEAR</t>
  </si>
  <si>
    <t>GOAT CHEESE CRUMBLE</t>
  </si>
  <si>
    <t>WATERMELON RADISH</t>
  </si>
  <si>
    <t>TOASTED SUNFLOWER</t>
  </si>
  <si>
    <t xml:space="preserve">Heywoods Provisions (Local Vendor)   </t>
  </si>
  <si>
    <t xml:space="preserve">blueberry </t>
  </si>
  <si>
    <t>Strawberry Quarter</t>
  </si>
  <si>
    <t>Strawberry Half</t>
  </si>
  <si>
    <t xml:space="preserve">Blueberry </t>
  </si>
  <si>
    <t xml:space="preserve">CHILD MEAL </t>
  </si>
  <si>
    <t>CHICKEN TENDER W/ SUGARFREE KETCHUP</t>
  </si>
  <si>
    <t>NOTE</t>
  </si>
  <si>
    <t xml:space="preserve">ENGLISH CUCUMBER </t>
  </si>
  <si>
    <t>TOASTED PEPITAS</t>
  </si>
  <si>
    <t>BEEF PASTRAMI (HEYWOODS)</t>
  </si>
  <si>
    <t>FIG SPREAD</t>
  </si>
  <si>
    <t>CASTELVETRANO OLIVE</t>
  </si>
  <si>
    <t>JUICE REMOVED, 1 OLIVE IS ABOUT 8G</t>
  </si>
  <si>
    <t>SMOKED TROUT</t>
  </si>
  <si>
    <t>CORNICHONS</t>
  </si>
  <si>
    <t>JUICE REMOVED, 10G EACH</t>
  </si>
  <si>
    <t>CHIVES</t>
  </si>
  <si>
    <t>DILL</t>
  </si>
  <si>
    <t>ROMA TOMATO</t>
  </si>
  <si>
    <t>FIGURLING POTATO</t>
  </si>
  <si>
    <t>YUKON POTATO</t>
  </si>
  <si>
    <t>GREEN BEANS</t>
  </si>
  <si>
    <t>CHICKEN BREAST 4OZ RWT</t>
  </si>
  <si>
    <t>OYSTER MUSHROOM</t>
  </si>
  <si>
    <t>BABY SPINACH</t>
  </si>
  <si>
    <t>ORZO PASTA</t>
  </si>
  <si>
    <t>BROCCOLINI</t>
  </si>
  <si>
    <t>PASTA MAMI SMOKED MOZZERELLA RAVIOLI</t>
  </si>
  <si>
    <t>PRICE PER EACH</t>
  </si>
  <si>
    <t>BASIL PESTO</t>
  </si>
  <si>
    <t>MOZZARELLA CHEESE SHREED</t>
  </si>
  <si>
    <t>WHITE TRUFFLE OIL</t>
  </si>
  <si>
    <t>PASTA MAMI WILD MUSHROOM TORTELLINI</t>
  </si>
  <si>
    <t>MICRO GREEN</t>
  </si>
  <si>
    <t>BANANA PUDDING CHEESE CAKE 60G ( IN HOUSE BAKERY)</t>
  </si>
  <si>
    <t>CHOCOLATE MOUSSE CAKE 60G ( IN HOUSE BAKERY)</t>
  </si>
  <si>
    <t>STRAWBERRY COULIS</t>
  </si>
  <si>
    <t>RED GRAPES</t>
  </si>
  <si>
    <t>HONEYDEW</t>
  </si>
  <si>
    <t>CANTALOUPE</t>
  </si>
  <si>
    <t xml:space="preserve">WATERMELON </t>
  </si>
  <si>
    <t>BLUEBERRY FRESH</t>
  </si>
  <si>
    <t xml:space="preserve">STRAWBERRY </t>
  </si>
  <si>
    <t>PINEAPPLE</t>
  </si>
  <si>
    <t>KIWI</t>
  </si>
  <si>
    <t>HONEYWHEAT ROLL</t>
  </si>
  <si>
    <t xml:space="preserve">WHITE DINNER ROLL </t>
  </si>
  <si>
    <t>ARTISAN BAGUETTE</t>
  </si>
  <si>
    <t xml:space="preserve">KISS ROLL </t>
  </si>
  <si>
    <t xml:space="preserve">MINI CROISSANT </t>
  </si>
  <si>
    <t xml:space="preserve">MINI CHOCOLATE CROISSANT </t>
  </si>
  <si>
    <t xml:space="preserve">CHIVE CREAM CHEESE BALL </t>
  </si>
  <si>
    <t>BLACK FOREST HAM</t>
  </si>
  <si>
    <t>PROCUITTO</t>
  </si>
  <si>
    <t xml:space="preserve">VEGGIE CREAM BALL </t>
  </si>
  <si>
    <t>TRADITIONAL CHORIZO</t>
  </si>
  <si>
    <t>JAMON SERRANO</t>
  </si>
  <si>
    <t>COCONUT MILK</t>
  </si>
  <si>
    <t>CHIA SEED</t>
  </si>
  <si>
    <t>OAT</t>
  </si>
  <si>
    <t>TOASTED SEED GRANOLA</t>
  </si>
  <si>
    <t xml:space="preserve">MANGO CHUNK IQF </t>
  </si>
  <si>
    <t>PINEAPPLE CHUNK IQF</t>
  </si>
  <si>
    <t>STRAWBERRY IQF</t>
  </si>
  <si>
    <t>VANILLA YOGURT CHOBANI 4OZ</t>
  </si>
  <si>
    <t>BLUEBERRY YOGURT CHOBANI 4OZ</t>
  </si>
  <si>
    <t>STRAWBERRY YOGURT CHOBANI 4OZ</t>
  </si>
  <si>
    <t>CIABATTA BREAD 4OZ</t>
  </si>
  <si>
    <t>SUNDRIED TOMATO PESTO</t>
  </si>
  <si>
    <t xml:space="preserve">MOZZARELLA CHEESE SLICE </t>
  </si>
  <si>
    <t>BASIL AIOLI</t>
  </si>
  <si>
    <t>FRESH BASIL</t>
  </si>
  <si>
    <t>EGGPLANT</t>
  </si>
  <si>
    <t>ROASTED RED PEPPER HALVES</t>
  </si>
  <si>
    <t>BASIL PESTO HUMMUS</t>
  </si>
  <si>
    <t>FARRO</t>
  </si>
  <si>
    <t>SLAW MIX</t>
  </si>
  <si>
    <t>CELERY SEED</t>
  </si>
  <si>
    <t>HORSERADISH SAUCE</t>
  </si>
  <si>
    <t>SMOKE TURKEY SLICE (DELI)</t>
  </si>
  <si>
    <t xml:space="preserve">LENTIL </t>
  </si>
  <si>
    <t>FENNEL BULB</t>
  </si>
  <si>
    <t>SEABASS 4OZ RWT (FROZEN, PREMIUM ECONOMY GRADE)</t>
  </si>
  <si>
    <t>FISH STOCK/BROTH</t>
  </si>
  <si>
    <t>BOULLABAISE SAUCE</t>
  </si>
  <si>
    <t>SAFFRON</t>
  </si>
  <si>
    <t>COUS COUS</t>
  </si>
  <si>
    <t>ZUCCHINI</t>
  </si>
  <si>
    <t>YELLOW SQUASH</t>
  </si>
  <si>
    <t>COD 4OZ RWT (FROZEN, PREMIUM ECONOMY GRADE)</t>
  </si>
  <si>
    <t>TARRAGON</t>
  </si>
  <si>
    <t xml:space="preserve">WILD RICE </t>
  </si>
  <si>
    <t>CAULIFLOWER</t>
  </si>
  <si>
    <t>PEACH COBBLER TART 60G(IN HOUSE BAKERY)</t>
  </si>
  <si>
    <t xml:space="preserve">BLACKBERRY IQF </t>
  </si>
  <si>
    <t>LEMON BLUEBERRY CHEESE CAKE 60G ( IN HOUSE BAKERY)</t>
  </si>
  <si>
    <t xml:space="preserve">ROMAINE LETTUCE </t>
  </si>
  <si>
    <t>ORANGE</t>
  </si>
  <si>
    <t>CORN BEEF</t>
  </si>
  <si>
    <t xml:space="preserve">SWISS CHEESE SLICE </t>
  </si>
  <si>
    <t xml:space="preserve">HEIRLOOM CHERRY TOMATO </t>
  </si>
  <si>
    <t xml:space="preserve">SHREDDED CARROT </t>
  </si>
  <si>
    <t>GREEN BEAN IQF</t>
  </si>
  <si>
    <t>APPLE CHEESE CAKE 50G (IN HOUSE BAKERY)</t>
  </si>
  <si>
    <t>WHITE CHOCOKATE CURLS</t>
  </si>
  <si>
    <t>PASSION FRUIT MOUSSE 60G (IN HOUSE BAKERY)</t>
  </si>
  <si>
    <t xml:space="preserve">BLUEBERRY IQF </t>
  </si>
  <si>
    <t>BLUEBERRY COULIS</t>
  </si>
  <si>
    <t>HONEY WHEAT ROLL (IN HOUSE BAKERY)</t>
  </si>
  <si>
    <t>WHEAT POTATO ROLL ( IN HOUSE BAKERY)</t>
  </si>
  <si>
    <t xml:space="preserve">PP APPLE JUICE CUP </t>
  </si>
  <si>
    <t xml:space="preserve">PP ORANGE JUICE CUP </t>
  </si>
  <si>
    <t xml:space="preserve">PP CRANBERRY JUICE CUP </t>
  </si>
  <si>
    <t>HAM SLICE (DELI)</t>
  </si>
  <si>
    <t xml:space="preserve">BUTTERMILK BISCUIT </t>
  </si>
  <si>
    <t xml:space="preserve">TURKEY SAUSAGE PATTY </t>
  </si>
  <si>
    <t xml:space="preserve">AMERICAN CHEESE SLICE </t>
  </si>
  <si>
    <t>House Made Bagel Chips Everything in Indv Packet</t>
  </si>
  <si>
    <t>BAGEL CHIPS EVERTHING</t>
  </si>
  <si>
    <t>BEEF TENDERLOIN 4OZ RWT</t>
  </si>
  <si>
    <t>ASPARAGUS FRESH</t>
  </si>
  <si>
    <t>RHUM CARAMEL SAUCE</t>
  </si>
  <si>
    <t xml:space="preserve">SWEET GRASS DAIRY GEOGIA GOUDA CHEESE </t>
  </si>
  <si>
    <t>QUINOA TRI COLOR</t>
  </si>
  <si>
    <t>OPTIMUM IS $72.43/10</t>
  </si>
  <si>
    <t xml:space="preserve">4X5#, 160SLICE </t>
  </si>
  <si>
    <t>1LB YIELD 80EA SLICE</t>
  </si>
  <si>
    <t>??????</t>
  </si>
  <si>
    <t>VANILLA YOGURT CHOBANI 5.3OZ</t>
  </si>
  <si>
    <t>BLUEBERRY YOGURT CHOBANI 5.3OZ</t>
  </si>
  <si>
    <t>STRAWBERRY YOGURT CHOBANI 5.3OZ</t>
  </si>
  <si>
    <t>???????</t>
  </si>
  <si>
    <t>MLA RFP SAS 24 BC C2 ST A MEAT</t>
  </si>
  <si>
    <t>$.29  unwrapped  (.5 oz.)</t>
  </si>
  <si>
    <t>BANNER BUTTER IW</t>
  </si>
  <si>
    <t>DUCK FILLET (HEYWOODS)</t>
  </si>
  <si>
    <t>SOPPRESSATA (HEYWOODS)</t>
  </si>
  <si>
    <t>ITALIAN SALAMI SLICE (HEYWOODS)</t>
  </si>
  <si>
    <t>PORK PROSCUITTO (HEYWOODS)</t>
  </si>
  <si>
    <t>WAYGU BRESSOLA (HEYWOODS)</t>
  </si>
  <si>
    <t>1.5 oz. Cooked</t>
  </si>
  <si>
    <t>Optimum ?</t>
  </si>
  <si>
    <t>FOX BRO BBQ SHORT RIBS WITH BBQ JUS</t>
  </si>
  <si>
    <t>12X2</t>
  </si>
  <si>
    <t xml:space="preserve">Roasted Cherry Tomato </t>
  </si>
  <si>
    <t>Roasted Baby Carrot half x2</t>
  </si>
  <si>
    <t>2x15</t>
  </si>
  <si>
    <t>Grilled Yellow Squash</t>
  </si>
  <si>
    <t xml:space="preserve">Steamed Carrot </t>
  </si>
  <si>
    <t>BBQ Chicken Thigh</t>
  </si>
  <si>
    <t xml:space="preserve">Roast beef </t>
  </si>
  <si>
    <t>ciabatta bread 2oz IW</t>
  </si>
  <si>
    <t>wheat pullman slice (price and quantitly in each loaf)</t>
  </si>
  <si>
    <t>Blue cheese</t>
  </si>
  <si>
    <t>air dried ham</t>
  </si>
  <si>
    <t>ham cured</t>
  </si>
  <si>
    <t xml:space="preserve">black olive </t>
  </si>
  <si>
    <t>yogurt (any flavor for economy class)</t>
  </si>
  <si>
    <t>cheese IW</t>
  </si>
  <si>
    <t>cracker IW</t>
  </si>
  <si>
    <t>veal chipolata sausage</t>
  </si>
  <si>
    <t>Water Still 1.5L</t>
  </si>
  <si>
    <t>Water Still 0.5L/16oz</t>
  </si>
  <si>
    <t>Water Sparkling 1.0L/32oz</t>
  </si>
  <si>
    <t>Milk whole 0.25L/8oz</t>
  </si>
  <si>
    <t>Creamer portion packed 0.25oz</t>
  </si>
  <si>
    <t>Apple Juice 1L/32oz</t>
  </si>
  <si>
    <t>Tomato Juice Aseptic 1L/32oz</t>
  </si>
  <si>
    <t>Orange Juice Aseptic 1L/32oz</t>
  </si>
  <si>
    <t>Celery Stick 6in x10</t>
  </si>
  <si>
    <t>Lime Wedges (1lime cut in 8 wedges) in plastic glass</t>
  </si>
  <si>
    <t>Lemon Wedges (1 lemon cut in 8 wegdes) in plastic glass</t>
  </si>
  <si>
    <t>Lemon Slice (1 lemon cut in 20 1/2 wheel slices)</t>
  </si>
  <si>
    <t>Wet Ice 1lb</t>
  </si>
  <si>
    <t>Dry Ice 1lb</t>
  </si>
  <si>
    <t>Cranberry Juice Aseptic 1L/32oz (Crew request only)</t>
  </si>
  <si>
    <t>Soda-Coke 12oz Can (Crew request only)</t>
  </si>
  <si>
    <t>Soda Coke Zero 12oz Can (Crew request only)</t>
  </si>
  <si>
    <t>Soda Sprite 12oz Can (Crew request only)</t>
  </si>
  <si>
    <t>Direct Material</t>
  </si>
  <si>
    <t xml:space="preserve">Vinegrette dressing IW </t>
  </si>
  <si>
    <t>6X2</t>
  </si>
  <si>
    <t>Medditeranean Chickpea Salad with WildMushrooms</t>
  </si>
  <si>
    <t>Spring Veg Pasta Salad with Wild Mushrooms</t>
  </si>
  <si>
    <t>Farro Salad with Wild Mushrooms</t>
  </si>
  <si>
    <t>Ciabata Bread, Roasated Eggplant, Roasted Pepper, Hummus</t>
  </si>
  <si>
    <t>Ciabata Bread, Fresh Mozzerella, Basil Pesto, Sundried tomato, Arugula</t>
  </si>
  <si>
    <t>Gluten Free Bread, Roasted EggPlant, Roasted Peppers, Hummus</t>
  </si>
  <si>
    <t>pure lift</t>
  </si>
  <si>
    <t>Thirster</t>
  </si>
  <si>
    <t>Adirondack</t>
  </si>
  <si>
    <t>Aspetic, Thick and Easy</t>
  </si>
  <si>
    <t>0.37oz half and half Glenview Farms</t>
  </si>
  <si>
    <t>Minute Maid</t>
  </si>
  <si>
    <t>48oz Thirster Brand</t>
  </si>
  <si>
    <t>46oz Thirster</t>
  </si>
  <si>
    <t>1.25oz</t>
  </si>
  <si>
    <t>price per piece, 3.29 per loaf, 26 slices</t>
  </si>
  <si>
    <t xml:space="preserve">4.01 glenview farm </t>
  </si>
  <si>
    <t xml:space="preserve">4oz each Atlanta sausage </t>
  </si>
  <si>
    <t xml:space="preserve"> $                           -  </t>
  </si>
  <si>
    <t xml:space="preserve">Please fill in Supplier Name </t>
  </si>
  <si>
    <t>4ATL-411050C2</t>
  </si>
  <si>
    <t>Fix Qty 40</t>
  </si>
  <si>
    <t>4ATL-411050C3</t>
  </si>
  <si>
    <t>2ATL-411012</t>
  </si>
  <si>
    <t>Load Scale IC-27</t>
  </si>
  <si>
    <t>2ATL-411013</t>
  </si>
  <si>
    <t>2ATL-411032</t>
  </si>
  <si>
    <t>Fix Qty 2</t>
  </si>
  <si>
    <t>2ATL-411033</t>
  </si>
  <si>
    <t>2ATL-411050C2</t>
  </si>
  <si>
    <t>2ATL-411050C3</t>
  </si>
  <si>
    <t>2ATL-411062</t>
  </si>
  <si>
    <t>60% (U)</t>
  </si>
  <si>
    <t>2ATL-411063</t>
  </si>
  <si>
    <t>2ATL-411072</t>
  </si>
  <si>
    <t>60% (D)</t>
  </si>
  <si>
    <t>2ATL-411073</t>
  </si>
  <si>
    <t>2ATL-411082</t>
  </si>
  <si>
    <t>2ATL-411083</t>
  </si>
  <si>
    <t>2ATL-411092</t>
  </si>
  <si>
    <t>50% (U)</t>
  </si>
  <si>
    <t>2ATL-411093</t>
  </si>
  <si>
    <t>2ATL-411112</t>
  </si>
  <si>
    <t>50% (D)</t>
  </si>
  <si>
    <t>2ATL-411113</t>
  </si>
  <si>
    <t>2ATL-411122</t>
  </si>
  <si>
    <t>20% (U)</t>
  </si>
  <si>
    <t>2ATL-411123</t>
  </si>
  <si>
    <t>2ATL-411132</t>
  </si>
  <si>
    <t>2ATL-411133</t>
  </si>
  <si>
    <t>2ATL-411142</t>
  </si>
  <si>
    <t>2ATL-411143</t>
  </si>
  <si>
    <t>2ATL-411152</t>
  </si>
  <si>
    <t>Load Scale IC-29</t>
  </si>
  <si>
    <t>2ATL-411153</t>
  </si>
  <si>
    <t>2ATL-411162</t>
  </si>
  <si>
    <t>2ATL-411163</t>
  </si>
  <si>
    <t>2ATL-411180C2</t>
  </si>
  <si>
    <t>2ATL-411180C3</t>
  </si>
  <si>
    <t>4ATL-411010C2</t>
  </si>
  <si>
    <t>75% (N)</t>
  </si>
  <si>
    <t>4ATL-411010C3</t>
  </si>
  <si>
    <t>4ATL-411020C2</t>
  </si>
  <si>
    <t>4ATL-411020C3</t>
  </si>
  <si>
    <t>4ATL-411030C2</t>
  </si>
  <si>
    <t>4ATL-411030C3</t>
  </si>
  <si>
    <t>4ATL-412010C2</t>
  </si>
  <si>
    <t>60% (N)</t>
  </si>
  <si>
    <t>4ATL-412010C3</t>
  </si>
  <si>
    <t>4ATL-412020C2</t>
  </si>
  <si>
    <t>4ATL-412020C3</t>
  </si>
  <si>
    <t>3ATL-412010C2</t>
  </si>
  <si>
    <t>3ATL-412010C3</t>
  </si>
  <si>
    <t>2ATL-412012</t>
  </si>
  <si>
    <t>2ATL-412013</t>
  </si>
  <si>
    <t>2ATL-412031</t>
  </si>
  <si>
    <t>2ATL-412032</t>
  </si>
  <si>
    <t>2ATL-412041</t>
  </si>
  <si>
    <t>80% (N)</t>
  </si>
  <si>
    <t>2ATL-412042</t>
  </si>
  <si>
    <t>2ATL-413012</t>
  </si>
  <si>
    <t>50% (N)</t>
  </si>
  <si>
    <t>2ATL-413013</t>
  </si>
  <si>
    <t>3ATL-9110AV3</t>
  </si>
  <si>
    <t>3ATL-9110CH3</t>
  </si>
  <si>
    <t>3ATL-9110LG3</t>
  </si>
  <si>
    <t>3ATL-9110VG3</t>
  </si>
  <si>
    <t>3ATL-9110VL3</t>
  </si>
  <si>
    <t>3ATL-9120AV3</t>
  </si>
  <si>
    <t>3ATL-9120CH3</t>
  </si>
  <si>
    <t>3ATL-9120LG3</t>
  </si>
  <si>
    <t>3ATL-9120VG3</t>
  </si>
  <si>
    <t>3ATL-9120VL3</t>
  </si>
  <si>
    <t>3ATL-9110BK3</t>
  </si>
  <si>
    <t xml:space="preserve">                 -  </t>
  </si>
  <si>
    <t>3ATL-9120BK3</t>
  </si>
  <si>
    <t>8ATL-OVERHEAD-C</t>
  </si>
  <si>
    <t>IC C Overhead</t>
  </si>
  <si>
    <t xml:space="preserve">Supplier, please fill in name of Company in the first row </t>
  </si>
  <si>
    <t>SAS IFX Spec Code</t>
  </si>
  <si>
    <t>Direct Labor</t>
  </si>
  <si>
    <t>Selling Price ex contrubtion</t>
  </si>
  <si>
    <t>Class</t>
  </si>
  <si>
    <t xml:space="preserve">Loading Instructions
N.B only information </t>
  </si>
  <si>
    <t>3ATL-431010C2</t>
  </si>
  <si>
    <t>3ATL-431010C3</t>
  </si>
  <si>
    <t>2ATL-431012</t>
  </si>
  <si>
    <t>2ATL-431013</t>
  </si>
  <si>
    <t>2ATL-421032</t>
  </si>
  <si>
    <t>2ATL-421033</t>
  </si>
  <si>
    <t>2ATL-431021</t>
  </si>
  <si>
    <t>2ATL-431022</t>
  </si>
  <si>
    <t>4ATL-421010C2</t>
  </si>
  <si>
    <t>120% (N)</t>
  </si>
  <si>
    <t>4ATL-421010C3</t>
  </si>
  <si>
    <t>4ATL-432010C2</t>
  </si>
  <si>
    <t>4ATL-432010C3</t>
  </si>
  <si>
    <t>2ATL-432020C2</t>
  </si>
  <si>
    <t>2ATL-432020C3</t>
  </si>
  <si>
    <t xml:space="preserve">BANANA PUDDING CHEESE CAKE </t>
  </si>
  <si>
    <t>GRAHAM CRUST</t>
  </si>
  <si>
    <t>STREUSEL</t>
  </si>
  <si>
    <t>BANANA CHEESECAKE</t>
  </si>
  <si>
    <t>BLUEBERRY SWIRL</t>
  </si>
  <si>
    <t>LEMON PASTRY CREAM</t>
  </si>
  <si>
    <t xml:space="preserve">39 PC PER 1/2 SHEET PAN </t>
  </si>
  <si>
    <t>LB</t>
  </si>
  <si>
    <t xml:space="preserve">Graham Crackers Crushed </t>
  </si>
  <si>
    <t xml:space="preserve">Butter, Melted </t>
  </si>
  <si>
    <t xml:space="preserve">Sugar, White </t>
  </si>
  <si>
    <t>Cream Cheese</t>
  </si>
  <si>
    <t xml:space="preserve">Corn Starch </t>
  </si>
  <si>
    <t xml:space="preserve">Lemon Flavor, Webber </t>
  </si>
  <si>
    <t xml:space="preserve">Eggs </t>
  </si>
  <si>
    <t xml:space="preserve">Sour Cream </t>
  </si>
  <si>
    <t xml:space="preserve">Vanilla Extract </t>
  </si>
  <si>
    <t xml:space="preserve">Blueberries, Frozen  </t>
  </si>
  <si>
    <t>Water 1</t>
  </si>
  <si>
    <t xml:space="preserve">Lemon Juice, Fresh </t>
  </si>
  <si>
    <t xml:space="preserve">Cornstarch </t>
  </si>
  <si>
    <t xml:space="preserve">Water 2 </t>
  </si>
  <si>
    <t>PER LB</t>
  </si>
  <si>
    <t xml:space="preserve">COST </t>
  </si>
  <si>
    <t xml:space="preserve">Flour, All Purpose </t>
  </si>
  <si>
    <t>lb</t>
  </si>
  <si>
    <t>Sugar, Granulated</t>
  </si>
  <si>
    <t>Cocoa Powder, Special Dark, Hershey's</t>
  </si>
  <si>
    <t>Baking Powder</t>
  </si>
  <si>
    <t>Salt, Kosher</t>
  </si>
  <si>
    <t>Eggs, Liquid Whole</t>
  </si>
  <si>
    <t>Oil, Canola</t>
  </si>
  <si>
    <t>COST</t>
  </si>
  <si>
    <t>PEACH TART</t>
  </si>
  <si>
    <t>BAR BASE</t>
  </si>
  <si>
    <t>FRUIT TOP</t>
  </si>
  <si>
    <t>GINGER STEUSEL</t>
  </si>
  <si>
    <t xml:space="preserve">PASTRY CREAM </t>
  </si>
  <si>
    <t xml:space="preserve">PEARL GARNISH </t>
  </si>
  <si>
    <t>All Purpose Flour</t>
  </si>
  <si>
    <t xml:space="preserve">Sugar, Brown </t>
  </si>
  <si>
    <t>Baking Soda</t>
  </si>
  <si>
    <t xml:space="preserve">Salt </t>
  </si>
  <si>
    <t xml:space="preserve">Vanilla </t>
  </si>
  <si>
    <t xml:space="preserve">Butter </t>
  </si>
  <si>
    <t xml:space="preserve">Lemon Juice </t>
  </si>
  <si>
    <t>Blackberries, Frozen</t>
  </si>
  <si>
    <t xml:space="preserve">Peaches, Diced </t>
  </si>
  <si>
    <t xml:space="preserve">Blueberries, Frozen </t>
  </si>
  <si>
    <t xml:space="preserve">Basic Streusel, Dawn Foods </t>
  </si>
  <si>
    <t>Ground Ginger</t>
  </si>
  <si>
    <t xml:space="preserve">Oats </t>
  </si>
  <si>
    <t xml:space="preserve">Cinnamon </t>
  </si>
  <si>
    <t xml:space="preserve">Butter, Soft </t>
  </si>
  <si>
    <t xml:space="preserve">Milk, Whole </t>
  </si>
  <si>
    <t>Black Berry Puree</t>
  </si>
  <si>
    <t>ZuriMix Pastry Cream Base (AUI)</t>
  </si>
  <si>
    <t>Vanilla Extract</t>
  </si>
  <si>
    <t>Salt</t>
  </si>
  <si>
    <t>CHOCOLATE MOUSSE</t>
  </si>
  <si>
    <t>ZuriMix, Chocolate Mousse</t>
  </si>
  <si>
    <t xml:space="preserve">Whole Milk </t>
  </si>
  <si>
    <t xml:space="preserve">Cocoa Powder, Dark </t>
  </si>
  <si>
    <t>WHITE CHOCOLATE CUERL</t>
  </si>
  <si>
    <t xml:space="preserve">MARK UP </t>
  </si>
  <si>
    <t>COFFEE PILLOW</t>
  </si>
  <si>
    <t>PAPER TOWEL NAPKIN</t>
  </si>
  <si>
    <t xml:space="preserve">42 for 2400 sheet, 24 pack </t>
  </si>
  <si>
    <t>tea bag lipton</t>
  </si>
  <si>
    <t>5.99 per 100ct</t>
  </si>
  <si>
    <t>sugar packet 1g</t>
  </si>
  <si>
    <t>sugar substitue packet (sweet and low)</t>
  </si>
  <si>
    <t xml:space="preserve">hot cup </t>
  </si>
  <si>
    <t>hot cup lid</t>
  </si>
  <si>
    <t>$53.86/42pk</t>
  </si>
  <si>
    <t xml:space="preserve">Cofee pillow - Rituals Dark Roast Caffeinated </t>
  </si>
  <si>
    <t>garbage bag 12-16GAL</t>
  </si>
  <si>
    <t>garbage bag 45-60 GAL</t>
  </si>
  <si>
    <t>nescafe - decaf coffee instant packet</t>
  </si>
  <si>
    <t>nescafe -  coffee instant packet</t>
  </si>
  <si>
    <t xml:space="preserve">THREE COMPARTMENT LUNCH BOX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</si>
</sst>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quot;$&quot;#,##0.00"/>
  </numFmts>
  <fonts count="28">
    <font>
      <sz val="11"/>
      <color theme="1"/>
      <name val="Aptos Narrow"/>
      <family val="2"/>
      <scheme val="minor"/>
    </font>
    <font>
      <sz val="11"/>
      <color theme="1"/>
      <name val="Aptos Narrow"/>
      <family val="2"/>
      <scheme val="minor"/>
    </font>
    <font>
      <sz val="11"/>
      <color rgb="FFFF0000"/>
      <name val="Aptos Narrow"/>
      <family val="2"/>
      <scheme val="minor"/>
    </font>
    <font>
      <b/>
      <sz val="13"/>
      <name val="Aptos Narrow"/>
      <family val="2"/>
      <scheme val="minor"/>
    </font>
    <font>
      <b/>
      <sz val="10"/>
      <color theme="1"/>
      <name val="Aptos Narrow"/>
      <family val="2"/>
      <scheme val="minor"/>
    </font>
    <font>
      <b/>
      <sz val="8"/>
      <color theme="1"/>
      <name val="Aptos Narrow"/>
      <family val="2"/>
      <scheme val="minor"/>
    </font>
    <font>
      <sz val="10"/>
      <color theme="1"/>
      <name val="Aptos Narrow"/>
      <family val="2"/>
      <scheme val="minor"/>
    </font>
    <font>
      <sz val="10"/>
      <color rgb="FF000000"/>
      <name val="Arial"/>
      <family val="2"/>
      <charset val="1"/>
    </font>
    <font>
      <sz val="10"/>
      <color rgb="FF444444"/>
      <name val="Aptos Narrow"/>
      <family val="2"/>
      <scheme val="minor"/>
    </font>
    <font>
      <sz val="11"/>
      <name val="ＭＳ Ｐゴシック"/>
      <family val="3"/>
      <charset val="128"/>
    </font>
    <font>
      <b/>
      <sz val="11"/>
      <name val="Arial"/>
      <family val="2"/>
    </font>
    <font>
      <sz val="11"/>
      <name val="Arial"/>
      <family val="2"/>
    </font>
    <font>
      <b/>
      <u/>
      <sz val="11"/>
      <name val="Arial"/>
      <family val="2"/>
    </font>
    <font>
      <b/>
      <u/>
      <sz val="11"/>
      <color rgb="FFFF0000"/>
      <name val="Arial"/>
      <family val="2"/>
    </font>
    <font>
      <b/>
      <sz val="11"/>
      <color rgb="FFFF0000"/>
      <name val="Arial"/>
      <family val="2"/>
    </font>
    <font>
      <b/>
      <sz val="11"/>
      <color rgb="FFFF0000"/>
      <name val="Aptos Narrow"/>
      <family val="2"/>
      <scheme val="minor"/>
    </font>
    <font>
      <u/>
      <sz val="11"/>
      <name val="Arial"/>
      <family val="2"/>
    </font>
    <font>
      <b/>
      <sz val="11"/>
      <color theme="1"/>
      <name val="Arial"/>
      <family val="2"/>
    </font>
    <font>
      <sz val="11"/>
      <color theme="1"/>
      <name val="Arial"/>
      <family val="2"/>
      <charset val="1"/>
    </font>
    <font>
      <b/>
      <sz val="10"/>
      <name val="Aptos Narrow"/>
      <family val="2"/>
      <scheme val="minor"/>
    </font>
    <font>
      <b/>
      <sz val="10"/>
      <name val="Arial"/>
      <family val="2"/>
    </font>
    <font>
      <b/>
      <sz val="10"/>
      <color theme="1"/>
      <name val="Arial"/>
      <family val="2"/>
    </font>
    <font>
      <b/>
      <sz val="8"/>
      <color theme="1"/>
      <name val="Arial"/>
      <family val="2"/>
    </font>
    <font>
      <sz val="10"/>
      <color rgb="FFFF0000"/>
      <name val="Aptos Narrow"/>
      <family val="2"/>
      <scheme val="minor"/>
    </font>
    <font>
      <sz val="11"/>
      <name val="Aptos Narrow"/>
      <family val="2"/>
      <scheme val="minor"/>
    </font>
    <font>
      <b/>
      <sz val="10"/>
      <color rgb="FF000000"/>
      <name val="Arial"/>
      <family val="2"/>
    </font>
    <font>
      <b/>
      <i/>
      <sz val="10"/>
      <color rgb="FF000000"/>
      <name val="Arial"/>
      <family val="2"/>
    </font>
    <font>
      <b/>
      <sz val="8"/>
      <color rgb="FF000000"/>
      <name val="Arial"/>
      <family val="2"/>
    </font>
  </fonts>
  <fills count="18">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2"/>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FF0000"/>
        <bgColor indexed="64"/>
      </patternFill>
    </fill>
    <fill>
      <patternFill patternType="solid">
        <fgColor rgb="FFD9D9D9"/>
        <bgColor rgb="FF000000"/>
      </patternFill>
    </fill>
    <fill>
      <patternFill patternType="solid">
        <fgColor rgb="FFCCEBFF"/>
        <bgColor rgb="FF000000"/>
      </patternFill>
    </fill>
    <fill>
      <patternFill patternType="solid">
        <fgColor rgb="FFC1D1FF"/>
        <bgColor rgb="FF000000"/>
      </patternFill>
    </fill>
    <fill>
      <patternFill patternType="solid">
        <fgColor theme="6" tint="0.59999389629810485"/>
        <bgColor indexed="64"/>
      </patternFill>
    </fill>
    <fill>
      <patternFill patternType="solid">
        <fgColor theme="4" tint="0.39997558519241921"/>
        <bgColor indexed="64"/>
      </patternFill>
    </fill>
    <fill>
      <patternFill patternType="solid">
        <fgColor theme="5"/>
        <bgColor indexed="64"/>
      </patternFill>
    </fill>
  </fills>
  <borders count="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0" fontId="9" fillId="0" borderId="0"/>
    <xf numFmtId="9" fontId="1" fillId="0" borderId="0" applyFont="0" applyFill="0" applyBorder="0" applyAlignment="0" applyProtection="0"/>
    <xf numFmtId="44" fontId="1" fillId="0" borderId="0" applyFont="0" applyFill="0" applyBorder="0" applyAlignment="0" applyProtection="0"/>
  </cellStyleXfs>
  <cellXfs count="173">
    <xf numFmtId="0" fontId="0" fillId="0" borderId="0" xfId="0"/>
    <xf numFmtId="0" fontId="3" fillId="2" borderId="1" xfId="0" applyFont="1" applyFill="1" applyBorder="1" applyAlignment="1">
      <alignment horizontal="left" wrapText="1"/>
    </xf>
    <xf numFmtId="0" fontId="3" fillId="0" borderId="1" xfId="0" applyFont="1" applyBorder="1" applyAlignment="1">
      <alignment horizontal="center" wrapText="1"/>
    </xf>
    <xf numFmtId="0" fontId="3" fillId="0" borderId="1" xfId="0" applyFont="1" applyBorder="1" applyAlignment="1">
      <alignment horizontal="left" wrapText="1"/>
    </xf>
    <xf numFmtId="0" fontId="4" fillId="0" borderId="2" xfId="0" applyFont="1" applyBorder="1" applyAlignment="1">
      <alignment horizontal="left" vertical="top" wrapText="1"/>
    </xf>
    <xf numFmtId="0" fontId="4" fillId="3" borderId="2" xfId="0" applyFont="1" applyFill="1" applyBorder="1" applyAlignment="1">
      <alignment horizontal="left"/>
    </xf>
    <xf numFmtId="0" fontId="5" fillId="3" borderId="2" xfId="0" applyFont="1" applyFill="1" applyBorder="1" applyAlignment="1">
      <alignment horizontal="left"/>
    </xf>
    <xf numFmtId="0" fontId="6" fillId="0" borderId="0" xfId="0" applyFont="1" applyAlignment="1">
      <alignment horizontal="left"/>
    </xf>
    <xf numFmtId="43" fontId="6" fillId="0" borderId="2" xfId="1" applyFont="1" applyFill="1" applyBorder="1" applyAlignment="1" applyProtection="1">
      <alignment horizontal="center"/>
    </xf>
    <xf numFmtId="43" fontId="6" fillId="0" borderId="2" xfId="1" applyFont="1" applyFill="1" applyBorder="1" applyAlignment="1" applyProtection="1">
      <alignment horizontal="left"/>
    </xf>
    <xf numFmtId="0" fontId="6" fillId="0" borderId="2" xfId="0" applyFont="1" applyBorder="1" applyAlignment="1">
      <alignment horizontal="left"/>
    </xf>
    <xf numFmtId="0" fontId="4" fillId="4" borderId="2" xfId="0" applyFont="1" applyFill="1" applyBorder="1" applyAlignment="1">
      <alignment horizontal="left"/>
    </xf>
    <xf numFmtId="0" fontId="5" fillId="4" borderId="2" xfId="0" applyFont="1" applyFill="1" applyBorder="1" applyAlignment="1">
      <alignment horizontal="left"/>
    </xf>
    <xf numFmtId="0" fontId="4" fillId="5" borderId="2" xfId="0" applyFont="1" applyFill="1" applyBorder="1" applyAlignment="1">
      <alignment horizontal="left"/>
    </xf>
    <xf numFmtId="0" fontId="5" fillId="5" borderId="2" xfId="0" applyFont="1" applyFill="1" applyBorder="1" applyAlignment="1">
      <alignment horizontal="left"/>
    </xf>
    <xf numFmtId="0" fontId="6" fillId="6" borderId="2" xfId="0" applyFont="1" applyFill="1" applyBorder="1" applyAlignment="1" applyProtection="1">
      <alignment horizontal="left"/>
      <protection locked="0"/>
    </xf>
    <xf numFmtId="0" fontId="6" fillId="6" borderId="2" xfId="1" applyNumberFormat="1" applyFont="1" applyFill="1" applyBorder="1" applyAlignment="1" applyProtection="1">
      <alignment horizontal="center"/>
      <protection locked="0"/>
    </xf>
    <xf numFmtId="43" fontId="6" fillId="6" borderId="2" xfId="1" applyFont="1" applyFill="1" applyBorder="1" applyAlignment="1" applyProtection="1">
      <alignment horizontal="center"/>
      <protection locked="0"/>
    </xf>
    <xf numFmtId="43" fontId="6" fillId="6" borderId="2" xfId="1" applyFont="1" applyFill="1" applyBorder="1" applyAlignment="1" applyProtection="1">
      <alignment horizontal="left"/>
      <protection locked="0"/>
    </xf>
    <xf numFmtId="0" fontId="6" fillId="6" borderId="2" xfId="0" applyFont="1" applyFill="1" applyBorder="1" applyAlignment="1" applyProtection="1">
      <alignment horizontal="center"/>
      <protection locked="0"/>
    </xf>
    <xf numFmtId="0" fontId="7" fillId="0" borderId="3" xfId="0" applyFont="1" applyBorder="1" applyAlignment="1">
      <alignment horizontal="left"/>
    </xf>
    <xf numFmtId="0" fontId="0" fillId="0" borderId="0" xfId="0" applyAlignment="1">
      <alignment horizontal="left"/>
    </xf>
    <xf numFmtId="0" fontId="7" fillId="0" borderId="0" xfId="0" applyFont="1" applyAlignment="1">
      <alignment horizontal="left"/>
    </xf>
    <xf numFmtId="0" fontId="7" fillId="6" borderId="0" xfId="0" applyFont="1" applyFill="1" applyAlignment="1" applyProtection="1">
      <alignment horizontal="left"/>
      <protection locked="0"/>
    </xf>
    <xf numFmtId="0" fontId="8" fillId="0" borderId="0" xfId="0" applyFont="1" applyAlignment="1">
      <alignment horizontal="left"/>
    </xf>
    <xf numFmtId="0" fontId="6" fillId="6" borderId="0" xfId="0" applyFont="1" applyFill="1" applyAlignment="1" applyProtection="1">
      <alignment horizontal="left"/>
      <protection locked="0"/>
    </xf>
    <xf numFmtId="43" fontId="6" fillId="6" borderId="2" xfId="1" quotePrefix="1" applyFont="1" applyFill="1" applyBorder="1" applyAlignment="1" applyProtection="1">
      <alignment horizontal="center"/>
      <protection locked="0"/>
    </xf>
    <xf numFmtId="0" fontId="6" fillId="0" borderId="4" xfId="0" applyFont="1" applyBorder="1" applyAlignment="1">
      <alignment horizontal="left"/>
    </xf>
    <xf numFmtId="0" fontId="6" fillId="0" borderId="3" xfId="0" applyFont="1" applyBorder="1" applyAlignment="1">
      <alignment horizontal="left"/>
    </xf>
    <xf numFmtId="0" fontId="10" fillId="0" borderId="0" xfId="2" applyFont="1" applyAlignment="1">
      <alignment vertical="top"/>
    </xf>
    <xf numFmtId="0" fontId="11" fillId="0" borderId="0" xfId="2" applyFont="1"/>
    <xf numFmtId="0" fontId="12" fillId="0" borderId="0" xfId="2" applyFont="1"/>
    <xf numFmtId="0" fontId="4" fillId="4" borderId="2" xfId="0" applyFont="1" applyFill="1" applyBorder="1" applyAlignment="1">
      <alignment horizontal="center"/>
    </xf>
    <xf numFmtId="0" fontId="5" fillId="6" borderId="2" xfId="0" applyFont="1" applyFill="1" applyBorder="1" applyAlignment="1" applyProtection="1">
      <alignment horizontal="left"/>
      <protection locked="0"/>
    </xf>
    <xf numFmtId="0" fontId="2" fillId="0" borderId="0" xfId="0" applyFont="1"/>
    <xf numFmtId="0" fontId="15" fillId="0" borderId="0" xfId="0" applyFont="1"/>
    <xf numFmtId="0" fontId="11" fillId="0" borderId="0" xfId="2" applyFont="1" applyAlignment="1">
      <alignment vertical="top"/>
    </xf>
    <xf numFmtId="164" fontId="0" fillId="0" borderId="0" xfId="2" applyNumberFormat="1" applyFont="1" applyAlignment="1">
      <alignment vertical="center"/>
    </xf>
    <xf numFmtId="164" fontId="12" fillId="0" borderId="0" xfId="2" applyNumberFormat="1" applyFont="1" applyAlignment="1">
      <alignment vertical="center"/>
    </xf>
    <xf numFmtId="0" fontId="11" fillId="6" borderId="0" xfId="2" applyFont="1" applyFill="1"/>
    <xf numFmtId="164" fontId="17" fillId="0" borderId="0" xfId="2" applyNumberFormat="1" applyFont="1" applyAlignment="1">
      <alignment vertical="center"/>
    </xf>
    <xf numFmtId="0" fontId="10" fillId="0" borderId="0" xfId="2" applyFont="1"/>
    <xf numFmtId="0" fontId="6"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3" fillId="2"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3" borderId="2" xfId="0" applyFont="1" applyFill="1" applyBorder="1" applyAlignment="1">
      <alignment vertical="center"/>
    </xf>
    <xf numFmtId="0" fontId="5" fillId="3" borderId="2" xfId="0" applyFont="1" applyFill="1" applyBorder="1" applyAlignment="1">
      <alignment vertical="center"/>
    </xf>
    <xf numFmtId="0" fontId="5" fillId="3" borderId="2" xfId="0" applyFont="1" applyFill="1" applyBorder="1" applyAlignment="1">
      <alignment horizontal="left" vertical="center"/>
    </xf>
    <xf numFmtId="0" fontId="6" fillId="0" borderId="2" xfId="0" applyFont="1" applyBorder="1" applyAlignment="1">
      <alignment vertical="center"/>
    </xf>
    <xf numFmtId="0" fontId="6" fillId="0" borderId="2" xfId="0" applyFont="1" applyBorder="1" applyAlignment="1">
      <alignment horizontal="center" vertical="center"/>
    </xf>
    <xf numFmtId="43" fontId="6" fillId="0" borderId="2" xfId="1" applyFont="1" applyFill="1" applyBorder="1" applyAlignment="1" applyProtection="1">
      <alignment horizontal="center" vertical="center"/>
    </xf>
    <xf numFmtId="43" fontId="6" fillId="0" borderId="2" xfId="1" applyFont="1" applyFill="1" applyBorder="1" applyAlignment="1" applyProtection="1">
      <alignment horizontal="left" vertical="center"/>
    </xf>
    <xf numFmtId="0" fontId="4" fillId="4" borderId="2" xfId="0" applyFont="1" applyFill="1" applyBorder="1" applyAlignment="1">
      <alignment vertical="center"/>
    </xf>
    <xf numFmtId="0" fontId="5" fillId="4" borderId="2" xfId="0" applyFont="1" applyFill="1" applyBorder="1" applyAlignment="1">
      <alignment vertical="center"/>
    </xf>
    <xf numFmtId="0" fontId="5" fillId="4" borderId="2" xfId="0" applyFont="1" applyFill="1" applyBorder="1" applyAlignment="1">
      <alignment horizontal="left" vertical="center"/>
    </xf>
    <xf numFmtId="0" fontId="4" fillId="5" borderId="4" xfId="0" applyFont="1" applyFill="1" applyBorder="1" applyAlignment="1">
      <alignment vertical="center"/>
    </xf>
    <xf numFmtId="0" fontId="5" fillId="5" borderId="4" xfId="0" applyFont="1" applyFill="1" applyBorder="1" applyAlignment="1">
      <alignment vertical="center"/>
    </xf>
    <xf numFmtId="0" fontId="5" fillId="5" borderId="2" xfId="0" applyFont="1" applyFill="1" applyBorder="1" applyAlignment="1">
      <alignment vertical="center"/>
    </xf>
    <xf numFmtId="0" fontId="5" fillId="5" borderId="2" xfId="0" applyFont="1" applyFill="1" applyBorder="1" applyAlignment="1">
      <alignment horizontal="left" vertical="center"/>
    </xf>
    <xf numFmtId="43" fontId="6" fillId="0" borderId="5" xfId="1" applyFont="1" applyFill="1" applyBorder="1" applyAlignment="1" applyProtection="1">
      <alignment horizontal="center" vertical="center"/>
    </xf>
    <xf numFmtId="0" fontId="18" fillId="0" borderId="3" xfId="0" applyFont="1" applyBorder="1" applyAlignment="1">
      <alignment vertical="center"/>
    </xf>
    <xf numFmtId="0" fontId="0" fillId="0" borderId="3" xfId="0" applyBorder="1"/>
    <xf numFmtId="0" fontId="6" fillId="0" borderId="6" xfId="0" applyFont="1" applyBorder="1" applyAlignment="1">
      <alignment vertical="center"/>
    </xf>
    <xf numFmtId="0" fontId="6" fillId="0" borderId="6" xfId="0" applyFont="1" applyBorder="1" applyAlignment="1">
      <alignment horizontal="center" vertical="center"/>
    </xf>
    <xf numFmtId="0" fontId="6" fillId="6" borderId="2" xfId="0" applyFont="1" applyFill="1" applyBorder="1" applyAlignment="1" applyProtection="1">
      <alignment vertical="center"/>
      <protection locked="0"/>
    </xf>
    <xf numFmtId="0" fontId="6" fillId="6" borderId="2" xfId="0" applyFont="1" applyFill="1" applyBorder="1" applyAlignment="1" applyProtection="1">
      <alignment horizontal="center" vertical="center"/>
      <protection locked="0"/>
    </xf>
    <xf numFmtId="43" fontId="6" fillId="6" borderId="2" xfId="1" applyFont="1" applyFill="1" applyBorder="1" applyAlignment="1" applyProtection="1">
      <alignment horizontal="center" vertical="center"/>
      <protection locked="0"/>
    </xf>
    <xf numFmtId="43" fontId="6" fillId="6" borderId="2" xfId="1" applyFont="1" applyFill="1" applyBorder="1" applyAlignment="1" applyProtection="1">
      <alignment horizontal="left" vertical="center"/>
      <protection locked="0"/>
    </xf>
    <xf numFmtId="0" fontId="4" fillId="6" borderId="2" xfId="0" applyFont="1" applyFill="1" applyBorder="1" applyAlignment="1" applyProtection="1">
      <alignment vertical="center"/>
      <protection locked="0"/>
    </xf>
    <xf numFmtId="0" fontId="4" fillId="5" borderId="2" xfId="0" applyFont="1" applyFill="1" applyBorder="1" applyAlignment="1">
      <alignment vertical="center"/>
    </xf>
    <xf numFmtId="0" fontId="4" fillId="0" borderId="2" xfId="0" applyFont="1" applyBorder="1" applyAlignment="1">
      <alignment vertical="center"/>
    </xf>
    <xf numFmtId="0" fontId="6" fillId="6" borderId="0" xfId="0" applyFont="1" applyFill="1" applyAlignment="1" applyProtection="1">
      <alignment vertical="center"/>
      <protection locked="0"/>
    </xf>
    <xf numFmtId="0" fontId="5" fillId="6" borderId="2" xfId="0" applyFont="1" applyFill="1" applyBorder="1" applyAlignment="1" applyProtection="1">
      <alignment horizontal="left" vertical="center"/>
      <protection locked="0"/>
    </xf>
    <xf numFmtId="0" fontId="4" fillId="7" borderId="2" xfId="0" applyFont="1" applyFill="1" applyBorder="1" applyAlignment="1">
      <alignment vertical="center"/>
    </xf>
    <xf numFmtId="0" fontId="5" fillId="7" borderId="2" xfId="0" applyFont="1" applyFill="1" applyBorder="1" applyAlignment="1">
      <alignment vertical="center"/>
    </xf>
    <xf numFmtId="0" fontId="5" fillId="7" borderId="2" xfId="0" applyFont="1" applyFill="1" applyBorder="1" applyAlignment="1">
      <alignment horizontal="left" vertical="center"/>
    </xf>
    <xf numFmtId="43" fontId="6" fillId="0" borderId="0" xfId="1" applyFont="1" applyAlignment="1" applyProtection="1">
      <alignment horizontal="center" vertical="center"/>
    </xf>
    <xf numFmtId="43" fontId="6" fillId="0" borderId="0" xfId="1" applyFont="1" applyAlignment="1" applyProtection="1">
      <alignment horizontal="left" vertical="center"/>
    </xf>
    <xf numFmtId="0" fontId="19" fillId="5" borderId="2" xfId="0" applyFont="1" applyFill="1" applyBorder="1" applyAlignment="1">
      <alignment horizontal="left" vertical="center"/>
    </xf>
    <xf numFmtId="0" fontId="4" fillId="5" borderId="0" xfId="0" applyFont="1" applyFill="1" applyAlignment="1">
      <alignment horizontal="center" vertical="center"/>
    </xf>
    <xf numFmtId="0" fontId="4" fillId="0" borderId="0" xfId="0" applyFont="1" applyAlignment="1">
      <alignment vertical="center"/>
    </xf>
    <xf numFmtId="43" fontId="6" fillId="0" borderId="0" xfId="1" applyFont="1" applyFill="1" applyBorder="1" applyAlignment="1" applyProtection="1">
      <alignment horizontal="center" vertical="center"/>
    </xf>
    <xf numFmtId="0" fontId="20" fillId="5" borderId="2" xfId="0" applyFont="1" applyFill="1" applyBorder="1" applyAlignment="1">
      <alignment horizontal="left" vertical="center"/>
    </xf>
    <xf numFmtId="0" fontId="21" fillId="5" borderId="2" xfId="0" applyFont="1" applyFill="1" applyBorder="1" applyAlignment="1">
      <alignment vertical="center"/>
    </xf>
    <xf numFmtId="0" fontId="21" fillId="5" borderId="2" xfId="0" applyFont="1" applyFill="1" applyBorder="1" applyAlignment="1">
      <alignment horizontal="center" vertical="center"/>
    </xf>
    <xf numFmtId="0" fontId="22" fillId="6" borderId="2" xfId="0" applyFont="1" applyFill="1" applyBorder="1" applyAlignment="1" applyProtection="1">
      <alignment vertical="center"/>
      <protection locked="0"/>
    </xf>
    <xf numFmtId="0" fontId="20" fillId="5" borderId="2" xfId="0" applyFont="1" applyFill="1" applyBorder="1" applyAlignment="1">
      <alignment vertical="center"/>
    </xf>
    <xf numFmtId="9" fontId="21" fillId="5" borderId="2" xfId="0" applyNumberFormat="1" applyFont="1" applyFill="1" applyBorder="1" applyAlignment="1">
      <alignment horizontal="left" vertical="center"/>
    </xf>
    <xf numFmtId="0" fontId="4" fillId="5" borderId="2" xfId="0" applyFont="1" applyFill="1" applyBorder="1" applyAlignment="1">
      <alignment horizontal="center"/>
    </xf>
    <xf numFmtId="0" fontId="6" fillId="0" borderId="2" xfId="0" applyFont="1" applyBorder="1" applyAlignment="1" applyProtection="1">
      <alignment vertical="center"/>
      <protection locked="0"/>
    </xf>
    <xf numFmtId="0" fontId="6" fillId="0" borderId="2" xfId="0" applyFont="1" applyBorder="1" applyAlignment="1" applyProtection="1">
      <alignment horizontal="center" vertical="center"/>
      <protection locked="0"/>
    </xf>
    <xf numFmtId="43" fontId="6" fillId="0" borderId="2" xfId="1" applyFont="1" applyFill="1" applyBorder="1" applyAlignment="1" applyProtection="1">
      <alignment horizontal="center" vertical="center"/>
      <protection locked="0"/>
    </xf>
    <xf numFmtId="0" fontId="6" fillId="0" borderId="0" xfId="0" applyFont="1" applyAlignment="1" applyProtection="1">
      <alignment vertical="center"/>
      <protection locked="0"/>
    </xf>
    <xf numFmtId="0" fontId="6" fillId="0" borderId="0" xfId="0" applyFont="1" applyAlignment="1" applyProtection="1">
      <alignment horizontal="center" vertical="center"/>
      <protection locked="0"/>
    </xf>
    <xf numFmtId="0" fontId="6" fillId="0" borderId="4" xfId="0" applyFont="1" applyBorder="1" applyAlignment="1" applyProtection="1">
      <alignment horizontal="center" vertical="center"/>
      <protection locked="0"/>
    </xf>
    <xf numFmtId="43" fontId="6" fillId="0" borderId="4" xfId="1" applyFont="1" applyFill="1" applyBorder="1" applyAlignment="1" applyProtection="1">
      <alignment horizontal="center" vertical="center"/>
      <protection locked="0"/>
    </xf>
    <xf numFmtId="0" fontId="6" fillId="0" borderId="3" xfId="0" applyFont="1" applyBorder="1" applyAlignment="1" applyProtection="1">
      <alignment horizontal="center" vertical="center"/>
      <protection locked="0"/>
    </xf>
    <xf numFmtId="43" fontId="6" fillId="0" borderId="5" xfId="1" applyFont="1" applyFill="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43" fontId="6" fillId="0" borderId="6" xfId="1" applyFont="1" applyFill="1" applyBorder="1" applyAlignment="1" applyProtection="1">
      <alignment horizontal="center" vertical="center"/>
      <protection locked="0"/>
    </xf>
    <xf numFmtId="43" fontId="6" fillId="0" borderId="2" xfId="1" applyFont="1" applyFill="1" applyBorder="1" applyAlignment="1" applyProtection="1">
      <alignment horizontal="left" vertical="center"/>
      <protection locked="0"/>
    </xf>
    <xf numFmtId="0" fontId="6" fillId="0" borderId="0" xfId="0" applyFont="1" applyAlignment="1" applyProtection="1">
      <alignment horizontal="left"/>
      <protection locked="0"/>
    </xf>
    <xf numFmtId="0" fontId="6" fillId="0" borderId="0" xfId="0" applyFont="1" applyAlignment="1" applyProtection="1">
      <alignment horizontal="center"/>
      <protection locked="0"/>
    </xf>
    <xf numFmtId="43" fontId="6" fillId="0" borderId="0" xfId="1" applyFont="1" applyFill="1" applyBorder="1" applyAlignment="1" applyProtection="1">
      <alignment horizontal="center"/>
      <protection locked="0"/>
    </xf>
    <xf numFmtId="43" fontId="6" fillId="0" borderId="0" xfId="1" applyFont="1" applyFill="1" applyBorder="1" applyAlignment="1" applyProtection="1">
      <alignment horizontal="left"/>
      <protection locked="0"/>
    </xf>
    <xf numFmtId="0" fontId="6" fillId="6" borderId="2" xfId="0" applyFont="1" applyFill="1" applyBorder="1" applyAlignment="1">
      <alignment horizontal="left"/>
    </xf>
    <xf numFmtId="43" fontId="6" fillId="6" borderId="2" xfId="1" applyFont="1" applyFill="1" applyBorder="1" applyAlignment="1">
      <alignment horizontal="center"/>
    </xf>
    <xf numFmtId="0" fontId="6" fillId="0" borderId="6" xfId="0" applyFont="1" applyBorder="1" applyAlignment="1" applyProtection="1">
      <alignment vertical="center"/>
      <protection locked="0"/>
    </xf>
    <xf numFmtId="0" fontId="6" fillId="0" borderId="3" xfId="0" applyFont="1" applyBorder="1" applyAlignment="1" applyProtection="1">
      <alignment vertical="center"/>
      <protection locked="0"/>
    </xf>
    <xf numFmtId="0" fontId="6" fillId="0" borderId="4" xfId="0" applyFont="1" applyBorder="1" applyAlignment="1" applyProtection="1">
      <alignment vertical="center"/>
      <protection locked="0"/>
    </xf>
    <xf numFmtId="9" fontId="0" fillId="0" borderId="0" xfId="3" applyFont="1"/>
    <xf numFmtId="8" fontId="2" fillId="0" borderId="0" xfId="0" applyNumberFormat="1" applyFont="1"/>
    <xf numFmtId="43" fontId="23" fillId="6" borderId="2" xfId="1" applyFont="1" applyFill="1" applyBorder="1" applyAlignment="1" applyProtection="1">
      <alignment horizontal="left" vertical="center"/>
      <protection locked="0"/>
    </xf>
    <xf numFmtId="0" fontId="2" fillId="0" borderId="0" xfId="0" applyFont="1" applyAlignment="1">
      <alignment horizontal="right"/>
    </xf>
    <xf numFmtId="0" fontId="4" fillId="0" borderId="7" xfId="0" applyFont="1" applyBorder="1" applyAlignment="1">
      <alignment vertical="center"/>
    </xf>
    <xf numFmtId="0" fontId="4" fillId="8" borderId="2" xfId="0" applyFont="1" applyFill="1" applyBorder="1" applyAlignment="1">
      <alignment horizontal="left"/>
    </xf>
    <xf numFmtId="0" fontId="4" fillId="8" borderId="2" xfId="0" applyFont="1" applyFill="1" applyBorder="1" applyAlignment="1">
      <alignment horizontal="center"/>
    </xf>
    <xf numFmtId="0" fontId="4" fillId="8" borderId="2" xfId="0" applyFont="1" applyFill="1" applyBorder="1" applyAlignment="1">
      <alignment vertical="center"/>
    </xf>
    <xf numFmtId="44" fontId="0" fillId="0" borderId="0" xfId="4" applyFont="1"/>
    <xf numFmtId="44" fontId="0" fillId="3" borderId="0" xfId="4" applyFont="1" applyFill="1"/>
    <xf numFmtId="0" fontId="0" fillId="9" borderId="0" xfId="0" applyFill="1"/>
    <xf numFmtId="9" fontId="0" fillId="9" borderId="0" xfId="3" applyFont="1" applyFill="1"/>
    <xf numFmtId="44" fontId="0" fillId="10" borderId="0" xfId="4" applyFont="1" applyFill="1"/>
    <xf numFmtId="44" fontId="0" fillId="0" borderId="0" xfId="4" applyFont="1" applyFill="1"/>
    <xf numFmtId="44" fontId="24" fillId="3" borderId="0" xfId="4" applyFont="1" applyFill="1"/>
    <xf numFmtId="44" fontId="0" fillId="2" borderId="0" xfId="4" applyFont="1" applyFill="1"/>
    <xf numFmtId="0" fontId="2" fillId="2" borderId="0" xfId="0" applyFont="1" applyFill="1"/>
    <xf numFmtId="0" fontId="15" fillId="2" borderId="0" xfId="0" applyFont="1" applyFill="1"/>
    <xf numFmtId="0" fontId="6" fillId="0" borderId="2" xfId="0" applyFont="1" applyBorder="1" applyAlignment="1">
      <alignment horizontal="center"/>
    </xf>
    <xf numFmtId="0" fontId="6" fillId="0" borderId="5" xfId="0" applyFont="1" applyBorder="1" applyAlignment="1">
      <alignment horizontal="center"/>
    </xf>
    <xf numFmtId="0" fontId="6" fillId="6" borderId="2" xfId="0" applyFont="1" applyFill="1" applyBorder="1" applyAlignment="1">
      <alignment horizontal="center"/>
    </xf>
    <xf numFmtId="0" fontId="4" fillId="0" borderId="2" xfId="0" applyFont="1" applyBorder="1" applyAlignment="1">
      <alignment horizontal="center" vertical="top" wrapText="1"/>
    </xf>
    <xf numFmtId="0" fontId="5" fillId="3" borderId="2" xfId="0" applyFont="1" applyFill="1" applyBorder="1" applyAlignment="1">
      <alignment horizontal="center"/>
    </xf>
    <xf numFmtId="0" fontId="6" fillId="0" borderId="0" xfId="0" applyFont="1" applyAlignment="1">
      <alignment horizontal="center"/>
    </xf>
    <xf numFmtId="0" fontId="5" fillId="4" borderId="2" xfId="0" applyFont="1" applyFill="1" applyBorder="1" applyAlignment="1">
      <alignment horizontal="center"/>
    </xf>
    <xf numFmtId="0" fontId="5" fillId="5" borderId="2" xfId="0" applyFont="1" applyFill="1" applyBorder="1" applyAlignment="1">
      <alignment horizontal="center"/>
    </xf>
    <xf numFmtId="0" fontId="0" fillId="0" borderId="0" xfId="0" applyAlignment="1">
      <alignment horizontal="center"/>
    </xf>
    <xf numFmtId="0" fontId="0" fillId="11" borderId="0" xfId="0" applyFill="1"/>
    <xf numFmtId="0" fontId="0" fillId="10" borderId="0" xfId="0" applyFill="1"/>
    <xf numFmtId="44" fontId="0" fillId="0" borderId="0" xfId="0" applyNumberFormat="1"/>
    <xf numFmtId="44" fontId="0" fillId="2" borderId="0" xfId="0" applyNumberFormat="1" applyFill="1"/>
    <xf numFmtId="0" fontId="25" fillId="13" borderId="2" xfId="0" applyFont="1" applyFill="1" applyBorder="1"/>
    <xf numFmtId="0" fontId="25" fillId="14" borderId="2" xfId="0" applyFont="1" applyFill="1" applyBorder="1"/>
    <xf numFmtId="0" fontId="25" fillId="14" borderId="6" xfId="0" applyFont="1" applyFill="1" applyBorder="1"/>
    <xf numFmtId="8" fontId="0" fillId="0" borderId="0" xfId="0" applyNumberFormat="1"/>
    <xf numFmtId="0" fontId="26" fillId="13" borderId="2" xfId="0" applyFont="1" applyFill="1" applyBorder="1"/>
    <xf numFmtId="0" fontId="25" fillId="13" borderId="5" xfId="0" applyFont="1" applyFill="1" applyBorder="1"/>
    <xf numFmtId="0" fontId="27" fillId="13" borderId="5" xfId="0" applyFont="1" applyFill="1" applyBorder="1"/>
    <xf numFmtId="8" fontId="25" fillId="13" borderId="5" xfId="0" applyNumberFormat="1" applyFont="1" applyFill="1" applyBorder="1"/>
    <xf numFmtId="0" fontId="25" fillId="14" borderId="5" xfId="0" applyFont="1" applyFill="1" applyBorder="1"/>
    <xf numFmtId="0" fontId="27" fillId="14" borderId="5" xfId="0" applyFont="1" applyFill="1" applyBorder="1"/>
    <xf numFmtId="8" fontId="25" fillId="14" borderId="5" xfId="0" applyNumberFormat="1" applyFont="1" applyFill="1" applyBorder="1"/>
    <xf numFmtId="9" fontId="25" fillId="13" borderId="5" xfId="0" applyNumberFormat="1" applyFont="1" applyFill="1" applyBorder="1"/>
    <xf numFmtId="9" fontId="25" fillId="14" borderId="5" xfId="0" applyNumberFormat="1" applyFont="1" applyFill="1" applyBorder="1"/>
    <xf numFmtId="0" fontId="25" fillId="14" borderId="8" xfId="0" applyFont="1" applyFill="1" applyBorder="1"/>
    <xf numFmtId="9" fontId="25" fillId="14" borderId="8" xfId="0" applyNumberFormat="1" applyFont="1" applyFill="1" applyBorder="1"/>
    <xf numFmtId="0" fontId="25" fillId="13" borderId="8" xfId="0" applyFont="1" applyFill="1" applyBorder="1"/>
    <xf numFmtId="0" fontId="27" fillId="14" borderId="8" xfId="0" applyFont="1" applyFill="1" applyBorder="1"/>
    <xf numFmtId="8" fontId="25" fillId="14" borderId="8" xfId="0" applyNumberFormat="1" applyFont="1" applyFill="1" applyBorder="1"/>
    <xf numFmtId="0" fontId="27" fillId="13" borderId="8" xfId="0" applyFont="1" applyFill="1" applyBorder="1"/>
    <xf numFmtId="0" fontId="25" fillId="0" borderId="2" xfId="0" applyFont="1" applyBorder="1" applyAlignment="1">
      <alignment wrapText="1"/>
    </xf>
    <xf numFmtId="0" fontId="25" fillId="0" borderId="5" xfId="0" applyFont="1" applyBorder="1" applyAlignment="1">
      <alignment wrapText="1"/>
    </xf>
    <xf numFmtId="0" fontId="25" fillId="0" borderId="7" xfId="0" applyFont="1" applyBorder="1" applyAlignment="1">
      <alignment wrapText="1"/>
    </xf>
    <xf numFmtId="0" fontId="26" fillId="13" borderId="6" xfId="0" applyFont="1" applyFill="1" applyBorder="1"/>
    <xf numFmtId="0" fontId="25" fillId="12" borderId="2" xfId="0" applyFont="1" applyFill="1" applyBorder="1"/>
    <xf numFmtId="9" fontId="0" fillId="0" borderId="0" xfId="0" applyNumberFormat="1"/>
    <xf numFmtId="10" fontId="0" fillId="0" borderId="0" xfId="0" applyNumberFormat="1"/>
    <xf numFmtId="0" fontId="0" fillId="15" borderId="0" xfId="0" applyFill="1"/>
    <xf numFmtId="0" fontId="0" fillId="16" borderId="0" xfId="0" applyFill="1"/>
    <xf numFmtId="0" fontId="0" fillId="17" borderId="0" xfId="0" applyFill="1"/>
  </cellXfs>
  <cellStyles count="5">
    <cellStyle name="Comma" xfId="1" builtinId="3"/>
    <cellStyle name="Currency" xfId="4" builtinId="4"/>
    <cellStyle name="Normal" xfId="0" builtinId="0"/>
    <cellStyle name="Normal 2" xfId="2" xr:uid="{6DC56921-D6EA-47A3-B1C3-91544455CCD7}"/>
    <cellStyle name="Percent" xfId="3" builtinId="5"/>
  </cellStyles>
  <dxfs count="2">
    <dxf>
      <fill>
        <patternFill patternType="solid">
          <fgColor rgb="FFCCEBFF"/>
          <bgColor rgb="FFFFFFFF"/>
        </patternFill>
      </fill>
    </dxf>
    <dxf>
      <fill>
        <patternFill patternType="solid">
          <fgColor rgb="FFCCEBFF"/>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63</xdr:row>
      <xdr:rowOff>0</xdr:rowOff>
    </xdr:from>
    <xdr:to>
      <xdr:col>16</xdr:col>
      <xdr:colOff>571500</xdr:colOff>
      <xdr:row>79</xdr:row>
      <xdr:rowOff>145930</xdr:rowOff>
    </xdr:to>
    <xdr:pic>
      <xdr:nvPicPr>
        <xdr:cNvPr id="2" name="Picture 1">
          <a:extLst>
            <a:ext uri="{FF2B5EF4-FFF2-40B4-BE49-F238E27FC236}">
              <a16:creationId xmlns:a16="http://schemas.microsoft.com/office/drawing/2014/main" id="{2CC1DE46-1F2D-C344-3C03-52D8917990BA}"/>
            </a:ext>
          </a:extLst>
        </xdr:cNvPr>
        <xdr:cNvPicPr>
          <a:picLocks noChangeAspect="1"/>
        </xdr:cNvPicPr>
      </xdr:nvPicPr>
      <xdr:blipFill>
        <a:blip xmlns:r="http://schemas.openxmlformats.org/officeDocument/2006/relationships" r:embed="rId1"/>
        <a:stretch>
          <a:fillRect/>
        </a:stretch>
      </xdr:blipFill>
      <xdr:spPr>
        <a:xfrm>
          <a:off x="0" y="11401425"/>
          <a:ext cx="17364075" cy="30415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41F17-1E29-43E4-BE46-8E31BDF99A25}">
  <dimension ref="A1:B83"/>
  <sheetViews>
    <sheetView topLeftCell="A55" workbookViewId="0">
      <selection activeCell="A88" sqref="A88"/>
    </sheetView>
  </sheetViews>
  <sheetFormatPr defaultRowHeight="14.4"/>
  <cols>
    <col min="1" max="1" width="111.5546875" customWidth="1"/>
  </cols>
  <sheetData>
    <row r="1" spans="1:2">
      <c r="A1" s="31" t="s">
        <v>0</v>
      </c>
    </row>
    <row r="2" spans="1:2">
      <c r="A2" s="36" t="s">
        <v>1</v>
      </c>
    </row>
    <row r="3" spans="1:2">
      <c r="A3" s="29" t="s">
        <v>2</v>
      </c>
      <c r="B3" s="30"/>
    </row>
    <row r="4" spans="1:2">
      <c r="A4" s="29" t="s">
        <v>3</v>
      </c>
      <c r="B4" s="30"/>
    </row>
    <row r="5" spans="1:2">
      <c r="A5" s="29" t="s">
        <v>4</v>
      </c>
      <c r="B5" s="30"/>
    </row>
    <row r="6" spans="1:2">
      <c r="A6" s="29" t="s">
        <v>5</v>
      </c>
      <c r="B6" s="30"/>
    </row>
    <row r="7" spans="1:2">
      <c r="A7" s="29" t="s">
        <v>6</v>
      </c>
      <c r="B7" s="30"/>
    </row>
    <row r="8" spans="1:2">
      <c r="A8" s="29" t="s">
        <v>7</v>
      </c>
      <c r="B8" s="30"/>
    </row>
    <row r="9" spans="1:2">
      <c r="A9" s="29" t="s">
        <v>8</v>
      </c>
      <c r="B9" s="30"/>
    </row>
    <row r="10" spans="1:2">
      <c r="A10" s="29" t="s">
        <v>9</v>
      </c>
      <c r="B10" s="30"/>
    </row>
    <row r="12" spans="1:2">
      <c r="A12" s="30" t="s">
        <v>10</v>
      </c>
    </row>
    <row r="13" spans="1:2">
      <c r="A13" s="37" t="s">
        <v>11</v>
      </c>
    </row>
    <row r="14" spans="1:2">
      <c r="A14" s="37" t="s">
        <v>12</v>
      </c>
    </row>
    <row r="15" spans="1:2">
      <c r="A15" s="30" t="s">
        <v>13</v>
      </c>
    </row>
    <row r="16" spans="1:2">
      <c r="A16" s="30" t="s">
        <v>14</v>
      </c>
    </row>
    <row r="17" spans="1:1">
      <c r="A17" s="30" t="s">
        <v>15</v>
      </c>
    </row>
    <row r="18" spans="1:1">
      <c r="A18" s="30" t="s">
        <v>16</v>
      </c>
    </row>
    <row r="19" spans="1:1">
      <c r="A19" s="30" t="s">
        <v>17</v>
      </c>
    </row>
    <row r="20" spans="1:1">
      <c r="A20" s="30" t="s">
        <v>18</v>
      </c>
    </row>
    <row r="21" spans="1:1">
      <c r="A21" s="30" t="s">
        <v>19</v>
      </c>
    </row>
    <row r="22" spans="1:1">
      <c r="A22" s="30" t="s">
        <v>20</v>
      </c>
    </row>
    <row r="23" spans="1:1">
      <c r="A23" s="30" t="s">
        <v>21</v>
      </c>
    </row>
    <row r="24" spans="1:1">
      <c r="A24" s="38"/>
    </row>
    <row r="25" spans="1:1">
      <c r="A25" s="39" t="s">
        <v>22</v>
      </c>
    </row>
    <row r="26" spans="1:1">
      <c r="A26" s="30" t="s">
        <v>23</v>
      </c>
    </row>
    <row r="27" spans="1:1">
      <c r="A27" s="30"/>
    </row>
    <row r="28" spans="1:1">
      <c r="A28" s="29" t="s">
        <v>24</v>
      </c>
    </row>
    <row r="29" spans="1:1">
      <c r="A29" s="40" t="s">
        <v>25</v>
      </c>
    </row>
    <row r="30" spans="1:1">
      <c r="A30" s="40" t="s">
        <v>26</v>
      </c>
    </row>
    <row r="31" spans="1:1">
      <c r="A31" s="30"/>
    </row>
    <row r="32" spans="1:1">
      <c r="A32" s="41" t="s">
        <v>27</v>
      </c>
    </row>
    <row r="33" spans="1:1">
      <c r="A33" s="30" t="s">
        <v>28</v>
      </c>
    </row>
    <row r="34" spans="1:1">
      <c r="A34" s="30" t="s">
        <v>29</v>
      </c>
    </row>
    <row r="35" spans="1:1">
      <c r="A35" s="30" t="s">
        <v>30</v>
      </c>
    </row>
    <row r="36" spans="1:1">
      <c r="A36" s="30" t="s">
        <v>31</v>
      </c>
    </row>
    <row r="37" spans="1:1">
      <c r="A37" s="30" t="s">
        <v>32</v>
      </c>
    </row>
    <row r="38" spans="1:1">
      <c r="A38" s="30" t="s">
        <v>33</v>
      </c>
    </row>
    <row r="39" spans="1:1">
      <c r="A39" s="30" t="s">
        <v>34</v>
      </c>
    </row>
    <row r="40" spans="1:1">
      <c r="A40" s="30" t="s">
        <v>35</v>
      </c>
    </row>
    <row r="41" spans="1:1">
      <c r="A41" s="30" t="s">
        <v>36</v>
      </c>
    </row>
    <row r="42" spans="1:1">
      <c r="A42" s="30" t="s">
        <v>37</v>
      </c>
    </row>
    <row r="43" spans="1:1">
      <c r="A43" s="30" t="s">
        <v>38</v>
      </c>
    </row>
    <row r="44" spans="1:1">
      <c r="A44" s="30" t="s">
        <v>39</v>
      </c>
    </row>
    <row r="45" spans="1:1">
      <c r="A45" s="30" t="s">
        <v>40</v>
      </c>
    </row>
    <row r="46" spans="1:1">
      <c r="A46" s="30" t="s">
        <v>41</v>
      </c>
    </row>
    <row r="47" spans="1:1">
      <c r="A47" s="30" t="s">
        <v>42</v>
      </c>
    </row>
    <row r="48" spans="1:1">
      <c r="A48" s="30" t="s">
        <v>43</v>
      </c>
    </row>
    <row r="49" spans="1:1">
      <c r="A49" s="30" t="s">
        <v>44</v>
      </c>
    </row>
    <row r="50" spans="1:1">
      <c r="A50" s="30" t="s">
        <v>45</v>
      </c>
    </row>
    <row r="51" spans="1:1">
      <c r="A51" s="30" t="s">
        <v>46</v>
      </c>
    </row>
    <row r="52" spans="1:1">
      <c r="A52" s="30" t="s">
        <v>47</v>
      </c>
    </row>
    <row r="53" spans="1:1">
      <c r="A53" s="30" t="s">
        <v>48</v>
      </c>
    </row>
    <row r="54" spans="1:1">
      <c r="A54" s="30"/>
    </row>
    <row r="55" spans="1:1">
      <c r="A55" s="30"/>
    </row>
    <row r="56" spans="1:1">
      <c r="A56" s="41" t="s">
        <v>49</v>
      </c>
    </row>
    <row r="57" spans="1:1">
      <c r="A57" s="30" t="s">
        <v>50</v>
      </c>
    </row>
    <row r="58" spans="1:1">
      <c r="A58" s="30" t="s">
        <v>51</v>
      </c>
    </row>
    <row r="59" spans="1:1">
      <c r="A59" s="30"/>
    </row>
    <row r="60" spans="1:1">
      <c r="A60" s="41" t="s">
        <v>52</v>
      </c>
    </row>
    <row r="61" spans="1:1">
      <c r="A61" s="30" t="s">
        <v>53</v>
      </c>
    </row>
    <row r="62" spans="1:1">
      <c r="A62" s="30"/>
    </row>
    <row r="63" spans="1:1">
      <c r="A63" s="31" t="s">
        <v>54</v>
      </c>
    </row>
    <row r="64" spans="1:1">
      <c r="A64" s="30"/>
    </row>
    <row r="65" spans="1:1">
      <c r="A65" s="30"/>
    </row>
    <row r="66" spans="1:1">
      <c r="A66" s="30"/>
    </row>
    <row r="67" spans="1:1">
      <c r="A67" s="30"/>
    </row>
    <row r="68" spans="1:1">
      <c r="A68" s="30"/>
    </row>
    <row r="69" spans="1:1">
      <c r="A69" s="30"/>
    </row>
    <row r="70" spans="1:1">
      <c r="A70" s="30"/>
    </row>
    <row r="71" spans="1:1">
      <c r="A71" s="30"/>
    </row>
    <row r="72" spans="1:1">
      <c r="A72" s="30"/>
    </row>
    <row r="73" spans="1:1">
      <c r="A73" s="30"/>
    </row>
    <row r="74" spans="1:1">
      <c r="A74" s="30"/>
    </row>
    <row r="75" spans="1:1">
      <c r="A75" s="30"/>
    </row>
    <row r="76" spans="1:1">
      <c r="A76" s="30"/>
    </row>
    <row r="77" spans="1:1">
      <c r="A77" s="30"/>
    </row>
    <row r="78" spans="1:1">
      <c r="A78" s="30"/>
    </row>
    <row r="79" spans="1:1">
      <c r="A79" s="30"/>
    </row>
    <row r="80" spans="1:1">
      <c r="A80" s="30"/>
    </row>
    <row r="81" spans="1:1">
      <c r="A81" s="30" t="s">
        <v>55</v>
      </c>
    </row>
    <row r="82" spans="1:1">
      <c r="A82" s="30" t="s">
        <v>56</v>
      </c>
    </row>
    <row r="83" spans="1:1">
      <c r="A83" s="30" t="s">
        <v>57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08AE9-632C-4AB5-AF12-5297FE889294}">
  <dimension ref="A1:J567"/>
  <sheetViews>
    <sheetView topLeftCell="A276" zoomScale="130" zoomScaleNormal="130" workbookViewId="0">
      <selection activeCell="B291" sqref="B291"/>
    </sheetView>
  </sheetViews>
  <sheetFormatPr defaultRowHeight="14.4"/>
  <cols>
    <col min="2" max="2" width="45.6640625" customWidth="1"/>
    <col min="3" max="4" width="10.6640625" style="139" customWidth="1"/>
    <col min="5" max="5" width="54.44140625" customWidth="1"/>
    <col min="6" max="6" width="15.33203125" style="34" bestFit="1" customWidth="1"/>
  </cols>
  <sheetData>
    <row r="1" spans="2:5" ht="17.399999999999999">
      <c r="B1" s="1" t="s">
        <v>58</v>
      </c>
      <c r="C1" s="2"/>
      <c r="D1" s="2"/>
      <c r="E1" s="3"/>
    </row>
    <row r="2" spans="2:5">
      <c r="B2" s="4" t="s">
        <v>59</v>
      </c>
      <c r="C2" s="134" t="s">
        <v>60</v>
      </c>
      <c r="D2" s="134" t="s">
        <v>61</v>
      </c>
      <c r="E2" s="4" t="s">
        <v>62</v>
      </c>
    </row>
    <row r="3" spans="2:5">
      <c r="B3" s="5" t="s">
        <v>63</v>
      </c>
      <c r="C3" s="135"/>
      <c r="D3" s="135"/>
      <c r="E3" s="6"/>
    </row>
    <row r="4" spans="2:5">
      <c r="B4" s="7" t="s">
        <v>64</v>
      </c>
      <c r="C4" s="131">
        <v>1</v>
      </c>
      <c r="D4" s="8" t="s">
        <v>65</v>
      </c>
      <c r="E4" s="9"/>
    </row>
    <row r="5" spans="2:5">
      <c r="B5" s="10" t="s">
        <v>66</v>
      </c>
      <c r="C5" s="131">
        <v>3</v>
      </c>
      <c r="D5" s="8" t="s">
        <v>65</v>
      </c>
      <c r="E5" s="9"/>
    </row>
    <row r="6" spans="2:5">
      <c r="B6" s="10" t="s">
        <v>67</v>
      </c>
      <c r="C6" s="131">
        <v>3</v>
      </c>
      <c r="D6" s="8" t="s">
        <v>65</v>
      </c>
      <c r="E6" s="9"/>
    </row>
    <row r="7" spans="2:5">
      <c r="B7" s="10" t="s">
        <v>68</v>
      </c>
      <c r="C7" s="131">
        <v>1</v>
      </c>
      <c r="D7" s="8" t="s">
        <v>65</v>
      </c>
      <c r="E7" s="9"/>
    </row>
    <row r="8" spans="2:5">
      <c r="B8" s="10" t="s">
        <v>69</v>
      </c>
      <c r="C8" s="131">
        <v>1</v>
      </c>
      <c r="D8" s="8" t="s">
        <v>65</v>
      </c>
      <c r="E8" s="9"/>
    </row>
    <row r="9" spans="2:5">
      <c r="B9" s="10" t="s">
        <v>70</v>
      </c>
      <c r="C9" s="131">
        <v>1</v>
      </c>
      <c r="D9" s="8" t="s">
        <v>65</v>
      </c>
      <c r="E9" s="9"/>
    </row>
    <row r="10" spans="2:5">
      <c r="B10" s="10"/>
      <c r="C10" s="131"/>
      <c r="D10" s="8"/>
      <c r="E10" s="9"/>
    </row>
    <row r="11" spans="2:5">
      <c r="B11" s="10"/>
      <c r="C11" s="131"/>
      <c r="D11" s="8"/>
      <c r="E11" s="9"/>
    </row>
    <row r="12" spans="2:5">
      <c r="B12" s="10"/>
      <c r="C12" s="131"/>
      <c r="D12" s="8"/>
      <c r="E12" s="9"/>
    </row>
    <row r="13" spans="2:5">
      <c r="B13" s="7"/>
      <c r="C13" s="136"/>
      <c r="D13" s="136"/>
      <c r="E13" s="7"/>
    </row>
    <row r="14" spans="2:5">
      <c r="B14" s="11" t="s">
        <v>71</v>
      </c>
      <c r="C14" s="137"/>
      <c r="D14" s="137"/>
      <c r="E14" s="12"/>
    </row>
    <row r="15" spans="2:5">
      <c r="B15" s="7" t="s">
        <v>64</v>
      </c>
      <c r="C15" s="131">
        <v>1</v>
      </c>
      <c r="D15" s="8" t="s">
        <v>65</v>
      </c>
      <c r="E15" s="9"/>
    </row>
    <row r="16" spans="2:5">
      <c r="B16" s="10" t="s">
        <v>66</v>
      </c>
      <c r="C16" s="131">
        <v>3</v>
      </c>
      <c r="D16" s="8" t="s">
        <v>65</v>
      </c>
      <c r="E16" s="9"/>
    </row>
    <row r="17" spans="2:5">
      <c r="B17" s="10" t="s">
        <v>67</v>
      </c>
      <c r="C17" s="131">
        <v>3</v>
      </c>
      <c r="D17" s="8" t="s">
        <v>65</v>
      </c>
      <c r="E17" s="9"/>
    </row>
    <row r="18" spans="2:5">
      <c r="B18" s="10" t="s">
        <v>68</v>
      </c>
      <c r="C18" s="131">
        <v>1</v>
      </c>
      <c r="D18" s="8" t="s">
        <v>65</v>
      </c>
      <c r="E18" s="9"/>
    </row>
    <row r="19" spans="2:5">
      <c r="B19" s="10" t="s">
        <v>69</v>
      </c>
      <c r="C19" s="131">
        <v>1</v>
      </c>
      <c r="D19" s="8" t="s">
        <v>65</v>
      </c>
      <c r="E19" s="9"/>
    </row>
    <row r="20" spans="2:5">
      <c r="B20" s="10" t="s">
        <v>70</v>
      </c>
      <c r="C20" s="131">
        <v>1</v>
      </c>
      <c r="D20" s="8" t="s">
        <v>65</v>
      </c>
      <c r="E20" s="9"/>
    </row>
    <row r="21" spans="2:5">
      <c r="B21" s="10"/>
      <c r="C21" s="131"/>
      <c r="D21" s="8"/>
      <c r="E21" s="9"/>
    </row>
    <row r="22" spans="2:5">
      <c r="B22" s="10"/>
      <c r="C22" s="131"/>
      <c r="D22" s="8"/>
      <c r="E22" s="9"/>
    </row>
    <row r="23" spans="2:5">
      <c r="B23" s="10"/>
      <c r="C23" s="131"/>
      <c r="D23" s="8"/>
      <c r="E23" s="9"/>
    </row>
    <row r="24" spans="2:5">
      <c r="B24" s="7"/>
      <c r="C24" s="136"/>
      <c r="D24" s="136"/>
      <c r="E24" s="7"/>
    </row>
    <row r="25" spans="2:5">
      <c r="B25" s="13" t="s">
        <v>72</v>
      </c>
      <c r="C25" s="138"/>
      <c r="D25" s="138"/>
      <c r="E25" s="14"/>
    </row>
    <row r="26" spans="2:5">
      <c r="B26" s="10" t="s">
        <v>73</v>
      </c>
      <c r="C26" s="131">
        <v>15</v>
      </c>
      <c r="D26" s="8" t="s">
        <v>74</v>
      </c>
      <c r="E26" s="9" t="s">
        <v>75</v>
      </c>
    </row>
    <row r="27" spans="2:5">
      <c r="B27" s="10"/>
      <c r="C27" s="131"/>
      <c r="D27" s="8"/>
      <c r="E27" s="9"/>
    </row>
    <row r="28" spans="2:5">
      <c r="B28" s="10"/>
      <c r="C28" s="131"/>
      <c r="D28" s="8"/>
      <c r="E28" s="9"/>
    </row>
    <row r="29" spans="2:5">
      <c r="B29" s="7"/>
      <c r="C29" s="136"/>
      <c r="D29" s="136"/>
      <c r="E29" s="7"/>
    </row>
    <row r="30" spans="2:5">
      <c r="B30" s="5" t="s">
        <v>76</v>
      </c>
      <c r="C30" s="135"/>
      <c r="D30" s="135"/>
      <c r="E30" s="6"/>
    </row>
    <row r="31" spans="2:5">
      <c r="B31" s="15" t="s">
        <v>77</v>
      </c>
      <c r="C31" s="16">
        <v>15</v>
      </c>
      <c r="D31" s="17" t="s">
        <v>74</v>
      </c>
      <c r="E31" s="18"/>
    </row>
    <row r="32" spans="2:5">
      <c r="B32" s="15" t="s">
        <v>78</v>
      </c>
      <c r="C32" s="19">
        <v>15</v>
      </c>
      <c r="D32" s="17" t="s">
        <v>74</v>
      </c>
      <c r="E32" s="18"/>
    </row>
    <row r="33" spans="2:5">
      <c r="B33" s="15" t="s">
        <v>79</v>
      </c>
      <c r="C33" s="19" t="s">
        <v>80</v>
      </c>
      <c r="D33" s="17"/>
      <c r="E33" s="18"/>
    </row>
    <row r="34" spans="2:5">
      <c r="B34" s="7"/>
      <c r="C34" s="136"/>
      <c r="D34" s="136"/>
      <c r="E34" s="7"/>
    </row>
    <row r="35" spans="2:5">
      <c r="B35" s="11" t="s">
        <v>81</v>
      </c>
      <c r="C35" s="137"/>
      <c r="D35" s="137"/>
      <c r="E35" s="12"/>
    </row>
    <row r="36" spans="2:5">
      <c r="B36" s="15" t="s">
        <v>82</v>
      </c>
      <c r="C36" s="19">
        <v>15</v>
      </c>
      <c r="D36" s="17" t="s">
        <v>74</v>
      </c>
      <c r="E36" s="18"/>
    </row>
    <row r="37" spans="2:5">
      <c r="B37" s="15" t="s">
        <v>83</v>
      </c>
      <c r="C37" s="19">
        <v>15</v>
      </c>
      <c r="D37" s="17" t="s">
        <v>74</v>
      </c>
      <c r="E37" s="18" t="s">
        <v>84</v>
      </c>
    </row>
    <row r="38" spans="2:5">
      <c r="B38" s="15" t="s">
        <v>85</v>
      </c>
      <c r="C38" s="19">
        <v>10</v>
      </c>
      <c r="D38" s="17" t="s">
        <v>74</v>
      </c>
      <c r="E38" s="18"/>
    </row>
    <row r="39" spans="2:5">
      <c r="B39" s="7"/>
      <c r="C39" s="136"/>
      <c r="D39" s="136"/>
      <c r="E39" s="7"/>
    </row>
    <row r="40" spans="2:5">
      <c r="B40" s="13" t="s">
        <v>86</v>
      </c>
      <c r="C40" s="138"/>
      <c r="D40" s="138"/>
      <c r="E40" s="14"/>
    </row>
    <row r="41" spans="2:5">
      <c r="B41" s="20" t="s">
        <v>87</v>
      </c>
      <c r="C41" s="131">
        <v>3</v>
      </c>
      <c r="D41" s="8" t="s">
        <v>88</v>
      </c>
      <c r="E41" s="9"/>
    </row>
    <row r="42" spans="2:5">
      <c r="B42" s="21" t="s">
        <v>89</v>
      </c>
      <c r="C42" s="131"/>
      <c r="D42" s="8"/>
      <c r="E42" s="9"/>
    </row>
    <row r="43" spans="2:5">
      <c r="B43" s="10"/>
      <c r="C43" s="131"/>
      <c r="D43" s="8"/>
      <c r="E43" s="9"/>
    </row>
    <row r="44" spans="2:5">
      <c r="B44" s="7"/>
      <c r="C44" s="136"/>
      <c r="D44" s="136"/>
      <c r="E44" s="7"/>
    </row>
    <row r="45" spans="2:5">
      <c r="B45" s="5" t="s">
        <v>90</v>
      </c>
      <c r="C45" s="135"/>
      <c r="D45" s="135"/>
      <c r="E45" s="6"/>
    </row>
    <row r="46" spans="2:5">
      <c r="B46" s="15" t="s">
        <v>91</v>
      </c>
      <c r="C46" s="19">
        <v>3</v>
      </c>
      <c r="D46" s="17" t="s">
        <v>74</v>
      </c>
      <c r="E46" s="18"/>
    </row>
    <row r="47" spans="2:5">
      <c r="B47" s="15"/>
      <c r="C47" s="19"/>
      <c r="D47" s="17"/>
      <c r="E47" s="18"/>
    </row>
    <row r="48" spans="2:5">
      <c r="B48" s="15"/>
      <c r="C48" s="19"/>
      <c r="D48" s="17"/>
      <c r="E48" s="18"/>
    </row>
    <row r="49" spans="2:5">
      <c r="B49" s="7"/>
      <c r="C49" s="136"/>
      <c r="D49" s="136"/>
      <c r="E49" s="7"/>
    </row>
    <row r="50" spans="2:5">
      <c r="B50" s="11" t="s">
        <v>92</v>
      </c>
      <c r="C50" s="137"/>
      <c r="D50" s="137"/>
      <c r="E50" s="12"/>
    </row>
    <row r="51" spans="2:5">
      <c r="B51" s="15" t="s">
        <v>93</v>
      </c>
      <c r="C51" s="19">
        <v>3</v>
      </c>
      <c r="D51" s="17" t="s">
        <v>74</v>
      </c>
      <c r="E51" s="18"/>
    </row>
    <row r="52" spans="2:5">
      <c r="B52" s="15"/>
      <c r="C52" s="19"/>
      <c r="D52" s="17"/>
      <c r="E52" s="18"/>
    </row>
    <row r="53" spans="2:5">
      <c r="B53" s="15"/>
      <c r="C53" s="19"/>
      <c r="D53" s="17"/>
      <c r="E53" s="18"/>
    </row>
    <row r="54" spans="2:5">
      <c r="B54" s="7"/>
      <c r="C54" s="136"/>
      <c r="D54" s="136"/>
      <c r="E54" s="7"/>
    </row>
    <row r="55" spans="2:5">
      <c r="B55" s="13" t="s">
        <v>94</v>
      </c>
      <c r="C55" s="138"/>
      <c r="D55" s="138"/>
      <c r="E55" s="14"/>
    </row>
    <row r="56" spans="2:5">
      <c r="B56" s="22" t="s">
        <v>95</v>
      </c>
      <c r="C56" s="131">
        <v>10</v>
      </c>
      <c r="D56" s="8" t="s">
        <v>74</v>
      </c>
      <c r="E56" s="22" t="s">
        <v>96</v>
      </c>
    </row>
    <row r="57" spans="2:5">
      <c r="B57" s="10"/>
      <c r="C57" s="131"/>
      <c r="D57" s="8"/>
      <c r="E57" s="9"/>
    </row>
    <row r="58" spans="2:5">
      <c r="B58" s="10"/>
      <c r="C58" s="131"/>
      <c r="D58" s="8"/>
      <c r="E58" s="9"/>
    </row>
    <row r="59" spans="2:5">
      <c r="B59" s="7"/>
      <c r="C59" s="136"/>
      <c r="D59" s="136"/>
      <c r="E59" s="7"/>
    </row>
    <row r="60" spans="2:5">
      <c r="B60" s="5" t="s">
        <v>97</v>
      </c>
      <c r="C60" s="135"/>
      <c r="D60" s="135"/>
      <c r="E60" s="6"/>
    </row>
    <row r="61" spans="2:5">
      <c r="B61" s="23" t="s">
        <v>98</v>
      </c>
      <c r="C61" s="19">
        <v>14</v>
      </c>
      <c r="D61" s="17" t="s">
        <v>74</v>
      </c>
      <c r="E61" s="23" t="s">
        <v>99</v>
      </c>
    </row>
    <row r="62" spans="2:5">
      <c r="B62" s="15"/>
      <c r="C62" s="19"/>
      <c r="D62" s="17"/>
      <c r="E62" s="18"/>
    </row>
    <row r="63" spans="2:5">
      <c r="B63" s="15"/>
      <c r="C63" s="19"/>
      <c r="D63" s="17"/>
      <c r="E63" s="18"/>
    </row>
    <row r="64" spans="2:5">
      <c r="B64" s="7"/>
      <c r="C64" s="136"/>
      <c r="D64" s="136"/>
      <c r="E64" s="7"/>
    </row>
    <row r="65" spans="2:5">
      <c r="B65" s="11" t="s">
        <v>100</v>
      </c>
      <c r="C65" s="137"/>
      <c r="D65" s="137"/>
      <c r="E65" s="12"/>
    </row>
    <row r="66" spans="2:5">
      <c r="B66" s="23" t="s">
        <v>98</v>
      </c>
      <c r="C66" s="19">
        <v>14</v>
      </c>
      <c r="D66" s="17" t="s">
        <v>74</v>
      </c>
      <c r="E66" s="23" t="s">
        <v>101</v>
      </c>
    </row>
    <row r="67" spans="2:5">
      <c r="B67" s="15"/>
      <c r="C67" s="19"/>
      <c r="D67" s="17"/>
      <c r="E67" s="18"/>
    </row>
    <row r="68" spans="2:5">
      <c r="B68" s="15"/>
      <c r="C68" s="19"/>
      <c r="D68" s="17"/>
      <c r="E68" s="18"/>
    </row>
    <row r="69" spans="2:5">
      <c r="B69" s="7"/>
      <c r="C69" s="136"/>
      <c r="D69" s="136"/>
      <c r="E69" s="7"/>
    </row>
    <row r="70" spans="2:5">
      <c r="B70" s="13" t="s">
        <v>102</v>
      </c>
      <c r="C70" s="138"/>
      <c r="D70" s="138"/>
      <c r="E70" s="14"/>
    </row>
    <row r="71" spans="2:5">
      <c r="B71" s="10" t="s">
        <v>103</v>
      </c>
      <c r="C71" s="131" t="s">
        <v>104</v>
      </c>
      <c r="D71" s="8" t="s">
        <v>74</v>
      </c>
      <c r="E71" s="9"/>
    </row>
    <row r="72" spans="2:5">
      <c r="B72" s="10" t="s">
        <v>105</v>
      </c>
      <c r="C72" s="131">
        <v>20</v>
      </c>
      <c r="D72" s="8" t="s">
        <v>74</v>
      </c>
      <c r="E72" s="9"/>
    </row>
    <row r="73" spans="2:5">
      <c r="B73" s="10" t="s">
        <v>106</v>
      </c>
      <c r="C73" s="131">
        <v>10</v>
      </c>
      <c r="D73" s="8" t="s">
        <v>74</v>
      </c>
      <c r="E73" s="9"/>
    </row>
    <row r="74" spans="2:5">
      <c r="B74" s="10" t="s">
        <v>107</v>
      </c>
      <c r="C74" s="131">
        <v>2</v>
      </c>
      <c r="D74" s="8" t="s">
        <v>74</v>
      </c>
      <c r="E74" s="9"/>
    </row>
    <row r="75" spans="2:5">
      <c r="B75" s="10" t="s">
        <v>108</v>
      </c>
      <c r="C75" s="131">
        <v>1</v>
      </c>
      <c r="D75" s="8" t="s">
        <v>109</v>
      </c>
      <c r="E75" s="9"/>
    </row>
    <row r="76" spans="2:5">
      <c r="B76" s="10" t="s">
        <v>110</v>
      </c>
      <c r="C76" s="131">
        <v>1</v>
      </c>
      <c r="D76" s="8" t="s">
        <v>74</v>
      </c>
      <c r="E76" s="9"/>
    </row>
    <row r="77" spans="2:5">
      <c r="B77" s="10"/>
      <c r="C77" s="131"/>
      <c r="D77" s="8"/>
      <c r="E77" s="9"/>
    </row>
    <row r="78" spans="2:5">
      <c r="B78" s="10"/>
      <c r="C78" s="131"/>
      <c r="D78" s="8"/>
      <c r="E78" s="9"/>
    </row>
    <row r="79" spans="2:5">
      <c r="B79" s="10"/>
      <c r="C79" s="131"/>
      <c r="D79" s="8"/>
      <c r="E79" s="9"/>
    </row>
    <row r="80" spans="2:5">
      <c r="B80" s="7"/>
      <c r="C80" s="136"/>
      <c r="D80" s="136"/>
      <c r="E80" s="7"/>
    </row>
    <row r="81" spans="1:10">
      <c r="A81" s="34"/>
      <c r="B81" s="5" t="s">
        <v>111</v>
      </c>
      <c r="C81" s="135"/>
      <c r="D81" s="135"/>
      <c r="E81" s="6"/>
    </row>
    <row r="82" spans="1:10">
      <c r="B82" s="15" t="s">
        <v>112</v>
      </c>
      <c r="C82" s="19">
        <v>12</v>
      </c>
      <c r="D82" s="17" t="s">
        <v>74</v>
      </c>
      <c r="E82" s="18" t="s">
        <v>113</v>
      </c>
      <c r="F82" s="114">
        <v>8.11</v>
      </c>
    </row>
    <row r="83" spans="1:10">
      <c r="B83" s="15" t="s">
        <v>114</v>
      </c>
      <c r="C83" s="19">
        <v>10</v>
      </c>
      <c r="D83" s="17" t="s">
        <v>74</v>
      </c>
      <c r="E83" s="18" t="s">
        <v>113</v>
      </c>
      <c r="F83" s="114">
        <v>15</v>
      </c>
    </row>
    <row r="84" spans="1:10">
      <c r="B84" s="15" t="s">
        <v>115</v>
      </c>
      <c r="C84" s="19">
        <v>20</v>
      </c>
      <c r="D84" s="17" t="s">
        <v>74</v>
      </c>
      <c r="E84" s="18" t="s">
        <v>116</v>
      </c>
      <c r="F84" s="114">
        <v>17</v>
      </c>
    </row>
    <row r="85" spans="1:10">
      <c r="B85" s="15" t="s">
        <v>117</v>
      </c>
      <c r="C85" s="19">
        <v>2</v>
      </c>
      <c r="D85" s="17" t="s">
        <v>109</v>
      </c>
      <c r="E85" s="18" t="s">
        <v>118</v>
      </c>
      <c r="F85" s="116" t="s">
        <v>119</v>
      </c>
    </row>
    <row r="86" spans="1:10">
      <c r="B86" s="15" t="s">
        <v>120</v>
      </c>
      <c r="C86" s="19">
        <v>10</v>
      </c>
      <c r="D86" s="17" t="s">
        <v>74</v>
      </c>
      <c r="E86" s="18"/>
    </row>
    <row r="87" spans="1:10">
      <c r="B87" s="15"/>
      <c r="C87" s="19"/>
      <c r="D87" s="17"/>
      <c r="E87" s="18"/>
    </row>
    <row r="88" spans="1:10">
      <c r="B88" s="15"/>
      <c r="C88" s="19"/>
      <c r="D88" s="17"/>
      <c r="E88" s="18"/>
    </row>
    <row r="89" spans="1:10">
      <c r="B89" s="15"/>
      <c r="C89" s="19"/>
      <c r="D89" s="17"/>
      <c r="E89" s="18"/>
    </row>
    <row r="90" spans="1:10">
      <c r="B90" s="15"/>
      <c r="C90" s="19"/>
      <c r="D90" s="17"/>
      <c r="E90" s="18"/>
    </row>
    <row r="91" spans="1:10">
      <c r="B91" s="7"/>
      <c r="C91" s="136"/>
      <c r="D91" s="136"/>
      <c r="E91" s="7"/>
    </row>
    <row r="92" spans="1:10">
      <c r="A92" s="140"/>
      <c r="B92" s="11" t="s">
        <v>121</v>
      </c>
      <c r="C92" s="137"/>
      <c r="D92" s="137"/>
      <c r="E92" s="12"/>
    </row>
    <row r="93" spans="1:10">
      <c r="B93" s="15" t="s">
        <v>122</v>
      </c>
      <c r="C93" s="19" t="s">
        <v>123</v>
      </c>
      <c r="D93" s="17" t="s">
        <v>74</v>
      </c>
      <c r="E93" s="18" t="s">
        <v>113</v>
      </c>
      <c r="F93" s="114">
        <v>9</v>
      </c>
      <c r="G93" s="104"/>
      <c r="H93" s="105"/>
      <c r="I93" s="106"/>
      <c r="J93" s="107"/>
    </row>
    <row r="94" spans="1:10">
      <c r="B94" s="15" t="s">
        <v>124</v>
      </c>
      <c r="C94" s="19">
        <v>20</v>
      </c>
      <c r="D94" s="17" t="s">
        <v>74</v>
      </c>
      <c r="E94" s="18" t="s">
        <v>113</v>
      </c>
      <c r="F94" s="114">
        <v>38</v>
      </c>
      <c r="G94" s="104"/>
      <c r="H94" s="105"/>
      <c r="I94" s="106"/>
      <c r="J94" s="107"/>
    </row>
    <row r="95" spans="1:10">
      <c r="B95" s="15" t="s">
        <v>125</v>
      </c>
      <c r="C95" s="19">
        <v>10</v>
      </c>
      <c r="D95" s="17" t="s">
        <v>74</v>
      </c>
      <c r="E95" s="18" t="s">
        <v>680</v>
      </c>
      <c r="F95" s="114">
        <v>24</v>
      </c>
      <c r="G95" s="104"/>
      <c r="H95" s="105"/>
      <c r="I95" s="106"/>
      <c r="J95" s="107"/>
    </row>
    <row r="96" spans="1:10">
      <c r="B96" s="15" t="s">
        <v>82</v>
      </c>
      <c r="C96" s="19">
        <v>5</v>
      </c>
      <c r="D96" s="17" t="s">
        <v>74</v>
      </c>
      <c r="E96" s="18"/>
      <c r="G96" s="104"/>
      <c r="H96" s="105"/>
      <c r="I96" s="106"/>
      <c r="J96" s="107"/>
    </row>
    <row r="97" spans="2:10">
      <c r="B97" s="15" t="s">
        <v>126</v>
      </c>
      <c r="C97" s="19">
        <v>2</v>
      </c>
      <c r="D97" s="17" t="s">
        <v>109</v>
      </c>
      <c r="E97" s="18" t="s">
        <v>127</v>
      </c>
      <c r="F97" s="116" t="s">
        <v>119</v>
      </c>
      <c r="G97" s="104"/>
      <c r="H97" s="105"/>
      <c r="I97" s="106"/>
      <c r="J97" s="107"/>
    </row>
    <row r="98" spans="2:10">
      <c r="B98" s="15"/>
      <c r="C98" s="19"/>
      <c r="D98" s="17"/>
      <c r="E98" s="18"/>
    </row>
    <row r="99" spans="2:10">
      <c r="B99" s="15"/>
      <c r="C99" s="19"/>
      <c r="D99" s="17"/>
      <c r="E99" s="18"/>
    </row>
    <row r="100" spans="2:10">
      <c r="B100" s="15"/>
      <c r="C100" s="19"/>
      <c r="D100" s="17"/>
      <c r="E100" s="18"/>
    </row>
    <row r="101" spans="2:10">
      <c r="B101" s="15"/>
      <c r="C101" s="19"/>
      <c r="D101" s="17"/>
      <c r="E101" s="18"/>
    </row>
    <row r="102" spans="2:10">
      <c r="B102" s="7"/>
      <c r="C102" s="136"/>
      <c r="D102" s="136"/>
      <c r="E102" s="7"/>
    </row>
    <row r="103" spans="2:10">
      <c r="B103" s="13" t="s">
        <v>128</v>
      </c>
      <c r="C103" s="138"/>
      <c r="D103" s="138"/>
      <c r="E103" s="14"/>
    </row>
    <row r="104" spans="2:10">
      <c r="B104" s="10" t="s">
        <v>129</v>
      </c>
      <c r="C104" s="131" t="s">
        <v>130</v>
      </c>
      <c r="D104" s="8" t="s">
        <v>74</v>
      </c>
      <c r="E104" s="9"/>
    </row>
    <row r="105" spans="2:10">
      <c r="B105" s="10" t="s">
        <v>131</v>
      </c>
      <c r="C105" s="131" t="s">
        <v>132</v>
      </c>
      <c r="D105" s="8" t="s">
        <v>74</v>
      </c>
      <c r="E105" s="9"/>
    </row>
    <row r="106" spans="2:10">
      <c r="B106" s="10" t="s">
        <v>133</v>
      </c>
      <c r="C106" s="131" t="s">
        <v>134</v>
      </c>
      <c r="D106" s="8" t="s">
        <v>74</v>
      </c>
      <c r="E106" s="9"/>
    </row>
    <row r="107" spans="2:10">
      <c r="B107" s="10" t="s">
        <v>135</v>
      </c>
      <c r="C107" s="131" t="s">
        <v>136</v>
      </c>
      <c r="D107" s="8" t="s">
        <v>74</v>
      </c>
      <c r="E107" s="9"/>
    </row>
    <row r="108" spans="2:10">
      <c r="B108" s="10" t="s">
        <v>137</v>
      </c>
      <c r="C108" s="131" t="s">
        <v>132</v>
      </c>
      <c r="D108" s="8" t="s">
        <v>74</v>
      </c>
      <c r="E108" s="9"/>
    </row>
    <row r="109" spans="2:10">
      <c r="B109" s="10" t="s">
        <v>138</v>
      </c>
      <c r="C109" s="131" t="s">
        <v>130</v>
      </c>
      <c r="D109" s="8" t="s">
        <v>74</v>
      </c>
      <c r="E109" s="9"/>
    </row>
    <row r="110" spans="2:10">
      <c r="B110" s="10"/>
      <c r="C110" s="131"/>
      <c r="D110" s="8"/>
      <c r="E110" s="9"/>
    </row>
    <row r="111" spans="2:10">
      <c r="B111" s="10"/>
      <c r="C111" s="131"/>
      <c r="D111" s="8"/>
      <c r="E111" s="9"/>
    </row>
    <row r="112" spans="2:10">
      <c r="B112" s="10"/>
      <c r="C112" s="131"/>
      <c r="D112" s="8"/>
      <c r="E112" s="9"/>
    </row>
    <row r="113" spans="1:5">
      <c r="B113" s="7"/>
      <c r="C113" s="136"/>
      <c r="D113" s="136"/>
      <c r="E113" s="7"/>
    </row>
    <row r="114" spans="1:5">
      <c r="B114" s="5" t="s">
        <v>139</v>
      </c>
      <c r="C114" s="135"/>
      <c r="D114" s="135"/>
      <c r="E114" s="6"/>
    </row>
    <row r="115" spans="1:5">
      <c r="A115" s="140"/>
      <c r="B115" s="15" t="s">
        <v>140</v>
      </c>
      <c r="C115" s="19">
        <v>40</v>
      </c>
      <c r="D115" s="17" t="s">
        <v>74</v>
      </c>
      <c r="E115" s="18" t="s">
        <v>141</v>
      </c>
    </row>
    <row r="116" spans="1:5">
      <c r="B116" s="15" t="s">
        <v>143</v>
      </c>
      <c r="C116" s="19">
        <v>20</v>
      </c>
      <c r="D116" s="17" t="s">
        <v>74</v>
      </c>
      <c r="E116" s="18"/>
    </row>
    <row r="117" spans="1:5">
      <c r="B117" s="15" t="s">
        <v>144</v>
      </c>
      <c r="C117" s="19">
        <v>20</v>
      </c>
      <c r="D117" s="17" t="s">
        <v>74</v>
      </c>
      <c r="E117" s="18"/>
    </row>
    <row r="118" spans="1:5">
      <c r="B118" s="15" t="s">
        <v>145</v>
      </c>
      <c r="C118" s="19">
        <v>20</v>
      </c>
      <c r="D118" s="17" t="s">
        <v>74</v>
      </c>
      <c r="E118" s="18" t="s">
        <v>118</v>
      </c>
    </row>
    <row r="119" spans="1:5">
      <c r="B119" s="15" t="s">
        <v>77</v>
      </c>
      <c r="C119" s="19">
        <v>20</v>
      </c>
      <c r="D119" s="17" t="s">
        <v>74</v>
      </c>
      <c r="E119" s="18"/>
    </row>
    <row r="120" spans="1:5">
      <c r="B120" s="15" t="s">
        <v>798</v>
      </c>
      <c r="C120" s="19">
        <v>20</v>
      </c>
      <c r="D120" s="17" t="s">
        <v>74</v>
      </c>
      <c r="E120" s="18"/>
    </row>
    <row r="121" spans="1:5">
      <c r="B121" s="15"/>
      <c r="C121" s="19"/>
      <c r="D121" s="17"/>
      <c r="E121" s="18"/>
    </row>
    <row r="122" spans="1:5">
      <c r="B122" s="15"/>
      <c r="C122" s="19"/>
      <c r="D122" s="17"/>
      <c r="E122" s="18"/>
    </row>
    <row r="123" spans="1:5">
      <c r="B123" s="15"/>
      <c r="C123" s="19"/>
      <c r="D123" s="17"/>
      <c r="E123" s="18"/>
    </row>
    <row r="124" spans="1:5">
      <c r="B124" s="7"/>
      <c r="C124" s="136"/>
      <c r="D124" s="136"/>
      <c r="E124" s="7"/>
    </row>
    <row r="125" spans="1:5">
      <c r="B125" s="11" t="s">
        <v>146</v>
      </c>
      <c r="C125" s="137"/>
      <c r="D125" s="137"/>
      <c r="E125" s="12"/>
    </row>
    <row r="126" spans="1:5">
      <c r="A126" s="140"/>
      <c r="B126" s="15" t="s">
        <v>147</v>
      </c>
      <c r="C126" s="19">
        <v>40</v>
      </c>
      <c r="D126" s="17" t="s">
        <v>74</v>
      </c>
      <c r="E126" s="18" t="s">
        <v>148</v>
      </c>
    </row>
    <row r="127" spans="1:5">
      <c r="B127" s="15" t="s">
        <v>149</v>
      </c>
      <c r="C127" s="19">
        <v>15</v>
      </c>
      <c r="D127" s="17" t="s">
        <v>74</v>
      </c>
      <c r="E127" s="18"/>
    </row>
    <row r="128" spans="1:5">
      <c r="B128" s="15" t="s">
        <v>150</v>
      </c>
      <c r="C128" s="19">
        <v>30</v>
      </c>
      <c r="D128" s="17" t="s">
        <v>74</v>
      </c>
      <c r="E128" s="18"/>
    </row>
    <row r="129" spans="2:5">
      <c r="B129" s="15" t="s">
        <v>151</v>
      </c>
      <c r="C129" s="19">
        <v>15</v>
      </c>
      <c r="D129" s="17" t="s">
        <v>74</v>
      </c>
      <c r="E129" s="18"/>
    </row>
    <row r="130" spans="2:5">
      <c r="B130" s="15" t="s">
        <v>152</v>
      </c>
      <c r="C130" s="19">
        <v>10</v>
      </c>
      <c r="D130" s="17" t="s">
        <v>74</v>
      </c>
      <c r="E130" s="18"/>
    </row>
    <row r="131" spans="2:5">
      <c r="B131" s="15" t="s">
        <v>798</v>
      </c>
      <c r="C131" s="19">
        <v>20</v>
      </c>
      <c r="D131" s="17" t="s">
        <v>74</v>
      </c>
      <c r="E131" s="18"/>
    </row>
    <row r="132" spans="2:5">
      <c r="B132" s="15"/>
      <c r="C132" s="19"/>
      <c r="D132" s="17"/>
      <c r="E132" s="18"/>
    </row>
    <row r="133" spans="2:5">
      <c r="B133" s="15"/>
      <c r="C133" s="19"/>
      <c r="D133" s="17"/>
      <c r="E133" s="18"/>
    </row>
    <row r="134" spans="2:5">
      <c r="B134" s="15"/>
      <c r="C134" s="19"/>
      <c r="D134" s="17"/>
      <c r="E134" s="18"/>
    </row>
    <row r="135" spans="2:5">
      <c r="B135" s="7"/>
      <c r="C135" s="136"/>
      <c r="D135" s="136"/>
      <c r="E135" s="7"/>
    </row>
    <row r="136" spans="2:5">
      <c r="B136" s="13" t="s">
        <v>153</v>
      </c>
      <c r="C136" s="138"/>
      <c r="D136" s="138"/>
      <c r="E136" s="14"/>
    </row>
    <row r="137" spans="2:5">
      <c r="B137" s="10" t="s">
        <v>154</v>
      </c>
      <c r="C137" s="131">
        <v>5</v>
      </c>
      <c r="D137" s="8" t="s">
        <v>74</v>
      </c>
      <c r="E137" s="9"/>
    </row>
    <row r="138" spans="2:5">
      <c r="B138" s="10"/>
      <c r="C138" s="131"/>
      <c r="D138" s="8"/>
      <c r="E138" s="9"/>
    </row>
    <row r="139" spans="2:5">
      <c r="B139" s="10"/>
      <c r="C139" s="131"/>
      <c r="D139" s="8"/>
      <c r="E139" s="9"/>
    </row>
    <row r="140" spans="2:5">
      <c r="B140" s="7"/>
      <c r="C140" s="136"/>
      <c r="D140" s="136"/>
      <c r="E140" s="7"/>
    </row>
    <row r="141" spans="2:5">
      <c r="B141" s="5" t="s">
        <v>155</v>
      </c>
      <c r="C141" s="135"/>
      <c r="D141" s="135"/>
      <c r="E141" s="6" t="s">
        <v>813</v>
      </c>
    </row>
    <row r="142" spans="2:5">
      <c r="B142" s="15" t="s">
        <v>156</v>
      </c>
      <c r="C142" s="19">
        <v>5</v>
      </c>
      <c r="D142" s="17" t="s">
        <v>74</v>
      </c>
      <c r="E142" s="18"/>
    </row>
    <row r="143" spans="2:5">
      <c r="B143" s="15"/>
      <c r="C143" s="19"/>
      <c r="D143" s="17"/>
      <c r="E143" s="18"/>
    </row>
    <row r="144" spans="2:5">
      <c r="B144" s="15"/>
      <c r="C144" s="19"/>
      <c r="D144" s="17"/>
      <c r="E144" s="18"/>
    </row>
    <row r="145" spans="2:5">
      <c r="B145" s="7"/>
      <c r="C145" s="136"/>
      <c r="D145" s="136"/>
      <c r="E145" s="7"/>
    </row>
    <row r="146" spans="2:5">
      <c r="B146" s="11" t="s">
        <v>157</v>
      </c>
      <c r="C146" s="137"/>
      <c r="D146" s="137"/>
      <c r="E146" s="12"/>
    </row>
    <row r="147" spans="2:5">
      <c r="B147" s="15" t="s">
        <v>158</v>
      </c>
      <c r="C147" s="19">
        <v>5</v>
      </c>
      <c r="D147" s="17" t="s">
        <v>74</v>
      </c>
      <c r="E147" s="18"/>
    </row>
    <row r="148" spans="2:5">
      <c r="B148" s="15"/>
      <c r="C148" s="19"/>
      <c r="D148" s="17"/>
      <c r="E148" s="18"/>
    </row>
    <row r="149" spans="2:5">
      <c r="B149" s="15"/>
      <c r="C149" s="19"/>
      <c r="D149" s="17"/>
      <c r="E149" s="18"/>
    </row>
    <row r="150" spans="2:5">
      <c r="B150" s="7"/>
      <c r="C150" s="136"/>
      <c r="D150" s="136"/>
      <c r="E150" s="7"/>
    </row>
    <row r="151" spans="2:5">
      <c r="B151" s="13" t="s">
        <v>159</v>
      </c>
      <c r="C151" s="138"/>
      <c r="D151" s="138"/>
      <c r="E151" s="14"/>
    </row>
    <row r="152" spans="2:5">
      <c r="B152" s="10" t="s">
        <v>160</v>
      </c>
      <c r="C152" s="131">
        <v>90</v>
      </c>
      <c r="D152" s="8" t="s">
        <v>74</v>
      </c>
      <c r="E152" s="9"/>
    </row>
    <row r="153" spans="2:5">
      <c r="B153" s="10" t="s">
        <v>161</v>
      </c>
      <c r="C153" s="131">
        <v>40</v>
      </c>
      <c r="D153" s="8" t="s">
        <v>74</v>
      </c>
      <c r="E153" s="9"/>
    </row>
    <row r="154" spans="2:5">
      <c r="B154" s="10" t="s">
        <v>162</v>
      </c>
      <c r="C154" s="131">
        <v>70</v>
      </c>
      <c r="D154" s="8" t="s">
        <v>74</v>
      </c>
      <c r="E154" s="9"/>
    </row>
    <row r="155" spans="2:5">
      <c r="B155" s="10" t="s">
        <v>163</v>
      </c>
      <c r="C155" s="131">
        <v>40</v>
      </c>
      <c r="D155" s="8" t="s">
        <v>74</v>
      </c>
      <c r="E155" s="9"/>
    </row>
    <row r="156" spans="2:5">
      <c r="B156" s="10" t="s">
        <v>164</v>
      </c>
      <c r="C156" s="131">
        <v>25</v>
      </c>
      <c r="D156" s="8" t="s">
        <v>74</v>
      </c>
      <c r="E156" s="9"/>
    </row>
    <row r="157" spans="2:5">
      <c r="B157" s="10"/>
      <c r="C157" s="131"/>
      <c r="D157" s="8"/>
      <c r="E157" s="9"/>
    </row>
    <row r="158" spans="2:5">
      <c r="B158" s="10"/>
      <c r="C158" s="131"/>
      <c r="D158" s="8"/>
      <c r="E158" s="9"/>
    </row>
    <row r="159" spans="2:5">
      <c r="B159" s="10"/>
      <c r="C159" s="131"/>
      <c r="D159" s="8"/>
      <c r="E159" s="9"/>
    </row>
    <row r="160" spans="2:5">
      <c r="B160" s="10"/>
      <c r="C160" s="131"/>
      <c r="D160" s="8"/>
      <c r="E160" s="9"/>
    </row>
    <row r="161" spans="2:5">
      <c r="B161" s="7"/>
      <c r="C161" s="136"/>
      <c r="D161" s="136"/>
      <c r="E161" s="7"/>
    </row>
    <row r="162" spans="2:5">
      <c r="B162" s="5" t="s">
        <v>165</v>
      </c>
      <c r="C162" s="135"/>
      <c r="D162" s="135"/>
      <c r="E162" s="6"/>
    </row>
    <row r="163" spans="2:5">
      <c r="B163" s="15" t="s">
        <v>166</v>
      </c>
      <c r="C163" s="19">
        <v>90</v>
      </c>
      <c r="D163" s="17" t="s">
        <v>74</v>
      </c>
      <c r="E163" s="18"/>
    </row>
    <row r="164" spans="2:5">
      <c r="B164" s="15" t="s">
        <v>167</v>
      </c>
      <c r="C164" s="19">
        <v>30</v>
      </c>
      <c r="D164" s="17" t="s">
        <v>74</v>
      </c>
      <c r="E164" s="18" t="s">
        <v>168</v>
      </c>
    </row>
    <row r="165" spans="2:5">
      <c r="B165" s="15" t="s">
        <v>169</v>
      </c>
      <c r="C165" s="19">
        <v>90</v>
      </c>
      <c r="D165" s="17" t="s">
        <v>74</v>
      </c>
      <c r="E165" s="18"/>
    </row>
    <row r="166" spans="2:5">
      <c r="B166" s="15" t="s">
        <v>170</v>
      </c>
      <c r="C166" s="19">
        <v>60</v>
      </c>
      <c r="D166" s="17" t="s">
        <v>74</v>
      </c>
      <c r="E166" s="18"/>
    </row>
    <row r="167" spans="2:5">
      <c r="B167" s="15"/>
      <c r="C167" s="19"/>
      <c r="D167" s="17"/>
      <c r="E167" s="18"/>
    </row>
    <row r="168" spans="2:5">
      <c r="B168" s="15"/>
      <c r="C168" s="19"/>
      <c r="D168" s="17"/>
      <c r="E168" s="18"/>
    </row>
    <row r="169" spans="2:5">
      <c r="B169" s="15"/>
      <c r="C169" s="19"/>
      <c r="D169" s="17"/>
      <c r="E169" s="18"/>
    </row>
    <row r="170" spans="2:5">
      <c r="B170" s="15"/>
      <c r="C170" s="19"/>
      <c r="D170" s="17"/>
      <c r="E170" s="18"/>
    </row>
    <row r="171" spans="2:5">
      <c r="B171" s="15"/>
      <c r="C171" s="19"/>
      <c r="D171" s="17"/>
      <c r="E171" s="18"/>
    </row>
    <row r="172" spans="2:5">
      <c r="B172" s="7"/>
      <c r="C172" s="136"/>
      <c r="D172" s="136"/>
      <c r="E172" s="7"/>
    </row>
    <row r="173" spans="2:5">
      <c r="B173" s="11" t="s">
        <v>171</v>
      </c>
      <c r="C173" s="137"/>
      <c r="D173" s="137"/>
      <c r="E173" s="12"/>
    </row>
    <row r="174" spans="2:5">
      <c r="B174" s="15" t="s">
        <v>172</v>
      </c>
      <c r="C174" s="19">
        <v>90</v>
      </c>
      <c r="D174" s="17" t="s">
        <v>74</v>
      </c>
      <c r="E174" s="18" t="s">
        <v>173</v>
      </c>
    </row>
    <row r="175" spans="2:5">
      <c r="B175" s="15" t="s">
        <v>174</v>
      </c>
      <c r="C175" s="19">
        <v>30</v>
      </c>
      <c r="D175" s="17" t="s">
        <v>74</v>
      </c>
      <c r="E175" s="18" t="s">
        <v>173</v>
      </c>
    </row>
    <row r="176" spans="2:5">
      <c r="B176" s="15" t="s">
        <v>175</v>
      </c>
      <c r="C176" s="19">
        <v>90</v>
      </c>
      <c r="D176" s="17" t="s">
        <v>74</v>
      </c>
      <c r="E176" s="18"/>
    </row>
    <row r="177" spans="2:5">
      <c r="B177" s="15" t="s">
        <v>176</v>
      </c>
      <c r="C177" s="19">
        <v>60</v>
      </c>
      <c r="D177" s="17" t="s">
        <v>74</v>
      </c>
      <c r="E177" s="18"/>
    </row>
    <row r="178" spans="2:5">
      <c r="B178" s="15" t="s">
        <v>177</v>
      </c>
      <c r="C178" s="19">
        <v>20</v>
      </c>
      <c r="D178" s="17" t="s">
        <v>74</v>
      </c>
      <c r="E178" s="18"/>
    </row>
    <row r="179" spans="2:5">
      <c r="B179" s="15"/>
      <c r="C179" s="19"/>
      <c r="D179" s="17"/>
      <c r="E179" s="18"/>
    </row>
    <row r="180" spans="2:5">
      <c r="B180" s="15"/>
      <c r="C180" s="19"/>
      <c r="D180" s="17"/>
      <c r="E180" s="18"/>
    </row>
    <row r="181" spans="2:5">
      <c r="B181" s="15"/>
      <c r="C181" s="19"/>
      <c r="D181" s="17"/>
      <c r="E181" s="18"/>
    </row>
    <row r="182" spans="2:5">
      <c r="B182" s="15"/>
      <c r="C182" s="19"/>
      <c r="D182" s="17"/>
      <c r="E182" s="18"/>
    </row>
    <row r="183" spans="2:5">
      <c r="B183" s="7"/>
      <c r="C183" s="136"/>
      <c r="D183" s="136"/>
      <c r="E183" s="7"/>
    </row>
    <row r="184" spans="2:5">
      <c r="B184" s="13" t="s">
        <v>178</v>
      </c>
      <c r="C184" s="138"/>
      <c r="D184" s="138"/>
      <c r="E184" s="14"/>
    </row>
    <row r="185" spans="2:5">
      <c r="B185" s="10" t="s">
        <v>179</v>
      </c>
      <c r="C185" s="131">
        <v>1</v>
      </c>
      <c r="D185" s="8" t="s">
        <v>65</v>
      </c>
      <c r="E185" s="9"/>
    </row>
    <row r="186" spans="2:5">
      <c r="B186" s="10" t="s">
        <v>180</v>
      </c>
      <c r="C186" s="131">
        <v>60</v>
      </c>
      <c r="D186" s="8" t="s">
        <v>88</v>
      </c>
      <c r="E186" s="9"/>
    </row>
    <row r="187" spans="2:5">
      <c r="B187" s="10" t="s">
        <v>181</v>
      </c>
      <c r="C187" s="131">
        <v>60</v>
      </c>
      <c r="D187" s="8" t="s">
        <v>88</v>
      </c>
      <c r="E187" s="9"/>
    </row>
    <row r="188" spans="2:5">
      <c r="B188" s="24" t="s">
        <v>182</v>
      </c>
      <c r="C188" s="131"/>
      <c r="D188" s="8"/>
      <c r="E188" s="9"/>
    </row>
    <row r="189" spans="2:5">
      <c r="B189" s="10" t="s">
        <v>183</v>
      </c>
      <c r="C189" s="131">
        <v>30</v>
      </c>
      <c r="D189" s="8" t="s">
        <v>88</v>
      </c>
      <c r="E189" s="9"/>
    </row>
    <row r="190" spans="2:5">
      <c r="B190" s="10"/>
      <c r="C190" s="131"/>
      <c r="D190" s="8"/>
      <c r="E190" s="9"/>
    </row>
    <row r="191" spans="2:5">
      <c r="B191" s="10"/>
      <c r="C191" s="131"/>
      <c r="D191" s="8"/>
      <c r="E191" s="9"/>
    </row>
    <row r="192" spans="2:5">
      <c r="B192" s="10"/>
      <c r="C192" s="131"/>
      <c r="D192" s="8"/>
      <c r="E192" s="9"/>
    </row>
    <row r="193" spans="2:5">
      <c r="B193" s="10"/>
      <c r="C193" s="131"/>
      <c r="D193" s="8"/>
      <c r="E193" s="9"/>
    </row>
    <row r="194" spans="2:5">
      <c r="B194" s="7"/>
      <c r="C194" s="136"/>
      <c r="D194" s="136"/>
      <c r="E194" s="7"/>
    </row>
    <row r="195" spans="2:5">
      <c r="B195" s="5" t="s">
        <v>184</v>
      </c>
      <c r="C195" s="135"/>
      <c r="D195" s="135"/>
      <c r="E195" s="6"/>
    </row>
    <row r="196" spans="2:5">
      <c r="B196" s="15" t="s">
        <v>185</v>
      </c>
      <c r="C196" s="19">
        <v>90</v>
      </c>
      <c r="D196" s="17" t="s">
        <v>74</v>
      </c>
      <c r="E196" s="18" t="s">
        <v>186</v>
      </c>
    </row>
    <row r="197" spans="2:5">
      <c r="B197" s="15" t="s">
        <v>187</v>
      </c>
      <c r="C197" s="19">
        <v>30</v>
      </c>
      <c r="D197" s="17" t="s">
        <v>74</v>
      </c>
      <c r="E197" s="18"/>
    </row>
    <row r="198" spans="2:5">
      <c r="B198" s="15" t="s">
        <v>188</v>
      </c>
      <c r="C198" s="19">
        <v>30</v>
      </c>
      <c r="D198" s="17" t="s">
        <v>74</v>
      </c>
      <c r="E198" s="18"/>
    </row>
    <row r="199" spans="2:5">
      <c r="B199" s="15" t="s">
        <v>189</v>
      </c>
      <c r="C199" s="19">
        <v>60</v>
      </c>
      <c r="D199" s="17" t="s">
        <v>74</v>
      </c>
      <c r="E199" s="18"/>
    </row>
    <row r="200" spans="2:5">
      <c r="B200" s="15" t="s">
        <v>826</v>
      </c>
      <c r="C200" s="68" t="s">
        <v>827</v>
      </c>
      <c r="D200" s="69" t="s">
        <v>74</v>
      </c>
      <c r="E200" s="18"/>
    </row>
    <row r="201" spans="2:5">
      <c r="B201" s="15"/>
      <c r="C201" s="19"/>
      <c r="D201" s="17"/>
      <c r="E201" s="18"/>
    </row>
    <row r="202" spans="2:5">
      <c r="B202" s="15"/>
      <c r="C202" s="19"/>
      <c r="D202" s="17"/>
      <c r="E202" s="18"/>
    </row>
    <row r="203" spans="2:5">
      <c r="B203" s="25"/>
      <c r="C203" s="19"/>
      <c r="D203" s="17"/>
      <c r="E203" s="18"/>
    </row>
    <row r="204" spans="2:5">
      <c r="B204" s="15"/>
      <c r="C204" s="19"/>
      <c r="D204" s="17"/>
      <c r="E204" s="18"/>
    </row>
    <row r="205" spans="2:5">
      <c r="B205" s="7"/>
      <c r="C205" s="136"/>
      <c r="D205" s="136"/>
      <c r="E205" s="7"/>
    </row>
    <row r="206" spans="2:5">
      <c r="B206" s="11" t="s">
        <v>190</v>
      </c>
      <c r="C206" s="137"/>
      <c r="D206" s="137"/>
      <c r="E206" s="12"/>
    </row>
    <row r="207" spans="2:5">
      <c r="B207" s="15" t="s">
        <v>191</v>
      </c>
      <c r="C207" s="19">
        <v>1</v>
      </c>
      <c r="D207" s="17" t="s">
        <v>109</v>
      </c>
      <c r="E207" s="18" t="s">
        <v>186</v>
      </c>
    </row>
    <row r="208" spans="2:5">
      <c r="B208" s="15" t="s">
        <v>192</v>
      </c>
      <c r="C208" s="19">
        <v>30</v>
      </c>
      <c r="D208" s="17" t="s">
        <v>74</v>
      </c>
      <c r="E208" s="18"/>
    </row>
    <row r="209" spans="2:5">
      <c r="B209" s="15" t="s">
        <v>193</v>
      </c>
      <c r="C209" s="19">
        <v>60</v>
      </c>
      <c r="D209" s="17" t="s">
        <v>74</v>
      </c>
      <c r="E209" s="18"/>
    </row>
    <row r="210" spans="2:5">
      <c r="B210" s="15" t="s">
        <v>194</v>
      </c>
      <c r="C210" s="19">
        <v>30</v>
      </c>
      <c r="D210" s="17" t="s">
        <v>74</v>
      </c>
      <c r="E210" s="18"/>
    </row>
    <row r="211" spans="2:5">
      <c r="B211" s="15" t="s">
        <v>828</v>
      </c>
      <c r="C211" s="19">
        <v>30</v>
      </c>
      <c r="D211" s="17" t="s">
        <v>74</v>
      </c>
      <c r="E211" s="18"/>
    </row>
    <row r="212" spans="2:5">
      <c r="B212" s="15"/>
      <c r="C212" s="19"/>
      <c r="D212" s="17"/>
      <c r="E212" s="18"/>
    </row>
    <row r="213" spans="2:5">
      <c r="B213" s="15"/>
      <c r="C213" s="19"/>
      <c r="D213" s="17"/>
      <c r="E213" s="18"/>
    </row>
    <row r="214" spans="2:5">
      <c r="B214" s="15"/>
      <c r="C214" s="19"/>
      <c r="D214" s="17"/>
      <c r="E214" s="18"/>
    </row>
    <row r="215" spans="2:5">
      <c r="B215" s="15"/>
      <c r="C215" s="19"/>
      <c r="D215" s="17"/>
      <c r="E215" s="18"/>
    </row>
    <row r="216" spans="2:5">
      <c r="B216" s="7"/>
      <c r="C216" s="136"/>
      <c r="D216" s="136"/>
      <c r="E216" s="7"/>
    </row>
    <row r="217" spans="2:5">
      <c r="B217" s="13" t="s">
        <v>195</v>
      </c>
      <c r="C217" s="138"/>
      <c r="D217" s="138"/>
      <c r="E217" s="14"/>
    </row>
    <row r="218" spans="2:5">
      <c r="B218" s="10" t="s">
        <v>196</v>
      </c>
      <c r="C218" s="131">
        <v>100</v>
      </c>
      <c r="D218" s="8" t="s">
        <v>88</v>
      </c>
      <c r="E218" s="9"/>
    </row>
    <row r="219" spans="2:5">
      <c r="B219" s="10" t="s">
        <v>197</v>
      </c>
      <c r="C219" s="131">
        <v>50</v>
      </c>
      <c r="D219" s="8" t="s">
        <v>198</v>
      </c>
      <c r="E219" s="9"/>
    </row>
    <row r="220" spans="2:5">
      <c r="B220" s="10" t="s">
        <v>199</v>
      </c>
      <c r="C220" s="131">
        <v>30</v>
      </c>
      <c r="D220" s="8" t="s">
        <v>88</v>
      </c>
      <c r="E220" s="9"/>
    </row>
    <row r="221" spans="2:5">
      <c r="B221" s="10"/>
      <c r="C221" s="131"/>
      <c r="D221" s="8"/>
      <c r="E221" s="9"/>
    </row>
    <row r="222" spans="2:5">
      <c r="B222" s="10"/>
      <c r="C222" s="131"/>
      <c r="D222" s="8"/>
      <c r="E222" s="9"/>
    </row>
    <row r="223" spans="2:5">
      <c r="B223" s="10"/>
      <c r="C223" s="131"/>
      <c r="D223" s="8"/>
      <c r="E223" s="9"/>
    </row>
    <row r="224" spans="2:5">
      <c r="B224" s="10"/>
      <c r="C224" s="131"/>
      <c r="D224" s="8"/>
      <c r="E224" s="9"/>
    </row>
    <row r="225" spans="1:6">
      <c r="B225" s="10"/>
      <c r="C225" s="131"/>
      <c r="D225" s="8"/>
      <c r="E225" s="9"/>
    </row>
    <row r="226" spans="1:6">
      <c r="B226" s="10"/>
      <c r="C226" s="131"/>
      <c r="D226" s="8"/>
      <c r="E226" s="9"/>
    </row>
    <row r="227" spans="1:6">
      <c r="B227" s="7"/>
      <c r="C227" s="136"/>
      <c r="D227" s="136"/>
      <c r="E227" s="7"/>
    </row>
    <row r="228" spans="1:6">
      <c r="B228" s="5" t="s">
        <v>200</v>
      </c>
      <c r="C228" s="135"/>
      <c r="D228" s="135"/>
      <c r="E228" s="6"/>
    </row>
    <row r="229" spans="1:6">
      <c r="B229" s="15" t="s">
        <v>201</v>
      </c>
      <c r="C229" s="19">
        <v>4</v>
      </c>
      <c r="D229" s="17" t="s">
        <v>109</v>
      </c>
      <c r="E229" s="18" t="s">
        <v>202</v>
      </c>
    </row>
    <row r="230" spans="1:6">
      <c r="B230" s="15" t="s">
        <v>203</v>
      </c>
      <c r="C230" s="19">
        <v>60</v>
      </c>
      <c r="D230" s="17" t="s">
        <v>74</v>
      </c>
      <c r="E230" s="18"/>
    </row>
    <row r="231" spans="1:6">
      <c r="B231" s="15" t="s">
        <v>204</v>
      </c>
      <c r="C231" s="19">
        <v>60</v>
      </c>
      <c r="D231" s="17" t="s">
        <v>74</v>
      </c>
      <c r="E231" s="18"/>
    </row>
    <row r="232" spans="1:6">
      <c r="B232" s="15" t="s">
        <v>205</v>
      </c>
      <c r="C232" s="19">
        <v>40</v>
      </c>
      <c r="D232" s="17" t="s">
        <v>74</v>
      </c>
      <c r="E232" s="18"/>
    </row>
    <row r="233" spans="1:6">
      <c r="B233" s="15"/>
      <c r="C233" s="19"/>
      <c r="D233" s="17"/>
      <c r="E233" s="18"/>
    </row>
    <row r="234" spans="1:6">
      <c r="B234" s="15"/>
      <c r="C234" s="19"/>
      <c r="D234" s="17"/>
      <c r="E234" s="18"/>
    </row>
    <row r="235" spans="1:6">
      <c r="B235" s="15"/>
      <c r="C235" s="19"/>
      <c r="D235" s="17"/>
      <c r="E235" s="18"/>
    </row>
    <row r="236" spans="1:6">
      <c r="B236" s="15"/>
      <c r="C236" s="19"/>
      <c r="D236" s="17"/>
      <c r="E236" s="18"/>
    </row>
    <row r="237" spans="1:6">
      <c r="B237" s="15"/>
      <c r="C237" s="19"/>
      <c r="D237" s="17"/>
      <c r="E237" s="18"/>
    </row>
    <row r="238" spans="1:6">
      <c r="B238" s="7"/>
      <c r="C238" s="136"/>
      <c r="D238" s="136"/>
      <c r="E238" s="7"/>
    </row>
    <row r="239" spans="1:6">
      <c r="B239" s="11" t="s">
        <v>206</v>
      </c>
      <c r="C239" s="137"/>
      <c r="D239" s="137"/>
      <c r="E239" s="12"/>
    </row>
    <row r="240" spans="1:6">
      <c r="A240" s="140"/>
      <c r="B240" s="15" t="s">
        <v>207</v>
      </c>
      <c r="C240" s="19">
        <v>4</v>
      </c>
      <c r="D240" s="17" t="s">
        <v>109</v>
      </c>
      <c r="E240" s="18" t="s">
        <v>202</v>
      </c>
      <c r="F240" s="34" t="s">
        <v>208</v>
      </c>
    </row>
    <row r="241" spans="1:6">
      <c r="B241" s="15" t="s">
        <v>209</v>
      </c>
      <c r="C241" s="19">
        <v>60</v>
      </c>
      <c r="D241" s="17" t="s">
        <v>74</v>
      </c>
      <c r="E241" s="18"/>
    </row>
    <row r="242" spans="1:6">
      <c r="A242" s="140"/>
      <c r="B242" s="15" t="s">
        <v>210</v>
      </c>
      <c r="C242" s="19">
        <v>60</v>
      </c>
      <c r="D242" s="17" t="s">
        <v>74</v>
      </c>
      <c r="E242" s="18"/>
      <c r="F242" s="34" t="s">
        <v>211</v>
      </c>
    </row>
    <row r="243" spans="1:6">
      <c r="B243" s="15" t="s">
        <v>177</v>
      </c>
      <c r="C243" s="19">
        <v>30</v>
      </c>
      <c r="D243" s="17" t="s">
        <v>74</v>
      </c>
      <c r="E243" s="18"/>
    </row>
    <row r="244" spans="1:6">
      <c r="B244" s="15"/>
      <c r="C244" s="19"/>
      <c r="D244" s="17"/>
      <c r="E244" s="18"/>
    </row>
    <row r="245" spans="1:6">
      <c r="B245" s="15"/>
      <c r="C245" s="19"/>
      <c r="D245" s="17"/>
      <c r="E245" s="18"/>
    </row>
    <row r="246" spans="1:6">
      <c r="B246" s="15"/>
      <c r="C246" s="19"/>
      <c r="D246" s="17"/>
      <c r="E246" s="18"/>
    </row>
    <row r="247" spans="1:6">
      <c r="B247" s="15"/>
      <c r="C247" s="19"/>
      <c r="D247" s="17"/>
      <c r="E247" s="18"/>
    </row>
    <row r="248" spans="1:6">
      <c r="B248" s="15"/>
      <c r="C248" s="19"/>
      <c r="D248" s="17"/>
      <c r="E248" s="18"/>
    </row>
    <row r="249" spans="1:6">
      <c r="B249" s="7"/>
      <c r="C249" s="136"/>
      <c r="D249" s="136"/>
      <c r="E249" s="7"/>
    </row>
    <row r="250" spans="1:6">
      <c r="B250" s="13" t="s">
        <v>212</v>
      </c>
      <c r="C250" s="138"/>
      <c r="D250" s="138"/>
      <c r="E250" s="14"/>
    </row>
    <row r="251" spans="1:6">
      <c r="B251" s="10" t="s">
        <v>213</v>
      </c>
      <c r="C251" s="131">
        <v>15</v>
      </c>
      <c r="D251" s="8" t="s">
        <v>88</v>
      </c>
      <c r="E251" s="9"/>
    </row>
    <row r="252" spans="1:6">
      <c r="B252" s="10"/>
      <c r="C252" s="131"/>
      <c r="D252" s="8"/>
      <c r="E252" s="9"/>
    </row>
    <row r="253" spans="1:6">
      <c r="B253" s="10"/>
      <c r="C253" s="131"/>
      <c r="D253" s="8"/>
      <c r="E253" s="9"/>
    </row>
    <row r="254" spans="1:6">
      <c r="B254" s="7"/>
      <c r="C254" s="136"/>
      <c r="D254" s="136"/>
      <c r="E254" s="7"/>
    </row>
    <row r="255" spans="1:6">
      <c r="B255" s="5" t="s">
        <v>214</v>
      </c>
      <c r="C255" s="135"/>
      <c r="D255" s="135"/>
      <c r="E255" s="6"/>
    </row>
    <row r="256" spans="1:6">
      <c r="B256" s="15" t="s">
        <v>215</v>
      </c>
      <c r="C256" s="19">
        <v>10</v>
      </c>
      <c r="D256" s="17" t="s">
        <v>74</v>
      </c>
      <c r="E256" s="18"/>
    </row>
    <row r="257" spans="2:6">
      <c r="B257" s="15"/>
      <c r="C257" s="19"/>
      <c r="D257" s="17"/>
      <c r="E257" s="18"/>
    </row>
    <row r="258" spans="2:6">
      <c r="B258" s="15"/>
      <c r="C258" s="19"/>
      <c r="D258" s="17"/>
      <c r="E258" s="18"/>
    </row>
    <row r="259" spans="2:6">
      <c r="B259" s="7"/>
      <c r="C259" s="136"/>
      <c r="D259" s="136"/>
      <c r="E259" s="7"/>
    </row>
    <row r="260" spans="2:6">
      <c r="B260" s="11" t="s">
        <v>216</v>
      </c>
      <c r="C260" s="137"/>
      <c r="D260" s="137"/>
      <c r="E260" s="12"/>
    </row>
    <row r="261" spans="2:6">
      <c r="B261" s="15" t="s">
        <v>215</v>
      </c>
      <c r="C261" s="19">
        <v>10</v>
      </c>
      <c r="D261" s="17" t="s">
        <v>74</v>
      </c>
      <c r="E261" s="18"/>
    </row>
    <row r="262" spans="2:6">
      <c r="B262" s="15"/>
      <c r="C262" s="19"/>
      <c r="D262" s="17"/>
      <c r="E262" s="18"/>
    </row>
    <row r="263" spans="2:6">
      <c r="B263" s="15"/>
      <c r="C263" s="19"/>
      <c r="D263" s="17"/>
      <c r="E263" s="18"/>
    </row>
    <row r="264" spans="2:6">
      <c r="B264" s="7"/>
      <c r="C264" s="136"/>
      <c r="D264" s="136"/>
      <c r="E264" s="7"/>
    </row>
    <row r="265" spans="2:6">
      <c r="B265" s="13" t="s">
        <v>217</v>
      </c>
      <c r="C265" s="138"/>
      <c r="D265" s="138"/>
      <c r="E265" s="14"/>
    </row>
    <row r="266" spans="2:6">
      <c r="B266" s="10" t="s">
        <v>218</v>
      </c>
      <c r="C266" s="131">
        <v>20</v>
      </c>
      <c r="D266" s="8" t="s">
        <v>88</v>
      </c>
      <c r="E266" s="9"/>
    </row>
    <row r="267" spans="2:6">
      <c r="B267" s="10" t="s">
        <v>219</v>
      </c>
      <c r="C267" s="131">
        <v>20</v>
      </c>
      <c r="D267" s="8" t="s">
        <v>88</v>
      </c>
      <c r="E267" s="9"/>
    </row>
    <row r="268" spans="2:6">
      <c r="B268" s="10"/>
      <c r="C268" s="131"/>
      <c r="D268" s="8"/>
      <c r="E268" s="9"/>
    </row>
    <row r="269" spans="2:6">
      <c r="B269" s="7"/>
      <c r="C269" s="136"/>
      <c r="D269" s="136"/>
      <c r="E269" s="7"/>
    </row>
    <row r="270" spans="2:6">
      <c r="B270" s="5" t="s">
        <v>220</v>
      </c>
      <c r="C270" s="135"/>
      <c r="D270" s="135"/>
      <c r="E270" s="6"/>
      <c r="F270"/>
    </row>
    <row r="271" spans="2:6">
      <c r="B271" s="15" t="s">
        <v>221</v>
      </c>
      <c r="C271" s="19">
        <v>20</v>
      </c>
      <c r="D271" s="17" t="s">
        <v>74</v>
      </c>
      <c r="E271" s="18" t="s">
        <v>222</v>
      </c>
      <c r="F271"/>
    </row>
    <row r="272" spans="2:6">
      <c r="B272" s="15" t="s">
        <v>223</v>
      </c>
      <c r="C272" s="19">
        <v>20</v>
      </c>
      <c r="D272" s="17" t="s">
        <v>74</v>
      </c>
      <c r="E272" s="18" t="s">
        <v>222</v>
      </c>
      <c r="F272"/>
    </row>
    <row r="273" spans="1:6">
      <c r="B273" s="15"/>
      <c r="C273" s="19"/>
      <c r="D273" s="17"/>
      <c r="E273" s="18"/>
    </row>
    <row r="274" spans="1:6">
      <c r="B274" s="7"/>
      <c r="C274" s="136"/>
      <c r="D274" s="136"/>
      <c r="E274" s="7"/>
    </row>
    <row r="275" spans="1:6">
      <c r="B275" s="11" t="s">
        <v>224</v>
      </c>
      <c r="C275" s="137"/>
      <c r="D275" s="137"/>
      <c r="E275" s="12"/>
    </row>
    <row r="276" spans="1:6">
      <c r="B276" s="15" t="s">
        <v>225</v>
      </c>
      <c r="C276" s="19">
        <v>20</v>
      </c>
      <c r="D276" s="17" t="s">
        <v>74</v>
      </c>
      <c r="E276" s="18" t="s">
        <v>222</v>
      </c>
    </row>
    <row r="277" spans="1:6">
      <c r="B277" s="15" t="s">
        <v>226</v>
      </c>
      <c r="C277" s="19">
        <v>20</v>
      </c>
      <c r="D277" s="17" t="s">
        <v>74</v>
      </c>
      <c r="E277" s="18" t="s">
        <v>222</v>
      </c>
    </row>
    <row r="278" spans="1:6">
      <c r="B278" s="15"/>
      <c r="C278" s="19"/>
      <c r="D278" s="17"/>
      <c r="E278" s="18"/>
    </row>
    <row r="279" spans="1:6">
      <c r="B279" s="7"/>
      <c r="C279" s="136"/>
      <c r="D279" s="136"/>
      <c r="E279" s="7"/>
    </row>
    <row r="280" spans="1:6">
      <c r="B280" s="13" t="s">
        <v>227</v>
      </c>
      <c r="C280" s="138"/>
      <c r="D280" s="138"/>
      <c r="E280" s="14"/>
    </row>
    <row r="281" spans="1:6">
      <c r="B281" s="10" t="s">
        <v>228</v>
      </c>
      <c r="C281" s="131">
        <v>40</v>
      </c>
      <c r="D281" s="8" t="s">
        <v>88</v>
      </c>
      <c r="E281" s="9"/>
    </row>
    <row r="282" spans="1:6">
      <c r="B282" s="10"/>
      <c r="C282" s="131"/>
      <c r="D282" s="8"/>
      <c r="E282" s="9"/>
    </row>
    <row r="283" spans="1:6">
      <c r="B283" s="10"/>
      <c r="C283" s="131"/>
      <c r="D283" s="8"/>
      <c r="E283" s="9"/>
    </row>
    <row r="284" spans="1:6">
      <c r="B284" s="7"/>
      <c r="C284" s="136"/>
      <c r="D284" s="136"/>
      <c r="E284" s="7"/>
    </row>
    <row r="285" spans="1:6">
      <c r="B285" s="5" t="s">
        <v>229</v>
      </c>
      <c r="C285" s="135"/>
      <c r="D285" s="135"/>
      <c r="E285" s="6"/>
    </row>
    <row r="286" spans="1:6">
      <c r="A286" s="140"/>
      <c r="B286" s="15" t="s">
        <v>230</v>
      </c>
      <c r="C286" s="19">
        <v>60</v>
      </c>
      <c r="D286" s="17" t="s">
        <v>74</v>
      </c>
      <c r="E286" s="18"/>
      <c r="F286" s="34" t="s">
        <v>231</v>
      </c>
    </row>
    <row r="287" spans="1:6">
      <c r="B287" s="15"/>
      <c r="C287" s="19"/>
      <c r="D287" s="26"/>
      <c r="E287" s="18"/>
    </row>
    <row r="288" spans="1:6">
      <c r="B288" s="15"/>
      <c r="C288" s="19"/>
      <c r="D288" s="17"/>
      <c r="E288" s="18"/>
    </row>
    <row r="289" spans="1:6">
      <c r="B289" s="7"/>
      <c r="C289" s="136"/>
      <c r="D289" s="136"/>
      <c r="E289" s="7"/>
    </row>
    <row r="290" spans="1:6">
      <c r="B290" s="11" t="s">
        <v>232</v>
      </c>
      <c r="C290" s="137"/>
      <c r="D290" s="137"/>
      <c r="E290" s="12"/>
    </row>
    <row r="291" spans="1:6">
      <c r="A291" s="140"/>
      <c r="B291" s="15" t="s">
        <v>233</v>
      </c>
      <c r="C291" s="19">
        <v>1</v>
      </c>
      <c r="D291" s="17" t="s">
        <v>234</v>
      </c>
      <c r="E291" s="18"/>
      <c r="F291" s="34" t="s">
        <v>231</v>
      </c>
    </row>
    <row r="292" spans="1:6">
      <c r="B292" s="15"/>
      <c r="C292" s="19"/>
      <c r="D292" s="17"/>
      <c r="E292" s="18"/>
    </row>
    <row r="293" spans="1:6">
      <c r="B293" s="15"/>
      <c r="C293" s="19"/>
      <c r="D293" s="17"/>
      <c r="E293" s="18"/>
    </row>
    <row r="294" spans="1:6">
      <c r="B294" s="7"/>
      <c r="C294" s="136"/>
      <c r="D294" s="136"/>
      <c r="E294" s="7"/>
    </row>
    <row r="295" spans="1:6">
      <c r="B295" s="13" t="s">
        <v>235</v>
      </c>
      <c r="C295" s="138"/>
      <c r="D295" s="138"/>
      <c r="E295" s="14"/>
    </row>
    <row r="296" spans="1:6">
      <c r="B296" s="10" t="s">
        <v>236</v>
      </c>
      <c r="C296" s="131">
        <v>25</v>
      </c>
      <c r="D296" s="8" t="s">
        <v>88</v>
      </c>
      <c r="E296" s="9"/>
    </row>
    <row r="297" spans="1:6">
      <c r="B297" s="10"/>
      <c r="C297" s="131"/>
      <c r="D297" s="8"/>
      <c r="E297" s="9"/>
    </row>
    <row r="298" spans="1:6">
      <c r="B298" s="10"/>
      <c r="C298" s="131"/>
      <c r="D298" s="8"/>
      <c r="E298" s="9"/>
    </row>
    <row r="299" spans="1:6">
      <c r="B299" s="7"/>
      <c r="C299" s="136"/>
      <c r="D299" s="136"/>
      <c r="E299" s="7"/>
    </row>
    <row r="300" spans="1:6">
      <c r="B300" s="5" t="s">
        <v>237</v>
      </c>
      <c r="C300" s="135"/>
      <c r="D300" s="135"/>
      <c r="E300" s="6"/>
    </row>
    <row r="301" spans="1:6">
      <c r="B301" s="15" t="s">
        <v>238</v>
      </c>
      <c r="C301" s="19">
        <v>15</v>
      </c>
      <c r="D301" s="17" t="s">
        <v>74</v>
      </c>
      <c r="E301" s="18" t="s">
        <v>239</v>
      </c>
      <c r="F301" s="34" t="s">
        <v>240</v>
      </c>
    </row>
    <row r="302" spans="1:6">
      <c r="B302" s="15"/>
      <c r="C302" s="19"/>
      <c r="D302" s="17"/>
      <c r="E302" s="18"/>
    </row>
    <row r="303" spans="1:6">
      <c r="B303" s="15"/>
      <c r="C303" s="19"/>
      <c r="D303" s="17"/>
      <c r="E303" s="18"/>
    </row>
    <row r="304" spans="1:6">
      <c r="B304" s="7"/>
      <c r="C304" s="136"/>
      <c r="D304" s="136"/>
      <c r="E304" s="7"/>
    </row>
    <row r="305" spans="2:6">
      <c r="B305" s="11" t="s">
        <v>241</v>
      </c>
      <c r="C305" s="137"/>
      <c r="D305" s="137"/>
      <c r="E305" s="12"/>
    </row>
    <row r="306" spans="2:6">
      <c r="B306" s="15" t="s">
        <v>242</v>
      </c>
      <c r="C306" s="19">
        <v>15</v>
      </c>
      <c r="D306" s="17" t="s">
        <v>74</v>
      </c>
      <c r="E306" s="18" t="s">
        <v>239</v>
      </c>
      <c r="F306" s="34" t="s">
        <v>243</v>
      </c>
    </row>
    <row r="307" spans="2:6">
      <c r="B307" s="15"/>
      <c r="C307" s="19"/>
      <c r="D307" s="17"/>
      <c r="E307" s="18"/>
    </row>
    <row r="308" spans="2:6">
      <c r="B308" s="15"/>
      <c r="C308" s="19"/>
      <c r="D308" s="17"/>
      <c r="E308" s="18"/>
    </row>
    <row r="309" spans="2:6">
      <c r="B309" s="7"/>
      <c r="C309" s="136"/>
      <c r="D309" s="136"/>
      <c r="E309" s="7"/>
    </row>
    <row r="310" spans="2:6">
      <c r="B310" s="13" t="s">
        <v>244</v>
      </c>
      <c r="C310" s="138"/>
      <c r="D310" s="138"/>
      <c r="E310" s="14"/>
    </row>
    <row r="311" spans="2:6">
      <c r="B311" s="10" t="s">
        <v>245</v>
      </c>
      <c r="C311" s="131">
        <v>150</v>
      </c>
      <c r="D311" s="8" t="s">
        <v>88</v>
      </c>
      <c r="E311" s="9"/>
    </row>
    <row r="312" spans="2:6">
      <c r="B312" s="10" t="s">
        <v>246</v>
      </c>
      <c r="C312" s="131">
        <v>150</v>
      </c>
      <c r="D312" s="8" t="s">
        <v>88</v>
      </c>
      <c r="E312" s="9"/>
    </row>
    <row r="313" spans="2:6">
      <c r="B313" s="10" t="s">
        <v>247</v>
      </c>
      <c r="C313" s="131">
        <v>150</v>
      </c>
      <c r="D313" s="8" t="s">
        <v>88</v>
      </c>
      <c r="E313" s="9"/>
    </row>
    <row r="314" spans="2:6">
      <c r="B314" s="10" t="s">
        <v>248</v>
      </c>
      <c r="C314" s="131">
        <v>150</v>
      </c>
      <c r="D314" s="8" t="s">
        <v>88</v>
      </c>
      <c r="E314" s="9"/>
    </row>
    <row r="315" spans="2:6">
      <c r="B315" s="10"/>
      <c r="C315" s="131"/>
      <c r="D315" s="8"/>
      <c r="E315" s="9"/>
    </row>
    <row r="316" spans="2:6">
      <c r="B316" s="10"/>
      <c r="C316" s="131"/>
      <c r="D316" s="8"/>
      <c r="E316" s="9"/>
    </row>
    <row r="317" spans="2:6">
      <c r="B317" s="10"/>
      <c r="C317" s="131"/>
      <c r="D317" s="8"/>
      <c r="E317" s="9"/>
    </row>
    <row r="318" spans="2:6">
      <c r="B318" s="10"/>
      <c r="C318" s="131"/>
      <c r="D318" s="8"/>
      <c r="E318" s="9"/>
    </row>
    <row r="319" spans="2:6">
      <c r="B319" s="10"/>
      <c r="C319" s="131"/>
      <c r="D319" s="8"/>
      <c r="E319" s="9"/>
    </row>
    <row r="320" spans="2:6">
      <c r="B320" s="7"/>
      <c r="C320" s="136"/>
      <c r="D320" s="136"/>
      <c r="E320" s="7"/>
    </row>
    <row r="321" spans="2:5">
      <c r="B321" s="5" t="s">
        <v>249</v>
      </c>
      <c r="C321" s="135"/>
      <c r="D321" s="135"/>
      <c r="E321" s="6"/>
    </row>
    <row r="322" spans="2:5">
      <c r="B322" s="15" t="s">
        <v>250</v>
      </c>
      <c r="C322" s="19">
        <v>150</v>
      </c>
      <c r="D322" s="17" t="s">
        <v>74</v>
      </c>
      <c r="E322" s="18"/>
    </row>
    <row r="323" spans="2:5">
      <c r="B323" s="15" t="s">
        <v>248</v>
      </c>
      <c r="C323" s="19">
        <v>150</v>
      </c>
      <c r="D323" s="17" t="s">
        <v>74</v>
      </c>
      <c r="E323" s="18"/>
    </row>
    <row r="324" spans="2:5">
      <c r="B324" s="15" t="s">
        <v>245</v>
      </c>
      <c r="C324" s="19">
        <v>150</v>
      </c>
      <c r="D324" s="17" t="s">
        <v>74</v>
      </c>
      <c r="E324" s="18"/>
    </row>
    <row r="325" spans="2:5">
      <c r="B325" s="15" t="s">
        <v>246</v>
      </c>
      <c r="C325" s="19">
        <v>150</v>
      </c>
      <c r="D325" s="17" t="s">
        <v>74</v>
      </c>
      <c r="E325" s="18"/>
    </row>
    <row r="326" spans="2:5">
      <c r="B326" s="15"/>
      <c r="C326" s="19"/>
      <c r="D326" s="17"/>
      <c r="E326" s="18"/>
    </row>
    <row r="327" spans="2:5">
      <c r="B327" s="15"/>
      <c r="C327" s="19"/>
      <c r="D327" s="17"/>
      <c r="E327" s="18"/>
    </row>
    <row r="328" spans="2:5">
      <c r="B328" s="15"/>
      <c r="C328" s="19"/>
      <c r="D328" s="17"/>
      <c r="E328" s="18"/>
    </row>
    <row r="329" spans="2:5">
      <c r="B329" s="15"/>
      <c r="C329" s="19"/>
      <c r="D329" s="17"/>
      <c r="E329" s="18"/>
    </row>
    <row r="330" spans="2:5">
      <c r="B330" s="15"/>
      <c r="C330" s="19"/>
      <c r="D330" s="17"/>
      <c r="E330" s="18"/>
    </row>
    <row r="331" spans="2:5">
      <c r="B331" s="7"/>
      <c r="C331" s="136"/>
      <c r="D331" s="136"/>
      <c r="E331" s="7"/>
    </row>
    <row r="332" spans="2:5">
      <c r="B332" s="11" t="s">
        <v>251</v>
      </c>
      <c r="C332" s="137"/>
      <c r="D332" s="137"/>
      <c r="E332" s="12"/>
    </row>
    <row r="333" spans="2:5">
      <c r="B333" s="15" t="s">
        <v>252</v>
      </c>
      <c r="C333" s="19">
        <v>150</v>
      </c>
      <c r="D333" s="17" t="s">
        <v>74</v>
      </c>
      <c r="E333" s="18"/>
    </row>
    <row r="334" spans="2:5">
      <c r="B334" s="15" t="s">
        <v>253</v>
      </c>
      <c r="C334" s="19">
        <v>150</v>
      </c>
      <c r="D334" s="17" t="s">
        <v>74</v>
      </c>
      <c r="E334" s="18"/>
    </row>
    <row r="335" spans="2:5">
      <c r="B335" s="15" t="s">
        <v>247</v>
      </c>
      <c r="C335" s="19">
        <v>150</v>
      </c>
      <c r="D335" s="17" t="s">
        <v>74</v>
      </c>
      <c r="E335" s="18"/>
    </row>
    <row r="336" spans="2:5">
      <c r="B336" s="15" t="s">
        <v>254</v>
      </c>
      <c r="C336" s="19">
        <v>150</v>
      </c>
      <c r="D336" s="17" t="s">
        <v>74</v>
      </c>
      <c r="E336" s="18"/>
    </row>
    <row r="337" spans="2:6">
      <c r="B337" s="15"/>
      <c r="C337" s="19"/>
      <c r="D337" s="17"/>
      <c r="E337" s="18"/>
    </row>
    <row r="338" spans="2:6">
      <c r="B338" s="15"/>
      <c r="C338" s="19"/>
      <c r="D338" s="17"/>
      <c r="E338" s="18"/>
    </row>
    <row r="339" spans="2:6">
      <c r="B339" s="15"/>
      <c r="C339" s="19"/>
      <c r="D339" s="17"/>
      <c r="E339" s="18"/>
    </row>
    <row r="340" spans="2:6">
      <c r="B340" s="15"/>
      <c r="C340" s="19"/>
      <c r="D340" s="17"/>
      <c r="E340" s="18"/>
    </row>
    <row r="341" spans="2:6">
      <c r="B341" s="15"/>
      <c r="C341" s="19"/>
      <c r="D341" s="17"/>
      <c r="E341" s="18"/>
    </row>
    <row r="342" spans="2:6">
      <c r="B342" s="7"/>
      <c r="C342" s="136"/>
      <c r="D342" s="136"/>
      <c r="E342" s="7"/>
    </row>
    <row r="343" spans="2:6">
      <c r="B343" s="13" t="s">
        <v>255</v>
      </c>
      <c r="C343" s="138"/>
      <c r="D343" s="138"/>
      <c r="E343" s="14"/>
    </row>
    <row r="344" spans="2:6">
      <c r="B344" s="10" t="s">
        <v>256</v>
      </c>
      <c r="C344" s="131">
        <v>40</v>
      </c>
      <c r="D344" s="8" t="s">
        <v>88</v>
      </c>
      <c r="E344" s="9"/>
    </row>
    <row r="345" spans="2:6">
      <c r="B345" s="10" t="s">
        <v>257</v>
      </c>
      <c r="C345" s="131">
        <v>40</v>
      </c>
      <c r="D345" s="8" t="s">
        <v>88</v>
      </c>
      <c r="E345" s="9"/>
    </row>
    <row r="346" spans="2:6">
      <c r="B346" s="10"/>
      <c r="C346" s="131"/>
      <c r="D346" s="8"/>
      <c r="E346" s="9"/>
    </row>
    <row r="347" spans="2:6">
      <c r="B347" s="7"/>
      <c r="C347" s="136"/>
      <c r="D347" s="136"/>
      <c r="E347" s="7"/>
    </row>
    <row r="348" spans="2:6">
      <c r="B348" s="5" t="s">
        <v>258</v>
      </c>
      <c r="C348" s="135"/>
      <c r="D348" s="135"/>
      <c r="E348" s="6"/>
    </row>
    <row r="349" spans="2:6">
      <c r="B349" s="15" t="s">
        <v>259</v>
      </c>
      <c r="C349" s="19">
        <v>45</v>
      </c>
      <c r="D349" s="17" t="s">
        <v>74</v>
      </c>
      <c r="E349" s="18" t="s">
        <v>260</v>
      </c>
      <c r="F349" s="34">
        <v>0.6</v>
      </c>
    </row>
    <row r="350" spans="2:6">
      <c r="B350" s="15" t="s">
        <v>261</v>
      </c>
      <c r="C350" s="19">
        <v>45</v>
      </c>
      <c r="D350" s="17" t="s">
        <v>74</v>
      </c>
      <c r="E350" s="18" t="s">
        <v>260</v>
      </c>
      <c r="F350" s="34">
        <v>0.6</v>
      </c>
    </row>
    <row r="351" spans="2:6">
      <c r="B351" s="15"/>
      <c r="C351" s="19"/>
      <c r="D351" s="17"/>
      <c r="E351" s="18"/>
    </row>
    <row r="352" spans="2:6">
      <c r="B352" s="7"/>
      <c r="C352" s="136"/>
      <c r="D352" s="136"/>
      <c r="E352" s="7"/>
    </row>
    <row r="353" spans="2:6">
      <c r="B353" s="11" t="s">
        <v>262</v>
      </c>
      <c r="C353" s="137"/>
      <c r="D353" s="137"/>
      <c r="E353" s="12"/>
    </row>
    <row r="354" spans="2:6">
      <c r="B354" s="15" t="s">
        <v>259</v>
      </c>
      <c r="C354" s="19">
        <v>40</v>
      </c>
      <c r="D354" s="17" t="s">
        <v>74</v>
      </c>
      <c r="E354" s="18" t="s">
        <v>260</v>
      </c>
      <c r="F354" s="34">
        <v>0.6</v>
      </c>
    </row>
    <row r="355" spans="2:6">
      <c r="B355" s="15" t="s">
        <v>261</v>
      </c>
      <c r="C355" s="19">
        <v>40</v>
      </c>
      <c r="D355" s="17" t="s">
        <v>74</v>
      </c>
      <c r="E355" s="18" t="s">
        <v>260</v>
      </c>
      <c r="F355" s="34">
        <v>0.6</v>
      </c>
    </row>
    <row r="356" spans="2:6">
      <c r="B356" s="15"/>
      <c r="C356" s="19"/>
      <c r="D356" s="17"/>
      <c r="E356" s="18"/>
    </row>
    <row r="357" spans="2:6">
      <c r="B357" s="7"/>
      <c r="C357" s="136"/>
      <c r="D357" s="136"/>
      <c r="E357" s="7"/>
    </row>
    <row r="358" spans="2:6">
      <c r="B358" s="13" t="s">
        <v>263</v>
      </c>
      <c r="C358" s="138"/>
      <c r="D358" s="138"/>
      <c r="E358" s="14"/>
    </row>
    <row r="359" spans="2:6">
      <c r="B359" s="10" t="s">
        <v>264</v>
      </c>
      <c r="C359" s="131">
        <v>1</v>
      </c>
      <c r="D359" s="8" t="s">
        <v>65</v>
      </c>
      <c r="E359" s="9"/>
    </row>
    <row r="360" spans="2:6">
      <c r="B360" s="10" t="s">
        <v>265</v>
      </c>
      <c r="C360" s="131">
        <v>1</v>
      </c>
      <c r="D360" s="8" t="s">
        <v>88</v>
      </c>
      <c r="E360" s="9"/>
    </row>
    <row r="361" spans="2:6">
      <c r="B361" s="10"/>
      <c r="C361" s="131"/>
      <c r="D361" s="8"/>
      <c r="E361" s="9"/>
    </row>
    <row r="362" spans="2:6">
      <c r="B362" s="7"/>
      <c r="C362" s="136"/>
      <c r="D362" s="136"/>
      <c r="E362" s="7"/>
    </row>
    <row r="363" spans="2:6">
      <c r="B363" s="5" t="s">
        <v>266</v>
      </c>
      <c r="C363" s="135"/>
      <c r="D363" s="135"/>
      <c r="E363" s="6"/>
    </row>
    <row r="364" spans="2:6">
      <c r="B364" s="15" t="s">
        <v>267</v>
      </c>
      <c r="C364" s="19">
        <v>40</v>
      </c>
      <c r="D364" s="17" t="s">
        <v>74</v>
      </c>
      <c r="E364" s="18" t="s">
        <v>260</v>
      </c>
      <c r="F364" s="34">
        <v>0.6</v>
      </c>
    </row>
    <row r="365" spans="2:6">
      <c r="B365" s="15" t="s">
        <v>268</v>
      </c>
      <c r="C365" s="19">
        <v>40</v>
      </c>
      <c r="D365" s="17" t="s">
        <v>74</v>
      </c>
      <c r="E365" s="18" t="s">
        <v>260</v>
      </c>
      <c r="F365" s="34">
        <v>0.6</v>
      </c>
    </row>
    <row r="366" spans="2:6">
      <c r="B366" s="15"/>
      <c r="C366" s="19"/>
      <c r="D366" s="17"/>
      <c r="E366" s="18"/>
    </row>
    <row r="367" spans="2:6">
      <c r="B367" s="7"/>
      <c r="C367" s="136"/>
      <c r="D367" s="136"/>
      <c r="E367" s="7"/>
    </row>
    <row r="368" spans="2:6">
      <c r="B368" s="11" t="s">
        <v>269</v>
      </c>
      <c r="C368" s="137"/>
      <c r="D368" s="137"/>
      <c r="E368" s="12"/>
    </row>
    <row r="369" spans="2:6">
      <c r="B369" s="15" t="s">
        <v>267</v>
      </c>
      <c r="C369" s="19">
        <v>40</v>
      </c>
      <c r="D369" s="17" t="s">
        <v>74</v>
      </c>
      <c r="E369" s="18" t="s">
        <v>260</v>
      </c>
      <c r="F369" s="34">
        <v>0.6</v>
      </c>
    </row>
    <row r="370" spans="2:6">
      <c r="B370" s="15" t="s">
        <v>268</v>
      </c>
      <c r="C370" s="19">
        <v>40</v>
      </c>
      <c r="D370" s="17" t="s">
        <v>74</v>
      </c>
      <c r="E370" s="18" t="s">
        <v>260</v>
      </c>
      <c r="F370" s="34">
        <v>0.6</v>
      </c>
    </row>
    <row r="371" spans="2:6">
      <c r="B371" s="15"/>
      <c r="C371" s="19"/>
      <c r="D371" s="17"/>
      <c r="E371" s="18"/>
    </row>
    <row r="372" spans="2:6">
      <c r="B372" s="7"/>
      <c r="C372" s="136"/>
      <c r="D372" s="136"/>
      <c r="E372" s="7"/>
    </row>
    <row r="373" spans="2:6">
      <c r="B373" s="13" t="s">
        <v>270</v>
      </c>
      <c r="C373" s="138"/>
      <c r="D373" s="138"/>
      <c r="E373" s="14"/>
    </row>
    <row r="374" spans="2:6">
      <c r="B374" s="10" t="s">
        <v>271</v>
      </c>
      <c r="C374" s="131">
        <v>500</v>
      </c>
      <c r="D374" s="8" t="s">
        <v>88</v>
      </c>
      <c r="E374" s="9"/>
    </row>
    <row r="375" spans="2:6">
      <c r="B375" s="10"/>
      <c r="C375" s="131"/>
      <c r="D375" s="8"/>
      <c r="E375" s="9"/>
    </row>
    <row r="376" spans="2:6">
      <c r="B376" s="10"/>
      <c r="C376" s="131"/>
      <c r="D376" s="8"/>
      <c r="E376" s="9"/>
    </row>
    <row r="377" spans="2:6">
      <c r="B377" s="7"/>
      <c r="C377" s="136"/>
      <c r="D377" s="136"/>
      <c r="E377" s="7"/>
    </row>
    <row r="378" spans="2:6">
      <c r="B378" s="5" t="s">
        <v>272</v>
      </c>
      <c r="C378" s="135"/>
      <c r="D378" s="135"/>
      <c r="E378" s="6"/>
    </row>
    <row r="379" spans="2:6">
      <c r="B379" s="15" t="s">
        <v>273</v>
      </c>
      <c r="C379" s="19">
        <v>500</v>
      </c>
      <c r="D379" s="17" t="s">
        <v>74</v>
      </c>
      <c r="E379" s="18" t="s">
        <v>260</v>
      </c>
      <c r="F379" s="34" t="s">
        <v>142</v>
      </c>
    </row>
    <row r="380" spans="2:6">
      <c r="B380" s="15"/>
      <c r="C380" s="19"/>
      <c r="D380" s="17"/>
      <c r="E380" s="18"/>
    </row>
    <row r="381" spans="2:6">
      <c r="B381" s="15"/>
      <c r="C381" s="19"/>
      <c r="D381" s="17"/>
      <c r="E381" s="18"/>
    </row>
    <row r="382" spans="2:6">
      <c r="B382" s="7"/>
      <c r="C382" s="136"/>
      <c r="D382" s="136"/>
      <c r="E382" s="7"/>
    </row>
    <row r="383" spans="2:6">
      <c r="B383" s="11" t="s">
        <v>274</v>
      </c>
      <c r="C383" s="137"/>
      <c r="D383" s="137"/>
      <c r="E383" s="12"/>
    </row>
    <row r="384" spans="2:6">
      <c r="B384" s="15" t="s">
        <v>273</v>
      </c>
      <c r="C384" s="19">
        <v>500</v>
      </c>
      <c r="D384" s="17" t="s">
        <v>74</v>
      </c>
      <c r="E384" s="18" t="s">
        <v>260</v>
      </c>
      <c r="F384" s="34" t="s">
        <v>142</v>
      </c>
    </row>
    <row r="385" spans="2:6">
      <c r="B385" s="15"/>
      <c r="C385" s="19"/>
      <c r="D385" s="17"/>
      <c r="E385" s="18"/>
    </row>
    <row r="386" spans="2:6">
      <c r="B386" s="15"/>
      <c r="C386" s="19"/>
      <c r="D386" s="17"/>
      <c r="E386" s="18"/>
    </row>
    <row r="387" spans="2:6">
      <c r="B387" s="7"/>
      <c r="C387" s="136"/>
      <c r="D387" s="136"/>
      <c r="E387" s="7"/>
    </row>
    <row r="388" spans="2:6">
      <c r="B388" s="13" t="s">
        <v>275</v>
      </c>
      <c r="C388" s="138"/>
      <c r="D388" s="138"/>
      <c r="E388" s="14"/>
    </row>
    <row r="389" spans="2:6">
      <c r="B389" s="10" t="s">
        <v>276</v>
      </c>
      <c r="C389" s="131">
        <v>40</v>
      </c>
      <c r="D389" s="8" t="s">
        <v>88</v>
      </c>
      <c r="E389" s="9"/>
    </row>
    <row r="390" spans="2:6">
      <c r="B390" s="10" t="s">
        <v>277</v>
      </c>
      <c r="C390" s="131">
        <v>40</v>
      </c>
      <c r="D390" s="8" t="s">
        <v>88</v>
      </c>
      <c r="E390" s="9"/>
    </row>
    <row r="391" spans="2:6">
      <c r="B391" s="10"/>
      <c r="C391" s="131"/>
      <c r="D391" s="8"/>
      <c r="E391" s="9"/>
    </row>
    <row r="392" spans="2:6">
      <c r="B392" s="7"/>
      <c r="C392" s="136"/>
      <c r="D392" s="136"/>
      <c r="E392" s="7"/>
    </row>
    <row r="393" spans="2:6">
      <c r="B393" s="5" t="s">
        <v>278</v>
      </c>
      <c r="C393" s="135"/>
      <c r="D393" s="135"/>
      <c r="E393" s="6"/>
    </row>
    <row r="394" spans="2:6">
      <c r="B394" s="15" t="s">
        <v>279</v>
      </c>
      <c r="C394" s="19">
        <v>90</v>
      </c>
      <c r="D394" s="17" t="s">
        <v>74</v>
      </c>
      <c r="E394" s="18" t="s">
        <v>260</v>
      </c>
      <c r="F394" s="114">
        <v>1.2</v>
      </c>
    </row>
    <row r="395" spans="2:6">
      <c r="B395" s="15"/>
      <c r="C395" s="19"/>
      <c r="D395" s="17"/>
      <c r="E395" s="18"/>
    </row>
    <row r="396" spans="2:6">
      <c r="B396" s="15"/>
      <c r="C396" s="19"/>
      <c r="D396" s="17"/>
      <c r="E396" s="18"/>
    </row>
    <row r="397" spans="2:6">
      <c r="B397" s="7"/>
      <c r="C397" s="136"/>
      <c r="D397" s="136"/>
      <c r="E397" s="7"/>
    </row>
    <row r="398" spans="2:6">
      <c r="B398" s="11" t="s">
        <v>280</v>
      </c>
      <c r="C398" s="137"/>
      <c r="D398" s="137"/>
      <c r="E398" s="12"/>
    </row>
    <row r="399" spans="2:6">
      <c r="B399" s="15" t="s">
        <v>279</v>
      </c>
      <c r="C399" s="19">
        <v>90</v>
      </c>
      <c r="D399" s="17" t="s">
        <v>74</v>
      </c>
      <c r="E399" s="18" t="s">
        <v>260</v>
      </c>
      <c r="F399" s="114">
        <v>1.2</v>
      </c>
    </row>
    <row r="400" spans="2:6">
      <c r="B400" s="15"/>
      <c r="C400" s="19"/>
      <c r="D400" s="17"/>
      <c r="E400" s="18"/>
    </row>
    <row r="401" spans="2:6">
      <c r="B401" s="15"/>
      <c r="C401" s="19"/>
      <c r="D401" s="17"/>
      <c r="E401" s="18"/>
    </row>
    <row r="402" spans="2:6">
      <c r="B402" s="7"/>
      <c r="C402" s="136"/>
      <c r="D402" s="136"/>
      <c r="E402" s="7"/>
    </row>
    <row r="403" spans="2:6">
      <c r="B403" s="13" t="s">
        <v>281</v>
      </c>
      <c r="C403" s="138"/>
      <c r="D403" s="138"/>
      <c r="E403" s="14"/>
    </row>
    <row r="404" spans="2:6">
      <c r="B404" s="10" t="s">
        <v>282</v>
      </c>
      <c r="C404" s="131">
        <v>30</v>
      </c>
      <c r="D404" s="8" t="s">
        <v>88</v>
      </c>
      <c r="E404" s="9"/>
    </row>
    <row r="405" spans="2:6">
      <c r="B405" s="10"/>
      <c r="C405" s="131"/>
      <c r="D405" s="8"/>
      <c r="E405" s="9"/>
    </row>
    <row r="406" spans="2:6">
      <c r="B406" s="10"/>
      <c r="C406" s="131"/>
      <c r="D406" s="8"/>
      <c r="E406" s="9"/>
    </row>
    <row r="407" spans="2:6">
      <c r="B407" s="7"/>
      <c r="C407" s="136"/>
      <c r="D407" s="136"/>
      <c r="E407" s="7"/>
    </row>
    <row r="408" spans="2:6">
      <c r="B408" s="5" t="s">
        <v>283</v>
      </c>
      <c r="C408" s="135"/>
      <c r="D408" s="135"/>
      <c r="E408" s="6"/>
    </row>
    <row r="409" spans="2:6">
      <c r="B409" s="15" t="s">
        <v>284</v>
      </c>
      <c r="C409" s="19">
        <v>30</v>
      </c>
      <c r="D409" s="17" t="s">
        <v>74</v>
      </c>
      <c r="E409" s="18" t="s">
        <v>260</v>
      </c>
      <c r="F409" s="34" t="s">
        <v>285</v>
      </c>
    </row>
    <row r="410" spans="2:6">
      <c r="B410" s="15"/>
      <c r="C410" s="19"/>
      <c r="D410" s="17"/>
      <c r="E410" s="18"/>
    </row>
    <row r="411" spans="2:6">
      <c r="B411" s="15"/>
      <c r="C411" s="19"/>
      <c r="D411" s="17"/>
      <c r="E411" s="18"/>
    </row>
    <row r="412" spans="2:6">
      <c r="B412" s="7"/>
      <c r="C412" s="136"/>
      <c r="D412" s="136"/>
      <c r="E412" s="7"/>
    </row>
    <row r="413" spans="2:6">
      <c r="B413" s="11" t="s">
        <v>286</v>
      </c>
      <c r="C413" s="137"/>
      <c r="D413" s="137"/>
      <c r="E413" s="12"/>
    </row>
    <row r="414" spans="2:6">
      <c r="B414" s="15" t="s">
        <v>287</v>
      </c>
      <c r="C414" s="19">
        <v>30</v>
      </c>
      <c r="D414" s="17" t="s">
        <v>74</v>
      </c>
      <c r="E414" s="18" t="s">
        <v>260</v>
      </c>
      <c r="F414" s="34" t="s">
        <v>285</v>
      </c>
    </row>
    <row r="415" spans="2:6">
      <c r="B415" s="15"/>
      <c r="C415" s="19"/>
      <c r="D415" s="17"/>
      <c r="E415" s="18"/>
    </row>
    <row r="416" spans="2:6">
      <c r="B416" s="15"/>
      <c r="C416" s="19"/>
      <c r="D416" s="17"/>
      <c r="E416" s="18"/>
    </row>
    <row r="417" spans="2:5">
      <c r="B417" s="7"/>
      <c r="C417" s="136"/>
      <c r="D417" s="136"/>
      <c r="E417" s="7"/>
    </row>
    <row r="418" spans="2:5">
      <c r="B418" s="5" t="s">
        <v>288</v>
      </c>
      <c r="C418" s="135"/>
      <c r="D418" s="135"/>
      <c r="E418" s="6"/>
    </row>
    <row r="419" spans="2:5">
      <c r="B419" s="10" t="s">
        <v>289</v>
      </c>
      <c r="C419" s="131">
        <v>1</v>
      </c>
      <c r="D419" s="8" t="s">
        <v>65</v>
      </c>
      <c r="E419" s="9"/>
    </row>
    <row r="420" spans="2:5">
      <c r="B420" s="10" t="s">
        <v>290</v>
      </c>
      <c r="C420" s="131">
        <v>1</v>
      </c>
      <c r="D420" s="8" t="s">
        <v>65</v>
      </c>
      <c r="E420" s="9"/>
    </row>
    <row r="421" spans="2:5">
      <c r="B421" s="10" t="s">
        <v>291</v>
      </c>
      <c r="C421" s="131">
        <v>1</v>
      </c>
      <c r="D421" s="8" t="s">
        <v>65</v>
      </c>
      <c r="E421" s="9"/>
    </row>
    <row r="422" spans="2:5">
      <c r="B422" s="10" t="s">
        <v>292</v>
      </c>
      <c r="C422" s="131">
        <v>1</v>
      </c>
      <c r="D422" s="8" t="s">
        <v>65</v>
      </c>
      <c r="E422" s="9"/>
    </row>
    <row r="423" spans="2:5">
      <c r="B423" s="10" t="s">
        <v>293</v>
      </c>
      <c r="C423" s="131">
        <v>1</v>
      </c>
      <c r="D423" s="8" t="s">
        <v>65</v>
      </c>
      <c r="E423" s="9"/>
    </row>
    <row r="424" spans="2:5">
      <c r="B424" s="10" t="s">
        <v>294</v>
      </c>
      <c r="C424" s="131">
        <v>1</v>
      </c>
      <c r="D424" s="8" t="s">
        <v>65</v>
      </c>
      <c r="E424" s="9"/>
    </row>
    <row r="425" spans="2:5">
      <c r="B425" s="10" t="s">
        <v>295</v>
      </c>
      <c r="C425" s="131">
        <v>1</v>
      </c>
      <c r="D425" s="8" t="s">
        <v>65</v>
      </c>
      <c r="E425" s="9"/>
    </row>
    <row r="426" spans="2:5">
      <c r="B426" s="10" t="s">
        <v>296</v>
      </c>
      <c r="C426" s="131">
        <v>1</v>
      </c>
      <c r="D426" s="8" t="s">
        <v>65</v>
      </c>
      <c r="E426" s="9"/>
    </row>
    <row r="427" spans="2:5">
      <c r="B427" s="27" t="s">
        <v>297</v>
      </c>
      <c r="C427" s="131">
        <v>1</v>
      </c>
      <c r="D427" s="8" t="s">
        <v>65</v>
      </c>
      <c r="E427" s="9"/>
    </row>
    <row r="428" spans="2:5">
      <c r="B428" s="28" t="s">
        <v>298</v>
      </c>
      <c r="C428" s="132">
        <v>1</v>
      </c>
      <c r="D428" s="8" t="s">
        <v>65</v>
      </c>
      <c r="E428" s="9"/>
    </row>
    <row r="429" spans="2:5">
      <c r="B429" s="7"/>
      <c r="C429" s="136"/>
      <c r="D429" s="136"/>
      <c r="E429" s="7"/>
    </row>
    <row r="430" spans="2:5">
      <c r="B430" s="5" t="s">
        <v>299</v>
      </c>
      <c r="C430" s="135"/>
      <c r="D430" s="135"/>
      <c r="E430" s="6"/>
    </row>
    <row r="431" spans="2:5">
      <c r="B431" s="10" t="s">
        <v>289</v>
      </c>
      <c r="C431" s="131">
        <v>1</v>
      </c>
      <c r="D431" s="8" t="s">
        <v>65</v>
      </c>
      <c r="E431" s="9"/>
    </row>
    <row r="432" spans="2:5">
      <c r="B432" s="10" t="s">
        <v>290</v>
      </c>
      <c r="C432" s="131">
        <v>1</v>
      </c>
      <c r="D432" s="8" t="s">
        <v>65</v>
      </c>
      <c r="E432" s="9"/>
    </row>
    <row r="433" spans="2:5">
      <c r="B433" s="10" t="s">
        <v>291</v>
      </c>
      <c r="C433" s="131">
        <v>1</v>
      </c>
      <c r="D433" s="8" t="s">
        <v>65</v>
      </c>
      <c r="E433" s="9"/>
    </row>
    <row r="434" spans="2:5">
      <c r="B434" s="10" t="s">
        <v>292</v>
      </c>
      <c r="C434" s="131">
        <v>1</v>
      </c>
      <c r="D434" s="8" t="s">
        <v>65</v>
      </c>
      <c r="E434" s="9"/>
    </row>
    <row r="435" spans="2:5">
      <c r="B435" s="10" t="s">
        <v>293</v>
      </c>
      <c r="C435" s="131">
        <v>1</v>
      </c>
      <c r="D435" s="8" t="s">
        <v>65</v>
      </c>
      <c r="E435" s="9"/>
    </row>
    <row r="436" spans="2:5">
      <c r="B436" s="10" t="s">
        <v>294</v>
      </c>
      <c r="C436" s="131">
        <v>1</v>
      </c>
      <c r="D436" s="8" t="s">
        <v>65</v>
      </c>
      <c r="E436" s="9"/>
    </row>
    <row r="437" spans="2:5">
      <c r="B437" s="10" t="s">
        <v>295</v>
      </c>
      <c r="C437" s="131">
        <v>1</v>
      </c>
      <c r="D437" s="8" t="s">
        <v>65</v>
      </c>
      <c r="E437" s="9"/>
    </row>
    <row r="438" spans="2:5">
      <c r="B438" s="10" t="s">
        <v>296</v>
      </c>
      <c r="C438" s="131">
        <v>1</v>
      </c>
      <c r="D438" s="8" t="s">
        <v>65</v>
      </c>
      <c r="E438" s="9"/>
    </row>
    <row r="439" spans="2:5">
      <c r="B439" s="27" t="s">
        <v>297</v>
      </c>
      <c r="C439" s="131">
        <v>1</v>
      </c>
      <c r="D439" s="8" t="s">
        <v>65</v>
      </c>
      <c r="E439" s="9"/>
    </row>
    <row r="440" spans="2:5">
      <c r="B440" s="28" t="s">
        <v>298</v>
      </c>
      <c r="C440" s="132">
        <v>1</v>
      </c>
      <c r="D440" s="8" t="s">
        <v>65</v>
      </c>
      <c r="E440" s="9"/>
    </row>
    <row r="441" spans="2:5">
      <c r="B441" s="7"/>
      <c r="C441" s="136"/>
      <c r="D441" s="136"/>
      <c r="E441" s="7"/>
    </row>
    <row r="442" spans="2:5">
      <c r="B442" s="13" t="s">
        <v>300</v>
      </c>
      <c r="C442" s="138"/>
      <c r="D442" s="138"/>
      <c r="E442" s="14"/>
    </row>
    <row r="443" spans="2:5">
      <c r="B443" s="10" t="s">
        <v>301</v>
      </c>
      <c r="C443" s="131">
        <v>10</v>
      </c>
      <c r="D443" s="8" t="s">
        <v>88</v>
      </c>
      <c r="E443" s="9"/>
    </row>
    <row r="444" spans="2:5">
      <c r="B444" s="10" t="s">
        <v>302</v>
      </c>
      <c r="C444" s="131">
        <v>12</v>
      </c>
      <c r="D444" s="8" t="s">
        <v>88</v>
      </c>
      <c r="E444" s="9"/>
    </row>
    <row r="445" spans="2:5">
      <c r="B445" s="10" t="s">
        <v>303</v>
      </c>
      <c r="C445" s="131">
        <v>15</v>
      </c>
      <c r="D445" s="8" t="s">
        <v>88</v>
      </c>
      <c r="E445" s="9" t="s">
        <v>304</v>
      </c>
    </row>
    <row r="446" spans="2:5">
      <c r="B446" s="10" t="s">
        <v>305</v>
      </c>
      <c r="C446" s="131">
        <v>6</v>
      </c>
      <c r="D446" s="8" t="s">
        <v>88</v>
      </c>
      <c r="E446" s="9"/>
    </row>
    <row r="447" spans="2:5">
      <c r="B447" s="10" t="s">
        <v>306</v>
      </c>
      <c r="C447" s="131">
        <v>8</v>
      </c>
      <c r="D447" s="8" t="s">
        <v>88</v>
      </c>
      <c r="E447" s="9"/>
    </row>
    <row r="448" spans="2:5">
      <c r="B448" s="10" t="s">
        <v>307</v>
      </c>
      <c r="C448" s="131">
        <v>6</v>
      </c>
      <c r="D448" s="8" t="s">
        <v>88</v>
      </c>
      <c r="E448" s="9"/>
    </row>
    <row r="449" spans="2:6">
      <c r="B449" s="10" t="s">
        <v>308</v>
      </c>
      <c r="C449" s="131">
        <v>1</v>
      </c>
      <c r="D449" s="8" t="s">
        <v>65</v>
      </c>
      <c r="E449" s="9"/>
    </row>
    <row r="450" spans="2:6">
      <c r="B450" s="10"/>
      <c r="C450" s="131"/>
      <c r="D450" s="8"/>
      <c r="E450" s="9"/>
    </row>
    <row r="451" spans="2:6">
      <c r="B451" s="10"/>
      <c r="C451" s="131"/>
      <c r="D451" s="8"/>
      <c r="E451" s="9"/>
    </row>
    <row r="452" spans="2:6">
      <c r="B452" s="7"/>
      <c r="C452" s="136"/>
      <c r="D452" s="136"/>
      <c r="E452" s="7"/>
    </row>
    <row r="453" spans="2:6">
      <c r="B453" s="5" t="s">
        <v>309</v>
      </c>
      <c r="C453" s="135"/>
      <c r="D453" s="135"/>
      <c r="E453" s="6"/>
    </row>
    <row r="454" spans="2:6">
      <c r="B454" s="108" t="s">
        <v>310</v>
      </c>
      <c r="C454" s="133">
        <v>10</v>
      </c>
      <c r="D454" s="109" t="s">
        <v>88</v>
      </c>
      <c r="E454" s="18"/>
    </row>
    <row r="455" spans="2:6">
      <c r="B455" s="15" t="s">
        <v>311</v>
      </c>
      <c r="C455" s="19" t="s">
        <v>824</v>
      </c>
      <c r="D455" s="17" t="s">
        <v>88</v>
      </c>
      <c r="E455" s="18" t="s">
        <v>222</v>
      </c>
      <c r="F455" s="34" t="s">
        <v>312</v>
      </c>
    </row>
    <row r="456" spans="2:6">
      <c r="B456" s="15" t="s">
        <v>313</v>
      </c>
      <c r="C456" s="19">
        <v>15</v>
      </c>
      <c r="D456" s="17" t="s">
        <v>88</v>
      </c>
      <c r="E456" s="18"/>
    </row>
    <row r="457" spans="2:6">
      <c r="B457" s="15" t="s">
        <v>314</v>
      </c>
      <c r="C457" s="19">
        <v>6</v>
      </c>
      <c r="D457" s="17" t="s">
        <v>88</v>
      </c>
      <c r="E457" s="18"/>
    </row>
    <row r="458" spans="2:6">
      <c r="B458" s="15" t="s">
        <v>315</v>
      </c>
      <c r="C458" s="19">
        <v>8</v>
      </c>
      <c r="D458" s="17" t="s">
        <v>88</v>
      </c>
      <c r="E458" s="18"/>
    </row>
    <row r="459" spans="2:6">
      <c r="B459" s="15" t="s">
        <v>307</v>
      </c>
      <c r="C459" s="19" t="s">
        <v>862</v>
      </c>
      <c r="D459" s="17" t="s">
        <v>88</v>
      </c>
      <c r="E459" s="18"/>
    </row>
    <row r="460" spans="2:6">
      <c r="B460" s="108" t="s">
        <v>316</v>
      </c>
      <c r="C460" s="133">
        <v>1</v>
      </c>
      <c r="D460" s="109" t="s">
        <v>65</v>
      </c>
      <c r="E460" s="18"/>
    </row>
    <row r="461" spans="2:6">
      <c r="B461" s="25"/>
      <c r="C461" s="19"/>
      <c r="D461" s="17"/>
      <c r="E461" s="18"/>
    </row>
    <row r="462" spans="2:6">
      <c r="B462" s="15"/>
      <c r="C462" s="19"/>
      <c r="D462" s="17"/>
      <c r="E462" s="18"/>
    </row>
    <row r="463" spans="2:6">
      <c r="B463" s="7"/>
      <c r="C463" s="136"/>
      <c r="D463" s="136"/>
      <c r="E463" s="7"/>
    </row>
    <row r="464" spans="2:6">
      <c r="B464" s="11" t="s">
        <v>317</v>
      </c>
      <c r="C464" s="137"/>
      <c r="D464" s="137"/>
      <c r="E464" s="12"/>
    </row>
    <row r="465" spans="2:5">
      <c r="B465" s="108" t="s">
        <v>318</v>
      </c>
      <c r="C465" s="133">
        <v>10</v>
      </c>
      <c r="D465" s="109" t="s">
        <v>88</v>
      </c>
      <c r="E465" s="18"/>
    </row>
    <row r="466" spans="2:5">
      <c r="B466" s="15" t="s">
        <v>319</v>
      </c>
      <c r="C466" s="19" t="s">
        <v>824</v>
      </c>
      <c r="D466" s="17" t="s">
        <v>88</v>
      </c>
      <c r="E466" s="18" t="s">
        <v>222</v>
      </c>
    </row>
    <row r="467" spans="2:5">
      <c r="B467" s="15" t="s">
        <v>320</v>
      </c>
      <c r="C467" s="19">
        <v>15</v>
      </c>
      <c r="D467" s="17" t="s">
        <v>88</v>
      </c>
      <c r="E467" s="18"/>
    </row>
    <row r="468" spans="2:5">
      <c r="B468" s="15" t="s">
        <v>321</v>
      </c>
      <c r="C468" s="19">
        <v>6</v>
      </c>
      <c r="D468" s="17" t="s">
        <v>88</v>
      </c>
      <c r="E468" s="18"/>
    </row>
    <row r="469" spans="2:5">
      <c r="B469" s="15" t="s">
        <v>315</v>
      </c>
      <c r="C469" s="19">
        <v>8</v>
      </c>
      <c r="D469" s="17" t="s">
        <v>88</v>
      </c>
      <c r="E469" s="18"/>
    </row>
    <row r="470" spans="2:5">
      <c r="B470" s="15" t="s">
        <v>307</v>
      </c>
      <c r="C470" s="19" t="s">
        <v>862</v>
      </c>
      <c r="D470" s="17" t="s">
        <v>88</v>
      </c>
      <c r="E470" s="18"/>
    </row>
    <row r="471" spans="2:5">
      <c r="B471" s="108" t="s">
        <v>316</v>
      </c>
      <c r="C471" s="133">
        <v>1</v>
      </c>
      <c r="D471" s="109" t="s">
        <v>65</v>
      </c>
      <c r="E471" s="18"/>
    </row>
    <row r="472" spans="2:5">
      <c r="B472" s="15"/>
      <c r="C472" s="19"/>
      <c r="D472" s="17"/>
      <c r="E472" s="18"/>
    </row>
    <row r="473" spans="2:5">
      <c r="B473" s="15"/>
      <c r="C473" s="19"/>
      <c r="D473" s="17"/>
      <c r="E473" s="18"/>
    </row>
    <row r="474" spans="2:5">
      <c r="B474" s="7"/>
      <c r="C474" s="136"/>
      <c r="D474" s="136"/>
      <c r="E474" s="7"/>
    </row>
    <row r="475" spans="2:5">
      <c r="B475" s="13" t="s">
        <v>322</v>
      </c>
      <c r="C475" s="138"/>
      <c r="D475" s="138"/>
      <c r="E475" s="14"/>
    </row>
    <row r="476" spans="2:5">
      <c r="B476" s="10" t="s">
        <v>323</v>
      </c>
      <c r="C476" s="131">
        <v>60</v>
      </c>
      <c r="D476" s="8" t="s">
        <v>88</v>
      </c>
      <c r="E476" s="9"/>
    </row>
    <row r="477" spans="2:5">
      <c r="B477" s="10" t="s">
        <v>324</v>
      </c>
      <c r="C477" s="131">
        <v>5</v>
      </c>
      <c r="D477" s="8" t="s">
        <v>88</v>
      </c>
      <c r="E477" s="9"/>
    </row>
    <row r="478" spans="2:5">
      <c r="B478" s="10" t="s">
        <v>325</v>
      </c>
      <c r="C478" s="131">
        <v>1</v>
      </c>
      <c r="D478" s="8" t="s">
        <v>65</v>
      </c>
      <c r="E478" s="9"/>
    </row>
    <row r="479" spans="2:5">
      <c r="B479" s="10" t="s">
        <v>326</v>
      </c>
      <c r="C479" s="131">
        <v>5</v>
      </c>
      <c r="D479" s="8" t="s">
        <v>65</v>
      </c>
      <c r="E479" s="9"/>
    </row>
    <row r="480" spans="2:5">
      <c r="B480" s="10"/>
      <c r="C480" s="131"/>
      <c r="D480" s="8"/>
      <c r="E480" s="9"/>
    </row>
    <row r="481" spans="2:6">
      <c r="B481" s="10"/>
      <c r="C481" s="131"/>
      <c r="D481" s="8"/>
      <c r="E481" s="9"/>
    </row>
    <row r="482" spans="2:6">
      <c r="B482" s="10"/>
      <c r="C482" s="131"/>
      <c r="D482" s="8"/>
      <c r="E482" s="9"/>
    </row>
    <row r="483" spans="2:6">
      <c r="B483" s="10"/>
      <c r="C483" s="131"/>
      <c r="D483" s="8"/>
      <c r="E483" s="9"/>
    </row>
    <row r="484" spans="2:6">
      <c r="B484" s="10"/>
      <c r="C484" s="131"/>
      <c r="D484" s="8"/>
      <c r="E484" s="9"/>
    </row>
    <row r="485" spans="2:6">
      <c r="B485" s="7"/>
      <c r="C485" s="136"/>
      <c r="D485" s="136"/>
      <c r="E485" s="7"/>
    </row>
    <row r="486" spans="2:6">
      <c r="B486" s="5" t="s">
        <v>327</v>
      </c>
      <c r="C486" s="135"/>
      <c r="D486" s="135"/>
      <c r="E486" s="6"/>
    </row>
    <row r="487" spans="2:6">
      <c r="B487" s="15" t="s">
        <v>328</v>
      </c>
      <c r="C487" s="19">
        <v>60</v>
      </c>
      <c r="D487" s="17" t="s">
        <v>74</v>
      </c>
      <c r="E487" s="18"/>
      <c r="F487" s="34" t="s">
        <v>329</v>
      </c>
    </row>
    <row r="488" spans="2:6">
      <c r="B488" s="15" t="s">
        <v>330</v>
      </c>
      <c r="C488" s="19">
        <v>5</v>
      </c>
      <c r="D488" s="17" t="s">
        <v>74</v>
      </c>
      <c r="E488" s="18"/>
    </row>
    <row r="489" spans="2:6">
      <c r="B489" s="15" t="s">
        <v>331</v>
      </c>
      <c r="C489" s="19">
        <v>4</v>
      </c>
      <c r="D489" s="17" t="s">
        <v>109</v>
      </c>
      <c r="E489" s="18"/>
    </row>
    <row r="490" spans="2:6">
      <c r="B490" s="15" t="s">
        <v>252</v>
      </c>
      <c r="C490" s="19">
        <v>5</v>
      </c>
      <c r="D490" s="17" t="s">
        <v>109</v>
      </c>
      <c r="E490" s="18"/>
    </row>
    <row r="491" spans="2:6">
      <c r="B491" s="15"/>
      <c r="C491" s="19"/>
      <c r="D491" s="17"/>
      <c r="E491" s="18"/>
    </row>
    <row r="492" spans="2:6">
      <c r="B492" s="15"/>
      <c r="C492" s="19"/>
      <c r="D492" s="17"/>
      <c r="E492" s="18"/>
    </row>
    <row r="493" spans="2:6">
      <c r="B493" s="15"/>
      <c r="C493" s="19"/>
      <c r="D493" s="17"/>
      <c r="E493" s="18"/>
    </row>
    <row r="494" spans="2:6">
      <c r="B494" s="15"/>
      <c r="C494" s="19"/>
      <c r="D494" s="17"/>
      <c r="E494" s="18"/>
    </row>
    <row r="495" spans="2:6">
      <c r="B495" s="15"/>
      <c r="C495" s="19"/>
      <c r="D495" s="17"/>
      <c r="E495" s="18"/>
    </row>
    <row r="496" spans="2:6">
      <c r="B496" s="7"/>
      <c r="C496" s="136"/>
      <c r="D496" s="136"/>
      <c r="E496" s="7"/>
    </row>
    <row r="497" spans="2:6">
      <c r="B497" s="11" t="s">
        <v>332</v>
      </c>
      <c r="C497" s="137"/>
      <c r="D497" s="137"/>
      <c r="E497" s="12"/>
    </row>
    <row r="498" spans="2:6">
      <c r="B498" s="15" t="s">
        <v>328</v>
      </c>
      <c r="C498" s="19">
        <v>60</v>
      </c>
      <c r="D498" s="17" t="s">
        <v>74</v>
      </c>
      <c r="E498" s="18"/>
    </row>
    <row r="499" spans="2:6">
      <c r="B499" s="15" t="s">
        <v>333</v>
      </c>
      <c r="C499" s="19">
        <v>5</v>
      </c>
      <c r="D499" s="17" t="s">
        <v>74</v>
      </c>
      <c r="E499" s="18"/>
      <c r="F499" s="34" t="s">
        <v>329</v>
      </c>
    </row>
    <row r="500" spans="2:6">
      <c r="B500" s="18" t="s">
        <v>334</v>
      </c>
      <c r="C500" s="16">
        <v>15</v>
      </c>
      <c r="D500" s="17" t="s">
        <v>74</v>
      </c>
      <c r="E500" s="18"/>
    </row>
    <row r="501" spans="2:6">
      <c r="B501" s="18" t="s">
        <v>252</v>
      </c>
      <c r="C501" s="16">
        <v>5</v>
      </c>
      <c r="D501" s="17" t="s">
        <v>109</v>
      </c>
      <c r="E501" s="18"/>
    </row>
    <row r="502" spans="2:6">
      <c r="B502" s="18"/>
      <c r="C502" s="16"/>
      <c r="D502" s="17"/>
      <c r="E502" s="18"/>
    </row>
    <row r="503" spans="2:6">
      <c r="B503" s="15"/>
      <c r="C503" s="19"/>
      <c r="D503" s="17"/>
      <c r="E503" s="18"/>
    </row>
    <row r="504" spans="2:6">
      <c r="B504" s="15"/>
      <c r="C504" s="19"/>
      <c r="D504" s="17"/>
      <c r="E504" s="18"/>
    </row>
    <row r="505" spans="2:6">
      <c r="B505" s="15"/>
      <c r="C505" s="19"/>
      <c r="D505" s="17"/>
      <c r="E505" s="18"/>
    </row>
    <row r="506" spans="2:6">
      <c r="B506" s="15"/>
      <c r="C506" s="19"/>
      <c r="D506" s="17"/>
      <c r="E506" s="18"/>
    </row>
    <row r="507" spans="2:6">
      <c r="B507" s="7"/>
      <c r="C507" s="136"/>
      <c r="D507" s="136"/>
      <c r="E507" s="7"/>
    </row>
    <row r="508" spans="2:6">
      <c r="B508" s="13" t="s">
        <v>335</v>
      </c>
      <c r="C508" s="138"/>
      <c r="D508" s="138"/>
      <c r="E508" s="14"/>
    </row>
    <row r="509" spans="2:6">
      <c r="B509" s="10" t="s">
        <v>336</v>
      </c>
      <c r="C509" s="131">
        <v>1</v>
      </c>
      <c r="D509" s="8" t="s">
        <v>65</v>
      </c>
      <c r="E509" s="9"/>
    </row>
    <row r="510" spans="2:6">
      <c r="B510" s="10"/>
      <c r="C510" s="131"/>
      <c r="D510" s="8"/>
      <c r="E510" s="9"/>
    </row>
    <row r="511" spans="2:6">
      <c r="B511" s="10"/>
      <c r="C511" s="131"/>
      <c r="D511" s="8"/>
      <c r="E511" s="9"/>
    </row>
    <row r="512" spans="2:6">
      <c r="B512" s="7"/>
      <c r="C512" s="136"/>
      <c r="D512" s="136"/>
      <c r="E512" s="7"/>
    </row>
    <row r="513" spans="2:6">
      <c r="B513" s="5" t="s">
        <v>337</v>
      </c>
      <c r="C513" s="135"/>
      <c r="D513" s="135"/>
      <c r="E513" s="6"/>
    </row>
    <row r="514" spans="2:6">
      <c r="B514" s="15" t="s">
        <v>338</v>
      </c>
      <c r="C514" s="19">
        <v>1</v>
      </c>
      <c r="D514" s="17" t="s">
        <v>109</v>
      </c>
      <c r="E514" s="18" t="s">
        <v>339</v>
      </c>
      <c r="F514" s="34" t="s">
        <v>340</v>
      </c>
    </row>
    <row r="515" spans="2:6">
      <c r="B515" s="15"/>
      <c r="C515" s="19"/>
      <c r="D515" s="17"/>
      <c r="E515" s="18"/>
    </row>
    <row r="516" spans="2:6">
      <c r="B516" s="15"/>
      <c r="C516" s="19"/>
      <c r="D516" s="17"/>
      <c r="E516" s="18"/>
    </row>
    <row r="517" spans="2:6">
      <c r="B517" s="7"/>
      <c r="C517" s="136"/>
      <c r="D517" s="136"/>
      <c r="E517" s="7"/>
    </row>
    <row r="518" spans="2:6">
      <c r="B518" s="11" t="s">
        <v>341</v>
      </c>
      <c r="C518" s="137"/>
      <c r="D518" s="137"/>
      <c r="E518" s="12"/>
    </row>
    <row r="519" spans="2:6">
      <c r="B519" s="15" t="s">
        <v>342</v>
      </c>
      <c r="C519" s="19">
        <v>1</v>
      </c>
      <c r="D519" s="17" t="s">
        <v>109</v>
      </c>
      <c r="E519" s="18" t="s">
        <v>339</v>
      </c>
      <c r="F519" s="34" t="s">
        <v>340</v>
      </c>
    </row>
    <row r="520" spans="2:6">
      <c r="B520" s="15"/>
      <c r="C520" s="19"/>
      <c r="D520" s="17"/>
      <c r="E520" s="18"/>
    </row>
    <row r="521" spans="2:6">
      <c r="B521" s="15"/>
      <c r="C521" s="19"/>
      <c r="D521" s="17"/>
      <c r="E521" s="18"/>
    </row>
    <row r="522" spans="2:6">
      <c r="B522" s="7"/>
      <c r="C522" s="136"/>
      <c r="D522" s="136"/>
      <c r="E522" s="7"/>
    </row>
    <row r="523" spans="2:6">
      <c r="B523" s="13" t="s">
        <v>343</v>
      </c>
      <c r="C523" s="138"/>
      <c r="D523" s="138"/>
      <c r="E523" s="14"/>
    </row>
    <row r="524" spans="2:6">
      <c r="B524" s="10" t="s">
        <v>344</v>
      </c>
      <c r="C524" s="131">
        <v>60</v>
      </c>
      <c r="D524" s="8" t="s">
        <v>88</v>
      </c>
      <c r="E524" s="9"/>
    </row>
    <row r="525" spans="2:6">
      <c r="B525" s="10" t="s">
        <v>345</v>
      </c>
      <c r="C525" s="131">
        <v>12</v>
      </c>
      <c r="D525" s="8" t="s">
        <v>88</v>
      </c>
      <c r="E525" s="9"/>
    </row>
    <row r="526" spans="2:6">
      <c r="B526" s="10" t="s">
        <v>346</v>
      </c>
      <c r="C526" s="131">
        <v>12</v>
      </c>
      <c r="D526" s="8" t="s">
        <v>88</v>
      </c>
      <c r="E526" s="9"/>
    </row>
    <row r="527" spans="2:6">
      <c r="B527" s="10" t="s">
        <v>347</v>
      </c>
      <c r="C527" s="131">
        <v>20</v>
      </c>
      <c r="D527" s="8" t="s">
        <v>88</v>
      </c>
      <c r="E527" s="9"/>
    </row>
    <row r="528" spans="2:6">
      <c r="B528" s="10" t="s">
        <v>348</v>
      </c>
      <c r="C528" s="131">
        <v>10</v>
      </c>
      <c r="D528" s="8" t="s">
        <v>88</v>
      </c>
      <c r="E528" s="9"/>
    </row>
    <row r="529" spans="2:5">
      <c r="B529" s="10"/>
      <c r="C529" s="131"/>
      <c r="D529" s="8"/>
      <c r="E529" s="9"/>
    </row>
    <row r="530" spans="2:5">
      <c r="B530" s="10"/>
      <c r="C530" s="131"/>
      <c r="D530" s="8"/>
      <c r="E530" s="9"/>
    </row>
    <row r="531" spans="2:5">
      <c r="B531" s="10"/>
      <c r="C531" s="131"/>
      <c r="D531" s="8"/>
      <c r="E531" s="9"/>
    </row>
    <row r="532" spans="2:5">
      <c r="B532" s="10"/>
      <c r="C532" s="131"/>
      <c r="D532" s="8"/>
      <c r="E532" s="9"/>
    </row>
    <row r="533" spans="2:5">
      <c r="B533" s="7"/>
      <c r="C533" s="136"/>
      <c r="D533" s="136"/>
      <c r="E533" s="7"/>
    </row>
    <row r="534" spans="2:5">
      <c r="B534" s="5" t="s">
        <v>349</v>
      </c>
      <c r="C534" s="135"/>
      <c r="D534" s="135"/>
      <c r="E534" s="6"/>
    </row>
    <row r="535" spans="2:5">
      <c r="B535" s="15" t="s">
        <v>344</v>
      </c>
      <c r="C535" s="19">
        <v>1</v>
      </c>
      <c r="D535" s="17" t="s">
        <v>65</v>
      </c>
      <c r="E535" s="18"/>
    </row>
    <row r="536" spans="2:5">
      <c r="B536" s="15" t="s">
        <v>350</v>
      </c>
      <c r="C536" s="19">
        <v>10</v>
      </c>
      <c r="D536" s="17" t="s">
        <v>74</v>
      </c>
      <c r="E536" s="18"/>
    </row>
    <row r="537" spans="2:5">
      <c r="B537" s="15" t="s">
        <v>351</v>
      </c>
      <c r="C537" s="19">
        <v>20</v>
      </c>
      <c r="D537" s="17" t="s">
        <v>74</v>
      </c>
      <c r="E537" s="18"/>
    </row>
    <row r="538" spans="2:5">
      <c r="B538" s="18" t="s">
        <v>352</v>
      </c>
      <c r="C538" s="16">
        <v>90</v>
      </c>
      <c r="D538" s="17" t="s">
        <v>74</v>
      </c>
      <c r="E538" s="18"/>
    </row>
    <row r="539" spans="2:5">
      <c r="B539" s="18" t="s">
        <v>353</v>
      </c>
      <c r="C539" s="16">
        <v>20</v>
      </c>
      <c r="D539" s="17" t="s">
        <v>74</v>
      </c>
      <c r="E539" s="18"/>
    </row>
    <row r="540" spans="2:5">
      <c r="B540" s="15"/>
      <c r="C540" s="19"/>
      <c r="D540" s="17"/>
      <c r="E540" s="18"/>
    </row>
    <row r="541" spans="2:5">
      <c r="B541" s="15"/>
      <c r="C541" s="19"/>
      <c r="D541" s="17"/>
      <c r="E541" s="18"/>
    </row>
    <row r="542" spans="2:5">
      <c r="B542" s="15"/>
      <c r="C542" s="19"/>
      <c r="D542" s="17"/>
      <c r="E542" s="18"/>
    </row>
    <row r="543" spans="2:5">
      <c r="B543" s="15"/>
      <c r="C543" s="19"/>
      <c r="D543" s="17"/>
      <c r="E543" s="18"/>
    </row>
    <row r="544" spans="2:5">
      <c r="B544" s="7"/>
      <c r="C544" s="136"/>
      <c r="D544" s="136"/>
      <c r="E544" s="7"/>
    </row>
    <row r="545" spans="1:5">
      <c r="B545" s="11" t="s">
        <v>354</v>
      </c>
      <c r="C545" s="137"/>
      <c r="D545" s="137"/>
      <c r="E545" s="12"/>
    </row>
    <row r="546" spans="1:5">
      <c r="B546" s="15" t="s">
        <v>344</v>
      </c>
      <c r="C546" s="19">
        <v>1</v>
      </c>
      <c r="D546" s="17" t="s">
        <v>109</v>
      </c>
      <c r="E546" s="18"/>
    </row>
    <row r="547" spans="1:5">
      <c r="B547" s="15" t="s">
        <v>355</v>
      </c>
      <c r="C547" s="19">
        <v>60</v>
      </c>
      <c r="D547" s="17" t="s">
        <v>74</v>
      </c>
      <c r="E547" s="18"/>
    </row>
    <row r="548" spans="1:5">
      <c r="B548" s="15" t="s">
        <v>356</v>
      </c>
      <c r="C548" s="19">
        <v>30</v>
      </c>
      <c r="D548" s="17" t="s">
        <v>74</v>
      </c>
      <c r="E548" s="18"/>
    </row>
    <row r="549" spans="1:5">
      <c r="B549" s="15" t="s">
        <v>357</v>
      </c>
      <c r="C549" s="19">
        <v>30</v>
      </c>
      <c r="D549" s="17" t="s">
        <v>74</v>
      </c>
      <c r="E549" s="18"/>
    </row>
    <row r="550" spans="1:5">
      <c r="B550" s="15"/>
      <c r="C550" s="19"/>
      <c r="D550" s="17"/>
      <c r="E550" s="18"/>
    </row>
    <row r="551" spans="1:5">
      <c r="B551" s="15"/>
      <c r="C551" s="19"/>
      <c r="D551" s="17"/>
      <c r="E551" s="18"/>
    </row>
    <row r="552" spans="1:5">
      <c r="B552" s="15"/>
      <c r="C552" s="19"/>
      <c r="D552" s="17"/>
      <c r="E552" s="18"/>
    </row>
    <row r="553" spans="1:5">
      <c r="B553" s="15"/>
      <c r="C553" s="19"/>
      <c r="D553" s="17"/>
      <c r="E553" s="18"/>
    </row>
    <row r="554" spans="1:5">
      <c r="B554" s="15"/>
      <c r="C554" s="19"/>
      <c r="D554" s="17"/>
      <c r="E554" s="18"/>
    </row>
    <row r="556" spans="1:5">
      <c r="A556" s="35" t="s">
        <v>358</v>
      </c>
      <c r="B556" s="11" t="s">
        <v>359</v>
      </c>
      <c r="C556" s="32">
        <v>1</v>
      </c>
      <c r="D556" s="32" t="s">
        <v>65</v>
      </c>
      <c r="E556" s="33" t="s">
        <v>360</v>
      </c>
    </row>
    <row r="557" spans="1:5">
      <c r="A557" s="35" t="s">
        <v>358</v>
      </c>
      <c r="B557" s="11" t="s">
        <v>361</v>
      </c>
      <c r="C557" s="32">
        <v>1</v>
      </c>
      <c r="D557" s="32" t="s">
        <v>65</v>
      </c>
      <c r="E557" s="33" t="s">
        <v>362</v>
      </c>
    </row>
    <row r="558" spans="1:5">
      <c r="A558" s="35" t="s">
        <v>358</v>
      </c>
      <c r="B558" s="11" t="s">
        <v>363</v>
      </c>
      <c r="C558" s="32">
        <v>1</v>
      </c>
      <c r="D558" s="32" t="s">
        <v>65</v>
      </c>
      <c r="E558" s="33" t="s">
        <v>364</v>
      </c>
    </row>
    <row r="559" spans="1:5">
      <c r="A559" s="35" t="s">
        <v>358</v>
      </c>
      <c r="B559" s="11" t="s">
        <v>365</v>
      </c>
      <c r="C559" s="32">
        <v>1</v>
      </c>
      <c r="D559" s="32" t="s">
        <v>65</v>
      </c>
      <c r="E559" s="33" t="s">
        <v>366</v>
      </c>
    </row>
    <row r="560" spans="1:5">
      <c r="A560" s="35" t="s">
        <v>358</v>
      </c>
      <c r="B560" s="11" t="s">
        <v>367</v>
      </c>
      <c r="C560" s="32">
        <v>1</v>
      </c>
      <c r="D560" s="32" t="s">
        <v>65</v>
      </c>
      <c r="E560" s="33" t="s">
        <v>368</v>
      </c>
    </row>
    <row r="561" spans="1:5">
      <c r="A561" s="35" t="s">
        <v>358</v>
      </c>
      <c r="B561" s="118" t="s">
        <v>369</v>
      </c>
      <c r="C561" s="119">
        <v>1</v>
      </c>
      <c r="D561" s="119" t="s">
        <v>65</v>
      </c>
      <c r="E561" s="33" t="s">
        <v>370</v>
      </c>
    </row>
    <row r="562" spans="1:5">
      <c r="A562" s="35" t="s">
        <v>358</v>
      </c>
      <c r="B562" s="118" t="s">
        <v>371</v>
      </c>
      <c r="C562" s="119">
        <v>1</v>
      </c>
      <c r="D562" s="119" t="s">
        <v>65</v>
      </c>
      <c r="E562" s="33" t="s">
        <v>372</v>
      </c>
    </row>
    <row r="563" spans="1:5">
      <c r="A563" s="35" t="s">
        <v>358</v>
      </c>
      <c r="B563" s="118" t="s">
        <v>373</v>
      </c>
      <c r="C563" s="119">
        <v>1</v>
      </c>
      <c r="D563" s="119" t="s">
        <v>65</v>
      </c>
      <c r="E563" s="33" t="s">
        <v>374</v>
      </c>
    </row>
    <row r="564" spans="1:5">
      <c r="A564" s="35" t="s">
        <v>358</v>
      </c>
      <c r="B564" s="118" t="s">
        <v>375</v>
      </c>
      <c r="C564" s="119">
        <v>1</v>
      </c>
      <c r="D564" s="119" t="s">
        <v>65</v>
      </c>
      <c r="E564" s="33" t="s">
        <v>376</v>
      </c>
    </row>
    <row r="565" spans="1:5">
      <c r="A565" s="35" t="s">
        <v>358</v>
      </c>
      <c r="B565" s="118" t="s">
        <v>377</v>
      </c>
      <c r="C565" s="119">
        <v>1</v>
      </c>
      <c r="D565" s="119" t="s">
        <v>65</v>
      </c>
      <c r="E565" s="33" t="s">
        <v>378</v>
      </c>
    </row>
    <row r="566" spans="1:5">
      <c r="A566" s="35" t="s">
        <v>358</v>
      </c>
      <c r="B566" s="11" t="s">
        <v>379</v>
      </c>
      <c r="C566" s="32">
        <v>1</v>
      </c>
      <c r="D566" s="32" t="s">
        <v>65</v>
      </c>
      <c r="E566" s="33"/>
    </row>
    <row r="567" spans="1:5">
      <c r="A567" s="35" t="s">
        <v>358</v>
      </c>
      <c r="B567" s="11" t="s">
        <v>380</v>
      </c>
      <c r="C567" s="32">
        <v>1</v>
      </c>
      <c r="D567" s="32" t="s">
        <v>65</v>
      </c>
      <c r="E567"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12E0C-3D3D-4AE7-9FDC-CF61856E1F48}">
  <dimension ref="A1:F232"/>
  <sheetViews>
    <sheetView topLeftCell="A210" zoomScale="130" zoomScaleNormal="130" workbookViewId="0">
      <selection activeCell="E220" sqref="E220:E229"/>
    </sheetView>
  </sheetViews>
  <sheetFormatPr defaultRowHeight="14.4"/>
  <cols>
    <col min="2" max="2" width="59.109375" style="42" customWidth="1"/>
    <col min="3" max="4" width="10.6640625" style="43" customWidth="1"/>
    <col min="5" max="5" width="72.88671875" style="44" customWidth="1"/>
    <col min="6" max="6" width="10.5546875" style="34" bestFit="1" customWidth="1"/>
  </cols>
  <sheetData>
    <row r="1" spans="2:5">
      <c r="B1" s="42" t="s">
        <v>381</v>
      </c>
    </row>
    <row r="2" spans="2:5" ht="17.399999999999999">
      <c r="B2" s="45" t="s">
        <v>382</v>
      </c>
      <c r="C2" s="46"/>
      <c r="D2" s="46"/>
      <c r="E2" s="47"/>
    </row>
    <row r="3" spans="2:5">
      <c r="B3" s="4" t="s">
        <v>59</v>
      </c>
      <c r="C3" s="4" t="s">
        <v>60</v>
      </c>
      <c r="D3" s="4" t="s">
        <v>61</v>
      </c>
      <c r="E3" s="4" t="s">
        <v>62</v>
      </c>
    </row>
    <row r="4" spans="2:5">
      <c r="B4" s="48" t="s">
        <v>383</v>
      </c>
      <c r="C4" s="49"/>
      <c r="D4" s="49"/>
      <c r="E4" s="50"/>
    </row>
    <row r="5" spans="2:5">
      <c r="B5" s="51" t="s">
        <v>289</v>
      </c>
      <c r="C5" s="52">
        <v>1</v>
      </c>
      <c r="D5" s="53" t="s">
        <v>65</v>
      </c>
      <c r="E5" s="54"/>
    </row>
    <row r="6" spans="2:5">
      <c r="B6" s="51" t="s">
        <v>290</v>
      </c>
      <c r="C6" s="52">
        <v>1</v>
      </c>
      <c r="D6" s="53" t="s">
        <v>65</v>
      </c>
      <c r="E6" s="54"/>
    </row>
    <row r="7" spans="2:5">
      <c r="B7" s="51" t="s">
        <v>384</v>
      </c>
      <c r="C7" s="52">
        <v>1</v>
      </c>
      <c r="D7" s="53" t="s">
        <v>65</v>
      </c>
      <c r="E7" s="54"/>
    </row>
    <row r="8" spans="2:5">
      <c r="B8" s="51" t="s">
        <v>385</v>
      </c>
      <c r="C8" s="52">
        <v>1</v>
      </c>
      <c r="D8" s="53" t="s">
        <v>65</v>
      </c>
      <c r="E8" s="54"/>
    </row>
    <row r="9" spans="2:5">
      <c r="B9" s="51" t="s">
        <v>386</v>
      </c>
      <c r="C9" s="52">
        <v>1</v>
      </c>
      <c r="D9" s="53" t="s">
        <v>65</v>
      </c>
      <c r="E9" s="54"/>
    </row>
    <row r="10" spans="2:5">
      <c r="B10" s="51" t="s">
        <v>387</v>
      </c>
      <c r="C10" s="52">
        <v>1</v>
      </c>
      <c r="D10" s="53" t="s">
        <v>65</v>
      </c>
      <c r="E10" s="54"/>
    </row>
    <row r="11" spans="2:5">
      <c r="B11" s="51" t="s">
        <v>388</v>
      </c>
      <c r="C11" s="52">
        <v>1</v>
      </c>
      <c r="D11" s="53" t="s">
        <v>65</v>
      </c>
      <c r="E11" s="54"/>
    </row>
    <row r="12" spans="2:5">
      <c r="B12" s="51" t="s">
        <v>389</v>
      </c>
      <c r="C12" s="52">
        <v>1</v>
      </c>
      <c r="D12" s="53" t="s">
        <v>65</v>
      </c>
      <c r="E12" s="54"/>
    </row>
    <row r="13" spans="2:5">
      <c r="B13" s="51" t="s">
        <v>390</v>
      </c>
      <c r="C13" s="52">
        <v>1</v>
      </c>
      <c r="D13" s="53" t="s">
        <v>65</v>
      </c>
      <c r="E13" s="54"/>
    </row>
    <row r="14" spans="2:5">
      <c r="B14" s="51" t="s">
        <v>391</v>
      </c>
      <c r="C14" s="52">
        <v>1</v>
      </c>
      <c r="D14" s="53" t="s">
        <v>65</v>
      </c>
      <c r="E14" s="54"/>
    </row>
    <row r="15" spans="2:5">
      <c r="B15" s="51" t="s">
        <v>392</v>
      </c>
      <c r="C15" s="52">
        <v>1</v>
      </c>
      <c r="D15" s="53" t="s">
        <v>65</v>
      </c>
      <c r="E15" s="54"/>
    </row>
    <row r="16" spans="2:5">
      <c r="B16" s="51" t="s">
        <v>393</v>
      </c>
      <c r="C16" s="52">
        <v>1</v>
      </c>
      <c r="D16" s="53" t="s">
        <v>65</v>
      </c>
      <c r="E16" s="54"/>
    </row>
    <row r="17" spans="2:5">
      <c r="B17" s="51" t="s">
        <v>394</v>
      </c>
      <c r="C17" s="52">
        <v>1</v>
      </c>
      <c r="D17" s="53" t="s">
        <v>65</v>
      </c>
      <c r="E17" s="54"/>
    </row>
    <row r="18" spans="2:5">
      <c r="B18" s="51" t="s">
        <v>395</v>
      </c>
      <c r="C18" s="52">
        <v>1</v>
      </c>
      <c r="D18" s="53" t="s">
        <v>65</v>
      </c>
      <c r="E18" s="54"/>
    </row>
    <row r="19" spans="2:5">
      <c r="C19" s="42"/>
      <c r="D19" s="42"/>
    </row>
    <row r="20" spans="2:5">
      <c r="B20" s="55" t="s">
        <v>396</v>
      </c>
      <c r="C20" s="56"/>
      <c r="D20" s="56"/>
      <c r="E20" s="57"/>
    </row>
    <row r="21" spans="2:5">
      <c r="B21" s="51" t="s">
        <v>289</v>
      </c>
      <c r="C21" s="52">
        <v>1</v>
      </c>
      <c r="D21" s="53" t="s">
        <v>65</v>
      </c>
      <c r="E21" s="54"/>
    </row>
    <row r="22" spans="2:5">
      <c r="B22" s="51" t="s">
        <v>290</v>
      </c>
      <c r="C22" s="52">
        <v>1</v>
      </c>
      <c r="D22" s="53" t="s">
        <v>65</v>
      </c>
      <c r="E22" s="54"/>
    </row>
    <row r="23" spans="2:5">
      <c r="B23" s="51" t="s">
        <v>384</v>
      </c>
      <c r="C23" s="52">
        <v>1</v>
      </c>
      <c r="D23" s="53" t="s">
        <v>65</v>
      </c>
      <c r="E23" s="54"/>
    </row>
    <row r="24" spans="2:5">
      <c r="B24" s="51" t="s">
        <v>385</v>
      </c>
      <c r="C24" s="52">
        <v>1</v>
      </c>
      <c r="D24" s="53" t="s">
        <v>65</v>
      </c>
      <c r="E24" s="54"/>
    </row>
    <row r="25" spans="2:5">
      <c r="B25" s="51" t="s">
        <v>386</v>
      </c>
      <c r="C25" s="52">
        <v>1</v>
      </c>
      <c r="D25" s="53" t="s">
        <v>65</v>
      </c>
      <c r="E25" s="54"/>
    </row>
    <row r="26" spans="2:5">
      <c r="B26" s="51" t="s">
        <v>387</v>
      </c>
      <c r="C26" s="52">
        <v>1</v>
      </c>
      <c r="D26" s="53" t="s">
        <v>65</v>
      </c>
      <c r="E26" s="54"/>
    </row>
    <row r="27" spans="2:5">
      <c r="B27" s="51" t="s">
        <v>388</v>
      </c>
      <c r="C27" s="52">
        <v>1</v>
      </c>
      <c r="D27" s="53" t="s">
        <v>65</v>
      </c>
      <c r="E27" s="54"/>
    </row>
    <row r="28" spans="2:5">
      <c r="B28" s="51" t="s">
        <v>389</v>
      </c>
      <c r="C28" s="52">
        <v>1</v>
      </c>
      <c r="D28" s="53" t="s">
        <v>65</v>
      </c>
      <c r="E28" s="54"/>
    </row>
    <row r="29" spans="2:5">
      <c r="B29" s="51" t="s">
        <v>390</v>
      </c>
      <c r="C29" s="52">
        <v>1</v>
      </c>
      <c r="D29" s="53" t="s">
        <v>65</v>
      </c>
      <c r="E29" s="54"/>
    </row>
    <row r="30" spans="2:5">
      <c r="B30" s="51" t="s">
        <v>391</v>
      </c>
      <c r="C30" s="52">
        <v>1</v>
      </c>
      <c r="D30" s="53" t="s">
        <v>65</v>
      </c>
      <c r="E30" s="54"/>
    </row>
    <row r="31" spans="2:5">
      <c r="B31" s="51" t="s">
        <v>393</v>
      </c>
      <c r="C31" s="52">
        <v>1</v>
      </c>
      <c r="D31" s="53" t="s">
        <v>65</v>
      </c>
      <c r="E31" s="54"/>
    </row>
    <row r="32" spans="2:5">
      <c r="B32" s="51" t="s">
        <v>394</v>
      </c>
      <c r="C32" s="52">
        <v>1</v>
      </c>
      <c r="D32" s="53" t="s">
        <v>65</v>
      </c>
      <c r="E32" s="54"/>
    </row>
    <row r="33" spans="2:6">
      <c r="B33" s="51" t="s">
        <v>395</v>
      </c>
      <c r="C33" s="52">
        <v>1</v>
      </c>
      <c r="D33" s="53" t="s">
        <v>65</v>
      </c>
      <c r="E33" s="54"/>
    </row>
    <row r="34" spans="2:6">
      <c r="C34" s="42"/>
      <c r="D34" s="42"/>
    </row>
    <row r="35" spans="2:6">
      <c r="B35" s="58" t="s">
        <v>397</v>
      </c>
      <c r="C35" s="59"/>
      <c r="D35" s="60"/>
      <c r="E35" s="61"/>
    </row>
    <row r="36" spans="2:6">
      <c r="B36" s="51" t="s">
        <v>398</v>
      </c>
      <c r="C36" s="52">
        <v>15</v>
      </c>
      <c r="D36" s="62" t="s">
        <v>88</v>
      </c>
      <c r="E36" s="54"/>
    </row>
    <row r="37" spans="2:6">
      <c r="B37" s="51" t="s">
        <v>399</v>
      </c>
      <c r="C37" s="52">
        <v>20</v>
      </c>
      <c r="D37" s="62" t="s">
        <v>88</v>
      </c>
      <c r="E37" s="54"/>
    </row>
    <row r="38" spans="2:6">
      <c r="B38" s="51" t="s">
        <v>400</v>
      </c>
      <c r="C38" s="52">
        <v>35</v>
      </c>
      <c r="D38" s="62" t="s">
        <v>88</v>
      </c>
      <c r="E38" s="54"/>
    </row>
    <row r="39" spans="2:6">
      <c r="B39" s="63" t="s">
        <v>89</v>
      </c>
      <c r="C39" s="64"/>
      <c r="D39" s="62"/>
      <c r="E39" s="54"/>
    </row>
    <row r="40" spans="2:6">
      <c r="B40" s="65"/>
      <c r="C40" s="66"/>
      <c r="D40" s="53"/>
      <c r="E40" s="54"/>
    </row>
    <row r="41" spans="2:6">
      <c r="B41" s="51"/>
      <c r="C41" s="52"/>
      <c r="D41" s="53"/>
      <c r="E41" s="54"/>
    </row>
    <row r="42" spans="2:6">
      <c r="B42" s="51"/>
      <c r="C42" s="52"/>
      <c r="D42" s="53"/>
      <c r="E42" s="54"/>
    </row>
    <row r="43" spans="2:6">
      <c r="B43" s="51"/>
      <c r="C43" s="52"/>
      <c r="D43" s="53"/>
      <c r="E43" s="54"/>
    </row>
    <row r="44" spans="2:6">
      <c r="B44" s="51"/>
      <c r="C44" s="52"/>
      <c r="D44" s="53"/>
      <c r="E44" s="54"/>
    </row>
    <row r="45" spans="2:6">
      <c r="C45" s="42"/>
      <c r="D45" s="42"/>
    </row>
    <row r="46" spans="2:6">
      <c r="B46" s="48" t="s">
        <v>401</v>
      </c>
      <c r="C46" s="49"/>
      <c r="D46" s="49"/>
      <c r="E46" s="50"/>
    </row>
    <row r="47" spans="2:6">
      <c r="B47" s="67" t="s">
        <v>402</v>
      </c>
      <c r="C47" s="68" t="s">
        <v>403</v>
      </c>
      <c r="D47" s="69" t="s">
        <v>74</v>
      </c>
      <c r="E47" s="70"/>
      <c r="F47" s="34" t="s">
        <v>404</v>
      </c>
    </row>
    <row r="48" spans="2:6">
      <c r="B48" s="67" t="s">
        <v>405</v>
      </c>
      <c r="C48" s="68">
        <v>30</v>
      </c>
      <c r="D48" s="69" t="s">
        <v>74</v>
      </c>
      <c r="E48" s="70"/>
    </row>
    <row r="49" spans="2:6">
      <c r="B49" s="67" t="s">
        <v>406</v>
      </c>
      <c r="C49" s="68">
        <v>30</v>
      </c>
      <c r="D49" s="69" t="s">
        <v>74</v>
      </c>
      <c r="E49" s="70"/>
    </row>
    <row r="50" spans="2:6">
      <c r="B50" s="67"/>
      <c r="C50" s="68"/>
      <c r="D50" s="69"/>
      <c r="E50" s="70"/>
    </row>
    <row r="51" spans="2:6">
      <c r="B51" s="67"/>
      <c r="C51" s="68"/>
      <c r="D51" s="69"/>
      <c r="E51" s="70"/>
    </row>
    <row r="52" spans="2:6">
      <c r="B52" s="67"/>
      <c r="C52" s="68"/>
      <c r="D52" s="69"/>
      <c r="E52" s="70"/>
    </row>
    <row r="53" spans="2:6">
      <c r="B53" s="67"/>
      <c r="C53" s="68"/>
      <c r="D53" s="69"/>
      <c r="E53" s="70"/>
    </row>
    <row r="54" spans="2:6">
      <c r="B54" s="67"/>
      <c r="C54" s="68"/>
      <c r="D54" s="69"/>
      <c r="E54" s="70"/>
    </row>
    <row r="55" spans="2:6">
      <c r="B55" s="67"/>
      <c r="C55" s="68"/>
      <c r="D55" s="69"/>
      <c r="E55" s="70"/>
    </row>
    <row r="56" spans="2:6">
      <c r="C56" s="42"/>
      <c r="D56" s="42"/>
    </row>
    <row r="57" spans="2:6">
      <c r="B57" s="55" t="s">
        <v>407</v>
      </c>
      <c r="C57" s="56"/>
      <c r="D57" s="56"/>
      <c r="E57" s="57"/>
    </row>
    <row r="58" spans="2:6">
      <c r="B58" s="67" t="s">
        <v>408</v>
      </c>
      <c r="C58" s="68" t="s">
        <v>403</v>
      </c>
      <c r="D58" s="69" t="s">
        <v>74</v>
      </c>
      <c r="E58" s="70"/>
      <c r="F58" s="34" t="s">
        <v>404</v>
      </c>
    </row>
    <row r="59" spans="2:6">
      <c r="B59" s="67" t="s">
        <v>409</v>
      </c>
      <c r="C59" s="68">
        <v>30</v>
      </c>
      <c r="D59" s="69" t="s">
        <v>74</v>
      </c>
      <c r="E59" s="70"/>
    </row>
    <row r="60" spans="2:6">
      <c r="B60" s="67" t="s">
        <v>410</v>
      </c>
      <c r="C60" s="68">
        <v>30</v>
      </c>
      <c r="D60" s="69" t="s">
        <v>74</v>
      </c>
      <c r="E60" s="70"/>
    </row>
    <row r="61" spans="2:6">
      <c r="B61" s="67"/>
      <c r="C61" s="68"/>
      <c r="D61" s="69"/>
      <c r="E61" s="70"/>
    </row>
    <row r="62" spans="2:6">
      <c r="B62" s="67"/>
      <c r="C62" s="68"/>
      <c r="D62" s="69"/>
      <c r="E62" s="70"/>
    </row>
    <row r="63" spans="2:6">
      <c r="B63" s="67"/>
      <c r="C63" s="68"/>
      <c r="D63" s="69"/>
      <c r="E63" s="70"/>
    </row>
    <row r="64" spans="2:6">
      <c r="B64" s="67"/>
      <c r="C64" s="68"/>
      <c r="D64" s="69"/>
      <c r="E64" s="70"/>
    </row>
    <row r="65" spans="2:5">
      <c r="B65" s="67"/>
      <c r="C65" s="68"/>
      <c r="D65" s="69"/>
      <c r="E65" s="70"/>
    </row>
    <row r="66" spans="2:5">
      <c r="B66" s="71"/>
      <c r="C66" s="68"/>
      <c r="D66" s="69"/>
      <c r="E66" s="70"/>
    </row>
    <row r="67" spans="2:5">
      <c r="C67" s="42"/>
      <c r="D67" s="42"/>
    </row>
    <row r="68" spans="2:5">
      <c r="B68" s="72" t="s">
        <v>411</v>
      </c>
      <c r="C68" s="60"/>
      <c r="D68" s="60"/>
      <c r="E68" s="61"/>
    </row>
    <row r="69" spans="2:5">
      <c r="B69" s="51" t="s">
        <v>412</v>
      </c>
      <c r="C69" s="52">
        <v>4</v>
      </c>
      <c r="D69" s="53" t="s">
        <v>413</v>
      </c>
      <c r="E69" s="54"/>
    </row>
    <row r="70" spans="2:5">
      <c r="B70" s="51" t="s">
        <v>414</v>
      </c>
      <c r="C70" s="52">
        <v>30</v>
      </c>
      <c r="D70" s="53" t="s">
        <v>198</v>
      </c>
      <c r="E70" s="54"/>
    </row>
    <row r="71" spans="2:5">
      <c r="B71" s="51" t="s">
        <v>415</v>
      </c>
      <c r="C71" s="52">
        <v>80</v>
      </c>
      <c r="D71" s="53" t="s">
        <v>88</v>
      </c>
      <c r="E71" s="54"/>
    </row>
    <row r="72" spans="2:5">
      <c r="B72" s="51" t="s">
        <v>416</v>
      </c>
      <c r="C72" s="52">
        <v>60</v>
      </c>
      <c r="D72" s="53" t="s">
        <v>88</v>
      </c>
      <c r="E72" s="54"/>
    </row>
    <row r="73" spans="2:5">
      <c r="B73" s="51"/>
      <c r="C73" s="52"/>
      <c r="D73" s="53"/>
      <c r="E73" s="54"/>
    </row>
    <row r="74" spans="2:5">
      <c r="B74" s="51"/>
      <c r="C74" s="52"/>
      <c r="D74" s="53"/>
      <c r="E74" s="54"/>
    </row>
    <row r="75" spans="2:5">
      <c r="B75" s="51"/>
      <c r="C75" s="52"/>
      <c r="D75" s="53"/>
      <c r="E75" s="54"/>
    </row>
    <row r="76" spans="2:5">
      <c r="B76" s="51"/>
      <c r="C76" s="52"/>
      <c r="D76" s="53"/>
      <c r="E76" s="54"/>
    </row>
    <row r="77" spans="2:5">
      <c r="B77" s="51"/>
      <c r="C77" s="52"/>
      <c r="D77" s="53"/>
      <c r="E77" s="54"/>
    </row>
    <row r="78" spans="2:5">
      <c r="C78" s="42"/>
      <c r="D78" s="42"/>
    </row>
    <row r="79" spans="2:5">
      <c r="B79" s="48" t="s">
        <v>417</v>
      </c>
      <c r="C79" s="49"/>
      <c r="D79" s="49"/>
      <c r="E79" s="50"/>
    </row>
    <row r="80" spans="2:5">
      <c r="B80" s="67" t="s">
        <v>424</v>
      </c>
      <c r="C80" s="68">
        <v>90</v>
      </c>
      <c r="D80" s="69" t="s">
        <v>74</v>
      </c>
      <c r="E80" s="70"/>
    </row>
    <row r="81" spans="2:5">
      <c r="B81" s="67" t="s">
        <v>425</v>
      </c>
      <c r="C81" s="68">
        <v>30</v>
      </c>
      <c r="D81" s="69" t="s">
        <v>74</v>
      </c>
      <c r="E81" s="70"/>
    </row>
    <row r="82" spans="2:5">
      <c r="B82" s="67" t="s">
        <v>426</v>
      </c>
      <c r="C82" s="68">
        <v>90</v>
      </c>
      <c r="D82" s="69" t="s">
        <v>74</v>
      </c>
      <c r="E82" s="70"/>
    </row>
    <row r="83" spans="2:5">
      <c r="B83" s="67" t="s">
        <v>427</v>
      </c>
      <c r="C83" s="68">
        <v>60</v>
      </c>
      <c r="D83" s="69" t="s">
        <v>74</v>
      </c>
      <c r="E83" s="70"/>
    </row>
    <row r="84" spans="2:5">
      <c r="B84" s="67" t="s">
        <v>825</v>
      </c>
      <c r="C84" s="68">
        <v>1</v>
      </c>
      <c r="D84" s="69" t="s">
        <v>109</v>
      </c>
      <c r="E84" s="70"/>
    </row>
    <row r="85" spans="2:5">
      <c r="B85" s="71"/>
      <c r="C85" s="68"/>
      <c r="D85" s="69"/>
      <c r="E85" s="70"/>
    </row>
    <row r="86" spans="2:5">
      <c r="B86" s="71"/>
      <c r="C86" s="68"/>
      <c r="D86" s="69"/>
      <c r="E86" s="70"/>
    </row>
    <row r="87" spans="2:5">
      <c r="B87" s="71"/>
      <c r="C87" s="68"/>
      <c r="D87" s="69"/>
      <c r="E87" s="70"/>
    </row>
    <row r="88" spans="2:5">
      <c r="B88" s="71"/>
      <c r="C88" s="68"/>
      <c r="D88" s="69"/>
      <c r="E88" s="70"/>
    </row>
    <row r="89" spans="2:5">
      <c r="C89" s="42"/>
      <c r="D89" s="42"/>
    </row>
    <row r="90" spans="2:5">
      <c r="B90" s="55" t="s">
        <v>423</v>
      </c>
      <c r="C90" s="56"/>
      <c r="D90" s="56"/>
      <c r="E90" s="57"/>
    </row>
    <row r="91" spans="2:5">
      <c r="B91" s="67" t="s">
        <v>418</v>
      </c>
      <c r="C91" s="68">
        <v>90</v>
      </c>
      <c r="D91" s="69" t="s">
        <v>74</v>
      </c>
      <c r="E91" s="115" t="s">
        <v>419</v>
      </c>
    </row>
    <row r="92" spans="2:5">
      <c r="B92" s="67" t="s">
        <v>420</v>
      </c>
      <c r="C92" s="68">
        <v>30</v>
      </c>
      <c r="D92" s="69" t="s">
        <v>74</v>
      </c>
      <c r="E92" s="70"/>
    </row>
    <row r="93" spans="2:5">
      <c r="B93" s="67" t="s">
        <v>421</v>
      </c>
      <c r="C93" s="68">
        <v>90</v>
      </c>
      <c r="D93" s="69" t="s">
        <v>74</v>
      </c>
      <c r="E93" s="70"/>
    </row>
    <row r="94" spans="2:5">
      <c r="B94" s="67" t="s">
        <v>422</v>
      </c>
      <c r="C94" s="68">
        <v>60</v>
      </c>
      <c r="D94" s="69" t="s">
        <v>74</v>
      </c>
      <c r="E94" s="70"/>
    </row>
    <row r="95" spans="2:5">
      <c r="B95" s="67"/>
      <c r="C95" s="68"/>
      <c r="D95" s="69"/>
      <c r="E95" s="70"/>
    </row>
    <row r="96" spans="2:5">
      <c r="B96" s="71"/>
      <c r="C96" s="68"/>
      <c r="D96" s="69"/>
      <c r="E96" s="70"/>
    </row>
    <row r="97" spans="2:5">
      <c r="B97" s="71"/>
      <c r="C97" s="68"/>
      <c r="D97" s="69"/>
      <c r="E97" s="70"/>
    </row>
    <row r="98" spans="2:5">
      <c r="B98" s="71"/>
      <c r="C98" s="68"/>
      <c r="D98" s="69"/>
      <c r="E98" s="70"/>
    </row>
    <row r="99" spans="2:5">
      <c r="B99" s="71"/>
      <c r="C99" s="68"/>
      <c r="D99" s="69"/>
      <c r="E99" s="70"/>
    </row>
    <row r="100" spans="2:5">
      <c r="C100" s="42"/>
      <c r="D100" s="42"/>
    </row>
    <row r="101" spans="2:5">
      <c r="B101" s="72" t="s">
        <v>428</v>
      </c>
      <c r="C101" s="60"/>
      <c r="D101" s="60"/>
      <c r="E101" s="61"/>
    </row>
    <row r="102" spans="2:5">
      <c r="B102" s="51" t="s">
        <v>429</v>
      </c>
      <c r="C102" s="52">
        <v>100</v>
      </c>
      <c r="D102" s="53" t="s">
        <v>88</v>
      </c>
      <c r="E102" s="54"/>
    </row>
    <row r="103" spans="2:5">
      <c r="B103" s="51" t="s">
        <v>430</v>
      </c>
      <c r="C103" s="52">
        <v>30</v>
      </c>
      <c r="D103" s="53" t="s">
        <v>198</v>
      </c>
      <c r="E103" s="54"/>
    </row>
    <row r="104" spans="2:5">
      <c r="B104" s="51" t="s">
        <v>431</v>
      </c>
      <c r="C104" s="52">
        <v>80</v>
      </c>
      <c r="D104" s="53" t="s">
        <v>88</v>
      </c>
      <c r="E104" s="54"/>
    </row>
    <row r="105" spans="2:5">
      <c r="B105" s="51" t="s">
        <v>432</v>
      </c>
      <c r="C105" s="52">
        <v>40</v>
      </c>
      <c r="D105" s="53" t="s">
        <v>88</v>
      </c>
      <c r="E105" s="54"/>
    </row>
    <row r="106" spans="2:5">
      <c r="B106" s="51" t="s">
        <v>433</v>
      </c>
      <c r="C106" s="52">
        <v>0</v>
      </c>
      <c r="D106" s="53"/>
      <c r="E106" s="54"/>
    </row>
    <row r="107" spans="2:5">
      <c r="B107" s="73" t="s">
        <v>434</v>
      </c>
      <c r="C107" s="52" t="s">
        <v>434</v>
      </c>
      <c r="D107" s="53"/>
      <c r="E107" s="54"/>
    </row>
    <row r="108" spans="2:5">
      <c r="B108" s="73"/>
      <c r="C108" s="52"/>
      <c r="D108" s="53"/>
      <c r="E108" s="54"/>
    </row>
    <row r="109" spans="2:5">
      <c r="B109" s="73"/>
      <c r="C109" s="52"/>
      <c r="D109" s="53"/>
      <c r="E109" s="54"/>
    </row>
    <row r="110" spans="2:5">
      <c r="B110" s="73"/>
      <c r="C110" s="52"/>
      <c r="D110" s="53"/>
      <c r="E110" s="54"/>
    </row>
    <row r="111" spans="2:5">
      <c r="B111" s="73"/>
      <c r="C111" s="42"/>
      <c r="D111" s="42"/>
    </row>
    <row r="112" spans="2:5">
      <c r="B112" s="48" t="s">
        <v>435</v>
      </c>
      <c r="C112" s="49"/>
      <c r="D112" s="49"/>
      <c r="E112" s="50"/>
    </row>
    <row r="113" spans="2:5">
      <c r="B113" s="15" t="s">
        <v>436</v>
      </c>
      <c r="C113" s="19">
        <v>90</v>
      </c>
      <c r="D113" s="17" t="s">
        <v>74</v>
      </c>
      <c r="E113" s="18" t="s">
        <v>186</v>
      </c>
    </row>
    <row r="114" spans="2:5">
      <c r="B114" s="15" t="s">
        <v>187</v>
      </c>
      <c r="C114" s="19">
        <v>30</v>
      </c>
      <c r="D114" s="17" t="s">
        <v>74</v>
      </c>
      <c r="E114" s="18"/>
    </row>
    <row r="115" spans="2:5">
      <c r="B115" s="15" t="s">
        <v>188</v>
      </c>
      <c r="C115" s="19">
        <v>30</v>
      </c>
      <c r="D115" s="17" t="s">
        <v>74</v>
      </c>
      <c r="E115" s="18"/>
    </row>
    <row r="116" spans="2:5">
      <c r="B116" s="15" t="s">
        <v>189</v>
      </c>
      <c r="C116" s="19">
        <v>60</v>
      </c>
      <c r="D116" s="17" t="s">
        <v>74</v>
      </c>
      <c r="E116" s="18"/>
    </row>
    <row r="117" spans="2:5">
      <c r="B117" s="15" t="s">
        <v>826</v>
      </c>
      <c r="C117" s="68" t="s">
        <v>827</v>
      </c>
      <c r="D117" s="69" t="s">
        <v>74</v>
      </c>
      <c r="E117" s="70"/>
    </row>
    <row r="118" spans="2:5">
      <c r="B118" s="71"/>
      <c r="C118" s="68"/>
      <c r="D118" s="69"/>
      <c r="E118" s="70"/>
    </row>
    <row r="119" spans="2:5">
      <c r="B119" s="71"/>
      <c r="C119" s="68"/>
      <c r="D119" s="69"/>
      <c r="E119" s="70"/>
    </row>
    <row r="120" spans="2:5">
      <c r="B120" s="71"/>
      <c r="C120" s="68"/>
      <c r="D120" s="69"/>
      <c r="E120" s="70"/>
    </row>
    <row r="121" spans="2:5">
      <c r="B121" s="71"/>
      <c r="C121" s="68"/>
      <c r="D121" s="69"/>
      <c r="E121" s="70"/>
    </row>
    <row r="122" spans="2:5">
      <c r="C122" s="42"/>
      <c r="D122" s="42"/>
    </row>
    <row r="123" spans="2:5">
      <c r="B123" s="55" t="s">
        <v>437</v>
      </c>
      <c r="C123" s="56"/>
      <c r="D123" s="56"/>
      <c r="E123" s="57"/>
    </row>
    <row r="124" spans="2:5">
      <c r="B124" s="15" t="s">
        <v>438</v>
      </c>
      <c r="C124" s="19">
        <v>90</v>
      </c>
      <c r="D124" s="17" t="s">
        <v>74</v>
      </c>
      <c r="E124" s="18" t="s">
        <v>186</v>
      </c>
    </row>
    <row r="125" spans="2:5">
      <c r="B125" s="15" t="s">
        <v>192</v>
      </c>
      <c r="C125" s="19">
        <v>30</v>
      </c>
      <c r="D125" s="17" t="s">
        <v>74</v>
      </c>
      <c r="E125" s="18"/>
    </row>
    <row r="126" spans="2:5">
      <c r="B126" s="15" t="s">
        <v>193</v>
      </c>
      <c r="C126" s="19">
        <v>60</v>
      </c>
      <c r="D126" s="17" t="s">
        <v>74</v>
      </c>
      <c r="E126" s="18"/>
    </row>
    <row r="127" spans="2:5">
      <c r="B127" s="15" t="s">
        <v>194</v>
      </c>
      <c r="C127" s="19">
        <v>30</v>
      </c>
      <c r="D127" s="17" t="s">
        <v>74</v>
      </c>
      <c r="E127" s="18"/>
    </row>
    <row r="128" spans="2:5">
      <c r="B128" s="15" t="s">
        <v>828</v>
      </c>
      <c r="C128" s="19">
        <v>30</v>
      </c>
      <c r="D128" s="17" t="s">
        <v>74</v>
      </c>
      <c r="E128" s="18"/>
    </row>
    <row r="129" spans="1:5">
      <c r="B129" s="15"/>
      <c r="C129" s="19"/>
      <c r="D129" s="17"/>
      <c r="E129" s="18"/>
    </row>
    <row r="130" spans="1:5">
      <c r="B130" s="15"/>
      <c r="C130" s="19"/>
      <c r="D130" s="17"/>
      <c r="E130" s="18"/>
    </row>
    <row r="131" spans="1:5">
      <c r="B131" s="15"/>
      <c r="C131" s="19"/>
      <c r="D131" s="17"/>
      <c r="E131" s="18"/>
    </row>
    <row r="132" spans="1:5">
      <c r="B132" s="67"/>
      <c r="C132" s="68"/>
      <c r="D132" s="69"/>
      <c r="E132" s="70"/>
    </row>
    <row r="133" spans="1:5">
      <c r="C133" s="42"/>
      <c r="D133" s="42"/>
    </row>
    <row r="134" spans="1:5">
      <c r="B134" s="72" t="s">
        <v>439</v>
      </c>
      <c r="C134" s="60"/>
      <c r="D134" s="60"/>
      <c r="E134" s="61"/>
    </row>
    <row r="135" spans="1:5">
      <c r="B135" s="51" t="s">
        <v>440</v>
      </c>
      <c r="C135" s="52">
        <v>40</v>
      </c>
      <c r="D135" s="53" t="s">
        <v>88</v>
      </c>
      <c r="E135" s="54"/>
    </row>
    <row r="136" spans="1:5">
      <c r="B136" s="51" t="s">
        <v>441</v>
      </c>
      <c r="C136" s="52">
        <v>20</v>
      </c>
      <c r="D136" s="53" t="s">
        <v>88</v>
      </c>
      <c r="E136" s="54"/>
    </row>
    <row r="137" spans="1:5">
      <c r="B137" s="51" t="s">
        <v>442</v>
      </c>
      <c r="C137" s="52">
        <v>10</v>
      </c>
      <c r="D137" s="53" t="s">
        <v>88</v>
      </c>
      <c r="E137" s="54"/>
    </row>
    <row r="138" spans="1:5">
      <c r="C138" s="42"/>
      <c r="D138" s="42"/>
    </row>
    <row r="139" spans="1:5">
      <c r="B139" s="48" t="s">
        <v>443</v>
      </c>
      <c r="C139" s="49"/>
      <c r="D139" s="49"/>
      <c r="E139" s="50"/>
    </row>
    <row r="140" spans="1:5">
      <c r="A140" s="140"/>
      <c r="B140" s="67" t="s">
        <v>444</v>
      </c>
      <c r="C140" s="68">
        <v>60</v>
      </c>
      <c r="D140" s="69" t="s">
        <v>74</v>
      </c>
      <c r="E140" s="70" t="s">
        <v>445</v>
      </c>
    </row>
    <row r="141" spans="1:5">
      <c r="B141" s="67" t="s">
        <v>446</v>
      </c>
      <c r="C141" s="68">
        <v>10</v>
      </c>
      <c r="D141" s="69" t="s">
        <v>74</v>
      </c>
      <c r="E141" s="70"/>
    </row>
    <row r="142" spans="1:5">
      <c r="B142" s="71"/>
      <c r="C142" s="68"/>
      <c r="D142" s="69"/>
      <c r="E142" s="70"/>
    </row>
    <row r="143" spans="1:5">
      <c r="C143" s="42"/>
      <c r="D143" s="42"/>
    </row>
    <row r="144" spans="1:5">
      <c r="B144" s="55" t="s">
        <v>447</v>
      </c>
      <c r="C144" s="56"/>
      <c r="D144" s="56"/>
      <c r="E144" s="57"/>
    </row>
    <row r="145" spans="1:5">
      <c r="A145" s="140"/>
      <c r="B145" s="67" t="s">
        <v>448</v>
      </c>
      <c r="C145" s="68">
        <v>60</v>
      </c>
      <c r="D145" s="69" t="s">
        <v>74</v>
      </c>
      <c r="E145" s="70" t="s">
        <v>445</v>
      </c>
    </row>
    <row r="146" spans="1:5">
      <c r="B146" s="67" t="s">
        <v>682</v>
      </c>
      <c r="C146" s="68">
        <v>2</v>
      </c>
      <c r="D146" s="69" t="s">
        <v>234</v>
      </c>
      <c r="E146" s="70"/>
    </row>
    <row r="147" spans="1:5">
      <c r="B147" s="67" t="s">
        <v>681</v>
      </c>
      <c r="C147" s="68">
        <v>3</v>
      </c>
      <c r="D147" s="69" t="s">
        <v>234</v>
      </c>
      <c r="E147" s="70"/>
    </row>
    <row r="148" spans="1:5">
      <c r="C148" s="42"/>
      <c r="D148" s="42"/>
    </row>
    <row r="149" spans="1:5">
      <c r="B149" s="72" t="s">
        <v>449</v>
      </c>
      <c r="C149" s="60"/>
      <c r="D149" s="60"/>
      <c r="E149" s="61"/>
    </row>
    <row r="150" spans="1:5">
      <c r="B150" s="51" t="s">
        <v>277</v>
      </c>
      <c r="C150" s="52">
        <v>40</v>
      </c>
      <c r="D150" s="53" t="s">
        <v>88</v>
      </c>
      <c r="E150" s="54"/>
    </row>
    <row r="151" spans="1:5">
      <c r="C151" s="52"/>
      <c r="D151" s="53"/>
      <c r="E151" s="54"/>
    </row>
    <row r="152" spans="1:5">
      <c r="B152" s="73"/>
      <c r="C152" s="52"/>
      <c r="D152" s="53"/>
      <c r="E152" s="54"/>
    </row>
    <row r="153" spans="1:5">
      <c r="C153" s="42"/>
      <c r="D153" s="42"/>
    </row>
    <row r="154" spans="1:5">
      <c r="B154" s="48" t="s">
        <v>450</v>
      </c>
      <c r="C154" s="49"/>
      <c r="D154" s="49"/>
      <c r="E154" s="50"/>
    </row>
    <row r="155" spans="1:5">
      <c r="B155" s="15" t="s">
        <v>259</v>
      </c>
      <c r="C155" s="68">
        <v>40</v>
      </c>
      <c r="D155" s="69" t="s">
        <v>74</v>
      </c>
      <c r="E155" s="70" t="s">
        <v>445</v>
      </c>
    </row>
    <row r="156" spans="1:5">
      <c r="B156" s="74"/>
      <c r="C156" s="68"/>
      <c r="D156" s="69"/>
      <c r="E156" s="70"/>
    </row>
    <row r="157" spans="1:5">
      <c r="B157" s="71"/>
      <c r="C157" s="68"/>
      <c r="D157" s="69"/>
      <c r="E157" s="70"/>
    </row>
    <row r="158" spans="1:5">
      <c r="C158" s="42"/>
      <c r="D158" s="42"/>
    </row>
    <row r="159" spans="1:5">
      <c r="B159" s="55" t="s">
        <v>451</v>
      </c>
      <c r="C159" s="56"/>
      <c r="D159" s="56"/>
      <c r="E159" s="57"/>
    </row>
    <row r="160" spans="1:5">
      <c r="B160" s="15" t="s">
        <v>261</v>
      </c>
      <c r="C160" s="68">
        <v>40</v>
      </c>
      <c r="D160" s="69" t="s">
        <v>74</v>
      </c>
      <c r="E160" s="70" t="s">
        <v>445</v>
      </c>
    </row>
    <row r="161" spans="2:5">
      <c r="B161" s="74"/>
      <c r="C161" s="68"/>
      <c r="D161" s="69"/>
      <c r="E161" s="70"/>
    </row>
    <row r="162" spans="2:5">
      <c r="B162" s="71"/>
      <c r="C162" s="68"/>
      <c r="D162" s="69"/>
      <c r="E162" s="70"/>
    </row>
    <row r="163" spans="2:5">
      <c r="C163" s="42"/>
      <c r="D163" s="42"/>
    </row>
    <row r="164" spans="2:5">
      <c r="B164" s="48" t="s">
        <v>452</v>
      </c>
      <c r="C164" s="49"/>
      <c r="D164" s="49"/>
      <c r="E164" s="50"/>
    </row>
    <row r="165" spans="2:5">
      <c r="B165" s="51" t="s">
        <v>453</v>
      </c>
      <c r="C165" s="52">
        <v>1</v>
      </c>
      <c r="D165" s="53" t="s">
        <v>65</v>
      </c>
      <c r="E165" s="54"/>
    </row>
    <row r="166" spans="2:5">
      <c r="B166" s="51" t="s">
        <v>454</v>
      </c>
      <c r="C166" s="52">
        <v>1</v>
      </c>
      <c r="D166" s="53" t="s">
        <v>65</v>
      </c>
      <c r="E166" s="54"/>
    </row>
    <row r="167" spans="2:5">
      <c r="B167" s="51" t="s">
        <v>455</v>
      </c>
      <c r="C167" s="52">
        <v>1</v>
      </c>
      <c r="D167" s="53" t="s">
        <v>65</v>
      </c>
      <c r="E167" s="54"/>
    </row>
    <row r="168" spans="2:5">
      <c r="B168" s="51" t="s">
        <v>456</v>
      </c>
      <c r="C168" s="52">
        <v>1</v>
      </c>
      <c r="D168" s="53" t="s">
        <v>65</v>
      </c>
      <c r="E168" s="54"/>
    </row>
    <row r="169" spans="2:5">
      <c r="B169" s="51" t="s">
        <v>457</v>
      </c>
      <c r="C169" s="52">
        <v>1</v>
      </c>
      <c r="D169" s="53" t="s">
        <v>65</v>
      </c>
      <c r="E169" s="54"/>
    </row>
    <row r="170" spans="2:5">
      <c r="B170" s="51" t="s">
        <v>458</v>
      </c>
      <c r="C170" s="52">
        <v>1</v>
      </c>
      <c r="D170" s="53" t="s">
        <v>65</v>
      </c>
      <c r="E170" s="54"/>
    </row>
    <row r="171" spans="2:5">
      <c r="B171" s="51" t="s">
        <v>459</v>
      </c>
      <c r="C171" s="52">
        <v>1</v>
      </c>
      <c r="D171" s="53" t="s">
        <v>65</v>
      </c>
      <c r="E171" s="54"/>
    </row>
    <row r="172" spans="2:5">
      <c r="B172" s="51" t="s">
        <v>460</v>
      </c>
      <c r="C172" s="52">
        <v>1</v>
      </c>
      <c r="D172" s="53" t="s">
        <v>65</v>
      </c>
      <c r="E172" s="54"/>
    </row>
    <row r="173" spans="2:5">
      <c r="B173" s="51" t="s">
        <v>461</v>
      </c>
      <c r="C173" s="52">
        <v>1</v>
      </c>
      <c r="D173" s="53" t="s">
        <v>65</v>
      </c>
      <c r="E173" s="54"/>
    </row>
    <row r="174" spans="2:5">
      <c r="B174" s="51" t="s">
        <v>462</v>
      </c>
      <c r="C174" s="52">
        <v>1</v>
      </c>
      <c r="D174" s="53" t="s">
        <v>65</v>
      </c>
      <c r="E174" s="54"/>
    </row>
    <row r="175" spans="2:5">
      <c r="C175" s="42"/>
      <c r="D175" s="42"/>
    </row>
    <row r="176" spans="2:5">
      <c r="B176" s="55" t="s">
        <v>463</v>
      </c>
      <c r="C176" s="56"/>
      <c r="D176" s="56"/>
      <c r="E176" s="57"/>
    </row>
    <row r="177" spans="2:5">
      <c r="B177" s="51" t="s">
        <v>453</v>
      </c>
      <c r="C177" s="52">
        <v>1</v>
      </c>
      <c r="D177" s="53" t="s">
        <v>65</v>
      </c>
      <c r="E177" s="54"/>
    </row>
    <row r="178" spans="2:5">
      <c r="B178" s="51" t="s">
        <v>454</v>
      </c>
      <c r="C178" s="52">
        <v>1</v>
      </c>
      <c r="D178" s="53" t="s">
        <v>65</v>
      </c>
      <c r="E178" s="54"/>
    </row>
    <row r="179" spans="2:5">
      <c r="B179" s="51" t="s">
        <v>455</v>
      </c>
      <c r="C179" s="52">
        <v>1</v>
      </c>
      <c r="D179" s="53" t="s">
        <v>65</v>
      </c>
      <c r="E179" s="54"/>
    </row>
    <row r="180" spans="2:5">
      <c r="B180" s="51" t="s">
        <v>456</v>
      </c>
      <c r="C180" s="52">
        <v>1</v>
      </c>
      <c r="D180" s="53" t="s">
        <v>65</v>
      </c>
      <c r="E180" s="54"/>
    </row>
    <row r="181" spans="2:5">
      <c r="B181" s="51" t="s">
        <v>457</v>
      </c>
      <c r="C181" s="52">
        <v>1</v>
      </c>
      <c r="D181" s="53" t="s">
        <v>65</v>
      </c>
      <c r="E181" s="54"/>
    </row>
    <row r="182" spans="2:5">
      <c r="B182" s="51" t="s">
        <v>458</v>
      </c>
      <c r="C182" s="52">
        <v>1</v>
      </c>
      <c r="D182" s="53" t="s">
        <v>65</v>
      </c>
      <c r="E182" s="54"/>
    </row>
    <row r="183" spans="2:5">
      <c r="B183" s="51"/>
      <c r="C183" s="52"/>
      <c r="D183" s="53"/>
      <c r="E183" s="54"/>
    </row>
    <row r="184" spans="2:5">
      <c r="B184" s="51"/>
      <c r="C184" s="52"/>
      <c r="D184" s="53"/>
      <c r="E184" s="54"/>
    </row>
    <row r="185" spans="2:5">
      <c r="B185" s="51"/>
      <c r="C185" s="52"/>
      <c r="D185" s="53"/>
      <c r="E185" s="54"/>
    </row>
    <row r="186" spans="2:5">
      <c r="C186" s="42"/>
      <c r="D186" s="42"/>
    </row>
    <row r="187" spans="2:5">
      <c r="B187" s="72" t="s">
        <v>464</v>
      </c>
      <c r="C187" s="60"/>
      <c r="D187" s="60"/>
      <c r="E187" s="61"/>
    </row>
    <row r="188" spans="2:5">
      <c r="B188" s="51" t="s">
        <v>465</v>
      </c>
      <c r="C188" s="52">
        <v>30</v>
      </c>
      <c r="D188" s="53" t="s">
        <v>88</v>
      </c>
      <c r="E188" s="54"/>
    </row>
    <row r="189" spans="2:5">
      <c r="B189" s="51" t="s">
        <v>466</v>
      </c>
      <c r="C189" s="52">
        <v>30</v>
      </c>
      <c r="D189" s="53" t="s">
        <v>88</v>
      </c>
      <c r="E189" s="54"/>
    </row>
    <row r="190" spans="2:5">
      <c r="B190" s="51" t="s">
        <v>467</v>
      </c>
      <c r="C190" s="52">
        <v>1</v>
      </c>
      <c r="D190" s="53" t="s">
        <v>65</v>
      </c>
      <c r="E190" s="54"/>
    </row>
    <row r="191" spans="2:5">
      <c r="B191" s="51" t="s">
        <v>468</v>
      </c>
      <c r="C191" s="52">
        <v>1</v>
      </c>
      <c r="D191" s="53" t="s">
        <v>65</v>
      </c>
      <c r="E191" s="54"/>
    </row>
    <row r="192" spans="2:5">
      <c r="B192" s="51" t="s">
        <v>469</v>
      </c>
      <c r="C192" s="52">
        <v>12</v>
      </c>
      <c r="D192" s="53" t="s">
        <v>88</v>
      </c>
      <c r="E192" s="54"/>
    </row>
    <row r="193" spans="2:5">
      <c r="B193" s="51" t="s">
        <v>470</v>
      </c>
      <c r="C193" s="52">
        <v>25</v>
      </c>
      <c r="D193" s="53" t="s">
        <v>88</v>
      </c>
      <c r="E193" s="54"/>
    </row>
    <row r="194" spans="2:5">
      <c r="B194" s="51" t="s">
        <v>471</v>
      </c>
      <c r="C194" s="52">
        <v>25</v>
      </c>
      <c r="D194" s="53" t="s">
        <v>88</v>
      </c>
      <c r="E194" s="54"/>
    </row>
    <row r="195" spans="2:5">
      <c r="B195" s="51"/>
      <c r="C195" s="52"/>
      <c r="D195" s="53"/>
      <c r="E195" s="54"/>
    </row>
    <row r="196" spans="2:5">
      <c r="B196" s="51"/>
      <c r="C196" s="52"/>
      <c r="D196" s="53"/>
      <c r="E196" s="54"/>
    </row>
    <row r="197" spans="2:5">
      <c r="C197" s="42"/>
      <c r="D197" s="42"/>
    </row>
    <row r="198" spans="2:5">
      <c r="B198" s="48" t="s">
        <v>472</v>
      </c>
      <c r="C198" s="49"/>
      <c r="D198" s="49"/>
      <c r="E198" s="50"/>
    </row>
    <row r="199" spans="2:5">
      <c r="B199" s="67" t="s">
        <v>473</v>
      </c>
      <c r="C199" s="68">
        <v>30</v>
      </c>
      <c r="D199" s="69" t="s">
        <v>88</v>
      </c>
      <c r="E199" s="70"/>
    </row>
    <row r="200" spans="2:5">
      <c r="B200" s="15" t="s">
        <v>226</v>
      </c>
      <c r="C200" s="68">
        <v>30</v>
      </c>
      <c r="D200" s="69" t="s">
        <v>88</v>
      </c>
      <c r="E200" s="115"/>
    </row>
    <row r="201" spans="2:5">
      <c r="B201" s="67" t="s">
        <v>467</v>
      </c>
      <c r="C201" s="68">
        <v>1</v>
      </c>
      <c r="D201" s="69" t="s">
        <v>65</v>
      </c>
      <c r="E201" s="70"/>
    </row>
    <row r="202" spans="2:5">
      <c r="B202" s="67" t="s">
        <v>474</v>
      </c>
      <c r="C202" s="68">
        <v>1</v>
      </c>
      <c r="D202" s="69" t="s">
        <v>65</v>
      </c>
      <c r="E202" s="70"/>
    </row>
    <row r="203" spans="2:5">
      <c r="B203" s="67" t="s">
        <v>475</v>
      </c>
      <c r="C203" s="68">
        <v>1</v>
      </c>
      <c r="D203" s="69" t="s">
        <v>109</v>
      </c>
      <c r="E203" s="70"/>
    </row>
    <row r="204" spans="2:5">
      <c r="B204" s="67" t="s">
        <v>476</v>
      </c>
      <c r="C204" s="68">
        <v>1</v>
      </c>
      <c r="D204" s="69" t="s">
        <v>109</v>
      </c>
      <c r="E204" s="70"/>
    </row>
    <row r="205" spans="2:5">
      <c r="B205" s="67" t="s">
        <v>477</v>
      </c>
      <c r="C205" s="68">
        <v>25</v>
      </c>
      <c r="D205" s="69" t="s">
        <v>88</v>
      </c>
      <c r="E205" s="70"/>
    </row>
    <row r="206" spans="2:5">
      <c r="B206" s="67"/>
      <c r="C206" s="68"/>
      <c r="D206" s="69"/>
      <c r="E206" s="70"/>
    </row>
    <row r="207" spans="2:5">
      <c r="B207" s="67"/>
      <c r="C207" s="68"/>
      <c r="D207" s="69"/>
      <c r="E207" s="70"/>
    </row>
    <row r="208" spans="2:5">
      <c r="C208" s="42"/>
      <c r="D208" s="42"/>
    </row>
    <row r="209" spans="2:5">
      <c r="B209" s="55" t="s">
        <v>478</v>
      </c>
      <c r="C209" s="56"/>
      <c r="D209" s="56"/>
      <c r="E209" s="57"/>
    </row>
    <row r="210" spans="2:5">
      <c r="B210" s="67" t="s">
        <v>479</v>
      </c>
      <c r="C210" s="68">
        <v>30</v>
      </c>
      <c r="D210" s="69" t="s">
        <v>74</v>
      </c>
      <c r="E210" s="70"/>
    </row>
    <row r="211" spans="2:5">
      <c r="B211" s="67" t="s">
        <v>480</v>
      </c>
      <c r="C211" s="68" t="s">
        <v>403</v>
      </c>
      <c r="D211" s="69" t="s">
        <v>74</v>
      </c>
      <c r="E211" s="70"/>
    </row>
    <row r="212" spans="2:5">
      <c r="B212" s="67" t="s">
        <v>467</v>
      </c>
      <c r="C212" s="68">
        <v>1</v>
      </c>
      <c r="D212" s="69" t="s">
        <v>109</v>
      </c>
      <c r="E212" s="70"/>
    </row>
    <row r="213" spans="2:5">
      <c r="B213" s="67" t="s">
        <v>481</v>
      </c>
      <c r="C213" s="68">
        <v>1</v>
      </c>
      <c r="D213" s="69" t="s">
        <v>109</v>
      </c>
      <c r="E213" s="70"/>
    </row>
    <row r="214" spans="2:5">
      <c r="B214" s="67" t="s">
        <v>77</v>
      </c>
      <c r="C214" s="68">
        <v>10</v>
      </c>
      <c r="D214" s="69" t="s">
        <v>74</v>
      </c>
      <c r="E214" s="70"/>
    </row>
    <row r="215" spans="2:5">
      <c r="B215" s="67" t="s">
        <v>476</v>
      </c>
      <c r="C215" s="68">
        <v>1</v>
      </c>
      <c r="D215" s="69" t="s">
        <v>109</v>
      </c>
      <c r="E215" s="70"/>
    </row>
    <row r="216" spans="2:5">
      <c r="B216" s="67" t="s">
        <v>683</v>
      </c>
      <c r="C216" s="68">
        <v>2</v>
      </c>
      <c r="D216" s="69" t="s">
        <v>234</v>
      </c>
      <c r="E216" s="70"/>
    </row>
    <row r="217" spans="2:5">
      <c r="B217" s="67" t="s">
        <v>684</v>
      </c>
      <c r="C217" s="68">
        <v>5</v>
      </c>
      <c r="D217" s="69" t="s">
        <v>234</v>
      </c>
      <c r="E217" s="70"/>
    </row>
    <row r="218" spans="2:5">
      <c r="B218" s="67"/>
      <c r="C218" s="68"/>
      <c r="D218" s="69"/>
      <c r="E218" s="70"/>
    </row>
    <row r="219" spans="2:5">
      <c r="C219" s="42"/>
      <c r="D219" s="42"/>
    </row>
    <row r="220" spans="2:5">
      <c r="B220" s="55" t="s">
        <v>482</v>
      </c>
      <c r="C220" s="55">
        <v>1</v>
      </c>
      <c r="D220" s="55" t="s">
        <v>65</v>
      </c>
      <c r="E220" s="75" t="s">
        <v>483</v>
      </c>
    </row>
    <row r="221" spans="2:5">
      <c r="B221" s="55" t="s">
        <v>484</v>
      </c>
      <c r="C221" s="55">
        <v>1</v>
      </c>
      <c r="D221" s="55" t="s">
        <v>65</v>
      </c>
      <c r="E221" s="75" t="s">
        <v>485</v>
      </c>
    </row>
    <row r="222" spans="2:5">
      <c r="B222" s="55" t="s">
        <v>486</v>
      </c>
      <c r="C222" s="55">
        <v>1</v>
      </c>
      <c r="D222" s="55" t="s">
        <v>65</v>
      </c>
      <c r="E222" s="75" t="s">
        <v>487</v>
      </c>
    </row>
    <row r="223" spans="2:5">
      <c r="B223" s="55" t="s">
        <v>488</v>
      </c>
      <c r="C223" s="55">
        <v>1</v>
      </c>
      <c r="D223" s="55" t="s">
        <v>65</v>
      </c>
      <c r="E223" s="75" t="s">
        <v>489</v>
      </c>
    </row>
    <row r="224" spans="2:5">
      <c r="B224" s="55" t="s">
        <v>490</v>
      </c>
      <c r="C224" s="55">
        <v>1</v>
      </c>
      <c r="D224" s="55" t="s">
        <v>65</v>
      </c>
      <c r="E224" s="75" t="s">
        <v>491</v>
      </c>
    </row>
    <row r="225" spans="2:5">
      <c r="B225" s="120" t="s">
        <v>492</v>
      </c>
      <c r="C225" s="120">
        <v>1</v>
      </c>
      <c r="D225" s="120" t="s">
        <v>65</v>
      </c>
      <c r="E225" s="75" t="s">
        <v>493</v>
      </c>
    </row>
    <row r="226" spans="2:5">
      <c r="B226" s="120" t="s">
        <v>494</v>
      </c>
      <c r="C226" s="120">
        <v>1</v>
      </c>
      <c r="D226" s="120" t="s">
        <v>65</v>
      </c>
      <c r="E226" s="75" t="s">
        <v>495</v>
      </c>
    </row>
    <row r="227" spans="2:5">
      <c r="B227" s="120" t="s">
        <v>496</v>
      </c>
      <c r="C227" s="120">
        <v>1</v>
      </c>
      <c r="D227" s="120" t="s">
        <v>65</v>
      </c>
      <c r="E227" s="75" t="s">
        <v>497</v>
      </c>
    </row>
    <row r="228" spans="2:5">
      <c r="B228" s="120" t="s">
        <v>498</v>
      </c>
      <c r="C228" s="120">
        <v>1</v>
      </c>
      <c r="D228" s="120" t="s">
        <v>65</v>
      </c>
      <c r="E228" s="75" t="s">
        <v>493</v>
      </c>
    </row>
    <row r="229" spans="2:5">
      <c r="B229" s="120" t="s">
        <v>499</v>
      </c>
      <c r="C229" s="120">
        <v>1</v>
      </c>
      <c r="D229" s="120" t="s">
        <v>65</v>
      </c>
      <c r="E229" s="75" t="s">
        <v>500</v>
      </c>
    </row>
    <row r="230" spans="2:5">
      <c r="B230" s="55" t="s">
        <v>501</v>
      </c>
      <c r="C230" s="55">
        <v>1</v>
      </c>
      <c r="D230" s="55" t="s">
        <v>65</v>
      </c>
      <c r="E230" s="75"/>
    </row>
    <row r="231" spans="2:5">
      <c r="B231" s="55" t="s">
        <v>502</v>
      </c>
      <c r="C231" s="55">
        <v>1</v>
      </c>
      <c r="D231" s="55" t="s">
        <v>65</v>
      </c>
      <c r="E231" s="75"/>
    </row>
    <row r="232" spans="2:5">
      <c r="B232" s="72" t="s">
        <v>503</v>
      </c>
      <c r="C232" s="72">
        <v>1</v>
      </c>
      <c r="D232" s="72" t="s">
        <v>65</v>
      </c>
      <c r="E232" s="6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7186C-DB82-4782-80A9-60811D78E2B8}">
  <dimension ref="A1:F231"/>
  <sheetViews>
    <sheetView topLeftCell="A135" zoomScaleNormal="100" workbookViewId="0">
      <selection activeCell="B150" sqref="B150:D152"/>
    </sheetView>
  </sheetViews>
  <sheetFormatPr defaultRowHeight="14.4"/>
  <cols>
    <col min="2" max="2" width="45.6640625" style="42" customWidth="1"/>
    <col min="3" max="4" width="10.6640625" style="43" customWidth="1"/>
    <col min="5" max="5" width="56" style="44" customWidth="1"/>
  </cols>
  <sheetData>
    <row r="1" spans="2:5">
      <c r="B1" s="42" t="s">
        <v>381</v>
      </c>
    </row>
    <row r="2" spans="2:5" ht="17.399999999999999">
      <c r="B2" s="45" t="s">
        <v>504</v>
      </c>
      <c r="C2" s="46"/>
      <c r="D2" s="46"/>
      <c r="E2" s="47"/>
    </row>
    <row r="3" spans="2:5">
      <c r="B3" s="4" t="s">
        <v>59</v>
      </c>
      <c r="C3" s="4" t="s">
        <v>60</v>
      </c>
      <c r="D3" s="4" t="s">
        <v>61</v>
      </c>
      <c r="E3" s="4" t="s">
        <v>62</v>
      </c>
    </row>
    <row r="4" spans="2:5">
      <c r="B4" s="48" t="s">
        <v>505</v>
      </c>
      <c r="C4" s="49"/>
      <c r="D4" s="49"/>
      <c r="E4" s="50"/>
    </row>
    <row r="5" spans="2:5">
      <c r="B5" s="51" t="s">
        <v>453</v>
      </c>
      <c r="C5" s="52">
        <v>1</v>
      </c>
      <c r="D5" s="53" t="s">
        <v>65</v>
      </c>
      <c r="E5" s="54"/>
    </row>
    <row r="6" spans="2:5">
      <c r="B6" s="51" t="s">
        <v>506</v>
      </c>
      <c r="C6" s="52">
        <v>1</v>
      </c>
      <c r="D6" s="53" t="s">
        <v>65</v>
      </c>
      <c r="E6" s="54"/>
    </row>
    <row r="7" spans="2:5">
      <c r="B7" s="51" t="s">
        <v>507</v>
      </c>
      <c r="C7" s="52">
        <v>1</v>
      </c>
      <c r="D7" s="53" t="s">
        <v>65</v>
      </c>
      <c r="E7" s="54"/>
    </row>
    <row r="8" spans="2:5">
      <c r="B8" s="51" t="s">
        <v>508</v>
      </c>
      <c r="C8" s="52">
        <v>1</v>
      </c>
      <c r="D8" s="53" t="s">
        <v>65</v>
      </c>
      <c r="E8" s="54"/>
    </row>
    <row r="9" spans="2:5">
      <c r="B9" s="51" t="s">
        <v>509</v>
      </c>
      <c r="C9" s="52">
        <v>1</v>
      </c>
      <c r="D9" s="53" t="s">
        <v>65</v>
      </c>
      <c r="E9" s="54"/>
    </row>
    <row r="10" spans="2:5">
      <c r="B10" s="51" t="s">
        <v>510</v>
      </c>
      <c r="C10" s="52">
        <v>1</v>
      </c>
      <c r="D10" s="53" t="s">
        <v>65</v>
      </c>
      <c r="E10" s="54"/>
    </row>
    <row r="11" spans="2:5">
      <c r="B11" s="51" t="s">
        <v>511</v>
      </c>
      <c r="C11" s="52">
        <v>1</v>
      </c>
      <c r="D11" s="53" t="s">
        <v>65</v>
      </c>
      <c r="E11" s="54"/>
    </row>
    <row r="12" spans="2:5">
      <c r="B12" s="51" t="s">
        <v>512</v>
      </c>
      <c r="C12" s="52">
        <v>1</v>
      </c>
      <c r="D12" s="53" t="s">
        <v>65</v>
      </c>
      <c r="E12" s="54"/>
    </row>
    <row r="13" spans="2:5">
      <c r="B13" s="51" t="s">
        <v>459</v>
      </c>
      <c r="C13" s="52">
        <v>1</v>
      </c>
      <c r="D13" s="53" t="s">
        <v>65</v>
      </c>
      <c r="E13" s="54"/>
    </row>
    <row r="14" spans="2:5">
      <c r="B14" s="51" t="s">
        <v>513</v>
      </c>
      <c r="C14" s="52">
        <v>1</v>
      </c>
      <c r="D14" s="53" t="s">
        <v>65</v>
      </c>
      <c r="E14" s="54"/>
    </row>
    <row r="15" spans="2:5">
      <c r="C15" s="42"/>
      <c r="D15" s="42"/>
    </row>
    <row r="16" spans="2:5">
      <c r="B16" s="55" t="s">
        <v>514</v>
      </c>
      <c r="C16" s="56"/>
      <c r="D16" s="56"/>
      <c r="E16" s="57"/>
    </row>
    <row r="17" spans="2:5">
      <c r="B17" s="51" t="s">
        <v>453</v>
      </c>
      <c r="C17" s="52">
        <v>1</v>
      </c>
      <c r="D17" s="53" t="s">
        <v>65</v>
      </c>
      <c r="E17" s="54"/>
    </row>
    <row r="18" spans="2:5">
      <c r="B18" s="51" t="s">
        <v>506</v>
      </c>
      <c r="C18" s="52">
        <v>1</v>
      </c>
      <c r="D18" s="53" t="s">
        <v>65</v>
      </c>
      <c r="E18" s="54"/>
    </row>
    <row r="19" spans="2:5">
      <c r="B19" s="51" t="s">
        <v>507</v>
      </c>
      <c r="C19" s="52">
        <v>1</v>
      </c>
      <c r="D19" s="53" t="s">
        <v>65</v>
      </c>
      <c r="E19" s="54"/>
    </row>
    <row r="20" spans="2:5">
      <c r="B20" s="51" t="s">
        <v>508</v>
      </c>
      <c r="C20" s="52">
        <v>1</v>
      </c>
      <c r="D20" s="53" t="s">
        <v>65</v>
      </c>
      <c r="E20" s="54"/>
    </row>
    <row r="21" spans="2:5">
      <c r="B21" s="51" t="s">
        <v>509</v>
      </c>
      <c r="C21" s="52">
        <v>1</v>
      </c>
      <c r="D21" s="53" t="s">
        <v>65</v>
      </c>
      <c r="E21" s="54"/>
    </row>
    <row r="22" spans="2:5">
      <c r="B22" s="51" t="s">
        <v>510</v>
      </c>
      <c r="C22" s="52">
        <v>1</v>
      </c>
      <c r="D22" s="53" t="s">
        <v>65</v>
      </c>
      <c r="E22" s="54"/>
    </row>
    <row r="23" spans="2:5">
      <c r="B23" s="51" t="s">
        <v>511</v>
      </c>
      <c r="C23" s="52">
        <v>1</v>
      </c>
      <c r="D23" s="53" t="s">
        <v>65</v>
      </c>
      <c r="E23" s="54"/>
    </row>
    <row r="24" spans="2:5">
      <c r="B24" s="51" t="s">
        <v>512</v>
      </c>
      <c r="C24" s="52">
        <v>1</v>
      </c>
      <c r="D24" s="53" t="s">
        <v>65</v>
      </c>
      <c r="E24" s="54"/>
    </row>
    <row r="25" spans="2:5">
      <c r="B25" s="51" t="s">
        <v>459</v>
      </c>
      <c r="C25" s="52">
        <v>1</v>
      </c>
      <c r="D25" s="53" t="s">
        <v>65</v>
      </c>
      <c r="E25" s="54"/>
    </row>
    <row r="26" spans="2:5">
      <c r="B26" s="51" t="s">
        <v>513</v>
      </c>
      <c r="C26" s="52">
        <v>1</v>
      </c>
      <c r="D26" s="53" t="s">
        <v>65</v>
      </c>
      <c r="E26" s="54"/>
    </row>
    <row r="27" spans="2:5">
      <c r="C27" s="42"/>
      <c r="D27" s="42"/>
    </row>
    <row r="28" spans="2:5">
      <c r="B28" s="76" t="s">
        <v>515</v>
      </c>
      <c r="C28" s="77"/>
      <c r="D28" s="77"/>
      <c r="E28" s="78"/>
    </row>
    <row r="29" spans="2:5">
      <c r="B29" s="51" t="s">
        <v>516</v>
      </c>
      <c r="C29" s="52">
        <v>10</v>
      </c>
      <c r="D29" s="53" t="s">
        <v>88</v>
      </c>
      <c r="E29" s="54"/>
    </row>
    <row r="30" spans="2:5">
      <c r="B30" s="51" t="s">
        <v>517</v>
      </c>
      <c r="C30" s="52">
        <v>10</v>
      </c>
      <c r="D30" s="53" t="s">
        <v>88</v>
      </c>
      <c r="E30" s="54"/>
    </row>
    <row r="31" spans="2:5">
      <c r="B31" s="51" t="s">
        <v>518</v>
      </c>
      <c r="C31" s="52">
        <v>10</v>
      </c>
      <c r="D31" s="53" t="s">
        <v>88</v>
      </c>
      <c r="E31" s="54"/>
    </row>
    <row r="32" spans="2:5">
      <c r="B32" s="51" t="s">
        <v>519</v>
      </c>
      <c r="C32" s="52">
        <v>3</v>
      </c>
      <c r="D32" s="53" t="s">
        <v>88</v>
      </c>
      <c r="E32" s="54"/>
    </row>
    <row r="33" spans="2:5">
      <c r="B33" s="51"/>
      <c r="C33" s="52"/>
      <c r="D33" s="53"/>
      <c r="E33" s="54"/>
    </row>
    <row r="34" spans="2:5">
      <c r="B34" s="51"/>
      <c r="C34" s="52"/>
      <c r="D34" s="53"/>
      <c r="E34" s="54"/>
    </row>
    <row r="35" spans="2:5">
      <c r="B35" s="51"/>
      <c r="C35" s="52"/>
      <c r="D35" s="53"/>
      <c r="E35" s="54"/>
    </row>
    <row r="36" spans="2:5">
      <c r="B36" s="51"/>
      <c r="C36" s="52"/>
      <c r="D36" s="53"/>
      <c r="E36" s="54"/>
    </row>
    <row r="37" spans="2:5">
      <c r="B37" s="51"/>
      <c r="C37" s="52"/>
      <c r="D37" s="53"/>
      <c r="E37" s="54"/>
    </row>
    <row r="38" spans="2:5">
      <c r="C38" s="42"/>
      <c r="D38" s="42"/>
    </row>
    <row r="39" spans="2:5">
      <c r="B39" s="48" t="s">
        <v>520</v>
      </c>
      <c r="C39" s="49"/>
      <c r="D39" s="49"/>
      <c r="E39" s="50"/>
    </row>
    <row r="40" spans="2:5">
      <c r="B40" s="67" t="s">
        <v>521</v>
      </c>
      <c r="C40" s="68">
        <v>10</v>
      </c>
      <c r="D40" s="69" t="s">
        <v>74</v>
      </c>
      <c r="E40" s="70"/>
    </row>
    <row r="41" spans="2:5">
      <c r="B41" s="67" t="s">
        <v>522</v>
      </c>
      <c r="C41" s="68">
        <v>15</v>
      </c>
      <c r="D41" s="69" t="s">
        <v>88</v>
      </c>
      <c r="E41" s="70"/>
    </row>
    <row r="42" spans="2:5">
      <c r="B42" s="67" t="s">
        <v>518</v>
      </c>
      <c r="C42" s="68">
        <v>10</v>
      </c>
      <c r="D42" s="69" t="s">
        <v>74</v>
      </c>
      <c r="E42" s="70"/>
    </row>
    <row r="43" spans="2:5">
      <c r="B43" s="67"/>
      <c r="C43" s="68"/>
      <c r="D43" s="69"/>
      <c r="E43" s="70"/>
    </row>
    <row r="44" spans="2:5">
      <c r="B44" s="67"/>
      <c r="C44" s="68"/>
      <c r="D44" s="69"/>
      <c r="E44" s="70"/>
    </row>
    <row r="45" spans="2:5">
      <c r="B45" s="67"/>
      <c r="C45" s="68"/>
      <c r="D45" s="69"/>
      <c r="E45" s="70"/>
    </row>
    <row r="46" spans="2:5">
      <c r="B46" s="67"/>
      <c r="C46" s="68"/>
      <c r="D46" s="69"/>
      <c r="E46" s="70"/>
    </row>
    <row r="47" spans="2:5">
      <c r="B47" s="67"/>
      <c r="C47" s="68"/>
      <c r="D47" s="69"/>
      <c r="E47" s="70"/>
    </row>
    <row r="48" spans="2:5">
      <c r="B48" s="67"/>
      <c r="C48" s="68"/>
      <c r="D48" s="69"/>
      <c r="E48" s="70"/>
    </row>
    <row r="49" spans="2:5">
      <c r="C49" s="42"/>
      <c r="D49" s="42"/>
    </row>
    <row r="50" spans="2:5">
      <c r="B50" s="55" t="s">
        <v>523</v>
      </c>
      <c r="C50" s="56"/>
      <c r="D50" s="56"/>
      <c r="E50" s="57"/>
    </row>
    <row r="51" spans="2:5">
      <c r="B51" s="67" t="s">
        <v>82</v>
      </c>
      <c r="C51" s="68">
        <v>10</v>
      </c>
      <c r="D51" s="69" t="s">
        <v>74</v>
      </c>
      <c r="E51" s="70"/>
    </row>
    <row r="52" spans="2:5">
      <c r="B52" s="67" t="s">
        <v>524</v>
      </c>
      <c r="C52" s="68">
        <v>15</v>
      </c>
      <c r="D52" s="69" t="s">
        <v>74</v>
      </c>
      <c r="E52" s="70"/>
    </row>
    <row r="53" spans="2:5">
      <c r="B53" s="67" t="s">
        <v>525</v>
      </c>
      <c r="C53" s="68">
        <v>10</v>
      </c>
      <c r="D53" s="69" t="s">
        <v>74</v>
      </c>
      <c r="E53" s="70"/>
    </row>
    <row r="54" spans="2:5">
      <c r="B54" s="67"/>
      <c r="C54" s="68"/>
      <c r="D54" s="69"/>
      <c r="E54" s="70"/>
    </row>
    <row r="55" spans="2:5">
      <c r="B55" s="67"/>
      <c r="C55" s="68"/>
      <c r="D55" s="69"/>
      <c r="E55" s="70"/>
    </row>
    <row r="56" spans="2:5">
      <c r="B56" s="67"/>
      <c r="C56" s="68"/>
      <c r="D56" s="69"/>
      <c r="E56" s="70"/>
    </row>
    <row r="57" spans="2:5">
      <c r="B57" s="67"/>
      <c r="C57" s="68"/>
      <c r="D57" s="69"/>
      <c r="E57" s="70"/>
    </row>
    <row r="58" spans="2:5">
      <c r="B58" s="67"/>
      <c r="C58" s="68"/>
      <c r="D58" s="69"/>
      <c r="E58" s="70"/>
    </row>
    <row r="59" spans="2:5">
      <c r="B59" s="67"/>
      <c r="C59" s="68"/>
      <c r="D59" s="69"/>
      <c r="E59" s="70"/>
    </row>
    <row r="60" spans="2:5">
      <c r="D60" s="79"/>
      <c r="E60" s="80"/>
    </row>
    <row r="61" spans="2:5">
      <c r="B61" s="76" t="s">
        <v>428</v>
      </c>
      <c r="C61" s="77"/>
      <c r="D61" s="77"/>
      <c r="E61" s="78"/>
    </row>
    <row r="62" spans="2:5">
      <c r="B62" s="51" t="s">
        <v>429</v>
      </c>
      <c r="C62" s="52">
        <v>100</v>
      </c>
      <c r="D62" s="53" t="s">
        <v>88</v>
      </c>
      <c r="E62" s="54"/>
    </row>
    <row r="63" spans="2:5">
      <c r="B63" s="51" t="s">
        <v>430</v>
      </c>
      <c r="C63" s="52">
        <v>30</v>
      </c>
      <c r="D63" s="53" t="s">
        <v>198</v>
      </c>
      <c r="E63" s="54"/>
    </row>
    <row r="64" spans="2:5">
      <c r="B64" s="51" t="s">
        <v>431</v>
      </c>
      <c r="C64" s="52">
        <v>80</v>
      </c>
      <c r="D64" s="53" t="s">
        <v>88</v>
      </c>
      <c r="E64" s="54"/>
    </row>
    <row r="65" spans="2:5">
      <c r="B65" s="51" t="s">
        <v>432</v>
      </c>
      <c r="C65" s="52">
        <v>40</v>
      </c>
      <c r="D65" s="53" t="s">
        <v>88</v>
      </c>
      <c r="E65" s="54"/>
    </row>
    <row r="66" spans="2:5">
      <c r="B66" s="51" t="s">
        <v>433</v>
      </c>
      <c r="C66" s="52"/>
      <c r="D66" s="53"/>
      <c r="E66" s="54"/>
    </row>
    <row r="67" spans="2:5">
      <c r="B67" s="51"/>
      <c r="C67" s="52"/>
      <c r="D67" s="53"/>
      <c r="E67" s="54"/>
    </row>
    <row r="68" spans="2:5">
      <c r="B68" s="51"/>
      <c r="C68" s="52"/>
      <c r="D68" s="53"/>
      <c r="E68" s="54"/>
    </row>
    <row r="69" spans="2:5">
      <c r="B69" s="51"/>
      <c r="C69" s="52"/>
      <c r="D69" s="53"/>
      <c r="E69" s="54"/>
    </row>
    <row r="70" spans="2:5">
      <c r="B70" s="51"/>
      <c r="C70" s="52"/>
      <c r="D70" s="53"/>
      <c r="E70" s="54"/>
    </row>
    <row r="71" spans="2:5">
      <c r="C71" s="42"/>
      <c r="D71" s="42"/>
    </row>
    <row r="72" spans="2:5">
      <c r="B72" s="48" t="s">
        <v>435</v>
      </c>
      <c r="C72" s="49"/>
      <c r="D72" s="49"/>
      <c r="E72" s="50"/>
    </row>
    <row r="73" spans="2:5">
      <c r="B73" s="67" t="s">
        <v>526</v>
      </c>
      <c r="C73" s="68">
        <v>90</v>
      </c>
      <c r="D73" s="69" t="s">
        <v>74</v>
      </c>
      <c r="E73" s="70"/>
    </row>
    <row r="74" spans="2:5">
      <c r="B74" s="67" t="s">
        <v>527</v>
      </c>
      <c r="C74" s="68">
        <v>30</v>
      </c>
      <c r="D74" s="69" t="s">
        <v>74</v>
      </c>
      <c r="E74" s="70"/>
    </row>
    <row r="75" spans="2:5">
      <c r="B75" s="67" t="s">
        <v>528</v>
      </c>
      <c r="C75" s="68">
        <v>90</v>
      </c>
      <c r="D75" s="69" t="s">
        <v>74</v>
      </c>
      <c r="E75" s="70"/>
    </row>
    <row r="76" spans="2:5">
      <c r="B76" s="67" t="s">
        <v>529</v>
      </c>
      <c r="C76" s="68">
        <v>30</v>
      </c>
      <c r="D76" s="69" t="s">
        <v>74</v>
      </c>
      <c r="E76" s="70"/>
    </row>
    <row r="77" spans="2:5">
      <c r="B77" s="67" t="s">
        <v>829</v>
      </c>
      <c r="C77" s="68">
        <v>15</v>
      </c>
      <c r="D77" s="69" t="s">
        <v>74</v>
      </c>
      <c r="E77" s="70"/>
    </row>
    <row r="78" spans="2:5">
      <c r="B78" s="67"/>
      <c r="C78" s="68"/>
      <c r="D78" s="69"/>
      <c r="E78" s="70"/>
    </row>
    <row r="79" spans="2:5">
      <c r="B79" s="67"/>
      <c r="C79" s="68"/>
      <c r="D79" s="69"/>
      <c r="E79" s="70"/>
    </row>
    <row r="80" spans="2:5">
      <c r="B80" s="67"/>
      <c r="C80" s="68"/>
      <c r="D80" s="69"/>
      <c r="E80" s="70"/>
    </row>
    <row r="81" spans="2:5">
      <c r="B81" s="67"/>
      <c r="C81" s="68"/>
      <c r="D81" s="69"/>
      <c r="E81" s="70"/>
    </row>
    <row r="82" spans="2:5">
      <c r="C82" s="42"/>
      <c r="D82" s="42"/>
    </row>
    <row r="83" spans="2:5">
      <c r="B83" s="55" t="s">
        <v>437</v>
      </c>
      <c r="C83" s="56"/>
      <c r="D83" s="56"/>
      <c r="E83" s="57"/>
    </row>
    <row r="84" spans="2:5">
      <c r="B84" s="67" t="s">
        <v>830</v>
      </c>
      <c r="C84" s="68">
        <v>90</v>
      </c>
      <c r="D84" s="69" t="s">
        <v>74</v>
      </c>
      <c r="E84" s="70"/>
    </row>
    <row r="85" spans="2:5">
      <c r="B85" s="67" t="s">
        <v>530</v>
      </c>
      <c r="C85" s="68">
        <v>30</v>
      </c>
      <c r="D85" s="69" t="s">
        <v>74</v>
      </c>
      <c r="E85" s="70"/>
    </row>
    <row r="86" spans="2:5">
      <c r="B86" s="67" t="s">
        <v>176</v>
      </c>
      <c r="C86" s="68">
        <v>60</v>
      </c>
      <c r="D86" s="69" t="s">
        <v>74</v>
      </c>
      <c r="E86" s="70"/>
    </row>
    <row r="87" spans="2:5">
      <c r="B87" s="67" t="s">
        <v>175</v>
      </c>
      <c r="C87" s="68">
        <v>90</v>
      </c>
      <c r="D87" s="69" t="s">
        <v>74</v>
      </c>
      <c r="E87" s="70"/>
    </row>
    <row r="88" spans="2:5">
      <c r="B88" s="67"/>
      <c r="C88" s="68"/>
      <c r="D88" s="69"/>
      <c r="E88" s="70"/>
    </row>
    <row r="89" spans="2:5">
      <c r="B89" s="67"/>
      <c r="C89" s="68"/>
      <c r="D89" s="69"/>
      <c r="E89" s="70"/>
    </row>
    <row r="90" spans="2:5">
      <c r="B90" s="67"/>
      <c r="C90" s="68"/>
      <c r="D90" s="69"/>
      <c r="E90" s="70"/>
    </row>
    <row r="91" spans="2:5">
      <c r="B91" s="67"/>
      <c r="C91" s="68"/>
      <c r="D91" s="69"/>
      <c r="E91" s="70"/>
    </row>
    <row r="92" spans="2:5">
      <c r="B92" s="67"/>
      <c r="C92" s="68"/>
      <c r="D92" s="69"/>
      <c r="E92" s="70"/>
    </row>
    <row r="93" spans="2:5">
      <c r="C93" s="42"/>
      <c r="D93" s="42"/>
    </row>
    <row r="94" spans="2:5">
      <c r="B94" s="76" t="s">
        <v>531</v>
      </c>
      <c r="C94" s="77"/>
      <c r="D94" s="77"/>
      <c r="E94" s="78"/>
    </row>
    <row r="95" spans="2:5">
      <c r="B95" s="51" t="s">
        <v>532</v>
      </c>
      <c r="C95" s="52">
        <v>50</v>
      </c>
      <c r="D95" s="53" t="s">
        <v>88</v>
      </c>
      <c r="E95" s="54"/>
    </row>
    <row r="96" spans="2:5">
      <c r="B96" s="51" t="s">
        <v>533</v>
      </c>
      <c r="C96" s="52">
        <v>10</v>
      </c>
      <c r="D96" s="53" t="s">
        <v>88</v>
      </c>
      <c r="E96" s="54"/>
    </row>
    <row r="97" spans="1:5">
      <c r="B97" s="51"/>
      <c r="C97" s="52"/>
      <c r="D97" s="53"/>
      <c r="E97" s="54"/>
    </row>
    <row r="98" spans="1:5">
      <c r="C98" s="42"/>
      <c r="D98" s="42"/>
    </row>
    <row r="99" spans="1:5">
      <c r="B99" s="48" t="s">
        <v>534</v>
      </c>
      <c r="C99" s="49"/>
      <c r="D99" s="49"/>
      <c r="E99" s="50"/>
    </row>
    <row r="100" spans="1:5">
      <c r="A100" s="140"/>
      <c r="B100" s="67" t="s">
        <v>535</v>
      </c>
      <c r="C100" s="68">
        <v>60</v>
      </c>
      <c r="D100" s="69" t="s">
        <v>74</v>
      </c>
      <c r="E100" s="70"/>
    </row>
    <row r="101" spans="1:5">
      <c r="B101" s="67" t="s">
        <v>536</v>
      </c>
      <c r="C101" s="68">
        <v>15</v>
      </c>
      <c r="D101" s="69" t="s">
        <v>74</v>
      </c>
      <c r="E101" s="70"/>
    </row>
    <row r="102" spans="1:5">
      <c r="B102" s="67"/>
      <c r="C102" s="68"/>
      <c r="D102" s="69"/>
      <c r="E102" s="70"/>
    </row>
    <row r="103" spans="1:5">
      <c r="C103" s="42"/>
      <c r="D103" s="42"/>
    </row>
    <row r="104" spans="1:5">
      <c r="B104" s="55" t="s">
        <v>537</v>
      </c>
      <c r="C104" s="56"/>
      <c r="D104" s="56"/>
      <c r="E104" s="57"/>
    </row>
    <row r="105" spans="1:5">
      <c r="A105" s="140"/>
      <c r="B105" s="67" t="s">
        <v>538</v>
      </c>
      <c r="C105" s="68">
        <v>60</v>
      </c>
      <c r="D105" s="69" t="s">
        <v>74</v>
      </c>
      <c r="E105" s="70"/>
    </row>
    <row r="106" spans="1:5">
      <c r="B106" s="67" t="s">
        <v>539</v>
      </c>
      <c r="C106" s="68">
        <v>15</v>
      </c>
      <c r="D106" s="69" t="s">
        <v>74</v>
      </c>
      <c r="E106" s="70"/>
    </row>
    <row r="107" spans="1:5">
      <c r="B107" s="67"/>
      <c r="C107" s="68"/>
      <c r="D107" s="69"/>
      <c r="E107" s="70"/>
    </row>
    <row r="108" spans="1:5">
      <c r="C108" s="42"/>
      <c r="D108" s="42"/>
    </row>
    <row r="109" spans="1:5">
      <c r="B109" s="76" t="s">
        <v>449</v>
      </c>
      <c r="C109" s="77"/>
      <c r="D109" s="77"/>
      <c r="E109" s="78"/>
    </row>
    <row r="110" spans="1:5">
      <c r="B110" s="51" t="s">
        <v>277</v>
      </c>
      <c r="C110" s="52">
        <v>40</v>
      </c>
      <c r="D110" s="53" t="s">
        <v>88</v>
      </c>
      <c r="E110" s="54"/>
    </row>
    <row r="111" spans="1:5">
      <c r="C111" s="52"/>
      <c r="D111" s="53"/>
      <c r="E111" s="54"/>
    </row>
    <row r="112" spans="1:5">
      <c r="B112" s="73"/>
      <c r="C112" s="52"/>
      <c r="D112" s="53"/>
      <c r="E112" s="54"/>
    </row>
    <row r="113" spans="2:5">
      <c r="C113" s="42"/>
      <c r="D113" s="42"/>
    </row>
    <row r="114" spans="2:5">
      <c r="B114" s="48" t="s">
        <v>450</v>
      </c>
      <c r="C114" s="49"/>
      <c r="D114" s="49"/>
      <c r="E114" s="50"/>
    </row>
    <row r="115" spans="2:5">
      <c r="B115" s="67" t="s">
        <v>540</v>
      </c>
      <c r="C115" s="68">
        <v>40</v>
      </c>
      <c r="D115" s="69" t="s">
        <v>74</v>
      </c>
      <c r="E115" s="70"/>
    </row>
    <row r="116" spans="2:5">
      <c r="B116" s="74"/>
      <c r="C116" s="68"/>
      <c r="D116" s="69"/>
      <c r="E116" s="70"/>
    </row>
    <row r="117" spans="2:5">
      <c r="B117" s="71"/>
      <c r="C117" s="68"/>
      <c r="D117" s="69"/>
      <c r="E117" s="70"/>
    </row>
    <row r="118" spans="2:5">
      <c r="C118" s="42"/>
      <c r="D118" s="42"/>
    </row>
    <row r="119" spans="2:5">
      <c r="B119" s="55" t="s">
        <v>451</v>
      </c>
      <c r="C119" s="56"/>
      <c r="D119" s="56"/>
      <c r="E119" s="57"/>
    </row>
    <row r="120" spans="2:5">
      <c r="B120" s="67" t="s">
        <v>541</v>
      </c>
      <c r="C120" s="68">
        <v>40</v>
      </c>
      <c r="D120" s="69" t="s">
        <v>74</v>
      </c>
      <c r="E120" s="70"/>
    </row>
    <row r="121" spans="2:5">
      <c r="B121" s="74"/>
      <c r="C121" s="68"/>
      <c r="D121" s="69"/>
      <c r="E121" s="70"/>
    </row>
    <row r="122" spans="2:5">
      <c r="B122" s="71"/>
      <c r="C122" s="68"/>
      <c r="D122" s="69"/>
      <c r="E122" s="70"/>
    </row>
    <row r="123" spans="2:5">
      <c r="C123" s="42"/>
      <c r="D123" s="42"/>
    </row>
    <row r="124" spans="2:5">
      <c r="B124" s="76" t="s">
        <v>542</v>
      </c>
      <c r="C124" s="77"/>
      <c r="D124" s="77"/>
      <c r="E124" s="78"/>
    </row>
    <row r="125" spans="2:5">
      <c r="B125" s="51" t="s">
        <v>543</v>
      </c>
      <c r="C125" s="52">
        <v>1</v>
      </c>
      <c r="D125" s="53" t="s">
        <v>65</v>
      </c>
      <c r="E125" s="54"/>
    </row>
    <row r="126" spans="2:5">
      <c r="B126" s="51"/>
      <c r="C126" s="52"/>
      <c r="D126" s="53"/>
      <c r="E126" s="54"/>
    </row>
    <row r="127" spans="2:5">
      <c r="B127" s="51"/>
      <c r="C127" s="52"/>
      <c r="D127" s="53"/>
      <c r="E127" s="54"/>
    </row>
    <row r="128" spans="2:5">
      <c r="C128" s="42"/>
      <c r="D128" s="42"/>
    </row>
    <row r="129" spans="2:5">
      <c r="B129" s="48" t="s">
        <v>544</v>
      </c>
      <c r="C129" s="49"/>
      <c r="D129" s="49"/>
      <c r="E129" s="50"/>
    </row>
    <row r="130" spans="2:5">
      <c r="B130" s="67" t="s">
        <v>545</v>
      </c>
      <c r="C130" s="68">
        <v>1</v>
      </c>
      <c r="D130" s="69" t="s">
        <v>109</v>
      </c>
      <c r="E130" s="70"/>
    </row>
    <row r="131" spans="2:5">
      <c r="B131" s="67"/>
      <c r="C131" s="68"/>
      <c r="D131" s="69"/>
      <c r="E131" s="70"/>
    </row>
    <row r="132" spans="2:5">
      <c r="B132" s="67"/>
      <c r="C132" s="68"/>
      <c r="D132" s="69"/>
      <c r="E132" s="70"/>
    </row>
    <row r="133" spans="2:5">
      <c r="C133" s="42"/>
      <c r="D133" s="42"/>
    </row>
    <row r="134" spans="2:5">
      <c r="B134" s="55" t="s">
        <v>546</v>
      </c>
      <c r="C134" s="56"/>
      <c r="D134" s="56"/>
      <c r="E134" s="57"/>
    </row>
    <row r="135" spans="2:5">
      <c r="B135" s="67" t="s">
        <v>547</v>
      </c>
      <c r="C135" s="68">
        <v>1</v>
      </c>
      <c r="D135" s="69" t="s">
        <v>109</v>
      </c>
      <c r="E135" s="70"/>
    </row>
    <row r="136" spans="2:5">
      <c r="B136" s="67"/>
      <c r="C136" s="68"/>
      <c r="D136" s="69"/>
      <c r="E136" s="70"/>
    </row>
    <row r="137" spans="2:5">
      <c r="B137" s="67"/>
      <c r="C137" s="68"/>
      <c r="D137" s="69"/>
      <c r="E137" s="70"/>
    </row>
    <row r="138" spans="2:5">
      <c r="C138" s="42"/>
      <c r="D138" s="42"/>
    </row>
    <row r="139" spans="2:5">
      <c r="B139" s="76" t="s">
        <v>548</v>
      </c>
      <c r="C139" s="77"/>
      <c r="D139" s="77"/>
      <c r="E139" s="78"/>
    </row>
    <row r="140" spans="2:5">
      <c r="B140" s="51" t="s">
        <v>549</v>
      </c>
      <c r="C140" s="52">
        <v>1</v>
      </c>
      <c r="D140" s="53" t="s">
        <v>65</v>
      </c>
      <c r="E140" s="54"/>
    </row>
    <row r="141" spans="2:5">
      <c r="B141" s="51"/>
      <c r="C141" s="52"/>
      <c r="D141" s="53"/>
      <c r="E141" s="54"/>
    </row>
    <row r="142" spans="2:5">
      <c r="B142" s="51"/>
      <c r="C142" s="52"/>
      <c r="D142" s="53"/>
      <c r="E142" s="54"/>
    </row>
    <row r="143" spans="2:5">
      <c r="C143" s="42"/>
      <c r="D143" s="42"/>
    </row>
    <row r="144" spans="2:5">
      <c r="B144" s="48" t="s">
        <v>548</v>
      </c>
      <c r="C144" s="49"/>
      <c r="D144" s="49"/>
      <c r="E144" s="50"/>
    </row>
    <row r="145" spans="2:6">
      <c r="B145" s="67" t="s">
        <v>550</v>
      </c>
      <c r="C145" s="68">
        <v>2</v>
      </c>
      <c r="D145" s="69" t="s">
        <v>109</v>
      </c>
      <c r="E145" s="70"/>
    </row>
    <row r="146" spans="2:6">
      <c r="B146" s="67" t="s">
        <v>551</v>
      </c>
      <c r="C146" s="68">
        <v>40</v>
      </c>
      <c r="D146" s="69" t="s">
        <v>74</v>
      </c>
      <c r="E146" s="70"/>
    </row>
    <row r="147" spans="2:6">
      <c r="B147" s="67" t="s">
        <v>552</v>
      </c>
      <c r="C147" s="68">
        <v>20</v>
      </c>
      <c r="D147" s="69" t="s">
        <v>74</v>
      </c>
      <c r="E147" s="70"/>
    </row>
    <row r="148" spans="2:6">
      <c r="C148" s="42"/>
      <c r="D148" s="42"/>
    </row>
    <row r="149" spans="2:6">
      <c r="B149" s="55" t="s">
        <v>548</v>
      </c>
      <c r="C149" s="56"/>
      <c r="D149" s="56"/>
      <c r="E149" s="57"/>
    </row>
    <row r="150" spans="2:6">
      <c r="B150" s="67" t="s">
        <v>553</v>
      </c>
      <c r="C150" s="68">
        <v>1</v>
      </c>
      <c r="D150" s="69" t="s">
        <v>109</v>
      </c>
      <c r="E150" s="70"/>
    </row>
    <row r="151" spans="2:6">
      <c r="B151" s="67" t="s">
        <v>554</v>
      </c>
      <c r="C151" s="68">
        <v>50</v>
      </c>
      <c r="D151" s="69" t="s">
        <v>74</v>
      </c>
      <c r="E151" s="70"/>
    </row>
    <row r="152" spans="2:6">
      <c r="B152" s="67" t="s">
        <v>555</v>
      </c>
      <c r="C152" s="68">
        <v>15</v>
      </c>
      <c r="D152" s="69" t="s">
        <v>74</v>
      </c>
      <c r="E152" s="70"/>
    </row>
    <row r="153" spans="2:6">
      <c r="C153" s="42"/>
      <c r="D153" s="42"/>
    </row>
    <row r="154" spans="2:6">
      <c r="B154" s="55" t="s">
        <v>556</v>
      </c>
      <c r="C154" s="56"/>
      <c r="D154" s="56"/>
      <c r="E154" s="57"/>
      <c r="F154" s="34" t="s">
        <v>557</v>
      </c>
    </row>
    <row r="155" spans="2:6">
      <c r="B155" s="92" t="s">
        <v>383</v>
      </c>
      <c r="C155" s="93">
        <v>1</v>
      </c>
      <c r="D155" s="94" t="s">
        <v>65</v>
      </c>
      <c r="E155" s="103"/>
    </row>
    <row r="156" spans="2:6">
      <c r="B156" s="92" t="s">
        <v>401</v>
      </c>
      <c r="C156" s="93">
        <v>1</v>
      </c>
      <c r="D156" s="94" t="s">
        <v>65</v>
      </c>
      <c r="E156" s="103"/>
    </row>
    <row r="157" spans="2:6">
      <c r="B157" s="92" t="s">
        <v>443</v>
      </c>
      <c r="C157" s="93">
        <v>1</v>
      </c>
      <c r="D157" s="94" t="s">
        <v>65</v>
      </c>
      <c r="E157" s="103"/>
    </row>
    <row r="158" spans="2:6">
      <c r="B158" s="92" t="s">
        <v>165</v>
      </c>
      <c r="C158" s="93">
        <v>1</v>
      </c>
      <c r="D158" s="94" t="s">
        <v>65</v>
      </c>
      <c r="E158" s="103"/>
    </row>
    <row r="159" spans="2:6">
      <c r="B159" s="92" t="s">
        <v>383</v>
      </c>
      <c r="C159" s="93">
        <v>1</v>
      </c>
      <c r="D159" s="94" t="s">
        <v>65</v>
      </c>
      <c r="E159" s="103"/>
    </row>
    <row r="160" spans="2:6">
      <c r="B160" s="92"/>
      <c r="C160" s="93"/>
      <c r="D160" s="94"/>
      <c r="E160" s="103"/>
    </row>
    <row r="161" spans="2:6">
      <c r="B161" s="92"/>
      <c r="C161" s="93"/>
      <c r="D161" s="94"/>
      <c r="E161" s="103"/>
    </row>
    <row r="162" spans="2:6">
      <c r="B162" s="92"/>
      <c r="C162" s="93"/>
      <c r="D162" s="94"/>
      <c r="E162" s="103"/>
    </row>
    <row r="163" spans="2:6">
      <c r="B163" s="92"/>
      <c r="C163" s="93"/>
      <c r="D163" s="94"/>
      <c r="E163" s="103"/>
    </row>
    <row r="164" spans="2:6">
      <c r="C164" s="42"/>
      <c r="D164" s="42"/>
    </row>
    <row r="165" spans="2:6">
      <c r="B165" s="55" t="s">
        <v>558</v>
      </c>
      <c r="C165" s="56"/>
      <c r="D165" s="56"/>
      <c r="E165" s="57"/>
      <c r="F165" s="34" t="s">
        <v>557</v>
      </c>
    </row>
    <row r="166" spans="2:6">
      <c r="B166" s="92" t="s">
        <v>396</v>
      </c>
      <c r="C166" s="93">
        <v>1</v>
      </c>
      <c r="D166" s="94" t="s">
        <v>65</v>
      </c>
      <c r="E166" s="103"/>
    </row>
    <row r="167" spans="2:6">
      <c r="B167" s="92" t="s">
        <v>407</v>
      </c>
      <c r="C167" s="93">
        <v>1</v>
      </c>
      <c r="D167" s="94" t="s">
        <v>65</v>
      </c>
      <c r="E167" s="103"/>
    </row>
    <row r="168" spans="2:6">
      <c r="B168" s="92" t="s">
        <v>447</v>
      </c>
      <c r="C168" s="93">
        <v>1</v>
      </c>
      <c r="D168" s="94" t="s">
        <v>65</v>
      </c>
      <c r="E168" s="103"/>
    </row>
    <row r="169" spans="2:6">
      <c r="B169" s="92" t="s">
        <v>171</v>
      </c>
      <c r="C169" s="93">
        <v>1</v>
      </c>
      <c r="D169" s="94" t="s">
        <v>65</v>
      </c>
      <c r="E169" s="103"/>
    </row>
    <row r="170" spans="2:6">
      <c r="B170" s="92" t="s">
        <v>396</v>
      </c>
      <c r="C170" s="93">
        <v>1</v>
      </c>
      <c r="D170" s="94" t="s">
        <v>65</v>
      </c>
      <c r="E170" s="103"/>
    </row>
    <row r="171" spans="2:6">
      <c r="B171" s="92"/>
      <c r="C171" s="93"/>
      <c r="D171" s="94"/>
      <c r="E171" s="103"/>
    </row>
    <row r="172" spans="2:6">
      <c r="B172" s="92"/>
      <c r="C172" s="93"/>
      <c r="D172" s="94"/>
      <c r="E172" s="103"/>
    </row>
    <row r="173" spans="2:6">
      <c r="B173" s="92"/>
      <c r="C173" s="93"/>
      <c r="D173" s="94"/>
      <c r="E173" s="103"/>
    </row>
    <row r="174" spans="2:6">
      <c r="B174" s="92"/>
      <c r="C174" s="93"/>
      <c r="D174" s="94"/>
      <c r="E174" s="103"/>
    </row>
    <row r="175" spans="2:6">
      <c r="C175" s="42"/>
      <c r="D175" s="42"/>
    </row>
    <row r="176" spans="2:6">
      <c r="B176" s="55" t="s">
        <v>559</v>
      </c>
      <c r="C176" s="56"/>
      <c r="D176" s="56"/>
      <c r="E176" s="57"/>
      <c r="F176" s="34" t="s">
        <v>557</v>
      </c>
    </row>
    <row r="177" spans="2:6">
      <c r="B177" s="92" t="s">
        <v>383</v>
      </c>
      <c r="C177" s="93">
        <v>1</v>
      </c>
      <c r="D177" s="94" t="s">
        <v>65</v>
      </c>
      <c r="E177" s="103"/>
    </row>
    <row r="178" spans="2:6">
      <c r="B178" s="92" t="s">
        <v>401</v>
      </c>
      <c r="C178" s="93">
        <v>1</v>
      </c>
      <c r="D178" s="94" t="s">
        <v>65</v>
      </c>
      <c r="E178" s="103"/>
    </row>
    <row r="179" spans="2:6">
      <c r="B179" s="92" t="s">
        <v>443</v>
      </c>
      <c r="C179" s="93">
        <v>1</v>
      </c>
      <c r="D179" s="94" t="s">
        <v>65</v>
      </c>
      <c r="E179" s="103"/>
    </row>
    <row r="180" spans="2:6">
      <c r="B180" s="92" t="s">
        <v>184</v>
      </c>
      <c r="C180" s="93">
        <v>1</v>
      </c>
      <c r="D180" s="94" t="s">
        <v>65</v>
      </c>
      <c r="E180" s="103"/>
    </row>
    <row r="181" spans="2:6">
      <c r="B181" s="92" t="s">
        <v>383</v>
      </c>
      <c r="C181" s="93">
        <v>1</v>
      </c>
      <c r="D181" s="94" t="s">
        <v>65</v>
      </c>
      <c r="E181" s="103"/>
    </row>
    <row r="182" spans="2:6">
      <c r="B182" s="92"/>
      <c r="C182" s="93"/>
      <c r="D182" s="94"/>
      <c r="E182" s="103"/>
    </row>
    <row r="183" spans="2:6">
      <c r="B183" s="92"/>
      <c r="C183" s="93"/>
      <c r="D183" s="94"/>
      <c r="E183" s="103"/>
    </row>
    <row r="184" spans="2:6">
      <c r="B184" s="92"/>
      <c r="C184" s="93"/>
      <c r="D184" s="94"/>
      <c r="E184" s="103"/>
    </row>
    <row r="185" spans="2:6">
      <c r="B185" s="92"/>
      <c r="C185" s="93"/>
      <c r="D185" s="94"/>
      <c r="E185" s="103"/>
    </row>
    <row r="186" spans="2:6">
      <c r="C186" s="42"/>
      <c r="D186" s="42"/>
    </row>
    <row r="187" spans="2:6">
      <c r="B187" s="55" t="s">
        <v>560</v>
      </c>
      <c r="C187" s="56"/>
      <c r="D187" s="56"/>
      <c r="E187" s="57"/>
      <c r="F187" s="34" t="s">
        <v>557</v>
      </c>
    </row>
    <row r="188" spans="2:6">
      <c r="B188" s="92" t="s">
        <v>396</v>
      </c>
      <c r="C188" s="93">
        <v>1</v>
      </c>
      <c r="D188" s="94" t="s">
        <v>65</v>
      </c>
      <c r="E188" s="103"/>
    </row>
    <row r="189" spans="2:6">
      <c r="B189" s="92" t="s">
        <v>407</v>
      </c>
      <c r="C189" s="93">
        <v>1</v>
      </c>
      <c r="D189" s="94" t="s">
        <v>65</v>
      </c>
      <c r="E189" s="103"/>
    </row>
    <row r="190" spans="2:6">
      <c r="B190" s="92" t="s">
        <v>447</v>
      </c>
      <c r="C190" s="93">
        <v>1</v>
      </c>
      <c r="D190" s="94" t="s">
        <v>65</v>
      </c>
      <c r="E190" s="103"/>
    </row>
    <row r="191" spans="2:6">
      <c r="B191" s="92" t="s">
        <v>190</v>
      </c>
      <c r="C191" s="93">
        <v>1</v>
      </c>
      <c r="D191" s="94" t="s">
        <v>65</v>
      </c>
      <c r="E191" s="103"/>
    </row>
    <row r="192" spans="2:6">
      <c r="B192" s="92" t="s">
        <v>396</v>
      </c>
      <c r="C192" s="93">
        <v>1</v>
      </c>
      <c r="D192" s="94" t="s">
        <v>65</v>
      </c>
      <c r="E192" s="103"/>
    </row>
    <row r="193" spans="2:6">
      <c r="B193" s="92"/>
      <c r="C193" s="93"/>
      <c r="D193" s="94"/>
      <c r="E193" s="103"/>
    </row>
    <row r="194" spans="2:6">
      <c r="B194" s="92"/>
      <c r="C194" s="93"/>
      <c r="D194" s="94"/>
      <c r="E194" s="103"/>
    </row>
    <row r="195" spans="2:6">
      <c r="B195" s="92"/>
      <c r="C195" s="93"/>
      <c r="D195" s="94"/>
      <c r="E195" s="103"/>
    </row>
    <row r="196" spans="2:6">
      <c r="B196" s="92"/>
      <c r="C196" s="93"/>
      <c r="D196" s="94"/>
      <c r="E196" s="103"/>
    </row>
    <row r="197" spans="2:6">
      <c r="C197" s="42"/>
      <c r="D197" s="42"/>
    </row>
    <row r="198" spans="2:6">
      <c r="B198" s="55" t="s">
        <v>561</v>
      </c>
      <c r="C198" s="56"/>
      <c r="D198" s="56"/>
      <c r="E198" s="57"/>
      <c r="F198" s="34" t="s">
        <v>557</v>
      </c>
    </row>
    <row r="199" spans="2:6">
      <c r="B199" s="92" t="s">
        <v>383</v>
      </c>
      <c r="C199" s="93">
        <v>1</v>
      </c>
      <c r="D199" s="94" t="s">
        <v>65</v>
      </c>
      <c r="E199" s="103"/>
    </row>
    <row r="200" spans="2:6">
      <c r="B200" s="92" t="s">
        <v>401</v>
      </c>
      <c r="C200" s="93">
        <v>1</v>
      </c>
      <c r="D200" s="94" t="s">
        <v>65</v>
      </c>
      <c r="E200" s="103"/>
    </row>
    <row r="201" spans="2:6">
      <c r="B201" s="92" t="s">
        <v>443</v>
      </c>
      <c r="C201" s="93">
        <v>1</v>
      </c>
      <c r="D201" s="94" t="s">
        <v>65</v>
      </c>
      <c r="E201" s="103"/>
    </row>
    <row r="202" spans="2:6">
      <c r="B202" s="92" t="s">
        <v>200</v>
      </c>
      <c r="C202" s="93">
        <v>1</v>
      </c>
      <c r="D202" s="94" t="s">
        <v>65</v>
      </c>
      <c r="E202" s="103"/>
    </row>
    <row r="203" spans="2:6">
      <c r="B203" s="92" t="s">
        <v>383</v>
      </c>
      <c r="C203" s="93">
        <v>1</v>
      </c>
      <c r="D203" s="94" t="s">
        <v>65</v>
      </c>
      <c r="E203" s="103"/>
    </row>
    <row r="204" spans="2:6">
      <c r="B204" s="92"/>
      <c r="C204" s="93"/>
      <c r="D204" s="94"/>
      <c r="E204" s="103"/>
    </row>
    <row r="205" spans="2:6">
      <c r="B205" s="92"/>
      <c r="C205" s="93"/>
      <c r="D205" s="94"/>
      <c r="E205" s="103"/>
    </row>
    <row r="206" spans="2:6">
      <c r="B206" s="92"/>
      <c r="C206" s="93"/>
      <c r="D206" s="94"/>
      <c r="E206" s="103"/>
    </row>
    <row r="207" spans="2:6">
      <c r="B207" s="92"/>
      <c r="C207" s="93"/>
      <c r="D207" s="94"/>
      <c r="E207" s="103"/>
    </row>
    <row r="208" spans="2:6">
      <c r="C208" s="42"/>
      <c r="D208" s="42"/>
    </row>
    <row r="209" spans="2:6">
      <c r="B209" s="55" t="s">
        <v>562</v>
      </c>
      <c r="C209" s="56"/>
      <c r="D209" s="56"/>
      <c r="E209" s="57"/>
      <c r="F209" s="34" t="s">
        <v>557</v>
      </c>
    </row>
    <row r="210" spans="2:6">
      <c r="B210" s="92" t="s">
        <v>396</v>
      </c>
      <c r="C210" s="93">
        <v>1</v>
      </c>
      <c r="D210" s="94" t="s">
        <v>65</v>
      </c>
      <c r="E210" s="103"/>
    </row>
    <row r="211" spans="2:6">
      <c r="B211" s="92" t="s">
        <v>563</v>
      </c>
      <c r="C211" s="93">
        <v>1</v>
      </c>
      <c r="D211" s="94" t="s">
        <v>65</v>
      </c>
      <c r="E211" s="103"/>
    </row>
    <row r="212" spans="2:6">
      <c r="B212" s="92" t="s">
        <v>447</v>
      </c>
      <c r="C212" s="93">
        <v>1</v>
      </c>
      <c r="D212" s="94" t="s">
        <v>65</v>
      </c>
      <c r="E212" s="103"/>
    </row>
    <row r="213" spans="2:6">
      <c r="B213" s="92" t="s">
        <v>206</v>
      </c>
      <c r="C213" s="93">
        <v>1</v>
      </c>
      <c r="D213" s="94" t="s">
        <v>65</v>
      </c>
      <c r="E213" s="103"/>
    </row>
    <row r="214" spans="2:6">
      <c r="B214" s="92" t="s">
        <v>396</v>
      </c>
      <c r="C214" s="93">
        <v>1</v>
      </c>
      <c r="D214" s="94" t="s">
        <v>65</v>
      </c>
      <c r="E214" s="103"/>
    </row>
    <row r="215" spans="2:6">
      <c r="B215" s="92"/>
      <c r="C215" s="93"/>
      <c r="D215" s="94"/>
      <c r="E215" s="103"/>
    </row>
    <row r="216" spans="2:6">
      <c r="B216" s="92"/>
      <c r="C216" s="93"/>
      <c r="D216" s="94"/>
      <c r="E216" s="103"/>
    </row>
    <row r="217" spans="2:6">
      <c r="B217" s="92"/>
      <c r="C217" s="93"/>
      <c r="D217" s="94"/>
      <c r="E217" s="103"/>
    </row>
    <row r="218" spans="2:6">
      <c r="B218" s="92"/>
      <c r="C218" s="93"/>
      <c r="D218" s="94"/>
      <c r="E218" s="103"/>
    </row>
    <row r="219" spans="2:6">
      <c r="C219" s="42"/>
      <c r="D219" s="42"/>
    </row>
    <row r="220" spans="2:6">
      <c r="B220" s="55" t="s">
        <v>564</v>
      </c>
      <c r="C220" s="55">
        <v>1</v>
      </c>
      <c r="D220" s="55" t="s">
        <v>65</v>
      </c>
      <c r="E220" s="75" t="s">
        <v>686</v>
      </c>
      <c r="F220" s="117" t="s">
        <v>685</v>
      </c>
    </row>
    <row r="221" spans="2:6">
      <c r="B221" s="55" t="s">
        <v>566</v>
      </c>
      <c r="C221" s="55">
        <v>1</v>
      </c>
      <c r="D221" s="55" t="s">
        <v>65</v>
      </c>
      <c r="E221" s="75" t="s">
        <v>567</v>
      </c>
    </row>
    <row r="222" spans="2:6">
      <c r="B222" s="55" t="s">
        <v>568</v>
      </c>
      <c r="C222" s="55">
        <v>1</v>
      </c>
      <c r="D222" s="55" t="s">
        <v>65</v>
      </c>
      <c r="E222" s="75" t="s">
        <v>565</v>
      </c>
    </row>
    <row r="223" spans="2:6">
      <c r="B223" s="55" t="s">
        <v>569</v>
      </c>
      <c r="C223" s="55">
        <v>1</v>
      </c>
      <c r="D223" s="55" t="s">
        <v>65</v>
      </c>
      <c r="E223" s="75" t="s">
        <v>565</v>
      </c>
    </row>
    <row r="224" spans="2:6">
      <c r="B224" s="120" t="s">
        <v>570</v>
      </c>
      <c r="C224" s="120">
        <v>1</v>
      </c>
      <c r="D224" s="120" t="s">
        <v>65</v>
      </c>
      <c r="E224" s="75" t="s">
        <v>571</v>
      </c>
      <c r="F224" s="34"/>
    </row>
    <row r="225" spans="2:5">
      <c r="B225" s="120" t="s">
        <v>572</v>
      </c>
      <c r="C225" s="120">
        <v>1</v>
      </c>
      <c r="D225" s="120" t="s">
        <v>65</v>
      </c>
      <c r="E225" s="75" t="s">
        <v>573</v>
      </c>
    </row>
    <row r="226" spans="2:5">
      <c r="B226" s="120" t="s">
        <v>574</v>
      </c>
      <c r="C226" s="120">
        <v>1</v>
      </c>
      <c r="D226" s="120" t="s">
        <v>65</v>
      </c>
      <c r="E226" s="75" t="s">
        <v>575</v>
      </c>
    </row>
    <row r="227" spans="2:5">
      <c r="B227" s="120" t="s">
        <v>576</v>
      </c>
      <c r="C227" s="120">
        <v>1</v>
      </c>
      <c r="D227" s="120" t="s">
        <v>65</v>
      </c>
      <c r="E227" s="75" t="s">
        <v>571</v>
      </c>
    </row>
    <row r="228" spans="2:5">
      <c r="B228" s="55" t="s">
        <v>577</v>
      </c>
      <c r="C228" s="55">
        <v>1</v>
      </c>
      <c r="D228" s="55" t="s">
        <v>65</v>
      </c>
      <c r="E228" s="75" t="s">
        <v>571</v>
      </c>
    </row>
    <row r="229" spans="2:5">
      <c r="B229" s="55" t="s">
        <v>578</v>
      </c>
      <c r="C229" s="55">
        <v>1</v>
      </c>
      <c r="D229" s="55" t="s">
        <v>65</v>
      </c>
      <c r="E229" s="75" t="s">
        <v>573</v>
      </c>
    </row>
    <row r="230" spans="2:5">
      <c r="C230" s="42"/>
      <c r="D230" s="42"/>
    </row>
    <row r="231" spans="2:5">
      <c r="B231" s="48" t="s">
        <v>579</v>
      </c>
      <c r="C231" s="48">
        <v>1</v>
      </c>
      <c r="D231" s="48" t="s">
        <v>65</v>
      </c>
      <c r="E231" s="5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4DB3A-6B59-4AA2-8C8C-100BCE99104F}">
  <dimension ref="B1:F216"/>
  <sheetViews>
    <sheetView topLeftCell="A186" zoomScale="115" zoomScaleNormal="115" workbookViewId="0">
      <selection activeCell="E203" sqref="E203:E205"/>
    </sheetView>
  </sheetViews>
  <sheetFormatPr defaultRowHeight="14.4"/>
  <cols>
    <col min="2" max="2" width="45.6640625" style="42" customWidth="1"/>
    <col min="3" max="4" width="10.6640625" style="43" customWidth="1"/>
    <col min="5" max="5" width="37.109375" style="43" customWidth="1"/>
  </cols>
  <sheetData>
    <row r="1" spans="2:5">
      <c r="B1" s="42" t="s">
        <v>381</v>
      </c>
    </row>
    <row r="2" spans="2:5" ht="17.399999999999999">
      <c r="B2" s="45" t="s">
        <v>580</v>
      </c>
      <c r="C2" s="46"/>
      <c r="D2" s="46"/>
      <c r="E2" s="46"/>
    </row>
    <row r="3" spans="2:5">
      <c r="B3" s="4" t="s">
        <v>59</v>
      </c>
      <c r="C3" s="4" t="s">
        <v>60</v>
      </c>
      <c r="D3" s="4" t="s">
        <v>61</v>
      </c>
      <c r="E3" s="4" t="s">
        <v>62</v>
      </c>
    </row>
    <row r="4" spans="2:5">
      <c r="B4" s="81" t="s">
        <v>581</v>
      </c>
      <c r="C4" s="82"/>
      <c r="D4" s="60"/>
      <c r="E4" s="60"/>
    </row>
    <row r="5" spans="2:5">
      <c r="B5" s="92" t="s">
        <v>582</v>
      </c>
      <c r="C5" s="93">
        <v>1</v>
      </c>
      <c r="D5" s="94" t="s">
        <v>65</v>
      </c>
      <c r="E5" s="94"/>
    </row>
    <row r="6" spans="2:5">
      <c r="B6" s="92" t="s">
        <v>583</v>
      </c>
      <c r="C6" s="93">
        <v>1</v>
      </c>
      <c r="D6" s="94" t="s">
        <v>65</v>
      </c>
      <c r="E6" s="94"/>
    </row>
    <row r="7" spans="2:5">
      <c r="B7" s="92" t="s">
        <v>584</v>
      </c>
      <c r="C7" s="93">
        <v>1</v>
      </c>
      <c r="D7" s="94" t="s">
        <v>65</v>
      </c>
      <c r="E7" s="94"/>
    </row>
    <row r="8" spans="2:5">
      <c r="B8" s="92"/>
      <c r="C8" s="93"/>
      <c r="D8" s="94"/>
      <c r="E8" s="94"/>
    </row>
    <row r="9" spans="2:5">
      <c r="B9" s="92"/>
      <c r="C9" s="93"/>
      <c r="D9" s="94"/>
      <c r="E9" s="94"/>
    </row>
    <row r="10" spans="2:5">
      <c r="B10" s="92"/>
      <c r="C10" s="93"/>
      <c r="D10" s="94"/>
      <c r="E10" s="94"/>
    </row>
    <row r="11" spans="2:5">
      <c r="B11" s="92"/>
      <c r="C11" s="93"/>
      <c r="D11" s="94"/>
      <c r="E11" s="94"/>
    </row>
    <row r="12" spans="2:5">
      <c r="B12" s="92"/>
      <c r="C12" s="93"/>
      <c r="D12" s="94"/>
      <c r="E12" s="94"/>
    </row>
    <row r="13" spans="2:5">
      <c r="B13" s="92"/>
      <c r="C13" s="93"/>
      <c r="D13" s="94"/>
      <c r="E13" s="94"/>
    </row>
    <row r="14" spans="2:5">
      <c r="B14" s="83"/>
      <c r="C14" s="83"/>
      <c r="D14" s="83"/>
      <c r="E14" s="83"/>
    </row>
    <row r="15" spans="2:5">
      <c r="B15" s="81" t="s">
        <v>585</v>
      </c>
      <c r="C15" s="60"/>
      <c r="D15" s="60"/>
      <c r="E15" s="60"/>
    </row>
    <row r="16" spans="2:5">
      <c r="B16" s="92" t="s">
        <v>586</v>
      </c>
      <c r="C16" s="93">
        <v>30</v>
      </c>
      <c r="D16" s="94" t="s">
        <v>88</v>
      </c>
      <c r="E16" s="94"/>
    </row>
    <row r="17" spans="2:5">
      <c r="B17" s="92" t="s">
        <v>587</v>
      </c>
      <c r="C17" s="93">
        <v>10</v>
      </c>
      <c r="D17" s="94" t="s">
        <v>88</v>
      </c>
      <c r="E17" s="94"/>
    </row>
    <row r="18" spans="2:5">
      <c r="B18" s="92" t="s">
        <v>588</v>
      </c>
      <c r="C18" s="93">
        <v>20</v>
      </c>
      <c r="D18" s="94" t="s">
        <v>88</v>
      </c>
      <c r="E18" s="94"/>
    </row>
    <row r="19" spans="2:5">
      <c r="B19" s="92" t="s">
        <v>589</v>
      </c>
      <c r="C19" s="93">
        <v>3</v>
      </c>
      <c r="D19" s="94" t="s">
        <v>88</v>
      </c>
      <c r="E19" s="94"/>
    </row>
    <row r="20" spans="2:5">
      <c r="B20" s="92" t="s">
        <v>590</v>
      </c>
      <c r="C20" s="93">
        <v>1</v>
      </c>
      <c r="D20" s="94" t="s">
        <v>65</v>
      </c>
      <c r="E20" s="94"/>
    </row>
    <row r="21" spans="2:5">
      <c r="B21" s="112"/>
      <c r="C21" s="97"/>
      <c r="D21" s="98"/>
      <c r="E21" s="94"/>
    </row>
    <row r="22" spans="2:5">
      <c r="B22" s="111"/>
      <c r="C22" s="99"/>
      <c r="D22" s="99"/>
      <c r="E22" s="100"/>
    </row>
    <row r="23" spans="2:5">
      <c r="B23" s="110"/>
      <c r="C23" s="101"/>
      <c r="D23" s="102"/>
      <c r="E23" s="94"/>
    </row>
    <row r="24" spans="2:5">
      <c r="B24" s="92"/>
      <c r="C24" s="93"/>
      <c r="D24" s="94"/>
      <c r="E24" s="94"/>
    </row>
    <row r="25" spans="2:5">
      <c r="C25" s="42"/>
      <c r="D25" s="42"/>
      <c r="E25" s="42"/>
    </row>
    <row r="26" spans="2:5">
      <c r="B26" s="81" t="s">
        <v>591</v>
      </c>
      <c r="C26" s="60"/>
      <c r="D26" s="60"/>
      <c r="E26" s="60"/>
    </row>
    <row r="27" spans="2:5">
      <c r="B27" s="92" t="s">
        <v>592</v>
      </c>
      <c r="C27" s="93">
        <v>20</v>
      </c>
      <c r="D27" s="94" t="s">
        <v>88</v>
      </c>
      <c r="E27" s="94"/>
    </row>
    <row r="28" spans="2:5">
      <c r="B28" s="92" t="s">
        <v>593</v>
      </c>
      <c r="C28" s="93">
        <v>10</v>
      </c>
      <c r="D28" s="94" t="s">
        <v>88</v>
      </c>
      <c r="E28" s="94"/>
    </row>
    <row r="29" spans="2:5">
      <c r="B29" s="92" t="s">
        <v>594</v>
      </c>
      <c r="C29" s="93">
        <v>50</v>
      </c>
      <c r="D29" s="94" t="s">
        <v>88</v>
      </c>
      <c r="E29" s="94"/>
    </row>
    <row r="30" spans="2:5">
      <c r="B30" s="92" t="s">
        <v>469</v>
      </c>
      <c r="C30" s="93">
        <v>3</v>
      </c>
      <c r="D30" s="94" t="s">
        <v>88</v>
      </c>
      <c r="E30" s="94"/>
    </row>
    <row r="31" spans="2:5">
      <c r="B31" s="92" t="s">
        <v>595</v>
      </c>
      <c r="C31" s="93">
        <v>2</v>
      </c>
      <c r="D31" s="94" t="s">
        <v>65</v>
      </c>
      <c r="E31" s="94"/>
    </row>
    <row r="32" spans="2:5">
      <c r="B32" s="95"/>
      <c r="C32" s="96"/>
      <c r="D32" s="96"/>
      <c r="E32" s="94"/>
    </row>
    <row r="33" spans="2:5">
      <c r="B33" s="92"/>
      <c r="C33" s="93"/>
      <c r="D33" s="94"/>
      <c r="E33" s="94"/>
    </row>
    <row r="34" spans="2:5">
      <c r="B34" s="92"/>
      <c r="C34" s="93"/>
      <c r="D34" s="94"/>
      <c r="E34" s="94"/>
    </row>
    <row r="35" spans="2:5">
      <c r="B35" s="92"/>
      <c r="C35" s="93"/>
      <c r="D35" s="94"/>
      <c r="E35" s="94"/>
    </row>
    <row r="36" spans="2:5">
      <c r="C36" s="42"/>
      <c r="D36" s="42"/>
      <c r="E36" s="42"/>
    </row>
    <row r="37" spans="2:5">
      <c r="B37" s="81" t="s">
        <v>596</v>
      </c>
      <c r="C37" s="60"/>
      <c r="D37" s="60"/>
      <c r="E37" s="60"/>
    </row>
    <row r="38" spans="2:5">
      <c r="B38" s="92" t="s">
        <v>597</v>
      </c>
      <c r="C38" s="93">
        <v>40</v>
      </c>
      <c r="D38" s="94" t="s">
        <v>88</v>
      </c>
      <c r="E38" s="94"/>
    </row>
    <row r="39" spans="2:5">
      <c r="B39" s="92" t="s">
        <v>598</v>
      </c>
      <c r="C39" s="93">
        <v>30</v>
      </c>
      <c r="D39" s="94" t="s">
        <v>88</v>
      </c>
      <c r="E39" s="94"/>
    </row>
    <row r="40" spans="2:5">
      <c r="B40" s="92" t="s">
        <v>516</v>
      </c>
      <c r="C40" s="93">
        <v>4</v>
      </c>
      <c r="D40" s="94" t="s">
        <v>88</v>
      </c>
      <c r="E40" s="94"/>
    </row>
    <row r="41" spans="2:5">
      <c r="B41" s="92" t="s">
        <v>599</v>
      </c>
      <c r="C41" s="93">
        <v>5</v>
      </c>
      <c r="D41" s="94" t="s">
        <v>88</v>
      </c>
      <c r="E41" s="94"/>
    </row>
    <row r="42" spans="2:5">
      <c r="B42" s="92" t="s">
        <v>600</v>
      </c>
      <c r="C42" s="93">
        <v>1</v>
      </c>
      <c r="D42" s="94" t="s">
        <v>65</v>
      </c>
      <c r="E42" s="94"/>
    </row>
    <row r="43" spans="2:5">
      <c r="B43" s="92" t="s">
        <v>601</v>
      </c>
      <c r="C43" s="93">
        <v>1</v>
      </c>
      <c r="D43" s="94" t="s">
        <v>65</v>
      </c>
      <c r="E43" s="94"/>
    </row>
    <row r="44" spans="2:5">
      <c r="B44" s="92" t="s">
        <v>602</v>
      </c>
      <c r="C44" s="93">
        <v>1</v>
      </c>
      <c r="D44" s="94" t="s">
        <v>65</v>
      </c>
      <c r="E44" s="94"/>
    </row>
    <row r="45" spans="2:5">
      <c r="B45" s="92"/>
      <c r="C45" s="93"/>
      <c r="D45" s="94"/>
      <c r="E45" s="94"/>
    </row>
    <row r="46" spans="2:5">
      <c r="B46" s="92"/>
      <c r="C46" s="93"/>
      <c r="D46" s="94"/>
      <c r="E46" s="94"/>
    </row>
    <row r="47" spans="2:5">
      <c r="C47" s="42"/>
      <c r="D47" s="42"/>
      <c r="E47" s="42"/>
    </row>
    <row r="48" spans="2:5">
      <c r="B48" s="81" t="s">
        <v>603</v>
      </c>
      <c r="C48" s="60"/>
      <c r="D48" s="60"/>
      <c r="E48" s="60"/>
    </row>
    <row r="49" spans="2:5">
      <c r="B49" s="92" t="s">
        <v>604</v>
      </c>
      <c r="C49" s="93">
        <v>10</v>
      </c>
      <c r="D49" s="94" t="s">
        <v>88</v>
      </c>
      <c r="E49" s="94"/>
    </row>
    <row r="50" spans="2:5">
      <c r="B50" s="92" t="s">
        <v>605</v>
      </c>
      <c r="C50" s="93">
        <v>13</v>
      </c>
      <c r="D50" s="94" t="s">
        <v>88</v>
      </c>
      <c r="E50" s="94"/>
    </row>
    <row r="51" spans="2:5">
      <c r="B51" s="92" t="s">
        <v>606</v>
      </c>
      <c r="C51" s="93">
        <v>30</v>
      </c>
      <c r="D51" s="94" t="s">
        <v>88</v>
      </c>
      <c r="E51" s="94"/>
    </row>
    <row r="52" spans="2:5">
      <c r="B52" s="92" t="s">
        <v>516</v>
      </c>
      <c r="C52" s="93">
        <v>4</v>
      </c>
      <c r="D52" s="94" t="s">
        <v>88</v>
      </c>
      <c r="E52" s="94"/>
    </row>
    <row r="53" spans="2:5">
      <c r="B53" s="92" t="s">
        <v>599</v>
      </c>
      <c r="C53" s="93">
        <v>3</v>
      </c>
      <c r="D53" s="94" t="s">
        <v>88</v>
      </c>
      <c r="E53" s="94"/>
    </row>
    <row r="54" spans="2:5">
      <c r="B54" s="92" t="s">
        <v>607</v>
      </c>
      <c r="C54" s="93">
        <v>1</v>
      </c>
      <c r="D54" s="94" t="s">
        <v>65</v>
      </c>
      <c r="E54" s="94"/>
    </row>
    <row r="55" spans="2:5">
      <c r="B55" s="92" t="s">
        <v>608</v>
      </c>
      <c r="C55" s="93">
        <v>3</v>
      </c>
      <c r="D55" s="94" t="s">
        <v>65</v>
      </c>
      <c r="E55" s="94"/>
    </row>
    <row r="56" spans="2:5">
      <c r="B56" s="92" t="s">
        <v>609</v>
      </c>
      <c r="C56" s="93">
        <v>30</v>
      </c>
      <c r="D56" s="94" t="s">
        <v>88</v>
      </c>
      <c r="E56" s="94"/>
    </row>
    <row r="57" spans="2:5">
      <c r="B57" s="92"/>
      <c r="C57" s="93"/>
      <c r="D57" s="94"/>
      <c r="E57" s="94"/>
    </row>
    <row r="58" spans="2:5">
      <c r="C58" s="42"/>
      <c r="D58" s="42"/>
      <c r="E58" s="42"/>
    </row>
    <row r="59" spans="2:5">
      <c r="B59" s="81" t="s">
        <v>610</v>
      </c>
      <c r="C59" s="60"/>
      <c r="D59" s="60"/>
      <c r="E59" s="60"/>
    </row>
    <row r="60" spans="2:5">
      <c r="B60" s="92" t="s">
        <v>611</v>
      </c>
      <c r="C60" s="93">
        <v>1</v>
      </c>
      <c r="D60" s="94" t="s">
        <v>65</v>
      </c>
      <c r="E60" s="94"/>
    </row>
    <row r="61" spans="2:5">
      <c r="B61" s="92" t="s">
        <v>612</v>
      </c>
      <c r="C61" s="93">
        <v>1</v>
      </c>
      <c r="D61" s="94" t="s">
        <v>65</v>
      </c>
      <c r="E61" s="94"/>
    </row>
    <row r="62" spans="2:5">
      <c r="B62" s="92" t="s">
        <v>613</v>
      </c>
      <c r="C62" s="93">
        <v>1</v>
      </c>
      <c r="D62" s="94" t="s">
        <v>65</v>
      </c>
      <c r="E62" s="94"/>
    </row>
    <row r="63" spans="2:5">
      <c r="B63" s="92" t="s">
        <v>614</v>
      </c>
      <c r="C63" s="93">
        <v>1</v>
      </c>
      <c r="D63" s="94" t="s">
        <v>65</v>
      </c>
      <c r="E63" s="94"/>
    </row>
    <row r="64" spans="2:5">
      <c r="B64" s="92"/>
      <c r="C64" s="93"/>
      <c r="D64" s="94"/>
      <c r="E64" s="94"/>
    </row>
    <row r="65" spans="2:5">
      <c r="B65" s="95"/>
      <c r="C65" s="96"/>
      <c r="D65" s="96"/>
      <c r="E65" s="94"/>
    </row>
    <row r="66" spans="2:5">
      <c r="B66" s="92"/>
      <c r="C66" s="93"/>
      <c r="D66" s="94"/>
      <c r="E66" s="94"/>
    </row>
    <row r="67" spans="2:5">
      <c r="B67" s="92"/>
      <c r="C67" s="93"/>
      <c r="D67" s="94"/>
      <c r="E67" s="94"/>
    </row>
    <row r="68" spans="2:5">
      <c r="B68" s="92"/>
      <c r="C68" s="93"/>
      <c r="D68" s="94"/>
      <c r="E68" s="94"/>
    </row>
    <row r="69" spans="2:5">
      <c r="C69" s="42"/>
      <c r="D69" s="42"/>
      <c r="E69" s="42"/>
    </row>
    <row r="70" spans="2:5">
      <c r="B70" s="81" t="s">
        <v>615</v>
      </c>
      <c r="C70" s="60"/>
      <c r="D70" s="60"/>
      <c r="E70" s="60"/>
    </row>
    <row r="71" spans="2:5">
      <c r="B71" s="92" t="s">
        <v>611</v>
      </c>
      <c r="C71" s="93">
        <v>1</v>
      </c>
      <c r="D71" s="94" t="s">
        <v>65</v>
      </c>
      <c r="E71" s="94"/>
    </row>
    <row r="72" spans="2:5">
      <c r="B72" s="92" t="s">
        <v>612</v>
      </c>
      <c r="C72" s="93">
        <v>1</v>
      </c>
      <c r="D72" s="94" t="s">
        <v>65</v>
      </c>
      <c r="E72" s="94"/>
    </row>
    <row r="73" spans="2:5">
      <c r="B73" s="92" t="s">
        <v>613</v>
      </c>
      <c r="C73" s="93">
        <v>1</v>
      </c>
      <c r="D73" s="94" t="s">
        <v>65</v>
      </c>
      <c r="E73" s="94"/>
    </row>
    <row r="74" spans="2:5">
      <c r="B74" s="92" t="s">
        <v>614</v>
      </c>
      <c r="C74" s="97">
        <v>1</v>
      </c>
      <c r="D74" s="98" t="s">
        <v>65</v>
      </c>
      <c r="E74" s="94"/>
    </row>
    <row r="75" spans="2:5">
      <c r="B75" s="95"/>
      <c r="C75" s="99"/>
      <c r="D75" s="99"/>
      <c r="E75" s="100"/>
    </row>
    <row r="76" spans="2:5">
      <c r="B76" s="92"/>
      <c r="C76" s="101"/>
      <c r="D76" s="102"/>
      <c r="E76" s="94"/>
    </row>
    <row r="77" spans="2:5">
      <c r="B77" s="92"/>
      <c r="C77" s="93"/>
      <c r="D77" s="94"/>
      <c r="E77" s="94"/>
    </row>
    <row r="78" spans="2:5">
      <c r="B78" s="92"/>
      <c r="C78" s="93"/>
      <c r="D78" s="94"/>
      <c r="E78" s="94"/>
    </row>
    <row r="79" spans="2:5">
      <c r="B79" s="92"/>
      <c r="C79" s="93"/>
      <c r="D79" s="94"/>
      <c r="E79" s="94"/>
    </row>
    <row r="80" spans="2:5">
      <c r="C80" s="42"/>
      <c r="D80" s="42"/>
      <c r="E80" s="42"/>
    </row>
    <row r="81" spans="2:5">
      <c r="B81" s="81" t="s">
        <v>616</v>
      </c>
      <c r="C81" s="60"/>
      <c r="D81" s="60"/>
      <c r="E81" s="60"/>
    </row>
    <row r="82" spans="2:5">
      <c r="B82" s="92" t="s">
        <v>617</v>
      </c>
      <c r="C82" s="93">
        <v>25</v>
      </c>
      <c r="D82" s="94" t="s">
        <v>88</v>
      </c>
      <c r="E82" s="94"/>
    </row>
    <row r="83" spans="2:5">
      <c r="B83" s="92" t="s">
        <v>618</v>
      </c>
      <c r="C83" s="93">
        <v>15</v>
      </c>
      <c r="D83" s="94" t="s">
        <v>88</v>
      </c>
      <c r="E83" s="94"/>
    </row>
    <row r="84" spans="2:5">
      <c r="B84" s="92" t="s">
        <v>619</v>
      </c>
      <c r="C84" s="93">
        <v>5</v>
      </c>
      <c r="D84" s="94" t="s">
        <v>88</v>
      </c>
      <c r="E84" s="94"/>
    </row>
    <row r="85" spans="2:5">
      <c r="B85" s="92" t="s">
        <v>620</v>
      </c>
      <c r="C85" s="93">
        <v>1</v>
      </c>
      <c r="D85" s="94" t="s">
        <v>65</v>
      </c>
      <c r="E85" s="94"/>
    </row>
    <row r="86" spans="2:5">
      <c r="B86" s="92"/>
      <c r="C86" s="93"/>
      <c r="D86" s="94"/>
      <c r="E86" s="94"/>
    </row>
    <row r="87" spans="2:5">
      <c r="B87" s="92"/>
      <c r="C87" s="93"/>
      <c r="D87" s="94"/>
      <c r="E87" s="94"/>
    </row>
    <row r="88" spans="2:5">
      <c r="B88" s="92"/>
      <c r="C88" s="93"/>
      <c r="D88" s="94"/>
      <c r="E88" s="94"/>
    </row>
    <row r="89" spans="2:5">
      <c r="B89" s="92"/>
      <c r="C89" s="93"/>
      <c r="D89" s="94"/>
      <c r="E89" s="94"/>
    </row>
    <row r="90" spans="2:5">
      <c r="B90" s="92"/>
      <c r="C90" s="93"/>
      <c r="D90" s="94"/>
      <c r="E90" s="94"/>
    </row>
    <row r="91" spans="2:5">
      <c r="C91" s="42"/>
      <c r="D91" s="42"/>
      <c r="E91" s="42"/>
    </row>
    <row r="92" spans="2:5">
      <c r="B92" s="81" t="s">
        <v>621</v>
      </c>
      <c r="C92" s="60"/>
      <c r="D92" s="60"/>
      <c r="E92" s="60"/>
    </row>
    <row r="93" spans="2:5">
      <c r="B93" s="92" t="s">
        <v>617</v>
      </c>
      <c r="C93" s="93">
        <v>25</v>
      </c>
      <c r="D93" s="94" t="s">
        <v>88</v>
      </c>
      <c r="E93" s="94"/>
    </row>
    <row r="94" spans="2:5">
      <c r="B94" s="92" t="s">
        <v>618</v>
      </c>
      <c r="C94" s="93">
        <v>15</v>
      </c>
      <c r="D94" s="94" t="s">
        <v>88</v>
      </c>
      <c r="E94" s="94"/>
    </row>
    <row r="95" spans="2:5">
      <c r="B95" s="92" t="s">
        <v>619</v>
      </c>
      <c r="C95" s="93">
        <v>5</v>
      </c>
      <c r="D95" s="94" t="s">
        <v>88</v>
      </c>
      <c r="E95" s="94"/>
    </row>
    <row r="96" spans="2:5">
      <c r="B96" s="92" t="s">
        <v>620</v>
      </c>
      <c r="C96" s="93">
        <v>1</v>
      </c>
      <c r="D96" s="94" t="s">
        <v>65</v>
      </c>
      <c r="E96" s="94"/>
    </row>
    <row r="97" spans="2:6">
      <c r="B97" s="92"/>
      <c r="C97" s="93"/>
      <c r="D97" s="94"/>
      <c r="E97" s="94"/>
    </row>
    <row r="98" spans="2:6">
      <c r="B98" s="92"/>
      <c r="C98" s="93"/>
      <c r="D98" s="94"/>
      <c r="E98" s="94"/>
    </row>
    <row r="99" spans="2:6">
      <c r="B99" s="92"/>
      <c r="C99" s="93"/>
      <c r="D99" s="94"/>
      <c r="E99" s="94"/>
    </row>
    <row r="100" spans="2:6">
      <c r="B100" s="92"/>
      <c r="C100" s="93"/>
      <c r="D100" s="94"/>
      <c r="E100" s="94"/>
    </row>
    <row r="101" spans="2:6">
      <c r="B101" s="92"/>
      <c r="C101" s="93"/>
      <c r="D101" s="94"/>
      <c r="E101" s="94"/>
    </row>
    <row r="102" spans="2:6">
      <c r="C102" s="42"/>
      <c r="D102" s="42"/>
      <c r="E102" s="42"/>
    </row>
    <row r="103" spans="2:6">
      <c r="B103" s="81" t="s">
        <v>622</v>
      </c>
      <c r="C103" s="60"/>
      <c r="D103" s="60"/>
      <c r="E103" s="60"/>
      <c r="F103" t="s">
        <v>623</v>
      </c>
    </row>
    <row r="104" spans="2:6">
      <c r="B104" s="15" t="s">
        <v>172</v>
      </c>
      <c r="C104" s="19">
        <v>90</v>
      </c>
      <c r="D104" s="17" t="s">
        <v>74</v>
      </c>
      <c r="E104" s="18" t="s">
        <v>173</v>
      </c>
    </row>
    <row r="105" spans="2:6">
      <c r="B105" s="15" t="s">
        <v>174</v>
      </c>
      <c r="C105" s="19">
        <v>30</v>
      </c>
      <c r="D105" s="17" t="s">
        <v>74</v>
      </c>
      <c r="E105" s="18" t="s">
        <v>173</v>
      </c>
    </row>
    <row r="106" spans="2:6">
      <c r="B106" s="15" t="s">
        <v>175</v>
      </c>
      <c r="C106" s="19">
        <v>90</v>
      </c>
      <c r="D106" s="17" t="s">
        <v>74</v>
      </c>
      <c r="E106" s="18"/>
    </row>
    <row r="107" spans="2:6">
      <c r="B107" s="15" t="s">
        <v>176</v>
      </c>
      <c r="C107" s="19">
        <v>60</v>
      </c>
      <c r="D107" s="17" t="s">
        <v>74</v>
      </c>
      <c r="E107" s="18"/>
    </row>
    <row r="108" spans="2:6">
      <c r="B108" s="15" t="s">
        <v>177</v>
      </c>
      <c r="C108" s="19">
        <v>20</v>
      </c>
      <c r="D108" s="17" t="s">
        <v>74</v>
      </c>
      <c r="E108" s="18"/>
    </row>
    <row r="109" spans="2:6">
      <c r="B109" s="67"/>
      <c r="C109" s="68"/>
      <c r="D109" s="69"/>
      <c r="E109" s="69"/>
    </row>
    <row r="110" spans="2:6">
      <c r="B110" s="67"/>
      <c r="C110" s="68"/>
      <c r="D110" s="69"/>
      <c r="E110" s="69"/>
    </row>
    <row r="111" spans="2:6">
      <c r="B111" s="67"/>
      <c r="C111" s="68"/>
      <c r="D111" s="69"/>
      <c r="E111" s="69"/>
    </row>
    <row r="112" spans="2:6">
      <c r="B112" s="67"/>
      <c r="C112" s="68"/>
      <c r="D112" s="69"/>
      <c r="E112" s="69"/>
    </row>
    <row r="113" spans="2:6">
      <c r="C113" s="42"/>
      <c r="D113" s="42"/>
      <c r="E113" s="42"/>
    </row>
    <row r="114" spans="2:6">
      <c r="B114" s="81" t="s">
        <v>624</v>
      </c>
      <c r="C114" s="60"/>
      <c r="D114" s="60"/>
      <c r="E114" s="60"/>
      <c r="F114" t="s">
        <v>625</v>
      </c>
    </row>
    <row r="115" spans="2:6">
      <c r="B115" s="15" t="s">
        <v>185</v>
      </c>
      <c r="C115" s="19">
        <v>90</v>
      </c>
      <c r="D115" s="17" t="s">
        <v>74</v>
      </c>
      <c r="E115" s="18" t="s">
        <v>186</v>
      </c>
    </row>
    <row r="116" spans="2:6">
      <c r="B116" s="15" t="s">
        <v>187</v>
      </c>
      <c r="C116" s="19">
        <v>30</v>
      </c>
      <c r="D116" s="17" t="s">
        <v>74</v>
      </c>
      <c r="E116" s="18"/>
    </row>
    <row r="117" spans="2:6">
      <c r="B117" s="15" t="s">
        <v>188</v>
      </c>
      <c r="C117" s="19">
        <v>60</v>
      </c>
      <c r="D117" s="17" t="s">
        <v>74</v>
      </c>
      <c r="E117" s="18"/>
    </row>
    <row r="118" spans="2:6">
      <c r="B118" s="15" t="s">
        <v>626</v>
      </c>
      <c r="C118" s="19">
        <v>60</v>
      </c>
      <c r="D118" s="17" t="s">
        <v>74</v>
      </c>
      <c r="E118" s="18"/>
    </row>
    <row r="119" spans="2:6">
      <c r="B119" s="67"/>
      <c r="C119" s="68"/>
      <c r="D119" s="69"/>
      <c r="E119" s="69"/>
    </row>
    <row r="120" spans="2:6">
      <c r="B120" s="67"/>
      <c r="C120" s="68"/>
      <c r="D120" s="69"/>
      <c r="E120" s="69"/>
    </row>
    <row r="121" spans="2:6">
      <c r="B121" s="67"/>
      <c r="C121" s="68"/>
      <c r="D121" s="69"/>
      <c r="E121" s="69"/>
    </row>
    <row r="122" spans="2:6">
      <c r="B122" s="67"/>
      <c r="C122" s="68"/>
      <c r="D122" s="69"/>
      <c r="E122" s="69"/>
    </row>
    <row r="123" spans="2:6">
      <c r="B123" s="67"/>
      <c r="C123" s="68"/>
      <c r="D123" s="69"/>
      <c r="E123" s="69"/>
    </row>
    <row r="124" spans="2:6">
      <c r="C124" s="42"/>
      <c r="D124" s="42"/>
      <c r="E124" s="42"/>
    </row>
    <row r="125" spans="2:6">
      <c r="B125" s="81" t="s">
        <v>627</v>
      </c>
      <c r="C125" s="60"/>
      <c r="D125" s="60"/>
      <c r="E125" s="60"/>
      <c r="F125" t="s">
        <v>623</v>
      </c>
    </row>
    <row r="126" spans="2:6">
      <c r="B126" s="15" t="s">
        <v>166</v>
      </c>
      <c r="C126" s="19">
        <v>90</v>
      </c>
      <c r="D126" s="17" t="s">
        <v>74</v>
      </c>
      <c r="E126" s="18"/>
    </row>
    <row r="127" spans="2:6">
      <c r="B127" s="15" t="s">
        <v>167</v>
      </c>
      <c r="C127" s="19">
        <v>30</v>
      </c>
      <c r="D127" s="17" t="s">
        <v>74</v>
      </c>
      <c r="E127" s="18"/>
    </row>
    <row r="128" spans="2:6">
      <c r="B128" s="15" t="s">
        <v>169</v>
      </c>
      <c r="C128" s="19">
        <v>90</v>
      </c>
      <c r="D128" s="17" t="s">
        <v>74</v>
      </c>
      <c r="E128" s="18"/>
    </row>
    <row r="129" spans="2:6">
      <c r="B129" s="15" t="s">
        <v>170</v>
      </c>
      <c r="C129" s="19">
        <v>60</v>
      </c>
      <c r="D129" s="17" t="s">
        <v>74</v>
      </c>
      <c r="E129" s="18"/>
    </row>
    <row r="130" spans="2:6">
      <c r="B130" s="67"/>
      <c r="C130" s="68"/>
      <c r="D130" s="69"/>
      <c r="E130" s="69"/>
    </row>
    <row r="131" spans="2:6">
      <c r="B131" s="67"/>
      <c r="C131" s="68"/>
      <c r="D131" s="69"/>
      <c r="E131" s="69"/>
    </row>
    <row r="132" spans="2:6">
      <c r="B132" s="67"/>
      <c r="C132" s="68"/>
      <c r="D132" s="69"/>
      <c r="E132" s="69"/>
    </row>
    <row r="133" spans="2:6">
      <c r="B133" s="67"/>
      <c r="C133" s="68"/>
      <c r="D133" s="69"/>
      <c r="E133" s="69"/>
    </row>
    <row r="134" spans="2:6">
      <c r="B134" s="67"/>
      <c r="C134" s="68"/>
      <c r="D134" s="69"/>
      <c r="E134" s="69"/>
    </row>
    <row r="135" spans="2:6">
      <c r="C135" s="42"/>
      <c r="D135" s="42"/>
      <c r="E135" s="42"/>
    </row>
    <row r="136" spans="2:6">
      <c r="B136" s="81" t="s">
        <v>628</v>
      </c>
      <c r="C136" s="60"/>
      <c r="D136" s="60"/>
      <c r="E136" s="60"/>
      <c r="F136" t="s">
        <v>625</v>
      </c>
    </row>
    <row r="137" spans="2:6">
      <c r="B137" s="15" t="s">
        <v>629</v>
      </c>
      <c r="C137" s="19">
        <v>1</v>
      </c>
      <c r="D137" s="17" t="s">
        <v>109</v>
      </c>
      <c r="E137" s="18" t="s">
        <v>186</v>
      </c>
    </row>
    <row r="138" spans="2:6">
      <c r="B138" s="15" t="s">
        <v>630</v>
      </c>
      <c r="C138" s="19">
        <v>30</v>
      </c>
      <c r="D138" s="17" t="s">
        <v>74</v>
      </c>
      <c r="E138" s="18"/>
    </row>
    <row r="139" spans="2:6">
      <c r="B139" s="15" t="s">
        <v>193</v>
      </c>
      <c r="C139" s="19">
        <v>60</v>
      </c>
      <c r="D139" s="17" t="s">
        <v>74</v>
      </c>
      <c r="E139" s="18"/>
    </row>
    <row r="140" spans="2:6">
      <c r="B140" s="15" t="s">
        <v>631</v>
      </c>
      <c r="C140" s="19">
        <v>60</v>
      </c>
      <c r="D140" s="17" t="s">
        <v>74</v>
      </c>
      <c r="E140" s="18"/>
    </row>
    <row r="141" spans="2:6">
      <c r="B141" s="67"/>
      <c r="C141" s="68"/>
      <c r="D141" s="69"/>
      <c r="E141" s="69"/>
    </row>
    <row r="142" spans="2:6">
      <c r="B142" s="67"/>
      <c r="C142" s="68"/>
      <c r="D142" s="69"/>
      <c r="E142" s="69"/>
    </row>
    <row r="143" spans="2:6">
      <c r="B143" s="67"/>
      <c r="C143" s="68"/>
      <c r="D143" s="69"/>
      <c r="E143" s="69"/>
    </row>
    <row r="144" spans="2:6">
      <c r="B144" s="67"/>
      <c r="C144" s="68"/>
      <c r="D144" s="69"/>
      <c r="E144" s="69"/>
    </row>
    <row r="145" spans="2:5">
      <c r="B145" s="67"/>
      <c r="C145" s="68"/>
      <c r="D145" s="69"/>
      <c r="E145" s="69"/>
    </row>
    <row r="146" spans="2:5">
      <c r="C146" s="42"/>
      <c r="D146" s="42"/>
      <c r="E146" s="42"/>
    </row>
    <row r="147" spans="2:5">
      <c r="B147" s="81" t="s">
        <v>632</v>
      </c>
      <c r="C147" s="60"/>
      <c r="D147" s="60"/>
      <c r="E147" s="60"/>
    </row>
    <row r="148" spans="2:5">
      <c r="B148" s="92" t="s">
        <v>582</v>
      </c>
      <c r="C148" s="93">
        <v>1</v>
      </c>
      <c r="D148" s="94" t="s">
        <v>65</v>
      </c>
      <c r="E148" s="94"/>
    </row>
    <row r="149" spans="2:5">
      <c r="B149" s="92" t="s">
        <v>633</v>
      </c>
      <c r="C149" s="93">
        <v>1</v>
      </c>
      <c r="D149" s="94" t="s">
        <v>65</v>
      </c>
      <c r="E149" s="94"/>
    </row>
    <row r="150" spans="2:5">
      <c r="B150" s="92" t="s">
        <v>634</v>
      </c>
      <c r="C150" s="93">
        <v>1</v>
      </c>
      <c r="D150" s="94" t="s">
        <v>65</v>
      </c>
      <c r="E150" s="94"/>
    </row>
    <row r="151" spans="2:5">
      <c r="B151" s="92" t="s">
        <v>613</v>
      </c>
      <c r="C151" s="93">
        <v>2</v>
      </c>
      <c r="D151" s="94" t="s">
        <v>65</v>
      </c>
      <c r="E151" s="94"/>
    </row>
    <row r="152" spans="2:5">
      <c r="B152" s="92" t="s">
        <v>583</v>
      </c>
      <c r="C152" s="93">
        <v>1</v>
      </c>
      <c r="D152" s="94" t="s">
        <v>65</v>
      </c>
      <c r="E152" s="94"/>
    </row>
    <row r="153" spans="2:5">
      <c r="B153" s="92"/>
      <c r="C153" s="93"/>
      <c r="D153" s="94"/>
      <c r="E153" s="94"/>
    </row>
    <row r="154" spans="2:5">
      <c r="B154" s="92"/>
      <c r="C154" s="93"/>
      <c r="D154" s="94"/>
      <c r="E154" s="94"/>
    </row>
    <row r="155" spans="2:5">
      <c r="B155" s="92"/>
      <c r="C155" s="93"/>
      <c r="D155" s="94"/>
      <c r="E155" s="94"/>
    </row>
    <row r="156" spans="2:5">
      <c r="B156" s="92"/>
      <c r="C156" s="93"/>
      <c r="D156" s="94"/>
      <c r="E156" s="94"/>
    </row>
    <row r="157" spans="2:5">
      <c r="C157" s="42"/>
      <c r="D157" s="42"/>
      <c r="E157" s="42"/>
    </row>
    <row r="158" spans="2:5">
      <c r="B158" s="81" t="s">
        <v>635</v>
      </c>
      <c r="C158" s="60"/>
      <c r="D158" s="60"/>
      <c r="E158" s="60"/>
    </row>
    <row r="159" spans="2:5">
      <c r="B159" s="92" t="s">
        <v>582</v>
      </c>
      <c r="C159" s="93">
        <v>1</v>
      </c>
      <c r="D159" s="94" t="s">
        <v>65</v>
      </c>
      <c r="E159" s="94"/>
    </row>
    <row r="160" spans="2:5">
      <c r="B160" s="92" t="s">
        <v>633</v>
      </c>
      <c r="C160" s="93">
        <v>1</v>
      </c>
      <c r="D160" s="94" t="s">
        <v>65</v>
      </c>
      <c r="E160" s="94"/>
    </row>
    <row r="161" spans="2:5">
      <c r="B161" s="92" t="s">
        <v>634</v>
      </c>
      <c r="C161" s="93">
        <v>1</v>
      </c>
      <c r="D161" s="94" t="s">
        <v>65</v>
      </c>
      <c r="E161" s="94"/>
    </row>
    <row r="162" spans="2:5">
      <c r="B162" s="92" t="s">
        <v>613</v>
      </c>
      <c r="C162" s="93">
        <v>2</v>
      </c>
      <c r="D162" s="94" t="s">
        <v>65</v>
      </c>
      <c r="E162" s="94"/>
    </row>
    <row r="163" spans="2:5">
      <c r="B163" s="92" t="s">
        <v>583</v>
      </c>
      <c r="C163" s="93">
        <v>1</v>
      </c>
      <c r="D163" s="94" t="s">
        <v>65</v>
      </c>
      <c r="E163" s="94"/>
    </row>
    <row r="164" spans="2:5">
      <c r="B164" s="92"/>
      <c r="C164" s="93"/>
      <c r="D164" s="94"/>
      <c r="E164" s="94"/>
    </row>
    <row r="165" spans="2:5">
      <c r="B165" s="92"/>
      <c r="C165" s="93"/>
      <c r="D165" s="94"/>
      <c r="E165" s="94"/>
    </row>
    <row r="166" spans="2:5">
      <c r="B166" s="92"/>
      <c r="C166" s="93"/>
      <c r="D166" s="94"/>
      <c r="E166" s="94"/>
    </row>
    <row r="167" spans="2:5">
      <c r="B167" s="92"/>
      <c r="C167" s="93"/>
      <c r="D167" s="94"/>
      <c r="E167" s="94"/>
    </row>
    <row r="168" spans="2:5">
      <c r="C168" s="42"/>
      <c r="D168" s="42"/>
      <c r="E168" s="42"/>
    </row>
    <row r="169" spans="2:5">
      <c r="B169" s="81" t="s">
        <v>636</v>
      </c>
      <c r="C169" s="60"/>
      <c r="D169" s="60"/>
      <c r="E169" s="60"/>
    </row>
    <row r="170" spans="2:5">
      <c r="B170" s="92" t="s">
        <v>637</v>
      </c>
      <c r="C170" s="93">
        <v>100</v>
      </c>
      <c r="D170" s="94" t="s">
        <v>88</v>
      </c>
      <c r="E170" s="94"/>
    </row>
    <row r="171" spans="2:5">
      <c r="B171" s="92" t="s">
        <v>638</v>
      </c>
      <c r="C171" s="93">
        <v>15</v>
      </c>
      <c r="D171" s="94" t="s">
        <v>88</v>
      </c>
      <c r="E171" s="94"/>
    </row>
    <row r="172" spans="2:5">
      <c r="B172" s="92" t="s">
        <v>639</v>
      </c>
      <c r="C172" s="93">
        <v>1</v>
      </c>
      <c r="D172" s="94" t="s">
        <v>65</v>
      </c>
      <c r="E172" s="94"/>
    </row>
    <row r="173" spans="2:5">
      <c r="B173" s="92" t="s">
        <v>640</v>
      </c>
      <c r="C173" s="93">
        <v>1</v>
      </c>
      <c r="D173" s="94" t="s">
        <v>65</v>
      </c>
      <c r="E173" s="94"/>
    </row>
    <row r="174" spans="2:5">
      <c r="B174" s="92" t="s">
        <v>641</v>
      </c>
      <c r="C174" s="93">
        <v>60</v>
      </c>
      <c r="D174" s="94" t="s">
        <v>88</v>
      </c>
      <c r="E174" s="94"/>
    </row>
    <row r="175" spans="2:5">
      <c r="B175" s="92"/>
      <c r="C175" s="93"/>
      <c r="D175" s="94"/>
      <c r="E175" s="94"/>
    </row>
    <row r="176" spans="2:5">
      <c r="B176" s="92"/>
      <c r="C176" s="93"/>
      <c r="D176" s="94"/>
      <c r="E176" s="94"/>
    </row>
    <row r="177" spans="2:5">
      <c r="B177" s="92"/>
      <c r="C177" s="93"/>
      <c r="D177" s="94"/>
      <c r="E177" s="94"/>
    </row>
    <row r="178" spans="2:5">
      <c r="B178" s="92"/>
      <c r="C178" s="93"/>
      <c r="D178" s="94"/>
      <c r="E178" s="94"/>
    </row>
    <row r="179" spans="2:5">
      <c r="D179" s="84"/>
      <c r="E179" s="84"/>
    </row>
    <row r="180" spans="2:5">
      <c r="B180" s="85" t="s">
        <v>642</v>
      </c>
      <c r="C180" s="60"/>
      <c r="D180" s="60"/>
      <c r="E180" s="60"/>
    </row>
    <row r="181" spans="2:5">
      <c r="B181" s="92" t="s">
        <v>637</v>
      </c>
      <c r="C181" s="93">
        <v>100</v>
      </c>
      <c r="D181" s="94" t="s">
        <v>88</v>
      </c>
      <c r="E181" s="94"/>
    </row>
    <row r="182" spans="2:5">
      <c r="B182" s="92" t="s">
        <v>638</v>
      </c>
      <c r="C182" s="93">
        <v>15</v>
      </c>
      <c r="D182" s="94" t="s">
        <v>88</v>
      </c>
      <c r="E182" s="94"/>
    </row>
    <row r="183" spans="2:5">
      <c r="B183" s="92" t="s">
        <v>639</v>
      </c>
      <c r="C183" s="93">
        <v>1</v>
      </c>
      <c r="D183" s="94" t="s">
        <v>65</v>
      </c>
      <c r="E183" s="94"/>
    </row>
    <row r="184" spans="2:5">
      <c r="B184" s="92" t="s">
        <v>640</v>
      </c>
      <c r="C184" s="93">
        <v>1</v>
      </c>
      <c r="D184" s="94" t="s">
        <v>65</v>
      </c>
      <c r="E184" s="94"/>
    </row>
    <row r="185" spans="2:5">
      <c r="B185" s="92" t="s">
        <v>641</v>
      </c>
      <c r="C185" s="93">
        <v>60</v>
      </c>
      <c r="D185" s="94" t="s">
        <v>88</v>
      </c>
      <c r="E185" s="94"/>
    </row>
    <row r="186" spans="2:5">
      <c r="B186" s="92"/>
      <c r="C186" s="93"/>
      <c r="D186" s="94"/>
      <c r="E186" s="94"/>
    </row>
    <row r="187" spans="2:5">
      <c r="B187" s="92"/>
      <c r="C187" s="93"/>
      <c r="D187" s="94"/>
      <c r="E187" s="94"/>
    </row>
    <row r="188" spans="2:5">
      <c r="B188" s="92"/>
      <c r="C188" s="93"/>
      <c r="D188" s="94"/>
      <c r="E188" s="94"/>
    </row>
    <row r="189" spans="2:5">
      <c r="B189" s="92"/>
      <c r="C189" s="93"/>
      <c r="D189" s="94"/>
      <c r="E189" s="94"/>
    </row>
    <row r="190" spans="2:5">
      <c r="C190" s="42"/>
      <c r="D190" s="42"/>
      <c r="E190" s="42"/>
    </row>
    <row r="191" spans="2:5">
      <c r="B191" s="86" t="s">
        <v>643</v>
      </c>
      <c r="C191" s="87">
        <v>1</v>
      </c>
      <c r="D191" s="86" t="s">
        <v>65</v>
      </c>
      <c r="E191" s="88"/>
    </row>
    <row r="192" spans="2:5">
      <c r="B192" s="86" t="s">
        <v>644</v>
      </c>
      <c r="C192" s="87">
        <v>1</v>
      </c>
      <c r="D192" s="86" t="s">
        <v>65</v>
      </c>
      <c r="E192" s="88"/>
    </row>
    <row r="193" spans="2:5">
      <c r="B193" s="86" t="s">
        <v>645</v>
      </c>
      <c r="C193" s="87">
        <v>1</v>
      </c>
      <c r="D193" s="86" t="s">
        <v>65</v>
      </c>
      <c r="E193" s="88"/>
    </row>
    <row r="194" spans="2:5">
      <c r="B194" s="86" t="s">
        <v>646</v>
      </c>
      <c r="C194" s="87">
        <v>1</v>
      </c>
      <c r="D194" s="86" t="s">
        <v>65</v>
      </c>
      <c r="E194" s="88"/>
    </row>
    <row r="195" spans="2:5">
      <c r="B195" s="86" t="s">
        <v>647</v>
      </c>
      <c r="C195" s="87">
        <v>1</v>
      </c>
      <c r="D195" s="86" t="s">
        <v>65</v>
      </c>
      <c r="E195" s="88"/>
    </row>
    <row r="196" spans="2:5">
      <c r="B196" s="86" t="s">
        <v>648</v>
      </c>
      <c r="C196" s="87">
        <v>1</v>
      </c>
      <c r="D196" s="86" t="s">
        <v>65</v>
      </c>
      <c r="E196" s="88"/>
    </row>
    <row r="197" spans="2:5">
      <c r="B197" s="89" t="s">
        <v>649</v>
      </c>
      <c r="C197" s="87">
        <v>1</v>
      </c>
      <c r="D197" s="86" t="s">
        <v>65</v>
      </c>
      <c r="E197" s="88"/>
    </row>
    <row r="198" spans="2:5">
      <c r="B198" s="89" t="s">
        <v>650</v>
      </c>
      <c r="C198" s="87">
        <v>1</v>
      </c>
      <c r="D198" s="86" t="s">
        <v>65</v>
      </c>
      <c r="E198" s="88"/>
    </row>
    <row r="199" spans="2:5">
      <c r="B199" s="89" t="s">
        <v>651</v>
      </c>
      <c r="C199" s="87">
        <v>1</v>
      </c>
      <c r="D199" s="86" t="s">
        <v>65</v>
      </c>
      <c r="E199" s="88"/>
    </row>
    <row r="200" spans="2:5">
      <c r="B200" s="86" t="s">
        <v>649</v>
      </c>
      <c r="C200" s="87">
        <v>1</v>
      </c>
      <c r="D200" s="86" t="s">
        <v>65</v>
      </c>
      <c r="E200" s="88"/>
    </row>
    <row r="201" spans="2:5">
      <c r="B201" s="90" t="s">
        <v>652</v>
      </c>
      <c r="C201" s="87">
        <v>1</v>
      </c>
      <c r="D201" s="86" t="s">
        <v>65</v>
      </c>
      <c r="E201" s="88"/>
    </row>
    <row r="202" spans="2:5">
      <c r="B202" s="90" t="s">
        <v>653</v>
      </c>
      <c r="C202" s="87">
        <v>1</v>
      </c>
      <c r="D202" s="86" t="s">
        <v>65</v>
      </c>
      <c r="E202" s="88"/>
    </row>
    <row r="203" spans="2:5">
      <c r="B203" s="86" t="s">
        <v>654</v>
      </c>
      <c r="C203" s="87">
        <v>1</v>
      </c>
      <c r="D203" s="86" t="s">
        <v>65</v>
      </c>
      <c r="E203" s="88" t="s">
        <v>865</v>
      </c>
    </row>
    <row r="204" spans="2:5">
      <c r="B204" s="89" t="s">
        <v>655</v>
      </c>
      <c r="C204" s="87">
        <v>1</v>
      </c>
      <c r="D204" s="86" t="s">
        <v>65</v>
      </c>
      <c r="E204" s="88" t="s">
        <v>863</v>
      </c>
    </row>
    <row r="205" spans="2:5">
      <c r="B205" s="89" t="s">
        <v>656</v>
      </c>
      <c r="C205" s="87">
        <v>1</v>
      </c>
      <c r="D205" s="86" t="s">
        <v>65</v>
      </c>
      <c r="E205" s="88" t="s">
        <v>864</v>
      </c>
    </row>
    <row r="206" spans="2:5">
      <c r="B206" s="89" t="s">
        <v>657</v>
      </c>
      <c r="C206" s="87">
        <v>1</v>
      </c>
      <c r="D206" s="86" t="s">
        <v>65</v>
      </c>
      <c r="E206" s="88"/>
    </row>
    <row r="207" spans="2:5">
      <c r="B207" s="86" t="s">
        <v>658</v>
      </c>
      <c r="C207" s="87">
        <v>1</v>
      </c>
      <c r="D207" s="86" t="s">
        <v>65</v>
      </c>
      <c r="E207" s="88"/>
    </row>
    <row r="208" spans="2:5">
      <c r="B208" s="86" t="s">
        <v>659</v>
      </c>
      <c r="C208" s="87">
        <v>1</v>
      </c>
      <c r="D208" s="86" t="s">
        <v>65</v>
      </c>
      <c r="E208" s="88"/>
    </row>
    <row r="209" spans="2:5">
      <c r="B209" s="86" t="s">
        <v>660</v>
      </c>
      <c r="C209" s="87">
        <v>1</v>
      </c>
      <c r="D209" s="86" t="s">
        <v>65</v>
      </c>
      <c r="E209" s="88"/>
    </row>
    <row r="210" spans="2:5">
      <c r="B210" s="86" t="s">
        <v>661</v>
      </c>
      <c r="C210" s="87">
        <v>1</v>
      </c>
      <c r="D210" s="86" t="s">
        <v>65</v>
      </c>
      <c r="E210" s="88"/>
    </row>
    <row r="211" spans="2:5">
      <c r="B211" s="86" t="s">
        <v>662</v>
      </c>
      <c r="C211" s="87">
        <v>1</v>
      </c>
      <c r="D211" s="86" t="s">
        <v>65</v>
      </c>
      <c r="E211" s="88"/>
    </row>
    <row r="212" spans="2:5">
      <c r="B212" s="86" t="s">
        <v>663</v>
      </c>
      <c r="C212" s="87">
        <v>1</v>
      </c>
      <c r="D212" s="86" t="s">
        <v>65</v>
      </c>
      <c r="E212" s="88" t="s">
        <v>866</v>
      </c>
    </row>
    <row r="213" spans="2:5">
      <c r="B213" s="86" t="s">
        <v>664</v>
      </c>
      <c r="C213" s="87">
        <v>1</v>
      </c>
      <c r="D213" s="86" t="s">
        <v>65</v>
      </c>
      <c r="E213" s="88" t="s">
        <v>867</v>
      </c>
    </row>
    <row r="214" spans="2:5">
      <c r="B214" s="86" t="s">
        <v>665</v>
      </c>
      <c r="C214" s="87">
        <v>1</v>
      </c>
      <c r="D214" s="86" t="s">
        <v>65</v>
      </c>
      <c r="E214" s="88" t="s">
        <v>868</v>
      </c>
    </row>
    <row r="215" spans="2:5">
      <c r="B215" s="89" t="s">
        <v>666</v>
      </c>
      <c r="C215" s="91">
        <v>1</v>
      </c>
      <c r="D215" s="91" t="s">
        <v>65</v>
      </c>
      <c r="E215" s="14"/>
    </row>
    <row r="216" spans="2:5">
      <c r="B216" s="89" t="s">
        <v>667</v>
      </c>
      <c r="C216" s="91">
        <v>1</v>
      </c>
      <c r="D216" s="91" t="s">
        <v>65</v>
      </c>
      <c r="E216"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0D299-3997-42D5-8C02-9C6E1FC25F43}">
  <dimension ref="A1:J179"/>
  <sheetViews>
    <sheetView tabSelected="1" topLeftCell="A96" zoomScale="115" zoomScaleNormal="115" workbookViewId="0">
      <selection activeCell="B181" sqref="B181"/>
    </sheetView>
  </sheetViews>
  <sheetFormatPr defaultRowHeight="14.4"/>
  <cols>
    <col min="2" max="2" width="68.109375" customWidth="1"/>
    <col min="3" max="3" width="12.109375" style="121" bestFit="1" customWidth="1"/>
    <col min="4" max="4" width="8.88671875" style="113"/>
    <col min="5" max="5" width="11.6640625" style="121" customWidth="1"/>
    <col min="6" max="6" width="39.77734375" customWidth="1"/>
    <col min="9" max="9" width="11.88671875" bestFit="1" customWidth="1"/>
    <col min="10" max="10" width="10.33203125" customWidth="1"/>
  </cols>
  <sheetData>
    <row r="1" spans="1:6">
      <c r="A1" s="123" t="s">
        <v>668</v>
      </c>
      <c r="B1" s="123" t="s">
        <v>669</v>
      </c>
      <c r="C1" s="123" t="s">
        <v>670</v>
      </c>
      <c r="D1" s="124" t="s">
        <v>671</v>
      </c>
      <c r="E1" s="123" t="s">
        <v>672</v>
      </c>
      <c r="F1" s="123" t="s">
        <v>687</v>
      </c>
    </row>
    <row r="2" spans="1:6">
      <c r="A2">
        <v>1001</v>
      </c>
      <c r="B2" t="s">
        <v>673</v>
      </c>
      <c r="C2" s="121">
        <f>36.43/12</f>
        <v>3.0358333333333332</v>
      </c>
      <c r="D2" s="113">
        <v>0.9</v>
      </c>
      <c r="E2" s="121">
        <f>C2/D2</f>
        <v>3.373148148148148</v>
      </c>
    </row>
    <row r="3" spans="1:6">
      <c r="A3">
        <v>1002</v>
      </c>
      <c r="B3" t="s">
        <v>674</v>
      </c>
      <c r="C3" s="121">
        <f>32/10</f>
        <v>3.2</v>
      </c>
      <c r="D3" s="113">
        <v>0.95</v>
      </c>
      <c r="E3" s="121">
        <f t="shared" ref="E3:E66" si="0">C3/D3</f>
        <v>3.3684210526315792</v>
      </c>
    </row>
    <row r="4" spans="1:6">
      <c r="A4">
        <v>1003</v>
      </c>
      <c r="B4" t="s">
        <v>688</v>
      </c>
      <c r="C4" s="121">
        <f>22.84/40</f>
        <v>0.57099999999999995</v>
      </c>
      <c r="D4" s="113">
        <v>0.95</v>
      </c>
      <c r="E4" s="121">
        <f>C4/D4/80</f>
        <v>7.5131578947368423E-3</v>
      </c>
      <c r="F4" t="s">
        <v>807</v>
      </c>
    </row>
    <row r="5" spans="1:6">
      <c r="A5">
        <v>1004</v>
      </c>
      <c r="B5" t="s">
        <v>675</v>
      </c>
      <c r="C5" s="121">
        <f>18.55/3</f>
        <v>6.1833333333333336</v>
      </c>
      <c r="D5" s="113">
        <v>0.9</v>
      </c>
      <c r="E5" s="121">
        <f t="shared" si="0"/>
        <v>6.8703703703703702</v>
      </c>
    </row>
    <row r="6" spans="1:6">
      <c r="A6">
        <v>1005</v>
      </c>
      <c r="B6" t="s">
        <v>676</v>
      </c>
      <c r="D6" s="113">
        <v>0.95</v>
      </c>
      <c r="E6" s="121">
        <f t="shared" si="0"/>
        <v>0</v>
      </c>
    </row>
    <row r="7" spans="1:6">
      <c r="A7">
        <v>1006</v>
      </c>
      <c r="B7" t="s">
        <v>677</v>
      </c>
      <c r="C7" s="125">
        <v>8.57</v>
      </c>
      <c r="D7" s="113">
        <v>0.98</v>
      </c>
      <c r="E7" s="121">
        <f t="shared" si="0"/>
        <v>8.7448979591836746</v>
      </c>
    </row>
    <row r="8" spans="1:6">
      <c r="A8">
        <v>1007</v>
      </c>
      <c r="B8" t="s">
        <v>678</v>
      </c>
      <c r="C8" s="125">
        <v>1.4</v>
      </c>
      <c r="D8" s="113">
        <v>0.9</v>
      </c>
      <c r="E8" s="121">
        <f t="shared" si="0"/>
        <v>1.5555555555555554</v>
      </c>
    </row>
    <row r="9" spans="1:6">
      <c r="A9">
        <v>1008</v>
      </c>
      <c r="B9" t="s">
        <v>679</v>
      </c>
      <c r="C9" s="121">
        <f>57.98/50</f>
        <v>1.1596</v>
      </c>
      <c r="D9" s="113">
        <v>0.98</v>
      </c>
      <c r="E9" s="121">
        <f t="shared" si="0"/>
        <v>1.183265306122449</v>
      </c>
    </row>
    <row r="10" spans="1:6">
      <c r="A10">
        <v>1009</v>
      </c>
      <c r="B10" t="s">
        <v>689</v>
      </c>
      <c r="C10" s="121">
        <f>31.75/5</f>
        <v>6.35</v>
      </c>
      <c r="D10" s="113">
        <v>0.98</v>
      </c>
      <c r="E10" s="121">
        <f t="shared" si="0"/>
        <v>6.4795918367346932</v>
      </c>
    </row>
    <row r="11" spans="1:6">
      <c r="A11">
        <v>1010</v>
      </c>
      <c r="B11" t="s">
        <v>815</v>
      </c>
      <c r="C11" s="125">
        <v>0.39</v>
      </c>
      <c r="D11" s="113">
        <v>1</v>
      </c>
      <c r="E11" s="121">
        <f t="shared" si="0"/>
        <v>0.39</v>
      </c>
      <c r="F11" s="34" t="s">
        <v>814</v>
      </c>
    </row>
    <row r="12" spans="1:6">
      <c r="A12">
        <v>1011</v>
      </c>
      <c r="B12" t="s">
        <v>690</v>
      </c>
      <c r="C12" s="121">
        <v>8.11</v>
      </c>
      <c r="D12" s="113">
        <v>0.98</v>
      </c>
      <c r="E12" s="121">
        <f t="shared" si="0"/>
        <v>8.2755102040816322</v>
      </c>
    </row>
    <row r="13" spans="1:6">
      <c r="A13">
        <v>1012</v>
      </c>
      <c r="B13" t="s">
        <v>816</v>
      </c>
      <c r="C13" s="121">
        <v>15</v>
      </c>
      <c r="D13" s="113">
        <v>0.98</v>
      </c>
      <c r="E13" s="121">
        <f t="shared" si="0"/>
        <v>15.306122448979592</v>
      </c>
    </row>
    <row r="14" spans="1:6">
      <c r="A14">
        <v>1013</v>
      </c>
      <c r="B14" t="s">
        <v>817</v>
      </c>
      <c r="C14" s="121">
        <v>17</v>
      </c>
      <c r="D14" s="113">
        <v>0.98</v>
      </c>
      <c r="E14" s="121">
        <f t="shared" si="0"/>
        <v>17.346938775510203</v>
      </c>
    </row>
    <row r="15" spans="1:6">
      <c r="A15">
        <v>1014</v>
      </c>
      <c r="B15" t="s">
        <v>691</v>
      </c>
      <c r="C15" s="121">
        <f>35.69/10.5</f>
        <v>3.3990476190476189</v>
      </c>
      <c r="D15" s="113">
        <v>0.98</v>
      </c>
      <c r="E15" s="121">
        <f t="shared" si="0"/>
        <v>3.4684159378036927</v>
      </c>
    </row>
    <row r="16" spans="1:6">
      <c r="A16">
        <v>1015</v>
      </c>
      <c r="B16" t="s">
        <v>818</v>
      </c>
      <c r="C16" s="121">
        <v>9</v>
      </c>
      <c r="D16" s="113">
        <v>0.98</v>
      </c>
      <c r="E16" s="121">
        <f t="shared" si="0"/>
        <v>9.183673469387756</v>
      </c>
    </row>
    <row r="17" spans="1:6">
      <c r="A17">
        <v>1016</v>
      </c>
      <c r="B17" t="s">
        <v>819</v>
      </c>
      <c r="C17" s="121">
        <v>38</v>
      </c>
      <c r="D17" s="113">
        <v>0.98</v>
      </c>
      <c r="E17" s="121">
        <f t="shared" si="0"/>
        <v>38.775510204081634</v>
      </c>
      <c r="F17" s="129" t="s">
        <v>808</v>
      </c>
    </row>
    <row r="18" spans="1:6">
      <c r="A18">
        <v>1017</v>
      </c>
      <c r="B18" t="s">
        <v>820</v>
      </c>
      <c r="C18" s="121">
        <v>24</v>
      </c>
      <c r="D18" s="113">
        <v>0.98</v>
      </c>
      <c r="E18" s="121">
        <f t="shared" si="0"/>
        <v>24.489795918367346</v>
      </c>
    </row>
    <row r="19" spans="1:6">
      <c r="A19">
        <v>1018</v>
      </c>
      <c r="B19" t="s">
        <v>692</v>
      </c>
      <c r="C19" s="125">
        <v>5.9</v>
      </c>
      <c r="D19" s="113">
        <v>0.75</v>
      </c>
      <c r="E19" s="121">
        <f t="shared" si="0"/>
        <v>7.8666666666666671</v>
      </c>
      <c r="F19" t="s">
        <v>693</v>
      </c>
    </row>
    <row r="20" spans="1:6">
      <c r="A20">
        <v>1019</v>
      </c>
      <c r="B20" t="s">
        <v>694</v>
      </c>
      <c r="C20" s="125">
        <v>19.95</v>
      </c>
      <c r="D20" s="113">
        <v>0.98</v>
      </c>
      <c r="E20" s="121">
        <f t="shared" si="0"/>
        <v>20.357142857142858</v>
      </c>
    </row>
    <row r="21" spans="1:6">
      <c r="A21">
        <v>1020</v>
      </c>
      <c r="B21" t="s">
        <v>695</v>
      </c>
      <c r="C21" s="121">
        <f>85.2/55.5</f>
        <v>1.5351351351351352</v>
      </c>
      <c r="D21" s="113">
        <v>0.75</v>
      </c>
      <c r="E21" s="121">
        <f t="shared" si="0"/>
        <v>2.0468468468468468</v>
      </c>
      <c r="F21" t="s">
        <v>696</v>
      </c>
    </row>
    <row r="22" spans="1:6">
      <c r="A22">
        <v>1021</v>
      </c>
      <c r="B22" t="s">
        <v>799</v>
      </c>
      <c r="C22" s="121">
        <f>0.2723*1.1</f>
        <v>0.29953000000000002</v>
      </c>
      <c r="D22" s="113">
        <v>0.98</v>
      </c>
      <c r="E22" s="121">
        <f t="shared" si="0"/>
        <v>0.30564285714285716</v>
      </c>
    </row>
    <row r="23" spans="1:6">
      <c r="A23">
        <v>1022</v>
      </c>
      <c r="B23" t="s">
        <v>697</v>
      </c>
      <c r="C23" s="121">
        <f>9.75/1</f>
        <v>9.75</v>
      </c>
      <c r="D23" s="113">
        <v>0.95</v>
      </c>
      <c r="E23" s="121">
        <f t="shared" si="0"/>
        <v>10.263157894736842</v>
      </c>
    </row>
    <row r="24" spans="1:6">
      <c r="A24">
        <v>1023</v>
      </c>
      <c r="B24" t="s">
        <v>698</v>
      </c>
      <c r="C24" s="121">
        <f>7.45/1</f>
        <v>7.45</v>
      </c>
      <c r="D24" s="113">
        <v>0.95</v>
      </c>
      <c r="E24" s="121">
        <f t="shared" si="0"/>
        <v>7.8421052631578956</v>
      </c>
    </row>
    <row r="25" spans="1:6">
      <c r="A25">
        <v>1024</v>
      </c>
      <c r="B25" t="s">
        <v>800</v>
      </c>
      <c r="C25" s="125"/>
      <c r="D25" s="113">
        <v>0.98</v>
      </c>
      <c r="E25" s="121">
        <f t="shared" si="0"/>
        <v>0</v>
      </c>
      <c r="F25" s="130" t="s">
        <v>822</v>
      </c>
    </row>
    <row r="26" spans="1:6">
      <c r="A26">
        <v>1025</v>
      </c>
      <c r="B26" t="s">
        <v>699</v>
      </c>
      <c r="C26" s="121">
        <f>34.5/25</f>
        <v>1.38</v>
      </c>
      <c r="D26" s="113">
        <v>0.95</v>
      </c>
      <c r="E26" s="121">
        <f t="shared" si="0"/>
        <v>1.4526315789473683</v>
      </c>
    </row>
    <row r="27" spans="1:6">
      <c r="A27">
        <v>1026</v>
      </c>
      <c r="B27" t="s">
        <v>700</v>
      </c>
      <c r="C27" s="121">
        <f>66.35/50</f>
        <v>1.327</v>
      </c>
      <c r="D27" s="113">
        <v>0.95</v>
      </c>
      <c r="E27" s="121">
        <f t="shared" si="0"/>
        <v>1.3968421052631579</v>
      </c>
    </row>
    <row r="28" spans="1:6">
      <c r="A28">
        <v>1027</v>
      </c>
      <c r="B28" t="s">
        <v>801</v>
      </c>
      <c r="C28" s="125">
        <v>1.4</v>
      </c>
      <c r="D28" s="113">
        <v>0.9</v>
      </c>
      <c r="E28" s="121">
        <f t="shared" si="0"/>
        <v>1.5555555555555554</v>
      </c>
    </row>
    <row r="29" spans="1:6">
      <c r="A29">
        <v>1028</v>
      </c>
      <c r="B29" t="s">
        <v>823</v>
      </c>
      <c r="C29" s="126">
        <v>9.2100000000000009</v>
      </c>
      <c r="D29" s="113">
        <v>1</v>
      </c>
      <c r="E29" s="121">
        <f t="shared" si="0"/>
        <v>9.2100000000000009</v>
      </c>
    </row>
    <row r="30" spans="1:6">
      <c r="A30">
        <v>1029</v>
      </c>
      <c r="B30" t="s">
        <v>701</v>
      </c>
      <c r="C30" s="121">
        <f>30.3/50</f>
        <v>0.60599999999999998</v>
      </c>
      <c r="D30" s="113">
        <v>0.98</v>
      </c>
      <c r="E30" s="121">
        <f t="shared" si="0"/>
        <v>0.61836734693877549</v>
      </c>
    </row>
    <row r="31" spans="1:6">
      <c r="A31">
        <v>1030</v>
      </c>
      <c r="B31" t="s">
        <v>702</v>
      </c>
      <c r="C31" s="121">
        <f>16.75/5</f>
        <v>3.35</v>
      </c>
      <c r="D31" s="113">
        <v>0.95</v>
      </c>
      <c r="E31" s="121">
        <f t="shared" si="0"/>
        <v>3.5263157894736845</v>
      </c>
    </row>
    <row r="32" spans="1:6">
      <c r="A32">
        <v>1031</v>
      </c>
      <c r="B32" t="s">
        <v>703</v>
      </c>
      <c r="C32" s="121">
        <v>4.95</v>
      </c>
      <c r="D32" s="113">
        <v>0.98</v>
      </c>
      <c r="E32" s="121">
        <f t="shared" si="0"/>
        <v>5.0510204081632653</v>
      </c>
    </row>
    <row r="33" spans="1:6">
      <c r="A33">
        <v>1032</v>
      </c>
      <c r="B33" t="s">
        <v>704</v>
      </c>
      <c r="C33" s="121">
        <f>20.95/3</f>
        <v>6.9833333333333334</v>
      </c>
      <c r="D33" s="113">
        <v>0.95</v>
      </c>
      <c r="E33" s="121">
        <f t="shared" si="0"/>
        <v>7.3508771929824563</v>
      </c>
    </row>
    <row r="34" spans="1:6">
      <c r="A34">
        <v>1033</v>
      </c>
      <c r="B34" t="s">
        <v>705</v>
      </c>
      <c r="C34" s="121">
        <f>20.84/10</f>
        <v>2.0840000000000001</v>
      </c>
      <c r="D34" s="113">
        <v>0.95</v>
      </c>
      <c r="E34" s="121">
        <f t="shared" si="0"/>
        <v>2.1936842105263161</v>
      </c>
    </row>
    <row r="35" spans="1:6">
      <c r="A35">
        <v>1034</v>
      </c>
      <c r="B35" t="s">
        <v>706</v>
      </c>
      <c r="C35" s="121">
        <f>44.08/40</f>
        <v>1.1019999999999999</v>
      </c>
      <c r="D35" s="113">
        <v>0.98</v>
      </c>
      <c r="E35" s="121">
        <f t="shared" si="0"/>
        <v>1.1244897959183673</v>
      </c>
    </row>
    <row r="36" spans="1:6">
      <c r="A36">
        <v>1035</v>
      </c>
      <c r="B36" t="s">
        <v>707</v>
      </c>
      <c r="C36" s="121">
        <f>33.2/16</f>
        <v>2.0750000000000002</v>
      </c>
      <c r="D36" s="113">
        <v>0.98</v>
      </c>
      <c r="E36" s="121">
        <f t="shared" si="0"/>
        <v>2.1173469387755106</v>
      </c>
    </row>
    <row r="37" spans="1:6">
      <c r="A37">
        <v>1036</v>
      </c>
      <c r="B37" t="s">
        <v>708</v>
      </c>
      <c r="C37" s="121">
        <f>31.85/160</f>
        <v>0.1990625</v>
      </c>
      <c r="D37" s="113">
        <v>0.98</v>
      </c>
      <c r="E37" s="121">
        <f t="shared" si="0"/>
        <v>0.203125</v>
      </c>
      <c r="F37" t="s">
        <v>709</v>
      </c>
    </row>
    <row r="38" spans="1:6">
      <c r="A38">
        <v>1037</v>
      </c>
      <c r="B38" t="s">
        <v>710</v>
      </c>
      <c r="C38" s="122">
        <v>4.99</v>
      </c>
      <c r="D38" s="113">
        <v>0.98</v>
      </c>
      <c r="E38" s="121">
        <f t="shared" si="0"/>
        <v>5.091836734693878</v>
      </c>
    </row>
    <row r="39" spans="1:6">
      <c r="A39">
        <v>1038</v>
      </c>
      <c r="B39" t="s">
        <v>711</v>
      </c>
      <c r="C39" s="122">
        <v>2.11</v>
      </c>
      <c r="D39" s="113">
        <v>0.98</v>
      </c>
      <c r="E39" s="121">
        <f t="shared" si="0"/>
        <v>2.1530612244897958</v>
      </c>
    </row>
    <row r="40" spans="1:6">
      <c r="A40">
        <v>1039</v>
      </c>
      <c r="B40" t="s">
        <v>712</v>
      </c>
      <c r="C40" s="121">
        <f>32.49/0.5</f>
        <v>64.98</v>
      </c>
      <c r="D40" s="113">
        <v>0.98</v>
      </c>
      <c r="E40" s="121">
        <f t="shared" si="0"/>
        <v>66.306122448979593</v>
      </c>
    </row>
    <row r="41" spans="1:6">
      <c r="A41">
        <v>1040</v>
      </c>
      <c r="B41" t="s">
        <v>713</v>
      </c>
      <c r="C41" s="122">
        <v>1.25</v>
      </c>
      <c r="D41" s="113">
        <v>0.98</v>
      </c>
      <c r="E41" s="121">
        <f t="shared" si="0"/>
        <v>1.2755102040816326</v>
      </c>
      <c r="F41" t="s">
        <v>709</v>
      </c>
    </row>
    <row r="42" spans="1:6">
      <c r="A42">
        <v>1041</v>
      </c>
      <c r="B42" t="s">
        <v>714</v>
      </c>
      <c r="C42" s="122">
        <v>39.1</v>
      </c>
      <c r="D42" s="113">
        <v>0.95</v>
      </c>
      <c r="E42" s="121">
        <f t="shared" si="0"/>
        <v>41.15789473684211</v>
      </c>
    </row>
    <row r="43" spans="1:6">
      <c r="A43">
        <v>1042</v>
      </c>
      <c r="B43" t="s">
        <v>715</v>
      </c>
      <c r="C43" s="121">
        <v>1.5</v>
      </c>
      <c r="D43" s="113">
        <v>1</v>
      </c>
      <c r="E43" s="121">
        <f t="shared" si="0"/>
        <v>1.5</v>
      </c>
    </row>
    <row r="44" spans="1:6">
      <c r="A44">
        <v>1043</v>
      </c>
      <c r="B44" t="s">
        <v>716</v>
      </c>
      <c r="C44" s="121">
        <v>1.5</v>
      </c>
      <c r="D44" s="113">
        <v>1</v>
      </c>
      <c r="E44" s="121">
        <f t="shared" si="0"/>
        <v>1.5</v>
      </c>
    </row>
    <row r="45" spans="1:6">
      <c r="A45">
        <v>1044</v>
      </c>
      <c r="B45" t="s">
        <v>802</v>
      </c>
      <c r="C45" s="122"/>
      <c r="D45" s="113">
        <v>0.95</v>
      </c>
      <c r="E45" s="121">
        <f t="shared" si="0"/>
        <v>0</v>
      </c>
    </row>
    <row r="46" spans="1:6">
      <c r="A46">
        <v>1045</v>
      </c>
      <c r="B46" t="s">
        <v>717</v>
      </c>
      <c r="C46" s="122"/>
      <c r="D46" s="113">
        <v>0.95</v>
      </c>
      <c r="E46" s="121">
        <f t="shared" si="0"/>
        <v>0</v>
      </c>
    </row>
    <row r="47" spans="1:6">
      <c r="A47">
        <v>1046</v>
      </c>
      <c r="B47" t="s">
        <v>718</v>
      </c>
      <c r="C47" s="121">
        <v>2.73</v>
      </c>
      <c r="D47" s="113">
        <v>0.95</v>
      </c>
      <c r="E47" s="121">
        <f t="shared" si="0"/>
        <v>2.8736842105263158</v>
      </c>
    </row>
    <row r="48" spans="1:6">
      <c r="A48">
        <v>1047</v>
      </c>
      <c r="B48" t="s">
        <v>719</v>
      </c>
      <c r="C48" s="122">
        <v>0.59</v>
      </c>
      <c r="D48" s="113">
        <v>0.95</v>
      </c>
      <c r="E48" s="121">
        <f t="shared" si="0"/>
        <v>0.62105263157894741</v>
      </c>
    </row>
    <row r="49" spans="1:6">
      <c r="A49">
        <v>1048</v>
      </c>
      <c r="B49" t="s">
        <v>720</v>
      </c>
      <c r="C49" s="122">
        <v>0.53</v>
      </c>
      <c r="D49" s="113">
        <v>0.95</v>
      </c>
      <c r="E49" s="121">
        <f t="shared" si="0"/>
        <v>0.55789473684210533</v>
      </c>
    </row>
    <row r="50" spans="1:6">
      <c r="A50">
        <v>1049</v>
      </c>
      <c r="B50" t="s">
        <v>721</v>
      </c>
      <c r="C50" s="122">
        <v>1.03</v>
      </c>
      <c r="D50" s="113">
        <v>0.95</v>
      </c>
      <c r="E50" s="121">
        <f t="shared" si="0"/>
        <v>1.0842105263157895</v>
      </c>
    </row>
    <row r="51" spans="1:6">
      <c r="A51">
        <v>1050</v>
      </c>
      <c r="B51" t="s">
        <v>722</v>
      </c>
      <c r="C51" s="121">
        <f>40.3/10</f>
        <v>4.0299999999999994</v>
      </c>
      <c r="D51" s="113">
        <v>0.95</v>
      </c>
      <c r="E51" s="121">
        <f t="shared" si="0"/>
        <v>4.2421052631578942</v>
      </c>
    </row>
    <row r="52" spans="1:6">
      <c r="A52">
        <v>1051</v>
      </c>
      <c r="B52" t="s">
        <v>723</v>
      </c>
      <c r="C52" s="121">
        <f>39.05/8</f>
        <v>4.8812499999999996</v>
      </c>
      <c r="D52" s="113">
        <v>0.95</v>
      </c>
      <c r="E52" s="121">
        <f t="shared" si="0"/>
        <v>5.1381578947368416</v>
      </c>
    </row>
    <row r="53" spans="1:6">
      <c r="A53">
        <v>1052</v>
      </c>
      <c r="B53" t="s">
        <v>724</v>
      </c>
      <c r="C53" s="122">
        <v>0.91</v>
      </c>
      <c r="D53" s="113">
        <v>0.95</v>
      </c>
      <c r="E53" s="121">
        <f t="shared" si="0"/>
        <v>0.95789473684210535</v>
      </c>
    </row>
    <row r="54" spans="1:6">
      <c r="A54">
        <v>1053</v>
      </c>
      <c r="B54" t="s">
        <v>725</v>
      </c>
      <c r="C54" s="122">
        <v>2.23</v>
      </c>
      <c r="D54" s="113">
        <v>0.95</v>
      </c>
      <c r="E54" s="121">
        <f t="shared" si="0"/>
        <v>2.3473684210526318</v>
      </c>
    </row>
    <row r="55" spans="1:6">
      <c r="A55">
        <v>1054</v>
      </c>
      <c r="B55" t="s">
        <v>726</v>
      </c>
      <c r="C55" s="128">
        <v>0.12</v>
      </c>
      <c r="D55" s="113">
        <v>1</v>
      </c>
      <c r="E55" s="121">
        <f t="shared" si="0"/>
        <v>0.12</v>
      </c>
    </row>
    <row r="56" spans="1:6">
      <c r="A56">
        <v>1055</v>
      </c>
      <c r="B56" t="s">
        <v>727</v>
      </c>
      <c r="C56" s="128">
        <v>0.11</v>
      </c>
      <c r="D56" s="113">
        <v>1</v>
      </c>
      <c r="E56" s="121">
        <f t="shared" si="0"/>
        <v>0.11</v>
      </c>
    </row>
    <row r="57" spans="1:6">
      <c r="A57">
        <v>1056</v>
      </c>
      <c r="B57" t="s">
        <v>728</v>
      </c>
      <c r="C57" s="122"/>
      <c r="D57" s="113">
        <v>1</v>
      </c>
      <c r="E57" s="121">
        <f t="shared" si="0"/>
        <v>0</v>
      </c>
    </row>
    <row r="58" spans="1:6">
      <c r="A58">
        <v>1057</v>
      </c>
      <c r="B58" t="s">
        <v>729</v>
      </c>
      <c r="C58" s="121">
        <v>1.2</v>
      </c>
      <c r="D58" s="113">
        <v>1</v>
      </c>
      <c r="E58" s="121">
        <f t="shared" si="0"/>
        <v>1.2</v>
      </c>
    </row>
    <row r="59" spans="1:6">
      <c r="A59">
        <v>1058</v>
      </c>
      <c r="B59" t="s">
        <v>730</v>
      </c>
      <c r="C59" s="128">
        <v>0.53</v>
      </c>
      <c r="D59" s="113">
        <v>1</v>
      </c>
      <c r="E59" s="121">
        <f t="shared" si="0"/>
        <v>0.53</v>
      </c>
    </row>
    <row r="60" spans="1:6">
      <c r="A60">
        <v>1059</v>
      </c>
      <c r="B60" t="s">
        <v>731</v>
      </c>
      <c r="C60" s="128">
        <v>0.53</v>
      </c>
      <c r="D60" s="113">
        <v>1</v>
      </c>
      <c r="E60" s="121">
        <f t="shared" si="0"/>
        <v>0.53</v>
      </c>
    </row>
    <row r="61" spans="1:6">
      <c r="A61">
        <v>1060</v>
      </c>
      <c r="B61" t="s">
        <v>732</v>
      </c>
      <c r="C61" s="122"/>
      <c r="D61" s="113">
        <v>1</v>
      </c>
      <c r="E61" s="121">
        <f t="shared" si="0"/>
        <v>0</v>
      </c>
    </row>
    <row r="62" spans="1:6">
      <c r="A62">
        <v>1061</v>
      </c>
      <c r="B62" t="s">
        <v>803</v>
      </c>
      <c r="C62" s="122"/>
      <c r="D62" s="113">
        <v>0.98</v>
      </c>
      <c r="E62" s="121">
        <f t="shared" si="0"/>
        <v>0</v>
      </c>
    </row>
    <row r="63" spans="1:6">
      <c r="A63">
        <v>1062</v>
      </c>
      <c r="B63" t="s">
        <v>733</v>
      </c>
      <c r="C63" s="122">
        <v>4.72</v>
      </c>
      <c r="D63" s="113">
        <v>0.98</v>
      </c>
      <c r="E63" s="121">
        <f t="shared" si="0"/>
        <v>4.8163265306122449</v>
      </c>
    </row>
    <row r="64" spans="1:6">
      <c r="A64">
        <v>1063</v>
      </c>
      <c r="B64" t="s">
        <v>734</v>
      </c>
      <c r="C64" s="122">
        <v>7.79</v>
      </c>
      <c r="D64" s="113">
        <v>0.98</v>
      </c>
      <c r="E64" s="121">
        <f t="shared" si="0"/>
        <v>7.9489795918367347</v>
      </c>
      <c r="F64" s="129" t="s">
        <v>812</v>
      </c>
    </row>
    <row r="65" spans="1:5">
      <c r="A65">
        <v>1064</v>
      </c>
      <c r="B65" t="s">
        <v>735</v>
      </c>
      <c r="C65" s="122"/>
      <c r="D65" s="113">
        <v>0.98</v>
      </c>
      <c r="E65" s="121">
        <f t="shared" si="0"/>
        <v>0</v>
      </c>
    </row>
    <row r="66" spans="1:5">
      <c r="A66">
        <v>1065</v>
      </c>
      <c r="B66" t="s">
        <v>736</v>
      </c>
      <c r="C66" s="122">
        <v>3.67</v>
      </c>
      <c r="D66" s="113">
        <v>0.98</v>
      </c>
      <c r="E66" s="121">
        <f t="shared" si="0"/>
        <v>3.7448979591836733</v>
      </c>
    </row>
    <row r="67" spans="1:5">
      <c r="A67">
        <v>1066</v>
      </c>
      <c r="B67" t="s">
        <v>737</v>
      </c>
      <c r="C67" s="122"/>
      <c r="D67" s="113">
        <v>0.98</v>
      </c>
      <c r="E67" s="121">
        <f t="shared" ref="E67:E130" si="1">C67/D67</f>
        <v>0</v>
      </c>
    </row>
    <row r="68" spans="1:5">
      <c r="A68">
        <v>1067</v>
      </c>
      <c r="B68" t="s">
        <v>738</v>
      </c>
      <c r="C68" s="121">
        <f>60.95/24/13.5*16</f>
        <v>3.0098765432098764</v>
      </c>
      <c r="D68" s="113">
        <v>0.98</v>
      </c>
      <c r="E68" s="121">
        <f t="shared" si="1"/>
        <v>3.0713025951121189</v>
      </c>
    </row>
    <row r="69" spans="1:5">
      <c r="A69">
        <v>1068</v>
      </c>
      <c r="B69" t="s">
        <v>739</v>
      </c>
      <c r="C69" s="121">
        <f>260.7/50</f>
        <v>5.2139999999999995</v>
      </c>
      <c r="D69" s="113">
        <v>0.98</v>
      </c>
      <c r="E69" s="121">
        <f t="shared" si="1"/>
        <v>5.3204081632653057</v>
      </c>
    </row>
    <row r="70" spans="1:5">
      <c r="A70">
        <v>1069</v>
      </c>
      <c r="B70" t="s">
        <v>740</v>
      </c>
      <c r="C70" s="121">
        <f>38.93/50</f>
        <v>0.77859999999999996</v>
      </c>
      <c r="D70" s="113">
        <v>0.98</v>
      </c>
      <c r="E70" s="121">
        <f t="shared" si="1"/>
        <v>0.79448979591836733</v>
      </c>
    </row>
    <row r="71" spans="1:5">
      <c r="A71">
        <v>1070</v>
      </c>
      <c r="B71" t="s">
        <v>741</v>
      </c>
      <c r="C71" s="121">
        <f>52.5/50</f>
        <v>1.05</v>
      </c>
      <c r="D71" s="113">
        <v>0.98</v>
      </c>
      <c r="E71" s="121">
        <f t="shared" si="1"/>
        <v>1.0714285714285714</v>
      </c>
    </row>
    <row r="72" spans="1:5">
      <c r="A72">
        <v>1071</v>
      </c>
      <c r="B72" t="s">
        <v>742</v>
      </c>
      <c r="C72" s="128">
        <v>3.04</v>
      </c>
      <c r="D72" s="113">
        <v>0.98</v>
      </c>
      <c r="E72" s="121">
        <f t="shared" si="1"/>
        <v>3.1020408163265305</v>
      </c>
    </row>
    <row r="73" spans="1:5">
      <c r="A73">
        <v>1072</v>
      </c>
      <c r="B73" t="s">
        <v>743</v>
      </c>
      <c r="C73" s="122">
        <v>3.1</v>
      </c>
      <c r="D73" s="113">
        <v>0.98</v>
      </c>
      <c r="E73" s="121">
        <f t="shared" si="1"/>
        <v>3.1632653061224492</v>
      </c>
    </row>
    <row r="74" spans="1:5">
      <c r="A74">
        <v>1073</v>
      </c>
      <c r="B74" t="s">
        <v>744</v>
      </c>
      <c r="C74" s="121">
        <f>21.42/25</f>
        <v>0.85680000000000012</v>
      </c>
      <c r="D74" s="113">
        <v>0.98</v>
      </c>
      <c r="E74" s="121">
        <f t="shared" si="1"/>
        <v>0.87428571428571444</v>
      </c>
    </row>
    <row r="75" spans="1:5">
      <c r="A75">
        <v>1074</v>
      </c>
      <c r="B75" t="s">
        <v>745</v>
      </c>
      <c r="C75" s="122">
        <v>0.4</v>
      </c>
      <c r="D75" s="113">
        <v>0.98</v>
      </c>
      <c r="E75" s="121">
        <f t="shared" si="1"/>
        <v>0.40816326530612246</v>
      </c>
    </row>
    <row r="76" spans="1:5">
      <c r="A76">
        <v>1075</v>
      </c>
      <c r="B76" t="s">
        <v>809</v>
      </c>
      <c r="C76" s="122">
        <v>0.88</v>
      </c>
      <c r="D76" s="113">
        <v>0.98</v>
      </c>
      <c r="E76" s="121">
        <f t="shared" si="1"/>
        <v>0.89795918367346939</v>
      </c>
    </row>
    <row r="77" spans="1:5">
      <c r="A77">
        <v>1076</v>
      </c>
      <c r="B77" t="s">
        <v>746</v>
      </c>
      <c r="C77" s="122">
        <v>0.83</v>
      </c>
      <c r="D77" s="113">
        <v>0.98</v>
      </c>
      <c r="E77" s="121">
        <f t="shared" si="1"/>
        <v>0.84693877551020402</v>
      </c>
    </row>
    <row r="78" spans="1:5">
      <c r="A78">
        <v>1077</v>
      </c>
      <c r="B78" t="s">
        <v>810</v>
      </c>
      <c r="C78" s="122">
        <v>1.63</v>
      </c>
      <c r="D78" s="113">
        <v>0.98</v>
      </c>
      <c r="E78" s="121">
        <f t="shared" si="1"/>
        <v>1.6632653061224489</v>
      </c>
    </row>
    <row r="79" spans="1:5">
      <c r="A79">
        <v>1078</v>
      </c>
      <c r="B79" t="s">
        <v>747</v>
      </c>
      <c r="C79" s="122">
        <v>0.83</v>
      </c>
      <c r="D79" s="113">
        <v>0.98</v>
      </c>
      <c r="E79" s="121">
        <f t="shared" si="1"/>
        <v>0.84693877551020402</v>
      </c>
    </row>
    <row r="80" spans="1:5">
      <c r="A80">
        <v>1079</v>
      </c>
      <c r="B80" t="s">
        <v>811</v>
      </c>
      <c r="C80" s="122">
        <v>1.63</v>
      </c>
      <c r="D80" s="113">
        <v>0.98</v>
      </c>
      <c r="E80" s="121">
        <f t="shared" si="1"/>
        <v>1.6632653061224489</v>
      </c>
    </row>
    <row r="81" spans="1:6">
      <c r="A81">
        <v>1080</v>
      </c>
      <c r="B81" t="s">
        <v>748</v>
      </c>
      <c r="C81" s="122"/>
      <c r="D81" s="113">
        <v>0.98</v>
      </c>
      <c r="E81" s="121">
        <f t="shared" si="1"/>
        <v>0</v>
      </c>
      <c r="F81" s="130" t="s">
        <v>822</v>
      </c>
    </row>
    <row r="82" spans="1:6">
      <c r="A82">
        <v>1081</v>
      </c>
      <c r="B82" t="s">
        <v>749</v>
      </c>
      <c r="C82" s="122">
        <v>9.66</v>
      </c>
      <c r="D82" s="113">
        <v>0.98</v>
      </c>
      <c r="E82" s="121">
        <f t="shared" si="1"/>
        <v>9.8571428571428577</v>
      </c>
    </row>
    <row r="83" spans="1:6">
      <c r="A83">
        <v>1082</v>
      </c>
      <c r="B83" t="s">
        <v>750</v>
      </c>
      <c r="C83" s="121">
        <f>42.58/8</f>
        <v>5.3224999999999998</v>
      </c>
      <c r="D83" s="113">
        <v>0.98</v>
      </c>
      <c r="E83" s="121">
        <f t="shared" si="1"/>
        <v>5.4311224489795915</v>
      </c>
    </row>
    <row r="84" spans="1:6">
      <c r="A84">
        <v>1083</v>
      </c>
      <c r="B84" t="s">
        <v>751</v>
      </c>
      <c r="C84" s="122"/>
      <c r="D84" s="113">
        <v>0.98</v>
      </c>
      <c r="E84" s="121">
        <f t="shared" si="1"/>
        <v>0</v>
      </c>
    </row>
    <row r="85" spans="1:6">
      <c r="A85">
        <v>1084</v>
      </c>
      <c r="B85" t="s">
        <v>752</v>
      </c>
      <c r="C85" s="121">
        <f>7.47/1</f>
        <v>7.47</v>
      </c>
      <c r="D85" s="113">
        <v>0.98</v>
      </c>
      <c r="E85" s="121">
        <f t="shared" si="1"/>
        <v>7.6224489795918364</v>
      </c>
    </row>
    <row r="86" spans="1:6">
      <c r="A86">
        <v>1085</v>
      </c>
      <c r="B86" t="s">
        <v>753</v>
      </c>
      <c r="C86" s="121">
        <f>30.35/25</f>
        <v>1.214</v>
      </c>
      <c r="D86" s="113">
        <v>0.95</v>
      </c>
      <c r="E86" s="121">
        <f t="shared" si="1"/>
        <v>1.2778947368421052</v>
      </c>
    </row>
    <row r="87" spans="1:6">
      <c r="A87">
        <v>1086</v>
      </c>
      <c r="B87" t="s">
        <v>754</v>
      </c>
      <c r="C87" s="122">
        <v>1.71</v>
      </c>
      <c r="D87" s="113">
        <v>0.75</v>
      </c>
      <c r="E87" s="121">
        <f t="shared" si="1"/>
        <v>2.2799999999999998</v>
      </c>
    </row>
    <row r="88" spans="1:6">
      <c r="A88">
        <v>1087</v>
      </c>
      <c r="B88" t="s">
        <v>755</v>
      </c>
      <c r="C88" s="122"/>
      <c r="D88" s="113">
        <v>0.98</v>
      </c>
      <c r="E88" s="121">
        <f t="shared" si="1"/>
        <v>0</v>
      </c>
    </row>
    <row r="89" spans="1:6">
      <c r="A89">
        <v>1088</v>
      </c>
      <c r="B89" t="s">
        <v>756</v>
      </c>
      <c r="C89" s="122">
        <v>2.36</v>
      </c>
      <c r="D89" s="113">
        <v>0.98</v>
      </c>
      <c r="E89" s="121">
        <f t="shared" si="1"/>
        <v>2.4081632653061225</v>
      </c>
    </row>
    <row r="90" spans="1:6">
      <c r="A90">
        <v>1089</v>
      </c>
      <c r="B90" t="s">
        <v>757</v>
      </c>
      <c r="C90" s="121">
        <f>20.15/20</f>
        <v>1.0074999999999998</v>
      </c>
      <c r="D90" s="113">
        <v>0.98</v>
      </c>
      <c r="E90" s="121">
        <f t="shared" si="1"/>
        <v>1.0280612244897958</v>
      </c>
    </row>
    <row r="91" spans="1:6">
      <c r="A91">
        <v>1090</v>
      </c>
      <c r="B91" t="s">
        <v>758</v>
      </c>
      <c r="C91" s="121">
        <f>24.49/20</f>
        <v>1.2244999999999999</v>
      </c>
      <c r="D91" s="113">
        <v>0.98</v>
      </c>
      <c r="E91" s="121">
        <f t="shared" si="1"/>
        <v>1.2494897959183673</v>
      </c>
    </row>
    <row r="92" spans="1:6">
      <c r="A92">
        <v>1091</v>
      </c>
      <c r="B92" t="s">
        <v>759</v>
      </c>
      <c r="C92" s="121">
        <f>86.95/32</f>
        <v>2.7171875000000001</v>
      </c>
      <c r="D92" s="113">
        <v>0.98</v>
      </c>
      <c r="E92" s="121">
        <f t="shared" si="1"/>
        <v>2.7726403061224492</v>
      </c>
    </row>
    <row r="93" spans="1:6">
      <c r="A93">
        <v>1092</v>
      </c>
      <c r="B93" t="s">
        <v>760</v>
      </c>
      <c r="C93" s="122">
        <v>5.45</v>
      </c>
      <c r="D93" s="113">
        <v>0.98</v>
      </c>
      <c r="E93" s="121">
        <f t="shared" si="1"/>
        <v>5.5612244897959187</v>
      </c>
    </row>
    <row r="94" spans="1:6">
      <c r="A94">
        <v>1093</v>
      </c>
      <c r="B94" t="s">
        <v>804</v>
      </c>
      <c r="C94" s="128">
        <v>5.62</v>
      </c>
      <c r="D94" s="113">
        <v>0.98</v>
      </c>
      <c r="E94" s="121">
        <f t="shared" si="1"/>
        <v>5.7346938775510203</v>
      </c>
    </row>
    <row r="95" spans="1:6">
      <c r="A95">
        <v>1094</v>
      </c>
      <c r="B95" t="s">
        <v>761</v>
      </c>
      <c r="C95" s="121">
        <f>26.06/25</f>
        <v>1.0424</v>
      </c>
      <c r="D95" s="113">
        <v>0.98</v>
      </c>
      <c r="E95" s="121">
        <f t="shared" si="1"/>
        <v>1.0636734693877552</v>
      </c>
    </row>
    <row r="96" spans="1:6">
      <c r="A96">
        <v>1095</v>
      </c>
      <c r="B96" t="s">
        <v>762</v>
      </c>
      <c r="C96" s="121">
        <f>30.25/12</f>
        <v>2.5208333333333335</v>
      </c>
      <c r="D96" s="113">
        <v>0.9</v>
      </c>
      <c r="E96" s="121">
        <f t="shared" si="1"/>
        <v>2.800925925925926</v>
      </c>
    </row>
    <row r="97" spans="1:6">
      <c r="A97">
        <v>1096</v>
      </c>
      <c r="B97" t="s">
        <v>763</v>
      </c>
      <c r="C97" s="122">
        <v>24.9</v>
      </c>
      <c r="D97" s="113">
        <v>0.98</v>
      </c>
      <c r="E97" s="121">
        <f t="shared" si="1"/>
        <v>25.408163265306122</v>
      </c>
    </row>
    <row r="98" spans="1:6">
      <c r="A98">
        <v>1097</v>
      </c>
      <c r="B98" t="s">
        <v>764</v>
      </c>
      <c r="C98" s="122">
        <v>3.61</v>
      </c>
      <c r="D98" s="113">
        <v>0.98</v>
      </c>
      <c r="E98" s="121">
        <f t="shared" si="1"/>
        <v>3.6836734693877551</v>
      </c>
    </row>
    <row r="99" spans="1:6">
      <c r="A99">
        <v>1098</v>
      </c>
      <c r="B99" t="s">
        <v>765</v>
      </c>
      <c r="C99" s="122"/>
      <c r="D99" s="113">
        <v>0.98</v>
      </c>
      <c r="E99" s="121">
        <f t="shared" si="1"/>
        <v>0</v>
      </c>
    </row>
    <row r="100" spans="1:6">
      <c r="A100">
        <v>1099</v>
      </c>
      <c r="B100" t="s">
        <v>766</v>
      </c>
      <c r="C100" s="126">
        <f>87.5/1</f>
        <v>87.5</v>
      </c>
      <c r="D100" s="113">
        <v>0.98</v>
      </c>
      <c r="E100" s="121">
        <f t="shared" si="1"/>
        <v>89.285714285714292</v>
      </c>
    </row>
    <row r="101" spans="1:6">
      <c r="A101">
        <v>1100</v>
      </c>
      <c r="B101" t="s">
        <v>767</v>
      </c>
      <c r="C101" s="121">
        <f>36.54/22</f>
        <v>1.6609090909090909</v>
      </c>
      <c r="D101" s="113">
        <v>0.98</v>
      </c>
      <c r="E101" s="121">
        <f t="shared" si="1"/>
        <v>1.6948051948051948</v>
      </c>
    </row>
    <row r="102" spans="1:6">
      <c r="A102">
        <v>1101</v>
      </c>
      <c r="B102" t="s">
        <v>768</v>
      </c>
      <c r="C102" s="121">
        <f>15.6/18</f>
        <v>0.8666666666666667</v>
      </c>
      <c r="D102" s="113">
        <v>0.95</v>
      </c>
      <c r="E102" s="121">
        <f t="shared" si="1"/>
        <v>0.91228070175438603</v>
      </c>
    </row>
    <row r="103" spans="1:6">
      <c r="A103">
        <v>1102</v>
      </c>
      <c r="B103" t="s">
        <v>769</v>
      </c>
      <c r="C103" s="121">
        <f>17.6/15</f>
        <v>1.1733333333333333</v>
      </c>
      <c r="D103" s="113">
        <v>0.95</v>
      </c>
      <c r="E103" s="121">
        <f t="shared" si="1"/>
        <v>1.2350877192982457</v>
      </c>
    </row>
    <row r="104" spans="1:6">
      <c r="A104">
        <v>1103</v>
      </c>
      <c r="B104" t="s">
        <v>770</v>
      </c>
      <c r="C104" s="122">
        <v>7.7</v>
      </c>
      <c r="D104" s="113">
        <v>0.98</v>
      </c>
      <c r="E104" s="121">
        <f t="shared" si="1"/>
        <v>7.8571428571428577</v>
      </c>
      <c r="F104" t="s">
        <v>805</v>
      </c>
    </row>
    <row r="105" spans="1:6">
      <c r="A105">
        <v>1104</v>
      </c>
      <c r="B105" t="s">
        <v>771</v>
      </c>
      <c r="C105" s="121">
        <f>62.11/6</f>
        <v>10.351666666666667</v>
      </c>
      <c r="D105" s="113">
        <v>0.98</v>
      </c>
      <c r="E105" s="121">
        <f t="shared" si="1"/>
        <v>10.562925170068027</v>
      </c>
    </row>
    <row r="106" spans="1:6">
      <c r="A106">
        <v>1105</v>
      </c>
      <c r="B106" t="s">
        <v>772</v>
      </c>
      <c r="C106" s="121">
        <f>40.98/13.5</f>
        <v>3.0355555555555553</v>
      </c>
      <c r="D106" s="113">
        <v>0.98</v>
      </c>
      <c r="E106" s="121">
        <f t="shared" si="1"/>
        <v>3.0975056689342404</v>
      </c>
    </row>
    <row r="107" spans="1:6">
      <c r="A107">
        <v>1106</v>
      </c>
      <c r="B107" t="s">
        <v>773</v>
      </c>
      <c r="C107" s="121">
        <f>42.2/12</f>
        <v>3.5166666666666671</v>
      </c>
      <c r="D107" s="113">
        <v>0.95</v>
      </c>
      <c r="E107" s="121">
        <f t="shared" si="1"/>
        <v>3.7017543859649127</v>
      </c>
    </row>
    <row r="108" spans="1:6">
      <c r="A108">
        <v>1107</v>
      </c>
      <c r="B108" t="s">
        <v>774</v>
      </c>
      <c r="C108" s="121">
        <v>1.5</v>
      </c>
      <c r="D108" s="113">
        <v>1</v>
      </c>
      <c r="E108" s="121">
        <f t="shared" si="1"/>
        <v>1.5</v>
      </c>
    </row>
    <row r="109" spans="1:6">
      <c r="A109">
        <v>1108</v>
      </c>
      <c r="B109" t="s">
        <v>775</v>
      </c>
      <c r="C109" s="121">
        <f>41.43/30</f>
        <v>1.381</v>
      </c>
      <c r="D109" s="113">
        <v>0.98</v>
      </c>
      <c r="E109" s="121">
        <f t="shared" si="1"/>
        <v>1.4091836734693879</v>
      </c>
    </row>
    <row r="110" spans="1:6">
      <c r="A110">
        <v>1109</v>
      </c>
      <c r="B110" t="s">
        <v>776</v>
      </c>
      <c r="C110" s="121">
        <v>1.5</v>
      </c>
      <c r="D110" s="113">
        <v>1</v>
      </c>
      <c r="E110" s="121">
        <f t="shared" si="1"/>
        <v>1.5</v>
      </c>
    </row>
    <row r="111" spans="1:6">
      <c r="A111">
        <v>1110</v>
      </c>
      <c r="B111" t="s">
        <v>777</v>
      </c>
      <c r="C111" s="121">
        <f>19.2/12</f>
        <v>1.5999999999999999</v>
      </c>
      <c r="D111" s="113">
        <v>0.9</v>
      </c>
      <c r="E111" s="121">
        <f t="shared" si="1"/>
        <v>1.7777777777777777</v>
      </c>
    </row>
    <row r="112" spans="1:6">
      <c r="A112">
        <v>1111</v>
      </c>
      <c r="B112" t="s">
        <v>778</v>
      </c>
      <c r="C112" s="121">
        <f>33.71/125</f>
        <v>0.26968000000000003</v>
      </c>
      <c r="D112" s="113">
        <v>0.98</v>
      </c>
      <c r="E112" s="121">
        <f t="shared" si="1"/>
        <v>0.27518367346938777</v>
      </c>
      <c r="F112" t="s">
        <v>709</v>
      </c>
    </row>
    <row r="113" spans="1:10">
      <c r="A113">
        <v>1112</v>
      </c>
      <c r="B113" t="s">
        <v>779</v>
      </c>
      <c r="C113" s="121">
        <f>2.41</f>
        <v>2.41</v>
      </c>
      <c r="D113" s="113">
        <v>0.98</v>
      </c>
      <c r="E113" s="121">
        <f t="shared" si="1"/>
        <v>2.4591836734693882</v>
      </c>
    </row>
    <row r="114" spans="1:10">
      <c r="A114">
        <v>1113</v>
      </c>
      <c r="B114" t="s">
        <v>780</v>
      </c>
      <c r="C114" s="121">
        <f>35.56/9</f>
        <v>3.9511111111111115</v>
      </c>
      <c r="D114" s="113">
        <v>0.98</v>
      </c>
      <c r="E114" s="121">
        <f t="shared" si="1"/>
        <v>4.0317460317460325</v>
      </c>
    </row>
    <row r="115" spans="1:10">
      <c r="A115">
        <v>1114</v>
      </c>
      <c r="B115" t="s">
        <v>781</v>
      </c>
      <c r="C115" s="127">
        <v>7.79</v>
      </c>
      <c r="D115" s="113">
        <v>0.95</v>
      </c>
      <c r="E115" s="121">
        <f t="shared" si="1"/>
        <v>8.2000000000000011</v>
      </c>
    </row>
    <row r="116" spans="1:10">
      <c r="A116">
        <v>1115</v>
      </c>
      <c r="B116" t="s">
        <v>782</v>
      </c>
      <c r="C116" s="121">
        <f>19.25/20</f>
        <v>0.96250000000000002</v>
      </c>
      <c r="D116" s="113">
        <v>0.98</v>
      </c>
      <c r="E116" s="121">
        <f t="shared" si="1"/>
        <v>0.98214285714285721</v>
      </c>
    </row>
    <row r="117" spans="1:10">
      <c r="A117">
        <v>1116</v>
      </c>
      <c r="B117" t="s">
        <v>783</v>
      </c>
      <c r="C117" s="121">
        <f>18/20</f>
        <v>0.9</v>
      </c>
      <c r="D117" s="113">
        <v>0.98</v>
      </c>
      <c r="E117" s="121">
        <f t="shared" si="1"/>
        <v>0.91836734693877553</v>
      </c>
    </row>
    <row r="118" spans="1:10">
      <c r="A118">
        <v>1117</v>
      </c>
      <c r="B118" t="s">
        <v>784</v>
      </c>
      <c r="D118" s="113">
        <v>1</v>
      </c>
      <c r="E118" s="121">
        <f t="shared" si="1"/>
        <v>0</v>
      </c>
    </row>
    <row r="119" spans="1:10">
      <c r="A119">
        <v>1118</v>
      </c>
      <c r="B119" t="s">
        <v>785</v>
      </c>
      <c r="C119" s="121">
        <f>70/10</f>
        <v>7</v>
      </c>
      <c r="D119" s="113">
        <v>0.98</v>
      </c>
      <c r="E119" s="121">
        <f t="shared" si="1"/>
        <v>7.1428571428571432</v>
      </c>
    </row>
    <row r="120" spans="1:10">
      <c r="A120">
        <v>1119</v>
      </c>
      <c r="B120" t="s">
        <v>786</v>
      </c>
      <c r="D120" s="113">
        <v>1</v>
      </c>
      <c r="E120" s="121">
        <f t="shared" si="1"/>
        <v>0</v>
      </c>
    </row>
    <row r="121" spans="1:10">
      <c r="A121">
        <v>1120</v>
      </c>
      <c r="B121" t="s">
        <v>787</v>
      </c>
      <c r="C121" s="121">
        <f>95.99/30</f>
        <v>3.1996666666666664</v>
      </c>
      <c r="D121" s="113">
        <v>0.98</v>
      </c>
      <c r="E121" s="121">
        <f t="shared" si="1"/>
        <v>3.2649659863945577</v>
      </c>
    </row>
    <row r="122" spans="1:10">
      <c r="A122">
        <v>1121</v>
      </c>
      <c r="B122" t="s">
        <v>788</v>
      </c>
      <c r="C122" s="122"/>
      <c r="D122" s="113">
        <v>0.98</v>
      </c>
      <c r="E122" s="121">
        <f t="shared" si="1"/>
        <v>0</v>
      </c>
    </row>
    <row r="123" spans="1:10">
      <c r="A123">
        <v>1122</v>
      </c>
      <c r="B123" t="s">
        <v>789</v>
      </c>
      <c r="C123" s="121">
        <v>0.6</v>
      </c>
      <c r="D123" s="113">
        <v>1</v>
      </c>
      <c r="E123" s="121">
        <f t="shared" si="1"/>
        <v>0.6</v>
      </c>
    </row>
    <row r="124" spans="1:10">
      <c r="A124">
        <v>1123</v>
      </c>
      <c r="B124" t="s">
        <v>790</v>
      </c>
      <c r="C124" s="121">
        <v>0.6</v>
      </c>
      <c r="D124" s="113">
        <v>1</v>
      </c>
      <c r="E124" s="121">
        <f t="shared" si="1"/>
        <v>0.6</v>
      </c>
    </row>
    <row r="125" spans="1:10">
      <c r="A125">
        <v>1124</v>
      </c>
      <c r="B125" t="s">
        <v>791</v>
      </c>
      <c r="C125" s="122">
        <v>0.31</v>
      </c>
      <c r="D125" s="113">
        <v>1</v>
      </c>
      <c r="E125" s="121">
        <f t="shared" si="1"/>
        <v>0.31</v>
      </c>
    </row>
    <row r="126" spans="1:10">
      <c r="A126">
        <v>1125</v>
      </c>
      <c r="B126" t="s">
        <v>792</v>
      </c>
      <c r="C126" s="122">
        <v>0.4</v>
      </c>
      <c r="D126" s="113">
        <v>1</v>
      </c>
      <c r="E126" s="121">
        <f t="shared" si="1"/>
        <v>0.4</v>
      </c>
      <c r="I126" s="171" t="s">
        <v>1046</v>
      </c>
      <c r="J126" s="172" t="s">
        <v>1046</v>
      </c>
    </row>
    <row r="127" spans="1:10">
      <c r="A127">
        <v>1126</v>
      </c>
      <c r="B127" t="s">
        <v>793</v>
      </c>
      <c r="C127" s="122">
        <v>0.31</v>
      </c>
      <c r="D127" s="113">
        <v>1</v>
      </c>
      <c r="E127" s="121">
        <f t="shared" si="1"/>
        <v>0.31</v>
      </c>
      <c r="I127" s="168">
        <v>0.8</v>
      </c>
      <c r="J127" s="168">
        <v>1</v>
      </c>
    </row>
    <row r="128" spans="1:10">
      <c r="A128">
        <v>1127</v>
      </c>
      <c r="B128" s="141" t="s">
        <v>794</v>
      </c>
      <c r="C128" s="121">
        <v>2.4300000000000002</v>
      </c>
      <c r="D128" s="113">
        <v>0.98</v>
      </c>
      <c r="E128" s="121">
        <f t="shared" si="1"/>
        <v>2.4795918367346941</v>
      </c>
      <c r="I128" s="142">
        <f>E128*(1+$I$127)</f>
        <v>4.4632653061224499</v>
      </c>
      <c r="J128" s="142">
        <f>E128*(1+$J$127)</f>
        <v>4.9591836734693882</v>
      </c>
    </row>
    <row r="129" spans="1:10">
      <c r="A129">
        <v>1128</v>
      </c>
      <c r="B129" s="141" t="s">
        <v>795</v>
      </c>
      <c r="C129" s="121">
        <f>0.308*1.5</f>
        <v>0.46199999999999997</v>
      </c>
      <c r="D129" s="113">
        <v>1</v>
      </c>
      <c r="E129" s="121">
        <f t="shared" si="1"/>
        <v>0.46199999999999997</v>
      </c>
      <c r="I129" s="142">
        <f t="shared" ref="I129:I166" si="2">E129*(1+$I$127)</f>
        <v>0.83160000000000001</v>
      </c>
      <c r="J129" s="142">
        <f t="shared" ref="J129:J174" si="3">E129*(1+$J$127)</f>
        <v>0.92399999999999993</v>
      </c>
    </row>
    <row r="130" spans="1:10">
      <c r="A130">
        <v>1129</v>
      </c>
      <c r="B130" s="141" t="s">
        <v>796</v>
      </c>
      <c r="C130" s="122">
        <v>0.4</v>
      </c>
      <c r="D130" s="113">
        <v>0.98</v>
      </c>
      <c r="E130" s="121">
        <f t="shared" si="1"/>
        <v>0.40816326530612246</v>
      </c>
      <c r="F130" s="129" t="s">
        <v>821</v>
      </c>
      <c r="I130" s="142">
        <f t="shared" si="2"/>
        <v>0.73469387755102045</v>
      </c>
      <c r="J130" s="142">
        <f t="shared" si="3"/>
        <v>0.81632653061224492</v>
      </c>
    </row>
    <row r="131" spans="1:10">
      <c r="A131">
        <v>1130</v>
      </c>
      <c r="B131" s="141" t="s">
        <v>797</v>
      </c>
      <c r="C131" s="121">
        <f>56.32/20</f>
        <v>2.8159999999999998</v>
      </c>
      <c r="D131" s="113">
        <v>0.98</v>
      </c>
      <c r="E131" s="121">
        <f t="shared" ref="E131:E164" si="4">C131/D131</f>
        <v>2.8734693877551019</v>
      </c>
      <c r="F131" t="s">
        <v>806</v>
      </c>
      <c r="I131" s="142">
        <f t="shared" si="2"/>
        <v>5.1722448979591835</v>
      </c>
      <c r="J131" s="142">
        <f t="shared" si="3"/>
        <v>5.7469387755102037</v>
      </c>
    </row>
    <row r="132" spans="1:10">
      <c r="A132">
        <v>1131</v>
      </c>
      <c r="B132" s="141" t="s">
        <v>582</v>
      </c>
      <c r="C132" s="122">
        <v>0.06</v>
      </c>
      <c r="D132" s="113">
        <v>1</v>
      </c>
      <c r="E132" s="121">
        <f t="shared" si="4"/>
        <v>0.06</v>
      </c>
      <c r="I132" s="142">
        <f t="shared" si="2"/>
        <v>0.108</v>
      </c>
      <c r="J132" s="142">
        <f t="shared" si="3"/>
        <v>0.12</v>
      </c>
    </row>
    <row r="133" spans="1:10">
      <c r="A133">
        <v>1132</v>
      </c>
      <c r="B133" s="141" t="s">
        <v>584</v>
      </c>
      <c r="C133" s="122">
        <v>0.23</v>
      </c>
      <c r="D133" s="113">
        <v>0.98</v>
      </c>
      <c r="E133" s="121">
        <f t="shared" si="4"/>
        <v>0.23469387755102042</v>
      </c>
      <c r="F133" t="s">
        <v>877</v>
      </c>
      <c r="I133" s="142">
        <f t="shared" si="2"/>
        <v>0.42244897959183675</v>
      </c>
      <c r="J133" s="142">
        <f t="shared" si="3"/>
        <v>0.46938775510204084</v>
      </c>
    </row>
    <row r="134" spans="1:10">
      <c r="A134">
        <v>1133</v>
      </c>
      <c r="B134" s="141" t="s">
        <v>831</v>
      </c>
      <c r="C134" s="122">
        <v>4.8499999999999996</v>
      </c>
      <c r="D134" s="113">
        <v>0.98</v>
      </c>
      <c r="E134" s="121">
        <f t="shared" si="4"/>
        <v>4.9489795918367347</v>
      </c>
      <c r="I134" s="142">
        <f t="shared" si="2"/>
        <v>8.908163265306122</v>
      </c>
      <c r="J134" s="142">
        <f t="shared" si="3"/>
        <v>9.8979591836734695</v>
      </c>
    </row>
    <row r="135" spans="1:10">
      <c r="A135">
        <v>1134</v>
      </c>
      <c r="B135" s="141" t="s">
        <v>832</v>
      </c>
      <c r="C135" s="122">
        <v>0.6</v>
      </c>
      <c r="D135" s="113">
        <v>0.98</v>
      </c>
      <c r="E135" s="121">
        <f t="shared" si="4"/>
        <v>0.61224489795918369</v>
      </c>
      <c r="I135" s="142">
        <f t="shared" si="2"/>
        <v>1.1020408163265307</v>
      </c>
      <c r="J135" s="142">
        <f t="shared" si="3"/>
        <v>1.2244897959183674</v>
      </c>
    </row>
    <row r="136" spans="1:10">
      <c r="A136">
        <v>1135</v>
      </c>
      <c r="B136" s="141" t="s">
        <v>592</v>
      </c>
      <c r="C136" s="122">
        <v>2.57</v>
      </c>
      <c r="D136" s="113">
        <v>0.98</v>
      </c>
      <c r="E136" s="121">
        <f t="shared" si="4"/>
        <v>2.6224489795918364</v>
      </c>
      <c r="I136" s="142">
        <f t="shared" si="2"/>
        <v>4.7204081632653061</v>
      </c>
      <c r="J136" s="142">
        <f t="shared" si="3"/>
        <v>5.2448979591836729</v>
      </c>
    </row>
    <row r="137" spans="1:10">
      <c r="A137">
        <v>1136</v>
      </c>
      <c r="B137" s="141" t="s">
        <v>833</v>
      </c>
      <c r="C137" s="122">
        <f>3.29/24</f>
        <v>0.13708333333333333</v>
      </c>
      <c r="D137" s="113">
        <v>0.98</v>
      </c>
      <c r="E137" s="121">
        <f t="shared" si="4"/>
        <v>0.13988095238095238</v>
      </c>
      <c r="F137" t="s">
        <v>878</v>
      </c>
      <c r="I137" s="142">
        <f t="shared" si="2"/>
        <v>0.25178571428571428</v>
      </c>
      <c r="J137" s="142">
        <f t="shared" si="3"/>
        <v>0.27976190476190477</v>
      </c>
    </row>
    <row r="138" spans="1:10">
      <c r="A138">
        <v>1137</v>
      </c>
      <c r="B138" s="141" t="s">
        <v>834</v>
      </c>
      <c r="C138" s="122">
        <v>4.01</v>
      </c>
      <c r="D138" s="113">
        <v>0.98</v>
      </c>
      <c r="E138" s="121">
        <f t="shared" si="4"/>
        <v>4.0918367346938771</v>
      </c>
      <c r="F138" t="s">
        <v>879</v>
      </c>
      <c r="I138" s="142">
        <f t="shared" si="2"/>
        <v>7.3653061224489793</v>
      </c>
      <c r="J138" s="142">
        <f t="shared" si="3"/>
        <v>8.1836734693877542</v>
      </c>
    </row>
    <row r="139" spans="1:10">
      <c r="A139">
        <v>1138</v>
      </c>
      <c r="B139" s="141" t="s">
        <v>599</v>
      </c>
      <c r="C139" s="122">
        <v>7.2</v>
      </c>
      <c r="D139" s="113">
        <v>0.9</v>
      </c>
      <c r="E139" s="121">
        <f t="shared" si="4"/>
        <v>8</v>
      </c>
      <c r="I139" s="142">
        <f t="shared" si="2"/>
        <v>14.4</v>
      </c>
      <c r="J139" s="142">
        <f t="shared" si="3"/>
        <v>16</v>
      </c>
    </row>
    <row r="140" spans="1:10">
      <c r="A140">
        <v>1139</v>
      </c>
      <c r="B140" s="141" t="s">
        <v>835</v>
      </c>
      <c r="C140" s="122">
        <v>7.79</v>
      </c>
      <c r="D140" s="113">
        <v>0.98</v>
      </c>
      <c r="E140" s="121">
        <f t="shared" si="4"/>
        <v>7.9489795918367347</v>
      </c>
      <c r="I140" s="142">
        <f t="shared" si="2"/>
        <v>14.308163265306122</v>
      </c>
      <c r="J140" s="142">
        <f t="shared" si="3"/>
        <v>15.897959183673469</v>
      </c>
    </row>
    <row r="141" spans="1:10">
      <c r="A141">
        <v>1140</v>
      </c>
      <c r="B141" s="141" t="s">
        <v>836</v>
      </c>
      <c r="C141" s="122">
        <v>4.6900000000000004</v>
      </c>
      <c r="D141" s="113">
        <v>0.98</v>
      </c>
      <c r="E141" s="121">
        <f t="shared" si="4"/>
        <v>4.7857142857142865</v>
      </c>
      <c r="I141" s="142">
        <f t="shared" si="2"/>
        <v>8.6142857142857157</v>
      </c>
      <c r="J141" s="142">
        <f t="shared" si="3"/>
        <v>9.571428571428573</v>
      </c>
    </row>
    <row r="142" spans="1:10">
      <c r="A142">
        <v>1141</v>
      </c>
      <c r="B142" s="141" t="s">
        <v>837</v>
      </c>
      <c r="C142" s="122">
        <f>0.15*16</f>
        <v>2.4</v>
      </c>
      <c r="D142" s="113">
        <v>0.75</v>
      </c>
      <c r="E142" s="121">
        <f t="shared" si="4"/>
        <v>3.1999999999999997</v>
      </c>
      <c r="I142" s="142">
        <f t="shared" si="2"/>
        <v>5.76</v>
      </c>
      <c r="J142" s="142">
        <f t="shared" si="3"/>
        <v>6.3999999999999995</v>
      </c>
    </row>
    <row r="143" spans="1:10">
      <c r="A143">
        <v>1142</v>
      </c>
      <c r="B143" s="141" t="s">
        <v>838</v>
      </c>
      <c r="C143" s="122">
        <v>0.55000000000000004</v>
      </c>
      <c r="D143" s="113">
        <v>1</v>
      </c>
      <c r="E143" s="121">
        <f t="shared" si="4"/>
        <v>0.55000000000000004</v>
      </c>
      <c r="I143" s="142">
        <f t="shared" si="2"/>
        <v>0.9900000000000001</v>
      </c>
      <c r="J143" s="142">
        <f t="shared" si="3"/>
        <v>1.1000000000000001</v>
      </c>
    </row>
    <row r="144" spans="1:10">
      <c r="A144">
        <v>1143</v>
      </c>
      <c r="B144" s="141" t="s">
        <v>839</v>
      </c>
      <c r="C144" s="122">
        <v>0.3</v>
      </c>
      <c r="D144" s="113">
        <v>1</v>
      </c>
      <c r="E144" s="121">
        <f t="shared" si="4"/>
        <v>0.3</v>
      </c>
      <c r="I144" s="142">
        <f t="shared" si="2"/>
        <v>0.54</v>
      </c>
      <c r="J144" s="142">
        <f t="shared" si="3"/>
        <v>0.6</v>
      </c>
    </row>
    <row r="145" spans="1:10">
      <c r="A145">
        <v>1144</v>
      </c>
      <c r="B145" s="141" t="s">
        <v>840</v>
      </c>
      <c r="C145" s="122">
        <v>0.05</v>
      </c>
      <c r="D145" s="113">
        <v>0.95</v>
      </c>
      <c r="E145" s="121">
        <f t="shared" si="4"/>
        <v>5.2631578947368425E-2</v>
      </c>
      <c r="I145" s="142">
        <f t="shared" si="2"/>
        <v>9.4736842105263161E-2</v>
      </c>
      <c r="J145" s="142">
        <f t="shared" si="3"/>
        <v>0.10526315789473685</v>
      </c>
    </row>
    <row r="146" spans="1:10">
      <c r="A146">
        <v>1145</v>
      </c>
      <c r="B146" s="141" t="s">
        <v>841</v>
      </c>
      <c r="C146" s="122">
        <v>3.5</v>
      </c>
      <c r="D146" s="113">
        <v>0.98</v>
      </c>
      <c r="E146" s="121">
        <f t="shared" si="4"/>
        <v>3.5714285714285716</v>
      </c>
      <c r="F146" t="s">
        <v>880</v>
      </c>
      <c r="I146" s="142">
        <f t="shared" si="2"/>
        <v>6.4285714285714288</v>
      </c>
      <c r="J146" s="142">
        <f t="shared" si="3"/>
        <v>7.1428571428571432</v>
      </c>
    </row>
    <row r="147" spans="1:10">
      <c r="A147">
        <v>1146</v>
      </c>
      <c r="B147" s="141" t="s">
        <v>842</v>
      </c>
      <c r="C147" s="122">
        <v>1.08</v>
      </c>
      <c r="D147" s="113">
        <v>1</v>
      </c>
      <c r="E147" s="121">
        <f t="shared" si="4"/>
        <v>1.08</v>
      </c>
      <c r="F147" t="s">
        <v>869</v>
      </c>
      <c r="G147" s="142">
        <f>E147*1.25</f>
        <v>1.35</v>
      </c>
      <c r="I147" s="142">
        <f t="shared" si="2"/>
        <v>1.9440000000000002</v>
      </c>
      <c r="J147" s="142">
        <f t="shared" si="3"/>
        <v>2.16</v>
      </c>
    </row>
    <row r="148" spans="1:10">
      <c r="A148">
        <v>1147</v>
      </c>
      <c r="B148" s="141" t="s">
        <v>843</v>
      </c>
      <c r="C148" s="122">
        <v>0.24</v>
      </c>
      <c r="D148" s="113">
        <v>1</v>
      </c>
      <c r="E148" s="121">
        <f t="shared" si="4"/>
        <v>0.24</v>
      </c>
      <c r="F148" t="s">
        <v>870</v>
      </c>
      <c r="G148" s="143">
        <v>0.45</v>
      </c>
      <c r="I148" s="142">
        <f t="shared" si="2"/>
        <v>0.432</v>
      </c>
      <c r="J148" s="142">
        <f t="shared" si="3"/>
        <v>0.48</v>
      </c>
    </row>
    <row r="149" spans="1:10">
      <c r="A149">
        <v>1148</v>
      </c>
      <c r="B149" s="141" t="s">
        <v>844</v>
      </c>
      <c r="C149" s="122">
        <v>1.67</v>
      </c>
      <c r="D149" s="113">
        <v>1</v>
      </c>
      <c r="E149" s="121">
        <f t="shared" si="4"/>
        <v>1.67</v>
      </c>
      <c r="F149" t="s">
        <v>871</v>
      </c>
      <c r="G149" s="142">
        <f>E149*1.25</f>
        <v>2.0874999999999999</v>
      </c>
      <c r="I149" s="142">
        <f t="shared" si="2"/>
        <v>3.0059999999999998</v>
      </c>
      <c r="J149" s="142">
        <f t="shared" si="3"/>
        <v>3.34</v>
      </c>
    </row>
    <row r="150" spans="1:10">
      <c r="A150">
        <v>1149</v>
      </c>
      <c r="B150" s="141" t="s">
        <v>845</v>
      </c>
      <c r="C150" s="122">
        <v>1.25</v>
      </c>
      <c r="D150" s="113">
        <v>1</v>
      </c>
      <c r="E150" s="121">
        <f t="shared" si="4"/>
        <v>1.25</v>
      </c>
      <c r="F150" t="s">
        <v>872</v>
      </c>
      <c r="G150" s="143">
        <f>E150*1.35</f>
        <v>1.6875</v>
      </c>
      <c r="I150" s="142">
        <f t="shared" si="2"/>
        <v>2.25</v>
      </c>
      <c r="J150" s="142">
        <f t="shared" si="3"/>
        <v>2.5</v>
      </c>
    </row>
    <row r="151" spans="1:10">
      <c r="A151">
        <v>1150</v>
      </c>
      <c r="B151" s="141" t="s">
        <v>846</v>
      </c>
      <c r="C151" s="122">
        <v>7.0000000000000007E-2</v>
      </c>
      <c r="D151" s="113">
        <v>1</v>
      </c>
      <c r="E151" s="121">
        <f t="shared" si="4"/>
        <v>7.0000000000000007E-2</v>
      </c>
      <c r="F151" t="s">
        <v>873</v>
      </c>
      <c r="G151" s="143">
        <v>0.1</v>
      </c>
      <c r="I151" s="142">
        <f t="shared" si="2"/>
        <v>0.12600000000000003</v>
      </c>
      <c r="J151" s="142">
        <f t="shared" si="3"/>
        <v>0.14000000000000001</v>
      </c>
    </row>
    <row r="152" spans="1:10">
      <c r="A152">
        <v>1151</v>
      </c>
      <c r="B152" s="141" t="s">
        <v>847</v>
      </c>
      <c r="C152" s="122">
        <v>1.42</v>
      </c>
      <c r="D152" s="113">
        <v>1</v>
      </c>
      <c r="E152" s="121">
        <f t="shared" si="4"/>
        <v>1.42</v>
      </c>
      <c r="F152" t="s">
        <v>874</v>
      </c>
      <c r="G152" s="143">
        <v>2.56</v>
      </c>
      <c r="I152" s="142">
        <f t="shared" si="2"/>
        <v>2.556</v>
      </c>
      <c r="J152" s="142">
        <f t="shared" si="3"/>
        <v>2.84</v>
      </c>
    </row>
    <row r="153" spans="1:10">
      <c r="A153">
        <v>1152</v>
      </c>
      <c r="B153" s="141" t="s">
        <v>848</v>
      </c>
      <c r="C153" s="122">
        <v>2.73</v>
      </c>
      <c r="D153" s="113">
        <v>1</v>
      </c>
      <c r="E153" s="121">
        <f t="shared" si="4"/>
        <v>2.73</v>
      </c>
      <c r="F153" t="s">
        <v>875</v>
      </c>
      <c r="G153" s="142">
        <f t="shared" ref="G153:G161" si="5">E153*1.25</f>
        <v>3.4125000000000001</v>
      </c>
      <c r="I153" s="142">
        <f t="shared" si="2"/>
        <v>4.9139999999999997</v>
      </c>
      <c r="J153" s="142">
        <f t="shared" si="3"/>
        <v>5.46</v>
      </c>
    </row>
    <row r="154" spans="1:10">
      <c r="A154">
        <v>1153</v>
      </c>
      <c r="B154" s="141" t="s">
        <v>849</v>
      </c>
      <c r="C154" s="122">
        <v>2.0499999999999998</v>
      </c>
      <c r="D154" s="113">
        <v>1</v>
      </c>
      <c r="E154" s="121">
        <f t="shared" si="4"/>
        <v>2.0499999999999998</v>
      </c>
      <c r="F154" t="s">
        <v>874</v>
      </c>
      <c r="G154" s="142">
        <f t="shared" si="5"/>
        <v>2.5625</v>
      </c>
      <c r="I154" s="142">
        <f t="shared" si="2"/>
        <v>3.69</v>
      </c>
      <c r="J154" s="142">
        <f t="shared" si="3"/>
        <v>4.0999999999999996</v>
      </c>
    </row>
    <row r="155" spans="1:10">
      <c r="A155">
        <v>1154</v>
      </c>
      <c r="B155" s="141" t="s">
        <v>850</v>
      </c>
      <c r="C155" s="122"/>
      <c r="D155" s="113">
        <v>1</v>
      </c>
      <c r="E155" s="121">
        <f t="shared" si="4"/>
        <v>0</v>
      </c>
      <c r="G155" s="142">
        <f t="shared" si="5"/>
        <v>0</v>
      </c>
      <c r="I155" s="142">
        <f t="shared" si="2"/>
        <v>0</v>
      </c>
      <c r="J155" s="142">
        <f t="shared" si="3"/>
        <v>0</v>
      </c>
    </row>
    <row r="156" spans="1:10">
      <c r="A156">
        <v>1155</v>
      </c>
      <c r="B156" s="141" t="s">
        <v>851</v>
      </c>
      <c r="C156" s="122"/>
      <c r="D156" s="113">
        <v>1</v>
      </c>
      <c r="E156" s="121">
        <f t="shared" si="4"/>
        <v>0</v>
      </c>
      <c r="G156" s="142">
        <f t="shared" si="5"/>
        <v>0</v>
      </c>
      <c r="I156" s="142">
        <f t="shared" si="2"/>
        <v>0</v>
      </c>
      <c r="J156" s="142">
        <f t="shared" si="3"/>
        <v>0</v>
      </c>
    </row>
    <row r="157" spans="1:10">
      <c r="A157">
        <v>1156</v>
      </c>
      <c r="B157" s="141" t="s">
        <v>852</v>
      </c>
      <c r="C157" s="122"/>
      <c r="D157" s="113">
        <v>1</v>
      </c>
      <c r="E157" s="121">
        <f t="shared" si="4"/>
        <v>0</v>
      </c>
      <c r="G157" s="142">
        <f t="shared" si="5"/>
        <v>0</v>
      </c>
      <c r="I157" s="142">
        <f t="shared" si="2"/>
        <v>0</v>
      </c>
      <c r="J157" s="142">
        <f t="shared" si="3"/>
        <v>0</v>
      </c>
    </row>
    <row r="158" spans="1:10">
      <c r="A158">
        <v>1157</v>
      </c>
      <c r="B158" s="141" t="s">
        <v>853</v>
      </c>
      <c r="C158" s="122"/>
      <c r="D158" s="113">
        <v>1</v>
      </c>
      <c r="E158" s="121">
        <f t="shared" si="4"/>
        <v>0</v>
      </c>
      <c r="G158" s="142">
        <f t="shared" si="5"/>
        <v>0</v>
      </c>
      <c r="I158" s="142">
        <f t="shared" si="2"/>
        <v>0</v>
      </c>
      <c r="J158" s="142">
        <f t="shared" si="3"/>
        <v>0</v>
      </c>
    </row>
    <row r="159" spans="1:10">
      <c r="A159">
        <v>1158</v>
      </c>
      <c r="B159" s="141" t="s">
        <v>854</v>
      </c>
      <c r="C159" s="122">
        <f>0.66/3</f>
        <v>0.22</v>
      </c>
      <c r="D159" s="113">
        <v>1</v>
      </c>
      <c r="E159" s="121">
        <f t="shared" si="4"/>
        <v>0.22</v>
      </c>
      <c r="G159" s="142">
        <f t="shared" si="5"/>
        <v>0.27500000000000002</v>
      </c>
      <c r="I159" s="142">
        <f t="shared" si="2"/>
        <v>0.39600000000000002</v>
      </c>
      <c r="J159" s="142">
        <f t="shared" si="3"/>
        <v>0.44</v>
      </c>
    </row>
    <row r="160" spans="1:10">
      <c r="A160">
        <v>1159</v>
      </c>
      <c r="B160" s="141" t="s">
        <v>855</v>
      </c>
      <c r="C160" s="122">
        <v>0.75</v>
      </c>
      <c r="D160" s="113">
        <v>0.9</v>
      </c>
      <c r="E160" s="121">
        <f t="shared" si="4"/>
        <v>0.83333333333333326</v>
      </c>
      <c r="G160" s="142">
        <f t="shared" si="5"/>
        <v>1.0416666666666665</v>
      </c>
      <c r="I160" s="142">
        <f t="shared" si="2"/>
        <v>1.5</v>
      </c>
      <c r="J160" s="142">
        <f t="shared" si="3"/>
        <v>1.6666666666666665</v>
      </c>
    </row>
    <row r="161" spans="1:10">
      <c r="A161">
        <v>1160</v>
      </c>
      <c r="B161" s="141" t="s">
        <v>856</v>
      </c>
      <c r="C161" s="122">
        <v>4.0599999999999996</v>
      </c>
      <c r="D161" s="113">
        <v>1</v>
      </c>
      <c r="E161" s="121">
        <f t="shared" si="4"/>
        <v>4.0599999999999996</v>
      </c>
      <c r="F161" t="s">
        <v>876</v>
      </c>
      <c r="G161" s="142">
        <f t="shared" si="5"/>
        <v>5.0749999999999993</v>
      </c>
      <c r="I161" s="142">
        <f t="shared" si="2"/>
        <v>7.3079999999999998</v>
      </c>
      <c r="J161" s="142">
        <f t="shared" si="3"/>
        <v>8.1199999999999992</v>
      </c>
    </row>
    <row r="162" spans="1:10">
      <c r="A162">
        <v>1161</v>
      </c>
      <c r="B162" s="141" t="s">
        <v>857</v>
      </c>
      <c r="C162" s="122">
        <v>0.4</v>
      </c>
      <c r="D162" s="113">
        <v>1</v>
      </c>
      <c r="E162" s="121">
        <f t="shared" si="4"/>
        <v>0.4</v>
      </c>
      <c r="G162" s="143">
        <v>0.65</v>
      </c>
      <c r="I162" s="142">
        <f t="shared" si="2"/>
        <v>0.72000000000000008</v>
      </c>
      <c r="J162" s="142">
        <f t="shared" si="3"/>
        <v>0.8</v>
      </c>
    </row>
    <row r="163" spans="1:10">
      <c r="A163">
        <v>1162</v>
      </c>
      <c r="B163" s="141" t="s">
        <v>858</v>
      </c>
      <c r="C163" s="122">
        <v>0.4</v>
      </c>
      <c r="D163" s="113">
        <v>1</v>
      </c>
      <c r="E163" s="121">
        <f t="shared" si="4"/>
        <v>0.4</v>
      </c>
      <c r="G163" s="143">
        <v>0.65</v>
      </c>
      <c r="I163" s="142">
        <f t="shared" si="2"/>
        <v>0.72000000000000008</v>
      </c>
      <c r="J163" s="142">
        <f t="shared" si="3"/>
        <v>0.8</v>
      </c>
    </row>
    <row r="164" spans="1:10">
      <c r="A164">
        <v>1163</v>
      </c>
      <c r="B164" s="141" t="s">
        <v>859</v>
      </c>
      <c r="C164" s="122">
        <v>0.4</v>
      </c>
      <c r="D164" s="113">
        <v>1</v>
      </c>
      <c r="E164" s="121">
        <f t="shared" si="4"/>
        <v>0.4</v>
      </c>
      <c r="G164" s="143">
        <v>0.65</v>
      </c>
      <c r="I164" s="142">
        <f t="shared" si="2"/>
        <v>0.72000000000000008</v>
      </c>
      <c r="J164" s="142">
        <f t="shared" si="3"/>
        <v>0.8</v>
      </c>
    </row>
    <row r="165" spans="1:10">
      <c r="A165">
        <v>1163</v>
      </c>
      <c r="B165" s="141" t="s">
        <v>861</v>
      </c>
      <c r="C165" s="122">
        <f>9.79/200</f>
        <v>4.8949999999999994E-2</v>
      </c>
      <c r="D165" s="113">
        <v>1</v>
      </c>
      <c r="E165" s="121">
        <f t="shared" ref="E165:E166" si="6">C165/D165</f>
        <v>4.8949999999999994E-2</v>
      </c>
      <c r="G165" s="142">
        <f>E165*1.25</f>
        <v>6.1187499999999992E-2</v>
      </c>
      <c r="I165" s="142">
        <f t="shared" si="2"/>
        <v>8.8109999999999994E-2</v>
      </c>
      <c r="J165" s="142">
        <f t="shared" si="3"/>
        <v>9.7899999999999987E-2</v>
      </c>
    </row>
    <row r="166" spans="1:10">
      <c r="B166" s="141" t="s">
        <v>1047</v>
      </c>
      <c r="C166" s="121">
        <f>34.99/40</f>
        <v>0.87475000000000003</v>
      </c>
      <c r="D166" s="113">
        <v>0.95</v>
      </c>
      <c r="E166" s="121">
        <f t="shared" si="6"/>
        <v>0.9207894736842106</v>
      </c>
      <c r="I166" s="142">
        <f t="shared" si="2"/>
        <v>1.6574210526315791</v>
      </c>
      <c r="J166" s="142">
        <f t="shared" si="3"/>
        <v>1.8415789473684212</v>
      </c>
    </row>
    <row r="167" spans="1:10">
      <c r="B167" s="141" t="s">
        <v>1048</v>
      </c>
      <c r="C167" s="121">
        <f>42/24</f>
        <v>1.75</v>
      </c>
      <c r="D167" s="113">
        <v>1</v>
      </c>
      <c r="E167" s="121">
        <f t="shared" ref="E167:E174" si="7">C167/D167</f>
        <v>1.75</v>
      </c>
      <c r="F167" t="s">
        <v>1049</v>
      </c>
      <c r="I167" s="142">
        <f t="shared" ref="I167:I174" si="8">E167*(1+$I$127)</f>
        <v>3.15</v>
      </c>
      <c r="J167" s="142">
        <f t="shared" si="3"/>
        <v>3.5</v>
      </c>
    </row>
    <row r="168" spans="1:10">
      <c r="B168" s="141" t="s">
        <v>1050</v>
      </c>
      <c r="C168" s="121">
        <f>5.99/100</f>
        <v>5.9900000000000002E-2</v>
      </c>
      <c r="D168" s="113">
        <v>1</v>
      </c>
      <c r="E168" s="121">
        <f t="shared" si="7"/>
        <v>5.9900000000000002E-2</v>
      </c>
      <c r="F168" t="s">
        <v>1051</v>
      </c>
      <c r="I168" s="142">
        <f t="shared" si="8"/>
        <v>0.10782</v>
      </c>
      <c r="J168" s="142">
        <f t="shared" si="3"/>
        <v>0.1198</v>
      </c>
    </row>
    <row r="169" spans="1:10">
      <c r="B169" s="141" t="s">
        <v>1052</v>
      </c>
      <c r="C169" s="121">
        <f>35.99/2000</f>
        <v>1.7995000000000001E-2</v>
      </c>
      <c r="D169" s="113">
        <v>0.95</v>
      </c>
      <c r="E169" s="121">
        <f t="shared" si="7"/>
        <v>1.8942105263157896E-2</v>
      </c>
      <c r="I169" s="142">
        <f t="shared" si="8"/>
        <v>3.4095789473684211E-2</v>
      </c>
      <c r="J169" s="142">
        <f t="shared" si="3"/>
        <v>3.7884210526315791E-2</v>
      </c>
    </row>
    <row r="170" spans="1:10">
      <c r="B170" s="141" t="s">
        <v>1053</v>
      </c>
      <c r="C170" s="121">
        <f>27.99/2000</f>
        <v>1.3994999999999999E-2</v>
      </c>
      <c r="D170" s="113">
        <v>0.95</v>
      </c>
      <c r="E170" s="121">
        <f t="shared" si="7"/>
        <v>1.473157894736842E-2</v>
      </c>
      <c r="I170" s="142">
        <f t="shared" si="8"/>
        <v>2.6516842105263158E-2</v>
      </c>
      <c r="J170" s="142">
        <f t="shared" si="3"/>
        <v>2.946315789473684E-2</v>
      </c>
    </row>
    <row r="171" spans="1:10">
      <c r="B171" s="141" t="s">
        <v>1054</v>
      </c>
      <c r="C171" s="121">
        <f>167.99/1000</f>
        <v>0.16799</v>
      </c>
      <c r="D171" s="113">
        <v>0.95</v>
      </c>
      <c r="E171" s="121">
        <f t="shared" si="7"/>
        <v>0.17683157894736842</v>
      </c>
      <c r="I171" s="142">
        <f t="shared" si="8"/>
        <v>0.31829684210526316</v>
      </c>
      <c r="J171" s="142">
        <f t="shared" si="3"/>
        <v>0.35366315789473685</v>
      </c>
    </row>
    <row r="172" spans="1:10">
      <c r="B172" s="141" t="s">
        <v>1055</v>
      </c>
      <c r="C172" s="121">
        <f>98.99/1000</f>
        <v>9.8989999999999995E-2</v>
      </c>
      <c r="D172" s="113">
        <v>0.95</v>
      </c>
      <c r="E172" s="121">
        <f t="shared" si="7"/>
        <v>0.1042</v>
      </c>
      <c r="I172" s="142">
        <f t="shared" si="8"/>
        <v>0.18756</v>
      </c>
      <c r="J172" s="142">
        <f t="shared" si="3"/>
        <v>0.2084</v>
      </c>
    </row>
    <row r="173" spans="1:10">
      <c r="B173" s="141" t="s">
        <v>1057</v>
      </c>
      <c r="C173" s="121">
        <f>53.86/42</f>
        <v>1.2823809523809524</v>
      </c>
      <c r="D173" s="113">
        <v>0.95</v>
      </c>
      <c r="E173" s="121">
        <f t="shared" si="7"/>
        <v>1.3498746867167921</v>
      </c>
      <c r="F173" t="s">
        <v>1056</v>
      </c>
      <c r="I173" s="142">
        <f t="shared" si="8"/>
        <v>2.4297744360902258</v>
      </c>
      <c r="J173" s="142">
        <f t="shared" si="3"/>
        <v>2.6997493734335842</v>
      </c>
    </row>
    <row r="174" spans="1:10">
      <c r="B174" s="141" t="s">
        <v>1058</v>
      </c>
      <c r="C174" s="121">
        <f>35.39/500</f>
        <v>7.0779999999999996E-2</v>
      </c>
      <c r="D174" s="113">
        <v>0.95</v>
      </c>
      <c r="E174" s="121">
        <f t="shared" si="7"/>
        <v>7.4505263157894741E-2</v>
      </c>
      <c r="I174" s="142">
        <f t="shared" si="8"/>
        <v>0.13410947368421053</v>
      </c>
      <c r="J174" s="142">
        <f t="shared" si="3"/>
        <v>0.14901052631578948</v>
      </c>
    </row>
    <row r="175" spans="1:10">
      <c r="B175" s="141" t="s">
        <v>1059</v>
      </c>
      <c r="C175" s="121">
        <f>73.99/100</f>
        <v>0.7399</v>
      </c>
      <c r="D175" s="113">
        <v>0.95</v>
      </c>
      <c r="E175" s="121">
        <f t="shared" ref="E175:E179" si="9">C175/D175</f>
        <v>0.77884210526315789</v>
      </c>
      <c r="I175" s="142">
        <f t="shared" ref="I175:I179" si="10">E175*(1+$I$127)</f>
        <v>1.4019157894736842</v>
      </c>
      <c r="J175" s="142">
        <f t="shared" ref="J175:J179" si="11">E175*(1+$J$127)</f>
        <v>1.5576842105263158</v>
      </c>
    </row>
    <row r="176" spans="1:10">
      <c r="B176" s="141" t="s">
        <v>1060</v>
      </c>
      <c r="C176" s="121">
        <f>118.14/480</f>
        <v>0.24612500000000001</v>
      </c>
      <c r="D176" s="113">
        <v>0.95</v>
      </c>
      <c r="E176" s="121">
        <f t="shared" si="9"/>
        <v>0.25907894736842108</v>
      </c>
      <c r="I176" s="142">
        <f t="shared" si="10"/>
        <v>0.46634210526315795</v>
      </c>
      <c r="J176" s="142">
        <f t="shared" si="11"/>
        <v>0.51815789473684215</v>
      </c>
    </row>
    <row r="177" spans="2:10">
      <c r="B177" s="141" t="s">
        <v>1061</v>
      </c>
      <c r="C177" s="121">
        <f>133.87/1000</f>
        <v>0.13387000000000002</v>
      </c>
      <c r="D177" s="113">
        <v>0.95</v>
      </c>
      <c r="E177" s="121">
        <f t="shared" si="9"/>
        <v>0.14091578947368424</v>
      </c>
      <c r="I177" s="142">
        <f t="shared" si="10"/>
        <v>0.25364842105263163</v>
      </c>
      <c r="J177" s="142">
        <f t="shared" si="11"/>
        <v>0.28183157894736849</v>
      </c>
    </row>
    <row r="178" spans="2:10">
      <c r="B178" s="141" t="s">
        <v>1062</v>
      </c>
      <c r="C178" s="121">
        <f>98/100</f>
        <v>0.98</v>
      </c>
      <c r="D178" s="113">
        <v>0.95</v>
      </c>
      <c r="E178" s="121">
        <f t="shared" si="9"/>
        <v>1.0315789473684212</v>
      </c>
      <c r="I178" s="142">
        <f t="shared" si="10"/>
        <v>1.8568421052631581</v>
      </c>
      <c r="J178" s="142">
        <f t="shared" si="11"/>
        <v>2.0631578947368423</v>
      </c>
    </row>
    <row r="179" spans="2:10">
      <c r="B179" s="141"/>
      <c r="D179" s="113">
        <v>0.95</v>
      </c>
      <c r="E179" s="121">
        <f t="shared" si="9"/>
        <v>0</v>
      </c>
      <c r="I179" s="142">
        <f t="shared" si="10"/>
        <v>0</v>
      </c>
      <c r="J179" s="142">
        <f t="shared" si="11"/>
        <v>0</v>
      </c>
    </row>
  </sheetData>
  <autoFilter ref="A1:F326" xr:uid="{9120D299-3997-42D5-8C02-9C6E1FC25F4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FF8E8-1C3A-42F4-8F7B-A38B1D4F9C26}">
  <dimension ref="A1:R64"/>
  <sheetViews>
    <sheetView topLeftCell="A13" workbookViewId="0">
      <selection activeCell="T18" sqref="T18"/>
    </sheetView>
  </sheetViews>
  <sheetFormatPr defaultRowHeight="14.4"/>
  <cols>
    <col min="2" max="2" width="18.6640625" bestFit="1" customWidth="1"/>
    <col min="3" max="3" width="28.44140625" bestFit="1" customWidth="1"/>
  </cols>
  <sheetData>
    <row r="1" spans="1:18" ht="93">
      <c r="A1" s="163" t="s">
        <v>961</v>
      </c>
      <c r="B1" s="164" t="s">
        <v>962</v>
      </c>
      <c r="C1" s="164" t="s">
        <v>59</v>
      </c>
      <c r="D1" s="164" t="s">
        <v>60</v>
      </c>
      <c r="E1" s="164" t="s">
        <v>61</v>
      </c>
      <c r="F1" s="164" t="s">
        <v>62</v>
      </c>
      <c r="G1" s="164" t="s">
        <v>860</v>
      </c>
      <c r="H1" s="164" t="s">
        <v>963</v>
      </c>
      <c r="I1" s="164" t="s">
        <v>964</v>
      </c>
      <c r="J1" s="165" t="s">
        <v>965</v>
      </c>
      <c r="K1" s="165" t="s">
        <v>966</v>
      </c>
      <c r="L1" s="165" t="s">
        <v>89</v>
      </c>
      <c r="M1" s="165" t="s">
        <v>89</v>
      </c>
    </row>
    <row r="2" spans="1:18">
      <c r="A2" s="148" t="s">
        <v>882</v>
      </c>
      <c r="B2" s="149" t="s">
        <v>883</v>
      </c>
      <c r="C2" s="149" t="s">
        <v>63</v>
      </c>
      <c r="D2" s="150" t="s">
        <v>89</v>
      </c>
      <c r="E2" s="150" t="s">
        <v>89</v>
      </c>
      <c r="F2" s="150" t="s">
        <v>89</v>
      </c>
      <c r="G2" s="149">
        <v>0</v>
      </c>
      <c r="H2" s="149">
        <v>1.04</v>
      </c>
      <c r="I2" s="149">
        <v>1.04</v>
      </c>
      <c r="J2" s="149" t="s">
        <v>31</v>
      </c>
      <c r="K2" s="149" t="s">
        <v>884</v>
      </c>
      <c r="L2" s="149">
        <v>40</v>
      </c>
      <c r="M2" s="151">
        <v>41.6</v>
      </c>
      <c r="N2">
        <f>H2*L2</f>
        <v>41.6</v>
      </c>
      <c r="Q2">
        <f>G2*L2</f>
        <v>0</v>
      </c>
    </row>
    <row r="3" spans="1:18">
      <c r="A3" s="144" t="s">
        <v>882</v>
      </c>
      <c r="B3" s="149" t="s">
        <v>886</v>
      </c>
      <c r="C3" s="149" t="s">
        <v>76</v>
      </c>
      <c r="D3" s="150" t="s">
        <v>89</v>
      </c>
      <c r="E3" s="150" t="s">
        <v>89</v>
      </c>
      <c r="F3" s="150" t="s">
        <v>89</v>
      </c>
      <c r="G3" s="149">
        <v>0.26</v>
      </c>
      <c r="H3" s="149">
        <v>0.56999999999999995</v>
      </c>
      <c r="I3" s="149">
        <v>0.83</v>
      </c>
      <c r="J3" s="149" t="s">
        <v>31</v>
      </c>
      <c r="K3" s="149" t="s">
        <v>887</v>
      </c>
      <c r="L3" s="149">
        <v>4</v>
      </c>
      <c r="M3" s="151">
        <v>3.32</v>
      </c>
      <c r="N3">
        <f>H3*L3</f>
        <v>2.2799999999999998</v>
      </c>
      <c r="Q3">
        <f>G3*L3</f>
        <v>1.04</v>
      </c>
    </row>
    <row r="4" spans="1:18">
      <c r="A4" s="144" t="s">
        <v>882</v>
      </c>
      <c r="B4" s="149" t="s">
        <v>889</v>
      </c>
      <c r="C4" s="149" t="s">
        <v>90</v>
      </c>
      <c r="D4" s="150" t="s">
        <v>89</v>
      </c>
      <c r="E4" s="150" t="s">
        <v>89</v>
      </c>
      <c r="F4" s="150" t="s">
        <v>89</v>
      </c>
      <c r="G4" s="149">
        <v>0.01</v>
      </c>
      <c r="H4" s="149">
        <v>0.14000000000000001</v>
      </c>
      <c r="I4" s="149">
        <v>0.15</v>
      </c>
      <c r="J4" s="149" t="s">
        <v>31</v>
      </c>
      <c r="K4" s="149" t="s">
        <v>890</v>
      </c>
      <c r="L4" s="149">
        <v>2</v>
      </c>
      <c r="M4" s="151">
        <v>0.3</v>
      </c>
      <c r="N4">
        <f>H4*L4</f>
        <v>0.28000000000000003</v>
      </c>
      <c r="Q4">
        <f>G4*L4</f>
        <v>0.02</v>
      </c>
    </row>
    <row r="5" spans="1:18">
      <c r="A5" s="144" t="s">
        <v>882</v>
      </c>
      <c r="B5" s="149" t="s">
        <v>892</v>
      </c>
      <c r="C5" s="149" t="s">
        <v>97</v>
      </c>
      <c r="D5" s="150" t="s">
        <v>89</v>
      </c>
      <c r="E5" s="150" t="s">
        <v>89</v>
      </c>
      <c r="F5" s="150" t="s">
        <v>89</v>
      </c>
      <c r="G5" s="149">
        <v>0.48</v>
      </c>
      <c r="H5" s="149">
        <v>0.09</v>
      </c>
      <c r="I5" s="149">
        <v>0.56999999999999995</v>
      </c>
      <c r="J5" s="149" t="s">
        <v>31</v>
      </c>
      <c r="K5" s="155">
        <v>1</v>
      </c>
      <c r="L5" s="155">
        <v>1</v>
      </c>
      <c r="M5" s="151">
        <v>19.38</v>
      </c>
      <c r="N5">
        <f>H5*L5*27</f>
        <v>2.4299999999999997</v>
      </c>
      <c r="Q5">
        <f>G5*L5*27</f>
        <v>12.959999999999999</v>
      </c>
    </row>
    <row r="6" spans="1:18">
      <c r="A6" s="144" t="s">
        <v>882</v>
      </c>
      <c r="B6" s="149" t="s">
        <v>894</v>
      </c>
      <c r="C6" s="149" t="s">
        <v>111</v>
      </c>
      <c r="D6" s="150" t="s">
        <v>89</v>
      </c>
      <c r="E6" s="150" t="s">
        <v>89</v>
      </c>
      <c r="F6" s="150" t="s">
        <v>89</v>
      </c>
      <c r="G6" s="149">
        <v>1.77</v>
      </c>
      <c r="H6" s="149">
        <v>1.36</v>
      </c>
      <c r="I6" s="149">
        <v>3.13</v>
      </c>
      <c r="J6" s="149" t="s">
        <v>31</v>
      </c>
      <c r="K6" s="149" t="s">
        <v>895</v>
      </c>
      <c r="L6" s="155">
        <v>0.6</v>
      </c>
      <c r="M6" s="151">
        <v>63.85</v>
      </c>
      <c r="N6">
        <f>H6*L6*27</f>
        <v>22.032</v>
      </c>
      <c r="Q6">
        <f>G6*L6*27</f>
        <v>28.674000000000003</v>
      </c>
    </row>
    <row r="7" spans="1:18">
      <c r="A7" s="144" t="s">
        <v>882</v>
      </c>
      <c r="B7" s="149" t="s">
        <v>897</v>
      </c>
      <c r="C7" s="149" t="s">
        <v>139</v>
      </c>
      <c r="D7" s="150" t="s">
        <v>89</v>
      </c>
      <c r="E7" s="150" t="s">
        <v>89</v>
      </c>
      <c r="F7" s="150" t="s">
        <v>89</v>
      </c>
      <c r="G7" s="149">
        <v>3.06</v>
      </c>
      <c r="H7" s="149">
        <v>1.81</v>
      </c>
      <c r="I7" s="149">
        <v>4.87</v>
      </c>
      <c r="J7" s="149" t="s">
        <v>31</v>
      </c>
      <c r="K7" s="149" t="s">
        <v>898</v>
      </c>
      <c r="L7" s="155">
        <v>0.6</v>
      </c>
      <c r="M7" s="151">
        <v>99.35</v>
      </c>
      <c r="N7">
        <f>H7*L7*27</f>
        <v>29.322000000000003</v>
      </c>
      <c r="Q7">
        <f>G7*L7*27</f>
        <v>49.571999999999996</v>
      </c>
    </row>
    <row r="8" spans="1:18">
      <c r="A8" s="144" t="s">
        <v>882</v>
      </c>
      <c r="B8" s="149" t="s">
        <v>900</v>
      </c>
      <c r="C8" s="149" t="s">
        <v>155</v>
      </c>
      <c r="D8" s="150" t="s">
        <v>89</v>
      </c>
      <c r="E8" s="150" t="s">
        <v>89</v>
      </c>
      <c r="F8" s="150" t="s">
        <v>89</v>
      </c>
      <c r="G8" s="149">
        <v>0.17</v>
      </c>
      <c r="H8" s="149">
        <v>0.23</v>
      </c>
      <c r="I8" s="149">
        <v>0.4</v>
      </c>
      <c r="J8" s="149" t="s">
        <v>31</v>
      </c>
      <c r="K8" s="149" t="s">
        <v>890</v>
      </c>
      <c r="L8" s="149">
        <v>2</v>
      </c>
      <c r="M8" s="151">
        <v>0.8</v>
      </c>
      <c r="N8">
        <f>H8*L8</f>
        <v>0.46</v>
      </c>
      <c r="Q8">
        <f>G8*L8</f>
        <v>0.34</v>
      </c>
    </row>
    <row r="9" spans="1:18">
      <c r="A9" s="144" t="s">
        <v>882</v>
      </c>
      <c r="B9" s="149" t="s">
        <v>902</v>
      </c>
      <c r="C9" s="149" t="s">
        <v>165</v>
      </c>
      <c r="D9" s="150" t="s">
        <v>89</v>
      </c>
      <c r="E9" s="150" t="s">
        <v>89</v>
      </c>
      <c r="F9" s="150" t="s">
        <v>89</v>
      </c>
      <c r="G9" s="149">
        <v>7.39</v>
      </c>
      <c r="H9" s="149">
        <v>3.39</v>
      </c>
      <c r="I9" s="149">
        <v>10.78</v>
      </c>
      <c r="J9" s="149" t="s">
        <v>31</v>
      </c>
      <c r="K9" s="149" t="s">
        <v>903</v>
      </c>
      <c r="L9" s="155">
        <v>0.5</v>
      </c>
      <c r="M9" s="151">
        <v>183.26</v>
      </c>
      <c r="N9">
        <f>H9*L9*27</f>
        <v>45.765000000000001</v>
      </c>
      <c r="Q9">
        <f>G9*L9*27</f>
        <v>99.765000000000001</v>
      </c>
    </row>
    <row r="10" spans="1:18">
      <c r="A10" s="144" t="s">
        <v>882</v>
      </c>
      <c r="B10" s="149" t="s">
        <v>905</v>
      </c>
      <c r="C10" s="149" t="s">
        <v>184</v>
      </c>
      <c r="D10" s="150" t="s">
        <v>89</v>
      </c>
      <c r="E10" s="150" t="s">
        <v>89</v>
      </c>
      <c r="F10" s="150" t="s">
        <v>89</v>
      </c>
      <c r="G10" s="149">
        <v>2.27</v>
      </c>
      <c r="H10" s="149">
        <v>2.94</v>
      </c>
      <c r="I10" s="149">
        <v>5.21</v>
      </c>
      <c r="J10" s="149" t="s">
        <v>31</v>
      </c>
      <c r="K10" s="149" t="s">
        <v>906</v>
      </c>
      <c r="L10" s="155">
        <v>0.5</v>
      </c>
      <c r="M10" s="151">
        <v>88.57</v>
      </c>
      <c r="N10">
        <f>H10*L10*27</f>
        <v>39.69</v>
      </c>
      <c r="Q10">
        <f>G10*L10*27</f>
        <v>30.645</v>
      </c>
    </row>
    <row r="11" spans="1:18">
      <c r="A11" s="144" t="s">
        <v>882</v>
      </c>
      <c r="B11" s="149" t="s">
        <v>908</v>
      </c>
      <c r="C11" s="149" t="s">
        <v>200</v>
      </c>
      <c r="D11" s="150" t="s">
        <v>89</v>
      </c>
      <c r="E11" s="150" t="s">
        <v>89</v>
      </c>
      <c r="F11" s="150" t="s">
        <v>89</v>
      </c>
      <c r="G11" s="149">
        <v>2.2999999999999998</v>
      </c>
      <c r="H11" s="149">
        <v>1.81</v>
      </c>
      <c r="I11" s="149">
        <v>4.1100000000000003</v>
      </c>
      <c r="J11" s="149" t="s">
        <v>31</v>
      </c>
      <c r="K11" s="149" t="s">
        <v>909</v>
      </c>
      <c r="L11" s="155">
        <v>0.2</v>
      </c>
      <c r="M11" s="151">
        <v>27.95</v>
      </c>
      <c r="N11">
        <f>H11*L11*27</f>
        <v>9.7740000000000009</v>
      </c>
      <c r="Q11">
        <f>G11*L11*27</f>
        <v>12.419999999999998</v>
      </c>
    </row>
    <row r="12" spans="1:18">
      <c r="A12" s="144" t="s">
        <v>882</v>
      </c>
      <c r="B12" s="149" t="s">
        <v>911</v>
      </c>
      <c r="C12" s="149" t="s">
        <v>214</v>
      </c>
      <c r="D12" s="150" t="s">
        <v>89</v>
      </c>
      <c r="E12" s="150" t="s">
        <v>89</v>
      </c>
      <c r="F12" s="150" t="s">
        <v>89</v>
      </c>
      <c r="G12" s="149">
        <v>1.04</v>
      </c>
      <c r="H12" s="149">
        <v>0.45</v>
      </c>
      <c r="I12" s="149">
        <v>1.49</v>
      </c>
      <c r="J12" s="149" t="s">
        <v>31</v>
      </c>
      <c r="K12" s="149" t="s">
        <v>890</v>
      </c>
      <c r="L12" s="149">
        <v>2</v>
      </c>
      <c r="M12" s="151">
        <v>2.98</v>
      </c>
      <c r="N12">
        <f>H12*L12</f>
        <v>0.9</v>
      </c>
      <c r="Q12">
        <f>G12*L12</f>
        <v>2.08</v>
      </c>
    </row>
    <row r="13" spans="1:18">
      <c r="A13" s="144" t="s">
        <v>882</v>
      </c>
      <c r="B13" s="149" t="s">
        <v>913</v>
      </c>
      <c r="C13" s="149" t="s">
        <v>220</v>
      </c>
      <c r="D13" s="150" t="s">
        <v>89</v>
      </c>
      <c r="E13" s="150" t="s">
        <v>89</v>
      </c>
      <c r="F13" s="150" t="s">
        <v>89</v>
      </c>
      <c r="G13" s="149">
        <v>3.76</v>
      </c>
      <c r="H13" s="149">
        <v>0.9</v>
      </c>
      <c r="I13" s="149">
        <v>4.66</v>
      </c>
      <c r="J13" s="149" t="s">
        <v>31</v>
      </c>
      <c r="K13" s="149" t="s">
        <v>887</v>
      </c>
      <c r="L13" s="149">
        <v>4</v>
      </c>
      <c r="M13" s="151">
        <v>18.64</v>
      </c>
      <c r="N13">
        <f>H13*L13</f>
        <v>3.6</v>
      </c>
      <c r="Q13">
        <f>G13*L13</f>
        <v>15.04</v>
      </c>
    </row>
    <row r="14" spans="1:18">
      <c r="A14" s="144" t="s">
        <v>882</v>
      </c>
      <c r="B14" s="149" t="s">
        <v>915</v>
      </c>
      <c r="C14" s="149" t="s">
        <v>229</v>
      </c>
      <c r="D14" s="150" t="s">
        <v>89</v>
      </c>
      <c r="E14" s="150" t="s">
        <v>89</v>
      </c>
      <c r="F14" s="150" t="s">
        <v>89</v>
      </c>
      <c r="G14" s="149">
        <v>1.1000000000000001</v>
      </c>
      <c r="H14" s="149">
        <v>0.9</v>
      </c>
      <c r="I14" s="149">
        <v>2</v>
      </c>
      <c r="J14" s="149" t="s">
        <v>31</v>
      </c>
      <c r="K14" s="149" t="s">
        <v>916</v>
      </c>
      <c r="L14" s="149">
        <v>3</v>
      </c>
      <c r="M14" s="151">
        <v>6</v>
      </c>
      <c r="N14">
        <f>H14*L14</f>
        <v>2.7</v>
      </c>
      <c r="Q14">
        <f>G14*L14</f>
        <v>3.3000000000000003</v>
      </c>
    </row>
    <row r="15" spans="1:18">
      <c r="A15" s="144" t="s">
        <v>882</v>
      </c>
      <c r="B15" s="149" t="s">
        <v>918</v>
      </c>
      <c r="C15" s="149" t="s">
        <v>237</v>
      </c>
      <c r="D15" s="150" t="s">
        <v>89</v>
      </c>
      <c r="E15" s="150" t="s">
        <v>89</v>
      </c>
      <c r="F15" s="150" t="s">
        <v>89</v>
      </c>
      <c r="G15" s="149">
        <v>0.4</v>
      </c>
      <c r="H15" s="149">
        <v>0.45</v>
      </c>
      <c r="I15" s="149">
        <v>0.85</v>
      </c>
      <c r="J15" s="149" t="s">
        <v>31</v>
      </c>
      <c r="K15" s="149" t="s">
        <v>890</v>
      </c>
      <c r="L15" s="149">
        <v>2</v>
      </c>
      <c r="M15" s="151">
        <v>1.7</v>
      </c>
      <c r="N15">
        <f>H15*L15</f>
        <v>0.9</v>
      </c>
      <c r="Q15">
        <f>G15*L15</f>
        <v>0.8</v>
      </c>
    </row>
    <row r="16" spans="1:18">
      <c r="A16" s="144" t="s">
        <v>882</v>
      </c>
      <c r="B16" s="149" t="s">
        <v>920</v>
      </c>
      <c r="C16" s="149" t="s">
        <v>249</v>
      </c>
      <c r="D16" s="150" t="s">
        <v>89</v>
      </c>
      <c r="E16" s="150" t="s">
        <v>89</v>
      </c>
      <c r="F16" s="150" t="s">
        <v>89</v>
      </c>
      <c r="G16" s="149">
        <v>2.9</v>
      </c>
      <c r="H16" s="149">
        <v>1.1299999999999999</v>
      </c>
      <c r="I16" s="149">
        <v>4.03</v>
      </c>
      <c r="J16" s="149" t="s">
        <v>31</v>
      </c>
      <c r="K16" s="149" t="s">
        <v>916</v>
      </c>
      <c r="L16" s="149">
        <v>3</v>
      </c>
      <c r="M16" s="151">
        <v>12.09</v>
      </c>
      <c r="N16">
        <f>H16*L16</f>
        <v>3.3899999999999997</v>
      </c>
      <c r="O16">
        <f>SUM(N2:N16)/27</f>
        <v>7.5971481481481469</v>
      </c>
      <c r="Q16">
        <f>G16*L16</f>
        <v>8.6999999999999993</v>
      </c>
      <c r="R16">
        <f>SUM(Q2:Q16)/27</f>
        <v>9.8279999999999994</v>
      </c>
    </row>
    <row r="17" spans="1:18">
      <c r="A17" s="144" t="s">
        <v>882</v>
      </c>
      <c r="B17" s="149" t="s">
        <v>922</v>
      </c>
      <c r="C17" s="149" t="s">
        <v>258</v>
      </c>
      <c r="D17" s="150" t="s">
        <v>89</v>
      </c>
      <c r="E17" s="150" t="s">
        <v>89</v>
      </c>
      <c r="F17" s="150" t="s">
        <v>89</v>
      </c>
      <c r="G17" s="149">
        <v>1.32</v>
      </c>
      <c r="H17" s="149">
        <v>0.45</v>
      </c>
      <c r="I17" s="149">
        <v>1.77</v>
      </c>
      <c r="J17" s="149" t="s">
        <v>31</v>
      </c>
      <c r="K17" s="149" t="s">
        <v>923</v>
      </c>
      <c r="L17" s="155">
        <v>0.75</v>
      </c>
      <c r="M17" s="151">
        <v>45.14</v>
      </c>
      <c r="N17">
        <f>H17*L17*27</f>
        <v>9.1125000000000007</v>
      </c>
      <c r="Q17">
        <f>G17*L17*27</f>
        <v>26.73</v>
      </c>
    </row>
    <row r="18" spans="1:18">
      <c r="A18" s="144" t="s">
        <v>882</v>
      </c>
      <c r="B18" s="149" t="s">
        <v>925</v>
      </c>
      <c r="C18" s="149" t="s">
        <v>266</v>
      </c>
      <c r="D18" s="150" t="s">
        <v>89</v>
      </c>
      <c r="E18" s="150" t="s">
        <v>89</v>
      </c>
      <c r="F18" s="150" t="s">
        <v>89</v>
      </c>
      <c r="G18" s="149">
        <v>0.38</v>
      </c>
      <c r="H18" s="149">
        <v>0.23</v>
      </c>
      <c r="I18" s="149">
        <v>0.61</v>
      </c>
      <c r="J18" s="149" t="s">
        <v>31</v>
      </c>
      <c r="K18" s="149" t="s">
        <v>923</v>
      </c>
      <c r="L18" s="155">
        <v>0.75</v>
      </c>
      <c r="M18" s="151">
        <v>15.56</v>
      </c>
      <c r="N18">
        <f>H18*L18*27</f>
        <v>4.6575000000000006</v>
      </c>
      <c r="Q18">
        <f>G18*L18*27</f>
        <v>7.6950000000000012</v>
      </c>
    </row>
    <row r="19" spans="1:18">
      <c r="A19" s="144" t="s">
        <v>882</v>
      </c>
      <c r="B19" s="149" t="s">
        <v>927</v>
      </c>
      <c r="C19" s="149" t="s">
        <v>272</v>
      </c>
      <c r="D19" s="150" t="s">
        <v>89</v>
      </c>
      <c r="E19" s="150" t="s">
        <v>89</v>
      </c>
      <c r="F19" s="150" t="s">
        <v>89</v>
      </c>
      <c r="G19" s="149">
        <v>2.27</v>
      </c>
      <c r="H19" s="149">
        <v>0.12</v>
      </c>
      <c r="I19" s="149">
        <v>2.39</v>
      </c>
      <c r="J19" s="149" t="s">
        <v>31</v>
      </c>
      <c r="K19" s="149" t="s">
        <v>890</v>
      </c>
      <c r="L19" s="149">
        <v>2</v>
      </c>
      <c r="M19" s="151">
        <v>4.78</v>
      </c>
      <c r="N19">
        <f>H19*L19</f>
        <v>0.24</v>
      </c>
      <c r="Q19">
        <f>G19*L19</f>
        <v>4.54</v>
      </c>
    </row>
    <row r="20" spans="1:18">
      <c r="A20" s="144" t="s">
        <v>882</v>
      </c>
      <c r="B20" s="149" t="s">
        <v>929</v>
      </c>
      <c r="C20" s="149" t="s">
        <v>278</v>
      </c>
      <c r="D20" s="150" t="s">
        <v>89</v>
      </c>
      <c r="E20" s="150" t="s">
        <v>89</v>
      </c>
      <c r="F20" s="150" t="s">
        <v>89</v>
      </c>
      <c r="G20" s="149">
        <v>1.0900000000000001</v>
      </c>
      <c r="H20" s="149">
        <v>0.9</v>
      </c>
      <c r="I20" s="149">
        <v>1.99</v>
      </c>
      <c r="J20" s="149" t="s">
        <v>31</v>
      </c>
      <c r="K20" s="149" t="s">
        <v>930</v>
      </c>
      <c r="L20" s="155">
        <v>0.6</v>
      </c>
      <c r="M20" s="151">
        <v>40.6</v>
      </c>
      <c r="N20">
        <f t="shared" ref="N20:N26" si="0">H20*L20*27</f>
        <v>14.580000000000002</v>
      </c>
      <c r="Q20">
        <f t="shared" ref="Q20:Q26" si="1">G20*L20*27</f>
        <v>17.658000000000001</v>
      </c>
    </row>
    <row r="21" spans="1:18">
      <c r="A21" s="144" t="s">
        <v>882</v>
      </c>
      <c r="B21" s="149" t="s">
        <v>932</v>
      </c>
      <c r="C21" s="149" t="s">
        <v>283</v>
      </c>
      <c r="D21" s="150" t="s">
        <v>89</v>
      </c>
      <c r="E21" s="150" t="s">
        <v>89</v>
      </c>
      <c r="F21" s="150" t="s">
        <v>89</v>
      </c>
      <c r="G21" s="149">
        <v>0.71</v>
      </c>
      <c r="H21" s="149">
        <v>0.09</v>
      </c>
      <c r="I21" s="149">
        <v>0.8</v>
      </c>
      <c r="J21" s="149" t="s">
        <v>31</v>
      </c>
      <c r="K21" s="155">
        <v>1</v>
      </c>
      <c r="L21" s="155">
        <v>1</v>
      </c>
      <c r="M21" s="151">
        <v>27.2</v>
      </c>
      <c r="N21">
        <f t="shared" si="0"/>
        <v>2.4299999999999997</v>
      </c>
      <c r="Q21">
        <f t="shared" si="1"/>
        <v>19.169999999999998</v>
      </c>
    </row>
    <row r="22" spans="1:18">
      <c r="A22" s="144" t="s">
        <v>882</v>
      </c>
      <c r="B22" s="149" t="s">
        <v>934</v>
      </c>
      <c r="C22" s="149" t="s">
        <v>288</v>
      </c>
      <c r="D22" s="150" t="s">
        <v>89</v>
      </c>
      <c r="E22" s="150" t="s">
        <v>89</v>
      </c>
      <c r="F22" s="150" t="s">
        <v>89</v>
      </c>
      <c r="G22" s="149">
        <v>0</v>
      </c>
      <c r="H22" s="149">
        <v>0.54</v>
      </c>
      <c r="I22" s="149">
        <v>0.54</v>
      </c>
      <c r="J22" s="149" t="s">
        <v>31</v>
      </c>
      <c r="K22" s="155">
        <v>1</v>
      </c>
      <c r="L22" s="155">
        <v>1</v>
      </c>
      <c r="M22" s="151">
        <v>18.36</v>
      </c>
      <c r="N22">
        <f t="shared" si="0"/>
        <v>14.580000000000002</v>
      </c>
      <c r="Q22">
        <f t="shared" si="1"/>
        <v>0</v>
      </c>
    </row>
    <row r="23" spans="1:18">
      <c r="A23" s="144" t="s">
        <v>882</v>
      </c>
      <c r="B23" s="149" t="s">
        <v>936</v>
      </c>
      <c r="C23" s="149" t="s">
        <v>309</v>
      </c>
      <c r="D23" s="150" t="s">
        <v>89</v>
      </c>
      <c r="E23" s="150" t="s">
        <v>89</v>
      </c>
      <c r="F23" s="150" t="s">
        <v>89</v>
      </c>
      <c r="G23" s="149">
        <v>3.2</v>
      </c>
      <c r="H23" s="149">
        <v>1.36</v>
      </c>
      <c r="I23" s="149">
        <v>4.5599999999999996</v>
      </c>
      <c r="J23" s="149" t="s">
        <v>31</v>
      </c>
      <c r="K23" s="155">
        <v>1</v>
      </c>
      <c r="L23" s="155">
        <v>1</v>
      </c>
      <c r="M23" s="151">
        <v>155.04</v>
      </c>
      <c r="N23">
        <f t="shared" si="0"/>
        <v>36.720000000000006</v>
      </c>
      <c r="Q23">
        <f t="shared" si="1"/>
        <v>86.4</v>
      </c>
    </row>
    <row r="24" spans="1:18">
      <c r="A24" s="144" t="s">
        <v>882</v>
      </c>
      <c r="B24" s="149" t="s">
        <v>938</v>
      </c>
      <c r="C24" s="149" t="s">
        <v>327</v>
      </c>
      <c r="D24" s="150" t="s">
        <v>89</v>
      </c>
      <c r="E24" s="150" t="s">
        <v>89</v>
      </c>
      <c r="F24" s="150" t="s">
        <v>89</v>
      </c>
      <c r="G24" s="149">
        <v>1.2</v>
      </c>
      <c r="H24" s="149">
        <v>1.1299999999999999</v>
      </c>
      <c r="I24" s="149">
        <v>2.33</v>
      </c>
      <c r="J24" s="149" t="s">
        <v>31</v>
      </c>
      <c r="K24" s="155">
        <v>1</v>
      </c>
      <c r="L24" s="155">
        <v>1</v>
      </c>
      <c r="M24" s="151">
        <v>79.22</v>
      </c>
      <c r="N24">
        <f t="shared" si="0"/>
        <v>30.509999999999998</v>
      </c>
      <c r="Q24">
        <f t="shared" si="1"/>
        <v>32.4</v>
      </c>
    </row>
    <row r="25" spans="1:18">
      <c r="A25" s="144" t="s">
        <v>882</v>
      </c>
      <c r="B25" s="149" t="s">
        <v>940</v>
      </c>
      <c r="C25" s="149" t="s">
        <v>337</v>
      </c>
      <c r="D25" s="150" t="s">
        <v>89</v>
      </c>
      <c r="E25" s="150" t="s">
        <v>89</v>
      </c>
      <c r="F25" s="150" t="s">
        <v>89</v>
      </c>
      <c r="G25" s="149">
        <v>1</v>
      </c>
      <c r="H25" s="149">
        <v>0.11</v>
      </c>
      <c r="I25" s="149">
        <v>1.1100000000000001</v>
      </c>
      <c r="J25" s="149" t="s">
        <v>31</v>
      </c>
      <c r="K25" s="149" t="s">
        <v>941</v>
      </c>
      <c r="L25" s="155">
        <v>0.8</v>
      </c>
      <c r="M25" s="151">
        <v>30.19</v>
      </c>
      <c r="N25">
        <f t="shared" si="0"/>
        <v>2.3760000000000003</v>
      </c>
      <c r="Q25">
        <f t="shared" si="1"/>
        <v>21.6</v>
      </c>
    </row>
    <row r="26" spans="1:18">
      <c r="A26" s="144" t="s">
        <v>882</v>
      </c>
      <c r="B26" s="149" t="s">
        <v>943</v>
      </c>
      <c r="C26" s="149" t="s">
        <v>349</v>
      </c>
      <c r="D26" s="150" t="s">
        <v>89</v>
      </c>
      <c r="E26" s="150" t="s">
        <v>89</v>
      </c>
      <c r="F26" s="150" t="s">
        <v>89</v>
      </c>
      <c r="G26" s="149">
        <v>1.63</v>
      </c>
      <c r="H26" s="149">
        <v>0.68</v>
      </c>
      <c r="I26" s="149">
        <v>2.31</v>
      </c>
      <c r="J26" s="149" t="s">
        <v>31</v>
      </c>
      <c r="K26" s="149" t="s">
        <v>944</v>
      </c>
      <c r="L26" s="155">
        <v>0.5</v>
      </c>
      <c r="M26" s="151">
        <v>39.270000000000003</v>
      </c>
      <c r="N26">
        <f t="shared" si="0"/>
        <v>9.1800000000000015</v>
      </c>
      <c r="O26">
        <f>SUM(N17:N26)/27</f>
        <v>4.6068888888888901</v>
      </c>
      <c r="Q26">
        <f t="shared" si="1"/>
        <v>22.004999999999999</v>
      </c>
      <c r="R26">
        <f>SUM(Q17:Q26)/27</f>
        <v>8.8221481481481483</v>
      </c>
    </row>
    <row r="27" spans="1:18">
      <c r="A27" s="144" t="s">
        <v>882</v>
      </c>
      <c r="B27" s="149" t="s">
        <v>959</v>
      </c>
      <c r="C27" s="149" t="s">
        <v>960</v>
      </c>
      <c r="D27" s="149">
        <v>1</v>
      </c>
      <c r="E27" s="149" t="s">
        <v>65</v>
      </c>
      <c r="F27" s="150" t="s">
        <v>89</v>
      </c>
      <c r="G27" s="149" t="s">
        <v>89</v>
      </c>
      <c r="H27" s="149" t="s">
        <v>89</v>
      </c>
      <c r="I27" s="149">
        <v>5</v>
      </c>
      <c r="J27" s="149" t="s">
        <v>31</v>
      </c>
      <c r="K27" s="155">
        <v>1</v>
      </c>
      <c r="L27" s="155">
        <v>1</v>
      </c>
      <c r="M27" s="151">
        <v>170</v>
      </c>
      <c r="N27">
        <f>SUM(N2:N26)</f>
        <v>329.50900000000001</v>
      </c>
      <c r="O27">
        <f>N27/27</f>
        <v>12.204037037037038</v>
      </c>
    </row>
    <row r="28" spans="1:18">
      <c r="A28" s="145" t="s">
        <v>882</v>
      </c>
      <c r="B28" s="152" t="s">
        <v>885</v>
      </c>
      <c r="C28" s="152" t="s">
        <v>71</v>
      </c>
      <c r="D28" s="153" t="s">
        <v>89</v>
      </c>
      <c r="E28" s="153" t="s">
        <v>89</v>
      </c>
      <c r="F28" s="153" t="s">
        <v>89</v>
      </c>
      <c r="G28" s="152">
        <v>0</v>
      </c>
      <c r="H28" s="152">
        <v>1.04</v>
      </c>
      <c r="I28" s="152">
        <v>1.04</v>
      </c>
      <c r="J28" s="152" t="s">
        <v>31</v>
      </c>
      <c r="K28" s="152" t="s">
        <v>884</v>
      </c>
      <c r="L28" s="152">
        <v>40</v>
      </c>
      <c r="M28" s="154">
        <v>41.6</v>
      </c>
    </row>
    <row r="29" spans="1:18">
      <c r="A29" s="145" t="s">
        <v>882</v>
      </c>
      <c r="B29" s="152" t="s">
        <v>888</v>
      </c>
      <c r="C29" s="152" t="s">
        <v>81</v>
      </c>
      <c r="D29" s="153" t="s">
        <v>89</v>
      </c>
      <c r="E29" s="153" t="s">
        <v>89</v>
      </c>
      <c r="F29" s="153" t="s">
        <v>89</v>
      </c>
      <c r="G29" s="152">
        <v>0.59</v>
      </c>
      <c r="H29" s="152">
        <v>0.9</v>
      </c>
      <c r="I29" s="152">
        <v>1.49</v>
      </c>
      <c r="J29" s="152" t="s">
        <v>31</v>
      </c>
      <c r="K29" s="152" t="s">
        <v>887</v>
      </c>
      <c r="L29" s="152">
        <v>4</v>
      </c>
      <c r="M29" s="154">
        <v>5.96</v>
      </c>
    </row>
    <row r="30" spans="1:18">
      <c r="A30" s="145" t="s">
        <v>882</v>
      </c>
      <c r="B30" s="152" t="s">
        <v>891</v>
      </c>
      <c r="C30" s="152" t="s">
        <v>92</v>
      </c>
      <c r="D30" s="153" t="s">
        <v>89</v>
      </c>
      <c r="E30" s="153" t="s">
        <v>89</v>
      </c>
      <c r="F30" s="153" t="s">
        <v>89</v>
      </c>
      <c r="G30" s="152">
        <v>0.05</v>
      </c>
      <c r="H30" s="152">
        <v>0.14000000000000001</v>
      </c>
      <c r="I30" s="152">
        <v>0.19</v>
      </c>
      <c r="J30" s="152" t="s">
        <v>31</v>
      </c>
      <c r="K30" s="152" t="s">
        <v>890</v>
      </c>
      <c r="L30" s="152">
        <v>2</v>
      </c>
      <c r="M30" s="154">
        <v>0.38</v>
      </c>
    </row>
    <row r="31" spans="1:18">
      <c r="A31" s="145" t="s">
        <v>882</v>
      </c>
      <c r="B31" s="152" t="s">
        <v>893</v>
      </c>
      <c r="C31" s="152" t="s">
        <v>100</v>
      </c>
      <c r="D31" s="153" t="s">
        <v>89</v>
      </c>
      <c r="E31" s="153" t="s">
        <v>89</v>
      </c>
      <c r="F31" s="153" t="s">
        <v>89</v>
      </c>
      <c r="G31" s="152">
        <v>0.48</v>
      </c>
      <c r="H31" s="152">
        <v>0.09</v>
      </c>
      <c r="I31" s="152">
        <v>0.56999999999999995</v>
      </c>
      <c r="J31" s="152" t="s">
        <v>31</v>
      </c>
      <c r="K31" s="156">
        <v>1</v>
      </c>
      <c r="L31" s="156">
        <v>1</v>
      </c>
      <c r="M31" s="154">
        <v>19.38</v>
      </c>
    </row>
    <row r="32" spans="1:18">
      <c r="A32" s="145" t="s">
        <v>882</v>
      </c>
      <c r="B32" s="152" t="s">
        <v>896</v>
      </c>
      <c r="C32" s="152" t="s">
        <v>121</v>
      </c>
      <c r="D32" s="153" t="s">
        <v>89</v>
      </c>
      <c r="E32" s="153" t="s">
        <v>89</v>
      </c>
      <c r="F32" s="153" t="s">
        <v>89</v>
      </c>
      <c r="G32" s="152">
        <v>3.41</v>
      </c>
      <c r="H32" s="152">
        <v>1.36</v>
      </c>
      <c r="I32" s="152">
        <v>4.7699999999999996</v>
      </c>
      <c r="J32" s="152" t="s">
        <v>31</v>
      </c>
      <c r="K32" s="152" t="s">
        <v>895</v>
      </c>
      <c r="L32" s="156">
        <v>0.6</v>
      </c>
      <c r="M32" s="154">
        <v>97.31</v>
      </c>
    </row>
    <row r="33" spans="1:13">
      <c r="A33" s="145" t="s">
        <v>882</v>
      </c>
      <c r="B33" s="152" t="s">
        <v>899</v>
      </c>
      <c r="C33" s="152" t="s">
        <v>146</v>
      </c>
      <c r="D33" s="153" t="s">
        <v>89</v>
      </c>
      <c r="E33" s="153" t="s">
        <v>89</v>
      </c>
      <c r="F33" s="153" t="s">
        <v>89</v>
      </c>
      <c r="G33" s="152">
        <v>1.83</v>
      </c>
      <c r="H33" s="152">
        <v>1.58</v>
      </c>
      <c r="I33" s="152">
        <v>3.41</v>
      </c>
      <c r="J33" s="152" t="s">
        <v>31</v>
      </c>
      <c r="K33" s="152" t="s">
        <v>898</v>
      </c>
      <c r="L33" s="158">
        <v>0.6</v>
      </c>
      <c r="M33" s="154">
        <v>69.56</v>
      </c>
    </row>
    <row r="34" spans="1:13">
      <c r="A34" s="145" t="s">
        <v>882</v>
      </c>
      <c r="B34" s="152" t="s">
        <v>901</v>
      </c>
      <c r="C34" s="152" t="s">
        <v>157</v>
      </c>
      <c r="D34" s="153" t="s">
        <v>89</v>
      </c>
      <c r="E34" s="153" t="s">
        <v>89</v>
      </c>
      <c r="F34" s="153" t="s">
        <v>89</v>
      </c>
      <c r="G34" s="152">
        <v>0.22</v>
      </c>
      <c r="H34" s="152">
        <v>0.23</v>
      </c>
      <c r="I34" s="152">
        <v>0.45</v>
      </c>
      <c r="J34" s="152" t="s">
        <v>31</v>
      </c>
      <c r="K34" s="152" t="s">
        <v>890</v>
      </c>
      <c r="L34" s="157">
        <v>2</v>
      </c>
      <c r="M34" s="154">
        <v>0.9</v>
      </c>
    </row>
    <row r="35" spans="1:13">
      <c r="A35" s="145" t="s">
        <v>882</v>
      </c>
      <c r="B35" s="152" t="s">
        <v>904</v>
      </c>
      <c r="C35" s="152" t="s">
        <v>171</v>
      </c>
      <c r="D35" s="153" t="s">
        <v>89</v>
      </c>
      <c r="E35" s="153" t="s">
        <v>89</v>
      </c>
      <c r="F35" s="153" t="s">
        <v>89</v>
      </c>
      <c r="G35" s="152">
        <v>11.8</v>
      </c>
      <c r="H35" s="152">
        <v>2.71</v>
      </c>
      <c r="I35" s="152">
        <v>14.51</v>
      </c>
      <c r="J35" s="152" t="s">
        <v>31</v>
      </c>
      <c r="K35" s="152" t="s">
        <v>903</v>
      </c>
      <c r="L35" s="158">
        <v>0.5</v>
      </c>
      <c r="M35" s="154">
        <v>246.67</v>
      </c>
    </row>
    <row r="36" spans="1:13">
      <c r="A36" s="145" t="s">
        <v>882</v>
      </c>
      <c r="B36" s="152" t="s">
        <v>907</v>
      </c>
      <c r="C36" s="152" t="s">
        <v>190</v>
      </c>
      <c r="D36" s="153" t="s">
        <v>89</v>
      </c>
      <c r="E36" s="153" t="s">
        <v>89</v>
      </c>
      <c r="F36" s="153" t="s">
        <v>89</v>
      </c>
      <c r="G36" s="152">
        <v>2.06</v>
      </c>
      <c r="H36" s="152">
        <v>2.94</v>
      </c>
      <c r="I36" s="152">
        <v>5</v>
      </c>
      <c r="J36" s="152" t="s">
        <v>31</v>
      </c>
      <c r="K36" s="152" t="s">
        <v>906</v>
      </c>
      <c r="L36" s="156">
        <v>0.5</v>
      </c>
      <c r="M36" s="154">
        <v>85</v>
      </c>
    </row>
    <row r="37" spans="1:13">
      <c r="A37" s="145" t="s">
        <v>882</v>
      </c>
      <c r="B37" s="152" t="s">
        <v>910</v>
      </c>
      <c r="C37" s="152" t="s">
        <v>206</v>
      </c>
      <c r="D37" s="153" t="s">
        <v>89</v>
      </c>
      <c r="E37" s="153" t="s">
        <v>89</v>
      </c>
      <c r="F37" s="153" t="s">
        <v>89</v>
      </c>
      <c r="G37" s="152">
        <v>6.55</v>
      </c>
      <c r="H37" s="152">
        <v>1.81</v>
      </c>
      <c r="I37" s="152">
        <v>8.36</v>
      </c>
      <c r="J37" s="152" t="s">
        <v>31</v>
      </c>
      <c r="K37" s="152" t="s">
        <v>909</v>
      </c>
      <c r="L37" s="156">
        <v>0.2</v>
      </c>
      <c r="M37" s="154">
        <v>56.85</v>
      </c>
    </row>
    <row r="38" spans="1:13">
      <c r="A38" s="145" t="s">
        <v>882</v>
      </c>
      <c r="B38" s="152" t="s">
        <v>912</v>
      </c>
      <c r="C38" s="152" t="s">
        <v>216</v>
      </c>
      <c r="D38" s="153" t="s">
        <v>89</v>
      </c>
      <c r="E38" s="153" t="s">
        <v>89</v>
      </c>
      <c r="F38" s="153" t="s">
        <v>89</v>
      </c>
      <c r="G38" s="152">
        <v>1.04</v>
      </c>
      <c r="H38" s="152">
        <v>0.45</v>
      </c>
      <c r="I38" s="152">
        <v>1.49</v>
      </c>
      <c r="J38" s="152" t="s">
        <v>31</v>
      </c>
      <c r="K38" s="152" t="s">
        <v>890</v>
      </c>
      <c r="L38" s="152">
        <v>2</v>
      </c>
      <c r="M38" s="154">
        <v>2.98</v>
      </c>
    </row>
    <row r="39" spans="1:13">
      <c r="A39" s="145" t="s">
        <v>882</v>
      </c>
      <c r="B39" s="152" t="s">
        <v>914</v>
      </c>
      <c r="C39" s="152" t="s">
        <v>224</v>
      </c>
      <c r="D39" s="153" t="s">
        <v>89</v>
      </c>
      <c r="E39" s="153" t="s">
        <v>89</v>
      </c>
      <c r="F39" s="153" t="s">
        <v>89</v>
      </c>
      <c r="G39" s="152">
        <v>3.54</v>
      </c>
      <c r="H39" s="152">
        <v>0.9</v>
      </c>
      <c r="I39" s="152">
        <v>4.4400000000000004</v>
      </c>
      <c r="J39" s="152" t="s">
        <v>31</v>
      </c>
      <c r="K39" s="152" t="s">
        <v>887</v>
      </c>
      <c r="L39" s="152">
        <v>4</v>
      </c>
      <c r="M39" s="154">
        <v>17.760000000000002</v>
      </c>
    </row>
    <row r="40" spans="1:13">
      <c r="A40" s="145" t="s">
        <v>882</v>
      </c>
      <c r="B40" s="152" t="s">
        <v>917</v>
      </c>
      <c r="C40" s="152" t="s">
        <v>232</v>
      </c>
      <c r="D40" s="153" t="s">
        <v>89</v>
      </c>
      <c r="E40" s="153" t="s">
        <v>89</v>
      </c>
      <c r="F40" s="153" t="s">
        <v>89</v>
      </c>
      <c r="G40" s="152">
        <v>1.1000000000000001</v>
      </c>
      <c r="H40" s="152">
        <v>0.9</v>
      </c>
      <c r="I40" s="152">
        <v>2</v>
      </c>
      <c r="J40" s="152" t="s">
        <v>31</v>
      </c>
      <c r="K40" s="152" t="s">
        <v>916</v>
      </c>
      <c r="L40" s="152">
        <v>3</v>
      </c>
      <c r="M40" s="154">
        <v>6</v>
      </c>
    </row>
    <row r="41" spans="1:13">
      <c r="A41" s="145" t="s">
        <v>882</v>
      </c>
      <c r="B41" s="152" t="s">
        <v>919</v>
      </c>
      <c r="C41" s="152" t="s">
        <v>241</v>
      </c>
      <c r="D41" s="153" t="s">
        <v>89</v>
      </c>
      <c r="E41" s="153" t="s">
        <v>89</v>
      </c>
      <c r="F41" s="153" t="s">
        <v>89</v>
      </c>
      <c r="G41" s="152">
        <v>7.0000000000000007E-2</v>
      </c>
      <c r="H41" s="152">
        <v>0.45</v>
      </c>
      <c r="I41" s="152">
        <v>0.52</v>
      </c>
      <c r="J41" s="152" t="s">
        <v>31</v>
      </c>
      <c r="K41" s="152" t="s">
        <v>890</v>
      </c>
      <c r="L41" s="152">
        <v>2</v>
      </c>
      <c r="M41" s="154">
        <v>1.04</v>
      </c>
    </row>
    <row r="42" spans="1:13">
      <c r="A42" s="145" t="s">
        <v>882</v>
      </c>
      <c r="B42" s="152" t="s">
        <v>921</v>
      </c>
      <c r="C42" s="152" t="s">
        <v>251</v>
      </c>
      <c r="D42" s="153" t="s">
        <v>89</v>
      </c>
      <c r="E42" s="153" t="s">
        <v>89</v>
      </c>
      <c r="F42" s="153" t="s">
        <v>89</v>
      </c>
      <c r="G42" s="152">
        <v>3.41</v>
      </c>
      <c r="H42" s="152">
        <v>1.1299999999999999</v>
      </c>
      <c r="I42" s="152">
        <v>4.54</v>
      </c>
      <c r="J42" s="152" t="s">
        <v>31</v>
      </c>
      <c r="K42" s="152" t="s">
        <v>916</v>
      </c>
      <c r="L42" s="152">
        <v>3</v>
      </c>
      <c r="M42" s="154">
        <v>13.62</v>
      </c>
    </row>
    <row r="43" spans="1:13">
      <c r="A43" s="145" t="s">
        <v>882</v>
      </c>
      <c r="B43" s="152" t="s">
        <v>924</v>
      </c>
      <c r="C43" s="152" t="s">
        <v>262</v>
      </c>
      <c r="D43" s="153" t="s">
        <v>89</v>
      </c>
      <c r="E43" s="153" t="s">
        <v>89</v>
      </c>
      <c r="F43" s="153" t="s">
        <v>89</v>
      </c>
      <c r="G43" s="152">
        <v>1.32</v>
      </c>
      <c r="H43" s="152">
        <v>0.45</v>
      </c>
      <c r="I43" s="152">
        <v>1.77</v>
      </c>
      <c r="J43" s="152" t="s">
        <v>31</v>
      </c>
      <c r="K43" s="152" t="s">
        <v>923</v>
      </c>
      <c r="L43" s="156">
        <v>0.75</v>
      </c>
      <c r="M43" s="154">
        <v>45.14</v>
      </c>
    </row>
    <row r="44" spans="1:13">
      <c r="A44" s="145" t="s">
        <v>882</v>
      </c>
      <c r="B44" s="152" t="s">
        <v>926</v>
      </c>
      <c r="C44" s="152" t="s">
        <v>269</v>
      </c>
      <c r="D44" s="153" t="s">
        <v>89</v>
      </c>
      <c r="E44" s="153" t="s">
        <v>89</v>
      </c>
      <c r="F44" s="153" t="s">
        <v>89</v>
      </c>
      <c r="G44" s="152">
        <v>0.38</v>
      </c>
      <c r="H44" s="152">
        <v>0.23</v>
      </c>
      <c r="I44" s="152">
        <v>0.61</v>
      </c>
      <c r="J44" s="152" t="s">
        <v>31</v>
      </c>
      <c r="K44" s="152" t="s">
        <v>923</v>
      </c>
      <c r="L44" s="156">
        <v>0.75</v>
      </c>
      <c r="M44" s="154">
        <v>15.56</v>
      </c>
    </row>
    <row r="45" spans="1:13">
      <c r="A45" s="145" t="s">
        <v>882</v>
      </c>
      <c r="B45" s="152" t="s">
        <v>928</v>
      </c>
      <c r="C45" s="152" t="s">
        <v>274</v>
      </c>
      <c r="D45" s="153" t="s">
        <v>89</v>
      </c>
      <c r="E45" s="153" t="s">
        <v>89</v>
      </c>
      <c r="F45" s="153" t="s">
        <v>89</v>
      </c>
      <c r="G45" s="152">
        <v>2.27</v>
      </c>
      <c r="H45" s="152">
        <v>0.09</v>
      </c>
      <c r="I45" s="152">
        <v>2.36</v>
      </c>
      <c r="J45" s="152" t="s">
        <v>31</v>
      </c>
      <c r="K45" s="152" t="s">
        <v>890</v>
      </c>
      <c r="L45" s="152">
        <v>2</v>
      </c>
      <c r="M45" s="154">
        <v>4.72</v>
      </c>
    </row>
    <row r="46" spans="1:13">
      <c r="A46" s="145" t="s">
        <v>882</v>
      </c>
      <c r="B46" s="152" t="s">
        <v>931</v>
      </c>
      <c r="C46" s="152" t="s">
        <v>280</v>
      </c>
      <c r="D46" s="153" t="s">
        <v>89</v>
      </c>
      <c r="E46" s="153" t="s">
        <v>89</v>
      </c>
      <c r="F46" s="153" t="s">
        <v>89</v>
      </c>
      <c r="G46" s="152">
        <v>1.0900000000000001</v>
      </c>
      <c r="H46" s="152">
        <v>0.9</v>
      </c>
      <c r="I46" s="152">
        <v>1.99</v>
      </c>
      <c r="J46" s="152" t="s">
        <v>31</v>
      </c>
      <c r="K46" s="152" t="s">
        <v>930</v>
      </c>
      <c r="L46" s="156">
        <v>0.6</v>
      </c>
      <c r="M46" s="154">
        <v>40.6</v>
      </c>
    </row>
    <row r="47" spans="1:13">
      <c r="A47" s="145" t="s">
        <v>882</v>
      </c>
      <c r="B47" s="152" t="s">
        <v>933</v>
      </c>
      <c r="C47" s="152" t="s">
        <v>286</v>
      </c>
      <c r="D47" s="153" t="s">
        <v>89</v>
      </c>
      <c r="E47" s="153" t="s">
        <v>89</v>
      </c>
      <c r="F47" s="153" t="s">
        <v>89</v>
      </c>
      <c r="G47" s="152">
        <v>0.71</v>
      </c>
      <c r="H47" s="152">
        <v>0.09</v>
      </c>
      <c r="I47" s="152">
        <v>0.8</v>
      </c>
      <c r="J47" s="152" t="s">
        <v>31</v>
      </c>
      <c r="K47" s="156">
        <v>1</v>
      </c>
      <c r="L47" s="156">
        <v>1</v>
      </c>
      <c r="M47" s="154">
        <v>27.2</v>
      </c>
    </row>
    <row r="48" spans="1:13">
      <c r="A48" s="145" t="s">
        <v>882</v>
      </c>
      <c r="B48" s="152" t="s">
        <v>935</v>
      </c>
      <c r="C48" s="152" t="s">
        <v>299</v>
      </c>
      <c r="D48" s="153" t="s">
        <v>89</v>
      </c>
      <c r="E48" s="153" t="s">
        <v>89</v>
      </c>
      <c r="F48" s="153" t="s">
        <v>89</v>
      </c>
      <c r="G48" s="152">
        <v>0</v>
      </c>
      <c r="H48" s="152">
        <v>0.54</v>
      </c>
      <c r="I48" s="152">
        <v>0.54</v>
      </c>
      <c r="J48" s="152" t="s">
        <v>31</v>
      </c>
      <c r="K48" s="156">
        <v>1</v>
      </c>
      <c r="L48" s="156">
        <v>1</v>
      </c>
      <c r="M48" s="154">
        <v>18.36</v>
      </c>
    </row>
    <row r="49" spans="1:13">
      <c r="A49" s="145" t="s">
        <v>882</v>
      </c>
      <c r="B49" s="152" t="s">
        <v>937</v>
      </c>
      <c r="C49" s="152" t="s">
        <v>317</v>
      </c>
      <c r="D49" s="153" t="s">
        <v>89</v>
      </c>
      <c r="E49" s="153" t="s">
        <v>89</v>
      </c>
      <c r="F49" s="153" t="s">
        <v>89</v>
      </c>
      <c r="G49" s="152">
        <v>2.84</v>
      </c>
      <c r="H49" s="152">
        <v>1.36</v>
      </c>
      <c r="I49" s="152">
        <v>4.2</v>
      </c>
      <c r="J49" s="152" t="s">
        <v>31</v>
      </c>
      <c r="K49" s="156">
        <v>1</v>
      </c>
      <c r="L49" s="156">
        <v>1</v>
      </c>
      <c r="M49" s="154">
        <v>142.80000000000001</v>
      </c>
    </row>
    <row r="50" spans="1:13">
      <c r="A50" s="145" t="s">
        <v>882</v>
      </c>
      <c r="B50" s="152" t="s">
        <v>939</v>
      </c>
      <c r="C50" s="152" t="s">
        <v>332</v>
      </c>
      <c r="D50" s="153" t="s">
        <v>89</v>
      </c>
      <c r="E50" s="153" t="s">
        <v>89</v>
      </c>
      <c r="F50" s="153" t="s">
        <v>89</v>
      </c>
      <c r="G50" s="152">
        <v>0.97</v>
      </c>
      <c r="H50" s="152">
        <v>1.36</v>
      </c>
      <c r="I50" s="152">
        <v>2.33</v>
      </c>
      <c r="J50" s="152" t="s">
        <v>31</v>
      </c>
      <c r="K50" s="156">
        <v>1</v>
      </c>
      <c r="L50" s="156">
        <v>1</v>
      </c>
      <c r="M50" s="154">
        <v>79.22</v>
      </c>
    </row>
    <row r="51" spans="1:13">
      <c r="A51" s="145" t="s">
        <v>882</v>
      </c>
      <c r="B51" s="152" t="s">
        <v>942</v>
      </c>
      <c r="C51" s="152" t="s">
        <v>341</v>
      </c>
      <c r="D51" s="153" t="s">
        <v>89</v>
      </c>
      <c r="E51" s="153" t="s">
        <v>89</v>
      </c>
      <c r="F51" s="153" t="s">
        <v>89</v>
      </c>
      <c r="G51" s="152">
        <v>1</v>
      </c>
      <c r="H51" s="152">
        <v>0.11</v>
      </c>
      <c r="I51" s="152">
        <v>1.1100000000000001</v>
      </c>
      <c r="J51" s="152" t="s">
        <v>31</v>
      </c>
      <c r="K51" s="152" t="s">
        <v>941</v>
      </c>
      <c r="L51" s="156">
        <v>0.8</v>
      </c>
      <c r="M51" s="154">
        <v>30.19</v>
      </c>
    </row>
    <row r="52" spans="1:13">
      <c r="A52" s="145" t="s">
        <v>882</v>
      </c>
      <c r="B52" s="152" t="s">
        <v>945</v>
      </c>
      <c r="C52" s="152" t="s">
        <v>354</v>
      </c>
      <c r="D52" s="153" t="s">
        <v>89</v>
      </c>
      <c r="E52" s="153" t="s">
        <v>89</v>
      </c>
      <c r="F52" s="153" t="s">
        <v>89</v>
      </c>
      <c r="G52" s="152">
        <v>1.54</v>
      </c>
      <c r="H52" s="152">
        <v>0.9</v>
      </c>
      <c r="I52" s="152">
        <v>2.44</v>
      </c>
      <c r="J52" s="152" t="s">
        <v>31</v>
      </c>
      <c r="K52" s="152" t="s">
        <v>944</v>
      </c>
      <c r="L52" s="156">
        <v>0.5</v>
      </c>
      <c r="M52" s="154">
        <v>41.48</v>
      </c>
    </row>
    <row r="53" spans="1:13">
      <c r="A53" s="146" t="s">
        <v>882</v>
      </c>
      <c r="B53" s="157" t="s">
        <v>946</v>
      </c>
      <c r="C53" s="157" t="s">
        <v>359</v>
      </c>
      <c r="D53" s="157">
        <v>1</v>
      </c>
      <c r="E53" s="157" t="s">
        <v>65</v>
      </c>
      <c r="F53" s="160" t="s">
        <v>89</v>
      </c>
      <c r="G53" s="157">
        <v>16.989999999999998</v>
      </c>
      <c r="H53" s="157">
        <v>7.85</v>
      </c>
      <c r="I53" s="157">
        <v>24.84</v>
      </c>
      <c r="J53" s="157" t="s">
        <v>31</v>
      </c>
      <c r="K53" s="158">
        <v>1</v>
      </c>
      <c r="L53" s="158">
        <v>1</v>
      </c>
      <c r="M53" s="161">
        <v>844.56</v>
      </c>
    </row>
    <row r="54" spans="1:13">
      <c r="A54" s="146" t="s">
        <v>882</v>
      </c>
      <c r="B54" s="157" t="s">
        <v>947</v>
      </c>
      <c r="C54" s="157" t="s">
        <v>361</v>
      </c>
      <c r="D54" s="157">
        <v>1</v>
      </c>
      <c r="E54" s="157" t="s">
        <v>65</v>
      </c>
      <c r="F54" s="160" t="s">
        <v>89</v>
      </c>
      <c r="G54" s="157">
        <v>11.89</v>
      </c>
      <c r="H54" s="157">
        <v>7.85</v>
      </c>
      <c r="I54" s="157">
        <v>19.739999999999998</v>
      </c>
      <c r="J54" s="157" t="s">
        <v>31</v>
      </c>
      <c r="K54" s="158">
        <v>1</v>
      </c>
      <c r="L54" s="158">
        <v>1</v>
      </c>
      <c r="M54" s="161">
        <v>671.16</v>
      </c>
    </row>
    <row r="55" spans="1:13">
      <c r="A55" s="146" t="s">
        <v>882</v>
      </c>
      <c r="B55" s="157" t="s">
        <v>948</v>
      </c>
      <c r="C55" s="157" t="s">
        <v>363</v>
      </c>
      <c r="D55" s="157">
        <v>1</v>
      </c>
      <c r="E55" s="157" t="s">
        <v>65</v>
      </c>
      <c r="F55" s="160" t="s">
        <v>89</v>
      </c>
      <c r="G55" s="157">
        <v>16.989999999999998</v>
      </c>
      <c r="H55" s="157">
        <v>7.85</v>
      </c>
      <c r="I55" s="157">
        <v>24.84</v>
      </c>
      <c r="J55" s="157" t="s">
        <v>31</v>
      </c>
      <c r="K55" s="158">
        <v>1</v>
      </c>
      <c r="L55" s="158">
        <v>1</v>
      </c>
      <c r="M55" s="161">
        <v>844.56</v>
      </c>
    </row>
    <row r="56" spans="1:13">
      <c r="A56" s="146" t="s">
        <v>882</v>
      </c>
      <c r="B56" s="157" t="s">
        <v>949</v>
      </c>
      <c r="C56" s="157" t="s">
        <v>365</v>
      </c>
      <c r="D56" s="157">
        <v>1</v>
      </c>
      <c r="E56" s="157" t="s">
        <v>65</v>
      </c>
      <c r="F56" s="160" t="s">
        <v>89</v>
      </c>
      <c r="G56" s="157">
        <v>16.989999999999998</v>
      </c>
      <c r="H56" s="157">
        <v>7.85</v>
      </c>
      <c r="I56" s="157">
        <v>24.84</v>
      </c>
      <c r="J56" s="157" t="s">
        <v>31</v>
      </c>
      <c r="K56" s="158">
        <v>1</v>
      </c>
      <c r="L56" s="158">
        <v>1</v>
      </c>
      <c r="M56" s="161">
        <v>844.56</v>
      </c>
    </row>
    <row r="57" spans="1:13">
      <c r="A57" s="146" t="s">
        <v>882</v>
      </c>
      <c r="B57" s="157" t="s">
        <v>950</v>
      </c>
      <c r="C57" s="157" t="s">
        <v>367</v>
      </c>
      <c r="D57" s="157">
        <v>1</v>
      </c>
      <c r="E57" s="157" t="s">
        <v>65</v>
      </c>
      <c r="F57" s="160" t="s">
        <v>89</v>
      </c>
      <c r="G57" s="157">
        <v>16.989999999999998</v>
      </c>
      <c r="H57" s="157">
        <v>7.85</v>
      </c>
      <c r="I57" s="157">
        <v>24.84</v>
      </c>
      <c r="J57" s="157" t="s">
        <v>31</v>
      </c>
      <c r="K57" s="158">
        <v>1</v>
      </c>
      <c r="L57" s="158">
        <v>1</v>
      </c>
      <c r="M57" s="161">
        <v>844.56</v>
      </c>
    </row>
    <row r="58" spans="1:13">
      <c r="A58" s="146" t="s">
        <v>882</v>
      </c>
      <c r="B58" s="157" t="s">
        <v>951</v>
      </c>
      <c r="C58" s="157" t="s">
        <v>369</v>
      </c>
      <c r="D58" s="157">
        <v>1</v>
      </c>
      <c r="E58" s="157" t="s">
        <v>65</v>
      </c>
      <c r="F58" s="160" t="s">
        <v>89</v>
      </c>
      <c r="G58" s="157">
        <v>3.99</v>
      </c>
      <c r="H58" s="157">
        <v>2.4900000000000002</v>
      </c>
      <c r="I58" s="157">
        <v>6.48</v>
      </c>
      <c r="J58" s="157" t="s">
        <v>31</v>
      </c>
      <c r="K58" s="158">
        <v>1</v>
      </c>
      <c r="L58" s="158">
        <v>1</v>
      </c>
      <c r="M58" s="161">
        <v>220.32</v>
      </c>
    </row>
    <row r="59" spans="1:13">
      <c r="A59" s="146" t="s">
        <v>882</v>
      </c>
      <c r="B59" s="157" t="s">
        <v>952</v>
      </c>
      <c r="C59" s="157" t="s">
        <v>371</v>
      </c>
      <c r="D59" s="157">
        <v>1</v>
      </c>
      <c r="E59" s="157" t="s">
        <v>65</v>
      </c>
      <c r="F59" s="160" t="s">
        <v>89</v>
      </c>
      <c r="G59" s="157">
        <v>2.79</v>
      </c>
      <c r="H59" s="157">
        <v>2.4900000000000002</v>
      </c>
      <c r="I59" s="157">
        <v>5.28</v>
      </c>
      <c r="J59" s="157" t="s">
        <v>31</v>
      </c>
      <c r="K59" s="158">
        <v>1</v>
      </c>
      <c r="L59" s="158">
        <v>1</v>
      </c>
      <c r="M59" s="161">
        <v>179.52</v>
      </c>
    </row>
    <row r="60" spans="1:13">
      <c r="A60" s="146" t="s">
        <v>882</v>
      </c>
      <c r="B60" s="157" t="s">
        <v>953</v>
      </c>
      <c r="C60" s="157" t="s">
        <v>373</v>
      </c>
      <c r="D60" s="157">
        <v>1</v>
      </c>
      <c r="E60" s="157" t="s">
        <v>65</v>
      </c>
      <c r="F60" s="160" t="s">
        <v>89</v>
      </c>
      <c r="G60" s="157">
        <v>4.3899999999999997</v>
      </c>
      <c r="H60" s="157">
        <v>2.4900000000000002</v>
      </c>
      <c r="I60" s="157">
        <v>6.88</v>
      </c>
      <c r="J60" s="157" t="s">
        <v>31</v>
      </c>
      <c r="K60" s="158">
        <v>1</v>
      </c>
      <c r="L60" s="158">
        <v>1</v>
      </c>
      <c r="M60" s="161">
        <v>233.92</v>
      </c>
    </row>
    <row r="61" spans="1:13">
      <c r="A61" s="146" t="s">
        <v>882</v>
      </c>
      <c r="B61" s="157" t="s">
        <v>954</v>
      </c>
      <c r="C61" s="157" t="s">
        <v>375</v>
      </c>
      <c r="D61" s="157">
        <v>1</v>
      </c>
      <c r="E61" s="157" t="s">
        <v>65</v>
      </c>
      <c r="F61" s="160" t="s">
        <v>89</v>
      </c>
      <c r="G61" s="157">
        <v>3.99</v>
      </c>
      <c r="H61" s="157">
        <v>2.4900000000000002</v>
      </c>
      <c r="I61" s="157">
        <v>6.48</v>
      </c>
      <c r="J61" s="157" t="s">
        <v>31</v>
      </c>
      <c r="K61" s="158">
        <v>1</v>
      </c>
      <c r="L61" s="158">
        <v>1</v>
      </c>
      <c r="M61" s="161">
        <v>220.32</v>
      </c>
    </row>
    <row r="62" spans="1:13">
      <c r="A62" s="146" t="s">
        <v>882</v>
      </c>
      <c r="B62" s="157" t="s">
        <v>955</v>
      </c>
      <c r="C62" s="157" t="s">
        <v>377</v>
      </c>
      <c r="D62" s="157">
        <v>1</v>
      </c>
      <c r="E62" s="157" t="s">
        <v>65</v>
      </c>
      <c r="F62" s="160" t="s">
        <v>89</v>
      </c>
      <c r="G62" s="157">
        <v>3.99</v>
      </c>
      <c r="H62" s="157">
        <v>2.4900000000000002</v>
      </c>
      <c r="I62" s="157">
        <v>6.48</v>
      </c>
      <c r="J62" s="157" t="s">
        <v>31</v>
      </c>
      <c r="K62" s="158">
        <v>1</v>
      </c>
      <c r="L62" s="158">
        <v>1</v>
      </c>
      <c r="M62" s="161">
        <v>220.32</v>
      </c>
    </row>
    <row r="63" spans="1:13">
      <c r="A63" s="146" t="s">
        <v>882</v>
      </c>
      <c r="B63" s="157" t="s">
        <v>956</v>
      </c>
      <c r="C63" s="157" t="s">
        <v>379</v>
      </c>
      <c r="D63" s="157">
        <v>1</v>
      </c>
      <c r="E63" s="157" t="s">
        <v>65</v>
      </c>
      <c r="F63" s="160" t="s">
        <v>89</v>
      </c>
      <c r="G63" s="157">
        <v>0</v>
      </c>
      <c r="H63" s="157">
        <v>0</v>
      </c>
      <c r="I63" s="157" t="s">
        <v>957</v>
      </c>
      <c r="J63" s="157" t="s">
        <v>31</v>
      </c>
      <c r="K63" s="158">
        <v>1</v>
      </c>
      <c r="L63" s="158">
        <v>1</v>
      </c>
      <c r="M63" s="157" t="s">
        <v>881</v>
      </c>
    </row>
    <row r="64" spans="1:13">
      <c r="A64" s="146" t="s">
        <v>882</v>
      </c>
      <c r="B64" s="157" t="s">
        <v>958</v>
      </c>
      <c r="C64" s="157" t="s">
        <v>380</v>
      </c>
      <c r="D64" s="157">
        <v>1</v>
      </c>
      <c r="E64" s="157" t="s">
        <v>65</v>
      </c>
      <c r="F64" s="160" t="s">
        <v>89</v>
      </c>
      <c r="G64" s="157">
        <v>0</v>
      </c>
      <c r="H64" s="157">
        <v>0</v>
      </c>
      <c r="I64" s="157" t="s">
        <v>957</v>
      </c>
      <c r="J64" s="157" t="s">
        <v>31</v>
      </c>
      <c r="K64" s="158">
        <v>1</v>
      </c>
      <c r="L64" s="158">
        <v>1</v>
      </c>
      <c r="M64" s="157" t="s">
        <v>881</v>
      </c>
    </row>
  </sheetData>
  <autoFilter ref="A1:M64" xr:uid="{289FF8E8-1C3A-42F4-8F7B-A38B1D4F9C26}">
    <sortState xmlns:xlrd2="http://schemas.microsoft.com/office/spreadsheetml/2017/richdata2" ref="A2:M64">
      <sortCondition sortBy="cellColor" ref="A1" dxfId="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DB55D-8D72-4A91-ADB5-F97DCF711397}">
  <sheetPr filterMode="1"/>
  <dimension ref="A1:R15"/>
  <sheetViews>
    <sheetView workbookViewId="0"/>
  </sheetViews>
  <sheetFormatPr defaultRowHeight="14.4"/>
  <cols>
    <col min="3" max="3" width="26.77734375" bestFit="1" customWidth="1"/>
  </cols>
  <sheetData>
    <row r="1" spans="1:18" ht="93">
      <c r="A1" s="163" t="s">
        <v>961</v>
      </c>
      <c r="B1" s="164" t="s">
        <v>962</v>
      </c>
      <c r="C1" s="164" t="s">
        <v>59</v>
      </c>
      <c r="D1" s="164" t="s">
        <v>60</v>
      </c>
      <c r="E1" s="164" t="s">
        <v>61</v>
      </c>
      <c r="F1" s="164" t="s">
        <v>62</v>
      </c>
      <c r="G1" s="164" t="s">
        <v>860</v>
      </c>
      <c r="H1" s="164" t="s">
        <v>963</v>
      </c>
      <c r="I1" s="164" t="s">
        <v>964</v>
      </c>
      <c r="J1" s="165" t="s">
        <v>965</v>
      </c>
      <c r="K1" s="165" t="s">
        <v>966</v>
      </c>
      <c r="L1" s="165" t="s">
        <v>89</v>
      </c>
      <c r="M1" s="165" t="s">
        <v>89</v>
      </c>
    </row>
    <row r="2" spans="1:18">
      <c r="A2" s="166" t="s">
        <v>882</v>
      </c>
      <c r="B2" s="159" t="s">
        <v>967</v>
      </c>
      <c r="C2" s="159" t="s">
        <v>505</v>
      </c>
      <c r="D2" s="162" t="s">
        <v>89</v>
      </c>
      <c r="E2" s="162" t="s">
        <v>89</v>
      </c>
      <c r="F2" s="162" t="s">
        <v>89</v>
      </c>
      <c r="G2" s="159">
        <v>0.21</v>
      </c>
      <c r="H2" s="159">
        <v>0.62</v>
      </c>
      <c r="I2" s="159">
        <v>0.83</v>
      </c>
      <c r="J2" s="149" t="s">
        <v>33</v>
      </c>
      <c r="K2" s="155">
        <v>1</v>
      </c>
      <c r="L2" s="155">
        <v>1</v>
      </c>
      <c r="M2" s="151">
        <v>161.02000000000001</v>
      </c>
      <c r="N2">
        <f t="shared" ref="N2:N15" si="0">H2*L2*148</f>
        <v>91.76</v>
      </c>
      <c r="Q2">
        <f>G2*L2*148</f>
        <v>31.08</v>
      </c>
    </row>
    <row r="3" spans="1:18" hidden="1">
      <c r="A3" s="145" t="s">
        <v>882</v>
      </c>
      <c r="B3" s="152" t="s">
        <v>968</v>
      </c>
      <c r="C3" s="152" t="s">
        <v>514</v>
      </c>
      <c r="D3" s="153" t="s">
        <v>89</v>
      </c>
      <c r="E3" s="153" t="s">
        <v>89</v>
      </c>
      <c r="F3" s="153" t="s">
        <v>89</v>
      </c>
      <c r="G3" s="152">
        <v>0</v>
      </c>
      <c r="H3" s="152">
        <v>0.62</v>
      </c>
      <c r="I3" s="152">
        <v>0.83</v>
      </c>
      <c r="J3" s="152" t="s">
        <v>33</v>
      </c>
      <c r="K3" s="156">
        <v>1</v>
      </c>
      <c r="L3" s="156">
        <v>1</v>
      </c>
      <c r="M3" s="154">
        <v>161.02000000000001</v>
      </c>
      <c r="N3">
        <f t="shared" si="0"/>
        <v>91.76</v>
      </c>
    </row>
    <row r="4" spans="1:18">
      <c r="A4" s="144" t="s">
        <v>882</v>
      </c>
      <c r="B4" s="149" t="s">
        <v>969</v>
      </c>
      <c r="C4" s="149" t="s">
        <v>520</v>
      </c>
      <c r="D4" s="150" t="s">
        <v>89</v>
      </c>
      <c r="E4" s="150" t="s">
        <v>89</v>
      </c>
      <c r="F4" s="150" t="s">
        <v>89</v>
      </c>
      <c r="G4" s="149">
        <v>0.15</v>
      </c>
      <c r="H4" s="149">
        <v>0.47</v>
      </c>
      <c r="I4" s="149">
        <v>0.62</v>
      </c>
      <c r="J4" s="149" t="s">
        <v>33</v>
      </c>
      <c r="K4" s="155">
        <v>1</v>
      </c>
      <c r="L4" s="155">
        <v>1</v>
      </c>
      <c r="M4" s="151">
        <v>120.28</v>
      </c>
      <c r="N4">
        <f t="shared" si="0"/>
        <v>69.56</v>
      </c>
      <c r="Q4">
        <f>G4*L4*148</f>
        <v>22.2</v>
      </c>
    </row>
    <row r="5" spans="1:18" hidden="1">
      <c r="A5" s="167" t="s">
        <v>882</v>
      </c>
      <c r="B5" s="152" t="s">
        <v>970</v>
      </c>
      <c r="C5" s="152" t="s">
        <v>523</v>
      </c>
      <c r="D5" s="153" t="s">
        <v>89</v>
      </c>
      <c r="E5" s="153" t="s">
        <v>89</v>
      </c>
      <c r="F5" s="153" t="s">
        <v>89</v>
      </c>
      <c r="G5" s="152">
        <v>0.52</v>
      </c>
      <c r="H5" s="152">
        <v>0.47</v>
      </c>
      <c r="I5" s="152">
        <v>0.99</v>
      </c>
      <c r="J5" s="152" t="s">
        <v>33</v>
      </c>
      <c r="K5" s="156">
        <v>1</v>
      </c>
      <c r="L5" s="156">
        <v>1</v>
      </c>
      <c r="M5" s="154">
        <v>192.06</v>
      </c>
      <c r="N5">
        <f t="shared" si="0"/>
        <v>69.56</v>
      </c>
      <c r="Q5">
        <f>G5*L5*27</f>
        <v>14.040000000000001</v>
      </c>
    </row>
    <row r="6" spans="1:18">
      <c r="A6" s="144" t="s">
        <v>882</v>
      </c>
      <c r="B6" s="149" t="s">
        <v>971</v>
      </c>
      <c r="C6" s="149" t="s">
        <v>435</v>
      </c>
      <c r="D6" s="150" t="s">
        <v>89</v>
      </c>
      <c r="E6" s="150" t="s">
        <v>89</v>
      </c>
      <c r="F6" s="150" t="s">
        <v>89</v>
      </c>
      <c r="G6" s="149">
        <v>2.0299999999999998</v>
      </c>
      <c r="H6" s="149">
        <v>1.89</v>
      </c>
      <c r="I6" s="149">
        <v>3.92</v>
      </c>
      <c r="J6" s="149" t="s">
        <v>33</v>
      </c>
      <c r="K6" s="155">
        <v>1</v>
      </c>
      <c r="L6" s="155">
        <v>1</v>
      </c>
      <c r="M6" s="151">
        <v>760.48</v>
      </c>
      <c r="N6">
        <f t="shared" si="0"/>
        <v>279.71999999999997</v>
      </c>
      <c r="Q6">
        <f>G6*L6*148</f>
        <v>300.44</v>
      </c>
    </row>
    <row r="7" spans="1:18" hidden="1">
      <c r="A7" s="167" t="s">
        <v>882</v>
      </c>
      <c r="B7" s="152" t="s">
        <v>972</v>
      </c>
      <c r="C7" s="152" t="s">
        <v>437</v>
      </c>
      <c r="D7" s="153" t="s">
        <v>89</v>
      </c>
      <c r="E7" s="153" t="s">
        <v>89</v>
      </c>
      <c r="F7" s="153" t="s">
        <v>89</v>
      </c>
      <c r="G7" s="152">
        <v>1.92</v>
      </c>
      <c r="H7" s="152">
        <v>1.89</v>
      </c>
      <c r="I7" s="152">
        <v>3.81</v>
      </c>
      <c r="J7" s="152" t="s">
        <v>33</v>
      </c>
      <c r="K7" s="156">
        <v>1</v>
      </c>
      <c r="L7" s="156">
        <v>1</v>
      </c>
      <c r="M7" s="154">
        <v>739.14</v>
      </c>
      <c r="N7">
        <f t="shared" si="0"/>
        <v>279.71999999999997</v>
      </c>
      <c r="Q7">
        <f>G7*L7*27</f>
        <v>51.839999999999996</v>
      </c>
    </row>
    <row r="8" spans="1:18">
      <c r="A8" s="144" t="s">
        <v>882</v>
      </c>
      <c r="B8" s="149" t="s">
        <v>973</v>
      </c>
      <c r="C8" s="149" t="s">
        <v>534</v>
      </c>
      <c r="D8" s="150" t="s">
        <v>89</v>
      </c>
      <c r="E8" s="150" t="s">
        <v>89</v>
      </c>
      <c r="F8" s="150" t="s">
        <v>89</v>
      </c>
      <c r="G8" s="149">
        <v>0.5</v>
      </c>
      <c r="H8" s="149">
        <v>0.47</v>
      </c>
      <c r="I8" s="149">
        <v>0.97</v>
      </c>
      <c r="J8" s="149" t="s">
        <v>33</v>
      </c>
      <c r="K8" s="155">
        <v>1</v>
      </c>
      <c r="L8" s="155">
        <v>1</v>
      </c>
      <c r="M8" s="151">
        <v>188.18</v>
      </c>
      <c r="N8">
        <f t="shared" si="0"/>
        <v>69.56</v>
      </c>
      <c r="O8" s="147">
        <f>SUM(N2,N4,N6,N8)/148</f>
        <v>3.4499999999999997</v>
      </c>
      <c r="Q8">
        <f>G8*L8*148</f>
        <v>74</v>
      </c>
      <c r="R8">
        <f>SUM(Q8,Q6,Q4,Q2)/148</f>
        <v>2.8899999999999997</v>
      </c>
    </row>
    <row r="9" spans="1:18" hidden="1">
      <c r="A9" s="167" t="s">
        <v>882</v>
      </c>
      <c r="B9" s="152" t="s">
        <v>974</v>
      </c>
      <c r="C9" s="152" t="s">
        <v>537</v>
      </c>
      <c r="D9" s="153" t="s">
        <v>89</v>
      </c>
      <c r="E9" s="153" t="s">
        <v>89</v>
      </c>
      <c r="F9" s="153" t="s">
        <v>89</v>
      </c>
      <c r="G9" s="152">
        <v>0.5</v>
      </c>
      <c r="H9" s="152">
        <v>0.59</v>
      </c>
      <c r="I9" s="152">
        <v>1.0900000000000001</v>
      </c>
      <c r="J9" s="152" t="s">
        <v>33</v>
      </c>
      <c r="K9" s="156">
        <v>1</v>
      </c>
      <c r="L9" s="156">
        <v>1</v>
      </c>
      <c r="M9" s="154">
        <v>211.46</v>
      </c>
      <c r="N9">
        <f t="shared" si="0"/>
        <v>87.32</v>
      </c>
      <c r="Q9">
        <f>G9*L9*27</f>
        <v>13.5</v>
      </c>
    </row>
    <row r="10" spans="1:18">
      <c r="A10" s="144" t="s">
        <v>882</v>
      </c>
      <c r="B10" s="149" t="s">
        <v>975</v>
      </c>
      <c r="C10" s="149" t="s">
        <v>450</v>
      </c>
      <c r="D10" s="150" t="s">
        <v>89</v>
      </c>
      <c r="E10" s="150" t="s">
        <v>89</v>
      </c>
      <c r="F10" s="150" t="s">
        <v>89</v>
      </c>
      <c r="G10" s="149">
        <v>0</v>
      </c>
      <c r="H10" s="149">
        <v>0.09</v>
      </c>
      <c r="I10" s="149">
        <v>0.28000000000000003</v>
      </c>
      <c r="J10" s="149" t="s">
        <v>32</v>
      </c>
      <c r="K10" s="149" t="s">
        <v>976</v>
      </c>
      <c r="L10" s="155">
        <v>1.2</v>
      </c>
      <c r="M10" s="151">
        <v>65.180000000000007</v>
      </c>
      <c r="N10">
        <f t="shared" si="0"/>
        <v>15.984</v>
      </c>
      <c r="Q10">
        <f>G10*L10*148</f>
        <v>0</v>
      </c>
    </row>
    <row r="11" spans="1:18" hidden="1">
      <c r="A11" s="167" t="s">
        <v>882</v>
      </c>
      <c r="B11" s="152" t="s">
        <v>977</v>
      </c>
      <c r="C11" s="152" t="s">
        <v>451</v>
      </c>
      <c r="D11" s="153" t="s">
        <v>89</v>
      </c>
      <c r="E11" s="153" t="s">
        <v>89</v>
      </c>
      <c r="F11" s="153" t="s">
        <v>89</v>
      </c>
      <c r="G11" s="152">
        <v>0.19</v>
      </c>
      <c r="H11" s="152">
        <v>0.09</v>
      </c>
      <c r="I11" s="152">
        <v>0.28000000000000003</v>
      </c>
      <c r="J11" s="152" t="s">
        <v>32</v>
      </c>
      <c r="K11" s="152" t="s">
        <v>976</v>
      </c>
      <c r="L11" s="158">
        <v>1.2</v>
      </c>
      <c r="M11" s="154">
        <v>65.180000000000007</v>
      </c>
      <c r="N11">
        <f t="shared" si="0"/>
        <v>15.984</v>
      </c>
      <c r="Q11">
        <f>G11*L11*27</f>
        <v>6.1559999999999997</v>
      </c>
    </row>
    <row r="12" spans="1:18">
      <c r="A12" s="144" t="s">
        <v>882</v>
      </c>
      <c r="B12" s="149" t="s">
        <v>978</v>
      </c>
      <c r="C12" s="149" t="s">
        <v>544</v>
      </c>
      <c r="D12" s="150" t="s">
        <v>89</v>
      </c>
      <c r="E12" s="150" t="s">
        <v>89</v>
      </c>
      <c r="F12" s="150" t="s">
        <v>89</v>
      </c>
      <c r="G12" s="149">
        <v>0.5</v>
      </c>
      <c r="H12" s="149">
        <v>0.09</v>
      </c>
      <c r="I12" s="149">
        <v>0.59</v>
      </c>
      <c r="J12" s="149" t="s">
        <v>33</v>
      </c>
      <c r="K12" s="155">
        <v>1</v>
      </c>
      <c r="L12" s="155">
        <v>1</v>
      </c>
      <c r="M12" s="151">
        <v>114.46</v>
      </c>
      <c r="N12">
        <f t="shared" si="0"/>
        <v>13.32</v>
      </c>
      <c r="Q12">
        <f>G12*L12*148</f>
        <v>74</v>
      </c>
    </row>
    <row r="13" spans="1:18" hidden="1">
      <c r="A13" s="167" t="s">
        <v>882</v>
      </c>
      <c r="B13" s="152" t="s">
        <v>979</v>
      </c>
      <c r="C13" s="152" t="s">
        <v>546</v>
      </c>
      <c r="D13" s="153" t="s">
        <v>89</v>
      </c>
      <c r="E13" s="153" t="s">
        <v>89</v>
      </c>
      <c r="F13" s="153" t="s">
        <v>89</v>
      </c>
      <c r="G13" s="152">
        <v>0.5</v>
      </c>
      <c r="H13" s="152">
        <v>0.09</v>
      </c>
      <c r="I13" s="152">
        <v>0.59</v>
      </c>
      <c r="J13" s="152" t="s">
        <v>33</v>
      </c>
      <c r="K13" s="156">
        <v>1</v>
      </c>
      <c r="L13" s="156">
        <v>1</v>
      </c>
      <c r="M13" s="154">
        <v>114.46</v>
      </c>
      <c r="N13">
        <f t="shared" si="0"/>
        <v>13.32</v>
      </c>
      <c r="Q13">
        <f>G13*L13*27</f>
        <v>13.5</v>
      </c>
    </row>
    <row r="14" spans="1:18">
      <c r="A14" s="144" t="s">
        <v>882</v>
      </c>
      <c r="B14" s="149" t="s">
        <v>980</v>
      </c>
      <c r="C14" s="149" t="s">
        <v>548</v>
      </c>
      <c r="D14" s="150" t="s">
        <v>89</v>
      </c>
      <c r="E14" s="150" t="s">
        <v>89</v>
      </c>
      <c r="F14" s="150" t="s">
        <v>89</v>
      </c>
      <c r="G14" s="149">
        <v>0.75</v>
      </c>
      <c r="H14" s="149">
        <v>0.47</v>
      </c>
      <c r="I14" s="149">
        <v>1.22</v>
      </c>
      <c r="J14" s="149" t="s">
        <v>33</v>
      </c>
      <c r="K14" s="155">
        <v>1</v>
      </c>
      <c r="L14" s="155">
        <v>1</v>
      </c>
      <c r="M14" s="151">
        <v>236.68</v>
      </c>
      <c r="N14">
        <f t="shared" si="0"/>
        <v>69.56</v>
      </c>
      <c r="O14" s="147">
        <f>SUM(N10,N12,N14)/148</f>
        <v>0.66800000000000004</v>
      </c>
      <c r="Q14">
        <f>G14*L14*148</f>
        <v>111</v>
      </c>
      <c r="R14" s="147">
        <f>SUM(Q10,Q12,Q14)/148</f>
        <v>1.25</v>
      </c>
    </row>
    <row r="15" spans="1:18" hidden="1">
      <c r="A15" s="167" t="s">
        <v>882</v>
      </c>
      <c r="B15" s="152" t="s">
        <v>981</v>
      </c>
      <c r="C15" s="152" t="s">
        <v>548</v>
      </c>
      <c r="D15" s="153" t="s">
        <v>89</v>
      </c>
      <c r="E15" s="153" t="s">
        <v>89</v>
      </c>
      <c r="F15" s="153" t="s">
        <v>89</v>
      </c>
      <c r="G15" s="152">
        <v>1.03</v>
      </c>
      <c r="H15" s="152">
        <v>0.94</v>
      </c>
      <c r="I15" s="152">
        <v>1.97</v>
      </c>
      <c r="J15" s="152" t="s">
        <v>33</v>
      </c>
      <c r="K15" s="156">
        <v>1</v>
      </c>
      <c r="L15" s="156">
        <v>1</v>
      </c>
      <c r="M15" s="154">
        <v>382.18</v>
      </c>
      <c r="N15">
        <f t="shared" si="0"/>
        <v>139.12</v>
      </c>
    </row>
  </sheetData>
  <autoFilter ref="A1:N15" xr:uid="{C01DB55D-8D72-4A91-ADB5-F97DCF711397}">
    <filterColumn colId="2">
      <colorFilter dxfId="0"/>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8F207-673E-44FF-819F-A2C430BD61D7}">
  <dimension ref="A1:H123"/>
  <sheetViews>
    <sheetView workbookViewId="0">
      <selection activeCell="E123" sqref="E123"/>
    </sheetView>
  </sheetViews>
  <sheetFormatPr defaultRowHeight="14.4"/>
  <cols>
    <col min="1" max="1" width="35" customWidth="1"/>
  </cols>
  <sheetData>
    <row r="1" spans="1:7">
      <c r="A1" s="170" t="s">
        <v>982</v>
      </c>
      <c r="E1" t="s">
        <v>1005</v>
      </c>
    </row>
    <row r="2" spans="1:7">
      <c r="A2" t="s">
        <v>983</v>
      </c>
      <c r="B2">
        <f>1.35/39</f>
        <v>3.4615384615384617E-2</v>
      </c>
      <c r="C2" t="s">
        <v>989</v>
      </c>
      <c r="E2">
        <f>E15*B2</f>
        <v>0.13170710059171598</v>
      </c>
    </row>
    <row r="3" spans="1:7">
      <c r="A3" t="s">
        <v>984</v>
      </c>
      <c r="B3">
        <f>0.2/39</f>
        <v>5.1282051282051282E-3</v>
      </c>
      <c r="C3" t="s">
        <v>989</v>
      </c>
      <c r="E3">
        <f>91.29/28*B3</f>
        <v>1.6719780219780222E-2</v>
      </c>
    </row>
    <row r="4" spans="1:7">
      <c r="A4" t="s">
        <v>985</v>
      </c>
      <c r="B4">
        <f>4.4/39</f>
        <v>0.11282051282051284</v>
      </c>
      <c r="C4" t="s">
        <v>989</v>
      </c>
      <c r="E4">
        <f>E28*B4</f>
        <v>0.25619808554579521</v>
      </c>
      <c r="G4" t="s">
        <v>988</v>
      </c>
    </row>
    <row r="5" spans="1:7">
      <c r="A5" t="s">
        <v>986</v>
      </c>
      <c r="B5">
        <f>1/39</f>
        <v>2.564102564102564E-2</v>
      </c>
      <c r="C5" t="s">
        <v>989</v>
      </c>
      <c r="E5">
        <f>E38*B5</f>
        <v>6.5772849530047875E-2</v>
      </c>
    </row>
    <row r="6" spans="1:7">
      <c r="A6" t="s">
        <v>987</v>
      </c>
      <c r="B6">
        <v>0</v>
      </c>
      <c r="C6" t="s">
        <v>989</v>
      </c>
    </row>
    <row r="7" spans="1:7">
      <c r="B7">
        <f>SUM(B2:B6)</f>
        <v>0.17820512820512821</v>
      </c>
      <c r="C7" t="s">
        <v>989</v>
      </c>
      <c r="E7">
        <f>SUM(E2:E6)</f>
        <v>0.47039781588733925</v>
      </c>
      <c r="F7">
        <f>E7*1.05*1.1</f>
        <v>0.54330947734987689</v>
      </c>
    </row>
    <row r="10" spans="1:7">
      <c r="A10" t="s">
        <v>983</v>
      </c>
    </row>
    <row r="11" spans="1:7">
      <c r="A11" t="s">
        <v>990</v>
      </c>
      <c r="B11" s="168">
        <v>0.5357142857142857</v>
      </c>
      <c r="C11">
        <v>4636.0714285714284</v>
      </c>
      <c r="D11" t="s">
        <v>989</v>
      </c>
      <c r="E11">
        <f>C11*(47.39/10)</f>
        <v>21970.342499999999</v>
      </c>
    </row>
    <row r="12" spans="1:7">
      <c r="A12" t="s">
        <v>991</v>
      </c>
      <c r="B12" s="168">
        <v>0.31318681318681318</v>
      </c>
      <c r="C12">
        <v>2710.3186813186812</v>
      </c>
      <c r="D12" t="s">
        <v>989</v>
      </c>
      <c r="E12">
        <f>131/36*C12</f>
        <v>9862.5485347985341</v>
      </c>
    </row>
    <row r="13" spans="1:7">
      <c r="A13" t="s">
        <v>992</v>
      </c>
      <c r="B13" s="168">
        <v>0.15109890109890109</v>
      </c>
      <c r="C13">
        <v>1307.6098901098901</v>
      </c>
      <c r="D13" t="s">
        <v>989</v>
      </c>
      <c r="E13">
        <f>41.85/50*C13</f>
        <v>1094.4694780219781</v>
      </c>
    </row>
    <row r="14" spans="1:7">
      <c r="C14">
        <f>SUM(C11:C13)</f>
        <v>8654</v>
      </c>
      <c r="E14">
        <f>SUM(E11:E13)</f>
        <v>32927.360512820509</v>
      </c>
    </row>
    <row r="15" spans="1:7">
      <c r="E15">
        <f>E14/C14</f>
        <v>3.8048717948717945</v>
      </c>
      <c r="F15" t="s">
        <v>1004</v>
      </c>
    </row>
    <row r="19" spans="1:6">
      <c r="A19" t="s">
        <v>985</v>
      </c>
    </row>
    <row r="20" spans="1:6">
      <c r="A20" t="s">
        <v>993</v>
      </c>
      <c r="B20" s="113">
        <v>0.51</v>
      </c>
      <c r="C20">
        <v>96.99</v>
      </c>
      <c r="D20" t="s">
        <v>989</v>
      </c>
      <c r="E20">
        <f>98.73/30*C20</f>
        <v>319.19408999999996</v>
      </c>
    </row>
    <row r="21" spans="1:6">
      <c r="A21" t="s">
        <v>992</v>
      </c>
      <c r="B21" s="113">
        <v>0.218</v>
      </c>
      <c r="C21">
        <v>41.338000000000001</v>
      </c>
      <c r="D21" t="s">
        <v>989</v>
      </c>
      <c r="E21">
        <f>41.85/50*C21</f>
        <v>34.599906000000004</v>
      </c>
    </row>
    <row r="22" spans="1:6">
      <c r="A22" t="s">
        <v>994</v>
      </c>
      <c r="B22" s="113">
        <v>1.7999999999999999E-2</v>
      </c>
      <c r="C22">
        <v>3.383</v>
      </c>
      <c r="D22" t="s">
        <v>989</v>
      </c>
      <c r="E22">
        <f>56.39/50*C22</f>
        <v>3.8153473999999998</v>
      </c>
    </row>
    <row r="23" spans="1:6">
      <c r="A23" t="s">
        <v>995</v>
      </c>
      <c r="B23" s="113">
        <v>1.2E-2</v>
      </c>
      <c r="C23">
        <v>2.2559999999999998</v>
      </c>
      <c r="D23" t="s">
        <v>989</v>
      </c>
      <c r="E23">
        <f>14.25/24/12*16*C23</f>
        <v>1.7859999999999998</v>
      </c>
    </row>
    <row r="24" spans="1:6">
      <c r="A24" t="s">
        <v>996</v>
      </c>
      <c r="B24" s="113">
        <v>9.2999999999999999E-2</v>
      </c>
      <c r="C24">
        <v>17.629000000000001</v>
      </c>
      <c r="D24" t="s">
        <v>989</v>
      </c>
      <c r="E24">
        <f>44.69/30*C24</f>
        <v>26.261333666666669</v>
      </c>
    </row>
    <row r="25" spans="1:6">
      <c r="A25" t="s">
        <v>997</v>
      </c>
      <c r="B25" s="113">
        <v>0.14599999999999999</v>
      </c>
      <c r="C25">
        <v>27.683</v>
      </c>
      <c r="D25" t="s">
        <v>989</v>
      </c>
      <c r="E25">
        <f>49.25/32*C25</f>
        <v>42.605867187500003</v>
      </c>
    </row>
    <row r="26" spans="1:6">
      <c r="A26" t="s">
        <v>998</v>
      </c>
      <c r="B26" s="113">
        <v>4.0000000000000001E-3</v>
      </c>
      <c r="C26">
        <v>0.71799999999999997</v>
      </c>
      <c r="D26" t="s">
        <v>989</v>
      </c>
      <c r="E26">
        <f>8.89/2*C26</f>
        <v>3.1915100000000001</v>
      </c>
    </row>
    <row r="27" spans="1:6">
      <c r="C27">
        <f>SUM(C20:C26)</f>
        <v>189.99699999999999</v>
      </c>
      <c r="E27">
        <f>SUM(E20:E26)</f>
        <v>431.45405425416664</v>
      </c>
    </row>
    <row r="28" spans="1:6">
      <c r="E28">
        <f>E27/C27</f>
        <v>2.2708466673377301</v>
      </c>
      <c r="F28" t="s">
        <v>1004</v>
      </c>
    </row>
    <row r="30" spans="1:6">
      <c r="A30" t="s">
        <v>986</v>
      </c>
    </row>
    <row r="31" spans="1:6">
      <c r="A31" t="s">
        <v>999</v>
      </c>
      <c r="B31">
        <v>0.75800000000000001</v>
      </c>
      <c r="C31">
        <v>4856.0600000000004</v>
      </c>
      <c r="D31" t="s">
        <v>989</v>
      </c>
      <c r="E31">
        <f>3.2*C31</f>
        <v>15539.392000000002</v>
      </c>
    </row>
    <row r="32" spans="1:6">
      <c r="A32" t="s">
        <v>992</v>
      </c>
      <c r="B32">
        <v>0.114</v>
      </c>
      <c r="C32">
        <v>728.40899999999999</v>
      </c>
      <c r="D32" t="s">
        <v>989</v>
      </c>
      <c r="E32">
        <f>41.85/50*C32</f>
        <v>609.67833300000007</v>
      </c>
    </row>
    <row r="33" spans="1:7">
      <c r="A33" t="s">
        <v>1000</v>
      </c>
      <c r="B33">
        <v>5.7000000000000002E-2</v>
      </c>
      <c r="C33">
        <v>364.20499999999998</v>
      </c>
      <c r="D33" t="s">
        <v>989</v>
      </c>
      <c r="E33">
        <v>0</v>
      </c>
    </row>
    <row r="34" spans="1:7">
      <c r="A34" t="s">
        <v>1001</v>
      </c>
      <c r="B34">
        <v>1.4999999999999999E-2</v>
      </c>
      <c r="C34">
        <v>97.120999999999995</v>
      </c>
      <c r="D34" t="s">
        <v>989</v>
      </c>
      <c r="E34">
        <f>38.69/12/2*C34</f>
        <v>156.56714541666665</v>
      </c>
    </row>
    <row r="35" spans="1:7">
      <c r="A35" t="s">
        <v>1002</v>
      </c>
      <c r="B35">
        <v>1.9E-2</v>
      </c>
      <c r="C35">
        <v>121.402</v>
      </c>
      <c r="D35" t="s">
        <v>989</v>
      </c>
      <c r="E35">
        <f>56.39/50*C35</f>
        <v>136.91717559999998</v>
      </c>
    </row>
    <row r="36" spans="1:7">
      <c r="A36" t="s">
        <v>1003</v>
      </c>
      <c r="B36">
        <v>3.7999999999999999E-2</v>
      </c>
      <c r="C36">
        <v>242.803</v>
      </c>
      <c r="D36" t="s">
        <v>989</v>
      </c>
      <c r="E36">
        <v>0</v>
      </c>
    </row>
    <row r="37" spans="1:7">
      <c r="C37">
        <f>SUM(C31:C36)</f>
        <v>6410</v>
      </c>
      <c r="E37">
        <f>SUM(E31:E36)</f>
        <v>16442.554654016669</v>
      </c>
    </row>
    <row r="38" spans="1:7">
      <c r="E38">
        <f>E37/C37</f>
        <v>2.5651411316718673</v>
      </c>
    </row>
    <row r="45" spans="1:7">
      <c r="A45" s="170" t="s">
        <v>233</v>
      </c>
      <c r="G45" t="s">
        <v>1014</v>
      </c>
    </row>
    <row r="46" spans="1:7">
      <c r="A46" t="s">
        <v>1006</v>
      </c>
      <c r="B46">
        <v>0.432</v>
      </c>
      <c r="C46" t="s">
        <v>1007</v>
      </c>
      <c r="D46" s="169">
        <v>0.1182</v>
      </c>
      <c r="E46">
        <v>1.18</v>
      </c>
      <c r="F46" t="s">
        <v>1007</v>
      </c>
      <c r="G46">
        <f>11.35/25*E46</f>
        <v>0.53571999999999997</v>
      </c>
    </row>
    <row r="47" spans="1:7">
      <c r="A47" t="s">
        <v>1008</v>
      </c>
      <c r="B47">
        <v>1.367</v>
      </c>
      <c r="C47" t="s">
        <v>1007</v>
      </c>
      <c r="D47" s="169">
        <v>0.374</v>
      </c>
      <c r="E47">
        <v>3.74</v>
      </c>
      <c r="F47" t="s">
        <v>1007</v>
      </c>
      <c r="G47">
        <f>41.85/50*E47</f>
        <v>3.1303800000000006</v>
      </c>
    </row>
    <row r="48" spans="1:7">
      <c r="A48" t="s">
        <v>1009</v>
      </c>
      <c r="B48">
        <v>0.251</v>
      </c>
      <c r="C48" t="s">
        <v>1007</v>
      </c>
      <c r="D48" s="169">
        <v>6.88E-2</v>
      </c>
      <c r="E48">
        <v>0.69</v>
      </c>
      <c r="F48" t="s">
        <v>1007</v>
      </c>
      <c r="G48">
        <f>82.65/6*E48</f>
        <v>9.5047499999999996</v>
      </c>
    </row>
    <row r="49" spans="1:8">
      <c r="A49" t="s">
        <v>1010</v>
      </c>
      <c r="B49">
        <v>8.0000000000000002E-3</v>
      </c>
      <c r="C49" t="s">
        <v>1007</v>
      </c>
      <c r="D49" s="169">
        <v>2.2000000000000001E-3</v>
      </c>
      <c r="E49">
        <v>0.02</v>
      </c>
      <c r="F49" t="s">
        <v>1007</v>
      </c>
      <c r="G49">
        <f>30.24/24*E49</f>
        <v>2.52E-2</v>
      </c>
    </row>
    <row r="50" spans="1:8">
      <c r="A50" t="s">
        <v>1011</v>
      </c>
      <c r="B50">
        <v>1.7999999999999999E-2</v>
      </c>
      <c r="C50" t="s">
        <v>1007</v>
      </c>
      <c r="D50" s="169">
        <v>4.7999999999999996E-3</v>
      </c>
      <c r="E50">
        <v>0.05</v>
      </c>
      <c r="F50" t="s">
        <v>1007</v>
      </c>
      <c r="G50">
        <f>50.49/36*E50</f>
        <v>7.0125000000000007E-2</v>
      </c>
    </row>
    <row r="51" spans="1:8">
      <c r="A51" t="s">
        <v>1012</v>
      </c>
      <c r="B51">
        <v>0.77200000000000002</v>
      </c>
      <c r="C51" t="s">
        <v>1007</v>
      </c>
      <c r="D51" s="169">
        <v>0.21110000000000001</v>
      </c>
      <c r="E51">
        <v>2.11</v>
      </c>
      <c r="F51" t="s">
        <v>1007</v>
      </c>
      <c r="G51">
        <f>44.69/30*E51</f>
        <v>3.1431966666666664</v>
      </c>
    </row>
    <row r="52" spans="1:8">
      <c r="A52" t="s">
        <v>1013</v>
      </c>
      <c r="B52">
        <v>0.79</v>
      </c>
      <c r="C52" t="s">
        <v>1007</v>
      </c>
      <c r="D52" s="169">
        <v>0.21609999999999999</v>
      </c>
      <c r="E52">
        <v>2.16</v>
      </c>
      <c r="F52" t="s">
        <v>1007</v>
      </c>
      <c r="G52">
        <f>47.25/35*E52</f>
        <v>2.9160000000000004</v>
      </c>
    </row>
    <row r="53" spans="1:8">
      <c r="A53" t="s">
        <v>998</v>
      </c>
      <c r="B53">
        <v>1.7999999999999999E-2</v>
      </c>
      <c r="C53" t="s">
        <v>1007</v>
      </c>
      <c r="D53" s="169">
        <v>4.7999999999999996E-3</v>
      </c>
      <c r="E53">
        <v>0.05</v>
      </c>
      <c r="F53" t="s">
        <v>1007</v>
      </c>
      <c r="G53">
        <f>8.89/2*E53</f>
        <v>0.22225000000000003</v>
      </c>
    </row>
    <row r="54" spans="1:8">
      <c r="B54">
        <f>SUM(B46:B53)</f>
        <v>3.6559999999999997</v>
      </c>
      <c r="E54">
        <v>9.5</v>
      </c>
      <c r="F54" t="s">
        <v>1007</v>
      </c>
      <c r="G54">
        <f>SUM(G46:G53)</f>
        <v>19.547621666666664</v>
      </c>
    </row>
    <row r="55" spans="1:8">
      <c r="G55">
        <f>G54/E54</f>
        <v>2.0576443859649118</v>
      </c>
      <c r="H55" t="s">
        <v>1004</v>
      </c>
    </row>
    <row r="56" spans="1:8">
      <c r="G56">
        <f>G55/450*60</f>
        <v>0.2743525847953216</v>
      </c>
    </row>
    <row r="57" spans="1:8">
      <c r="G57">
        <f>G56*1.05*1.1</f>
        <v>0.31687723543859647</v>
      </c>
    </row>
    <row r="60" spans="1:8">
      <c r="A60" s="170" t="s">
        <v>1015</v>
      </c>
      <c r="B60" t="s">
        <v>988</v>
      </c>
    </row>
    <row r="61" spans="1:8">
      <c r="A61" t="s">
        <v>1016</v>
      </c>
      <c r="B61">
        <f>1.9/39</f>
        <v>4.8717948717948718E-2</v>
      </c>
      <c r="C61" t="s">
        <v>1007</v>
      </c>
      <c r="D61">
        <f>E81*B61</f>
        <v>7.2209348279581934E-2</v>
      </c>
    </row>
    <row r="62" spans="1:8">
      <c r="A62" t="s">
        <v>1017</v>
      </c>
      <c r="B62">
        <f>4.6/39/2</f>
        <v>5.8974358974358973E-2</v>
      </c>
      <c r="C62" t="s">
        <v>1007</v>
      </c>
      <c r="D62">
        <f>E91*B62</f>
        <v>0.21749108169819026</v>
      </c>
    </row>
    <row r="63" spans="1:8">
      <c r="A63" t="s">
        <v>1018</v>
      </c>
      <c r="B63">
        <f>0.7/39/2</f>
        <v>8.9743589743589737E-3</v>
      </c>
      <c r="C63" t="s">
        <v>1007</v>
      </c>
      <c r="D63">
        <f>E100*B63</f>
        <v>2.895521438926672E-2</v>
      </c>
    </row>
    <row r="64" spans="1:8">
      <c r="A64" t="s">
        <v>1019</v>
      </c>
      <c r="B64">
        <f>20/450</f>
        <v>4.4444444444444446E-2</v>
      </c>
      <c r="C64" t="s">
        <v>1007</v>
      </c>
      <c r="D64">
        <f>E110*B64</f>
        <v>0.14002226467668036</v>
      </c>
    </row>
    <row r="65" spans="1:5">
      <c r="A65" t="s">
        <v>1020</v>
      </c>
      <c r="B65">
        <f>2/450</f>
        <v>4.4444444444444444E-3</v>
      </c>
      <c r="C65" t="s">
        <v>1007</v>
      </c>
      <c r="D65">
        <f>7*B65</f>
        <v>3.111111111111111E-2</v>
      </c>
    </row>
    <row r="66" spans="1:5">
      <c r="B66">
        <f>SUM(B61:B65)</f>
        <v>0.16555555555555557</v>
      </c>
      <c r="C66" t="s">
        <v>1007</v>
      </c>
      <c r="D66">
        <f>SUM(D61:D65)</f>
        <v>0.48978902015483039</v>
      </c>
      <c r="E66">
        <f>D66*1.05*1.1</f>
        <v>0.56570631827882922</v>
      </c>
    </row>
    <row r="67" spans="1:5">
      <c r="B67">
        <f>B66*450</f>
        <v>74.5</v>
      </c>
    </row>
    <row r="71" spans="1:5">
      <c r="A71" t="s">
        <v>1016</v>
      </c>
    </row>
    <row r="72" spans="1:5">
      <c r="A72" t="s">
        <v>1021</v>
      </c>
      <c r="B72" s="113">
        <v>0.443</v>
      </c>
      <c r="C72">
        <v>6470.1930000000002</v>
      </c>
      <c r="D72" t="s">
        <v>1007</v>
      </c>
      <c r="E72">
        <f>11.35/25*C72</f>
        <v>2937.4676219999997</v>
      </c>
    </row>
    <row r="73" spans="1:5">
      <c r="A73" t="s">
        <v>992</v>
      </c>
      <c r="B73" s="113">
        <v>0.114</v>
      </c>
      <c r="C73">
        <v>1659.0239999999999</v>
      </c>
      <c r="D73" t="s">
        <v>1007</v>
      </c>
      <c r="E73">
        <f>41.85/50*C73</f>
        <v>1388.6030880000001</v>
      </c>
    </row>
    <row r="74" spans="1:5">
      <c r="A74" t="s">
        <v>1022</v>
      </c>
      <c r="B74" s="113">
        <v>0.114</v>
      </c>
      <c r="C74">
        <v>1659.0239999999999</v>
      </c>
      <c r="D74" t="s">
        <v>1007</v>
      </c>
      <c r="E74">
        <f>26.89/25*C74</f>
        <v>1784.4462144000001</v>
      </c>
    </row>
    <row r="75" spans="1:5">
      <c r="A75" t="s">
        <v>1023</v>
      </c>
      <c r="B75" s="113">
        <v>6.0000000000000001E-3</v>
      </c>
      <c r="C75">
        <v>82.950999999999993</v>
      </c>
      <c r="D75" t="s">
        <v>1007</v>
      </c>
      <c r="E75">
        <f>30.29/24*C75</f>
        <v>104.69107458333332</v>
      </c>
    </row>
    <row r="76" spans="1:5">
      <c r="A76" t="s">
        <v>1024</v>
      </c>
      <c r="B76" s="113">
        <v>4.0000000000000001E-3</v>
      </c>
      <c r="C76">
        <v>55.301000000000002</v>
      </c>
      <c r="D76" t="s">
        <v>1007</v>
      </c>
      <c r="E76">
        <f>50.49/36*C76</f>
        <v>77.559652500000013</v>
      </c>
    </row>
    <row r="77" spans="1:5">
      <c r="A77" t="s">
        <v>996</v>
      </c>
      <c r="B77" s="113">
        <v>5.7000000000000002E-2</v>
      </c>
      <c r="C77">
        <v>829.51199999999994</v>
      </c>
      <c r="D77" t="s">
        <v>1007</v>
      </c>
      <c r="E77">
        <f>44.69/30*C77</f>
        <v>1235.6963759999999</v>
      </c>
    </row>
    <row r="78" spans="1:5">
      <c r="A78" t="s">
        <v>1025</v>
      </c>
      <c r="B78" s="113">
        <v>8.0000000000000002E-3</v>
      </c>
      <c r="C78">
        <v>110.602</v>
      </c>
      <c r="D78" t="s">
        <v>1007</v>
      </c>
      <c r="E78">
        <f>8.89/2*C78</f>
        <v>491.62589000000003</v>
      </c>
    </row>
    <row r="79" spans="1:5">
      <c r="A79" t="s">
        <v>1026</v>
      </c>
      <c r="B79" s="113">
        <v>0.25700000000000001</v>
      </c>
      <c r="C79">
        <v>3749.3939999999998</v>
      </c>
      <c r="D79" t="s">
        <v>1007</v>
      </c>
      <c r="E79">
        <f>131/36*C79</f>
        <v>13643.628166666665</v>
      </c>
    </row>
    <row r="80" spans="1:5">
      <c r="C80">
        <f>SUM(C72:C79)</f>
        <v>14616.001</v>
      </c>
      <c r="E80">
        <f>SUM(E72:E79)</f>
        <v>21663.718084149998</v>
      </c>
    </row>
    <row r="81" spans="1:5">
      <c r="E81">
        <f>E80/C80</f>
        <v>1.482191885738787</v>
      </c>
    </row>
    <row r="83" spans="1:5">
      <c r="A83" t="s">
        <v>1017</v>
      </c>
    </row>
    <row r="84" spans="1:5">
      <c r="A84" t="s">
        <v>1002</v>
      </c>
      <c r="B84">
        <v>2.5999999999999999E-2</v>
      </c>
      <c r="C84">
        <v>0.13</v>
      </c>
      <c r="D84" t="s">
        <v>1007</v>
      </c>
      <c r="E84">
        <f>56.39/50*C84</f>
        <v>0.14661399999999999</v>
      </c>
    </row>
    <row r="85" spans="1:5">
      <c r="A85" t="s">
        <v>992</v>
      </c>
      <c r="B85">
        <v>9.9000000000000005E-2</v>
      </c>
      <c r="C85">
        <v>0.495</v>
      </c>
      <c r="D85" t="s">
        <v>1007</v>
      </c>
      <c r="E85">
        <f>41.85/50*C85</f>
        <v>0.41431500000000004</v>
      </c>
    </row>
    <row r="86" spans="1:5">
      <c r="A86" t="s">
        <v>1027</v>
      </c>
      <c r="B86">
        <v>0.01</v>
      </c>
      <c r="C86">
        <v>0.05</v>
      </c>
      <c r="D86" t="s">
        <v>1007</v>
      </c>
      <c r="E86">
        <f>38.69/12/2*C86</f>
        <v>8.0604166666666671E-2</v>
      </c>
    </row>
    <row r="87" spans="1:5">
      <c r="A87" t="s">
        <v>1028</v>
      </c>
      <c r="B87">
        <v>0.11899999999999999</v>
      </c>
      <c r="C87">
        <v>0.59399999999999997</v>
      </c>
      <c r="D87" t="s">
        <v>1007</v>
      </c>
      <c r="E87">
        <f>72.49/10*C87</f>
        <v>4.3059059999999993</v>
      </c>
    </row>
    <row r="88" spans="1:5">
      <c r="A88" t="s">
        <v>1029</v>
      </c>
      <c r="B88">
        <v>0.628</v>
      </c>
      <c r="C88">
        <v>3.1379999999999999</v>
      </c>
      <c r="D88" t="s">
        <v>1007</v>
      </c>
      <c r="E88">
        <f>36.95/10*C88</f>
        <v>11.59491</v>
      </c>
    </row>
    <row r="89" spans="1:5">
      <c r="A89" t="s">
        <v>1030</v>
      </c>
      <c r="B89">
        <v>0.11899999999999999</v>
      </c>
      <c r="C89">
        <v>0.59399999999999997</v>
      </c>
      <c r="D89" t="s">
        <v>1007</v>
      </c>
      <c r="E89">
        <f>3.2*C89</f>
        <v>1.9008</v>
      </c>
    </row>
    <row r="90" spans="1:5">
      <c r="C90">
        <f>SUM(C84:C89)</f>
        <v>5.0010000000000003</v>
      </c>
      <c r="E90">
        <f>SUM(E84:E89)</f>
        <v>18.443149166666668</v>
      </c>
    </row>
    <row r="91" spans="1:5">
      <c r="E91">
        <f>E90/C90</f>
        <v>3.6878922548823567</v>
      </c>
    </row>
    <row r="93" spans="1:5">
      <c r="A93" t="s">
        <v>1018</v>
      </c>
    </row>
    <row r="94" spans="1:5">
      <c r="A94" t="s">
        <v>1031</v>
      </c>
      <c r="B94">
        <v>0.745</v>
      </c>
      <c r="C94">
        <v>4011.92</v>
      </c>
      <c r="D94" t="s">
        <v>1007</v>
      </c>
      <c r="E94">
        <f>91.29/28*C94</f>
        <v>13080.29202857143</v>
      </c>
    </row>
    <row r="95" spans="1:5">
      <c r="A95" t="s">
        <v>1032</v>
      </c>
      <c r="B95">
        <v>1.0999999999999999E-2</v>
      </c>
      <c r="C95">
        <v>60.179000000000002</v>
      </c>
      <c r="D95" t="s">
        <v>1007</v>
      </c>
      <c r="E95">
        <f>22.45/12.5*16*C95</f>
        <v>1729.3037440000001</v>
      </c>
    </row>
    <row r="96" spans="1:5">
      <c r="A96" t="s">
        <v>1033</v>
      </c>
      <c r="B96">
        <v>0.184</v>
      </c>
      <c r="C96">
        <v>991.947</v>
      </c>
      <c r="D96" t="s">
        <v>1007</v>
      </c>
      <c r="E96">
        <f>70.99/50*C96</f>
        <v>1408.3663506</v>
      </c>
    </row>
    <row r="97" spans="1:5">
      <c r="A97" t="s">
        <v>1034</v>
      </c>
      <c r="B97">
        <v>4.0000000000000001E-3</v>
      </c>
      <c r="C97">
        <v>20.059999999999999</v>
      </c>
      <c r="D97" t="s">
        <v>1007</v>
      </c>
      <c r="E97">
        <f>20.69/6/18*16*C97</f>
        <v>61.487614814814819</v>
      </c>
    </row>
    <row r="98" spans="1:5">
      <c r="A98" t="s">
        <v>1035</v>
      </c>
      <c r="B98">
        <v>5.6000000000000001E-2</v>
      </c>
      <c r="C98">
        <v>300.89400000000001</v>
      </c>
      <c r="D98" t="s">
        <v>1007</v>
      </c>
      <c r="E98">
        <f>131/36*C98</f>
        <v>1094.9198333333334</v>
      </c>
    </row>
    <row r="99" spans="1:5">
      <c r="C99">
        <f>SUM(C94:C98)</f>
        <v>5385.0000000000009</v>
      </c>
      <c r="E99">
        <f>SUM(E94:E98)</f>
        <v>17374.369571319578</v>
      </c>
    </row>
    <row r="100" spans="1:5">
      <c r="E100">
        <f>E99/C99</f>
        <v>3.2264381748040063</v>
      </c>
    </row>
    <row r="102" spans="1:5">
      <c r="A102" t="s">
        <v>1019</v>
      </c>
    </row>
    <row r="103" spans="1:5">
      <c r="A103" t="s">
        <v>1036</v>
      </c>
      <c r="B103">
        <v>0.64</v>
      </c>
      <c r="C103">
        <v>25590.55</v>
      </c>
      <c r="D103" t="s">
        <v>1007</v>
      </c>
      <c r="E103">
        <f>21.45/4/128*16*C103</f>
        <v>17153.665546875</v>
      </c>
    </row>
    <row r="104" spans="1:5">
      <c r="A104" t="s">
        <v>1037</v>
      </c>
      <c r="B104">
        <v>0.14799999999999999</v>
      </c>
      <c r="C104">
        <v>5905.5119999999997</v>
      </c>
      <c r="D104" t="s">
        <v>1007</v>
      </c>
      <c r="E104">
        <f>72.49/10*C104</f>
        <v>42809.056487999995</v>
      </c>
    </row>
    <row r="105" spans="1:5">
      <c r="A105" t="s">
        <v>1038</v>
      </c>
      <c r="B105">
        <v>0.19700000000000001</v>
      </c>
      <c r="C105">
        <v>7874.0159999999996</v>
      </c>
      <c r="D105" t="s">
        <v>1007</v>
      </c>
      <c r="E105">
        <f>89.64/11*C105</f>
        <v>64166.072203636359</v>
      </c>
    </row>
    <row r="106" spans="1:5">
      <c r="A106" t="s">
        <v>1039</v>
      </c>
      <c r="B106">
        <v>8.0000000000000002E-3</v>
      </c>
      <c r="C106">
        <v>314.96100000000001</v>
      </c>
      <c r="D106" t="s">
        <v>1007</v>
      </c>
      <c r="E106">
        <f>8.89/2*C106</f>
        <v>1400.0016450000001</v>
      </c>
    </row>
    <row r="107" spans="1:5">
      <c r="A107" t="s">
        <v>1040</v>
      </c>
      <c r="B107">
        <v>2E-3</v>
      </c>
      <c r="C107">
        <v>78.739999999999995</v>
      </c>
      <c r="D107" t="s">
        <v>1007</v>
      </c>
      <c r="E107">
        <f>50.49/36*C107</f>
        <v>110.43285</v>
      </c>
    </row>
    <row r="108" spans="1:5">
      <c r="A108" t="s">
        <v>1001</v>
      </c>
      <c r="B108">
        <v>6.0000000000000001E-3</v>
      </c>
      <c r="C108">
        <v>236.22</v>
      </c>
      <c r="D108" t="s">
        <v>1007</v>
      </c>
      <c r="E108">
        <f>38.69/12/2*C108</f>
        <v>380.80632500000002</v>
      </c>
    </row>
    <row r="109" spans="1:5">
      <c r="C109">
        <f>SUM(C103:C108)</f>
        <v>39999.998999999996</v>
      </c>
      <c r="E109">
        <f>SUM(E103:E108)</f>
        <v>126020.03505851135</v>
      </c>
    </row>
    <row r="110" spans="1:5">
      <c r="E110">
        <f>E109/C109</f>
        <v>3.1505009552253078</v>
      </c>
    </row>
    <row r="114" spans="1:6">
      <c r="A114" s="170" t="s">
        <v>1041</v>
      </c>
    </row>
    <row r="115" spans="1:6">
      <c r="A115" t="s">
        <v>1042</v>
      </c>
      <c r="B115">
        <v>0.37</v>
      </c>
      <c r="C115">
        <v>13.0031</v>
      </c>
      <c r="D115" t="s">
        <v>1007</v>
      </c>
      <c r="E115">
        <f>25.99/12/3*16</f>
        <v>11.55111111111111</v>
      </c>
    </row>
    <row r="116" spans="1:6">
      <c r="A116" t="s">
        <v>1043</v>
      </c>
      <c r="B116">
        <v>0.56999999999999995</v>
      </c>
      <c r="C116">
        <v>19.808399999999999</v>
      </c>
      <c r="D116" t="s">
        <v>1007</v>
      </c>
      <c r="E116">
        <f>21.45/4/128*16*C116</f>
        <v>13.277818125</v>
      </c>
    </row>
    <row r="117" spans="1:6">
      <c r="A117" t="s">
        <v>1044</v>
      </c>
      <c r="B117">
        <v>0.06</v>
      </c>
      <c r="C117">
        <v>2.1873999999999998</v>
      </c>
      <c r="D117" t="s">
        <v>1007</v>
      </c>
      <c r="E117">
        <f>82.65/6*C117</f>
        <v>30.131434999999996</v>
      </c>
    </row>
    <row r="118" spans="1:6">
      <c r="C118">
        <f>SUM(C115:C117)</f>
        <v>34.998899999999992</v>
      </c>
      <c r="E118">
        <f>SUM(E115:E117)</f>
        <v>54.960364236111104</v>
      </c>
    </row>
    <row r="119" spans="1:6">
      <c r="E119">
        <f>E118/C118</f>
        <v>1.5703454747466667</v>
      </c>
    </row>
    <row r="120" spans="1:6">
      <c r="E120">
        <f>E119/450*60</f>
        <v>0.2093793966328889</v>
      </c>
      <c r="F120">
        <f>E120*1.1</f>
        <v>0.23031733629617782</v>
      </c>
    </row>
    <row r="122" spans="1:6">
      <c r="A122" t="s">
        <v>1045</v>
      </c>
      <c r="E122">
        <f>7/450*5</f>
        <v>7.7777777777777779E-2</v>
      </c>
    </row>
    <row r="123" spans="1:6">
      <c r="E123">
        <f>E122+F120</f>
        <v>0.30809511407395562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60CDE7020FBE4F987D5680CBA97CD3" ma:contentTypeVersion="10" ma:contentTypeDescription="Create a new document." ma:contentTypeScope="" ma:versionID="4fbed0173a2ebcc74ba7d005722587c6">
  <xsd:schema xmlns:xsd="http://www.w3.org/2001/XMLSchema" xmlns:xs="http://www.w3.org/2001/XMLSchema" xmlns:p="http://schemas.microsoft.com/office/2006/metadata/properties" xmlns:ns2="042478ca-ca2d-4d01-83eb-90396d5625e9" xmlns:ns3="70b03f2f-74c7-4926-a36d-d4bdb9e02d45" targetNamespace="http://schemas.microsoft.com/office/2006/metadata/properties" ma:root="true" ma:fieldsID="1e47617018f8bf8a4d157a39e72236d1" ns2:_="" ns3:_="">
    <xsd:import namespace="042478ca-ca2d-4d01-83eb-90396d5625e9"/>
    <xsd:import namespace="70b03f2f-74c7-4926-a36d-d4bdb9e02d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EventHashCode" minOccurs="0"/>
                <xsd:element ref="ns2:MediaServiceOCR"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2478ca-ca2d-4d01-83eb-90396d562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b03f2f-74c7-4926-a36d-d4bdb9e02d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cd25fd-8387-47a0-a3a2-f48b21d35c24}" ma:internalName="TaxCatchAll" ma:showField="CatchAllData" ma:web="70b03f2f-74c7-4926-a36d-d4bdb9e02d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42478ca-ca2d-4d01-83eb-90396d5625e9">
      <Terms xmlns="http://schemas.microsoft.com/office/infopath/2007/PartnerControls"/>
    </lcf76f155ced4ddcb4097134ff3c332f>
    <TaxCatchAll xmlns="70b03f2f-74c7-4926-a36d-d4bdb9e02d45" xsi:nil="true"/>
  </documentManagement>
</p:properties>
</file>

<file path=customXml/itemProps1.xml><?xml version="1.0" encoding="utf-8"?>
<ds:datastoreItem xmlns:ds="http://schemas.openxmlformats.org/officeDocument/2006/customXml" ds:itemID="{19C7A03C-6546-469F-8411-4B59EEC4177F}">
  <ds:schemaRefs>
    <ds:schemaRef ds:uri="http://schemas.microsoft.com/sharepoint/v3/contenttype/forms"/>
  </ds:schemaRefs>
</ds:datastoreItem>
</file>

<file path=customXml/itemProps2.xml><?xml version="1.0" encoding="utf-8"?>
<ds:datastoreItem xmlns:ds="http://schemas.openxmlformats.org/officeDocument/2006/customXml" ds:itemID="{AA5F5FA5-C19A-4402-9761-DCAA5884C206}"/>
</file>

<file path=customXml/itemProps3.xml><?xml version="1.0" encoding="utf-8"?>
<ds:datastoreItem xmlns:ds="http://schemas.openxmlformats.org/officeDocument/2006/customXml" ds:itemID="{1B321509-F9E0-4889-B1CD-7994E04532AC}">
  <ds:schemaRefs>
    <ds:schemaRef ds:uri="http://purl.org/dc/terms/"/>
    <ds:schemaRef ds:uri="http://schemas.microsoft.com/office/2006/documentManagement/types"/>
    <ds:schemaRef ds:uri="http://www.w3.org/XML/1998/namespace"/>
    <ds:schemaRef ds:uri="http://schemas.microsoft.com/office/infopath/2007/PartnerControls"/>
    <ds:schemaRef ds:uri="http://schemas.microsoft.com/office/2006/metadata/properties"/>
    <ds:schemaRef ds:uri="http://purl.org/dc/dcmitype/"/>
    <ds:schemaRef ds:uri="1cca795c-b702-4d9c-a00f-4ea8e3fb1866"/>
    <ds:schemaRef ds:uri="http://schemas.openxmlformats.org/package/2006/metadata/core-properties"/>
    <ds:schemaRef ds:uri="8be24d1f-f08e-46a7-9c6b-0452813a2a77"/>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vt:lpstr>
      <vt:lpstr>CS C C1-3</vt:lpstr>
      <vt:lpstr>CS Y C1-3</vt:lpstr>
      <vt:lpstr>CS M C1-3</vt:lpstr>
      <vt:lpstr>CS P K C3</vt:lpstr>
      <vt:lpstr>COST OF INGREDIENT</vt:lpstr>
      <vt:lpstr>BC spml calculation</vt:lpstr>
      <vt:lpstr>YC SPML calculation</vt:lpstr>
      <vt:lpstr>DESSERT BREAKDOWN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Sue  Lu</dc:creator>
  <cp:keywords/>
  <dc:description/>
  <cp:lastModifiedBy>Sue  Lu</cp:lastModifiedBy>
  <cp:revision/>
  <dcterms:created xsi:type="dcterms:W3CDTF">2024-02-23T19:31:22Z</dcterms:created>
  <dcterms:modified xsi:type="dcterms:W3CDTF">2024-07-25T18:58:56Z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0x0101000560CDE7020FBE4F987D5680CBA97CD3</vt:lpwstr>
  </property>
</Properties>
</file>