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04"/>
  <workbookPr/>
  <mc:AlternateContent xmlns:mc="http://schemas.openxmlformats.org/markup-compatibility/2006">
    <mc:Choice Requires="x15">
      <x15ac:absPath xmlns:x15ac="http://schemas.microsoft.com/office/spreadsheetml/2010/11/ac" url="https://goldberggroup.sharepoint.com/sites/ScandinavianAirlines/Shared Documents/General/MENU PROPOSAL/"/>
    </mc:Choice>
  </mc:AlternateContent>
  <xr:revisionPtr revIDLastSave="11230" documentId="8_{68D413CC-E567-4070-863A-ACBBF49E1AAA}" xr6:coauthVersionLast="47" xr6:coauthVersionMax="47" xr10:uidLastSave="{B6F3A0E2-09EB-4824-B9AB-5920F013414C}"/>
  <bookViews>
    <workbookView xWindow="28680" yWindow="-15" windowWidth="29040" windowHeight="15720" tabRatio="691" firstSheet="3" activeTab="3" xr2:uid="{00000000-000D-0000-FFFF-FFFF00000000}"/>
  </bookViews>
  <sheets>
    <sheet name="PL spec codes C1-3" sheetId="5" state="hidden" r:id="rId1"/>
    <sheet name="SPML POML" sheetId="15" state="hidden" r:id="rId2"/>
    <sheet name="Read First" sheetId="14" r:id="rId3"/>
    <sheet name="CS C C1-3" sheetId="6" r:id="rId4"/>
    <sheet name="CS Y C1-3" sheetId="7" r:id="rId5"/>
    <sheet name="CS M C1-3" sheetId="8" r:id="rId6"/>
    <sheet name="CS P K C3" sheetId="10" r:id="rId7"/>
    <sheet name="CS X" sheetId="9" r:id="rId8"/>
    <sheet name="CS M Alt" sheetId="13" r:id="rId9"/>
    <sheet name="C Cost_Pax" sheetId="16" r:id="rId10"/>
    <sheet name="Y Cost_Pax" sheetId="18" r:id="rId11"/>
    <sheet name="M Cost_Pax" sheetId="19" r:id="rId12"/>
    <sheet name="IC-27" sheetId="23" r:id="rId13"/>
    <sheet name="IC-29" sheetId="24" r:id="rId14"/>
    <sheet name="CF" sheetId="20" r:id="rId15"/>
  </sheets>
  <externalReferences>
    <externalReference r:id="rId16"/>
  </externalReferences>
  <definedNames>
    <definedName name="_xlnm._FilterDatabase" localSheetId="9" hidden="1">'C Cost_Pax'!$A$3:$P$569</definedName>
    <definedName name="_xlnm._FilterDatabase" localSheetId="3" hidden="1">'CS C C1-3'!$A$3:$N$569</definedName>
    <definedName name="_xlnm._FilterDatabase" localSheetId="8" hidden="1">'CS M Alt'!$A$3:$N$16</definedName>
    <definedName name="_xlnm._FilterDatabase" localSheetId="5" hidden="1">'CS M C1-3'!$A$3:$N$231</definedName>
    <definedName name="_xlnm._FilterDatabase" localSheetId="6" hidden="1">'CS P K C3'!$A$3:$L$214</definedName>
    <definedName name="_xlnm._FilterDatabase" localSheetId="7" hidden="1">'CS X'!$A$3:$L$36</definedName>
    <definedName name="_xlnm._FilterDatabase" localSheetId="4" hidden="1">'CS Y C1-3'!$A$3:$N$232</definedName>
    <definedName name="_xlnm._FilterDatabase" localSheetId="11" hidden="1">'M Cost_Pax'!$A$3:$P$229</definedName>
    <definedName name="_xlnm._FilterDatabase" localSheetId="0" hidden="1">'PL spec codes C1-3'!$A$3:$K$192</definedName>
    <definedName name="_xlnm._FilterDatabase" localSheetId="10" hidden="1">'Y Cost_Pax'!$A$3:$P$226</definedName>
    <definedName name="_Hlk503992398" localSheetId="1">'SPML POML'!$C$3</definedName>
    <definedName name="_Order1" hidden="1">255</definedName>
    <definedName name="_Order2" hidden="1">0</definedName>
    <definedName name="_Sort" hidden="1">#REF!</definedName>
    <definedName name="CDﾚｰﾄ">#REF!</definedName>
    <definedName name="DATA">[1]DATA!$C:$J</definedName>
    <definedName name="DB_◆新マスタ09値">#REF!</definedName>
    <definedName name="DB_AF07Bコード">#REF!</definedName>
    <definedName name="DB_AF07Bコード新">#REF!</definedName>
    <definedName name="DB_NEW">#REF!</definedName>
    <definedName name="DB_SK07Bコード現">#REF!</definedName>
    <definedName name="Dddd" hidden="1">#REF!</definedName>
    <definedName name="JL0004_1月">"DB_JAL07便別情報"</definedName>
    <definedName name="MMレート">#REF!</definedName>
    <definedName name="Newagain">#REF!</definedName>
    <definedName name="Newagains">#REF!</definedName>
    <definedName name="Newcc">#REF!</definedName>
    <definedName name="Newname">#REF!</definedName>
    <definedName name="NEWSA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9" l="1"/>
  <c r="A18" i="9" s="1"/>
  <c r="M229" i="19"/>
  <c r="G117" i="19"/>
  <c r="G15" i="19"/>
  <c r="G4" i="19"/>
  <c r="G4" i="8"/>
  <c r="G16" i="8"/>
  <c r="H4" i="8"/>
  <c r="H4" i="19" s="1"/>
  <c r="H16" i="8"/>
  <c r="H15" i="19" s="1"/>
  <c r="H176" i="7"/>
  <c r="G176" i="7"/>
  <c r="H164" i="7"/>
  <c r="H159" i="18" s="1"/>
  <c r="G164" i="7"/>
  <c r="G20" i="7"/>
  <c r="H20" i="7"/>
  <c r="H17" i="18" s="1"/>
  <c r="H4" i="7"/>
  <c r="H4" i="18" s="1"/>
  <c r="G4" i="7"/>
  <c r="G4" i="18" s="1"/>
  <c r="A4" i="16"/>
  <c r="A565" i="16" s="1"/>
  <c r="A4" i="13"/>
  <c r="A12" i="13" s="1"/>
  <c r="A32" i="9"/>
  <c r="A4" i="10"/>
  <c r="A215" i="10" s="1"/>
  <c r="A4" i="8"/>
  <c r="A4" i="19" s="1"/>
  <c r="A221" i="19" s="1"/>
  <c r="A4" i="7"/>
  <c r="A226" i="7" s="1"/>
  <c r="G26" i="19"/>
  <c r="H227" i="19"/>
  <c r="H226" i="19"/>
  <c r="H225" i="19"/>
  <c r="H224" i="19"/>
  <c r="H223" i="19"/>
  <c r="H222" i="19"/>
  <c r="H221" i="19"/>
  <c r="H220" i="19"/>
  <c r="H219" i="19"/>
  <c r="H218" i="19"/>
  <c r="I229" i="19"/>
  <c r="G28" i="8"/>
  <c r="G39" i="8"/>
  <c r="G37" i="19" s="1"/>
  <c r="G50" i="8"/>
  <c r="G61" i="8"/>
  <c r="G72" i="8"/>
  <c r="G83" i="8"/>
  <c r="G94" i="8"/>
  <c r="G99" i="8"/>
  <c r="G104" i="8"/>
  <c r="G109" i="8"/>
  <c r="G114" i="8"/>
  <c r="G119" i="8"/>
  <c r="G124" i="8"/>
  <c r="G129" i="8"/>
  <c r="G134" i="8"/>
  <c r="G139" i="8"/>
  <c r="G144" i="8"/>
  <c r="G149" i="8"/>
  <c r="G154" i="8"/>
  <c r="G165" i="8"/>
  <c r="G176" i="8"/>
  <c r="G187" i="8"/>
  <c r="G198" i="8"/>
  <c r="G209" i="8"/>
  <c r="G112" i="19"/>
  <c r="H119" i="8"/>
  <c r="H117" i="19" s="1"/>
  <c r="H114" i="8"/>
  <c r="H112" i="19" s="1"/>
  <c r="H109" i="8"/>
  <c r="H107" i="19" s="1"/>
  <c r="I222" i="8"/>
  <c r="I220" i="19" s="1"/>
  <c r="M220" i="19" s="1"/>
  <c r="I561" i="6"/>
  <c r="F8" i="20"/>
  <c r="F7" i="20"/>
  <c r="E8" i="20"/>
  <c r="E7" i="20"/>
  <c r="D8" i="20"/>
  <c r="D7" i="20"/>
  <c r="I226" i="18"/>
  <c r="M226" i="18" s="1"/>
  <c r="G227" i="19"/>
  <c r="G226" i="19"/>
  <c r="G225" i="19"/>
  <c r="G224" i="19"/>
  <c r="G223" i="19"/>
  <c r="G222" i="19"/>
  <c r="G221" i="19"/>
  <c r="G220" i="19"/>
  <c r="G219" i="19"/>
  <c r="G218" i="19"/>
  <c r="G137" i="19"/>
  <c r="G122" i="19"/>
  <c r="G92" i="19"/>
  <c r="G59" i="19"/>
  <c r="I569" i="16"/>
  <c r="M569" i="16" s="1"/>
  <c r="H225" i="18"/>
  <c r="H224" i="18"/>
  <c r="H223" i="18"/>
  <c r="H222" i="18"/>
  <c r="H221" i="18"/>
  <c r="H220" i="18"/>
  <c r="H219" i="18"/>
  <c r="H218" i="18"/>
  <c r="H217" i="18"/>
  <c r="H216" i="18"/>
  <c r="H215" i="18"/>
  <c r="H214" i="18"/>
  <c r="G225" i="18"/>
  <c r="G224" i="18"/>
  <c r="G223" i="18"/>
  <c r="G222" i="18"/>
  <c r="G221" i="18"/>
  <c r="G220" i="18"/>
  <c r="G219" i="18"/>
  <c r="G218" i="18"/>
  <c r="G217" i="18"/>
  <c r="G216" i="18"/>
  <c r="G215" i="18"/>
  <c r="G214" i="18"/>
  <c r="H181" i="18"/>
  <c r="G181" i="18"/>
  <c r="H144" i="18"/>
  <c r="G144" i="18"/>
  <c r="H129" i="18"/>
  <c r="G129" i="18"/>
  <c r="H96" i="18"/>
  <c r="G96" i="18"/>
  <c r="H63" i="18"/>
  <c r="G63" i="18"/>
  <c r="H30" i="18"/>
  <c r="G30" i="18"/>
  <c r="H568" i="16"/>
  <c r="H567" i="16"/>
  <c r="H566" i="16"/>
  <c r="H565" i="16"/>
  <c r="H564" i="16"/>
  <c r="H563" i="16"/>
  <c r="H562" i="16"/>
  <c r="H561" i="16"/>
  <c r="H560" i="16"/>
  <c r="H559" i="16"/>
  <c r="H558" i="16"/>
  <c r="H557" i="16"/>
  <c r="G568" i="16"/>
  <c r="G567" i="16"/>
  <c r="G566" i="16"/>
  <c r="G565" i="16"/>
  <c r="G564" i="16"/>
  <c r="G563" i="16"/>
  <c r="G562" i="16"/>
  <c r="G561" i="16"/>
  <c r="G560" i="16"/>
  <c r="G559" i="16"/>
  <c r="G558" i="16"/>
  <c r="G557" i="16"/>
  <c r="H524" i="16"/>
  <c r="G524" i="16"/>
  <c r="H509" i="16"/>
  <c r="G509" i="16"/>
  <c r="H476" i="16"/>
  <c r="G476" i="16"/>
  <c r="H443" i="16"/>
  <c r="G443" i="16"/>
  <c r="H404" i="16"/>
  <c r="G404" i="16"/>
  <c r="H389" i="16"/>
  <c r="G389" i="16"/>
  <c r="H374" i="16"/>
  <c r="G374" i="16"/>
  <c r="H359" i="16"/>
  <c r="G359" i="16"/>
  <c r="H344" i="16"/>
  <c r="G344" i="16"/>
  <c r="H311" i="16"/>
  <c r="G311" i="16"/>
  <c r="H296" i="16"/>
  <c r="G296" i="16"/>
  <c r="H281" i="16"/>
  <c r="G281" i="16"/>
  <c r="H266" i="16"/>
  <c r="G266" i="16"/>
  <c r="H251" i="16"/>
  <c r="G251" i="16"/>
  <c r="H218" i="16"/>
  <c r="G218" i="16"/>
  <c r="H185" i="16"/>
  <c r="G185" i="16"/>
  <c r="H152" i="16"/>
  <c r="G152" i="16"/>
  <c r="H137" i="16"/>
  <c r="G137" i="16"/>
  <c r="H104" i="16"/>
  <c r="G104" i="16"/>
  <c r="H71" i="16"/>
  <c r="G71" i="16"/>
  <c r="H56" i="16"/>
  <c r="G56" i="16"/>
  <c r="H41" i="16"/>
  <c r="G41" i="16"/>
  <c r="H26" i="16"/>
  <c r="G26" i="16"/>
  <c r="G12" i="13"/>
  <c r="H431" i="6"/>
  <c r="H431" i="16" s="1"/>
  <c r="G431" i="6"/>
  <c r="G431" i="16" s="1"/>
  <c r="A431" i="6"/>
  <c r="A15" i="6"/>
  <c r="H15" i="6"/>
  <c r="H15" i="16" s="1"/>
  <c r="G15" i="6"/>
  <c r="G15" i="16" s="1"/>
  <c r="H198" i="8"/>
  <c r="H196" i="19" s="1"/>
  <c r="H176" i="8"/>
  <c r="H174" i="19" s="1"/>
  <c r="H154" i="8"/>
  <c r="H152" i="19" s="1"/>
  <c r="H149" i="8"/>
  <c r="H147" i="19" s="1"/>
  <c r="H144" i="8"/>
  <c r="H142" i="19" s="1"/>
  <c r="H139" i="8"/>
  <c r="H137" i="19" s="1"/>
  <c r="H129" i="8"/>
  <c r="H127" i="19" s="1"/>
  <c r="H134" i="8"/>
  <c r="H132" i="19" s="1"/>
  <c r="H50" i="8"/>
  <c r="H48" i="19" s="1"/>
  <c r="H39" i="8"/>
  <c r="H37" i="19" s="1"/>
  <c r="H170" i="18"/>
  <c r="G17" i="18"/>
  <c r="H159" i="7"/>
  <c r="H154" i="18" s="1"/>
  <c r="G159" i="7"/>
  <c r="G154" i="18" s="1"/>
  <c r="H149" i="7"/>
  <c r="G149" i="7"/>
  <c r="H414" i="6"/>
  <c r="H414" i="16" s="1"/>
  <c r="G414" i="6"/>
  <c r="G414" i="16" s="1"/>
  <c r="A414" i="6"/>
  <c r="H409" i="6"/>
  <c r="H409" i="16" s="1"/>
  <c r="G409" i="6"/>
  <c r="G409" i="16" s="1"/>
  <c r="A409" i="6"/>
  <c r="H394" i="6"/>
  <c r="H394" i="16" s="1"/>
  <c r="G394" i="6"/>
  <c r="G394" i="16" s="1"/>
  <c r="A394" i="6"/>
  <c r="H399" i="6"/>
  <c r="H399" i="16" s="1"/>
  <c r="G399" i="6"/>
  <c r="G399" i="16" s="1"/>
  <c r="A399" i="6"/>
  <c r="H379" i="6"/>
  <c r="H379" i="16" s="1"/>
  <c r="G379" i="6"/>
  <c r="G379" i="16" s="1"/>
  <c r="A379" i="6"/>
  <c r="H384" i="6"/>
  <c r="H384" i="16" s="1"/>
  <c r="G384" i="6"/>
  <c r="G384" i="16" s="1"/>
  <c r="A384" i="6"/>
  <c r="H369" i="6"/>
  <c r="H369" i="16" s="1"/>
  <c r="G369" i="6"/>
  <c r="G369" i="16" s="1"/>
  <c r="A369" i="6"/>
  <c r="H364" i="6"/>
  <c r="H364" i="16" s="1"/>
  <c r="G364" i="6"/>
  <c r="G364" i="16" s="1"/>
  <c r="A364" i="6"/>
  <c r="G344" i="6"/>
  <c r="H354" i="6"/>
  <c r="H354" i="16" s="1"/>
  <c r="G354" i="6"/>
  <c r="G354" i="16" s="1"/>
  <c r="A354" i="6"/>
  <c r="H349" i="6"/>
  <c r="H349" i="16" s="1"/>
  <c r="G349" i="6"/>
  <c r="G349" i="16" s="1"/>
  <c r="A349" i="6"/>
  <c r="A104" i="6"/>
  <c r="G104" i="6"/>
  <c r="H104" i="6"/>
  <c r="G56" i="6"/>
  <c r="H61" i="6"/>
  <c r="H61" i="16" s="1"/>
  <c r="G61" i="6"/>
  <c r="G61" i="16" s="1"/>
  <c r="H66" i="6"/>
  <c r="H66" i="16" s="1"/>
  <c r="G66" i="6"/>
  <c r="G66" i="16" s="1"/>
  <c r="A66" i="6"/>
  <c r="A61" i="6"/>
  <c r="H12" i="13"/>
  <c r="I12" i="13"/>
  <c r="H8" i="13"/>
  <c r="G8" i="13"/>
  <c r="I8" i="13" s="1"/>
  <c r="H4" i="13"/>
  <c r="G4" i="13"/>
  <c r="A16" i="13"/>
  <c r="A8" i="13"/>
  <c r="I5" i="9"/>
  <c r="I6" i="9"/>
  <c r="I7" i="9"/>
  <c r="I8" i="9"/>
  <c r="I9" i="9"/>
  <c r="I10" i="9"/>
  <c r="I11" i="9"/>
  <c r="I12" i="9"/>
  <c r="I4" i="9"/>
  <c r="H26" i="6"/>
  <c r="G26" i="6"/>
  <c r="H137" i="6"/>
  <c r="A35" i="9"/>
  <c r="A34" i="9"/>
  <c r="A33" i="9"/>
  <c r="A28" i="9"/>
  <c r="A27" i="9"/>
  <c r="A26" i="9"/>
  <c r="A25" i="9"/>
  <c r="A20" i="9"/>
  <c r="A19" i="9"/>
  <c r="A11" i="9"/>
  <c r="A10" i="9"/>
  <c r="A9" i="9"/>
  <c r="A207" i="10"/>
  <c r="A26" i="6"/>
  <c r="A569" i="6"/>
  <c r="A568" i="6"/>
  <c r="A567" i="6"/>
  <c r="A566" i="6"/>
  <c r="A565" i="6"/>
  <c r="A564" i="6"/>
  <c r="A563" i="6"/>
  <c r="A562" i="6"/>
  <c r="A561" i="6"/>
  <c r="A560" i="6"/>
  <c r="A559" i="6"/>
  <c r="A558" i="6"/>
  <c r="A557" i="6"/>
  <c r="A546" i="6"/>
  <c r="A535" i="6"/>
  <c r="A524" i="6"/>
  <c r="A465" i="6"/>
  <c r="A454" i="6"/>
  <c r="A404" i="6"/>
  <c r="A389" i="6"/>
  <c r="A519" i="6"/>
  <c r="A514" i="6"/>
  <c r="A509" i="6"/>
  <c r="A498" i="6"/>
  <c r="A487" i="6"/>
  <c r="A476" i="6"/>
  <c r="A443" i="6"/>
  <c r="A419" i="6"/>
  <c r="A306" i="6"/>
  <c r="A291" i="6"/>
  <c r="A276" i="6"/>
  <c r="A261" i="6"/>
  <c r="A240" i="6"/>
  <c r="A207" i="6"/>
  <c r="A174" i="6"/>
  <c r="A147" i="6"/>
  <c r="A126" i="6"/>
  <c r="A93" i="6"/>
  <c r="A51" i="6"/>
  <c r="A301" i="6"/>
  <c r="A286" i="6"/>
  <c r="A271" i="6"/>
  <c r="A256" i="6"/>
  <c r="A229" i="6"/>
  <c r="A196" i="6"/>
  <c r="A163" i="6"/>
  <c r="A142" i="6"/>
  <c r="A115" i="6"/>
  <c r="A82" i="6"/>
  <c r="A46" i="6"/>
  <c r="A374" i="6"/>
  <c r="A359" i="6"/>
  <c r="A344" i="6"/>
  <c r="A333" i="6"/>
  <c r="A322" i="6"/>
  <c r="A311" i="6"/>
  <c r="A296" i="6"/>
  <c r="A281" i="6"/>
  <c r="A266" i="6"/>
  <c r="A251" i="6"/>
  <c r="A218" i="6"/>
  <c r="A185" i="6"/>
  <c r="A152" i="6"/>
  <c r="A137" i="6"/>
  <c r="A71" i="6"/>
  <c r="A56" i="6"/>
  <c r="A41" i="6"/>
  <c r="A36" i="6"/>
  <c r="A31" i="6"/>
  <c r="H4" i="6"/>
  <c r="H4" i="16" s="1"/>
  <c r="G4" i="6"/>
  <c r="G4" i="16" s="1"/>
  <c r="H83" i="8"/>
  <c r="H81" i="19" s="1"/>
  <c r="H72" i="8"/>
  <c r="H70" i="19" s="1"/>
  <c r="H61" i="8"/>
  <c r="H59" i="19" s="1"/>
  <c r="G123" i="7"/>
  <c r="G118" i="18" s="1"/>
  <c r="H123" i="7"/>
  <c r="H118" i="18" s="1"/>
  <c r="I191" i="10"/>
  <c r="I192" i="10"/>
  <c r="I193" i="10"/>
  <c r="I194" i="10"/>
  <c r="I195" i="10"/>
  <c r="I196" i="10"/>
  <c r="I197" i="10"/>
  <c r="I198" i="10"/>
  <c r="I199" i="10"/>
  <c r="I200" i="10"/>
  <c r="I201" i="10"/>
  <c r="I202" i="10"/>
  <c r="I205" i="10"/>
  <c r="I204" i="10"/>
  <c r="I214" i="10"/>
  <c r="I213" i="10"/>
  <c r="I212" i="10"/>
  <c r="I211" i="10"/>
  <c r="I210" i="10"/>
  <c r="I209" i="10"/>
  <c r="I208" i="10"/>
  <c r="I207" i="10"/>
  <c r="I206" i="10"/>
  <c r="G4" i="10"/>
  <c r="H180" i="10"/>
  <c r="G180" i="10"/>
  <c r="H169" i="10"/>
  <c r="G169" i="10"/>
  <c r="H158" i="10"/>
  <c r="G158" i="10"/>
  <c r="H147" i="10"/>
  <c r="G147" i="10"/>
  <c r="H136" i="10"/>
  <c r="G136" i="10"/>
  <c r="H125" i="10"/>
  <c r="G125" i="10"/>
  <c r="H114" i="10"/>
  <c r="G114" i="10"/>
  <c r="H103" i="10"/>
  <c r="G103" i="10"/>
  <c r="H92" i="10"/>
  <c r="G92" i="10"/>
  <c r="H81" i="10"/>
  <c r="G81" i="10"/>
  <c r="H70" i="10"/>
  <c r="G70" i="10"/>
  <c r="H59" i="10"/>
  <c r="G59" i="10"/>
  <c r="H48" i="10"/>
  <c r="G48" i="10"/>
  <c r="H37" i="10"/>
  <c r="G37" i="10"/>
  <c r="H26" i="10"/>
  <c r="G26" i="10"/>
  <c r="H15" i="10"/>
  <c r="G15" i="10"/>
  <c r="H4" i="10"/>
  <c r="H209" i="8"/>
  <c r="H207" i="19" s="1"/>
  <c r="H187" i="8"/>
  <c r="H185" i="19" s="1"/>
  <c r="H165" i="8"/>
  <c r="H163" i="19" s="1"/>
  <c r="H124" i="8"/>
  <c r="H122" i="19" s="1"/>
  <c r="H104" i="8"/>
  <c r="H102" i="19" s="1"/>
  <c r="H99" i="8"/>
  <c r="H97" i="19" s="1"/>
  <c r="H94" i="8"/>
  <c r="H92" i="19" s="1"/>
  <c r="H28" i="8"/>
  <c r="H26" i="19" s="1"/>
  <c r="H46" i="6"/>
  <c r="H46" i="16" s="1"/>
  <c r="H209" i="7"/>
  <c r="H203" i="18" s="1"/>
  <c r="G209" i="7"/>
  <c r="G203" i="18" s="1"/>
  <c r="H198" i="7"/>
  <c r="H192" i="18" s="1"/>
  <c r="G198" i="7"/>
  <c r="G192" i="18" s="1"/>
  <c r="H187" i="7"/>
  <c r="G187" i="7"/>
  <c r="G159" i="18"/>
  <c r="H90" i="7"/>
  <c r="H85" i="18" s="1"/>
  <c r="G90" i="7"/>
  <c r="G85" i="18" s="1"/>
  <c r="H57" i="7"/>
  <c r="H52" i="18" s="1"/>
  <c r="G57" i="7"/>
  <c r="G52" i="18" s="1"/>
  <c r="H112" i="7"/>
  <c r="H107" i="18" s="1"/>
  <c r="G112" i="7"/>
  <c r="G107" i="18" s="1"/>
  <c r="H79" i="7"/>
  <c r="H74" i="18" s="1"/>
  <c r="G79" i="7"/>
  <c r="G74" i="18" s="1"/>
  <c r="H46" i="7"/>
  <c r="H41" i="18" s="1"/>
  <c r="G46" i="7"/>
  <c r="G41" i="18" s="1"/>
  <c r="H154" i="7"/>
  <c r="H149" i="18" s="1"/>
  <c r="G154" i="7"/>
  <c r="G149" i="18" s="1"/>
  <c r="H144" i="7"/>
  <c r="H139" i="18" s="1"/>
  <c r="G144" i="7"/>
  <c r="G139" i="18" s="1"/>
  <c r="H139" i="7"/>
  <c r="H134" i="18" s="1"/>
  <c r="G139" i="7"/>
  <c r="G134" i="18" s="1"/>
  <c r="H134" i="7"/>
  <c r="G134" i="7"/>
  <c r="H101" i="7"/>
  <c r="G101" i="7"/>
  <c r="H68" i="7"/>
  <c r="G68" i="7"/>
  <c r="H35" i="7"/>
  <c r="G35" i="7"/>
  <c r="H546" i="6"/>
  <c r="H546" i="16" s="1"/>
  <c r="G546" i="6"/>
  <c r="G546" i="16" s="1"/>
  <c r="H535" i="6"/>
  <c r="H535" i="16" s="1"/>
  <c r="G535" i="6"/>
  <c r="G535" i="16" s="1"/>
  <c r="H524" i="6"/>
  <c r="G524" i="6"/>
  <c r="H465" i="6"/>
  <c r="H465" i="16" s="1"/>
  <c r="G465" i="6"/>
  <c r="G465" i="16" s="1"/>
  <c r="H454" i="6"/>
  <c r="H454" i="16" s="1"/>
  <c r="G454" i="6"/>
  <c r="G454" i="16" s="1"/>
  <c r="H404" i="6"/>
  <c r="G404" i="6"/>
  <c r="H389" i="6"/>
  <c r="G389" i="6"/>
  <c r="H519" i="6"/>
  <c r="H519" i="16" s="1"/>
  <c r="G519" i="6"/>
  <c r="G519" i="16" s="1"/>
  <c r="H514" i="6"/>
  <c r="H514" i="16" s="1"/>
  <c r="G514" i="6"/>
  <c r="G514" i="16" s="1"/>
  <c r="H509" i="6"/>
  <c r="G509" i="6"/>
  <c r="H498" i="6"/>
  <c r="H498" i="16" s="1"/>
  <c r="G498" i="6"/>
  <c r="G498" i="16" s="1"/>
  <c r="H487" i="6"/>
  <c r="H487" i="16" s="1"/>
  <c r="G487" i="6"/>
  <c r="G487" i="16" s="1"/>
  <c r="H476" i="6"/>
  <c r="G476" i="6"/>
  <c r="H443" i="6"/>
  <c r="G443" i="6"/>
  <c r="H419" i="6"/>
  <c r="H419" i="16" s="1"/>
  <c r="G419" i="6"/>
  <c r="G419" i="16" s="1"/>
  <c r="H306" i="6"/>
  <c r="H306" i="16" s="1"/>
  <c r="G306" i="6"/>
  <c r="G306" i="16" s="1"/>
  <c r="H291" i="6"/>
  <c r="H291" i="16" s="1"/>
  <c r="G291" i="6"/>
  <c r="G291" i="16" s="1"/>
  <c r="H276" i="6"/>
  <c r="H276" i="16" s="1"/>
  <c r="G276" i="6"/>
  <c r="G276" i="16" s="1"/>
  <c r="H261" i="6"/>
  <c r="H261" i="16" s="1"/>
  <c r="G261" i="6"/>
  <c r="G261" i="16" s="1"/>
  <c r="H240" i="6"/>
  <c r="H240" i="16" s="1"/>
  <c r="G240" i="6"/>
  <c r="G240" i="16" s="1"/>
  <c r="H207" i="6"/>
  <c r="H207" i="16" s="1"/>
  <c r="G207" i="6"/>
  <c r="G207" i="16" s="1"/>
  <c r="H174" i="6"/>
  <c r="H174" i="16" s="1"/>
  <c r="G174" i="6"/>
  <c r="G174" i="16" s="1"/>
  <c r="H147" i="6"/>
  <c r="H147" i="16" s="1"/>
  <c r="G147" i="6"/>
  <c r="G147" i="16" s="1"/>
  <c r="H126" i="6"/>
  <c r="H126" i="16" s="1"/>
  <c r="G126" i="6"/>
  <c r="G126" i="16" s="1"/>
  <c r="H93" i="6"/>
  <c r="H93" i="16" s="1"/>
  <c r="G93" i="6"/>
  <c r="G93" i="16" s="1"/>
  <c r="H51" i="6"/>
  <c r="H51" i="16" s="1"/>
  <c r="G51" i="6"/>
  <c r="G51" i="16" s="1"/>
  <c r="H301" i="6"/>
  <c r="H301" i="16" s="1"/>
  <c r="G301" i="6"/>
  <c r="G301" i="16" s="1"/>
  <c r="H286" i="6"/>
  <c r="H286" i="16" s="1"/>
  <c r="G286" i="6"/>
  <c r="G286" i="16" s="1"/>
  <c r="H41" i="6"/>
  <c r="H56" i="6"/>
  <c r="H71" i="6"/>
  <c r="G71" i="6"/>
  <c r="H271" i="6"/>
  <c r="H271" i="16" s="1"/>
  <c r="G271" i="6"/>
  <c r="G271" i="16" s="1"/>
  <c r="H256" i="6"/>
  <c r="H256" i="16" s="1"/>
  <c r="G256" i="6"/>
  <c r="G256" i="16" s="1"/>
  <c r="H229" i="6"/>
  <c r="H229" i="16" s="1"/>
  <c r="G229" i="6"/>
  <c r="G229" i="16" s="1"/>
  <c r="H196" i="6"/>
  <c r="H196" i="16" s="1"/>
  <c r="G196" i="6"/>
  <c r="G196" i="16" s="1"/>
  <c r="H163" i="6"/>
  <c r="H163" i="16" s="1"/>
  <c r="G163" i="6"/>
  <c r="G163" i="16" s="1"/>
  <c r="H142" i="6"/>
  <c r="H142" i="16" s="1"/>
  <c r="G142" i="6"/>
  <c r="G142" i="16" s="1"/>
  <c r="H115" i="6"/>
  <c r="H115" i="16" s="1"/>
  <c r="G115" i="6"/>
  <c r="G115" i="16" s="1"/>
  <c r="H82" i="6"/>
  <c r="H82" i="16" s="1"/>
  <c r="G82" i="6"/>
  <c r="G82" i="16" s="1"/>
  <c r="G46" i="6"/>
  <c r="G46" i="16" s="1"/>
  <c r="H374" i="6"/>
  <c r="G374" i="6"/>
  <c r="H359" i="6"/>
  <c r="G359" i="6"/>
  <c r="H344" i="6"/>
  <c r="H333" i="6"/>
  <c r="H333" i="16" s="1"/>
  <c r="G333" i="6"/>
  <c r="G333" i="16" s="1"/>
  <c r="H322" i="6"/>
  <c r="H322" i="16" s="1"/>
  <c r="G322" i="6"/>
  <c r="G322" i="16" s="1"/>
  <c r="H311" i="6"/>
  <c r="G311" i="6"/>
  <c r="H296" i="6"/>
  <c r="G296" i="6"/>
  <c r="H281" i="6"/>
  <c r="G281" i="6"/>
  <c r="H266" i="6"/>
  <c r="G266" i="6"/>
  <c r="H251" i="6"/>
  <c r="G251" i="6"/>
  <c r="H218" i="6"/>
  <c r="G218" i="6"/>
  <c r="H185" i="6"/>
  <c r="G185" i="6"/>
  <c r="H152" i="6"/>
  <c r="G152" i="6"/>
  <c r="G137" i="6"/>
  <c r="G41" i="6"/>
  <c r="H36" i="6"/>
  <c r="H36" i="16" s="1"/>
  <c r="G36" i="6"/>
  <c r="G36" i="16" s="1"/>
  <c r="H31" i="6"/>
  <c r="H31" i="16" s="1"/>
  <c r="G31" i="6"/>
  <c r="G31" i="16" s="1"/>
  <c r="N12" i="5"/>
  <c r="M12" i="5"/>
  <c r="G4" i="5"/>
  <c r="F4" i="5"/>
  <c r="I4" i="8" l="1"/>
  <c r="A12" i="9"/>
  <c r="A36" i="9"/>
  <c r="A17" i="9"/>
  <c r="A210" i="10"/>
  <c r="A16" i="8"/>
  <c r="A35" i="7"/>
  <c r="A223" i="8"/>
  <c r="A114" i="10"/>
  <c r="A224" i="8"/>
  <c r="A187" i="8"/>
  <c r="A209" i="8"/>
  <c r="A79" i="7"/>
  <c r="A227" i="7"/>
  <c r="A136" i="10"/>
  <c r="A209" i="7"/>
  <c r="A99" i="8"/>
  <c r="A147" i="10"/>
  <c r="A104" i="8"/>
  <c r="A203" i="10"/>
  <c r="A220" i="7"/>
  <c r="A39" i="8"/>
  <c r="A139" i="8"/>
  <c r="A176" i="8"/>
  <c r="A109" i="8"/>
  <c r="A57" i="7"/>
  <c r="A221" i="7"/>
  <c r="A61" i="8"/>
  <c r="A225" i="8"/>
  <c r="A231" i="8"/>
  <c r="A222" i="7"/>
  <c r="A226" i="8"/>
  <c r="A50" i="8"/>
  <c r="A216" i="10"/>
  <c r="A114" i="8"/>
  <c r="A223" i="7"/>
  <c r="A83" i="8"/>
  <c r="A194" i="10"/>
  <c r="A13" i="9"/>
  <c r="A144" i="7"/>
  <c r="A164" i="7"/>
  <c r="A224" i="7"/>
  <c r="A232" i="7"/>
  <c r="A124" i="8"/>
  <c r="A228" i="8"/>
  <c r="A48" i="10"/>
  <c r="A195" i="10"/>
  <c r="A6" i="9"/>
  <c r="A14" i="9"/>
  <c r="A22" i="9"/>
  <c r="A30" i="9"/>
  <c r="A134" i="8"/>
  <c r="A149" i="8"/>
  <c r="A119" i="8"/>
  <c r="A4" i="18"/>
  <c r="A225" i="18" s="1"/>
  <c r="A68" i="7"/>
  <c r="A228" i="7"/>
  <c r="A101" i="7"/>
  <c r="A90" i="7"/>
  <c r="A72" i="8"/>
  <c r="A191" i="10"/>
  <c r="A149" i="7"/>
  <c r="A144" i="8"/>
  <c r="A139" i="7"/>
  <c r="A231" i="7"/>
  <c r="A227" i="8"/>
  <c r="A5" i="9"/>
  <c r="A21" i="9"/>
  <c r="A29" i="9"/>
  <c r="A176" i="7"/>
  <c r="A154" i="7"/>
  <c r="A187" i="7"/>
  <c r="A225" i="7"/>
  <c r="A28" i="8"/>
  <c r="A221" i="8"/>
  <c r="A229" i="8"/>
  <c r="A59" i="10"/>
  <c r="A199" i="10"/>
  <c r="A7" i="9"/>
  <c r="A15" i="9"/>
  <c r="A23" i="9"/>
  <c r="A31" i="9"/>
  <c r="A159" i="7"/>
  <c r="A112" i="7"/>
  <c r="A229" i="7"/>
  <c r="A134" i="7"/>
  <c r="A230" i="7"/>
  <c r="A15" i="10"/>
  <c r="A211" i="10"/>
  <c r="A20" i="7"/>
  <c r="A198" i="8"/>
  <c r="A123" i="7"/>
  <c r="A26" i="10"/>
  <c r="A46" i="7"/>
  <c r="A198" i="7"/>
  <c r="A94" i="8"/>
  <c r="A222" i="8"/>
  <c r="A165" i="8"/>
  <c r="A103" i="10"/>
  <c r="A202" i="10"/>
  <c r="A8" i="9"/>
  <c r="A16" i="9"/>
  <c r="A24" i="9"/>
  <c r="A220" i="8"/>
  <c r="A129" i="8"/>
  <c r="A154" i="8"/>
  <c r="A192" i="10"/>
  <c r="A200" i="10"/>
  <c r="A208" i="10"/>
  <c r="A37" i="10"/>
  <c r="A125" i="10"/>
  <c r="A193" i="10"/>
  <c r="A201" i="10"/>
  <c r="A209" i="10"/>
  <c r="A70" i="10"/>
  <c r="A158" i="10"/>
  <c r="A196" i="10"/>
  <c r="A204" i="10"/>
  <c r="A212" i="10"/>
  <c r="A81" i="10"/>
  <c r="A169" i="10"/>
  <c r="A197" i="10"/>
  <c r="A213" i="10"/>
  <c r="A205" i="10"/>
  <c r="A92" i="10"/>
  <c r="A180" i="10"/>
  <c r="A198" i="10"/>
  <c r="A206" i="10"/>
  <c r="A214" i="10"/>
  <c r="I114" i="8"/>
  <c r="I112" i="19" s="1"/>
  <c r="M112" i="19" s="1"/>
  <c r="A152" i="16"/>
  <c r="A276" i="16"/>
  <c r="A66" i="16"/>
  <c r="A196" i="16"/>
  <c r="I119" i="8"/>
  <c r="I117" i="19" s="1"/>
  <c r="M117" i="19" s="1"/>
  <c r="A107" i="19"/>
  <c r="A112" i="19"/>
  <c r="A117" i="19"/>
  <c r="A132" i="19"/>
  <c r="A48" i="19"/>
  <c r="A137" i="19"/>
  <c r="A15" i="19"/>
  <c r="A59" i="19"/>
  <c r="A97" i="19"/>
  <c r="A185" i="19"/>
  <c r="A224" i="19"/>
  <c r="A37" i="19"/>
  <c r="A222" i="19"/>
  <c r="A163" i="19"/>
  <c r="A223" i="19"/>
  <c r="A102" i="19"/>
  <c r="A207" i="19"/>
  <c r="A225" i="19"/>
  <c r="A26" i="19"/>
  <c r="A70" i="19"/>
  <c r="A147" i="19"/>
  <c r="A219" i="19"/>
  <c r="A227" i="19"/>
  <c r="A196" i="19"/>
  <c r="A142" i="19"/>
  <c r="A81" i="19"/>
  <c r="A152" i="19"/>
  <c r="A220" i="19"/>
  <c r="A229" i="19"/>
  <c r="A122" i="19"/>
  <c r="A218" i="19"/>
  <c r="A226" i="19"/>
  <c r="A92" i="19"/>
  <c r="A127" i="19"/>
  <c r="A174" i="19"/>
  <c r="A144" i="18"/>
  <c r="A218" i="18"/>
  <c r="A221" i="18"/>
  <c r="A17" i="18"/>
  <c r="A223" i="18"/>
  <c r="A30" i="18"/>
  <c r="A154" i="18"/>
  <c r="A224" i="18"/>
  <c r="A15" i="16"/>
  <c r="A71" i="16"/>
  <c r="A115" i="16"/>
  <c r="A207" i="16"/>
  <c r="A281" i="16"/>
  <c r="A301" i="16"/>
  <c r="A369" i="16"/>
  <c r="A419" i="16"/>
  <c r="A519" i="16"/>
  <c r="A559" i="16"/>
  <c r="A567" i="16"/>
  <c r="A364" i="16"/>
  <c r="A514" i="16"/>
  <c r="A256" i="16"/>
  <c r="A431" i="16"/>
  <c r="A51" i="16"/>
  <c r="A137" i="16"/>
  <c r="A163" i="16"/>
  <c r="A261" i="16"/>
  <c r="A311" i="16"/>
  <c r="A349" i="16"/>
  <c r="A399" i="16"/>
  <c r="A443" i="16"/>
  <c r="A487" i="16"/>
  <c r="A561" i="16"/>
  <c r="A569" i="16"/>
  <c r="A414" i="16"/>
  <c r="A126" i="16"/>
  <c r="A306" i="16"/>
  <c r="A524" i="16"/>
  <c r="A56" i="16"/>
  <c r="A82" i="16"/>
  <c r="A174" i="16"/>
  <c r="A266" i="16"/>
  <c r="A286" i="16"/>
  <c r="A354" i="16"/>
  <c r="A404" i="16"/>
  <c r="A498" i="16"/>
  <c r="A562" i="16"/>
  <c r="A476" i="16"/>
  <c r="A26" i="16"/>
  <c r="A560" i="16"/>
  <c r="A31" i="16"/>
  <c r="A93" i="16"/>
  <c r="A185" i="16"/>
  <c r="A229" i="16"/>
  <c r="A291" i="16"/>
  <c r="A359" i="16"/>
  <c r="A379" i="16"/>
  <c r="A509" i="16"/>
  <c r="A535" i="16"/>
  <c r="A563" i="16"/>
  <c r="A566" i="16"/>
  <c r="A46" i="16"/>
  <c r="A374" i="16"/>
  <c r="A568" i="16"/>
  <c r="A36" i="16"/>
  <c r="A104" i="16"/>
  <c r="A142" i="16"/>
  <c r="A240" i="16"/>
  <c r="A296" i="16"/>
  <c r="A322" i="16"/>
  <c r="A384" i="16"/>
  <c r="A454" i="16"/>
  <c r="A546" i="16"/>
  <c r="A564" i="16"/>
  <c r="A344" i="16"/>
  <c r="A558" i="16"/>
  <c r="A218" i="16"/>
  <c r="A394" i="16"/>
  <c r="A41" i="16"/>
  <c r="A61" i="16"/>
  <c r="A147" i="16"/>
  <c r="A251" i="16"/>
  <c r="A271" i="16"/>
  <c r="A333" i="16"/>
  <c r="A389" i="16"/>
  <c r="A409" i="16"/>
  <c r="A465" i="16"/>
  <c r="A557" i="16"/>
  <c r="I71" i="16"/>
  <c r="M71" i="16" s="1"/>
  <c r="I176" i="7"/>
  <c r="I170" i="18" s="1"/>
  <c r="M170" i="18" s="1"/>
  <c r="G170" i="18"/>
  <c r="I20" i="7"/>
  <c r="I17" i="18" s="1"/>
  <c r="M17" i="18" s="1"/>
  <c r="I63" i="18"/>
  <c r="M63" i="18" s="1"/>
  <c r="I144" i="18"/>
  <c r="M144" i="18" s="1"/>
  <c r="I30" i="18"/>
  <c r="M30" i="18" s="1"/>
  <c r="I96" i="18"/>
  <c r="M96" i="18" s="1"/>
  <c r="I129" i="18"/>
  <c r="M129" i="18" s="1"/>
  <c r="I181" i="18"/>
  <c r="M181" i="18" s="1"/>
  <c r="I218" i="16"/>
  <c r="M218" i="16" s="1"/>
  <c r="I281" i="16"/>
  <c r="M281" i="16" s="1"/>
  <c r="I296" i="16"/>
  <c r="M296" i="16" s="1"/>
  <c r="I443" i="16"/>
  <c r="M443" i="16" s="1"/>
  <c r="I524" i="16"/>
  <c r="M524" i="16" s="1"/>
  <c r="I56" i="16"/>
  <c r="M56" i="16" s="1"/>
  <c r="I374" i="16"/>
  <c r="M374" i="16" s="1"/>
  <c r="I404" i="16"/>
  <c r="M404" i="16" s="1"/>
  <c r="I41" i="16"/>
  <c r="M41" i="16" s="1"/>
  <c r="I311" i="16"/>
  <c r="M311" i="16" s="1"/>
  <c r="I137" i="16"/>
  <c r="M137" i="16" s="1"/>
  <c r="I152" i="16"/>
  <c r="M152" i="16" s="1"/>
  <c r="I266" i="16"/>
  <c r="M266" i="16" s="1"/>
  <c r="I344" i="16"/>
  <c r="M344" i="16" s="1"/>
  <c r="I476" i="16"/>
  <c r="M476" i="16" s="1"/>
  <c r="I185" i="16"/>
  <c r="M185" i="16" s="1"/>
  <c r="I389" i="16"/>
  <c r="M389" i="16" s="1"/>
  <c r="I509" i="16"/>
  <c r="M509" i="16" s="1"/>
  <c r="I26" i="16"/>
  <c r="M26" i="16" s="1"/>
  <c r="I359" i="16"/>
  <c r="M359" i="16" s="1"/>
  <c r="I251" i="16"/>
  <c r="M251" i="16" s="1"/>
  <c r="I104" i="16"/>
  <c r="M104" i="16" s="1"/>
  <c r="I431" i="6"/>
  <c r="I431" i="16" s="1"/>
  <c r="M431" i="16" s="1"/>
  <c r="I15" i="6"/>
  <c r="I15" i="16" s="1"/>
  <c r="M15" i="16" s="1"/>
  <c r="I37" i="10"/>
  <c r="I81" i="10"/>
  <c r="I125" i="10"/>
  <c r="I139" i="8"/>
  <c r="I137" i="19" s="1"/>
  <c r="M137" i="19" s="1"/>
  <c r="I4" i="13"/>
  <c r="I16" i="8"/>
  <c r="I15" i="19" s="1"/>
  <c r="M15" i="19" s="1"/>
  <c r="I159" i="7"/>
  <c r="I154" i="18" s="1"/>
  <c r="M154" i="18" s="1"/>
  <c r="I149" i="7"/>
  <c r="I414" i="6"/>
  <c r="I414" i="16" s="1"/>
  <c r="M414" i="16" s="1"/>
  <c r="I399" i="6"/>
  <c r="I409" i="6"/>
  <c r="I394" i="6"/>
  <c r="I384" i="6"/>
  <c r="I384" i="16" s="1"/>
  <c r="M384" i="16" s="1"/>
  <c r="I364" i="6"/>
  <c r="I364" i="16" s="1"/>
  <c r="M364" i="16" s="1"/>
  <c r="I379" i="6"/>
  <c r="I379" i="16" s="1"/>
  <c r="M379" i="16" s="1"/>
  <c r="I369" i="6"/>
  <c r="I369" i="16" s="1"/>
  <c r="M369" i="16" s="1"/>
  <c r="I354" i="6"/>
  <c r="I354" i="16" s="1"/>
  <c r="M354" i="16" s="1"/>
  <c r="I349" i="6"/>
  <c r="I349" i="16" s="1"/>
  <c r="M349" i="16" s="1"/>
  <c r="I104" i="6"/>
  <c r="I61" i="6"/>
  <c r="I61" i="16" s="1"/>
  <c r="M61" i="16" s="1"/>
  <c r="I66" i="6"/>
  <c r="I66" i="16" s="1"/>
  <c r="M66" i="16" s="1"/>
  <c r="I101" i="7"/>
  <c r="I154" i="7"/>
  <c r="I149" i="18" s="1"/>
  <c r="M149" i="18" s="1"/>
  <c r="I4" i="6"/>
  <c r="I4" i="16" s="1"/>
  <c r="I61" i="8"/>
  <c r="I59" i="19" s="1"/>
  <c r="M59" i="19" s="1"/>
  <c r="I28" i="8"/>
  <c r="I26" i="19" s="1"/>
  <c r="M26" i="19" s="1"/>
  <c r="I180" i="10"/>
  <c r="I123" i="7"/>
  <c r="I118" i="18" s="1"/>
  <c r="M118" i="18" s="1"/>
  <c r="I112" i="7"/>
  <c r="I107" i="18" s="1"/>
  <c r="M107" i="18" s="1"/>
  <c r="I134" i="7"/>
  <c r="I144" i="7"/>
  <c r="I139" i="18" s="1"/>
  <c r="M139" i="18" s="1"/>
  <c r="I164" i="7"/>
  <c r="I159" i="18" s="1"/>
  <c r="M159" i="18" s="1"/>
  <c r="I57" i="7"/>
  <c r="I52" i="18" s="1"/>
  <c r="M52" i="18" s="1"/>
  <c r="I198" i="7"/>
  <c r="I192" i="18" s="1"/>
  <c r="M192" i="18" s="1"/>
  <c r="I35" i="7"/>
  <c r="I158" i="10"/>
  <c r="I169" i="10"/>
  <c r="I48" i="10"/>
  <c r="I136" i="10"/>
  <c r="I147" i="10"/>
  <c r="I59" i="10"/>
  <c r="I103" i="10"/>
  <c r="I92" i="10"/>
  <c r="I70" i="10"/>
  <c r="I26" i="10"/>
  <c r="I4" i="10"/>
  <c r="I15" i="10"/>
  <c r="I114" i="10"/>
  <c r="I46" i="7"/>
  <c r="I41" i="18" s="1"/>
  <c r="M41" i="18" s="1"/>
  <c r="I90" i="7"/>
  <c r="I85" i="18" s="1"/>
  <c r="M85" i="18" s="1"/>
  <c r="I4" i="7"/>
  <c r="I4" i="18" s="1"/>
  <c r="M4" i="18" s="1"/>
  <c r="I68" i="7"/>
  <c r="I79" i="7"/>
  <c r="I74" i="18" s="1"/>
  <c r="M74" i="18" s="1"/>
  <c r="I124" i="8"/>
  <c r="I122" i="19" s="1"/>
  <c r="M122" i="19" s="1"/>
  <c r="I94" i="8"/>
  <c r="I92" i="19" s="1"/>
  <c r="M92" i="19" s="1"/>
  <c r="I229" i="8"/>
  <c r="I227" i="19" s="1"/>
  <c r="M227" i="19" s="1"/>
  <c r="I227" i="8"/>
  <c r="I225" i="19" s="1"/>
  <c r="M225" i="19" s="1"/>
  <c r="I228" i="8"/>
  <c r="I226" i="19" s="1"/>
  <c r="M226" i="19" s="1"/>
  <c r="I139" i="7"/>
  <c r="I134" i="18" s="1"/>
  <c r="M134" i="18" s="1"/>
  <c r="I187" i="7"/>
  <c r="I209" i="7"/>
  <c r="I203" i="18" s="1"/>
  <c r="M203" i="18" s="1"/>
  <c r="I567" i="6"/>
  <c r="I567" i="16" s="1"/>
  <c r="M567" i="16" s="1"/>
  <c r="I568" i="6"/>
  <c r="I568" i="16" s="1"/>
  <c r="M568" i="16" s="1"/>
  <c r="I535" i="6"/>
  <c r="I535" i="16" s="1"/>
  <c r="M535" i="16" s="1"/>
  <c r="I26" i="6"/>
  <c r="I51" i="6"/>
  <c r="I51" i="16" s="1"/>
  <c r="M51" i="16" s="1"/>
  <c r="I546" i="6"/>
  <c r="I546" i="16" s="1"/>
  <c r="M546" i="16" s="1"/>
  <c r="I82" i="6"/>
  <c r="I82" i="16" s="1"/>
  <c r="M82" i="16" s="1"/>
  <c r="I31" i="6"/>
  <c r="I31" i="16" s="1"/>
  <c r="M31" i="16" s="1"/>
  <c r="I286" i="6"/>
  <c r="I286" i="16" s="1"/>
  <c r="M286" i="16" s="1"/>
  <c r="I93" i="6"/>
  <c r="I93" i="16" s="1"/>
  <c r="M93" i="16" s="1"/>
  <c r="I276" i="6"/>
  <c r="I276" i="16" s="1"/>
  <c r="M276" i="16" s="1"/>
  <c r="I389" i="6"/>
  <c r="I207" i="6"/>
  <c r="I207" i="16" s="1"/>
  <c r="M207" i="16" s="1"/>
  <c r="I333" i="6"/>
  <c r="I333" i="16" s="1"/>
  <c r="M333" i="16" s="1"/>
  <c r="I174" i="6"/>
  <c r="I174" i="16" s="1"/>
  <c r="M174" i="16" s="1"/>
  <c r="I476" i="6"/>
  <c r="I514" i="6"/>
  <c r="I514" i="16" s="1"/>
  <c r="M514" i="16" s="1"/>
  <c r="I487" i="6"/>
  <c r="I301" i="6"/>
  <c r="I229" i="6"/>
  <c r="I229" i="16" s="1"/>
  <c r="M229" i="16" s="1"/>
  <c r="I147" i="6"/>
  <c r="I147" i="16" s="1"/>
  <c r="M147" i="16" s="1"/>
  <c r="I240" i="6"/>
  <c r="I240" i="16" s="1"/>
  <c r="M240" i="16" s="1"/>
  <c r="I306" i="6"/>
  <c r="I306" i="16" s="1"/>
  <c r="M306" i="16" s="1"/>
  <c r="I524" i="6"/>
  <c r="H4" i="5"/>
  <c r="I291" i="6"/>
  <c r="I291" i="16" s="1"/>
  <c r="M291" i="16" s="1"/>
  <c r="I443" i="6"/>
  <c r="I498" i="6"/>
  <c r="I498" i="16" s="1"/>
  <c r="M498" i="16" s="1"/>
  <c r="I465" i="6"/>
  <c r="I465" i="16" s="1"/>
  <c r="M465" i="16" s="1"/>
  <c r="I509" i="6"/>
  <c r="I404" i="6"/>
  <c r="I126" i="6"/>
  <c r="I126" i="16" s="1"/>
  <c r="M126" i="16" s="1"/>
  <c r="I454" i="6"/>
  <c r="I454" i="16" s="1"/>
  <c r="M454" i="16" s="1"/>
  <c r="I344" i="6"/>
  <c r="I419" i="6"/>
  <c r="I419" i="16" s="1"/>
  <c r="M419" i="16" s="1"/>
  <c r="I359" i="6"/>
  <c r="I185" i="6"/>
  <c r="I261" i="6"/>
  <c r="I261" i="16" s="1"/>
  <c r="M261" i="16" s="1"/>
  <c r="I519" i="6"/>
  <c r="I519" i="16" s="1"/>
  <c r="M519" i="16" s="1"/>
  <c r="I266" i="6"/>
  <c r="I311" i="6"/>
  <c r="I271" i="6"/>
  <c r="I271" i="16" s="1"/>
  <c r="M271" i="16" s="1"/>
  <c r="I137" i="6"/>
  <c r="I218" i="6"/>
  <c r="I152" i="6"/>
  <c r="I46" i="6"/>
  <c r="I46" i="16" s="1"/>
  <c r="M46" i="16" s="1"/>
  <c r="I256" i="6"/>
  <c r="I256" i="16" s="1"/>
  <c r="M256" i="16" s="1"/>
  <c r="I71" i="6"/>
  <c r="I41" i="6"/>
  <c r="I374" i="6"/>
  <c r="I142" i="6"/>
  <c r="I196" i="6"/>
  <c r="I196" i="16" s="1"/>
  <c r="M196" i="16" s="1"/>
  <c r="I56" i="6"/>
  <c r="I163" i="6"/>
  <c r="I163" i="16" s="1"/>
  <c r="M163" i="16" s="1"/>
  <c r="I281" i="6"/>
  <c r="I296" i="6"/>
  <c r="I322" i="6"/>
  <c r="I322" i="16" s="1"/>
  <c r="M322" i="16" s="1"/>
  <c r="I251" i="6"/>
  <c r="I115" i="6"/>
  <c r="I115" i="16" s="1"/>
  <c r="M115" i="16" s="1"/>
  <c r="I36" i="6"/>
  <c r="I36" i="16" s="1"/>
  <c r="A139" i="18" l="1"/>
  <c r="A203" i="18"/>
  <c r="A41" i="18"/>
  <c r="A226" i="18"/>
  <c r="A52" i="18"/>
  <c r="A219" i="18"/>
  <c r="A216" i="18"/>
  <c r="A159" i="18"/>
  <c r="A134" i="18"/>
  <c r="A85" i="18"/>
  <c r="A220" i="18"/>
  <c r="A107" i="18"/>
  <c r="A215" i="18"/>
  <c r="A129" i="18"/>
  <c r="A217" i="18"/>
  <c r="A96" i="18"/>
  <c r="A222" i="18"/>
  <c r="A192" i="18"/>
  <c r="A63" i="18"/>
  <c r="A149" i="18"/>
  <c r="A170" i="18"/>
  <c r="A181" i="18"/>
  <c r="A214" i="18"/>
  <c r="A74" i="18"/>
  <c r="A118" i="18"/>
  <c r="M234" i="18"/>
  <c r="M235" i="18" s="1"/>
  <c r="M231" i="18"/>
  <c r="M232" i="18" s="1"/>
  <c r="I399" i="16"/>
  <c r="M399" i="16" s="1"/>
  <c r="M4" i="16"/>
  <c r="I142" i="16"/>
  <c r="M142" i="16" s="1"/>
  <c r="I301" i="16"/>
  <c r="M301" i="16" s="1"/>
  <c r="I394" i="16"/>
  <c r="M394" i="16" s="1"/>
  <c r="I487" i="16"/>
  <c r="M487" i="16" s="1"/>
  <c r="I409" i="16"/>
  <c r="M409" i="16" s="1"/>
  <c r="M36" i="16"/>
  <c r="I226" i="8"/>
  <c r="I224" i="19" s="1"/>
  <c r="M224" i="19" s="1"/>
  <c r="I225" i="8"/>
  <c r="I223" i="19" s="1"/>
  <c r="M223" i="19" s="1"/>
  <c r="I565" i="6"/>
  <c r="I565" i="16" s="1"/>
  <c r="M565" i="16" s="1"/>
  <c r="I566" i="6"/>
  <c r="I566" i="16" s="1"/>
  <c r="M566" i="16" s="1"/>
  <c r="I564" i="6"/>
  <c r="I564" i="16" s="1"/>
  <c r="M564" i="16" s="1"/>
  <c r="I560" i="6"/>
  <c r="I560" i="16" s="1"/>
  <c r="M560" i="16" s="1"/>
  <c r="I563" i="6"/>
  <c r="I563" i="16" s="1"/>
  <c r="M563" i="16" s="1"/>
  <c r="I562" i="6"/>
  <c r="I562" i="16" s="1"/>
  <c r="M562" i="16" s="1"/>
  <c r="I561" i="16"/>
  <c r="M561" i="16" s="1"/>
  <c r="I559" i="6"/>
  <c r="I559" i="16" s="1"/>
  <c r="M559" i="16" s="1"/>
  <c r="M577" i="16" l="1"/>
  <c r="M578" i="16" s="1"/>
  <c r="M574" i="16"/>
  <c r="M575" i="16" s="1"/>
  <c r="I224" i="8"/>
  <c r="I222" i="19" s="1"/>
  <c r="M222" i="19" s="1"/>
  <c r="I557" i="6"/>
  <c r="I558" i="6"/>
  <c r="I558" i="16" s="1"/>
  <c r="M558" i="16" s="1"/>
  <c r="I557" i="16" l="1"/>
  <c r="M557" i="16" s="1"/>
  <c r="I223" i="8"/>
  <c r="I221" i="19" s="1"/>
  <c r="M221" i="19" s="1"/>
  <c r="I220" i="8" l="1"/>
  <c r="I218" i="19" s="1"/>
  <c r="M218" i="19" s="1"/>
  <c r="I221" i="8"/>
  <c r="I219" i="19" s="1"/>
  <c r="M219" i="19" s="1"/>
  <c r="I203" i="10"/>
  <c r="I231" i="7"/>
  <c r="I225" i="18" s="1"/>
  <c r="M225" i="18" s="1"/>
  <c r="I228" i="7" l="1"/>
  <c r="I222" i="18" s="1"/>
  <c r="M222" i="18" s="1"/>
  <c r="I230" i="7"/>
  <c r="I224" i="18" s="1"/>
  <c r="M224" i="18" s="1"/>
  <c r="I227" i="7"/>
  <c r="I221" i="18" s="1"/>
  <c r="M221" i="18" s="1"/>
  <c r="I229" i="7"/>
  <c r="I223" i="18" s="1"/>
  <c r="M223" i="18" s="1"/>
  <c r="I226" i="7" l="1"/>
  <c r="I220" i="18" s="1"/>
  <c r="M220" i="18" s="1"/>
  <c r="I225" i="7" l="1"/>
  <c r="I219" i="18" s="1"/>
  <c r="M219" i="18" s="1"/>
  <c r="I224" i="7"/>
  <c r="I218" i="18" s="1"/>
  <c r="M218" i="18" s="1"/>
  <c r="I223" i="7" l="1"/>
  <c r="I217" i="18" s="1"/>
  <c r="M217" i="18" s="1"/>
  <c r="I222" i="7" l="1"/>
  <c r="I216" i="18" s="1"/>
  <c r="M216" i="18" s="1"/>
  <c r="I220" i="7" l="1"/>
  <c r="I214" i="18" s="1"/>
  <c r="M214" i="18" s="1"/>
  <c r="I221" i="7"/>
  <c r="I215" i="18" s="1"/>
  <c r="M215" i="18" s="1"/>
  <c r="I144" i="8"/>
  <c r="I142" i="19" s="1"/>
  <c r="M142" i="19" s="1"/>
  <c r="I99" i="8"/>
  <c r="I97" i="19" s="1"/>
  <c r="M97" i="19" s="1"/>
  <c r="I209" i="8"/>
  <c r="I207" i="19" s="1"/>
  <c r="M207" i="19" s="1"/>
  <c r="I50" i="8"/>
  <c r="I48" i="19" s="1"/>
  <c r="M48" i="19" s="1"/>
  <c r="M236" i="19" s="1"/>
  <c r="I154" i="8"/>
  <c r="I152" i="19" s="1"/>
  <c r="M152" i="19" s="1"/>
  <c r="I104" i="8"/>
  <c r="I102" i="19" s="1"/>
  <c r="M102" i="19" s="1"/>
  <c r="I83" i="8"/>
  <c r="I81" i="19" s="1"/>
  <c r="M81" i="19" s="1"/>
  <c r="G48" i="19"/>
  <c r="G152" i="19"/>
  <c r="I134" i="8"/>
  <c r="I132" i="19" s="1"/>
  <c r="M132" i="19" s="1"/>
  <c r="I176" i="8"/>
  <c r="I174" i="19" s="1"/>
  <c r="M174" i="19" s="1"/>
  <c r="G174" i="19"/>
  <c r="G70" i="19"/>
  <c r="I72" i="8"/>
  <c r="I70" i="19" s="1"/>
  <c r="M70" i="19" s="1"/>
  <c r="G142" i="19"/>
  <c r="G163" i="19"/>
  <c r="I165" i="8"/>
  <c r="I163" i="19" s="1"/>
  <c r="M163" i="19" s="1"/>
  <c r="G81" i="19"/>
  <c r="I39" i="8"/>
  <c r="I37" i="19" s="1"/>
  <c r="M37" i="19" s="1"/>
  <c r="G147" i="19"/>
  <c r="I149" i="8"/>
  <c r="I147" i="19" s="1"/>
  <c r="M147" i="19" s="1"/>
  <c r="G132" i="19"/>
  <c r="G102" i="19"/>
  <c r="G107" i="19"/>
  <c r="I109" i="8"/>
  <c r="I107" i="19" s="1"/>
  <c r="M107" i="19" s="1"/>
  <c r="G185" i="19"/>
  <c r="I187" i="8"/>
  <c r="I185" i="19" s="1"/>
  <c r="M185" i="19" s="1"/>
  <c r="G127" i="19"/>
  <c r="I129" i="8"/>
  <c r="I127" i="19" s="1"/>
  <c r="M127" i="19" s="1"/>
  <c r="G196" i="19"/>
  <c r="I198" i="8"/>
  <c r="I196" i="19" s="1"/>
  <c r="M196" i="19" s="1"/>
  <c r="G97" i="19"/>
  <c r="G207" i="19"/>
  <c r="M237" i="19" l="1"/>
  <c r="I4" i="19"/>
  <c r="M4" i="19" l="1"/>
  <c r="M233" i="19" s="1"/>
  <c r="M234" i="19" s="1"/>
</calcChain>
</file>

<file path=xl/sharedStrings.xml><?xml version="1.0" encoding="utf-8"?>
<sst xmlns="http://schemas.openxmlformats.org/spreadsheetml/2006/main" count="4983" uniqueCount="1264">
  <si>
    <t>Caterer: TBD | Station: ATL</t>
  </si>
  <si>
    <r>
      <t xml:space="preserve">Concept: </t>
    </r>
    <r>
      <rPr>
        <b/>
        <sz val="10"/>
        <color theme="1"/>
        <rFont val="Arial"/>
        <family val="2"/>
        <scheme val="minor"/>
      </rPr>
      <t>01JUN24</t>
    </r>
    <r>
      <rPr>
        <sz val="10"/>
        <color theme="1"/>
        <rFont val="Arial"/>
        <family val="2"/>
        <scheme val="minor"/>
      </rPr>
      <t xml:space="preserve"> | Version: 1 | Updated: 05DEC</t>
    </r>
    <r>
      <rPr>
        <b/>
        <sz val="10"/>
        <color theme="1"/>
        <rFont val="Arial"/>
        <family val="2"/>
        <scheme val="minor"/>
      </rPr>
      <t>23</t>
    </r>
  </si>
  <si>
    <t>C1-C4 Overview all spec Codes</t>
  </si>
  <si>
    <t>SAS IFX Spec Code</t>
  </si>
  <si>
    <t>SAS IFX Description</t>
  </si>
  <si>
    <t>Weight / Pc</t>
  </si>
  <si>
    <t>Unit of M</t>
  </si>
  <si>
    <t>Quality, supplier, origin, comments</t>
  </si>
  <si>
    <t>Direct Material</t>
  </si>
  <si>
    <t>Direct Labor</t>
  </si>
  <si>
    <t>Selling Price ex contrubtion</t>
  </si>
  <si>
    <t>Class</t>
  </si>
  <si>
    <t>Loading Instructions (Widebody)</t>
  </si>
  <si>
    <t>Note</t>
  </si>
  <si>
    <t>4ATL-411050</t>
  </si>
  <si>
    <t>IC C S1 CUTLERY C1-4</t>
  </si>
  <si>
    <t>C</t>
  </si>
  <si>
    <t>Fix Qty 40</t>
  </si>
  <si>
    <t>2ATL-411011</t>
  </si>
  <si>
    <t>IC C S1 SALAD C1</t>
  </si>
  <si>
    <t>Load Scale IC-27</t>
  </si>
  <si>
    <t>2ATL-411012</t>
  </si>
  <si>
    <t>IC C S1 SALAD C2</t>
  </si>
  <si>
    <t>2ATL-411013</t>
  </si>
  <si>
    <t>IC C S1 SALAD C3</t>
  </si>
  <si>
    <t>2ATL-411031</t>
  </si>
  <si>
    <t>IC C S1 SA GARNISH C1</t>
  </si>
  <si>
    <t>Fix Qty 2</t>
  </si>
  <si>
    <t>2ATL-411050</t>
  </si>
  <si>
    <t>IC C S1+S2 BUTTER C1-4</t>
  </si>
  <si>
    <t>2ATL-411061</t>
  </si>
  <si>
    <t>IC C S1 ST-A MEAT C1</t>
  </si>
  <si>
    <t>60% (U)</t>
  </si>
  <si>
    <t>2ATL-411071</t>
  </si>
  <si>
    <t>IC C S1 ST-B FISH C1</t>
  </si>
  <si>
    <t>60% (D)</t>
  </si>
  <si>
    <t>2ATL-411081</t>
  </si>
  <si>
    <t>IC C S1 ST GARNISH C1</t>
  </si>
  <si>
    <t>2ATL-411091</t>
  </si>
  <si>
    <t>IC C S1 HM-A MEAT C1</t>
  </si>
  <si>
    <t>30% (U)</t>
  </si>
  <si>
    <t>2ATL-411101</t>
  </si>
  <si>
    <t>IC C S1 HM-B FISH C1</t>
  </si>
  <si>
    <t>35% (D)</t>
  </si>
  <si>
    <t>2ATL-411111</t>
  </si>
  <si>
    <t>IC C S1 HM-C POULTRY C1</t>
  </si>
  <si>
    <t>2ATL-411121</t>
  </si>
  <si>
    <t>IC C S1 HM-D VEG C1</t>
  </si>
  <si>
    <t>20% (U)</t>
  </si>
  <si>
    <t>2ATL-411131</t>
  </si>
  <si>
    <t>IC C S1 HM GARNISH C1</t>
  </si>
  <si>
    <t>2ATL-411141</t>
  </si>
  <si>
    <t>IC C S1 DE CHEESE C1</t>
  </si>
  <si>
    <t>2ATL-411151</t>
  </si>
  <si>
    <t>IC C S1 DE CAKE C1</t>
  </si>
  <si>
    <t>2ATL-411161</t>
  </si>
  <si>
    <t>IC C S1 DE CAKE GARNISH C1</t>
  </si>
  <si>
    <t>2ATL-411171</t>
  </si>
  <si>
    <t>IC C S1 DE ICE CREAM C1</t>
  </si>
  <si>
    <t>60% (N)</t>
  </si>
  <si>
    <t>2ATL-411180</t>
  </si>
  <si>
    <t>IC C S1 DE FRUIT C1</t>
  </si>
  <si>
    <t>2ATL-411181</t>
  </si>
  <si>
    <t>IC C S1 DE FRUIT C2</t>
  </si>
  <si>
    <t>2ATL-411182</t>
  </si>
  <si>
    <t>IC C S1 DE FRUIT C3</t>
  </si>
  <si>
    <t>4ATL-411010</t>
  </si>
  <si>
    <t>IC C S1 BRD Type 1 C1-4</t>
  </si>
  <si>
    <t>75% (N)</t>
  </si>
  <si>
    <t>Min qty 5.</t>
  </si>
  <si>
    <t>4ATL-411020</t>
  </si>
  <si>
    <t>IC C S1+S2 BRD Type 2 C1-4</t>
  </si>
  <si>
    <t>4ATL-411030</t>
  </si>
  <si>
    <t>IC C S1 BRD Type 3 C1-4</t>
  </si>
  <si>
    <t>2ATL-411032</t>
  </si>
  <si>
    <t>IC C S1 SA GARNISH C2</t>
  </si>
  <si>
    <t>2ATL-411062</t>
  </si>
  <si>
    <t>IC C S1 ST-A MEAT C2</t>
  </si>
  <si>
    <t>2ATL-411072</t>
  </si>
  <si>
    <t>IC C S1 ST-B FISH C2</t>
  </si>
  <si>
    <t>2ATL-411082</t>
  </si>
  <si>
    <t>IC C S1 ST GARNISH C2</t>
  </si>
  <si>
    <t>2ATL-411092</t>
  </si>
  <si>
    <t>IC C S1 HM-A MEAT C2</t>
  </si>
  <si>
    <t>2ATL-411102</t>
  </si>
  <si>
    <t>IC C S1 HM-B FISH C2</t>
  </si>
  <si>
    <t>2ATL-411112</t>
  </si>
  <si>
    <t>IC C S1 HM-C POULTRY C2</t>
  </si>
  <si>
    <t>2ATL-411122</t>
  </si>
  <si>
    <t>IC C S1 HM-D VEG C2</t>
  </si>
  <si>
    <t>2ATL-411132</t>
  </si>
  <si>
    <t>IC C S1 HM GARNISH C2</t>
  </si>
  <si>
    <t>2ATL-411142</t>
  </si>
  <si>
    <t>IC C S1 DE CHEESE C2</t>
  </si>
  <si>
    <t>2ATL-411152</t>
  </si>
  <si>
    <t>IC C S1 DE CAKE C2</t>
  </si>
  <si>
    <t>2ATL-411162</t>
  </si>
  <si>
    <t>IC C S1 DE CAKE GARNISH C2</t>
  </si>
  <si>
    <t>2ATL-411172</t>
  </si>
  <si>
    <t>IC C S1 DE ICE CREAM C2</t>
  </si>
  <si>
    <t>2ATL-411033</t>
  </si>
  <si>
    <t>IC C S1 SA GARNISH C3</t>
  </si>
  <si>
    <t>2ATL-411063</t>
  </si>
  <si>
    <t>IC C S1 ST-A MEAT C3</t>
  </si>
  <si>
    <t>2ATL-411073</t>
  </si>
  <si>
    <t>IC C S1 ST-B FISH C3</t>
  </si>
  <si>
    <t>2ATL-411083</t>
  </si>
  <si>
    <t>IC C S1 ST GARNISH C3</t>
  </si>
  <si>
    <t>2ATL-411093</t>
  </si>
  <si>
    <t>IC C S1 HM-A MEAT C3</t>
  </si>
  <si>
    <t>40% (U)</t>
  </si>
  <si>
    <t>2ATL-411103</t>
  </si>
  <si>
    <t>IC C S1 HM-B FISH C3</t>
  </si>
  <si>
    <t>2ATL-411113</t>
  </si>
  <si>
    <t>IC C S1 HM-C POULTRY C3</t>
  </si>
  <si>
    <t>30% (D)</t>
  </si>
  <si>
    <t>2ATL-411123</t>
  </si>
  <si>
    <t>IC C S1 HM-D VEG C3</t>
  </si>
  <si>
    <t>15% (U)</t>
  </si>
  <si>
    <t>2ATL-411133</t>
  </si>
  <si>
    <t>IC C S1 HM GARNISH C3</t>
  </si>
  <si>
    <t>2ATL-411143</t>
  </si>
  <si>
    <t>IC C S1 DE CHEESE C3</t>
  </si>
  <si>
    <t>2ATL-411153</t>
  </si>
  <si>
    <t>IC C S1 DE CAKE C3</t>
  </si>
  <si>
    <t>2ATL-411163</t>
  </si>
  <si>
    <t>IC C S1 DE CAKE GARNISH C3</t>
  </si>
  <si>
    <t>2ATL-411173</t>
  </si>
  <si>
    <t>IC C S1 DE ICE CREAM C3</t>
  </si>
  <si>
    <t>3ATL-412010</t>
  </si>
  <si>
    <t>IC C S2 TSU C1</t>
  </si>
  <si>
    <t>3ATL-412011</t>
  </si>
  <si>
    <t>IC C S2 TSU C2</t>
  </si>
  <si>
    <t>3ATL-412012</t>
  </si>
  <si>
    <t>IC C S2 TSU C3</t>
  </si>
  <si>
    <t>4ATL-412040</t>
  </si>
  <si>
    <t>IC C S2 CUTLERY C1-4</t>
  </si>
  <si>
    <t>2ATL-412011</t>
  </si>
  <si>
    <t>IC C S2 COLD CUTS C1</t>
  </si>
  <si>
    <t>2ATL-412030</t>
  </si>
  <si>
    <t>IC C S2 FRUIT C1</t>
  </si>
  <si>
    <t>2ATL-412031</t>
  </si>
  <si>
    <t>IC C S2 FRUIT C2</t>
  </si>
  <si>
    <t>2ATL-412032</t>
  </si>
  <si>
    <t>IC C S2 FRUIT C3</t>
  </si>
  <si>
    <t>2ATL-412040</t>
  </si>
  <si>
    <t>IC C S2 YOGHURT C1</t>
  </si>
  <si>
    <t>80% (N)</t>
  </si>
  <si>
    <t>2ATL-412041</t>
  </si>
  <si>
    <t>IC C S2 YOGHURT C2</t>
  </si>
  <si>
    <t>2ATL-412042</t>
  </si>
  <si>
    <t>IC C S2 YOGHURT C3</t>
  </si>
  <si>
    <t>4ATL-412010</t>
  </si>
  <si>
    <t>IC C S2 BRD Type 1 C1-4</t>
  </si>
  <si>
    <t>4ATL-412020</t>
  </si>
  <si>
    <t>IC C S2 BRD Croissant C1-4</t>
  </si>
  <si>
    <t>2ATL-412012</t>
  </si>
  <si>
    <t>IC C S2 COLD CUTS C2</t>
  </si>
  <si>
    <t>2ATL-412013</t>
  </si>
  <si>
    <t>IC C S2 COLD CUTS C3</t>
  </si>
  <si>
    <t>2ATL-413011</t>
  </si>
  <si>
    <t>IC C IBS SW C1</t>
  </si>
  <si>
    <t>50% (N)</t>
  </si>
  <si>
    <t>2ATL-413012</t>
  </si>
  <si>
    <t>IC C IBS SW C2</t>
  </si>
  <si>
    <t>2ATL-413013</t>
  </si>
  <si>
    <t>IC C IBS SW C3</t>
  </si>
  <si>
    <t>3ATL-421010</t>
  </si>
  <si>
    <t>IC Y S1 TSU C1</t>
  </si>
  <si>
    <t>Y</t>
  </si>
  <si>
    <t>3ATL-421011</t>
  </si>
  <si>
    <t>IC Y S1 TSU C2</t>
  </si>
  <si>
    <t>3ATL-421012</t>
  </si>
  <si>
    <t>IC Y S1 TSU C3</t>
  </si>
  <si>
    <t>2ATL-421011</t>
  </si>
  <si>
    <t>IC Y S1 ST C1</t>
  </si>
  <si>
    <t>2ATL-421021</t>
  </si>
  <si>
    <t>IC Y S1 HM-A C1</t>
  </si>
  <si>
    <t>2ATL-421031</t>
  </si>
  <si>
    <t>IC Y/M S1 HM-B C1</t>
  </si>
  <si>
    <t>Also used for M.</t>
  </si>
  <si>
    <t>2ATL-421040</t>
  </si>
  <si>
    <t>IC Y S1 DE C1</t>
  </si>
  <si>
    <t>2ATL-421041</t>
  </si>
  <si>
    <t>IC Y S1 DE C2</t>
  </si>
  <si>
    <t>2ATL-421042</t>
  </si>
  <si>
    <t>IC Y S1 DE C3</t>
  </si>
  <si>
    <t>4ATL-421010</t>
  </si>
  <si>
    <t>IC Y/M S1+S2 BRD Type 1 C1-4</t>
  </si>
  <si>
    <t>120% (N)</t>
  </si>
  <si>
    <t>Min qty 10.</t>
  </si>
  <si>
    <t>2ATL-421012</t>
  </si>
  <si>
    <t>IC Y S1 ST C2</t>
  </si>
  <si>
    <t>2ATL-421022</t>
  </si>
  <si>
    <t>IC Y S1 HM-A C2</t>
  </si>
  <si>
    <t>2ATL-421032</t>
  </si>
  <si>
    <t>IC Y/M S1 HM-B C2</t>
  </si>
  <si>
    <t>2ATL-421013</t>
  </si>
  <si>
    <t>IC Y S1 ST C3</t>
  </si>
  <si>
    <t>2ATL-421023</t>
  </si>
  <si>
    <t>IC Y S1 HM-A C3</t>
  </si>
  <si>
    <t>2ATL-421033</t>
  </si>
  <si>
    <t>IC Y/M S1 HM-B C3</t>
  </si>
  <si>
    <t>3ATL-422010</t>
  </si>
  <si>
    <t>IC Y S2 TSU C1</t>
  </si>
  <si>
    <t>3ATL-422011</t>
  </si>
  <si>
    <t>IC Y S2 TSU C2</t>
  </si>
  <si>
    <t>3ATL-422012</t>
  </si>
  <si>
    <t>IC Y S2 TSU C3</t>
  </si>
  <si>
    <t>2ATL-422011</t>
  </si>
  <si>
    <t>IC Y S2 BREAKFAST PLATE C1</t>
  </si>
  <si>
    <t>2ATL-422012</t>
  </si>
  <si>
    <t>IC Y S2 BREAKFAST PLATE C2</t>
  </si>
  <si>
    <t>2ATL-422013</t>
  </si>
  <si>
    <t>IC Y S2 BREAKFAST PLATE C3</t>
  </si>
  <si>
    <t>3ATL-431010</t>
  </si>
  <si>
    <t>IC M S1 TSU C1</t>
  </si>
  <si>
    <t>M</t>
  </si>
  <si>
    <t>3ATL-431011</t>
  </si>
  <si>
    <t>IC M S1 TSU C2</t>
  </si>
  <si>
    <t>3ATL-431012</t>
  </si>
  <si>
    <t>IC M S1 TSU C3</t>
  </si>
  <si>
    <t>2ATL-431011</t>
  </si>
  <si>
    <t>IC M S1 SALAD C1</t>
  </si>
  <si>
    <t>Also used for Y.</t>
  </si>
  <si>
    <t>2ATL-431020</t>
  </si>
  <si>
    <t>IC M S1 DE C1</t>
  </si>
  <si>
    <t>2ATL-431021</t>
  </si>
  <si>
    <t>IC M S1 DE C2</t>
  </si>
  <si>
    <t>2ATL-431022</t>
  </si>
  <si>
    <t>IC M S1 DE C3</t>
  </si>
  <si>
    <t>2ATL-431012</t>
  </si>
  <si>
    <t>IC M S1 SALAD C2</t>
  </si>
  <si>
    <t>2ATL-431013</t>
  </si>
  <si>
    <t>IC M S1 SALAD C3</t>
  </si>
  <si>
    <t>2ATL-432020</t>
  </si>
  <si>
    <t>IC M S2 SW C1-4</t>
  </si>
  <si>
    <t>4ATL-432010</t>
  </si>
  <si>
    <t>IC M S2 JUICE C1-4</t>
  </si>
  <si>
    <t>3ATL-9110BK3</t>
  </si>
  <si>
    <t>IC C S1 BKML C3</t>
  </si>
  <si>
    <t>-</t>
  </si>
  <si>
    <t>3ATL-9120BK3</t>
  </si>
  <si>
    <t>IC C S2 BKML C3</t>
  </si>
  <si>
    <t>3ATL-9210BK3</t>
  </si>
  <si>
    <t>IC Y S1 BKML C3</t>
  </si>
  <si>
    <t>3ATL-9220BK3</t>
  </si>
  <si>
    <t>IC Y S2 BKML C3</t>
  </si>
  <si>
    <t>3333-ICxxx</t>
  </si>
  <si>
    <t>TBD</t>
  </si>
  <si>
    <t>X</t>
  </si>
  <si>
    <t>For split handling use 3333-IC954-T + 3333-IC954-OR.</t>
  </si>
  <si>
    <t>3334-Icxxx</t>
  </si>
  <si>
    <t>For split handling use 3334-IC954-T + 3334-IC954-OR.</t>
  </si>
  <si>
    <t>3591-Icxxx</t>
  </si>
  <si>
    <t>For split handling use 3591-IC954-T + 3591-IC954-OR.</t>
  </si>
  <si>
    <t>8ALL-WETICE</t>
  </si>
  <si>
    <t>Wet Ice</t>
  </si>
  <si>
    <t>8ALL-DRYICE</t>
  </si>
  <si>
    <t>Dry Ice</t>
  </si>
  <si>
    <t>8ALL-GARBAGE3333</t>
  </si>
  <si>
    <t>International Garbage Charge (3333)</t>
  </si>
  <si>
    <t>8ALL-GARBAGE3334</t>
  </si>
  <si>
    <t>International Garbage Charge (3334)</t>
  </si>
  <si>
    <t>8ALL-GARBAGE3591</t>
  </si>
  <si>
    <t>International Garbage Charge (3591)</t>
  </si>
  <si>
    <t>8ALL-ACDELIVERY</t>
  </si>
  <si>
    <t>Aircraft Delivery Charge</t>
  </si>
  <si>
    <t>8ATL-OVERHEAD-C</t>
  </si>
  <si>
    <t>IC C Overhead</t>
  </si>
  <si>
    <t>8ATL-OVERHEAD-Y</t>
  </si>
  <si>
    <t>IC Y Overhead</t>
  </si>
  <si>
    <t>8ATL-OVERHEAD-M</t>
  </si>
  <si>
    <t>IC M Overhead</t>
  </si>
  <si>
    <t>3ATL-9310AD1</t>
  </si>
  <si>
    <t>IC M S1 ADML C1</t>
  </si>
  <si>
    <t>3ATL-9310CD1</t>
  </si>
  <si>
    <t>IC M S1 CDML C1</t>
  </si>
  <si>
    <t>3ATL-9310GC1</t>
  </si>
  <si>
    <t>IC M S1 GCML C1</t>
  </si>
  <si>
    <t>3ATL-9310VV1</t>
  </si>
  <si>
    <t>IC M S1 VVML C1</t>
  </si>
  <si>
    <t>3ATL-9310EV1</t>
  </si>
  <si>
    <t>IC M S1 EVML C1</t>
  </si>
  <si>
    <t>3ATL-9320AD1</t>
  </si>
  <si>
    <t>IC M S2 ADML C1</t>
  </si>
  <si>
    <t>3ATL-9320CD1</t>
  </si>
  <si>
    <t>IC M S2 CDML C1</t>
  </si>
  <si>
    <t>3ATL-9320GC1</t>
  </si>
  <si>
    <t>IC M S2 GCML C1</t>
  </si>
  <si>
    <t>3ATL-9320VV1</t>
  </si>
  <si>
    <t>IC M S2 VVML C1</t>
  </si>
  <si>
    <t>3ATL-9320EV1</t>
  </si>
  <si>
    <t>IC M S2 EVML C1</t>
  </si>
  <si>
    <t>3ATL-9320GH1</t>
  </si>
  <si>
    <t>IC M S2 GHML C1</t>
  </si>
  <si>
    <t>3ATL-9310AD2</t>
  </si>
  <si>
    <t>IC M S1 ADML C2</t>
  </si>
  <si>
    <t>3ATL-9310CD2</t>
  </si>
  <si>
    <t>IC M S1 CDML C2</t>
  </si>
  <si>
    <t>3ATL-9310GC2</t>
  </si>
  <si>
    <t>IC M S1 GCML C2</t>
  </si>
  <si>
    <t>3ATL-9310VV2</t>
  </si>
  <si>
    <t>IC M S1 VVML C2</t>
  </si>
  <si>
    <t>3ATL-9310EV2</t>
  </si>
  <si>
    <t>IC M S1 EVML C2</t>
  </si>
  <si>
    <t>3ATL-9320AD2</t>
  </si>
  <si>
    <t>IC M S2 ADML C2</t>
  </si>
  <si>
    <t>3ATL-9320CD2</t>
  </si>
  <si>
    <t>IC M S2 CDML C2</t>
  </si>
  <si>
    <t>3ATL-9320GC2</t>
  </si>
  <si>
    <t>IC M S2 GCML C2</t>
  </si>
  <si>
    <t>3ATL-9320VV2</t>
  </si>
  <si>
    <t>IC M S2 VVML C2</t>
  </si>
  <si>
    <t>3ATL-9320EV2</t>
  </si>
  <si>
    <t>IC M S2 EVML C2</t>
  </si>
  <si>
    <t>3ATL-9320GH2</t>
  </si>
  <si>
    <t>IC M S2 GHML C2</t>
  </si>
  <si>
    <t>3ATL-9110AV3</t>
  </si>
  <si>
    <t>IC C S1 AVML C3</t>
  </si>
  <si>
    <t>3ATL-9110CH3</t>
  </si>
  <si>
    <t>IC C S1 CHML C3</t>
  </si>
  <si>
    <t>3ATL-9110LG3</t>
  </si>
  <si>
    <t>IC C S1 LGML C3</t>
  </si>
  <si>
    <t>3ATL-9110VG3</t>
  </si>
  <si>
    <t>IC C S1 VGML C3</t>
  </si>
  <si>
    <t>3ATL-9110VL3</t>
  </si>
  <si>
    <t>IC C S1 VLML C3</t>
  </si>
  <si>
    <t>3ATL-9120AV3</t>
  </si>
  <si>
    <t>IC C S2 AVML C3</t>
  </si>
  <si>
    <t>3ATL-9120CH3</t>
  </si>
  <si>
    <t>IC C S2 CHML C3</t>
  </si>
  <si>
    <t>3ATL-9120LG3</t>
  </si>
  <si>
    <t>IC C S2 LGML C3</t>
  </si>
  <si>
    <t>3ATL-9120VG3</t>
  </si>
  <si>
    <t>IC C S2 VGML C3</t>
  </si>
  <si>
    <t>3ATL-9120VL3</t>
  </si>
  <si>
    <t>IC C S2 VLML C3</t>
  </si>
  <si>
    <t>3ATL-9210AV3</t>
  </si>
  <si>
    <t>IC Y S1 AVML C3</t>
  </si>
  <si>
    <t>3ATL-9210CH3</t>
  </si>
  <si>
    <t>IC Y S1 CHML C3</t>
  </si>
  <si>
    <t>3ATL-9210LG3</t>
  </si>
  <si>
    <t>IC Y S1 LGML C3</t>
  </si>
  <si>
    <t>3ATL-9210VG3</t>
  </si>
  <si>
    <t>IC Y S1 VGML C3</t>
  </si>
  <si>
    <t>3ATL-9210VL3</t>
  </si>
  <si>
    <t>IC Y S1 VLML C3</t>
  </si>
  <si>
    <t>3ATL-9220AV3</t>
  </si>
  <si>
    <t>IC Y S2 AVML C3</t>
  </si>
  <si>
    <t>3ATL-9220CH3</t>
  </si>
  <si>
    <t>IC Y S2 CHML C3</t>
  </si>
  <si>
    <t>3ATL-9220LG3</t>
  </si>
  <si>
    <t>IC Y S2 LGML C3</t>
  </si>
  <si>
    <t>3ATL-9220VG3</t>
  </si>
  <si>
    <t>IC Y S2 VGML C3</t>
  </si>
  <si>
    <t>3ATL-9220VL3</t>
  </si>
  <si>
    <t>IC Y S2 VLML C3</t>
  </si>
  <si>
    <t>3ATL-9310AD3</t>
  </si>
  <si>
    <t>IC M S1 ADML C3</t>
  </si>
  <si>
    <t>3ATL-9310CD3</t>
  </si>
  <si>
    <t>IC M S1 CDML C3</t>
  </si>
  <si>
    <t>3ATL-9310GC3</t>
  </si>
  <si>
    <t>IC M S1 GCML C3</t>
  </si>
  <si>
    <t>3ATL-9310VV3</t>
  </si>
  <si>
    <t>IC M S1 VVML C3</t>
  </si>
  <si>
    <t>3ATL-9310EV3</t>
  </si>
  <si>
    <t>IC M S1 EVML C3</t>
  </si>
  <si>
    <t>3ATL-9320AD3</t>
  </si>
  <si>
    <t>IC M S2 ADML C3</t>
  </si>
  <si>
    <t>3ATL-9320CD3</t>
  </si>
  <si>
    <t>IC M S2 CDML C3</t>
  </si>
  <si>
    <t>3ATL-9320GC3</t>
  </si>
  <si>
    <t>IC M S2 GCML C3</t>
  </si>
  <si>
    <t>3ATL-9320VV3</t>
  </si>
  <si>
    <t>IC M S2 VVML C3</t>
  </si>
  <si>
    <t>3ATL-9320EV3</t>
  </si>
  <si>
    <t>IC M S2 EVML C3</t>
  </si>
  <si>
    <t>3ATL-9320GH3</t>
  </si>
  <si>
    <t>IC M S2 GHML C3</t>
  </si>
  <si>
    <t>3ATL-9310ME1</t>
  </si>
  <si>
    <t>IC M S1 MEML C1</t>
  </si>
  <si>
    <t>3ATL-9310FI1</t>
  </si>
  <si>
    <t>IC M S1 FIML C1</t>
  </si>
  <si>
    <t>3ATL-9310CK1</t>
  </si>
  <si>
    <t>IC M S1 CKML C1</t>
  </si>
  <si>
    <t>3ATL-9310GH1</t>
  </si>
  <si>
    <t>IC M S1 GHML C1</t>
  </si>
  <si>
    <t>3ATL-9310ME2</t>
  </si>
  <si>
    <t>IC M S1 MEML C2</t>
  </si>
  <si>
    <t>3ATL-9310FI2</t>
  </si>
  <si>
    <t>IC M S1 FIML C2</t>
  </si>
  <si>
    <t>3ATL-9310CK2</t>
  </si>
  <si>
    <t>IC M S1 CKML C2</t>
  </si>
  <si>
    <t>3ATL-9310GH2</t>
  </si>
  <si>
    <t>IC M S1 GHML C2</t>
  </si>
  <si>
    <t>3ATL-9310ME3</t>
  </si>
  <si>
    <t>IC M S1 MEML C3</t>
  </si>
  <si>
    <t>3ATL-9310FI3</t>
  </si>
  <si>
    <t>IC M S1 FIML C3</t>
  </si>
  <si>
    <t>3ATL-9310CK3</t>
  </si>
  <si>
    <t>IC M S1 CKML C3</t>
  </si>
  <si>
    <t>3ATL-9310GH3</t>
  </si>
  <si>
    <t>IC M S1 GHML C3</t>
  </si>
  <si>
    <t>SPECIAL MEALS 
(SPML)</t>
  </si>
  <si>
    <t>PRE-ORDER MEALS (POML)</t>
  </si>
  <si>
    <t>SPECIAL MEALS
(SPML)</t>
  </si>
  <si>
    <t>Description of meal</t>
  </si>
  <si>
    <t>LH
Business &amp; Plus class</t>
  </si>
  <si>
    <t>LH
Go class</t>
  </si>
  <si>
    <t>LH
for GO pax</t>
  </si>
  <si>
    <t>LH
for CREW</t>
  </si>
  <si>
    <t>AVML</t>
  </si>
  <si>
    <t>ADML</t>
  </si>
  <si>
    <t>1st &amp; 2nd Service</t>
  </si>
  <si>
    <t>Asian vegetarian, spicy (may contain eggs and/or dairy)</t>
  </si>
  <si>
    <t>CHML</t>
  </si>
  <si>
    <t>CDML</t>
  </si>
  <si>
    <t xml:space="preserve">Child meal </t>
  </si>
  <si>
    <t>LGML</t>
  </si>
  <si>
    <t>GCML</t>
  </si>
  <si>
    <t xml:space="preserve">A meal adapted to gluten and lactose intolerance </t>
  </si>
  <si>
    <t>VLML</t>
  </si>
  <si>
    <t>EVML</t>
  </si>
  <si>
    <t>A lacto-ovo vegetarian meal (contains eggs and/or dairy)</t>
  </si>
  <si>
    <t>VGML</t>
  </si>
  <si>
    <t>VVML</t>
  </si>
  <si>
    <t>A vegan vegetarian meal</t>
  </si>
  <si>
    <t>FIML</t>
  </si>
  <si>
    <r>
      <rPr>
        <b/>
        <sz val="10"/>
        <color rgb="FFFF0000"/>
        <rFont val="Calibri"/>
        <family val="2"/>
      </rPr>
      <t>ONLY 1st</t>
    </r>
    <r>
      <rPr>
        <b/>
        <sz val="10"/>
        <color rgb="FF000000"/>
        <rFont val="Calibri"/>
        <family val="2"/>
      </rPr>
      <t xml:space="preserve"> Service</t>
    </r>
  </si>
  <si>
    <t>SAS Premium Menu – Fish, N.B. only available in SAS GO</t>
  </si>
  <si>
    <r>
      <t xml:space="preserve">Plus TSU with Business class Hot meal in </t>
    </r>
    <r>
      <rPr>
        <u/>
        <sz val="10"/>
        <rFont val="Calibri"/>
        <family val="2"/>
      </rPr>
      <t>YM Disposable casserole</t>
    </r>
  </si>
  <si>
    <t>MEML</t>
  </si>
  <si>
    <t>SAS Premium Menu – Meat, N.B. only available in SAS GO</t>
  </si>
  <si>
    <t>CKML</t>
  </si>
  <si>
    <t>SAS Premium Menu – Poultry, N.B. only available in SAS GO</t>
  </si>
  <si>
    <t>GHML</t>
  </si>
  <si>
    <t>SAS Premium Menu – Green, N.B. only available in SAS GO, Lacto ovo veg
For 2nd service when ordering GHML - EVML should be provided 
(vegetarian lacto-ovo meal)</t>
  </si>
  <si>
    <t>READ FIRST - Instructions</t>
  </si>
  <si>
    <t>To be able to fill in the quotation in this RFP overview it is of importance to understand SAS by reading and understanding the below information:</t>
  </si>
  <si>
    <t xml:space="preserve">Please study supporting documentation in suggested order in the RFP intro letter. </t>
  </si>
  <si>
    <t>SAS Gastronomic Guidelines. The document that describes the main frame work for SAS Gastronomical values and guidelines.</t>
  </si>
  <si>
    <t xml:space="preserve">How to fill out the cost sheets: </t>
  </si>
  <si>
    <t xml:space="preserve">Cycle 1 is only as a guiding reference as for the meals and shall not be calculated. </t>
  </si>
  <si>
    <t>For cycle 2 and 3, Please fill in your proposals of suggested meals, products and rawmaterials into SAS framework of concept of equipment per your optimizied sourcing, supply chain and production methods.</t>
  </si>
  <si>
    <t xml:space="preserve">Cycle 2 is set with a total cost with a cap per pax per class with an A350 configuration and load factor. </t>
  </si>
  <si>
    <r>
      <t xml:space="preserve">Cycle 2 Max cost for Business Class for all services including contribution for a regular meal of </t>
    </r>
    <r>
      <rPr>
        <b/>
        <u/>
        <sz val="11"/>
        <rFont val="Arial"/>
        <family val="2"/>
      </rPr>
      <t xml:space="preserve">40 USD. </t>
    </r>
  </si>
  <si>
    <r>
      <t xml:space="preserve">Cycle 2 Max cost for SAS Plus for all services  including contributionfor are for a regular meal of </t>
    </r>
    <r>
      <rPr>
        <b/>
        <u/>
        <sz val="11"/>
        <rFont val="Arial"/>
        <family val="2"/>
      </rPr>
      <t>22 USD</t>
    </r>
    <r>
      <rPr>
        <b/>
        <sz val="11"/>
        <rFont val="Arial"/>
        <family val="2"/>
      </rPr>
      <t>.</t>
    </r>
  </si>
  <si>
    <r>
      <t xml:space="preserve">Cycle 2 Max cost for SAS Go all services  including contribution for a regular meal of </t>
    </r>
    <r>
      <rPr>
        <b/>
        <u/>
        <sz val="11"/>
        <rFont val="Arial"/>
        <family val="2"/>
      </rPr>
      <t>15 USD.</t>
    </r>
  </si>
  <si>
    <t xml:space="preserve">Cycle 3 is your proposed menu without any budget cap of max cost. The total cost per pax per class for all regular may be higher or lower and than cycle 2. </t>
  </si>
  <si>
    <t xml:space="preserve">Cycle 3 Special Meals (SPML): Please propose meal suggestion according your capabalities for every SPML code listed in the cost sheet. Its only one code per 1st &amp; 2nd serivce that covers all items that shall as far ass possible be equal in the service to a regular meal. </t>
  </si>
  <si>
    <r>
      <t xml:space="preserve">It is important that the ingredients are explained in terms of Brand/Origin/Quality grade in column </t>
    </r>
    <r>
      <rPr>
        <b/>
        <sz val="11"/>
        <rFont val="Arial"/>
        <family val="2"/>
      </rPr>
      <t>E</t>
    </r>
    <r>
      <rPr>
        <sz val="11"/>
        <rFont val="Arial"/>
        <family val="2"/>
      </rPr>
      <t>. This information is required and part of evaluation.</t>
    </r>
  </si>
  <si>
    <t>Column D shall be fiilled in with weight i grams (gm) or quantaty in piece (pc). If a food rawmaterial or product is filled in with piece shall the weight be in the desription of the product.</t>
  </si>
  <si>
    <t>Column E shall be filled in with the selected unit of measuare, gm (gram) or pc.</t>
  </si>
  <si>
    <t>Column F shall be filled in with the direct raw material (dM) for the individual meal components. dM is the food cost.</t>
  </si>
  <si>
    <t>Column G shall be filled in with direct labor (dL) for the meal. dL is the labor cost.</t>
  </si>
  <si>
    <t xml:space="preserve">Overhead &amp; profit (contribution) has a seperate line item and is based as a set price for the complete service and not a percentage mark up on dM and dL according Scheduele 6.1.1. </t>
  </si>
  <si>
    <t xml:space="preserve">N.B. Load scale is only the information how SAS will order the dish per IFX code according to seated pax. </t>
  </si>
  <si>
    <t xml:space="preserve">Prices shall be submitted per dish without any conversion with a load scale. A dish a price. </t>
  </si>
  <si>
    <t xml:space="preserve">The prices shall be submitted according Schedule 6.1.1 Price Model and Services Charges Standard Model and in filled into the cost sheets per service per cost sheet in this file. No other file or modell. 
</t>
  </si>
  <si>
    <r>
      <t xml:space="preserve">Please note that the overhead is per pax and </t>
    </r>
    <r>
      <rPr>
        <u/>
        <sz val="11"/>
        <rFont val="Arial"/>
        <family val="2"/>
      </rPr>
      <t>not</t>
    </r>
    <r>
      <rPr>
        <sz val="11"/>
        <rFont val="Arial"/>
        <family val="2"/>
      </rPr>
      <t xml:space="preserve"> per each individual SAS IFX Spec Code /SAS IFX Description. </t>
    </r>
  </si>
  <si>
    <t>The overhead is listed with a seperate code per each invididual class C, Y, M, P and K.</t>
  </si>
  <si>
    <r>
      <rPr>
        <b/>
        <sz val="11"/>
        <rFont val="Arial"/>
        <family val="2"/>
      </rPr>
      <t>Sheet C Cost_Pax, Y Cost_Pax and M Cost_pax</t>
    </r>
    <r>
      <rPr>
        <sz val="11"/>
        <rFont val="Arial"/>
        <family val="2"/>
      </rPr>
      <t xml:space="preserve"> gives the total cost for all services per class per pax. It's preset rules according SAS load scale and order ratios that generates cost per service for regular meals per class. </t>
    </r>
  </si>
  <si>
    <t xml:space="preserve">Its only the cells that are colored that shall entered / filled in. </t>
  </si>
  <si>
    <t>All other cells shall not be changed or altered.</t>
  </si>
  <si>
    <t>Brand/Origin/Quality grade</t>
  </si>
  <si>
    <t>This information is fundamental to understand in what extent the product choosen relate to SAS Gastronomic Guidelines</t>
  </si>
  <si>
    <t>Nominated SAS owned product</t>
  </si>
  <si>
    <t>Owned and supplied by SAS</t>
  </si>
  <si>
    <t xml:space="preserve">Selected SAS nominated product </t>
  </si>
  <si>
    <t xml:space="preserve">Purchased by caterer and supplied direct to the units by the nominated supplier. 
Invoiced to SAS by caterer as part of the meal cost. </t>
  </si>
  <si>
    <t>Abbreviations</t>
  </si>
  <si>
    <t>IC</t>
  </si>
  <si>
    <t>Long Haul, Intercontinental routes to/from the North America and Asia according SAS traffic program</t>
  </si>
  <si>
    <t>P</t>
  </si>
  <si>
    <t xml:space="preserve">Flight deck Crew meal, 2 flight deck crew meal per flight as present standard. Crew can chose to opt out crew meal. </t>
  </si>
  <si>
    <t>K</t>
  </si>
  <si>
    <t xml:space="preserve">Cabin Crew meal, 8 crew for A330 and 9 crew for A350 per flight as present standard. Crew can chose to opt out crew meal. </t>
  </si>
  <si>
    <t>SAS Business class</t>
  </si>
  <si>
    <t>SAS class equivallent to premium economy class</t>
  </si>
  <si>
    <t>SAS class equivallent to economy class</t>
  </si>
  <si>
    <t>C, C1-4 (C1, C2 etc)</t>
  </si>
  <si>
    <t>Cycle or menu. The naming of a certain menu running for a set period</t>
  </si>
  <si>
    <t>CB</t>
  </si>
  <si>
    <t xml:space="preserve">Cold Breakfast </t>
  </si>
  <si>
    <t>HB</t>
  </si>
  <si>
    <t>Hot Breakfast</t>
  </si>
  <si>
    <t>CM</t>
  </si>
  <si>
    <t>Cold Meal</t>
  </si>
  <si>
    <t>HM</t>
  </si>
  <si>
    <t xml:space="preserve">Hot Meal </t>
  </si>
  <si>
    <t xml:space="preserve">TSU </t>
  </si>
  <si>
    <t xml:space="preserve">Tray setup </t>
  </si>
  <si>
    <t>SK EQ</t>
  </si>
  <si>
    <t xml:space="preserve">SAS equipment trays, china, disposable, food containers </t>
  </si>
  <si>
    <t>S1</t>
  </si>
  <si>
    <t>First meal service</t>
  </si>
  <si>
    <t>S2</t>
  </si>
  <si>
    <t>Second meal service</t>
  </si>
  <si>
    <t>ST</t>
  </si>
  <si>
    <t xml:space="preserve">Starter </t>
  </si>
  <si>
    <t xml:space="preserve">DE </t>
  </si>
  <si>
    <t>Dessert</t>
  </si>
  <si>
    <t>BRD</t>
  </si>
  <si>
    <t>Bread</t>
  </si>
  <si>
    <t>dL</t>
  </si>
  <si>
    <t xml:space="preserve">Direct Labor: all labour cost related to produce a meal </t>
  </si>
  <si>
    <t>dM</t>
  </si>
  <si>
    <t xml:space="preserve">Direct Material: all cost related for the raw material in a meal/ ingredient/component  </t>
  </si>
  <si>
    <t>Selling price</t>
  </si>
  <si>
    <t xml:space="preserve">Total dM and total dL summarized </t>
  </si>
  <si>
    <t xml:space="preserve">Evaluation </t>
  </si>
  <si>
    <t>Evaluation of the submission in this RFP document will be on total dM, total dL and how the gastromomic guidelines are adheard to and described in the column Brand/Origin/Quality grade</t>
  </si>
  <si>
    <t xml:space="preserve">If a generic product on a raw material is used describe it as generic and origin. </t>
  </si>
  <si>
    <t>Approximately 10% of crew meals are special meals.</t>
  </si>
  <si>
    <t>SAS Special meals and Pre order meal codes:</t>
  </si>
  <si>
    <t xml:space="preserve">MEML SAS Premium Menu – Meat, N.B. only available in SAS GO.  SAS Plus 1st serving Tray setup with the Business class Hot meal Meat portioned the aluminium disposable casserole 973113 and lid 973114. Regular 2nd service </t>
  </si>
  <si>
    <t xml:space="preserve">CKML SAS Premium Menu – Poultry, N.B. only available in SAS GO. SAS Plus 1st serving Tray setup with the Business class Hot meal Chicken portioned the aluminium disposable casserole 973113 and lid 973114. Regular 2nd service </t>
  </si>
  <si>
    <t>GHML SAS Premium Menu – Green, N.B. only available in SAS GO, Lacto ovo veg. SAS Plus 1st serving Tray setup with the Business class Hot meal fish portioned the aluminium disposable casserole 973113 and lid 973114 and 2nd serivce EVML</t>
  </si>
  <si>
    <t xml:space="preserve">Caterer: TBD </t>
  </si>
  <si>
    <t>Station: ATL</t>
  </si>
  <si>
    <r>
      <t xml:space="preserve">Concept: </t>
    </r>
    <r>
      <rPr>
        <b/>
        <sz val="10"/>
        <color theme="1"/>
        <rFont val="Arial"/>
        <family val="2"/>
        <scheme val="minor"/>
      </rPr>
      <t>01JUN24</t>
    </r>
    <r>
      <rPr>
        <sz val="10"/>
        <color theme="1"/>
        <rFont val="Arial"/>
        <family val="2"/>
        <scheme val="minor"/>
      </rPr>
      <t xml:space="preserve"> | Version: 1 | Updated: 15DEC</t>
    </r>
    <r>
      <rPr>
        <b/>
        <sz val="10"/>
        <color theme="1"/>
        <rFont val="Arial"/>
        <family val="2"/>
        <scheme val="minor"/>
      </rPr>
      <t>23</t>
    </r>
    <r>
      <rPr>
        <sz val="10"/>
        <color theme="1"/>
        <rFont val="Arial"/>
        <family val="2"/>
        <scheme val="minor"/>
      </rPr>
      <t xml:space="preserve"> Currency USD</t>
    </r>
  </si>
  <si>
    <t>CS C spec codes C1-3</t>
  </si>
  <si>
    <t>BUSINESS CLASS</t>
  </si>
  <si>
    <t xml:space="preserve">Supplier, please fill in name of Company in the first row </t>
  </si>
  <si>
    <t>Quality, brand, supplier, origin, comments</t>
  </si>
  <si>
    <t xml:space="preserve">Loading Instructions 
N.B only information </t>
  </si>
  <si>
    <t>Cycle / Menu</t>
  </si>
  <si>
    <t xml:space="preserve">Dish Name </t>
  </si>
  <si>
    <t xml:space="preserve">Please fill in Supplier Name </t>
  </si>
  <si>
    <t>4ATL-411050C2</t>
  </si>
  <si>
    <t>IC C S1 CUTLERY C2</t>
  </si>
  <si>
    <t>C2</t>
  </si>
  <si>
    <t>Cutlery pack</t>
  </si>
  <si>
    <t xml:space="preserve">Napkin/Tablecloth, Poly/Cotton, Grey </t>
  </si>
  <si>
    <t>Pc</t>
  </si>
  <si>
    <t xml:space="preserve">Knife, Stainless, RS </t>
  </si>
  <si>
    <t xml:space="preserve">Fork, Stainless, RS </t>
  </si>
  <si>
    <t>Spoon, Stainless, Dessert/Soup, RS</t>
  </si>
  <si>
    <t xml:space="preserve">Salt &amp; Pepper, Twinpack </t>
  </si>
  <si>
    <t xml:space="preserve">Toothpick, Individually Packed </t>
  </si>
  <si>
    <t>4ATL-411050C3</t>
  </si>
  <si>
    <t>IC C S1 CUTLERY C3</t>
  </si>
  <si>
    <t>C3</t>
  </si>
  <si>
    <t>C1</t>
  </si>
  <si>
    <t>Starter salad</t>
  </si>
  <si>
    <t>Mixed salad leaves</t>
  </si>
  <si>
    <t>gm</t>
  </si>
  <si>
    <t>Seasonal</t>
  </si>
  <si>
    <t>Mesclun Mixed Greens</t>
  </si>
  <si>
    <t>Heirloom Cherry/Grape tomato</t>
  </si>
  <si>
    <t xml:space="preserve">Cucumber Slices </t>
  </si>
  <si>
    <t>each</t>
  </si>
  <si>
    <t>Baby Arugula</t>
  </si>
  <si>
    <t>Aromatic Poached Bosc Pear</t>
  </si>
  <si>
    <t>Premium Produced Product Locally Produced</t>
  </si>
  <si>
    <t>Goat Cheese</t>
  </si>
  <si>
    <t>Salad side garnish</t>
  </si>
  <si>
    <t>Shaved watermelon radish 1 mm</t>
  </si>
  <si>
    <t>Gm</t>
  </si>
  <si>
    <t> </t>
  </si>
  <si>
    <t>Salad garnish</t>
  </si>
  <si>
    <t>Toasted Sunflower Seeds</t>
  </si>
  <si>
    <t>Garnish</t>
  </si>
  <si>
    <t>Toasted Pepitas</t>
  </si>
  <si>
    <t>IC C S1+S2 BUTTER C1</t>
  </si>
  <si>
    <t>Butter</t>
  </si>
  <si>
    <t>Butter puck salted</t>
  </si>
  <si>
    <t>Organic valley</t>
  </si>
  <si>
    <t>2ATL-411050C2</t>
  </si>
  <si>
    <t>IC C S1+S2 BUTTER C2</t>
  </si>
  <si>
    <t>Banner Butter</t>
  </si>
  <si>
    <t xml:space="preserve">Locally Sourced Sustainable Butter 1/2 oz.  UW </t>
  </si>
  <si>
    <t>2ATL-411050C3</t>
  </si>
  <si>
    <t>IC C S1+S2 BUTTER C3</t>
  </si>
  <si>
    <t>Butcher board</t>
  </si>
  <si>
    <t>Truffle saucisson sec</t>
  </si>
  <si>
    <t>3 x 4</t>
  </si>
  <si>
    <t xml:space="preserve">Pork pate de campagne with pistachio </t>
  </si>
  <si>
    <t>Duck prosciutto</t>
  </si>
  <si>
    <t>Upland cress</t>
  </si>
  <si>
    <t>Cornichons</t>
  </si>
  <si>
    <t>pc</t>
  </si>
  <si>
    <t>Cracked black Tellecherry pepper</t>
  </si>
  <si>
    <t>Beef Pastrami</t>
  </si>
  <si>
    <t>Heywoods Provisions (Local Vendor)</t>
  </si>
  <si>
    <t>Duck Rillet</t>
  </si>
  <si>
    <t>Soppressata</t>
  </si>
  <si>
    <t xml:space="preserve">Heywoods Provisions (Local Vendor)  </t>
  </si>
  <si>
    <t>Fig Jam</t>
  </si>
  <si>
    <t>Mesculin Lettuce</t>
  </si>
  <si>
    <t>Italian Salami Slice</t>
  </si>
  <si>
    <t>3 pc x 5</t>
  </si>
  <si>
    <t xml:space="preserve">Pork Proscuitto </t>
  </si>
  <si>
    <t xml:space="preserve">Waygu Bressola </t>
  </si>
  <si>
    <t xml:space="preserve">Heywoods Provisions (Local Vendor)   </t>
  </si>
  <si>
    <t>Castelvetrano Olives</t>
  </si>
  <si>
    <t>Cured salmon with baked beets and goat cheese</t>
  </si>
  <si>
    <t>Herb cured salmon (rosemary, thyme &amp; chives)</t>
  </si>
  <si>
    <t>2x20</t>
  </si>
  <si>
    <t>Red beet roasted in wedges</t>
  </si>
  <si>
    <t>2x10</t>
  </si>
  <si>
    <t>Humbold fog goat cheese (in "knuckles")</t>
  </si>
  <si>
    <t>3x4</t>
  </si>
  <si>
    <t>chiaggia beets ( sliced/ cut) 1 mm</t>
  </si>
  <si>
    <t>2x2</t>
  </si>
  <si>
    <t>Yellow beets roasted in wedges</t>
  </si>
  <si>
    <t>Baby spinach leaves as garnish</t>
  </si>
  <si>
    <t>Smoked Trout</t>
  </si>
  <si>
    <t>INLAND SEAFOOD</t>
  </si>
  <si>
    <t>Horseradish Dill Aioli</t>
  </si>
  <si>
    <t>Cucumber Apple Salad</t>
  </si>
  <si>
    <t xml:space="preserve">Cornichons </t>
  </si>
  <si>
    <t>House Made Bagel Chips Everything in Indv Packet</t>
  </si>
  <si>
    <t>Smoked Salmon</t>
  </si>
  <si>
    <t>Premium Quality</t>
  </si>
  <si>
    <t>Everything Cream Cheese</t>
  </si>
  <si>
    <t>Chopped Hard Boiled Egg</t>
  </si>
  <si>
    <t>Diced Red Onion</t>
  </si>
  <si>
    <t xml:space="preserve">Capers </t>
  </si>
  <si>
    <t>Starter side garnish for Cured salmon</t>
  </si>
  <si>
    <t>Argan oil (for IC C S1 ST-B FISH C1)</t>
  </si>
  <si>
    <t>Starter garnish to either A or B</t>
  </si>
  <si>
    <t>Chive batons</t>
  </si>
  <si>
    <t>Dill Sprigs</t>
  </si>
  <si>
    <t>50% (U)</t>
  </si>
  <si>
    <t>Truffle braised Kurobuta pork cheeks, celery root puree and grilled king oyster mushrooms</t>
  </si>
  <si>
    <t>Truffle braised kurobuta pork cheeks</t>
  </si>
  <si>
    <t>Braising liquid/sauce</t>
  </si>
  <si>
    <t>Celery root mashed</t>
  </si>
  <si>
    <t>Rapini ( sauteed)</t>
  </si>
  <si>
    <t>King oyster mushrooms ( grilled)</t>
  </si>
  <si>
    <t>Grilled Beef Tenderloin</t>
  </si>
  <si>
    <t>Smoked Tomato Jam</t>
  </si>
  <si>
    <t>Housemade</t>
  </si>
  <si>
    <t>Herb Roasted Fingeling Potatoes</t>
  </si>
  <si>
    <t>Roasted Asparagus</t>
  </si>
  <si>
    <t>Smoked Braised Short Rib</t>
  </si>
  <si>
    <t>Fox Brothers , local</t>
  </si>
  <si>
    <t>BBQ jus</t>
  </si>
  <si>
    <t>Garlic Thyme Mash Potatoes</t>
  </si>
  <si>
    <t>Sauteed Green Beans</t>
  </si>
  <si>
    <t>Roasted Cherry Tomatoes</t>
  </si>
  <si>
    <t>50% (D)</t>
  </si>
  <si>
    <t>Duck leg confit with spring vegetable cassoulet</t>
  </si>
  <si>
    <t xml:space="preserve">Duck leg confit  </t>
  </si>
  <si>
    <t>White beans cassoulet</t>
  </si>
  <si>
    <t>Spring vegetables (baby turnips, fava beans -</t>
  </si>
  <si>
    <t>- baby carrots and baby leeks)</t>
  </si>
  <si>
    <t>Cassoulet juice</t>
  </si>
  <si>
    <t>Sous Vide Airline Chicken Breast</t>
  </si>
  <si>
    <t>Bell and Evans Organic</t>
  </si>
  <si>
    <t>Wild Mushroom Sauce</t>
  </si>
  <si>
    <t>Sauteed Spinach with Garlic</t>
  </si>
  <si>
    <t>Parmesan Risotto</t>
  </si>
  <si>
    <t>Roasted Baby Carrot half x2</t>
  </si>
  <si>
    <t>2x15</t>
  </si>
  <si>
    <t>Roast Lemon Chicken Leg Quarter</t>
  </si>
  <si>
    <t>Piccata Sauce</t>
  </si>
  <si>
    <t>Herb Roasted Fingerling Potatoes</t>
  </si>
  <si>
    <t>Marinated Steamed Broccolini</t>
  </si>
  <si>
    <t>Grilled Yellow Squash</t>
  </si>
  <si>
    <t>Cauliflower "steak" with pumpkin coulis and picalilli pickles</t>
  </si>
  <si>
    <t>Cauliflower steak (whole slice)</t>
  </si>
  <si>
    <t>Pumpkin coulis</t>
  </si>
  <si>
    <t>Ml</t>
  </si>
  <si>
    <t>Piccalilli pickles</t>
  </si>
  <si>
    <t>Pasta Mami Smoked Mozzerella Ravioli</t>
  </si>
  <si>
    <t>Local Artisan Pasta Vendor</t>
  </si>
  <si>
    <t>Pomodrini Sauce</t>
  </si>
  <si>
    <t xml:space="preserve">Pesto Marinated Buffala Mozzarella </t>
  </si>
  <si>
    <t>Broccolini</t>
  </si>
  <si>
    <t>Pasta Mami Wild Mushroom Tortellini</t>
  </si>
  <si>
    <t>Truffle Cream Sauce</t>
  </si>
  <si>
    <t>Confit Wild Mushrooms</t>
  </si>
  <si>
    <t>Hot meal side garnish for Cauliflower steak</t>
  </si>
  <si>
    <t>Hemp seed granola</t>
  </si>
  <si>
    <t xml:space="preserve">Garnish </t>
  </si>
  <si>
    <t>Rainbow Organic Micro Greens</t>
  </si>
  <si>
    <t>Cheese assortment</t>
  </si>
  <si>
    <t>Humbolt Fog</t>
  </si>
  <si>
    <t>Comte (locally produced)</t>
  </si>
  <si>
    <t>Assorted cheese</t>
  </si>
  <si>
    <t>Sweet Grass Dairy Thomasville Tomme</t>
  </si>
  <si>
    <t>Locally Produced, Regenerative Farms</t>
  </si>
  <si>
    <t>Sweet Grass Dairy Asher Blue</t>
  </si>
  <si>
    <t>Sweet Grass Dairy Green Hill</t>
  </si>
  <si>
    <t>Sweet Grass Dairy Georgia Gouda</t>
  </si>
  <si>
    <t>Cherry Clafoutis</t>
  </si>
  <si>
    <t>Cheery Clafoutis (baked in oven dish #971089)</t>
  </si>
  <si>
    <t>Apple pie</t>
  </si>
  <si>
    <t>Banana Pudding Cheesecake</t>
  </si>
  <si>
    <t>In-House Made</t>
  </si>
  <si>
    <t>Chocolate Mousse Cake</t>
  </si>
  <si>
    <t>ea</t>
  </si>
  <si>
    <t>Dessert side garnish for Cherry Clafoutis</t>
  </si>
  <si>
    <t>Vanilla bean sauce</t>
  </si>
  <si>
    <t xml:space="preserve">Rhum Caramel </t>
  </si>
  <si>
    <t>Strawberry Coulis</t>
  </si>
  <si>
    <t>Fresh cut seasonal fruit</t>
  </si>
  <si>
    <t>Cantaloupe (0,75 inch cubes)</t>
  </si>
  <si>
    <t>Watermelon(0,75 inch cubes)</t>
  </si>
  <si>
    <t>Pineapple (0,75 inch cubes)</t>
  </si>
  <si>
    <t>Honeydew (0,75 inch cubes)</t>
  </si>
  <si>
    <t>2ATL-411180C2</t>
  </si>
  <si>
    <t>Grapes</t>
  </si>
  <si>
    <t>2ATL-411180C3</t>
  </si>
  <si>
    <t>Blueberries</t>
  </si>
  <si>
    <t>Stawberries Quartered</t>
  </si>
  <si>
    <t>Kiwi (0.75 inch cubes)</t>
  </si>
  <si>
    <t>IC C S1 BRD Type 1 C1</t>
  </si>
  <si>
    <t>Assorted bread (rolls and slices)</t>
  </si>
  <si>
    <t>Brioche roll (Locally baked)</t>
  </si>
  <si>
    <t>Multi grain (locally baked)</t>
  </si>
  <si>
    <t>4ATL-411010C2</t>
  </si>
  <si>
    <t>IC C S1 BRD Type 1 C2</t>
  </si>
  <si>
    <t>Herb Foccacia Roll</t>
  </si>
  <si>
    <t>Freshly Baked In House</t>
  </si>
  <si>
    <t>Multi Grain Beer and Cheese Roll</t>
  </si>
  <si>
    <t>4ATL-411010C3</t>
  </si>
  <si>
    <t>IC C S1 BRD Type 1 C3</t>
  </si>
  <si>
    <t>IC C S1+S2 BRD Type 2 C1</t>
  </si>
  <si>
    <t xml:space="preserve">Six grain roll </t>
  </si>
  <si>
    <t>Sour dogh roll</t>
  </si>
  <si>
    <t>4ATL-411020C2</t>
  </si>
  <si>
    <t>IC C S1+S2 BRD Type 2 C2</t>
  </si>
  <si>
    <t>Honeywheat Roll</t>
  </si>
  <si>
    <t>White Dinner Roll</t>
  </si>
  <si>
    <t>4ATL-411020C3</t>
  </si>
  <si>
    <t>IC C S1+S2 BRD Type 2 C3</t>
  </si>
  <si>
    <t>IC C S1 BRD Type 3 C1</t>
  </si>
  <si>
    <t>Sour dough bread loaf (sliced)</t>
  </si>
  <si>
    <t>4ATL-411030C2</t>
  </si>
  <si>
    <t>IC C S1 BRD Type 3 C2</t>
  </si>
  <si>
    <t xml:space="preserve">Artisan Baguette </t>
  </si>
  <si>
    <t>4ATL-411030C3</t>
  </si>
  <si>
    <t>IC C S1 BRD Type 3 C3</t>
  </si>
  <si>
    <t>IC C S2 BRD Type 1 C1</t>
  </si>
  <si>
    <t>Assorted bread rolls</t>
  </si>
  <si>
    <t>Multi grain roll</t>
  </si>
  <si>
    <t>Breakfast assorted bread rolls</t>
  </si>
  <si>
    <t>Ciabatta roll</t>
  </si>
  <si>
    <t>4ATL-412010C2</t>
  </si>
  <si>
    <t>IC C S2 BRD Type 1 C2</t>
  </si>
  <si>
    <t>Kiss Roll( CHALLAH, PUMPERNICKLE, AND SOURDOUGH)</t>
  </si>
  <si>
    <t>4ATL-412010C3</t>
  </si>
  <si>
    <t>IC C S2 BRD Type 1 C3</t>
  </si>
  <si>
    <t>IC C S2 BRD Croissant C1</t>
  </si>
  <si>
    <t>Mini croissant</t>
  </si>
  <si>
    <t>4ATL-412020C2</t>
  </si>
  <si>
    <t>IC C S2 BRD Croissant C2</t>
  </si>
  <si>
    <t>Mini Croissant</t>
  </si>
  <si>
    <t>4ATL-412020C3</t>
  </si>
  <si>
    <t>IC C S2 BRD Croissant C3</t>
  </si>
  <si>
    <t>Mini Chocolate Croissant</t>
  </si>
  <si>
    <t>3ATL-412010C2</t>
  </si>
  <si>
    <t>Breakfast TSU</t>
  </si>
  <si>
    <t>Tray, Food, Large, ATLAS</t>
  </si>
  <si>
    <t>Traymat, Large, Black, Disposable</t>
  </si>
  <si>
    <t>Cup, china, rs, coffee</t>
  </si>
  <si>
    <t>Bowl, china, small, rs, for butter</t>
  </si>
  <si>
    <t>Lid, for 971051, disposable</t>
  </si>
  <si>
    <t>Plate, large, china, rs, for cold cuts and cheese</t>
  </si>
  <si>
    <t>Lid, For 971055/971176, Disposable</t>
  </si>
  <si>
    <t>Plate or Saucer, Small, China, RS (bread plate)</t>
  </si>
  <si>
    <t>Bowl, Glass, Clear, RS (for over night oates)</t>
  </si>
  <si>
    <t>Lid, For 971086, Disposable</t>
  </si>
  <si>
    <t>3ATL-412010C3</t>
  </si>
  <si>
    <t>Breakfast cold cut &amp; cheese platter</t>
  </si>
  <si>
    <t>Cream cheese (ball)</t>
  </si>
  <si>
    <t>Swiss cheese x 2 slices</t>
  </si>
  <si>
    <t>Smoked ham (whole muscle)</t>
  </si>
  <si>
    <t>US</t>
  </si>
  <si>
    <t>Napoli salami slice</t>
  </si>
  <si>
    <t>Roman salad liner</t>
  </si>
  <si>
    <t xml:space="preserve">Fresh cucumber batons x 2  </t>
  </si>
  <si>
    <t>Cocktail tomato</t>
  </si>
  <si>
    <t>Chive Cream cheese (ball)</t>
  </si>
  <si>
    <t>Sweet Grass Dairy Georgia Gouda X2 SLICE</t>
  </si>
  <si>
    <t>12X2</t>
  </si>
  <si>
    <t>Black Forest Ham</t>
  </si>
  <si>
    <t>Procuitto</t>
  </si>
  <si>
    <t>Baby Spinach</t>
  </si>
  <si>
    <t>6X2</t>
  </si>
  <si>
    <t>Cherry/Grape tomato</t>
  </si>
  <si>
    <t>Veggie Cream cheese (ball)</t>
  </si>
  <si>
    <t>Sweet Grass Dairy Georgia Gouda x 2 slices</t>
  </si>
  <si>
    <t>Traditional Chorizo</t>
  </si>
  <si>
    <t>Jamon Serrano</t>
  </si>
  <si>
    <t>Breakfast over night oates with fresh berries</t>
  </si>
  <si>
    <t>Bircher Muesli/Overnight Oats</t>
  </si>
  <si>
    <t>Toasted Coconut Shaved (garnish on top)</t>
  </si>
  <si>
    <t>Fresh Strawberry, Cut in 4 Quarters (garnish on top)</t>
  </si>
  <si>
    <t>Blueberry Fresh ea (garnish on top)</t>
  </si>
  <si>
    <t>Breakfast fresh cut fruit</t>
  </si>
  <si>
    <t>Coconut Chia Overnight Oats</t>
  </si>
  <si>
    <t>Granola (Seperate Bag)</t>
  </si>
  <si>
    <t>Strawberries quartered</t>
  </si>
  <si>
    <t>Toasted Seed Granola (Seperate Bag)</t>
  </si>
  <si>
    <t>Mango Pineapple Compote</t>
  </si>
  <si>
    <t>Breakfast bulk loaded yoghurt</t>
  </si>
  <si>
    <t>Greek full fat plain yoghurt (portioned packed)</t>
  </si>
  <si>
    <t>Vanilla yoghurt 4oz (portioned packed)</t>
  </si>
  <si>
    <t xml:space="preserve">Chobani </t>
  </si>
  <si>
    <t>Blueberry greek yoghurt 4oz (portioned packed)</t>
  </si>
  <si>
    <t>Inbetween service cheese sandwich</t>
  </si>
  <si>
    <t>Ciabatta bread</t>
  </si>
  <si>
    <t>Roman lettuce leaf</t>
  </si>
  <si>
    <t>Swiss cheese slice x 2</t>
  </si>
  <si>
    <t>Cream cheese spread (bottom and lid of bread)</t>
  </si>
  <si>
    <t>Red pepper strips x 2</t>
  </si>
  <si>
    <t>Arugula</t>
  </si>
  <si>
    <t>Sundried Tomato Pesto</t>
  </si>
  <si>
    <t>Mozzarella</t>
  </si>
  <si>
    <t>Basil Aoili</t>
  </si>
  <si>
    <t>Roasted Eggplant</t>
  </si>
  <si>
    <t>Roasted Red Pepper Halves</t>
  </si>
  <si>
    <t>Basil Pesto Hummus</t>
  </si>
  <si>
    <t>SA-REGULAR SERVICE , S- CRUDITE PLATE, HM- LENTIL MUSHROOMS STEW, WITH FINGERLING POTATOES, DE - REG SRV</t>
  </si>
  <si>
    <t>Catering suggestion - equal service as far as possible with regular meal but all i a single code</t>
  </si>
  <si>
    <t>SA- REGULAR SERVICE , S- VEG BATON WITH RANCH, HM- CHICKEN TENDER WITH SUGAR FREE KETCHUP, DE- REGULAR SERVICE</t>
  </si>
  <si>
    <t>SA- GF SALAD, S- GF STARTER, HM- GF MEAL, DE-GF DESSERT - BRD- GLUTENFREEE ROLL</t>
  </si>
  <si>
    <t>SA- VV SALAD, S- CRUDITE PLATE , HM- VV ROASTED MIXED VEG WITH TOMATO BASED SAUCE, DE- FRESH FRUIT</t>
  </si>
  <si>
    <t>SA- REG SRV, S - CRUDITE PLATE, HM- VEG OPTION, DE- REG SRV</t>
  </si>
  <si>
    <t>S2- PITA BREAD VEG PLATE W/ HUMMUS, FRUIT- REG SRV, YOGHURT- REG SRV, SW- REG SRV</t>
  </si>
  <si>
    <t>S2- TURKEY CHEESE W/TOAST BOILED EGG, FRUIT- REG SRV, YOGHURT -REG SRV, SW - TURKEY W/CHEESE SANDWICH</t>
  </si>
  <si>
    <t>S2 - GF COLDCUTS - FRUIT - GF NO GRANOLA - YOGHURT REGULAR SRV , SW- GF- SANDWICH</t>
  </si>
  <si>
    <t>S2 - PITA BREAD VEG PLATE W/ HUMMUS - FRUIT - REG SRV, YOGHURT -COCONUT CHIA PUDDING W/ FRUIT -  - SW - VV SANDWICH</t>
  </si>
  <si>
    <t>S2- PITA BREAD VEG PLATE W/ HUMMUS AND BOILED EGG, FRUIT- REG SRV, YOGHURT - REG SRV, SW - REG SRV</t>
  </si>
  <si>
    <t>NO INFORMATION IN BID SHEET</t>
  </si>
  <si>
    <t xml:space="preserve">Bank Meal </t>
  </si>
  <si>
    <t>Caterer: TBD</t>
  </si>
  <si>
    <t xml:space="preserve"> | Station: ATL</t>
  </si>
  <si>
    <t>CS Y spec codes C1-3</t>
  </si>
  <si>
    <t>PLUS (PREMIUM ECO)</t>
  </si>
  <si>
    <t>3ATL-421010C2</t>
  </si>
  <si>
    <t>Bag, For Cutlery</t>
  </si>
  <si>
    <t>1 x Fork, Stainless, RS</t>
  </si>
  <si>
    <t>1 x Spoon, Stainless, Coffee/Tea, RS</t>
  </si>
  <si>
    <t>1 x Spoon, Stainless, Dessert/Soup, RS</t>
  </si>
  <si>
    <t>1 x Knife, Stainless, RS</t>
  </si>
  <si>
    <t>1 x Napkin, Paper, White</t>
  </si>
  <si>
    <t>1 x Sugar, Portion Packed</t>
  </si>
  <si>
    <t>1 x Salt &amp; Pepper, Twinpack</t>
  </si>
  <si>
    <t>1 x Toothpick, Individually Packed</t>
  </si>
  <si>
    <t>Portioned packed butter 10-15 gm</t>
  </si>
  <si>
    <t>Portioned packed cracker</t>
  </si>
  <si>
    <t>Portioned packed cheese 15 g</t>
  </si>
  <si>
    <t>3ATL-421010C3</t>
  </si>
  <si>
    <t>Local air dried ham with broccoli slaw and kale grain salad</t>
  </si>
  <si>
    <t>Local air dried ham x 2 slices</t>
  </si>
  <si>
    <t>Kale grain salad</t>
  </si>
  <si>
    <t>Broccoli slaw</t>
  </si>
  <si>
    <t>Black Forest Ham Slice</t>
  </si>
  <si>
    <t>2pc x 15</t>
  </si>
  <si>
    <t>Farro Salad</t>
  </si>
  <si>
    <t>Horseradish Slaw</t>
  </si>
  <si>
    <t>Smoked Turkey Slices</t>
  </si>
  <si>
    <t>Quinoa Lentil Salad</t>
  </si>
  <si>
    <t>Shaved Fennel Slaw</t>
  </si>
  <si>
    <t>Hake fish with farro, white wine sauce and sauteed zucchini and cherry tomatoes</t>
  </si>
  <si>
    <t>Hake fish fillet</t>
  </si>
  <si>
    <t>Oz</t>
  </si>
  <si>
    <t>White wine cream sauce</t>
  </si>
  <si>
    <t>Farro with fresh herbes</t>
  </si>
  <si>
    <t>Sauteed fresh zucchini &amp; mixed tomatoes</t>
  </si>
  <si>
    <t>Cod Almondine</t>
  </si>
  <si>
    <t>Tarragon Cream Sauce</t>
  </si>
  <si>
    <t>Wild Rice Pilaf</t>
  </si>
  <si>
    <t>Garlic Roasted Caulliflower</t>
  </si>
  <si>
    <t xml:space="preserve">Roasted Cherry Tomato </t>
  </si>
  <si>
    <t>Roasted Seabass</t>
  </si>
  <si>
    <t>Boullabaise Sauce</t>
  </si>
  <si>
    <t>Saffron Coucous</t>
  </si>
  <si>
    <t>Roasted Summer Vegetables (eggplant, zuchini, yellow squash, red onion)</t>
  </si>
  <si>
    <t>Oven roasted chicken with mashed sweet potatoes and spring vegetables</t>
  </si>
  <si>
    <t>Oven roasted chicken ( half thigh/ half breast) Wellfare</t>
  </si>
  <si>
    <t>Chicken jus</t>
  </si>
  <si>
    <t>Mashed orange sweet potatoes</t>
  </si>
  <si>
    <t>Sauteed spring vegetables</t>
  </si>
  <si>
    <t>(green beans, peas, snow peas &amp; mexican onions)</t>
  </si>
  <si>
    <t xml:space="preserve"> </t>
  </si>
  <si>
    <t xml:space="preserve">Sous Vide Airline Chicken Breast </t>
  </si>
  <si>
    <t xml:space="preserve">Roast Lemon Chicken Thigh </t>
  </si>
  <si>
    <t>Dark chocolate mousse w/salted caramel sauce &amp; cockie crumbles</t>
  </si>
  <si>
    <t>Dark chocolate mousse</t>
  </si>
  <si>
    <t>Salty caramel sauce</t>
  </si>
  <si>
    <t>Cockie crumbles</t>
  </si>
  <si>
    <t>Peach Cobbler Tart</t>
  </si>
  <si>
    <t>In House Bakery</t>
  </si>
  <si>
    <t>Blackberry Pastry Cream</t>
  </si>
  <si>
    <t>Lemon Blueberry Cheese Cake</t>
  </si>
  <si>
    <t>Strawberry Quarter</t>
  </si>
  <si>
    <t xml:space="preserve">blueberry </t>
  </si>
  <si>
    <t>IC Y/M S1+S2 BRD Type 1 C1</t>
  </si>
  <si>
    <t>Bread rolls</t>
  </si>
  <si>
    <t>4ATL-421010C2</t>
  </si>
  <si>
    <t>IC Y/M S1+S2 BRD Type 1 C2</t>
  </si>
  <si>
    <t>4ATL-421010C3</t>
  </si>
  <si>
    <t>IC Y/M S1+S2 BRD Type 1 C3</t>
  </si>
  <si>
    <t>3ATL-422010C2</t>
  </si>
  <si>
    <t>Tray setup</t>
  </si>
  <si>
    <t>Tray, Food, Medium, ATLAS</t>
  </si>
  <si>
    <t>1 x Traymat, Medium, Black, Disposable</t>
  </si>
  <si>
    <t>1 x Plate, Melamine</t>
  </si>
  <si>
    <t>1 x Glass, Water/Champagne, RS</t>
  </si>
  <si>
    <t>1 x Lid, For 971173, Disposable</t>
  </si>
  <si>
    <t>Cutlery pack S2</t>
  </si>
  <si>
    <t>Portioned packed butter 10-15 g</t>
  </si>
  <si>
    <t>Portioned packed granola</t>
  </si>
  <si>
    <t>Portion packed full fat plain yoghurt</t>
  </si>
  <si>
    <t xml:space="preserve">Portioned packed marmalade </t>
  </si>
  <si>
    <t>3ATL-422010C3</t>
  </si>
  <si>
    <t>Cold cut breakfast plate</t>
  </si>
  <si>
    <t>Black forest ham</t>
  </si>
  <si>
    <t>Cheddar cheese 15gm x 2</t>
  </si>
  <si>
    <t>Hard boiled egg half</t>
  </si>
  <si>
    <t>Cherry tomato stemless</t>
  </si>
  <si>
    <t>Roman lettuce liner</t>
  </si>
  <si>
    <t>Pineapple slice</t>
  </si>
  <si>
    <t>Watermelon chunk</t>
  </si>
  <si>
    <t>Proscuitto</t>
  </si>
  <si>
    <t xml:space="preserve">Cherry tomato </t>
  </si>
  <si>
    <t>Romaine leaf lettuce</t>
  </si>
  <si>
    <t>Orange Wheel</t>
  </si>
  <si>
    <t>Watermelon Wedge</t>
  </si>
  <si>
    <t>Corned Beef Slices</t>
  </si>
  <si>
    <t>Swiss Cheese slice</t>
  </si>
  <si>
    <t xml:space="preserve">Heirloom cherry tomato </t>
  </si>
  <si>
    <t>Strawberry Half</t>
  </si>
  <si>
    <t xml:space="preserve">Blueberry </t>
  </si>
  <si>
    <t>ST- NON MEAT STARTER, HM - LENTIL MUSHROOM  STEW W/ RICE , DE- FRESH FRUIT</t>
  </si>
  <si>
    <t>ST- VEG BATON W/ RANCH, HM- CHICKEN TENDER W/ SUGARFREE KETCHUP, DE - REG SRV</t>
  </si>
  <si>
    <t>ST- GF MEAT STARTER, HM - GF MEAL , DE- FRESH FRUIT</t>
  </si>
  <si>
    <t>ST- VV SALAD, HM- LENTIL MUSHROOM STEW W/ RICE , DE - FRESH FRUIT</t>
  </si>
  <si>
    <t>ST- NON MEAT STARTER, HM-VEG RAVIOLI , DE - REG SRV</t>
  </si>
  <si>
    <t>S2 - PITA W/ HUMMUS</t>
  </si>
  <si>
    <t>S2 - EGG SANDWICH</t>
  </si>
  <si>
    <t>S2 - VEG PLATE W/ HUMMJS</t>
  </si>
  <si>
    <t>S2 VEG PLATE WITH BOILED EGG</t>
  </si>
  <si>
    <t>Bank Meal</t>
  </si>
  <si>
    <t>CS M spec codes C1-3</t>
  </si>
  <si>
    <t>GO (ECONOMY)</t>
  </si>
  <si>
    <t>3ATL-431010C2</t>
  </si>
  <si>
    <t>Tray Setup</t>
  </si>
  <si>
    <t>1 x Traymat, Medium, Anti-Skid, Disposable</t>
  </si>
  <si>
    <t>1 x Cutlery, Type 4/1, Disp, Neutral</t>
  </si>
  <si>
    <t>1 x Insert, For Casserole, Disposable</t>
  </si>
  <si>
    <t>1 x Insert, X-Large, Disposable (for salad)</t>
  </si>
  <si>
    <t>1 x Lid, For 971205, Disposable</t>
  </si>
  <si>
    <t>1 x Insert, Small, Disposable (for dessert)</t>
  </si>
  <si>
    <t>1 x Lid , For 971207, Disposable, Small</t>
  </si>
  <si>
    <t>Portioned packed milk jigger</t>
  </si>
  <si>
    <t>3ATL-431010C3</t>
  </si>
  <si>
    <t>Mixed starter salad</t>
  </si>
  <si>
    <t>Mesclun mix</t>
  </si>
  <si>
    <t>Blue cheese crumbled</t>
  </si>
  <si>
    <t>Shredded carrots (julienned)</t>
  </si>
  <si>
    <t>Toasted pepitas</t>
  </si>
  <si>
    <t>Mesclun Mixed Green Mix</t>
  </si>
  <si>
    <t>English Cucumber Slice</t>
  </si>
  <si>
    <t>Strawberry quartered</t>
  </si>
  <si>
    <t>Feta</t>
  </si>
  <si>
    <t>Oven roasted chicken with mashed sweet potatoes</t>
  </si>
  <si>
    <t xml:space="preserve">Herb Roast Chicken </t>
  </si>
  <si>
    <t>Lemon Buerre Blanc</t>
  </si>
  <si>
    <t>Potato Caponata</t>
  </si>
  <si>
    <t>Steamed Broccoli</t>
  </si>
  <si>
    <t xml:space="preserve">Steamed Carrot </t>
  </si>
  <si>
    <t>BBQ Chicken Thigh</t>
  </si>
  <si>
    <t xml:space="preserve"> BBQ Sauce</t>
  </si>
  <si>
    <t>Appe cheese cake with vanilla sauce</t>
  </si>
  <si>
    <t>Apple cheese cake</t>
  </si>
  <si>
    <t>Vanilla sauce</t>
  </si>
  <si>
    <t>Chocoloate Mousse</t>
  </si>
  <si>
    <t>White Chocolate Curls</t>
  </si>
  <si>
    <t>Passion Fruit Mousse</t>
  </si>
  <si>
    <t>Blueberry Coulis</t>
  </si>
  <si>
    <t>Honey Wheat Roll</t>
  </si>
  <si>
    <t>Wheat Potato Roll</t>
  </si>
  <si>
    <t>IC M S2 JUICE C1</t>
  </si>
  <si>
    <t>PP Orange juice cup</t>
  </si>
  <si>
    <t>4ATL-432010C2</t>
  </si>
  <si>
    <t>IC M S2 JUICE C2</t>
  </si>
  <si>
    <t>PP Apple Juice</t>
  </si>
  <si>
    <t>4ATL-432010C3</t>
  </si>
  <si>
    <t>IC M S2 JUICE C3</t>
  </si>
  <si>
    <t>Cranberry Juice</t>
  </si>
  <si>
    <t xml:space="preserve">IC M S2 SW </t>
  </si>
  <si>
    <t xml:space="preserve">Hot Breakfast Toast/ Eng. Muffin with Turkey &amp; Cheese </t>
  </si>
  <si>
    <t>2ATL-432020C2</t>
  </si>
  <si>
    <t xml:space="preserve">Challah Toast </t>
  </si>
  <si>
    <t>Ham Slice</t>
  </si>
  <si>
    <t>Swiss Cheese Slice</t>
  </si>
  <si>
    <t>2ATL-432020C3</t>
  </si>
  <si>
    <t>Buttermilk Bisuit</t>
  </si>
  <si>
    <t>Turkey Sausage Patty</t>
  </si>
  <si>
    <t>American Cheese Slice</t>
  </si>
  <si>
    <t>IC Y S1 ST C3 VVML</t>
  </si>
  <si>
    <t>C2, C3</t>
  </si>
  <si>
    <t>CS PKspec codes</t>
  </si>
  <si>
    <t>Crew Meals</t>
  </si>
  <si>
    <t>3ATL-550003</t>
  </si>
  <si>
    <t xml:space="preserve">CRW P CM TSU </t>
  </si>
  <si>
    <t>SK Disposable cutlery</t>
  </si>
  <si>
    <t>Portion packed local butter</t>
  </si>
  <si>
    <t>Bread roll multigrain</t>
  </si>
  <si>
    <t>3ATL-560003</t>
  </si>
  <si>
    <t>CRW K CM A</t>
  </si>
  <si>
    <t>Roast beef x 2 slices</t>
  </si>
  <si>
    <t>Mayo (top and bottom)</t>
  </si>
  <si>
    <t>Red pepper stripes x 2</t>
  </si>
  <si>
    <t>Ronman lettuce liner</t>
  </si>
  <si>
    <t>Ciabatta bread (50-60gr)</t>
  </si>
  <si>
    <t>3ATL-560004</t>
  </si>
  <si>
    <t>CRW K CM B</t>
  </si>
  <si>
    <t>Monterey jack cheese x 2</t>
  </si>
  <si>
    <t>Cream cheese (top and bottom)</t>
  </si>
  <si>
    <t>Tomato spread</t>
  </si>
  <si>
    <t>Wheat pullman bread slices</t>
  </si>
  <si>
    <t>2ATL-550025</t>
  </si>
  <si>
    <t xml:space="preserve">CRW P CM - Poultry or Salmon A </t>
  </si>
  <si>
    <t>Smoked salmon slices</t>
  </si>
  <si>
    <t>Blue cheese 3x10gm</t>
  </si>
  <si>
    <t>Frisee salad</t>
  </si>
  <si>
    <t>Yellow cherry tomato</t>
  </si>
  <si>
    <t>Red cherry tomato</t>
  </si>
  <si>
    <t>Caper berry</t>
  </si>
  <si>
    <t>2ATL-550026</t>
  </si>
  <si>
    <t xml:space="preserve">CRW P CM - Meat B </t>
  </si>
  <si>
    <t>Air dried ham US</t>
  </si>
  <si>
    <t>Ham cured "81"</t>
  </si>
  <si>
    <t>Swiss cheese x 3</t>
  </si>
  <si>
    <t xml:space="preserve">cherry tomato </t>
  </si>
  <si>
    <t>Black olives</t>
  </si>
  <si>
    <t>Red grapes x 4</t>
  </si>
  <si>
    <t>3ATL-550001</t>
  </si>
  <si>
    <t xml:space="preserve">CRW P HM TSU </t>
  </si>
  <si>
    <t>Vinaigrette dressing</t>
  </si>
  <si>
    <t>PP local butter</t>
  </si>
  <si>
    <t>SK disposable cutlery</t>
  </si>
  <si>
    <t>3ATL-560001</t>
  </si>
  <si>
    <t xml:space="preserve">CRW K HM TSU </t>
  </si>
  <si>
    <t>2ATL-550001</t>
  </si>
  <si>
    <t xml:space="preserve">CRW P HM Salad </t>
  </si>
  <si>
    <t>Chopped romaine lettuce</t>
  </si>
  <si>
    <t>Cucumber slices</t>
  </si>
  <si>
    <t>Carrot julienne</t>
  </si>
  <si>
    <t>Cherry tomato stemlesss</t>
  </si>
  <si>
    <t>2ATL-560001</t>
  </si>
  <si>
    <t xml:space="preserve">CRW K HM Salad </t>
  </si>
  <si>
    <t>2ATL-550010</t>
  </si>
  <si>
    <t xml:space="preserve">CRW P HM A </t>
  </si>
  <si>
    <t>Use the Chicken dish as in current Business hot meal option</t>
  </si>
  <si>
    <t>2ATL-560010</t>
  </si>
  <si>
    <t xml:space="preserve">CRW K HM A </t>
  </si>
  <si>
    <t>2ATL-550011</t>
  </si>
  <si>
    <t xml:space="preserve">CRW P HM B </t>
  </si>
  <si>
    <t>Use the Meat dish as in current Business hot meal option</t>
  </si>
  <si>
    <t>2ATL-560011</t>
  </si>
  <si>
    <t xml:space="preserve">CRW K HM B </t>
  </si>
  <si>
    <t>3ATL-550002</t>
  </si>
  <si>
    <t xml:space="preserve">CRW P HB TSU </t>
  </si>
  <si>
    <t>Portion packed local plain full fat yoghurt</t>
  </si>
  <si>
    <t>Portion packed local cheese</t>
  </si>
  <si>
    <t>3ATL-560002</t>
  </si>
  <si>
    <t xml:space="preserve">CRW K HB TSU </t>
  </si>
  <si>
    <t>2ATL-550020</t>
  </si>
  <si>
    <t xml:space="preserve">CRW P HB </t>
  </si>
  <si>
    <t xml:space="preserve">Cheese chive omelet </t>
  </si>
  <si>
    <t xml:space="preserve">Sauteed mushrooms </t>
  </si>
  <si>
    <t>Roasted tomatoes</t>
  </si>
  <si>
    <t>Veal chipolata sausage</t>
  </si>
  <si>
    <t>Tri color potatoes</t>
  </si>
  <si>
    <t>2ATL-560020</t>
  </si>
  <si>
    <t xml:space="preserve">CRW K HB </t>
  </si>
  <si>
    <t>3ATL-35JVG0</t>
  </si>
  <si>
    <t>CRW P HM VGML (JVG)</t>
  </si>
  <si>
    <t>Catering suggestion - equal service as regular meal but all i a single code</t>
  </si>
  <si>
    <t>3ATL-35JVL0</t>
  </si>
  <si>
    <t>CRW P HM VLML (JVL)</t>
  </si>
  <si>
    <t>3ATL-35JLG0</t>
  </si>
  <si>
    <t>CRW P HM LGML (JLG)</t>
  </si>
  <si>
    <t>3ATL-36JVG0</t>
  </si>
  <si>
    <t>CRW K HM VGML (JVG)</t>
  </si>
  <si>
    <t>3ATL-36JVL0</t>
  </si>
  <si>
    <t>CRW K HM VLML (JVL)</t>
  </si>
  <si>
    <t>3ATL-36JLG0</t>
  </si>
  <si>
    <t>CRW K HM LGML (JLG)</t>
  </si>
  <si>
    <t>3ATL-35FVG0</t>
  </si>
  <si>
    <t>CRW P HB VGML (FVG)</t>
  </si>
  <si>
    <t>3ATL-35FVL0</t>
  </si>
  <si>
    <t>CRW P HB VLML (FVL)</t>
  </si>
  <si>
    <t>3ATL-35FLG0</t>
  </si>
  <si>
    <t>CRW P HB LGML (FLG)</t>
  </si>
  <si>
    <t>3ATL-36FVL0</t>
  </si>
  <si>
    <t>CRW K HB VLML (FVL)</t>
  </si>
  <si>
    <t>3ATL-36FLG0</t>
  </si>
  <si>
    <t>CRW K HB LGML (FLG)</t>
  </si>
  <si>
    <t>3ATL-35OVG0</t>
  </si>
  <si>
    <t>CRW P CM VGML (OVG)</t>
  </si>
  <si>
    <t>Farro Salad with Wild Mushrooms</t>
  </si>
  <si>
    <t>3ATL-35OLG0</t>
  </si>
  <si>
    <t>CRW P CM LGML (OLG)</t>
  </si>
  <si>
    <t>Medditeranean Chickpea Salad with WildMushrooms</t>
  </si>
  <si>
    <t>3ATL-35OVL0</t>
  </si>
  <si>
    <t>CRW P CM VLML (OVL)</t>
  </si>
  <si>
    <t>Spring Veg Pasta Salad with Wild Mushrooms</t>
  </si>
  <si>
    <t>3ATL-36OVG0</t>
  </si>
  <si>
    <t>CRW K SWD VGML (OVG)</t>
  </si>
  <si>
    <t>Ciabata Bread, Roasated Eggplant, Roasted Pepper, Hummus</t>
  </si>
  <si>
    <t>3ATL-36OVL0</t>
  </si>
  <si>
    <t>CRW K SWD VLML (OVL)</t>
  </si>
  <si>
    <t>Ciabata Bread, Fresh Mozzerella, Basil Pesto, Sundried tomato, Arugula</t>
  </si>
  <si>
    <t>3ATL-36OLG0</t>
  </si>
  <si>
    <t>CRW K SWD LGML (OLG)</t>
  </si>
  <si>
    <t>Gluten Free Bread, Roasted EggPlant, Roasted Peppers, Hummus</t>
  </si>
  <si>
    <t>3ATL-35SVG0</t>
  </si>
  <si>
    <t>CRW P CM VGML (SVG)</t>
  </si>
  <si>
    <t>3ATL-35SVL0</t>
  </si>
  <si>
    <t>CRW P CM VLML (SVL)</t>
  </si>
  <si>
    <t>3ATL-35SLG0</t>
  </si>
  <si>
    <t>CRW P CM LGML (SLG)</t>
  </si>
  <si>
    <t>3ATL-36SVG0</t>
  </si>
  <si>
    <t>CRW K SWD VGML (SVG)</t>
  </si>
  <si>
    <t>3ATL-36SVL0</t>
  </si>
  <si>
    <t>CRW K SWD VLML (SVL)</t>
  </si>
  <si>
    <t>3ATL-36SLG0</t>
  </si>
  <si>
    <t>CRW K SWD LGML (SLG)</t>
  </si>
  <si>
    <t>8ATL-OVERHEAD-P</t>
  </si>
  <si>
    <t>IC P Overhead</t>
  </si>
  <si>
    <t>8ATL-OVERHEAD-K</t>
  </si>
  <si>
    <t>IC K Overhead</t>
  </si>
  <si>
    <t>CS X spec codes C1-3</t>
  </si>
  <si>
    <t xml:space="preserve">HANDLING &amp; STANDARD ITEMS </t>
  </si>
  <si>
    <t>3333-IC954</t>
  </si>
  <si>
    <t>SK0930</t>
  </si>
  <si>
    <t>Turnaround</t>
  </si>
  <si>
    <t>3333-IC954-T</t>
  </si>
  <si>
    <t xml:space="preserve">SK0930 </t>
  </si>
  <si>
    <t>Strip</t>
  </si>
  <si>
    <t>3333-IC954-OR</t>
  </si>
  <si>
    <t>Load</t>
  </si>
  <si>
    <t>3334-IC954</t>
  </si>
  <si>
    <t>3591-IC954</t>
  </si>
  <si>
    <t>3591-IC954-T</t>
  </si>
  <si>
    <t>3591-IC954-OR</t>
  </si>
  <si>
    <t>Wet ice</t>
  </si>
  <si>
    <t>Water Still 1.5L</t>
  </si>
  <si>
    <t>Water Still 0.5L/16oz</t>
  </si>
  <si>
    <t>Water Sparkling 1.0L/32oz</t>
  </si>
  <si>
    <t>Milk whole 0.25L/8oz</t>
  </si>
  <si>
    <t>Creamer portion packed 0.25oz</t>
  </si>
  <si>
    <t>Apple Juice 1L/32oz</t>
  </si>
  <si>
    <t>Tomato Juice Aseptic 1L/32oz</t>
  </si>
  <si>
    <t>Orange Juice Aseptic 1L/32oz</t>
  </si>
  <si>
    <t>Celery Stick 6in x10</t>
  </si>
  <si>
    <t>Lime Wedges (1lime cut in 8 wedges) in plastic glass</t>
  </si>
  <si>
    <t>Lemon Wedges (1 lemon cut in 8 wegdes) in plastic glass</t>
  </si>
  <si>
    <t>Lemon Slice (1 lemon cut in 20 1/2 wheel slices)</t>
  </si>
  <si>
    <t>Wet Ice 1lb</t>
  </si>
  <si>
    <t>Dry Ice 1lb</t>
  </si>
  <si>
    <t>Cranberry Juice Aseptic 1L/32oz (Crew request only)</t>
  </si>
  <si>
    <t>Soda-Coke 12oz Can (Crew request only)</t>
  </si>
  <si>
    <t>Soda Coke Zero 12oz Can (Crew request only)</t>
  </si>
  <si>
    <t>Soda Sprite 12oz Can (Crew request only)</t>
  </si>
  <si>
    <t xml:space="preserve"> Station: ATL</t>
  </si>
  <si>
    <t>GO (ECONOMY) DISHWASH EQ &amp; NOMINATED SK OWNED MEALS and Dessert</t>
  </si>
  <si>
    <t>2ATL-431020N</t>
  </si>
  <si>
    <t xml:space="preserve">Frozen Dessert, SAS Nominated and SAS owned </t>
  </si>
  <si>
    <t xml:space="preserve">Defrost and trayset </t>
  </si>
  <si>
    <t>2ATL-432020N</t>
  </si>
  <si>
    <t xml:space="preserve">Frozen Sandwich, SAS Nominated and SAS owned </t>
  </si>
  <si>
    <t>Breakfast sandwich</t>
  </si>
  <si>
    <t xml:space="preserve">Defrost and load </t>
  </si>
  <si>
    <t>2ATL-421031N</t>
  </si>
  <si>
    <t xml:space="preserve">Frozen Hot Meal, SAS Nominated and SAS owned </t>
  </si>
  <si>
    <t>Defrost and load</t>
  </si>
  <si>
    <t>8ATL-OVERHEAD-NM</t>
  </si>
  <si>
    <t>IC M Overhead Nominated</t>
  </si>
  <si>
    <t>Load Scale IC-29</t>
  </si>
  <si>
    <t>Loadfactor</t>
  </si>
  <si>
    <t>AC</t>
  </si>
  <si>
    <t xml:space="preserve">Max </t>
  </si>
  <si>
    <t>Total Cost SAS Business A350 - 85% loadfactor</t>
  </si>
  <si>
    <t>Cost per pax SAS Business A350 Pax Cycle 2</t>
  </si>
  <si>
    <t>Cost Per SAS Business A350 Pax Cycle 3</t>
  </si>
  <si>
    <t>Couscous salad with feta cheese</t>
  </si>
  <si>
    <t>Beef Provencale with roasted Yukon wedges and roasted carrots</t>
  </si>
  <si>
    <t>Chicken in Marsala wine sauce with Gimelli pasta</t>
  </si>
  <si>
    <t>Cherry crumble pie with vanilla sauce</t>
  </si>
  <si>
    <t>Max</t>
  </si>
  <si>
    <t>Total Cost SAS Plus - 85% loadfactor</t>
  </si>
  <si>
    <t>Cost Per SAS Plus Pax Cycle 2</t>
  </si>
  <si>
    <t>Cost Per SAS Plus Pax Cycle 3</t>
  </si>
  <si>
    <t>Cost Per SAS Go Pax Cycle 2</t>
  </si>
  <si>
    <t>Total Cost SAS GO - 85% loadfactor</t>
  </si>
  <si>
    <t>Cost Per SAS Go Pax Cycle 3</t>
  </si>
  <si>
    <t>Total Cost SAS Go - 85% loadfactor</t>
  </si>
  <si>
    <t>LOAD SCALE</t>
  </si>
  <si>
    <t xml:space="preserve"> Description  </t>
  </si>
  <si>
    <t>:</t>
  </si>
  <si>
    <t>1-20=2/21-32=3/33-40=4/41-46=5</t>
  </si>
  <si>
    <t xml:space="preserve"> Load Scale Code  </t>
  </si>
  <si>
    <t>IC-27</t>
  </si>
  <si>
    <t xml:space="preserve"> Version </t>
  </si>
  <si>
    <t>2</t>
  </si>
  <si>
    <t xml:space="preserve"> Is Used (Y/N) </t>
  </si>
  <si>
    <t xml:space="preserve"> Eff Date </t>
  </si>
  <si>
    <t>10/05/2023</t>
  </si>
  <si>
    <t xml:space="preserve"> End Date </t>
  </si>
  <si>
    <t/>
  </si>
  <si>
    <t xml:space="preserve"> Pax Interval or Pax Count </t>
  </si>
  <si>
    <t xml:space="preserve"> Board Quantity </t>
  </si>
  <si>
    <t>1</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</si>
  <si>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</si>
  <si>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</si>
  <si>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</si>
  <si>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</si>
  <si>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</si>
  <si>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</si>
  <si>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</si>
  <si>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</si>
  <si>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</si>
  <si>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</si>
  <si>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</si>
  <si>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</si>
  <si>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</si>
  <si>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</si>
  <si>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</si>
  <si>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</si>
  <si>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</si>
  <si>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</si>
  <si>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</si>
  <si>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</si>
  <si>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</si>
  <si>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</si>
  <si>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</si>
  <si>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</si>
  <si>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</si>
  <si>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</si>
  <si>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</si>
  <si>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</si>
  <si>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</si>
  <si>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</si>
  <si>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</si>
  <si>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</si>
  <si>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</si>
  <si>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</si>
  <si>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</si>
  <si>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</si>
  <si>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</si>
  <si>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</si>
  <si>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</si>
  <si>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</si>
  <si>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</si>
  <si>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</si>
  <si>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</si>
  <si>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</si>
  <si>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1-24=2/25-40=3</t>
  </si>
  <si>
    <t>IC-29</t>
  </si>
  <si>
    <t>N</t>
  </si>
  <si>
    <t>01/02/2024</t>
  </si>
  <si>
    <t>Config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</si>
</sst>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quot;$&quot;#,##0.00"/>
    <numFmt numFmtId="166" formatCode="_-[$$-409]* #,##0.00_ ;_-[$$-409]* \-#,##0.00\ ;_-[$$-409]* &quot;-&quot;??_ ;_-@_ "/>
  </numFmts>
  <fonts count="48">
    <font>
      <sz val="11"/>
      <color theme="1"/>
      <name val="Arial"/>
      <family val="2"/>
    </font>
    <font>
      <b/>
      <sz val="10"/>
      <color theme="1"/>
      <name val="Arial"/>
      <family val="2"/>
      <scheme val="minor"/>
    </font>
    <font>
      <sz val="10"/>
      <color theme="1"/>
      <name val="Arial"/>
      <family val="2"/>
      <scheme val="minor"/>
    </font>
    <font>
      <b/>
      <sz val="13"/>
      <name val="Arial"/>
      <family val="2"/>
      <scheme val="minor"/>
    </font>
    <font>
      <b/>
      <sz val="8"/>
      <color theme="1"/>
      <name val="Arial"/>
      <family val="2"/>
      <scheme val="minor"/>
    </font>
    <font>
      <sz val="8"/>
      <name val="Arial"/>
      <family val="2"/>
    </font>
    <font>
      <sz val="11"/>
      <color theme="1"/>
      <name val="Arial"/>
      <family val="2"/>
    </font>
    <font>
      <b/>
      <sz val="10"/>
      <name val="Arial"/>
      <family val="2"/>
      <scheme val="minor"/>
    </font>
    <font>
      <sz val="11"/>
      <name val="Arial"/>
      <family val="2"/>
    </font>
    <font>
      <sz val="10"/>
      <color rgb="FF000000"/>
      <name val="Arial"/>
      <family val="2"/>
      <charset val="1"/>
    </font>
    <font>
      <sz val="10"/>
      <color rgb="FF444444"/>
      <name val="Arial"/>
      <family val="2"/>
      <scheme val="minor"/>
    </font>
    <font>
      <sz val="10"/>
      <color theme="1"/>
      <name val="Arial"/>
      <family val="2"/>
      <scheme val="minor"/>
    </font>
    <font>
      <b/>
      <sz val="10"/>
      <name val="Arial"/>
      <family val="2"/>
    </font>
    <font>
      <b/>
      <sz val="10"/>
      <color theme="1"/>
      <name val="Arial"/>
      <family val="2"/>
    </font>
    <font>
      <b/>
      <sz val="8"/>
      <color theme="1"/>
      <name val="Arial"/>
      <family val="2"/>
    </font>
    <font>
      <sz val="11"/>
      <color theme="1"/>
      <name val="Arial"/>
      <family val="2"/>
      <charset val="1"/>
    </font>
    <font>
      <sz val="11"/>
      <color rgb="FF444444"/>
      <name val="Calibri"/>
      <family val="2"/>
    </font>
    <font>
      <sz val="11"/>
      <name val="ＭＳ Ｐゴシック"/>
      <family val="3"/>
      <charset val="128"/>
    </font>
    <font>
      <sz val="11"/>
      <color rgb="FF000000"/>
      <name val="Arial"/>
      <family val="2"/>
    </font>
    <font>
      <b/>
      <u/>
      <sz val="11"/>
      <name val="Arial"/>
      <family val="2"/>
    </font>
    <font>
      <b/>
      <sz val="11"/>
      <name val="Arial"/>
      <family val="2"/>
    </font>
    <font>
      <b/>
      <sz val="11"/>
      <color theme="1"/>
      <name val="Arial"/>
      <family val="2"/>
    </font>
    <font>
      <b/>
      <i/>
      <sz val="10"/>
      <color theme="1"/>
      <name val="Arial"/>
      <family val="2"/>
      <scheme val="minor"/>
    </font>
    <font>
      <b/>
      <i/>
      <sz val="10"/>
      <name val="Arial"/>
      <family val="2"/>
      <scheme val="minor"/>
    </font>
    <font>
      <sz val="11"/>
      <color theme="1"/>
      <name val="Calibri"/>
      <family val="2"/>
    </font>
    <font>
      <b/>
      <sz val="11"/>
      <color theme="0"/>
      <name val="Calibri"/>
      <family val="2"/>
    </font>
    <font>
      <b/>
      <sz val="11"/>
      <name val="Calibri"/>
      <family val="2"/>
    </font>
    <font>
      <b/>
      <i/>
      <sz val="11"/>
      <name val="Calibri"/>
      <family val="2"/>
    </font>
    <font>
      <b/>
      <sz val="10"/>
      <color theme="0"/>
      <name val="Calibri"/>
      <family val="2"/>
    </font>
    <font>
      <b/>
      <sz val="10"/>
      <name val="Calibri"/>
      <family val="2"/>
    </font>
    <font>
      <b/>
      <sz val="10"/>
      <color rgb="FF000000"/>
      <name val="Calibri"/>
      <family val="2"/>
    </font>
    <font>
      <sz val="10"/>
      <color rgb="FF000000"/>
      <name val="Calibri"/>
      <family val="2"/>
    </font>
    <font>
      <b/>
      <sz val="11"/>
      <color rgb="FFFF0000"/>
      <name val="Calibri"/>
      <family val="2"/>
    </font>
    <font>
      <b/>
      <sz val="10"/>
      <color rgb="FFFF0000"/>
      <name val="Calibri"/>
      <family val="2"/>
    </font>
    <font>
      <sz val="10"/>
      <name val="Calibri"/>
      <family val="2"/>
    </font>
    <font>
      <u/>
      <sz val="10"/>
      <name val="Calibri"/>
      <family val="2"/>
    </font>
    <font>
      <sz val="11"/>
      <color rgb="FFFF0000"/>
      <name val="Calibri"/>
      <family val="2"/>
    </font>
    <font>
      <b/>
      <i/>
      <sz val="10"/>
      <color rgb="FFFF0000"/>
      <name val="Calibri"/>
      <family val="2"/>
    </font>
    <font>
      <u/>
      <sz val="11"/>
      <name val="Arial"/>
      <family val="2"/>
    </font>
    <font>
      <sz val="10"/>
      <name val="Arial"/>
      <family val="2"/>
    </font>
    <font>
      <sz val="10"/>
      <name val="Arial"/>
      <family val="2"/>
    </font>
    <font>
      <sz val="10"/>
      <color theme="1"/>
      <name val="Arial"/>
      <family val="2"/>
    </font>
    <font>
      <b/>
      <sz val="14"/>
      <color indexed="72"/>
      <name val="Courier New"/>
      <family val="3"/>
    </font>
    <font>
      <sz val="10"/>
      <name val="sansserif"/>
    </font>
    <font>
      <sz val="10"/>
      <color indexed="72"/>
      <name val="SansSerif"/>
    </font>
    <font>
      <b/>
      <sz val="10"/>
      <color indexed="72"/>
      <name val="SansSerif"/>
    </font>
    <font>
      <sz val="10"/>
      <color rgb="FF000000"/>
      <name val="Aptos Narrow"/>
      <family val="2"/>
    </font>
    <font>
      <sz val="10"/>
      <color rgb="FF000000"/>
      <name val="Arial"/>
      <family val="2"/>
    </font>
  </fonts>
  <fills count="18">
    <fill>
      <patternFill patternType="none"/>
    </fill>
    <fill>
      <patternFill patternType="gray125"/>
    </fill>
    <fill>
      <patternFill patternType="solid">
        <fgColor theme="0" tint="-0.14999847407452621"/>
        <bgColor indexed="64"/>
      </patternFill>
    </fill>
    <fill>
      <patternFill patternType="solid">
        <fgColor theme="1" tint="4.9989318521683403E-2"/>
        <bgColor indexed="64"/>
      </patternFill>
    </fill>
    <fill>
      <patternFill patternType="solid">
        <fgColor theme="1"/>
        <bgColor indexed="64"/>
      </patternFill>
    </fill>
    <fill>
      <patternFill patternType="solid">
        <fgColor theme="0"/>
        <bgColor indexed="64"/>
      </patternFill>
    </fill>
    <fill>
      <patternFill patternType="solid">
        <fgColor theme="4" tint="-0.249977111117893"/>
        <bgColor indexed="64"/>
      </patternFill>
    </fill>
    <fill>
      <patternFill patternType="solid">
        <fgColor rgb="FF00B0F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rgb="FFFFFF00"/>
        <bgColor indexed="64"/>
      </patternFill>
    </fill>
    <fill>
      <patternFill patternType="solid">
        <fgColor theme="2"/>
        <bgColor indexed="64"/>
      </patternFill>
    </fill>
    <fill>
      <patternFill patternType="solid">
        <fgColor indexed="55"/>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rgb="FFF2CEEF"/>
        <bgColor rgb="FF000000"/>
      </patternFill>
    </fill>
    <fill>
      <patternFill patternType="solid">
        <fgColor rgb="FFF4EEE3"/>
        <bgColor rgb="FF000000"/>
      </patternFill>
    </fill>
  </fills>
  <borders count="32">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164" fontId="6" fillId="0" borderId="0" applyFont="0" applyFill="0" applyBorder="0" applyAlignment="0" applyProtection="0"/>
    <xf numFmtId="0" fontId="17" fillId="0" borderId="0"/>
    <xf numFmtId="9" fontId="6" fillId="0" borderId="0" applyFont="0" applyFill="0" applyBorder="0" applyAlignment="0" applyProtection="0"/>
    <xf numFmtId="0" fontId="39" fillId="0" borderId="0" applyNumberFormat="0" applyFont="0" applyFill="0" applyBorder="0" applyAlignment="0" applyProtection="0"/>
    <xf numFmtId="0" fontId="40" fillId="0" borderId="0" applyNumberFormat="0" applyFont="0" applyFill="0" applyBorder="0" applyAlignment="0" applyProtection="0"/>
  </cellStyleXfs>
  <cellXfs count="349">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2" fillId="0" borderId="4" xfId="0" applyFont="1" applyBorder="1" applyAlignment="1">
      <alignment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1" fillId="0" borderId="4" xfId="0" applyFont="1" applyBorder="1" applyAlignment="1">
      <alignment horizontal="left" vertical="top" wrapText="1"/>
    </xf>
    <xf numFmtId="2" fontId="1" fillId="2" borderId="4" xfId="0" applyNumberFormat="1" applyFont="1" applyFill="1" applyBorder="1" applyAlignment="1">
      <alignment vertical="center"/>
    </xf>
    <xf numFmtId="164" fontId="1" fillId="2" borderId="4" xfId="1" applyFont="1" applyFill="1" applyBorder="1" applyAlignment="1">
      <alignment horizontal="center" vertical="center"/>
    </xf>
    <xf numFmtId="0" fontId="1" fillId="2" borderId="4" xfId="0" applyFont="1" applyFill="1" applyBorder="1" applyAlignment="1">
      <alignment vertical="center"/>
    </xf>
    <xf numFmtId="0" fontId="4" fillId="2" borderId="4" xfId="0" applyFont="1" applyFill="1" applyBorder="1" applyAlignment="1">
      <alignment vertical="center"/>
    </xf>
    <xf numFmtId="9" fontId="1" fillId="2" borderId="4" xfId="0" applyNumberFormat="1" applyFont="1" applyFill="1" applyBorder="1" applyAlignment="1">
      <alignment horizontal="center" vertical="center"/>
    </xf>
    <xf numFmtId="9" fontId="1" fillId="2" borderId="4" xfId="0" applyNumberFormat="1" applyFont="1" applyFill="1" applyBorder="1" applyAlignment="1">
      <alignment horizontal="left" vertical="center"/>
    </xf>
    <xf numFmtId="0" fontId="1" fillId="2" borderId="4" xfId="0" applyFont="1" applyFill="1" applyBorder="1" applyAlignment="1">
      <alignment vertical="center" wrapText="1"/>
    </xf>
    <xf numFmtId="0" fontId="1" fillId="2" borderId="4" xfId="0" applyFont="1" applyFill="1" applyBorder="1" applyAlignment="1">
      <alignment horizontal="center" vertical="center"/>
    </xf>
    <xf numFmtId="0" fontId="7" fillId="2" borderId="4" xfId="0" applyFont="1" applyFill="1" applyBorder="1" applyAlignment="1">
      <alignment vertical="center"/>
    </xf>
    <xf numFmtId="0" fontId="7" fillId="2" borderId="4" xfId="0" applyFont="1" applyFill="1" applyBorder="1" applyAlignment="1">
      <alignment vertical="center" wrapText="1"/>
    </xf>
    <xf numFmtId="0" fontId="1" fillId="2" borderId="4" xfId="0" applyFont="1" applyFill="1" applyBorder="1" applyAlignment="1">
      <alignment horizontal="left" vertical="center"/>
    </xf>
    <xf numFmtId="9" fontId="2" fillId="0" borderId="4" xfId="0" applyNumberFormat="1" applyFont="1" applyBorder="1" applyAlignment="1">
      <alignment horizontal="center" vertical="center"/>
    </xf>
    <xf numFmtId="164" fontId="2" fillId="0" borderId="4" xfId="1" applyFont="1" applyFill="1" applyBorder="1" applyAlignment="1">
      <alignment horizontal="center" vertical="center"/>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2" fillId="0" borderId="0" xfId="0" applyFont="1" applyAlignment="1">
      <alignment vertical="top"/>
    </xf>
    <xf numFmtId="0" fontId="24" fillId="0" borderId="0" xfId="0" applyFont="1"/>
    <xf numFmtId="0" fontId="26" fillId="8" borderId="4" xfId="0" applyFont="1" applyFill="1" applyBorder="1" applyAlignment="1">
      <alignment horizontal="center" vertical="center" wrapText="1"/>
    </xf>
    <xf numFmtId="0" fontId="30" fillId="0" borderId="2" xfId="0" applyFont="1" applyBorder="1" applyAlignment="1">
      <alignment horizontal="center" vertical="center" wrapText="1"/>
    </xf>
    <xf numFmtId="0" fontId="31" fillId="0" borderId="4" xfId="0" applyFont="1" applyBorder="1" applyAlignment="1">
      <alignment vertical="center" wrapText="1"/>
    </xf>
    <xf numFmtId="0" fontId="32" fillId="0" borderId="0" xfId="0" applyFont="1" applyAlignment="1">
      <alignment horizontal="center"/>
    </xf>
    <xf numFmtId="0" fontId="34" fillId="0" borderId="4" xfId="0" applyFont="1" applyBorder="1" applyAlignment="1">
      <alignment vertical="center" wrapText="1"/>
    </xf>
    <xf numFmtId="0" fontId="34" fillId="0" borderId="0" xfId="0" applyFont="1"/>
    <xf numFmtId="0" fontId="36" fillId="0" borderId="0" xfId="0" applyFont="1"/>
    <xf numFmtId="0" fontId="29" fillId="0" borderId="4" xfId="0" applyFont="1" applyBorder="1" applyAlignment="1">
      <alignment horizontal="center" vertical="center" wrapText="1"/>
    </xf>
    <xf numFmtId="0" fontId="34" fillId="0" borderId="4" xfId="0" applyFont="1" applyBorder="1" applyAlignment="1">
      <alignment horizontal="left" vertical="top" wrapText="1"/>
    </xf>
    <xf numFmtId="0" fontId="8" fillId="0" borderId="0" xfId="2" applyFont="1"/>
    <xf numFmtId="0" fontId="18" fillId="0" borderId="0" xfId="2" applyFont="1"/>
    <xf numFmtId="0" fontId="19" fillId="0" borderId="0" xfId="2" applyFont="1"/>
    <xf numFmtId="0" fontId="20" fillId="0" borderId="0" xfId="2" applyFont="1"/>
    <xf numFmtId="0" fontId="8" fillId="0" borderId="0" xfId="2" applyFont="1" applyAlignment="1">
      <alignment vertical="top"/>
    </xf>
    <xf numFmtId="165" fontId="0" fillId="0" borderId="0" xfId="2" applyNumberFormat="1" applyFont="1" applyAlignment="1">
      <alignment vertical="center"/>
    </xf>
    <xf numFmtId="165" fontId="19" fillId="0" borderId="0" xfId="2" applyNumberFormat="1" applyFont="1" applyAlignment="1">
      <alignment vertical="center"/>
    </xf>
    <xf numFmtId="0" fontId="38" fillId="0" borderId="0" xfId="2" applyFont="1"/>
    <xf numFmtId="0" fontId="8" fillId="10" borderId="0" xfId="2" applyFont="1" applyFill="1"/>
    <xf numFmtId="0" fontId="20" fillId="0" borderId="0" xfId="2" applyFont="1" applyAlignment="1">
      <alignment vertical="top"/>
    </xf>
    <xf numFmtId="165" fontId="21" fillId="0" borderId="0" xfId="2" applyNumberFormat="1" applyFont="1" applyAlignment="1">
      <alignment vertical="center"/>
    </xf>
    <xf numFmtId="0" fontId="11" fillId="0" borderId="0" xfId="0" applyFont="1" applyAlignment="1">
      <alignment vertical="center"/>
    </xf>
    <xf numFmtId="0" fontId="11" fillId="0" borderId="0" xfId="0" applyFont="1" applyAlignment="1">
      <alignment horizontal="center" vertical="center"/>
    </xf>
    <xf numFmtId="0" fontId="2" fillId="0" borderId="1" xfId="0" applyFont="1" applyBorder="1" applyAlignment="1">
      <alignment vertical="center"/>
    </xf>
    <xf numFmtId="0" fontId="11" fillId="0" borderId="0" xfId="0" applyFont="1" applyAlignment="1">
      <alignment vertical="top"/>
    </xf>
    <xf numFmtId="164" fontId="2" fillId="0" borderId="4" xfId="1" applyFont="1" applyFill="1" applyBorder="1" applyAlignment="1" applyProtection="1">
      <alignment horizontal="center" vertical="center"/>
    </xf>
    <xf numFmtId="164" fontId="2" fillId="10" borderId="4" xfId="1" applyFont="1" applyFill="1" applyBorder="1" applyAlignment="1" applyProtection="1">
      <alignment horizontal="center" vertical="center"/>
    </xf>
    <xf numFmtId="164" fontId="13" fillId="2" borderId="4" xfId="1" applyFont="1" applyFill="1" applyBorder="1" applyAlignment="1" applyProtection="1">
      <alignment horizontal="center" vertical="center"/>
    </xf>
    <xf numFmtId="0" fontId="4" fillId="4" borderId="4" xfId="0" applyFont="1" applyFill="1" applyBorder="1" applyAlignment="1">
      <alignment vertical="center"/>
    </xf>
    <xf numFmtId="0" fontId="1" fillId="4" borderId="4" xfId="0" applyFont="1" applyFill="1" applyBorder="1" applyAlignment="1">
      <alignment vertical="center"/>
    </xf>
    <xf numFmtId="0" fontId="2" fillId="0" borderId="0" xfId="0" applyFont="1" applyAlignment="1">
      <alignment horizontal="left" vertical="center"/>
    </xf>
    <xf numFmtId="0" fontId="3" fillId="0" borderId="2" xfId="0" applyFont="1" applyBorder="1" applyAlignment="1">
      <alignment horizontal="left" vertical="center" wrapText="1"/>
    </xf>
    <xf numFmtId="0" fontId="7" fillId="2" borderId="4" xfId="0" applyFont="1" applyFill="1" applyBorder="1" applyAlignment="1">
      <alignment horizontal="left" vertical="center"/>
    </xf>
    <xf numFmtId="0" fontId="1" fillId="2" borderId="0" xfId="0" applyFont="1" applyFill="1" applyAlignment="1">
      <alignment horizontal="center" vertical="center"/>
    </xf>
    <xf numFmtId="164" fontId="1" fillId="2" borderId="4" xfId="1" applyFont="1" applyFill="1" applyBorder="1" applyAlignment="1" applyProtection="1">
      <alignment horizontal="center" vertical="center"/>
    </xf>
    <xf numFmtId="9" fontId="2" fillId="2" borderId="4" xfId="0" applyNumberFormat="1" applyFont="1" applyFill="1" applyBorder="1" applyAlignment="1">
      <alignment horizontal="center" vertical="center"/>
    </xf>
    <xf numFmtId="164" fontId="2" fillId="0" borderId="4" xfId="1" applyFont="1" applyFill="1" applyBorder="1" applyAlignment="1" applyProtection="1">
      <alignment horizontal="left" vertical="center"/>
    </xf>
    <xf numFmtId="0" fontId="1" fillId="0" borderId="0" xfId="0" applyFont="1" applyAlignment="1">
      <alignment vertical="center"/>
    </xf>
    <xf numFmtId="0" fontId="1" fillId="2" borderId="4" xfId="0" applyFont="1" applyFill="1" applyBorder="1" applyAlignment="1">
      <alignment horizontal="left" vertical="center" wrapText="1"/>
    </xf>
    <xf numFmtId="164" fontId="2" fillId="0" borderId="0" xfId="1" applyFont="1" applyFill="1" applyBorder="1" applyAlignment="1" applyProtection="1">
      <alignment horizontal="center" vertical="center"/>
    </xf>
    <xf numFmtId="164" fontId="2" fillId="0" borderId="0" xfId="1" applyFont="1" applyFill="1" applyBorder="1" applyAlignment="1" applyProtection="1">
      <alignment horizontal="left" vertical="center"/>
    </xf>
    <xf numFmtId="0" fontId="12" fillId="2" borderId="4" xfId="0" applyFont="1" applyFill="1" applyBorder="1" applyAlignment="1">
      <alignment horizontal="left" vertical="center"/>
    </xf>
    <xf numFmtId="0" fontId="12" fillId="2" borderId="4" xfId="0" applyFont="1" applyFill="1" applyBorder="1" applyAlignment="1">
      <alignment vertical="center"/>
    </xf>
    <xf numFmtId="0" fontId="13" fillId="2" borderId="4" xfId="0" applyFont="1" applyFill="1" applyBorder="1" applyAlignment="1">
      <alignment vertical="center"/>
    </xf>
    <xf numFmtId="0" fontId="13" fillId="2" borderId="4" xfId="0" applyFont="1" applyFill="1" applyBorder="1" applyAlignment="1">
      <alignment horizontal="center" vertical="center"/>
    </xf>
    <xf numFmtId="9" fontId="13" fillId="2" borderId="4" xfId="0" applyNumberFormat="1" applyFont="1" applyFill="1" applyBorder="1" applyAlignment="1">
      <alignment horizontal="center" vertical="center"/>
    </xf>
    <xf numFmtId="0" fontId="2" fillId="0" borderId="4" xfId="1" applyNumberFormat="1" applyFont="1" applyFill="1" applyBorder="1" applyAlignment="1" applyProtection="1">
      <alignment horizontal="center" vertical="center"/>
    </xf>
    <xf numFmtId="0" fontId="4" fillId="3" borderId="4" xfId="0" applyFont="1" applyFill="1" applyBorder="1" applyAlignment="1">
      <alignment vertical="center"/>
    </xf>
    <xf numFmtId="0" fontId="2" fillId="0" borderId="4" xfId="0" applyFont="1" applyBorder="1" applyAlignment="1">
      <alignment horizontal="center" vertical="center"/>
    </xf>
    <xf numFmtId="0" fontId="1" fillId="2" borderId="8" xfId="0" applyFont="1" applyFill="1" applyBorder="1" applyAlignment="1">
      <alignment vertical="center"/>
    </xf>
    <xf numFmtId="0" fontId="4" fillId="2" borderId="8" xfId="0" applyFont="1" applyFill="1" applyBorder="1" applyAlignment="1">
      <alignment vertical="center"/>
    </xf>
    <xf numFmtId="0" fontId="2" fillId="0" borderId="7" xfId="0" applyFont="1" applyBorder="1" applyAlignment="1">
      <alignment vertical="center"/>
    </xf>
    <xf numFmtId="0" fontId="2" fillId="10" borderId="4" xfId="0" applyFont="1" applyFill="1" applyBorder="1" applyAlignment="1" applyProtection="1">
      <alignment horizontal="center" vertical="center"/>
      <protection locked="0"/>
    </xf>
    <xf numFmtId="164" fontId="2" fillId="10" borderId="4" xfId="1" applyFont="1" applyFill="1" applyBorder="1" applyAlignment="1" applyProtection="1">
      <alignment horizontal="center" vertical="center"/>
      <protection locked="0"/>
    </xf>
    <xf numFmtId="0" fontId="2" fillId="10" borderId="4" xfId="0" applyFont="1" applyFill="1" applyBorder="1" applyAlignment="1" applyProtection="1">
      <alignment vertical="center"/>
      <protection locked="0"/>
    </xf>
    <xf numFmtId="0" fontId="2" fillId="10" borderId="0" xfId="0" applyFont="1" applyFill="1" applyAlignment="1" applyProtection="1">
      <alignment vertical="center"/>
      <protection locked="0"/>
    </xf>
    <xf numFmtId="2" fontId="1" fillId="10" borderId="4" xfId="0" applyNumberFormat="1" applyFont="1" applyFill="1" applyBorder="1" applyAlignment="1" applyProtection="1">
      <alignment vertical="center"/>
      <protection locked="0"/>
    </xf>
    <xf numFmtId="164" fontId="2" fillId="10" borderId="2" xfId="1" applyFont="1" applyFill="1" applyBorder="1" applyAlignment="1" applyProtection="1">
      <alignment horizontal="center" vertical="center"/>
      <protection locked="0"/>
    </xf>
    <xf numFmtId="0" fontId="2" fillId="10" borderId="5" xfId="0" applyFont="1" applyFill="1" applyBorder="1" applyAlignment="1" applyProtection="1">
      <alignment horizontal="center" vertical="center"/>
      <protection locked="0"/>
    </xf>
    <xf numFmtId="0" fontId="23" fillId="10" borderId="4" xfId="0" applyFont="1" applyFill="1" applyBorder="1" applyAlignment="1" applyProtection="1">
      <alignment horizontal="left" vertical="center"/>
      <protection locked="0"/>
    </xf>
    <xf numFmtId="0" fontId="2" fillId="10" borderId="0" xfId="0" applyFont="1" applyFill="1" applyAlignment="1" applyProtection="1">
      <alignment horizontal="center" vertical="center"/>
      <protection locked="0"/>
    </xf>
    <xf numFmtId="0" fontId="2" fillId="10" borderId="8" xfId="0" applyFont="1" applyFill="1" applyBorder="1" applyAlignment="1" applyProtection="1">
      <alignment horizontal="center" vertical="center"/>
      <protection locked="0"/>
    </xf>
    <xf numFmtId="164" fontId="2" fillId="10" borderId="8" xfId="1" applyFont="1" applyFill="1" applyBorder="1" applyAlignment="1" applyProtection="1">
      <alignment horizontal="center" vertical="center"/>
      <protection locked="0"/>
    </xf>
    <xf numFmtId="0" fontId="2" fillId="10" borderId="6" xfId="0" applyFont="1" applyFill="1" applyBorder="1" applyAlignment="1" applyProtection="1">
      <alignment horizontal="center" vertical="center"/>
      <protection locked="0"/>
    </xf>
    <xf numFmtId="164" fontId="2" fillId="10" borderId="5" xfId="1" applyFont="1" applyFill="1" applyBorder="1" applyAlignment="1" applyProtection="1">
      <alignment horizontal="center" vertical="center"/>
      <protection locked="0"/>
    </xf>
    <xf numFmtId="2" fontId="13" fillId="10" borderId="4" xfId="0" applyNumberFormat="1" applyFont="1" applyFill="1" applyBorder="1" applyAlignment="1" applyProtection="1">
      <alignment vertical="center"/>
      <protection locked="0"/>
    </xf>
    <xf numFmtId="0" fontId="14" fillId="10" borderId="4" xfId="0" applyFont="1" applyFill="1" applyBorder="1" applyAlignment="1" applyProtection="1">
      <alignment vertical="center"/>
      <protection locked="0"/>
    </xf>
    <xf numFmtId="0" fontId="3" fillId="0" borderId="1" xfId="0" applyFont="1" applyBorder="1" applyAlignment="1">
      <alignment horizontal="left" vertical="center" wrapText="1"/>
    </xf>
    <xf numFmtId="0" fontId="4" fillId="2" borderId="4" xfId="0" applyFont="1" applyFill="1" applyBorder="1" applyAlignment="1">
      <alignment horizontal="left" vertical="center"/>
    </xf>
    <xf numFmtId="164" fontId="2" fillId="10" borderId="4" xfId="1" applyFont="1" applyFill="1" applyBorder="1" applyAlignment="1" applyProtection="1">
      <alignment horizontal="left" vertical="center"/>
      <protection locked="0"/>
    </xf>
    <xf numFmtId="0" fontId="9" fillId="0" borderId="0" xfId="0" applyFont="1" applyAlignment="1">
      <alignment horizontal="left"/>
    </xf>
    <xf numFmtId="0" fontId="9" fillId="10" borderId="0" xfId="0" applyFont="1" applyFill="1" applyAlignment="1" applyProtection="1">
      <alignment horizontal="left"/>
      <protection locked="0"/>
    </xf>
    <xf numFmtId="0" fontId="4" fillId="10" borderId="4" xfId="0" applyFont="1" applyFill="1" applyBorder="1" applyAlignment="1" applyProtection="1">
      <alignment horizontal="left" vertical="center"/>
      <protection locked="0"/>
    </xf>
    <xf numFmtId="164" fontId="2" fillId="0" borderId="2" xfId="1" applyFont="1" applyFill="1" applyBorder="1" applyAlignment="1" applyProtection="1">
      <alignment horizontal="center" vertical="center"/>
    </xf>
    <xf numFmtId="0" fontId="15" fillId="0" borderId="6" xfId="0" applyFont="1" applyBorder="1" applyAlignment="1">
      <alignment vertical="center"/>
    </xf>
    <xf numFmtId="0" fontId="0" fillId="0" borderId="6" xfId="0" applyBorder="1"/>
    <xf numFmtId="0" fontId="2" fillId="0" borderId="5" xfId="0" applyFont="1" applyBorder="1" applyAlignment="1">
      <alignment vertical="center"/>
    </xf>
    <xf numFmtId="0" fontId="2" fillId="0" borderId="5" xfId="0" applyFont="1" applyBorder="1" applyAlignment="1">
      <alignment horizontal="center" vertical="center"/>
    </xf>
    <xf numFmtId="0" fontId="2" fillId="0" borderId="0" xfId="0" applyFont="1"/>
    <xf numFmtId="0" fontId="2" fillId="0" borderId="0" xfId="0" applyFont="1" applyAlignment="1">
      <alignment horizontal="center"/>
    </xf>
    <xf numFmtId="0" fontId="2" fillId="0" borderId="0" xfId="0" applyFont="1" applyAlignment="1">
      <alignment horizontal="left"/>
    </xf>
    <xf numFmtId="0" fontId="2" fillId="0" borderId="1" xfId="0" applyFont="1" applyBorder="1"/>
    <xf numFmtId="0" fontId="2" fillId="0" borderId="4" xfId="0" applyFont="1" applyBorder="1"/>
    <xf numFmtId="0" fontId="3" fillId="0" borderId="1" xfId="0" applyFont="1" applyBorder="1" applyAlignment="1">
      <alignment horizontal="center" wrapText="1"/>
    </xf>
    <xf numFmtId="0" fontId="3" fillId="0" borderId="1" xfId="0" applyFont="1" applyBorder="1" applyAlignment="1">
      <alignment horizontal="left" wrapText="1"/>
    </xf>
    <xf numFmtId="0" fontId="3" fillId="0" borderId="2" xfId="0" applyFont="1" applyBorder="1" applyAlignment="1">
      <alignment horizontal="center" wrapText="1"/>
    </xf>
    <xf numFmtId="0" fontId="1" fillId="2" borderId="4" xfId="0" applyFont="1" applyFill="1" applyBorder="1"/>
    <xf numFmtId="0" fontId="4" fillId="2" borderId="4" xfId="0" applyFont="1" applyFill="1" applyBorder="1"/>
    <xf numFmtId="0" fontId="4" fillId="2" borderId="4" xfId="0" applyFont="1" applyFill="1" applyBorder="1" applyAlignment="1">
      <alignment horizontal="left"/>
    </xf>
    <xf numFmtId="2" fontId="1" fillId="2" borderId="4" xfId="0" applyNumberFormat="1" applyFont="1" applyFill="1" applyBorder="1"/>
    <xf numFmtId="164" fontId="1" fillId="2" borderId="4" xfId="1" applyFont="1" applyFill="1" applyBorder="1" applyAlignment="1" applyProtection="1">
      <alignment horizontal="center"/>
    </xf>
    <xf numFmtId="9" fontId="1" fillId="2" borderId="4" xfId="0" applyNumberFormat="1" applyFont="1" applyFill="1" applyBorder="1" applyAlignment="1">
      <alignment horizontal="center"/>
    </xf>
    <xf numFmtId="0" fontId="1" fillId="2" borderId="4" xfId="0" applyFont="1" applyFill="1" applyBorder="1" applyAlignment="1">
      <alignment horizontal="left"/>
    </xf>
    <xf numFmtId="9" fontId="1" fillId="2" borderId="4" xfId="0" applyNumberFormat="1" applyFont="1" applyFill="1" applyBorder="1" applyAlignment="1">
      <alignment horizontal="left"/>
    </xf>
    <xf numFmtId="164" fontId="2" fillId="0" borderId="4" xfId="1" applyFont="1" applyFill="1" applyBorder="1" applyAlignment="1" applyProtection="1">
      <alignment horizontal="center"/>
    </xf>
    <xf numFmtId="164" fontId="2" fillId="10" borderId="4" xfId="1" applyFont="1" applyFill="1" applyBorder="1" applyAlignment="1" applyProtection="1">
      <alignment horizontal="center"/>
      <protection locked="0"/>
    </xf>
    <xf numFmtId="164" fontId="2" fillId="5" borderId="4" xfId="1" applyFont="1" applyFill="1" applyBorder="1" applyAlignment="1" applyProtection="1">
      <alignment horizontal="center"/>
    </xf>
    <xf numFmtId="0" fontId="2" fillId="0" borderId="4" xfId="1" applyNumberFormat="1" applyFont="1" applyFill="1" applyBorder="1" applyAlignment="1" applyProtection="1">
      <alignment horizontal="center"/>
    </xf>
    <xf numFmtId="0" fontId="2" fillId="0" borderId="4" xfId="0" applyFont="1" applyBorder="1" applyAlignment="1">
      <alignment horizontal="center"/>
    </xf>
    <xf numFmtId="164" fontId="2" fillId="0" borderId="4" xfId="1" applyFont="1" applyFill="1" applyBorder="1" applyAlignment="1" applyProtection="1">
      <alignment horizontal="left"/>
    </xf>
    <xf numFmtId="0" fontId="2" fillId="10" borderId="4" xfId="1" applyNumberFormat="1" applyFont="1" applyFill="1" applyBorder="1" applyAlignment="1" applyProtection="1">
      <alignment horizontal="center"/>
      <protection locked="0"/>
    </xf>
    <xf numFmtId="164" fontId="2" fillId="10" borderId="4" xfId="1" applyFont="1" applyFill="1" applyBorder="1" applyAlignment="1" applyProtection="1">
      <alignment horizontal="left"/>
      <protection locked="0"/>
    </xf>
    <xf numFmtId="0" fontId="2" fillId="10" borderId="4" xfId="0" applyFont="1" applyFill="1" applyBorder="1" applyAlignment="1" applyProtection="1">
      <alignment horizontal="center"/>
      <protection locked="0"/>
    </xf>
    <xf numFmtId="0" fontId="1" fillId="2" borderId="4" xfId="0" applyFont="1" applyFill="1" applyBorder="1" applyAlignment="1">
      <alignment wrapText="1"/>
    </xf>
    <xf numFmtId="0" fontId="1" fillId="2" borderId="4" xfId="0" applyFont="1" applyFill="1" applyBorder="1" applyAlignment="1">
      <alignment horizontal="center"/>
    </xf>
    <xf numFmtId="0" fontId="4" fillId="10" borderId="4" xfId="0" applyFont="1" applyFill="1" applyBorder="1" applyAlignment="1" applyProtection="1">
      <alignment horizontal="left"/>
      <protection locked="0"/>
    </xf>
    <xf numFmtId="2" fontId="1" fillId="10" borderId="4" xfId="0" applyNumberFormat="1" applyFont="1" applyFill="1" applyBorder="1" applyProtection="1">
      <protection locked="0"/>
    </xf>
    <xf numFmtId="2" fontId="1" fillId="3" borderId="4" xfId="0" applyNumberFormat="1" applyFont="1" applyFill="1" applyBorder="1"/>
    <xf numFmtId="0" fontId="2" fillId="0" borderId="4" xfId="0" applyFont="1" applyBorder="1" applyAlignment="1">
      <alignment horizontal="left"/>
    </xf>
    <xf numFmtId="0" fontId="2" fillId="10" borderId="4" xfId="0" applyFont="1" applyFill="1" applyBorder="1" applyAlignment="1" applyProtection="1">
      <alignment horizontal="left"/>
      <protection locked="0"/>
    </xf>
    <xf numFmtId="0" fontId="9" fillId="0" borderId="6" xfId="0" applyFont="1" applyBorder="1" applyAlignment="1">
      <alignment horizontal="left"/>
    </xf>
    <xf numFmtId="0" fontId="0" fillId="0" borderId="0" xfId="0" applyAlignment="1">
      <alignment horizontal="left"/>
    </xf>
    <xf numFmtId="0" fontId="16" fillId="10" borderId="0" xfId="0" applyFont="1" applyFill="1" applyAlignment="1" applyProtection="1">
      <alignment horizontal="left"/>
      <protection locked="0"/>
    </xf>
    <xf numFmtId="0" fontId="10" fillId="0" borderId="0" xfId="0" applyFont="1" applyAlignment="1">
      <alignment horizontal="left"/>
    </xf>
    <xf numFmtId="0" fontId="2" fillId="10" borderId="0" xfId="0" applyFont="1" applyFill="1" applyAlignment="1" applyProtection="1">
      <alignment horizontal="left"/>
      <protection locked="0"/>
    </xf>
    <xf numFmtId="0" fontId="2" fillId="0" borderId="8" xfId="0" applyFont="1" applyBorder="1" applyAlignment="1">
      <alignment horizontal="left"/>
    </xf>
    <xf numFmtId="0" fontId="2" fillId="0" borderId="6" xfId="0" applyFont="1" applyBorder="1" applyAlignment="1">
      <alignment horizontal="left"/>
    </xf>
    <xf numFmtId="0" fontId="2" fillId="0" borderId="2" xfId="0" applyFont="1" applyBorder="1" applyAlignment="1">
      <alignment horizontal="center"/>
    </xf>
    <xf numFmtId="9" fontId="2" fillId="0" borderId="0" xfId="3" applyFont="1" applyAlignment="1" applyProtection="1"/>
    <xf numFmtId="9" fontId="3" fillId="0" borderId="1" xfId="3" applyFont="1" applyBorder="1" applyAlignment="1" applyProtection="1">
      <alignment horizontal="center" wrapText="1"/>
    </xf>
    <xf numFmtId="9" fontId="1" fillId="0" borderId="3" xfId="3" applyFont="1" applyBorder="1" applyAlignment="1" applyProtection="1">
      <alignment horizontal="center" vertical="top" wrapText="1"/>
    </xf>
    <xf numFmtId="166" fontId="1" fillId="2" borderId="4" xfId="3" applyNumberFormat="1" applyFont="1" applyFill="1" applyBorder="1" applyAlignment="1" applyProtection="1">
      <alignment horizontal="center"/>
    </xf>
    <xf numFmtId="1" fontId="1" fillId="2" borderId="4" xfId="0" applyNumberFormat="1" applyFont="1" applyFill="1" applyBorder="1" applyAlignment="1">
      <alignment horizontal="center"/>
    </xf>
    <xf numFmtId="166" fontId="1" fillId="2" borderId="4" xfId="0" applyNumberFormat="1" applyFont="1" applyFill="1" applyBorder="1" applyAlignment="1">
      <alignment horizontal="center" vertical="center"/>
    </xf>
    <xf numFmtId="2" fontId="1" fillId="12" borderId="4" xfId="0" applyNumberFormat="1" applyFont="1" applyFill="1" applyBorder="1" applyAlignment="1">
      <alignment vertical="center"/>
    </xf>
    <xf numFmtId="1" fontId="0" fillId="0" borderId="0" xfId="0" applyNumberFormat="1" applyAlignment="1">
      <alignment horizontal="right"/>
    </xf>
    <xf numFmtId="0" fontId="41" fillId="0" borderId="0" xfId="0" applyFont="1" applyAlignment="1">
      <alignment horizontal="right"/>
    </xf>
    <xf numFmtId="0" fontId="1" fillId="0" borderId="0" xfId="0" applyFont="1"/>
    <xf numFmtId="0" fontId="21" fillId="0" borderId="24" xfId="0" applyFont="1" applyBorder="1" applyAlignment="1">
      <alignment horizontal="center"/>
    </xf>
    <xf numFmtId="0" fontId="21" fillId="0" borderId="25" xfId="0" applyFont="1" applyBorder="1" applyAlignment="1">
      <alignment horizontal="center"/>
    </xf>
    <xf numFmtId="0" fontId="21" fillId="0" borderId="26" xfId="0" applyFont="1" applyBorder="1" applyAlignment="1">
      <alignment horizontal="center"/>
    </xf>
    <xf numFmtId="0" fontId="0" fillId="0" borderId="27" xfId="0" applyBorder="1" applyAlignment="1">
      <alignment horizontal="center"/>
    </xf>
    <xf numFmtId="0" fontId="0" fillId="0" borderId="4" xfId="0"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0" xfId="0" applyAlignment="1">
      <alignment horizontal="center"/>
    </xf>
    <xf numFmtId="9" fontId="0" fillId="0" borderId="27" xfId="0" applyNumberFormat="1" applyBorder="1" applyAlignment="1">
      <alignment horizontal="center"/>
    </xf>
    <xf numFmtId="1" fontId="0" fillId="0" borderId="4" xfId="0" applyNumberFormat="1" applyBorder="1" applyAlignment="1">
      <alignment horizontal="center"/>
    </xf>
    <xf numFmtId="1" fontId="0" fillId="0" borderId="28" xfId="0" applyNumberFormat="1" applyBorder="1" applyAlignment="1">
      <alignment horizontal="center"/>
    </xf>
    <xf numFmtId="1" fontId="0" fillId="0" borderId="30" xfId="0" applyNumberFormat="1" applyBorder="1" applyAlignment="1">
      <alignment horizontal="center"/>
    </xf>
    <xf numFmtId="1" fontId="0" fillId="0" borderId="31" xfId="0" applyNumberFormat="1" applyBorder="1" applyAlignment="1">
      <alignment horizontal="center"/>
    </xf>
    <xf numFmtId="9" fontId="1" fillId="2" borderId="4" xfId="3" applyFont="1" applyFill="1" applyBorder="1" applyAlignment="1" applyProtection="1">
      <alignment horizontal="center"/>
    </xf>
    <xf numFmtId="0" fontId="3" fillId="11" borderId="1" xfId="0" applyFont="1" applyFill="1" applyBorder="1" applyAlignment="1">
      <alignment horizontal="left" wrapText="1"/>
    </xf>
    <xf numFmtId="0" fontId="3" fillId="11" borderId="1" xfId="0" applyFont="1" applyFill="1" applyBorder="1" applyAlignment="1">
      <alignment horizontal="left" vertical="center" wrapText="1"/>
    </xf>
    <xf numFmtId="1" fontId="21" fillId="0" borderId="0" xfId="0" applyNumberFormat="1" applyFont="1" applyAlignment="1">
      <alignment horizontal="left"/>
    </xf>
    <xf numFmtId="9" fontId="2" fillId="0" borderId="0" xfId="3" applyFont="1" applyFill="1" applyAlignment="1" applyProtection="1"/>
    <xf numFmtId="0" fontId="40" fillId="0" borderId="0" xfId="5" applyNumberFormat="1" applyFont="1" applyFill="1" applyBorder="1" applyAlignment="1"/>
    <xf numFmtId="0" fontId="43" fillId="2" borderId="18" xfId="5" applyNumberFormat="1" applyFont="1" applyFill="1" applyBorder="1" applyAlignment="1">
      <alignment horizontal="left" vertical="top" wrapText="1"/>
    </xf>
    <xf numFmtId="0" fontId="43" fillId="2" borderId="0" xfId="5" applyNumberFormat="1" applyFont="1" applyFill="1" applyBorder="1" applyAlignment="1">
      <alignment horizontal="left" vertical="top" wrapText="1"/>
    </xf>
    <xf numFmtId="0" fontId="44" fillId="2" borderId="0" xfId="5" applyFont="1" applyFill="1" applyBorder="1" applyAlignment="1">
      <alignment horizontal="center" vertical="top" wrapText="1"/>
    </xf>
    <xf numFmtId="0" fontId="43" fillId="0" borderId="19" xfId="5" applyNumberFormat="1" applyFont="1" applyFill="1" applyBorder="1" applyAlignment="1">
      <alignment horizontal="left" vertical="top" wrapText="1"/>
    </xf>
    <xf numFmtId="0" fontId="43" fillId="0" borderId="18" xfId="5" applyNumberFormat="1" applyFont="1" applyFill="1" applyBorder="1" applyAlignment="1">
      <alignment horizontal="left" vertical="top" wrapText="1"/>
    </xf>
    <xf numFmtId="0" fontId="43" fillId="0" borderId="0" xfId="5" applyNumberFormat="1" applyFont="1" applyFill="1" applyBorder="1" applyAlignment="1">
      <alignment horizontal="left" vertical="top" wrapText="1"/>
    </xf>
    <xf numFmtId="0" fontId="45" fillId="0" borderId="0" xfId="5" applyNumberFormat="1" applyFont="1" applyFill="1" applyBorder="1" applyAlignment="1">
      <alignment horizontal="left" vertical="top" wrapText="1"/>
    </xf>
    <xf numFmtId="0" fontId="43" fillId="2" borderId="20" xfId="5" applyNumberFormat="1" applyFont="1" applyFill="1" applyBorder="1" applyAlignment="1">
      <alignment horizontal="left" vertical="top" wrapText="1"/>
    </xf>
    <xf numFmtId="0" fontId="43" fillId="2" borderId="21" xfId="5" applyNumberFormat="1" applyFont="1" applyFill="1" applyBorder="1" applyAlignment="1">
      <alignment horizontal="left" vertical="top" wrapText="1"/>
    </xf>
    <xf numFmtId="0" fontId="44" fillId="2" borderId="21" xfId="5" applyFont="1" applyFill="1" applyBorder="1" applyAlignment="1">
      <alignment horizontal="center" vertical="top" wrapText="1"/>
    </xf>
    <xf numFmtId="0" fontId="43" fillId="0" borderId="22" xfId="5" applyNumberFormat="1" applyFont="1" applyFill="1" applyBorder="1" applyAlignment="1">
      <alignment horizontal="left" vertical="top" wrapText="1"/>
    </xf>
    <xf numFmtId="0" fontId="45" fillId="2" borderId="0" xfId="5" applyNumberFormat="1" applyFont="1" applyFill="1" applyBorder="1" applyAlignment="1">
      <alignment horizontal="left" vertical="top" wrapText="1"/>
    </xf>
    <xf numFmtId="0" fontId="22" fillId="14" borderId="4" xfId="0" applyFont="1" applyFill="1" applyBorder="1"/>
    <xf numFmtId="0" fontId="1" fillId="14" borderId="4" xfId="0" applyFont="1" applyFill="1" applyBorder="1"/>
    <xf numFmtId="0" fontId="1" fillId="14" borderId="4" xfId="0" applyFont="1" applyFill="1" applyBorder="1" applyAlignment="1">
      <alignment horizontal="left"/>
    </xf>
    <xf numFmtId="0" fontId="4" fillId="14" borderId="4" xfId="0" applyFont="1" applyFill="1" applyBorder="1"/>
    <xf numFmtId="0" fontId="4" fillId="14" borderId="4" xfId="0" applyFont="1" applyFill="1" applyBorder="1" applyAlignment="1">
      <alignment horizontal="left"/>
    </xf>
    <xf numFmtId="2" fontId="1" fillId="14" borderId="4" xfId="0" applyNumberFormat="1" applyFont="1" applyFill="1" applyBorder="1"/>
    <xf numFmtId="164" fontId="1" fillId="14" borderId="4" xfId="1" applyFont="1" applyFill="1" applyBorder="1" applyAlignment="1" applyProtection="1">
      <alignment horizontal="center"/>
    </xf>
    <xf numFmtId="9" fontId="1" fillId="14" borderId="4" xfId="0" applyNumberFormat="1" applyFont="1" applyFill="1" applyBorder="1" applyAlignment="1">
      <alignment horizontal="center"/>
    </xf>
    <xf numFmtId="1" fontId="1" fillId="14" borderId="4" xfId="0" applyNumberFormat="1" applyFont="1" applyFill="1" applyBorder="1" applyAlignment="1">
      <alignment horizontal="center"/>
    </xf>
    <xf numFmtId="166" fontId="1" fillId="14" borderId="4" xfId="3" applyNumberFormat="1" applyFont="1" applyFill="1" applyBorder="1" applyAlignment="1" applyProtection="1">
      <alignment horizontal="center"/>
    </xf>
    <xf numFmtId="9" fontId="1" fillId="14" borderId="4" xfId="0" applyNumberFormat="1" applyFont="1" applyFill="1" applyBorder="1" applyAlignment="1">
      <alignment horizontal="left"/>
    </xf>
    <xf numFmtId="9" fontId="1" fillId="14" borderId="4" xfId="3" applyFont="1" applyFill="1" applyBorder="1" applyAlignment="1" applyProtection="1">
      <alignment horizontal="center"/>
    </xf>
    <xf numFmtId="0" fontId="1" fillId="14" borderId="4" xfId="0" applyFont="1" applyFill="1" applyBorder="1" applyAlignment="1">
      <alignment wrapText="1"/>
    </xf>
    <xf numFmtId="0" fontId="1" fillId="14" borderId="4" xfId="0" applyFont="1" applyFill="1" applyBorder="1" applyAlignment="1">
      <alignment horizontal="center"/>
    </xf>
    <xf numFmtId="2" fontId="1" fillId="14" borderId="4" xfId="0" applyNumberFormat="1" applyFont="1" applyFill="1" applyBorder="1" applyAlignment="1">
      <alignment vertical="center"/>
    </xf>
    <xf numFmtId="9" fontId="1" fillId="14" borderId="4" xfId="0" applyNumberFormat="1" applyFont="1" applyFill="1" applyBorder="1" applyAlignment="1">
      <alignment horizontal="left" vertical="center"/>
    </xf>
    <xf numFmtId="0" fontId="1" fillId="14" borderId="4" xfId="0" applyFont="1" applyFill="1" applyBorder="1" applyAlignment="1">
      <alignment vertical="center"/>
    </xf>
    <xf numFmtId="0" fontId="4" fillId="14" borderId="4" xfId="0" applyFont="1" applyFill="1" applyBorder="1" applyAlignment="1">
      <alignment vertical="center"/>
    </xf>
    <xf numFmtId="0" fontId="4" fillId="14" borderId="4" xfId="0" applyFont="1" applyFill="1" applyBorder="1" applyAlignment="1">
      <alignment horizontal="left" vertical="center"/>
    </xf>
    <xf numFmtId="164" fontId="1" fillId="14" borderId="4" xfId="1" applyFont="1" applyFill="1" applyBorder="1" applyAlignment="1" applyProtection="1">
      <alignment horizontal="center" vertical="center"/>
    </xf>
    <xf numFmtId="0" fontId="1" fillId="14" borderId="4" xfId="0" applyFont="1" applyFill="1" applyBorder="1" applyAlignment="1">
      <alignment horizontal="center" vertical="center"/>
    </xf>
    <xf numFmtId="9" fontId="1" fillId="14" borderId="4" xfId="0" applyNumberFormat="1" applyFont="1" applyFill="1" applyBorder="1" applyAlignment="1">
      <alignment horizontal="center" vertical="center"/>
    </xf>
    <xf numFmtId="166" fontId="1" fillId="14" borderId="4" xfId="0" applyNumberFormat="1" applyFont="1" applyFill="1" applyBorder="1" applyAlignment="1">
      <alignment horizontal="center" vertical="center"/>
    </xf>
    <xf numFmtId="0" fontId="7" fillId="14" borderId="4" xfId="0" applyFont="1" applyFill="1" applyBorder="1" applyAlignment="1">
      <alignment vertical="center"/>
    </xf>
    <xf numFmtId="0" fontId="1" fillId="14" borderId="4" xfId="0" applyFont="1" applyFill="1" applyBorder="1" applyAlignment="1">
      <alignment vertical="center" wrapText="1"/>
    </xf>
    <xf numFmtId="0" fontId="1" fillId="14" borderId="4" xfId="0" applyFont="1" applyFill="1" applyBorder="1" applyAlignment="1">
      <alignment horizontal="left" vertical="center"/>
    </xf>
    <xf numFmtId="0" fontId="7" fillId="14" borderId="4" xfId="0" applyFont="1" applyFill="1" applyBorder="1" applyAlignment="1">
      <alignment vertical="center" wrapText="1"/>
    </xf>
    <xf numFmtId="0" fontId="22" fillId="14" borderId="4" xfId="0" applyFont="1" applyFill="1" applyBorder="1" applyProtection="1">
      <protection locked="0"/>
    </xf>
    <xf numFmtId="2" fontId="1" fillId="14" borderId="4" xfId="0" applyNumberFormat="1" applyFont="1" applyFill="1" applyBorder="1" applyAlignment="1" applyProtection="1">
      <alignment vertical="center"/>
      <protection locked="0"/>
    </xf>
    <xf numFmtId="0" fontId="1" fillId="12" borderId="4" xfId="0" applyFont="1" applyFill="1" applyBorder="1" applyAlignment="1">
      <alignment vertical="center"/>
    </xf>
    <xf numFmtId="0" fontId="4" fillId="12" borderId="4" xfId="0" applyFont="1" applyFill="1" applyBorder="1" applyAlignment="1">
      <alignment vertical="center"/>
    </xf>
    <xf numFmtId="0" fontId="4" fillId="12" borderId="4" xfId="0" applyFont="1" applyFill="1" applyBorder="1" applyAlignment="1">
      <alignment horizontal="left" vertical="center"/>
    </xf>
    <xf numFmtId="164" fontId="1" fillId="12" borderId="4" xfId="1" applyFont="1" applyFill="1" applyBorder="1" applyAlignment="1" applyProtection="1">
      <alignment horizontal="center" vertical="center"/>
    </xf>
    <xf numFmtId="0" fontId="1" fillId="12" borderId="4" xfId="0" applyFont="1" applyFill="1" applyBorder="1" applyAlignment="1">
      <alignment horizontal="center" vertical="center"/>
    </xf>
    <xf numFmtId="9" fontId="1" fillId="12" borderId="4" xfId="0" applyNumberFormat="1" applyFont="1" applyFill="1" applyBorder="1" applyAlignment="1">
      <alignment horizontal="center" vertical="center"/>
    </xf>
    <xf numFmtId="9" fontId="1" fillId="12" borderId="4" xfId="0" applyNumberFormat="1" applyFont="1" applyFill="1" applyBorder="1" applyAlignment="1">
      <alignment horizontal="left" vertical="center"/>
    </xf>
    <xf numFmtId="0" fontId="1" fillId="12" borderId="4" xfId="0" applyFont="1" applyFill="1" applyBorder="1" applyAlignment="1">
      <alignment vertical="center" wrapText="1"/>
    </xf>
    <xf numFmtId="0" fontId="7" fillId="12" borderId="4" xfId="0" applyFont="1" applyFill="1" applyBorder="1" applyAlignment="1">
      <alignment vertical="center" wrapText="1"/>
    </xf>
    <xf numFmtId="0" fontId="7" fillId="12" borderId="4" xfId="0" applyFont="1" applyFill="1" applyBorder="1" applyAlignment="1">
      <alignment vertical="center"/>
    </xf>
    <xf numFmtId="0" fontId="8" fillId="14" borderId="0" xfId="2" applyFont="1" applyFill="1"/>
    <xf numFmtId="0" fontId="8" fillId="12" borderId="0" xfId="2" applyFont="1" applyFill="1"/>
    <xf numFmtId="166" fontId="1" fillId="14" borderId="23" xfId="3" applyNumberFormat="1" applyFont="1" applyFill="1" applyBorder="1" applyAlignment="1" applyProtection="1"/>
    <xf numFmtId="166" fontId="1" fillId="14" borderId="23" xfId="0" applyNumberFormat="1" applyFont="1" applyFill="1" applyBorder="1" applyAlignment="1">
      <alignment vertical="center"/>
    </xf>
    <xf numFmtId="0" fontId="1" fillId="15" borderId="4" xfId="0" applyFont="1" applyFill="1" applyBorder="1"/>
    <xf numFmtId="0" fontId="1" fillId="15" borderId="4" xfId="0" applyFont="1" applyFill="1" applyBorder="1" applyAlignment="1">
      <alignment horizontal="left"/>
    </xf>
    <xf numFmtId="0" fontId="4" fillId="15" borderId="4" xfId="0" applyFont="1" applyFill="1" applyBorder="1"/>
    <xf numFmtId="0" fontId="4" fillId="15" borderId="4" xfId="0" applyFont="1" applyFill="1" applyBorder="1" applyAlignment="1">
      <alignment horizontal="left"/>
    </xf>
    <xf numFmtId="2" fontId="1" fillId="15" borderId="4" xfId="0" applyNumberFormat="1" applyFont="1" applyFill="1" applyBorder="1"/>
    <xf numFmtId="164" fontId="1" fillId="15" borderId="4" xfId="1" applyFont="1" applyFill="1" applyBorder="1" applyAlignment="1" applyProtection="1">
      <alignment horizontal="center"/>
    </xf>
    <xf numFmtId="9" fontId="1" fillId="15" borderId="4" xfId="0" applyNumberFormat="1" applyFont="1" applyFill="1" applyBorder="1" applyAlignment="1">
      <alignment horizontal="center"/>
    </xf>
    <xf numFmtId="1" fontId="1" fillId="15" borderId="4" xfId="0" applyNumberFormat="1" applyFont="1" applyFill="1" applyBorder="1" applyAlignment="1">
      <alignment horizontal="center"/>
    </xf>
    <xf numFmtId="166" fontId="1" fillId="15" borderId="4" xfId="3" applyNumberFormat="1" applyFont="1" applyFill="1" applyBorder="1" applyAlignment="1" applyProtection="1">
      <alignment horizontal="center"/>
    </xf>
    <xf numFmtId="9" fontId="1" fillId="15" borderId="4" xfId="0" applyNumberFormat="1" applyFont="1" applyFill="1" applyBorder="1" applyAlignment="1">
      <alignment horizontal="left"/>
    </xf>
    <xf numFmtId="9" fontId="1" fillId="15" borderId="4" xfId="3" applyFont="1" applyFill="1" applyBorder="1" applyAlignment="1" applyProtection="1">
      <alignment horizontal="center"/>
    </xf>
    <xf numFmtId="0" fontId="1" fillId="15" borderId="4" xfId="0" applyFont="1" applyFill="1" applyBorder="1" applyAlignment="1">
      <alignment wrapText="1"/>
    </xf>
    <xf numFmtId="0" fontId="1" fillId="15" borderId="4" xfId="0" applyFont="1" applyFill="1" applyBorder="1" applyAlignment="1">
      <alignment horizontal="center"/>
    </xf>
    <xf numFmtId="9" fontId="1" fillId="15" borderId="4" xfId="0" applyNumberFormat="1" applyFont="1" applyFill="1" applyBorder="1" applyAlignment="1">
      <alignment horizontal="left" vertical="center"/>
    </xf>
    <xf numFmtId="166" fontId="1" fillId="15" borderId="23" xfId="3" applyNumberFormat="1" applyFont="1" applyFill="1" applyBorder="1" applyAlignment="1" applyProtection="1"/>
    <xf numFmtId="0" fontId="1" fillId="15" borderId="4" xfId="0" applyFont="1" applyFill="1" applyBorder="1" applyAlignment="1">
      <alignment vertical="center"/>
    </xf>
    <xf numFmtId="0" fontId="4" fillId="15" borderId="4" xfId="0" applyFont="1" applyFill="1" applyBorder="1" applyAlignment="1">
      <alignment vertical="center"/>
    </xf>
    <xf numFmtId="0" fontId="4" fillId="15" borderId="4" xfId="0" applyFont="1" applyFill="1" applyBorder="1" applyAlignment="1">
      <alignment horizontal="left" vertical="center"/>
    </xf>
    <xf numFmtId="2" fontId="1" fillId="15" borderId="4" xfId="0" applyNumberFormat="1" applyFont="1" applyFill="1" applyBorder="1" applyAlignment="1">
      <alignment vertical="center"/>
    </xf>
    <xf numFmtId="164" fontId="1" fillId="15" borderId="4" xfId="1" applyFont="1" applyFill="1" applyBorder="1" applyAlignment="1" applyProtection="1">
      <alignment horizontal="center" vertical="center"/>
    </xf>
    <xf numFmtId="0" fontId="1" fillId="15" borderId="4" xfId="0" applyFont="1" applyFill="1" applyBorder="1" applyAlignment="1">
      <alignment horizontal="center" vertical="center"/>
    </xf>
    <xf numFmtId="9" fontId="1" fillId="15" borderId="4" xfId="0" applyNumberFormat="1" applyFont="1" applyFill="1" applyBorder="1" applyAlignment="1">
      <alignment horizontal="center" vertical="center"/>
    </xf>
    <xf numFmtId="166" fontId="1" fillId="15" borderId="4" xfId="0" applyNumberFormat="1" applyFont="1" applyFill="1" applyBorder="1" applyAlignment="1">
      <alignment horizontal="center" vertical="center"/>
    </xf>
    <xf numFmtId="0" fontId="7" fillId="15" borderId="4" xfId="0" applyFont="1" applyFill="1" applyBorder="1" applyAlignment="1">
      <alignment vertical="center"/>
    </xf>
    <xf numFmtId="0" fontId="1" fillId="15" borderId="4" xfId="0" applyFont="1" applyFill="1" applyBorder="1" applyAlignment="1">
      <alignment vertical="center" wrapText="1"/>
    </xf>
    <xf numFmtId="0" fontId="1" fillId="15" borderId="4" xfId="0" applyFont="1" applyFill="1" applyBorder="1" applyAlignment="1">
      <alignment horizontal="left" vertical="center"/>
    </xf>
    <xf numFmtId="0" fontId="7" fillId="15" borderId="4" xfId="0" applyFont="1" applyFill="1" applyBorder="1" applyAlignment="1">
      <alignment vertical="center" wrapText="1"/>
    </xf>
    <xf numFmtId="166" fontId="1" fillId="15" borderId="23" xfId="0" applyNumberFormat="1" applyFont="1" applyFill="1" applyBorder="1" applyAlignment="1">
      <alignment vertical="center"/>
    </xf>
    <xf numFmtId="2" fontId="1" fillId="15" borderId="4" xfId="0" applyNumberFormat="1" applyFont="1" applyFill="1" applyBorder="1" applyProtection="1">
      <protection locked="0"/>
    </xf>
    <xf numFmtId="0" fontId="8" fillId="15" borderId="0" xfId="2" applyFont="1" applyFill="1"/>
    <xf numFmtId="0" fontId="22" fillId="14" borderId="4" xfId="0" applyFont="1" applyFill="1" applyBorder="1" applyAlignment="1">
      <alignment vertical="center"/>
    </xf>
    <xf numFmtId="0" fontId="1" fillId="0" borderId="0" xfId="0" applyFont="1" applyAlignment="1">
      <alignment horizontal="right" vertical="center"/>
    </xf>
    <xf numFmtId="166" fontId="1" fillId="14" borderId="0" xfId="0" applyNumberFormat="1" applyFont="1" applyFill="1" applyAlignment="1">
      <alignment horizontal="right" vertical="center"/>
    </xf>
    <xf numFmtId="0" fontId="1" fillId="0" borderId="0" xfId="0" applyFont="1" applyAlignment="1">
      <alignment horizontal="right"/>
    </xf>
    <xf numFmtId="166" fontId="1" fillId="14" borderId="0" xfId="0" applyNumberFormat="1" applyFont="1" applyFill="1" applyAlignment="1">
      <alignment horizontal="right"/>
    </xf>
    <xf numFmtId="0" fontId="0" fillId="0" borderId="0" xfId="0" applyAlignment="1">
      <alignment horizontal="right"/>
    </xf>
    <xf numFmtId="9" fontId="41" fillId="0" borderId="27" xfId="0" applyNumberFormat="1" applyFont="1" applyBorder="1" applyAlignment="1">
      <alignment horizontal="right"/>
    </xf>
    <xf numFmtId="0" fontId="41" fillId="0" borderId="4" xfId="0" applyFont="1" applyBorder="1" applyAlignment="1">
      <alignment horizontal="right"/>
    </xf>
    <xf numFmtId="1" fontId="41" fillId="0" borderId="28" xfId="0" applyNumberFormat="1" applyFont="1" applyBorder="1" applyAlignment="1">
      <alignment horizontal="right"/>
    </xf>
    <xf numFmtId="0" fontId="41" fillId="0" borderId="29" xfId="0" applyFont="1" applyBorder="1" applyAlignment="1">
      <alignment horizontal="right"/>
    </xf>
    <xf numFmtId="0" fontId="41" fillId="0" borderId="30" xfId="0" applyFont="1" applyBorder="1" applyAlignment="1">
      <alignment horizontal="right"/>
    </xf>
    <xf numFmtId="1" fontId="41" fillId="0" borderId="31" xfId="0" applyNumberFormat="1" applyFont="1" applyBorder="1" applyAlignment="1">
      <alignment horizontal="right"/>
    </xf>
    <xf numFmtId="1" fontId="0" fillId="0" borderId="0" xfId="0" applyNumberFormat="1"/>
    <xf numFmtId="0" fontId="22" fillId="14" borderId="4" xfId="0" applyFont="1" applyFill="1" applyBorder="1" applyAlignment="1" applyProtection="1">
      <alignment vertical="center"/>
      <protection locked="0"/>
    </xf>
    <xf numFmtId="0" fontId="46" fillId="16" borderId="4" xfId="0" applyFont="1" applyFill="1" applyBorder="1" applyAlignment="1" applyProtection="1">
      <alignment horizontal="left"/>
      <protection locked="0"/>
    </xf>
    <xf numFmtId="0" fontId="46" fillId="16" borderId="2" xfId="1" applyNumberFormat="1" applyFont="1" applyFill="1" applyBorder="1" applyAlignment="1" applyProtection="1">
      <alignment horizontal="center"/>
      <protection locked="0"/>
    </xf>
    <xf numFmtId="164" fontId="46" fillId="16" borderId="2" xfId="1" applyFont="1" applyFill="1" applyBorder="1" applyAlignment="1" applyProtection="1">
      <alignment horizontal="center"/>
      <protection locked="0"/>
    </xf>
    <xf numFmtId="0" fontId="46" fillId="16" borderId="5" xfId="0" applyFont="1" applyFill="1" applyBorder="1" applyAlignment="1" applyProtection="1">
      <alignment horizontal="left"/>
      <protection locked="0"/>
    </xf>
    <xf numFmtId="0" fontId="46" fillId="16" borderId="14" xfId="0" applyFont="1" applyFill="1" applyBorder="1" applyAlignment="1" applyProtection="1">
      <alignment horizontal="center"/>
      <protection locked="0"/>
    </xf>
    <xf numFmtId="164" fontId="46" fillId="16" borderId="14" xfId="1" applyFont="1" applyFill="1" applyBorder="1" applyAlignment="1" applyProtection="1">
      <alignment horizontal="center"/>
      <protection locked="0"/>
    </xf>
    <xf numFmtId="164" fontId="2" fillId="10" borderId="4" xfId="1" quotePrefix="1" applyFont="1" applyFill="1" applyBorder="1" applyAlignment="1" applyProtection="1">
      <alignment horizontal="center"/>
      <protection locked="0"/>
    </xf>
    <xf numFmtId="0" fontId="1" fillId="0" borderId="4" xfId="0" applyFont="1" applyBorder="1" applyAlignment="1">
      <alignment vertical="center"/>
    </xf>
    <xf numFmtId="0" fontId="1" fillId="10" borderId="4" xfId="0" applyFont="1" applyFill="1" applyBorder="1" applyAlignment="1" applyProtection="1">
      <alignment vertical="center"/>
      <protection locked="0"/>
    </xf>
    <xf numFmtId="164" fontId="2" fillId="0" borderId="0" xfId="1" applyFont="1" applyAlignment="1" applyProtection="1">
      <alignment horizontal="center" vertical="center"/>
    </xf>
    <xf numFmtId="164" fontId="2" fillId="0" borderId="0" xfId="1" applyFont="1" applyAlignment="1" applyProtection="1">
      <alignment horizontal="left" vertical="center"/>
    </xf>
    <xf numFmtId="0" fontId="2" fillId="0" borderId="0" xfId="1" applyNumberFormat="1" applyFont="1" applyAlignment="1" applyProtection="1">
      <alignment horizontal="center" vertical="center"/>
    </xf>
    <xf numFmtId="9" fontId="13" fillId="2" borderId="4" xfId="0" applyNumberFormat="1" applyFont="1" applyFill="1" applyBorder="1" applyAlignment="1">
      <alignment horizontal="left" vertical="center"/>
    </xf>
    <xf numFmtId="9" fontId="13" fillId="2" borderId="2" xfId="0" applyNumberFormat="1" applyFont="1" applyFill="1" applyBorder="1" applyAlignment="1">
      <alignment horizontal="center" vertical="center"/>
    </xf>
    <xf numFmtId="164" fontId="2" fillId="0" borderId="4" xfId="1" applyFont="1" applyBorder="1" applyAlignment="1" applyProtection="1">
      <alignment horizontal="center" vertical="center"/>
    </xf>
    <xf numFmtId="0" fontId="2" fillId="0" borderId="4" xfId="1" applyNumberFormat="1" applyFont="1" applyBorder="1" applyAlignment="1" applyProtection="1">
      <alignment horizontal="center" vertical="center"/>
    </xf>
    <xf numFmtId="0" fontId="2" fillId="5" borderId="4" xfId="0" applyFont="1" applyFill="1" applyBorder="1" applyAlignment="1">
      <alignment vertical="center"/>
    </xf>
    <xf numFmtId="164" fontId="1" fillId="10" borderId="4" xfId="1" applyFont="1" applyFill="1" applyBorder="1" applyAlignment="1" applyProtection="1">
      <alignment horizontal="center" vertical="center"/>
      <protection locked="0"/>
    </xf>
    <xf numFmtId="0" fontId="13" fillId="0" borderId="24" xfId="0" applyFont="1" applyBorder="1" applyAlignment="1">
      <alignment horizontal="right"/>
    </xf>
    <xf numFmtId="0" fontId="13" fillId="0" borderId="25" xfId="0" applyFont="1" applyBorder="1" applyAlignment="1">
      <alignment horizontal="right"/>
    </xf>
    <xf numFmtId="0" fontId="13" fillId="0" borderId="26" xfId="0" applyFont="1" applyBorder="1" applyAlignment="1">
      <alignment horizontal="right"/>
    </xf>
    <xf numFmtId="9" fontId="13" fillId="0" borderId="27" xfId="0" applyNumberFormat="1" applyFont="1" applyBorder="1" applyAlignment="1">
      <alignment horizontal="right"/>
    </xf>
    <xf numFmtId="0" fontId="13" fillId="0" borderId="4" xfId="0" applyFont="1" applyBorder="1" applyAlignment="1">
      <alignment horizontal="right"/>
    </xf>
    <xf numFmtId="1" fontId="13" fillId="0" borderId="28" xfId="0" applyNumberFormat="1" applyFont="1" applyBorder="1" applyAlignment="1">
      <alignment horizontal="right"/>
    </xf>
    <xf numFmtId="9" fontId="13" fillId="0" borderId="29" xfId="0" applyNumberFormat="1" applyFont="1" applyBorder="1" applyAlignment="1">
      <alignment horizontal="right"/>
    </xf>
    <xf numFmtId="0" fontId="13" fillId="0" borderId="30" xfId="0" applyFont="1" applyBorder="1" applyAlignment="1">
      <alignment horizontal="right"/>
    </xf>
    <xf numFmtId="0" fontId="13" fillId="0" borderId="31" xfId="0" applyFont="1" applyBorder="1" applyAlignment="1">
      <alignment horizontal="right"/>
    </xf>
    <xf numFmtId="0" fontId="13" fillId="0" borderId="29" xfId="0" applyFont="1" applyBorder="1" applyAlignment="1">
      <alignment horizontal="right"/>
    </xf>
    <xf numFmtId="1" fontId="13" fillId="0" borderId="31" xfId="0" applyNumberFormat="1" applyFont="1" applyBorder="1" applyAlignment="1">
      <alignment horizontal="right"/>
    </xf>
    <xf numFmtId="0" fontId="39" fillId="0" borderId="0" xfId="5" applyNumberFormat="1" applyFont="1" applyFill="1" applyBorder="1" applyAlignment="1"/>
    <xf numFmtId="0" fontId="39" fillId="2" borderId="0" xfId="5" applyNumberFormat="1" applyFont="1" applyFill="1" applyBorder="1" applyAlignment="1"/>
    <xf numFmtId="0" fontId="39" fillId="2" borderId="20" xfId="5" applyNumberFormat="1" applyFont="1" applyFill="1" applyBorder="1" applyAlignment="1"/>
    <xf numFmtId="0" fontId="39" fillId="2" borderId="21" xfId="5" applyNumberFormat="1" applyFont="1" applyFill="1" applyBorder="1" applyAlignment="1"/>
    <xf numFmtId="0" fontId="39" fillId="0" borderId="22" xfId="5" applyNumberFormat="1" applyFont="1" applyFill="1" applyBorder="1" applyAlignment="1"/>
    <xf numFmtId="0" fontId="30" fillId="0" borderId="7" xfId="0" applyFont="1" applyBorder="1" applyAlignment="1">
      <alignment horizontal="center" vertical="center" wrapText="1"/>
    </xf>
    <xf numFmtId="0" fontId="30" fillId="0" borderId="2" xfId="0" applyFont="1" applyBorder="1" applyAlignment="1">
      <alignment horizontal="center" vertical="center" wrapText="1"/>
    </xf>
    <xf numFmtId="0" fontId="29" fillId="0" borderId="7" xfId="0" applyFont="1" applyBorder="1" applyAlignment="1">
      <alignment horizontal="center" vertical="center" wrapText="1"/>
    </xf>
    <xf numFmtId="0" fontId="29" fillId="0" borderId="2" xfId="0" applyFont="1" applyBorder="1" applyAlignment="1">
      <alignment horizontal="center" vertical="center" wrapText="1"/>
    </xf>
    <xf numFmtId="0" fontId="37" fillId="0" borderId="12" xfId="0" applyFont="1" applyBorder="1" applyAlignment="1">
      <alignment horizontal="left" vertical="center" wrapText="1"/>
    </xf>
    <xf numFmtId="0" fontId="25" fillId="6" borderId="4" xfId="0" applyFont="1" applyFill="1" applyBorder="1" applyAlignment="1">
      <alignment horizontal="center" vertical="center" wrapText="1"/>
    </xf>
    <xf numFmtId="0" fontId="25" fillId="7" borderId="4" xfId="0" applyFont="1" applyFill="1" applyBorder="1" applyAlignment="1">
      <alignment horizontal="center" vertical="center" wrapText="1"/>
    </xf>
    <xf numFmtId="0" fontId="27" fillId="8" borderId="8" xfId="0" applyFont="1" applyFill="1" applyBorder="1" applyAlignment="1">
      <alignment horizontal="center" vertical="center" wrapText="1"/>
    </xf>
    <xf numFmtId="0" fontId="26" fillId="8" borderId="3" xfId="0" applyFont="1" applyFill="1" applyBorder="1" applyAlignment="1">
      <alignment horizontal="center" vertical="center" wrapText="1"/>
    </xf>
    <xf numFmtId="0" fontId="26" fillId="8" borderId="5" xfId="0" applyFont="1" applyFill="1" applyBorder="1" applyAlignment="1">
      <alignment horizontal="center" vertical="center" wrapText="1"/>
    </xf>
    <xf numFmtId="0" fontId="24" fillId="9" borderId="4" xfId="0" applyFont="1" applyFill="1" applyBorder="1" applyAlignment="1">
      <alignment horizontal="center" vertical="center" wrapText="1"/>
    </xf>
    <xf numFmtId="0" fontId="24" fillId="0" borderId="4" xfId="0" applyFont="1" applyBorder="1" applyAlignment="1">
      <alignment horizontal="center" vertical="center" wrapText="1"/>
    </xf>
    <xf numFmtId="0" fontId="28" fillId="6" borderId="9" xfId="0" applyFont="1" applyFill="1" applyBorder="1" applyAlignment="1">
      <alignment horizontal="center" vertical="center" wrapText="1"/>
    </xf>
    <xf numFmtId="0" fontId="28" fillId="6" borderId="10" xfId="0" applyFont="1" applyFill="1" applyBorder="1" applyAlignment="1">
      <alignment horizontal="center" vertical="center" wrapText="1"/>
    </xf>
    <xf numFmtId="0" fontId="28" fillId="6" borderId="11" xfId="0" applyFont="1" applyFill="1" applyBorder="1" applyAlignment="1">
      <alignment horizontal="center" vertical="center" wrapText="1"/>
    </xf>
    <xf numFmtId="0" fontId="28" fillId="6" borderId="12" xfId="0" applyFont="1" applyFill="1" applyBorder="1" applyAlignment="1">
      <alignment horizontal="center" vertical="center" wrapText="1"/>
    </xf>
    <xf numFmtId="0" fontId="28" fillId="6" borderId="13" xfId="0" applyFont="1" applyFill="1" applyBorder="1" applyAlignment="1">
      <alignment horizontal="center" vertical="center" wrapText="1"/>
    </xf>
    <xf numFmtId="0" fontId="28" fillId="6" borderId="14" xfId="0" applyFont="1" applyFill="1" applyBorder="1" applyAlignment="1">
      <alignment horizontal="center" vertical="center" wrapText="1"/>
    </xf>
    <xf numFmtId="0" fontId="28" fillId="7" borderId="9" xfId="0" applyFont="1" applyFill="1" applyBorder="1" applyAlignment="1">
      <alignment horizontal="center" vertical="center" wrapText="1"/>
    </xf>
    <xf numFmtId="0" fontId="28" fillId="7" borderId="10" xfId="0" applyFont="1" applyFill="1" applyBorder="1" applyAlignment="1">
      <alignment horizontal="center" vertical="center" wrapText="1"/>
    </xf>
    <xf numFmtId="0" fontId="28" fillId="7" borderId="11" xfId="0" applyFont="1" applyFill="1" applyBorder="1" applyAlignment="1">
      <alignment horizontal="center" vertical="center" wrapText="1"/>
    </xf>
    <xf numFmtId="0" fontId="28" fillId="7" borderId="12" xfId="0" applyFont="1" applyFill="1" applyBorder="1" applyAlignment="1">
      <alignment horizontal="center" vertical="center" wrapText="1"/>
    </xf>
    <xf numFmtId="0" fontId="28" fillId="7" borderId="13" xfId="0" applyFont="1" applyFill="1" applyBorder="1" applyAlignment="1">
      <alignment horizontal="center" vertical="center" wrapText="1"/>
    </xf>
    <xf numFmtId="0" fontId="28" fillId="7" borderId="14" xfId="0" applyFont="1" applyFill="1" applyBorder="1" applyAlignment="1">
      <alignment horizontal="center" vertical="center" wrapText="1"/>
    </xf>
    <xf numFmtId="0" fontId="29" fillId="8" borderId="8" xfId="0" applyFont="1" applyFill="1" applyBorder="1" applyAlignment="1">
      <alignment horizontal="center" vertical="center" wrapText="1"/>
    </xf>
    <xf numFmtId="0" fontId="29" fillId="8" borderId="3" xfId="0" applyFont="1" applyFill="1" applyBorder="1" applyAlignment="1">
      <alignment horizontal="center" vertical="center" wrapText="1"/>
    </xf>
    <xf numFmtId="0" fontId="29" fillId="8" borderId="5" xfId="0" applyFont="1" applyFill="1" applyBorder="1" applyAlignment="1">
      <alignment horizontal="center" vertical="center" wrapText="1"/>
    </xf>
    <xf numFmtId="0" fontId="44" fillId="0" borderId="27" xfId="5" applyFont="1" applyBorder="1" applyAlignment="1">
      <alignment horizontal="center" vertical="top" wrapText="1"/>
    </xf>
    <xf numFmtId="0" fontId="44" fillId="0" borderId="4" xfId="5" applyFont="1" applyBorder="1" applyAlignment="1">
      <alignment horizontal="center" vertical="top" wrapText="1"/>
    </xf>
    <xf numFmtId="0" fontId="44" fillId="0" borderId="28" xfId="5" applyFont="1" applyBorder="1" applyAlignment="1">
      <alignment horizontal="center" vertical="top" wrapText="1"/>
    </xf>
    <xf numFmtId="0" fontId="44" fillId="0" borderId="29" xfId="5" applyFont="1" applyBorder="1" applyAlignment="1">
      <alignment horizontal="center" vertical="top" wrapText="1"/>
    </xf>
    <xf numFmtId="0" fontId="44" fillId="0" borderId="30" xfId="5" applyFont="1" applyBorder="1" applyAlignment="1">
      <alignment horizontal="center" vertical="top" wrapText="1"/>
    </xf>
    <xf numFmtId="0" fontId="44" fillId="0" borderId="31" xfId="5" applyFont="1" applyBorder="1" applyAlignment="1">
      <alignment horizontal="center" vertical="top" wrapText="1"/>
    </xf>
    <xf numFmtId="0" fontId="45" fillId="0" borderId="24" xfId="5" applyFont="1" applyBorder="1" applyAlignment="1">
      <alignment horizontal="center" vertical="center" wrapText="1"/>
    </xf>
    <xf numFmtId="0" fontId="45" fillId="0" borderId="25" xfId="5" applyFont="1" applyBorder="1" applyAlignment="1">
      <alignment horizontal="center" vertical="center" wrapText="1"/>
    </xf>
    <xf numFmtId="0" fontId="45" fillId="0" borderId="26" xfId="5" applyFont="1" applyBorder="1" applyAlignment="1">
      <alignment horizontal="center" vertical="center" wrapText="1"/>
    </xf>
    <xf numFmtId="0" fontId="45" fillId="0" borderId="0" xfId="5" applyNumberFormat="1" applyFont="1" applyFill="1" applyBorder="1" applyAlignment="1">
      <alignment horizontal="left" vertical="top" wrapText="1"/>
    </xf>
    <xf numFmtId="0" fontId="39" fillId="0" borderId="0" xfId="5" applyNumberFormat="1" applyFont="1" applyFill="1" applyBorder="1" applyAlignment="1"/>
    <xf numFmtId="0" fontId="39" fillId="0" borderId="19" xfId="5" applyNumberFormat="1" applyFont="1" applyFill="1" applyBorder="1" applyAlignment="1"/>
    <xf numFmtId="0" fontId="42" fillId="13" borderId="15" xfId="5" applyNumberFormat="1" applyFont="1" applyFill="1" applyBorder="1" applyAlignment="1">
      <alignment horizontal="center" vertical="center" wrapText="1"/>
    </xf>
    <xf numFmtId="0" fontId="39" fillId="0" borderId="16" xfId="5" applyNumberFormat="1" applyFont="1" applyFill="1" applyBorder="1" applyAlignment="1"/>
    <xf numFmtId="0" fontId="39" fillId="0" borderId="17" xfId="5" applyNumberFormat="1" applyFont="1" applyFill="1" applyBorder="1" applyAlignment="1"/>
    <xf numFmtId="164" fontId="47" fillId="17" borderId="4" xfId="1" applyFont="1" applyFill="1" applyBorder="1" applyAlignment="1" applyProtection="1">
      <alignment horizontal="center"/>
      <protection locked="0"/>
    </xf>
    <xf numFmtId="164" fontId="47" fillId="17" borderId="5" xfId="1" applyFont="1" applyFill="1" applyBorder="1" applyAlignment="1" applyProtection="1">
      <alignment horizontal="center"/>
      <protection locked="0"/>
    </xf>
  </cellXfs>
  <cellStyles count="6">
    <cellStyle name="Comma" xfId="1" builtinId="3"/>
    <cellStyle name="Normal" xfId="0" builtinId="0"/>
    <cellStyle name="Normal 2" xfId="2" xr:uid="{D716364D-3561-46B4-9043-30EC62F8C9B5}"/>
    <cellStyle name="Normal 3" xfId="4" xr:uid="{9A90CB23-39E2-482A-801C-752F4FB8735F}"/>
    <cellStyle name="Normal 4" xfId="5" xr:uid="{B6F9A6B7-C0ED-456C-90A2-D59B58DCE307}"/>
    <cellStyle name="Percent" xfId="3" builtinId="5"/>
  </cellStyles>
  <dxfs count="4">
    <dxf>
      <numFmt numFmtId="0" formatCode="General"/>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11907</xdr:colOff>
      <xdr:row>29</xdr:row>
      <xdr:rowOff>119063</xdr:rowOff>
    </xdr:from>
    <xdr:to>
      <xdr:col>15</xdr:col>
      <xdr:colOff>494546</xdr:colOff>
      <xdr:row>40</xdr:row>
      <xdr:rowOff>154781</xdr:rowOff>
    </xdr:to>
    <xdr:pic>
      <xdr:nvPicPr>
        <xdr:cNvPr id="4" name="Picture 3">
          <a:extLst>
            <a:ext uri="{FF2B5EF4-FFF2-40B4-BE49-F238E27FC236}">
              <a16:creationId xmlns:a16="http://schemas.microsoft.com/office/drawing/2014/main" id="{621C5BCF-9D9E-E9E7-F8D9-846B176AA34E}"/>
            </a:ext>
          </a:extLst>
        </xdr:cNvPr>
        <xdr:cNvPicPr>
          <a:picLocks noChangeAspect="1"/>
        </xdr:cNvPicPr>
      </xdr:nvPicPr>
      <xdr:blipFill>
        <a:blip xmlns:r="http://schemas.openxmlformats.org/officeDocument/2006/relationships" r:embed="rId1"/>
        <a:stretch>
          <a:fillRect/>
        </a:stretch>
      </xdr:blipFill>
      <xdr:spPr>
        <a:xfrm>
          <a:off x="178595" y="4869657"/>
          <a:ext cx="21771014" cy="2000250"/>
        </a:xfrm>
        <a:prstGeom prst="rect">
          <a:avLst/>
        </a:prstGeom>
      </xdr:spPr>
    </xdr:pic>
    <xdr:clientData/>
  </xdr:twoCellAnchor>
  <xdr:twoCellAnchor editAs="oneCell">
    <xdr:from>
      <xdr:col>0</xdr:col>
      <xdr:colOff>107155</xdr:colOff>
      <xdr:row>78</xdr:row>
      <xdr:rowOff>47625</xdr:rowOff>
    </xdr:from>
    <xdr:to>
      <xdr:col>7</xdr:col>
      <xdr:colOff>149257</xdr:colOff>
      <xdr:row>94</xdr:row>
      <xdr:rowOff>142875</xdr:rowOff>
    </xdr:to>
    <xdr:pic>
      <xdr:nvPicPr>
        <xdr:cNvPr id="3" name="Picture 2">
          <a:extLst>
            <a:ext uri="{FF2B5EF4-FFF2-40B4-BE49-F238E27FC236}">
              <a16:creationId xmlns:a16="http://schemas.microsoft.com/office/drawing/2014/main" id="{AE82E530-5F53-876E-2214-42D87E56CC87}"/>
            </a:ext>
          </a:extLst>
        </xdr:cNvPr>
        <xdr:cNvPicPr>
          <a:picLocks noChangeAspect="1"/>
        </xdr:cNvPicPr>
      </xdr:nvPicPr>
      <xdr:blipFill>
        <a:blip xmlns:r="http://schemas.openxmlformats.org/officeDocument/2006/relationships" r:embed="rId2"/>
        <a:stretch>
          <a:fillRect/>
        </a:stretch>
      </xdr:blipFill>
      <xdr:spPr>
        <a:xfrm>
          <a:off x="107155" y="13632656"/>
          <a:ext cx="15972665" cy="29527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ites/NCIS/Shared%20Documents/General/RFP/RFP%20full%20catering%20suppliers/Meals/RFP%20COST%20SHEET%20MA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First"/>
      <sheetName val="LH BCL 1st"/>
      <sheetName val="LH BCL 2nd W"/>
      <sheetName val="LH BCL 2nd E"/>
      <sheetName val="LH Plus 1st"/>
      <sheetName val="LH Plus 2nd W"/>
      <sheetName val="LH Plus 2nd E"/>
      <sheetName val="LH GO 1st"/>
      <sheetName val="LH GO 2nd W"/>
      <sheetName val="LH GO 2nd E"/>
      <sheetName val="SH Plus CB"/>
      <sheetName val="SH Plus PL"/>
      <sheetName val="SH Plus CM"/>
      <sheetName val="SH GO PZ"/>
      <sheetName val="SH GO SW"/>
      <sheetName val="SH GO SA"/>
      <sheetName val="CH PLUS CB"/>
      <sheetName val="CH PLUS HB"/>
      <sheetName val="CH PLUS CM"/>
      <sheetName val="CH PLUS HM"/>
      <sheetName val="CH GO CB"/>
      <sheetName val="CH GO HB"/>
      <sheetName val="CH GO CM"/>
      <sheetName val="CH GO HM"/>
      <sheetName val="CR"/>
      <sheetName val="Transport - Last Mile"/>
      <sheetName val="Bonded and kit packing"/>
      <sheetName val="Transparency"/>
      <sheetName val="Budget"/>
      <sheetName val="Other costs"/>
      <sheetName val="Alternative"/>
      <sheetName val="MH MC 1st (JPNZ)"/>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Set>
  </externalBook>
</externalLink>
</file>

<file path=xl/theme/theme1.xml><?xml version="1.0" encoding="utf-8"?>
<a:theme xmlns:a="http://schemas.openxmlformats.org/drawingml/2006/main" name="SAS">
  <a:themeElements>
    <a:clrScheme name="SAS">
      <a:dk1>
        <a:sysClr val="windowText" lastClr="000000"/>
      </a:dk1>
      <a:lt1>
        <a:srgbClr val="FFFFFF"/>
      </a:lt1>
      <a:dk2>
        <a:srgbClr val="A7A299"/>
      </a:dk2>
      <a:lt2>
        <a:srgbClr val="D5D4D1"/>
      </a:lt2>
      <a:accent1>
        <a:srgbClr val="0099FF"/>
      </a:accent1>
      <a:accent2>
        <a:srgbClr val="000099"/>
      </a:accent2>
      <a:accent3>
        <a:srgbClr val="0033CC"/>
      </a:accent3>
      <a:accent4>
        <a:srgbClr val="000066"/>
      </a:accent4>
      <a:accent5>
        <a:srgbClr val="CAA977"/>
      </a:accent5>
      <a:accent6>
        <a:srgbClr val="BFBCB5"/>
      </a:accent6>
      <a:hlink>
        <a:srgbClr val="000066"/>
      </a:hlink>
      <a:folHlink>
        <a:srgbClr val="CAA977"/>
      </a:folHlink>
    </a:clrScheme>
    <a:fontScheme name="SA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BFBCB5"/>
        </a:solidFill>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lnDef>
      <a:spPr>
        <a:ln w="19050">
          <a:solidFill>
            <a:srgbClr val="A7A299"/>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rtlCol="0">
        <a:spAutoFit/>
      </a:bodyPr>
      <a:lstStyle>
        <a:defPPr>
          <a:defRPr sz="1600" dirty="0">
            <a:solidFill>
              <a:srgbClr val="000066"/>
            </a:solidFill>
          </a:defRPr>
        </a:defPPr>
      </a:lstStyle>
    </a:txDef>
  </a:objectDefaults>
  <a:extraClrSchemeLst/>
  <a:extLst>
    <a:ext uri="{05A4C25C-085E-4340-85A3-A5531E510DB2}">
      <thm15:themeFamily xmlns:thm15="http://schemas.microsoft.com/office/thememl/2012/main" name="SAS" id="{E5B7DF51-143B-4F20-9669-CFD9BA232B96}" vid="{9616A65F-E5C6-4E33-94CB-A9997BBA7E91}"/>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FBB31-1B9C-49A4-B249-79A11537CE6F}">
  <dimension ref="A1:W192"/>
  <sheetViews>
    <sheetView showGridLines="0" zoomScale="80" zoomScaleNormal="80" workbookViewId="0">
      <selection activeCell="I74" sqref="I74:I169"/>
    </sheetView>
  </sheetViews>
  <sheetFormatPr defaultColWidth="7.75" defaultRowHeight="13.15"/>
  <cols>
    <col min="1" max="1" width="23.75" style="1" bestFit="1" customWidth="1"/>
    <col min="2" max="2" width="39.375" style="1" bestFit="1" customWidth="1"/>
    <col min="3" max="3" width="8.5" style="2" customWidth="1"/>
    <col min="4" max="4" width="4.25" style="2" customWidth="1"/>
    <col min="5" max="5" width="16.375" style="2" customWidth="1"/>
    <col min="6" max="6" width="8.625" style="2" customWidth="1"/>
    <col min="7" max="7" width="8.875" style="2" customWidth="1"/>
    <col min="8" max="8" width="11.375" style="2" customWidth="1"/>
    <col min="9" max="9" width="8.75" style="2" customWidth="1"/>
    <col min="10" max="10" width="15.25" style="1" customWidth="1"/>
    <col min="11" max="11" width="13.875" style="1" customWidth="1"/>
    <col min="12" max="16384" width="7.75" style="1"/>
  </cols>
  <sheetData>
    <row r="1" spans="1:23">
      <c r="A1" s="1" t="s">
        <v>0</v>
      </c>
      <c r="B1" s="1" t="s">
        <v>1</v>
      </c>
    </row>
    <row r="2" spans="1:23" ht="22.7" customHeight="1">
      <c r="A2" s="3" t="s">
        <v>2</v>
      </c>
      <c r="B2" s="4"/>
      <c r="C2" s="4"/>
      <c r="D2" s="4"/>
      <c r="E2" s="4"/>
      <c r="F2" s="4"/>
      <c r="G2" s="4"/>
      <c r="H2" s="4"/>
      <c r="I2" s="4"/>
      <c r="J2" s="4"/>
      <c r="K2" s="5"/>
    </row>
    <row r="3" spans="1:23" s="22" customFormat="1" ht="44.25" customHeight="1">
      <c r="A3" s="6" t="s">
        <v>3</v>
      </c>
      <c r="B3" s="6" t="s">
        <v>4</v>
      </c>
      <c r="C3" s="6" t="s">
        <v>5</v>
      </c>
      <c r="D3" s="6" t="s">
        <v>6</v>
      </c>
      <c r="E3" s="6" t="s">
        <v>7</v>
      </c>
      <c r="F3" s="6" t="s">
        <v>8</v>
      </c>
      <c r="G3" s="6" t="s">
        <v>9</v>
      </c>
      <c r="H3" s="6" t="s">
        <v>10</v>
      </c>
      <c r="I3" s="20" t="s">
        <v>11</v>
      </c>
      <c r="J3" s="20" t="s">
        <v>12</v>
      </c>
      <c r="K3" s="21" t="s">
        <v>13</v>
      </c>
    </row>
    <row r="4" spans="1:23" ht="13.15" customHeight="1">
      <c r="A4" s="9" t="s">
        <v>14</v>
      </c>
      <c r="B4" s="9" t="s">
        <v>15</v>
      </c>
      <c r="C4" s="10"/>
      <c r="D4" s="10"/>
      <c r="E4" s="10"/>
      <c r="F4" s="7">
        <f>SUM(F5:F13)</f>
        <v>0</v>
      </c>
      <c r="G4" s="7">
        <f>SUM(G5:G13)</f>
        <v>0</v>
      </c>
      <c r="H4" s="8">
        <f>SUM(F4:G4)</f>
        <v>0</v>
      </c>
      <c r="I4" s="11" t="s">
        <v>16</v>
      </c>
      <c r="J4" s="11" t="s">
        <v>17</v>
      </c>
      <c r="K4" s="12"/>
    </row>
    <row r="5" spans="1:23" ht="13.15" customHeight="1">
      <c r="A5" s="9" t="s">
        <v>18</v>
      </c>
      <c r="B5" s="9" t="s">
        <v>19</v>
      </c>
      <c r="C5" s="10"/>
      <c r="D5" s="10"/>
      <c r="E5" s="10"/>
      <c r="F5" s="10"/>
      <c r="G5" s="10"/>
      <c r="H5" s="10"/>
      <c r="I5" s="11" t="s">
        <v>16</v>
      </c>
      <c r="J5" s="11" t="s">
        <v>20</v>
      </c>
      <c r="K5" s="12"/>
    </row>
    <row r="6" spans="1:23" ht="13.15" customHeight="1">
      <c r="A6" s="9" t="s">
        <v>21</v>
      </c>
      <c r="B6" s="9" t="s">
        <v>22</v>
      </c>
      <c r="C6" s="10"/>
      <c r="D6" s="10"/>
      <c r="E6" s="10"/>
      <c r="F6" s="10"/>
      <c r="G6" s="10"/>
      <c r="H6" s="10"/>
      <c r="I6" s="11" t="s">
        <v>16</v>
      </c>
      <c r="J6" s="11" t="s">
        <v>20</v>
      </c>
      <c r="K6" s="12"/>
    </row>
    <row r="7" spans="1:23" ht="13.15" customHeight="1">
      <c r="A7" s="9" t="s">
        <v>23</v>
      </c>
      <c r="B7" s="9" t="s">
        <v>24</v>
      </c>
      <c r="C7" s="10"/>
      <c r="D7" s="10"/>
      <c r="E7" s="10"/>
      <c r="F7" s="10"/>
      <c r="G7" s="10"/>
      <c r="H7" s="10"/>
      <c r="I7" s="11" t="s">
        <v>16</v>
      </c>
      <c r="J7" s="11" t="s">
        <v>20</v>
      </c>
      <c r="K7" s="12"/>
    </row>
    <row r="8" spans="1:23" ht="13.15" customHeight="1">
      <c r="A8" s="9" t="s">
        <v>25</v>
      </c>
      <c r="B8" s="9" t="s">
        <v>26</v>
      </c>
      <c r="C8" s="10"/>
      <c r="D8" s="10"/>
      <c r="E8" s="10"/>
      <c r="F8" s="10"/>
      <c r="G8" s="10"/>
      <c r="H8" s="10"/>
      <c r="I8" s="11" t="s">
        <v>16</v>
      </c>
      <c r="J8" s="11" t="s">
        <v>27</v>
      </c>
      <c r="K8" s="12"/>
    </row>
    <row r="9" spans="1:23" ht="13.15" customHeight="1">
      <c r="A9" s="9" t="s">
        <v>28</v>
      </c>
      <c r="B9" s="9" t="s">
        <v>29</v>
      </c>
      <c r="C9" s="10"/>
      <c r="D9" s="10"/>
      <c r="E9" s="10"/>
      <c r="F9" s="10"/>
      <c r="G9" s="10"/>
      <c r="H9" s="10"/>
      <c r="I9" s="11" t="s">
        <v>16</v>
      </c>
      <c r="J9" s="11">
        <v>1</v>
      </c>
      <c r="K9" s="12"/>
    </row>
    <row r="10" spans="1:23" ht="13.15" customHeight="1">
      <c r="A10" s="9" t="s">
        <v>30</v>
      </c>
      <c r="B10" s="9" t="s">
        <v>31</v>
      </c>
      <c r="C10" s="10"/>
      <c r="D10" s="10"/>
      <c r="E10" s="10"/>
      <c r="F10" s="10"/>
      <c r="G10" s="10"/>
      <c r="H10" s="10"/>
      <c r="I10" s="11" t="s">
        <v>16</v>
      </c>
      <c r="J10" s="11" t="s">
        <v>32</v>
      </c>
      <c r="K10" s="12"/>
    </row>
    <row r="11" spans="1:23" ht="13.15" customHeight="1">
      <c r="A11" s="9" t="s">
        <v>33</v>
      </c>
      <c r="B11" s="9" t="s">
        <v>34</v>
      </c>
      <c r="C11" s="10"/>
      <c r="D11" s="10"/>
      <c r="E11" s="10"/>
      <c r="F11" s="10"/>
      <c r="G11" s="10"/>
      <c r="H11" s="10"/>
      <c r="I11" s="11" t="s">
        <v>16</v>
      </c>
      <c r="J11" s="11" t="s">
        <v>35</v>
      </c>
      <c r="K11" s="12"/>
    </row>
    <row r="12" spans="1:23" ht="13.15" customHeight="1">
      <c r="A12" s="9" t="s">
        <v>36</v>
      </c>
      <c r="B12" s="9" t="s">
        <v>37</v>
      </c>
      <c r="C12" s="10"/>
      <c r="D12" s="10"/>
      <c r="E12" s="10"/>
      <c r="F12" s="10"/>
      <c r="G12" s="10"/>
      <c r="H12" s="10"/>
      <c r="I12" s="11" t="s">
        <v>16</v>
      </c>
      <c r="J12" s="11" t="s">
        <v>27</v>
      </c>
      <c r="K12" s="12"/>
      <c r="M12" s="7">
        <f>SUM(M13:M21)</f>
        <v>0</v>
      </c>
      <c r="N12" s="7">
        <f>SUM(N13:N21)</f>
        <v>0</v>
      </c>
    </row>
    <row r="13" spans="1:23" ht="13.15" customHeight="1">
      <c r="A13" s="9" t="s">
        <v>38</v>
      </c>
      <c r="B13" s="9" t="s">
        <v>39</v>
      </c>
      <c r="C13" s="10"/>
      <c r="D13" s="10"/>
      <c r="E13" s="10"/>
      <c r="F13" s="10"/>
      <c r="G13" s="10"/>
      <c r="H13" s="10"/>
      <c r="I13" s="11" t="s">
        <v>16</v>
      </c>
      <c r="J13" s="11" t="s">
        <v>40</v>
      </c>
      <c r="K13" s="12"/>
      <c r="M13" s="3"/>
      <c r="N13" s="3"/>
      <c r="O13" s="18"/>
      <c r="P13" s="19"/>
      <c r="Q13" s="19"/>
      <c r="R13" s="19"/>
      <c r="S13" s="19"/>
      <c r="T13" s="19"/>
      <c r="U13" s="19"/>
      <c r="V13" s="19"/>
      <c r="W13" s="19"/>
    </row>
    <row r="14" spans="1:23" ht="13.15" customHeight="1">
      <c r="A14" s="9" t="s">
        <v>41</v>
      </c>
      <c r="B14" s="9" t="s">
        <v>42</v>
      </c>
      <c r="C14" s="10"/>
      <c r="D14" s="10"/>
      <c r="E14" s="10"/>
      <c r="F14" s="10"/>
      <c r="G14" s="10"/>
      <c r="H14" s="10"/>
      <c r="I14" s="11" t="s">
        <v>16</v>
      </c>
      <c r="J14" s="11" t="s">
        <v>43</v>
      </c>
      <c r="K14" s="12"/>
      <c r="M14" s="3"/>
      <c r="N14" s="3"/>
      <c r="O14" s="18"/>
      <c r="P14" s="19"/>
      <c r="Q14" s="19"/>
      <c r="R14" s="19"/>
      <c r="S14" s="19"/>
      <c r="T14" s="19"/>
      <c r="U14" s="19"/>
      <c r="V14" s="19"/>
      <c r="W14" s="19"/>
    </row>
    <row r="15" spans="1:23" ht="13.15" customHeight="1">
      <c r="A15" s="9" t="s">
        <v>44</v>
      </c>
      <c r="B15" s="9" t="s">
        <v>45</v>
      </c>
      <c r="C15" s="10"/>
      <c r="D15" s="10"/>
      <c r="E15" s="10"/>
      <c r="F15" s="10"/>
      <c r="G15" s="10"/>
      <c r="H15" s="10"/>
      <c r="I15" s="11" t="s">
        <v>16</v>
      </c>
      <c r="J15" s="11" t="s">
        <v>43</v>
      </c>
      <c r="K15" s="12"/>
      <c r="M15" s="3"/>
      <c r="N15" s="3"/>
      <c r="O15" s="18"/>
      <c r="P15" s="19"/>
      <c r="Q15" s="19"/>
      <c r="R15" s="19"/>
      <c r="S15" s="19"/>
      <c r="T15" s="19"/>
      <c r="U15" s="19"/>
      <c r="V15" s="19"/>
      <c r="W15" s="19"/>
    </row>
    <row r="16" spans="1:23" ht="13.15" customHeight="1">
      <c r="A16" s="9" t="s">
        <v>46</v>
      </c>
      <c r="B16" s="9" t="s">
        <v>47</v>
      </c>
      <c r="C16" s="10"/>
      <c r="D16" s="10"/>
      <c r="E16" s="10"/>
      <c r="F16" s="10"/>
      <c r="G16" s="10"/>
      <c r="H16" s="10"/>
      <c r="I16" s="11" t="s">
        <v>16</v>
      </c>
      <c r="J16" s="11" t="s">
        <v>48</v>
      </c>
      <c r="K16" s="12"/>
      <c r="M16" s="3"/>
      <c r="N16" s="3"/>
      <c r="O16" s="18"/>
      <c r="P16" s="19"/>
      <c r="Q16" s="19"/>
      <c r="R16" s="19"/>
      <c r="S16" s="19"/>
      <c r="T16" s="19"/>
      <c r="U16" s="19"/>
      <c r="V16" s="19"/>
      <c r="W16" s="19"/>
    </row>
    <row r="17" spans="1:23" ht="13.15" customHeight="1">
      <c r="A17" s="9" t="s">
        <v>49</v>
      </c>
      <c r="B17" s="9" t="s">
        <v>50</v>
      </c>
      <c r="C17" s="10"/>
      <c r="D17" s="10"/>
      <c r="E17" s="10"/>
      <c r="F17" s="10"/>
      <c r="G17" s="10"/>
      <c r="H17" s="10"/>
      <c r="I17" s="11" t="s">
        <v>16</v>
      </c>
      <c r="J17" s="11" t="s">
        <v>27</v>
      </c>
      <c r="K17" s="12"/>
      <c r="M17" s="3"/>
      <c r="N17" s="3"/>
      <c r="O17" s="18"/>
      <c r="P17" s="19"/>
      <c r="Q17" s="19"/>
      <c r="R17" s="19"/>
      <c r="S17" s="19"/>
      <c r="T17" s="19"/>
      <c r="U17" s="19"/>
      <c r="V17" s="19"/>
      <c r="W17" s="19"/>
    </row>
    <row r="18" spans="1:23" ht="13.15" customHeight="1">
      <c r="A18" s="9" t="s">
        <v>51</v>
      </c>
      <c r="B18" s="9" t="s">
        <v>52</v>
      </c>
      <c r="C18" s="10"/>
      <c r="D18" s="10"/>
      <c r="E18" s="10"/>
      <c r="F18" s="10"/>
      <c r="G18" s="10"/>
      <c r="H18" s="10"/>
      <c r="I18" s="11" t="s">
        <v>16</v>
      </c>
      <c r="J18" s="11" t="s">
        <v>20</v>
      </c>
      <c r="K18" s="12"/>
      <c r="M18" s="3"/>
      <c r="N18" s="3"/>
      <c r="O18" s="18"/>
      <c r="P18" s="19"/>
      <c r="Q18" s="19"/>
      <c r="R18" s="19"/>
      <c r="S18" s="19"/>
      <c r="T18" s="19"/>
      <c r="U18" s="19"/>
      <c r="V18" s="19"/>
      <c r="W18" s="19"/>
    </row>
    <row r="19" spans="1:23" ht="13.15" customHeight="1">
      <c r="A19" s="9" t="s">
        <v>53</v>
      </c>
      <c r="B19" s="9" t="s">
        <v>54</v>
      </c>
      <c r="C19" s="10"/>
      <c r="D19" s="10"/>
      <c r="E19" s="10"/>
      <c r="F19" s="10"/>
      <c r="G19" s="10"/>
      <c r="H19" s="10"/>
      <c r="I19" s="11" t="s">
        <v>16</v>
      </c>
      <c r="J19" s="11" t="s">
        <v>20</v>
      </c>
      <c r="K19" s="12"/>
      <c r="M19" s="3"/>
      <c r="N19" s="3"/>
      <c r="O19" s="18"/>
      <c r="P19" s="19"/>
      <c r="Q19" s="19"/>
      <c r="R19" s="19"/>
      <c r="S19" s="19"/>
      <c r="T19" s="19"/>
      <c r="U19" s="19"/>
      <c r="V19" s="19"/>
      <c r="W19" s="19"/>
    </row>
    <row r="20" spans="1:23" ht="13.15" customHeight="1">
      <c r="A20" s="9" t="s">
        <v>55</v>
      </c>
      <c r="B20" s="9" t="s">
        <v>56</v>
      </c>
      <c r="C20" s="10"/>
      <c r="D20" s="10"/>
      <c r="E20" s="10"/>
      <c r="F20" s="10"/>
      <c r="G20" s="10"/>
      <c r="H20" s="10"/>
      <c r="I20" s="11" t="s">
        <v>16</v>
      </c>
      <c r="J20" s="11" t="s">
        <v>27</v>
      </c>
      <c r="K20" s="12"/>
      <c r="M20" s="3"/>
      <c r="N20" s="3"/>
      <c r="O20" s="18"/>
      <c r="P20" s="19"/>
      <c r="Q20" s="19"/>
      <c r="R20" s="19"/>
      <c r="S20" s="19"/>
      <c r="T20" s="19"/>
      <c r="U20" s="19"/>
      <c r="V20" s="19"/>
      <c r="W20" s="19"/>
    </row>
    <row r="21" spans="1:23" ht="13.15" customHeight="1">
      <c r="A21" s="9" t="s">
        <v>57</v>
      </c>
      <c r="B21" s="9" t="s">
        <v>58</v>
      </c>
      <c r="C21" s="10"/>
      <c r="D21" s="10"/>
      <c r="E21" s="10"/>
      <c r="F21" s="10"/>
      <c r="G21" s="10"/>
      <c r="H21" s="10"/>
      <c r="I21" s="11" t="s">
        <v>16</v>
      </c>
      <c r="J21" s="11" t="s">
        <v>59</v>
      </c>
      <c r="K21" s="12"/>
      <c r="M21" s="3"/>
      <c r="N21" s="3"/>
      <c r="O21" s="18"/>
      <c r="P21" s="19"/>
      <c r="Q21" s="19"/>
      <c r="R21" s="19"/>
      <c r="S21" s="19"/>
      <c r="T21" s="19"/>
      <c r="U21" s="19"/>
      <c r="V21" s="19"/>
      <c r="W21" s="19"/>
    </row>
    <row r="22" spans="1:23" ht="13.15" customHeight="1">
      <c r="A22" s="9" t="s">
        <v>60</v>
      </c>
      <c r="B22" s="9" t="s">
        <v>61</v>
      </c>
      <c r="C22" s="10"/>
      <c r="D22" s="10"/>
      <c r="E22" s="10"/>
      <c r="F22" s="10"/>
      <c r="G22" s="10"/>
      <c r="H22" s="10"/>
      <c r="I22" s="11" t="s">
        <v>16</v>
      </c>
      <c r="J22" s="11" t="s">
        <v>20</v>
      </c>
      <c r="K22" s="12"/>
    </row>
    <row r="23" spans="1:23" ht="13.15" customHeight="1">
      <c r="A23" s="9" t="s">
        <v>62</v>
      </c>
      <c r="B23" s="9" t="s">
        <v>63</v>
      </c>
      <c r="C23" s="10"/>
      <c r="D23" s="10"/>
      <c r="E23" s="10"/>
      <c r="F23" s="10"/>
      <c r="G23" s="10"/>
      <c r="H23" s="10"/>
      <c r="I23" s="11" t="s">
        <v>16</v>
      </c>
      <c r="J23" s="11" t="s">
        <v>20</v>
      </c>
      <c r="K23" s="12"/>
    </row>
    <row r="24" spans="1:23" ht="13.15" customHeight="1">
      <c r="A24" s="9" t="s">
        <v>64</v>
      </c>
      <c r="B24" s="9" t="s">
        <v>65</v>
      </c>
      <c r="C24" s="10"/>
      <c r="D24" s="10"/>
      <c r="E24" s="10"/>
      <c r="F24" s="10"/>
      <c r="G24" s="10"/>
      <c r="H24" s="10"/>
      <c r="I24" s="11" t="s">
        <v>16</v>
      </c>
      <c r="J24" s="11" t="s">
        <v>20</v>
      </c>
      <c r="K24" s="12"/>
    </row>
    <row r="25" spans="1:23" ht="13.15" customHeight="1">
      <c r="A25" s="9" t="s">
        <v>66</v>
      </c>
      <c r="B25" s="9" t="s">
        <v>67</v>
      </c>
      <c r="C25" s="10"/>
      <c r="D25" s="10"/>
      <c r="E25" s="10"/>
      <c r="F25" s="10"/>
      <c r="G25" s="10"/>
      <c r="H25" s="10"/>
      <c r="I25" s="11" t="s">
        <v>16</v>
      </c>
      <c r="J25" s="11" t="s">
        <v>68</v>
      </c>
      <c r="K25" s="12" t="s">
        <v>69</v>
      </c>
    </row>
    <row r="26" spans="1:23" ht="13.15" customHeight="1">
      <c r="A26" s="9" t="s">
        <v>70</v>
      </c>
      <c r="B26" s="9" t="s">
        <v>71</v>
      </c>
      <c r="C26" s="10"/>
      <c r="D26" s="10"/>
      <c r="E26" s="10"/>
      <c r="F26" s="10"/>
      <c r="G26" s="10"/>
      <c r="H26" s="10"/>
      <c r="I26" s="11" t="s">
        <v>16</v>
      </c>
      <c r="J26" s="11" t="s">
        <v>68</v>
      </c>
      <c r="K26" s="12" t="s">
        <v>69</v>
      </c>
    </row>
    <row r="27" spans="1:23" ht="13.15" customHeight="1">
      <c r="A27" s="9" t="s">
        <v>72</v>
      </c>
      <c r="B27" s="9" t="s">
        <v>73</v>
      </c>
      <c r="C27" s="10"/>
      <c r="D27" s="10"/>
      <c r="E27" s="10"/>
      <c r="F27" s="10"/>
      <c r="G27" s="10"/>
      <c r="H27" s="10"/>
      <c r="I27" s="11" t="s">
        <v>16</v>
      </c>
      <c r="J27" s="11" t="s">
        <v>27</v>
      </c>
      <c r="K27" s="12"/>
    </row>
    <row r="28" spans="1:23" ht="13.15" customHeight="1">
      <c r="A28" s="9" t="s">
        <v>74</v>
      </c>
      <c r="B28" s="9" t="s">
        <v>75</v>
      </c>
      <c r="C28" s="10"/>
      <c r="D28" s="10"/>
      <c r="E28" s="10"/>
      <c r="F28" s="10"/>
      <c r="G28" s="10"/>
      <c r="H28" s="10"/>
      <c r="I28" s="11" t="s">
        <v>16</v>
      </c>
      <c r="J28" s="11" t="s">
        <v>27</v>
      </c>
      <c r="K28" s="12"/>
    </row>
    <row r="29" spans="1:23" ht="13.15" customHeight="1">
      <c r="A29" s="9" t="s">
        <v>76</v>
      </c>
      <c r="B29" s="9" t="s">
        <v>77</v>
      </c>
      <c r="C29" s="10"/>
      <c r="D29" s="10"/>
      <c r="E29" s="10"/>
      <c r="F29" s="10"/>
      <c r="G29" s="10"/>
      <c r="H29" s="10"/>
      <c r="I29" s="11" t="s">
        <v>16</v>
      </c>
      <c r="J29" s="11" t="s">
        <v>32</v>
      </c>
      <c r="K29" s="12"/>
    </row>
    <row r="30" spans="1:23" ht="13.15" customHeight="1">
      <c r="A30" s="9" t="s">
        <v>78</v>
      </c>
      <c r="B30" s="9" t="s">
        <v>79</v>
      </c>
      <c r="C30" s="10"/>
      <c r="D30" s="10"/>
      <c r="E30" s="10"/>
      <c r="F30" s="10"/>
      <c r="G30" s="10"/>
      <c r="H30" s="10"/>
      <c r="I30" s="11" t="s">
        <v>16</v>
      </c>
      <c r="J30" s="11" t="s">
        <v>35</v>
      </c>
      <c r="K30" s="12"/>
    </row>
    <row r="31" spans="1:23" ht="13.15" customHeight="1">
      <c r="A31" s="9" t="s">
        <v>80</v>
      </c>
      <c r="B31" s="9" t="s">
        <v>81</v>
      </c>
      <c r="C31" s="10"/>
      <c r="D31" s="10"/>
      <c r="E31" s="10"/>
      <c r="F31" s="10"/>
      <c r="G31" s="10"/>
      <c r="H31" s="10"/>
      <c r="I31" s="11" t="s">
        <v>16</v>
      </c>
      <c r="J31" s="11" t="s">
        <v>27</v>
      </c>
      <c r="K31" s="12"/>
    </row>
    <row r="32" spans="1:23" ht="13.15" customHeight="1">
      <c r="A32" s="9" t="s">
        <v>82</v>
      </c>
      <c r="B32" s="9" t="s">
        <v>83</v>
      </c>
      <c r="C32" s="10"/>
      <c r="D32" s="10"/>
      <c r="E32" s="10"/>
      <c r="F32" s="10"/>
      <c r="G32" s="10"/>
      <c r="H32" s="10"/>
      <c r="I32" s="11" t="s">
        <v>16</v>
      </c>
      <c r="J32" s="11" t="s">
        <v>40</v>
      </c>
      <c r="K32" s="12"/>
    </row>
    <row r="33" spans="1:11" ht="13.15" customHeight="1">
      <c r="A33" s="9" t="s">
        <v>84</v>
      </c>
      <c r="B33" s="9" t="s">
        <v>85</v>
      </c>
      <c r="C33" s="10"/>
      <c r="D33" s="10"/>
      <c r="E33" s="10"/>
      <c r="F33" s="10"/>
      <c r="G33" s="10"/>
      <c r="H33" s="10"/>
      <c r="I33" s="11" t="s">
        <v>16</v>
      </c>
      <c r="J33" s="11" t="s">
        <v>43</v>
      </c>
      <c r="K33" s="12"/>
    </row>
    <row r="34" spans="1:11" ht="13.15" customHeight="1">
      <c r="A34" s="9" t="s">
        <v>86</v>
      </c>
      <c r="B34" s="9" t="s">
        <v>87</v>
      </c>
      <c r="C34" s="10"/>
      <c r="D34" s="10"/>
      <c r="E34" s="10"/>
      <c r="F34" s="10"/>
      <c r="G34" s="10"/>
      <c r="H34" s="10"/>
      <c r="I34" s="11" t="s">
        <v>16</v>
      </c>
      <c r="J34" s="11" t="s">
        <v>43</v>
      </c>
      <c r="K34" s="12"/>
    </row>
    <row r="35" spans="1:11" ht="13.15" customHeight="1">
      <c r="A35" s="9" t="s">
        <v>88</v>
      </c>
      <c r="B35" s="9" t="s">
        <v>89</v>
      </c>
      <c r="C35" s="10"/>
      <c r="D35" s="10"/>
      <c r="E35" s="10"/>
      <c r="F35" s="10"/>
      <c r="G35" s="10"/>
      <c r="H35" s="10"/>
      <c r="I35" s="11" t="s">
        <v>16</v>
      </c>
      <c r="J35" s="11" t="s">
        <v>48</v>
      </c>
      <c r="K35" s="12"/>
    </row>
    <row r="36" spans="1:11" ht="13.15" customHeight="1">
      <c r="A36" s="9" t="s">
        <v>90</v>
      </c>
      <c r="B36" s="9" t="s">
        <v>91</v>
      </c>
      <c r="C36" s="10"/>
      <c r="D36" s="10"/>
      <c r="E36" s="10"/>
      <c r="F36" s="10"/>
      <c r="G36" s="10"/>
      <c r="H36" s="10"/>
      <c r="I36" s="11" t="s">
        <v>16</v>
      </c>
      <c r="J36" s="11" t="s">
        <v>27</v>
      </c>
      <c r="K36" s="12"/>
    </row>
    <row r="37" spans="1:11" ht="13.15" customHeight="1">
      <c r="A37" s="9" t="s">
        <v>92</v>
      </c>
      <c r="B37" s="9" t="s">
        <v>93</v>
      </c>
      <c r="C37" s="10"/>
      <c r="D37" s="10"/>
      <c r="E37" s="10"/>
      <c r="F37" s="10"/>
      <c r="G37" s="10"/>
      <c r="H37" s="10"/>
      <c r="I37" s="11" t="s">
        <v>16</v>
      </c>
      <c r="J37" s="11" t="s">
        <v>20</v>
      </c>
      <c r="K37" s="12"/>
    </row>
    <row r="38" spans="1:11" ht="13.15" customHeight="1">
      <c r="A38" s="9" t="s">
        <v>94</v>
      </c>
      <c r="B38" s="9" t="s">
        <v>95</v>
      </c>
      <c r="C38" s="10"/>
      <c r="D38" s="10"/>
      <c r="E38" s="10"/>
      <c r="F38" s="10"/>
      <c r="G38" s="10"/>
      <c r="H38" s="10"/>
      <c r="I38" s="11" t="s">
        <v>16</v>
      </c>
      <c r="J38" s="11" t="s">
        <v>20</v>
      </c>
      <c r="K38" s="12"/>
    </row>
    <row r="39" spans="1:11" ht="13.15" customHeight="1">
      <c r="A39" s="9" t="s">
        <v>96</v>
      </c>
      <c r="B39" s="9" t="s">
        <v>97</v>
      </c>
      <c r="C39" s="10"/>
      <c r="D39" s="10"/>
      <c r="E39" s="10"/>
      <c r="F39" s="10"/>
      <c r="G39" s="10"/>
      <c r="H39" s="10"/>
      <c r="I39" s="11" t="s">
        <v>16</v>
      </c>
      <c r="J39" s="11" t="s">
        <v>27</v>
      </c>
      <c r="K39" s="12"/>
    </row>
    <row r="40" spans="1:11" ht="13.15" customHeight="1">
      <c r="A40" s="9" t="s">
        <v>98</v>
      </c>
      <c r="B40" s="9" t="s">
        <v>99</v>
      </c>
      <c r="C40" s="10"/>
      <c r="D40" s="10"/>
      <c r="E40" s="10"/>
      <c r="F40" s="10"/>
      <c r="G40" s="10"/>
      <c r="H40" s="10"/>
      <c r="I40" s="11" t="s">
        <v>16</v>
      </c>
      <c r="J40" s="11" t="s">
        <v>59</v>
      </c>
      <c r="K40" s="12"/>
    </row>
    <row r="41" spans="1:11" ht="13.15" customHeight="1">
      <c r="A41" s="9" t="s">
        <v>100</v>
      </c>
      <c r="B41" s="9" t="s">
        <v>101</v>
      </c>
      <c r="C41" s="10"/>
      <c r="D41" s="10"/>
      <c r="E41" s="10"/>
      <c r="F41" s="10"/>
      <c r="G41" s="10"/>
      <c r="H41" s="10"/>
      <c r="I41" s="11" t="s">
        <v>16</v>
      </c>
      <c r="J41" s="11" t="s">
        <v>27</v>
      </c>
      <c r="K41" s="12"/>
    </row>
    <row r="42" spans="1:11" ht="13.15" customHeight="1">
      <c r="A42" s="9" t="s">
        <v>102</v>
      </c>
      <c r="B42" s="9" t="s">
        <v>103</v>
      </c>
      <c r="C42" s="10"/>
      <c r="D42" s="10"/>
      <c r="E42" s="10"/>
      <c r="F42" s="10"/>
      <c r="G42" s="10"/>
      <c r="H42" s="10"/>
      <c r="I42" s="11" t="s">
        <v>16</v>
      </c>
      <c r="J42" s="11" t="s">
        <v>32</v>
      </c>
      <c r="K42" s="12"/>
    </row>
    <row r="43" spans="1:11" ht="13.15" customHeight="1">
      <c r="A43" s="9" t="s">
        <v>104</v>
      </c>
      <c r="B43" s="9" t="s">
        <v>105</v>
      </c>
      <c r="C43" s="10"/>
      <c r="D43" s="10"/>
      <c r="E43" s="10"/>
      <c r="F43" s="10"/>
      <c r="G43" s="10"/>
      <c r="H43" s="10"/>
      <c r="I43" s="11" t="s">
        <v>16</v>
      </c>
      <c r="J43" s="11" t="s">
        <v>35</v>
      </c>
      <c r="K43" s="12"/>
    </row>
    <row r="44" spans="1:11" ht="13.15" customHeight="1">
      <c r="A44" s="9" t="s">
        <v>106</v>
      </c>
      <c r="B44" s="9" t="s">
        <v>107</v>
      </c>
      <c r="C44" s="10"/>
      <c r="D44" s="10"/>
      <c r="E44" s="10"/>
      <c r="F44" s="10"/>
      <c r="G44" s="10"/>
      <c r="H44" s="10"/>
      <c r="I44" s="11" t="s">
        <v>16</v>
      </c>
      <c r="J44" s="11" t="s">
        <v>27</v>
      </c>
      <c r="K44" s="12"/>
    </row>
    <row r="45" spans="1:11" ht="13.15" customHeight="1">
      <c r="A45" s="9" t="s">
        <v>108</v>
      </c>
      <c r="B45" s="9" t="s">
        <v>109</v>
      </c>
      <c r="C45" s="10"/>
      <c r="D45" s="10"/>
      <c r="E45" s="10"/>
      <c r="F45" s="10"/>
      <c r="G45" s="10"/>
      <c r="H45" s="10"/>
      <c r="I45" s="11" t="s">
        <v>16</v>
      </c>
      <c r="J45" s="11" t="s">
        <v>110</v>
      </c>
      <c r="K45" s="12"/>
    </row>
    <row r="46" spans="1:11" ht="13.15" customHeight="1">
      <c r="A46" s="9" t="s">
        <v>111</v>
      </c>
      <c r="B46" s="9" t="s">
        <v>112</v>
      </c>
      <c r="C46" s="10"/>
      <c r="D46" s="10"/>
      <c r="E46" s="10"/>
      <c r="F46" s="10"/>
      <c r="G46" s="10"/>
      <c r="H46" s="10"/>
      <c r="I46" s="11" t="s">
        <v>16</v>
      </c>
      <c r="J46" s="11" t="s">
        <v>43</v>
      </c>
      <c r="K46" s="12"/>
    </row>
    <row r="47" spans="1:11" ht="13.15" customHeight="1">
      <c r="A47" s="9" t="s">
        <v>113</v>
      </c>
      <c r="B47" s="9" t="s">
        <v>114</v>
      </c>
      <c r="C47" s="10"/>
      <c r="D47" s="10"/>
      <c r="E47" s="10"/>
      <c r="F47" s="10"/>
      <c r="G47" s="10"/>
      <c r="H47" s="10"/>
      <c r="I47" s="11" t="s">
        <v>16</v>
      </c>
      <c r="J47" s="11" t="s">
        <v>115</v>
      </c>
      <c r="K47" s="12"/>
    </row>
    <row r="48" spans="1:11" ht="13.15" customHeight="1">
      <c r="A48" s="9" t="s">
        <v>116</v>
      </c>
      <c r="B48" s="9" t="s">
        <v>117</v>
      </c>
      <c r="C48" s="10"/>
      <c r="D48" s="10"/>
      <c r="E48" s="10"/>
      <c r="F48" s="10"/>
      <c r="G48" s="10"/>
      <c r="H48" s="10"/>
      <c r="I48" s="11" t="s">
        <v>16</v>
      </c>
      <c r="J48" s="11" t="s">
        <v>118</v>
      </c>
      <c r="K48" s="12"/>
    </row>
    <row r="49" spans="1:11" ht="13.15" customHeight="1">
      <c r="A49" s="9" t="s">
        <v>119</v>
      </c>
      <c r="B49" s="9" t="s">
        <v>120</v>
      </c>
      <c r="C49" s="10"/>
      <c r="D49" s="10"/>
      <c r="E49" s="10"/>
      <c r="F49" s="10"/>
      <c r="G49" s="10"/>
      <c r="H49" s="10"/>
      <c r="I49" s="11" t="s">
        <v>16</v>
      </c>
      <c r="J49" s="11" t="s">
        <v>27</v>
      </c>
      <c r="K49" s="12"/>
    </row>
    <row r="50" spans="1:11" ht="13.15" customHeight="1">
      <c r="A50" s="9" t="s">
        <v>121</v>
      </c>
      <c r="B50" s="9" t="s">
        <v>122</v>
      </c>
      <c r="C50" s="10"/>
      <c r="D50" s="10"/>
      <c r="E50" s="10"/>
      <c r="F50" s="10"/>
      <c r="G50" s="10"/>
      <c r="H50" s="10"/>
      <c r="I50" s="11" t="s">
        <v>16</v>
      </c>
      <c r="J50" s="11" t="s">
        <v>20</v>
      </c>
      <c r="K50" s="12"/>
    </row>
    <row r="51" spans="1:11" ht="13.15" customHeight="1">
      <c r="A51" s="9" t="s">
        <v>123</v>
      </c>
      <c r="B51" s="9" t="s">
        <v>124</v>
      </c>
      <c r="C51" s="10"/>
      <c r="D51" s="10"/>
      <c r="E51" s="10"/>
      <c r="F51" s="10"/>
      <c r="G51" s="10"/>
      <c r="H51" s="10"/>
      <c r="I51" s="11" t="s">
        <v>16</v>
      </c>
      <c r="J51" s="11" t="s">
        <v>20</v>
      </c>
      <c r="K51" s="12"/>
    </row>
    <row r="52" spans="1:11" ht="13.15" customHeight="1">
      <c r="A52" s="9" t="s">
        <v>125</v>
      </c>
      <c r="B52" s="9" t="s">
        <v>126</v>
      </c>
      <c r="C52" s="10"/>
      <c r="D52" s="10"/>
      <c r="E52" s="10"/>
      <c r="F52" s="10"/>
      <c r="G52" s="10"/>
      <c r="H52" s="10"/>
      <c r="I52" s="11" t="s">
        <v>16</v>
      </c>
      <c r="J52" s="11" t="s">
        <v>27</v>
      </c>
      <c r="K52" s="12"/>
    </row>
    <row r="53" spans="1:11" ht="13.15" customHeight="1">
      <c r="A53" s="9" t="s">
        <v>127</v>
      </c>
      <c r="B53" s="9" t="s">
        <v>128</v>
      </c>
      <c r="C53" s="10"/>
      <c r="D53" s="10"/>
      <c r="E53" s="10"/>
      <c r="F53" s="10"/>
      <c r="G53" s="10"/>
      <c r="H53" s="10"/>
      <c r="I53" s="11" t="s">
        <v>16</v>
      </c>
      <c r="J53" s="11" t="s">
        <v>59</v>
      </c>
      <c r="K53" s="12"/>
    </row>
    <row r="54" spans="1:11" ht="13.15" customHeight="1">
      <c r="A54" s="9" t="s">
        <v>129</v>
      </c>
      <c r="B54" s="9" t="s">
        <v>130</v>
      </c>
      <c r="C54" s="10"/>
      <c r="D54" s="10"/>
      <c r="E54" s="10"/>
      <c r="F54" s="10"/>
      <c r="G54" s="10"/>
      <c r="H54" s="10"/>
      <c r="I54" s="11" t="s">
        <v>16</v>
      </c>
      <c r="J54" s="11">
        <v>1</v>
      </c>
      <c r="K54" s="12"/>
    </row>
    <row r="55" spans="1:11" ht="13.15" customHeight="1">
      <c r="A55" s="9" t="s">
        <v>131</v>
      </c>
      <c r="B55" s="9" t="s">
        <v>132</v>
      </c>
      <c r="C55" s="10"/>
      <c r="D55" s="10"/>
      <c r="E55" s="10"/>
      <c r="F55" s="10"/>
      <c r="G55" s="10"/>
      <c r="H55" s="10"/>
      <c r="I55" s="11" t="s">
        <v>16</v>
      </c>
      <c r="J55" s="11">
        <v>1</v>
      </c>
      <c r="K55" s="12"/>
    </row>
    <row r="56" spans="1:11" ht="13.15" customHeight="1">
      <c r="A56" s="9" t="s">
        <v>133</v>
      </c>
      <c r="B56" s="9" t="s">
        <v>134</v>
      </c>
      <c r="C56" s="10"/>
      <c r="D56" s="10"/>
      <c r="E56" s="10"/>
      <c r="F56" s="10"/>
      <c r="G56" s="10"/>
      <c r="H56" s="10"/>
      <c r="I56" s="11" t="s">
        <v>16</v>
      </c>
      <c r="J56" s="11">
        <v>1</v>
      </c>
      <c r="K56" s="12"/>
    </row>
    <row r="57" spans="1:11" ht="13.15" customHeight="1">
      <c r="A57" s="9" t="s">
        <v>135</v>
      </c>
      <c r="B57" s="9" t="s">
        <v>136</v>
      </c>
      <c r="C57" s="9"/>
      <c r="D57" s="9"/>
      <c r="E57" s="9"/>
      <c r="F57" s="9"/>
      <c r="G57" s="9"/>
      <c r="H57" s="9"/>
      <c r="I57" s="11" t="s">
        <v>16</v>
      </c>
      <c r="J57" s="11">
        <v>1</v>
      </c>
      <c r="K57" s="13"/>
    </row>
    <row r="58" spans="1:11" ht="13.15" customHeight="1">
      <c r="A58" s="9" t="s">
        <v>137</v>
      </c>
      <c r="B58" s="9" t="s">
        <v>138</v>
      </c>
      <c r="C58" s="10"/>
      <c r="D58" s="10"/>
      <c r="E58" s="10"/>
      <c r="F58" s="10"/>
      <c r="G58" s="10"/>
      <c r="H58" s="10"/>
      <c r="I58" s="11" t="s">
        <v>16</v>
      </c>
      <c r="J58" s="11">
        <v>1</v>
      </c>
      <c r="K58" s="13"/>
    </row>
    <row r="59" spans="1:11" ht="13.15" customHeight="1">
      <c r="A59" s="9" t="s">
        <v>28</v>
      </c>
      <c r="B59" s="9" t="s">
        <v>29</v>
      </c>
      <c r="C59" s="10"/>
      <c r="D59" s="10"/>
      <c r="E59" s="10"/>
      <c r="F59" s="10"/>
      <c r="G59" s="10"/>
      <c r="H59" s="10"/>
      <c r="I59" s="11" t="s">
        <v>16</v>
      </c>
      <c r="J59" s="11">
        <v>1</v>
      </c>
      <c r="K59" s="9"/>
    </row>
    <row r="60" spans="1:11" ht="13.15" customHeight="1">
      <c r="A60" s="9" t="s">
        <v>139</v>
      </c>
      <c r="B60" s="9" t="s">
        <v>140</v>
      </c>
      <c r="C60" s="10"/>
      <c r="D60" s="10"/>
      <c r="E60" s="10"/>
      <c r="F60" s="10"/>
      <c r="G60" s="10"/>
      <c r="H60" s="10"/>
      <c r="I60" s="11" t="s">
        <v>16</v>
      </c>
      <c r="J60" s="11">
        <v>1</v>
      </c>
      <c r="K60" s="13"/>
    </row>
    <row r="61" spans="1:11" ht="13.15" customHeight="1">
      <c r="A61" s="9" t="s">
        <v>141</v>
      </c>
      <c r="B61" s="9" t="s">
        <v>142</v>
      </c>
      <c r="C61" s="10"/>
      <c r="D61" s="10"/>
      <c r="E61" s="10"/>
      <c r="F61" s="10"/>
      <c r="G61" s="10"/>
      <c r="H61" s="10"/>
      <c r="I61" s="11" t="s">
        <v>16</v>
      </c>
      <c r="J61" s="11">
        <v>1</v>
      </c>
      <c r="K61" s="13"/>
    </row>
    <row r="62" spans="1:11" ht="13.15" customHeight="1">
      <c r="A62" s="9" t="s">
        <v>143</v>
      </c>
      <c r="B62" s="9" t="s">
        <v>144</v>
      </c>
      <c r="C62" s="10"/>
      <c r="D62" s="10"/>
      <c r="E62" s="10"/>
      <c r="F62" s="10"/>
      <c r="G62" s="10"/>
      <c r="H62" s="10"/>
      <c r="I62" s="11" t="s">
        <v>16</v>
      </c>
      <c r="J62" s="11">
        <v>1</v>
      </c>
      <c r="K62" s="13"/>
    </row>
    <row r="63" spans="1:11" ht="13.15" customHeight="1">
      <c r="A63" s="9" t="s">
        <v>145</v>
      </c>
      <c r="B63" s="9" t="s">
        <v>146</v>
      </c>
      <c r="C63" s="10"/>
      <c r="D63" s="10"/>
      <c r="E63" s="10"/>
      <c r="F63" s="10"/>
      <c r="G63" s="10"/>
      <c r="H63" s="10"/>
      <c r="I63" s="11" t="s">
        <v>16</v>
      </c>
      <c r="J63" s="11" t="s">
        <v>147</v>
      </c>
      <c r="K63" s="13"/>
    </row>
    <row r="64" spans="1:11" ht="13.15" customHeight="1">
      <c r="A64" s="9" t="s">
        <v>148</v>
      </c>
      <c r="B64" s="9" t="s">
        <v>149</v>
      </c>
      <c r="C64" s="10"/>
      <c r="D64" s="10"/>
      <c r="E64" s="10"/>
      <c r="F64" s="10"/>
      <c r="G64" s="10"/>
      <c r="H64" s="10"/>
      <c r="I64" s="11" t="s">
        <v>16</v>
      </c>
      <c r="J64" s="11" t="s">
        <v>147</v>
      </c>
      <c r="K64" s="13"/>
    </row>
    <row r="65" spans="1:11" ht="13.15" customHeight="1">
      <c r="A65" s="9" t="s">
        <v>150</v>
      </c>
      <c r="B65" s="9" t="s">
        <v>151</v>
      </c>
      <c r="C65" s="10"/>
      <c r="D65" s="10"/>
      <c r="E65" s="10"/>
      <c r="F65" s="10"/>
      <c r="G65" s="10"/>
      <c r="H65" s="10"/>
      <c r="I65" s="11" t="s">
        <v>16</v>
      </c>
      <c r="J65" s="11" t="s">
        <v>147</v>
      </c>
      <c r="K65" s="13"/>
    </row>
    <row r="66" spans="1:11" ht="13.15" customHeight="1">
      <c r="A66" s="9" t="s">
        <v>152</v>
      </c>
      <c r="B66" s="9" t="s">
        <v>153</v>
      </c>
      <c r="C66" s="10"/>
      <c r="D66" s="10"/>
      <c r="E66" s="10"/>
      <c r="F66" s="10"/>
      <c r="G66" s="10"/>
      <c r="H66" s="10"/>
      <c r="I66" s="11" t="s">
        <v>16</v>
      </c>
      <c r="J66" s="11" t="s">
        <v>59</v>
      </c>
      <c r="K66" s="12" t="s">
        <v>69</v>
      </c>
    </row>
    <row r="67" spans="1:11" ht="13.15" customHeight="1">
      <c r="A67" s="9" t="s">
        <v>70</v>
      </c>
      <c r="B67" s="9" t="s">
        <v>71</v>
      </c>
      <c r="C67" s="10"/>
      <c r="D67" s="10"/>
      <c r="E67" s="10"/>
      <c r="F67" s="10"/>
      <c r="G67" s="10"/>
      <c r="H67" s="10"/>
      <c r="I67" s="11" t="s">
        <v>16</v>
      </c>
      <c r="J67" s="11" t="s">
        <v>59</v>
      </c>
      <c r="K67" s="12" t="s">
        <v>69</v>
      </c>
    </row>
    <row r="68" spans="1:11" ht="13.15" customHeight="1">
      <c r="A68" s="9" t="s">
        <v>154</v>
      </c>
      <c r="B68" s="9" t="s">
        <v>155</v>
      </c>
      <c r="C68" s="10"/>
      <c r="D68" s="10"/>
      <c r="E68" s="10"/>
      <c r="F68" s="10"/>
      <c r="G68" s="10"/>
      <c r="H68" s="10"/>
      <c r="I68" s="11" t="s">
        <v>16</v>
      </c>
      <c r="J68" s="11">
        <v>1</v>
      </c>
      <c r="K68" s="12" t="s">
        <v>69</v>
      </c>
    </row>
    <row r="69" spans="1:11" ht="13.15" customHeight="1">
      <c r="A69" s="9" t="s">
        <v>156</v>
      </c>
      <c r="B69" s="9" t="s">
        <v>157</v>
      </c>
      <c r="C69" s="10"/>
      <c r="D69" s="10"/>
      <c r="E69" s="10"/>
      <c r="F69" s="10"/>
      <c r="G69" s="10"/>
      <c r="H69" s="10"/>
      <c r="I69" s="11" t="s">
        <v>16</v>
      </c>
      <c r="J69" s="11">
        <v>1</v>
      </c>
      <c r="K69" s="13"/>
    </row>
    <row r="70" spans="1:11" ht="13.15" customHeight="1">
      <c r="A70" s="9" t="s">
        <v>158</v>
      </c>
      <c r="B70" s="9" t="s">
        <v>159</v>
      </c>
      <c r="C70" s="10"/>
      <c r="D70" s="10"/>
      <c r="E70" s="10"/>
      <c r="F70" s="10"/>
      <c r="G70" s="10"/>
      <c r="H70" s="10"/>
      <c r="I70" s="11" t="s">
        <v>16</v>
      </c>
      <c r="J70" s="11">
        <v>1</v>
      </c>
      <c r="K70" s="13"/>
    </row>
    <row r="71" spans="1:11" ht="13.15" customHeight="1">
      <c r="A71" s="9" t="s">
        <v>160</v>
      </c>
      <c r="B71" s="9" t="s">
        <v>161</v>
      </c>
      <c r="C71" s="10"/>
      <c r="D71" s="10"/>
      <c r="E71" s="10"/>
      <c r="F71" s="10"/>
      <c r="G71" s="10"/>
      <c r="H71" s="10"/>
      <c r="I71" s="11" t="s">
        <v>16</v>
      </c>
      <c r="J71" s="11" t="s">
        <v>162</v>
      </c>
      <c r="K71" s="13" t="s">
        <v>69</v>
      </c>
    </row>
    <row r="72" spans="1:11" ht="13.15" customHeight="1">
      <c r="A72" s="9" t="s">
        <v>163</v>
      </c>
      <c r="B72" s="9" t="s">
        <v>164</v>
      </c>
      <c r="C72" s="10"/>
      <c r="D72" s="10"/>
      <c r="E72" s="10"/>
      <c r="F72" s="10"/>
      <c r="G72" s="10"/>
      <c r="H72" s="10"/>
      <c r="I72" s="11" t="s">
        <v>16</v>
      </c>
      <c r="J72" s="11" t="s">
        <v>162</v>
      </c>
      <c r="K72" s="13" t="s">
        <v>69</v>
      </c>
    </row>
    <row r="73" spans="1:11" ht="13.15" customHeight="1">
      <c r="A73" s="9" t="s">
        <v>165</v>
      </c>
      <c r="B73" s="9" t="s">
        <v>166</v>
      </c>
      <c r="C73" s="10"/>
      <c r="D73" s="10"/>
      <c r="E73" s="10"/>
      <c r="F73" s="10"/>
      <c r="G73" s="10"/>
      <c r="H73" s="10"/>
      <c r="I73" s="11" t="s">
        <v>16</v>
      </c>
      <c r="J73" s="11" t="s">
        <v>162</v>
      </c>
      <c r="K73" s="13" t="s">
        <v>69</v>
      </c>
    </row>
    <row r="74" spans="1:11" ht="13.15" customHeight="1">
      <c r="A74" s="9" t="s">
        <v>167</v>
      </c>
      <c r="B74" s="9" t="s">
        <v>168</v>
      </c>
      <c r="C74" s="10"/>
      <c r="D74" s="10"/>
      <c r="E74" s="10"/>
      <c r="F74" s="10"/>
      <c r="G74" s="10"/>
      <c r="H74" s="10"/>
      <c r="I74" s="14" t="s">
        <v>169</v>
      </c>
      <c r="J74" s="11">
        <v>1</v>
      </c>
      <c r="K74" s="15"/>
    </row>
    <row r="75" spans="1:11" ht="13.15" customHeight="1">
      <c r="A75" s="9" t="s">
        <v>170</v>
      </c>
      <c r="B75" s="9" t="s">
        <v>171</v>
      </c>
      <c r="C75" s="10"/>
      <c r="D75" s="10"/>
      <c r="E75" s="10"/>
      <c r="F75" s="10"/>
      <c r="G75" s="10"/>
      <c r="H75" s="10"/>
      <c r="I75" s="14" t="s">
        <v>169</v>
      </c>
      <c r="J75" s="11">
        <v>1</v>
      </c>
      <c r="K75" s="15"/>
    </row>
    <row r="76" spans="1:11" ht="13.15" customHeight="1">
      <c r="A76" s="9" t="s">
        <v>172</v>
      </c>
      <c r="B76" s="9" t="s">
        <v>173</v>
      </c>
      <c r="C76" s="10"/>
      <c r="D76" s="10"/>
      <c r="E76" s="10"/>
      <c r="F76" s="10"/>
      <c r="G76" s="10"/>
      <c r="H76" s="10"/>
      <c r="I76" s="14" t="s">
        <v>169</v>
      </c>
      <c r="J76" s="11">
        <v>1</v>
      </c>
      <c r="K76" s="15"/>
    </row>
    <row r="77" spans="1:11" ht="13.15" customHeight="1">
      <c r="A77" s="9" t="s">
        <v>174</v>
      </c>
      <c r="B77" s="9" t="s">
        <v>175</v>
      </c>
      <c r="C77" s="10"/>
      <c r="D77" s="10"/>
      <c r="E77" s="10"/>
      <c r="F77" s="10"/>
      <c r="G77" s="10"/>
      <c r="H77" s="10"/>
      <c r="I77" s="14" t="s">
        <v>169</v>
      </c>
      <c r="J77" s="11">
        <v>1</v>
      </c>
      <c r="K77" s="13"/>
    </row>
    <row r="78" spans="1:11" ht="13.15" customHeight="1">
      <c r="A78" s="9" t="s">
        <v>176</v>
      </c>
      <c r="B78" s="9" t="s">
        <v>177</v>
      </c>
      <c r="C78" s="10"/>
      <c r="D78" s="10"/>
      <c r="E78" s="10"/>
      <c r="F78" s="10"/>
      <c r="G78" s="10"/>
      <c r="H78" s="10"/>
      <c r="I78" s="14" t="s">
        <v>169</v>
      </c>
      <c r="J78" s="14" t="s">
        <v>35</v>
      </c>
      <c r="K78" s="9"/>
    </row>
    <row r="79" spans="1:11" ht="13.15" customHeight="1">
      <c r="A79" s="9" t="s">
        <v>178</v>
      </c>
      <c r="B79" s="9" t="s">
        <v>179</v>
      </c>
      <c r="C79" s="10"/>
      <c r="D79" s="10"/>
      <c r="E79" s="10"/>
      <c r="F79" s="10"/>
      <c r="G79" s="10"/>
      <c r="H79" s="10"/>
      <c r="I79" s="14" t="s">
        <v>169</v>
      </c>
      <c r="J79" s="14" t="s">
        <v>110</v>
      </c>
      <c r="K79" s="12" t="s">
        <v>180</v>
      </c>
    </row>
    <row r="80" spans="1:11" ht="13.15" customHeight="1">
      <c r="A80" s="9" t="s">
        <v>181</v>
      </c>
      <c r="B80" s="9" t="s">
        <v>182</v>
      </c>
      <c r="C80" s="10"/>
      <c r="D80" s="10"/>
      <c r="E80" s="10"/>
      <c r="F80" s="10"/>
      <c r="G80" s="10"/>
      <c r="H80" s="10"/>
      <c r="I80" s="14" t="s">
        <v>169</v>
      </c>
      <c r="J80" s="11">
        <v>1</v>
      </c>
      <c r="K80" s="13"/>
    </row>
    <row r="81" spans="1:11" ht="13.15" customHeight="1">
      <c r="A81" s="9" t="s">
        <v>183</v>
      </c>
      <c r="B81" s="9" t="s">
        <v>184</v>
      </c>
      <c r="C81" s="10"/>
      <c r="D81" s="10"/>
      <c r="E81" s="10"/>
      <c r="F81" s="10"/>
      <c r="G81" s="10"/>
      <c r="H81" s="10"/>
      <c r="I81" s="14" t="s">
        <v>169</v>
      </c>
      <c r="J81" s="11">
        <v>1</v>
      </c>
      <c r="K81" s="13"/>
    </row>
    <row r="82" spans="1:11" ht="13.15" customHeight="1">
      <c r="A82" s="9" t="s">
        <v>185</v>
      </c>
      <c r="B82" s="9" t="s">
        <v>186</v>
      </c>
      <c r="C82" s="10"/>
      <c r="D82" s="10"/>
      <c r="E82" s="10"/>
      <c r="F82" s="10"/>
      <c r="G82" s="10"/>
      <c r="H82" s="10"/>
      <c r="I82" s="14" t="s">
        <v>169</v>
      </c>
      <c r="J82" s="11">
        <v>1</v>
      </c>
      <c r="K82" s="13"/>
    </row>
    <row r="83" spans="1:11" ht="13.15" customHeight="1">
      <c r="A83" s="9" t="s">
        <v>187</v>
      </c>
      <c r="B83" s="9" t="s">
        <v>188</v>
      </c>
      <c r="C83" s="10"/>
      <c r="D83" s="10"/>
      <c r="E83" s="10"/>
      <c r="F83" s="10"/>
      <c r="G83" s="10"/>
      <c r="H83" s="10"/>
      <c r="I83" s="14" t="s">
        <v>169</v>
      </c>
      <c r="J83" s="11" t="s">
        <v>189</v>
      </c>
      <c r="K83" s="16" t="s">
        <v>190</v>
      </c>
    </row>
    <row r="84" spans="1:11" ht="13.15" customHeight="1">
      <c r="A84" s="9" t="s">
        <v>191</v>
      </c>
      <c r="B84" s="9" t="s">
        <v>192</v>
      </c>
      <c r="C84" s="10"/>
      <c r="D84" s="10"/>
      <c r="E84" s="10"/>
      <c r="F84" s="10"/>
      <c r="G84" s="10"/>
      <c r="H84" s="10"/>
      <c r="I84" s="14" t="s">
        <v>169</v>
      </c>
      <c r="J84" s="11">
        <v>1</v>
      </c>
      <c r="K84" s="13"/>
    </row>
    <row r="85" spans="1:11" ht="13.15" customHeight="1">
      <c r="A85" s="9" t="s">
        <v>193</v>
      </c>
      <c r="B85" s="9" t="s">
        <v>194</v>
      </c>
      <c r="C85" s="10"/>
      <c r="D85" s="10"/>
      <c r="E85" s="10"/>
      <c r="F85" s="10"/>
      <c r="G85" s="10"/>
      <c r="H85" s="10"/>
      <c r="I85" s="14" t="s">
        <v>169</v>
      </c>
      <c r="J85" s="14" t="s">
        <v>35</v>
      </c>
      <c r="K85" s="9"/>
    </row>
    <row r="86" spans="1:11" ht="13.15" customHeight="1">
      <c r="A86" s="9" t="s">
        <v>195</v>
      </c>
      <c r="B86" s="9" t="s">
        <v>196</v>
      </c>
      <c r="C86" s="10"/>
      <c r="D86" s="10"/>
      <c r="E86" s="10"/>
      <c r="F86" s="10"/>
      <c r="G86" s="10"/>
      <c r="H86" s="10"/>
      <c r="I86" s="14" t="s">
        <v>169</v>
      </c>
      <c r="J86" s="14" t="s">
        <v>110</v>
      </c>
      <c r="K86" s="12" t="s">
        <v>180</v>
      </c>
    </row>
    <row r="87" spans="1:11" ht="13.15" customHeight="1">
      <c r="A87" s="9" t="s">
        <v>197</v>
      </c>
      <c r="B87" s="9" t="s">
        <v>198</v>
      </c>
      <c r="C87" s="10"/>
      <c r="D87" s="10"/>
      <c r="E87" s="10"/>
      <c r="F87" s="10"/>
      <c r="G87" s="10"/>
      <c r="H87" s="10"/>
      <c r="I87" s="14" t="s">
        <v>169</v>
      </c>
      <c r="J87" s="11">
        <v>1</v>
      </c>
      <c r="K87" s="13"/>
    </row>
    <row r="88" spans="1:11" ht="13.15" customHeight="1">
      <c r="A88" s="9" t="s">
        <v>199</v>
      </c>
      <c r="B88" s="9" t="s">
        <v>200</v>
      </c>
      <c r="C88" s="10"/>
      <c r="D88" s="10"/>
      <c r="E88" s="10"/>
      <c r="F88" s="10"/>
      <c r="G88" s="10"/>
      <c r="H88" s="10"/>
      <c r="I88" s="14" t="s">
        <v>169</v>
      </c>
      <c r="J88" s="14" t="s">
        <v>35</v>
      </c>
      <c r="K88" s="9"/>
    </row>
    <row r="89" spans="1:11" ht="13.15" customHeight="1">
      <c r="A89" s="9" t="s">
        <v>201</v>
      </c>
      <c r="B89" s="9" t="s">
        <v>202</v>
      </c>
      <c r="C89" s="10"/>
      <c r="D89" s="10"/>
      <c r="E89" s="10"/>
      <c r="F89" s="10"/>
      <c r="G89" s="10"/>
      <c r="H89" s="10"/>
      <c r="I89" s="14" t="s">
        <v>169</v>
      </c>
      <c r="J89" s="14" t="s">
        <v>110</v>
      </c>
      <c r="K89" s="12" t="s">
        <v>180</v>
      </c>
    </row>
    <row r="90" spans="1:11" ht="13.15" customHeight="1">
      <c r="A90" s="9" t="s">
        <v>203</v>
      </c>
      <c r="B90" s="9" t="s">
        <v>204</v>
      </c>
      <c r="C90" s="10"/>
      <c r="D90" s="10"/>
      <c r="E90" s="10"/>
      <c r="F90" s="10"/>
      <c r="G90" s="10"/>
      <c r="H90" s="10"/>
      <c r="I90" s="14" t="s">
        <v>169</v>
      </c>
      <c r="J90" s="11">
        <v>1</v>
      </c>
      <c r="K90" s="15"/>
    </row>
    <row r="91" spans="1:11" ht="13.15" customHeight="1">
      <c r="A91" s="9" t="s">
        <v>205</v>
      </c>
      <c r="B91" s="9" t="s">
        <v>206</v>
      </c>
      <c r="C91" s="10"/>
      <c r="D91" s="10"/>
      <c r="E91" s="10"/>
      <c r="F91" s="10"/>
      <c r="G91" s="10"/>
      <c r="H91" s="10"/>
      <c r="I91" s="14" t="s">
        <v>169</v>
      </c>
      <c r="J91" s="11">
        <v>1</v>
      </c>
      <c r="K91" s="15"/>
    </row>
    <row r="92" spans="1:11" ht="13.15" customHeight="1">
      <c r="A92" s="9" t="s">
        <v>207</v>
      </c>
      <c r="B92" s="9" t="s">
        <v>208</v>
      </c>
      <c r="C92" s="10"/>
      <c r="D92" s="10"/>
      <c r="E92" s="10"/>
      <c r="F92" s="10"/>
      <c r="G92" s="10"/>
      <c r="H92" s="10"/>
      <c r="I92" s="14" t="s">
        <v>169</v>
      </c>
      <c r="J92" s="11">
        <v>1</v>
      </c>
      <c r="K92" s="15"/>
    </row>
    <row r="93" spans="1:11" ht="13.15" customHeight="1">
      <c r="A93" s="9" t="s">
        <v>209</v>
      </c>
      <c r="B93" s="9" t="s">
        <v>210</v>
      </c>
      <c r="C93" s="10"/>
      <c r="D93" s="10"/>
      <c r="E93" s="10"/>
      <c r="F93" s="10"/>
      <c r="G93" s="10"/>
      <c r="H93" s="10"/>
      <c r="I93" s="14" t="s">
        <v>169</v>
      </c>
      <c r="J93" s="11">
        <v>1</v>
      </c>
      <c r="K93" s="13"/>
    </row>
    <row r="94" spans="1:11" ht="13.15" customHeight="1">
      <c r="A94" s="9" t="s">
        <v>187</v>
      </c>
      <c r="B94" s="9" t="s">
        <v>188</v>
      </c>
      <c r="C94" s="10"/>
      <c r="D94" s="10"/>
      <c r="E94" s="10"/>
      <c r="F94" s="10"/>
      <c r="G94" s="10"/>
      <c r="H94" s="10"/>
      <c r="I94" s="14" t="s">
        <v>169</v>
      </c>
      <c r="J94" s="11" t="s">
        <v>189</v>
      </c>
      <c r="K94" s="16" t="s">
        <v>190</v>
      </c>
    </row>
    <row r="95" spans="1:11" ht="13.15" customHeight="1">
      <c r="A95" s="9" t="s">
        <v>211</v>
      </c>
      <c r="B95" s="9" t="s">
        <v>212</v>
      </c>
      <c r="C95" s="10"/>
      <c r="D95" s="10"/>
      <c r="E95" s="10"/>
      <c r="F95" s="10"/>
      <c r="G95" s="10"/>
      <c r="H95" s="10"/>
      <c r="I95" s="14" t="s">
        <v>169</v>
      </c>
      <c r="J95" s="11">
        <v>1</v>
      </c>
      <c r="K95" s="13"/>
    </row>
    <row r="96" spans="1:11" ht="13.15" customHeight="1">
      <c r="A96" s="9" t="s">
        <v>213</v>
      </c>
      <c r="B96" s="9" t="s">
        <v>214</v>
      </c>
      <c r="C96" s="10"/>
      <c r="D96" s="10"/>
      <c r="E96" s="10"/>
      <c r="F96" s="10"/>
      <c r="G96" s="10"/>
      <c r="H96" s="10"/>
      <c r="I96" s="14" t="s">
        <v>169</v>
      </c>
      <c r="J96" s="11">
        <v>1</v>
      </c>
      <c r="K96" s="13"/>
    </row>
    <row r="97" spans="1:11" ht="13.15" customHeight="1">
      <c r="A97" s="9" t="s">
        <v>215</v>
      </c>
      <c r="B97" s="9" t="s">
        <v>216</v>
      </c>
      <c r="C97" s="10"/>
      <c r="D97" s="10"/>
      <c r="E97" s="10"/>
      <c r="F97" s="10"/>
      <c r="G97" s="10"/>
      <c r="H97" s="10"/>
      <c r="I97" s="14" t="s">
        <v>217</v>
      </c>
      <c r="J97" s="11">
        <v>1</v>
      </c>
      <c r="K97" s="9"/>
    </row>
    <row r="98" spans="1:11" ht="13.15" customHeight="1">
      <c r="A98" s="9" t="s">
        <v>218</v>
      </c>
      <c r="B98" s="9" t="s">
        <v>219</v>
      </c>
      <c r="C98" s="10"/>
      <c r="D98" s="10"/>
      <c r="E98" s="10"/>
      <c r="F98" s="10"/>
      <c r="G98" s="10"/>
      <c r="H98" s="10"/>
      <c r="I98" s="14" t="s">
        <v>217</v>
      </c>
      <c r="J98" s="11">
        <v>1</v>
      </c>
      <c r="K98" s="9"/>
    </row>
    <row r="99" spans="1:11" ht="13.15" customHeight="1">
      <c r="A99" s="9" t="s">
        <v>220</v>
      </c>
      <c r="B99" s="9" t="s">
        <v>221</v>
      </c>
      <c r="C99" s="10"/>
      <c r="D99" s="10"/>
      <c r="E99" s="10"/>
      <c r="F99" s="10"/>
      <c r="G99" s="10"/>
      <c r="H99" s="10"/>
      <c r="I99" s="14" t="s">
        <v>217</v>
      </c>
      <c r="J99" s="11">
        <v>1</v>
      </c>
      <c r="K99" s="9"/>
    </row>
    <row r="100" spans="1:11" ht="13.15" customHeight="1">
      <c r="A100" s="9" t="s">
        <v>222</v>
      </c>
      <c r="B100" s="9" t="s">
        <v>223</v>
      </c>
      <c r="C100" s="10"/>
      <c r="D100" s="10"/>
      <c r="E100" s="10"/>
      <c r="F100" s="10"/>
      <c r="G100" s="10"/>
      <c r="H100" s="10"/>
      <c r="I100" s="14" t="s">
        <v>217</v>
      </c>
      <c r="J100" s="11">
        <v>1</v>
      </c>
      <c r="K100" s="13"/>
    </row>
    <row r="101" spans="1:11" ht="13.15" customHeight="1">
      <c r="A101" s="9" t="s">
        <v>178</v>
      </c>
      <c r="B101" s="9" t="s">
        <v>179</v>
      </c>
      <c r="C101" s="10"/>
      <c r="D101" s="10"/>
      <c r="E101" s="10"/>
      <c r="F101" s="10"/>
      <c r="G101" s="10"/>
      <c r="H101" s="10"/>
      <c r="I101" s="14" t="s">
        <v>217</v>
      </c>
      <c r="J101" s="11">
        <v>1</v>
      </c>
      <c r="K101" s="9" t="s">
        <v>224</v>
      </c>
    </row>
    <row r="102" spans="1:11" ht="13.15" customHeight="1">
      <c r="A102" s="9" t="s">
        <v>225</v>
      </c>
      <c r="B102" s="9" t="s">
        <v>226</v>
      </c>
      <c r="C102" s="10"/>
      <c r="D102" s="10"/>
      <c r="E102" s="10"/>
      <c r="F102" s="10"/>
      <c r="G102" s="10"/>
      <c r="H102" s="10"/>
      <c r="I102" s="14" t="s">
        <v>217</v>
      </c>
      <c r="J102" s="11">
        <v>1</v>
      </c>
      <c r="K102" s="9"/>
    </row>
    <row r="103" spans="1:11" ht="13.15" customHeight="1">
      <c r="A103" s="9" t="s">
        <v>227</v>
      </c>
      <c r="B103" s="9" t="s">
        <v>228</v>
      </c>
      <c r="C103" s="10"/>
      <c r="D103" s="10"/>
      <c r="E103" s="10"/>
      <c r="F103" s="10"/>
      <c r="G103" s="10"/>
      <c r="H103" s="10"/>
      <c r="I103" s="14" t="s">
        <v>217</v>
      </c>
      <c r="J103" s="11">
        <v>1</v>
      </c>
      <c r="K103" s="9"/>
    </row>
    <row r="104" spans="1:11" ht="13.15" customHeight="1">
      <c r="A104" s="9" t="s">
        <v>229</v>
      </c>
      <c r="B104" s="9" t="s">
        <v>230</v>
      </c>
      <c r="C104" s="10"/>
      <c r="D104" s="10"/>
      <c r="E104" s="10"/>
      <c r="F104" s="10"/>
      <c r="G104" s="10"/>
      <c r="H104" s="10"/>
      <c r="I104" s="14" t="s">
        <v>217</v>
      </c>
      <c r="J104" s="11">
        <v>1</v>
      </c>
      <c r="K104" s="9"/>
    </row>
    <row r="105" spans="1:11" ht="13.15" customHeight="1">
      <c r="A105" s="9" t="s">
        <v>187</v>
      </c>
      <c r="B105" s="9" t="s">
        <v>188</v>
      </c>
      <c r="C105" s="10"/>
      <c r="D105" s="10"/>
      <c r="E105" s="10"/>
      <c r="F105" s="10"/>
      <c r="G105" s="10"/>
      <c r="H105" s="10"/>
      <c r="I105" s="14" t="s">
        <v>217</v>
      </c>
      <c r="J105" s="11" t="s">
        <v>189</v>
      </c>
      <c r="K105" s="15" t="s">
        <v>190</v>
      </c>
    </row>
    <row r="106" spans="1:11" ht="13.15" customHeight="1">
      <c r="A106" s="9" t="s">
        <v>231</v>
      </c>
      <c r="B106" s="9" t="s">
        <v>232</v>
      </c>
      <c r="C106" s="10"/>
      <c r="D106" s="10"/>
      <c r="E106" s="10"/>
      <c r="F106" s="10"/>
      <c r="G106" s="10"/>
      <c r="H106" s="10"/>
      <c r="I106" s="14" t="s">
        <v>217</v>
      </c>
      <c r="J106" s="11">
        <v>1</v>
      </c>
      <c r="K106" s="13"/>
    </row>
    <row r="107" spans="1:11" ht="13.15" customHeight="1">
      <c r="A107" s="9" t="s">
        <v>195</v>
      </c>
      <c r="B107" s="9" t="s">
        <v>196</v>
      </c>
      <c r="C107" s="10"/>
      <c r="D107" s="10"/>
      <c r="E107" s="10"/>
      <c r="F107" s="10"/>
      <c r="G107" s="10"/>
      <c r="H107" s="10"/>
      <c r="I107" s="14" t="s">
        <v>217</v>
      </c>
      <c r="J107" s="11">
        <v>1</v>
      </c>
      <c r="K107" s="9" t="s">
        <v>224</v>
      </c>
    </row>
    <row r="108" spans="1:11" ht="13.15" customHeight="1">
      <c r="A108" s="9" t="s">
        <v>233</v>
      </c>
      <c r="B108" s="9" t="s">
        <v>234</v>
      </c>
      <c r="C108" s="10"/>
      <c r="D108" s="10"/>
      <c r="E108" s="10"/>
      <c r="F108" s="10"/>
      <c r="G108" s="10"/>
      <c r="H108" s="10"/>
      <c r="I108" s="14" t="s">
        <v>217</v>
      </c>
      <c r="J108" s="11">
        <v>1</v>
      </c>
      <c r="K108" s="13"/>
    </row>
    <row r="109" spans="1:11" ht="13.15" customHeight="1">
      <c r="A109" s="9" t="s">
        <v>201</v>
      </c>
      <c r="B109" s="9" t="s">
        <v>202</v>
      </c>
      <c r="C109" s="10"/>
      <c r="D109" s="10"/>
      <c r="E109" s="10"/>
      <c r="F109" s="10"/>
      <c r="G109" s="10"/>
      <c r="H109" s="10"/>
      <c r="I109" s="14" t="s">
        <v>217</v>
      </c>
      <c r="J109" s="11">
        <v>1</v>
      </c>
      <c r="K109" s="9" t="s">
        <v>224</v>
      </c>
    </row>
    <row r="110" spans="1:11" ht="13.15" customHeight="1">
      <c r="A110" s="9" t="s">
        <v>235</v>
      </c>
      <c r="B110" s="9" t="s">
        <v>236</v>
      </c>
      <c r="C110" s="10"/>
      <c r="D110" s="10"/>
      <c r="E110" s="10"/>
      <c r="F110" s="10"/>
      <c r="G110" s="10"/>
      <c r="H110" s="10"/>
      <c r="I110" s="14" t="s">
        <v>217</v>
      </c>
      <c r="J110" s="11">
        <v>1</v>
      </c>
      <c r="K110" s="9"/>
    </row>
    <row r="111" spans="1:11" ht="13.15" customHeight="1">
      <c r="A111" s="9" t="s">
        <v>237</v>
      </c>
      <c r="B111" s="9" t="s">
        <v>238</v>
      </c>
      <c r="C111" s="10"/>
      <c r="D111" s="10"/>
      <c r="E111" s="10"/>
      <c r="F111" s="10"/>
      <c r="G111" s="10"/>
      <c r="H111" s="10"/>
      <c r="I111" s="14" t="s">
        <v>217</v>
      </c>
      <c r="J111" s="11">
        <v>1</v>
      </c>
      <c r="K111" s="9"/>
    </row>
    <row r="112" spans="1:11" ht="13.15" customHeight="1">
      <c r="A112" s="9" t="s">
        <v>239</v>
      </c>
      <c r="B112" s="9" t="s">
        <v>240</v>
      </c>
      <c r="C112" s="10"/>
      <c r="D112" s="10"/>
      <c r="E112" s="10"/>
      <c r="F112" s="10"/>
      <c r="G112" s="10"/>
      <c r="H112" s="10"/>
      <c r="I112" s="11" t="s">
        <v>16</v>
      </c>
      <c r="J112" s="14" t="s">
        <v>241</v>
      </c>
      <c r="K112" s="13"/>
    </row>
    <row r="113" spans="1:11" ht="13.15" customHeight="1">
      <c r="A113" s="9" t="s">
        <v>242</v>
      </c>
      <c r="B113" s="9" t="s">
        <v>243</v>
      </c>
      <c r="C113" s="10"/>
      <c r="D113" s="10"/>
      <c r="E113" s="10"/>
      <c r="F113" s="10"/>
      <c r="G113" s="10"/>
      <c r="H113" s="10"/>
      <c r="I113" s="11" t="s">
        <v>16</v>
      </c>
      <c r="J113" s="14" t="s">
        <v>241</v>
      </c>
      <c r="K113" s="13"/>
    </row>
    <row r="114" spans="1:11" ht="13.15" customHeight="1">
      <c r="A114" s="9" t="s">
        <v>244</v>
      </c>
      <c r="B114" s="9" t="s">
        <v>245</v>
      </c>
      <c r="C114" s="10"/>
      <c r="D114" s="10"/>
      <c r="E114" s="10"/>
      <c r="F114" s="10"/>
      <c r="G114" s="10"/>
      <c r="H114" s="10"/>
      <c r="I114" s="14" t="s">
        <v>169</v>
      </c>
      <c r="J114" s="14" t="s">
        <v>241</v>
      </c>
      <c r="K114" s="13"/>
    </row>
    <row r="115" spans="1:11" ht="13.15" customHeight="1">
      <c r="A115" s="9" t="s">
        <v>246</v>
      </c>
      <c r="B115" s="9" t="s">
        <v>247</v>
      </c>
      <c r="C115" s="10"/>
      <c r="D115" s="10"/>
      <c r="E115" s="10"/>
      <c r="F115" s="10"/>
      <c r="G115" s="10"/>
      <c r="H115" s="10"/>
      <c r="I115" s="14" t="s">
        <v>169</v>
      </c>
      <c r="J115" s="14" t="s">
        <v>241</v>
      </c>
      <c r="K115" s="13"/>
    </row>
    <row r="116" spans="1:11" ht="13.15" customHeight="1">
      <c r="A116" s="9" t="s">
        <v>248</v>
      </c>
      <c r="B116" s="9" t="s">
        <v>249</v>
      </c>
      <c r="C116" s="10"/>
      <c r="D116" s="10"/>
      <c r="E116" s="10"/>
      <c r="F116" s="10"/>
      <c r="G116" s="10"/>
      <c r="H116" s="10"/>
      <c r="I116" s="14" t="s">
        <v>250</v>
      </c>
      <c r="J116" s="14" t="s">
        <v>241</v>
      </c>
      <c r="K116" s="9" t="s">
        <v>251</v>
      </c>
    </row>
    <row r="117" spans="1:11" ht="13.15" customHeight="1">
      <c r="A117" s="9" t="s">
        <v>252</v>
      </c>
      <c r="B117" s="9" t="s">
        <v>249</v>
      </c>
      <c r="C117" s="10"/>
      <c r="D117" s="10"/>
      <c r="E117" s="10"/>
      <c r="F117" s="10"/>
      <c r="G117" s="10"/>
      <c r="H117" s="10"/>
      <c r="I117" s="14" t="s">
        <v>250</v>
      </c>
      <c r="J117" s="14" t="s">
        <v>241</v>
      </c>
      <c r="K117" s="9" t="s">
        <v>253</v>
      </c>
    </row>
    <row r="118" spans="1:11" ht="13.15" customHeight="1">
      <c r="A118" s="9" t="s">
        <v>254</v>
      </c>
      <c r="B118" s="9" t="s">
        <v>249</v>
      </c>
      <c r="C118" s="10"/>
      <c r="D118" s="10"/>
      <c r="E118" s="10"/>
      <c r="F118" s="10"/>
      <c r="G118" s="10"/>
      <c r="H118" s="10"/>
      <c r="I118" s="14" t="s">
        <v>250</v>
      </c>
      <c r="J118" s="14" t="s">
        <v>241</v>
      </c>
      <c r="K118" s="9" t="s">
        <v>255</v>
      </c>
    </row>
    <row r="119" spans="1:11" ht="13.15" customHeight="1">
      <c r="A119" s="9" t="s">
        <v>256</v>
      </c>
      <c r="B119" s="9" t="s">
        <v>257</v>
      </c>
      <c r="C119" s="10"/>
      <c r="D119" s="10"/>
      <c r="E119" s="10"/>
      <c r="F119" s="10"/>
      <c r="G119" s="10"/>
      <c r="H119" s="10"/>
      <c r="I119" s="14" t="s">
        <v>250</v>
      </c>
      <c r="J119" s="14" t="s">
        <v>241</v>
      </c>
      <c r="K119" s="9"/>
    </row>
    <row r="120" spans="1:11" ht="13.15" customHeight="1">
      <c r="A120" s="9" t="s">
        <v>258</v>
      </c>
      <c r="B120" s="9" t="s">
        <v>259</v>
      </c>
      <c r="C120" s="10"/>
      <c r="D120" s="10"/>
      <c r="E120" s="10"/>
      <c r="F120" s="10"/>
      <c r="G120" s="10"/>
      <c r="H120" s="10"/>
      <c r="I120" s="14" t="s">
        <v>250</v>
      </c>
      <c r="J120" s="14" t="s">
        <v>241</v>
      </c>
      <c r="K120" s="9"/>
    </row>
    <row r="121" spans="1:11" ht="13.15" customHeight="1">
      <c r="A121" s="9" t="s">
        <v>260</v>
      </c>
      <c r="B121" s="9" t="s">
        <v>261</v>
      </c>
      <c r="C121" s="10"/>
      <c r="D121" s="10"/>
      <c r="E121" s="10"/>
      <c r="F121" s="10"/>
      <c r="G121" s="10"/>
      <c r="H121" s="10"/>
      <c r="I121" s="14" t="s">
        <v>250</v>
      </c>
      <c r="J121" s="14" t="s">
        <v>241</v>
      </c>
      <c r="K121" s="9"/>
    </row>
    <row r="122" spans="1:11" ht="13.15" customHeight="1">
      <c r="A122" s="9" t="s">
        <v>262</v>
      </c>
      <c r="B122" s="9" t="s">
        <v>263</v>
      </c>
      <c r="C122" s="10"/>
      <c r="D122" s="10"/>
      <c r="E122" s="10"/>
      <c r="F122" s="10"/>
      <c r="G122" s="10"/>
      <c r="H122" s="10"/>
      <c r="I122" s="14" t="s">
        <v>250</v>
      </c>
      <c r="J122" s="14" t="s">
        <v>241</v>
      </c>
      <c r="K122" s="9"/>
    </row>
    <row r="123" spans="1:11" ht="13.15" customHeight="1">
      <c r="A123" s="9" t="s">
        <v>264</v>
      </c>
      <c r="B123" s="9" t="s">
        <v>265</v>
      </c>
      <c r="C123" s="10"/>
      <c r="D123" s="10"/>
      <c r="E123" s="10"/>
      <c r="F123" s="10"/>
      <c r="G123" s="10"/>
      <c r="H123" s="10"/>
      <c r="I123" s="14" t="s">
        <v>250</v>
      </c>
      <c r="J123" s="14" t="s">
        <v>241</v>
      </c>
      <c r="K123" s="9"/>
    </row>
    <row r="124" spans="1:11" ht="13.15" customHeight="1">
      <c r="A124" s="9" t="s">
        <v>266</v>
      </c>
      <c r="B124" s="9" t="s">
        <v>267</v>
      </c>
      <c r="C124" s="10"/>
      <c r="D124" s="10"/>
      <c r="E124" s="10"/>
      <c r="F124" s="10"/>
      <c r="G124" s="10"/>
      <c r="H124" s="10"/>
      <c r="I124" s="14" t="s">
        <v>250</v>
      </c>
      <c r="J124" s="14" t="s">
        <v>241</v>
      </c>
      <c r="K124" s="9"/>
    </row>
    <row r="125" spans="1:11" ht="13.15" customHeight="1">
      <c r="A125" s="9" t="s">
        <v>268</v>
      </c>
      <c r="B125" s="9" t="s">
        <v>269</v>
      </c>
      <c r="C125" s="10"/>
      <c r="D125" s="10"/>
      <c r="E125" s="10"/>
      <c r="F125" s="10"/>
      <c r="G125" s="10"/>
      <c r="H125" s="10"/>
      <c r="I125" s="11" t="s">
        <v>16</v>
      </c>
      <c r="J125" s="11">
        <v>1</v>
      </c>
      <c r="K125" s="9"/>
    </row>
    <row r="126" spans="1:11" ht="13.15" customHeight="1">
      <c r="A126" s="9" t="s">
        <v>270</v>
      </c>
      <c r="B126" s="9" t="s">
        <v>271</v>
      </c>
      <c r="C126" s="10"/>
      <c r="D126" s="10"/>
      <c r="E126" s="10"/>
      <c r="F126" s="10"/>
      <c r="G126" s="10"/>
      <c r="H126" s="10"/>
      <c r="I126" s="14" t="s">
        <v>169</v>
      </c>
      <c r="J126" s="11">
        <v>1</v>
      </c>
      <c r="K126" s="9"/>
    </row>
    <row r="127" spans="1:11" ht="13.15" customHeight="1">
      <c r="A127" s="9" t="s">
        <v>272</v>
      </c>
      <c r="B127" s="9" t="s">
        <v>273</v>
      </c>
      <c r="C127" s="10"/>
      <c r="D127" s="10"/>
      <c r="E127" s="10"/>
      <c r="F127" s="10"/>
      <c r="G127" s="10"/>
      <c r="H127" s="10"/>
      <c r="I127" s="14" t="s">
        <v>217</v>
      </c>
      <c r="J127" s="11">
        <v>1</v>
      </c>
      <c r="K127" s="9"/>
    </row>
    <row r="128" spans="1:11">
      <c r="A128" s="17" t="s">
        <v>274</v>
      </c>
      <c r="B128" s="9" t="s">
        <v>275</v>
      </c>
      <c r="C128" s="10"/>
      <c r="D128" s="10"/>
      <c r="E128" s="10"/>
      <c r="F128" s="10"/>
      <c r="G128" s="10"/>
      <c r="H128" s="10"/>
      <c r="I128" s="14" t="s">
        <v>217</v>
      </c>
      <c r="J128" s="14" t="s">
        <v>241</v>
      </c>
      <c r="K128" s="13"/>
    </row>
    <row r="129" spans="1:11">
      <c r="A129" s="17" t="s">
        <v>276</v>
      </c>
      <c r="B129" s="9" t="s">
        <v>277</v>
      </c>
      <c r="C129" s="10"/>
      <c r="D129" s="10"/>
      <c r="E129" s="10"/>
      <c r="F129" s="10"/>
      <c r="G129" s="10"/>
      <c r="H129" s="10"/>
      <c r="I129" s="14" t="s">
        <v>217</v>
      </c>
      <c r="J129" s="14" t="s">
        <v>241</v>
      </c>
      <c r="K129" s="13"/>
    </row>
    <row r="130" spans="1:11">
      <c r="A130" s="17" t="s">
        <v>278</v>
      </c>
      <c r="B130" s="9" t="s">
        <v>279</v>
      </c>
      <c r="C130" s="10"/>
      <c r="D130" s="10"/>
      <c r="E130" s="10"/>
      <c r="F130" s="10"/>
      <c r="G130" s="10"/>
      <c r="H130" s="10"/>
      <c r="I130" s="14" t="s">
        <v>217</v>
      </c>
      <c r="J130" s="14" t="s">
        <v>241</v>
      </c>
      <c r="K130" s="13"/>
    </row>
    <row r="131" spans="1:11">
      <c r="A131" s="17" t="s">
        <v>280</v>
      </c>
      <c r="B131" s="9" t="s">
        <v>281</v>
      </c>
      <c r="C131" s="10"/>
      <c r="D131" s="10"/>
      <c r="E131" s="10"/>
      <c r="F131" s="10"/>
      <c r="G131" s="10"/>
      <c r="H131" s="10"/>
      <c r="I131" s="14" t="s">
        <v>217</v>
      </c>
      <c r="J131" s="14" t="s">
        <v>241</v>
      </c>
      <c r="K131" s="13"/>
    </row>
    <row r="132" spans="1:11">
      <c r="A132" s="17" t="s">
        <v>282</v>
      </c>
      <c r="B132" s="9" t="s">
        <v>283</v>
      </c>
      <c r="C132" s="10"/>
      <c r="D132" s="10"/>
      <c r="E132" s="10"/>
      <c r="F132" s="10"/>
      <c r="G132" s="10"/>
      <c r="H132" s="10"/>
      <c r="I132" s="14" t="s">
        <v>217</v>
      </c>
      <c r="J132" s="14" t="s">
        <v>241</v>
      </c>
      <c r="K132" s="13"/>
    </row>
    <row r="133" spans="1:11">
      <c r="A133" s="17" t="s">
        <v>284</v>
      </c>
      <c r="B133" s="9" t="s">
        <v>285</v>
      </c>
      <c r="C133" s="10"/>
      <c r="D133" s="10"/>
      <c r="E133" s="10"/>
      <c r="F133" s="10"/>
      <c r="G133" s="10"/>
      <c r="H133" s="10"/>
      <c r="I133" s="14" t="s">
        <v>217</v>
      </c>
      <c r="J133" s="14" t="s">
        <v>241</v>
      </c>
      <c r="K133" s="13"/>
    </row>
    <row r="134" spans="1:11">
      <c r="A134" s="17" t="s">
        <v>286</v>
      </c>
      <c r="B134" s="9" t="s">
        <v>287</v>
      </c>
      <c r="C134" s="10"/>
      <c r="D134" s="10"/>
      <c r="E134" s="10"/>
      <c r="F134" s="10"/>
      <c r="G134" s="10"/>
      <c r="H134" s="10"/>
      <c r="I134" s="14" t="s">
        <v>217</v>
      </c>
      <c r="J134" s="14" t="s">
        <v>241</v>
      </c>
      <c r="K134" s="13"/>
    </row>
    <row r="135" spans="1:11">
      <c r="A135" s="17" t="s">
        <v>288</v>
      </c>
      <c r="B135" s="9" t="s">
        <v>289</v>
      </c>
      <c r="C135" s="10"/>
      <c r="D135" s="10"/>
      <c r="E135" s="10"/>
      <c r="F135" s="10"/>
      <c r="G135" s="10"/>
      <c r="H135" s="10"/>
      <c r="I135" s="14" t="s">
        <v>217</v>
      </c>
      <c r="J135" s="14" t="s">
        <v>241</v>
      </c>
      <c r="K135" s="13"/>
    </row>
    <row r="136" spans="1:11">
      <c r="A136" s="17" t="s">
        <v>290</v>
      </c>
      <c r="B136" s="9" t="s">
        <v>291</v>
      </c>
      <c r="C136" s="10"/>
      <c r="D136" s="10"/>
      <c r="E136" s="10"/>
      <c r="F136" s="10"/>
      <c r="G136" s="10"/>
      <c r="H136" s="10"/>
      <c r="I136" s="14" t="s">
        <v>217</v>
      </c>
      <c r="J136" s="14" t="s">
        <v>241</v>
      </c>
      <c r="K136" s="13"/>
    </row>
    <row r="137" spans="1:11">
      <c r="A137" s="17" t="s">
        <v>292</v>
      </c>
      <c r="B137" s="9" t="s">
        <v>293</v>
      </c>
      <c r="C137" s="10"/>
      <c r="D137" s="10"/>
      <c r="E137" s="10"/>
      <c r="F137" s="10"/>
      <c r="G137" s="10"/>
      <c r="H137" s="10"/>
      <c r="I137" s="14" t="s">
        <v>217</v>
      </c>
      <c r="J137" s="14" t="s">
        <v>241</v>
      </c>
      <c r="K137" s="13"/>
    </row>
    <row r="138" spans="1:11">
      <c r="A138" s="17" t="s">
        <v>294</v>
      </c>
      <c r="B138" s="9" t="s">
        <v>295</v>
      </c>
      <c r="C138" s="10"/>
      <c r="D138" s="10"/>
      <c r="E138" s="10"/>
      <c r="F138" s="10"/>
      <c r="G138" s="10"/>
      <c r="H138" s="10"/>
      <c r="I138" s="14" t="s">
        <v>217</v>
      </c>
      <c r="J138" s="14" t="s">
        <v>241</v>
      </c>
      <c r="K138" s="13"/>
    </row>
    <row r="139" spans="1:11">
      <c r="A139" s="17" t="s">
        <v>296</v>
      </c>
      <c r="B139" s="9" t="s">
        <v>297</v>
      </c>
      <c r="C139" s="10"/>
      <c r="D139" s="10"/>
      <c r="E139" s="10"/>
      <c r="F139" s="10"/>
      <c r="G139" s="10"/>
      <c r="H139" s="10"/>
      <c r="I139" s="14" t="s">
        <v>217</v>
      </c>
      <c r="J139" s="14" t="s">
        <v>241</v>
      </c>
      <c r="K139" s="13"/>
    </row>
    <row r="140" spans="1:11">
      <c r="A140" s="17" t="s">
        <v>298</v>
      </c>
      <c r="B140" s="9" t="s">
        <v>299</v>
      </c>
      <c r="C140" s="10"/>
      <c r="D140" s="10"/>
      <c r="E140" s="10"/>
      <c r="F140" s="10"/>
      <c r="G140" s="10"/>
      <c r="H140" s="10"/>
      <c r="I140" s="14" t="s">
        <v>217</v>
      </c>
      <c r="J140" s="14" t="s">
        <v>241</v>
      </c>
      <c r="K140" s="13"/>
    </row>
    <row r="141" spans="1:11">
      <c r="A141" s="17" t="s">
        <v>300</v>
      </c>
      <c r="B141" s="9" t="s">
        <v>301</v>
      </c>
      <c r="C141" s="10"/>
      <c r="D141" s="10"/>
      <c r="E141" s="10"/>
      <c r="F141" s="10"/>
      <c r="G141" s="10"/>
      <c r="H141" s="10"/>
      <c r="I141" s="14" t="s">
        <v>217</v>
      </c>
      <c r="J141" s="14" t="s">
        <v>241</v>
      </c>
      <c r="K141" s="13"/>
    </row>
    <row r="142" spans="1:11">
      <c r="A142" s="17" t="s">
        <v>302</v>
      </c>
      <c r="B142" s="9" t="s">
        <v>303</v>
      </c>
      <c r="C142" s="10"/>
      <c r="D142" s="10"/>
      <c r="E142" s="10"/>
      <c r="F142" s="10"/>
      <c r="G142" s="10"/>
      <c r="H142" s="10"/>
      <c r="I142" s="14" t="s">
        <v>217</v>
      </c>
      <c r="J142" s="14" t="s">
        <v>241</v>
      </c>
      <c r="K142" s="13"/>
    </row>
    <row r="143" spans="1:11">
      <c r="A143" s="17" t="s">
        <v>304</v>
      </c>
      <c r="B143" s="9" t="s">
        <v>305</v>
      </c>
      <c r="C143" s="10"/>
      <c r="D143" s="10"/>
      <c r="E143" s="10"/>
      <c r="F143" s="10"/>
      <c r="G143" s="10"/>
      <c r="H143" s="10"/>
      <c r="I143" s="14" t="s">
        <v>217</v>
      </c>
      <c r="J143" s="14" t="s">
        <v>241</v>
      </c>
      <c r="K143" s="13"/>
    </row>
    <row r="144" spans="1:11">
      <c r="A144" s="17" t="s">
        <v>306</v>
      </c>
      <c r="B144" s="9" t="s">
        <v>307</v>
      </c>
      <c r="C144" s="10"/>
      <c r="D144" s="10"/>
      <c r="E144" s="10"/>
      <c r="F144" s="10"/>
      <c r="G144" s="10"/>
      <c r="H144" s="10"/>
      <c r="I144" s="14" t="s">
        <v>217</v>
      </c>
      <c r="J144" s="14" t="s">
        <v>241</v>
      </c>
      <c r="K144" s="13"/>
    </row>
    <row r="145" spans="1:11">
      <c r="A145" s="17" t="s">
        <v>308</v>
      </c>
      <c r="B145" s="9" t="s">
        <v>309</v>
      </c>
      <c r="C145" s="10"/>
      <c r="D145" s="10"/>
      <c r="E145" s="10"/>
      <c r="F145" s="10"/>
      <c r="G145" s="10"/>
      <c r="H145" s="10"/>
      <c r="I145" s="14" t="s">
        <v>217</v>
      </c>
      <c r="J145" s="14" t="s">
        <v>241</v>
      </c>
      <c r="K145" s="13"/>
    </row>
    <row r="146" spans="1:11">
      <c r="A146" s="17" t="s">
        <v>310</v>
      </c>
      <c r="B146" s="9" t="s">
        <v>311</v>
      </c>
      <c r="C146" s="10"/>
      <c r="D146" s="10"/>
      <c r="E146" s="10"/>
      <c r="F146" s="10"/>
      <c r="G146" s="10"/>
      <c r="H146" s="10"/>
      <c r="I146" s="14" t="s">
        <v>217</v>
      </c>
      <c r="J146" s="14" t="s">
        <v>241</v>
      </c>
      <c r="K146" s="13"/>
    </row>
    <row r="147" spans="1:11">
      <c r="A147" s="17" t="s">
        <v>312</v>
      </c>
      <c r="B147" s="9" t="s">
        <v>313</v>
      </c>
      <c r="C147" s="10"/>
      <c r="D147" s="10"/>
      <c r="E147" s="10"/>
      <c r="F147" s="10"/>
      <c r="G147" s="10"/>
      <c r="H147" s="10"/>
      <c r="I147" s="14" t="s">
        <v>217</v>
      </c>
      <c r="J147" s="14" t="s">
        <v>241</v>
      </c>
      <c r="K147" s="13"/>
    </row>
    <row r="148" spans="1:11">
      <c r="A148" s="17" t="s">
        <v>314</v>
      </c>
      <c r="B148" s="9" t="s">
        <v>315</v>
      </c>
      <c r="C148" s="10"/>
      <c r="D148" s="10"/>
      <c r="E148" s="10"/>
      <c r="F148" s="10"/>
      <c r="G148" s="10"/>
      <c r="H148" s="10"/>
      <c r="I148" s="14" t="s">
        <v>217</v>
      </c>
      <c r="J148" s="14" t="s">
        <v>241</v>
      </c>
      <c r="K148" s="13"/>
    </row>
    <row r="149" spans="1:11">
      <c r="A149" s="17" t="s">
        <v>316</v>
      </c>
      <c r="B149" s="9" t="s">
        <v>317</v>
      </c>
      <c r="C149" s="10"/>
      <c r="D149" s="10"/>
      <c r="E149" s="10"/>
      <c r="F149" s="10"/>
      <c r="G149" s="10"/>
      <c r="H149" s="10"/>
      <c r="I149" s="14" t="s">
        <v>217</v>
      </c>
      <c r="J149" s="14" t="s">
        <v>241</v>
      </c>
      <c r="K149" s="13"/>
    </row>
    <row r="150" spans="1:11" ht="13.15" customHeight="1">
      <c r="A150" s="17" t="s">
        <v>318</v>
      </c>
      <c r="B150" s="9" t="s">
        <v>319</v>
      </c>
      <c r="C150" s="10"/>
      <c r="D150" s="10"/>
      <c r="E150" s="10"/>
      <c r="F150" s="10"/>
      <c r="G150" s="10"/>
      <c r="H150" s="10"/>
      <c r="I150" s="11" t="s">
        <v>16</v>
      </c>
      <c r="J150" s="14" t="s">
        <v>241</v>
      </c>
      <c r="K150" s="13"/>
    </row>
    <row r="151" spans="1:11" ht="13.15" customHeight="1">
      <c r="A151" s="17" t="s">
        <v>320</v>
      </c>
      <c r="B151" s="9" t="s">
        <v>321</v>
      </c>
      <c r="C151" s="10"/>
      <c r="D151" s="10"/>
      <c r="E151" s="10"/>
      <c r="F151" s="10"/>
      <c r="G151" s="10"/>
      <c r="H151" s="10"/>
      <c r="I151" s="11" t="s">
        <v>16</v>
      </c>
      <c r="J151" s="14" t="s">
        <v>241</v>
      </c>
      <c r="K151" s="13"/>
    </row>
    <row r="152" spans="1:11" ht="13.15" customHeight="1">
      <c r="A152" s="17" t="s">
        <v>322</v>
      </c>
      <c r="B152" s="9" t="s">
        <v>323</v>
      </c>
      <c r="C152" s="10"/>
      <c r="D152" s="10"/>
      <c r="E152" s="10"/>
      <c r="F152" s="10"/>
      <c r="G152" s="10"/>
      <c r="H152" s="10"/>
      <c r="I152" s="11" t="s">
        <v>16</v>
      </c>
      <c r="J152" s="14" t="s">
        <v>241</v>
      </c>
      <c r="K152" s="13"/>
    </row>
    <row r="153" spans="1:11" ht="13.15" customHeight="1">
      <c r="A153" s="17" t="s">
        <v>324</v>
      </c>
      <c r="B153" s="9" t="s">
        <v>325</v>
      </c>
      <c r="C153" s="10"/>
      <c r="D153" s="10"/>
      <c r="E153" s="10"/>
      <c r="F153" s="10"/>
      <c r="G153" s="10"/>
      <c r="H153" s="10"/>
      <c r="I153" s="11" t="s">
        <v>16</v>
      </c>
      <c r="J153" s="14" t="s">
        <v>241</v>
      </c>
      <c r="K153" s="13"/>
    </row>
    <row r="154" spans="1:11" ht="13.15" customHeight="1">
      <c r="A154" s="17" t="s">
        <v>326</v>
      </c>
      <c r="B154" s="9" t="s">
        <v>327</v>
      </c>
      <c r="C154" s="10"/>
      <c r="D154" s="10"/>
      <c r="E154" s="10"/>
      <c r="F154" s="10"/>
      <c r="G154" s="10"/>
      <c r="H154" s="10"/>
      <c r="I154" s="11" t="s">
        <v>16</v>
      </c>
      <c r="J154" s="14" t="s">
        <v>241</v>
      </c>
      <c r="K154" s="13"/>
    </row>
    <row r="155" spans="1:11" ht="13.15" customHeight="1">
      <c r="A155" s="17" t="s">
        <v>328</v>
      </c>
      <c r="B155" s="9" t="s">
        <v>329</v>
      </c>
      <c r="C155" s="10"/>
      <c r="D155" s="10"/>
      <c r="E155" s="10"/>
      <c r="F155" s="10"/>
      <c r="G155" s="10"/>
      <c r="H155" s="10"/>
      <c r="I155" s="11" t="s">
        <v>16</v>
      </c>
      <c r="J155" s="14" t="s">
        <v>241</v>
      </c>
      <c r="K155" s="13"/>
    </row>
    <row r="156" spans="1:11" ht="13.15" customHeight="1">
      <c r="A156" s="17" t="s">
        <v>330</v>
      </c>
      <c r="B156" s="9" t="s">
        <v>331</v>
      </c>
      <c r="C156" s="10"/>
      <c r="D156" s="10"/>
      <c r="E156" s="10"/>
      <c r="F156" s="10"/>
      <c r="G156" s="10"/>
      <c r="H156" s="10"/>
      <c r="I156" s="11" t="s">
        <v>16</v>
      </c>
      <c r="J156" s="14" t="s">
        <v>241</v>
      </c>
      <c r="K156" s="13"/>
    </row>
    <row r="157" spans="1:11" ht="13.15" customHeight="1">
      <c r="A157" s="17" t="s">
        <v>332</v>
      </c>
      <c r="B157" s="9" t="s">
        <v>333</v>
      </c>
      <c r="C157" s="10"/>
      <c r="D157" s="10"/>
      <c r="E157" s="10"/>
      <c r="F157" s="10"/>
      <c r="G157" s="10"/>
      <c r="H157" s="10"/>
      <c r="I157" s="11" t="s">
        <v>16</v>
      </c>
      <c r="J157" s="14" t="s">
        <v>241</v>
      </c>
      <c r="K157" s="13"/>
    </row>
    <row r="158" spans="1:11" ht="13.15" customHeight="1">
      <c r="A158" s="17" t="s">
        <v>334</v>
      </c>
      <c r="B158" s="9" t="s">
        <v>335</v>
      </c>
      <c r="C158" s="10"/>
      <c r="D158" s="10"/>
      <c r="E158" s="10"/>
      <c r="F158" s="10"/>
      <c r="G158" s="10"/>
      <c r="H158" s="10"/>
      <c r="I158" s="11" t="s">
        <v>16</v>
      </c>
      <c r="J158" s="14" t="s">
        <v>241</v>
      </c>
      <c r="K158" s="13"/>
    </row>
    <row r="159" spans="1:11" ht="13.15" customHeight="1">
      <c r="A159" s="17" t="s">
        <v>336</v>
      </c>
      <c r="B159" s="9" t="s">
        <v>337</v>
      </c>
      <c r="C159" s="10"/>
      <c r="D159" s="10"/>
      <c r="E159" s="10"/>
      <c r="F159" s="10"/>
      <c r="G159" s="10"/>
      <c r="H159" s="10"/>
      <c r="I159" s="11" t="s">
        <v>16</v>
      </c>
      <c r="J159" s="14" t="s">
        <v>241</v>
      </c>
      <c r="K159" s="13"/>
    </row>
    <row r="160" spans="1:11" ht="13.15" customHeight="1">
      <c r="A160" s="17" t="s">
        <v>338</v>
      </c>
      <c r="B160" s="9" t="s">
        <v>339</v>
      </c>
      <c r="C160" s="10"/>
      <c r="D160" s="10"/>
      <c r="E160" s="10"/>
      <c r="F160" s="10"/>
      <c r="G160" s="10"/>
      <c r="H160" s="10"/>
      <c r="I160" s="14" t="s">
        <v>169</v>
      </c>
      <c r="J160" s="14" t="s">
        <v>241</v>
      </c>
      <c r="K160" s="13"/>
    </row>
    <row r="161" spans="1:11" ht="13.15" customHeight="1">
      <c r="A161" s="17" t="s">
        <v>340</v>
      </c>
      <c r="B161" s="9" t="s">
        <v>341</v>
      </c>
      <c r="C161" s="10"/>
      <c r="D161" s="10"/>
      <c r="E161" s="10"/>
      <c r="F161" s="10"/>
      <c r="G161" s="10"/>
      <c r="H161" s="10"/>
      <c r="I161" s="14" t="s">
        <v>169</v>
      </c>
      <c r="J161" s="14" t="s">
        <v>241</v>
      </c>
      <c r="K161" s="13"/>
    </row>
    <row r="162" spans="1:11">
      <c r="A162" s="17" t="s">
        <v>342</v>
      </c>
      <c r="B162" s="9" t="s">
        <v>343</v>
      </c>
      <c r="C162" s="10"/>
      <c r="D162" s="10"/>
      <c r="E162" s="10"/>
      <c r="F162" s="10"/>
      <c r="G162" s="10"/>
      <c r="H162" s="10"/>
      <c r="I162" s="14" t="s">
        <v>169</v>
      </c>
      <c r="J162" s="14" t="s">
        <v>241</v>
      </c>
      <c r="K162" s="13"/>
    </row>
    <row r="163" spans="1:11">
      <c r="A163" s="17" t="s">
        <v>344</v>
      </c>
      <c r="B163" s="9" t="s">
        <v>345</v>
      </c>
      <c r="C163" s="10"/>
      <c r="D163" s="10"/>
      <c r="E163" s="10"/>
      <c r="F163" s="10"/>
      <c r="G163" s="10"/>
      <c r="H163" s="10"/>
      <c r="I163" s="14" t="s">
        <v>169</v>
      </c>
      <c r="J163" s="14" t="s">
        <v>241</v>
      </c>
      <c r="K163" s="13"/>
    </row>
    <row r="164" spans="1:11" ht="13.15" customHeight="1">
      <c r="A164" s="17" t="s">
        <v>346</v>
      </c>
      <c r="B164" s="9" t="s">
        <v>347</v>
      </c>
      <c r="C164" s="10"/>
      <c r="D164" s="10"/>
      <c r="E164" s="10"/>
      <c r="F164" s="10"/>
      <c r="G164" s="10"/>
      <c r="H164" s="10"/>
      <c r="I164" s="14" t="s">
        <v>169</v>
      </c>
      <c r="J164" s="14" t="s">
        <v>241</v>
      </c>
      <c r="K164" s="13"/>
    </row>
    <row r="165" spans="1:11" ht="13.15" customHeight="1">
      <c r="A165" s="17" t="s">
        <v>348</v>
      </c>
      <c r="B165" s="9" t="s">
        <v>349</v>
      </c>
      <c r="C165" s="10"/>
      <c r="D165" s="10"/>
      <c r="E165" s="10"/>
      <c r="F165" s="10"/>
      <c r="G165" s="10"/>
      <c r="H165" s="10"/>
      <c r="I165" s="14" t="s">
        <v>169</v>
      </c>
      <c r="J165" s="14" t="s">
        <v>241</v>
      </c>
      <c r="K165" s="13"/>
    </row>
    <row r="166" spans="1:11" ht="13.15" customHeight="1">
      <c r="A166" s="17" t="s">
        <v>350</v>
      </c>
      <c r="B166" s="9" t="s">
        <v>351</v>
      </c>
      <c r="C166" s="10"/>
      <c r="D166" s="10"/>
      <c r="E166" s="10"/>
      <c r="F166" s="10"/>
      <c r="G166" s="10"/>
      <c r="H166" s="10"/>
      <c r="I166" s="14" t="s">
        <v>169</v>
      </c>
      <c r="J166" s="14" t="s">
        <v>241</v>
      </c>
      <c r="K166" s="13"/>
    </row>
    <row r="167" spans="1:11" ht="13.15" customHeight="1">
      <c r="A167" s="17" t="s">
        <v>352</v>
      </c>
      <c r="B167" s="9" t="s">
        <v>353</v>
      </c>
      <c r="C167" s="10"/>
      <c r="D167" s="10"/>
      <c r="E167" s="10"/>
      <c r="F167" s="10"/>
      <c r="G167" s="10"/>
      <c r="H167" s="10"/>
      <c r="I167" s="14" t="s">
        <v>169</v>
      </c>
      <c r="J167" s="14" t="s">
        <v>241</v>
      </c>
      <c r="K167" s="13"/>
    </row>
    <row r="168" spans="1:11">
      <c r="A168" s="17" t="s">
        <v>354</v>
      </c>
      <c r="B168" s="9" t="s">
        <v>355</v>
      </c>
      <c r="C168" s="10"/>
      <c r="D168" s="10"/>
      <c r="E168" s="10"/>
      <c r="F168" s="10"/>
      <c r="G168" s="10"/>
      <c r="H168" s="10"/>
      <c r="I168" s="14" t="s">
        <v>169</v>
      </c>
      <c r="J168" s="14" t="s">
        <v>241</v>
      </c>
      <c r="K168" s="13"/>
    </row>
    <row r="169" spans="1:11">
      <c r="A169" s="17" t="s">
        <v>356</v>
      </c>
      <c r="B169" s="9" t="s">
        <v>357</v>
      </c>
      <c r="C169" s="10"/>
      <c r="D169" s="10"/>
      <c r="E169" s="10"/>
      <c r="F169" s="10"/>
      <c r="G169" s="10"/>
      <c r="H169" s="10"/>
      <c r="I169" s="14" t="s">
        <v>169</v>
      </c>
      <c r="J169" s="14" t="s">
        <v>241</v>
      </c>
      <c r="K169" s="13"/>
    </row>
    <row r="170" spans="1:11">
      <c r="A170" s="17" t="s">
        <v>358</v>
      </c>
      <c r="B170" s="9" t="s">
        <v>359</v>
      </c>
      <c r="C170" s="10"/>
      <c r="D170" s="10"/>
      <c r="E170" s="10"/>
      <c r="F170" s="10"/>
      <c r="G170" s="10"/>
      <c r="H170" s="10"/>
      <c r="I170" s="14" t="s">
        <v>217</v>
      </c>
      <c r="J170" s="14" t="s">
        <v>241</v>
      </c>
      <c r="K170" s="13"/>
    </row>
    <row r="171" spans="1:11">
      <c r="A171" s="17" t="s">
        <v>360</v>
      </c>
      <c r="B171" s="9" t="s">
        <v>361</v>
      </c>
      <c r="C171" s="10"/>
      <c r="D171" s="10"/>
      <c r="E171" s="10"/>
      <c r="F171" s="10"/>
      <c r="G171" s="10"/>
      <c r="H171" s="10"/>
      <c r="I171" s="14" t="s">
        <v>217</v>
      </c>
      <c r="J171" s="14" t="s">
        <v>241</v>
      </c>
      <c r="K171" s="13"/>
    </row>
    <row r="172" spans="1:11">
      <c r="A172" s="17" t="s">
        <v>362</v>
      </c>
      <c r="B172" s="9" t="s">
        <v>363</v>
      </c>
      <c r="C172" s="10"/>
      <c r="D172" s="10"/>
      <c r="E172" s="10"/>
      <c r="F172" s="10"/>
      <c r="G172" s="10"/>
      <c r="H172" s="10"/>
      <c r="I172" s="14" t="s">
        <v>217</v>
      </c>
      <c r="J172" s="14" t="s">
        <v>241</v>
      </c>
      <c r="K172" s="13"/>
    </row>
    <row r="173" spans="1:11">
      <c r="A173" s="17" t="s">
        <v>364</v>
      </c>
      <c r="B173" s="9" t="s">
        <v>365</v>
      </c>
      <c r="C173" s="10"/>
      <c r="D173" s="10"/>
      <c r="E173" s="10"/>
      <c r="F173" s="10"/>
      <c r="G173" s="10"/>
      <c r="H173" s="10"/>
      <c r="I173" s="14" t="s">
        <v>217</v>
      </c>
      <c r="J173" s="14" t="s">
        <v>241</v>
      </c>
      <c r="K173" s="13"/>
    </row>
    <row r="174" spans="1:11">
      <c r="A174" s="17" t="s">
        <v>366</v>
      </c>
      <c r="B174" s="9" t="s">
        <v>367</v>
      </c>
      <c r="C174" s="10"/>
      <c r="D174" s="10"/>
      <c r="E174" s="10"/>
      <c r="F174" s="10"/>
      <c r="G174" s="10"/>
      <c r="H174" s="10"/>
      <c r="I174" s="14" t="s">
        <v>217</v>
      </c>
      <c r="J174" s="14" t="s">
        <v>241</v>
      </c>
      <c r="K174" s="13"/>
    </row>
    <row r="175" spans="1:11">
      <c r="A175" s="17" t="s">
        <v>368</v>
      </c>
      <c r="B175" s="9" t="s">
        <v>369</v>
      </c>
      <c r="C175" s="10"/>
      <c r="D175" s="10"/>
      <c r="E175" s="10"/>
      <c r="F175" s="10"/>
      <c r="G175" s="10"/>
      <c r="H175" s="10"/>
      <c r="I175" s="14" t="s">
        <v>217</v>
      </c>
      <c r="J175" s="14" t="s">
        <v>241</v>
      </c>
      <c r="K175" s="13"/>
    </row>
    <row r="176" spans="1:11">
      <c r="A176" s="17" t="s">
        <v>370</v>
      </c>
      <c r="B176" s="9" t="s">
        <v>371</v>
      </c>
      <c r="C176" s="10"/>
      <c r="D176" s="10"/>
      <c r="E176" s="10"/>
      <c r="F176" s="10"/>
      <c r="G176" s="10"/>
      <c r="H176" s="10"/>
      <c r="I176" s="14" t="s">
        <v>217</v>
      </c>
      <c r="J176" s="14" t="s">
        <v>241</v>
      </c>
      <c r="K176" s="13"/>
    </row>
    <row r="177" spans="1:11">
      <c r="A177" s="17" t="s">
        <v>372</v>
      </c>
      <c r="B177" s="9" t="s">
        <v>373</v>
      </c>
      <c r="C177" s="10"/>
      <c r="D177" s="10"/>
      <c r="E177" s="10"/>
      <c r="F177" s="10"/>
      <c r="G177" s="10"/>
      <c r="H177" s="10"/>
      <c r="I177" s="14" t="s">
        <v>217</v>
      </c>
      <c r="J177" s="14" t="s">
        <v>241</v>
      </c>
      <c r="K177" s="13"/>
    </row>
    <row r="178" spans="1:11">
      <c r="A178" s="17" t="s">
        <v>374</v>
      </c>
      <c r="B178" s="9" t="s">
        <v>375</v>
      </c>
      <c r="C178" s="10"/>
      <c r="D178" s="10"/>
      <c r="E178" s="10"/>
      <c r="F178" s="10"/>
      <c r="G178" s="10"/>
      <c r="H178" s="10"/>
      <c r="I178" s="14" t="s">
        <v>217</v>
      </c>
      <c r="J178" s="14" t="s">
        <v>241</v>
      </c>
      <c r="K178" s="13"/>
    </row>
    <row r="179" spans="1:11">
      <c r="A179" s="17" t="s">
        <v>376</v>
      </c>
      <c r="B179" s="9" t="s">
        <v>377</v>
      </c>
      <c r="C179" s="10"/>
      <c r="D179" s="10"/>
      <c r="E179" s="10"/>
      <c r="F179" s="10"/>
      <c r="G179" s="10"/>
      <c r="H179" s="10"/>
      <c r="I179" s="14" t="s">
        <v>217</v>
      </c>
      <c r="J179" s="14" t="s">
        <v>241</v>
      </c>
      <c r="K179" s="13"/>
    </row>
    <row r="180" spans="1:11">
      <c r="A180" s="17" t="s">
        <v>378</v>
      </c>
      <c r="B180" s="9" t="s">
        <v>379</v>
      </c>
      <c r="C180" s="10"/>
      <c r="D180" s="10"/>
      <c r="E180" s="10"/>
      <c r="F180" s="10"/>
      <c r="G180" s="10"/>
      <c r="H180" s="10"/>
      <c r="I180" s="14" t="s">
        <v>217</v>
      </c>
      <c r="J180" s="14" t="s">
        <v>241</v>
      </c>
      <c r="K180" s="13"/>
    </row>
    <row r="181" spans="1:11">
      <c r="A181" s="17" t="s">
        <v>380</v>
      </c>
      <c r="B181" s="9" t="s">
        <v>381</v>
      </c>
      <c r="C181" s="10"/>
      <c r="D181" s="10"/>
      <c r="E181" s="10"/>
      <c r="F181" s="10"/>
      <c r="G181" s="10"/>
      <c r="H181" s="10"/>
      <c r="I181" s="14" t="s">
        <v>217</v>
      </c>
      <c r="J181" s="14" t="s">
        <v>241</v>
      </c>
      <c r="K181" s="9"/>
    </row>
    <row r="182" spans="1:11">
      <c r="A182" s="17" t="s">
        <v>382</v>
      </c>
      <c r="B182" s="9" t="s">
        <v>383</v>
      </c>
      <c r="C182" s="10"/>
      <c r="D182" s="10"/>
      <c r="E182" s="10"/>
      <c r="F182" s="10"/>
      <c r="G182" s="10"/>
      <c r="H182" s="10"/>
      <c r="I182" s="14" t="s">
        <v>217</v>
      </c>
      <c r="J182" s="14" t="s">
        <v>241</v>
      </c>
      <c r="K182" s="9"/>
    </row>
    <row r="183" spans="1:11">
      <c r="A183" s="17" t="s">
        <v>384</v>
      </c>
      <c r="B183" s="9" t="s">
        <v>385</v>
      </c>
      <c r="C183" s="10"/>
      <c r="D183" s="10"/>
      <c r="E183" s="10"/>
      <c r="F183" s="10"/>
      <c r="G183" s="10"/>
      <c r="H183" s="10"/>
      <c r="I183" s="14" t="s">
        <v>217</v>
      </c>
      <c r="J183" s="14" t="s">
        <v>241</v>
      </c>
      <c r="K183" s="9"/>
    </row>
    <row r="184" spans="1:11">
      <c r="A184" s="17" t="s">
        <v>386</v>
      </c>
      <c r="B184" s="9" t="s">
        <v>387</v>
      </c>
      <c r="C184" s="10"/>
      <c r="D184" s="10"/>
      <c r="E184" s="10"/>
      <c r="F184" s="10"/>
      <c r="G184" s="10"/>
      <c r="H184" s="10"/>
      <c r="I184" s="14" t="s">
        <v>217</v>
      </c>
      <c r="J184" s="14" t="s">
        <v>241</v>
      </c>
      <c r="K184" s="9"/>
    </row>
    <row r="185" spans="1:11">
      <c r="A185" s="17" t="s">
        <v>388</v>
      </c>
      <c r="B185" s="9" t="s">
        <v>389</v>
      </c>
      <c r="C185" s="10"/>
      <c r="D185" s="10"/>
      <c r="E185" s="10"/>
      <c r="F185" s="10"/>
      <c r="G185" s="10"/>
      <c r="H185" s="10"/>
      <c r="I185" s="14" t="s">
        <v>217</v>
      </c>
      <c r="J185" s="14" t="s">
        <v>241</v>
      </c>
      <c r="K185" s="9"/>
    </row>
    <row r="186" spans="1:11">
      <c r="A186" s="17" t="s">
        <v>390</v>
      </c>
      <c r="B186" s="9" t="s">
        <v>391</v>
      </c>
      <c r="C186" s="10"/>
      <c r="D186" s="10"/>
      <c r="E186" s="10"/>
      <c r="F186" s="10"/>
      <c r="G186" s="10"/>
      <c r="H186" s="10"/>
      <c r="I186" s="14" t="s">
        <v>217</v>
      </c>
      <c r="J186" s="14" t="s">
        <v>241</v>
      </c>
      <c r="K186" s="9"/>
    </row>
    <row r="187" spans="1:11">
      <c r="A187" s="17" t="s">
        <v>392</v>
      </c>
      <c r="B187" s="9" t="s">
        <v>393</v>
      </c>
      <c r="C187" s="10"/>
      <c r="D187" s="10"/>
      <c r="E187" s="10"/>
      <c r="F187" s="10"/>
      <c r="G187" s="10"/>
      <c r="H187" s="10"/>
      <c r="I187" s="14" t="s">
        <v>217</v>
      </c>
      <c r="J187" s="14" t="s">
        <v>241</v>
      </c>
      <c r="K187" s="9"/>
    </row>
    <row r="188" spans="1:11">
      <c r="A188" s="17" t="s">
        <v>394</v>
      </c>
      <c r="B188" s="9" t="s">
        <v>395</v>
      </c>
      <c r="C188" s="10"/>
      <c r="D188" s="10"/>
      <c r="E188" s="10"/>
      <c r="F188" s="10"/>
      <c r="G188" s="10"/>
      <c r="H188" s="10"/>
      <c r="I188" s="14" t="s">
        <v>217</v>
      </c>
      <c r="J188" s="14" t="s">
        <v>241</v>
      </c>
      <c r="K188" s="9"/>
    </row>
    <row r="189" spans="1:11">
      <c r="A189" s="17" t="s">
        <v>396</v>
      </c>
      <c r="B189" s="9" t="s">
        <v>397</v>
      </c>
      <c r="C189" s="10"/>
      <c r="D189" s="10"/>
      <c r="E189" s="10"/>
      <c r="F189" s="10"/>
      <c r="G189" s="10"/>
      <c r="H189" s="10"/>
      <c r="I189" s="14" t="s">
        <v>217</v>
      </c>
      <c r="J189" s="14" t="s">
        <v>241</v>
      </c>
      <c r="K189" s="9"/>
    </row>
    <row r="190" spans="1:11">
      <c r="A190" s="17" t="s">
        <v>398</v>
      </c>
      <c r="B190" s="9" t="s">
        <v>399</v>
      </c>
      <c r="C190" s="10"/>
      <c r="D190" s="10"/>
      <c r="E190" s="10"/>
      <c r="F190" s="10"/>
      <c r="G190" s="10"/>
      <c r="H190" s="10"/>
      <c r="I190" s="14" t="s">
        <v>217</v>
      </c>
      <c r="J190" s="14" t="s">
        <v>241</v>
      </c>
      <c r="K190" s="9"/>
    </row>
    <row r="191" spans="1:11">
      <c r="A191" s="17" t="s">
        <v>400</v>
      </c>
      <c r="B191" s="9" t="s">
        <v>401</v>
      </c>
      <c r="C191" s="10"/>
      <c r="D191" s="10"/>
      <c r="E191" s="10"/>
      <c r="F191" s="10"/>
      <c r="G191" s="10"/>
      <c r="H191" s="10"/>
      <c r="I191" s="14" t="s">
        <v>217</v>
      </c>
      <c r="J191" s="14" t="s">
        <v>241</v>
      </c>
      <c r="K191" s="9"/>
    </row>
    <row r="192" spans="1:11">
      <c r="A192" s="17" t="s">
        <v>402</v>
      </c>
      <c r="B192" s="9" t="s">
        <v>403</v>
      </c>
      <c r="C192" s="10"/>
      <c r="D192" s="10"/>
      <c r="E192" s="10"/>
      <c r="F192" s="10"/>
      <c r="G192" s="10"/>
      <c r="H192" s="10"/>
      <c r="I192" s="14" t="s">
        <v>217</v>
      </c>
      <c r="J192" s="14" t="s">
        <v>241</v>
      </c>
      <c r="K192" s="9"/>
    </row>
  </sheetData>
  <autoFilter ref="A3:K192" xr:uid="{6EBFBB31-1B9C-49A4-B249-79A11537CE6F}"/>
  <phoneticPr fontId="5"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C380B-F7F5-4264-B2AC-85146E8F8E5A}">
  <dimension ref="A2:L14"/>
  <sheetViews>
    <sheetView showGridLines="0" zoomScale="90" zoomScaleNormal="90" workbookViewId="0">
      <selection activeCell="F28" sqref="F28"/>
    </sheetView>
  </sheetViews>
  <sheetFormatPr defaultColWidth="9" defaultRowHeight="14.45"/>
  <cols>
    <col min="1" max="1" width="1.625" style="23" customWidth="1"/>
    <col min="2" max="2" width="10.375" style="23" customWidth="1"/>
    <col min="3" max="6" width="9" style="23"/>
    <col min="7" max="7" width="10.375" style="23" customWidth="1"/>
    <col min="8" max="8" width="16.25" style="23" customWidth="1"/>
    <col min="9" max="9" width="15.25" style="23" customWidth="1"/>
    <col min="10" max="10" width="65.375" style="23" customWidth="1"/>
    <col min="11" max="16384" width="9" style="23"/>
  </cols>
  <sheetData>
    <row r="2" spans="1:12" ht="33.950000000000003" customHeight="1">
      <c r="B2" s="310" t="s">
        <v>404</v>
      </c>
      <c r="C2" s="310"/>
      <c r="D2" s="310" t="s">
        <v>404</v>
      </c>
      <c r="E2" s="310"/>
      <c r="F2" s="311" t="s">
        <v>405</v>
      </c>
      <c r="G2" s="311"/>
      <c r="H2" s="24" t="s">
        <v>406</v>
      </c>
      <c r="I2" s="312" t="s">
        <v>13</v>
      </c>
      <c r="J2" s="315" t="s">
        <v>407</v>
      </c>
    </row>
    <row r="3" spans="1:12" ht="14.25" customHeight="1">
      <c r="B3" s="317" t="s">
        <v>408</v>
      </c>
      <c r="C3" s="318"/>
      <c r="D3" s="317" t="s">
        <v>409</v>
      </c>
      <c r="E3" s="318"/>
      <c r="F3" s="323" t="s">
        <v>410</v>
      </c>
      <c r="G3" s="324"/>
      <c r="H3" s="329" t="s">
        <v>411</v>
      </c>
      <c r="I3" s="313"/>
      <c r="J3" s="316"/>
    </row>
    <row r="4" spans="1:12" ht="14.1" customHeight="1">
      <c r="B4" s="319"/>
      <c r="C4" s="320"/>
      <c r="D4" s="319"/>
      <c r="E4" s="320"/>
      <c r="F4" s="325"/>
      <c r="G4" s="326"/>
      <c r="H4" s="330"/>
      <c r="I4" s="313"/>
      <c r="J4" s="316"/>
    </row>
    <row r="5" spans="1:12">
      <c r="B5" s="321"/>
      <c r="C5" s="322"/>
      <c r="D5" s="321"/>
      <c r="E5" s="322"/>
      <c r="F5" s="327"/>
      <c r="G5" s="328"/>
      <c r="H5" s="331"/>
      <c r="I5" s="314"/>
      <c r="J5" s="316"/>
    </row>
    <row r="6" spans="1:12">
      <c r="B6" s="305" t="s">
        <v>412</v>
      </c>
      <c r="C6" s="306"/>
      <c r="D6" s="305" t="s">
        <v>413</v>
      </c>
      <c r="E6" s="306"/>
      <c r="F6" s="305" t="s">
        <v>241</v>
      </c>
      <c r="G6" s="306"/>
      <c r="H6" s="25" t="s">
        <v>241</v>
      </c>
      <c r="I6" s="25" t="s">
        <v>414</v>
      </c>
      <c r="J6" s="26" t="s">
        <v>415</v>
      </c>
    </row>
    <row r="7" spans="1:12">
      <c r="B7" s="305" t="s">
        <v>416</v>
      </c>
      <c r="C7" s="306"/>
      <c r="D7" s="305" t="s">
        <v>417</v>
      </c>
      <c r="E7" s="306"/>
      <c r="F7" s="305" t="s">
        <v>241</v>
      </c>
      <c r="G7" s="306"/>
      <c r="H7" s="25" t="s">
        <v>241</v>
      </c>
      <c r="I7" s="25" t="s">
        <v>414</v>
      </c>
      <c r="J7" s="26" t="s">
        <v>418</v>
      </c>
    </row>
    <row r="8" spans="1:12">
      <c r="B8" s="305" t="s">
        <v>419</v>
      </c>
      <c r="C8" s="306"/>
      <c r="D8" s="305" t="s">
        <v>420</v>
      </c>
      <c r="E8" s="306"/>
      <c r="F8" s="305" t="s">
        <v>241</v>
      </c>
      <c r="G8" s="306"/>
      <c r="H8" s="25" t="s">
        <v>419</v>
      </c>
      <c r="I8" s="25" t="s">
        <v>414</v>
      </c>
      <c r="J8" s="26" t="s">
        <v>421</v>
      </c>
    </row>
    <row r="9" spans="1:12">
      <c r="B9" s="305" t="s">
        <v>422</v>
      </c>
      <c r="C9" s="306"/>
      <c r="D9" s="305" t="s">
        <v>423</v>
      </c>
      <c r="E9" s="306"/>
      <c r="F9" s="305" t="s">
        <v>241</v>
      </c>
      <c r="G9" s="306"/>
      <c r="H9" s="25" t="s">
        <v>422</v>
      </c>
      <c r="I9" s="25" t="s">
        <v>414</v>
      </c>
      <c r="J9" s="26" t="s">
        <v>424</v>
      </c>
    </row>
    <row r="10" spans="1:12">
      <c r="B10" s="305" t="s">
        <v>425</v>
      </c>
      <c r="C10" s="306"/>
      <c r="D10" s="305" t="s">
        <v>426</v>
      </c>
      <c r="E10" s="306"/>
      <c r="F10" s="305" t="s">
        <v>241</v>
      </c>
      <c r="G10" s="306"/>
      <c r="H10" s="25" t="s">
        <v>425</v>
      </c>
      <c r="I10" s="25" t="s">
        <v>414</v>
      </c>
      <c r="J10" s="26" t="s">
        <v>427</v>
      </c>
    </row>
    <row r="11" spans="1:12" ht="15" hidden="1" customHeight="1">
      <c r="A11" s="27"/>
      <c r="B11" s="305" t="s">
        <v>241</v>
      </c>
      <c r="C11" s="306"/>
      <c r="D11" s="305" t="s">
        <v>241</v>
      </c>
      <c r="E11" s="306"/>
      <c r="F11" s="307" t="s">
        <v>428</v>
      </c>
      <c r="G11" s="308"/>
      <c r="H11" s="25" t="s">
        <v>241</v>
      </c>
      <c r="I11" s="25" t="s">
        <v>429</v>
      </c>
      <c r="J11" s="28" t="s">
        <v>430</v>
      </c>
      <c r="K11" s="29" t="s">
        <v>431</v>
      </c>
      <c r="L11" s="30"/>
    </row>
    <row r="12" spans="1:12" ht="15" customHeight="1">
      <c r="A12" s="309"/>
      <c r="B12" s="305" t="s">
        <v>241</v>
      </c>
      <c r="C12" s="306"/>
      <c r="D12" s="305" t="s">
        <v>241</v>
      </c>
      <c r="E12" s="306"/>
      <c r="F12" s="307" t="s">
        <v>432</v>
      </c>
      <c r="G12" s="308"/>
      <c r="H12" s="25" t="s">
        <v>241</v>
      </c>
      <c r="I12" s="25" t="s">
        <v>429</v>
      </c>
      <c r="J12" s="28" t="s">
        <v>433</v>
      </c>
      <c r="K12" s="29" t="s">
        <v>431</v>
      </c>
      <c r="L12" s="30"/>
    </row>
    <row r="13" spans="1:12" ht="15" customHeight="1">
      <c r="A13" s="309"/>
      <c r="B13" s="305" t="s">
        <v>241</v>
      </c>
      <c r="C13" s="306"/>
      <c r="D13" s="305" t="s">
        <v>241</v>
      </c>
      <c r="E13" s="306"/>
      <c r="F13" s="307" t="s">
        <v>434</v>
      </c>
      <c r="G13" s="308"/>
      <c r="H13" s="25" t="s">
        <v>241</v>
      </c>
      <c r="I13" s="25" t="s">
        <v>429</v>
      </c>
      <c r="J13" s="28" t="s">
        <v>435</v>
      </c>
      <c r="K13" s="29" t="s">
        <v>431</v>
      </c>
      <c r="L13" s="30"/>
    </row>
    <row r="14" spans="1:12" ht="41.45">
      <c r="A14" s="309"/>
      <c r="B14" s="305" t="s">
        <v>241</v>
      </c>
      <c r="C14" s="306"/>
      <c r="D14" s="305" t="s">
        <v>241</v>
      </c>
      <c r="E14" s="306"/>
      <c r="F14" s="307" t="s">
        <v>436</v>
      </c>
      <c r="G14" s="308"/>
      <c r="H14" s="25" t="s">
        <v>241</v>
      </c>
      <c r="I14" s="31" t="s">
        <v>414</v>
      </c>
      <c r="J14" s="32" t="s">
        <v>437</v>
      </c>
      <c r="K14" s="29" t="s">
        <v>431</v>
      </c>
      <c r="L14" s="30"/>
    </row>
  </sheetData>
  <sheetProtection algorithmName="SHA-512" hashValue="y7a+aLNI01IajdvgcyHbntFcAKrun59XNUJqlOp7IOLFdmh6ioXMJxLoxtCIDevYJtK1dvvjpKlh2n7Ri+Ms8g==" saltValue="G0LyZvxmngCdy7Lh0f9cIg==" spinCount="100000" sheet="1" objects="1" scenarios="1"/>
  <mergeCells count="37">
    <mergeCell ref="B2:C2"/>
    <mergeCell ref="D2:E2"/>
    <mergeCell ref="F2:G2"/>
    <mergeCell ref="I2:I5"/>
    <mergeCell ref="J2:J5"/>
    <mergeCell ref="B3:C5"/>
    <mergeCell ref="D3:E5"/>
    <mergeCell ref="F3:G5"/>
    <mergeCell ref="H3:H5"/>
    <mergeCell ref="B8:C8"/>
    <mergeCell ref="D8:E8"/>
    <mergeCell ref="F8:G8"/>
    <mergeCell ref="B6:C6"/>
    <mergeCell ref="D6:E6"/>
    <mergeCell ref="F6:G6"/>
    <mergeCell ref="B7:C7"/>
    <mergeCell ref="D7:E7"/>
    <mergeCell ref="F7:G7"/>
    <mergeCell ref="B9:C9"/>
    <mergeCell ref="D9:E9"/>
    <mergeCell ref="F9:G9"/>
    <mergeCell ref="B10:C10"/>
    <mergeCell ref="D10:E10"/>
    <mergeCell ref="F10:G10"/>
    <mergeCell ref="B11:C11"/>
    <mergeCell ref="D11:E11"/>
    <mergeCell ref="F11:G11"/>
    <mergeCell ref="A12:A14"/>
    <mergeCell ref="B12:C12"/>
    <mergeCell ref="D12:E12"/>
    <mergeCell ref="F12:G12"/>
    <mergeCell ref="B13:C13"/>
    <mergeCell ref="D13:E13"/>
    <mergeCell ref="F13:G13"/>
    <mergeCell ref="B14:C14"/>
    <mergeCell ref="D14:E14"/>
    <mergeCell ref="F14:G14"/>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5F7FD-DE80-4583-A3B4-DE986CB668C5}">
  <sheetPr>
    <tabColor rgb="FFFF0000"/>
  </sheetPr>
  <dimension ref="A1:C98"/>
  <sheetViews>
    <sheetView showGridLines="0" topLeftCell="A76" zoomScale="80" zoomScaleNormal="80" zoomScaleSheetLayoutView="100" workbookViewId="0">
      <selection activeCell="B57" sqref="B57"/>
    </sheetView>
  </sheetViews>
  <sheetFormatPr defaultColWidth="9" defaultRowHeight="14.25" customHeight="1"/>
  <cols>
    <col min="1" max="1" width="2.25" style="33" customWidth="1"/>
    <col min="2" max="2" width="51" style="33" customWidth="1"/>
    <col min="3" max="3" width="119.75" style="33" bestFit="1" customWidth="1"/>
    <col min="4" max="16384" width="9" style="33"/>
  </cols>
  <sheetData>
    <row r="1" spans="1:3" ht="13.9">
      <c r="B1" s="35" t="s">
        <v>438</v>
      </c>
      <c r="C1" s="34"/>
    </row>
    <row r="2" spans="1:3" ht="13.9">
      <c r="B2" s="36"/>
    </row>
    <row r="3" spans="1:3" ht="13.9">
      <c r="B3" s="36" t="s">
        <v>439</v>
      </c>
    </row>
    <row r="4" spans="1:3" ht="13.9">
      <c r="B4" s="33" t="s">
        <v>440</v>
      </c>
    </row>
    <row r="5" spans="1:3" ht="13.9">
      <c r="B5" s="33" t="s">
        <v>441</v>
      </c>
    </row>
    <row r="6" spans="1:3" ht="13.9">
      <c r="B6" s="37" t="s">
        <v>442</v>
      </c>
    </row>
    <row r="7" spans="1:3" ht="13.9">
      <c r="A7" s="224"/>
      <c r="B7" s="42" t="s">
        <v>443</v>
      </c>
    </row>
    <row r="8" spans="1:3" ht="13.9">
      <c r="B8" s="42" t="s">
        <v>444</v>
      </c>
    </row>
    <row r="9" spans="1:3" ht="13.9">
      <c r="A9" s="223"/>
      <c r="B9" s="42" t="s">
        <v>445</v>
      </c>
    </row>
    <row r="10" spans="1:3" ht="13.9">
      <c r="A10" s="223"/>
      <c r="B10" s="42" t="s">
        <v>446</v>
      </c>
    </row>
    <row r="11" spans="1:3" ht="13.9">
      <c r="A11" s="223"/>
      <c r="B11" s="42" t="s">
        <v>447</v>
      </c>
    </row>
    <row r="12" spans="1:3" ht="13.9">
      <c r="A12" s="223"/>
      <c r="B12" s="42" t="s">
        <v>448</v>
      </c>
    </row>
    <row r="13" spans="1:3" ht="13.9">
      <c r="A13" s="256"/>
      <c r="B13" s="42" t="s">
        <v>449</v>
      </c>
    </row>
    <row r="14" spans="1:3" ht="13.9">
      <c r="A14" s="256"/>
      <c r="B14" s="42" t="s">
        <v>450</v>
      </c>
    </row>
    <row r="15" spans="1:3" ht="14.25" customHeight="1">
      <c r="B15" s="33" t="s">
        <v>451</v>
      </c>
    </row>
    <row r="16" spans="1:3" ht="13.9">
      <c r="B16" s="38" t="s">
        <v>452</v>
      </c>
    </row>
    <row r="17" spans="2:3" ht="13.9">
      <c r="B17" s="38" t="s">
        <v>453</v>
      </c>
    </row>
    <row r="18" spans="2:3" ht="13.9">
      <c r="B18" s="33" t="s">
        <v>454</v>
      </c>
    </row>
    <row r="19" spans="2:3" ht="13.9">
      <c r="B19" s="33" t="s">
        <v>455</v>
      </c>
    </row>
    <row r="20" spans="2:3" ht="13.9">
      <c r="B20" s="33" t="s">
        <v>456</v>
      </c>
    </row>
    <row r="21" spans="2:3" ht="13.9">
      <c r="B21" s="33" t="s">
        <v>457</v>
      </c>
      <c r="C21" s="36"/>
    </row>
    <row r="22" spans="2:3" ht="13.9">
      <c r="B22" s="33" t="s">
        <v>458</v>
      </c>
      <c r="C22" s="36"/>
    </row>
    <row r="23" spans="2:3" ht="14.25" customHeight="1">
      <c r="B23" s="33" t="s">
        <v>459</v>
      </c>
    </row>
    <row r="24" spans="2:3" ht="14.25" customHeight="1">
      <c r="B24" s="33" t="s">
        <v>460</v>
      </c>
    </row>
    <row r="25" spans="2:3" ht="14.25" customHeight="1">
      <c r="B25" s="33" t="s">
        <v>461</v>
      </c>
    </row>
    <row r="26" spans="2:3" ht="14.25" customHeight="1">
      <c r="B26" s="33" t="s">
        <v>462</v>
      </c>
    </row>
    <row r="27" spans="2:3" ht="13.9">
      <c r="B27" s="39"/>
      <c r="C27" s="40"/>
    </row>
    <row r="28" spans="2:3" ht="14.25" customHeight="1">
      <c r="B28" s="41" t="s">
        <v>463</v>
      </c>
    </row>
    <row r="29" spans="2:3" ht="14.25" customHeight="1">
      <c r="B29" s="33" t="s">
        <v>464</v>
      </c>
    </row>
    <row r="43" spans="2:3" ht="13.9">
      <c r="B43" s="42" t="s">
        <v>465</v>
      </c>
      <c r="C43" s="33" t="s">
        <v>466</v>
      </c>
    </row>
    <row r="44" spans="2:3" ht="13.9">
      <c r="B44" s="43" t="s">
        <v>467</v>
      </c>
      <c r="C44" s="33" t="s">
        <v>468</v>
      </c>
    </row>
    <row r="45" spans="2:3" ht="13.9">
      <c r="B45" s="43" t="s">
        <v>469</v>
      </c>
      <c r="C45" s="33" t="s">
        <v>470</v>
      </c>
    </row>
    <row r="47" spans="2:3" ht="13.9">
      <c r="B47" s="36" t="s">
        <v>471</v>
      </c>
    </row>
    <row r="48" spans="2:3" ht="13.9">
      <c r="B48" s="33" t="s">
        <v>472</v>
      </c>
      <c r="C48" s="33" t="s">
        <v>473</v>
      </c>
    </row>
    <row r="49" spans="2:3" ht="13.9">
      <c r="B49" s="33" t="s">
        <v>474</v>
      </c>
      <c r="C49" s="33" t="s">
        <v>475</v>
      </c>
    </row>
    <row r="50" spans="2:3" ht="13.9">
      <c r="B50" s="33" t="s">
        <v>476</v>
      </c>
      <c r="C50" s="33" t="s">
        <v>477</v>
      </c>
    </row>
    <row r="51" spans="2:3" ht="13.9">
      <c r="B51" s="33" t="s">
        <v>16</v>
      </c>
      <c r="C51" s="33" t="s">
        <v>478</v>
      </c>
    </row>
    <row r="52" spans="2:3" ht="13.9">
      <c r="B52" s="33" t="s">
        <v>169</v>
      </c>
      <c r="C52" s="33" t="s">
        <v>479</v>
      </c>
    </row>
    <row r="53" spans="2:3" ht="13.9">
      <c r="B53" s="33" t="s">
        <v>217</v>
      </c>
      <c r="C53" s="33" t="s">
        <v>480</v>
      </c>
    </row>
    <row r="54" spans="2:3" ht="13.9">
      <c r="B54" s="33" t="s">
        <v>481</v>
      </c>
      <c r="C54" s="33" t="s">
        <v>482</v>
      </c>
    </row>
    <row r="55" spans="2:3" ht="13.9">
      <c r="B55" s="33" t="s">
        <v>483</v>
      </c>
      <c r="C55" s="33" t="s">
        <v>484</v>
      </c>
    </row>
    <row r="56" spans="2:3" ht="13.9">
      <c r="B56" s="33" t="s">
        <v>485</v>
      </c>
      <c r="C56" s="33" t="s">
        <v>486</v>
      </c>
    </row>
    <row r="57" spans="2:3" ht="13.9">
      <c r="B57" s="33" t="s">
        <v>487</v>
      </c>
      <c r="C57" s="33" t="s">
        <v>488</v>
      </c>
    </row>
    <row r="58" spans="2:3" ht="13.9">
      <c r="B58" s="33" t="s">
        <v>489</v>
      </c>
      <c r="C58" s="33" t="s">
        <v>490</v>
      </c>
    </row>
    <row r="59" spans="2:3" ht="13.9">
      <c r="B59" s="33" t="s">
        <v>491</v>
      </c>
      <c r="C59" s="33" t="s">
        <v>492</v>
      </c>
    </row>
    <row r="60" spans="2:3" ht="13.9">
      <c r="B60" s="33" t="s">
        <v>493</v>
      </c>
      <c r="C60" s="33" t="s">
        <v>494</v>
      </c>
    </row>
    <row r="61" spans="2:3" ht="13.9">
      <c r="B61" s="33" t="s">
        <v>495</v>
      </c>
      <c r="C61" s="33" t="s">
        <v>496</v>
      </c>
    </row>
    <row r="62" spans="2:3" ht="13.9">
      <c r="B62" s="33" t="s">
        <v>497</v>
      </c>
      <c r="C62" s="33" t="s">
        <v>498</v>
      </c>
    </row>
    <row r="63" spans="2:3" ht="13.9">
      <c r="B63" s="33" t="s">
        <v>499</v>
      </c>
      <c r="C63" s="33" t="s">
        <v>500</v>
      </c>
    </row>
    <row r="64" spans="2:3" ht="13.9">
      <c r="B64" s="33" t="s">
        <v>501</v>
      </c>
      <c r="C64" s="33" t="s">
        <v>502</v>
      </c>
    </row>
    <row r="65" spans="2:3" ht="13.9">
      <c r="B65" s="33" t="s">
        <v>503</v>
      </c>
      <c r="C65" s="33" t="s">
        <v>504</v>
      </c>
    </row>
    <row r="66" spans="2:3" ht="13.9">
      <c r="B66" s="33" t="s">
        <v>505</v>
      </c>
      <c r="C66" s="33" t="s">
        <v>506</v>
      </c>
    </row>
    <row r="67" spans="2:3" ht="13.9">
      <c r="B67" s="33" t="s">
        <v>507</v>
      </c>
      <c r="C67" s="33" t="s">
        <v>508</v>
      </c>
    </row>
    <row r="68" spans="2:3" ht="13.9">
      <c r="B68" s="33" t="s">
        <v>509</v>
      </c>
      <c r="C68" s="33" t="s">
        <v>510</v>
      </c>
    </row>
    <row r="71" spans="2:3" ht="13.9">
      <c r="B71" s="36" t="s">
        <v>511</v>
      </c>
    </row>
    <row r="72" spans="2:3" ht="13.9">
      <c r="B72" s="33" t="s">
        <v>512</v>
      </c>
    </row>
    <row r="73" spans="2:3" ht="13.9">
      <c r="B73" s="33" t="s">
        <v>513</v>
      </c>
    </row>
    <row r="75" spans="2:3" ht="14.25" customHeight="1">
      <c r="B75" s="36" t="s">
        <v>13</v>
      </c>
    </row>
    <row r="76" spans="2:3" ht="14.25" customHeight="1">
      <c r="B76" s="33" t="s">
        <v>514</v>
      </c>
    </row>
    <row r="78" spans="2:3" ht="14.25" customHeight="1">
      <c r="B78" s="35" t="s">
        <v>515</v>
      </c>
    </row>
    <row r="96" spans="2:2" ht="14.25" customHeight="1">
      <c r="B96" s="33" t="s">
        <v>516</v>
      </c>
    </row>
    <row r="97" spans="2:2" ht="14.25" customHeight="1">
      <c r="B97" s="33" t="s">
        <v>517</v>
      </c>
    </row>
    <row r="98" spans="2:2" ht="14.25" customHeight="1">
      <c r="B98" s="33" t="s">
        <v>518</v>
      </c>
    </row>
  </sheetData>
  <sheetProtection algorithmName="SHA-512" hashValue="398BwDbKFMimmb7FnMC3z+NtmBEu5KqS02AVDQrvosVUH33tST1Y0MVe9jMuRitv8sseO+l5+N6xOyAVIW9IwA==" saltValue="P1WgTGDJm+ErfS6nqfLOzA==" spinCount="100000" sheet="1" objects="1" scenarios="1"/>
  <pageMargins left="0.7" right="0.7" top="0.75" bottom="0.75" header="0.3" footer="0.3"/>
  <pageSetup paperSize="9" orientation="portrait"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FFDE2-1A8B-421A-A516-2AEDF6A584F3}">
  <sheetPr>
    <tabColor theme="8" tint="0.59999389629810485"/>
  </sheetPr>
  <dimension ref="A1:O569"/>
  <sheetViews>
    <sheetView showGridLines="0" tabSelected="1" zoomScale="85" zoomScaleNormal="85" workbookViewId="0">
      <pane ySplit="3" topLeftCell="A109" activePane="bottomLeft" state="frozen"/>
      <selection pane="bottomLeft" activeCell="H131" sqref="H131"/>
      <selection activeCell="L52" sqref="L52"/>
    </sheetView>
  </sheetViews>
  <sheetFormatPr defaultColWidth="7.75" defaultRowHeight="13.15"/>
  <cols>
    <col min="1" max="1" width="30.625" style="101" customWidth="1"/>
    <col min="2" max="2" width="23.75" style="101" bestFit="1" customWidth="1"/>
    <col min="3" max="3" width="41.125" style="103" customWidth="1"/>
    <col min="4" max="4" width="11.125" style="102" customWidth="1"/>
    <col min="5" max="5" width="10.25" style="102" customWidth="1"/>
    <col min="6" max="6" width="50.625" style="103" customWidth="1"/>
    <col min="7" max="7" width="8.625" style="102" customWidth="1"/>
    <col min="8" max="8" width="8.875" style="102" customWidth="1"/>
    <col min="9" max="9" width="11.375" style="102" customWidth="1"/>
    <col min="10" max="10" width="8.75" style="102" customWidth="1"/>
    <col min="11" max="11" width="18.125" style="101" bestFit="1" customWidth="1"/>
    <col min="12" max="12" width="13.875" style="101" customWidth="1"/>
    <col min="13" max="13" width="7.75" style="101"/>
    <col min="14" max="14" width="88.5" style="101" bestFit="1" customWidth="1"/>
    <col min="15" max="15" width="78.875" style="101" customWidth="1"/>
    <col min="16" max="16384" width="7.75" style="101"/>
  </cols>
  <sheetData>
    <row r="1" spans="1:14">
      <c r="A1" s="101" t="s">
        <v>519</v>
      </c>
      <c r="B1" s="101" t="s">
        <v>520</v>
      </c>
      <c r="C1" s="103" t="s">
        <v>521</v>
      </c>
    </row>
    <row r="2" spans="1:14" ht="16.899999999999999">
      <c r="A2" s="104"/>
      <c r="B2" s="105" t="s">
        <v>522</v>
      </c>
      <c r="C2" s="167" t="s">
        <v>523</v>
      </c>
      <c r="D2" s="106"/>
      <c r="E2" s="106"/>
      <c r="F2" s="107"/>
      <c r="G2" s="106"/>
      <c r="H2" s="106"/>
      <c r="I2" s="106"/>
      <c r="J2" s="106"/>
      <c r="K2" s="106"/>
      <c r="L2" s="108"/>
    </row>
    <row r="3" spans="1:14" s="22" customFormat="1" ht="39.6">
      <c r="A3" s="6" t="s">
        <v>524</v>
      </c>
      <c r="B3" s="6" t="s">
        <v>3</v>
      </c>
      <c r="C3" s="6" t="s">
        <v>4</v>
      </c>
      <c r="D3" s="6" t="s">
        <v>5</v>
      </c>
      <c r="E3" s="6" t="s">
        <v>6</v>
      </c>
      <c r="F3" s="6" t="s">
        <v>525</v>
      </c>
      <c r="G3" s="6" t="s">
        <v>8</v>
      </c>
      <c r="H3" s="6" t="s">
        <v>9</v>
      </c>
      <c r="I3" s="6" t="s">
        <v>10</v>
      </c>
      <c r="J3" s="20" t="s">
        <v>11</v>
      </c>
      <c r="K3" s="20" t="s">
        <v>526</v>
      </c>
      <c r="L3" s="21" t="s">
        <v>13</v>
      </c>
      <c r="M3" s="21" t="s">
        <v>527</v>
      </c>
      <c r="N3" s="6" t="s">
        <v>528</v>
      </c>
    </row>
    <row r="4" spans="1:14">
      <c r="A4" s="211" t="s">
        <v>529</v>
      </c>
      <c r="B4" s="185" t="s">
        <v>530</v>
      </c>
      <c r="C4" s="186" t="s">
        <v>531</v>
      </c>
      <c r="D4" s="187"/>
      <c r="E4" s="187"/>
      <c r="F4" s="188"/>
      <c r="G4" s="189">
        <f>SUM(G5:G13)</f>
        <v>0</v>
      </c>
      <c r="H4" s="189">
        <f>SUM(H5:H13)</f>
        <v>1.04</v>
      </c>
      <c r="I4" s="190">
        <f>SUM(G4:H4)</f>
        <v>1.04</v>
      </c>
      <c r="J4" s="191" t="s">
        <v>16</v>
      </c>
      <c r="K4" s="191" t="s">
        <v>17</v>
      </c>
      <c r="L4" s="186"/>
      <c r="M4" s="194" t="s">
        <v>532</v>
      </c>
      <c r="N4" s="194" t="s">
        <v>533</v>
      </c>
    </row>
    <row r="5" spans="1:14">
      <c r="B5" s="105"/>
      <c r="C5" s="103" t="s">
        <v>534</v>
      </c>
      <c r="D5" s="121">
        <v>1</v>
      </c>
      <c r="E5" s="117" t="s">
        <v>535</v>
      </c>
      <c r="F5" s="122"/>
      <c r="G5" s="117">
        <v>0</v>
      </c>
      <c r="H5" s="118">
        <v>0.09</v>
      </c>
      <c r="I5" s="117"/>
      <c r="J5" s="117"/>
      <c r="K5" s="119"/>
      <c r="L5" s="120">
        <v>972062</v>
      </c>
    </row>
    <row r="6" spans="1:14">
      <c r="A6" s="105"/>
      <c r="B6" s="105"/>
      <c r="C6" s="131" t="s">
        <v>536</v>
      </c>
      <c r="D6" s="121">
        <v>3</v>
      </c>
      <c r="E6" s="117" t="s">
        <v>535</v>
      </c>
      <c r="F6" s="122"/>
      <c r="G6" s="117">
        <v>0</v>
      </c>
      <c r="H6" s="118">
        <v>0.27</v>
      </c>
      <c r="I6" s="117"/>
      <c r="J6" s="117"/>
      <c r="K6" s="119"/>
      <c r="L6" s="120">
        <v>971090</v>
      </c>
    </row>
    <row r="7" spans="1:14">
      <c r="A7" s="105"/>
      <c r="B7" s="105"/>
      <c r="C7" s="131" t="s">
        <v>537</v>
      </c>
      <c r="D7" s="121">
        <v>3</v>
      </c>
      <c r="E7" s="117" t="s">
        <v>535</v>
      </c>
      <c r="F7" s="122"/>
      <c r="G7" s="117">
        <v>0</v>
      </c>
      <c r="H7" s="118">
        <v>0.27</v>
      </c>
      <c r="I7" s="117"/>
      <c r="J7" s="117"/>
      <c r="K7" s="119"/>
      <c r="L7" s="120">
        <v>971091</v>
      </c>
    </row>
    <row r="8" spans="1:14">
      <c r="A8" s="105"/>
      <c r="B8" s="105"/>
      <c r="C8" s="131" t="s">
        <v>538</v>
      </c>
      <c r="D8" s="121">
        <v>1</v>
      </c>
      <c r="E8" s="117" t="s">
        <v>535</v>
      </c>
      <c r="F8" s="122"/>
      <c r="G8" s="117">
        <v>0</v>
      </c>
      <c r="H8" s="118">
        <v>0.27</v>
      </c>
      <c r="I8" s="117"/>
      <c r="J8" s="117"/>
      <c r="K8" s="119"/>
      <c r="L8" s="120">
        <v>971093</v>
      </c>
    </row>
    <row r="9" spans="1:14">
      <c r="A9" s="105"/>
      <c r="B9" s="105"/>
      <c r="C9" s="131" t="s">
        <v>539</v>
      </c>
      <c r="D9" s="121">
        <v>1</v>
      </c>
      <c r="E9" s="117" t="s">
        <v>535</v>
      </c>
      <c r="F9" s="122"/>
      <c r="G9" s="117">
        <v>0</v>
      </c>
      <c r="H9" s="118">
        <v>0.09</v>
      </c>
      <c r="I9" s="117"/>
      <c r="J9" s="117"/>
      <c r="K9" s="119"/>
      <c r="L9" s="120">
        <v>973034</v>
      </c>
    </row>
    <row r="10" spans="1:14">
      <c r="A10" s="105"/>
      <c r="B10" s="105"/>
      <c r="C10" s="131" t="s">
        <v>540</v>
      </c>
      <c r="D10" s="121">
        <v>1</v>
      </c>
      <c r="E10" s="117" t="s">
        <v>535</v>
      </c>
      <c r="F10" s="122"/>
      <c r="G10" s="117">
        <v>0</v>
      </c>
      <c r="H10" s="118">
        <v>0.05</v>
      </c>
      <c r="I10" s="117"/>
      <c r="J10" s="117"/>
      <c r="K10" s="119"/>
      <c r="L10" s="120">
        <v>973020</v>
      </c>
    </row>
    <row r="11" spans="1:14">
      <c r="A11" s="105"/>
      <c r="B11" s="105"/>
      <c r="C11" s="131"/>
      <c r="D11" s="121"/>
      <c r="E11" s="117"/>
      <c r="F11" s="122"/>
      <c r="G11" s="117"/>
      <c r="H11" s="118"/>
      <c r="I11" s="117"/>
      <c r="J11" s="117"/>
      <c r="K11" s="119"/>
      <c r="L11" s="120"/>
    </row>
    <row r="12" spans="1:14">
      <c r="A12" s="105"/>
      <c r="B12" s="105"/>
      <c r="C12" s="131"/>
      <c r="D12" s="121"/>
      <c r="E12" s="117"/>
      <c r="F12" s="122"/>
      <c r="G12" s="117"/>
      <c r="H12" s="118"/>
      <c r="I12" s="117"/>
      <c r="J12" s="117"/>
      <c r="K12" s="119"/>
      <c r="L12" s="120"/>
    </row>
    <row r="13" spans="1:14">
      <c r="A13" s="105"/>
      <c r="B13" s="105"/>
      <c r="C13" s="131"/>
      <c r="D13" s="121"/>
      <c r="E13" s="117"/>
      <c r="F13" s="122"/>
      <c r="G13" s="117"/>
      <c r="H13" s="118"/>
      <c r="I13" s="117"/>
      <c r="J13" s="117"/>
      <c r="K13" s="119"/>
      <c r="L13" s="120"/>
    </row>
    <row r="14" spans="1:14">
      <c r="D14" s="101"/>
      <c r="E14" s="101"/>
      <c r="G14" s="101"/>
      <c r="H14" s="101"/>
      <c r="I14" s="101"/>
      <c r="J14" s="101"/>
    </row>
    <row r="15" spans="1:14">
      <c r="A15" s="227" t="str">
        <f>$A$4</f>
        <v xml:space="preserve">Please fill in Supplier Name </v>
      </c>
      <c r="B15" s="227" t="s">
        <v>541</v>
      </c>
      <c r="C15" s="228" t="s">
        <v>542</v>
      </c>
      <c r="D15" s="229"/>
      <c r="E15" s="229"/>
      <c r="F15" s="230"/>
      <c r="G15" s="231">
        <f>SUM(G16:G24)</f>
        <v>0</v>
      </c>
      <c r="H15" s="231">
        <f>SUM(H16:H24)</f>
        <v>1.04</v>
      </c>
      <c r="I15" s="232">
        <f>SUM(G15:H15)</f>
        <v>1.04</v>
      </c>
      <c r="J15" s="233" t="s">
        <v>16</v>
      </c>
      <c r="K15" s="233" t="s">
        <v>17</v>
      </c>
      <c r="L15" s="228"/>
      <c r="M15" s="236" t="s">
        <v>543</v>
      </c>
      <c r="N15" s="236" t="s">
        <v>533</v>
      </c>
    </row>
    <row r="16" spans="1:14">
      <c r="B16" s="105"/>
      <c r="C16" s="103" t="s">
        <v>534</v>
      </c>
      <c r="D16" s="121">
        <v>1</v>
      </c>
      <c r="E16" s="117" t="s">
        <v>535</v>
      </c>
      <c r="F16" s="122"/>
      <c r="G16" s="117">
        <v>0</v>
      </c>
      <c r="H16" s="118">
        <v>0.09</v>
      </c>
      <c r="I16" s="117"/>
      <c r="J16" s="117"/>
      <c r="K16" s="119"/>
      <c r="L16" s="120">
        <v>972062</v>
      </c>
    </row>
    <row r="17" spans="1:14">
      <c r="A17" s="105"/>
      <c r="B17" s="105"/>
      <c r="C17" s="131" t="s">
        <v>536</v>
      </c>
      <c r="D17" s="121">
        <v>3</v>
      </c>
      <c r="E17" s="117" t="s">
        <v>535</v>
      </c>
      <c r="F17" s="122"/>
      <c r="G17" s="117">
        <v>0</v>
      </c>
      <c r="H17" s="118">
        <v>0.27</v>
      </c>
      <c r="I17" s="117"/>
      <c r="J17" s="117"/>
      <c r="K17" s="119"/>
      <c r="L17" s="120">
        <v>971090</v>
      </c>
    </row>
    <row r="18" spans="1:14">
      <c r="A18" s="105"/>
      <c r="B18" s="105"/>
      <c r="C18" s="131" t="s">
        <v>537</v>
      </c>
      <c r="D18" s="121">
        <v>3</v>
      </c>
      <c r="E18" s="117" t="s">
        <v>535</v>
      </c>
      <c r="F18" s="122"/>
      <c r="G18" s="117">
        <v>0</v>
      </c>
      <c r="H18" s="118">
        <v>0.27</v>
      </c>
      <c r="I18" s="117"/>
      <c r="J18" s="117"/>
      <c r="K18" s="119"/>
      <c r="L18" s="120">
        <v>971091</v>
      </c>
    </row>
    <row r="19" spans="1:14">
      <c r="A19" s="105"/>
      <c r="B19" s="105"/>
      <c r="C19" s="131" t="s">
        <v>538</v>
      </c>
      <c r="D19" s="121">
        <v>1</v>
      </c>
      <c r="E19" s="117" t="s">
        <v>535</v>
      </c>
      <c r="F19" s="122"/>
      <c r="G19" s="117">
        <v>0</v>
      </c>
      <c r="H19" s="118">
        <v>0.27</v>
      </c>
      <c r="I19" s="117"/>
      <c r="J19" s="117"/>
      <c r="K19" s="119"/>
      <c r="L19" s="120">
        <v>971093</v>
      </c>
    </row>
    <row r="20" spans="1:14">
      <c r="A20" s="105"/>
      <c r="B20" s="105"/>
      <c r="C20" s="131" t="s">
        <v>539</v>
      </c>
      <c r="D20" s="121">
        <v>1</v>
      </c>
      <c r="E20" s="117" t="s">
        <v>535</v>
      </c>
      <c r="F20" s="122"/>
      <c r="G20" s="117">
        <v>0</v>
      </c>
      <c r="H20" s="118">
        <v>0.09</v>
      </c>
      <c r="I20" s="117"/>
      <c r="J20" s="117"/>
      <c r="K20" s="119"/>
      <c r="L20" s="120">
        <v>973034</v>
      </c>
    </row>
    <row r="21" spans="1:14">
      <c r="A21" s="105"/>
      <c r="B21" s="105"/>
      <c r="C21" s="131" t="s">
        <v>540</v>
      </c>
      <c r="D21" s="121">
        <v>1</v>
      </c>
      <c r="E21" s="117" t="s">
        <v>535</v>
      </c>
      <c r="F21" s="122"/>
      <c r="G21" s="117">
        <v>0</v>
      </c>
      <c r="H21" s="118">
        <v>0.05</v>
      </c>
      <c r="I21" s="117"/>
      <c r="J21" s="117"/>
      <c r="K21" s="119"/>
      <c r="L21" s="120">
        <v>973020</v>
      </c>
    </row>
    <row r="22" spans="1:14">
      <c r="A22" s="105"/>
      <c r="B22" s="105"/>
      <c r="C22" s="131"/>
      <c r="D22" s="121"/>
      <c r="E22" s="117"/>
      <c r="F22" s="122"/>
      <c r="G22" s="117"/>
      <c r="H22" s="118"/>
      <c r="I22" s="117"/>
      <c r="J22" s="117"/>
      <c r="K22" s="119"/>
      <c r="L22" s="120"/>
    </row>
    <row r="23" spans="1:14">
      <c r="A23" s="105"/>
      <c r="B23" s="105"/>
      <c r="C23" s="131"/>
      <c r="D23" s="121"/>
      <c r="E23" s="117"/>
      <c r="F23" s="122"/>
      <c r="G23" s="117"/>
      <c r="H23" s="118"/>
      <c r="I23" s="117"/>
      <c r="J23" s="117"/>
      <c r="K23" s="119"/>
      <c r="L23" s="120"/>
    </row>
    <row r="24" spans="1:14">
      <c r="A24" s="105"/>
      <c r="B24" s="105"/>
      <c r="C24" s="131"/>
      <c r="D24" s="121"/>
      <c r="E24" s="117"/>
      <c r="F24" s="122"/>
      <c r="G24" s="117"/>
      <c r="H24" s="118"/>
      <c r="I24" s="117"/>
      <c r="J24" s="117"/>
      <c r="K24" s="119"/>
      <c r="L24" s="120"/>
    </row>
    <row r="25" spans="1:14">
      <c r="D25" s="101"/>
      <c r="E25" s="101"/>
      <c r="G25" s="101"/>
      <c r="H25" s="101"/>
      <c r="I25" s="101"/>
      <c r="J25" s="101"/>
    </row>
    <row r="26" spans="1:14">
      <c r="A26" s="109" t="str">
        <f>$A$4</f>
        <v xml:space="preserve">Please fill in Supplier Name </v>
      </c>
      <c r="B26" s="109" t="s">
        <v>18</v>
      </c>
      <c r="C26" s="115" t="s">
        <v>19</v>
      </c>
      <c r="D26" s="110"/>
      <c r="E26" s="110"/>
      <c r="F26" s="111"/>
      <c r="G26" s="112">
        <f>SUM(G27:G29)</f>
        <v>0</v>
      </c>
      <c r="H26" s="112">
        <f>SUM(H27:H29)</f>
        <v>0</v>
      </c>
      <c r="I26" s="113">
        <f>SUM(G26:H26)</f>
        <v>0</v>
      </c>
      <c r="J26" s="114" t="s">
        <v>16</v>
      </c>
      <c r="K26" s="115" t="s">
        <v>20</v>
      </c>
      <c r="L26" s="115"/>
      <c r="M26" s="116" t="s">
        <v>544</v>
      </c>
      <c r="N26" s="116" t="s">
        <v>545</v>
      </c>
    </row>
    <row r="27" spans="1:14">
      <c r="A27" s="105"/>
      <c r="B27" s="105"/>
      <c r="C27" s="131" t="s">
        <v>546</v>
      </c>
      <c r="D27" s="121">
        <v>15</v>
      </c>
      <c r="E27" s="117" t="s">
        <v>547</v>
      </c>
      <c r="F27" s="122" t="s">
        <v>548</v>
      </c>
      <c r="G27" s="117"/>
      <c r="H27" s="117"/>
      <c r="I27" s="117"/>
      <c r="J27" s="117"/>
      <c r="K27" s="117"/>
      <c r="L27" s="120"/>
    </row>
    <row r="28" spans="1:14">
      <c r="A28" s="105"/>
      <c r="B28" s="105"/>
      <c r="C28" s="131"/>
      <c r="D28" s="121"/>
      <c r="E28" s="117"/>
      <c r="F28" s="122"/>
      <c r="G28" s="117"/>
      <c r="H28" s="117"/>
      <c r="I28" s="117"/>
      <c r="J28" s="117"/>
      <c r="K28" s="117"/>
      <c r="L28" s="120"/>
    </row>
    <row r="29" spans="1:14">
      <c r="A29" s="105"/>
      <c r="B29" s="105"/>
      <c r="C29" s="131"/>
      <c r="D29" s="121"/>
      <c r="E29" s="117"/>
      <c r="F29" s="122"/>
      <c r="G29" s="117"/>
      <c r="H29" s="117"/>
      <c r="I29" s="117"/>
      <c r="J29" s="117"/>
      <c r="K29" s="117"/>
      <c r="L29" s="120"/>
    </row>
    <row r="30" spans="1:14">
      <c r="D30" s="101"/>
      <c r="E30" s="101"/>
      <c r="G30" s="101"/>
      <c r="H30" s="101"/>
      <c r="I30" s="101"/>
      <c r="J30" s="101"/>
    </row>
    <row r="31" spans="1:14">
      <c r="A31" s="185" t="str">
        <f>$A$4</f>
        <v xml:space="preserve">Please fill in Supplier Name </v>
      </c>
      <c r="B31" s="185" t="s">
        <v>21</v>
      </c>
      <c r="C31" s="186" t="s">
        <v>22</v>
      </c>
      <c r="D31" s="187"/>
      <c r="E31" s="187"/>
      <c r="F31" s="188"/>
      <c r="G31" s="189">
        <f>SUM(G32:G34)</f>
        <v>0</v>
      </c>
      <c r="H31" s="189">
        <f>SUM(H32:H34)</f>
        <v>0</v>
      </c>
      <c r="I31" s="190">
        <f>SUM(G31:H31)</f>
        <v>0</v>
      </c>
      <c r="J31" s="191" t="s">
        <v>16</v>
      </c>
      <c r="K31" s="191" t="s">
        <v>20</v>
      </c>
      <c r="L31" s="186"/>
      <c r="M31" s="194" t="s">
        <v>532</v>
      </c>
      <c r="N31" s="194" t="s">
        <v>545</v>
      </c>
    </row>
    <row r="32" spans="1:14" ht="13.9">
      <c r="A32" s="105"/>
      <c r="B32" s="105"/>
      <c r="C32" s="271" t="s">
        <v>549</v>
      </c>
      <c r="D32" s="272">
        <v>15</v>
      </c>
      <c r="E32" s="273" t="s">
        <v>547</v>
      </c>
      <c r="F32" s="124"/>
      <c r="G32" s="118"/>
      <c r="H32" s="118"/>
      <c r="I32" s="117"/>
      <c r="J32" s="117"/>
      <c r="K32" s="117"/>
      <c r="L32" s="120"/>
    </row>
    <row r="33" spans="1:14" ht="13.9">
      <c r="A33" s="105"/>
      <c r="B33" s="105"/>
      <c r="C33" s="274" t="s">
        <v>550</v>
      </c>
      <c r="D33" s="275">
        <v>15</v>
      </c>
      <c r="E33" s="276" t="s">
        <v>547</v>
      </c>
      <c r="F33" s="124"/>
      <c r="G33" s="118"/>
      <c r="H33" s="118"/>
      <c r="I33" s="117"/>
      <c r="J33" s="117"/>
      <c r="K33" s="117"/>
      <c r="L33" s="120"/>
    </row>
    <row r="34" spans="1:14" ht="13.9">
      <c r="A34" s="105"/>
      <c r="B34" s="105"/>
      <c r="C34" s="274" t="s">
        <v>551</v>
      </c>
      <c r="D34" s="275">
        <v>2</v>
      </c>
      <c r="E34" s="276" t="s">
        <v>552</v>
      </c>
      <c r="F34" s="124"/>
      <c r="G34" s="118"/>
      <c r="H34" s="118"/>
      <c r="I34" s="117"/>
      <c r="J34" s="117"/>
      <c r="K34" s="117"/>
      <c r="L34" s="120"/>
    </row>
    <row r="35" spans="1:14">
      <c r="D35" s="101"/>
      <c r="E35" s="101"/>
      <c r="G35" s="101"/>
      <c r="H35" s="101"/>
      <c r="I35" s="101"/>
      <c r="J35" s="101"/>
    </row>
    <row r="36" spans="1:14">
      <c r="A36" s="227" t="str">
        <f>$A$4</f>
        <v xml:space="preserve">Please fill in Supplier Name </v>
      </c>
      <c r="B36" s="227" t="s">
        <v>23</v>
      </c>
      <c r="C36" s="228" t="s">
        <v>24</v>
      </c>
      <c r="D36" s="229"/>
      <c r="E36" s="229"/>
      <c r="F36" s="230"/>
      <c r="G36" s="231">
        <f>SUM(G37:G39)</f>
        <v>0</v>
      </c>
      <c r="H36" s="231">
        <f>SUM(H37:H39)</f>
        <v>0</v>
      </c>
      <c r="I36" s="232">
        <f>SUM(G36:H36)</f>
        <v>0</v>
      </c>
      <c r="J36" s="233" t="s">
        <v>16</v>
      </c>
      <c r="K36" s="233" t="s">
        <v>20</v>
      </c>
      <c r="L36" s="228"/>
      <c r="M36" s="236" t="s">
        <v>543</v>
      </c>
      <c r="N36" s="236" t="s">
        <v>545</v>
      </c>
    </row>
    <row r="37" spans="1:14">
      <c r="A37" s="105"/>
      <c r="B37" s="105"/>
      <c r="C37" s="132" t="s">
        <v>553</v>
      </c>
      <c r="D37" s="125">
        <v>15</v>
      </c>
      <c r="E37" s="118" t="s">
        <v>547</v>
      </c>
      <c r="F37" s="124"/>
      <c r="G37" s="118"/>
      <c r="H37" s="118"/>
      <c r="I37" s="117"/>
      <c r="J37" s="117"/>
      <c r="K37" s="117"/>
      <c r="L37" s="120"/>
    </row>
    <row r="38" spans="1:14">
      <c r="A38" s="105"/>
      <c r="B38" s="105"/>
      <c r="C38" s="132" t="s">
        <v>554</v>
      </c>
      <c r="D38" s="125">
        <v>15</v>
      </c>
      <c r="E38" s="118" t="s">
        <v>547</v>
      </c>
      <c r="F38" s="124" t="s">
        <v>555</v>
      </c>
      <c r="G38" s="118"/>
      <c r="H38" s="118"/>
      <c r="I38" s="117"/>
      <c r="J38" s="117"/>
      <c r="K38" s="117"/>
      <c r="L38" s="120"/>
    </row>
    <row r="39" spans="1:14">
      <c r="A39" s="105"/>
      <c r="B39" s="105"/>
      <c r="C39" s="132" t="s">
        <v>556</v>
      </c>
      <c r="D39" s="125">
        <v>10</v>
      </c>
      <c r="E39" s="118" t="s">
        <v>547</v>
      </c>
      <c r="F39" s="124"/>
      <c r="G39" s="118"/>
      <c r="H39" s="118"/>
      <c r="I39" s="117"/>
      <c r="J39" s="117"/>
      <c r="K39" s="117"/>
      <c r="L39" s="120"/>
    </row>
    <row r="40" spans="1:14">
      <c r="D40" s="101"/>
      <c r="E40" s="101"/>
      <c r="G40" s="101"/>
      <c r="H40" s="101"/>
      <c r="I40" s="101"/>
      <c r="J40" s="101"/>
    </row>
    <row r="41" spans="1:14">
      <c r="A41" s="109" t="str">
        <f>$A$4</f>
        <v xml:space="preserve">Please fill in Supplier Name </v>
      </c>
      <c r="B41" s="109" t="s">
        <v>25</v>
      </c>
      <c r="C41" s="115" t="s">
        <v>26</v>
      </c>
      <c r="D41" s="110"/>
      <c r="E41" s="110"/>
      <c r="F41" s="111"/>
      <c r="G41" s="112">
        <f>SUM(G42:G44)</f>
        <v>0</v>
      </c>
      <c r="H41" s="112">
        <f>SUM(H42:H44)</f>
        <v>0</v>
      </c>
      <c r="I41" s="113">
        <f>SUM(G41:H41)</f>
        <v>0</v>
      </c>
      <c r="J41" s="114" t="s">
        <v>16</v>
      </c>
      <c r="K41" s="114" t="s">
        <v>27</v>
      </c>
      <c r="L41" s="115"/>
      <c r="M41" s="116" t="s">
        <v>544</v>
      </c>
      <c r="N41" s="116" t="s">
        <v>557</v>
      </c>
    </row>
    <row r="42" spans="1:14">
      <c r="A42" s="105"/>
      <c r="B42" s="105"/>
      <c r="C42" s="133" t="s">
        <v>558</v>
      </c>
      <c r="D42" s="121">
        <v>3</v>
      </c>
      <c r="E42" s="117" t="s">
        <v>559</v>
      </c>
      <c r="F42" s="122"/>
      <c r="G42" s="117"/>
      <c r="H42" s="117"/>
      <c r="I42" s="117"/>
      <c r="J42" s="117"/>
      <c r="K42" s="117"/>
      <c r="L42" s="120"/>
    </row>
    <row r="43" spans="1:14" ht="13.9">
      <c r="A43" s="105"/>
      <c r="B43" s="105"/>
      <c r="C43" s="134" t="s">
        <v>560</v>
      </c>
      <c r="D43" s="121"/>
      <c r="E43" s="117"/>
      <c r="F43" s="122"/>
      <c r="G43" s="117"/>
      <c r="H43" s="117"/>
      <c r="I43" s="117"/>
      <c r="J43" s="117"/>
      <c r="K43" s="117"/>
      <c r="L43" s="120"/>
    </row>
    <row r="44" spans="1:14">
      <c r="A44" s="105"/>
      <c r="B44" s="105"/>
      <c r="C44" s="131"/>
      <c r="D44" s="121"/>
      <c r="E44" s="117"/>
      <c r="F44" s="122"/>
      <c r="G44" s="117"/>
      <c r="H44" s="117"/>
      <c r="I44" s="117"/>
      <c r="J44" s="117"/>
      <c r="K44" s="117"/>
      <c r="L44" s="120"/>
    </row>
    <row r="45" spans="1:14">
      <c r="D45" s="101"/>
      <c r="E45" s="101"/>
      <c r="G45" s="101"/>
      <c r="H45" s="101"/>
      <c r="I45" s="101"/>
      <c r="J45" s="101"/>
    </row>
    <row r="46" spans="1:14">
      <c r="A46" s="185" t="str">
        <f>$A$4</f>
        <v xml:space="preserve">Please fill in Supplier Name </v>
      </c>
      <c r="B46" s="185" t="s">
        <v>74</v>
      </c>
      <c r="C46" s="186" t="s">
        <v>75</v>
      </c>
      <c r="D46" s="187"/>
      <c r="E46" s="187"/>
      <c r="F46" s="188"/>
      <c r="G46" s="189">
        <f>SUM(G47:G49)</f>
        <v>0</v>
      </c>
      <c r="H46" s="189">
        <f>SUM(H47:H49)</f>
        <v>0</v>
      </c>
      <c r="I46" s="190">
        <f>SUM(G46:H46)</f>
        <v>0</v>
      </c>
      <c r="J46" s="191" t="s">
        <v>16</v>
      </c>
      <c r="K46" s="191" t="s">
        <v>27</v>
      </c>
      <c r="L46" s="186"/>
      <c r="M46" s="194" t="s">
        <v>532</v>
      </c>
      <c r="N46" s="194" t="s">
        <v>561</v>
      </c>
    </row>
    <row r="47" spans="1:14">
      <c r="A47" s="105"/>
      <c r="B47" s="105"/>
      <c r="C47" s="132" t="s">
        <v>562</v>
      </c>
      <c r="D47" s="125">
        <v>3</v>
      </c>
      <c r="E47" s="118" t="s">
        <v>547</v>
      </c>
      <c r="F47" s="124"/>
      <c r="G47" s="118"/>
      <c r="H47" s="118"/>
      <c r="I47" s="117"/>
      <c r="J47" s="117"/>
      <c r="K47" s="117"/>
      <c r="L47" s="120"/>
    </row>
    <row r="48" spans="1:14">
      <c r="A48" s="105"/>
      <c r="B48" s="105"/>
      <c r="C48" s="132"/>
      <c r="D48" s="125"/>
      <c r="E48" s="118"/>
      <c r="F48" s="124"/>
      <c r="G48" s="118"/>
      <c r="H48" s="118"/>
      <c r="I48" s="117"/>
      <c r="J48" s="117"/>
      <c r="K48" s="117"/>
      <c r="L48" s="120"/>
    </row>
    <row r="49" spans="1:14">
      <c r="A49" s="105"/>
      <c r="B49" s="105"/>
      <c r="C49" s="132"/>
      <c r="D49" s="125"/>
      <c r="E49" s="118"/>
      <c r="F49" s="124"/>
      <c r="G49" s="118"/>
      <c r="H49" s="118"/>
      <c r="I49" s="117"/>
      <c r="J49" s="117"/>
      <c r="K49" s="117"/>
      <c r="L49" s="120"/>
    </row>
    <row r="50" spans="1:14">
      <c r="D50" s="101"/>
      <c r="E50" s="101"/>
      <c r="G50" s="101"/>
      <c r="H50" s="101"/>
      <c r="I50" s="101"/>
      <c r="J50" s="101"/>
    </row>
    <row r="51" spans="1:14">
      <c r="A51" s="227" t="str">
        <f>$A$4</f>
        <v xml:space="preserve">Please fill in Supplier Name </v>
      </c>
      <c r="B51" s="227" t="s">
        <v>100</v>
      </c>
      <c r="C51" s="228" t="s">
        <v>101</v>
      </c>
      <c r="D51" s="229"/>
      <c r="E51" s="229"/>
      <c r="F51" s="230"/>
      <c r="G51" s="231">
        <f>SUM(G52:G54)</f>
        <v>0</v>
      </c>
      <c r="H51" s="231">
        <f>SUM(H52:H54)</f>
        <v>0</v>
      </c>
      <c r="I51" s="232">
        <f>SUM(G51:H51)</f>
        <v>0</v>
      </c>
      <c r="J51" s="233" t="s">
        <v>16</v>
      </c>
      <c r="K51" s="233" t="s">
        <v>27</v>
      </c>
      <c r="L51" s="228"/>
      <c r="M51" s="236" t="s">
        <v>543</v>
      </c>
      <c r="N51" s="236" t="s">
        <v>563</v>
      </c>
    </row>
    <row r="52" spans="1:14">
      <c r="A52" s="105"/>
      <c r="B52" s="105"/>
      <c r="C52" s="132" t="s">
        <v>564</v>
      </c>
      <c r="D52" s="125">
        <v>3</v>
      </c>
      <c r="E52" s="118" t="s">
        <v>547</v>
      </c>
      <c r="F52" s="124"/>
      <c r="G52" s="118"/>
      <c r="H52" s="118"/>
      <c r="I52" s="117"/>
      <c r="J52" s="117"/>
      <c r="K52" s="117"/>
      <c r="L52" s="120"/>
    </row>
    <row r="53" spans="1:14">
      <c r="A53" s="105"/>
      <c r="B53" s="105"/>
      <c r="C53" s="132"/>
      <c r="D53" s="125"/>
      <c r="E53" s="118"/>
      <c r="F53" s="124"/>
      <c r="G53" s="118"/>
      <c r="H53" s="118"/>
      <c r="I53" s="117"/>
      <c r="J53" s="117"/>
      <c r="K53" s="117"/>
      <c r="L53" s="120"/>
    </row>
    <row r="54" spans="1:14">
      <c r="A54" s="105"/>
      <c r="B54" s="105"/>
      <c r="C54" s="132"/>
      <c r="D54" s="125"/>
      <c r="E54" s="118"/>
      <c r="F54" s="124"/>
      <c r="G54" s="118"/>
      <c r="H54" s="118"/>
      <c r="I54" s="117"/>
      <c r="J54" s="117"/>
      <c r="K54" s="117"/>
      <c r="L54" s="120"/>
    </row>
    <row r="55" spans="1:14">
      <c r="D55" s="101"/>
      <c r="E55" s="101"/>
      <c r="G55" s="101"/>
      <c r="H55" s="101"/>
      <c r="I55" s="101"/>
      <c r="J55" s="101"/>
    </row>
    <row r="56" spans="1:14">
      <c r="A56" s="109" t="str">
        <f>$A$4</f>
        <v xml:space="preserve">Please fill in Supplier Name </v>
      </c>
      <c r="B56" s="109" t="s">
        <v>28</v>
      </c>
      <c r="C56" s="115" t="s">
        <v>565</v>
      </c>
      <c r="D56" s="110"/>
      <c r="E56" s="110"/>
      <c r="F56" s="111"/>
      <c r="G56" s="112">
        <f>SUM(G57:G59)</f>
        <v>0</v>
      </c>
      <c r="H56" s="112">
        <f>SUM(H57:H59)</f>
        <v>0</v>
      </c>
      <c r="I56" s="113">
        <f>SUM(G56:H56)</f>
        <v>0</v>
      </c>
      <c r="J56" s="114" t="s">
        <v>16</v>
      </c>
      <c r="K56" s="114">
        <v>1</v>
      </c>
      <c r="L56" s="115"/>
      <c r="M56" s="116" t="s">
        <v>544</v>
      </c>
      <c r="N56" s="116" t="s">
        <v>566</v>
      </c>
    </row>
    <row r="57" spans="1:14">
      <c r="B57" s="105"/>
      <c r="C57" s="93" t="s">
        <v>567</v>
      </c>
      <c r="D57" s="121">
        <v>10</v>
      </c>
      <c r="E57" s="117" t="s">
        <v>547</v>
      </c>
      <c r="F57" s="93" t="s">
        <v>568</v>
      </c>
      <c r="G57" s="117"/>
      <c r="H57" s="117"/>
      <c r="I57" s="117"/>
      <c r="J57" s="117"/>
      <c r="K57" s="117"/>
      <c r="L57" s="120"/>
    </row>
    <row r="58" spans="1:14">
      <c r="A58" s="105"/>
      <c r="B58" s="105"/>
      <c r="C58" s="131"/>
      <c r="D58" s="121"/>
      <c r="E58" s="117"/>
      <c r="F58" s="122"/>
      <c r="G58" s="117"/>
      <c r="H58" s="117"/>
      <c r="I58" s="117"/>
      <c r="J58" s="117"/>
      <c r="K58" s="117"/>
      <c r="L58" s="120"/>
    </row>
    <row r="59" spans="1:14">
      <c r="A59" s="105"/>
      <c r="B59" s="105"/>
      <c r="C59" s="131"/>
      <c r="D59" s="121"/>
      <c r="E59" s="117"/>
      <c r="F59" s="122"/>
      <c r="G59" s="117"/>
      <c r="H59" s="117"/>
      <c r="I59" s="117"/>
      <c r="J59" s="117"/>
      <c r="K59" s="117"/>
      <c r="L59" s="120"/>
    </row>
    <row r="60" spans="1:14">
      <c r="D60" s="101"/>
      <c r="E60" s="101"/>
      <c r="G60" s="101"/>
      <c r="H60" s="101"/>
      <c r="I60" s="101"/>
      <c r="J60" s="101"/>
    </row>
    <row r="61" spans="1:14">
      <c r="A61" s="185" t="str">
        <f>$A$4</f>
        <v xml:space="preserve">Please fill in Supplier Name </v>
      </c>
      <c r="B61" s="185" t="s">
        <v>569</v>
      </c>
      <c r="C61" s="186" t="s">
        <v>570</v>
      </c>
      <c r="D61" s="187"/>
      <c r="E61" s="187"/>
      <c r="F61" s="188"/>
      <c r="G61" s="189">
        <f>SUM(G62:G64)</f>
        <v>0</v>
      </c>
      <c r="H61" s="189">
        <f>SUM(H62:H64)</f>
        <v>0</v>
      </c>
      <c r="I61" s="190">
        <f>SUM(G61:H61)</f>
        <v>0</v>
      </c>
      <c r="J61" s="191" t="s">
        <v>16</v>
      </c>
      <c r="K61" s="191">
        <v>1</v>
      </c>
      <c r="L61" s="186"/>
      <c r="M61" s="194" t="s">
        <v>532</v>
      </c>
      <c r="N61" s="194" t="s">
        <v>566</v>
      </c>
    </row>
    <row r="62" spans="1:14">
      <c r="B62" s="105"/>
      <c r="C62" s="94" t="s">
        <v>571</v>
      </c>
      <c r="D62" s="125">
        <v>1</v>
      </c>
      <c r="E62" s="118" t="s">
        <v>552</v>
      </c>
      <c r="F62" s="94" t="s">
        <v>572</v>
      </c>
      <c r="G62" s="118"/>
      <c r="H62" s="118"/>
      <c r="I62" s="117"/>
      <c r="J62" s="117"/>
      <c r="K62" s="117"/>
      <c r="L62" s="120"/>
    </row>
    <row r="63" spans="1:14">
      <c r="A63" s="105"/>
      <c r="B63" s="105"/>
      <c r="C63" s="132"/>
      <c r="D63" s="125"/>
      <c r="E63" s="118"/>
      <c r="F63" s="124"/>
      <c r="G63" s="118"/>
      <c r="H63" s="118"/>
      <c r="I63" s="117"/>
      <c r="J63" s="117"/>
      <c r="K63" s="117"/>
      <c r="L63" s="120"/>
    </row>
    <row r="64" spans="1:14">
      <c r="A64" s="105"/>
      <c r="B64" s="105"/>
      <c r="C64" s="132"/>
      <c r="D64" s="125"/>
      <c r="E64" s="118"/>
      <c r="F64" s="124"/>
      <c r="G64" s="118"/>
      <c r="H64" s="118"/>
      <c r="I64" s="117"/>
      <c r="J64" s="117"/>
      <c r="K64" s="117"/>
      <c r="L64" s="120"/>
    </row>
    <row r="65" spans="1:14">
      <c r="D65" s="101"/>
      <c r="E65" s="101"/>
      <c r="G65" s="101"/>
      <c r="H65" s="101"/>
      <c r="I65" s="101"/>
      <c r="J65" s="101"/>
    </row>
    <row r="66" spans="1:14">
      <c r="A66" s="227" t="str">
        <f>$A$4</f>
        <v xml:space="preserve">Please fill in Supplier Name </v>
      </c>
      <c r="B66" s="227" t="s">
        <v>573</v>
      </c>
      <c r="C66" s="228" t="s">
        <v>574</v>
      </c>
      <c r="D66" s="229"/>
      <c r="E66" s="229"/>
      <c r="F66" s="230"/>
      <c r="G66" s="231">
        <f>SUM(G67:G69)</f>
        <v>0</v>
      </c>
      <c r="H66" s="231">
        <f>SUM(H67:H69)</f>
        <v>0</v>
      </c>
      <c r="I66" s="232">
        <f>SUM(G66:H66)</f>
        <v>0</v>
      </c>
      <c r="J66" s="233" t="s">
        <v>16</v>
      </c>
      <c r="K66" s="233">
        <v>1</v>
      </c>
      <c r="L66" s="228"/>
      <c r="M66" s="236" t="s">
        <v>543</v>
      </c>
      <c r="N66" s="236" t="s">
        <v>566</v>
      </c>
    </row>
    <row r="67" spans="1:14">
      <c r="B67" s="105"/>
      <c r="C67" s="94" t="s">
        <v>571</v>
      </c>
      <c r="D67" s="125">
        <v>1</v>
      </c>
      <c r="E67" s="118" t="s">
        <v>552</v>
      </c>
      <c r="F67" s="94" t="s">
        <v>572</v>
      </c>
      <c r="G67" s="118"/>
      <c r="H67" s="118"/>
      <c r="I67" s="117"/>
      <c r="J67" s="117"/>
      <c r="K67" s="117"/>
      <c r="L67" s="120"/>
    </row>
    <row r="68" spans="1:14">
      <c r="A68" s="105"/>
      <c r="B68" s="105"/>
      <c r="C68" s="132"/>
      <c r="D68" s="125"/>
      <c r="E68" s="118"/>
      <c r="F68" s="124"/>
      <c r="G68" s="118"/>
      <c r="H68" s="118"/>
      <c r="I68" s="117"/>
      <c r="J68" s="117"/>
      <c r="K68" s="117"/>
      <c r="L68" s="120"/>
    </row>
    <row r="69" spans="1:14">
      <c r="A69" s="105"/>
      <c r="B69" s="105"/>
      <c r="C69" s="132"/>
      <c r="D69" s="125"/>
      <c r="E69" s="118"/>
      <c r="F69" s="124"/>
      <c r="G69" s="118"/>
      <c r="H69" s="118"/>
      <c r="I69" s="117"/>
      <c r="J69" s="117"/>
      <c r="K69" s="117"/>
      <c r="L69" s="120"/>
    </row>
    <row r="70" spans="1:14">
      <c r="D70" s="101"/>
      <c r="E70" s="101"/>
      <c r="G70" s="101"/>
      <c r="H70" s="101"/>
      <c r="I70" s="101"/>
      <c r="J70" s="101"/>
    </row>
    <row r="71" spans="1:14">
      <c r="A71" s="109" t="str">
        <f>$A$4</f>
        <v xml:space="preserve">Please fill in Supplier Name </v>
      </c>
      <c r="B71" s="109" t="s">
        <v>30</v>
      </c>
      <c r="C71" s="115" t="s">
        <v>31</v>
      </c>
      <c r="D71" s="110"/>
      <c r="E71" s="110"/>
      <c r="F71" s="111"/>
      <c r="G71" s="112">
        <f>SUM(G72:G80)</f>
        <v>0</v>
      </c>
      <c r="H71" s="112">
        <f>SUM(H72:H80)</f>
        <v>0</v>
      </c>
      <c r="I71" s="113">
        <f>SUM(G71:H71)</f>
        <v>0</v>
      </c>
      <c r="J71" s="114" t="s">
        <v>16</v>
      </c>
      <c r="K71" s="114" t="s">
        <v>32</v>
      </c>
      <c r="L71" s="115"/>
      <c r="M71" s="116" t="s">
        <v>544</v>
      </c>
      <c r="N71" s="116" t="s">
        <v>575</v>
      </c>
    </row>
    <row r="72" spans="1:14">
      <c r="A72" s="105"/>
      <c r="B72" s="105"/>
      <c r="C72" s="131" t="s">
        <v>576</v>
      </c>
      <c r="D72" s="121" t="s">
        <v>577</v>
      </c>
      <c r="E72" s="117" t="s">
        <v>547</v>
      </c>
      <c r="F72" s="122"/>
      <c r="G72" s="117"/>
      <c r="H72" s="117"/>
      <c r="I72" s="117"/>
      <c r="J72" s="117"/>
      <c r="K72" s="117"/>
      <c r="L72" s="120"/>
    </row>
    <row r="73" spans="1:14">
      <c r="A73" s="105"/>
      <c r="B73" s="105"/>
      <c r="C73" s="131" t="s">
        <v>578</v>
      </c>
      <c r="D73" s="121">
        <v>20</v>
      </c>
      <c r="E73" s="117" t="s">
        <v>547</v>
      </c>
      <c r="F73" s="122"/>
      <c r="G73" s="117"/>
      <c r="H73" s="117"/>
      <c r="I73" s="117"/>
      <c r="J73" s="117"/>
      <c r="K73" s="117"/>
      <c r="L73" s="120"/>
    </row>
    <row r="74" spans="1:14">
      <c r="A74" s="105"/>
      <c r="B74" s="105"/>
      <c r="C74" s="131" t="s">
        <v>579</v>
      </c>
      <c r="D74" s="121">
        <v>10</v>
      </c>
      <c r="E74" s="117" t="s">
        <v>547</v>
      </c>
      <c r="F74" s="122"/>
      <c r="G74" s="117"/>
      <c r="H74" s="117"/>
      <c r="I74" s="117"/>
      <c r="J74" s="117"/>
      <c r="K74" s="117"/>
      <c r="L74" s="120"/>
    </row>
    <row r="75" spans="1:14">
      <c r="A75" s="105"/>
      <c r="B75" s="105"/>
      <c r="C75" s="131" t="s">
        <v>580</v>
      </c>
      <c r="D75" s="121">
        <v>2</v>
      </c>
      <c r="E75" s="117" t="s">
        <v>547</v>
      </c>
      <c r="F75" s="122"/>
      <c r="G75" s="117"/>
      <c r="H75" s="117"/>
      <c r="I75" s="117"/>
      <c r="J75" s="117"/>
      <c r="K75" s="117"/>
      <c r="L75" s="120"/>
    </row>
    <row r="76" spans="1:14">
      <c r="A76" s="105"/>
      <c r="B76" s="105"/>
      <c r="C76" s="131" t="s">
        <v>581</v>
      </c>
      <c r="D76" s="121">
        <v>1</v>
      </c>
      <c r="E76" s="117" t="s">
        <v>582</v>
      </c>
      <c r="F76" s="122"/>
      <c r="G76" s="117"/>
      <c r="H76" s="117"/>
      <c r="I76" s="117"/>
      <c r="J76" s="117"/>
      <c r="K76" s="117"/>
      <c r="L76" s="120"/>
    </row>
    <row r="77" spans="1:14">
      <c r="A77" s="105"/>
      <c r="B77" s="105"/>
      <c r="C77" s="131" t="s">
        <v>583</v>
      </c>
      <c r="D77" s="121">
        <v>1</v>
      </c>
      <c r="E77" s="117" t="s">
        <v>547</v>
      </c>
      <c r="F77" s="122"/>
      <c r="G77" s="117"/>
      <c r="H77" s="117"/>
      <c r="I77" s="117"/>
      <c r="J77" s="117"/>
      <c r="K77" s="117"/>
      <c r="L77" s="120"/>
    </row>
    <row r="78" spans="1:14">
      <c r="A78" s="105"/>
      <c r="B78" s="105"/>
      <c r="C78" s="131"/>
      <c r="D78" s="121"/>
      <c r="E78" s="117"/>
      <c r="F78" s="122"/>
      <c r="G78" s="117"/>
      <c r="H78" s="117"/>
      <c r="I78" s="117"/>
      <c r="J78" s="117"/>
      <c r="K78" s="117"/>
      <c r="L78" s="120"/>
    </row>
    <row r="79" spans="1:14">
      <c r="A79" s="105"/>
      <c r="B79" s="105"/>
      <c r="C79" s="131"/>
      <c r="D79" s="121"/>
      <c r="E79" s="117"/>
      <c r="F79" s="122"/>
      <c r="G79" s="117"/>
      <c r="H79" s="117"/>
      <c r="I79" s="117"/>
      <c r="J79" s="117"/>
      <c r="K79" s="117"/>
      <c r="L79" s="120"/>
    </row>
    <row r="80" spans="1:14">
      <c r="A80" s="105"/>
      <c r="B80" s="105"/>
      <c r="C80" s="131"/>
      <c r="D80" s="121"/>
      <c r="E80" s="117"/>
      <c r="F80" s="122"/>
      <c r="G80" s="117"/>
      <c r="H80" s="117"/>
      <c r="I80" s="117"/>
      <c r="J80" s="117"/>
      <c r="K80" s="117"/>
      <c r="L80" s="120"/>
    </row>
    <row r="81" spans="1:14">
      <c r="D81" s="101"/>
      <c r="E81" s="101"/>
      <c r="G81" s="101"/>
      <c r="H81" s="101"/>
      <c r="I81" s="101"/>
      <c r="J81" s="101"/>
    </row>
    <row r="82" spans="1:14">
      <c r="A82" s="185" t="str">
        <f>$A$4</f>
        <v xml:space="preserve">Please fill in Supplier Name </v>
      </c>
      <c r="B82" s="185" t="s">
        <v>76</v>
      </c>
      <c r="C82" s="186" t="s">
        <v>77</v>
      </c>
      <c r="D82" s="187"/>
      <c r="E82" s="187"/>
      <c r="F82" s="188"/>
      <c r="G82" s="189">
        <f>SUM(G83:G91)</f>
        <v>0</v>
      </c>
      <c r="H82" s="189">
        <f>SUM(H83:H91)</f>
        <v>0</v>
      </c>
      <c r="I82" s="190">
        <f>SUM(G82:H82)</f>
        <v>0</v>
      </c>
      <c r="J82" s="191" t="s">
        <v>16</v>
      </c>
      <c r="K82" s="191" t="s">
        <v>32</v>
      </c>
      <c r="L82" s="186"/>
      <c r="M82" s="194" t="s">
        <v>532</v>
      </c>
      <c r="N82" s="194"/>
    </row>
    <row r="83" spans="1:14">
      <c r="A83" s="105"/>
      <c r="B83" s="105"/>
      <c r="C83" s="132" t="s">
        <v>584</v>
      </c>
      <c r="D83" s="125">
        <v>12</v>
      </c>
      <c r="E83" s="118" t="s">
        <v>547</v>
      </c>
      <c r="F83" s="124" t="s">
        <v>585</v>
      </c>
      <c r="G83" s="118"/>
      <c r="H83" s="118"/>
      <c r="I83" s="117"/>
      <c r="J83" s="117"/>
      <c r="K83" s="117"/>
      <c r="L83" s="120"/>
    </row>
    <row r="84" spans="1:14">
      <c r="A84" s="105"/>
      <c r="B84" s="105"/>
      <c r="C84" s="132" t="s">
        <v>586</v>
      </c>
      <c r="D84" s="125">
        <v>10</v>
      </c>
      <c r="E84" s="118" t="s">
        <v>547</v>
      </c>
      <c r="F84" s="124" t="s">
        <v>585</v>
      </c>
      <c r="G84" s="118"/>
      <c r="H84" s="118"/>
      <c r="I84" s="117"/>
      <c r="J84" s="117"/>
      <c r="K84" s="117"/>
      <c r="L84" s="120"/>
    </row>
    <row r="85" spans="1:14">
      <c r="A85" s="105"/>
      <c r="B85" s="105"/>
      <c r="C85" s="132" t="s">
        <v>587</v>
      </c>
      <c r="D85" s="125">
        <v>20</v>
      </c>
      <c r="E85" s="118" t="s">
        <v>547</v>
      </c>
      <c r="F85" s="124" t="s">
        <v>588</v>
      </c>
      <c r="G85" s="118"/>
      <c r="H85" s="118"/>
      <c r="I85" s="117"/>
      <c r="J85" s="117"/>
      <c r="K85" s="117"/>
      <c r="L85" s="120"/>
    </row>
    <row r="86" spans="1:14">
      <c r="A86" s="105"/>
      <c r="B86" s="105"/>
      <c r="C86" s="132" t="s">
        <v>589</v>
      </c>
      <c r="D86" s="125">
        <v>2</v>
      </c>
      <c r="E86" s="118" t="s">
        <v>582</v>
      </c>
      <c r="F86" s="124"/>
      <c r="G86" s="118"/>
      <c r="H86" s="118"/>
      <c r="I86" s="117"/>
      <c r="J86" s="117"/>
      <c r="K86" s="117"/>
      <c r="L86" s="120"/>
    </row>
    <row r="87" spans="1:14">
      <c r="A87" s="105"/>
      <c r="B87" s="105"/>
      <c r="C87" s="132" t="s">
        <v>590</v>
      </c>
      <c r="D87" s="125">
        <v>10</v>
      </c>
      <c r="E87" s="118" t="s">
        <v>547</v>
      </c>
      <c r="F87" s="124"/>
      <c r="G87" s="118"/>
      <c r="H87" s="118"/>
      <c r="I87" s="117"/>
      <c r="J87" s="117"/>
      <c r="K87" s="117"/>
      <c r="L87" s="120"/>
    </row>
    <row r="88" spans="1:14">
      <c r="A88" s="105"/>
      <c r="B88" s="105"/>
      <c r="C88" s="132"/>
      <c r="D88" s="125"/>
      <c r="E88" s="118"/>
      <c r="F88" s="124"/>
      <c r="G88" s="118"/>
      <c r="H88" s="118"/>
      <c r="I88" s="117"/>
      <c r="J88" s="117"/>
      <c r="K88" s="117"/>
      <c r="L88" s="120"/>
    </row>
    <row r="89" spans="1:14">
      <c r="A89" s="105"/>
      <c r="B89" s="105"/>
      <c r="C89" s="132"/>
      <c r="D89" s="125"/>
      <c r="E89" s="118"/>
      <c r="F89" s="124"/>
      <c r="G89" s="118"/>
      <c r="H89" s="118"/>
      <c r="I89" s="117"/>
      <c r="J89" s="117"/>
      <c r="K89" s="117"/>
      <c r="L89" s="120"/>
    </row>
    <row r="90" spans="1:14">
      <c r="A90" s="105"/>
      <c r="B90" s="105"/>
      <c r="C90" s="132"/>
      <c r="D90" s="125"/>
      <c r="E90" s="118"/>
      <c r="F90" s="124"/>
      <c r="G90" s="118"/>
      <c r="H90" s="118"/>
      <c r="I90" s="117"/>
      <c r="J90" s="117"/>
      <c r="K90" s="117"/>
      <c r="L90" s="120"/>
    </row>
    <row r="91" spans="1:14">
      <c r="A91" s="105"/>
      <c r="B91" s="105"/>
      <c r="C91" s="132"/>
      <c r="D91" s="125"/>
      <c r="E91" s="118"/>
      <c r="F91" s="124"/>
      <c r="G91" s="118"/>
      <c r="H91" s="118"/>
      <c r="I91" s="117"/>
      <c r="J91" s="117"/>
      <c r="K91" s="117"/>
      <c r="L91" s="120"/>
    </row>
    <row r="92" spans="1:14">
      <c r="D92" s="101"/>
      <c r="E92" s="101"/>
      <c r="G92" s="101"/>
      <c r="H92" s="101"/>
      <c r="I92" s="101"/>
      <c r="J92" s="101"/>
    </row>
    <row r="93" spans="1:14">
      <c r="A93" s="227" t="str">
        <f>$A$4</f>
        <v xml:space="preserve">Please fill in Supplier Name </v>
      </c>
      <c r="B93" s="227" t="s">
        <v>102</v>
      </c>
      <c r="C93" s="228" t="s">
        <v>103</v>
      </c>
      <c r="D93" s="229"/>
      <c r="E93" s="229"/>
      <c r="F93" s="230"/>
      <c r="G93" s="231">
        <f>SUM(G94:G102)</f>
        <v>0</v>
      </c>
      <c r="H93" s="231">
        <f>SUM(H94:H102)</f>
        <v>0</v>
      </c>
      <c r="I93" s="232">
        <f>SUM(G93:H93)</f>
        <v>0</v>
      </c>
      <c r="J93" s="233" t="s">
        <v>16</v>
      </c>
      <c r="K93" s="233" t="s">
        <v>32</v>
      </c>
      <c r="L93" s="228"/>
      <c r="M93" s="236" t="s">
        <v>543</v>
      </c>
      <c r="N93" s="236"/>
    </row>
    <row r="94" spans="1:14">
      <c r="A94" s="105"/>
      <c r="B94" s="105"/>
      <c r="C94" s="132" t="s">
        <v>591</v>
      </c>
      <c r="D94" s="125" t="s">
        <v>592</v>
      </c>
      <c r="E94" s="118" t="s">
        <v>547</v>
      </c>
      <c r="F94" s="124" t="s">
        <v>585</v>
      </c>
      <c r="G94" s="118"/>
      <c r="H94" s="118"/>
      <c r="I94" s="117"/>
      <c r="J94" s="117"/>
      <c r="K94" s="117"/>
      <c r="L94" s="120"/>
    </row>
    <row r="95" spans="1:14">
      <c r="A95" s="105"/>
      <c r="B95" s="105"/>
      <c r="C95" s="132" t="s">
        <v>593</v>
      </c>
      <c r="D95" s="125">
        <v>20</v>
      </c>
      <c r="E95" s="118" t="s">
        <v>547</v>
      </c>
      <c r="F95" s="124" t="s">
        <v>585</v>
      </c>
      <c r="G95" s="118"/>
      <c r="H95" s="118"/>
      <c r="I95" s="117"/>
      <c r="J95" s="117"/>
      <c r="K95" s="117"/>
      <c r="L95" s="120"/>
    </row>
    <row r="96" spans="1:14">
      <c r="A96" s="105"/>
      <c r="B96" s="105"/>
      <c r="C96" s="132" t="s">
        <v>594</v>
      </c>
      <c r="D96" s="125">
        <v>10</v>
      </c>
      <c r="E96" s="118" t="s">
        <v>547</v>
      </c>
      <c r="F96" s="124" t="s">
        <v>595</v>
      </c>
      <c r="G96" s="118"/>
      <c r="H96" s="118"/>
      <c r="I96" s="117"/>
      <c r="J96" s="117"/>
      <c r="K96" s="117"/>
      <c r="L96" s="120"/>
    </row>
    <row r="97" spans="1:14">
      <c r="A97" s="105"/>
      <c r="B97" s="105"/>
      <c r="C97" s="132" t="s">
        <v>553</v>
      </c>
      <c r="D97" s="125">
        <v>5</v>
      </c>
      <c r="E97" s="118" t="s">
        <v>547</v>
      </c>
      <c r="F97" s="124"/>
      <c r="G97" s="118"/>
      <c r="H97" s="118"/>
      <c r="I97" s="117"/>
      <c r="J97" s="117"/>
      <c r="K97" s="117"/>
      <c r="L97" s="120"/>
    </row>
    <row r="98" spans="1:14">
      <c r="A98" s="105"/>
      <c r="B98" s="105"/>
      <c r="C98" s="132" t="s">
        <v>596</v>
      </c>
      <c r="D98" s="125">
        <v>2</v>
      </c>
      <c r="E98" s="118" t="s">
        <v>582</v>
      </c>
      <c r="F98" s="124"/>
      <c r="G98" s="118"/>
      <c r="H98" s="118"/>
      <c r="I98" s="117"/>
      <c r="J98" s="117"/>
      <c r="K98" s="117"/>
      <c r="L98" s="120"/>
    </row>
    <row r="99" spans="1:14">
      <c r="A99" s="105"/>
      <c r="B99" s="105"/>
      <c r="C99" s="132"/>
      <c r="D99" s="125"/>
      <c r="E99" s="118"/>
      <c r="F99" s="124"/>
      <c r="G99" s="118"/>
      <c r="H99" s="118"/>
      <c r="I99" s="117"/>
      <c r="J99" s="117"/>
      <c r="K99" s="117"/>
      <c r="L99" s="120"/>
    </row>
    <row r="100" spans="1:14">
      <c r="A100" s="105"/>
      <c r="B100" s="105"/>
      <c r="C100" s="132"/>
      <c r="D100" s="125"/>
      <c r="E100" s="118"/>
      <c r="F100" s="124"/>
      <c r="G100" s="118"/>
      <c r="H100" s="118"/>
      <c r="I100" s="117"/>
      <c r="J100" s="117"/>
      <c r="K100" s="117"/>
      <c r="L100" s="120"/>
    </row>
    <row r="101" spans="1:14">
      <c r="A101" s="105"/>
      <c r="B101" s="105"/>
      <c r="C101" s="132"/>
      <c r="D101" s="125"/>
      <c r="E101" s="118"/>
      <c r="F101" s="124"/>
      <c r="G101" s="118"/>
      <c r="H101" s="118"/>
      <c r="I101" s="117"/>
      <c r="J101" s="117"/>
      <c r="K101" s="117"/>
      <c r="L101" s="120"/>
    </row>
    <row r="102" spans="1:14">
      <c r="A102" s="105"/>
      <c r="B102" s="105"/>
      <c r="C102" s="132"/>
      <c r="D102" s="125"/>
      <c r="E102" s="118"/>
      <c r="F102" s="124"/>
      <c r="G102" s="118"/>
      <c r="H102" s="118"/>
      <c r="I102" s="117"/>
      <c r="J102" s="117"/>
      <c r="K102" s="117"/>
      <c r="L102" s="120"/>
    </row>
    <row r="103" spans="1:14">
      <c r="D103" s="101"/>
      <c r="E103" s="101"/>
      <c r="G103" s="101"/>
      <c r="H103" s="101"/>
      <c r="I103" s="101"/>
      <c r="J103" s="101"/>
    </row>
    <row r="104" spans="1:14">
      <c r="A104" s="109" t="str">
        <f>$A$4</f>
        <v xml:space="preserve">Please fill in Supplier Name </v>
      </c>
      <c r="B104" s="109" t="s">
        <v>33</v>
      </c>
      <c r="C104" s="115" t="s">
        <v>34</v>
      </c>
      <c r="D104" s="110"/>
      <c r="E104" s="110"/>
      <c r="F104" s="111"/>
      <c r="G104" s="112">
        <f>SUM(G105:G113)</f>
        <v>0</v>
      </c>
      <c r="H104" s="112">
        <f>SUM(H105:H113)</f>
        <v>0</v>
      </c>
      <c r="I104" s="113">
        <f>SUM(G104:H104)</f>
        <v>0</v>
      </c>
      <c r="J104" s="114" t="s">
        <v>16</v>
      </c>
      <c r="K104" s="114" t="s">
        <v>35</v>
      </c>
      <c r="L104" s="115"/>
      <c r="M104" s="116" t="s">
        <v>544</v>
      </c>
      <c r="N104" s="116" t="s">
        <v>597</v>
      </c>
    </row>
    <row r="105" spans="1:14">
      <c r="A105" s="105"/>
      <c r="B105" s="105"/>
      <c r="C105" s="131" t="s">
        <v>598</v>
      </c>
      <c r="D105" s="121" t="s">
        <v>599</v>
      </c>
      <c r="E105" s="117" t="s">
        <v>547</v>
      </c>
      <c r="F105" s="122"/>
      <c r="G105" s="117"/>
      <c r="H105" s="117"/>
      <c r="I105" s="117"/>
      <c r="J105" s="117"/>
      <c r="K105" s="117"/>
      <c r="L105" s="120"/>
    </row>
    <row r="106" spans="1:14">
      <c r="A106" s="105"/>
      <c r="B106" s="105"/>
      <c r="C106" s="131" t="s">
        <v>600</v>
      </c>
      <c r="D106" s="121" t="s">
        <v>601</v>
      </c>
      <c r="E106" s="117" t="s">
        <v>547</v>
      </c>
      <c r="F106" s="122"/>
      <c r="G106" s="117"/>
      <c r="H106" s="117"/>
      <c r="I106" s="117"/>
      <c r="J106" s="117"/>
      <c r="K106" s="117"/>
      <c r="L106" s="120"/>
    </row>
    <row r="107" spans="1:14">
      <c r="A107" s="105"/>
      <c r="B107" s="105"/>
      <c r="C107" s="131" t="s">
        <v>602</v>
      </c>
      <c r="D107" s="121" t="s">
        <v>603</v>
      </c>
      <c r="E107" s="117" t="s">
        <v>547</v>
      </c>
      <c r="F107" s="122"/>
      <c r="G107" s="117"/>
      <c r="H107" s="117"/>
      <c r="I107" s="117"/>
      <c r="J107" s="117"/>
      <c r="K107" s="117"/>
      <c r="L107" s="120"/>
    </row>
    <row r="108" spans="1:14">
      <c r="A108" s="105"/>
      <c r="B108" s="105"/>
      <c r="C108" s="131" t="s">
        <v>604</v>
      </c>
      <c r="D108" s="121" t="s">
        <v>605</v>
      </c>
      <c r="E108" s="117" t="s">
        <v>547</v>
      </c>
      <c r="F108" s="122"/>
      <c r="G108" s="117"/>
      <c r="H108" s="117"/>
      <c r="I108" s="117"/>
      <c r="J108" s="117"/>
      <c r="K108" s="117"/>
      <c r="L108" s="120"/>
    </row>
    <row r="109" spans="1:14">
      <c r="A109" s="105"/>
      <c r="B109" s="105"/>
      <c r="C109" s="131" t="s">
        <v>606</v>
      </c>
      <c r="D109" s="121" t="s">
        <v>601</v>
      </c>
      <c r="E109" s="117" t="s">
        <v>547</v>
      </c>
      <c r="F109" s="122"/>
      <c r="G109" s="117"/>
      <c r="H109" s="117"/>
      <c r="I109" s="117"/>
      <c r="J109" s="117"/>
      <c r="K109" s="117"/>
      <c r="L109" s="120"/>
    </row>
    <row r="110" spans="1:14">
      <c r="A110" s="105"/>
      <c r="B110" s="105"/>
      <c r="C110" s="131" t="s">
        <v>607</v>
      </c>
      <c r="D110" s="121" t="s">
        <v>599</v>
      </c>
      <c r="E110" s="117" t="s">
        <v>547</v>
      </c>
      <c r="F110" s="122"/>
      <c r="G110" s="117"/>
      <c r="H110" s="117"/>
      <c r="I110" s="117"/>
      <c r="J110" s="117"/>
      <c r="K110" s="117"/>
      <c r="L110" s="120"/>
    </row>
    <row r="111" spans="1:14">
      <c r="A111" s="105"/>
      <c r="B111" s="105"/>
      <c r="C111" s="131"/>
      <c r="D111" s="121"/>
      <c r="E111" s="117"/>
      <c r="F111" s="122"/>
      <c r="G111" s="117"/>
      <c r="H111" s="117"/>
      <c r="I111" s="117"/>
      <c r="J111" s="117"/>
      <c r="K111" s="117"/>
      <c r="L111" s="120"/>
    </row>
    <row r="112" spans="1:14">
      <c r="A112" s="105"/>
      <c r="B112" s="105"/>
      <c r="C112" s="131"/>
      <c r="D112" s="121"/>
      <c r="E112" s="117"/>
      <c r="F112" s="122"/>
      <c r="G112" s="117"/>
      <c r="H112" s="117"/>
      <c r="I112" s="117"/>
      <c r="J112" s="117"/>
      <c r="K112" s="117"/>
      <c r="L112" s="120"/>
    </row>
    <row r="113" spans="1:14">
      <c r="A113" s="105"/>
      <c r="B113" s="105"/>
      <c r="C113" s="131"/>
      <c r="D113" s="121"/>
      <c r="E113" s="117"/>
      <c r="F113" s="122"/>
      <c r="G113" s="117"/>
      <c r="H113" s="117"/>
      <c r="I113" s="117"/>
      <c r="J113" s="117"/>
      <c r="K113" s="117"/>
      <c r="L113" s="120"/>
    </row>
    <row r="114" spans="1:14">
      <c r="D114" s="101"/>
      <c r="E114" s="101"/>
      <c r="G114" s="101"/>
      <c r="H114" s="101"/>
      <c r="I114" s="101"/>
      <c r="J114" s="101"/>
    </row>
    <row r="115" spans="1:14">
      <c r="A115" s="185" t="str">
        <f>$A$4</f>
        <v xml:space="preserve">Please fill in Supplier Name </v>
      </c>
      <c r="B115" s="185" t="s">
        <v>78</v>
      </c>
      <c r="C115" s="186" t="s">
        <v>79</v>
      </c>
      <c r="D115" s="187"/>
      <c r="E115" s="187"/>
      <c r="F115" s="188"/>
      <c r="G115" s="189">
        <f>SUM(G116:G124)</f>
        <v>0</v>
      </c>
      <c r="H115" s="189">
        <f>SUM(H116:H124)</f>
        <v>0</v>
      </c>
      <c r="I115" s="190">
        <f>SUM(G115:H115)</f>
        <v>0</v>
      </c>
      <c r="J115" s="191" t="s">
        <v>16</v>
      </c>
      <c r="K115" s="191" t="s">
        <v>35</v>
      </c>
      <c r="L115" s="186"/>
      <c r="M115" s="194" t="s">
        <v>532</v>
      </c>
      <c r="N115" s="194"/>
    </row>
    <row r="116" spans="1:14">
      <c r="A116" s="105"/>
      <c r="B116" s="105"/>
      <c r="C116" s="132" t="s">
        <v>608</v>
      </c>
      <c r="D116" s="125">
        <v>40</v>
      </c>
      <c r="E116" s="118" t="s">
        <v>547</v>
      </c>
      <c r="F116" s="124" t="s">
        <v>609</v>
      </c>
      <c r="G116" s="118"/>
      <c r="H116" s="118"/>
      <c r="I116" s="117"/>
      <c r="J116" s="117"/>
      <c r="K116" s="117"/>
      <c r="L116" s="120"/>
    </row>
    <row r="117" spans="1:14">
      <c r="A117" s="105"/>
      <c r="B117" s="105"/>
      <c r="C117" s="132" t="s">
        <v>610</v>
      </c>
      <c r="D117" s="125">
        <v>20</v>
      </c>
      <c r="E117" s="118" t="s">
        <v>547</v>
      </c>
      <c r="F117" s="124"/>
      <c r="G117" s="118"/>
      <c r="H117" s="118"/>
      <c r="I117" s="117"/>
      <c r="J117" s="117"/>
      <c r="K117" s="117"/>
      <c r="L117" s="120"/>
    </row>
    <row r="118" spans="1:14">
      <c r="A118" s="105"/>
      <c r="B118" s="105"/>
      <c r="C118" s="132" t="s">
        <v>611</v>
      </c>
      <c r="D118" s="125">
        <v>20</v>
      </c>
      <c r="E118" s="118" t="s">
        <v>547</v>
      </c>
      <c r="F118" s="124"/>
      <c r="G118" s="118"/>
      <c r="H118" s="118"/>
      <c r="I118" s="117"/>
      <c r="J118" s="117"/>
      <c r="K118" s="117"/>
      <c r="L118" s="120"/>
    </row>
    <row r="119" spans="1:14">
      <c r="A119" s="105"/>
      <c r="B119" s="105"/>
      <c r="C119" s="132" t="s">
        <v>612</v>
      </c>
      <c r="D119" s="125">
        <v>20</v>
      </c>
      <c r="E119" s="118" t="s">
        <v>547</v>
      </c>
      <c r="F119" s="124"/>
      <c r="G119" s="118"/>
      <c r="H119" s="118"/>
      <c r="I119" s="117"/>
      <c r="J119" s="117"/>
      <c r="K119" s="117"/>
      <c r="L119" s="120"/>
    </row>
    <row r="120" spans="1:14">
      <c r="A120" s="105"/>
      <c r="B120" s="105"/>
      <c r="C120" s="132" t="s">
        <v>549</v>
      </c>
      <c r="D120" s="125">
        <v>20</v>
      </c>
      <c r="E120" s="118" t="s">
        <v>547</v>
      </c>
      <c r="F120" s="124"/>
      <c r="G120" s="118"/>
      <c r="H120" s="118"/>
      <c r="I120" s="117"/>
      <c r="J120" s="117"/>
      <c r="K120" s="117"/>
      <c r="L120" s="120"/>
    </row>
    <row r="121" spans="1:14">
      <c r="A121" s="105"/>
      <c r="B121" s="105"/>
      <c r="C121" s="132" t="s">
        <v>613</v>
      </c>
      <c r="D121" s="125">
        <v>20</v>
      </c>
      <c r="E121" s="118" t="s">
        <v>547</v>
      </c>
      <c r="F121" s="124"/>
      <c r="G121" s="118"/>
      <c r="H121" s="118"/>
      <c r="I121" s="117"/>
      <c r="J121" s="117"/>
      <c r="K121" s="117"/>
      <c r="L121" s="120"/>
    </row>
    <row r="122" spans="1:14" ht="14.45">
      <c r="B122" s="105"/>
      <c r="C122" s="135"/>
      <c r="D122" s="125"/>
      <c r="E122" s="118"/>
      <c r="F122" s="124"/>
      <c r="G122" s="118"/>
      <c r="H122" s="118"/>
      <c r="I122" s="117"/>
      <c r="J122" s="117"/>
      <c r="K122" s="117"/>
      <c r="L122" s="120"/>
    </row>
    <row r="123" spans="1:14">
      <c r="A123" s="105"/>
      <c r="B123" s="105"/>
      <c r="C123" s="132"/>
      <c r="D123" s="125"/>
      <c r="E123" s="118"/>
      <c r="F123" s="124"/>
      <c r="G123" s="118"/>
      <c r="H123" s="118"/>
      <c r="I123" s="117"/>
      <c r="J123" s="117"/>
      <c r="K123" s="117"/>
      <c r="L123" s="120"/>
    </row>
    <row r="124" spans="1:14">
      <c r="A124" s="105"/>
      <c r="B124" s="105"/>
      <c r="C124" s="132"/>
      <c r="D124" s="125"/>
      <c r="E124" s="118"/>
      <c r="F124" s="124"/>
      <c r="G124" s="118"/>
      <c r="H124" s="118"/>
      <c r="I124" s="117"/>
      <c r="J124" s="117"/>
      <c r="K124" s="117"/>
      <c r="L124" s="120"/>
    </row>
    <row r="125" spans="1:14">
      <c r="D125" s="101"/>
      <c r="E125" s="101"/>
      <c r="G125" s="101"/>
      <c r="H125" s="101"/>
      <c r="I125" s="101"/>
      <c r="J125" s="101"/>
    </row>
    <row r="126" spans="1:14">
      <c r="A126" s="227" t="str">
        <f>$A$4</f>
        <v xml:space="preserve">Please fill in Supplier Name </v>
      </c>
      <c r="B126" s="227" t="s">
        <v>104</v>
      </c>
      <c r="C126" s="228" t="s">
        <v>105</v>
      </c>
      <c r="D126" s="229"/>
      <c r="E126" s="229"/>
      <c r="F126" s="230"/>
      <c r="G126" s="231">
        <f>SUM(G127:G135)</f>
        <v>0</v>
      </c>
      <c r="H126" s="231">
        <f>SUM(H127:H135)</f>
        <v>0</v>
      </c>
      <c r="I126" s="232">
        <f>SUM(G126:H126)</f>
        <v>0</v>
      </c>
      <c r="J126" s="233" t="s">
        <v>16</v>
      </c>
      <c r="K126" s="233" t="s">
        <v>35</v>
      </c>
      <c r="L126" s="228"/>
      <c r="M126" s="236" t="s">
        <v>543</v>
      </c>
      <c r="N126" s="236"/>
    </row>
    <row r="127" spans="1:14">
      <c r="A127" s="105"/>
      <c r="B127" s="105"/>
      <c r="C127" s="132" t="s">
        <v>614</v>
      </c>
      <c r="D127" s="125">
        <v>40</v>
      </c>
      <c r="E127" s="118" t="s">
        <v>547</v>
      </c>
      <c r="F127" s="124" t="s">
        <v>615</v>
      </c>
      <c r="G127" s="118"/>
      <c r="H127" s="118"/>
      <c r="I127" s="117"/>
      <c r="J127" s="117"/>
      <c r="K127" s="117"/>
      <c r="L127" s="120"/>
    </row>
    <row r="128" spans="1:14">
      <c r="A128" s="105"/>
      <c r="B128" s="105"/>
      <c r="C128" s="132" t="s">
        <v>616</v>
      </c>
      <c r="D128" s="125">
        <v>15</v>
      </c>
      <c r="E128" s="118" t="s">
        <v>547</v>
      </c>
      <c r="F128" s="124"/>
      <c r="G128" s="118"/>
      <c r="H128" s="118"/>
      <c r="I128" s="117"/>
      <c r="J128" s="117"/>
      <c r="K128" s="117"/>
      <c r="L128" s="120"/>
    </row>
    <row r="129" spans="1:14">
      <c r="A129" s="105"/>
      <c r="B129" s="105"/>
      <c r="C129" s="132" t="s">
        <v>617</v>
      </c>
      <c r="D129" s="125">
        <v>30</v>
      </c>
      <c r="E129" s="118" t="s">
        <v>547</v>
      </c>
      <c r="F129" s="124"/>
      <c r="G129" s="118"/>
      <c r="H129" s="118"/>
      <c r="I129" s="117"/>
      <c r="J129" s="117"/>
      <c r="K129" s="117"/>
      <c r="L129" s="120"/>
    </row>
    <row r="130" spans="1:14">
      <c r="A130" s="105"/>
      <c r="B130" s="105"/>
      <c r="C130" s="132" t="s">
        <v>618</v>
      </c>
      <c r="D130" s="125">
        <v>15</v>
      </c>
      <c r="E130" s="118" t="s">
        <v>547</v>
      </c>
      <c r="F130" s="124"/>
      <c r="G130" s="118"/>
      <c r="H130" s="118"/>
      <c r="I130" s="117"/>
      <c r="J130" s="117"/>
      <c r="K130" s="117"/>
      <c r="L130" s="120"/>
    </row>
    <row r="131" spans="1:14">
      <c r="A131" s="105"/>
      <c r="B131" s="105"/>
      <c r="C131" s="132" t="s">
        <v>619</v>
      </c>
      <c r="D131" s="125">
        <v>10</v>
      </c>
      <c r="E131" s="118" t="s">
        <v>547</v>
      </c>
      <c r="F131" s="124"/>
      <c r="G131" s="118"/>
      <c r="H131" s="118"/>
      <c r="I131" s="117"/>
      <c r="J131" s="117"/>
      <c r="K131" s="117"/>
      <c r="L131" s="120"/>
    </row>
    <row r="132" spans="1:14">
      <c r="A132" s="105"/>
      <c r="B132" s="105"/>
      <c r="C132" s="132" t="s">
        <v>613</v>
      </c>
      <c r="D132" s="125">
        <v>20</v>
      </c>
      <c r="E132" s="118" t="s">
        <v>547</v>
      </c>
      <c r="F132" s="124"/>
      <c r="G132" s="118"/>
      <c r="H132" s="118"/>
      <c r="I132" s="117"/>
      <c r="J132" s="117"/>
      <c r="K132" s="117"/>
      <c r="L132" s="120"/>
    </row>
    <row r="133" spans="1:14">
      <c r="A133" s="105"/>
      <c r="B133" s="105"/>
      <c r="C133" s="132"/>
      <c r="D133" s="125"/>
      <c r="E133" s="118"/>
      <c r="F133" s="124"/>
      <c r="G133" s="118"/>
      <c r="H133" s="118"/>
      <c r="I133" s="117"/>
      <c r="J133" s="117"/>
      <c r="K133" s="117"/>
      <c r="L133" s="120"/>
    </row>
    <row r="134" spans="1:14">
      <c r="A134" s="105"/>
      <c r="B134" s="105"/>
      <c r="C134" s="132"/>
      <c r="D134" s="125"/>
      <c r="E134" s="118"/>
      <c r="F134" s="124"/>
      <c r="G134" s="118"/>
      <c r="H134" s="118"/>
      <c r="I134" s="117"/>
      <c r="J134" s="117"/>
      <c r="K134" s="117"/>
      <c r="L134" s="120"/>
    </row>
    <row r="135" spans="1:14">
      <c r="A135" s="105"/>
      <c r="B135" s="105"/>
      <c r="C135" s="132"/>
      <c r="D135" s="125"/>
      <c r="E135" s="118"/>
      <c r="F135" s="124"/>
      <c r="G135" s="118"/>
      <c r="H135" s="118"/>
      <c r="I135" s="117"/>
      <c r="J135" s="117"/>
      <c r="K135" s="117"/>
      <c r="L135" s="120"/>
    </row>
    <row r="136" spans="1:14">
      <c r="D136" s="101"/>
      <c r="E136" s="101"/>
      <c r="G136" s="101"/>
      <c r="H136" s="101"/>
      <c r="I136" s="101"/>
      <c r="J136" s="101"/>
    </row>
    <row r="137" spans="1:14">
      <c r="A137" s="109" t="str">
        <f>$A$4</f>
        <v xml:space="preserve">Please fill in Supplier Name </v>
      </c>
      <c r="B137" s="109" t="s">
        <v>36</v>
      </c>
      <c r="C137" s="115" t="s">
        <v>37</v>
      </c>
      <c r="D137" s="110"/>
      <c r="E137" s="110"/>
      <c r="F137" s="111"/>
      <c r="G137" s="112">
        <f>SUM(G138:G140)</f>
        <v>0</v>
      </c>
      <c r="H137" s="112">
        <f>SUM(H138:H140)</f>
        <v>0</v>
      </c>
      <c r="I137" s="113">
        <f>SUM(G137:H137)</f>
        <v>0</v>
      </c>
      <c r="J137" s="114" t="s">
        <v>16</v>
      </c>
      <c r="K137" s="114" t="s">
        <v>27</v>
      </c>
      <c r="L137" s="115"/>
      <c r="M137" s="116" t="s">
        <v>544</v>
      </c>
      <c r="N137" s="116" t="s">
        <v>620</v>
      </c>
    </row>
    <row r="138" spans="1:14">
      <c r="A138" s="105"/>
      <c r="B138" s="105"/>
      <c r="C138" s="131" t="s">
        <v>621</v>
      </c>
      <c r="D138" s="121">
        <v>5</v>
      </c>
      <c r="E138" s="117" t="s">
        <v>547</v>
      </c>
      <c r="F138" s="122"/>
      <c r="G138" s="117"/>
      <c r="H138" s="117"/>
      <c r="I138" s="117"/>
      <c r="J138" s="117"/>
      <c r="K138" s="117"/>
      <c r="L138" s="120"/>
    </row>
    <row r="139" spans="1:14">
      <c r="A139" s="105"/>
      <c r="B139" s="105"/>
      <c r="C139" s="131"/>
      <c r="D139" s="121"/>
      <c r="E139" s="117"/>
      <c r="F139" s="122"/>
      <c r="G139" s="117"/>
      <c r="H139" s="117"/>
      <c r="I139" s="117"/>
      <c r="J139" s="117"/>
      <c r="K139" s="117"/>
      <c r="L139" s="120"/>
    </row>
    <row r="140" spans="1:14">
      <c r="A140" s="105"/>
      <c r="B140" s="105"/>
      <c r="C140" s="131"/>
      <c r="D140" s="121"/>
      <c r="E140" s="117"/>
      <c r="F140" s="122"/>
      <c r="G140" s="117"/>
      <c r="H140" s="117"/>
      <c r="I140" s="117"/>
      <c r="J140" s="117"/>
      <c r="K140" s="117"/>
      <c r="L140" s="120"/>
    </row>
    <row r="141" spans="1:14">
      <c r="D141" s="101"/>
      <c r="E141" s="101"/>
      <c r="G141" s="101"/>
      <c r="H141" s="101"/>
      <c r="I141" s="101"/>
      <c r="J141" s="101"/>
    </row>
    <row r="142" spans="1:14">
      <c r="A142" s="185" t="str">
        <f>$A$4</f>
        <v xml:space="preserve">Please fill in Supplier Name </v>
      </c>
      <c r="B142" s="185" t="s">
        <v>80</v>
      </c>
      <c r="C142" s="186" t="s">
        <v>81</v>
      </c>
      <c r="D142" s="187"/>
      <c r="E142" s="187"/>
      <c r="F142" s="188"/>
      <c r="G142" s="189">
        <f>SUM(G143:G145)</f>
        <v>0</v>
      </c>
      <c r="H142" s="189">
        <f>SUM(H143:H145)</f>
        <v>0</v>
      </c>
      <c r="I142" s="190">
        <f>SUM(G142:H142)</f>
        <v>0</v>
      </c>
      <c r="J142" s="191" t="s">
        <v>16</v>
      </c>
      <c r="K142" s="191" t="s">
        <v>27</v>
      </c>
      <c r="L142" s="186"/>
      <c r="M142" s="194" t="s">
        <v>532</v>
      </c>
      <c r="N142" s="194" t="s">
        <v>622</v>
      </c>
    </row>
    <row r="143" spans="1:14">
      <c r="A143" s="105"/>
      <c r="B143" s="105"/>
      <c r="C143" s="132" t="s">
        <v>623</v>
      </c>
      <c r="D143" s="125">
        <v>5</v>
      </c>
      <c r="E143" s="118" t="s">
        <v>547</v>
      </c>
      <c r="F143" s="124"/>
      <c r="G143" s="118"/>
      <c r="H143" s="118"/>
      <c r="I143" s="117"/>
      <c r="J143" s="117"/>
      <c r="K143" s="117"/>
      <c r="L143" s="120"/>
    </row>
    <row r="144" spans="1:14">
      <c r="A144" s="105"/>
      <c r="B144" s="105"/>
      <c r="C144" s="132"/>
      <c r="D144" s="125"/>
      <c r="E144" s="118"/>
      <c r="F144" s="124"/>
      <c r="G144" s="118"/>
      <c r="H144" s="118"/>
      <c r="I144" s="117"/>
      <c r="J144" s="117"/>
      <c r="K144" s="117"/>
      <c r="L144" s="120"/>
    </row>
    <row r="145" spans="1:14">
      <c r="A145" s="105"/>
      <c r="B145" s="105"/>
      <c r="C145" s="132"/>
      <c r="D145" s="125"/>
      <c r="E145" s="118"/>
      <c r="F145" s="124"/>
      <c r="G145" s="118"/>
      <c r="H145" s="118"/>
      <c r="I145" s="117"/>
      <c r="J145" s="117"/>
      <c r="K145" s="117"/>
      <c r="L145" s="120"/>
    </row>
    <row r="146" spans="1:14">
      <c r="D146" s="101"/>
      <c r="E146" s="101"/>
      <c r="G146" s="101"/>
      <c r="H146" s="101"/>
      <c r="I146" s="101"/>
      <c r="J146" s="101"/>
    </row>
    <row r="147" spans="1:14">
      <c r="A147" s="227" t="str">
        <f>$A$4</f>
        <v xml:space="preserve">Please fill in Supplier Name </v>
      </c>
      <c r="B147" s="227" t="s">
        <v>106</v>
      </c>
      <c r="C147" s="228" t="s">
        <v>107</v>
      </c>
      <c r="D147" s="229"/>
      <c r="E147" s="229"/>
      <c r="F147" s="230"/>
      <c r="G147" s="231">
        <f>SUM(G148:G150)</f>
        <v>0</v>
      </c>
      <c r="H147" s="231">
        <f>SUM(H148:H150)</f>
        <v>0</v>
      </c>
      <c r="I147" s="232">
        <f>SUM(G147:H147)</f>
        <v>0</v>
      </c>
      <c r="J147" s="233" t="s">
        <v>16</v>
      </c>
      <c r="K147" s="233" t="s">
        <v>27</v>
      </c>
      <c r="L147" s="228"/>
      <c r="M147" s="236" t="s">
        <v>543</v>
      </c>
      <c r="N147" s="236" t="s">
        <v>622</v>
      </c>
    </row>
    <row r="148" spans="1:14">
      <c r="A148" s="105"/>
      <c r="B148" s="105"/>
      <c r="C148" s="132" t="s">
        <v>624</v>
      </c>
      <c r="D148" s="125">
        <v>5</v>
      </c>
      <c r="E148" s="118" t="s">
        <v>547</v>
      </c>
      <c r="F148" s="124"/>
      <c r="G148" s="118"/>
      <c r="H148" s="118"/>
      <c r="I148" s="117"/>
      <c r="J148" s="117"/>
      <c r="K148" s="117"/>
      <c r="L148" s="120"/>
    </row>
    <row r="149" spans="1:14">
      <c r="A149" s="105"/>
      <c r="B149" s="105"/>
      <c r="C149" s="132"/>
      <c r="D149" s="125"/>
      <c r="E149" s="118"/>
      <c r="F149" s="124"/>
      <c r="G149" s="118"/>
      <c r="H149" s="118"/>
      <c r="I149" s="117"/>
      <c r="J149" s="117"/>
      <c r="K149" s="117"/>
      <c r="L149" s="120"/>
    </row>
    <row r="150" spans="1:14">
      <c r="A150" s="105"/>
      <c r="B150" s="105"/>
      <c r="C150" s="132"/>
      <c r="D150" s="125"/>
      <c r="E150" s="118"/>
      <c r="F150" s="124"/>
      <c r="G150" s="118"/>
      <c r="H150" s="118"/>
      <c r="I150" s="117"/>
      <c r="J150" s="117"/>
      <c r="K150" s="117"/>
      <c r="L150" s="120"/>
    </row>
    <row r="151" spans="1:14">
      <c r="D151" s="101"/>
      <c r="E151" s="101"/>
      <c r="G151" s="101"/>
      <c r="H151" s="101"/>
      <c r="I151" s="101"/>
      <c r="J151" s="101"/>
    </row>
    <row r="152" spans="1:14">
      <c r="A152" s="109" t="str">
        <f>$A$4</f>
        <v xml:space="preserve">Please fill in Supplier Name </v>
      </c>
      <c r="B152" s="109" t="s">
        <v>38</v>
      </c>
      <c r="C152" s="115" t="s">
        <v>39</v>
      </c>
      <c r="D152" s="110"/>
      <c r="E152" s="110"/>
      <c r="F152" s="111"/>
      <c r="G152" s="112">
        <f>SUM(G153:G161)</f>
        <v>0</v>
      </c>
      <c r="H152" s="112">
        <f>SUM(H153:H161)</f>
        <v>0</v>
      </c>
      <c r="I152" s="113">
        <f>SUM(G152:H152)</f>
        <v>0</v>
      </c>
      <c r="J152" s="114" t="s">
        <v>16</v>
      </c>
      <c r="K152" s="114" t="s">
        <v>625</v>
      </c>
      <c r="L152" s="115"/>
      <c r="M152" s="116" t="s">
        <v>544</v>
      </c>
      <c r="N152" s="116" t="s">
        <v>626</v>
      </c>
    </row>
    <row r="153" spans="1:14">
      <c r="A153" s="105"/>
      <c r="B153" s="105"/>
      <c r="C153" s="131" t="s">
        <v>627</v>
      </c>
      <c r="D153" s="121">
        <v>90</v>
      </c>
      <c r="E153" s="117"/>
      <c r="F153" s="122"/>
      <c r="G153" s="117"/>
      <c r="H153" s="117"/>
      <c r="I153" s="117"/>
      <c r="J153" s="117"/>
      <c r="K153" s="117"/>
      <c r="L153" s="120"/>
    </row>
    <row r="154" spans="1:14">
      <c r="A154" s="105"/>
      <c r="B154" s="105"/>
      <c r="C154" s="131" t="s">
        <v>628</v>
      </c>
      <c r="D154" s="121">
        <v>40</v>
      </c>
      <c r="E154" s="117"/>
      <c r="F154" s="122"/>
      <c r="G154" s="117"/>
      <c r="H154" s="117"/>
      <c r="I154" s="117"/>
      <c r="J154" s="117"/>
      <c r="K154" s="117"/>
      <c r="L154" s="120"/>
    </row>
    <row r="155" spans="1:14">
      <c r="A155" s="105"/>
      <c r="B155" s="105"/>
      <c r="C155" s="131" t="s">
        <v>629</v>
      </c>
      <c r="D155" s="121">
        <v>70</v>
      </c>
      <c r="E155" s="117"/>
      <c r="F155" s="122"/>
      <c r="G155" s="117"/>
      <c r="H155" s="117"/>
      <c r="I155" s="117"/>
      <c r="J155" s="117"/>
      <c r="K155" s="117"/>
      <c r="L155" s="120"/>
    </row>
    <row r="156" spans="1:14">
      <c r="A156" s="105"/>
      <c r="B156" s="105"/>
      <c r="C156" s="131" t="s">
        <v>630</v>
      </c>
      <c r="D156" s="121">
        <v>40</v>
      </c>
      <c r="E156" s="117"/>
      <c r="F156" s="122"/>
      <c r="G156" s="117"/>
      <c r="H156" s="117"/>
      <c r="I156" s="117"/>
      <c r="J156" s="117"/>
      <c r="K156" s="117"/>
      <c r="L156" s="120"/>
    </row>
    <row r="157" spans="1:14">
      <c r="A157" s="105"/>
      <c r="B157" s="105"/>
      <c r="C157" s="131" t="s">
        <v>631</v>
      </c>
      <c r="D157" s="121">
        <v>25</v>
      </c>
      <c r="E157" s="117"/>
      <c r="F157" s="122"/>
      <c r="G157" s="117"/>
      <c r="H157" s="117"/>
      <c r="I157" s="117"/>
      <c r="J157" s="117"/>
      <c r="K157" s="117"/>
      <c r="L157" s="120"/>
    </row>
    <row r="158" spans="1:14">
      <c r="A158" s="105"/>
      <c r="B158" s="105"/>
      <c r="C158" s="131"/>
      <c r="D158" s="121"/>
      <c r="E158" s="117"/>
      <c r="F158" s="122"/>
      <c r="G158" s="117"/>
      <c r="H158" s="117"/>
      <c r="I158" s="117"/>
      <c r="J158" s="117"/>
      <c r="K158" s="117"/>
      <c r="L158" s="120"/>
    </row>
    <row r="159" spans="1:14">
      <c r="A159" s="105"/>
      <c r="B159" s="105"/>
      <c r="C159" s="131"/>
      <c r="D159" s="121"/>
      <c r="E159" s="117"/>
      <c r="F159" s="122"/>
      <c r="G159" s="117"/>
      <c r="H159" s="117"/>
      <c r="I159" s="117"/>
      <c r="J159" s="117"/>
      <c r="K159" s="117"/>
      <c r="L159" s="120"/>
    </row>
    <row r="160" spans="1:14">
      <c r="A160" s="105"/>
      <c r="B160" s="105"/>
      <c r="C160" s="131"/>
      <c r="D160" s="121"/>
      <c r="E160" s="117"/>
      <c r="F160" s="122"/>
      <c r="G160" s="117"/>
      <c r="H160" s="117"/>
      <c r="I160" s="117"/>
      <c r="J160" s="117"/>
      <c r="K160" s="117"/>
      <c r="L160" s="120"/>
    </row>
    <row r="161" spans="1:14">
      <c r="A161" s="105"/>
      <c r="B161" s="105"/>
      <c r="C161" s="131"/>
      <c r="D161" s="121"/>
      <c r="E161" s="117"/>
      <c r="F161" s="122"/>
      <c r="G161" s="117"/>
      <c r="H161" s="117"/>
      <c r="I161" s="117"/>
      <c r="J161" s="117"/>
      <c r="K161" s="117"/>
      <c r="L161" s="120"/>
    </row>
    <row r="162" spans="1:14">
      <c r="D162" s="101"/>
      <c r="E162" s="101"/>
      <c r="G162" s="101"/>
      <c r="H162" s="101"/>
      <c r="I162" s="101"/>
      <c r="J162" s="101"/>
    </row>
    <row r="163" spans="1:14">
      <c r="A163" s="185" t="str">
        <f>$A$4</f>
        <v xml:space="preserve">Please fill in Supplier Name </v>
      </c>
      <c r="B163" s="185" t="s">
        <v>82</v>
      </c>
      <c r="C163" s="186" t="s">
        <v>83</v>
      </c>
      <c r="D163" s="187"/>
      <c r="E163" s="187"/>
      <c r="F163" s="188"/>
      <c r="G163" s="189">
        <f>SUM(G164:G172)</f>
        <v>0</v>
      </c>
      <c r="H163" s="189">
        <f>SUM(H164:H172)</f>
        <v>0</v>
      </c>
      <c r="I163" s="190">
        <f>SUM(G163:H163)</f>
        <v>0</v>
      </c>
      <c r="J163" s="191" t="s">
        <v>16</v>
      </c>
      <c r="K163" s="191" t="s">
        <v>625</v>
      </c>
      <c r="L163" s="186"/>
      <c r="M163" s="194" t="s">
        <v>532</v>
      </c>
      <c r="N163" s="194"/>
    </row>
    <row r="164" spans="1:14">
      <c r="A164" s="105"/>
      <c r="B164" s="105"/>
      <c r="C164" s="132" t="s">
        <v>632</v>
      </c>
      <c r="D164" s="125">
        <v>90</v>
      </c>
      <c r="E164" s="118" t="s">
        <v>547</v>
      </c>
      <c r="F164" s="124"/>
      <c r="G164" s="118"/>
      <c r="H164" s="118"/>
      <c r="I164" s="117"/>
      <c r="J164" s="117"/>
      <c r="K164" s="117"/>
      <c r="L164" s="120"/>
    </row>
    <row r="165" spans="1:14">
      <c r="A165" s="105"/>
      <c r="B165" s="105"/>
      <c r="C165" s="132" t="s">
        <v>633</v>
      </c>
      <c r="D165" s="125">
        <v>30</v>
      </c>
      <c r="E165" s="118" t="s">
        <v>547</v>
      </c>
      <c r="F165" s="124" t="s">
        <v>634</v>
      </c>
      <c r="G165" s="118"/>
      <c r="H165" s="118"/>
      <c r="I165" s="117"/>
      <c r="J165" s="117"/>
      <c r="K165" s="117"/>
      <c r="L165" s="120"/>
    </row>
    <row r="166" spans="1:14">
      <c r="A166" s="105"/>
      <c r="B166" s="105"/>
      <c r="C166" s="132" t="s">
        <v>635</v>
      </c>
      <c r="D166" s="125">
        <v>90</v>
      </c>
      <c r="E166" s="118" t="s">
        <v>547</v>
      </c>
      <c r="F166" s="124"/>
      <c r="G166" s="118"/>
      <c r="H166" s="118"/>
      <c r="I166" s="117"/>
      <c r="J166" s="117"/>
      <c r="K166" s="117"/>
      <c r="L166" s="120"/>
    </row>
    <row r="167" spans="1:14">
      <c r="A167" s="105"/>
      <c r="B167" s="105"/>
      <c r="C167" s="132" t="s">
        <v>636</v>
      </c>
      <c r="D167" s="125">
        <v>60</v>
      </c>
      <c r="E167" s="118" t="s">
        <v>547</v>
      </c>
      <c r="F167" s="124"/>
      <c r="G167" s="118"/>
      <c r="H167" s="118"/>
      <c r="I167" s="117"/>
      <c r="J167" s="117"/>
      <c r="K167" s="117"/>
      <c r="L167" s="120"/>
    </row>
    <row r="168" spans="1:14">
      <c r="A168" s="105"/>
      <c r="B168" s="105"/>
      <c r="C168" s="132"/>
      <c r="D168" s="125"/>
      <c r="E168" s="118"/>
      <c r="F168" s="124"/>
      <c r="G168" s="118"/>
      <c r="H168" s="118"/>
      <c r="I168" s="117"/>
      <c r="J168" s="117"/>
      <c r="K168" s="117"/>
      <c r="L168" s="120"/>
    </row>
    <row r="169" spans="1:14">
      <c r="A169" s="105"/>
      <c r="B169" s="105"/>
      <c r="C169" s="132"/>
      <c r="D169" s="125"/>
      <c r="E169" s="118"/>
      <c r="F169" s="124"/>
      <c r="G169" s="118"/>
      <c r="H169" s="118"/>
      <c r="I169" s="117"/>
      <c r="J169" s="117"/>
      <c r="K169" s="117"/>
      <c r="L169" s="120"/>
    </row>
    <row r="170" spans="1:14">
      <c r="A170" s="105"/>
      <c r="B170" s="105"/>
      <c r="C170" s="132"/>
      <c r="D170" s="125"/>
      <c r="E170" s="118"/>
      <c r="F170" s="124"/>
      <c r="G170" s="118"/>
      <c r="H170" s="118"/>
      <c r="I170" s="117"/>
      <c r="J170" s="117"/>
      <c r="K170" s="117"/>
      <c r="L170" s="120"/>
    </row>
    <row r="171" spans="1:14">
      <c r="A171" s="105"/>
      <c r="B171" s="105"/>
      <c r="C171" s="132"/>
      <c r="D171" s="125"/>
      <c r="E171" s="118"/>
      <c r="F171" s="124"/>
      <c r="G171" s="118"/>
      <c r="H171" s="118"/>
      <c r="I171" s="117"/>
      <c r="J171" s="117"/>
      <c r="K171" s="117"/>
      <c r="L171" s="120"/>
    </row>
    <row r="172" spans="1:14">
      <c r="A172" s="105"/>
      <c r="B172" s="105"/>
      <c r="C172" s="132"/>
      <c r="D172" s="125"/>
      <c r="E172" s="118"/>
      <c r="F172" s="124"/>
      <c r="G172" s="118"/>
      <c r="H172" s="118"/>
      <c r="I172" s="117"/>
      <c r="J172" s="117"/>
      <c r="K172" s="117"/>
      <c r="L172" s="120"/>
    </row>
    <row r="173" spans="1:14">
      <c r="D173" s="101"/>
      <c r="E173" s="101"/>
      <c r="G173" s="101"/>
      <c r="H173" s="101"/>
      <c r="I173" s="101"/>
      <c r="J173" s="101"/>
    </row>
    <row r="174" spans="1:14">
      <c r="A174" s="227" t="str">
        <f>$A$4</f>
        <v xml:space="preserve">Please fill in Supplier Name </v>
      </c>
      <c r="B174" s="227" t="s">
        <v>108</v>
      </c>
      <c r="C174" s="228" t="s">
        <v>109</v>
      </c>
      <c r="D174" s="229"/>
      <c r="E174" s="229"/>
      <c r="F174" s="230"/>
      <c r="G174" s="231">
        <f>SUM(G175:G183)</f>
        <v>0</v>
      </c>
      <c r="H174" s="231">
        <f>SUM(H175:H183)</f>
        <v>0</v>
      </c>
      <c r="I174" s="232">
        <f>SUM(G174:H174)</f>
        <v>0</v>
      </c>
      <c r="J174" s="233" t="s">
        <v>16</v>
      </c>
      <c r="K174" s="233" t="s">
        <v>625</v>
      </c>
      <c r="L174" s="228"/>
      <c r="M174" s="236" t="s">
        <v>543</v>
      </c>
      <c r="N174" s="236"/>
    </row>
    <row r="175" spans="1:14">
      <c r="A175" s="105"/>
      <c r="B175" s="105"/>
      <c r="C175" s="132" t="s">
        <v>637</v>
      </c>
      <c r="D175" s="125">
        <v>90</v>
      </c>
      <c r="E175" s="118" t="s">
        <v>547</v>
      </c>
      <c r="F175" s="124" t="s">
        <v>638</v>
      </c>
      <c r="G175" s="118"/>
      <c r="H175" s="118"/>
      <c r="I175" s="117"/>
      <c r="J175" s="117"/>
      <c r="K175" s="117"/>
      <c r="L175" s="120"/>
    </row>
    <row r="176" spans="1:14">
      <c r="A176" s="105"/>
      <c r="B176" s="105"/>
      <c r="C176" s="132" t="s">
        <v>639</v>
      </c>
      <c r="D176" s="125">
        <v>30</v>
      </c>
      <c r="E176" s="118" t="s">
        <v>547</v>
      </c>
      <c r="F176" s="124" t="s">
        <v>638</v>
      </c>
      <c r="G176" s="118"/>
      <c r="H176" s="118"/>
      <c r="I176" s="117"/>
      <c r="J176" s="117"/>
      <c r="K176" s="117"/>
      <c r="L176" s="120"/>
    </row>
    <row r="177" spans="1:14">
      <c r="A177" s="105"/>
      <c r="B177" s="105"/>
      <c r="C177" s="132" t="s">
        <v>640</v>
      </c>
      <c r="D177" s="125">
        <v>90</v>
      </c>
      <c r="E177" s="118" t="s">
        <v>547</v>
      </c>
      <c r="F177" s="124"/>
      <c r="G177" s="118"/>
      <c r="H177" s="118"/>
      <c r="I177" s="117"/>
      <c r="J177" s="117"/>
      <c r="K177" s="117"/>
      <c r="L177" s="120"/>
    </row>
    <row r="178" spans="1:14">
      <c r="A178" s="105"/>
      <c r="B178" s="105"/>
      <c r="C178" s="132" t="s">
        <v>641</v>
      </c>
      <c r="D178" s="125">
        <v>60</v>
      </c>
      <c r="E178" s="118" t="s">
        <v>547</v>
      </c>
      <c r="F178" s="124"/>
      <c r="G178" s="118"/>
      <c r="H178" s="118"/>
      <c r="I178" s="117"/>
      <c r="J178" s="117"/>
      <c r="K178" s="117"/>
      <c r="L178" s="120"/>
    </row>
    <row r="179" spans="1:14">
      <c r="A179" s="105"/>
      <c r="B179" s="105"/>
      <c r="C179" s="132" t="s">
        <v>642</v>
      </c>
      <c r="D179" s="125">
        <v>20</v>
      </c>
      <c r="E179" s="118" t="s">
        <v>547</v>
      </c>
      <c r="F179" s="124"/>
      <c r="G179" s="118"/>
      <c r="H179" s="118"/>
      <c r="I179" s="117"/>
      <c r="J179" s="117"/>
      <c r="K179" s="117"/>
      <c r="L179" s="120"/>
    </row>
    <row r="180" spans="1:14">
      <c r="A180" s="105"/>
      <c r="B180" s="105"/>
      <c r="C180" s="132"/>
      <c r="D180" s="125"/>
      <c r="E180" s="118"/>
      <c r="F180" s="124"/>
      <c r="G180" s="118"/>
      <c r="H180" s="118"/>
      <c r="I180" s="117"/>
      <c r="J180" s="117"/>
      <c r="K180" s="117"/>
      <c r="L180" s="120"/>
    </row>
    <row r="181" spans="1:14">
      <c r="A181" s="105"/>
      <c r="B181" s="105"/>
      <c r="C181" s="132"/>
      <c r="D181" s="125"/>
      <c r="E181" s="118"/>
      <c r="F181" s="124"/>
      <c r="G181" s="118"/>
      <c r="H181" s="118"/>
      <c r="I181" s="117"/>
      <c r="J181" s="117"/>
      <c r="K181" s="117"/>
      <c r="L181" s="120"/>
    </row>
    <row r="182" spans="1:14">
      <c r="A182" s="105"/>
      <c r="B182" s="105"/>
      <c r="C182" s="132"/>
      <c r="D182" s="125"/>
      <c r="E182" s="118"/>
      <c r="F182" s="124"/>
      <c r="G182" s="118"/>
      <c r="H182" s="118"/>
      <c r="I182" s="117"/>
      <c r="J182" s="117"/>
      <c r="K182" s="117"/>
      <c r="L182" s="120"/>
    </row>
    <row r="183" spans="1:14">
      <c r="A183" s="105"/>
      <c r="B183" s="105"/>
      <c r="C183" s="132"/>
      <c r="D183" s="125"/>
      <c r="E183" s="118"/>
      <c r="F183" s="124"/>
      <c r="G183" s="118"/>
      <c r="H183" s="118"/>
      <c r="I183" s="117"/>
      <c r="J183" s="117"/>
      <c r="K183" s="117"/>
      <c r="L183" s="120"/>
    </row>
    <row r="184" spans="1:14">
      <c r="D184" s="101"/>
      <c r="E184" s="101"/>
      <c r="G184" s="101"/>
      <c r="H184" s="101"/>
      <c r="I184" s="101"/>
      <c r="J184" s="101"/>
    </row>
    <row r="185" spans="1:14">
      <c r="A185" s="109" t="str">
        <f>$A$4</f>
        <v xml:space="preserve">Please fill in Supplier Name </v>
      </c>
      <c r="B185" s="109" t="s">
        <v>44</v>
      </c>
      <c r="C185" s="115" t="s">
        <v>45</v>
      </c>
      <c r="D185" s="110"/>
      <c r="E185" s="110"/>
      <c r="F185" s="111"/>
      <c r="G185" s="112">
        <f>SUM(G186:G194)</f>
        <v>0</v>
      </c>
      <c r="H185" s="112">
        <f>SUM(H186:H194)</f>
        <v>0</v>
      </c>
      <c r="I185" s="113">
        <f>SUM(G185:H185)</f>
        <v>0</v>
      </c>
      <c r="J185" s="114" t="s">
        <v>16</v>
      </c>
      <c r="K185" s="114" t="s">
        <v>643</v>
      </c>
      <c r="L185" s="115"/>
      <c r="M185" s="116" t="s">
        <v>544</v>
      </c>
      <c r="N185" s="116" t="s">
        <v>644</v>
      </c>
    </row>
    <row r="186" spans="1:14">
      <c r="A186" s="105"/>
      <c r="B186" s="105"/>
      <c r="C186" s="131" t="s">
        <v>645</v>
      </c>
      <c r="D186" s="121">
        <v>1</v>
      </c>
      <c r="E186" s="117" t="s">
        <v>535</v>
      </c>
      <c r="F186" s="122"/>
      <c r="G186" s="117"/>
      <c r="H186" s="117"/>
      <c r="I186" s="117"/>
      <c r="J186" s="117"/>
      <c r="K186" s="117"/>
      <c r="L186" s="120"/>
    </row>
    <row r="187" spans="1:14">
      <c r="A187" s="105"/>
      <c r="B187" s="105"/>
      <c r="C187" s="131" t="s">
        <v>646</v>
      </c>
      <c r="D187" s="121">
        <v>60</v>
      </c>
      <c r="E187" s="117" t="s">
        <v>559</v>
      </c>
      <c r="F187" s="122"/>
      <c r="G187" s="117"/>
      <c r="H187" s="117"/>
      <c r="I187" s="117"/>
      <c r="J187" s="117"/>
      <c r="K187" s="117"/>
      <c r="L187" s="120"/>
    </row>
    <row r="188" spans="1:14">
      <c r="A188" s="105"/>
      <c r="B188" s="105"/>
      <c r="C188" s="131" t="s">
        <v>647</v>
      </c>
      <c r="D188" s="121">
        <v>60</v>
      </c>
      <c r="E188" s="117" t="s">
        <v>559</v>
      </c>
      <c r="F188" s="122"/>
      <c r="G188" s="117"/>
      <c r="H188" s="117"/>
      <c r="I188" s="117"/>
      <c r="J188" s="117"/>
      <c r="K188" s="117"/>
      <c r="L188" s="120"/>
    </row>
    <row r="189" spans="1:14">
      <c r="B189" s="105"/>
      <c r="C189" s="136" t="s">
        <v>648</v>
      </c>
      <c r="D189" s="121"/>
      <c r="E189" s="117"/>
      <c r="F189" s="122"/>
      <c r="G189" s="117"/>
      <c r="H189" s="117"/>
      <c r="I189" s="117"/>
      <c r="J189" s="117"/>
      <c r="K189" s="117"/>
      <c r="L189" s="120"/>
    </row>
    <row r="190" spans="1:14">
      <c r="A190" s="105"/>
      <c r="B190" s="105"/>
      <c r="C190" s="131" t="s">
        <v>649</v>
      </c>
      <c r="D190" s="121">
        <v>30</v>
      </c>
      <c r="E190" s="117" t="s">
        <v>559</v>
      </c>
      <c r="F190" s="122"/>
      <c r="G190" s="117"/>
      <c r="H190" s="117"/>
      <c r="I190" s="117"/>
      <c r="J190" s="117"/>
      <c r="K190" s="117"/>
      <c r="L190" s="120"/>
    </row>
    <row r="191" spans="1:14">
      <c r="A191" s="105"/>
      <c r="B191" s="105"/>
      <c r="C191" s="131"/>
      <c r="D191" s="121"/>
      <c r="E191" s="117"/>
      <c r="F191" s="122"/>
      <c r="G191" s="117"/>
      <c r="H191" s="117"/>
      <c r="I191" s="117"/>
      <c r="J191" s="117"/>
      <c r="K191" s="117"/>
      <c r="L191" s="120"/>
    </row>
    <row r="192" spans="1:14">
      <c r="A192" s="105"/>
      <c r="B192" s="105"/>
      <c r="C192" s="131"/>
      <c r="D192" s="121"/>
      <c r="E192" s="117"/>
      <c r="F192" s="122"/>
      <c r="G192" s="117"/>
      <c r="H192" s="117"/>
      <c r="I192" s="117"/>
      <c r="J192" s="117"/>
      <c r="K192" s="117"/>
      <c r="L192" s="120"/>
    </row>
    <row r="193" spans="1:14">
      <c r="A193" s="105"/>
      <c r="B193" s="105"/>
      <c r="C193" s="131"/>
      <c r="D193" s="121"/>
      <c r="E193" s="117"/>
      <c r="F193" s="122"/>
      <c r="G193" s="117"/>
      <c r="H193" s="117"/>
      <c r="I193" s="117"/>
      <c r="J193" s="117"/>
      <c r="K193" s="117"/>
      <c r="L193" s="120"/>
    </row>
    <row r="194" spans="1:14">
      <c r="A194" s="105"/>
      <c r="B194" s="105"/>
      <c r="C194" s="131"/>
      <c r="D194" s="121"/>
      <c r="E194" s="117"/>
      <c r="F194" s="122"/>
      <c r="G194" s="117"/>
      <c r="H194" s="117"/>
      <c r="I194" s="117"/>
      <c r="J194" s="117"/>
      <c r="K194" s="117"/>
      <c r="L194" s="120"/>
    </row>
    <row r="195" spans="1:14">
      <c r="D195" s="101"/>
      <c r="E195" s="101"/>
      <c r="G195" s="101"/>
      <c r="H195" s="101"/>
      <c r="I195" s="101"/>
      <c r="J195" s="101"/>
    </row>
    <row r="196" spans="1:14">
      <c r="A196" s="185" t="str">
        <f>$A$4</f>
        <v xml:space="preserve">Please fill in Supplier Name </v>
      </c>
      <c r="B196" s="185" t="s">
        <v>86</v>
      </c>
      <c r="C196" s="186" t="s">
        <v>87</v>
      </c>
      <c r="D196" s="187"/>
      <c r="E196" s="187"/>
      <c r="F196" s="188"/>
      <c r="G196" s="189">
        <f>SUM(G197:G205)</f>
        <v>0</v>
      </c>
      <c r="H196" s="189">
        <f>SUM(H197:H205)</f>
        <v>0</v>
      </c>
      <c r="I196" s="190">
        <f>SUM(G196:H196)</f>
        <v>0</v>
      </c>
      <c r="J196" s="191" t="s">
        <v>16</v>
      </c>
      <c r="K196" s="191" t="s">
        <v>643</v>
      </c>
      <c r="L196" s="186"/>
      <c r="M196" s="194" t="s">
        <v>532</v>
      </c>
      <c r="N196" s="194"/>
    </row>
    <row r="197" spans="1:14">
      <c r="A197" s="105"/>
      <c r="B197" s="105"/>
      <c r="C197" s="132" t="s">
        <v>650</v>
      </c>
      <c r="D197" s="125">
        <v>90</v>
      </c>
      <c r="E197" s="118" t="s">
        <v>547</v>
      </c>
      <c r="F197" s="124" t="s">
        <v>651</v>
      </c>
      <c r="G197" s="118"/>
      <c r="H197" s="118"/>
      <c r="I197" s="117"/>
      <c r="J197" s="117"/>
      <c r="K197" s="117"/>
      <c r="L197" s="120"/>
    </row>
    <row r="198" spans="1:14">
      <c r="A198" s="105"/>
      <c r="B198" s="105"/>
      <c r="C198" s="132" t="s">
        <v>652</v>
      </c>
      <c r="D198" s="125">
        <v>30</v>
      </c>
      <c r="E198" s="118" t="s">
        <v>547</v>
      </c>
      <c r="F198" s="124"/>
      <c r="G198" s="118"/>
      <c r="H198" s="118"/>
      <c r="I198" s="117"/>
      <c r="J198" s="117"/>
      <c r="K198" s="117"/>
      <c r="L198" s="120"/>
    </row>
    <row r="199" spans="1:14">
      <c r="A199" s="105"/>
      <c r="B199" s="105"/>
      <c r="C199" s="132" t="s">
        <v>653</v>
      </c>
      <c r="D199" s="125">
        <v>30</v>
      </c>
      <c r="E199" s="118" t="s">
        <v>547</v>
      </c>
      <c r="F199" s="124"/>
      <c r="G199" s="118"/>
      <c r="H199" s="118"/>
      <c r="I199" s="117"/>
      <c r="J199" s="117"/>
      <c r="K199" s="117"/>
      <c r="L199" s="120"/>
    </row>
    <row r="200" spans="1:14">
      <c r="A200" s="105"/>
      <c r="B200" s="105"/>
      <c r="C200" s="132" t="s">
        <v>654</v>
      </c>
      <c r="D200" s="125">
        <v>60</v>
      </c>
      <c r="E200" s="118" t="s">
        <v>547</v>
      </c>
      <c r="F200" s="124"/>
      <c r="G200" s="118"/>
      <c r="H200" s="118"/>
      <c r="I200" s="117"/>
      <c r="J200" s="117"/>
      <c r="K200" s="117"/>
      <c r="L200" s="120"/>
    </row>
    <row r="201" spans="1:14">
      <c r="A201" s="105"/>
      <c r="B201" s="105"/>
      <c r="C201" s="132" t="s">
        <v>655</v>
      </c>
      <c r="D201" s="125" t="s">
        <v>656</v>
      </c>
      <c r="E201" s="118" t="s">
        <v>547</v>
      </c>
      <c r="F201" s="124"/>
      <c r="G201" s="118"/>
      <c r="H201" s="118"/>
      <c r="I201" s="117"/>
      <c r="J201" s="117"/>
      <c r="K201" s="117"/>
      <c r="L201" s="120"/>
    </row>
    <row r="202" spans="1:14">
      <c r="A202" s="105"/>
      <c r="B202" s="105"/>
      <c r="C202" s="132"/>
      <c r="D202" s="125"/>
      <c r="E202" s="118"/>
      <c r="F202" s="124"/>
      <c r="G202" s="118"/>
      <c r="H202" s="118"/>
      <c r="I202" s="117"/>
      <c r="J202" s="117"/>
      <c r="K202" s="117"/>
      <c r="L202" s="120"/>
    </row>
    <row r="203" spans="1:14">
      <c r="A203" s="105"/>
      <c r="B203" s="105"/>
      <c r="C203" s="132"/>
      <c r="D203" s="125"/>
      <c r="E203" s="118"/>
      <c r="F203" s="124"/>
      <c r="G203" s="118"/>
      <c r="H203" s="118"/>
      <c r="I203" s="117"/>
      <c r="J203" s="117"/>
      <c r="K203" s="117"/>
      <c r="L203" s="120"/>
    </row>
    <row r="204" spans="1:14">
      <c r="B204" s="105"/>
      <c r="C204" s="137"/>
      <c r="D204" s="125"/>
      <c r="E204" s="118"/>
      <c r="F204" s="124"/>
      <c r="G204" s="118"/>
      <c r="H204" s="118"/>
      <c r="I204" s="117"/>
      <c r="J204" s="117"/>
      <c r="K204" s="117"/>
      <c r="L204" s="120"/>
    </row>
    <row r="205" spans="1:14">
      <c r="A205" s="105"/>
      <c r="B205" s="105"/>
      <c r="C205" s="132"/>
      <c r="D205" s="125"/>
      <c r="E205" s="118"/>
      <c r="F205" s="124"/>
      <c r="G205" s="118"/>
      <c r="H205" s="118"/>
      <c r="I205" s="117"/>
      <c r="J205" s="117"/>
      <c r="K205" s="117"/>
      <c r="L205" s="120"/>
    </row>
    <row r="206" spans="1:14">
      <c r="D206" s="101"/>
      <c r="E206" s="101"/>
      <c r="G206" s="101"/>
      <c r="H206" s="101"/>
      <c r="I206" s="101"/>
      <c r="J206" s="101"/>
    </row>
    <row r="207" spans="1:14">
      <c r="A207" s="227" t="str">
        <f>$A$4</f>
        <v xml:space="preserve">Please fill in Supplier Name </v>
      </c>
      <c r="B207" s="227" t="s">
        <v>113</v>
      </c>
      <c r="C207" s="228" t="s">
        <v>114</v>
      </c>
      <c r="D207" s="229"/>
      <c r="E207" s="229"/>
      <c r="F207" s="230"/>
      <c r="G207" s="231">
        <f>SUM(G208:G216)</f>
        <v>0</v>
      </c>
      <c r="H207" s="231">
        <f>SUM(H208:H216)</f>
        <v>0</v>
      </c>
      <c r="I207" s="232">
        <f>SUM(G207:H207)</f>
        <v>0</v>
      </c>
      <c r="J207" s="233" t="s">
        <v>16</v>
      </c>
      <c r="K207" s="233" t="s">
        <v>643</v>
      </c>
      <c r="L207" s="228"/>
      <c r="M207" s="236" t="s">
        <v>543</v>
      </c>
      <c r="N207" s="236"/>
    </row>
    <row r="208" spans="1:14">
      <c r="A208" s="105"/>
      <c r="B208" s="105"/>
      <c r="C208" s="132" t="s">
        <v>657</v>
      </c>
      <c r="D208" s="125">
        <v>1</v>
      </c>
      <c r="E208" s="118" t="s">
        <v>582</v>
      </c>
      <c r="F208" s="124" t="s">
        <v>651</v>
      </c>
      <c r="G208" s="118"/>
      <c r="H208" s="118"/>
      <c r="I208" s="117"/>
      <c r="J208" s="117"/>
      <c r="K208" s="117"/>
      <c r="L208" s="120"/>
    </row>
    <row r="209" spans="1:14">
      <c r="A209" s="105"/>
      <c r="B209" s="105"/>
      <c r="C209" s="132" t="s">
        <v>658</v>
      </c>
      <c r="D209" s="125">
        <v>30</v>
      </c>
      <c r="E209" s="118" t="s">
        <v>547</v>
      </c>
      <c r="F209" s="124"/>
      <c r="G209" s="118"/>
      <c r="H209" s="118"/>
      <c r="I209" s="117"/>
      <c r="J209" s="117"/>
      <c r="K209" s="117"/>
      <c r="L209" s="120"/>
    </row>
    <row r="210" spans="1:14">
      <c r="A210" s="105"/>
      <c r="B210" s="105"/>
      <c r="C210" s="132" t="s">
        <v>659</v>
      </c>
      <c r="D210" s="125">
        <v>60</v>
      </c>
      <c r="E210" s="118" t="s">
        <v>547</v>
      </c>
      <c r="F210" s="124"/>
      <c r="G210" s="118"/>
      <c r="H210" s="118"/>
      <c r="I210" s="117"/>
      <c r="J210" s="117"/>
      <c r="K210" s="117"/>
      <c r="L210" s="120"/>
    </row>
    <row r="211" spans="1:14">
      <c r="A211" s="105"/>
      <c r="B211" s="105"/>
      <c r="C211" s="132" t="s">
        <v>660</v>
      </c>
      <c r="D211" s="125">
        <v>30</v>
      </c>
      <c r="E211" s="118" t="s">
        <v>547</v>
      </c>
      <c r="F211" s="124"/>
      <c r="G211" s="118"/>
      <c r="H211" s="118"/>
      <c r="I211" s="117"/>
      <c r="J211" s="117"/>
      <c r="K211" s="117"/>
      <c r="L211" s="120"/>
    </row>
    <row r="212" spans="1:14">
      <c r="A212" s="105"/>
      <c r="B212" s="105"/>
      <c r="C212" s="132" t="s">
        <v>661</v>
      </c>
      <c r="D212" s="125">
        <v>30</v>
      </c>
      <c r="E212" s="118" t="s">
        <v>547</v>
      </c>
      <c r="F212" s="124"/>
      <c r="G212" s="118"/>
      <c r="H212" s="118"/>
      <c r="I212" s="117"/>
      <c r="J212" s="117"/>
      <c r="K212" s="117"/>
      <c r="L212" s="120"/>
    </row>
    <row r="213" spans="1:14">
      <c r="A213" s="105"/>
      <c r="B213" s="105"/>
      <c r="C213" s="132"/>
      <c r="D213" s="125"/>
      <c r="E213" s="118"/>
      <c r="F213" s="124"/>
      <c r="G213" s="118"/>
      <c r="H213" s="118"/>
      <c r="I213" s="117"/>
      <c r="J213" s="117"/>
      <c r="K213" s="117"/>
      <c r="L213" s="120"/>
    </row>
    <row r="214" spans="1:14">
      <c r="A214" s="105"/>
      <c r="B214" s="105"/>
      <c r="C214" s="132"/>
      <c r="D214" s="125"/>
      <c r="E214" s="118"/>
      <c r="F214" s="124"/>
      <c r="G214" s="118"/>
      <c r="H214" s="118"/>
      <c r="I214" s="117"/>
      <c r="J214" s="117"/>
      <c r="K214" s="117"/>
      <c r="L214" s="120"/>
    </row>
    <row r="215" spans="1:14">
      <c r="A215" s="105"/>
      <c r="B215" s="105"/>
      <c r="C215" s="132"/>
      <c r="D215" s="125"/>
      <c r="E215" s="118"/>
      <c r="F215" s="124"/>
      <c r="G215" s="118"/>
      <c r="H215" s="118"/>
      <c r="I215" s="117"/>
      <c r="J215" s="117"/>
      <c r="K215" s="117"/>
      <c r="L215" s="120"/>
    </row>
    <row r="216" spans="1:14">
      <c r="A216" s="105"/>
      <c r="B216" s="105"/>
      <c r="C216" s="132"/>
      <c r="D216" s="125"/>
      <c r="E216" s="118"/>
      <c r="F216" s="124"/>
      <c r="G216" s="118"/>
      <c r="H216" s="118"/>
      <c r="I216" s="117"/>
      <c r="J216" s="117"/>
      <c r="K216" s="117"/>
      <c r="L216" s="120"/>
    </row>
    <row r="217" spans="1:14">
      <c r="D217" s="101"/>
      <c r="E217" s="101"/>
      <c r="G217" s="101"/>
      <c r="H217" s="101"/>
      <c r="I217" s="101"/>
      <c r="J217" s="101"/>
    </row>
    <row r="218" spans="1:14">
      <c r="A218" s="109" t="str">
        <f>$A$4</f>
        <v xml:space="preserve">Please fill in Supplier Name </v>
      </c>
      <c r="B218" s="109" t="s">
        <v>46</v>
      </c>
      <c r="C218" s="115" t="s">
        <v>47</v>
      </c>
      <c r="D218" s="110"/>
      <c r="E218" s="110"/>
      <c r="F218" s="111"/>
      <c r="G218" s="112">
        <f>SUM(G219:G227)</f>
        <v>0</v>
      </c>
      <c r="H218" s="112">
        <f>SUM(H219:H227)</f>
        <v>0</v>
      </c>
      <c r="I218" s="113">
        <f>SUM(G218:H218)</f>
        <v>0</v>
      </c>
      <c r="J218" s="114" t="s">
        <v>16</v>
      </c>
      <c r="K218" s="114" t="s">
        <v>48</v>
      </c>
      <c r="L218" s="115"/>
      <c r="M218" s="116" t="s">
        <v>544</v>
      </c>
      <c r="N218" s="116" t="s">
        <v>662</v>
      </c>
    </row>
    <row r="219" spans="1:14">
      <c r="A219" s="105"/>
      <c r="B219" s="105"/>
      <c r="C219" s="131" t="s">
        <v>663</v>
      </c>
      <c r="D219" s="121">
        <v>100</v>
      </c>
      <c r="E219" s="117" t="s">
        <v>559</v>
      </c>
      <c r="F219" s="122"/>
      <c r="G219" s="117"/>
      <c r="H219" s="117"/>
      <c r="I219" s="117"/>
      <c r="J219" s="117"/>
      <c r="K219" s="117"/>
      <c r="L219" s="120"/>
    </row>
    <row r="220" spans="1:14">
      <c r="A220" s="105"/>
      <c r="B220" s="105"/>
      <c r="C220" s="131" t="s">
        <v>664</v>
      </c>
      <c r="D220" s="121">
        <v>50</v>
      </c>
      <c r="E220" s="117" t="s">
        <v>665</v>
      </c>
      <c r="F220" s="122"/>
      <c r="G220" s="117"/>
      <c r="H220" s="117"/>
      <c r="I220" s="117"/>
      <c r="J220" s="117"/>
      <c r="K220" s="117"/>
      <c r="L220" s="120"/>
    </row>
    <row r="221" spans="1:14">
      <c r="A221" s="105"/>
      <c r="B221" s="105"/>
      <c r="C221" s="131" t="s">
        <v>666</v>
      </c>
      <c r="D221" s="121">
        <v>30</v>
      </c>
      <c r="E221" s="117" t="s">
        <v>559</v>
      </c>
      <c r="F221" s="122"/>
      <c r="G221" s="117"/>
      <c r="H221" s="117"/>
      <c r="I221" s="117"/>
      <c r="J221" s="117"/>
      <c r="K221" s="117"/>
      <c r="L221" s="120"/>
    </row>
    <row r="222" spans="1:14">
      <c r="A222" s="105"/>
      <c r="B222" s="105"/>
      <c r="C222" s="131"/>
      <c r="D222" s="121"/>
      <c r="E222" s="117"/>
      <c r="F222" s="122"/>
      <c r="G222" s="117"/>
      <c r="H222" s="117"/>
      <c r="I222" s="117"/>
      <c r="J222" s="117"/>
      <c r="K222" s="117"/>
      <c r="L222" s="120"/>
    </row>
    <row r="223" spans="1:14">
      <c r="A223" s="105"/>
      <c r="B223" s="105"/>
      <c r="C223" s="131"/>
      <c r="D223" s="121"/>
      <c r="E223" s="117"/>
      <c r="F223" s="122"/>
      <c r="G223" s="117"/>
      <c r="H223" s="117"/>
      <c r="I223" s="117"/>
      <c r="J223" s="117"/>
      <c r="K223" s="117"/>
      <c r="L223" s="120"/>
    </row>
    <row r="224" spans="1:14">
      <c r="A224" s="105"/>
      <c r="B224" s="105"/>
      <c r="C224" s="131"/>
      <c r="D224" s="121"/>
      <c r="E224" s="117"/>
      <c r="F224" s="122"/>
      <c r="G224" s="117"/>
      <c r="H224" s="117"/>
      <c r="I224" s="117"/>
      <c r="J224" s="117"/>
      <c r="K224" s="117"/>
      <c r="L224" s="120"/>
    </row>
    <row r="225" spans="1:14">
      <c r="A225" s="105"/>
      <c r="B225" s="105"/>
      <c r="C225" s="131"/>
      <c r="D225" s="121"/>
      <c r="E225" s="117"/>
      <c r="F225" s="122"/>
      <c r="G225" s="117"/>
      <c r="H225" s="117"/>
      <c r="I225" s="117"/>
      <c r="J225" s="117"/>
      <c r="K225" s="117"/>
      <c r="L225" s="120"/>
    </row>
    <row r="226" spans="1:14">
      <c r="A226" s="105"/>
      <c r="B226" s="105"/>
      <c r="C226" s="131"/>
      <c r="D226" s="121"/>
      <c r="E226" s="117"/>
      <c r="F226" s="122"/>
      <c r="G226" s="117"/>
      <c r="H226" s="117"/>
      <c r="I226" s="117"/>
      <c r="J226" s="117"/>
      <c r="K226" s="117"/>
      <c r="L226" s="120"/>
    </row>
    <row r="227" spans="1:14">
      <c r="A227" s="105"/>
      <c r="B227" s="105"/>
      <c r="C227" s="131"/>
      <c r="D227" s="121"/>
      <c r="E227" s="117"/>
      <c r="F227" s="122"/>
      <c r="G227" s="117"/>
      <c r="H227" s="117"/>
      <c r="I227" s="117"/>
      <c r="J227" s="117"/>
      <c r="K227" s="117"/>
      <c r="L227" s="120"/>
    </row>
    <row r="228" spans="1:14">
      <c r="D228" s="101"/>
      <c r="E228" s="101"/>
      <c r="G228" s="101"/>
      <c r="H228" s="101"/>
      <c r="I228" s="101"/>
      <c r="J228" s="101"/>
    </row>
    <row r="229" spans="1:14">
      <c r="A229" s="185" t="str">
        <f>$A$4</f>
        <v xml:space="preserve">Please fill in Supplier Name </v>
      </c>
      <c r="B229" s="185" t="s">
        <v>88</v>
      </c>
      <c r="C229" s="186" t="s">
        <v>89</v>
      </c>
      <c r="D229" s="187"/>
      <c r="E229" s="187"/>
      <c r="F229" s="188"/>
      <c r="G229" s="189">
        <f>SUM(G230:G238)</f>
        <v>0</v>
      </c>
      <c r="H229" s="189">
        <f>SUM(H230:H238)</f>
        <v>0</v>
      </c>
      <c r="I229" s="190">
        <f>SUM(G229:H229)</f>
        <v>0</v>
      </c>
      <c r="J229" s="191" t="s">
        <v>16</v>
      </c>
      <c r="K229" s="191" t="s">
        <v>48</v>
      </c>
      <c r="L229" s="186"/>
      <c r="M229" s="194" t="s">
        <v>532</v>
      </c>
      <c r="N229" s="194"/>
    </row>
    <row r="230" spans="1:14">
      <c r="A230" s="105"/>
      <c r="B230" s="105"/>
      <c r="C230" s="132" t="s">
        <v>667</v>
      </c>
      <c r="D230" s="125">
        <v>4</v>
      </c>
      <c r="E230" s="118" t="s">
        <v>582</v>
      </c>
      <c r="F230" s="124" t="s">
        <v>668</v>
      </c>
      <c r="G230" s="118"/>
      <c r="H230" s="118"/>
      <c r="I230" s="117"/>
      <c r="J230" s="117"/>
      <c r="K230" s="117"/>
      <c r="L230" s="120"/>
    </row>
    <row r="231" spans="1:14">
      <c r="A231" s="105"/>
      <c r="B231" s="105"/>
      <c r="C231" s="132" t="s">
        <v>669</v>
      </c>
      <c r="D231" s="125">
        <v>60</v>
      </c>
      <c r="E231" s="118" t="s">
        <v>547</v>
      </c>
      <c r="F231" s="124"/>
      <c r="G231" s="118"/>
      <c r="H231" s="118"/>
      <c r="I231" s="117"/>
      <c r="J231" s="117"/>
      <c r="K231" s="117"/>
      <c r="L231" s="120"/>
    </row>
    <row r="232" spans="1:14">
      <c r="A232" s="105"/>
      <c r="B232" s="105"/>
      <c r="C232" s="132" t="s">
        <v>670</v>
      </c>
      <c r="D232" s="125">
        <v>60</v>
      </c>
      <c r="E232" s="118" t="s">
        <v>547</v>
      </c>
      <c r="F232" s="124"/>
      <c r="G232" s="118"/>
      <c r="H232" s="118"/>
      <c r="I232" s="117"/>
      <c r="J232" s="117"/>
      <c r="K232" s="117"/>
      <c r="L232" s="120"/>
    </row>
    <row r="233" spans="1:14">
      <c r="A233" s="105"/>
      <c r="B233" s="105"/>
      <c r="C233" s="132" t="s">
        <v>671</v>
      </c>
      <c r="D233" s="125">
        <v>40</v>
      </c>
      <c r="E233" s="118" t="s">
        <v>547</v>
      </c>
      <c r="F233" s="124"/>
      <c r="G233" s="118"/>
      <c r="H233" s="118"/>
      <c r="I233" s="117"/>
      <c r="J233" s="117"/>
      <c r="K233" s="117"/>
      <c r="L233" s="120"/>
    </row>
    <row r="234" spans="1:14">
      <c r="A234" s="105"/>
      <c r="B234" s="105"/>
      <c r="C234" s="132"/>
      <c r="D234" s="125"/>
      <c r="E234" s="118"/>
      <c r="F234" s="124"/>
      <c r="G234" s="118"/>
      <c r="H234" s="118"/>
      <c r="I234" s="117"/>
      <c r="J234" s="117"/>
      <c r="K234" s="117"/>
      <c r="L234" s="120"/>
    </row>
    <row r="235" spans="1:14">
      <c r="A235" s="105"/>
      <c r="B235" s="105"/>
      <c r="C235" s="132"/>
      <c r="D235" s="125"/>
      <c r="E235" s="118"/>
      <c r="F235" s="124"/>
      <c r="G235" s="118"/>
      <c r="H235" s="118"/>
      <c r="I235" s="117"/>
      <c r="J235" s="117"/>
      <c r="K235" s="117"/>
      <c r="L235" s="120"/>
    </row>
    <row r="236" spans="1:14">
      <c r="A236" s="105"/>
      <c r="B236" s="105"/>
      <c r="C236" s="132"/>
      <c r="D236" s="125"/>
      <c r="E236" s="118"/>
      <c r="F236" s="124"/>
      <c r="G236" s="118"/>
      <c r="H236" s="118"/>
      <c r="I236" s="117"/>
      <c r="J236" s="117"/>
      <c r="K236" s="117"/>
      <c r="L236" s="120"/>
    </row>
    <row r="237" spans="1:14">
      <c r="A237" s="105"/>
      <c r="B237" s="105"/>
      <c r="C237" s="132"/>
      <c r="D237" s="125"/>
      <c r="E237" s="118"/>
      <c r="F237" s="124"/>
      <c r="G237" s="118"/>
      <c r="H237" s="118"/>
      <c r="I237" s="117"/>
      <c r="J237" s="117"/>
      <c r="K237" s="117"/>
      <c r="L237" s="120"/>
    </row>
    <row r="238" spans="1:14">
      <c r="A238" s="105"/>
      <c r="B238" s="105"/>
      <c r="C238" s="132"/>
      <c r="D238" s="125"/>
      <c r="E238" s="118"/>
      <c r="F238" s="124"/>
      <c r="G238" s="118"/>
      <c r="H238" s="118"/>
      <c r="I238" s="117"/>
      <c r="J238" s="117"/>
      <c r="K238" s="117"/>
      <c r="L238" s="120"/>
    </row>
    <row r="239" spans="1:14">
      <c r="D239" s="101"/>
      <c r="E239" s="101"/>
      <c r="G239" s="101"/>
      <c r="H239" s="101"/>
      <c r="I239" s="101"/>
      <c r="J239" s="101"/>
    </row>
    <row r="240" spans="1:14">
      <c r="A240" s="227" t="str">
        <f>$A$4</f>
        <v xml:space="preserve">Please fill in Supplier Name </v>
      </c>
      <c r="B240" s="227" t="s">
        <v>116</v>
      </c>
      <c r="C240" s="228" t="s">
        <v>117</v>
      </c>
      <c r="D240" s="229"/>
      <c r="E240" s="229"/>
      <c r="F240" s="230"/>
      <c r="G240" s="231">
        <f>SUM(G241:G249)</f>
        <v>0</v>
      </c>
      <c r="H240" s="231">
        <f>SUM(H241:H249)</f>
        <v>0</v>
      </c>
      <c r="I240" s="232">
        <f>SUM(G240:H240)</f>
        <v>0</v>
      </c>
      <c r="J240" s="233" t="s">
        <v>16</v>
      </c>
      <c r="K240" s="233" t="s">
        <v>48</v>
      </c>
      <c r="L240" s="228"/>
      <c r="M240" s="236" t="s">
        <v>543</v>
      </c>
      <c r="N240" s="236"/>
    </row>
    <row r="241" spans="1:14">
      <c r="A241" s="105"/>
      <c r="B241" s="105"/>
      <c r="C241" s="132" t="s">
        <v>672</v>
      </c>
      <c r="D241" s="125">
        <v>4</v>
      </c>
      <c r="E241" s="118" t="s">
        <v>582</v>
      </c>
      <c r="F241" s="124" t="s">
        <v>668</v>
      </c>
      <c r="G241" s="118"/>
      <c r="H241" s="118"/>
      <c r="I241" s="117"/>
      <c r="J241" s="117"/>
      <c r="K241" s="117"/>
      <c r="L241" s="120"/>
    </row>
    <row r="242" spans="1:14">
      <c r="A242" s="105"/>
      <c r="B242" s="105"/>
      <c r="C242" s="132" t="s">
        <v>673</v>
      </c>
      <c r="D242" s="125">
        <v>60</v>
      </c>
      <c r="E242" s="118" t="s">
        <v>547</v>
      </c>
      <c r="F242" s="124"/>
      <c r="G242" s="118"/>
      <c r="H242" s="118"/>
      <c r="I242" s="117"/>
      <c r="J242" s="117"/>
      <c r="K242" s="117"/>
      <c r="L242" s="120"/>
    </row>
    <row r="243" spans="1:14">
      <c r="A243" s="105"/>
      <c r="B243" s="105"/>
      <c r="C243" s="132" t="s">
        <v>674</v>
      </c>
      <c r="D243" s="125">
        <v>60</v>
      </c>
      <c r="E243" s="118" t="s">
        <v>547</v>
      </c>
      <c r="F243" s="124"/>
      <c r="G243" s="118"/>
      <c r="H243" s="118"/>
      <c r="I243" s="117"/>
      <c r="J243" s="117"/>
      <c r="K243" s="117"/>
      <c r="L243" s="120"/>
    </row>
    <row r="244" spans="1:14">
      <c r="A244" s="105"/>
      <c r="B244" s="105"/>
      <c r="C244" s="132" t="s">
        <v>642</v>
      </c>
      <c r="D244" s="125">
        <v>30</v>
      </c>
      <c r="E244" s="118" t="s">
        <v>547</v>
      </c>
      <c r="F244" s="124"/>
      <c r="G244" s="118"/>
      <c r="H244" s="118"/>
      <c r="I244" s="117"/>
      <c r="J244" s="117"/>
      <c r="K244" s="117"/>
      <c r="L244" s="120"/>
    </row>
    <row r="245" spans="1:14">
      <c r="A245" s="105"/>
      <c r="B245" s="105"/>
      <c r="C245" s="132"/>
      <c r="D245" s="125"/>
      <c r="E245" s="118"/>
      <c r="F245" s="124"/>
      <c r="G245" s="118"/>
      <c r="H245" s="118"/>
      <c r="I245" s="117"/>
      <c r="J245" s="117"/>
      <c r="K245" s="117"/>
      <c r="L245" s="120"/>
    </row>
    <row r="246" spans="1:14">
      <c r="A246" s="105"/>
      <c r="B246" s="105"/>
      <c r="C246" s="132"/>
      <c r="D246" s="125"/>
      <c r="E246" s="118"/>
      <c r="F246" s="124"/>
      <c r="G246" s="118"/>
      <c r="H246" s="118"/>
      <c r="I246" s="117"/>
      <c r="J246" s="117"/>
      <c r="K246" s="117"/>
      <c r="L246" s="120"/>
    </row>
    <row r="247" spans="1:14">
      <c r="A247" s="105"/>
      <c r="B247" s="105"/>
      <c r="C247" s="132"/>
      <c r="D247" s="125"/>
      <c r="E247" s="118"/>
      <c r="F247" s="124"/>
      <c r="G247" s="118"/>
      <c r="H247" s="118"/>
      <c r="I247" s="117"/>
      <c r="J247" s="117"/>
      <c r="K247" s="117"/>
      <c r="L247" s="120"/>
    </row>
    <row r="248" spans="1:14">
      <c r="A248" s="105"/>
      <c r="B248" s="105"/>
      <c r="C248" s="132"/>
      <c r="D248" s="125"/>
      <c r="E248" s="118"/>
      <c r="F248" s="124"/>
      <c r="G248" s="118"/>
      <c r="H248" s="118"/>
      <c r="I248" s="117"/>
      <c r="J248" s="117"/>
      <c r="K248" s="117"/>
      <c r="L248" s="120"/>
    </row>
    <row r="249" spans="1:14">
      <c r="A249" s="105"/>
      <c r="B249" s="105"/>
      <c r="C249" s="132"/>
      <c r="D249" s="125"/>
      <c r="E249" s="118"/>
      <c r="F249" s="124"/>
      <c r="G249" s="118"/>
      <c r="H249" s="118"/>
      <c r="I249" s="117"/>
      <c r="J249" s="117"/>
      <c r="K249" s="117"/>
      <c r="L249" s="120"/>
    </row>
    <row r="250" spans="1:14">
      <c r="D250" s="101"/>
      <c r="E250" s="101"/>
      <c r="G250" s="101"/>
      <c r="H250" s="101"/>
      <c r="I250" s="101"/>
      <c r="J250" s="101"/>
    </row>
    <row r="251" spans="1:14">
      <c r="A251" s="109" t="str">
        <f>$A$4</f>
        <v xml:space="preserve">Please fill in Supplier Name </v>
      </c>
      <c r="B251" s="109" t="s">
        <v>49</v>
      </c>
      <c r="C251" s="115" t="s">
        <v>50</v>
      </c>
      <c r="D251" s="110"/>
      <c r="E251" s="110"/>
      <c r="F251" s="111"/>
      <c r="G251" s="112">
        <f>SUM(G252:G254)</f>
        <v>0</v>
      </c>
      <c r="H251" s="112">
        <f>SUM(H252:H254)</f>
        <v>0</v>
      </c>
      <c r="I251" s="113">
        <f>SUM(G251:H251)</f>
        <v>0</v>
      </c>
      <c r="J251" s="114" t="s">
        <v>16</v>
      </c>
      <c r="K251" s="114" t="s">
        <v>27</v>
      </c>
      <c r="L251" s="115"/>
      <c r="M251" s="116" t="s">
        <v>544</v>
      </c>
      <c r="N251" s="116" t="s">
        <v>675</v>
      </c>
    </row>
    <row r="252" spans="1:14">
      <c r="A252" s="105"/>
      <c r="B252" s="105"/>
      <c r="C252" s="131" t="s">
        <v>676</v>
      </c>
      <c r="D252" s="121">
        <v>15</v>
      </c>
      <c r="E252" s="117" t="s">
        <v>559</v>
      </c>
      <c r="F252" s="122"/>
      <c r="G252" s="117"/>
      <c r="H252" s="117"/>
      <c r="I252" s="117"/>
      <c r="J252" s="117"/>
      <c r="K252" s="117"/>
      <c r="L252" s="120"/>
    </row>
    <row r="253" spans="1:14">
      <c r="A253" s="105"/>
      <c r="B253" s="105"/>
      <c r="C253" s="131"/>
      <c r="D253" s="121"/>
      <c r="E253" s="117"/>
      <c r="F253" s="122"/>
      <c r="G253" s="117"/>
      <c r="H253" s="117"/>
      <c r="I253" s="117"/>
      <c r="J253" s="117"/>
      <c r="K253" s="117"/>
      <c r="L253" s="120"/>
    </row>
    <row r="254" spans="1:14">
      <c r="A254" s="105"/>
      <c r="B254" s="105"/>
      <c r="C254" s="131"/>
      <c r="D254" s="121"/>
      <c r="E254" s="117"/>
      <c r="F254" s="122"/>
      <c r="G254" s="117"/>
      <c r="H254" s="117"/>
      <c r="I254" s="117"/>
      <c r="J254" s="117"/>
      <c r="K254" s="117"/>
      <c r="L254" s="120"/>
    </row>
    <row r="255" spans="1:14">
      <c r="D255" s="101"/>
      <c r="E255" s="101"/>
      <c r="G255" s="101"/>
      <c r="H255" s="101"/>
      <c r="I255" s="101"/>
      <c r="J255" s="101"/>
    </row>
    <row r="256" spans="1:14">
      <c r="A256" s="185" t="str">
        <f>$A$4</f>
        <v xml:space="preserve">Please fill in Supplier Name </v>
      </c>
      <c r="B256" s="185" t="s">
        <v>90</v>
      </c>
      <c r="C256" s="186" t="s">
        <v>91</v>
      </c>
      <c r="D256" s="187"/>
      <c r="E256" s="187"/>
      <c r="F256" s="188"/>
      <c r="G256" s="189">
        <f>SUM(G257:G259)</f>
        <v>0</v>
      </c>
      <c r="H256" s="189">
        <f>SUM(H257:H259)</f>
        <v>0</v>
      </c>
      <c r="I256" s="190">
        <f>SUM(G256:H256)</f>
        <v>0</v>
      </c>
      <c r="J256" s="191" t="s">
        <v>16</v>
      </c>
      <c r="K256" s="191" t="s">
        <v>27</v>
      </c>
      <c r="L256" s="186"/>
      <c r="M256" s="194" t="s">
        <v>532</v>
      </c>
      <c r="N256" s="194" t="s">
        <v>677</v>
      </c>
    </row>
    <row r="257" spans="1:14">
      <c r="A257" s="105"/>
      <c r="B257" s="105"/>
      <c r="C257" s="132" t="s">
        <v>678</v>
      </c>
      <c r="D257" s="125">
        <v>10</v>
      </c>
      <c r="E257" s="118" t="s">
        <v>547</v>
      </c>
      <c r="F257" s="124"/>
      <c r="G257" s="118"/>
      <c r="H257" s="118"/>
      <c r="I257" s="117"/>
      <c r="J257" s="117"/>
      <c r="K257" s="117"/>
      <c r="L257" s="120"/>
    </row>
    <row r="258" spans="1:14">
      <c r="A258" s="105"/>
      <c r="B258" s="105"/>
      <c r="C258" s="132"/>
      <c r="D258" s="125"/>
      <c r="E258" s="118"/>
      <c r="F258" s="124"/>
      <c r="G258" s="118"/>
      <c r="H258" s="118"/>
      <c r="I258" s="117"/>
      <c r="J258" s="117"/>
      <c r="K258" s="117"/>
      <c r="L258" s="120"/>
    </row>
    <row r="259" spans="1:14">
      <c r="A259" s="105"/>
      <c r="B259" s="105"/>
      <c r="C259" s="132"/>
      <c r="D259" s="125"/>
      <c r="E259" s="118"/>
      <c r="F259" s="124"/>
      <c r="G259" s="118"/>
      <c r="H259" s="118"/>
      <c r="I259" s="117"/>
      <c r="J259" s="117"/>
      <c r="K259" s="117"/>
      <c r="L259" s="120"/>
    </row>
    <row r="260" spans="1:14">
      <c r="D260" s="101"/>
      <c r="E260" s="101"/>
      <c r="G260" s="101"/>
      <c r="H260" s="101"/>
      <c r="I260" s="101"/>
      <c r="J260" s="101"/>
    </row>
    <row r="261" spans="1:14">
      <c r="A261" s="227" t="str">
        <f>$A$4</f>
        <v xml:space="preserve">Please fill in Supplier Name </v>
      </c>
      <c r="B261" s="227" t="s">
        <v>119</v>
      </c>
      <c r="C261" s="228" t="s">
        <v>120</v>
      </c>
      <c r="D261" s="229"/>
      <c r="E261" s="229"/>
      <c r="F261" s="230"/>
      <c r="G261" s="231">
        <f>SUM(G262:G264)</f>
        <v>0</v>
      </c>
      <c r="H261" s="231">
        <f>SUM(H262:H264)</f>
        <v>0</v>
      </c>
      <c r="I261" s="232">
        <f>SUM(G261:H261)</f>
        <v>0</v>
      </c>
      <c r="J261" s="233" t="s">
        <v>16</v>
      </c>
      <c r="K261" s="233" t="s">
        <v>27</v>
      </c>
      <c r="L261" s="228"/>
      <c r="M261" s="236" t="s">
        <v>543</v>
      </c>
      <c r="N261" s="236"/>
    </row>
    <row r="262" spans="1:14">
      <c r="A262" s="105"/>
      <c r="B262" s="105"/>
      <c r="C262" s="132" t="s">
        <v>678</v>
      </c>
      <c r="D262" s="125">
        <v>10</v>
      </c>
      <c r="E262" s="118" t="s">
        <v>547</v>
      </c>
      <c r="F262" s="124"/>
      <c r="G262" s="118"/>
      <c r="H262" s="118"/>
      <c r="I262" s="117"/>
      <c r="J262" s="117"/>
      <c r="K262" s="117"/>
      <c r="L262" s="120"/>
    </row>
    <row r="263" spans="1:14">
      <c r="A263" s="105"/>
      <c r="B263" s="105"/>
      <c r="C263" s="132"/>
      <c r="D263" s="125"/>
      <c r="E263" s="118"/>
      <c r="F263" s="124"/>
      <c r="G263" s="118"/>
      <c r="H263" s="118"/>
      <c r="I263" s="117"/>
      <c r="J263" s="117"/>
      <c r="K263" s="117"/>
      <c r="L263" s="120"/>
    </row>
    <row r="264" spans="1:14">
      <c r="A264" s="105"/>
      <c r="B264" s="105"/>
      <c r="C264" s="132"/>
      <c r="D264" s="125"/>
      <c r="E264" s="118"/>
      <c r="F264" s="124"/>
      <c r="G264" s="118"/>
      <c r="H264" s="118"/>
      <c r="I264" s="117"/>
      <c r="J264" s="117"/>
      <c r="K264" s="117"/>
      <c r="L264" s="120"/>
    </row>
    <row r="265" spans="1:14">
      <c r="D265" s="101"/>
      <c r="E265" s="101"/>
      <c r="G265" s="101"/>
      <c r="H265" s="101"/>
      <c r="I265" s="101"/>
      <c r="J265" s="101"/>
    </row>
    <row r="266" spans="1:14">
      <c r="A266" s="109" t="str">
        <f>$A$4</f>
        <v xml:space="preserve">Please fill in Supplier Name </v>
      </c>
      <c r="B266" s="109" t="s">
        <v>51</v>
      </c>
      <c r="C266" s="115" t="s">
        <v>52</v>
      </c>
      <c r="D266" s="110"/>
      <c r="E266" s="110"/>
      <c r="F266" s="111"/>
      <c r="G266" s="112">
        <f>SUM(G267:G269)</f>
        <v>0</v>
      </c>
      <c r="H266" s="112">
        <f>SUM(H267:H269)</f>
        <v>0</v>
      </c>
      <c r="I266" s="113">
        <f>SUM(G266:H266)</f>
        <v>0</v>
      </c>
      <c r="J266" s="114" t="s">
        <v>16</v>
      </c>
      <c r="K266" s="114" t="s">
        <v>20</v>
      </c>
      <c r="L266" s="115"/>
      <c r="M266" s="116" t="s">
        <v>544</v>
      </c>
      <c r="N266" s="116" t="s">
        <v>679</v>
      </c>
    </row>
    <row r="267" spans="1:14">
      <c r="A267" s="105"/>
      <c r="B267" s="105"/>
      <c r="C267" s="131" t="s">
        <v>680</v>
      </c>
      <c r="D267" s="121">
        <v>20</v>
      </c>
      <c r="E267" s="117" t="s">
        <v>559</v>
      </c>
      <c r="F267" s="122"/>
      <c r="G267" s="117"/>
      <c r="H267" s="117"/>
      <c r="I267" s="117"/>
      <c r="J267" s="117"/>
      <c r="K267" s="117"/>
      <c r="L267" s="120"/>
    </row>
    <row r="268" spans="1:14">
      <c r="A268" s="105"/>
      <c r="B268" s="105"/>
      <c r="C268" s="131" t="s">
        <v>681</v>
      </c>
      <c r="D268" s="121">
        <v>20</v>
      </c>
      <c r="E268" s="117" t="s">
        <v>559</v>
      </c>
      <c r="F268" s="122"/>
      <c r="G268" s="117"/>
      <c r="H268" s="117"/>
      <c r="I268" s="117"/>
      <c r="J268" s="117"/>
      <c r="K268" s="117"/>
      <c r="L268" s="120"/>
    </row>
    <row r="269" spans="1:14">
      <c r="A269" s="105"/>
      <c r="B269" s="105"/>
      <c r="C269" s="131"/>
      <c r="D269" s="121"/>
      <c r="E269" s="117"/>
      <c r="F269" s="122"/>
      <c r="G269" s="117"/>
      <c r="H269" s="117"/>
      <c r="I269" s="117"/>
      <c r="J269" s="117"/>
      <c r="K269" s="117"/>
      <c r="L269" s="120"/>
    </row>
    <row r="270" spans="1:14">
      <c r="D270" s="101"/>
      <c r="E270" s="101"/>
      <c r="G270" s="101"/>
      <c r="H270" s="101"/>
      <c r="I270" s="101"/>
      <c r="J270" s="101"/>
    </row>
    <row r="271" spans="1:14">
      <c r="A271" s="185" t="str">
        <f>$A$4</f>
        <v xml:space="preserve">Please fill in Supplier Name </v>
      </c>
      <c r="B271" s="185" t="s">
        <v>92</v>
      </c>
      <c r="C271" s="186" t="s">
        <v>93</v>
      </c>
      <c r="D271" s="187"/>
      <c r="E271" s="187"/>
      <c r="F271" s="188"/>
      <c r="G271" s="189">
        <f>SUM(G272:G274)</f>
        <v>0</v>
      </c>
      <c r="H271" s="189">
        <f>SUM(H272:H274)</f>
        <v>0</v>
      </c>
      <c r="I271" s="190">
        <f>SUM(G271:H271)</f>
        <v>0</v>
      </c>
      <c r="J271" s="191" t="s">
        <v>16</v>
      </c>
      <c r="K271" s="191" t="s">
        <v>20</v>
      </c>
      <c r="L271" s="186"/>
      <c r="M271" s="194" t="s">
        <v>532</v>
      </c>
      <c r="N271" s="194" t="s">
        <v>682</v>
      </c>
    </row>
    <row r="272" spans="1:14">
      <c r="A272" s="105"/>
      <c r="B272" s="105"/>
      <c r="C272" s="132" t="s">
        <v>683</v>
      </c>
      <c r="D272" s="125">
        <v>20</v>
      </c>
      <c r="E272" s="118" t="s">
        <v>547</v>
      </c>
      <c r="F272" s="124" t="s">
        <v>684</v>
      </c>
      <c r="G272" s="118"/>
      <c r="H272" s="118"/>
      <c r="I272" s="117"/>
      <c r="J272" s="117"/>
      <c r="K272" s="117"/>
      <c r="L272" s="120"/>
      <c r="N272" s="101" t="s">
        <v>682</v>
      </c>
    </row>
    <row r="273" spans="1:14">
      <c r="A273" s="105"/>
      <c r="B273" s="105"/>
      <c r="C273" s="132" t="s">
        <v>685</v>
      </c>
      <c r="D273" s="125">
        <v>20</v>
      </c>
      <c r="E273" s="118" t="s">
        <v>547</v>
      </c>
      <c r="F273" s="124" t="s">
        <v>684</v>
      </c>
      <c r="G273" s="118"/>
      <c r="H273" s="118"/>
      <c r="I273" s="117"/>
      <c r="J273" s="117"/>
      <c r="K273" s="117"/>
      <c r="L273" s="120"/>
    </row>
    <row r="274" spans="1:14">
      <c r="A274" s="105"/>
      <c r="B274" s="105"/>
      <c r="C274" s="132"/>
      <c r="D274" s="125"/>
      <c r="E274" s="118"/>
      <c r="F274" s="124"/>
      <c r="G274" s="118"/>
      <c r="H274" s="118"/>
      <c r="I274" s="117"/>
      <c r="J274" s="117"/>
      <c r="K274" s="117"/>
      <c r="L274" s="120"/>
    </row>
    <row r="275" spans="1:14">
      <c r="D275" s="101"/>
      <c r="E275" s="101"/>
      <c r="G275" s="101"/>
      <c r="H275" s="101"/>
      <c r="I275" s="101"/>
      <c r="J275" s="101"/>
    </row>
    <row r="276" spans="1:14">
      <c r="A276" s="227" t="str">
        <f>$A$4</f>
        <v xml:space="preserve">Please fill in Supplier Name </v>
      </c>
      <c r="B276" s="227" t="s">
        <v>121</v>
      </c>
      <c r="C276" s="228" t="s">
        <v>122</v>
      </c>
      <c r="D276" s="229"/>
      <c r="E276" s="229"/>
      <c r="F276" s="230"/>
      <c r="G276" s="231">
        <f>SUM(G277:G279)</f>
        <v>0</v>
      </c>
      <c r="H276" s="231">
        <f>SUM(H277:H279)</f>
        <v>0</v>
      </c>
      <c r="I276" s="232">
        <f>SUM(G276:H276)</f>
        <v>0</v>
      </c>
      <c r="J276" s="233" t="s">
        <v>16</v>
      </c>
      <c r="K276" s="233" t="s">
        <v>20</v>
      </c>
      <c r="L276" s="228"/>
      <c r="M276" s="236" t="s">
        <v>543</v>
      </c>
      <c r="N276" s="236"/>
    </row>
    <row r="277" spans="1:14">
      <c r="A277" s="105"/>
      <c r="B277" s="105"/>
      <c r="C277" s="132" t="s">
        <v>686</v>
      </c>
      <c r="D277" s="125">
        <v>20</v>
      </c>
      <c r="E277" s="118" t="s">
        <v>547</v>
      </c>
      <c r="F277" s="124" t="s">
        <v>684</v>
      </c>
      <c r="G277" s="118"/>
      <c r="H277" s="118"/>
      <c r="I277" s="117"/>
      <c r="J277" s="117"/>
      <c r="K277" s="117"/>
      <c r="L277" s="120"/>
    </row>
    <row r="278" spans="1:14">
      <c r="A278" s="105"/>
      <c r="B278" s="105"/>
      <c r="C278" s="132" t="s">
        <v>687</v>
      </c>
      <c r="D278" s="125">
        <v>20</v>
      </c>
      <c r="E278" s="118" t="s">
        <v>547</v>
      </c>
      <c r="F278" s="124" t="s">
        <v>684</v>
      </c>
      <c r="G278" s="118"/>
      <c r="H278" s="118"/>
      <c r="I278" s="117"/>
      <c r="J278" s="117"/>
      <c r="K278" s="117"/>
      <c r="L278" s="120"/>
    </row>
    <row r="279" spans="1:14">
      <c r="A279" s="105"/>
      <c r="B279" s="105"/>
      <c r="C279" s="132"/>
      <c r="D279" s="125"/>
      <c r="E279" s="118"/>
      <c r="F279" s="124"/>
      <c r="G279" s="118"/>
      <c r="H279" s="118"/>
      <c r="I279" s="117"/>
      <c r="J279" s="117"/>
      <c r="K279" s="117"/>
      <c r="L279" s="120"/>
    </row>
    <row r="280" spans="1:14">
      <c r="D280" s="101"/>
      <c r="E280" s="101"/>
      <c r="G280" s="101"/>
      <c r="H280" s="101"/>
      <c r="I280" s="101"/>
      <c r="J280" s="101"/>
    </row>
    <row r="281" spans="1:14">
      <c r="A281" s="109" t="str">
        <f>$A$4</f>
        <v xml:space="preserve">Please fill in Supplier Name </v>
      </c>
      <c r="B281" s="109" t="s">
        <v>53</v>
      </c>
      <c r="C281" s="115" t="s">
        <v>54</v>
      </c>
      <c r="D281" s="110"/>
      <c r="E281" s="110"/>
      <c r="F281" s="111"/>
      <c r="G281" s="112">
        <f>SUM(G282:G284)</f>
        <v>0</v>
      </c>
      <c r="H281" s="112">
        <f>SUM(H282:H284)</f>
        <v>0</v>
      </c>
      <c r="I281" s="113">
        <f>SUM(G281:H281)</f>
        <v>0</v>
      </c>
      <c r="J281" s="114" t="s">
        <v>16</v>
      </c>
      <c r="K281" s="114" t="s">
        <v>20</v>
      </c>
      <c r="L281" s="115"/>
      <c r="M281" s="116" t="s">
        <v>544</v>
      </c>
      <c r="N281" s="116" t="s">
        <v>688</v>
      </c>
    </row>
    <row r="282" spans="1:14">
      <c r="A282" s="105"/>
      <c r="B282" s="105"/>
      <c r="C282" s="131" t="s">
        <v>689</v>
      </c>
      <c r="D282" s="121">
        <v>40</v>
      </c>
      <c r="E282" s="117" t="s">
        <v>559</v>
      </c>
      <c r="F282" s="122"/>
      <c r="G282" s="117"/>
      <c r="H282" s="117"/>
      <c r="I282" s="117"/>
      <c r="J282" s="117"/>
      <c r="K282" s="117"/>
      <c r="L282" s="120"/>
    </row>
    <row r="283" spans="1:14">
      <c r="A283" s="105"/>
      <c r="B283" s="105"/>
      <c r="C283" s="131"/>
      <c r="D283" s="121"/>
      <c r="E283" s="117"/>
      <c r="F283" s="122"/>
      <c r="G283" s="117"/>
      <c r="H283" s="117"/>
      <c r="I283" s="117"/>
      <c r="J283" s="117"/>
      <c r="K283" s="117"/>
      <c r="L283" s="120"/>
    </row>
    <row r="284" spans="1:14">
      <c r="A284" s="105"/>
      <c r="B284" s="105"/>
      <c r="C284" s="131"/>
      <c r="D284" s="121"/>
      <c r="E284" s="117"/>
      <c r="F284" s="122"/>
      <c r="G284" s="117"/>
      <c r="H284" s="117"/>
      <c r="I284" s="117"/>
      <c r="J284" s="117"/>
      <c r="K284" s="117"/>
      <c r="L284" s="120"/>
    </row>
    <row r="285" spans="1:14">
      <c r="D285" s="101"/>
      <c r="E285" s="101"/>
      <c r="G285" s="101"/>
      <c r="H285" s="101"/>
      <c r="I285" s="101"/>
      <c r="J285" s="101"/>
    </row>
    <row r="286" spans="1:14">
      <c r="A286" s="185" t="str">
        <f>$A$4</f>
        <v xml:space="preserve">Please fill in Supplier Name </v>
      </c>
      <c r="B286" s="185" t="s">
        <v>94</v>
      </c>
      <c r="C286" s="186" t="s">
        <v>95</v>
      </c>
      <c r="D286" s="187"/>
      <c r="E286" s="187"/>
      <c r="F286" s="188"/>
      <c r="G286" s="189">
        <f>SUM(G287:G289)</f>
        <v>0</v>
      </c>
      <c r="H286" s="189">
        <f>SUM(H287:H289)</f>
        <v>0</v>
      </c>
      <c r="I286" s="190">
        <f>SUM(G286:H286)</f>
        <v>0</v>
      </c>
      <c r="J286" s="191" t="s">
        <v>16</v>
      </c>
      <c r="K286" s="191" t="s">
        <v>20</v>
      </c>
      <c r="L286" s="186"/>
      <c r="M286" s="194" t="s">
        <v>532</v>
      </c>
      <c r="N286" s="194" t="s">
        <v>690</v>
      </c>
    </row>
    <row r="287" spans="1:14">
      <c r="A287" s="105"/>
      <c r="B287" s="105"/>
      <c r="C287" s="132" t="s">
        <v>691</v>
      </c>
      <c r="D287" s="125">
        <v>60</v>
      </c>
      <c r="E287" s="118" t="s">
        <v>547</v>
      </c>
      <c r="F287" s="124" t="s">
        <v>692</v>
      </c>
      <c r="G287" s="118"/>
      <c r="H287" s="118"/>
      <c r="I287" s="117"/>
      <c r="J287" s="117"/>
      <c r="K287" s="117"/>
      <c r="L287" s="120"/>
    </row>
    <row r="288" spans="1:14">
      <c r="A288" s="105"/>
      <c r="B288" s="105"/>
      <c r="C288" s="132"/>
      <c r="D288" s="125"/>
      <c r="E288" s="277"/>
      <c r="F288" s="124"/>
      <c r="G288" s="118"/>
      <c r="H288" s="118"/>
      <c r="I288" s="117"/>
      <c r="J288" s="117"/>
      <c r="K288" s="117"/>
      <c r="L288" s="120"/>
    </row>
    <row r="289" spans="1:14">
      <c r="A289" s="105"/>
      <c r="B289" s="105"/>
      <c r="C289" s="132"/>
      <c r="D289" s="125"/>
      <c r="E289" s="118"/>
      <c r="F289" s="124"/>
      <c r="G289" s="118"/>
      <c r="H289" s="118"/>
      <c r="I289" s="117"/>
      <c r="J289" s="117"/>
      <c r="K289" s="117"/>
      <c r="L289" s="120"/>
    </row>
    <row r="290" spans="1:14">
      <c r="D290" s="101"/>
      <c r="E290" s="101"/>
      <c r="G290" s="101"/>
      <c r="H290" s="101"/>
      <c r="I290" s="101"/>
      <c r="J290" s="101"/>
    </row>
    <row r="291" spans="1:14">
      <c r="A291" s="227" t="str">
        <f>$A$4</f>
        <v xml:space="preserve">Please fill in Supplier Name </v>
      </c>
      <c r="B291" s="227" t="s">
        <v>123</v>
      </c>
      <c r="C291" s="228" t="s">
        <v>124</v>
      </c>
      <c r="D291" s="229"/>
      <c r="E291" s="229"/>
      <c r="F291" s="230"/>
      <c r="G291" s="231">
        <f>SUM(G292:G294)</f>
        <v>0</v>
      </c>
      <c r="H291" s="231">
        <f>SUM(H292:H294)</f>
        <v>0</v>
      </c>
      <c r="I291" s="232">
        <f>SUM(G291:H291)</f>
        <v>0</v>
      </c>
      <c r="J291" s="233" t="s">
        <v>16</v>
      </c>
      <c r="K291" s="233" t="s">
        <v>20</v>
      </c>
      <c r="L291" s="228"/>
      <c r="M291" s="236" t="s">
        <v>543</v>
      </c>
      <c r="N291" s="236"/>
    </row>
    <row r="292" spans="1:14">
      <c r="A292" s="105"/>
      <c r="B292" s="105"/>
      <c r="C292" s="132" t="s">
        <v>693</v>
      </c>
      <c r="D292" s="125">
        <v>1</v>
      </c>
      <c r="E292" s="118" t="s">
        <v>694</v>
      </c>
      <c r="F292" s="124" t="s">
        <v>692</v>
      </c>
      <c r="G292" s="118"/>
      <c r="H292" s="118"/>
      <c r="I292" s="117"/>
      <c r="J292" s="117"/>
      <c r="K292" s="117"/>
      <c r="L292" s="120"/>
    </row>
    <row r="293" spans="1:14">
      <c r="A293" s="105"/>
      <c r="B293" s="105"/>
      <c r="C293" s="132"/>
      <c r="D293" s="125"/>
      <c r="E293" s="118"/>
      <c r="F293" s="124"/>
      <c r="G293" s="118"/>
      <c r="H293" s="118"/>
      <c r="I293" s="117"/>
      <c r="J293" s="117"/>
      <c r="K293" s="117"/>
      <c r="L293" s="120"/>
    </row>
    <row r="294" spans="1:14">
      <c r="A294" s="105"/>
      <c r="B294" s="105"/>
      <c r="C294" s="132"/>
      <c r="D294" s="125"/>
      <c r="E294" s="118"/>
      <c r="F294" s="124"/>
      <c r="G294" s="118"/>
      <c r="H294" s="118"/>
      <c r="I294" s="117"/>
      <c r="J294" s="117"/>
      <c r="K294" s="117"/>
      <c r="L294" s="120"/>
    </row>
    <row r="295" spans="1:14">
      <c r="D295" s="101"/>
      <c r="E295" s="101"/>
      <c r="G295" s="101"/>
      <c r="H295" s="101"/>
      <c r="I295" s="101"/>
      <c r="J295" s="101"/>
    </row>
    <row r="296" spans="1:14">
      <c r="A296" s="109" t="str">
        <f>$A$4</f>
        <v xml:space="preserve">Please fill in Supplier Name </v>
      </c>
      <c r="B296" s="109" t="s">
        <v>55</v>
      </c>
      <c r="C296" s="115" t="s">
        <v>56</v>
      </c>
      <c r="D296" s="110"/>
      <c r="E296" s="110"/>
      <c r="F296" s="111"/>
      <c r="G296" s="112">
        <f>SUM(G297:G299)</f>
        <v>0</v>
      </c>
      <c r="H296" s="112">
        <f>SUM(H297:H299)</f>
        <v>0</v>
      </c>
      <c r="I296" s="113">
        <f>SUM(G296:H296)</f>
        <v>0</v>
      </c>
      <c r="J296" s="114" t="s">
        <v>16</v>
      </c>
      <c r="K296" s="114" t="s">
        <v>27</v>
      </c>
      <c r="L296" s="115"/>
      <c r="M296" s="116" t="s">
        <v>544</v>
      </c>
      <c r="N296" s="116" t="s">
        <v>695</v>
      </c>
    </row>
    <row r="297" spans="1:14">
      <c r="A297" s="105"/>
      <c r="B297" s="105"/>
      <c r="C297" s="131" t="s">
        <v>696</v>
      </c>
      <c r="D297" s="121">
        <v>25</v>
      </c>
      <c r="E297" s="117" t="s">
        <v>559</v>
      </c>
      <c r="F297" s="122"/>
      <c r="G297" s="117"/>
      <c r="H297" s="117"/>
      <c r="I297" s="117"/>
      <c r="J297" s="117"/>
      <c r="K297" s="117"/>
      <c r="L297" s="120"/>
    </row>
    <row r="298" spans="1:14">
      <c r="A298" s="105"/>
      <c r="B298" s="105"/>
      <c r="C298" s="131"/>
      <c r="D298" s="121"/>
      <c r="E298" s="117"/>
      <c r="F298" s="122"/>
      <c r="G298" s="117"/>
      <c r="H298" s="117"/>
      <c r="I298" s="117"/>
      <c r="J298" s="117"/>
      <c r="K298" s="117"/>
      <c r="L298" s="120"/>
    </row>
    <row r="299" spans="1:14">
      <c r="A299" s="105"/>
      <c r="B299" s="105"/>
      <c r="C299" s="131"/>
      <c r="D299" s="121"/>
      <c r="E299" s="117"/>
      <c r="F299" s="122"/>
      <c r="G299" s="117"/>
      <c r="H299" s="117"/>
      <c r="I299" s="117"/>
      <c r="J299" s="117"/>
      <c r="K299" s="117"/>
      <c r="L299" s="120"/>
    </row>
    <row r="300" spans="1:14">
      <c r="D300" s="101"/>
      <c r="E300" s="101"/>
      <c r="G300" s="101"/>
      <c r="H300" s="101"/>
      <c r="I300" s="101"/>
      <c r="J300" s="101"/>
    </row>
    <row r="301" spans="1:14">
      <c r="A301" s="185" t="str">
        <f>$A$4</f>
        <v xml:space="preserve">Please fill in Supplier Name </v>
      </c>
      <c r="B301" s="185" t="s">
        <v>96</v>
      </c>
      <c r="C301" s="186" t="s">
        <v>97</v>
      </c>
      <c r="D301" s="187"/>
      <c r="E301" s="187"/>
      <c r="F301" s="188"/>
      <c r="G301" s="189">
        <f>SUM(G302:G304)</f>
        <v>0</v>
      </c>
      <c r="H301" s="189">
        <f>SUM(H302:H304)</f>
        <v>0</v>
      </c>
      <c r="I301" s="190">
        <f>SUM(G301:H301)</f>
        <v>0</v>
      </c>
      <c r="J301" s="191" t="s">
        <v>16</v>
      </c>
      <c r="K301" s="191" t="s">
        <v>27</v>
      </c>
      <c r="L301" s="186"/>
      <c r="M301" s="194" t="s">
        <v>532</v>
      </c>
      <c r="N301" s="194"/>
    </row>
    <row r="302" spans="1:14">
      <c r="A302" s="105"/>
      <c r="B302" s="105"/>
      <c r="C302" s="132" t="s">
        <v>697</v>
      </c>
      <c r="D302" s="125">
        <v>15</v>
      </c>
      <c r="E302" s="118" t="s">
        <v>547</v>
      </c>
      <c r="F302" s="124"/>
      <c r="G302" s="118"/>
      <c r="H302" s="118"/>
      <c r="I302" s="117"/>
      <c r="J302" s="117"/>
      <c r="K302" s="117"/>
      <c r="L302" s="120"/>
    </row>
    <row r="303" spans="1:14">
      <c r="A303" s="105"/>
      <c r="B303" s="105"/>
      <c r="C303" s="132"/>
      <c r="D303" s="125"/>
      <c r="E303" s="118"/>
      <c r="F303" s="124"/>
      <c r="G303" s="118"/>
      <c r="H303" s="118"/>
      <c r="I303" s="117"/>
      <c r="J303" s="117"/>
      <c r="K303" s="117"/>
      <c r="L303" s="120"/>
    </row>
    <row r="304" spans="1:14">
      <c r="A304" s="105"/>
      <c r="B304" s="105"/>
      <c r="C304" s="132"/>
      <c r="D304" s="125"/>
      <c r="E304" s="118"/>
      <c r="F304" s="124"/>
      <c r="G304" s="118"/>
      <c r="H304" s="118"/>
      <c r="I304" s="117"/>
      <c r="J304" s="117"/>
      <c r="K304" s="117"/>
      <c r="L304" s="120"/>
    </row>
    <row r="305" spans="1:14">
      <c r="D305" s="101"/>
      <c r="E305" s="101"/>
      <c r="G305" s="101"/>
      <c r="H305" s="101"/>
      <c r="I305" s="101"/>
      <c r="J305" s="101"/>
    </row>
    <row r="306" spans="1:14">
      <c r="A306" s="227" t="str">
        <f>$A$4</f>
        <v xml:space="preserve">Please fill in Supplier Name </v>
      </c>
      <c r="B306" s="227" t="s">
        <v>125</v>
      </c>
      <c r="C306" s="228" t="s">
        <v>126</v>
      </c>
      <c r="D306" s="229"/>
      <c r="E306" s="229"/>
      <c r="F306" s="230"/>
      <c r="G306" s="231">
        <f>SUM(G307:G309)</f>
        <v>0</v>
      </c>
      <c r="H306" s="231">
        <f>SUM(H307:H309)</f>
        <v>0</v>
      </c>
      <c r="I306" s="232">
        <f>SUM(G306:H306)</f>
        <v>0</v>
      </c>
      <c r="J306" s="233" t="s">
        <v>16</v>
      </c>
      <c r="K306" s="233" t="s">
        <v>27</v>
      </c>
      <c r="L306" s="228"/>
      <c r="M306" s="236" t="s">
        <v>543</v>
      </c>
      <c r="N306" s="236"/>
    </row>
    <row r="307" spans="1:14">
      <c r="A307" s="105"/>
      <c r="B307" s="105"/>
      <c r="C307" s="132" t="s">
        <v>698</v>
      </c>
      <c r="D307" s="125">
        <v>15</v>
      </c>
      <c r="E307" s="118" t="s">
        <v>547</v>
      </c>
      <c r="F307" s="124"/>
      <c r="G307" s="118"/>
      <c r="H307" s="118"/>
      <c r="I307" s="117"/>
      <c r="J307" s="117"/>
      <c r="K307" s="117"/>
      <c r="L307" s="120"/>
    </row>
    <row r="308" spans="1:14">
      <c r="A308" s="105"/>
      <c r="B308" s="105"/>
      <c r="C308" s="132"/>
      <c r="D308" s="125"/>
      <c r="E308" s="118"/>
      <c r="F308" s="124"/>
      <c r="G308" s="118"/>
      <c r="H308" s="118"/>
      <c r="I308" s="117"/>
      <c r="J308" s="117"/>
      <c r="K308" s="117"/>
      <c r="L308" s="120"/>
    </row>
    <row r="309" spans="1:14">
      <c r="A309" s="105"/>
      <c r="B309" s="105"/>
      <c r="C309" s="132"/>
      <c r="D309" s="125"/>
      <c r="E309" s="118"/>
      <c r="F309" s="124"/>
      <c r="G309" s="118"/>
      <c r="H309" s="118"/>
      <c r="I309" s="117"/>
      <c r="J309" s="117"/>
      <c r="K309" s="117"/>
      <c r="L309" s="120"/>
    </row>
    <row r="310" spans="1:14">
      <c r="D310" s="101"/>
      <c r="E310" s="101"/>
      <c r="G310" s="101"/>
      <c r="H310" s="101"/>
      <c r="I310" s="101"/>
      <c r="J310" s="101"/>
    </row>
    <row r="311" spans="1:14">
      <c r="A311" s="109" t="str">
        <f>$A$4</f>
        <v xml:space="preserve">Please fill in Supplier Name </v>
      </c>
      <c r="B311" s="109" t="s">
        <v>60</v>
      </c>
      <c r="C311" s="115" t="s">
        <v>61</v>
      </c>
      <c r="D311" s="110"/>
      <c r="E311" s="110"/>
      <c r="F311" s="111"/>
      <c r="G311" s="112">
        <f>SUM(G312:G320)</f>
        <v>0</v>
      </c>
      <c r="H311" s="112">
        <f>SUM(H312:H320)</f>
        <v>0</v>
      </c>
      <c r="I311" s="113">
        <f>SUM(G311:H311)</f>
        <v>0</v>
      </c>
      <c r="J311" s="114" t="s">
        <v>16</v>
      </c>
      <c r="K311" s="114" t="s">
        <v>20</v>
      </c>
      <c r="L311" s="115"/>
      <c r="M311" s="116" t="s">
        <v>544</v>
      </c>
      <c r="N311" s="116" t="s">
        <v>699</v>
      </c>
    </row>
    <row r="312" spans="1:14">
      <c r="A312" s="105"/>
      <c r="B312" s="105"/>
      <c r="C312" s="131" t="s">
        <v>700</v>
      </c>
      <c r="D312" s="121">
        <v>150</v>
      </c>
      <c r="E312" s="117" t="s">
        <v>559</v>
      </c>
      <c r="F312" s="122"/>
      <c r="G312" s="117"/>
      <c r="H312" s="117"/>
      <c r="I312" s="117"/>
      <c r="J312" s="117"/>
      <c r="K312" s="117"/>
      <c r="L312" s="120"/>
    </row>
    <row r="313" spans="1:14">
      <c r="A313" s="105"/>
      <c r="B313" s="105"/>
      <c r="C313" s="131" t="s">
        <v>701</v>
      </c>
      <c r="D313" s="121">
        <v>150</v>
      </c>
      <c r="E313" s="117" t="s">
        <v>559</v>
      </c>
      <c r="F313" s="122"/>
      <c r="G313" s="117"/>
      <c r="H313" s="117"/>
      <c r="I313" s="117"/>
      <c r="J313" s="117"/>
      <c r="K313" s="117"/>
      <c r="L313" s="120"/>
    </row>
    <row r="314" spans="1:14">
      <c r="A314" s="105"/>
      <c r="B314" s="105"/>
      <c r="C314" s="131" t="s">
        <v>702</v>
      </c>
      <c r="D314" s="121">
        <v>150</v>
      </c>
      <c r="E314" s="117" t="s">
        <v>559</v>
      </c>
      <c r="F314" s="122"/>
      <c r="G314" s="117"/>
      <c r="H314" s="117"/>
      <c r="I314" s="117"/>
      <c r="J314" s="117"/>
      <c r="K314" s="117"/>
      <c r="L314" s="120"/>
    </row>
    <row r="315" spans="1:14">
      <c r="A315" s="105"/>
      <c r="B315" s="105"/>
      <c r="C315" s="131" t="s">
        <v>703</v>
      </c>
      <c r="D315" s="121">
        <v>150</v>
      </c>
      <c r="E315" s="117" t="s">
        <v>559</v>
      </c>
      <c r="F315" s="122"/>
      <c r="G315" s="117"/>
      <c r="H315" s="117"/>
      <c r="I315" s="117"/>
      <c r="J315" s="117"/>
      <c r="K315" s="117"/>
      <c r="L315" s="120"/>
    </row>
    <row r="316" spans="1:14">
      <c r="A316" s="105"/>
      <c r="B316" s="105"/>
      <c r="C316" s="131"/>
      <c r="D316" s="121"/>
      <c r="E316" s="117"/>
      <c r="F316" s="122"/>
      <c r="G316" s="117"/>
      <c r="H316" s="117"/>
      <c r="I316" s="117"/>
      <c r="J316" s="117"/>
      <c r="K316" s="117"/>
      <c r="L316" s="120"/>
    </row>
    <row r="317" spans="1:14">
      <c r="A317" s="105"/>
      <c r="B317" s="105"/>
      <c r="C317" s="131"/>
      <c r="D317" s="121"/>
      <c r="E317" s="117"/>
      <c r="F317" s="122"/>
      <c r="G317" s="117"/>
      <c r="H317" s="117"/>
      <c r="I317" s="117"/>
      <c r="J317" s="117"/>
      <c r="K317" s="117"/>
      <c r="L317" s="120"/>
    </row>
    <row r="318" spans="1:14">
      <c r="A318" s="105"/>
      <c r="B318" s="105"/>
      <c r="C318" s="131"/>
      <c r="D318" s="121"/>
      <c r="E318" s="117"/>
      <c r="F318" s="122"/>
      <c r="G318" s="117"/>
      <c r="H318" s="117"/>
      <c r="I318" s="117"/>
      <c r="J318" s="117"/>
      <c r="K318" s="117"/>
      <c r="L318" s="120"/>
    </row>
    <row r="319" spans="1:14">
      <c r="A319" s="105"/>
      <c r="B319" s="105"/>
      <c r="C319" s="131"/>
      <c r="D319" s="121"/>
      <c r="E319" s="117"/>
      <c r="F319" s="122"/>
      <c r="G319" s="117"/>
      <c r="H319" s="117"/>
      <c r="I319" s="117"/>
      <c r="J319" s="117"/>
      <c r="K319" s="117"/>
      <c r="L319" s="120"/>
    </row>
    <row r="320" spans="1:14">
      <c r="A320" s="105"/>
      <c r="B320" s="105"/>
      <c r="C320" s="131"/>
      <c r="D320" s="121"/>
      <c r="E320" s="117"/>
      <c r="F320" s="122"/>
      <c r="G320" s="117"/>
      <c r="H320" s="117"/>
      <c r="I320" s="117"/>
      <c r="J320" s="117"/>
      <c r="K320" s="117"/>
      <c r="L320" s="120"/>
    </row>
    <row r="321" spans="1:14">
      <c r="D321" s="101"/>
      <c r="E321" s="101"/>
      <c r="G321" s="101"/>
      <c r="H321" s="101"/>
      <c r="I321" s="101"/>
      <c r="J321" s="101"/>
    </row>
    <row r="322" spans="1:14">
      <c r="A322" s="185" t="str">
        <f>$A$4</f>
        <v xml:space="preserve">Please fill in Supplier Name </v>
      </c>
      <c r="B322" s="185" t="s">
        <v>704</v>
      </c>
      <c r="C322" s="186" t="s">
        <v>63</v>
      </c>
      <c r="D322" s="187"/>
      <c r="E322" s="187"/>
      <c r="F322" s="188"/>
      <c r="G322" s="189">
        <f>SUM(G323:G331)</f>
        <v>0</v>
      </c>
      <c r="H322" s="189">
        <f>SUM(H323:H331)</f>
        <v>0</v>
      </c>
      <c r="I322" s="190">
        <f>SUM(G322:H322)</f>
        <v>0</v>
      </c>
      <c r="J322" s="191" t="s">
        <v>16</v>
      </c>
      <c r="K322" s="191" t="s">
        <v>20</v>
      </c>
      <c r="L322" s="186"/>
      <c r="M322" s="194" t="s">
        <v>532</v>
      </c>
      <c r="N322" s="194" t="s">
        <v>699</v>
      </c>
    </row>
    <row r="323" spans="1:14">
      <c r="A323" s="105"/>
      <c r="B323" s="105"/>
      <c r="C323" s="132" t="s">
        <v>705</v>
      </c>
      <c r="D323" s="125">
        <v>150</v>
      </c>
      <c r="E323" s="118" t="s">
        <v>547</v>
      </c>
      <c r="F323" s="124"/>
      <c r="G323" s="118"/>
      <c r="H323" s="118"/>
      <c r="I323" s="117"/>
      <c r="J323" s="117"/>
      <c r="K323" s="117"/>
      <c r="L323" s="120"/>
    </row>
    <row r="324" spans="1:14">
      <c r="A324" s="105"/>
      <c r="B324" s="105"/>
      <c r="C324" s="132" t="s">
        <v>703</v>
      </c>
      <c r="D324" s="125">
        <v>150</v>
      </c>
      <c r="E324" s="118" t="s">
        <v>547</v>
      </c>
      <c r="F324" s="124"/>
      <c r="G324" s="118"/>
      <c r="H324" s="118"/>
      <c r="I324" s="117"/>
      <c r="J324" s="117"/>
      <c r="K324" s="117"/>
      <c r="L324" s="120"/>
    </row>
    <row r="325" spans="1:14">
      <c r="A325" s="105"/>
      <c r="B325" s="105"/>
      <c r="C325" s="132" t="s">
        <v>700</v>
      </c>
      <c r="D325" s="125">
        <v>150</v>
      </c>
      <c r="E325" s="118" t="s">
        <v>547</v>
      </c>
      <c r="F325" s="124"/>
      <c r="G325" s="118"/>
      <c r="H325" s="118"/>
      <c r="I325" s="117"/>
      <c r="J325" s="117"/>
      <c r="K325" s="117"/>
      <c r="L325" s="120"/>
    </row>
    <row r="326" spans="1:14">
      <c r="A326" s="105"/>
      <c r="B326" s="105"/>
      <c r="C326" s="132" t="s">
        <v>701</v>
      </c>
      <c r="D326" s="125">
        <v>150</v>
      </c>
      <c r="E326" s="118" t="s">
        <v>547</v>
      </c>
      <c r="F326" s="124"/>
      <c r="G326" s="118"/>
      <c r="H326" s="118"/>
      <c r="I326" s="117"/>
      <c r="J326" s="117"/>
      <c r="K326" s="117"/>
      <c r="L326" s="120"/>
    </row>
    <row r="327" spans="1:14">
      <c r="A327" s="105"/>
      <c r="B327" s="105"/>
      <c r="C327" s="132"/>
      <c r="D327" s="125"/>
      <c r="E327" s="118"/>
      <c r="F327" s="124"/>
      <c r="G327" s="118"/>
      <c r="H327" s="118"/>
      <c r="I327" s="117"/>
      <c r="J327" s="117"/>
      <c r="K327" s="117"/>
      <c r="L327" s="120"/>
    </row>
    <row r="328" spans="1:14">
      <c r="A328" s="105"/>
      <c r="B328" s="105"/>
      <c r="C328" s="132"/>
      <c r="D328" s="125"/>
      <c r="E328" s="118"/>
      <c r="F328" s="124"/>
      <c r="G328" s="118"/>
      <c r="H328" s="118"/>
      <c r="I328" s="117"/>
      <c r="J328" s="117"/>
      <c r="K328" s="117"/>
      <c r="L328" s="120"/>
    </row>
    <row r="329" spans="1:14">
      <c r="A329" s="105"/>
      <c r="B329" s="105"/>
      <c r="C329" s="132"/>
      <c r="D329" s="125"/>
      <c r="E329" s="118"/>
      <c r="F329" s="124"/>
      <c r="G329" s="118"/>
      <c r="H329" s="118"/>
      <c r="I329" s="117"/>
      <c r="J329" s="117"/>
      <c r="K329" s="117"/>
      <c r="L329" s="120"/>
    </row>
    <row r="330" spans="1:14">
      <c r="A330" s="105"/>
      <c r="B330" s="105"/>
      <c r="C330" s="132"/>
      <c r="D330" s="125"/>
      <c r="E330" s="118"/>
      <c r="F330" s="124"/>
      <c r="G330" s="118"/>
      <c r="H330" s="118"/>
      <c r="I330" s="117"/>
      <c r="J330" s="117"/>
      <c r="K330" s="117"/>
      <c r="L330" s="120"/>
    </row>
    <row r="331" spans="1:14">
      <c r="A331" s="105"/>
      <c r="B331" s="105"/>
      <c r="C331" s="132"/>
      <c r="D331" s="125"/>
      <c r="E331" s="118"/>
      <c r="F331" s="124"/>
      <c r="G331" s="118"/>
      <c r="H331" s="118"/>
      <c r="I331" s="117"/>
      <c r="J331" s="117"/>
      <c r="K331" s="117"/>
      <c r="L331" s="120"/>
    </row>
    <row r="332" spans="1:14">
      <c r="D332" s="101"/>
      <c r="E332" s="101"/>
      <c r="G332" s="101"/>
      <c r="H332" s="101"/>
      <c r="I332" s="101"/>
      <c r="J332" s="101"/>
    </row>
    <row r="333" spans="1:14">
      <c r="A333" s="227" t="str">
        <f>$A$4</f>
        <v xml:space="preserve">Please fill in Supplier Name </v>
      </c>
      <c r="B333" s="227" t="s">
        <v>706</v>
      </c>
      <c r="C333" s="228" t="s">
        <v>65</v>
      </c>
      <c r="D333" s="229"/>
      <c r="E333" s="229"/>
      <c r="F333" s="230"/>
      <c r="G333" s="231">
        <f>SUM(G334:G342)</f>
        <v>0</v>
      </c>
      <c r="H333" s="231">
        <f>SUM(H334:H342)</f>
        <v>0</v>
      </c>
      <c r="I333" s="232">
        <f>SUM(G333:H333)</f>
        <v>0</v>
      </c>
      <c r="J333" s="233" t="s">
        <v>16</v>
      </c>
      <c r="K333" s="233" t="s">
        <v>20</v>
      </c>
      <c r="L333" s="228"/>
      <c r="M333" s="236" t="s">
        <v>543</v>
      </c>
      <c r="N333" s="236" t="s">
        <v>699</v>
      </c>
    </row>
    <row r="334" spans="1:14">
      <c r="A334" s="105"/>
      <c r="B334" s="105"/>
      <c r="C334" s="132" t="s">
        <v>707</v>
      </c>
      <c r="D334" s="125">
        <v>150</v>
      </c>
      <c r="E334" s="118" t="s">
        <v>547</v>
      </c>
      <c r="F334" s="124"/>
      <c r="G334" s="118"/>
      <c r="H334" s="118"/>
      <c r="I334" s="117"/>
      <c r="J334" s="117"/>
      <c r="K334" s="117"/>
      <c r="L334" s="120"/>
    </row>
    <row r="335" spans="1:14">
      <c r="A335" s="105"/>
      <c r="B335" s="105"/>
      <c r="C335" s="132" t="s">
        <v>708</v>
      </c>
      <c r="D335" s="125">
        <v>150</v>
      </c>
      <c r="E335" s="118" t="s">
        <v>547</v>
      </c>
      <c r="F335" s="124"/>
      <c r="G335" s="118"/>
      <c r="H335" s="118"/>
      <c r="I335" s="117"/>
      <c r="J335" s="117"/>
      <c r="K335" s="117"/>
      <c r="L335" s="120"/>
    </row>
    <row r="336" spans="1:14">
      <c r="A336" s="105"/>
      <c r="B336" s="105"/>
      <c r="C336" s="132" t="s">
        <v>702</v>
      </c>
      <c r="D336" s="125">
        <v>150</v>
      </c>
      <c r="E336" s="118" t="s">
        <v>547</v>
      </c>
      <c r="F336" s="124"/>
      <c r="G336" s="118"/>
      <c r="H336" s="118"/>
      <c r="I336" s="117"/>
      <c r="J336" s="117"/>
      <c r="K336" s="117"/>
      <c r="L336" s="120"/>
    </row>
    <row r="337" spans="1:14">
      <c r="A337" s="105"/>
      <c r="B337" s="105"/>
      <c r="C337" s="132" t="s">
        <v>709</v>
      </c>
      <c r="D337" s="125">
        <v>150</v>
      </c>
      <c r="E337" s="118" t="s">
        <v>547</v>
      </c>
      <c r="F337" s="124"/>
      <c r="G337" s="118"/>
      <c r="H337" s="118"/>
      <c r="I337" s="117"/>
      <c r="J337" s="117"/>
      <c r="K337" s="117"/>
      <c r="L337" s="120"/>
    </row>
    <row r="338" spans="1:14">
      <c r="A338" s="105"/>
      <c r="B338" s="105"/>
      <c r="C338" s="132"/>
      <c r="D338" s="125"/>
      <c r="E338" s="118"/>
      <c r="F338" s="124"/>
      <c r="G338" s="118"/>
      <c r="H338" s="118"/>
      <c r="I338" s="117"/>
      <c r="J338" s="117"/>
      <c r="K338" s="117"/>
      <c r="L338" s="120"/>
    </row>
    <row r="339" spans="1:14">
      <c r="A339" s="105"/>
      <c r="B339" s="105"/>
      <c r="C339" s="132"/>
      <c r="D339" s="125"/>
      <c r="E339" s="118"/>
      <c r="F339" s="124"/>
      <c r="G339" s="118"/>
      <c r="H339" s="118"/>
      <c r="I339" s="117"/>
      <c r="J339" s="117"/>
      <c r="K339" s="117"/>
      <c r="L339" s="120"/>
    </row>
    <row r="340" spans="1:14">
      <c r="A340" s="105"/>
      <c r="B340" s="105"/>
      <c r="C340" s="132"/>
      <c r="D340" s="125"/>
      <c r="E340" s="118"/>
      <c r="F340" s="124"/>
      <c r="G340" s="118"/>
      <c r="H340" s="118"/>
      <c r="I340" s="117"/>
      <c r="J340" s="117"/>
      <c r="K340" s="117"/>
      <c r="L340" s="120"/>
    </row>
    <row r="341" spans="1:14">
      <c r="A341" s="105"/>
      <c r="B341" s="105"/>
      <c r="C341" s="132"/>
      <c r="D341" s="125"/>
      <c r="E341" s="118"/>
      <c r="F341" s="124"/>
      <c r="G341" s="118"/>
      <c r="H341" s="118"/>
      <c r="I341" s="117"/>
      <c r="J341" s="117"/>
      <c r="K341" s="117"/>
      <c r="L341" s="120"/>
    </row>
    <row r="342" spans="1:14">
      <c r="A342" s="105"/>
      <c r="B342" s="105"/>
      <c r="C342" s="132"/>
      <c r="D342" s="125"/>
      <c r="E342" s="118"/>
      <c r="F342" s="124"/>
      <c r="G342" s="118"/>
      <c r="H342" s="118"/>
      <c r="I342" s="117"/>
      <c r="J342" s="117"/>
      <c r="K342" s="117"/>
      <c r="L342" s="120"/>
    </row>
    <row r="343" spans="1:14">
      <c r="D343" s="101"/>
      <c r="E343" s="101"/>
      <c r="G343" s="101"/>
      <c r="H343" s="101"/>
      <c r="I343" s="101"/>
      <c r="J343" s="101"/>
    </row>
    <row r="344" spans="1:14">
      <c r="A344" s="109" t="str">
        <f>$A$4</f>
        <v xml:space="preserve">Please fill in Supplier Name </v>
      </c>
      <c r="B344" s="109" t="s">
        <v>66</v>
      </c>
      <c r="C344" s="115" t="s">
        <v>710</v>
      </c>
      <c r="D344" s="110"/>
      <c r="E344" s="110"/>
      <c r="F344" s="111"/>
      <c r="G344" s="112">
        <f>SUM(G345:G347)</f>
        <v>0</v>
      </c>
      <c r="H344" s="112">
        <f>SUM(H345:H347)</f>
        <v>0</v>
      </c>
      <c r="I344" s="113">
        <f>SUM(G344:H344)</f>
        <v>0</v>
      </c>
      <c r="J344" s="114" t="s">
        <v>16</v>
      </c>
      <c r="K344" s="114" t="s">
        <v>68</v>
      </c>
      <c r="L344" s="115" t="s">
        <v>69</v>
      </c>
      <c r="M344" s="116" t="s">
        <v>544</v>
      </c>
      <c r="N344" s="116" t="s">
        <v>711</v>
      </c>
    </row>
    <row r="345" spans="1:14">
      <c r="A345" s="105"/>
      <c r="B345" s="105"/>
      <c r="C345" s="131" t="s">
        <v>712</v>
      </c>
      <c r="D345" s="121">
        <v>40</v>
      </c>
      <c r="E345" s="117" t="s">
        <v>559</v>
      </c>
      <c r="F345" s="122"/>
      <c r="G345" s="117"/>
      <c r="H345" s="117"/>
      <c r="I345" s="117"/>
      <c r="J345" s="117"/>
      <c r="K345" s="117"/>
      <c r="L345" s="120"/>
    </row>
    <row r="346" spans="1:14">
      <c r="A346" s="105"/>
      <c r="B346" s="105"/>
      <c r="C346" s="131" t="s">
        <v>713</v>
      </c>
      <c r="D346" s="121">
        <v>40</v>
      </c>
      <c r="E346" s="117" t="s">
        <v>559</v>
      </c>
      <c r="F346" s="122"/>
      <c r="G346" s="117"/>
      <c r="H346" s="117"/>
      <c r="I346" s="117"/>
      <c r="J346" s="117"/>
      <c r="K346" s="117"/>
      <c r="L346" s="120"/>
    </row>
    <row r="347" spans="1:14">
      <c r="A347" s="105"/>
      <c r="B347" s="105"/>
      <c r="C347" s="131"/>
      <c r="D347" s="121"/>
      <c r="E347" s="117"/>
      <c r="F347" s="122"/>
      <c r="G347" s="117"/>
      <c r="H347" s="117"/>
      <c r="I347" s="117"/>
      <c r="J347" s="117"/>
      <c r="K347" s="117"/>
      <c r="L347" s="120"/>
    </row>
    <row r="348" spans="1:14">
      <c r="D348" s="101"/>
      <c r="E348" s="101"/>
      <c r="G348" s="101"/>
      <c r="H348" s="101"/>
      <c r="I348" s="101"/>
      <c r="J348" s="101"/>
    </row>
    <row r="349" spans="1:14">
      <c r="A349" s="185" t="str">
        <f>$A$4</f>
        <v xml:space="preserve">Please fill in Supplier Name </v>
      </c>
      <c r="B349" s="185" t="s">
        <v>714</v>
      </c>
      <c r="C349" s="186" t="s">
        <v>715</v>
      </c>
      <c r="D349" s="187"/>
      <c r="E349" s="187"/>
      <c r="F349" s="188"/>
      <c r="G349" s="189">
        <f>SUM(G350:G352)</f>
        <v>0</v>
      </c>
      <c r="H349" s="189">
        <f>SUM(H350:H352)</f>
        <v>0</v>
      </c>
      <c r="I349" s="190">
        <f>SUM(G349:H349)</f>
        <v>0</v>
      </c>
      <c r="J349" s="191" t="s">
        <v>16</v>
      </c>
      <c r="K349" s="191" t="s">
        <v>68</v>
      </c>
      <c r="L349" s="186" t="s">
        <v>69</v>
      </c>
      <c r="M349" s="194" t="s">
        <v>532</v>
      </c>
      <c r="N349" s="194" t="s">
        <v>711</v>
      </c>
    </row>
    <row r="350" spans="1:14">
      <c r="A350" s="105"/>
      <c r="B350" s="105"/>
      <c r="C350" s="132" t="s">
        <v>716</v>
      </c>
      <c r="D350" s="125">
        <v>45</v>
      </c>
      <c r="E350" s="118" t="s">
        <v>547</v>
      </c>
      <c r="F350" s="124" t="s">
        <v>717</v>
      </c>
      <c r="G350" s="118"/>
      <c r="H350" s="118"/>
      <c r="I350" s="117"/>
      <c r="J350" s="117"/>
      <c r="K350" s="117"/>
      <c r="L350" s="120"/>
    </row>
    <row r="351" spans="1:14">
      <c r="A351" s="105"/>
      <c r="B351" s="105"/>
      <c r="C351" s="132" t="s">
        <v>718</v>
      </c>
      <c r="D351" s="125">
        <v>45</v>
      </c>
      <c r="E351" s="118" t="s">
        <v>547</v>
      </c>
      <c r="F351" s="124" t="s">
        <v>717</v>
      </c>
      <c r="G351" s="118"/>
      <c r="H351" s="118"/>
      <c r="I351" s="117"/>
      <c r="J351" s="117"/>
      <c r="K351" s="117"/>
      <c r="L351" s="120"/>
    </row>
    <row r="352" spans="1:14">
      <c r="A352" s="105"/>
      <c r="B352" s="105"/>
      <c r="C352" s="132"/>
      <c r="D352" s="125"/>
      <c r="E352" s="118"/>
      <c r="F352" s="124"/>
      <c r="G352" s="118"/>
      <c r="H352" s="118"/>
      <c r="I352" s="117"/>
      <c r="J352" s="117"/>
      <c r="K352" s="117"/>
      <c r="L352" s="120"/>
    </row>
    <row r="353" spans="1:14">
      <c r="D353" s="101"/>
      <c r="E353" s="101"/>
      <c r="G353" s="101"/>
      <c r="H353" s="101"/>
      <c r="I353" s="101"/>
      <c r="J353" s="101"/>
    </row>
    <row r="354" spans="1:14">
      <c r="A354" s="227" t="str">
        <f>$A$4</f>
        <v xml:space="preserve">Please fill in Supplier Name </v>
      </c>
      <c r="B354" s="227" t="s">
        <v>719</v>
      </c>
      <c r="C354" s="228" t="s">
        <v>720</v>
      </c>
      <c r="D354" s="229"/>
      <c r="E354" s="229"/>
      <c r="F354" s="230"/>
      <c r="G354" s="231">
        <f>SUM(G355:G357)</f>
        <v>0</v>
      </c>
      <c r="H354" s="231">
        <f>SUM(H355:H357)</f>
        <v>0</v>
      </c>
      <c r="I354" s="232">
        <f>SUM(G354:H354)</f>
        <v>0</v>
      </c>
      <c r="J354" s="233" t="s">
        <v>16</v>
      </c>
      <c r="K354" s="233" t="s">
        <v>68</v>
      </c>
      <c r="L354" s="228" t="s">
        <v>69</v>
      </c>
      <c r="M354" s="236" t="s">
        <v>543</v>
      </c>
      <c r="N354" s="236" t="s">
        <v>711</v>
      </c>
    </row>
    <row r="355" spans="1:14">
      <c r="A355" s="105"/>
      <c r="B355" s="105"/>
      <c r="C355" s="132" t="s">
        <v>716</v>
      </c>
      <c r="D355" s="125">
        <v>40</v>
      </c>
      <c r="E355" s="118" t="s">
        <v>547</v>
      </c>
      <c r="F355" s="124" t="s">
        <v>717</v>
      </c>
      <c r="G355" s="118"/>
      <c r="H355" s="118"/>
      <c r="I355" s="117"/>
      <c r="J355" s="117"/>
      <c r="K355" s="117"/>
      <c r="L355" s="120"/>
    </row>
    <row r="356" spans="1:14">
      <c r="A356" s="105"/>
      <c r="B356" s="105"/>
      <c r="C356" s="132" t="s">
        <v>718</v>
      </c>
      <c r="D356" s="125">
        <v>40</v>
      </c>
      <c r="E356" s="118" t="s">
        <v>547</v>
      </c>
      <c r="F356" s="124" t="s">
        <v>717</v>
      </c>
      <c r="G356" s="118"/>
      <c r="H356" s="118"/>
      <c r="I356" s="117"/>
      <c r="J356" s="117"/>
      <c r="K356" s="117"/>
      <c r="L356" s="120"/>
    </row>
    <row r="357" spans="1:14">
      <c r="A357" s="105"/>
      <c r="B357" s="105"/>
      <c r="C357" s="132"/>
      <c r="D357" s="125"/>
      <c r="E357" s="118"/>
      <c r="F357" s="124"/>
      <c r="G357" s="118"/>
      <c r="H357" s="118"/>
      <c r="I357" s="117"/>
      <c r="J357" s="117"/>
      <c r="K357" s="117"/>
      <c r="L357" s="120"/>
    </row>
    <row r="358" spans="1:14">
      <c r="D358" s="101"/>
      <c r="E358" s="101"/>
      <c r="G358" s="101"/>
      <c r="H358" s="101"/>
      <c r="I358" s="101"/>
      <c r="J358" s="101"/>
    </row>
    <row r="359" spans="1:14">
      <c r="A359" s="109" t="str">
        <f>$A$4</f>
        <v xml:space="preserve">Please fill in Supplier Name </v>
      </c>
      <c r="B359" s="109" t="s">
        <v>70</v>
      </c>
      <c r="C359" s="115" t="s">
        <v>721</v>
      </c>
      <c r="D359" s="110"/>
      <c r="E359" s="110"/>
      <c r="F359" s="111"/>
      <c r="G359" s="112">
        <f>SUM(G360:G362)</f>
        <v>0</v>
      </c>
      <c r="H359" s="112">
        <f>SUM(H360:H362)</f>
        <v>0</v>
      </c>
      <c r="I359" s="113">
        <f>SUM(G359:H359)</f>
        <v>0</v>
      </c>
      <c r="J359" s="114" t="s">
        <v>16</v>
      </c>
      <c r="K359" s="114" t="s">
        <v>68</v>
      </c>
      <c r="L359" s="115" t="s">
        <v>69</v>
      </c>
      <c r="M359" s="116" t="s">
        <v>544</v>
      </c>
      <c r="N359" s="116" t="s">
        <v>711</v>
      </c>
    </row>
    <row r="360" spans="1:14">
      <c r="A360" s="105"/>
      <c r="B360" s="105"/>
      <c r="C360" s="131" t="s">
        <v>722</v>
      </c>
      <c r="D360" s="121">
        <v>1</v>
      </c>
      <c r="E360" s="117" t="s">
        <v>535</v>
      </c>
      <c r="F360" s="122"/>
      <c r="G360" s="117"/>
      <c r="H360" s="117"/>
      <c r="I360" s="117"/>
      <c r="J360" s="117"/>
      <c r="K360" s="117"/>
      <c r="L360" s="120"/>
    </row>
    <row r="361" spans="1:14">
      <c r="A361" s="105"/>
      <c r="B361" s="105"/>
      <c r="C361" s="131" t="s">
        <v>723</v>
      </c>
      <c r="D361" s="121">
        <v>1</v>
      </c>
      <c r="E361" s="117" t="s">
        <v>559</v>
      </c>
      <c r="F361" s="122"/>
      <c r="G361" s="117"/>
      <c r="H361" s="117"/>
      <c r="I361" s="117"/>
      <c r="J361" s="117"/>
      <c r="K361" s="117"/>
      <c r="L361" s="120"/>
    </row>
    <row r="362" spans="1:14">
      <c r="A362" s="105"/>
      <c r="B362" s="105"/>
      <c r="C362" s="131"/>
      <c r="D362" s="121"/>
      <c r="E362" s="117"/>
      <c r="F362" s="122"/>
      <c r="G362" s="117"/>
      <c r="H362" s="117"/>
      <c r="I362" s="117"/>
      <c r="J362" s="117"/>
      <c r="K362" s="117"/>
      <c r="L362" s="120"/>
    </row>
    <row r="363" spans="1:14">
      <c r="D363" s="101"/>
      <c r="E363" s="101"/>
      <c r="G363" s="101"/>
      <c r="H363" s="101"/>
      <c r="I363" s="101"/>
      <c r="J363" s="101"/>
    </row>
    <row r="364" spans="1:14">
      <c r="A364" s="185" t="str">
        <f>$A$4</f>
        <v xml:space="preserve">Please fill in Supplier Name </v>
      </c>
      <c r="B364" s="185" t="s">
        <v>724</v>
      </c>
      <c r="C364" s="186" t="s">
        <v>725</v>
      </c>
      <c r="D364" s="187"/>
      <c r="E364" s="187"/>
      <c r="F364" s="188"/>
      <c r="G364" s="189">
        <f>SUM(G365:G367)</f>
        <v>0</v>
      </c>
      <c r="H364" s="189">
        <f>SUM(H365:H367)</f>
        <v>0</v>
      </c>
      <c r="I364" s="190">
        <f>SUM(G364:H364)</f>
        <v>0</v>
      </c>
      <c r="J364" s="191" t="s">
        <v>16</v>
      </c>
      <c r="K364" s="191" t="s">
        <v>68</v>
      </c>
      <c r="L364" s="186" t="s">
        <v>69</v>
      </c>
      <c r="M364" s="194" t="s">
        <v>532</v>
      </c>
      <c r="N364" s="194" t="s">
        <v>711</v>
      </c>
    </row>
    <row r="365" spans="1:14">
      <c r="A365" s="105"/>
      <c r="B365" s="105"/>
      <c r="C365" s="132" t="s">
        <v>726</v>
      </c>
      <c r="D365" s="125">
        <v>40</v>
      </c>
      <c r="E365" s="118" t="s">
        <v>547</v>
      </c>
      <c r="F365" s="124" t="s">
        <v>717</v>
      </c>
      <c r="G365" s="118"/>
      <c r="H365" s="118"/>
      <c r="I365" s="117"/>
      <c r="J365" s="117"/>
      <c r="K365" s="117"/>
      <c r="L365" s="120"/>
    </row>
    <row r="366" spans="1:14">
      <c r="A366" s="105"/>
      <c r="B366" s="105"/>
      <c r="C366" s="132" t="s">
        <v>727</v>
      </c>
      <c r="D366" s="125">
        <v>40</v>
      </c>
      <c r="E366" s="118" t="s">
        <v>547</v>
      </c>
      <c r="F366" s="124" t="s">
        <v>717</v>
      </c>
      <c r="G366" s="118"/>
      <c r="H366" s="118"/>
      <c r="I366" s="117"/>
      <c r="J366" s="117"/>
      <c r="K366" s="117"/>
      <c r="L366" s="120"/>
    </row>
    <row r="367" spans="1:14">
      <c r="A367" s="105"/>
      <c r="B367" s="105"/>
      <c r="C367" s="132"/>
      <c r="D367" s="125"/>
      <c r="E367" s="118"/>
      <c r="F367" s="124"/>
      <c r="G367" s="118"/>
      <c r="H367" s="118"/>
      <c r="I367" s="117"/>
      <c r="J367" s="117"/>
      <c r="K367" s="117"/>
      <c r="L367" s="120"/>
    </row>
    <row r="368" spans="1:14">
      <c r="D368" s="101"/>
      <c r="E368" s="101"/>
      <c r="G368" s="101"/>
      <c r="H368" s="101"/>
      <c r="I368" s="101"/>
      <c r="J368" s="101"/>
    </row>
    <row r="369" spans="1:14">
      <c r="A369" s="227" t="str">
        <f>$A$4</f>
        <v xml:space="preserve">Please fill in Supplier Name </v>
      </c>
      <c r="B369" s="227" t="s">
        <v>728</v>
      </c>
      <c r="C369" s="228" t="s">
        <v>729</v>
      </c>
      <c r="D369" s="229"/>
      <c r="E369" s="229"/>
      <c r="F369" s="230"/>
      <c r="G369" s="231">
        <f>SUM(G370:G372)</f>
        <v>0</v>
      </c>
      <c r="H369" s="231">
        <f>SUM(H370:H372)</f>
        <v>0</v>
      </c>
      <c r="I369" s="232">
        <f>SUM(G369:H369)</f>
        <v>0</v>
      </c>
      <c r="J369" s="233" t="s">
        <v>16</v>
      </c>
      <c r="K369" s="233" t="s">
        <v>68</v>
      </c>
      <c r="L369" s="228" t="s">
        <v>69</v>
      </c>
      <c r="M369" s="236" t="s">
        <v>543</v>
      </c>
      <c r="N369" s="236" t="s">
        <v>711</v>
      </c>
    </row>
    <row r="370" spans="1:14">
      <c r="A370" s="105"/>
      <c r="B370" s="105"/>
      <c r="C370" s="132" t="s">
        <v>726</v>
      </c>
      <c r="D370" s="125">
        <v>40</v>
      </c>
      <c r="E370" s="118" t="s">
        <v>547</v>
      </c>
      <c r="F370" s="124" t="s">
        <v>717</v>
      </c>
      <c r="G370" s="118"/>
      <c r="H370" s="118"/>
      <c r="I370" s="117"/>
      <c r="J370" s="117"/>
      <c r="K370" s="117"/>
      <c r="L370" s="120"/>
    </row>
    <row r="371" spans="1:14">
      <c r="A371" s="105"/>
      <c r="B371" s="105"/>
      <c r="C371" s="132" t="s">
        <v>727</v>
      </c>
      <c r="D371" s="125">
        <v>40</v>
      </c>
      <c r="E371" s="118" t="s">
        <v>547</v>
      </c>
      <c r="F371" s="124" t="s">
        <v>717</v>
      </c>
      <c r="G371" s="118"/>
      <c r="H371" s="118"/>
      <c r="I371" s="117"/>
      <c r="J371" s="117"/>
      <c r="K371" s="117"/>
      <c r="L371" s="120"/>
    </row>
    <row r="372" spans="1:14">
      <c r="A372" s="105"/>
      <c r="B372" s="105"/>
      <c r="C372" s="132"/>
      <c r="D372" s="125"/>
      <c r="E372" s="118"/>
      <c r="F372" s="124"/>
      <c r="G372" s="118"/>
      <c r="H372" s="118"/>
      <c r="I372" s="117"/>
      <c r="J372" s="117"/>
      <c r="K372" s="117"/>
      <c r="L372" s="120"/>
    </row>
    <row r="373" spans="1:14">
      <c r="D373" s="101"/>
      <c r="E373" s="101"/>
      <c r="G373" s="101"/>
      <c r="H373" s="101"/>
      <c r="I373" s="101"/>
      <c r="J373" s="101"/>
    </row>
    <row r="374" spans="1:14">
      <c r="A374" s="109" t="str">
        <f>$A$4</f>
        <v xml:space="preserve">Please fill in Supplier Name </v>
      </c>
      <c r="B374" s="109" t="s">
        <v>72</v>
      </c>
      <c r="C374" s="115" t="s">
        <v>730</v>
      </c>
      <c r="D374" s="110"/>
      <c r="E374" s="110"/>
      <c r="F374" s="111"/>
      <c r="G374" s="112">
        <f>SUM(G375:G377)</f>
        <v>0</v>
      </c>
      <c r="H374" s="112">
        <f>SUM(H375:H377)</f>
        <v>0</v>
      </c>
      <c r="I374" s="113">
        <f>SUM(G374:H374)</f>
        <v>0</v>
      </c>
      <c r="J374" s="114" t="s">
        <v>16</v>
      </c>
      <c r="K374" s="114" t="s">
        <v>27</v>
      </c>
      <c r="L374" s="115"/>
      <c r="M374" s="116" t="s">
        <v>544</v>
      </c>
      <c r="N374" s="116" t="s">
        <v>711</v>
      </c>
    </row>
    <row r="375" spans="1:14">
      <c r="A375" s="105"/>
      <c r="B375" s="105"/>
      <c r="C375" s="131" t="s">
        <v>731</v>
      </c>
      <c r="D375" s="121">
        <v>500</v>
      </c>
      <c r="E375" s="117" t="s">
        <v>559</v>
      </c>
      <c r="F375" s="122"/>
      <c r="G375" s="117"/>
      <c r="H375" s="117"/>
      <c r="I375" s="117"/>
      <c r="J375" s="117"/>
      <c r="K375" s="117"/>
      <c r="L375" s="120"/>
    </row>
    <row r="376" spans="1:14">
      <c r="A376" s="105"/>
      <c r="B376" s="105"/>
      <c r="C376" s="131"/>
      <c r="D376" s="121"/>
      <c r="E376" s="117"/>
      <c r="F376" s="122"/>
      <c r="G376" s="117"/>
      <c r="H376" s="117"/>
      <c r="I376" s="117"/>
      <c r="J376" s="117"/>
      <c r="K376" s="117"/>
      <c r="L376" s="120"/>
    </row>
    <row r="377" spans="1:14">
      <c r="A377" s="105"/>
      <c r="B377" s="105"/>
      <c r="C377" s="131"/>
      <c r="D377" s="121"/>
      <c r="E377" s="117"/>
      <c r="F377" s="122"/>
      <c r="G377" s="117"/>
      <c r="H377" s="117"/>
      <c r="I377" s="117"/>
      <c r="J377" s="117"/>
      <c r="K377" s="117"/>
      <c r="L377" s="120"/>
    </row>
    <row r="378" spans="1:14">
      <c r="D378" s="101"/>
      <c r="E378" s="101"/>
      <c r="G378" s="101"/>
      <c r="H378" s="101"/>
      <c r="I378" s="101"/>
      <c r="J378" s="101"/>
    </row>
    <row r="379" spans="1:14">
      <c r="A379" s="185" t="str">
        <f>$A$4</f>
        <v xml:space="preserve">Please fill in Supplier Name </v>
      </c>
      <c r="B379" s="185" t="s">
        <v>732</v>
      </c>
      <c r="C379" s="186" t="s">
        <v>733</v>
      </c>
      <c r="D379" s="187"/>
      <c r="E379" s="187"/>
      <c r="F379" s="188"/>
      <c r="G379" s="189">
        <f>SUM(G380:G382)</f>
        <v>0</v>
      </c>
      <c r="H379" s="189">
        <f>SUM(H380:H382)</f>
        <v>0</v>
      </c>
      <c r="I379" s="190">
        <f>SUM(G379:H379)</f>
        <v>0</v>
      </c>
      <c r="J379" s="191" t="s">
        <v>16</v>
      </c>
      <c r="K379" s="191" t="s">
        <v>27</v>
      </c>
      <c r="L379" s="186"/>
      <c r="M379" s="194" t="s">
        <v>532</v>
      </c>
      <c r="N379" s="194" t="s">
        <v>711</v>
      </c>
    </row>
    <row r="380" spans="1:14">
      <c r="A380" s="105"/>
      <c r="B380" s="105"/>
      <c r="C380" s="132" t="s">
        <v>734</v>
      </c>
      <c r="D380" s="125">
        <v>500</v>
      </c>
      <c r="E380" s="118" t="s">
        <v>547</v>
      </c>
      <c r="F380" s="124" t="s">
        <v>717</v>
      </c>
      <c r="G380" s="118"/>
      <c r="H380" s="118"/>
      <c r="I380" s="117"/>
      <c r="J380" s="117"/>
      <c r="K380" s="117"/>
      <c r="L380" s="120"/>
    </row>
    <row r="381" spans="1:14">
      <c r="A381" s="105"/>
      <c r="B381" s="105"/>
      <c r="C381" s="132"/>
      <c r="D381" s="125"/>
      <c r="E381" s="118"/>
      <c r="F381" s="124"/>
      <c r="G381" s="118"/>
      <c r="H381" s="118"/>
      <c r="I381" s="117"/>
      <c r="J381" s="117"/>
      <c r="K381" s="117"/>
      <c r="L381" s="120"/>
    </row>
    <row r="382" spans="1:14">
      <c r="A382" s="105"/>
      <c r="B382" s="105"/>
      <c r="C382" s="132"/>
      <c r="D382" s="125"/>
      <c r="E382" s="118"/>
      <c r="F382" s="124"/>
      <c r="G382" s="118"/>
      <c r="H382" s="118"/>
      <c r="I382" s="117"/>
      <c r="J382" s="117"/>
      <c r="K382" s="117"/>
      <c r="L382" s="120"/>
    </row>
    <row r="383" spans="1:14">
      <c r="D383" s="101"/>
      <c r="E383" s="101"/>
      <c r="G383" s="101"/>
      <c r="H383" s="101"/>
      <c r="I383" s="101"/>
      <c r="J383" s="101"/>
    </row>
    <row r="384" spans="1:14">
      <c r="A384" s="227" t="str">
        <f>$A$4</f>
        <v xml:space="preserve">Please fill in Supplier Name </v>
      </c>
      <c r="B384" s="227" t="s">
        <v>735</v>
      </c>
      <c r="C384" s="228" t="s">
        <v>736</v>
      </c>
      <c r="D384" s="229"/>
      <c r="E384" s="229"/>
      <c r="F384" s="230"/>
      <c r="G384" s="231">
        <f>SUM(G385:G387)</f>
        <v>0</v>
      </c>
      <c r="H384" s="231">
        <f>SUM(H385:H387)</f>
        <v>0</v>
      </c>
      <c r="I384" s="232">
        <f>SUM(G384:H384)</f>
        <v>0</v>
      </c>
      <c r="J384" s="233" t="s">
        <v>16</v>
      </c>
      <c r="K384" s="233" t="s">
        <v>27</v>
      </c>
      <c r="L384" s="228"/>
      <c r="M384" s="236" t="s">
        <v>543</v>
      </c>
      <c r="N384" s="236" t="s">
        <v>711</v>
      </c>
    </row>
    <row r="385" spans="1:15">
      <c r="A385" s="105"/>
      <c r="B385" s="105"/>
      <c r="C385" s="132" t="s">
        <v>734</v>
      </c>
      <c r="D385" s="125">
        <v>500</v>
      </c>
      <c r="E385" s="118" t="s">
        <v>547</v>
      </c>
      <c r="F385" s="124" t="s">
        <v>717</v>
      </c>
      <c r="G385" s="118"/>
      <c r="H385" s="118"/>
      <c r="I385" s="117"/>
      <c r="J385" s="117"/>
      <c r="K385" s="117"/>
      <c r="L385" s="120"/>
    </row>
    <row r="386" spans="1:15">
      <c r="A386" s="105"/>
      <c r="B386" s="105"/>
      <c r="C386" s="132"/>
      <c r="D386" s="125"/>
      <c r="E386" s="118"/>
      <c r="F386" s="124"/>
      <c r="G386" s="118"/>
      <c r="H386" s="118"/>
      <c r="I386" s="117"/>
      <c r="J386" s="117"/>
      <c r="K386" s="117"/>
      <c r="L386" s="120"/>
    </row>
    <row r="387" spans="1:15">
      <c r="A387" s="105"/>
      <c r="B387" s="105"/>
      <c r="C387" s="132"/>
      <c r="D387" s="125"/>
      <c r="E387" s="118"/>
      <c r="F387" s="124"/>
      <c r="G387" s="118"/>
      <c r="H387" s="118"/>
      <c r="I387" s="117"/>
      <c r="J387" s="117"/>
      <c r="K387" s="117"/>
      <c r="L387" s="120"/>
    </row>
    <row r="388" spans="1:15">
      <c r="D388" s="101"/>
      <c r="E388" s="101"/>
      <c r="G388" s="101"/>
      <c r="H388" s="101"/>
      <c r="I388" s="101"/>
      <c r="J388" s="101"/>
    </row>
    <row r="389" spans="1:15">
      <c r="A389" s="109" t="str">
        <f>$A$4</f>
        <v xml:space="preserve">Please fill in Supplier Name </v>
      </c>
      <c r="B389" s="109" t="s">
        <v>152</v>
      </c>
      <c r="C389" s="115" t="s">
        <v>737</v>
      </c>
      <c r="D389" s="110"/>
      <c r="E389" s="110"/>
      <c r="F389" s="111"/>
      <c r="G389" s="112">
        <f>SUM(G390:G392)</f>
        <v>0</v>
      </c>
      <c r="H389" s="112">
        <f>SUM(H390:H392)</f>
        <v>0</v>
      </c>
      <c r="I389" s="113">
        <f>SUM(G389:H389)</f>
        <v>0</v>
      </c>
      <c r="J389" s="114" t="s">
        <v>16</v>
      </c>
      <c r="K389" s="114" t="s">
        <v>59</v>
      </c>
      <c r="L389" s="115" t="s">
        <v>69</v>
      </c>
      <c r="M389" s="116" t="s">
        <v>544</v>
      </c>
      <c r="N389" s="116" t="s">
        <v>738</v>
      </c>
    </row>
    <row r="390" spans="1:15">
      <c r="A390" s="105"/>
      <c r="B390" s="105"/>
      <c r="C390" s="131" t="s">
        <v>739</v>
      </c>
      <c r="D390" s="121">
        <v>40</v>
      </c>
      <c r="E390" s="117" t="s">
        <v>559</v>
      </c>
      <c r="F390" s="122"/>
      <c r="G390" s="117"/>
      <c r="H390" s="117"/>
      <c r="I390" s="117"/>
      <c r="J390" s="117"/>
      <c r="K390" s="117"/>
      <c r="L390" s="120"/>
      <c r="O390" s="101" t="s">
        <v>740</v>
      </c>
    </row>
    <row r="391" spans="1:15">
      <c r="A391" s="105"/>
      <c r="B391" s="105"/>
      <c r="C391" s="131" t="s">
        <v>741</v>
      </c>
      <c r="D391" s="121">
        <v>40</v>
      </c>
      <c r="E391" s="117" t="s">
        <v>559</v>
      </c>
      <c r="F391" s="122"/>
      <c r="G391" s="117"/>
      <c r="H391" s="117"/>
      <c r="I391" s="117"/>
      <c r="J391" s="117"/>
      <c r="K391" s="117"/>
      <c r="L391" s="120"/>
    </row>
    <row r="392" spans="1:15">
      <c r="A392" s="105"/>
      <c r="B392" s="105"/>
      <c r="C392" s="131"/>
      <c r="D392" s="121"/>
      <c r="E392" s="117"/>
      <c r="F392" s="122"/>
      <c r="G392" s="117"/>
      <c r="H392" s="117"/>
      <c r="I392" s="117"/>
      <c r="J392" s="117"/>
      <c r="K392" s="117"/>
      <c r="L392" s="120"/>
    </row>
    <row r="393" spans="1:15">
      <c r="D393" s="101"/>
      <c r="E393" s="101"/>
      <c r="G393" s="101"/>
      <c r="H393" s="101"/>
      <c r="I393" s="101"/>
      <c r="J393" s="101"/>
    </row>
    <row r="394" spans="1:15">
      <c r="A394" s="185" t="str">
        <f>$A$4</f>
        <v xml:space="preserve">Please fill in Supplier Name </v>
      </c>
      <c r="B394" s="185" t="s">
        <v>742</v>
      </c>
      <c r="C394" s="186" t="s">
        <v>743</v>
      </c>
      <c r="D394" s="187"/>
      <c r="E394" s="187"/>
      <c r="F394" s="188"/>
      <c r="G394" s="189">
        <f>SUM(G395:G397)</f>
        <v>0</v>
      </c>
      <c r="H394" s="189">
        <f>SUM(H395:H397)</f>
        <v>0</v>
      </c>
      <c r="I394" s="190">
        <f>SUM(G394:H394)</f>
        <v>0</v>
      </c>
      <c r="J394" s="191" t="s">
        <v>16</v>
      </c>
      <c r="K394" s="191" t="s">
        <v>59</v>
      </c>
      <c r="L394" s="186" t="s">
        <v>69</v>
      </c>
      <c r="M394" s="194" t="s">
        <v>532</v>
      </c>
      <c r="N394" s="194" t="s">
        <v>738</v>
      </c>
    </row>
    <row r="395" spans="1:15">
      <c r="A395" s="105"/>
      <c r="B395" s="105"/>
      <c r="C395" s="132" t="s">
        <v>744</v>
      </c>
      <c r="D395" s="125">
        <v>90</v>
      </c>
      <c r="E395" s="118" t="s">
        <v>547</v>
      </c>
      <c r="F395" s="124" t="s">
        <v>717</v>
      </c>
      <c r="G395" s="118"/>
      <c r="H395" s="118"/>
      <c r="I395" s="117"/>
      <c r="J395" s="117"/>
      <c r="K395" s="117"/>
      <c r="L395" s="120"/>
      <c r="O395" s="101" t="s">
        <v>740</v>
      </c>
    </row>
    <row r="396" spans="1:15">
      <c r="A396" s="105"/>
      <c r="B396" s="105"/>
      <c r="C396" s="132"/>
      <c r="D396" s="125"/>
      <c r="E396" s="118"/>
      <c r="F396" s="124"/>
      <c r="G396" s="118"/>
      <c r="H396" s="118"/>
      <c r="I396" s="117"/>
      <c r="J396" s="117"/>
      <c r="K396" s="117"/>
      <c r="L396" s="120"/>
    </row>
    <row r="397" spans="1:15">
      <c r="A397" s="105"/>
      <c r="B397" s="105"/>
      <c r="C397" s="132"/>
      <c r="D397" s="125"/>
      <c r="E397" s="118"/>
      <c r="F397" s="124"/>
      <c r="G397" s="118"/>
      <c r="H397" s="118"/>
      <c r="I397" s="117"/>
      <c r="J397" s="117"/>
      <c r="K397" s="117"/>
      <c r="L397" s="120"/>
    </row>
    <row r="398" spans="1:15">
      <c r="D398" s="101"/>
      <c r="E398" s="101"/>
      <c r="G398" s="101"/>
      <c r="H398" s="101"/>
      <c r="I398" s="101"/>
      <c r="J398" s="101"/>
    </row>
    <row r="399" spans="1:15">
      <c r="A399" s="227" t="str">
        <f>$A$4</f>
        <v xml:space="preserve">Please fill in Supplier Name </v>
      </c>
      <c r="B399" s="227" t="s">
        <v>745</v>
      </c>
      <c r="C399" s="228" t="s">
        <v>746</v>
      </c>
      <c r="D399" s="229"/>
      <c r="E399" s="229"/>
      <c r="F399" s="230"/>
      <c r="G399" s="231">
        <f>SUM(G400:G402)</f>
        <v>0</v>
      </c>
      <c r="H399" s="231">
        <f>SUM(H400:H402)</f>
        <v>0</v>
      </c>
      <c r="I399" s="232">
        <f>SUM(G399:H399)</f>
        <v>0</v>
      </c>
      <c r="J399" s="233" t="s">
        <v>16</v>
      </c>
      <c r="K399" s="233" t="s">
        <v>59</v>
      </c>
      <c r="L399" s="228" t="s">
        <v>69</v>
      </c>
      <c r="M399" s="236" t="s">
        <v>543</v>
      </c>
      <c r="N399" s="236" t="s">
        <v>738</v>
      </c>
    </row>
    <row r="400" spans="1:15">
      <c r="A400" s="105"/>
      <c r="B400" s="105"/>
      <c r="C400" s="132" t="s">
        <v>744</v>
      </c>
      <c r="D400" s="125">
        <v>90</v>
      </c>
      <c r="E400" s="118" t="s">
        <v>547</v>
      </c>
      <c r="F400" s="124" t="s">
        <v>717</v>
      </c>
      <c r="G400" s="118"/>
      <c r="H400" s="118"/>
      <c r="I400" s="117"/>
      <c r="J400" s="117"/>
      <c r="K400" s="117"/>
      <c r="L400" s="120"/>
      <c r="O400" s="101" t="s">
        <v>740</v>
      </c>
    </row>
    <row r="401" spans="1:14">
      <c r="A401" s="105"/>
      <c r="B401" s="105"/>
      <c r="C401" s="132"/>
      <c r="D401" s="125"/>
      <c r="E401" s="118"/>
      <c r="F401" s="124"/>
      <c r="G401" s="118"/>
      <c r="H401" s="118"/>
      <c r="I401" s="117"/>
      <c r="J401" s="117"/>
      <c r="K401" s="117"/>
      <c r="L401" s="120"/>
    </row>
    <row r="402" spans="1:14">
      <c r="A402" s="105"/>
      <c r="B402" s="105"/>
      <c r="C402" s="132"/>
      <c r="D402" s="125"/>
      <c r="E402" s="118"/>
      <c r="F402" s="124"/>
      <c r="G402" s="118"/>
      <c r="H402" s="118"/>
      <c r="I402" s="117"/>
      <c r="J402" s="117"/>
      <c r="K402" s="117"/>
      <c r="L402" s="120"/>
    </row>
    <row r="403" spans="1:14">
      <c r="D403" s="101"/>
      <c r="E403" s="101"/>
      <c r="G403" s="101"/>
      <c r="H403" s="101"/>
      <c r="I403" s="101"/>
      <c r="J403" s="101"/>
    </row>
    <row r="404" spans="1:14">
      <c r="A404" s="109" t="str">
        <f>$A$4</f>
        <v xml:space="preserve">Please fill in Supplier Name </v>
      </c>
      <c r="B404" s="109" t="s">
        <v>154</v>
      </c>
      <c r="C404" s="115" t="s">
        <v>747</v>
      </c>
      <c r="D404" s="110"/>
      <c r="E404" s="110"/>
      <c r="F404" s="111"/>
      <c r="G404" s="112">
        <f>SUM(G405:G407)</f>
        <v>0</v>
      </c>
      <c r="H404" s="112">
        <f>SUM(H405:H407)</f>
        <v>0</v>
      </c>
      <c r="I404" s="113">
        <f>SUM(G404:H404)</f>
        <v>0</v>
      </c>
      <c r="J404" s="114" t="s">
        <v>16</v>
      </c>
      <c r="K404" s="114">
        <v>1</v>
      </c>
      <c r="L404" s="115" t="s">
        <v>69</v>
      </c>
      <c r="M404" s="116" t="s">
        <v>544</v>
      </c>
      <c r="N404" s="116" t="s">
        <v>748</v>
      </c>
    </row>
    <row r="405" spans="1:14">
      <c r="A405" s="105"/>
      <c r="B405" s="105"/>
      <c r="C405" s="131" t="s">
        <v>748</v>
      </c>
      <c r="D405" s="121">
        <v>30</v>
      </c>
      <c r="E405" s="117" t="s">
        <v>559</v>
      </c>
      <c r="F405" s="122"/>
      <c r="G405" s="117"/>
      <c r="H405" s="117"/>
      <c r="I405" s="117"/>
      <c r="J405" s="117"/>
      <c r="K405" s="117"/>
      <c r="L405" s="120"/>
    </row>
    <row r="406" spans="1:14">
      <c r="A406" s="105"/>
      <c r="B406" s="105"/>
      <c r="C406" s="131"/>
      <c r="D406" s="121"/>
      <c r="E406" s="117"/>
      <c r="F406" s="122"/>
      <c r="G406" s="117"/>
      <c r="H406" s="117"/>
      <c r="I406" s="117"/>
      <c r="J406" s="117"/>
      <c r="K406" s="117"/>
      <c r="L406" s="120"/>
    </row>
    <row r="407" spans="1:14">
      <c r="A407" s="105"/>
      <c r="B407" s="105"/>
      <c r="C407" s="131"/>
      <c r="D407" s="121"/>
      <c r="E407" s="117"/>
      <c r="F407" s="122"/>
      <c r="G407" s="117"/>
      <c r="H407" s="117"/>
      <c r="I407" s="117"/>
      <c r="J407" s="117"/>
      <c r="K407" s="117"/>
      <c r="L407" s="120"/>
    </row>
    <row r="408" spans="1:14">
      <c r="D408" s="101"/>
      <c r="E408" s="101"/>
      <c r="G408" s="101"/>
      <c r="H408" s="101"/>
      <c r="I408" s="101"/>
      <c r="J408" s="101"/>
    </row>
    <row r="409" spans="1:14">
      <c r="A409" s="185" t="str">
        <f>$A$4</f>
        <v xml:space="preserve">Please fill in Supplier Name </v>
      </c>
      <c r="B409" s="185" t="s">
        <v>749</v>
      </c>
      <c r="C409" s="186" t="s">
        <v>750</v>
      </c>
      <c r="D409" s="187"/>
      <c r="E409" s="187"/>
      <c r="F409" s="188"/>
      <c r="G409" s="189">
        <f>SUM(G410:G412)</f>
        <v>0</v>
      </c>
      <c r="H409" s="189">
        <f>SUM(H410:H412)</f>
        <v>0</v>
      </c>
      <c r="I409" s="190">
        <f>SUM(G409:H409)</f>
        <v>0</v>
      </c>
      <c r="J409" s="191" t="s">
        <v>16</v>
      </c>
      <c r="K409" s="191">
        <v>1</v>
      </c>
      <c r="L409" s="186" t="s">
        <v>69</v>
      </c>
      <c r="M409" s="194" t="s">
        <v>532</v>
      </c>
      <c r="N409" s="194" t="s">
        <v>748</v>
      </c>
    </row>
    <row r="410" spans="1:14">
      <c r="A410" s="105"/>
      <c r="B410" s="105"/>
      <c r="C410" s="132" t="s">
        <v>751</v>
      </c>
      <c r="D410" s="125">
        <v>30</v>
      </c>
      <c r="E410" s="118" t="s">
        <v>547</v>
      </c>
      <c r="F410" s="124" t="s">
        <v>717</v>
      </c>
      <c r="G410" s="118"/>
      <c r="H410" s="118"/>
      <c r="I410" s="117"/>
      <c r="J410" s="117"/>
      <c r="K410" s="117"/>
      <c r="L410" s="120"/>
    </row>
    <row r="411" spans="1:14">
      <c r="A411" s="105"/>
      <c r="B411" s="105"/>
      <c r="C411" s="132"/>
      <c r="D411" s="125"/>
      <c r="E411" s="118"/>
      <c r="F411" s="124"/>
      <c r="G411" s="118"/>
      <c r="H411" s="118"/>
      <c r="I411" s="117"/>
      <c r="J411" s="117"/>
      <c r="K411" s="117"/>
      <c r="L411" s="120"/>
    </row>
    <row r="412" spans="1:14">
      <c r="A412" s="105"/>
      <c r="B412" s="105"/>
      <c r="C412" s="132"/>
      <c r="D412" s="125"/>
      <c r="E412" s="118"/>
      <c r="F412" s="124"/>
      <c r="G412" s="118"/>
      <c r="H412" s="118"/>
      <c r="I412" s="117"/>
      <c r="J412" s="117"/>
      <c r="K412" s="117"/>
      <c r="L412" s="120"/>
    </row>
    <row r="413" spans="1:14">
      <c r="D413" s="101"/>
      <c r="E413" s="101"/>
      <c r="G413" s="101"/>
      <c r="H413" s="101"/>
      <c r="I413" s="101"/>
      <c r="J413" s="101"/>
    </row>
    <row r="414" spans="1:14">
      <c r="A414" s="227" t="str">
        <f>$A$4</f>
        <v xml:space="preserve">Please fill in Supplier Name </v>
      </c>
      <c r="B414" s="227" t="s">
        <v>752</v>
      </c>
      <c r="C414" s="228" t="s">
        <v>753</v>
      </c>
      <c r="D414" s="229"/>
      <c r="E414" s="229"/>
      <c r="F414" s="230"/>
      <c r="G414" s="231">
        <f>SUM(G415:G417)</f>
        <v>0</v>
      </c>
      <c r="H414" s="231">
        <f>SUM(H415:H417)</f>
        <v>0</v>
      </c>
      <c r="I414" s="232">
        <f>SUM(G414:H414)</f>
        <v>0</v>
      </c>
      <c r="J414" s="233" t="s">
        <v>16</v>
      </c>
      <c r="K414" s="233">
        <v>1</v>
      </c>
      <c r="L414" s="228" t="s">
        <v>69</v>
      </c>
      <c r="M414" s="236" t="s">
        <v>543</v>
      </c>
      <c r="N414" s="236" t="s">
        <v>748</v>
      </c>
    </row>
    <row r="415" spans="1:14">
      <c r="A415" s="105"/>
      <c r="B415" s="105"/>
      <c r="C415" s="132" t="s">
        <v>754</v>
      </c>
      <c r="D415" s="125">
        <v>30</v>
      </c>
      <c r="E415" s="118" t="s">
        <v>547</v>
      </c>
      <c r="F415" s="124" t="s">
        <v>717</v>
      </c>
      <c r="G415" s="118"/>
      <c r="H415" s="118"/>
      <c r="I415" s="117"/>
      <c r="J415" s="117"/>
      <c r="K415" s="117"/>
      <c r="L415" s="120"/>
    </row>
    <row r="416" spans="1:14">
      <c r="A416" s="105"/>
      <c r="B416" s="105"/>
      <c r="C416" s="132"/>
      <c r="D416" s="125"/>
      <c r="E416" s="118"/>
      <c r="F416" s="124"/>
      <c r="G416" s="118"/>
      <c r="H416" s="118"/>
      <c r="I416" s="117"/>
      <c r="J416" s="117"/>
      <c r="K416" s="117"/>
      <c r="L416" s="120"/>
    </row>
    <row r="417" spans="1:14">
      <c r="A417" s="105"/>
      <c r="B417" s="105"/>
      <c r="C417" s="132"/>
      <c r="D417" s="125"/>
      <c r="E417" s="118"/>
      <c r="F417" s="124"/>
      <c r="G417" s="118"/>
      <c r="H417" s="118"/>
      <c r="I417" s="117"/>
      <c r="J417" s="117"/>
      <c r="K417" s="117"/>
      <c r="L417" s="120"/>
    </row>
    <row r="418" spans="1:14">
      <c r="D418" s="101"/>
      <c r="E418" s="101"/>
      <c r="G418" s="101"/>
      <c r="H418" s="101"/>
      <c r="I418" s="101"/>
      <c r="J418" s="101"/>
    </row>
    <row r="419" spans="1:14">
      <c r="A419" s="185" t="str">
        <f>$A$4</f>
        <v xml:space="preserve">Please fill in Supplier Name </v>
      </c>
      <c r="B419" s="185" t="s">
        <v>755</v>
      </c>
      <c r="C419" s="186" t="s">
        <v>132</v>
      </c>
      <c r="D419" s="187"/>
      <c r="E419" s="187"/>
      <c r="F419" s="188"/>
      <c r="G419" s="189">
        <f>SUM(G420:G429)</f>
        <v>0</v>
      </c>
      <c r="H419" s="189">
        <f>SUM(H420:H429)</f>
        <v>0.53999999999999992</v>
      </c>
      <c r="I419" s="190">
        <f>SUM(G419:H419)</f>
        <v>0.53999999999999992</v>
      </c>
      <c r="J419" s="191" t="s">
        <v>16</v>
      </c>
      <c r="K419" s="191">
        <v>1</v>
      </c>
      <c r="L419" s="186"/>
      <c r="M419" s="194" t="s">
        <v>532</v>
      </c>
      <c r="N419" s="194" t="s">
        <v>756</v>
      </c>
    </row>
    <row r="420" spans="1:14" ht="12.75">
      <c r="A420" s="105"/>
      <c r="B420" s="105"/>
      <c r="C420" s="131" t="s">
        <v>757</v>
      </c>
      <c r="D420" s="121">
        <v>1</v>
      </c>
      <c r="E420" s="117" t="s">
        <v>535</v>
      </c>
      <c r="F420" s="122"/>
      <c r="G420" s="117">
        <v>0</v>
      </c>
      <c r="H420" s="347">
        <v>0.09</v>
      </c>
      <c r="I420" s="117"/>
      <c r="J420" s="117"/>
      <c r="K420" s="117"/>
      <c r="L420" s="120">
        <v>971168</v>
      </c>
    </row>
    <row r="421" spans="1:14" ht="12.75">
      <c r="A421" s="105"/>
      <c r="B421" s="105"/>
      <c r="C421" s="131" t="s">
        <v>758</v>
      </c>
      <c r="D421" s="121">
        <v>1</v>
      </c>
      <c r="E421" s="117" t="s">
        <v>535</v>
      </c>
      <c r="F421" s="122"/>
      <c r="G421" s="117">
        <v>0</v>
      </c>
      <c r="H421" s="348">
        <v>0.05</v>
      </c>
      <c r="I421" s="117"/>
      <c r="J421" s="117"/>
      <c r="K421" s="117"/>
      <c r="L421" s="120">
        <v>973186</v>
      </c>
    </row>
    <row r="422" spans="1:14" ht="12.75">
      <c r="A422" s="105"/>
      <c r="B422" s="105"/>
      <c r="C422" s="131" t="s">
        <v>759</v>
      </c>
      <c r="D422" s="121">
        <v>1</v>
      </c>
      <c r="E422" s="117" t="s">
        <v>535</v>
      </c>
      <c r="F422" s="122"/>
      <c r="G422" s="117">
        <v>0</v>
      </c>
      <c r="H422" s="348">
        <v>0.05</v>
      </c>
      <c r="I422" s="117"/>
      <c r="J422" s="117"/>
      <c r="K422" s="117"/>
      <c r="L422" s="120">
        <v>971050</v>
      </c>
    </row>
    <row r="423" spans="1:14" ht="12.75">
      <c r="A423" s="105"/>
      <c r="B423" s="105"/>
      <c r="C423" s="131" t="s">
        <v>760</v>
      </c>
      <c r="D423" s="121">
        <v>1</v>
      </c>
      <c r="E423" s="117" t="s">
        <v>535</v>
      </c>
      <c r="F423" s="122"/>
      <c r="G423" s="117">
        <v>0</v>
      </c>
      <c r="H423" s="348">
        <v>0.05</v>
      </c>
      <c r="I423" s="117"/>
      <c r="J423" s="117"/>
      <c r="K423" s="117"/>
      <c r="L423" s="120">
        <v>971051</v>
      </c>
    </row>
    <row r="424" spans="1:14" ht="12.75">
      <c r="A424" s="105"/>
      <c r="B424" s="105"/>
      <c r="C424" s="131" t="s">
        <v>761</v>
      </c>
      <c r="D424" s="121">
        <v>1</v>
      </c>
      <c r="E424" s="117" t="s">
        <v>535</v>
      </c>
      <c r="F424" s="122"/>
      <c r="G424" s="117">
        <v>0</v>
      </c>
      <c r="H424" s="348">
        <v>0.05</v>
      </c>
      <c r="I424" s="117"/>
      <c r="J424" s="117"/>
      <c r="K424" s="117"/>
      <c r="L424" s="120">
        <v>973151</v>
      </c>
    </row>
    <row r="425" spans="1:14" ht="12.75">
      <c r="A425" s="105"/>
      <c r="B425" s="105"/>
      <c r="C425" s="131" t="s">
        <v>762</v>
      </c>
      <c r="D425" s="121">
        <v>1</v>
      </c>
      <c r="E425" s="117" t="s">
        <v>535</v>
      </c>
      <c r="F425" s="122"/>
      <c r="G425" s="117">
        <v>0</v>
      </c>
      <c r="H425" s="348">
        <v>0.05</v>
      </c>
      <c r="I425" s="117"/>
      <c r="J425" s="117"/>
      <c r="K425" s="117"/>
      <c r="L425" s="120">
        <v>971055</v>
      </c>
    </row>
    <row r="426" spans="1:14" ht="12.75">
      <c r="A426" s="105"/>
      <c r="B426" s="105"/>
      <c r="C426" s="131" t="s">
        <v>763</v>
      </c>
      <c r="D426" s="121">
        <v>1</v>
      </c>
      <c r="E426" s="117" t="s">
        <v>535</v>
      </c>
      <c r="F426" s="122"/>
      <c r="G426" s="117">
        <v>0</v>
      </c>
      <c r="H426" s="348">
        <v>0.05</v>
      </c>
      <c r="I426" s="117"/>
      <c r="J426" s="117"/>
      <c r="K426" s="117"/>
      <c r="L426" s="120">
        <v>971268</v>
      </c>
    </row>
    <row r="427" spans="1:14" ht="12.75">
      <c r="A427" s="105"/>
      <c r="B427" s="105"/>
      <c r="C427" s="131" t="s">
        <v>764</v>
      </c>
      <c r="D427" s="121">
        <v>1</v>
      </c>
      <c r="E427" s="117" t="s">
        <v>535</v>
      </c>
      <c r="F427" s="122"/>
      <c r="G427" s="117">
        <v>0</v>
      </c>
      <c r="H427" s="348">
        <v>0.05</v>
      </c>
      <c r="I427" s="117"/>
      <c r="J427" s="117"/>
      <c r="K427" s="117"/>
      <c r="L427" s="120">
        <v>971053</v>
      </c>
    </row>
    <row r="428" spans="1:14" ht="12.75">
      <c r="A428" s="105"/>
      <c r="B428" s="105"/>
      <c r="C428" s="138" t="s">
        <v>765</v>
      </c>
      <c r="D428" s="121">
        <v>1</v>
      </c>
      <c r="E428" s="117" t="s">
        <v>535</v>
      </c>
      <c r="F428" s="122"/>
      <c r="G428" s="117">
        <v>0</v>
      </c>
      <c r="H428" s="348">
        <v>0.05</v>
      </c>
      <c r="I428" s="117"/>
      <c r="J428" s="117"/>
      <c r="K428" s="117"/>
      <c r="L428" s="120">
        <v>971086</v>
      </c>
    </row>
    <row r="429" spans="1:14" ht="12.75">
      <c r="A429" s="105"/>
      <c r="B429" s="105"/>
      <c r="C429" s="139" t="s">
        <v>766</v>
      </c>
      <c r="D429" s="140">
        <v>1</v>
      </c>
      <c r="E429" s="117" t="s">
        <v>535</v>
      </c>
      <c r="F429" s="122"/>
      <c r="G429" s="117">
        <v>0</v>
      </c>
      <c r="H429" s="348">
        <v>0.05</v>
      </c>
      <c r="I429" s="117"/>
      <c r="J429" s="117"/>
      <c r="K429" s="117"/>
      <c r="L429" s="120">
        <v>973550</v>
      </c>
    </row>
    <row r="430" spans="1:14">
      <c r="D430" s="101"/>
      <c r="E430" s="101"/>
      <c r="G430" s="101"/>
      <c r="H430" s="101"/>
      <c r="I430" s="101"/>
      <c r="J430" s="101"/>
    </row>
    <row r="431" spans="1:14">
      <c r="A431" s="185" t="str">
        <f>$A$4</f>
        <v xml:space="preserve">Please fill in Supplier Name </v>
      </c>
      <c r="B431" s="185" t="s">
        <v>767</v>
      </c>
      <c r="C431" s="186" t="s">
        <v>134</v>
      </c>
      <c r="D431" s="187"/>
      <c r="E431" s="187"/>
      <c r="F431" s="188"/>
      <c r="G431" s="189">
        <f>SUM(G432:G441)</f>
        <v>0</v>
      </c>
      <c r="H431" s="189">
        <f>SUM(H432:H441)</f>
        <v>0.53999999999999992</v>
      </c>
      <c r="I431" s="190">
        <f>SUM(G431:H431)</f>
        <v>0.53999999999999992</v>
      </c>
      <c r="J431" s="191" t="s">
        <v>16</v>
      </c>
      <c r="K431" s="191">
        <v>1</v>
      </c>
      <c r="L431" s="186"/>
      <c r="M431" s="194" t="s">
        <v>532</v>
      </c>
      <c r="N431" s="194" t="s">
        <v>756</v>
      </c>
    </row>
    <row r="432" spans="1:14" ht="12.75">
      <c r="A432" s="105"/>
      <c r="B432" s="105"/>
      <c r="C432" s="131" t="s">
        <v>757</v>
      </c>
      <c r="D432" s="121">
        <v>1</v>
      </c>
      <c r="E432" s="117" t="s">
        <v>535</v>
      </c>
      <c r="F432" s="122"/>
      <c r="G432" s="117">
        <v>0</v>
      </c>
      <c r="H432" s="347">
        <v>0.09</v>
      </c>
      <c r="I432" s="117"/>
      <c r="J432" s="117"/>
      <c r="K432" s="117"/>
      <c r="L432" s="120">
        <v>971168</v>
      </c>
    </row>
    <row r="433" spans="1:14" ht="12.75">
      <c r="A433" s="105"/>
      <c r="B433" s="105"/>
      <c r="C433" s="131" t="s">
        <v>758</v>
      </c>
      <c r="D433" s="121">
        <v>1</v>
      </c>
      <c r="E433" s="117" t="s">
        <v>535</v>
      </c>
      <c r="F433" s="122"/>
      <c r="G433" s="117">
        <v>0</v>
      </c>
      <c r="H433" s="348">
        <v>0.05</v>
      </c>
      <c r="I433" s="117"/>
      <c r="J433" s="117"/>
      <c r="K433" s="117"/>
      <c r="L433" s="120">
        <v>973186</v>
      </c>
    </row>
    <row r="434" spans="1:14" ht="12.75">
      <c r="A434" s="105"/>
      <c r="B434" s="105"/>
      <c r="C434" s="131" t="s">
        <v>759</v>
      </c>
      <c r="D434" s="121">
        <v>1</v>
      </c>
      <c r="E434" s="117" t="s">
        <v>535</v>
      </c>
      <c r="F434" s="122"/>
      <c r="G434" s="117">
        <v>0</v>
      </c>
      <c r="H434" s="348">
        <v>0.05</v>
      </c>
      <c r="I434" s="117"/>
      <c r="J434" s="117"/>
      <c r="K434" s="117"/>
      <c r="L434" s="120">
        <v>971050</v>
      </c>
    </row>
    <row r="435" spans="1:14" ht="12.75">
      <c r="A435" s="105"/>
      <c r="B435" s="105"/>
      <c r="C435" s="131" t="s">
        <v>760</v>
      </c>
      <c r="D435" s="121">
        <v>1</v>
      </c>
      <c r="E435" s="117" t="s">
        <v>535</v>
      </c>
      <c r="F435" s="122"/>
      <c r="G435" s="117">
        <v>0</v>
      </c>
      <c r="H435" s="348">
        <v>0.05</v>
      </c>
      <c r="I435" s="117"/>
      <c r="J435" s="117"/>
      <c r="K435" s="117"/>
      <c r="L435" s="120">
        <v>971051</v>
      </c>
    </row>
    <row r="436" spans="1:14" ht="12.75">
      <c r="A436" s="105"/>
      <c r="B436" s="105"/>
      <c r="C436" s="131" t="s">
        <v>761</v>
      </c>
      <c r="D436" s="121">
        <v>1</v>
      </c>
      <c r="E436" s="117" t="s">
        <v>535</v>
      </c>
      <c r="F436" s="122"/>
      <c r="G436" s="117">
        <v>0</v>
      </c>
      <c r="H436" s="348">
        <v>0.05</v>
      </c>
      <c r="I436" s="117"/>
      <c r="J436" s="117"/>
      <c r="K436" s="117"/>
      <c r="L436" s="120">
        <v>973151</v>
      </c>
    </row>
    <row r="437" spans="1:14" ht="12.75">
      <c r="A437" s="105"/>
      <c r="B437" s="105"/>
      <c r="C437" s="131" t="s">
        <v>762</v>
      </c>
      <c r="D437" s="121">
        <v>1</v>
      </c>
      <c r="E437" s="117" t="s">
        <v>535</v>
      </c>
      <c r="F437" s="122"/>
      <c r="G437" s="117">
        <v>0</v>
      </c>
      <c r="H437" s="348">
        <v>0.05</v>
      </c>
      <c r="I437" s="117"/>
      <c r="J437" s="117"/>
      <c r="K437" s="117"/>
      <c r="L437" s="120">
        <v>971055</v>
      </c>
    </row>
    <row r="438" spans="1:14" ht="12.75">
      <c r="A438" s="105"/>
      <c r="B438" s="105"/>
      <c r="C438" s="131" t="s">
        <v>763</v>
      </c>
      <c r="D438" s="121">
        <v>1</v>
      </c>
      <c r="E438" s="117" t="s">
        <v>535</v>
      </c>
      <c r="F438" s="122"/>
      <c r="G438" s="117">
        <v>0</v>
      </c>
      <c r="H438" s="348">
        <v>0.05</v>
      </c>
      <c r="I438" s="117"/>
      <c r="J438" s="117"/>
      <c r="K438" s="117"/>
      <c r="L438" s="120">
        <v>971268</v>
      </c>
    </row>
    <row r="439" spans="1:14" ht="12.75">
      <c r="A439" s="105"/>
      <c r="B439" s="105"/>
      <c r="C439" s="131" t="s">
        <v>764</v>
      </c>
      <c r="D439" s="121">
        <v>1</v>
      </c>
      <c r="E439" s="117" t="s">
        <v>535</v>
      </c>
      <c r="F439" s="122"/>
      <c r="G439" s="117">
        <v>0</v>
      </c>
      <c r="H439" s="348">
        <v>0.05</v>
      </c>
      <c r="I439" s="117"/>
      <c r="J439" s="117"/>
      <c r="K439" s="117"/>
      <c r="L439" s="120">
        <v>971053</v>
      </c>
    </row>
    <row r="440" spans="1:14" ht="12.75">
      <c r="A440" s="105"/>
      <c r="B440" s="105"/>
      <c r="C440" s="138" t="s">
        <v>765</v>
      </c>
      <c r="D440" s="121">
        <v>1</v>
      </c>
      <c r="E440" s="117" t="s">
        <v>535</v>
      </c>
      <c r="F440" s="122"/>
      <c r="G440" s="117">
        <v>0</v>
      </c>
      <c r="H440" s="348">
        <v>0.05</v>
      </c>
      <c r="I440" s="117"/>
      <c r="J440" s="117"/>
      <c r="K440" s="117"/>
      <c r="L440" s="120">
        <v>971086</v>
      </c>
    </row>
    <row r="441" spans="1:14" ht="12.75">
      <c r="A441" s="105"/>
      <c r="B441" s="105"/>
      <c r="C441" s="139" t="s">
        <v>766</v>
      </c>
      <c r="D441" s="140">
        <v>1</v>
      </c>
      <c r="E441" s="117" t="s">
        <v>535</v>
      </c>
      <c r="F441" s="122"/>
      <c r="G441" s="117">
        <v>0</v>
      </c>
      <c r="H441" s="348">
        <v>0.05</v>
      </c>
      <c r="I441" s="117"/>
      <c r="J441" s="117"/>
      <c r="K441" s="117"/>
      <c r="L441" s="120">
        <v>973550</v>
      </c>
    </row>
    <row r="442" spans="1:14">
      <c r="D442" s="101"/>
      <c r="E442" s="101"/>
      <c r="G442" s="101"/>
      <c r="H442" s="101"/>
      <c r="I442" s="101"/>
      <c r="J442" s="101"/>
    </row>
    <row r="443" spans="1:14">
      <c r="A443" s="109" t="str">
        <f>$A$4</f>
        <v xml:space="preserve">Please fill in Supplier Name </v>
      </c>
      <c r="B443" s="109" t="s">
        <v>137</v>
      </c>
      <c r="C443" s="115" t="s">
        <v>138</v>
      </c>
      <c r="D443" s="110"/>
      <c r="E443" s="110"/>
      <c r="F443" s="111"/>
      <c r="G443" s="112">
        <f>SUM(G444:G452)</f>
        <v>0</v>
      </c>
      <c r="H443" s="112">
        <f>SUM(H444:H452)</f>
        <v>0</v>
      </c>
      <c r="I443" s="113">
        <f>SUM(G443:H443)</f>
        <v>0</v>
      </c>
      <c r="J443" s="114" t="s">
        <v>16</v>
      </c>
      <c r="K443" s="114">
        <v>1</v>
      </c>
      <c r="L443" s="126"/>
      <c r="M443" s="116" t="s">
        <v>544</v>
      </c>
      <c r="N443" s="116" t="s">
        <v>768</v>
      </c>
    </row>
    <row r="444" spans="1:14">
      <c r="A444" s="105"/>
      <c r="B444" s="105"/>
      <c r="C444" s="131" t="s">
        <v>769</v>
      </c>
      <c r="D444" s="121">
        <v>10</v>
      </c>
      <c r="E444" s="117" t="s">
        <v>559</v>
      </c>
      <c r="F444" s="122"/>
      <c r="G444" s="117"/>
      <c r="H444" s="117"/>
      <c r="I444" s="117"/>
      <c r="J444" s="117"/>
      <c r="K444" s="117"/>
      <c r="L444" s="120"/>
    </row>
    <row r="445" spans="1:14">
      <c r="A445" s="105"/>
      <c r="B445" s="105"/>
      <c r="C445" s="131" t="s">
        <v>770</v>
      </c>
      <c r="D445" s="121">
        <v>12</v>
      </c>
      <c r="E445" s="117" t="s">
        <v>559</v>
      </c>
      <c r="F445" s="122"/>
      <c r="G445" s="117"/>
      <c r="H445" s="117"/>
      <c r="I445" s="117"/>
      <c r="J445" s="117"/>
      <c r="K445" s="117"/>
      <c r="L445" s="120"/>
    </row>
    <row r="446" spans="1:14">
      <c r="A446" s="105"/>
      <c r="B446" s="105"/>
      <c r="C446" s="131" t="s">
        <v>771</v>
      </c>
      <c r="D446" s="121">
        <v>15</v>
      </c>
      <c r="E446" s="117" t="s">
        <v>559</v>
      </c>
      <c r="F446" s="122" t="s">
        <v>772</v>
      </c>
      <c r="G446" s="117"/>
      <c r="H446" s="117"/>
      <c r="I446" s="117"/>
      <c r="J446" s="117"/>
      <c r="K446" s="117"/>
      <c r="L446" s="120"/>
    </row>
    <row r="447" spans="1:14">
      <c r="A447" s="105"/>
      <c r="B447" s="105"/>
      <c r="C447" s="131" t="s">
        <v>773</v>
      </c>
      <c r="D447" s="121">
        <v>6</v>
      </c>
      <c r="E447" s="117" t="s">
        <v>559</v>
      </c>
      <c r="F447" s="122"/>
      <c r="G447" s="117"/>
      <c r="H447" s="117"/>
      <c r="I447" s="117"/>
      <c r="J447" s="117"/>
      <c r="K447" s="117"/>
      <c r="L447" s="120"/>
    </row>
    <row r="448" spans="1:14">
      <c r="A448" s="105"/>
      <c r="B448" s="105"/>
      <c r="C448" s="131" t="s">
        <v>774</v>
      </c>
      <c r="D448" s="121">
        <v>8</v>
      </c>
      <c r="E448" s="117" t="s">
        <v>559</v>
      </c>
      <c r="F448" s="122"/>
      <c r="G448" s="117"/>
      <c r="H448" s="117"/>
      <c r="I448" s="117"/>
      <c r="J448" s="117"/>
      <c r="K448" s="117"/>
      <c r="L448" s="120"/>
    </row>
    <row r="449" spans="1:14">
      <c r="A449" s="105"/>
      <c r="B449" s="105"/>
      <c r="C449" s="131" t="s">
        <v>775</v>
      </c>
      <c r="D449" s="121">
        <v>6</v>
      </c>
      <c r="E449" s="117" t="s">
        <v>559</v>
      </c>
      <c r="F449" s="122"/>
      <c r="G449" s="117"/>
      <c r="H449" s="117"/>
      <c r="I449" s="117"/>
      <c r="J449" s="117"/>
      <c r="K449" s="117"/>
      <c r="L449" s="120"/>
    </row>
    <row r="450" spans="1:14">
      <c r="A450" s="105"/>
      <c r="B450" s="105"/>
      <c r="C450" s="131" t="s">
        <v>776</v>
      </c>
      <c r="D450" s="121">
        <v>1</v>
      </c>
      <c r="E450" s="117" t="s">
        <v>535</v>
      </c>
      <c r="F450" s="122"/>
      <c r="G450" s="117"/>
      <c r="H450" s="117"/>
      <c r="I450" s="117"/>
      <c r="J450" s="117"/>
      <c r="K450" s="117"/>
      <c r="L450" s="120"/>
    </row>
    <row r="451" spans="1:14">
      <c r="A451" s="105"/>
      <c r="B451" s="105"/>
      <c r="C451" s="131"/>
      <c r="D451" s="121"/>
      <c r="E451" s="117"/>
      <c r="F451" s="122"/>
      <c r="G451" s="117"/>
      <c r="H451" s="117"/>
      <c r="I451" s="117"/>
      <c r="J451" s="117"/>
      <c r="K451" s="117"/>
      <c r="L451" s="120"/>
    </row>
    <row r="452" spans="1:14">
      <c r="A452" s="105"/>
      <c r="B452" s="105"/>
      <c r="C452" s="131"/>
      <c r="D452" s="121"/>
      <c r="E452" s="117"/>
      <c r="F452" s="122"/>
      <c r="G452" s="117"/>
      <c r="H452" s="117"/>
      <c r="I452" s="117"/>
      <c r="J452" s="117"/>
      <c r="K452" s="117"/>
      <c r="L452" s="120"/>
    </row>
    <row r="453" spans="1:14">
      <c r="D453" s="101"/>
      <c r="E453" s="101"/>
      <c r="G453" s="101"/>
      <c r="H453" s="101"/>
      <c r="I453" s="101"/>
      <c r="J453" s="101"/>
    </row>
    <row r="454" spans="1:14">
      <c r="A454" s="185" t="str">
        <f>$A$4</f>
        <v xml:space="preserve">Please fill in Supplier Name </v>
      </c>
      <c r="B454" s="185" t="s">
        <v>156</v>
      </c>
      <c r="C454" s="186" t="s">
        <v>157</v>
      </c>
      <c r="D454" s="187"/>
      <c r="E454" s="187"/>
      <c r="F454" s="188"/>
      <c r="G454" s="189">
        <f>SUM(G455:G463)</f>
        <v>0</v>
      </c>
      <c r="H454" s="189">
        <f>SUM(H455:H463)</f>
        <v>0</v>
      </c>
      <c r="I454" s="190">
        <f>SUM(G454:H454)</f>
        <v>0</v>
      </c>
      <c r="J454" s="191" t="s">
        <v>16</v>
      </c>
      <c r="K454" s="191">
        <v>1</v>
      </c>
      <c r="L454" s="196"/>
      <c r="M454" s="194" t="s">
        <v>532</v>
      </c>
      <c r="N454" s="194" t="s">
        <v>768</v>
      </c>
    </row>
    <row r="455" spans="1:14">
      <c r="A455" s="105"/>
      <c r="B455" s="105"/>
      <c r="C455" s="132" t="s">
        <v>777</v>
      </c>
      <c r="D455" s="125">
        <v>10</v>
      </c>
      <c r="E455" s="118" t="s">
        <v>559</v>
      </c>
      <c r="F455" s="124"/>
      <c r="G455" s="118"/>
      <c r="H455" s="118"/>
      <c r="I455" s="117"/>
      <c r="J455" s="117"/>
      <c r="K455" s="117"/>
      <c r="L455" s="120"/>
    </row>
    <row r="456" spans="1:14">
      <c r="A456" s="105"/>
      <c r="B456" s="105"/>
      <c r="C456" s="132" t="s">
        <v>778</v>
      </c>
      <c r="D456" s="125" t="s">
        <v>779</v>
      </c>
      <c r="E456" s="118" t="s">
        <v>559</v>
      </c>
      <c r="F456" s="124" t="s">
        <v>684</v>
      </c>
      <c r="G456" s="118"/>
      <c r="H456" s="118"/>
      <c r="I456" s="117"/>
      <c r="J456" s="117"/>
      <c r="K456" s="117"/>
      <c r="L456" s="120"/>
    </row>
    <row r="457" spans="1:14">
      <c r="A457" s="105"/>
      <c r="B457" s="105"/>
      <c r="C457" s="132" t="s">
        <v>780</v>
      </c>
      <c r="D457" s="125">
        <v>15</v>
      </c>
      <c r="E457" s="118" t="s">
        <v>559</v>
      </c>
      <c r="F457" s="124"/>
      <c r="G457" s="118"/>
      <c r="H457" s="118"/>
      <c r="I457" s="117"/>
      <c r="J457" s="117"/>
      <c r="K457" s="117"/>
      <c r="L457" s="120"/>
    </row>
    <row r="458" spans="1:14">
      <c r="A458" s="105"/>
      <c r="B458" s="105"/>
      <c r="C458" s="132" t="s">
        <v>781</v>
      </c>
      <c r="D458" s="125">
        <v>6</v>
      </c>
      <c r="E458" s="118" t="s">
        <v>559</v>
      </c>
      <c r="F458" s="124"/>
      <c r="G458" s="118"/>
      <c r="H458" s="118"/>
      <c r="I458" s="117"/>
      <c r="J458" s="117"/>
      <c r="K458" s="117"/>
      <c r="L458" s="120"/>
    </row>
    <row r="459" spans="1:14">
      <c r="A459" s="105"/>
      <c r="B459" s="105"/>
      <c r="C459" s="132" t="s">
        <v>782</v>
      </c>
      <c r="D459" s="125">
        <v>8</v>
      </c>
      <c r="E459" s="118" t="s">
        <v>559</v>
      </c>
      <c r="F459" s="124"/>
      <c r="G459" s="118"/>
      <c r="H459" s="118"/>
      <c r="I459" s="117"/>
      <c r="J459" s="117"/>
      <c r="K459" s="117"/>
      <c r="L459" s="120"/>
    </row>
    <row r="460" spans="1:14">
      <c r="A460" s="105"/>
      <c r="B460" s="105"/>
      <c r="C460" s="132" t="s">
        <v>775</v>
      </c>
      <c r="D460" s="125" t="s">
        <v>783</v>
      </c>
      <c r="E460" s="118" t="s">
        <v>559</v>
      </c>
      <c r="F460" s="124"/>
      <c r="G460" s="118"/>
      <c r="H460" s="118"/>
      <c r="I460" s="117"/>
      <c r="J460" s="117"/>
      <c r="K460" s="117"/>
      <c r="L460" s="120"/>
    </row>
    <row r="461" spans="1:14">
      <c r="A461" s="105"/>
      <c r="B461" s="105"/>
      <c r="C461" s="132" t="s">
        <v>784</v>
      </c>
      <c r="D461" s="125">
        <v>1</v>
      </c>
      <c r="E461" s="118" t="s">
        <v>535</v>
      </c>
      <c r="F461" s="124"/>
      <c r="G461" s="118"/>
      <c r="H461" s="118"/>
      <c r="I461" s="117"/>
      <c r="J461" s="117"/>
      <c r="K461" s="117"/>
      <c r="L461" s="120"/>
    </row>
    <row r="462" spans="1:14">
      <c r="B462" s="105"/>
      <c r="C462" s="137"/>
      <c r="D462" s="125"/>
      <c r="E462" s="118"/>
      <c r="F462" s="124"/>
      <c r="G462" s="118"/>
      <c r="H462" s="118"/>
      <c r="I462" s="117"/>
      <c r="J462" s="117"/>
      <c r="K462" s="117"/>
      <c r="L462" s="120"/>
    </row>
    <row r="463" spans="1:14">
      <c r="A463" s="105"/>
      <c r="B463" s="105"/>
      <c r="C463" s="132"/>
      <c r="D463" s="125"/>
      <c r="E463" s="118"/>
      <c r="F463" s="124"/>
      <c r="G463" s="118"/>
      <c r="H463" s="118"/>
      <c r="I463" s="117"/>
      <c r="J463" s="117"/>
      <c r="K463" s="117"/>
      <c r="L463" s="120"/>
    </row>
    <row r="464" spans="1:14">
      <c r="D464" s="101"/>
      <c r="E464" s="101"/>
      <c r="G464" s="101"/>
      <c r="H464" s="101"/>
      <c r="I464" s="101"/>
      <c r="J464" s="101"/>
    </row>
    <row r="465" spans="1:14">
      <c r="A465" s="227" t="str">
        <f>$A$4</f>
        <v xml:space="preserve">Please fill in Supplier Name </v>
      </c>
      <c r="B465" s="227" t="s">
        <v>158</v>
      </c>
      <c r="C465" s="228" t="s">
        <v>159</v>
      </c>
      <c r="D465" s="229"/>
      <c r="E465" s="229"/>
      <c r="F465" s="230"/>
      <c r="G465" s="231">
        <f>SUM(G466:G474)</f>
        <v>0</v>
      </c>
      <c r="H465" s="231">
        <f>SUM(H466:H474)</f>
        <v>0</v>
      </c>
      <c r="I465" s="232">
        <f>SUM(G465:H465)</f>
        <v>0</v>
      </c>
      <c r="J465" s="233" t="s">
        <v>16</v>
      </c>
      <c r="K465" s="233">
        <v>1</v>
      </c>
      <c r="L465" s="238"/>
      <c r="M465" s="236" t="s">
        <v>543</v>
      </c>
      <c r="N465" s="236"/>
    </row>
    <row r="466" spans="1:14">
      <c r="A466" s="105"/>
      <c r="B466" s="105"/>
      <c r="C466" s="132" t="s">
        <v>785</v>
      </c>
      <c r="D466" s="125">
        <v>10</v>
      </c>
      <c r="E466" s="118" t="s">
        <v>559</v>
      </c>
      <c r="F466" s="124"/>
      <c r="G466" s="118"/>
      <c r="H466" s="118"/>
      <c r="I466" s="117"/>
      <c r="J466" s="117"/>
      <c r="K466" s="117"/>
      <c r="L466" s="120"/>
    </row>
    <row r="467" spans="1:14">
      <c r="A467" s="105"/>
      <c r="B467" s="105"/>
      <c r="C467" s="132" t="s">
        <v>786</v>
      </c>
      <c r="D467" s="125" t="s">
        <v>779</v>
      </c>
      <c r="E467" s="118" t="s">
        <v>559</v>
      </c>
      <c r="F467" s="124" t="s">
        <v>684</v>
      </c>
      <c r="G467" s="118"/>
      <c r="H467" s="118"/>
      <c r="I467" s="117"/>
      <c r="J467" s="117"/>
      <c r="K467" s="117"/>
      <c r="L467" s="120"/>
    </row>
    <row r="468" spans="1:14">
      <c r="A468" s="105"/>
      <c r="B468" s="105"/>
      <c r="C468" s="132" t="s">
        <v>787</v>
      </c>
      <c r="D468" s="125">
        <v>15</v>
      </c>
      <c r="E468" s="118" t="s">
        <v>559</v>
      </c>
      <c r="F468" s="124"/>
      <c r="G468" s="118"/>
      <c r="H468" s="118"/>
      <c r="I468" s="117"/>
      <c r="J468" s="117"/>
      <c r="K468" s="117"/>
      <c r="L468" s="120"/>
    </row>
    <row r="469" spans="1:14">
      <c r="A469" s="105"/>
      <c r="B469" s="105"/>
      <c r="C469" s="132" t="s">
        <v>788</v>
      </c>
      <c r="D469" s="125">
        <v>6</v>
      </c>
      <c r="E469" s="118" t="s">
        <v>559</v>
      </c>
      <c r="F469" s="124"/>
      <c r="G469" s="118"/>
      <c r="H469" s="118"/>
      <c r="I469" s="117"/>
      <c r="J469" s="117"/>
      <c r="K469" s="117"/>
      <c r="L469" s="120"/>
    </row>
    <row r="470" spans="1:14">
      <c r="A470" s="105"/>
      <c r="B470" s="105"/>
      <c r="C470" s="132" t="s">
        <v>782</v>
      </c>
      <c r="D470" s="125">
        <v>8</v>
      </c>
      <c r="E470" s="118" t="s">
        <v>559</v>
      </c>
      <c r="F470" s="124"/>
      <c r="G470" s="118"/>
      <c r="H470" s="118"/>
      <c r="I470" s="117"/>
      <c r="J470" s="117"/>
      <c r="K470" s="117"/>
      <c r="L470" s="120"/>
    </row>
    <row r="471" spans="1:14">
      <c r="A471" s="105"/>
      <c r="B471" s="105"/>
      <c r="C471" s="132" t="s">
        <v>775</v>
      </c>
      <c r="D471" s="125" t="s">
        <v>783</v>
      </c>
      <c r="E471" s="118" t="s">
        <v>559</v>
      </c>
      <c r="F471" s="124"/>
      <c r="G471" s="118"/>
      <c r="H471" s="118"/>
      <c r="I471" s="117"/>
      <c r="J471" s="117"/>
      <c r="K471" s="117"/>
      <c r="L471" s="120"/>
    </row>
    <row r="472" spans="1:14">
      <c r="A472" s="105"/>
      <c r="B472" s="105"/>
      <c r="C472" s="132" t="s">
        <v>784</v>
      </c>
      <c r="D472" s="125">
        <v>1</v>
      </c>
      <c r="E472" s="118" t="s">
        <v>535</v>
      </c>
      <c r="F472" s="124"/>
      <c r="G472" s="118"/>
      <c r="H472" s="118"/>
      <c r="I472" s="117"/>
      <c r="J472" s="117"/>
      <c r="K472" s="117"/>
      <c r="L472" s="120"/>
    </row>
    <row r="473" spans="1:14">
      <c r="A473" s="105"/>
      <c r="B473" s="105"/>
      <c r="C473" s="132"/>
      <c r="D473" s="125"/>
      <c r="E473" s="118"/>
      <c r="F473" s="124"/>
      <c r="G473" s="118"/>
      <c r="H473" s="118"/>
      <c r="I473" s="117"/>
      <c r="J473" s="117"/>
      <c r="K473" s="117"/>
      <c r="L473" s="120"/>
    </row>
    <row r="474" spans="1:14">
      <c r="A474" s="105"/>
      <c r="B474" s="105"/>
      <c r="C474" s="132"/>
      <c r="D474" s="125"/>
      <c r="E474" s="118"/>
      <c r="F474" s="124"/>
      <c r="G474" s="118"/>
      <c r="H474" s="118"/>
      <c r="I474" s="117"/>
      <c r="J474" s="117"/>
      <c r="K474" s="117"/>
      <c r="L474" s="120"/>
    </row>
    <row r="475" spans="1:14">
      <c r="D475" s="101"/>
      <c r="E475" s="101"/>
      <c r="G475" s="101"/>
      <c r="H475" s="101"/>
      <c r="I475" s="101"/>
      <c r="J475" s="101"/>
    </row>
    <row r="476" spans="1:14">
      <c r="A476" s="109" t="str">
        <f>$A$4</f>
        <v xml:space="preserve">Please fill in Supplier Name </v>
      </c>
      <c r="B476" s="109" t="s">
        <v>139</v>
      </c>
      <c r="C476" s="115" t="s">
        <v>140</v>
      </c>
      <c r="D476" s="110"/>
      <c r="E476" s="110"/>
      <c r="F476" s="111"/>
      <c r="G476" s="112">
        <f>SUM(G477:G485)</f>
        <v>0</v>
      </c>
      <c r="H476" s="112">
        <f>SUM(H477:H485)</f>
        <v>0</v>
      </c>
      <c r="I476" s="113">
        <f>SUM(G476:H476)</f>
        <v>0</v>
      </c>
      <c r="J476" s="114" t="s">
        <v>16</v>
      </c>
      <c r="K476" s="114">
        <v>1</v>
      </c>
      <c r="L476" s="126"/>
      <c r="M476" s="116" t="s">
        <v>544</v>
      </c>
      <c r="N476" s="116" t="s">
        <v>789</v>
      </c>
    </row>
    <row r="477" spans="1:14">
      <c r="A477" s="105"/>
      <c r="B477" s="105"/>
      <c r="C477" s="131" t="s">
        <v>790</v>
      </c>
      <c r="D477" s="121">
        <v>60</v>
      </c>
      <c r="E477" s="117" t="s">
        <v>559</v>
      </c>
      <c r="F477" s="122"/>
      <c r="G477" s="117"/>
      <c r="H477" s="117"/>
      <c r="I477" s="117"/>
      <c r="J477" s="117"/>
      <c r="K477" s="117"/>
      <c r="L477" s="120"/>
    </row>
    <row r="478" spans="1:14">
      <c r="A478" s="105"/>
      <c r="B478" s="105"/>
      <c r="C478" s="131" t="s">
        <v>791</v>
      </c>
      <c r="D478" s="121">
        <v>5</v>
      </c>
      <c r="E478" s="117" t="s">
        <v>559</v>
      </c>
      <c r="F478" s="122"/>
      <c r="G478" s="117"/>
      <c r="H478" s="117"/>
      <c r="I478" s="117"/>
      <c r="J478" s="117"/>
      <c r="K478" s="117"/>
      <c r="L478" s="120"/>
    </row>
    <row r="479" spans="1:14">
      <c r="A479" s="105"/>
      <c r="B479" s="105"/>
      <c r="C479" s="131" t="s">
        <v>792</v>
      </c>
      <c r="D479" s="121">
        <v>1</v>
      </c>
      <c r="E479" s="117" t="s">
        <v>535</v>
      </c>
      <c r="F479" s="122"/>
      <c r="G479" s="117"/>
      <c r="H479" s="117"/>
      <c r="I479" s="117"/>
      <c r="J479" s="117"/>
      <c r="K479" s="117"/>
      <c r="L479" s="120"/>
    </row>
    <row r="480" spans="1:14">
      <c r="A480" s="105"/>
      <c r="B480" s="105"/>
      <c r="C480" s="131" t="s">
        <v>793</v>
      </c>
      <c r="D480" s="121">
        <v>5</v>
      </c>
      <c r="E480" s="117" t="s">
        <v>535</v>
      </c>
      <c r="F480" s="122"/>
      <c r="G480" s="117"/>
      <c r="H480" s="117"/>
      <c r="I480" s="117"/>
      <c r="J480" s="117"/>
      <c r="K480" s="117"/>
      <c r="L480" s="120"/>
    </row>
    <row r="481" spans="1:14">
      <c r="A481" s="105"/>
      <c r="B481" s="105"/>
      <c r="C481" s="131"/>
      <c r="D481" s="121"/>
      <c r="E481" s="117"/>
      <c r="F481" s="122"/>
      <c r="G481" s="117"/>
      <c r="H481" s="117"/>
      <c r="I481" s="117"/>
      <c r="J481" s="117"/>
      <c r="K481" s="117"/>
      <c r="L481" s="120"/>
    </row>
    <row r="482" spans="1:14">
      <c r="A482" s="105"/>
      <c r="B482" s="105"/>
      <c r="C482" s="131"/>
      <c r="D482" s="121"/>
      <c r="E482" s="117"/>
      <c r="F482" s="122"/>
      <c r="G482" s="117"/>
      <c r="H482" s="117"/>
      <c r="I482" s="117"/>
      <c r="J482" s="117"/>
      <c r="K482" s="117"/>
      <c r="L482" s="120"/>
    </row>
    <row r="483" spans="1:14">
      <c r="A483" s="105"/>
      <c r="B483" s="105"/>
      <c r="C483" s="131"/>
      <c r="D483" s="121"/>
      <c r="E483" s="117"/>
      <c r="F483" s="122"/>
      <c r="G483" s="117"/>
      <c r="H483" s="117"/>
      <c r="I483" s="117"/>
      <c r="J483" s="117"/>
      <c r="K483" s="117"/>
      <c r="L483" s="120"/>
    </row>
    <row r="484" spans="1:14">
      <c r="A484" s="105"/>
      <c r="B484" s="105"/>
      <c r="C484" s="131"/>
      <c r="D484" s="121"/>
      <c r="E484" s="117"/>
      <c r="F484" s="122"/>
      <c r="G484" s="117"/>
      <c r="H484" s="117"/>
      <c r="I484" s="117"/>
      <c r="J484" s="117"/>
      <c r="K484" s="117"/>
      <c r="L484" s="120"/>
    </row>
    <row r="485" spans="1:14">
      <c r="A485" s="105"/>
      <c r="B485" s="105"/>
      <c r="C485" s="131"/>
      <c r="D485" s="121"/>
      <c r="E485" s="117"/>
      <c r="F485" s="122"/>
      <c r="G485" s="117"/>
      <c r="H485" s="117"/>
      <c r="I485" s="117"/>
      <c r="J485" s="117"/>
      <c r="K485" s="117"/>
      <c r="L485" s="120"/>
    </row>
    <row r="486" spans="1:14">
      <c r="D486" s="101"/>
      <c r="E486" s="101"/>
      <c r="G486" s="101"/>
      <c r="H486" s="101"/>
      <c r="I486" s="101"/>
      <c r="J486" s="101"/>
    </row>
    <row r="487" spans="1:14">
      <c r="A487" s="185" t="str">
        <f>$A$4</f>
        <v xml:space="preserve">Please fill in Supplier Name </v>
      </c>
      <c r="B487" s="185" t="s">
        <v>141</v>
      </c>
      <c r="C487" s="186" t="s">
        <v>142</v>
      </c>
      <c r="D487" s="187"/>
      <c r="E487" s="187"/>
      <c r="F487" s="188"/>
      <c r="G487" s="189">
        <f>SUM(G488:G496)</f>
        <v>0</v>
      </c>
      <c r="H487" s="189">
        <f>SUM(H488:H496)</f>
        <v>0</v>
      </c>
      <c r="I487" s="190">
        <f>SUM(G487:H487)</f>
        <v>0</v>
      </c>
      <c r="J487" s="191" t="s">
        <v>16</v>
      </c>
      <c r="K487" s="191">
        <v>1</v>
      </c>
      <c r="L487" s="196"/>
      <c r="M487" s="194" t="s">
        <v>532</v>
      </c>
      <c r="N487" s="194" t="s">
        <v>794</v>
      </c>
    </row>
    <row r="488" spans="1:14">
      <c r="A488" s="105"/>
      <c r="B488" s="105"/>
      <c r="C488" s="132" t="s">
        <v>795</v>
      </c>
      <c r="D488" s="125">
        <v>60</v>
      </c>
      <c r="E488" s="118" t="s">
        <v>547</v>
      </c>
      <c r="F488" s="124"/>
      <c r="G488" s="118"/>
      <c r="H488" s="118"/>
      <c r="I488" s="117"/>
      <c r="J488" s="117"/>
      <c r="K488" s="117"/>
      <c r="L488" s="120"/>
    </row>
    <row r="489" spans="1:14">
      <c r="A489" s="105"/>
      <c r="B489" s="105"/>
      <c r="C489" s="132" t="s">
        <v>796</v>
      </c>
      <c r="D489" s="125">
        <v>5</v>
      </c>
      <c r="E489" s="118" t="s">
        <v>547</v>
      </c>
      <c r="F489" s="124"/>
      <c r="G489" s="118"/>
      <c r="H489" s="118"/>
      <c r="I489" s="117"/>
      <c r="J489" s="117"/>
      <c r="K489" s="117"/>
      <c r="L489" s="120"/>
    </row>
    <row r="490" spans="1:14">
      <c r="A490" s="105"/>
      <c r="B490" s="105"/>
      <c r="C490" s="132" t="s">
        <v>797</v>
      </c>
      <c r="D490" s="125">
        <v>4</v>
      </c>
      <c r="E490" s="118" t="s">
        <v>582</v>
      </c>
      <c r="F490" s="124"/>
      <c r="G490" s="118"/>
      <c r="H490" s="118"/>
      <c r="I490" s="117"/>
      <c r="J490" s="117"/>
      <c r="K490" s="117"/>
      <c r="L490" s="120"/>
    </row>
    <row r="491" spans="1:14">
      <c r="A491" s="105"/>
      <c r="B491" s="105"/>
      <c r="C491" s="132" t="s">
        <v>707</v>
      </c>
      <c r="D491" s="125">
        <v>5</v>
      </c>
      <c r="E491" s="118" t="s">
        <v>582</v>
      </c>
      <c r="F491" s="124"/>
      <c r="G491" s="118"/>
      <c r="H491" s="118"/>
      <c r="I491" s="117"/>
      <c r="J491" s="117"/>
      <c r="K491" s="117"/>
      <c r="L491" s="120"/>
    </row>
    <row r="492" spans="1:14">
      <c r="A492" s="105"/>
      <c r="B492" s="105"/>
      <c r="C492" s="132"/>
      <c r="D492" s="125"/>
      <c r="E492" s="118"/>
      <c r="F492" s="124"/>
      <c r="G492" s="118"/>
      <c r="H492" s="118"/>
      <c r="I492" s="117"/>
      <c r="J492" s="117"/>
      <c r="K492" s="117"/>
      <c r="L492" s="120"/>
    </row>
    <row r="493" spans="1:14">
      <c r="A493" s="105"/>
      <c r="B493" s="105"/>
      <c r="C493" s="132"/>
      <c r="D493" s="125"/>
      <c r="E493" s="118"/>
      <c r="F493" s="124"/>
      <c r="G493" s="118"/>
      <c r="H493" s="118"/>
      <c r="I493" s="117"/>
      <c r="J493" s="117"/>
      <c r="K493" s="117"/>
      <c r="L493" s="120"/>
    </row>
    <row r="494" spans="1:14">
      <c r="A494" s="105"/>
      <c r="B494" s="105"/>
      <c r="C494" s="132"/>
      <c r="D494" s="125"/>
      <c r="E494" s="118"/>
      <c r="F494" s="124"/>
      <c r="G494" s="118"/>
      <c r="H494" s="118"/>
      <c r="I494" s="117"/>
      <c r="J494" s="117"/>
      <c r="K494" s="117"/>
      <c r="L494" s="120"/>
    </row>
    <row r="495" spans="1:14">
      <c r="A495" s="105"/>
      <c r="B495" s="105"/>
      <c r="C495" s="132"/>
      <c r="D495" s="125"/>
      <c r="E495" s="118"/>
      <c r="F495" s="124"/>
      <c r="G495" s="118"/>
      <c r="H495" s="118"/>
      <c r="I495" s="117"/>
      <c r="J495" s="117"/>
      <c r="K495" s="117"/>
      <c r="L495" s="120"/>
    </row>
    <row r="496" spans="1:14">
      <c r="A496" s="105"/>
      <c r="B496" s="105"/>
      <c r="C496" s="132"/>
      <c r="D496" s="125"/>
      <c r="E496" s="118"/>
      <c r="F496" s="124"/>
      <c r="G496" s="118"/>
      <c r="H496" s="118"/>
      <c r="I496" s="117"/>
      <c r="J496" s="117"/>
      <c r="K496" s="117"/>
      <c r="L496" s="120"/>
    </row>
    <row r="497" spans="1:14">
      <c r="D497" s="101"/>
      <c r="E497" s="101"/>
      <c r="G497" s="101"/>
      <c r="H497" s="101"/>
      <c r="I497" s="101"/>
      <c r="J497" s="101"/>
    </row>
    <row r="498" spans="1:14">
      <c r="A498" s="227" t="str">
        <f>$A$4</f>
        <v xml:space="preserve">Please fill in Supplier Name </v>
      </c>
      <c r="B498" s="227" t="s">
        <v>143</v>
      </c>
      <c r="C498" s="228" t="s">
        <v>144</v>
      </c>
      <c r="D498" s="229"/>
      <c r="E498" s="229"/>
      <c r="F498" s="230"/>
      <c r="G498" s="231">
        <f>SUM(G499:G507)</f>
        <v>0</v>
      </c>
      <c r="H498" s="231">
        <f>SUM(H499:H507)</f>
        <v>0</v>
      </c>
      <c r="I498" s="232">
        <f>SUM(G498:H498)</f>
        <v>0</v>
      </c>
      <c r="J498" s="233" t="s">
        <v>16</v>
      </c>
      <c r="K498" s="233">
        <v>1</v>
      </c>
      <c r="L498" s="238"/>
      <c r="M498" s="236" t="s">
        <v>543</v>
      </c>
      <c r="N498" s="236" t="s">
        <v>794</v>
      </c>
    </row>
    <row r="499" spans="1:14">
      <c r="A499" s="105"/>
      <c r="B499" s="105"/>
      <c r="C499" s="132" t="s">
        <v>795</v>
      </c>
      <c r="D499" s="125">
        <v>60</v>
      </c>
      <c r="E499" s="118" t="s">
        <v>547</v>
      </c>
      <c r="F499" s="124"/>
      <c r="G499" s="118"/>
      <c r="H499" s="118"/>
      <c r="I499" s="117"/>
      <c r="J499" s="117"/>
      <c r="K499" s="117"/>
      <c r="L499" s="120"/>
    </row>
    <row r="500" spans="1:14">
      <c r="A500" s="105"/>
      <c r="B500" s="105"/>
      <c r="C500" s="132" t="s">
        <v>798</v>
      </c>
      <c r="D500" s="125">
        <v>5</v>
      </c>
      <c r="E500" s="118" t="s">
        <v>547</v>
      </c>
      <c r="F500" s="124"/>
      <c r="G500" s="118"/>
      <c r="H500" s="118"/>
      <c r="I500" s="117"/>
      <c r="J500" s="117"/>
      <c r="K500" s="117"/>
      <c r="L500" s="120"/>
    </row>
    <row r="501" spans="1:14">
      <c r="A501" s="105"/>
      <c r="B501" s="105"/>
      <c r="C501" s="132" t="s">
        <v>799</v>
      </c>
      <c r="D501" s="125">
        <v>15</v>
      </c>
      <c r="E501" s="118" t="s">
        <v>547</v>
      </c>
      <c r="F501" s="124"/>
      <c r="G501" s="118"/>
      <c r="H501" s="118"/>
      <c r="I501" s="117"/>
      <c r="J501" s="117"/>
      <c r="K501" s="117"/>
      <c r="L501" s="120"/>
    </row>
    <row r="502" spans="1:14">
      <c r="A502" s="105"/>
      <c r="B502" s="105"/>
      <c r="C502" s="132" t="s">
        <v>707</v>
      </c>
      <c r="D502" s="125">
        <v>5</v>
      </c>
      <c r="E502" s="118" t="s">
        <v>582</v>
      </c>
      <c r="F502" s="124"/>
      <c r="G502" s="118"/>
      <c r="H502" s="118"/>
      <c r="I502" s="117"/>
      <c r="J502" s="117"/>
      <c r="K502" s="117"/>
      <c r="L502" s="120"/>
    </row>
    <row r="503" spans="1:14">
      <c r="A503" s="105"/>
      <c r="B503" s="105"/>
      <c r="C503" s="132"/>
      <c r="D503" s="125"/>
      <c r="E503" s="118"/>
      <c r="F503" s="124"/>
      <c r="G503" s="118"/>
      <c r="H503" s="118"/>
      <c r="I503" s="117"/>
      <c r="J503" s="117"/>
      <c r="K503" s="117"/>
      <c r="L503" s="120"/>
    </row>
    <row r="504" spans="1:14">
      <c r="A504" s="105"/>
      <c r="B504" s="105"/>
      <c r="C504" s="132"/>
      <c r="D504" s="125"/>
      <c r="E504" s="118"/>
      <c r="F504" s="124"/>
      <c r="G504" s="118"/>
      <c r="H504" s="118"/>
      <c r="I504" s="117"/>
      <c r="J504" s="117"/>
      <c r="K504" s="117"/>
      <c r="L504" s="120"/>
    </row>
    <row r="505" spans="1:14">
      <c r="A505" s="105"/>
      <c r="B505" s="105"/>
      <c r="C505" s="132"/>
      <c r="D505" s="125"/>
      <c r="E505" s="118"/>
      <c r="F505" s="124"/>
      <c r="G505" s="118"/>
      <c r="H505" s="118"/>
      <c r="I505" s="117"/>
      <c r="J505" s="117"/>
      <c r="K505" s="117"/>
      <c r="L505" s="120"/>
    </row>
    <row r="506" spans="1:14">
      <c r="A506" s="105"/>
      <c r="B506" s="105"/>
      <c r="C506" s="132"/>
      <c r="D506" s="125"/>
      <c r="E506" s="118"/>
      <c r="F506" s="124"/>
      <c r="G506" s="118"/>
      <c r="H506" s="118"/>
      <c r="I506" s="117"/>
      <c r="J506" s="117"/>
      <c r="K506" s="117"/>
      <c r="L506" s="120"/>
    </row>
    <row r="507" spans="1:14">
      <c r="A507" s="105"/>
      <c r="B507" s="105"/>
      <c r="C507" s="132"/>
      <c r="D507" s="125"/>
      <c r="E507" s="118"/>
      <c r="F507" s="124"/>
      <c r="G507" s="118"/>
      <c r="H507" s="118"/>
      <c r="I507" s="117"/>
      <c r="J507" s="117"/>
      <c r="K507" s="117"/>
      <c r="L507" s="120"/>
    </row>
    <row r="508" spans="1:14">
      <c r="D508" s="101"/>
      <c r="E508" s="101"/>
      <c r="G508" s="101"/>
      <c r="H508" s="101"/>
      <c r="I508" s="101"/>
      <c r="J508" s="101"/>
    </row>
    <row r="509" spans="1:14">
      <c r="A509" s="109" t="str">
        <f>$A$4</f>
        <v xml:space="preserve">Please fill in Supplier Name </v>
      </c>
      <c r="B509" s="109" t="s">
        <v>145</v>
      </c>
      <c r="C509" s="115" t="s">
        <v>146</v>
      </c>
      <c r="D509" s="110"/>
      <c r="E509" s="110"/>
      <c r="F509" s="111"/>
      <c r="G509" s="112">
        <f>SUM(G510:G512)</f>
        <v>0</v>
      </c>
      <c r="H509" s="112">
        <f>SUM(H510:H512)</f>
        <v>0</v>
      </c>
      <c r="I509" s="113">
        <f>SUM(G509:H509)</f>
        <v>0</v>
      </c>
      <c r="J509" s="114" t="s">
        <v>16</v>
      </c>
      <c r="K509" s="114" t="s">
        <v>147</v>
      </c>
      <c r="L509" s="126"/>
      <c r="M509" s="116" t="s">
        <v>544</v>
      </c>
      <c r="N509" s="116" t="s">
        <v>800</v>
      </c>
    </row>
    <row r="510" spans="1:14">
      <c r="A510" s="105"/>
      <c r="B510" s="105"/>
      <c r="C510" s="131" t="s">
        <v>801</v>
      </c>
      <c r="D510" s="121">
        <v>1</v>
      </c>
      <c r="E510" s="117" t="s">
        <v>535</v>
      </c>
      <c r="F510" s="122"/>
      <c r="G510" s="117"/>
      <c r="H510" s="117"/>
      <c r="I510" s="117"/>
      <c r="J510" s="117"/>
      <c r="K510" s="117"/>
      <c r="L510" s="120"/>
    </row>
    <row r="511" spans="1:14">
      <c r="A511" s="105"/>
      <c r="B511" s="105"/>
      <c r="C511" s="131"/>
      <c r="D511" s="121"/>
      <c r="E511" s="117"/>
      <c r="F511" s="122"/>
      <c r="G511" s="117"/>
      <c r="H511" s="117"/>
      <c r="I511" s="117"/>
      <c r="J511" s="117"/>
      <c r="K511" s="117"/>
      <c r="L511" s="120"/>
    </row>
    <row r="512" spans="1:14">
      <c r="A512" s="105"/>
      <c r="B512" s="105"/>
      <c r="C512" s="131"/>
      <c r="D512" s="121"/>
      <c r="E512" s="117"/>
      <c r="F512" s="122"/>
      <c r="G512" s="117"/>
      <c r="H512" s="117"/>
      <c r="I512" s="117"/>
      <c r="J512" s="117"/>
      <c r="K512" s="117"/>
      <c r="L512" s="120"/>
    </row>
    <row r="513" spans="1:14">
      <c r="D513" s="101"/>
      <c r="E513" s="101"/>
      <c r="G513" s="101"/>
      <c r="H513" s="101"/>
      <c r="I513" s="101"/>
      <c r="J513" s="101"/>
    </row>
    <row r="514" spans="1:14">
      <c r="A514" s="185" t="str">
        <f>$A$4</f>
        <v xml:space="preserve">Please fill in Supplier Name </v>
      </c>
      <c r="B514" s="185" t="s">
        <v>148</v>
      </c>
      <c r="C514" s="186" t="s">
        <v>149</v>
      </c>
      <c r="D514" s="187"/>
      <c r="E514" s="187"/>
      <c r="F514" s="188"/>
      <c r="G514" s="189">
        <f>SUM(G515:G517)</f>
        <v>0</v>
      </c>
      <c r="H514" s="189">
        <f>SUM(H515:H517)</f>
        <v>0</v>
      </c>
      <c r="I514" s="190">
        <f>SUM(G514:H514)</f>
        <v>0</v>
      </c>
      <c r="J514" s="191" t="s">
        <v>16</v>
      </c>
      <c r="K514" s="191" t="s">
        <v>147</v>
      </c>
      <c r="L514" s="196"/>
      <c r="M514" s="194" t="s">
        <v>532</v>
      </c>
      <c r="N514" s="194" t="s">
        <v>800</v>
      </c>
    </row>
    <row r="515" spans="1:14">
      <c r="A515" s="105"/>
      <c r="B515" s="105"/>
      <c r="C515" s="132" t="s">
        <v>802</v>
      </c>
      <c r="D515" s="125">
        <v>1</v>
      </c>
      <c r="E515" s="118" t="s">
        <v>582</v>
      </c>
      <c r="F515" s="124" t="s">
        <v>803</v>
      </c>
      <c r="G515" s="118"/>
      <c r="H515" s="118"/>
      <c r="I515" s="117"/>
      <c r="J515" s="117"/>
      <c r="K515" s="117"/>
      <c r="L515" s="120"/>
    </row>
    <row r="516" spans="1:14">
      <c r="A516" s="105"/>
      <c r="B516" s="105"/>
      <c r="C516" s="132"/>
      <c r="D516" s="125"/>
      <c r="E516" s="118"/>
      <c r="F516" s="124"/>
      <c r="G516" s="118"/>
      <c r="H516" s="118"/>
      <c r="I516" s="117"/>
      <c r="J516" s="117"/>
      <c r="K516" s="117"/>
      <c r="L516" s="120"/>
    </row>
    <row r="517" spans="1:14">
      <c r="A517" s="105"/>
      <c r="B517" s="105"/>
      <c r="C517" s="132"/>
      <c r="D517" s="125"/>
      <c r="E517" s="118"/>
      <c r="F517" s="124"/>
      <c r="G517" s="118"/>
      <c r="H517" s="118"/>
      <c r="I517" s="117"/>
      <c r="J517" s="117"/>
      <c r="K517" s="117"/>
      <c r="L517" s="120"/>
    </row>
    <row r="518" spans="1:14">
      <c r="D518" s="101"/>
      <c r="E518" s="101"/>
      <c r="G518" s="101"/>
      <c r="H518" s="101"/>
      <c r="I518" s="101"/>
      <c r="J518" s="101"/>
    </row>
    <row r="519" spans="1:14">
      <c r="A519" s="227" t="str">
        <f>$A$4</f>
        <v xml:space="preserve">Please fill in Supplier Name </v>
      </c>
      <c r="B519" s="227" t="s">
        <v>150</v>
      </c>
      <c r="C519" s="228" t="s">
        <v>151</v>
      </c>
      <c r="D519" s="229"/>
      <c r="E519" s="229"/>
      <c r="F519" s="230"/>
      <c r="G519" s="231">
        <f>SUM(G520:G522)</f>
        <v>0</v>
      </c>
      <c r="H519" s="231">
        <f>SUM(H520:H522)</f>
        <v>0</v>
      </c>
      <c r="I519" s="232">
        <f>SUM(G519:H519)</f>
        <v>0</v>
      </c>
      <c r="J519" s="233" t="s">
        <v>16</v>
      </c>
      <c r="K519" s="233" t="s">
        <v>147</v>
      </c>
      <c r="L519" s="238"/>
      <c r="M519" s="236" t="s">
        <v>543</v>
      </c>
      <c r="N519" s="236" t="s">
        <v>800</v>
      </c>
    </row>
    <row r="520" spans="1:14">
      <c r="A520" s="105"/>
      <c r="B520" s="105"/>
      <c r="C520" s="132" t="s">
        <v>804</v>
      </c>
      <c r="D520" s="125">
        <v>1</v>
      </c>
      <c r="E520" s="118" t="s">
        <v>582</v>
      </c>
      <c r="F520" s="124" t="s">
        <v>803</v>
      </c>
      <c r="G520" s="118"/>
      <c r="H520" s="118"/>
      <c r="I520" s="117"/>
      <c r="J520" s="117"/>
      <c r="K520" s="117"/>
      <c r="L520" s="120"/>
    </row>
    <row r="521" spans="1:14">
      <c r="A521" s="105"/>
      <c r="B521" s="105"/>
      <c r="C521" s="132"/>
      <c r="D521" s="125"/>
      <c r="E521" s="118"/>
      <c r="F521" s="124"/>
      <c r="G521" s="118"/>
      <c r="H521" s="118"/>
      <c r="I521" s="117"/>
      <c r="J521" s="117"/>
      <c r="K521" s="117"/>
      <c r="L521" s="120"/>
    </row>
    <row r="522" spans="1:14">
      <c r="A522" s="105"/>
      <c r="B522" s="105"/>
      <c r="C522" s="132"/>
      <c r="D522" s="125"/>
      <c r="E522" s="118"/>
      <c r="F522" s="124"/>
      <c r="G522" s="118"/>
      <c r="H522" s="118"/>
      <c r="I522" s="117"/>
      <c r="J522" s="117"/>
      <c r="K522" s="117"/>
      <c r="L522" s="120"/>
    </row>
    <row r="523" spans="1:14">
      <c r="D523" s="101"/>
      <c r="E523" s="101"/>
      <c r="G523" s="101"/>
      <c r="H523" s="101"/>
      <c r="I523" s="101"/>
      <c r="J523" s="101"/>
    </row>
    <row r="524" spans="1:14">
      <c r="A524" s="109" t="str">
        <f>$A$4</f>
        <v xml:space="preserve">Please fill in Supplier Name </v>
      </c>
      <c r="B524" s="109" t="s">
        <v>160</v>
      </c>
      <c r="C524" s="115" t="s">
        <v>161</v>
      </c>
      <c r="D524" s="110"/>
      <c r="E524" s="110"/>
      <c r="F524" s="111"/>
      <c r="G524" s="112">
        <f>SUM(G525:G533)</f>
        <v>0</v>
      </c>
      <c r="H524" s="112">
        <f>SUM(H525:H533)</f>
        <v>0</v>
      </c>
      <c r="I524" s="113">
        <f>SUM(G524:H524)</f>
        <v>0</v>
      </c>
      <c r="J524" s="114" t="s">
        <v>16</v>
      </c>
      <c r="K524" s="114" t="s">
        <v>162</v>
      </c>
      <c r="L524" s="126" t="s">
        <v>69</v>
      </c>
      <c r="M524" s="116" t="s">
        <v>544</v>
      </c>
      <c r="N524" s="116" t="s">
        <v>805</v>
      </c>
    </row>
    <row r="525" spans="1:14">
      <c r="A525" s="105"/>
      <c r="B525" s="105"/>
      <c r="C525" s="131" t="s">
        <v>806</v>
      </c>
      <c r="D525" s="121">
        <v>60</v>
      </c>
      <c r="E525" s="117" t="s">
        <v>559</v>
      </c>
      <c r="F525" s="122"/>
      <c r="G525" s="117"/>
      <c r="H525" s="117"/>
      <c r="I525" s="117"/>
      <c r="J525" s="117"/>
      <c r="K525" s="117"/>
      <c r="L525" s="120"/>
    </row>
    <row r="526" spans="1:14">
      <c r="A526" s="105"/>
      <c r="B526" s="105"/>
      <c r="C526" s="131" t="s">
        <v>807</v>
      </c>
      <c r="D526" s="121">
        <v>12</v>
      </c>
      <c r="E526" s="117" t="s">
        <v>559</v>
      </c>
      <c r="F526" s="122"/>
      <c r="G526" s="117"/>
      <c r="H526" s="117"/>
      <c r="I526" s="117"/>
      <c r="J526" s="117"/>
      <c r="K526" s="117"/>
      <c r="L526" s="120"/>
    </row>
    <row r="527" spans="1:14">
      <c r="A527" s="105"/>
      <c r="B527" s="105"/>
      <c r="C527" s="131" t="s">
        <v>808</v>
      </c>
      <c r="D527" s="121">
        <v>12</v>
      </c>
      <c r="E527" s="117" t="s">
        <v>559</v>
      </c>
      <c r="F527" s="122"/>
      <c r="G527" s="117"/>
      <c r="H527" s="117"/>
      <c r="I527" s="117"/>
      <c r="J527" s="117"/>
      <c r="K527" s="117"/>
      <c r="L527" s="120"/>
    </row>
    <row r="528" spans="1:14">
      <c r="A528" s="105"/>
      <c r="B528" s="105"/>
      <c r="C528" s="131" t="s">
        <v>809</v>
      </c>
      <c r="D528" s="121">
        <v>20</v>
      </c>
      <c r="E528" s="117" t="s">
        <v>559</v>
      </c>
      <c r="F528" s="122"/>
      <c r="G528" s="117"/>
      <c r="H528" s="117"/>
      <c r="I528" s="117"/>
      <c r="J528" s="117"/>
      <c r="K528" s="117"/>
      <c r="L528" s="120"/>
    </row>
    <row r="529" spans="1:14">
      <c r="A529" s="105"/>
      <c r="B529" s="105"/>
      <c r="C529" s="131" t="s">
        <v>810</v>
      </c>
      <c r="D529" s="121">
        <v>10</v>
      </c>
      <c r="E529" s="117" t="s">
        <v>559</v>
      </c>
      <c r="F529" s="122"/>
      <c r="G529" s="117"/>
      <c r="H529" s="117"/>
      <c r="I529" s="117"/>
      <c r="J529" s="117"/>
      <c r="K529" s="117"/>
      <c r="L529" s="120"/>
    </row>
    <row r="530" spans="1:14">
      <c r="A530" s="105"/>
      <c r="B530" s="105"/>
      <c r="C530" s="131"/>
      <c r="D530" s="121"/>
      <c r="E530" s="117"/>
      <c r="F530" s="122"/>
      <c r="G530" s="117"/>
      <c r="H530" s="117"/>
      <c r="I530" s="117"/>
      <c r="J530" s="117"/>
      <c r="K530" s="117"/>
      <c r="L530" s="120"/>
    </row>
    <row r="531" spans="1:14">
      <c r="A531" s="105"/>
      <c r="B531" s="105"/>
      <c r="C531" s="131"/>
      <c r="D531" s="121"/>
      <c r="E531" s="117"/>
      <c r="F531" s="122"/>
      <c r="G531" s="117"/>
      <c r="H531" s="117"/>
      <c r="I531" s="117"/>
      <c r="J531" s="117"/>
      <c r="K531" s="117"/>
      <c r="L531" s="120"/>
    </row>
    <row r="532" spans="1:14">
      <c r="A532" s="105"/>
      <c r="B532" s="105"/>
      <c r="C532" s="131"/>
      <c r="D532" s="121"/>
      <c r="E532" s="117"/>
      <c r="F532" s="122"/>
      <c r="G532" s="117"/>
      <c r="H532" s="117"/>
      <c r="I532" s="117"/>
      <c r="J532" s="117"/>
      <c r="K532" s="117"/>
      <c r="L532" s="120"/>
    </row>
    <row r="533" spans="1:14">
      <c r="A533" s="105"/>
      <c r="B533" s="105"/>
      <c r="C533" s="131"/>
      <c r="D533" s="121"/>
      <c r="E533" s="117"/>
      <c r="F533" s="122"/>
      <c r="G533" s="117"/>
      <c r="H533" s="117"/>
      <c r="I533" s="117"/>
      <c r="J533" s="117"/>
      <c r="K533" s="117"/>
      <c r="L533" s="120"/>
    </row>
    <row r="534" spans="1:14">
      <c r="D534" s="101"/>
      <c r="E534" s="101"/>
      <c r="G534" s="101"/>
      <c r="H534" s="101"/>
      <c r="I534" s="101"/>
      <c r="J534" s="101"/>
    </row>
    <row r="535" spans="1:14">
      <c r="A535" s="185" t="str">
        <f>$A$4</f>
        <v xml:space="preserve">Please fill in Supplier Name </v>
      </c>
      <c r="B535" s="185" t="s">
        <v>163</v>
      </c>
      <c r="C535" s="186" t="s">
        <v>164</v>
      </c>
      <c r="D535" s="187"/>
      <c r="E535" s="187"/>
      <c r="F535" s="188"/>
      <c r="G535" s="189">
        <f>SUM(G536:G544)</f>
        <v>0</v>
      </c>
      <c r="H535" s="189">
        <f>SUM(H536:H544)</f>
        <v>0</v>
      </c>
      <c r="I535" s="190">
        <f>SUM(G535:H535)</f>
        <v>0</v>
      </c>
      <c r="J535" s="191" t="s">
        <v>16</v>
      </c>
      <c r="K535" s="191" t="s">
        <v>162</v>
      </c>
      <c r="L535" s="196" t="s">
        <v>69</v>
      </c>
      <c r="M535" s="194" t="s">
        <v>532</v>
      </c>
      <c r="N535" s="194" t="s">
        <v>805</v>
      </c>
    </row>
    <row r="536" spans="1:14">
      <c r="A536" s="105"/>
      <c r="B536" s="105"/>
      <c r="C536" s="132" t="s">
        <v>806</v>
      </c>
      <c r="D536" s="125">
        <v>1</v>
      </c>
      <c r="E536" s="118" t="s">
        <v>535</v>
      </c>
      <c r="F536" s="124"/>
      <c r="G536" s="118"/>
      <c r="H536" s="118"/>
      <c r="I536" s="117"/>
      <c r="J536" s="117"/>
      <c r="K536" s="117"/>
      <c r="L536" s="120"/>
    </row>
    <row r="537" spans="1:14">
      <c r="A537" s="105"/>
      <c r="B537" s="105"/>
      <c r="C537" s="132" t="s">
        <v>811</v>
      </c>
      <c r="D537" s="125">
        <v>10</v>
      </c>
      <c r="E537" s="118" t="s">
        <v>547</v>
      </c>
      <c r="F537" s="124"/>
      <c r="G537" s="118"/>
      <c r="H537" s="118"/>
      <c r="I537" s="117"/>
      <c r="J537" s="117"/>
      <c r="K537" s="117"/>
      <c r="L537" s="120"/>
    </row>
    <row r="538" spans="1:14">
      <c r="A538" s="105"/>
      <c r="B538" s="105"/>
      <c r="C538" s="132" t="s">
        <v>812</v>
      </c>
      <c r="D538" s="125">
        <v>20</v>
      </c>
      <c r="E538" s="118" t="s">
        <v>547</v>
      </c>
      <c r="F538" s="124"/>
      <c r="G538" s="118"/>
      <c r="H538" s="118"/>
      <c r="I538" s="117"/>
      <c r="J538" s="117"/>
      <c r="K538" s="117"/>
      <c r="L538" s="120"/>
    </row>
    <row r="539" spans="1:14">
      <c r="A539" s="105"/>
      <c r="B539" s="105"/>
      <c r="C539" s="132" t="s">
        <v>813</v>
      </c>
      <c r="D539" s="125">
        <v>90</v>
      </c>
      <c r="E539" s="118" t="s">
        <v>547</v>
      </c>
      <c r="F539" s="124"/>
      <c r="G539" s="118"/>
      <c r="H539" s="118"/>
      <c r="I539" s="117"/>
      <c r="J539" s="117"/>
      <c r="K539" s="117"/>
      <c r="L539" s="120"/>
    </row>
    <row r="540" spans="1:14">
      <c r="A540" s="105"/>
      <c r="B540" s="105"/>
      <c r="C540" s="132" t="s">
        <v>814</v>
      </c>
      <c r="D540" s="125">
        <v>20</v>
      </c>
      <c r="E540" s="118" t="s">
        <v>547</v>
      </c>
      <c r="F540" s="124"/>
      <c r="G540" s="118"/>
      <c r="H540" s="118"/>
      <c r="I540" s="117"/>
      <c r="J540" s="117"/>
      <c r="K540" s="117"/>
      <c r="L540" s="120"/>
    </row>
    <row r="541" spans="1:14">
      <c r="A541" s="105"/>
      <c r="B541" s="105"/>
      <c r="C541" s="132"/>
      <c r="D541" s="125"/>
      <c r="E541" s="118"/>
      <c r="F541" s="124"/>
      <c r="G541" s="118"/>
      <c r="H541" s="118"/>
      <c r="I541" s="117"/>
      <c r="J541" s="117"/>
      <c r="K541" s="117"/>
      <c r="L541" s="120"/>
    </row>
    <row r="542" spans="1:14">
      <c r="A542" s="105"/>
      <c r="B542" s="105"/>
      <c r="C542" s="132"/>
      <c r="D542" s="125"/>
      <c r="E542" s="118"/>
      <c r="F542" s="124"/>
      <c r="G542" s="118"/>
      <c r="H542" s="118"/>
      <c r="I542" s="117"/>
      <c r="J542" s="117"/>
      <c r="K542" s="117"/>
      <c r="L542" s="120"/>
    </row>
    <row r="543" spans="1:14">
      <c r="A543" s="105"/>
      <c r="B543" s="105"/>
      <c r="C543" s="132"/>
      <c r="D543" s="125"/>
      <c r="E543" s="118"/>
      <c r="F543" s="124"/>
      <c r="G543" s="118"/>
      <c r="H543" s="118"/>
      <c r="I543" s="117"/>
      <c r="J543" s="117"/>
      <c r="K543" s="117"/>
      <c r="L543" s="120"/>
    </row>
    <row r="544" spans="1:14">
      <c r="A544" s="105"/>
      <c r="B544" s="105"/>
      <c r="C544" s="132"/>
      <c r="D544" s="125"/>
      <c r="E544" s="118"/>
      <c r="F544" s="124"/>
      <c r="G544" s="118"/>
      <c r="H544" s="118"/>
      <c r="I544" s="117"/>
      <c r="J544" s="117"/>
      <c r="K544" s="117"/>
      <c r="L544" s="120"/>
    </row>
    <row r="545" spans="1:14">
      <c r="D545" s="101"/>
      <c r="E545" s="101"/>
      <c r="G545" s="101"/>
      <c r="H545" s="101"/>
      <c r="I545" s="101"/>
      <c r="J545" s="101"/>
    </row>
    <row r="546" spans="1:14">
      <c r="A546" s="227" t="str">
        <f>$A$4</f>
        <v xml:space="preserve">Please fill in Supplier Name </v>
      </c>
      <c r="B546" s="227" t="s">
        <v>165</v>
      </c>
      <c r="C546" s="228" t="s">
        <v>166</v>
      </c>
      <c r="D546" s="229"/>
      <c r="E546" s="229"/>
      <c r="F546" s="230"/>
      <c r="G546" s="231">
        <f>SUM(G547:G555)</f>
        <v>0</v>
      </c>
      <c r="H546" s="231">
        <f>SUM(H547:H555)</f>
        <v>0</v>
      </c>
      <c r="I546" s="232">
        <f>SUM(G546:H546)</f>
        <v>0</v>
      </c>
      <c r="J546" s="233" t="s">
        <v>16</v>
      </c>
      <c r="K546" s="233" t="s">
        <v>162</v>
      </c>
      <c r="L546" s="238" t="s">
        <v>69</v>
      </c>
      <c r="M546" s="236" t="s">
        <v>543</v>
      </c>
      <c r="N546" s="236" t="s">
        <v>805</v>
      </c>
    </row>
    <row r="547" spans="1:14">
      <c r="A547" s="105"/>
      <c r="B547" s="105"/>
      <c r="C547" s="132" t="s">
        <v>806</v>
      </c>
      <c r="D547" s="125">
        <v>1</v>
      </c>
      <c r="E547" s="118" t="s">
        <v>582</v>
      </c>
      <c r="F547" s="124"/>
      <c r="G547" s="118"/>
      <c r="H547" s="118"/>
      <c r="I547" s="117"/>
      <c r="J547" s="117"/>
      <c r="K547" s="117"/>
      <c r="L547" s="120"/>
    </row>
    <row r="548" spans="1:14">
      <c r="A548" s="105"/>
      <c r="B548" s="105"/>
      <c r="C548" s="132" t="s">
        <v>815</v>
      </c>
      <c r="D548" s="125">
        <v>60</v>
      </c>
      <c r="E548" s="118" t="s">
        <v>547</v>
      </c>
      <c r="F548" s="124"/>
      <c r="G548" s="118"/>
      <c r="H548" s="118"/>
      <c r="I548" s="117"/>
      <c r="J548" s="117"/>
      <c r="K548" s="117"/>
      <c r="L548" s="120"/>
    </row>
    <row r="549" spans="1:14">
      <c r="A549" s="105"/>
      <c r="B549" s="105"/>
      <c r="C549" s="132" t="s">
        <v>816</v>
      </c>
      <c r="D549" s="125">
        <v>30</v>
      </c>
      <c r="E549" s="118" t="s">
        <v>547</v>
      </c>
      <c r="F549" s="124"/>
      <c r="G549" s="118"/>
      <c r="H549" s="118"/>
      <c r="I549" s="117"/>
      <c r="J549" s="117"/>
      <c r="K549" s="117"/>
      <c r="L549" s="120"/>
    </row>
    <row r="550" spans="1:14">
      <c r="A550" s="105"/>
      <c r="B550" s="105"/>
      <c r="C550" s="132" t="s">
        <v>817</v>
      </c>
      <c r="D550" s="125">
        <v>30</v>
      </c>
      <c r="E550" s="118" t="s">
        <v>547</v>
      </c>
      <c r="F550" s="124"/>
      <c r="G550" s="118"/>
      <c r="H550" s="118"/>
      <c r="I550" s="117"/>
      <c r="J550" s="117"/>
      <c r="K550" s="117"/>
      <c r="L550" s="120"/>
    </row>
    <row r="551" spans="1:14">
      <c r="A551" s="105"/>
      <c r="B551" s="105"/>
      <c r="C551" s="132"/>
      <c r="D551" s="125"/>
      <c r="E551" s="118"/>
      <c r="F551" s="124"/>
      <c r="G551" s="118"/>
      <c r="H551" s="118"/>
      <c r="I551" s="117"/>
      <c r="J551" s="117"/>
      <c r="K551" s="117"/>
      <c r="L551" s="120"/>
    </row>
    <row r="552" spans="1:14">
      <c r="A552" s="105"/>
      <c r="B552" s="105"/>
      <c r="C552" s="132"/>
      <c r="D552" s="125"/>
      <c r="E552" s="118"/>
      <c r="F552" s="124"/>
      <c r="G552" s="118"/>
      <c r="H552" s="118"/>
      <c r="I552" s="117"/>
      <c r="J552" s="117"/>
      <c r="K552" s="117"/>
      <c r="L552" s="120"/>
    </row>
    <row r="553" spans="1:14">
      <c r="A553" s="105"/>
      <c r="B553" s="105"/>
      <c r="C553" s="132"/>
      <c r="D553" s="125"/>
      <c r="E553" s="118"/>
      <c r="F553" s="124"/>
      <c r="G553" s="118"/>
      <c r="H553" s="118"/>
      <c r="I553" s="117"/>
      <c r="J553" s="117"/>
      <c r="K553" s="117"/>
      <c r="L553" s="120"/>
    </row>
    <row r="554" spans="1:14">
      <c r="A554" s="105"/>
      <c r="B554" s="105"/>
      <c r="C554" s="132"/>
      <c r="D554" s="125"/>
      <c r="E554" s="118"/>
      <c r="F554" s="124"/>
      <c r="G554" s="118"/>
      <c r="H554" s="118"/>
      <c r="I554" s="117"/>
      <c r="J554" s="117"/>
      <c r="K554" s="117"/>
      <c r="L554" s="120"/>
    </row>
    <row r="555" spans="1:14">
      <c r="A555" s="105"/>
      <c r="B555" s="105"/>
      <c r="C555" s="132"/>
      <c r="D555" s="125"/>
      <c r="E555" s="118"/>
      <c r="F555" s="124"/>
      <c r="G555" s="118"/>
      <c r="H555" s="118"/>
      <c r="I555" s="117"/>
      <c r="J555" s="117"/>
      <c r="K555" s="117"/>
      <c r="L555" s="120"/>
    </row>
    <row r="556" spans="1:14">
      <c r="D556" s="101"/>
      <c r="E556" s="101"/>
      <c r="G556" s="101"/>
      <c r="H556" s="101"/>
      <c r="I556" s="101"/>
      <c r="J556" s="101"/>
    </row>
    <row r="557" spans="1:14">
      <c r="A557" s="227" t="str">
        <f t="shared" ref="A557:A569" si="0">$A$4</f>
        <v xml:space="preserve">Please fill in Supplier Name </v>
      </c>
      <c r="B557" s="228" t="s">
        <v>318</v>
      </c>
      <c r="C557" s="228" t="s">
        <v>319</v>
      </c>
      <c r="D557" s="239">
        <v>1</v>
      </c>
      <c r="E557" s="239" t="s">
        <v>535</v>
      </c>
      <c r="F557" s="128" t="s">
        <v>818</v>
      </c>
      <c r="G557" s="255">
        <v>0</v>
      </c>
      <c r="H557" s="255">
        <v>0</v>
      </c>
      <c r="I557" s="232">
        <f t="shared" ref="I557:I568" si="1">SUM(G557:H557)</f>
        <v>0</v>
      </c>
      <c r="J557" s="233" t="s">
        <v>16</v>
      </c>
      <c r="K557" s="239" t="s">
        <v>241</v>
      </c>
      <c r="L557" s="238"/>
      <c r="M557" s="236" t="s">
        <v>543</v>
      </c>
      <c r="N557" s="240" t="s">
        <v>819</v>
      </c>
    </row>
    <row r="558" spans="1:14">
      <c r="A558" s="227" t="str">
        <f t="shared" si="0"/>
        <v xml:space="preserve">Please fill in Supplier Name </v>
      </c>
      <c r="B558" s="228" t="s">
        <v>320</v>
      </c>
      <c r="C558" s="228" t="s">
        <v>321</v>
      </c>
      <c r="D558" s="239">
        <v>1</v>
      </c>
      <c r="E558" s="239" t="s">
        <v>535</v>
      </c>
      <c r="F558" s="128" t="s">
        <v>820</v>
      </c>
      <c r="G558" s="255">
        <v>0</v>
      </c>
      <c r="H558" s="255">
        <v>0</v>
      </c>
      <c r="I558" s="232">
        <f t="shared" si="1"/>
        <v>0</v>
      </c>
      <c r="J558" s="233" t="s">
        <v>16</v>
      </c>
      <c r="K558" s="239" t="s">
        <v>241</v>
      </c>
      <c r="L558" s="238"/>
      <c r="M558" s="236" t="s">
        <v>543</v>
      </c>
      <c r="N558" s="240" t="s">
        <v>819</v>
      </c>
    </row>
    <row r="559" spans="1:14">
      <c r="A559" s="227" t="str">
        <f t="shared" si="0"/>
        <v xml:space="preserve">Please fill in Supplier Name </v>
      </c>
      <c r="B559" s="228" t="s">
        <v>322</v>
      </c>
      <c r="C559" s="228" t="s">
        <v>323</v>
      </c>
      <c r="D559" s="239">
        <v>1</v>
      </c>
      <c r="E559" s="239" t="s">
        <v>535</v>
      </c>
      <c r="F559" s="128" t="s">
        <v>821</v>
      </c>
      <c r="G559" s="255">
        <v>0</v>
      </c>
      <c r="H559" s="255">
        <v>0</v>
      </c>
      <c r="I559" s="232">
        <f t="shared" si="1"/>
        <v>0</v>
      </c>
      <c r="J559" s="233" t="s">
        <v>16</v>
      </c>
      <c r="K559" s="239" t="s">
        <v>241</v>
      </c>
      <c r="L559" s="238"/>
      <c r="M559" s="236" t="s">
        <v>543</v>
      </c>
      <c r="N559" s="240" t="s">
        <v>819</v>
      </c>
    </row>
    <row r="560" spans="1:14">
      <c r="A560" s="227" t="str">
        <f t="shared" si="0"/>
        <v xml:space="preserve">Please fill in Supplier Name </v>
      </c>
      <c r="B560" s="228" t="s">
        <v>324</v>
      </c>
      <c r="C560" s="228" t="s">
        <v>325</v>
      </c>
      <c r="D560" s="239">
        <v>1</v>
      </c>
      <c r="E560" s="239" t="s">
        <v>535</v>
      </c>
      <c r="F560" s="128" t="s">
        <v>822</v>
      </c>
      <c r="G560" s="255">
        <v>0</v>
      </c>
      <c r="H560" s="255">
        <v>0</v>
      </c>
      <c r="I560" s="232">
        <f t="shared" si="1"/>
        <v>0</v>
      </c>
      <c r="J560" s="233" t="s">
        <v>16</v>
      </c>
      <c r="K560" s="239" t="s">
        <v>241</v>
      </c>
      <c r="L560" s="238"/>
      <c r="M560" s="236" t="s">
        <v>543</v>
      </c>
      <c r="N560" s="240" t="s">
        <v>819</v>
      </c>
    </row>
    <row r="561" spans="1:14">
      <c r="A561" s="227" t="str">
        <f t="shared" si="0"/>
        <v xml:space="preserve">Please fill in Supplier Name </v>
      </c>
      <c r="B561" s="228" t="s">
        <v>326</v>
      </c>
      <c r="C561" s="228" t="s">
        <v>327</v>
      </c>
      <c r="D561" s="239">
        <v>1</v>
      </c>
      <c r="E561" s="239" t="s">
        <v>535</v>
      </c>
      <c r="F561" s="128" t="s">
        <v>823</v>
      </c>
      <c r="G561" s="255">
        <v>0</v>
      </c>
      <c r="H561" s="255">
        <v>0</v>
      </c>
      <c r="I561" s="232">
        <f>SUM(G561:H561)</f>
        <v>0</v>
      </c>
      <c r="J561" s="233" t="s">
        <v>16</v>
      </c>
      <c r="K561" s="239" t="s">
        <v>241</v>
      </c>
      <c r="L561" s="238"/>
      <c r="M561" s="236" t="s">
        <v>543</v>
      </c>
      <c r="N561" s="240" t="s">
        <v>819</v>
      </c>
    </row>
    <row r="562" spans="1:14">
      <c r="A562" s="227" t="str">
        <f t="shared" si="0"/>
        <v xml:space="preserve">Please fill in Supplier Name </v>
      </c>
      <c r="B562" s="228" t="s">
        <v>328</v>
      </c>
      <c r="C562" s="228" t="s">
        <v>329</v>
      </c>
      <c r="D562" s="239">
        <v>1</v>
      </c>
      <c r="E562" s="239" t="s">
        <v>535</v>
      </c>
      <c r="F562" s="128" t="s">
        <v>824</v>
      </c>
      <c r="G562" s="255">
        <v>0</v>
      </c>
      <c r="H562" s="255">
        <v>0</v>
      </c>
      <c r="I562" s="232">
        <f t="shared" si="1"/>
        <v>0</v>
      </c>
      <c r="J562" s="233" t="s">
        <v>16</v>
      </c>
      <c r="K562" s="239" t="s">
        <v>241</v>
      </c>
      <c r="L562" s="238"/>
      <c r="M562" s="236" t="s">
        <v>543</v>
      </c>
      <c r="N562" s="240" t="s">
        <v>819</v>
      </c>
    </row>
    <row r="563" spans="1:14">
      <c r="A563" s="227" t="str">
        <f t="shared" si="0"/>
        <v xml:space="preserve">Please fill in Supplier Name </v>
      </c>
      <c r="B563" s="228" t="s">
        <v>330</v>
      </c>
      <c r="C563" s="228" t="s">
        <v>331</v>
      </c>
      <c r="D563" s="239">
        <v>1</v>
      </c>
      <c r="E563" s="239" t="s">
        <v>535</v>
      </c>
      <c r="F563" s="128" t="s">
        <v>825</v>
      </c>
      <c r="G563" s="255">
        <v>0</v>
      </c>
      <c r="H563" s="255">
        <v>0</v>
      </c>
      <c r="I563" s="232">
        <f t="shared" si="1"/>
        <v>0</v>
      </c>
      <c r="J563" s="233" t="s">
        <v>16</v>
      </c>
      <c r="K563" s="239" t="s">
        <v>241</v>
      </c>
      <c r="L563" s="238"/>
      <c r="M563" s="236" t="s">
        <v>543</v>
      </c>
      <c r="N563" s="240" t="s">
        <v>819</v>
      </c>
    </row>
    <row r="564" spans="1:14">
      <c r="A564" s="227" t="str">
        <f t="shared" si="0"/>
        <v xml:space="preserve">Please fill in Supplier Name </v>
      </c>
      <c r="B564" s="228" t="s">
        <v>332</v>
      </c>
      <c r="C564" s="228" t="s">
        <v>333</v>
      </c>
      <c r="D564" s="239">
        <v>1</v>
      </c>
      <c r="E564" s="239" t="s">
        <v>535</v>
      </c>
      <c r="F564" s="128" t="s">
        <v>826</v>
      </c>
      <c r="G564" s="255">
        <v>0</v>
      </c>
      <c r="H564" s="255">
        <v>0</v>
      </c>
      <c r="I564" s="232">
        <f t="shared" si="1"/>
        <v>0</v>
      </c>
      <c r="J564" s="233" t="s">
        <v>16</v>
      </c>
      <c r="K564" s="239" t="s">
        <v>241</v>
      </c>
      <c r="L564" s="238"/>
      <c r="M564" s="236" t="s">
        <v>543</v>
      </c>
      <c r="N564" s="240" t="s">
        <v>819</v>
      </c>
    </row>
    <row r="565" spans="1:14">
      <c r="A565" s="227" t="str">
        <f t="shared" si="0"/>
        <v xml:space="preserve">Please fill in Supplier Name </v>
      </c>
      <c r="B565" s="228" t="s">
        <v>334</v>
      </c>
      <c r="C565" s="228" t="s">
        <v>335</v>
      </c>
      <c r="D565" s="239">
        <v>1</v>
      </c>
      <c r="E565" s="239" t="s">
        <v>535</v>
      </c>
      <c r="F565" s="128" t="s">
        <v>827</v>
      </c>
      <c r="G565" s="255">
        <v>0</v>
      </c>
      <c r="H565" s="255">
        <v>0</v>
      </c>
      <c r="I565" s="232">
        <f t="shared" si="1"/>
        <v>0</v>
      </c>
      <c r="J565" s="233" t="s">
        <v>16</v>
      </c>
      <c r="K565" s="239" t="s">
        <v>241</v>
      </c>
      <c r="L565" s="238"/>
      <c r="M565" s="236" t="s">
        <v>543</v>
      </c>
      <c r="N565" s="240" t="s">
        <v>819</v>
      </c>
    </row>
    <row r="566" spans="1:14">
      <c r="A566" s="227" t="str">
        <f t="shared" si="0"/>
        <v xml:space="preserve">Please fill in Supplier Name </v>
      </c>
      <c r="B566" s="228" t="s">
        <v>336</v>
      </c>
      <c r="C566" s="228" t="s">
        <v>337</v>
      </c>
      <c r="D566" s="239">
        <v>1</v>
      </c>
      <c r="E566" s="239" t="s">
        <v>535</v>
      </c>
      <c r="F566" s="128" t="s">
        <v>828</v>
      </c>
      <c r="G566" s="255">
        <v>0</v>
      </c>
      <c r="H566" s="255">
        <v>0</v>
      </c>
      <c r="I566" s="232">
        <f t="shared" si="1"/>
        <v>0</v>
      </c>
      <c r="J566" s="233" t="s">
        <v>16</v>
      </c>
      <c r="K566" s="239" t="s">
        <v>241</v>
      </c>
      <c r="L566" s="238"/>
      <c r="M566" s="236" t="s">
        <v>543</v>
      </c>
      <c r="N566" s="240" t="s">
        <v>819</v>
      </c>
    </row>
    <row r="567" spans="1:14">
      <c r="A567" s="227" t="str">
        <f t="shared" si="0"/>
        <v xml:space="preserve">Please fill in Supplier Name </v>
      </c>
      <c r="B567" s="227" t="s">
        <v>239</v>
      </c>
      <c r="C567" s="228" t="s">
        <v>240</v>
      </c>
      <c r="D567" s="239">
        <v>1</v>
      </c>
      <c r="E567" s="239" t="s">
        <v>535</v>
      </c>
      <c r="F567" s="128" t="s">
        <v>829</v>
      </c>
      <c r="G567" s="255">
        <v>0</v>
      </c>
      <c r="H567" s="255">
        <v>0</v>
      </c>
      <c r="I567" s="232">
        <f t="shared" si="1"/>
        <v>0</v>
      </c>
      <c r="J567" s="233" t="s">
        <v>16</v>
      </c>
      <c r="K567" s="239" t="s">
        <v>241</v>
      </c>
      <c r="L567" s="238"/>
      <c r="M567" s="236" t="s">
        <v>543</v>
      </c>
      <c r="N567" s="236" t="s">
        <v>830</v>
      </c>
    </row>
    <row r="568" spans="1:14">
      <c r="A568" s="227" t="str">
        <f t="shared" si="0"/>
        <v xml:space="preserve">Please fill in Supplier Name </v>
      </c>
      <c r="B568" s="227" t="s">
        <v>242</v>
      </c>
      <c r="C568" s="228" t="s">
        <v>243</v>
      </c>
      <c r="D568" s="239">
        <v>1</v>
      </c>
      <c r="E568" s="239" t="s">
        <v>535</v>
      </c>
      <c r="F568" s="128" t="s">
        <v>829</v>
      </c>
      <c r="G568" s="255">
        <v>0</v>
      </c>
      <c r="H568" s="255">
        <v>0</v>
      </c>
      <c r="I568" s="232">
        <f t="shared" si="1"/>
        <v>0</v>
      </c>
      <c r="J568" s="233" t="s">
        <v>16</v>
      </c>
      <c r="K568" s="239" t="s">
        <v>241</v>
      </c>
      <c r="L568" s="238"/>
      <c r="M568" s="236" t="s">
        <v>543</v>
      </c>
      <c r="N568" s="236" t="s">
        <v>830</v>
      </c>
    </row>
    <row r="569" spans="1:14">
      <c r="A569" s="185" t="str">
        <f t="shared" si="0"/>
        <v xml:space="preserve">Please fill in Supplier Name </v>
      </c>
      <c r="B569" s="185" t="s">
        <v>268</v>
      </c>
      <c r="C569" s="186" t="s">
        <v>269</v>
      </c>
      <c r="D569" s="197">
        <v>1</v>
      </c>
      <c r="E569" s="197" t="s">
        <v>535</v>
      </c>
      <c r="F569" s="188"/>
      <c r="G569" s="189"/>
      <c r="H569" s="189"/>
      <c r="I569" s="212">
        <v>0</v>
      </c>
      <c r="J569" s="191" t="s">
        <v>16</v>
      </c>
      <c r="K569" s="191">
        <v>1</v>
      </c>
      <c r="L569" s="185"/>
      <c r="M569" s="194"/>
      <c r="N569" s="194"/>
    </row>
  </sheetData>
  <sheetProtection algorithmName="SHA-512" hashValue="EFEP/K+RwwSK4yUJzfMS6i/KGdm0lrmRk04Ul+rA1fIUOZgFVazYZ14/jXIwzHf68Ss1Mm3e76f11yuLaBETFw==" saltValue="wRySFOJwxMoMCMWePELRrQ==" spinCount="100000" sheet="1" objects="1" scenarios="1"/>
  <autoFilter ref="A3:N569" xr:uid="{0F9FFDE2-1A8B-421A-A516-2AEDF6A584F3}"/>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F4638-0E28-43D5-B312-B333A93376B5}">
  <sheetPr>
    <tabColor theme="8" tint="0.59999389629810485"/>
  </sheetPr>
  <dimension ref="A1:N232"/>
  <sheetViews>
    <sheetView showGridLines="0" zoomScale="85" zoomScaleNormal="85" workbookViewId="0">
      <pane ySplit="3" topLeftCell="A4" activePane="bottomLeft" state="frozen"/>
      <selection pane="bottomLeft" activeCell="H55" sqref="H55"/>
      <selection activeCell="N64" sqref="N64"/>
    </sheetView>
  </sheetViews>
  <sheetFormatPr defaultColWidth="7.75" defaultRowHeight="13.15"/>
  <cols>
    <col min="1" max="1" width="30.625" style="1" customWidth="1"/>
    <col min="2" max="2" width="23.75" style="1" bestFit="1" customWidth="1"/>
    <col min="3" max="3" width="43.75" style="1" customWidth="1"/>
    <col min="4" max="4" width="8.5" style="2" customWidth="1"/>
    <col min="5" max="5" width="4.25" style="2" customWidth="1"/>
    <col min="6" max="6" width="50.625" style="53" customWidth="1"/>
    <col min="7" max="7" width="8.625" style="2" customWidth="1"/>
    <col min="8" max="8" width="8.875" style="2" customWidth="1"/>
    <col min="9" max="9" width="11.375" style="2" customWidth="1"/>
    <col min="10" max="10" width="8.75" style="2" customWidth="1"/>
    <col min="11" max="11" width="15.25" style="1" customWidth="1"/>
    <col min="12" max="12" width="13.875" style="1" customWidth="1"/>
    <col min="13" max="13" width="7.75" style="1"/>
    <col min="14" max="14" width="88.5" style="1" bestFit="1" customWidth="1"/>
    <col min="15" max="16384" width="7.75" style="1"/>
  </cols>
  <sheetData>
    <row r="1" spans="1:14">
      <c r="A1" s="1" t="s">
        <v>831</v>
      </c>
      <c r="B1" s="1" t="s">
        <v>832</v>
      </c>
      <c r="C1" s="1" t="s">
        <v>521</v>
      </c>
    </row>
    <row r="2" spans="1:14" ht="16.899999999999999">
      <c r="A2" s="46"/>
      <c r="B2" s="3" t="s">
        <v>833</v>
      </c>
      <c r="C2" s="168" t="s">
        <v>834</v>
      </c>
      <c r="D2" s="4"/>
      <c r="E2" s="4"/>
      <c r="F2" s="90"/>
      <c r="G2" s="4"/>
      <c r="H2" s="4"/>
      <c r="I2" s="4"/>
      <c r="J2" s="4"/>
      <c r="K2" s="4"/>
      <c r="L2" s="5"/>
    </row>
    <row r="3" spans="1:14" s="22" customFormat="1" ht="52.9">
      <c r="A3" s="6" t="s">
        <v>524</v>
      </c>
      <c r="B3" s="6" t="s">
        <v>3</v>
      </c>
      <c r="C3" s="6" t="s">
        <v>4</v>
      </c>
      <c r="D3" s="6" t="s">
        <v>5</v>
      </c>
      <c r="E3" s="6" t="s">
        <v>6</v>
      </c>
      <c r="F3" s="6" t="s">
        <v>525</v>
      </c>
      <c r="G3" s="6" t="s">
        <v>8</v>
      </c>
      <c r="H3" s="6" t="s">
        <v>9</v>
      </c>
      <c r="I3" s="6" t="s">
        <v>10</v>
      </c>
      <c r="J3" s="20" t="s">
        <v>11</v>
      </c>
      <c r="K3" s="20" t="s">
        <v>526</v>
      </c>
      <c r="L3" s="21" t="s">
        <v>13</v>
      </c>
      <c r="M3" s="21" t="s">
        <v>527</v>
      </c>
      <c r="N3" s="6" t="s">
        <v>528</v>
      </c>
    </row>
    <row r="4" spans="1:14">
      <c r="A4" s="257" t="str">
        <f>'CS C C1-3'!$A$4</f>
        <v xml:space="preserve">Please fill in Supplier Name </v>
      </c>
      <c r="B4" s="200" t="s">
        <v>835</v>
      </c>
      <c r="C4" s="200" t="s">
        <v>171</v>
      </c>
      <c r="D4" s="201"/>
      <c r="E4" s="201"/>
      <c r="F4" s="202"/>
      <c r="G4" s="198">
        <f>SUM(G5:G18)</f>
        <v>0</v>
      </c>
      <c r="H4" s="198">
        <f>SUM(H5:H18)</f>
        <v>1.06</v>
      </c>
      <c r="I4" s="203">
        <f>SUM(G4:H4)</f>
        <v>1.06</v>
      </c>
      <c r="J4" s="204" t="s">
        <v>169</v>
      </c>
      <c r="K4" s="205">
        <v>1</v>
      </c>
      <c r="L4" s="207"/>
      <c r="M4" s="199" t="s">
        <v>532</v>
      </c>
      <c r="N4" s="199" t="s">
        <v>492</v>
      </c>
    </row>
    <row r="5" spans="1:14">
      <c r="A5" s="3"/>
      <c r="B5" s="3"/>
      <c r="C5" s="3" t="s">
        <v>757</v>
      </c>
      <c r="D5" s="71">
        <v>1</v>
      </c>
      <c r="E5" s="48" t="s">
        <v>535</v>
      </c>
      <c r="F5" s="59"/>
      <c r="G5" s="48">
        <v>0</v>
      </c>
      <c r="H5" s="76">
        <v>0.09</v>
      </c>
      <c r="I5" s="48"/>
      <c r="J5" s="48"/>
      <c r="K5" s="48"/>
      <c r="L5" s="69">
        <v>971168</v>
      </c>
    </row>
    <row r="6" spans="1:14">
      <c r="A6" s="3"/>
      <c r="B6" s="3"/>
      <c r="C6" s="3" t="s">
        <v>758</v>
      </c>
      <c r="D6" s="71">
        <v>1</v>
      </c>
      <c r="E6" s="48" t="s">
        <v>535</v>
      </c>
      <c r="F6" s="59"/>
      <c r="G6" s="48">
        <v>0</v>
      </c>
      <c r="H6" s="76">
        <v>0.05</v>
      </c>
      <c r="I6" s="48"/>
      <c r="J6" s="48"/>
      <c r="K6" s="48"/>
      <c r="L6" s="69">
        <v>973186</v>
      </c>
    </row>
    <row r="7" spans="1:14">
      <c r="A7" s="3"/>
      <c r="B7" s="3"/>
      <c r="C7" s="3" t="s">
        <v>836</v>
      </c>
      <c r="D7" s="71">
        <v>1</v>
      </c>
      <c r="E7" s="48" t="s">
        <v>535</v>
      </c>
      <c r="F7" s="59"/>
      <c r="G7" s="48">
        <v>0</v>
      </c>
      <c r="H7" s="76">
        <v>0.05</v>
      </c>
      <c r="I7" s="48"/>
      <c r="J7" s="48"/>
      <c r="K7" s="48"/>
      <c r="L7" s="69">
        <v>973012</v>
      </c>
    </row>
    <row r="8" spans="1:14">
      <c r="A8" s="3"/>
      <c r="B8" s="3"/>
      <c r="C8" s="3" t="s">
        <v>837</v>
      </c>
      <c r="D8" s="71">
        <v>1</v>
      </c>
      <c r="E8" s="48" t="s">
        <v>535</v>
      </c>
      <c r="F8" s="59"/>
      <c r="G8" s="48">
        <v>0</v>
      </c>
      <c r="H8" s="76">
        <v>0.09</v>
      </c>
      <c r="I8" s="48"/>
      <c r="J8" s="48"/>
      <c r="K8" s="48"/>
      <c r="L8" s="69">
        <v>971091</v>
      </c>
    </row>
    <row r="9" spans="1:14">
      <c r="A9" s="3"/>
      <c r="B9" s="3"/>
      <c r="C9" s="3" t="s">
        <v>838</v>
      </c>
      <c r="D9" s="71">
        <v>1</v>
      </c>
      <c r="E9" s="48" t="s">
        <v>535</v>
      </c>
      <c r="F9" s="59"/>
      <c r="G9" s="48">
        <v>0</v>
      </c>
      <c r="H9" s="76">
        <v>0.09</v>
      </c>
      <c r="I9" s="48"/>
      <c r="J9" s="48"/>
      <c r="K9" s="48"/>
      <c r="L9" s="71">
        <v>971092</v>
      </c>
    </row>
    <row r="10" spans="1:14">
      <c r="A10" s="3"/>
      <c r="B10" s="3"/>
      <c r="C10" s="3" t="s">
        <v>839</v>
      </c>
      <c r="D10" s="71">
        <v>1</v>
      </c>
      <c r="E10" s="48" t="s">
        <v>535</v>
      </c>
      <c r="F10" s="59"/>
      <c r="G10" s="48">
        <v>0</v>
      </c>
      <c r="H10" s="76">
        <v>0.09</v>
      </c>
      <c r="I10" s="48"/>
      <c r="J10" s="48"/>
      <c r="K10" s="48"/>
      <c r="L10" s="71">
        <v>971093</v>
      </c>
    </row>
    <row r="11" spans="1:14">
      <c r="A11" s="3"/>
      <c r="B11" s="3"/>
      <c r="C11" s="3" t="s">
        <v>840</v>
      </c>
      <c r="D11" s="71">
        <v>1</v>
      </c>
      <c r="E11" s="48" t="s">
        <v>535</v>
      </c>
      <c r="F11" s="59"/>
      <c r="G11" s="48">
        <v>0</v>
      </c>
      <c r="H11" s="76">
        <v>0.09</v>
      </c>
      <c r="I11" s="48"/>
      <c r="J11" s="48"/>
      <c r="K11" s="48"/>
      <c r="L11" s="69">
        <v>971090</v>
      </c>
    </row>
    <row r="12" spans="1:14">
      <c r="A12" s="3"/>
      <c r="B12" s="3"/>
      <c r="C12" s="3" t="s">
        <v>841</v>
      </c>
      <c r="D12" s="71">
        <v>1</v>
      </c>
      <c r="E12" s="48" t="s">
        <v>535</v>
      </c>
      <c r="F12" s="59"/>
      <c r="G12" s="48">
        <v>0</v>
      </c>
      <c r="H12" s="76">
        <v>0.05</v>
      </c>
      <c r="I12" s="48"/>
      <c r="J12" s="48"/>
      <c r="K12" s="48"/>
      <c r="L12" s="69">
        <v>973099</v>
      </c>
    </row>
    <row r="13" spans="1:14">
      <c r="A13" s="3"/>
      <c r="B13" s="3"/>
      <c r="C13" s="3" t="s">
        <v>842</v>
      </c>
      <c r="D13" s="71">
        <v>1</v>
      </c>
      <c r="E13" s="48" t="s">
        <v>535</v>
      </c>
      <c r="F13" s="59"/>
      <c r="G13" s="48">
        <v>0</v>
      </c>
      <c r="H13" s="76">
        <v>0.05</v>
      </c>
      <c r="I13" s="48"/>
      <c r="J13" s="48"/>
      <c r="K13" s="48"/>
      <c r="L13" s="69">
        <v>973023</v>
      </c>
    </row>
    <row r="14" spans="1:14">
      <c r="A14" s="3"/>
      <c r="B14" s="3"/>
      <c r="C14" s="3" t="s">
        <v>843</v>
      </c>
      <c r="D14" s="71">
        <v>1</v>
      </c>
      <c r="E14" s="48" t="s">
        <v>535</v>
      </c>
      <c r="F14" s="59"/>
      <c r="G14" s="48">
        <v>0</v>
      </c>
      <c r="H14" s="76">
        <v>0.09</v>
      </c>
      <c r="I14" s="48"/>
      <c r="J14" s="48"/>
      <c r="K14" s="48"/>
      <c r="L14" s="69">
        <v>973034</v>
      </c>
    </row>
    <row r="15" spans="1:14">
      <c r="A15" s="3"/>
      <c r="B15" s="3"/>
      <c r="C15" s="3" t="s">
        <v>844</v>
      </c>
      <c r="D15" s="71">
        <v>1</v>
      </c>
      <c r="E15" s="48" t="s">
        <v>535</v>
      </c>
      <c r="F15" s="59"/>
      <c r="G15" s="48">
        <v>0</v>
      </c>
      <c r="H15" s="76">
        <v>0.05</v>
      </c>
      <c r="I15" s="48"/>
      <c r="J15" s="48"/>
      <c r="K15" s="48"/>
      <c r="L15" s="69"/>
    </row>
    <row r="16" spans="1:14">
      <c r="A16" s="3"/>
      <c r="B16" s="3"/>
      <c r="C16" s="3" t="s">
        <v>845</v>
      </c>
      <c r="D16" s="71">
        <v>1</v>
      </c>
      <c r="E16" s="48" t="s">
        <v>535</v>
      </c>
      <c r="F16" s="59"/>
      <c r="G16" s="76"/>
      <c r="H16" s="76">
        <v>0.09</v>
      </c>
      <c r="I16" s="48"/>
      <c r="J16" s="48"/>
      <c r="K16" s="48"/>
      <c r="L16" s="69"/>
    </row>
    <row r="17" spans="1:14">
      <c r="A17" s="3"/>
      <c r="B17" s="3"/>
      <c r="C17" s="3" t="s">
        <v>846</v>
      </c>
      <c r="D17" s="71">
        <v>1</v>
      </c>
      <c r="E17" s="48" t="s">
        <v>535</v>
      </c>
      <c r="F17" s="59"/>
      <c r="G17" s="76"/>
      <c r="H17" s="76">
        <v>0.09</v>
      </c>
      <c r="I17" s="48"/>
      <c r="J17" s="48"/>
      <c r="K17" s="48"/>
      <c r="L17" s="69"/>
    </row>
    <row r="18" spans="1:14">
      <c r="A18" s="3"/>
      <c r="B18" s="3"/>
      <c r="C18" s="3" t="s">
        <v>847</v>
      </c>
      <c r="D18" s="71">
        <v>1</v>
      </c>
      <c r="E18" s="48" t="s">
        <v>535</v>
      </c>
      <c r="F18" s="59"/>
      <c r="G18" s="76"/>
      <c r="H18" s="76">
        <v>0.09</v>
      </c>
      <c r="I18" s="48"/>
      <c r="J18" s="48"/>
      <c r="K18" s="48"/>
      <c r="L18" s="69">
        <v>973020</v>
      </c>
    </row>
    <row r="19" spans="1:14">
      <c r="D19" s="1"/>
      <c r="E19" s="1"/>
      <c r="G19" s="1"/>
      <c r="H19" s="1"/>
      <c r="I19" s="1"/>
      <c r="J19" s="1"/>
    </row>
    <row r="20" spans="1:14">
      <c r="A20" s="242" t="str">
        <f>$A$4</f>
        <v xml:space="preserve">Please fill in Supplier Name </v>
      </c>
      <c r="B20" s="242" t="s">
        <v>848</v>
      </c>
      <c r="C20" s="242" t="s">
        <v>173</v>
      </c>
      <c r="D20" s="243"/>
      <c r="E20" s="243"/>
      <c r="F20" s="244"/>
      <c r="G20" s="245">
        <f>SUM(G21:G33)</f>
        <v>0</v>
      </c>
      <c r="H20" s="245">
        <f>SUM(H21:H33)</f>
        <v>1.01</v>
      </c>
      <c r="I20" s="246">
        <f>SUM(G20:H20)</f>
        <v>1.01</v>
      </c>
      <c r="J20" s="247" t="s">
        <v>169</v>
      </c>
      <c r="K20" s="248">
        <v>1</v>
      </c>
      <c r="L20" s="250"/>
      <c r="M20" s="240" t="s">
        <v>543</v>
      </c>
      <c r="N20" s="240" t="s">
        <v>492</v>
      </c>
    </row>
    <row r="21" spans="1:14">
      <c r="A21" s="3"/>
      <c r="B21" s="3"/>
      <c r="C21" s="3" t="s">
        <v>757</v>
      </c>
      <c r="D21" s="71">
        <v>1</v>
      </c>
      <c r="E21" s="48" t="s">
        <v>535</v>
      </c>
      <c r="F21" s="59"/>
      <c r="G21" s="48">
        <v>0</v>
      </c>
      <c r="H21" s="76">
        <v>0.09</v>
      </c>
      <c r="I21" s="48"/>
      <c r="J21" s="48"/>
      <c r="K21" s="48"/>
      <c r="L21" s="69">
        <v>971168</v>
      </c>
    </row>
    <row r="22" spans="1:14">
      <c r="A22" s="3"/>
      <c r="B22" s="3"/>
      <c r="C22" s="3" t="s">
        <v>758</v>
      </c>
      <c r="D22" s="71">
        <v>1</v>
      </c>
      <c r="E22" s="48" t="s">
        <v>535</v>
      </c>
      <c r="F22" s="59"/>
      <c r="G22" s="48">
        <v>0</v>
      </c>
      <c r="H22" s="76">
        <v>0.05</v>
      </c>
      <c r="I22" s="48"/>
      <c r="J22" s="48"/>
      <c r="K22" s="48"/>
      <c r="L22" s="69">
        <v>973186</v>
      </c>
    </row>
    <row r="23" spans="1:14">
      <c r="A23" s="3"/>
      <c r="B23" s="3"/>
      <c r="C23" s="3" t="s">
        <v>836</v>
      </c>
      <c r="D23" s="71">
        <v>1</v>
      </c>
      <c r="E23" s="48" t="s">
        <v>535</v>
      </c>
      <c r="F23" s="59"/>
      <c r="G23" s="48">
        <v>0</v>
      </c>
      <c r="H23" s="76">
        <v>0.05</v>
      </c>
      <c r="I23" s="48"/>
      <c r="J23" s="48"/>
      <c r="K23" s="48"/>
      <c r="L23" s="69">
        <v>973012</v>
      </c>
    </row>
    <row r="24" spans="1:14">
      <c r="A24" s="3"/>
      <c r="B24" s="3"/>
      <c r="C24" s="3" t="s">
        <v>837</v>
      </c>
      <c r="D24" s="71">
        <v>1</v>
      </c>
      <c r="E24" s="48" t="s">
        <v>535</v>
      </c>
      <c r="F24" s="59"/>
      <c r="G24" s="48">
        <v>0</v>
      </c>
      <c r="H24" s="76">
        <v>0.09</v>
      </c>
      <c r="I24" s="48"/>
      <c r="J24" s="48"/>
      <c r="K24" s="48"/>
      <c r="L24" s="69">
        <v>971091</v>
      </c>
    </row>
    <row r="25" spans="1:14">
      <c r="A25" s="3"/>
      <c r="B25" s="3"/>
      <c r="C25" s="3" t="s">
        <v>838</v>
      </c>
      <c r="D25" s="71">
        <v>1</v>
      </c>
      <c r="E25" s="48" t="s">
        <v>535</v>
      </c>
      <c r="F25" s="59"/>
      <c r="G25" s="48">
        <v>0</v>
      </c>
      <c r="H25" s="76">
        <v>0.09</v>
      </c>
      <c r="I25" s="48"/>
      <c r="J25" s="48"/>
      <c r="K25" s="48"/>
      <c r="L25" s="71">
        <v>971092</v>
      </c>
    </row>
    <row r="26" spans="1:14">
      <c r="A26" s="3"/>
      <c r="B26" s="3"/>
      <c r="C26" s="3" t="s">
        <v>839</v>
      </c>
      <c r="D26" s="71">
        <v>1</v>
      </c>
      <c r="E26" s="48" t="s">
        <v>535</v>
      </c>
      <c r="F26" s="59"/>
      <c r="G26" s="48">
        <v>0</v>
      </c>
      <c r="H26" s="76">
        <v>0.09</v>
      </c>
      <c r="I26" s="48"/>
      <c r="J26" s="48"/>
      <c r="K26" s="48"/>
      <c r="L26" s="71">
        <v>971093</v>
      </c>
    </row>
    <row r="27" spans="1:14">
      <c r="A27" s="3"/>
      <c r="B27" s="3"/>
      <c r="C27" s="3" t="s">
        <v>840</v>
      </c>
      <c r="D27" s="71">
        <v>1</v>
      </c>
      <c r="E27" s="48" t="s">
        <v>535</v>
      </c>
      <c r="F27" s="59"/>
      <c r="G27" s="48">
        <v>0</v>
      </c>
      <c r="H27" s="76">
        <v>0.09</v>
      </c>
      <c r="I27" s="48"/>
      <c r="J27" s="48"/>
      <c r="K27" s="48"/>
      <c r="L27" s="69">
        <v>971090</v>
      </c>
    </row>
    <row r="28" spans="1:14">
      <c r="A28" s="3"/>
      <c r="B28" s="3"/>
      <c r="C28" s="3" t="s">
        <v>841</v>
      </c>
      <c r="D28" s="71">
        <v>1</v>
      </c>
      <c r="E28" s="48" t="s">
        <v>535</v>
      </c>
      <c r="F28" s="59"/>
      <c r="G28" s="48">
        <v>0</v>
      </c>
      <c r="H28" s="76">
        <v>0.05</v>
      </c>
      <c r="I28" s="48"/>
      <c r="J28" s="48"/>
      <c r="K28" s="48"/>
      <c r="L28" s="69">
        <v>973099</v>
      </c>
    </row>
    <row r="29" spans="1:14">
      <c r="A29" s="3"/>
      <c r="B29" s="3"/>
      <c r="C29" s="3" t="s">
        <v>842</v>
      </c>
      <c r="D29" s="71">
        <v>1</v>
      </c>
      <c r="E29" s="48" t="s">
        <v>535</v>
      </c>
      <c r="F29" s="59"/>
      <c r="G29" s="48">
        <v>0</v>
      </c>
      <c r="H29" s="76">
        <v>0.05</v>
      </c>
      <c r="I29" s="48"/>
      <c r="J29" s="48"/>
      <c r="K29" s="48"/>
      <c r="L29" s="69">
        <v>973023</v>
      </c>
    </row>
    <row r="30" spans="1:14">
      <c r="A30" s="3"/>
      <c r="B30" s="3"/>
      <c r="C30" s="3" t="s">
        <v>843</v>
      </c>
      <c r="D30" s="71">
        <v>1</v>
      </c>
      <c r="E30" s="48" t="s">
        <v>535</v>
      </c>
      <c r="F30" s="59"/>
      <c r="G30" s="48">
        <v>0</v>
      </c>
      <c r="H30" s="76">
        <v>0.09</v>
      </c>
      <c r="I30" s="48"/>
      <c r="J30" s="48"/>
      <c r="K30" s="48"/>
      <c r="L30" s="69">
        <v>973034</v>
      </c>
    </row>
    <row r="31" spans="1:14">
      <c r="A31" s="3"/>
      <c r="B31" s="3"/>
      <c r="C31" s="3" t="s">
        <v>845</v>
      </c>
      <c r="D31" s="71">
        <v>1</v>
      </c>
      <c r="E31" s="48" t="s">
        <v>535</v>
      </c>
      <c r="F31" s="59"/>
      <c r="G31" s="76"/>
      <c r="H31" s="76">
        <v>0.09</v>
      </c>
      <c r="I31" s="48"/>
      <c r="J31" s="48"/>
      <c r="K31" s="48"/>
      <c r="L31" s="69"/>
    </row>
    <row r="32" spans="1:14">
      <c r="A32" s="3"/>
      <c r="B32" s="3"/>
      <c r="C32" s="3" t="s">
        <v>846</v>
      </c>
      <c r="D32" s="71">
        <v>1</v>
      </c>
      <c r="E32" s="48" t="s">
        <v>535</v>
      </c>
      <c r="F32" s="59"/>
      <c r="G32" s="76"/>
      <c r="H32" s="76">
        <v>0.09</v>
      </c>
      <c r="I32" s="48"/>
      <c r="J32" s="48"/>
      <c r="K32" s="48"/>
      <c r="L32" s="69"/>
    </row>
    <row r="33" spans="1:14">
      <c r="A33" s="3"/>
      <c r="B33" s="3"/>
      <c r="C33" s="3" t="s">
        <v>847</v>
      </c>
      <c r="D33" s="71">
        <v>1</v>
      </c>
      <c r="E33" s="48" t="s">
        <v>535</v>
      </c>
      <c r="F33" s="59"/>
      <c r="G33" s="76"/>
      <c r="H33" s="76">
        <v>0.09</v>
      </c>
      <c r="I33" s="48"/>
      <c r="J33" s="48"/>
      <c r="K33" s="48"/>
      <c r="L33" s="69"/>
    </row>
    <row r="34" spans="1:14">
      <c r="D34" s="1"/>
      <c r="E34" s="1"/>
      <c r="G34" s="1"/>
      <c r="H34" s="1"/>
      <c r="I34" s="1"/>
      <c r="J34" s="1"/>
    </row>
    <row r="35" spans="1:14">
      <c r="A35" s="9" t="str">
        <f>$A$4</f>
        <v xml:space="preserve">Please fill in Supplier Name </v>
      </c>
      <c r="B35" s="9" t="s">
        <v>174</v>
      </c>
      <c r="C35" s="72" t="s">
        <v>175</v>
      </c>
      <c r="D35" s="73"/>
      <c r="E35" s="10"/>
      <c r="F35" s="91"/>
      <c r="G35" s="7">
        <f>SUM(G36:G44)</f>
        <v>0</v>
      </c>
      <c r="H35" s="7">
        <f>SUM(H36:H44)</f>
        <v>0</v>
      </c>
      <c r="I35" s="57">
        <f>SUM(G35:H35)</f>
        <v>0</v>
      </c>
      <c r="J35" s="14" t="s">
        <v>169</v>
      </c>
      <c r="K35" s="11">
        <v>1</v>
      </c>
      <c r="L35" s="13"/>
      <c r="M35" s="12" t="s">
        <v>544</v>
      </c>
      <c r="N35" s="12" t="s">
        <v>849</v>
      </c>
    </row>
    <row r="36" spans="1:14">
      <c r="A36" s="3"/>
      <c r="B36" s="74"/>
      <c r="C36" s="3" t="s">
        <v>850</v>
      </c>
      <c r="D36" s="71">
        <v>15</v>
      </c>
      <c r="E36" s="96" t="s">
        <v>559</v>
      </c>
      <c r="F36" s="59"/>
      <c r="G36" s="48"/>
      <c r="H36" s="48"/>
      <c r="I36" s="48"/>
      <c r="J36" s="48"/>
      <c r="K36" s="48"/>
      <c r="L36" s="69"/>
    </row>
    <row r="37" spans="1:14">
      <c r="A37" s="3"/>
      <c r="B37" s="74"/>
      <c r="C37" s="3" t="s">
        <v>851</v>
      </c>
      <c r="D37" s="71">
        <v>20</v>
      </c>
      <c r="E37" s="96" t="s">
        <v>559</v>
      </c>
      <c r="F37" s="59"/>
      <c r="G37" s="48"/>
      <c r="H37" s="48"/>
      <c r="I37" s="48"/>
      <c r="J37" s="48"/>
      <c r="K37" s="48"/>
      <c r="L37" s="69"/>
    </row>
    <row r="38" spans="1:14">
      <c r="A38" s="3"/>
      <c r="B38" s="74"/>
      <c r="C38" s="3" t="s">
        <v>852</v>
      </c>
      <c r="D38" s="71">
        <v>35</v>
      </c>
      <c r="E38" s="96" t="s">
        <v>559</v>
      </c>
      <c r="F38" s="59"/>
      <c r="G38" s="48"/>
      <c r="H38" s="48"/>
      <c r="I38" s="48"/>
      <c r="J38" s="48"/>
      <c r="K38" s="48"/>
      <c r="L38" s="69"/>
    </row>
    <row r="39" spans="1:14" ht="13.9">
      <c r="A39" s="3"/>
      <c r="B39" s="74"/>
      <c r="C39" s="97" t="s">
        <v>560</v>
      </c>
      <c r="D39" s="98"/>
      <c r="E39" s="96"/>
      <c r="F39" s="59"/>
      <c r="G39" s="48"/>
      <c r="H39" s="48"/>
      <c r="I39" s="48"/>
      <c r="J39" s="48"/>
      <c r="K39" s="48"/>
      <c r="L39" s="69"/>
      <c r="N39" s="1" t="s">
        <v>560</v>
      </c>
    </row>
    <row r="40" spans="1:14">
      <c r="A40" s="3"/>
      <c r="B40" s="3"/>
      <c r="C40" s="99"/>
      <c r="D40" s="100"/>
      <c r="E40" s="48"/>
      <c r="F40" s="59"/>
      <c r="G40" s="48"/>
      <c r="H40" s="48"/>
      <c r="I40" s="48"/>
      <c r="J40" s="48"/>
      <c r="K40" s="48"/>
      <c r="L40" s="69"/>
    </row>
    <row r="41" spans="1:14">
      <c r="A41" s="3"/>
      <c r="B41" s="3"/>
      <c r="C41" s="3"/>
      <c r="D41" s="71"/>
      <c r="E41" s="48"/>
      <c r="F41" s="59"/>
      <c r="G41" s="48"/>
      <c r="H41" s="48"/>
      <c r="I41" s="48"/>
      <c r="J41" s="48"/>
      <c r="K41" s="48"/>
      <c r="L41" s="69"/>
    </row>
    <row r="42" spans="1:14">
      <c r="A42" s="3"/>
      <c r="B42" s="3"/>
      <c r="C42" s="3"/>
      <c r="D42" s="71"/>
      <c r="E42" s="48"/>
      <c r="F42" s="59"/>
      <c r="G42" s="48"/>
      <c r="H42" s="48"/>
      <c r="I42" s="48"/>
      <c r="J42" s="48"/>
      <c r="K42" s="48"/>
      <c r="L42" s="69"/>
    </row>
    <row r="43" spans="1:14">
      <c r="A43" s="3"/>
      <c r="B43" s="3"/>
      <c r="C43" s="3"/>
      <c r="D43" s="71"/>
      <c r="E43" s="48"/>
      <c r="F43" s="59"/>
      <c r="G43" s="48"/>
      <c r="H43" s="48"/>
      <c r="I43" s="48"/>
      <c r="J43" s="48"/>
      <c r="K43" s="48"/>
      <c r="L43" s="69"/>
    </row>
    <row r="44" spans="1:14">
      <c r="A44" s="3"/>
      <c r="B44" s="3"/>
      <c r="C44" s="3"/>
      <c r="D44" s="71"/>
      <c r="E44" s="48"/>
      <c r="F44" s="59"/>
      <c r="G44" s="48"/>
      <c r="H44" s="48"/>
      <c r="I44" s="48"/>
      <c r="J44" s="48"/>
      <c r="K44" s="48"/>
      <c r="L44" s="69"/>
    </row>
    <row r="45" spans="1:14">
      <c r="D45" s="1"/>
      <c r="E45" s="1"/>
      <c r="G45" s="1"/>
      <c r="H45" s="1"/>
      <c r="I45" s="1"/>
      <c r="J45" s="1"/>
    </row>
    <row r="46" spans="1:14">
      <c r="A46" s="200" t="str">
        <f>$A$4</f>
        <v xml:space="preserve">Please fill in Supplier Name </v>
      </c>
      <c r="B46" s="200" t="s">
        <v>191</v>
      </c>
      <c r="C46" s="200" t="s">
        <v>192</v>
      </c>
      <c r="D46" s="201"/>
      <c r="E46" s="201"/>
      <c r="F46" s="202"/>
      <c r="G46" s="198">
        <f>SUM(G47:G55)</f>
        <v>0</v>
      </c>
      <c r="H46" s="198">
        <f>SUM(H47:H55)</f>
        <v>0</v>
      </c>
      <c r="I46" s="203">
        <f>SUM(G46:H46)</f>
        <v>0</v>
      </c>
      <c r="J46" s="204" t="s">
        <v>169</v>
      </c>
      <c r="K46" s="205">
        <v>1</v>
      </c>
      <c r="L46" s="208"/>
      <c r="M46" s="207" t="s">
        <v>532</v>
      </c>
      <c r="N46" s="199"/>
    </row>
    <row r="47" spans="1:14">
      <c r="A47" s="278"/>
      <c r="B47" s="278"/>
      <c r="C47" s="77" t="s">
        <v>853</v>
      </c>
      <c r="D47" s="75" t="s">
        <v>854</v>
      </c>
      <c r="E47" s="76" t="s">
        <v>547</v>
      </c>
      <c r="F47" s="92"/>
      <c r="G47" s="76"/>
      <c r="H47" s="76"/>
      <c r="I47" s="48"/>
      <c r="J47" s="48"/>
      <c r="K47" s="48"/>
      <c r="L47" s="69"/>
    </row>
    <row r="48" spans="1:14">
      <c r="A48" s="278"/>
      <c r="B48" s="278"/>
      <c r="C48" s="77" t="s">
        <v>855</v>
      </c>
      <c r="D48" s="75">
        <v>30</v>
      </c>
      <c r="E48" s="76" t="s">
        <v>547</v>
      </c>
      <c r="F48" s="92"/>
      <c r="G48" s="76"/>
      <c r="H48" s="76"/>
      <c r="I48" s="48"/>
      <c r="J48" s="48"/>
      <c r="K48" s="48"/>
      <c r="L48" s="69"/>
    </row>
    <row r="49" spans="1:14">
      <c r="A49" s="278"/>
      <c r="B49" s="278"/>
      <c r="C49" s="77" t="s">
        <v>856</v>
      </c>
      <c r="D49" s="75">
        <v>30</v>
      </c>
      <c r="E49" s="76" t="s">
        <v>547</v>
      </c>
      <c r="F49" s="92"/>
      <c r="G49" s="76"/>
      <c r="H49" s="76"/>
      <c r="I49" s="48"/>
      <c r="J49" s="48"/>
      <c r="K49" s="48"/>
      <c r="L49" s="69"/>
    </row>
    <row r="50" spans="1:14">
      <c r="A50" s="278"/>
      <c r="B50" s="278"/>
      <c r="C50" s="77"/>
      <c r="D50" s="75"/>
      <c r="E50" s="76"/>
      <c r="F50" s="92"/>
      <c r="G50" s="76"/>
      <c r="H50" s="76"/>
      <c r="I50" s="48"/>
      <c r="J50" s="48"/>
      <c r="K50" s="48"/>
      <c r="L50" s="69"/>
    </row>
    <row r="51" spans="1:14">
      <c r="A51" s="278"/>
      <c r="B51" s="278"/>
      <c r="C51" s="77"/>
      <c r="D51" s="75"/>
      <c r="E51" s="76"/>
      <c r="F51" s="92"/>
      <c r="G51" s="76"/>
      <c r="H51" s="76"/>
      <c r="I51" s="48"/>
      <c r="J51" s="48"/>
      <c r="K51" s="48"/>
      <c r="L51" s="69"/>
    </row>
    <row r="52" spans="1:14">
      <c r="A52" s="278"/>
      <c r="B52" s="278"/>
      <c r="C52" s="77"/>
      <c r="D52" s="75"/>
      <c r="E52" s="76"/>
      <c r="F52" s="92"/>
      <c r="G52" s="76"/>
      <c r="H52" s="76"/>
      <c r="I52" s="48"/>
      <c r="J52" s="48"/>
      <c r="K52" s="48"/>
      <c r="L52" s="69"/>
    </row>
    <row r="53" spans="1:14">
      <c r="A53" s="278"/>
      <c r="B53" s="278"/>
      <c r="C53" s="77"/>
      <c r="D53" s="75"/>
      <c r="E53" s="76"/>
      <c r="F53" s="92"/>
      <c r="G53" s="76"/>
      <c r="H53" s="76"/>
      <c r="I53" s="48"/>
      <c r="J53" s="48"/>
      <c r="K53" s="48"/>
      <c r="L53" s="69"/>
    </row>
    <row r="54" spans="1:14">
      <c r="A54" s="278"/>
      <c r="B54" s="278"/>
      <c r="C54" s="77"/>
      <c r="D54" s="75"/>
      <c r="E54" s="76"/>
      <c r="F54" s="92"/>
      <c r="G54" s="76"/>
      <c r="H54" s="76"/>
      <c r="I54" s="48"/>
      <c r="J54" s="48"/>
      <c r="K54" s="48"/>
      <c r="L54" s="69"/>
    </row>
    <row r="55" spans="1:14">
      <c r="A55" s="278"/>
      <c r="B55" s="278"/>
      <c r="C55" s="77"/>
      <c r="D55" s="75"/>
      <c r="E55" s="76"/>
      <c r="F55" s="92"/>
      <c r="G55" s="76"/>
      <c r="H55" s="76"/>
      <c r="I55" s="48"/>
      <c r="J55" s="48"/>
      <c r="K55" s="48"/>
      <c r="L55" s="69"/>
    </row>
    <row r="56" spans="1:14">
      <c r="D56" s="1"/>
      <c r="E56" s="1"/>
      <c r="G56" s="1"/>
      <c r="H56" s="1"/>
      <c r="I56" s="1"/>
      <c r="J56" s="1"/>
    </row>
    <row r="57" spans="1:14">
      <c r="A57" s="242" t="str">
        <f>$A$4</f>
        <v xml:space="preserve">Please fill in Supplier Name </v>
      </c>
      <c r="B57" s="242" t="s">
        <v>197</v>
      </c>
      <c r="C57" s="242" t="s">
        <v>198</v>
      </c>
      <c r="D57" s="243"/>
      <c r="E57" s="243"/>
      <c r="F57" s="244"/>
      <c r="G57" s="245">
        <f>SUM(G58:G66)</f>
        <v>0</v>
      </c>
      <c r="H57" s="245">
        <f>SUM(H58:H66)</f>
        <v>0</v>
      </c>
      <c r="I57" s="246">
        <f>SUM(G57:H57)</f>
        <v>0</v>
      </c>
      <c r="J57" s="247" t="s">
        <v>169</v>
      </c>
      <c r="K57" s="248">
        <v>1</v>
      </c>
      <c r="L57" s="251"/>
      <c r="M57" s="250" t="s">
        <v>543</v>
      </c>
      <c r="N57" s="240" t="s">
        <v>500</v>
      </c>
    </row>
    <row r="58" spans="1:14">
      <c r="A58" s="278"/>
      <c r="B58" s="278"/>
      <c r="C58" s="77" t="s">
        <v>857</v>
      </c>
      <c r="D58" s="75" t="s">
        <v>854</v>
      </c>
      <c r="E58" s="76" t="s">
        <v>547</v>
      </c>
      <c r="F58" s="92"/>
      <c r="G58" s="76"/>
      <c r="H58" s="76"/>
      <c r="I58" s="48"/>
      <c r="J58" s="48"/>
      <c r="K58" s="48"/>
      <c r="L58" s="69"/>
    </row>
    <row r="59" spans="1:14">
      <c r="A59" s="278"/>
      <c r="B59" s="278"/>
      <c r="C59" s="77" t="s">
        <v>858</v>
      </c>
      <c r="D59" s="75">
        <v>30</v>
      </c>
      <c r="E59" s="76" t="s">
        <v>547</v>
      </c>
      <c r="F59" s="92"/>
      <c r="G59" s="76"/>
      <c r="H59" s="76"/>
      <c r="I59" s="48"/>
      <c r="J59" s="48"/>
      <c r="K59" s="48"/>
      <c r="L59" s="69"/>
    </row>
    <row r="60" spans="1:14">
      <c r="A60" s="278"/>
      <c r="B60" s="278"/>
      <c r="C60" s="77" t="s">
        <v>859</v>
      </c>
      <c r="D60" s="75">
        <v>30</v>
      </c>
      <c r="E60" s="76" t="s">
        <v>547</v>
      </c>
      <c r="F60" s="92"/>
      <c r="G60" s="76"/>
      <c r="H60" s="76"/>
      <c r="I60" s="48"/>
      <c r="J60" s="48"/>
      <c r="K60" s="48"/>
      <c r="L60" s="69"/>
    </row>
    <row r="61" spans="1:14">
      <c r="A61" s="278"/>
      <c r="B61" s="278"/>
      <c r="C61" s="77"/>
      <c r="D61" s="75"/>
      <c r="E61" s="76"/>
      <c r="F61" s="92"/>
      <c r="G61" s="76"/>
      <c r="H61" s="76"/>
      <c r="I61" s="48"/>
      <c r="J61" s="48"/>
      <c r="K61" s="48"/>
      <c r="L61" s="69"/>
    </row>
    <row r="62" spans="1:14">
      <c r="A62" s="278"/>
      <c r="B62" s="278"/>
      <c r="C62" s="77"/>
      <c r="D62" s="75"/>
      <c r="E62" s="76"/>
      <c r="F62" s="92"/>
      <c r="G62" s="76"/>
      <c r="H62" s="76"/>
      <c r="I62" s="48"/>
      <c r="J62" s="48"/>
      <c r="K62" s="48"/>
      <c r="L62" s="69"/>
    </row>
    <row r="63" spans="1:14">
      <c r="A63" s="278"/>
      <c r="B63" s="278"/>
      <c r="C63" s="77"/>
      <c r="D63" s="75"/>
      <c r="E63" s="76"/>
      <c r="F63" s="92"/>
      <c r="G63" s="76"/>
      <c r="H63" s="76"/>
      <c r="I63" s="48"/>
      <c r="J63" s="48"/>
      <c r="K63" s="48"/>
      <c r="L63" s="69"/>
    </row>
    <row r="64" spans="1:14">
      <c r="A64" s="278"/>
      <c r="B64" s="278"/>
      <c r="C64" s="77"/>
      <c r="D64" s="75"/>
      <c r="E64" s="76"/>
      <c r="F64" s="92"/>
      <c r="G64" s="76"/>
      <c r="H64" s="76"/>
      <c r="I64" s="48"/>
      <c r="J64" s="48"/>
      <c r="K64" s="48"/>
      <c r="L64" s="69"/>
    </row>
    <row r="65" spans="1:14">
      <c r="A65" s="278"/>
      <c r="B65" s="278"/>
      <c r="C65" s="77"/>
      <c r="D65" s="75"/>
      <c r="E65" s="76"/>
      <c r="F65" s="92"/>
      <c r="G65" s="76"/>
      <c r="H65" s="76"/>
      <c r="I65" s="48"/>
      <c r="J65" s="48"/>
      <c r="K65" s="48"/>
      <c r="L65" s="69"/>
    </row>
    <row r="66" spans="1:14">
      <c r="A66" s="278"/>
      <c r="B66" s="278"/>
      <c r="C66" s="279"/>
      <c r="D66" s="75"/>
      <c r="E66" s="76"/>
      <c r="F66" s="92"/>
      <c r="G66" s="76"/>
      <c r="H66" s="76"/>
      <c r="I66" s="48"/>
      <c r="J66" s="48"/>
      <c r="K66" s="48"/>
      <c r="L66" s="69"/>
    </row>
    <row r="67" spans="1:14">
      <c r="D67" s="1"/>
      <c r="E67" s="1"/>
      <c r="G67" s="1"/>
      <c r="H67" s="1"/>
      <c r="I67" s="1"/>
      <c r="J67" s="1"/>
    </row>
    <row r="68" spans="1:14">
      <c r="A68" s="9" t="str">
        <f>$A$4</f>
        <v xml:space="preserve">Please fill in Supplier Name </v>
      </c>
      <c r="B68" s="9" t="s">
        <v>176</v>
      </c>
      <c r="C68" s="9" t="s">
        <v>177</v>
      </c>
      <c r="D68" s="10"/>
      <c r="E68" s="10"/>
      <c r="F68" s="91"/>
      <c r="G68" s="7">
        <f>SUM(G69:G77)</f>
        <v>0</v>
      </c>
      <c r="H68" s="7">
        <f>SUM(H69:H77)</f>
        <v>0</v>
      </c>
      <c r="I68" s="57">
        <f>SUM(G68:H68)</f>
        <v>0</v>
      </c>
      <c r="J68" s="14" t="s">
        <v>169</v>
      </c>
      <c r="K68" s="14" t="s">
        <v>35</v>
      </c>
      <c r="L68" s="9"/>
      <c r="M68" s="12" t="s">
        <v>544</v>
      </c>
      <c r="N68" s="12" t="s">
        <v>860</v>
      </c>
    </row>
    <row r="69" spans="1:14">
      <c r="A69" s="3"/>
      <c r="B69" s="3"/>
      <c r="C69" s="3" t="s">
        <v>861</v>
      </c>
      <c r="D69" s="71">
        <v>4</v>
      </c>
      <c r="E69" s="48" t="s">
        <v>862</v>
      </c>
      <c r="F69" s="59"/>
      <c r="G69" s="48"/>
      <c r="H69" s="48"/>
      <c r="I69" s="48"/>
      <c r="J69" s="48"/>
      <c r="K69" s="48"/>
      <c r="L69" s="69"/>
    </row>
    <row r="70" spans="1:14">
      <c r="A70" s="3"/>
      <c r="B70" s="3"/>
      <c r="C70" s="3" t="s">
        <v>863</v>
      </c>
      <c r="D70" s="71">
        <v>30</v>
      </c>
      <c r="E70" s="48" t="s">
        <v>665</v>
      </c>
      <c r="F70" s="59"/>
      <c r="G70" s="48"/>
      <c r="H70" s="48"/>
      <c r="I70" s="48"/>
      <c r="J70" s="48"/>
      <c r="K70" s="48"/>
      <c r="L70" s="69"/>
    </row>
    <row r="71" spans="1:14">
      <c r="A71" s="3"/>
      <c r="B71" s="3"/>
      <c r="C71" s="3" t="s">
        <v>864</v>
      </c>
      <c r="D71" s="71">
        <v>80</v>
      </c>
      <c r="E71" s="48" t="s">
        <v>559</v>
      </c>
      <c r="F71" s="59"/>
      <c r="G71" s="48"/>
      <c r="H71" s="48"/>
      <c r="I71" s="48"/>
      <c r="J71" s="48"/>
      <c r="K71" s="48"/>
      <c r="L71" s="69"/>
    </row>
    <row r="72" spans="1:14">
      <c r="A72" s="3"/>
      <c r="B72" s="3"/>
      <c r="C72" s="3" t="s">
        <v>865</v>
      </c>
      <c r="D72" s="71">
        <v>60</v>
      </c>
      <c r="E72" s="48" t="s">
        <v>559</v>
      </c>
      <c r="F72" s="59"/>
      <c r="G72" s="48"/>
      <c r="H72" s="48"/>
      <c r="I72" s="48"/>
      <c r="J72" s="48"/>
      <c r="K72" s="48"/>
      <c r="L72" s="69"/>
    </row>
    <row r="73" spans="1:14">
      <c r="A73" s="3"/>
      <c r="B73" s="3"/>
      <c r="C73" s="3"/>
      <c r="D73" s="71"/>
      <c r="E73" s="48"/>
      <c r="F73" s="59"/>
      <c r="G73" s="48"/>
      <c r="H73" s="48"/>
      <c r="I73" s="48"/>
      <c r="J73" s="48"/>
      <c r="K73" s="48"/>
      <c r="L73" s="69"/>
    </row>
    <row r="74" spans="1:14">
      <c r="A74" s="3"/>
      <c r="B74" s="3"/>
      <c r="C74" s="3"/>
      <c r="D74" s="71"/>
      <c r="E74" s="48"/>
      <c r="F74" s="59"/>
      <c r="G74" s="48"/>
      <c r="H74" s="48"/>
      <c r="I74" s="48"/>
      <c r="J74" s="48"/>
      <c r="K74" s="48"/>
      <c r="L74" s="69"/>
    </row>
    <row r="75" spans="1:14">
      <c r="A75" s="3"/>
      <c r="B75" s="3"/>
      <c r="C75" s="3"/>
      <c r="D75" s="71"/>
      <c r="E75" s="48"/>
      <c r="F75" s="59"/>
      <c r="G75" s="48"/>
      <c r="H75" s="48"/>
      <c r="I75" s="48"/>
      <c r="J75" s="48"/>
      <c r="K75" s="48"/>
      <c r="L75" s="69"/>
    </row>
    <row r="76" spans="1:14">
      <c r="A76" s="3"/>
      <c r="B76" s="3"/>
      <c r="C76" s="3"/>
      <c r="D76" s="71"/>
      <c r="E76" s="48"/>
      <c r="F76" s="59"/>
      <c r="G76" s="48"/>
      <c r="H76" s="48"/>
      <c r="I76" s="48"/>
      <c r="J76" s="48"/>
      <c r="K76" s="48"/>
      <c r="L76" s="69"/>
    </row>
    <row r="77" spans="1:14">
      <c r="A77" s="3"/>
      <c r="B77" s="3"/>
      <c r="C77" s="3"/>
      <c r="D77" s="71"/>
      <c r="E77" s="48"/>
      <c r="F77" s="59"/>
      <c r="G77" s="48"/>
      <c r="H77" s="48"/>
      <c r="I77" s="48"/>
      <c r="J77" s="48"/>
      <c r="K77" s="48"/>
      <c r="L77" s="69"/>
    </row>
    <row r="78" spans="1:14">
      <c r="D78" s="1"/>
      <c r="E78" s="1"/>
      <c r="G78" s="1"/>
      <c r="H78" s="1"/>
      <c r="I78" s="1"/>
      <c r="J78" s="1"/>
    </row>
    <row r="79" spans="1:14">
      <c r="A79" s="200" t="str">
        <f>$A$4</f>
        <v xml:space="preserve">Please fill in Supplier Name </v>
      </c>
      <c r="B79" s="200" t="s">
        <v>193</v>
      </c>
      <c r="C79" s="200" t="s">
        <v>194</v>
      </c>
      <c r="D79" s="201"/>
      <c r="E79" s="201"/>
      <c r="F79" s="202"/>
      <c r="G79" s="198">
        <f>SUM(G80:G88)</f>
        <v>0</v>
      </c>
      <c r="H79" s="198">
        <f>SUM(H80:H88)</f>
        <v>0</v>
      </c>
      <c r="I79" s="203">
        <f>SUM(G79:H79)</f>
        <v>0</v>
      </c>
      <c r="J79" s="204" t="s">
        <v>169</v>
      </c>
      <c r="K79" s="204" t="s">
        <v>35</v>
      </c>
      <c r="L79" s="200"/>
      <c r="M79" s="207" t="s">
        <v>532</v>
      </c>
      <c r="N79" s="199"/>
    </row>
    <row r="80" spans="1:14">
      <c r="A80" s="278"/>
      <c r="B80" s="278"/>
      <c r="C80" s="77" t="s">
        <v>866</v>
      </c>
      <c r="D80" s="75">
        <v>90</v>
      </c>
      <c r="E80" s="76" t="s">
        <v>547</v>
      </c>
      <c r="F80" s="92"/>
      <c r="G80" s="76"/>
      <c r="H80" s="76"/>
      <c r="I80" s="48"/>
      <c r="J80" s="48"/>
      <c r="K80" s="48"/>
      <c r="L80" s="69"/>
    </row>
    <row r="81" spans="1:14">
      <c r="A81" s="278"/>
      <c r="B81" s="278"/>
      <c r="C81" s="77" t="s">
        <v>867</v>
      </c>
      <c r="D81" s="75">
        <v>30</v>
      </c>
      <c r="E81" s="76" t="s">
        <v>547</v>
      </c>
      <c r="F81" s="92"/>
      <c r="G81" s="76"/>
      <c r="H81" s="76"/>
      <c r="I81" s="48"/>
      <c r="J81" s="48"/>
      <c r="K81" s="48"/>
      <c r="L81" s="69"/>
    </row>
    <row r="82" spans="1:14">
      <c r="A82" s="278"/>
      <c r="B82" s="278"/>
      <c r="C82" s="77" t="s">
        <v>868</v>
      </c>
      <c r="D82" s="75">
        <v>90</v>
      </c>
      <c r="E82" s="76" t="s">
        <v>547</v>
      </c>
      <c r="F82" s="92"/>
      <c r="G82" s="76"/>
      <c r="H82" s="76"/>
      <c r="I82" s="48"/>
      <c r="J82" s="48"/>
      <c r="K82" s="48"/>
      <c r="L82" s="69"/>
    </row>
    <row r="83" spans="1:14">
      <c r="A83" s="278"/>
      <c r="B83" s="278"/>
      <c r="C83" s="77" t="s">
        <v>869</v>
      </c>
      <c r="D83" s="75">
        <v>60</v>
      </c>
      <c r="E83" s="76" t="s">
        <v>547</v>
      </c>
      <c r="F83" s="92"/>
      <c r="G83" s="76"/>
      <c r="H83" s="76"/>
      <c r="I83" s="48"/>
      <c r="J83" s="48"/>
      <c r="K83" s="48"/>
      <c r="L83" s="69"/>
    </row>
    <row r="84" spans="1:14">
      <c r="A84" s="278"/>
      <c r="B84" s="278"/>
      <c r="C84" s="77" t="s">
        <v>870</v>
      </c>
      <c r="D84" s="75">
        <v>1</v>
      </c>
      <c r="E84" s="76" t="s">
        <v>582</v>
      </c>
      <c r="F84" s="92"/>
      <c r="G84" s="76"/>
      <c r="H84" s="76"/>
      <c r="I84" s="48"/>
      <c r="J84" s="48"/>
      <c r="K84" s="48"/>
      <c r="L84" s="69"/>
    </row>
    <row r="85" spans="1:14">
      <c r="A85" s="278"/>
      <c r="B85" s="278"/>
      <c r="C85" s="279"/>
      <c r="D85" s="75"/>
      <c r="E85" s="76"/>
      <c r="F85" s="92"/>
      <c r="G85" s="76"/>
      <c r="H85" s="76"/>
      <c r="I85" s="48"/>
      <c r="J85" s="48"/>
      <c r="K85" s="48"/>
      <c r="L85" s="69"/>
    </row>
    <row r="86" spans="1:14">
      <c r="A86" s="278"/>
      <c r="B86" s="278"/>
      <c r="C86" s="279"/>
      <c r="D86" s="75"/>
      <c r="E86" s="76"/>
      <c r="F86" s="92"/>
      <c r="G86" s="76"/>
      <c r="H86" s="76"/>
      <c r="I86" s="48"/>
      <c r="J86" s="48"/>
      <c r="K86" s="48"/>
      <c r="L86" s="69"/>
    </row>
    <row r="87" spans="1:14">
      <c r="A87" s="278"/>
      <c r="B87" s="278"/>
      <c r="C87" s="279"/>
      <c r="D87" s="75"/>
      <c r="E87" s="76"/>
      <c r="F87" s="92"/>
      <c r="G87" s="76"/>
      <c r="H87" s="76"/>
      <c r="I87" s="48"/>
      <c r="J87" s="48"/>
      <c r="K87" s="48"/>
      <c r="L87" s="69"/>
    </row>
    <row r="88" spans="1:14">
      <c r="A88" s="278"/>
      <c r="B88" s="278"/>
      <c r="C88" s="279"/>
      <c r="D88" s="75"/>
      <c r="E88" s="76"/>
      <c r="F88" s="92"/>
      <c r="G88" s="76"/>
      <c r="H88" s="76"/>
      <c r="I88" s="48"/>
      <c r="J88" s="48"/>
      <c r="K88" s="48"/>
      <c r="L88" s="69"/>
    </row>
    <row r="89" spans="1:14">
      <c r="D89" s="1"/>
      <c r="E89" s="1"/>
      <c r="G89" s="1"/>
      <c r="H89" s="1"/>
      <c r="I89" s="1"/>
      <c r="J89" s="1"/>
    </row>
    <row r="90" spans="1:14">
      <c r="A90" s="242" t="str">
        <f>$A$4</f>
        <v xml:space="preserve">Please fill in Supplier Name </v>
      </c>
      <c r="B90" s="242" t="s">
        <v>199</v>
      </c>
      <c r="C90" s="242" t="s">
        <v>200</v>
      </c>
      <c r="D90" s="243"/>
      <c r="E90" s="243"/>
      <c r="F90" s="244"/>
      <c r="G90" s="245">
        <f>SUM(G91:G99)</f>
        <v>0</v>
      </c>
      <c r="H90" s="245">
        <f>SUM(H91:H99)</f>
        <v>0</v>
      </c>
      <c r="I90" s="246">
        <f>SUM(G90:H90)</f>
        <v>0</v>
      </c>
      <c r="J90" s="247" t="s">
        <v>169</v>
      </c>
      <c r="K90" s="247" t="s">
        <v>35</v>
      </c>
      <c r="L90" s="242"/>
      <c r="M90" s="250" t="s">
        <v>543</v>
      </c>
      <c r="N90" s="240"/>
    </row>
    <row r="91" spans="1:14">
      <c r="A91" s="278"/>
      <c r="B91" s="278"/>
      <c r="C91" s="77" t="s">
        <v>871</v>
      </c>
      <c r="D91" s="75">
        <v>90</v>
      </c>
      <c r="E91" s="76" t="s">
        <v>547</v>
      </c>
      <c r="F91" s="92"/>
      <c r="G91" s="76"/>
      <c r="H91" s="76"/>
      <c r="I91" s="48"/>
      <c r="J91" s="48"/>
      <c r="K91" s="48"/>
      <c r="L91" s="69"/>
    </row>
    <row r="92" spans="1:14">
      <c r="A92" s="278"/>
      <c r="B92" s="278"/>
      <c r="C92" s="77" t="s">
        <v>872</v>
      </c>
      <c r="D92" s="75">
        <v>30</v>
      </c>
      <c r="E92" s="76" t="s">
        <v>547</v>
      </c>
      <c r="F92" s="92"/>
      <c r="G92" s="76"/>
      <c r="H92" s="76"/>
      <c r="I92" s="48"/>
      <c r="J92" s="48"/>
      <c r="K92" s="48"/>
      <c r="L92" s="69"/>
    </row>
    <row r="93" spans="1:14">
      <c r="A93" s="278"/>
      <c r="B93" s="278"/>
      <c r="C93" s="77" t="s">
        <v>873</v>
      </c>
      <c r="D93" s="75">
        <v>90</v>
      </c>
      <c r="E93" s="76" t="s">
        <v>547</v>
      </c>
      <c r="F93" s="92"/>
      <c r="G93" s="76"/>
      <c r="H93" s="76"/>
      <c r="I93" s="48"/>
      <c r="J93" s="48"/>
      <c r="K93" s="48"/>
      <c r="L93" s="69"/>
    </row>
    <row r="94" spans="1:14">
      <c r="A94" s="278"/>
      <c r="B94" s="278"/>
      <c r="C94" s="77" t="s">
        <v>874</v>
      </c>
      <c r="D94" s="75">
        <v>60</v>
      </c>
      <c r="E94" s="76" t="s">
        <v>547</v>
      </c>
      <c r="F94" s="92"/>
      <c r="G94" s="76"/>
      <c r="H94" s="76"/>
      <c r="I94" s="48"/>
      <c r="J94" s="48"/>
      <c r="K94" s="48"/>
      <c r="L94" s="69"/>
    </row>
    <row r="95" spans="1:14">
      <c r="A95" s="278"/>
      <c r="B95" s="278"/>
      <c r="C95" s="77"/>
      <c r="D95" s="75"/>
      <c r="E95" s="76"/>
      <c r="F95" s="92"/>
      <c r="G95" s="76"/>
      <c r="H95" s="76"/>
      <c r="I95" s="48"/>
      <c r="J95" s="48"/>
      <c r="K95" s="48"/>
      <c r="L95" s="69"/>
    </row>
    <row r="96" spans="1:14">
      <c r="A96" s="278"/>
      <c r="B96" s="278"/>
      <c r="C96" s="77"/>
      <c r="D96" s="75"/>
      <c r="E96" s="76"/>
      <c r="F96" s="92"/>
      <c r="G96" s="76"/>
      <c r="H96" s="76"/>
      <c r="I96" s="48"/>
      <c r="J96" s="48"/>
      <c r="K96" s="48"/>
      <c r="L96" s="69"/>
    </row>
    <row r="97" spans="1:14">
      <c r="A97" s="278"/>
      <c r="B97" s="278"/>
      <c r="C97" s="77"/>
      <c r="D97" s="75"/>
      <c r="E97" s="76"/>
      <c r="F97" s="92"/>
      <c r="G97" s="76"/>
      <c r="H97" s="76"/>
      <c r="I97" s="48"/>
      <c r="J97" s="48"/>
      <c r="K97" s="48"/>
      <c r="L97" s="69"/>
    </row>
    <row r="98" spans="1:14">
      <c r="A98" s="278"/>
      <c r="B98" s="278"/>
      <c r="C98" s="77"/>
      <c r="D98" s="75"/>
      <c r="E98" s="76"/>
      <c r="F98" s="92"/>
      <c r="G98" s="76"/>
      <c r="H98" s="76"/>
      <c r="I98" s="48"/>
      <c r="J98" s="48"/>
      <c r="K98" s="48"/>
      <c r="L98" s="69"/>
    </row>
    <row r="99" spans="1:14">
      <c r="A99" s="278"/>
      <c r="B99" s="278"/>
      <c r="C99" s="279"/>
      <c r="D99" s="75"/>
      <c r="E99" s="76"/>
      <c r="F99" s="92"/>
      <c r="G99" s="76"/>
      <c r="H99" s="76"/>
      <c r="I99" s="48"/>
      <c r="J99" s="48"/>
      <c r="K99" s="48"/>
      <c r="L99" s="69"/>
    </row>
    <row r="100" spans="1:14">
      <c r="D100" s="1"/>
      <c r="E100" s="1"/>
      <c r="G100" s="1"/>
      <c r="H100" s="1"/>
      <c r="I100" s="1"/>
      <c r="J100" s="1"/>
    </row>
    <row r="101" spans="1:14">
      <c r="A101" s="9" t="str">
        <f>$A$4</f>
        <v xml:space="preserve">Please fill in Supplier Name </v>
      </c>
      <c r="B101" s="9" t="s">
        <v>178</v>
      </c>
      <c r="C101" s="9" t="s">
        <v>179</v>
      </c>
      <c r="D101" s="10"/>
      <c r="E101" s="10"/>
      <c r="F101" s="91"/>
      <c r="G101" s="7">
        <f>SUM(G102:G110)</f>
        <v>0</v>
      </c>
      <c r="H101" s="7">
        <f>SUM(H102:H110)</f>
        <v>0</v>
      </c>
      <c r="I101" s="57">
        <f>SUM(G101:H101)</f>
        <v>0</v>
      </c>
      <c r="J101" s="14" t="s">
        <v>169</v>
      </c>
      <c r="K101" s="14" t="s">
        <v>110</v>
      </c>
      <c r="L101" s="17" t="s">
        <v>180</v>
      </c>
      <c r="M101" s="12" t="s">
        <v>544</v>
      </c>
      <c r="N101" s="12" t="s">
        <v>875</v>
      </c>
    </row>
    <row r="102" spans="1:14">
      <c r="A102" s="278"/>
      <c r="B102" s="278"/>
      <c r="C102" s="3" t="s">
        <v>876</v>
      </c>
      <c r="D102" s="71">
        <v>100</v>
      </c>
      <c r="E102" s="48" t="s">
        <v>559</v>
      </c>
      <c r="F102" s="59"/>
      <c r="G102" s="48"/>
      <c r="H102" s="48"/>
      <c r="I102" s="48"/>
      <c r="J102" s="48"/>
      <c r="K102" s="48"/>
      <c r="L102" s="69"/>
    </row>
    <row r="103" spans="1:14">
      <c r="A103" s="278"/>
      <c r="B103" s="278"/>
      <c r="C103" s="3" t="s">
        <v>877</v>
      </c>
      <c r="D103" s="71">
        <v>30</v>
      </c>
      <c r="E103" s="48" t="s">
        <v>665</v>
      </c>
      <c r="F103" s="59"/>
      <c r="G103" s="48"/>
      <c r="H103" s="48"/>
      <c r="I103" s="48"/>
      <c r="J103" s="48"/>
      <c r="K103" s="48"/>
      <c r="L103" s="69"/>
    </row>
    <row r="104" spans="1:14">
      <c r="A104" s="278"/>
      <c r="B104" s="278"/>
      <c r="C104" s="3" t="s">
        <v>878</v>
      </c>
      <c r="D104" s="71">
        <v>80</v>
      </c>
      <c r="E104" s="48" t="s">
        <v>559</v>
      </c>
      <c r="F104" s="59"/>
      <c r="G104" s="48"/>
      <c r="H104" s="48"/>
      <c r="I104" s="48"/>
      <c r="J104" s="48"/>
      <c r="K104" s="48"/>
      <c r="L104" s="69"/>
    </row>
    <row r="105" spans="1:14">
      <c r="A105" s="278"/>
      <c r="B105" s="278"/>
      <c r="C105" s="3" t="s">
        <v>879</v>
      </c>
      <c r="D105" s="71">
        <v>40</v>
      </c>
      <c r="E105" s="48" t="s">
        <v>559</v>
      </c>
      <c r="F105" s="59"/>
      <c r="G105" s="48"/>
      <c r="H105" s="48"/>
      <c r="I105" s="48"/>
      <c r="J105" s="48"/>
      <c r="K105" s="48"/>
      <c r="L105" s="69"/>
    </row>
    <row r="106" spans="1:14">
      <c r="A106" s="278"/>
      <c r="B106" s="278"/>
      <c r="C106" s="3" t="s">
        <v>880</v>
      </c>
      <c r="D106" s="71">
        <v>0</v>
      </c>
      <c r="E106" s="48"/>
      <c r="F106" s="59"/>
      <c r="G106" s="48"/>
      <c r="H106" s="48"/>
      <c r="I106" s="48"/>
      <c r="J106" s="48"/>
      <c r="K106" s="48"/>
      <c r="L106" s="69"/>
    </row>
    <row r="107" spans="1:14">
      <c r="A107" s="278"/>
      <c r="B107" s="278"/>
      <c r="C107" s="278" t="s">
        <v>881</v>
      </c>
      <c r="D107" s="71" t="s">
        <v>881</v>
      </c>
      <c r="E107" s="48"/>
      <c r="F107" s="59"/>
      <c r="G107" s="48"/>
      <c r="H107" s="48"/>
      <c r="I107" s="48"/>
      <c r="J107" s="48"/>
      <c r="K107" s="48"/>
      <c r="L107" s="69"/>
    </row>
    <row r="108" spans="1:14">
      <c r="A108" s="278"/>
      <c r="B108" s="278"/>
      <c r="C108" s="278"/>
      <c r="D108" s="71"/>
      <c r="E108" s="48"/>
      <c r="F108" s="59"/>
      <c r="G108" s="48"/>
      <c r="H108" s="48"/>
      <c r="I108" s="48"/>
      <c r="J108" s="48"/>
      <c r="K108" s="48"/>
      <c r="L108" s="69"/>
    </row>
    <row r="109" spans="1:14">
      <c r="A109" s="278"/>
      <c r="B109" s="278"/>
      <c r="C109" s="278"/>
      <c r="D109" s="71"/>
      <c r="E109" s="48"/>
      <c r="F109" s="59"/>
      <c r="G109" s="48"/>
      <c r="H109" s="48"/>
      <c r="I109" s="48"/>
      <c r="J109" s="48"/>
      <c r="K109" s="48"/>
      <c r="L109" s="69"/>
    </row>
    <row r="110" spans="1:14">
      <c r="A110" s="278"/>
      <c r="B110" s="278"/>
      <c r="C110" s="278"/>
      <c r="D110" s="71"/>
      <c r="E110" s="48"/>
      <c r="F110" s="59"/>
      <c r="G110" s="48"/>
      <c r="H110" s="48"/>
      <c r="I110" s="48"/>
      <c r="J110" s="48"/>
      <c r="K110" s="48"/>
      <c r="L110" s="69"/>
    </row>
    <row r="111" spans="1:14">
      <c r="A111" s="278"/>
      <c r="B111" s="278"/>
      <c r="C111" s="278"/>
      <c r="D111" s="1"/>
      <c r="E111" s="1"/>
      <c r="G111" s="1"/>
      <c r="H111" s="1"/>
      <c r="I111" s="1"/>
      <c r="J111" s="1"/>
    </row>
    <row r="112" spans="1:14">
      <c r="A112" s="200" t="str">
        <f>$A$4</f>
        <v xml:space="preserve">Please fill in Supplier Name </v>
      </c>
      <c r="B112" s="200" t="s">
        <v>195</v>
      </c>
      <c r="C112" s="200" t="s">
        <v>196</v>
      </c>
      <c r="D112" s="201"/>
      <c r="E112" s="201"/>
      <c r="F112" s="202"/>
      <c r="G112" s="198">
        <f>SUM(G113:G121)</f>
        <v>0</v>
      </c>
      <c r="H112" s="198">
        <f>SUM(H113:H121)</f>
        <v>0</v>
      </c>
      <c r="I112" s="203">
        <f>SUM(G112:H112)</f>
        <v>0</v>
      </c>
      <c r="J112" s="204" t="s">
        <v>169</v>
      </c>
      <c r="K112" s="204" t="s">
        <v>110</v>
      </c>
      <c r="L112" s="209" t="s">
        <v>180</v>
      </c>
      <c r="M112" s="207" t="s">
        <v>532</v>
      </c>
      <c r="N112" s="199"/>
    </row>
    <row r="113" spans="1:14">
      <c r="A113" s="278"/>
      <c r="B113" s="278"/>
      <c r="C113" s="77" t="s">
        <v>882</v>
      </c>
      <c r="D113" s="75">
        <v>90</v>
      </c>
      <c r="E113" s="76" t="s">
        <v>547</v>
      </c>
      <c r="F113" s="92" t="s">
        <v>651</v>
      </c>
      <c r="G113" s="76"/>
      <c r="H113" s="76"/>
      <c r="I113" s="48"/>
      <c r="J113" s="48"/>
      <c r="K113" s="48"/>
      <c r="L113" s="69"/>
    </row>
    <row r="114" spans="1:14">
      <c r="A114" s="278"/>
      <c r="B114" s="278"/>
      <c r="C114" s="77" t="s">
        <v>652</v>
      </c>
      <c r="D114" s="75">
        <v>30</v>
      </c>
      <c r="E114" s="76" t="s">
        <v>547</v>
      </c>
      <c r="F114" s="92"/>
      <c r="G114" s="76"/>
      <c r="H114" s="76"/>
      <c r="I114" s="48"/>
      <c r="J114" s="48"/>
      <c r="K114" s="48"/>
      <c r="L114" s="69"/>
    </row>
    <row r="115" spans="1:14">
      <c r="A115" s="278"/>
      <c r="B115" s="278"/>
      <c r="C115" s="77" t="s">
        <v>653</v>
      </c>
      <c r="D115" s="75">
        <v>30</v>
      </c>
      <c r="E115" s="76" t="s">
        <v>547</v>
      </c>
      <c r="F115" s="92"/>
      <c r="G115" s="76"/>
      <c r="H115" s="76"/>
      <c r="I115" s="48"/>
      <c r="J115" s="48"/>
      <c r="K115" s="48"/>
      <c r="L115" s="69"/>
    </row>
    <row r="116" spans="1:14">
      <c r="A116" s="278"/>
      <c r="B116" s="278"/>
      <c r="C116" s="77" t="s">
        <v>654</v>
      </c>
      <c r="D116" s="75">
        <v>60</v>
      </c>
      <c r="E116" s="76" t="s">
        <v>547</v>
      </c>
      <c r="F116" s="92"/>
      <c r="G116" s="76"/>
      <c r="H116" s="76"/>
      <c r="I116" s="48"/>
      <c r="J116" s="48"/>
      <c r="K116" s="48"/>
      <c r="L116" s="69"/>
    </row>
    <row r="117" spans="1:14">
      <c r="A117" s="278"/>
      <c r="B117" s="278"/>
      <c r="C117" s="279" t="s">
        <v>655</v>
      </c>
      <c r="D117" s="75" t="s">
        <v>656</v>
      </c>
      <c r="E117" s="76" t="s">
        <v>547</v>
      </c>
      <c r="F117" s="92"/>
      <c r="G117" s="76"/>
      <c r="H117" s="76"/>
      <c r="I117" s="48"/>
      <c r="J117" s="48"/>
      <c r="K117" s="48"/>
      <c r="L117" s="69"/>
    </row>
    <row r="118" spans="1:14">
      <c r="A118" s="278"/>
      <c r="B118" s="278"/>
      <c r="C118" s="279"/>
      <c r="D118" s="75"/>
      <c r="E118" s="76"/>
      <c r="F118" s="92"/>
      <c r="G118" s="76"/>
      <c r="H118" s="76"/>
      <c r="I118" s="48"/>
      <c r="J118" s="48"/>
      <c r="K118" s="48"/>
      <c r="L118" s="69"/>
    </row>
    <row r="119" spans="1:14">
      <c r="A119" s="278"/>
      <c r="B119" s="278"/>
      <c r="C119" s="279"/>
      <c r="D119" s="75"/>
      <c r="E119" s="76"/>
      <c r="F119" s="92"/>
      <c r="G119" s="76"/>
      <c r="H119" s="76"/>
      <c r="I119" s="48"/>
      <c r="J119" s="48"/>
      <c r="K119" s="48"/>
      <c r="L119" s="69"/>
    </row>
    <row r="120" spans="1:14">
      <c r="A120" s="278"/>
      <c r="B120" s="278"/>
      <c r="C120" s="279"/>
      <c r="D120" s="75"/>
      <c r="E120" s="76"/>
      <c r="F120" s="92"/>
      <c r="G120" s="76"/>
      <c r="H120" s="76"/>
      <c r="I120" s="48"/>
      <c r="J120" s="48"/>
      <c r="K120" s="48"/>
      <c r="L120" s="69"/>
    </row>
    <row r="121" spans="1:14">
      <c r="A121" s="278"/>
      <c r="B121" s="278"/>
      <c r="C121" s="279"/>
      <c r="D121" s="75"/>
      <c r="E121" s="76"/>
      <c r="F121" s="92"/>
      <c r="G121" s="76"/>
      <c r="H121" s="76"/>
      <c r="I121" s="48"/>
      <c r="J121" s="48"/>
      <c r="K121" s="48"/>
      <c r="L121" s="69"/>
    </row>
    <row r="122" spans="1:14">
      <c r="D122" s="1"/>
      <c r="E122" s="1"/>
      <c r="G122" s="1"/>
      <c r="H122" s="1"/>
      <c r="I122" s="1"/>
      <c r="J122" s="1"/>
    </row>
    <row r="123" spans="1:14">
      <c r="A123" s="242" t="str">
        <f>$A$4</f>
        <v xml:space="preserve">Please fill in Supplier Name </v>
      </c>
      <c r="B123" s="242" t="s">
        <v>201</v>
      </c>
      <c r="C123" s="242" t="s">
        <v>202</v>
      </c>
      <c r="D123" s="243"/>
      <c r="E123" s="243"/>
      <c r="F123" s="244"/>
      <c r="G123" s="245">
        <f>SUM(G124:G132)</f>
        <v>0</v>
      </c>
      <c r="H123" s="245">
        <f>SUM(H124:H132)</f>
        <v>0</v>
      </c>
      <c r="I123" s="246">
        <f>SUM(G123:H123)</f>
        <v>0</v>
      </c>
      <c r="J123" s="247" t="s">
        <v>169</v>
      </c>
      <c r="K123" s="247" t="s">
        <v>110</v>
      </c>
      <c r="L123" s="252" t="s">
        <v>180</v>
      </c>
      <c r="M123" s="250" t="s">
        <v>543</v>
      </c>
      <c r="N123" s="240"/>
    </row>
    <row r="124" spans="1:14">
      <c r="A124" s="3"/>
      <c r="B124" s="3"/>
      <c r="C124" s="77" t="s">
        <v>883</v>
      </c>
      <c r="D124" s="75">
        <v>90</v>
      </c>
      <c r="E124" s="76" t="s">
        <v>547</v>
      </c>
      <c r="F124" s="92" t="s">
        <v>651</v>
      </c>
      <c r="G124" s="76"/>
      <c r="H124" s="76"/>
      <c r="I124" s="48"/>
      <c r="J124" s="48"/>
      <c r="K124" s="48"/>
      <c r="L124" s="69"/>
    </row>
    <row r="125" spans="1:14">
      <c r="A125" s="3"/>
      <c r="B125" s="3"/>
      <c r="C125" s="77" t="s">
        <v>658</v>
      </c>
      <c r="D125" s="75">
        <v>30</v>
      </c>
      <c r="E125" s="76" t="s">
        <v>547</v>
      </c>
      <c r="F125" s="92"/>
      <c r="G125" s="76"/>
      <c r="H125" s="76"/>
      <c r="I125" s="48"/>
      <c r="J125" s="48"/>
      <c r="K125" s="48"/>
      <c r="L125" s="69"/>
    </row>
    <row r="126" spans="1:14">
      <c r="A126" s="3"/>
      <c r="B126" s="3"/>
      <c r="C126" s="77" t="s">
        <v>659</v>
      </c>
      <c r="D126" s="75">
        <v>60</v>
      </c>
      <c r="E126" s="76" t="s">
        <v>547</v>
      </c>
      <c r="F126" s="92"/>
      <c r="G126" s="76"/>
      <c r="H126" s="76"/>
      <c r="I126" s="48"/>
      <c r="J126" s="48"/>
      <c r="K126" s="48"/>
      <c r="L126" s="69"/>
    </row>
    <row r="127" spans="1:14">
      <c r="A127" s="3"/>
      <c r="B127" s="3"/>
      <c r="C127" s="77" t="s">
        <v>660</v>
      </c>
      <c r="D127" s="75">
        <v>30</v>
      </c>
      <c r="E127" s="76" t="s">
        <v>547</v>
      </c>
      <c r="F127" s="92"/>
      <c r="G127" s="76"/>
      <c r="H127" s="76"/>
      <c r="I127" s="48"/>
      <c r="J127" s="48"/>
      <c r="K127" s="48"/>
      <c r="L127" s="69"/>
    </row>
    <row r="128" spans="1:14">
      <c r="A128" s="3"/>
      <c r="B128" s="3"/>
      <c r="C128" s="77" t="s">
        <v>661</v>
      </c>
      <c r="D128" s="75">
        <v>30</v>
      </c>
      <c r="E128" s="76" t="s">
        <v>547</v>
      </c>
      <c r="F128" s="92"/>
      <c r="G128" s="76"/>
      <c r="H128" s="76"/>
      <c r="I128" s="48"/>
      <c r="J128" s="48"/>
      <c r="K128" s="48"/>
      <c r="L128" s="69"/>
    </row>
    <row r="129" spans="1:14">
      <c r="A129" s="3"/>
      <c r="B129" s="3"/>
      <c r="C129" s="77"/>
      <c r="D129" s="75"/>
      <c r="E129" s="76"/>
      <c r="F129" s="92"/>
      <c r="G129" s="76"/>
      <c r="H129" s="76"/>
      <c r="I129" s="48"/>
      <c r="J129" s="48"/>
      <c r="K129" s="48"/>
      <c r="L129" s="69"/>
    </row>
    <row r="130" spans="1:14">
      <c r="A130" s="3"/>
      <c r="B130" s="3"/>
      <c r="C130" s="77"/>
      <c r="D130" s="75"/>
      <c r="E130" s="76"/>
      <c r="F130" s="92"/>
      <c r="G130" s="76"/>
      <c r="H130" s="76"/>
      <c r="I130" s="48"/>
      <c r="J130" s="48"/>
      <c r="K130" s="48"/>
      <c r="L130" s="69"/>
    </row>
    <row r="131" spans="1:14">
      <c r="A131" s="3"/>
      <c r="B131" s="3"/>
      <c r="C131" s="77"/>
      <c r="D131" s="75"/>
      <c r="E131" s="76"/>
      <c r="F131" s="92"/>
      <c r="G131" s="76"/>
      <c r="H131" s="76"/>
      <c r="I131" s="48"/>
      <c r="J131" s="48"/>
      <c r="K131" s="48"/>
      <c r="L131" s="69"/>
    </row>
    <row r="132" spans="1:14">
      <c r="A132" s="3"/>
      <c r="B132" s="3"/>
      <c r="C132" s="77"/>
      <c r="D132" s="75"/>
      <c r="E132" s="76"/>
      <c r="F132" s="92"/>
      <c r="G132" s="76"/>
      <c r="H132" s="76"/>
      <c r="I132" s="48"/>
      <c r="J132" s="48"/>
      <c r="K132" s="48"/>
      <c r="L132" s="69"/>
    </row>
    <row r="133" spans="1:14">
      <c r="D133" s="1"/>
      <c r="E133" s="1"/>
      <c r="G133" s="1"/>
      <c r="H133" s="1"/>
      <c r="I133" s="1"/>
      <c r="J133" s="1"/>
    </row>
    <row r="134" spans="1:14">
      <c r="A134" s="9" t="str">
        <f>$A$4</f>
        <v xml:space="preserve">Please fill in Supplier Name </v>
      </c>
      <c r="B134" s="9" t="s">
        <v>181</v>
      </c>
      <c r="C134" s="9" t="s">
        <v>182</v>
      </c>
      <c r="D134" s="10"/>
      <c r="E134" s="10"/>
      <c r="F134" s="91"/>
      <c r="G134" s="7">
        <f>SUM(G135:G137)</f>
        <v>0</v>
      </c>
      <c r="H134" s="7">
        <f>SUM(H135:H137)</f>
        <v>0</v>
      </c>
      <c r="I134" s="57">
        <f>SUM(G134:H134)</f>
        <v>0</v>
      </c>
      <c r="J134" s="14" t="s">
        <v>169</v>
      </c>
      <c r="K134" s="11">
        <v>1</v>
      </c>
      <c r="L134" s="13"/>
      <c r="M134" s="12" t="s">
        <v>544</v>
      </c>
      <c r="N134" s="12" t="s">
        <v>884</v>
      </c>
    </row>
    <row r="135" spans="1:14">
      <c r="A135" s="278"/>
      <c r="B135" s="278"/>
      <c r="C135" s="3" t="s">
        <v>885</v>
      </c>
      <c r="D135" s="71">
        <v>40</v>
      </c>
      <c r="E135" s="48" t="s">
        <v>559</v>
      </c>
      <c r="F135" s="59"/>
      <c r="G135" s="48"/>
      <c r="H135" s="48"/>
      <c r="I135" s="48"/>
      <c r="J135" s="48"/>
      <c r="K135" s="48"/>
      <c r="L135" s="69"/>
    </row>
    <row r="136" spans="1:14">
      <c r="A136" s="278"/>
      <c r="B136" s="278"/>
      <c r="C136" s="3" t="s">
        <v>886</v>
      </c>
      <c r="D136" s="71">
        <v>20</v>
      </c>
      <c r="E136" s="48" t="s">
        <v>559</v>
      </c>
      <c r="F136" s="59"/>
      <c r="G136" s="48"/>
      <c r="H136" s="48"/>
      <c r="I136" s="48"/>
      <c r="J136" s="48"/>
      <c r="K136" s="48"/>
      <c r="L136" s="69"/>
    </row>
    <row r="137" spans="1:14">
      <c r="A137" s="278"/>
      <c r="B137" s="278"/>
      <c r="C137" s="3" t="s">
        <v>887</v>
      </c>
      <c r="D137" s="71">
        <v>10</v>
      </c>
      <c r="E137" s="48" t="s">
        <v>559</v>
      </c>
      <c r="F137" s="59"/>
      <c r="G137" s="48"/>
      <c r="H137" s="48"/>
      <c r="I137" s="48"/>
      <c r="J137" s="48"/>
      <c r="K137" s="48"/>
      <c r="L137" s="69"/>
    </row>
    <row r="138" spans="1:14">
      <c r="D138" s="1"/>
      <c r="E138" s="1"/>
      <c r="G138" s="1"/>
      <c r="H138" s="1"/>
      <c r="I138" s="1"/>
      <c r="J138" s="1"/>
    </row>
    <row r="139" spans="1:14">
      <c r="A139" s="200" t="str">
        <f>$A$4</f>
        <v xml:space="preserve">Please fill in Supplier Name </v>
      </c>
      <c r="B139" s="200" t="s">
        <v>183</v>
      </c>
      <c r="C139" s="200" t="s">
        <v>184</v>
      </c>
      <c r="D139" s="201"/>
      <c r="E139" s="201"/>
      <c r="F139" s="202"/>
      <c r="G139" s="198">
        <f>SUM(G140:G142)</f>
        <v>0</v>
      </c>
      <c r="H139" s="198">
        <f>SUM(H140:H142)</f>
        <v>0</v>
      </c>
      <c r="I139" s="203">
        <f>SUM(G139:H139)</f>
        <v>0</v>
      </c>
      <c r="J139" s="204" t="s">
        <v>169</v>
      </c>
      <c r="K139" s="205">
        <v>1</v>
      </c>
      <c r="L139" s="208"/>
      <c r="M139" s="207" t="s">
        <v>532</v>
      </c>
      <c r="N139" s="199"/>
    </row>
    <row r="140" spans="1:14">
      <c r="A140" s="278"/>
      <c r="B140" s="278"/>
      <c r="C140" s="77" t="s">
        <v>888</v>
      </c>
      <c r="D140" s="75">
        <v>60</v>
      </c>
      <c r="E140" s="76" t="s">
        <v>547</v>
      </c>
      <c r="F140" s="92" t="s">
        <v>889</v>
      </c>
      <c r="G140" s="76"/>
      <c r="H140" s="76"/>
      <c r="I140" s="48"/>
      <c r="J140" s="48"/>
      <c r="K140" s="48"/>
      <c r="L140" s="69"/>
    </row>
    <row r="141" spans="1:14">
      <c r="A141" s="278"/>
      <c r="B141" s="278"/>
      <c r="C141" s="77" t="s">
        <v>890</v>
      </c>
      <c r="D141" s="75">
        <v>10</v>
      </c>
      <c r="E141" s="76" t="s">
        <v>547</v>
      </c>
      <c r="F141" s="92"/>
      <c r="G141" s="76"/>
      <c r="H141" s="76"/>
      <c r="I141" s="48"/>
      <c r="J141" s="48"/>
      <c r="K141" s="48"/>
      <c r="L141" s="69"/>
    </row>
    <row r="142" spans="1:14">
      <c r="A142" s="278"/>
      <c r="B142" s="278"/>
      <c r="C142" s="279"/>
      <c r="D142" s="75"/>
      <c r="E142" s="76"/>
      <c r="F142" s="92"/>
      <c r="G142" s="76"/>
      <c r="H142" s="76"/>
      <c r="I142" s="48"/>
      <c r="J142" s="48"/>
      <c r="K142" s="48"/>
      <c r="L142" s="69"/>
    </row>
    <row r="143" spans="1:14">
      <c r="D143" s="1"/>
      <c r="E143" s="1"/>
      <c r="G143" s="1"/>
      <c r="H143" s="1"/>
      <c r="I143" s="1"/>
      <c r="J143" s="1"/>
    </row>
    <row r="144" spans="1:14">
      <c r="A144" s="242" t="str">
        <f>$A$4</f>
        <v xml:space="preserve">Please fill in Supplier Name </v>
      </c>
      <c r="B144" s="242" t="s">
        <v>185</v>
      </c>
      <c r="C144" s="242" t="s">
        <v>186</v>
      </c>
      <c r="D144" s="243"/>
      <c r="E144" s="243"/>
      <c r="F144" s="244"/>
      <c r="G144" s="245">
        <f>SUM(G145:G147)</f>
        <v>0</v>
      </c>
      <c r="H144" s="245">
        <f>SUM(H145:H147)</f>
        <v>0</v>
      </c>
      <c r="I144" s="246">
        <f>SUM(G144:H144)</f>
        <v>0</v>
      </c>
      <c r="J144" s="247" t="s">
        <v>169</v>
      </c>
      <c r="K144" s="248">
        <v>1</v>
      </c>
      <c r="L144" s="251"/>
      <c r="M144" s="250" t="s">
        <v>543</v>
      </c>
      <c r="N144" s="240" t="s">
        <v>502</v>
      </c>
    </row>
    <row r="145" spans="1:14">
      <c r="A145" s="278"/>
      <c r="B145" s="278"/>
      <c r="C145" s="77" t="s">
        <v>891</v>
      </c>
      <c r="D145" s="75">
        <v>60</v>
      </c>
      <c r="E145" s="76" t="s">
        <v>547</v>
      </c>
      <c r="F145" s="92" t="s">
        <v>889</v>
      </c>
      <c r="G145" s="76"/>
      <c r="H145" s="76"/>
      <c r="I145" s="48"/>
      <c r="J145" s="48"/>
      <c r="K145" s="48"/>
      <c r="L145" s="69"/>
    </row>
    <row r="146" spans="1:14">
      <c r="A146" s="278"/>
      <c r="B146" s="278"/>
      <c r="C146" s="77" t="s">
        <v>892</v>
      </c>
      <c r="D146" s="75">
        <v>2</v>
      </c>
      <c r="E146" s="76" t="s">
        <v>694</v>
      </c>
      <c r="F146" s="92"/>
      <c r="G146" s="76"/>
      <c r="H146" s="76"/>
      <c r="I146" s="48"/>
      <c r="J146" s="48"/>
      <c r="K146" s="48"/>
      <c r="L146" s="69"/>
    </row>
    <row r="147" spans="1:14">
      <c r="A147" s="278"/>
      <c r="B147" s="278"/>
      <c r="C147" s="77" t="s">
        <v>893</v>
      </c>
      <c r="D147" s="75">
        <v>3</v>
      </c>
      <c r="E147" s="76" t="s">
        <v>694</v>
      </c>
      <c r="F147" s="92"/>
      <c r="G147" s="76"/>
      <c r="H147" s="76"/>
      <c r="I147" s="48"/>
      <c r="J147" s="48"/>
      <c r="K147" s="48"/>
      <c r="L147" s="69"/>
    </row>
    <row r="148" spans="1:14">
      <c r="D148" s="1"/>
      <c r="E148" s="1"/>
      <c r="G148" s="1"/>
      <c r="H148" s="1"/>
      <c r="I148" s="1"/>
      <c r="J148" s="1"/>
    </row>
    <row r="149" spans="1:14">
      <c r="A149" s="9" t="str">
        <f>$A$4</f>
        <v xml:space="preserve">Please fill in Supplier Name </v>
      </c>
      <c r="B149" s="9" t="s">
        <v>187</v>
      </c>
      <c r="C149" s="9" t="s">
        <v>894</v>
      </c>
      <c r="D149" s="10"/>
      <c r="E149" s="10"/>
      <c r="F149" s="91"/>
      <c r="G149" s="7">
        <f>SUM(G150:G152)</f>
        <v>0</v>
      </c>
      <c r="H149" s="7">
        <f>SUM(H150:H152)</f>
        <v>0</v>
      </c>
      <c r="I149" s="57">
        <f>SUM(G149:H149)</f>
        <v>0</v>
      </c>
      <c r="J149" s="14" t="s">
        <v>169</v>
      </c>
      <c r="K149" s="11" t="s">
        <v>189</v>
      </c>
      <c r="L149" s="16" t="s">
        <v>190</v>
      </c>
      <c r="M149" s="15" t="s">
        <v>544</v>
      </c>
      <c r="N149" s="12" t="s">
        <v>895</v>
      </c>
    </row>
    <row r="150" spans="1:14">
      <c r="A150" s="278"/>
      <c r="B150" s="278"/>
      <c r="C150" s="3" t="s">
        <v>741</v>
      </c>
      <c r="D150" s="71">
        <v>40</v>
      </c>
      <c r="E150" s="48" t="s">
        <v>559</v>
      </c>
      <c r="F150" s="59"/>
      <c r="G150" s="48"/>
      <c r="H150" s="48"/>
      <c r="I150" s="48"/>
      <c r="J150" s="48"/>
      <c r="K150" s="48"/>
      <c r="L150" s="69"/>
    </row>
    <row r="151" spans="1:14">
      <c r="A151" s="60"/>
      <c r="B151" s="278"/>
      <c r="D151" s="71"/>
      <c r="E151" s="48"/>
      <c r="F151" s="59"/>
      <c r="G151" s="48"/>
      <c r="H151" s="48"/>
      <c r="I151" s="48"/>
      <c r="J151" s="48"/>
      <c r="K151" s="48"/>
      <c r="L151" s="69"/>
    </row>
    <row r="152" spans="1:14">
      <c r="A152" s="278"/>
      <c r="B152" s="278"/>
      <c r="C152" s="278"/>
      <c r="D152" s="71"/>
      <c r="E152" s="48"/>
      <c r="F152" s="59"/>
      <c r="G152" s="48"/>
      <c r="H152" s="48"/>
      <c r="I152" s="48"/>
      <c r="J152" s="48"/>
      <c r="K152" s="48"/>
      <c r="L152" s="69"/>
    </row>
    <row r="153" spans="1:14">
      <c r="D153" s="1"/>
      <c r="E153" s="1"/>
      <c r="G153" s="1"/>
      <c r="H153" s="1"/>
      <c r="I153" s="1"/>
      <c r="J153" s="1"/>
    </row>
    <row r="154" spans="1:14">
      <c r="A154" s="200" t="str">
        <f>$A$4</f>
        <v xml:space="preserve">Please fill in Supplier Name </v>
      </c>
      <c r="B154" s="200" t="s">
        <v>896</v>
      </c>
      <c r="C154" s="200" t="s">
        <v>897</v>
      </c>
      <c r="D154" s="201"/>
      <c r="E154" s="201"/>
      <c r="F154" s="202"/>
      <c r="G154" s="198">
        <f>SUM(G155:G157)</f>
        <v>0</v>
      </c>
      <c r="H154" s="198">
        <f>SUM(H155:H157)</f>
        <v>0</v>
      </c>
      <c r="I154" s="203">
        <f>SUM(G154:H154)</f>
        <v>0</v>
      </c>
      <c r="J154" s="204" t="s">
        <v>169</v>
      </c>
      <c r="K154" s="205" t="s">
        <v>189</v>
      </c>
      <c r="L154" s="210" t="s">
        <v>190</v>
      </c>
      <c r="M154" s="207" t="s">
        <v>532</v>
      </c>
      <c r="N154" s="199" t="s">
        <v>895</v>
      </c>
    </row>
    <row r="155" spans="1:14">
      <c r="A155" s="278"/>
      <c r="B155" s="278"/>
      <c r="C155" s="77" t="s">
        <v>716</v>
      </c>
      <c r="D155" s="75">
        <v>40</v>
      </c>
      <c r="E155" s="76" t="s">
        <v>547</v>
      </c>
      <c r="F155" s="92" t="s">
        <v>889</v>
      </c>
      <c r="G155" s="76"/>
      <c r="H155" s="76"/>
      <c r="I155" s="48"/>
      <c r="J155" s="48"/>
      <c r="K155" s="48"/>
      <c r="L155" s="69"/>
    </row>
    <row r="156" spans="1:14">
      <c r="A156" s="60"/>
      <c r="B156" s="278"/>
      <c r="C156" s="78"/>
      <c r="D156" s="75"/>
      <c r="E156" s="76"/>
      <c r="F156" s="92"/>
      <c r="G156" s="76"/>
      <c r="H156" s="76"/>
      <c r="I156" s="48"/>
      <c r="J156" s="48"/>
      <c r="K156" s="48"/>
      <c r="L156" s="69"/>
    </row>
    <row r="157" spans="1:14">
      <c r="A157" s="278"/>
      <c r="B157" s="278"/>
      <c r="C157" s="279"/>
      <c r="D157" s="75"/>
      <c r="E157" s="76"/>
      <c r="F157" s="92"/>
      <c r="G157" s="76"/>
      <c r="H157" s="76"/>
      <c r="I157" s="48"/>
      <c r="J157" s="48"/>
      <c r="K157" s="48"/>
      <c r="L157" s="69"/>
    </row>
    <row r="158" spans="1:14">
      <c r="D158" s="1"/>
      <c r="E158" s="1"/>
      <c r="G158" s="1"/>
      <c r="H158" s="1"/>
      <c r="I158" s="1"/>
      <c r="J158" s="1"/>
    </row>
    <row r="159" spans="1:14">
      <c r="A159" s="242" t="str">
        <f>$A$4</f>
        <v xml:space="preserve">Please fill in Supplier Name </v>
      </c>
      <c r="B159" s="242" t="s">
        <v>898</v>
      </c>
      <c r="C159" s="242" t="s">
        <v>899</v>
      </c>
      <c r="D159" s="243"/>
      <c r="E159" s="243"/>
      <c r="F159" s="244"/>
      <c r="G159" s="245">
        <f>SUM(G160:G162)</f>
        <v>0</v>
      </c>
      <c r="H159" s="245">
        <f>SUM(H160:H162)</f>
        <v>0</v>
      </c>
      <c r="I159" s="246">
        <f>SUM(G159:H159)</f>
        <v>0</v>
      </c>
      <c r="J159" s="247" t="s">
        <v>169</v>
      </c>
      <c r="K159" s="248" t="s">
        <v>189</v>
      </c>
      <c r="L159" s="253" t="s">
        <v>190</v>
      </c>
      <c r="M159" s="250" t="s">
        <v>543</v>
      </c>
      <c r="N159" s="240" t="s">
        <v>895</v>
      </c>
    </row>
    <row r="160" spans="1:14">
      <c r="A160" s="278"/>
      <c r="B160" s="278"/>
      <c r="C160" s="77" t="s">
        <v>718</v>
      </c>
      <c r="D160" s="75">
        <v>40</v>
      </c>
      <c r="E160" s="76" t="s">
        <v>547</v>
      </c>
      <c r="F160" s="92" t="s">
        <v>889</v>
      </c>
      <c r="G160" s="76"/>
      <c r="H160" s="76"/>
      <c r="I160" s="48"/>
      <c r="J160" s="48"/>
      <c r="K160" s="48"/>
      <c r="L160" s="69"/>
    </row>
    <row r="161" spans="1:14">
      <c r="A161" s="60"/>
      <c r="B161" s="278"/>
      <c r="C161" s="78"/>
      <c r="D161" s="75"/>
      <c r="E161" s="76"/>
      <c r="F161" s="92"/>
      <c r="G161" s="76"/>
      <c r="H161" s="76"/>
      <c r="I161" s="48"/>
      <c r="J161" s="48"/>
      <c r="K161" s="48"/>
      <c r="L161" s="69"/>
    </row>
    <row r="162" spans="1:14">
      <c r="A162" s="278"/>
      <c r="B162" s="278"/>
      <c r="C162" s="279"/>
      <c r="D162" s="75"/>
      <c r="E162" s="76"/>
      <c r="F162" s="92"/>
      <c r="G162" s="76"/>
      <c r="H162" s="76"/>
      <c r="I162" s="48"/>
      <c r="J162" s="48"/>
      <c r="K162" s="48"/>
      <c r="L162" s="69"/>
    </row>
    <row r="163" spans="1:14">
      <c r="D163" s="1"/>
      <c r="E163" s="1"/>
      <c r="G163" s="1"/>
      <c r="H163" s="1"/>
      <c r="I163" s="1"/>
      <c r="J163" s="1"/>
    </row>
    <row r="164" spans="1:14">
      <c r="A164" s="200" t="str">
        <f>$A$4</f>
        <v xml:space="preserve">Please fill in Supplier Name </v>
      </c>
      <c r="B164" s="200" t="s">
        <v>900</v>
      </c>
      <c r="C164" s="200" t="s">
        <v>206</v>
      </c>
      <c r="D164" s="201"/>
      <c r="E164" s="201"/>
      <c r="F164" s="202"/>
      <c r="G164" s="198">
        <f>SUM(G165:G174)</f>
        <v>0</v>
      </c>
      <c r="H164" s="198">
        <f>SUM(H165:H174)</f>
        <v>0</v>
      </c>
      <c r="I164" s="203">
        <f>SUM(G164:H164)</f>
        <v>0</v>
      </c>
      <c r="J164" s="204" t="s">
        <v>169</v>
      </c>
      <c r="K164" s="205">
        <v>1</v>
      </c>
      <c r="L164" s="207"/>
      <c r="M164" s="199" t="s">
        <v>532</v>
      </c>
      <c r="N164" s="199" t="s">
        <v>901</v>
      </c>
    </row>
    <row r="165" spans="1:14">
      <c r="A165" s="3"/>
      <c r="B165" s="3"/>
      <c r="C165" s="3" t="s">
        <v>902</v>
      </c>
      <c r="D165" s="71">
        <v>1</v>
      </c>
      <c r="E165" s="48" t="s">
        <v>535</v>
      </c>
      <c r="F165" s="59"/>
      <c r="G165" s="48">
        <v>0</v>
      </c>
      <c r="H165" s="76"/>
      <c r="I165" s="48"/>
      <c r="J165" s="48"/>
      <c r="K165" s="48"/>
      <c r="L165" s="69"/>
    </row>
    <row r="166" spans="1:14">
      <c r="A166" s="3"/>
      <c r="B166" s="3"/>
      <c r="C166" s="3" t="s">
        <v>903</v>
      </c>
      <c r="D166" s="71">
        <v>1</v>
      </c>
      <c r="E166" s="48" t="s">
        <v>535</v>
      </c>
      <c r="F166" s="59"/>
      <c r="G166" s="48">
        <v>0</v>
      </c>
      <c r="H166" s="76"/>
      <c r="I166" s="48"/>
      <c r="J166" s="48"/>
      <c r="K166" s="48"/>
      <c r="L166" s="69"/>
    </row>
    <row r="167" spans="1:14">
      <c r="A167" s="3"/>
      <c r="B167" s="3"/>
      <c r="C167" s="3" t="s">
        <v>904</v>
      </c>
      <c r="D167" s="71">
        <v>1</v>
      </c>
      <c r="E167" s="48" t="s">
        <v>535</v>
      </c>
      <c r="F167" s="59"/>
      <c r="G167" s="48">
        <v>0</v>
      </c>
      <c r="H167" s="76"/>
      <c r="I167" s="48"/>
      <c r="J167" s="48"/>
      <c r="K167" s="48"/>
      <c r="L167" s="69"/>
    </row>
    <row r="168" spans="1:14">
      <c r="A168" s="3"/>
      <c r="B168" s="3"/>
      <c r="C168" s="3" t="s">
        <v>905</v>
      </c>
      <c r="D168" s="71">
        <v>1</v>
      </c>
      <c r="E168" s="48" t="s">
        <v>535</v>
      </c>
      <c r="F168" s="59"/>
      <c r="G168" s="48">
        <v>0</v>
      </c>
      <c r="H168" s="76"/>
      <c r="I168" s="48"/>
      <c r="J168" s="48"/>
      <c r="K168" s="48"/>
      <c r="L168" s="69"/>
    </row>
    <row r="169" spans="1:14">
      <c r="A169" s="3"/>
      <c r="B169" s="3"/>
      <c r="C169" s="3" t="s">
        <v>906</v>
      </c>
      <c r="D169" s="71">
        <v>1</v>
      </c>
      <c r="E169" s="48" t="s">
        <v>535</v>
      </c>
      <c r="F169" s="59"/>
      <c r="G169" s="48">
        <v>0</v>
      </c>
      <c r="H169" s="76"/>
      <c r="I169" s="48"/>
      <c r="J169" s="48"/>
      <c r="K169" s="48"/>
      <c r="L169" s="69"/>
    </row>
    <row r="170" spans="1:14">
      <c r="A170" s="3"/>
      <c r="B170" s="3"/>
      <c r="C170" s="3" t="s">
        <v>907</v>
      </c>
      <c r="D170" s="71">
        <v>1</v>
      </c>
      <c r="E170" s="48" t="s">
        <v>535</v>
      </c>
      <c r="F170" s="59"/>
      <c r="G170" s="48">
        <v>0</v>
      </c>
      <c r="H170" s="76"/>
      <c r="I170" s="48"/>
      <c r="J170" s="48"/>
      <c r="K170" s="48"/>
      <c r="L170" s="69"/>
    </row>
    <row r="171" spans="1:14">
      <c r="A171" s="3"/>
      <c r="B171" s="3"/>
      <c r="C171" s="3" t="s">
        <v>908</v>
      </c>
      <c r="D171" s="71">
        <v>1</v>
      </c>
      <c r="E171" s="48" t="s">
        <v>535</v>
      </c>
      <c r="F171" s="59"/>
      <c r="G171" s="76"/>
      <c r="H171" s="76"/>
      <c r="I171" s="48"/>
      <c r="J171" s="48"/>
      <c r="K171" s="48"/>
      <c r="L171" s="69"/>
    </row>
    <row r="172" spans="1:14">
      <c r="A172" s="3"/>
      <c r="B172" s="3"/>
      <c r="C172" s="3" t="s">
        <v>909</v>
      </c>
      <c r="D172" s="71">
        <v>1</v>
      </c>
      <c r="E172" s="48" t="s">
        <v>535</v>
      </c>
      <c r="F172" s="59"/>
      <c r="G172" s="76"/>
      <c r="H172" s="76"/>
      <c r="I172" s="48"/>
      <c r="J172" s="48"/>
      <c r="K172" s="48"/>
      <c r="L172" s="69"/>
    </row>
    <row r="173" spans="1:14">
      <c r="A173" s="3"/>
      <c r="B173" s="3"/>
      <c r="C173" s="3" t="s">
        <v>910</v>
      </c>
      <c r="D173" s="71">
        <v>1</v>
      </c>
      <c r="E173" s="48" t="s">
        <v>535</v>
      </c>
      <c r="F173" s="59"/>
      <c r="G173" s="76"/>
      <c r="H173" s="76"/>
      <c r="I173" s="48"/>
      <c r="J173" s="48"/>
      <c r="K173" s="48"/>
      <c r="L173" s="69"/>
    </row>
    <row r="174" spans="1:14">
      <c r="A174" s="3"/>
      <c r="B174" s="3"/>
      <c r="C174" s="3" t="s">
        <v>911</v>
      </c>
      <c r="D174" s="71">
        <v>1</v>
      </c>
      <c r="E174" s="48" t="s">
        <v>535</v>
      </c>
      <c r="F174" s="59"/>
      <c r="G174" s="76"/>
      <c r="H174" s="76"/>
      <c r="I174" s="48"/>
      <c r="J174" s="48"/>
      <c r="K174" s="48"/>
      <c r="L174" s="69"/>
    </row>
    <row r="175" spans="1:14">
      <c r="D175" s="1"/>
      <c r="E175" s="1"/>
      <c r="G175" s="1"/>
      <c r="H175" s="1"/>
      <c r="I175" s="1"/>
      <c r="J175" s="1"/>
    </row>
    <row r="176" spans="1:14">
      <c r="A176" s="242" t="str">
        <f>$A$4</f>
        <v xml:space="preserve">Please fill in Supplier Name </v>
      </c>
      <c r="B176" s="242" t="s">
        <v>912</v>
      </c>
      <c r="C176" s="242" t="s">
        <v>208</v>
      </c>
      <c r="D176" s="243"/>
      <c r="E176" s="243"/>
      <c r="F176" s="244"/>
      <c r="G176" s="245">
        <f>SUM(G177:G185)</f>
        <v>0</v>
      </c>
      <c r="H176" s="245">
        <f>SUM(H177:H185)</f>
        <v>0</v>
      </c>
      <c r="I176" s="246">
        <f>SUM(G176:H176)</f>
        <v>0</v>
      </c>
      <c r="J176" s="247" t="s">
        <v>169</v>
      </c>
      <c r="K176" s="248">
        <v>1</v>
      </c>
      <c r="L176" s="250"/>
      <c r="M176" s="240" t="s">
        <v>543</v>
      </c>
      <c r="N176" s="240" t="s">
        <v>901</v>
      </c>
    </row>
    <row r="177" spans="1:14">
      <c r="A177" s="3"/>
      <c r="B177" s="3"/>
      <c r="C177" s="3" t="s">
        <v>902</v>
      </c>
      <c r="D177" s="71">
        <v>1</v>
      </c>
      <c r="E177" s="48" t="s">
        <v>535</v>
      </c>
      <c r="F177" s="59"/>
      <c r="G177" s="48">
        <v>0</v>
      </c>
      <c r="H177" s="76"/>
      <c r="I177" s="48"/>
      <c r="J177" s="48"/>
      <c r="K177" s="48"/>
      <c r="L177" s="69"/>
    </row>
    <row r="178" spans="1:14">
      <c r="A178" s="3"/>
      <c r="B178" s="3"/>
      <c r="C178" s="3" t="s">
        <v>903</v>
      </c>
      <c r="D178" s="71">
        <v>1</v>
      </c>
      <c r="E178" s="48" t="s">
        <v>535</v>
      </c>
      <c r="F178" s="59"/>
      <c r="G178" s="48">
        <v>0</v>
      </c>
      <c r="H178" s="76"/>
      <c r="I178" s="48"/>
      <c r="J178" s="48"/>
      <c r="K178" s="48"/>
      <c r="L178" s="69"/>
    </row>
    <row r="179" spans="1:14">
      <c r="A179" s="3"/>
      <c r="B179" s="3"/>
      <c r="C179" s="3" t="s">
        <v>904</v>
      </c>
      <c r="D179" s="71">
        <v>1</v>
      </c>
      <c r="E179" s="48" t="s">
        <v>535</v>
      </c>
      <c r="F179" s="59"/>
      <c r="G179" s="48">
        <v>0</v>
      </c>
      <c r="H179" s="76"/>
      <c r="I179" s="48"/>
      <c r="J179" s="48"/>
      <c r="K179" s="48"/>
      <c r="L179" s="69"/>
    </row>
    <row r="180" spans="1:14">
      <c r="A180" s="3"/>
      <c r="B180" s="3"/>
      <c r="C180" s="3" t="s">
        <v>905</v>
      </c>
      <c r="D180" s="71">
        <v>1</v>
      </c>
      <c r="E180" s="48" t="s">
        <v>535</v>
      </c>
      <c r="F180" s="59"/>
      <c r="G180" s="48">
        <v>0</v>
      </c>
      <c r="H180" s="76"/>
      <c r="I180" s="48"/>
      <c r="J180" s="48"/>
      <c r="K180" s="48"/>
      <c r="L180" s="69"/>
    </row>
    <row r="181" spans="1:14">
      <c r="A181" s="3"/>
      <c r="B181" s="3"/>
      <c r="C181" s="3" t="s">
        <v>906</v>
      </c>
      <c r="D181" s="71">
        <v>1</v>
      </c>
      <c r="E181" s="48" t="s">
        <v>535</v>
      </c>
      <c r="F181" s="59"/>
      <c r="G181" s="48">
        <v>0</v>
      </c>
      <c r="H181" s="76"/>
      <c r="I181" s="48"/>
      <c r="J181" s="48"/>
      <c r="K181" s="48"/>
      <c r="L181" s="69"/>
    </row>
    <row r="182" spans="1:14">
      <c r="A182" s="3"/>
      <c r="B182" s="3"/>
      <c r="C182" s="3" t="s">
        <v>907</v>
      </c>
      <c r="D182" s="71">
        <v>1</v>
      </c>
      <c r="E182" s="48" t="s">
        <v>535</v>
      </c>
      <c r="F182" s="59"/>
      <c r="G182" s="48">
        <v>0</v>
      </c>
      <c r="H182" s="76"/>
      <c r="I182" s="48"/>
      <c r="J182" s="48"/>
      <c r="K182" s="48"/>
      <c r="L182" s="69"/>
    </row>
    <row r="183" spans="1:14">
      <c r="A183" s="3"/>
      <c r="B183" s="3"/>
      <c r="C183" s="3"/>
      <c r="D183" s="71"/>
      <c r="E183" s="48"/>
      <c r="F183" s="59"/>
      <c r="G183" s="76"/>
      <c r="H183" s="76"/>
      <c r="I183" s="48"/>
      <c r="J183" s="48"/>
      <c r="K183" s="48"/>
      <c r="L183" s="69"/>
    </row>
    <row r="184" spans="1:14">
      <c r="A184" s="3"/>
      <c r="B184" s="3"/>
      <c r="C184" s="3"/>
      <c r="D184" s="71"/>
      <c r="E184" s="48"/>
      <c r="F184" s="59"/>
      <c r="G184" s="76"/>
      <c r="H184" s="76"/>
      <c r="I184" s="48"/>
      <c r="J184" s="48"/>
      <c r="K184" s="48"/>
      <c r="L184" s="69"/>
    </row>
    <row r="185" spans="1:14">
      <c r="A185" s="3"/>
      <c r="B185" s="3"/>
      <c r="C185" s="3"/>
      <c r="D185" s="71"/>
      <c r="E185" s="48"/>
      <c r="F185" s="59"/>
      <c r="G185" s="76"/>
      <c r="H185" s="76"/>
      <c r="I185" s="48"/>
      <c r="J185" s="48"/>
      <c r="K185" s="48"/>
      <c r="L185" s="69"/>
    </row>
    <row r="186" spans="1:14">
      <c r="D186" s="1"/>
      <c r="E186" s="1"/>
      <c r="G186" s="1"/>
      <c r="H186" s="1"/>
      <c r="I186" s="1"/>
      <c r="J186" s="1"/>
    </row>
    <row r="187" spans="1:14">
      <c r="A187" s="9" t="str">
        <f>$A$4</f>
        <v xml:space="preserve">Please fill in Supplier Name </v>
      </c>
      <c r="B187" s="9" t="s">
        <v>209</v>
      </c>
      <c r="C187" s="9" t="s">
        <v>210</v>
      </c>
      <c r="D187" s="10"/>
      <c r="E187" s="10"/>
      <c r="F187" s="91"/>
      <c r="G187" s="7">
        <f>SUM(G188:G196)</f>
        <v>0</v>
      </c>
      <c r="H187" s="7">
        <f>SUM(H188:H196)</f>
        <v>0</v>
      </c>
      <c r="I187" s="57">
        <f>SUM(G187:H187)</f>
        <v>0</v>
      </c>
      <c r="J187" s="14" t="s">
        <v>169</v>
      </c>
      <c r="K187" s="11">
        <v>1</v>
      </c>
      <c r="L187" s="13"/>
      <c r="M187" s="12" t="s">
        <v>544</v>
      </c>
      <c r="N187" s="12" t="s">
        <v>913</v>
      </c>
    </row>
    <row r="188" spans="1:14">
      <c r="A188" s="3"/>
      <c r="B188" s="3"/>
      <c r="C188" s="3" t="s">
        <v>914</v>
      </c>
      <c r="D188" s="71">
        <v>30</v>
      </c>
      <c r="E188" s="48" t="s">
        <v>559</v>
      </c>
      <c r="F188" s="59"/>
      <c r="G188" s="48"/>
      <c r="H188" s="48"/>
      <c r="I188" s="48"/>
      <c r="J188" s="48"/>
      <c r="K188" s="48"/>
      <c r="L188" s="69"/>
    </row>
    <row r="189" spans="1:14">
      <c r="A189" s="3"/>
      <c r="B189" s="3"/>
      <c r="C189" s="3" t="s">
        <v>915</v>
      </c>
      <c r="D189" s="71">
        <v>30</v>
      </c>
      <c r="E189" s="48" t="s">
        <v>559</v>
      </c>
      <c r="F189" s="59"/>
      <c r="G189" s="48"/>
      <c r="H189" s="48"/>
      <c r="I189" s="48"/>
      <c r="J189" s="48"/>
      <c r="K189" s="48"/>
      <c r="L189" s="69"/>
    </row>
    <row r="190" spans="1:14">
      <c r="A190" s="3"/>
      <c r="B190" s="3"/>
      <c r="C190" s="3" t="s">
        <v>916</v>
      </c>
      <c r="D190" s="71">
        <v>1</v>
      </c>
      <c r="E190" s="48" t="s">
        <v>535</v>
      </c>
      <c r="F190" s="59"/>
      <c r="G190" s="48"/>
      <c r="H190" s="48"/>
      <c r="I190" s="48"/>
      <c r="J190" s="48"/>
      <c r="K190" s="48"/>
      <c r="L190" s="69"/>
    </row>
    <row r="191" spans="1:14">
      <c r="A191" s="3"/>
      <c r="B191" s="3"/>
      <c r="C191" s="3" t="s">
        <v>917</v>
      </c>
      <c r="D191" s="71">
        <v>1</v>
      </c>
      <c r="E191" s="48" t="s">
        <v>535</v>
      </c>
      <c r="F191" s="59"/>
      <c r="G191" s="48"/>
      <c r="H191" s="48"/>
      <c r="I191" s="48"/>
      <c r="J191" s="48"/>
      <c r="K191" s="48"/>
      <c r="L191" s="69"/>
    </row>
    <row r="192" spans="1:14">
      <c r="A192" s="3"/>
      <c r="B192" s="3"/>
      <c r="C192" s="3" t="s">
        <v>918</v>
      </c>
      <c r="D192" s="71">
        <v>12</v>
      </c>
      <c r="E192" s="48" t="s">
        <v>559</v>
      </c>
      <c r="F192" s="59"/>
      <c r="G192" s="48"/>
      <c r="H192" s="48"/>
      <c r="I192" s="48"/>
      <c r="J192" s="48"/>
      <c r="K192" s="48"/>
      <c r="L192" s="69"/>
    </row>
    <row r="193" spans="1:14">
      <c r="A193" s="3"/>
      <c r="B193" s="3"/>
      <c r="C193" s="3" t="s">
        <v>919</v>
      </c>
      <c r="D193" s="71">
        <v>25</v>
      </c>
      <c r="E193" s="48" t="s">
        <v>559</v>
      </c>
      <c r="F193" s="59"/>
      <c r="G193" s="48"/>
      <c r="H193" s="48"/>
      <c r="I193" s="48"/>
      <c r="J193" s="48"/>
      <c r="K193" s="48"/>
      <c r="L193" s="69"/>
    </row>
    <row r="194" spans="1:14">
      <c r="A194" s="3"/>
      <c r="B194" s="3"/>
      <c r="C194" s="3" t="s">
        <v>920</v>
      </c>
      <c r="D194" s="71">
        <v>25</v>
      </c>
      <c r="E194" s="48" t="s">
        <v>559</v>
      </c>
      <c r="F194" s="59"/>
      <c r="G194" s="48"/>
      <c r="H194" s="48"/>
      <c r="I194" s="48"/>
      <c r="J194" s="48"/>
      <c r="K194" s="48"/>
      <c r="L194" s="69"/>
    </row>
    <row r="195" spans="1:14">
      <c r="A195" s="3"/>
      <c r="B195" s="3"/>
      <c r="C195" s="3"/>
      <c r="D195" s="71"/>
      <c r="E195" s="48"/>
      <c r="F195" s="59"/>
      <c r="G195" s="48"/>
      <c r="H195" s="48"/>
      <c r="I195" s="48"/>
      <c r="J195" s="48"/>
      <c r="K195" s="48"/>
      <c r="L195" s="69"/>
    </row>
    <row r="196" spans="1:14">
      <c r="A196" s="3"/>
      <c r="B196" s="3"/>
      <c r="C196" s="3"/>
      <c r="D196" s="71"/>
      <c r="E196" s="48"/>
      <c r="F196" s="59"/>
      <c r="G196" s="48"/>
      <c r="H196" s="48"/>
      <c r="I196" s="48"/>
      <c r="J196" s="48"/>
      <c r="K196" s="48"/>
      <c r="L196" s="69"/>
    </row>
    <row r="197" spans="1:14">
      <c r="D197" s="1"/>
      <c r="E197" s="1"/>
      <c r="G197" s="1"/>
      <c r="H197" s="1"/>
      <c r="I197" s="1"/>
      <c r="J197" s="1"/>
    </row>
    <row r="198" spans="1:14">
      <c r="A198" s="200" t="str">
        <f>$A$4</f>
        <v xml:space="preserve">Please fill in Supplier Name </v>
      </c>
      <c r="B198" s="200" t="s">
        <v>211</v>
      </c>
      <c r="C198" s="200" t="s">
        <v>212</v>
      </c>
      <c r="D198" s="201"/>
      <c r="E198" s="201"/>
      <c r="F198" s="202"/>
      <c r="G198" s="198">
        <f>SUM(G199:G207)</f>
        <v>0</v>
      </c>
      <c r="H198" s="198">
        <f>SUM(H199:H207)</f>
        <v>0</v>
      </c>
      <c r="I198" s="203">
        <f>SUM(G198:H198)</f>
        <v>0</v>
      </c>
      <c r="J198" s="204" t="s">
        <v>169</v>
      </c>
      <c r="K198" s="205">
        <v>1</v>
      </c>
      <c r="L198" s="208"/>
      <c r="M198" s="207" t="s">
        <v>532</v>
      </c>
      <c r="N198" s="199" t="s">
        <v>913</v>
      </c>
    </row>
    <row r="199" spans="1:14">
      <c r="A199" s="3"/>
      <c r="B199" s="3"/>
      <c r="C199" s="77" t="s">
        <v>921</v>
      </c>
      <c r="D199" s="75">
        <v>30</v>
      </c>
      <c r="E199" s="76" t="s">
        <v>559</v>
      </c>
      <c r="F199" s="92"/>
      <c r="G199" s="76"/>
      <c r="H199" s="76"/>
      <c r="I199" s="48"/>
      <c r="J199" s="48"/>
      <c r="K199" s="48"/>
      <c r="L199" s="69"/>
    </row>
    <row r="200" spans="1:14">
      <c r="A200" s="3"/>
      <c r="B200" s="3"/>
      <c r="C200" s="77" t="s">
        <v>687</v>
      </c>
      <c r="D200" s="75">
        <v>30</v>
      </c>
      <c r="E200" s="76" t="s">
        <v>559</v>
      </c>
      <c r="F200" s="92"/>
      <c r="G200" s="76"/>
      <c r="H200" s="76"/>
      <c r="I200" s="48"/>
      <c r="J200" s="48"/>
      <c r="K200" s="48"/>
      <c r="L200" s="69"/>
    </row>
    <row r="201" spans="1:14">
      <c r="A201" s="3"/>
      <c r="B201" s="3"/>
      <c r="C201" s="77" t="s">
        <v>916</v>
      </c>
      <c r="D201" s="75">
        <v>1</v>
      </c>
      <c r="E201" s="76" t="s">
        <v>535</v>
      </c>
      <c r="F201" s="92"/>
      <c r="G201" s="76"/>
      <c r="H201" s="76"/>
      <c r="I201" s="48"/>
      <c r="J201" s="48"/>
      <c r="K201" s="48"/>
      <c r="L201" s="69"/>
    </row>
    <row r="202" spans="1:14">
      <c r="A202" s="3"/>
      <c r="B202" s="3"/>
      <c r="C202" s="77" t="s">
        <v>922</v>
      </c>
      <c r="D202" s="75">
        <v>1</v>
      </c>
      <c r="E202" s="76" t="s">
        <v>535</v>
      </c>
      <c r="F202" s="92"/>
      <c r="G202" s="76"/>
      <c r="H202" s="76"/>
      <c r="I202" s="48"/>
      <c r="J202" s="48"/>
      <c r="K202" s="48"/>
      <c r="L202" s="69"/>
    </row>
    <row r="203" spans="1:14">
      <c r="A203" s="3"/>
      <c r="B203" s="3"/>
      <c r="C203" s="77" t="s">
        <v>923</v>
      </c>
      <c r="D203" s="75">
        <v>1</v>
      </c>
      <c r="E203" s="76" t="s">
        <v>582</v>
      </c>
      <c r="F203" s="92"/>
      <c r="G203" s="76"/>
      <c r="H203" s="76"/>
      <c r="I203" s="48"/>
      <c r="J203" s="48"/>
      <c r="K203" s="48"/>
      <c r="L203" s="69"/>
    </row>
    <row r="204" spans="1:14">
      <c r="A204" s="3"/>
      <c r="B204" s="3"/>
      <c r="C204" s="77" t="s">
        <v>924</v>
      </c>
      <c r="D204" s="75">
        <v>1</v>
      </c>
      <c r="E204" s="76" t="s">
        <v>582</v>
      </c>
      <c r="F204" s="92"/>
      <c r="G204" s="76"/>
      <c r="H204" s="76"/>
      <c r="I204" s="48"/>
      <c r="J204" s="48"/>
      <c r="K204" s="48"/>
      <c r="L204" s="69"/>
    </row>
    <row r="205" spans="1:14">
      <c r="A205" s="3"/>
      <c r="B205" s="3"/>
      <c r="C205" s="77" t="s">
        <v>925</v>
      </c>
      <c r="D205" s="75">
        <v>25</v>
      </c>
      <c r="E205" s="76" t="s">
        <v>559</v>
      </c>
      <c r="F205" s="92"/>
      <c r="G205" s="76"/>
      <c r="H205" s="76"/>
      <c r="I205" s="48"/>
      <c r="J205" s="48"/>
      <c r="K205" s="48"/>
      <c r="L205" s="69"/>
    </row>
    <row r="206" spans="1:14">
      <c r="A206" s="3"/>
      <c r="B206" s="3"/>
      <c r="C206" s="77"/>
      <c r="D206" s="75"/>
      <c r="E206" s="76"/>
      <c r="F206" s="92"/>
      <c r="G206" s="76"/>
      <c r="H206" s="76"/>
      <c r="I206" s="48"/>
      <c r="J206" s="48"/>
      <c r="K206" s="48"/>
      <c r="L206" s="69"/>
    </row>
    <row r="207" spans="1:14">
      <c r="A207" s="3"/>
      <c r="B207" s="3"/>
      <c r="C207" s="77"/>
      <c r="D207" s="75"/>
      <c r="E207" s="76"/>
      <c r="F207" s="92"/>
      <c r="G207" s="76"/>
      <c r="H207" s="76"/>
      <c r="I207" s="48"/>
      <c r="J207" s="48"/>
      <c r="K207" s="48"/>
      <c r="L207" s="69"/>
    </row>
    <row r="208" spans="1:14">
      <c r="D208" s="1"/>
      <c r="E208" s="1"/>
      <c r="G208" s="1"/>
      <c r="H208" s="1"/>
      <c r="I208" s="1"/>
      <c r="J208" s="1"/>
    </row>
    <row r="209" spans="1:14">
      <c r="A209" s="242" t="str">
        <f>$A$4</f>
        <v xml:space="preserve">Please fill in Supplier Name </v>
      </c>
      <c r="B209" s="242" t="s">
        <v>213</v>
      </c>
      <c r="C209" s="242" t="s">
        <v>214</v>
      </c>
      <c r="D209" s="243"/>
      <c r="E209" s="243"/>
      <c r="F209" s="244"/>
      <c r="G209" s="245">
        <f>SUM(G210:G218)</f>
        <v>0</v>
      </c>
      <c r="H209" s="245">
        <f>SUM(H210:H218)</f>
        <v>0</v>
      </c>
      <c r="I209" s="246">
        <f>SUM(G209:H209)</f>
        <v>0</v>
      </c>
      <c r="J209" s="247" t="s">
        <v>169</v>
      </c>
      <c r="K209" s="248">
        <v>1</v>
      </c>
      <c r="L209" s="251"/>
      <c r="M209" s="250" t="s">
        <v>543</v>
      </c>
      <c r="N209" s="240" t="s">
        <v>913</v>
      </c>
    </row>
    <row r="210" spans="1:14">
      <c r="A210" s="3"/>
      <c r="B210" s="3"/>
      <c r="C210" s="77" t="s">
        <v>926</v>
      </c>
      <c r="D210" s="75">
        <v>30</v>
      </c>
      <c r="E210" s="76" t="s">
        <v>547</v>
      </c>
      <c r="F210" s="92"/>
      <c r="G210" s="76"/>
      <c r="H210" s="76"/>
      <c r="I210" s="48"/>
      <c r="J210" s="48"/>
      <c r="K210" s="48"/>
      <c r="L210" s="69"/>
    </row>
    <row r="211" spans="1:14">
      <c r="A211" s="3"/>
      <c r="B211" s="3"/>
      <c r="C211" s="77" t="s">
        <v>927</v>
      </c>
      <c r="D211" s="75" t="s">
        <v>854</v>
      </c>
      <c r="E211" s="76" t="s">
        <v>547</v>
      </c>
      <c r="F211" s="92"/>
      <c r="G211" s="76"/>
      <c r="H211" s="76"/>
      <c r="I211" s="48"/>
      <c r="J211" s="48"/>
      <c r="K211" s="48"/>
      <c r="L211" s="69"/>
    </row>
    <row r="212" spans="1:14">
      <c r="A212" s="3"/>
      <c r="B212" s="3"/>
      <c r="C212" s="77" t="s">
        <v>916</v>
      </c>
      <c r="D212" s="75">
        <v>1</v>
      </c>
      <c r="E212" s="76" t="s">
        <v>582</v>
      </c>
      <c r="F212" s="92"/>
      <c r="G212" s="76"/>
      <c r="H212" s="76"/>
      <c r="I212" s="48"/>
      <c r="J212" s="48"/>
      <c r="K212" s="48"/>
      <c r="L212" s="69"/>
    </row>
    <row r="213" spans="1:14">
      <c r="A213" s="3"/>
      <c r="B213" s="3"/>
      <c r="C213" s="77" t="s">
        <v>928</v>
      </c>
      <c r="D213" s="75">
        <v>1</v>
      </c>
      <c r="E213" s="76" t="s">
        <v>582</v>
      </c>
      <c r="F213" s="92"/>
      <c r="G213" s="76"/>
      <c r="H213" s="76"/>
      <c r="I213" s="48"/>
      <c r="J213" s="48"/>
      <c r="K213" s="48"/>
      <c r="L213" s="69"/>
    </row>
    <row r="214" spans="1:14">
      <c r="A214" s="3"/>
      <c r="B214" s="3"/>
      <c r="C214" s="77" t="s">
        <v>549</v>
      </c>
      <c r="D214" s="75">
        <v>10</v>
      </c>
      <c r="E214" s="76" t="s">
        <v>547</v>
      </c>
      <c r="F214" s="92"/>
      <c r="G214" s="76"/>
      <c r="H214" s="76"/>
      <c r="I214" s="48"/>
      <c r="J214" s="48"/>
      <c r="K214" s="48"/>
      <c r="L214" s="69"/>
    </row>
    <row r="215" spans="1:14">
      <c r="A215" s="3"/>
      <c r="B215" s="3"/>
      <c r="C215" s="77" t="s">
        <v>924</v>
      </c>
      <c r="D215" s="75">
        <v>1</v>
      </c>
      <c r="E215" s="76" t="s">
        <v>582</v>
      </c>
      <c r="F215" s="92"/>
      <c r="G215" s="76"/>
      <c r="H215" s="76"/>
      <c r="I215" s="48"/>
      <c r="J215" s="48"/>
      <c r="K215" s="48"/>
      <c r="L215" s="69"/>
    </row>
    <row r="216" spans="1:14">
      <c r="A216" s="3"/>
      <c r="B216" s="3"/>
      <c r="C216" s="77" t="s">
        <v>929</v>
      </c>
      <c r="D216" s="75">
        <v>2</v>
      </c>
      <c r="E216" s="76" t="s">
        <v>694</v>
      </c>
      <c r="F216" s="92"/>
      <c r="G216" s="76"/>
      <c r="H216" s="76"/>
      <c r="I216" s="48"/>
      <c r="J216" s="48"/>
      <c r="K216" s="48"/>
      <c r="L216" s="69"/>
    </row>
    <row r="217" spans="1:14">
      <c r="A217" s="3"/>
      <c r="B217" s="3"/>
      <c r="C217" s="77" t="s">
        <v>930</v>
      </c>
      <c r="D217" s="75">
        <v>5</v>
      </c>
      <c r="E217" s="76" t="s">
        <v>694</v>
      </c>
      <c r="F217" s="92"/>
      <c r="G217" s="76"/>
      <c r="H217" s="76"/>
      <c r="I217" s="48"/>
      <c r="J217" s="48"/>
      <c r="K217" s="48"/>
      <c r="L217" s="69"/>
    </row>
    <row r="218" spans="1:14">
      <c r="A218" s="3"/>
      <c r="B218" s="3"/>
      <c r="C218" s="77"/>
      <c r="D218" s="75"/>
      <c r="E218" s="76"/>
      <c r="F218" s="92"/>
      <c r="G218" s="76"/>
      <c r="H218" s="76"/>
      <c r="I218" s="48"/>
      <c r="J218" s="48"/>
      <c r="K218" s="48"/>
      <c r="L218" s="69"/>
    </row>
    <row r="219" spans="1:14">
      <c r="D219" s="1"/>
      <c r="E219" s="1"/>
      <c r="G219" s="1"/>
      <c r="H219" s="1"/>
      <c r="I219" s="1"/>
      <c r="J219" s="1"/>
    </row>
    <row r="220" spans="1:14">
      <c r="A220" s="242" t="str">
        <f t="shared" ref="A220:A232" si="0">$A$4</f>
        <v xml:space="preserve">Please fill in Supplier Name </v>
      </c>
      <c r="B220" s="252" t="s">
        <v>338</v>
      </c>
      <c r="C220" s="242" t="s">
        <v>339</v>
      </c>
      <c r="D220" s="242">
        <v>1</v>
      </c>
      <c r="E220" s="242" t="s">
        <v>535</v>
      </c>
      <c r="F220" s="95" t="s">
        <v>931</v>
      </c>
      <c r="G220" s="255">
        <v>0</v>
      </c>
      <c r="H220" s="255">
        <v>0</v>
      </c>
      <c r="I220" s="246">
        <f t="shared" ref="I220:I230" si="1">SUM(G220:H220)</f>
        <v>0</v>
      </c>
      <c r="J220" s="247" t="s">
        <v>169</v>
      </c>
      <c r="K220" s="248">
        <v>1</v>
      </c>
      <c r="L220" s="251"/>
      <c r="M220" s="250" t="s">
        <v>543</v>
      </c>
      <c r="N220" s="240" t="s">
        <v>819</v>
      </c>
    </row>
    <row r="221" spans="1:14">
      <c r="A221" s="242" t="str">
        <f t="shared" si="0"/>
        <v xml:space="preserve">Please fill in Supplier Name </v>
      </c>
      <c r="B221" s="252" t="s">
        <v>340</v>
      </c>
      <c r="C221" s="242" t="s">
        <v>341</v>
      </c>
      <c r="D221" s="242">
        <v>1</v>
      </c>
      <c r="E221" s="242" t="s">
        <v>535</v>
      </c>
      <c r="F221" s="95" t="s">
        <v>932</v>
      </c>
      <c r="G221" s="255">
        <v>0</v>
      </c>
      <c r="H221" s="255">
        <v>0</v>
      </c>
      <c r="I221" s="246">
        <f t="shared" si="1"/>
        <v>0</v>
      </c>
      <c r="J221" s="247" t="s">
        <v>169</v>
      </c>
      <c r="K221" s="248">
        <v>1</v>
      </c>
      <c r="L221" s="251"/>
      <c r="M221" s="250" t="s">
        <v>543</v>
      </c>
      <c r="N221" s="240" t="s">
        <v>819</v>
      </c>
    </row>
    <row r="222" spans="1:14">
      <c r="A222" s="242" t="str">
        <f t="shared" si="0"/>
        <v xml:space="preserve">Please fill in Supplier Name </v>
      </c>
      <c r="B222" s="252" t="s">
        <v>342</v>
      </c>
      <c r="C222" s="242" t="s">
        <v>343</v>
      </c>
      <c r="D222" s="242">
        <v>1</v>
      </c>
      <c r="E222" s="242" t="s">
        <v>535</v>
      </c>
      <c r="F222" s="95" t="s">
        <v>933</v>
      </c>
      <c r="G222" s="255">
        <v>0</v>
      </c>
      <c r="H222" s="255">
        <v>0</v>
      </c>
      <c r="I222" s="246">
        <f t="shared" si="1"/>
        <v>0</v>
      </c>
      <c r="J222" s="247" t="s">
        <v>169</v>
      </c>
      <c r="K222" s="248">
        <v>1</v>
      </c>
      <c r="L222" s="251"/>
      <c r="M222" s="250" t="s">
        <v>543</v>
      </c>
      <c r="N222" s="240" t="s">
        <v>819</v>
      </c>
    </row>
    <row r="223" spans="1:14">
      <c r="A223" s="242" t="str">
        <f t="shared" si="0"/>
        <v xml:space="preserve">Please fill in Supplier Name </v>
      </c>
      <c r="B223" s="252" t="s">
        <v>344</v>
      </c>
      <c r="C223" s="242" t="s">
        <v>345</v>
      </c>
      <c r="D223" s="242">
        <v>1</v>
      </c>
      <c r="E223" s="242" t="s">
        <v>535</v>
      </c>
      <c r="F223" s="95" t="s">
        <v>934</v>
      </c>
      <c r="G223" s="255">
        <v>0</v>
      </c>
      <c r="H223" s="255">
        <v>0</v>
      </c>
      <c r="I223" s="246">
        <f t="shared" si="1"/>
        <v>0</v>
      </c>
      <c r="J223" s="247" t="s">
        <v>169</v>
      </c>
      <c r="K223" s="248">
        <v>1</v>
      </c>
      <c r="L223" s="251"/>
      <c r="M223" s="250" t="s">
        <v>543</v>
      </c>
      <c r="N223" s="240" t="s">
        <v>819</v>
      </c>
    </row>
    <row r="224" spans="1:14">
      <c r="A224" s="242" t="str">
        <f t="shared" si="0"/>
        <v xml:space="preserve">Please fill in Supplier Name </v>
      </c>
      <c r="B224" s="252" t="s">
        <v>346</v>
      </c>
      <c r="C224" s="242" t="s">
        <v>347</v>
      </c>
      <c r="D224" s="242">
        <v>1</v>
      </c>
      <c r="E224" s="242" t="s">
        <v>535</v>
      </c>
      <c r="F224" s="95" t="s">
        <v>935</v>
      </c>
      <c r="G224" s="255">
        <v>0</v>
      </c>
      <c r="H224" s="255">
        <v>0</v>
      </c>
      <c r="I224" s="246">
        <f t="shared" si="1"/>
        <v>0</v>
      </c>
      <c r="J224" s="247" t="s">
        <v>169</v>
      </c>
      <c r="K224" s="248">
        <v>1</v>
      </c>
      <c r="L224" s="251"/>
      <c r="M224" s="250" t="s">
        <v>543</v>
      </c>
      <c r="N224" s="240" t="s">
        <v>819</v>
      </c>
    </row>
    <row r="225" spans="1:14">
      <c r="A225" s="242" t="str">
        <f t="shared" si="0"/>
        <v xml:space="preserve">Please fill in Supplier Name </v>
      </c>
      <c r="B225" s="252" t="s">
        <v>348</v>
      </c>
      <c r="C225" s="242" t="s">
        <v>349</v>
      </c>
      <c r="D225" s="242">
        <v>1</v>
      </c>
      <c r="E225" s="242" t="s">
        <v>535</v>
      </c>
      <c r="F225" s="95" t="s">
        <v>936</v>
      </c>
      <c r="G225" s="255">
        <v>0</v>
      </c>
      <c r="H225" s="255">
        <v>0</v>
      </c>
      <c r="I225" s="246">
        <f t="shared" si="1"/>
        <v>0</v>
      </c>
      <c r="J225" s="247" t="s">
        <v>169</v>
      </c>
      <c r="K225" s="248">
        <v>1</v>
      </c>
      <c r="L225" s="251"/>
      <c r="M225" s="250" t="s">
        <v>543</v>
      </c>
      <c r="N225" s="240" t="s">
        <v>819</v>
      </c>
    </row>
    <row r="226" spans="1:14">
      <c r="A226" s="242" t="str">
        <f t="shared" si="0"/>
        <v xml:space="preserve">Please fill in Supplier Name </v>
      </c>
      <c r="B226" s="252" t="s">
        <v>350</v>
      </c>
      <c r="C226" s="242" t="s">
        <v>351</v>
      </c>
      <c r="D226" s="242">
        <v>1</v>
      </c>
      <c r="E226" s="242" t="s">
        <v>535</v>
      </c>
      <c r="F226" s="95" t="s">
        <v>937</v>
      </c>
      <c r="G226" s="255">
        <v>0</v>
      </c>
      <c r="H226" s="255">
        <v>0</v>
      </c>
      <c r="I226" s="246">
        <f t="shared" si="1"/>
        <v>0</v>
      </c>
      <c r="J226" s="247" t="s">
        <v>169</v>
      </c>
      <c r="K226" s="248">
        <v>1</v>
      </c>
      <c r="L226" s="251"/>
      <c r="M226" s="250" t="s">
        <v>543</v>
      </c>
      <c r="N226" s="240" t="s">
        <v>819</v>
      </c>
    </row>
    <row r="227" spans="1:14">
      <c r="A227" s="242" t="str">
        <f t="shared" si="0"/>
        <v xml:space="preserve">Please fill in Supplier Name </v>
      </c>
      <c r="B227" s="252" t="s">
        <v>352</v>
      </c>
      <c r="C227" s="242" t="s">
        <v>353</v>
      </c>
      <c r="D227" s="242">
        <v>1</v>
      </c>
      <c r="E227" s="242" t="s">
        <v>535</v>
      </c>
      <c r="F227" s="95" t="s">
        <v>938</v>
      </c>
      <c r="G227" s="255">
        <v>0</v>
      </c>
      <c r="H227" s="255">
        <v>0</v>
      </c>
      <c r="I227" s="246">
        <f t="shared" si="1"/>
        <v>0</v>
      </c>
      <c r="J227" s="247" t="s">
        <v>169</v>
      </c>
      <c r="K227" s="248">
        <v>1</v>
      </c>
      <c r="L227" s="251"/>
      <c r="M227" s="250" t="s">
        <v>543</v>
      </c>
      <c r="N227" s="240" t="s">
        <v>819</v>
      </c>
    </row>
    <row r="228" spans="1:14">
      <c r="A228" s="242" t="str">
        <f t="shared" si="0"/>
        <v xml:space="preserve">Please fill in Supplier Name </v>
      </c>
      <c r="B228" s="252" t="s">
        <v>354</v>
      </c>
      <c r="C228" s="242" t="s">
        <v>355</v>
      </c>
      <c r="D228" s="242">
        <v>1</v>
      </c>
      <c r="E228" s="242" t="s">
        <v>535</v>
      </c>
      <c r="F228" s="95" t="s">
        <v>936</v>
      </c>
      <c r="G228" s="255">
        <v>0</v>
      </c>
      <c r="H228" s="255">
        <v>0</v>
      </c>
      <c r="I228" s="246">
        <f t="shared" si="1"/>
        <v>0</v>
      </c>
      <c r="J228" s="247" t="s">
        <v>169</v>
      </c>
      <c r="K228" s="248">
        <v>1</v>
      </c>
      <c r="L228" s="251"/>
      <c r="M228" s="250" t="s">
        <v>543</v>
      </c>
      <c r="N228" s="240" t="s">
        <v>819</v>
      </c>
    </row>
    <row r="229" spans="1:14">
      <c r="A229" s="242" t="str">
        <f t="shared" si="0"/>
        <v xml:space="preserve">Please fill in Supplier Name </v>
      </c>
      <c r="B229" s="252" t="s">
        <v>356</v>
      </c>
      <c r="C229" s="242" t="s">
        <v>357</v>
      </c>
      <c r="D229" s="242">
        <v>1</v>
      </c>
      <c r="E229" s="242" t="s">
        <v>535</v>
      </c>
      <c r="F229" s="95" t="s">
        <v>939</v>
      </c>
      <c r="G229" s="255">
        <v>0</v>
      </c>
      <c r="H229" s="255">
        <v>0</v>
      </c>
      <c r="I229" s="246">
        <f t="shared" si="1"/>
        <v>0</v>
      </c>
      <c r="J229" s="247" t="s">
        <v>169</v>
      </c>
      <c r="K229" s="248">
        <v>1</v>
      </c>
      <c r="L229" s="251"/>
      <c r="M229" s="250" t="s">
        <v>543</v>
      </c>
      <c r="N229" s="240" t="s">
        <v>819</v>
      </c>
    </row>
    <row r="230" spans="1:14">
      <c r="A230" s="242" t="str">
        <f t="shared" si="0"/>
        <v xml:space="preserve">Please fill in Supplier Name </v>
      </c>
      <c r="B230" s="242" t="s">
        <v>244</v>
      </c>
      <c r="C230" s="242" t="s">
        <v>245</v>
      </c>
      <c r="D230" s="242">
        <v>1</v>
      </c>
      <c r="E230" s="242" t="s">
        <v>535</v>
      </c>
      <c r="F230" s="95" t="s">
        <v>829</v>
      </c>
      <c r="G230" s="255">
        <v>0</v>
      </c>
      <c r="H230" s="255">
        <v>0</v>
      </c>
      <c r="I230" s="246">
        <f t="shared" si="1"/>
        <v>0</v>
      </c>
      <c r="J230" s="247" t="s">
        <v>169</v>
      </c>
      <c r="K230" s="248">
        <v>1</v>
      </c>
      <c r="L230" s="251"/>
      <c r="M230" s="250" t="s">
        <v>543</v>
      </c>
      <c r="N230" s="240" t="s">
        <v>940</v>
      </c>
    </row>
    <row r="231" spans="1:14">
      <c r="A231" s="242" t="str">
        <f t="shared" si="0"/>
        <v xml:space="preserve">Please fill in Supplier Name </v>
      </c>
      <c r="B231" s="242" t="s">
        <v>246</v>
      </c>
      <c r="C231" s="242" t="s">
        <v>247</v>
      </c>
      <c r="D231" s="242">
        <v>1</v>
      </c>
      <c r="E231" s="242" t="s">
        <v>535</v>
      </c>
      <c r="F231" s="95" t="s">
        <v>829</v>
      </c>
      <c r="G231" s="255">
        <v>0</v>
      </c>
      <c r="H231" s="255">
        <v>0</v>
      </c>
      <c r="I231" s="246">
        <f>SUM(G231:H231)</f>
        <v>0</v>
      </c>
      <c r="J231" s="247" t="s">
        <v>169</v>
      </c>
      <c r="K231" s="248">
        <v>1</v>
      </c>
      <c r="L231" s="251"/>
      <c r="M231" s="250" t="s">
        <v>543</v>
      </c>
      <c r="N231" s="240" t="s">
        <v>940</v>
      </c>
    </row>
    <row r="232" spans="1:14">
      <c r="A232" s="9" t="str">
        <f t="shared" si="0"/>
        <v xml:space="preserve">Please fill in Supplier Name </v>
      </c>
      <c r="B232" s="9" t="s">
        <v>270</v>
      </c>
      <c r="C232" s="9" t="s">
        <v>271</v>
      </c>
      <c r="D232" s="9">
        <v>1</v>
      </c>
      <c r="E232" s="9" t="s">
        <v>535</v>
      </c>
      <c r="F232" s="91"/>
      <c r="G232" s="70"/>
      <c r="H232" s="70"/>
      <c r="I232" s="79">
        <v>0</v>
      </c>
      <c r="J232" s="14" t="s">
        <v>169</v>
      </c>
      <c r="K232" s="11">
        <v>1</v>
      </c>
      <c r="L232" s="9"/>
      <c r="M232" s="12"/>
      <c r="N232" s="12"/>
    </row>
  </sheetData>
  <sheetProtection algorithmName="SHA-512" hashValue="ByrvWSVp69KU2bln0Qx+hc0vd+7w51aKUZG091NP7wFf7m6xszXfosbCSB0AqRkPNUNGT1T4z9xqnPGzw9+MXg==" saltValue="TOZ4LM5lOX1XkkDec5F1qg==" spinCount="100000" sheet="1" objects="1" scenarios="1"/>
  <autoFilter ref="A3:N232" xr:uid="{A32F4638-0E28-43D5-B312-B333A93376B5}"/>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8E461-CEDE-4E7F-9DC1-B8F70F3CBC76}">
  <sheetPr>
    <tabColor theme="8" tint="0.59999389629810485"/>
  </sheetPr>
  <dimension ref="A1:N231"/>
  <sheetViews>
    <sheetView showGridLines="0" zoomScale="85" zoomScaleNormal="85" workbookViewId="0">
      <pane ySplit="3" topLeftCell="A4" activePane="bottomLeft" state="frozen"/>
      <selection pane="bottomLeft" activeCell="H17" sqref="H17:H26"/>
      <selection activeCell="N64" sqref="N64"/>
    </sheetView>
  </sheetViews>
  <sheetFormatPr defaultColWidth="7.75" defaultRowHeight="13.15"/>
  <cols>
    <col min="1" max="1" width="30.625" style="1" customWidth="1"/>
    <col min="2" max="2" width="23.75" style="1" bestFit="1" customWidth="1"/>
    <col min="3" max="3" width="43.125" style="1" customWidth="1"/>
    <col min="4" max="4" width="8.5" style="2" customWidth="1"/>
    <col min="5" max="5" width="4.25" style="2" customWidth="1"/>
    <col min="6" max="6" width="50.625" style="53" customWidth="1"/>
    <col min="7" max="7" width="8.625" style="2" customWidth="1"/>
    <col min="8" max="8" width="8.875" style="2" customWidth="1"/>
    <col min="9" max="9" width="11.375" style="2" customWidth="1"/>
    <col min="10" max="10" width="8.75" style="2" customWidth="1"/>
    <col min="11" max="11" width="15.25" style="1" customWidth="1"/>
    <col min="12" max="12" width="22.25" style="1" customWidth="1"/>
    <col min="13" max="13" width="7.75" style="1"/>
    <col min="14" max="14" width="211.375" style="1" bestFit="1" customWidth="1"/>
    <col min="15" max="16384" width="7.75" style="1"/>
  </cols>
  <sheetData>
    <row r="1" spans="1:14">
      <c r="A1" s="1" t="s">
        <v>831</v>
      </c>
      <c r="B1" s="1" t="s">
        <v>520</v>
      </c>
      <c r="C1" s="1" t="s">
        <v>521</v>
      </c>
    </row>
    <row r="2" spans="1:14" ht="16.899999999999999">
      <c r="A2" s="46"/>
      <c r="B2" s="3" t="s">
        <v>941</v>
      </c>
      <c r="C2" s="168" t="s">
        <v>942</v>
      </c>
      <c r="D2" s="4"/>
      <c r="E2" s="4"/>
      <c r="F2" s="90"/>
      <c r="G2" s="4"/>
      <c r="H2" s="4"/>
      <c r="I2" s="4"/>
      <c r="J2" s="4"/>
      <c r="K2" s="4"/>
      <c r="L2" s="5"/>
    </row>
    <row r="3" spans="1:14" s="22" customFormat="1" ht="52.9">
      <c r="A3" s="6" t="s">
        <v>524</v>
      </c>
      <c r="B3" s="6" t="s">
        <v>3</v>
      </c>
      <c r="C3" s="6" t="s">
        <v>4</v>
      </c>
      <c r="D3" s="6" t="s">
        <v>5</v>
      </c>
      <c r="E3" s="6" t="s">
        <v>6</v>
      </c>
      <c r="F3" s="6" t="s">
        <v>525</v>
      </c>
      <c r="G3" s="6" t="s">
        <v>8</v>
      </c>
      <c r="H3" s="6" t="s">
        <v>9</v>
      </c>
      <c r="I3" s="6" t="s">
        <v>10</v>
      </c>
      <c r="J3" s="20" t="s">
        <v>11</v>
      </c>
      <c r="K3" s="20" t="s">
        <v>526</v>
      </c>
      <c r="L3" s="21" t="s">
        <v>13</v>
      </c>
      <c r="M3" s="21" t="s">
        <v>527</v>
      </c>
      <c r="N3" s="6" t="s">
        <v>528</v>
      </c>
    </row>
    <row r="4" spans="1:14">
      <c r="A4" s="270" t="str">
        <f>'CS C C1-3'!$A$4</f>
        <v xml:space="preserve">Please fill in Supplier Name </v>
      </c>
      <c r="B4" s="200" t="s">
        <v>943</v>
      </c>
      <c r="C4" s="200" t="s">
        <v>219</v>
      </c>
      <c r="D4" s="201"/>
      <c r="E4" s="201"/>
      <c r="F4" s="202"/>
      <c r="G4" s="198">
        <f>SUM(G5:G14)</f>
        <v>0</v>
      </c>
      <c r="H4" s="198">
        <f>SUM(H5:H14)</f>
        <v>0.61999999999999988</v>
      </c>
      <c r="I4" s="203">
        <f>SUM(G4:H4)</f>
        <v>0.61999999999999988</v>
      </c>
      <c r="J4" s="204" t="s">
        <v>217</v>
      </c>
      <c r="K4" s="205">
        <v>1</v>
      </c>
      <c r="L4" s="200"/>
      <c r="M4" s="199" t="s">
        <v>544</v>
      </c>
      <c r="N4" s="199" t="s">
        <v>944</v>
      </c>
    </row>
    <row r="5" spans="1:14">
      <c r="A5" s="3"/>
      <c r="B5" s="3"/>
      <c r="C5" s="3" t="s">
        <v>902</v>
      </c>
      <c r="D5" s="71">
        <v>1</v>
      </c>
      <c r="E5" s="48" t="s">
        <v>535</v>
      </c>
      <c r="F5" s="59"/>
      <c r="G5" s="48">
        <v>0</v>
      </c>
      <c r="H5" s="76">
        <v>0.09</v>
      </c>
      <c r="I5" s="48"/>
      <c r="J5" s="48"/>
      <c r="K5" s="48"/>
      <c r="L5" s="69">
        <v>971167</v>
      </c>
    </row>
    <row r="6" spans="1:14">
      <c r="A6" s="3"/>
      <c r="B6" s="3"/>
      <c r="C6" s="3" t="s">
        <v>945</v>
      </c>
      <c r="D6" s="71">
        <v>1</v>
      </c>
      <c r="E6" s="48" t="s">
        <v>535</v>
      </c>
      <c r="F6" s="59"/>
      <c r="G6" s="48">
        <v>0</v>
      </c>
      <c r="H6" s="76">
        <v>0.05</v>
      </c>
      <c r="I6" s="48"/>
      <c r="J6" s="48"/>
      <c r="K6" s="48"/>
      <c r="L6" s="69">
        <v>973172</v>
      </c>
    </row>
    <row r="7" spans="1:14">
      <c r="A7" s="3"/>
      <c r="B7" s="3"/>
      <c r="C7" s="3" t="s">
        <v>946</v>
      </c>
      <c r="D7" s="71">
        <v>1</v>
      </c>
      <c r="E7" s="48" t="s">
        <v>535</v>
      </c>
      <c r="F7" s="59"/>
      <c r="G7" s="48">
        <v>0</v>
      </c>
      <c r="H7" s="76">
        <v>0.05</v>
      </c>
      <c r="I7" s="48"/>
      <c r="J7" s="48"/>
      <c r="K7" s="48"/>
      <c r="L7" s="69">
        <v>973605</v>
      </c>
    </row>
    <row r="8" spans="1:14">
      <c r="A8" s="3"/>
      <c r="B8" s="3"/>
      <c r="C8" s="3" t="s">
        <v>947</v>
      </c>
      <c r="D8" s="71">
        <v>1</v>
      </c>
      <c r="E8" s="48" t="s">
        <v>535</v>
      </c>
      <c r="F8" s="59"/>
      <c r="G8" s="48">
        <v>0</v>
      </c>
      <c r="H8" s="76">
        <v>0.05</v>
      </c>
      <c r="I8" s="48"/>
      <c r="J8" s="48"/>
      <c r="K8" s="48"/>
      <c r="L8" s="69">
        <v>973045</v>
      </c>
    </row>
    <row r="9" spans="1:14">
      <c r="A9" s="3"/>
      <c r="B9" s="3"/>
      <c r="C9" s="3" t="s">
        <v>948</v>
      </c>
      <c r="D9" s="71">
        <v>1</v>
      </c>
      <c r="E9" s="48" t="s">
        <v>535</v>
      </c>
      <c r="F9" s="59"/>
      <c r="G9" s="48">
        <v>0</v>
      </c>
      <c r="H9" s="76">
        <v>0.05</v>
      </c>
      <c r="I9" s="48"/>
      <c r="J9" s="48"/>
      <c r="K9" s="48"/>
      <c r="L9" s="69">
        <v>971205</v>
      </c>
    </row>
    <row r="10" spans="1:14">
      <c r="A10" s="3"/>
      <c r="B10" s="3"/>
      <c r="C10" s="3" t="s">
        <v>949</v>
      </c>
      <c r="D10" s="71">
        <v>1</v>
      </c>
      <c r="E10" s="48" t="s">
        <v>535</v>
      </c>
      <c r="F10" s="59"/>
      <c r="G10" s="48">
        <v>0</v>
      </c>
      <c r="H10" s="76">
        <v>0.05</v>
      </c>
      <c r="I10" s="48"/>
      <c r="J10" s="48"/>
      <c r="K10" s="48"/>
      <c r="L10" s="69">
        <v>971206</v>
      </c>
    </row>
    <row r="11" spans="1:14">
      <c r="A11" s="3"/>
      <c r="B11" s="3"/>
      <c r="C11" s="3" t="s">
        <v>950</v>
      </c>
      <c r="D11" s="71">
        <v>1</v>
      </c>
      <c r="E11" s="48" t="s">
        <v>535</v>
      </c>
      <c r="F11" s="59"/>
      <c r="G11" s="48">
        <v>0</v>
      </c>
      <c r="H11" s="76">
        <v>0.05</v>
      </c>
      <c r="I11" s="48"/>
      <c r="J11" s="48"/>
      <c r="K11" s="48"/>
      <c r="L11" s="69">
        <v>971207</v>
      </c>
    </row>
    <row r="12" spans="1:14">
      <c r="A12" s="3"/>
      <c r="B12" s="3"/>
      <c r="C12" s="3" t="s">
        <v>951</v>
      </c>
      <c r="D12" s="71">
        <v>1</v>
      </c>
      <c r="E12" s="48" t="s">
        <v>535</v>
      </c>
      <c r="F12" s="59"/>
      <c r="G12" s="48">
        <v>0</v>
      </c>
      <c r="H12" s="76">
        <v>0.05</v>
      </c>
      <c r="I12" s="48"/>
      <c r="J12" s="48"/>
      <c r="K12" s="48"/>
      <c r="L12" s="69"/>
    </row>
    <row r="13" spans="1:14">
      <c r="A13" s="3"/>
      <c r="B13" s="3"/>
      <c r="C13" s="3" t="s">
        <v>908</v>
      </c>
      <c r="D13" s="71">
        <v>1</v>
      </c>
      <c r="E13" s="48" t="s">
        <v>535</v>
      </c>
      <c r="F13" s="59"/>
      <c r="G13" s="76"/>
      <c r="H13" s="76">
        <v>0.09</v>
      </c>
      <c r="I13" s="48"/>
      <c r="J13" s="48"/>
      <c r="K13" s="48"/>
      <c r="L13" s="69">
        <v>971208</v>
      </c>
    </row>
    <row r="14" spans="1:14">
      <c r="A14" s="3"/>
      <c r="B14" s="3"/>
      <c r="C14" s="3" t="s">
        <v>952</v>
      </c>
      <c r="D14" s="71">
        <v>1</v>
      </c>
      <c r="E14" s="48" t="s">
        <v>535</v>
      </c>
      <c r="F14" s="59"/>
      <c r="G14" s="76"/>
      <c r="H14" s="76">
        <v>0.09</v>
      </c>
      <c r="I14" s="48"/>
      <c r="J14" s="48"/>
      <c r="K14" s="48"/>
      <c r="L14" s="69"/>
    </row>
    <row r="15" spans="1:14">
      <c r="D15" s="1"/>
      <c r="E15" s="1"/>
      <c r="G15" s="1"/>
      <c r="H15" s="1"/>
      <c r="I15" s="1"/>
      <c r="J15" s="1"/>
    </row>
    <row r="16" spans="1:14">
      <c r="A16" s="242" t="str">
        <f>$A$4</f>
        <v xml:space="preserve">Please fill in Supplier Name </v>
      </c>
      <c r="B16" s="242" t="s">
        <v>953</v>
      </c>
      <c r="C16" s="242" t="s">
        <v>221</v>
      </c>
      <c r="D16" s="243"/>
      <c r="E16" s="243"/>
      <c r="F16" s="244"/>
      <c r="G16" s="245">
        <f>SUM(G17:G26)</f>
        <v>0</v>
      </c>
      <c r="H16" s="245">
        <f>SUM(H17:H26)</f>
        <v>0.61999999999999988</v>
      </c>
      <c r="I16" s="246">
        <f>SUM(G16:H16)</f>
        <v>0.61999999999999988</v>
      </c>
      <c r="J16" s="247" t="s">
        <v>217</v>
      </c>
      <c r="K16" s="248">
        <v>1</v>
      </c>
      <c r="L16" s="242"/>
      <c r="M16" s="240" t="s">
        <v>544</v>
      </c>
      <c r="N16" s="240" t="s">
        <v>944</v>
      </c>
    </row>
    <row r="17" spans="1:14">
      <c r="A17" s="3"/>
      <c r="B17" s="3"/>
      <c r="C17" s="3" t="s">
        <v>902</v>
      </c>
      <c r="D17" s="71">
        <v>1</v>
      </c>
      <c r="E17" s="48" t="s">
        <v>535</v>
      </c>
      <c r="F17" s="59"/>
      <c r="G17" s="48">
        <v>0</v>
      </c>
      <c r="H17" s="76">
        <v>0.09</v>
      </c>
      <c r="I17" s="48"/>
      <c r="J17" s="48"/>
      <c r="K17" s="48"/>
      <c r="L17" s="69">
        <v>971167</v>
      </c>
    </row>
    <row r="18" spans="1:14">
      <c r="A18" s="3"/>
      <c r="B18" s="3"/>
      <c r="C18" s="3" t="s">
        <v>945</v>
      </c>
      <c r="D18" s="71">
        <v>1</v>
      </c>
      <c r="E18" s="48" t="s">
        <v>535</v>
      </c>
      <c r="F18" s="59"/>
      <c r="G18" s="48">
        <v>0</v>
      </c>
      <c r="H18" s="76">
        <v>0.05</v>
      </c>
      <c r="I18" s="48"/>
      <c r="J18" s="48"/>
      <c r="K18" s="48"/>
      <c r="L18" s="69">
        <v>973172</v>
      </c>
    </row>
    <row r="19" spans="1:14">
      <c r="A19" s="3"/>
      <c r="B19" s="3"/>
      <c r="C19" s="3" t="s">
        <v>946</v>
      </c>
      <c r="D19" s="71">
        <v>1</v>
      </c>
      <c r="E19" s="48" t="s">
        <v>535</v>
      </c>
      <c r="F19" s="59"/>
      <c r="G19" s="48">
        <v>0</v>
      </c>
      <c r="H19" s="76">
        <v>0.05</v>
      </c>
      <c r="I19" s="48"/>
      <c r="J19" s="48"/>
      <c r="K19" s="48"/>
      <c r="L19" s="69">
        <v>973605</v>
      </c>
    </row>
    <row r="20" spans="1:14">
      <c r="A20" s="3"/>
      <c r="B20" s="3"/>
      <c r="C20" s="3" t="s">
        <v>947</v>
      </c>
      <c r="D20" s="71">
        <v>1</v>
      </c>
      <c r="E20" s="48" t="s">
        <v>535</v>
      </c>
      <c r="F20" s="59"/>
      <c r="G20" s="48">
        <v>0</v>
      </c>
      <c r="H20" s="76">
        <v>0.05</v>
      </c>
      <c r="I20" s="48"/>
      <c r="J20" s="48"/>
      <c r="K20" s="48"/>
      <c r="L20" s="69">
        <v>973045</v>
      </c>
    </row>
    <row r="21" spans="1:14">
      <c r="A21" s="3"/>
      <c r="B21" s="3"/>
      <c r="C21" s="3" t="s">
        <v>948</v>
      </c>
      <c r="D21" s="71">
        <v>1</v>
      </c>
      <c r="E21" s="48" t="s">
        <v>535</v>
      </c>
      <c r="F21" s="59"/>
      <c r="G21" s="48">
        <v>0</v>
      </c>
      <c r="H21" s="76">
        <v>0.05</v>
      </c>
      <c r="I21" s="48"/>
      <c r="J21" s="48"/>
      <c r="K21" s="48"/>
      <c r="L21" s="69">
        <v>971205</v>
      </c>
    </row>
    <row r="22" spans="1:14">
      <c r="A22" s="3"/>
      <c r="B22" s="3"/>
      <c r="C22" s="3" t="s">
        <v>949</v>
      </c>
      <c r="D22" s="71">
        <v>1</v>
      </c>
      <c r="E22" s="48" t="s">
        <v>535</v>
      </c>
      <c r="F22" s="59"/>
      <c r="G22" s="48">
        <v>0</v>
      </c>
      <c r="H22" s="76">
        <v>0.05</v>
      </c>
      <c r="I22" s="48"/>
      <c r="J22" s="48"/>
      <c r="K22" s="48"/>
      <c r="L22" s="69">
        <v>971206</v>
      </c>
    </row>
    <row r="23" spans="1:14">
      <c r="A23" s="3"/>
      <c r="B23" s="3"/>
      <c r="C23" s="3" t="s">
        <v>950</v>
      </c>
      <c r="D23" s="71">
        <v>1</v>
      </c>
      <c r="E23" s="48" t="s">
        <v>535</v>
      </c>
      <c r="F23" s="59"/>
      <c r="G23" s="48">
        <v>0</v>
      </c>
      <c r="H23" s="76">
        <v>0.05</v>
      </c>
      <c r="I23" s="48"/>
      <c r="J23" s="48"/>
      <c r="K23" s="48"/>
      <c r="L23" s="69">
        <v>971207</v>
      </c>
    </row>
    <row r="24" spans="1:14">
      <c r="A24" s="3"/>
      <c r="B24" s="3"/>
      <c r="C24" s="3" t="s">
        <v>951</v>
      </c>
      <c r="D24" s="71">
        <v>1</v>
      </c>
      <c r="E24" s="48" t="s">
        <v>535</v>
      </c>
      <c r="F24" s="59"/>
      <c r="G24" s="48">
        <v>0</v>
      </c>
      <c r="H24" s="76">
        <v>0.05</v>
      </c>
      <c r="I24" s="48"/>
      <c r="J24" s="48"/>
      <c r="K24" s="48"/>
      <c r="L24" s="69">
        <v>971208</v>
      </c>
    </row>
    <row r="25" spans="1:14">
      <c r="A25" s="3"/>
      <c r="B25" s="3"/>
      <c r="C25" s="3" t="s">
        <v>908</v>
      </c>
      <c r="D25" s="71">
        <v>1</v>
      </c>
      <c r="E25" s="48" t="s">
        <v>535</v>
      </c>
      <c r="F25" s="59"/>
      <c r="G25" s="76"/>
      <c r="H25" s="76">
        <v>0.09</v>
      </c>
      <c r="I25" s="48"/>
      <c r="J25" s="48"/>
      <c r="K25" s="48"/>
      <c r="L25" s="69"/>
    </row>
    <row r="26" spans="1:14">
      <c r="A26" s="3"/>
      <c r="B26" s="3"/>
      <c r="C26" s="3" t="s">
        <v>952</v>
      </c>
      <c r="D26" s="71">
        <v>1</v>
      </c>
      <c r="E26" s="48" t="s">
        <v>535</v>
      </c>
      <c r="F26" s="59"/>
      <c r="G26" s="76"/>
      <c r="H26" s="76">
        <v>0.09</v>
      </c>
      <c r="I26" s="48"/>
      <c r="J26" s="48"/>
      <c r="K26" s="48"/>
      <c r="L26" s="69"/>
    </row>
    <row r="27" spans="1:14">
      <c r="D27" s="1"/>
      <c r="E27" s="1"/>
      <c r="G27" s="1"/>
      <c r="H27" s="1"/>
      <c r="I27" s="1"/>
      <c r="J27" s="1"/>
    </row>
    <row r="28" spans="1:14">
      <c r="A28" s="213" t="str">
        <f>$A$4</f>
        <v xml:space="preserve">Please fill in Supplier Name </v>
      </c>
      <c r="B28" s="213" t="s">
        <v>222</v>
      </c>
      <c r="C28" s="213" t="s">
        <v>223</v>
      </c>
      <c r="D28" s="214"/>
      <c r="E28" s="214"/>
      <c r="F28" s="215"/>
      <c r="G28" s="147">
        <f>SUM(G29:G37)</f>
        <v>0</v>
      </c>
      <c r="H28" s="147">
        <f>SUM(H29:H37)</f>
        <v>0</v>
      </c>
      <c r="I28" s="216">
        <f>SUM(G28:H28)</f>
        <v>0</v>
      </c>
      <c r="J28" s="217" t="s">
        <v>217</v>
      </c>
      <c r="K28" s="218">
        <v>1</v>
      </c>
      <c r="L28" s="220"/>
      <c r="M28" s="219" t="s">
        <v>544</v>
      </c>
      <c r="N28" s="219" t="s">
        <v>954</v>
      </c>
    </row>
    <row r="29" spans="1:14">
      <c r="A29" s="3"/>
      <c r="B29" s="3"/>
      <c r="C29" s="3" t="s">
        <v>955</v>
      </c>
      <c r="D29" s="71">
        <v>10</v>
      </c>
      <c r="E29" s="48" t="s">
        <v>559</v>
      </c>
      <c r="F29" s="59"/>
      <c r="G29" s="48"/>
      <c r="H29" s="48"/>
      <c r="I29" s="48"/>
      <c r="J29" s="48"/>
      <c r="K29" s="48"/>
      <c r="L29" s="69"/>
    </row>
    <row r="30" spans="1:14">
      <c r="A30" s="3"/>
      <c r="B30" s="3"/>
      <c r="C30" s="3" t="s">
        <v>956</v>
      </c>
      <c r="D30" s="71">
        <v>10</v>
      </c>
      <c r="E30" s="48" t="s">
        <v>559</v>
      </c>
      <c r="F30" s="59"/>
      <c r="G30" s="48"/>
      <c r="H30" s="48"/>
      <c r="I30" s="48"/>
      <c r="J30" s="48"/>
      <c r="K30" s="48"/>
      <c r="L30" s="69"/>
    </row>
    <row r="31" spans="1:14">
      <c r="A31" s="3"/>
      <c r="B31" s="3"/>
      <c r="C31" s="3" t="s">
        <v>957</v>
      </c>
      <c r="D31" s="71">
        <v>10</v>
      </c>
      <c r="E31" s="48" t="s">
        <v>559</v>
      </c>
      <c r="F31" s="59"/>
      <c r="G31" s="48"/>
      <c r="H31" s="48"/>
      <c r="I31" s="48"/>
      <c r="J31" s="48"/>
      <c r="K31" s="48"/>
      <c r="L31" s="69"/>
    </row>
    <row r="32" spans="1:14">
      <c r="A32" s="3"/>
      <c r="B32" s="3"/>
      <c r="C32" s="3" t="s">
        <v>958</v>
      </c>
      <c r="D32" s="71">
        <v>3</v>
      </c>
      <c r="E32" s="48" t="s">
        <v>559</v>
      </c>
      <c r="F32" s="59"/>
      <c r="G32" s="48"/>
      <c r="H32" s="48"/>
      <c r="I32" s="48"/>
      <c r="J32" s="48"/>
      <c r="K32" s="48"/>
      <c r="L32" s="69"/>
    </row>
    <row r="33" spans="1:14">
      <c r="A33" s="3"/>
      <c r="B33" s="3"/>
      <c r="C33" s="3"/>
      <c r="D33" s="71"/>
      <c r="E33" s="48"/>
      <c r="F33" s="59"/>
      <c r="G33" s="48"/>
      <c r="H33" s="48"/>
      <c r="I33" s="48"/>
      <c r="J33" s="48"/>
      <c r="K33" s="48"/>
      <c r="L33" s="69"/>
    </row>
    <row r="34" spans="1:14">
      <c r="A34" s="3"/>
      <c r="B34" s="3"/>
      <c r="C34" s="3"/>
      <c r="D34" s="71"/>
      <c r="E34" s="48"/>
      <c r="F34" s="59"/>
      <c r="G34" s="48"/>
      <c r="H34" s="48"/>
      <c r="I34" s="48"/>
      <c r="J34" s="48"/>
      <c r="K34" s="48"/>
      <c r="L34" s="69"/>
    </row>
    <row r="35" spans="1:14">
      <c r="A35" s="3"/>
      <c r="B35" s="3"/>
      <c r="C35" s="3"/>
      <c r="D35" s="71"/>
      <c r="E35" s="48"/>
      <c r="F35" s="59"/>
      <c r="G35" s="48"/>
      <c r="H35" s="48"/>
      <c r="I35" s="48"/>
      <c r="J35" s="48"/>
      <c r="K35" s="48"/>
      <c r="L35" s="69"/>
    </row>
    <row r="36" spans="1:14">
      <c r="A36" s="3"/>
      <c r="B36" s="3"/>
      <c r="C36" s="3"/>
      <c r="D36" s="71"/>
      <c r="E36" s="48"/>
      <c r="F36" s="59"/>
      <c r="G36" s="48"/>
      <c r="H36" s="48"/>
      <c r="I36" s="48"/>
      <c r="J36" s="48"/>
      <c r="K36" s="48"/>
      <c r="L36" s="69"/>
    </row>
    <row r="37" spans="1:14">
      <c r="A37" s="3"/>
      <c r="B37" s="3"/>
      <c r="C37" s="3"/>
      <c r="D37" s="71"/>
      <c r="E37" s="48"/>
      <c r="F37" s="59"/>
      <c r="G37" s="48"/>
      <c r="H37" s="48"/>
      <c r="I37" s="48"/>
      <c r="J37" s="48"/>
      <c r="K37" s="48"/>
      <c r="L37" s="69"/>
    </row>
    <row r="38" spans="1:14">
      <c r="D38" s="1"/>
      <c r="E38" s="1"/>
      <c r="G38" s="1"/>
      <c r="H38" s="1"/>
      <c r="I38" s="1"/>
      <c r="J38" s="1"/>
    </row>
    <row r="39" spans="1:14">
      <c r="A39" s="200" t="str">
        <f>$A$4</f>
        <v xml:space="preserve">Please fill in Supplier Name </v>
      </c>
      <c r="B39" s="200" t="s">
        <v>231</v>
      </c>
      <c r="C39" s="200" t="s">
        <v>232</v>
      </c>
      <c r="D39" s="201"/>
      <c r="E39" s="201"/>
      <c r="F39" s="202"/>
      <c r="G39" s="198">
        <f>SUM(G40:G48)</f>
        <v>0</v>
      </c>
      <c r="H39" s="198">
        <f>SUM(H40:H48)</f>
        <v>0</v>
      </c>
      <c r="I39" s="203">
        <f>SUM(G39:H39)</f>
        <v>0</v>
      </c>
      <c r="J39" s="204" t="s">
        <v>217</v>
      </c>
      <c r="K39" s="205">
        <v>1</v>
      </c>
      <c r="L39" s="208"/>
      <c r="M39" s="199" t="s">
        <v>532</v>
      </c>
      <c r="N39" s="199"/>
    </row>
    <row r="40" spans="1:14">
      <c r="A40" s="3"/>
      <c r="B40" s="3"/>
      <c r="C40" s="77" t="s">
        <v>959</v>
      </c>
      <c r="D40" s="75">
        <v>10</v>
      </c>
      <c r="E40" s="76" t="s">
        <v>547</v>
      </c>
      <c r="F40" s="92"/>
      <c r="G40" s="76"/>
      <c r="H40" s="76"/>
      <c r="I40" s="48"/>
      <c r="J40" s="48"/>
      <c r="K40" s="48"/>
      <c r="L40" s="69"/>
    </row>
    <row r="41" spans="1:14">
      <c r="A41" s="3"/>
      <c r="B41" s="3"/>
      <c r="C41" s="77" t="s">
        <v>960</v>
      </c>
      <c r="D41" s="75">
        <v>15</v>
      </c>
      <c r="E41" s="76" t="s">
        <v>559</v>
      </c>
      <c r="F41" s="92"/>
      <c r="G41" s="76"/>
      <c r="H41" s="76"/>
      <c r="I41" s="48"/>
      <c r="J41" s="48"/>
      <c r="K41" s="48"/>
      <c r="L41" s="69"/>
    </row>
    <row r="42" spans="1:14">
      <c r="A42" s="3"/>
      <c r="B42" s="3"/>
      <c r="C42" s="77" t="s">
        <v>957</v>
      </c>
      <c r="D42" s="75">
        <v>10</v>
      </c>
      <c r="E42" s="76" t="s">
        <v>547</v>
      </c>
      <c r="F42" s="92"/>
      <c r="G42" s="76"/>
      <c r="H42" s="76"/>
      <c r="I42" s="48"/>
      <c r="J42" s="48"/>
      <c r="K42" s="48"/>
      <c r="L42" s="69"/>
    </row>
    <row r="43" spans="1:14">
      <c r="A43" s="3"/>
      <c r="B43" s="3"/>
      <c r="C43" s="77"/>
      <c r="D43" s="75"/>
      <c r="E43" s="76"/>
      <c r="F43" s="92"/>
      <c r="G43" s="76"/>
      <c r="H43" s="76"/>
      <c r="I43" s="48"/>
      <c r="J43" s="48"/>
      <c r="K43" s="48"/>
      <c r="L43" s="69"/>
    </row>
    <row r="44" spans="1:14">
      <c r="A44" s="3"/>
      <c r="B44" s="3"/>
      <c r="C44" s="77"/>
      <c r="D44" s="75"/>
      <c r="E44" s="76"/>
      <c r="F44" s="92"/>
      <c r="G44" s="76"/>
      <c r="H44" s="76"/>
      <c r="I44" s="48"/>
      <c r="J44" s="48"/>
      <c r="K44" s="48"/>
      <c r="L44" s="69"/>
    </row>
    <row r="45" spans="1:14">
      <c r="A45" s="3"/>
      <c r="B45" s="3"/>
      <c r="C45" s="77"/>
      <c r="D45" s="75"/>
      <c r="E45" s="76"/>
      <c r="F45" s="92"/>
      <c r="G45" s="76"/>
      <c r="H45" s="76"/>
      <c r="I45" s="48"/>
      <c r="J45" s="48"/>
      <c r="K45" s="48"/>
      <c r="L45" s="69"/>
    </row>
    <row r="46" spans="1:14">
      <c r="A46" s="3"/>
      <c r="B46" s="3"/>
      <c r="C46" s="77"/>
      <c r="D46" s="75"/>
      <c r="E46" s="76"/>
      <c r="F46" s="92"/>
      <c r="G46" s="76"/>
      <c r="H46" s="76"/>
      <c r="I46" s="48"/>
      <c r="J46" s="48"/>
      <c r="K46" s="48"/>
      <c r="L46" s="69"/>
    </row>
    <row r="47" spans="1:14">
      <c r="A47" s="3"/>
      <c r="B47" s="3"/>
      <c r="C47" s="77"/>
      <c r="D47" s="75"/>
      <c r="E47" s="76"/>
      <c r="F47" s="92"/>
      <c r="G47" s="76"/>
      <c r="H47" s="76"/>
      <c r="I47" s="48"/>
      <c r="J47" s="48"/>
      <c r="K47" s="48"/>
      <c r="L47" s="69"/>
    </row>
    <row r="48" spans="1:14">
      <c r="A48" s="3"/>
      <c r="B48" s="3"/>
      <c r="C48" s="77"/>
      <c r="D48" s="75"/>
      <c r="E48" s="76"/>
      <c r="F48" s="92"/>
      <c r="G48" s="76"/>
      <c r="H48" s="76"/>
      <c r="I48" s="48"/>
      <c r="J48" s="48"/>
      <c r="K48" s="48"/>
      <c r="L48" s="69"/>
    </row>
    <row r="49" spans="1:14">
      <c r="D49" s="1"/>
      <c r="E49" s="1"/>
      <c r="G49" s="1"/>
      <c r="H49" s="1"/>
      <c r="I49" s="1"/>
      <c r="J49" s="1"/>
    </row>
    <row r="50" spans="1:14">
      <c r="A50" s="242" t="str">
        <f>$A$4</f>
        <v xml:space="preserve">Please fill in Supplier Name </v>
      </c>
      <c r="B50" s="242" t="s">
        <v>233</v>
      </c>
      <c r="C50" s="242" t="s">
        <v>234</v>
      </c>
      <c r="D50" s="243"/>
      <c r="E50" s="243"/>
      <c r="F50" s="244"/>
      <c r="G50" s="245">
        <f>SUM(G51:G59)</f>
        <v>0</v>
      </c>
      <c r="H50" s="245">
        <f>SUM(H51:H59)</f>
        <v>0</v>
      </c>
      <c r="I50" s="246">
        <f>SUM(G50:H50)</f>
        <v>0</v>
      </c>
      <c r="J50" s="247" t="s">
        <v>217</v>
      </c>
      <c r="K50" s="248">
        <v>1</v>
      </c>
      <c r="L50" s="251"/>
      <c r="M50" s="240" t="s">
        <v>543</v>
      </c>
      <c r="N50" s="240"/>
    </row>
    <row r="51" spans="1:14">
      <c r="A51" s="3"/>
      <c r="B51" s="3"/>
      <c r="C51" s="77" t="s">
        <v>553</v>
      </c>
      <c r="D51" s="75">
        <v>10</v>
      </c>
      <c r="E51" s="76" t="s">
        <v>547</v>
      </c>
      <c r="F51" s="92"/>
      <c r="G51" s="76"/>
      <c r="H51" s="76"/>
      <c r="I51" s="48"/>
      <c r="J51" s="48"/>
      <c r="K51" s="48"/>
      <c r="L51" s="69"/>
    </row>
    <row r="52" spans="1:14">
      <c r="A52" s="3"/>
      <c r="B52" s="3"/>
      <c r="C52" s="77" t="s">
        <v>961</v>
      </c>
      <c r="D52" s="75">
        <v>15</v>
      </c>
      <c r="E52" s="76" t="s">
        <v>547</v>
      </c>
      <c r="F52" s="92"/>
      <c r="G52" s="76"/>
      <c r="H52" s="76"/>
      <c r="I52" s="48"/>
      <c r="J52" s="48"/>
      <c r="K52" s="48"/>
      <c r="L52" s="69"/>
    </row>
    <row r="53" spans="1:14">
      <c r="A53" s="3"/>
      <c r="B53" s="3"/>
      <c r="C53" s="77" t="s">
        <v>962</v>
      </c>
      <c r="D53" s="75">
        <v>10</v>
      </c>
      <c r="E53" s="76" t="s">
        <v>547</v>
      </c>
      <c r="F53" s="92"/>
      <c r="G53" s="76"/>
      <c r="H53" s="76"/>
      <c r="I53" s="48"/>
      <c r="J53" s="48"/>
      <c r="K53" s="48"/>
      <c r="L53" s="69"/>
    </row>
    <row r="54" spans="1:14">
      <c r="A54" s="3"/>
      <c r="B54" s="3"/>
      <c r="C54" s="77"/>
      <c r="D54" s="75"/>
      <c r="E54" s="76"/>
      <c r="F54" s="92"/>
      <c r="G54" s="76"/>
      <c r="H54" s="76"/>
      <c r="I54" s="48"/>
      <c r="J54" s="48"/>
      <c r="K54" s="48"/>
      <c r="L54" s="69"/>
    </row>
    <row r="55" spans="1:14">
      <c r="A55" s="3"/>
      <c r="B55" s="3"/>
      <c r="C55" s="77"/>
      <c r="D55" s="75"/>
      <c r="E55" s="76"/>
      <c r="F55" s="92"/>
      <c r="G55" s="76"/>
      <c r="H55" s="76"/>
      <c r="I55" s="48"/>
      <c r="J55" s="48"/>
      <c r="K55" s="48"/>
      <c r="L55" s="69"/>
    </row>
    <row r="56" spans="1:14">
      <c r="A56" s="3"/>
      <c r="B56" s="3"/>
      <c r="C56" s="77"/>
      <c r="D56" s="75"/>
      <c r="E56" s="76"/>
      <c r="F56" s="92"/>
      <c r="G56" s="76"/>
      <c r="H56" s="76"/>
      <c r="I56" s="48"/>
      <c r="J56" s="48"/>
      <c r="K56" s="48"/>
      <c r="L56" s="69"/>
    </row>
    <row r="57" spans="1:14">
      <c r="A57" s="3"/>
      <c r="B57" s="3"/>
      <c r="C57" s="77"/>
      <c r="D57" s="75"/>
      <c r="E57" s="76"/>
      <c r="F57" s="92"/>
      <c r="G57" s="76"/>
      <c r="H57" s="76"/>
      <c r="I57" s="48"/>
      <c r="J57" s="48"/>
      <c r="K57" s="48"/>
      <c r="L57" s="69"/>
    </row>
    <row r="58" spans="1:14">
      <c r="A58" s="3"/>
      <c r="B58" s="3"/>
      <c r="C58" s="77"/>
      <c r="D58" s="75"/>
      <c r="E58" s="76"/>
      <c r="F58" s="92"/>
      <c r="G58" s="76"/>
      <c r="H58" s="76"/>
      <c r="I58" s="48"/>
      <c r="J58" s="48"/>
      <c r="K58" s="48"/>
      <c r="L58" s="69"/>
    </row>
    <row r="59" spans="1:14">
      <c r="A59" s="3"/>
      <c r="B59" s="3"/>
      <c r="C59" s="77"/>
      <c r="D59" s="75"/>
      <c r="E59" s="76"/>
      <c r="F59" s="92"/>
      <c r="G59" s="76"/>
      <c r="H59" s="76"/>
      <c r="I59" s="48"/>
      <c r="J59" s="48"/>
      <c r="K59" s="48"/>
      <c r="L59" s="69"/>
    </row>
    <row r="60" spans="1:14" s="44" customFormat="1">
      <c r="A60" s="1"/>
      <c r="B60" s="1"/>
      <c r="C60" s="1"/>
      <c r="D60" s="2"/>
      <c r="E60" s="280"/>
      <c r="F60" s="281"/>
      <c r="G60" s="280"/>
      <c r="H60" s="280"/>
      <c r="I60" s="280"/>
      <c r="J60" s="280"/>
      <c r="K60" s="280"/>
      <c r="L60" s="282"/>
      <c r="M60" s="1"/>
      <c r="N60" s="1"/>
    </row>
    <row r="61" spans="1:14">
      <c r="A61" s="213" t="str">
        <f>$A$4</f>
        <v xml:space="preserve">Please fill in Supplier Name </v>
      </c>
      <c r="B61" s="213" t="s">
        <v>178</v>
      </c>
      <c r="C61" s="213" t="s">
        <v>179</v>
      </c>
      <c r="D61" s="214"/>
      <c r="E61" s="214"/>
      <c r="F61" s="215"/>
      <c r="G61" s="147">
        <f>SUM(G62:G70)</f>
        <v>0</v>
      </c>
      <c r="H61" s="147">
        <f>SUM(H62:H70)</f>
        <v>0</v>
      </c>
      <c r="I61" s="216">
        <f>SUM(G61:H61)</f>
        <v>0</v>
      </c>
      <c r="J61" s="217" t="s">
        <v>217</v>
      </c>
      <c r="K61" s="218">
        <v>1</v>
      </c>
      <c r="L61" s="213" t="s">
        <v>224</v>
      </c>
      <c r="M61" s="219" t="s">
        <v>544</v>
      </c>
      <c r="N61" s="219" t="s">
        <v>963</v>
      </c>
    </row>
    <row r="62" spans="1:14">
      <c r="A62" s="3"/>
      <c r="B62" s="3"/>
      <c r="C62" s="3" t="s">
        <v>876</v>
      </c>
      <c r="D62" s="71">
        <v>100</v>
      </c>
      <c r="E62" s="48" t="s">
        <v>559</v>
      </c>
      <c r="F62" s="59"/>
      <c r="G62" s="48"/>
      <c r="H62" s="48"/>
      <c r="I62" s="48"/>
      <c r="J62" s="48"/>
      <c r="K62" s="48"/>
      <c r="L62" s="69"/>
    </row>
    <row r="63" spans="1:14">
      <c r="A63" s="3"/>
      <c r="B63" s="3"/>
      <c r="C63" s="3" t="s">
        <v>877</v>
      </c>
      <c r="D63" s="71">
        <v>30</v>
      </c>
      <c r="E63" s="48" t="s">
        <v>665</v>
      </c>
      <c r="F63" s="59"/>
      <c r="G63" s="48"/>
      <c r="H63" s="48"/>
      <c r="I63" s="48"/>
      <c r="J63" s="48"/>
      <c r="K63" s="48"/>
      <c r="L63" s="69"/>
    </row>
    <row r="64" spans="1:14">
      <c r="A64" s="3"/>
      <c r="B64" s="3"/>
      <c r="C64" s="3" t="s">
        <v>878</v>
      </c>
      <c r="D64" s="71">
        <v>80</v>
      </c>
      <c r="E64" s="48" t="s">
        <v>559</v>
      </c>
      <c r="F64" s="59"/>
      <c r="G64" s="48"/>
      <c r="H64" s="48"/>
      <c r="I64" s="48"/>
      <c r="J64" s="48"/>
      <c r="K64" s="48"/>
      <c r="L64" s="69"/>
    </row>
    <row r="65" spans="1:14">
      <c r="A65" s="3"/>
      <c r="B65" s="3"/>
      <c r="C65" s="3" t="s">
        <v>879</v>
      </c>
      <c r="D65" s="71">
        <v>40</v>
      </c>
      <c r="E65" s="48" t="s">
        <v>559</v>
      </c>
      <c r="F65" s="59"/>
      <c r="G65" s="48"/>
      <c r="H65" s="48"/>
      <c r="I65" s="48"/>
      <c r="J65" s="48"/>
      <c r="K65" s="48"/>
      <c r="L65" s="69"/>
    </row>
    <row r="66" spans="1:14">
      <c r="A66" s="3"/>
      <c r="B66" s="3"/>
      <c r="C66" s="3" t="s">
        <v>880</v>
      </c>
      <c r="D66" s="71"/>
      <c r="E66" s="48"/>
      <c r="F66" s="59"/>
      <c r="G66" s="48"/>
      <c r="H66" s="48"/>
      <c r="I66" s="48"/>
      <c r="J66" s="48"/>
      <c r="K66" s="48"/>
      <c r="L66" s="69"/>
    </row>
    <row r="67" spans="1:14">
      <c r="A67" s="3"/>
      <c r="B67" s="3"/>
      <c r="C67" s="3"/>
      <c r="D67" s="71"/>
      <c r="E67" s="48"/>
      <c r="F67" s="59"/>
      <c r="G67" s="48"/>
      <c r="H67" s="48"/>
      <c r="I67" s="48"/>
      <c r="J67" s="48"/>
      <c r="K67" s="48"/>
      <c r="L67" s="69"/>
    </row>
    <row r="68" spans="1:14">
      <c r="A68" s="3"/>
      <c r="B68" s="3"/>
      <c r="C68" s="3"/>
      <c r="D68" s="71"/>
      <c r="E68" s="48"/>
      <c r="F68" s="59"/>
      <c r="G68" s="48"/>
      <c r="H68" s="48"/>
      <c r="I68" s="48"/>
      <c r="J68" s="48"/>
      <c r="K68" s="48"/>
      <c r="L68" s="69"/>
    </row>
    <row r="69" spans="1:14">
      <c r="A69" s="3"/>
      <c r="B69" s="3"/>
      <c r="C69" s="3"/>
      <c r="D69" s="71"/>
      <c r="E69" s="48"/>
      <c r="F69" s="59"/>
      <c r="G69" s="48"/>
      <c r="H69" s="48"/>
      <c r="I69" s="48"/>
      <c r="J69" s="48"/>
      <c r="K69" s="48"/>
      <c r="L69" s="69"/>
    </row>
    <row r="70" spans="1:14">
      <c r="A70" s="3"/>
      <c r="B70" s="3"/>
      <c r="C70" s="3"/>
      <c r="D70" s="71"/>
      <c r="E70" s="48"/>
      <c r="F70" s="59"/>
      <c r="G70" s="48"/>
      <c r="H70" s="48"/>
      <c r="I70" s="48"/>
      <c r="J70" s="48"/>
      <c r="K70" s="48"/>
      <c r="L70" s="69"/>
    </row>
    <row r="71" spans="1:14">
      <c r="D71" s="1"/>
      <c r="E71" s="1"/>
      <c r="G71" s="1"/>
      <c r="H71" s="1"/>
      <c r="I71" s="1"/>
      <c r="J71" s="1"/>
    </row>
    <row r="72" spans="1:14">
      <c r="A72" s="200" t="str">
        <f>$A$4</f>
        <v xml:space="preserve">Please fill in Supplier Name </v>
      </c>
      <c r="B72" s="200" t="s">
        <v>195</v>
      </c>
      <c r="C72" s="200" t="s">
        <v>196</v>
      </c>
      <c r="D72" s="201"/>
      <c r="E72" s="201"/>
      <c r="F72" s="202"/>
      <c r="G72" s="198">
        <f>SUM(G73:G81)</f>
        <v>0</v>
      </c>
      <c r="H72" s="198">
        <f>SUM(H73:H81)</f>
        <v>0</v>
      </c>
      <c r="I72" s="203">
        <f>SUM(G72:H72)</f>
        <v>0</v>
      </c>
      <c r="J72" s="204" t="s">
        <v>217</v>
      </c>
      <c r="K72" s="205">
        <v>1</v>
      </c>
      <c r="L72" s="200" t="s">
        <v>224</v>
      </c>
      <c r="M72" s="207" t="s">
        <v>532</v>
      </c>
      <c r="N72" s="199"/>
    </row>
    <row r="73" spans="1:14">
      <c r="A73" s="3"/>
      <c r="B73" s="3"/>
      <c r="C73" s="77" t="s">
        <v>964</v>
      </c>
      <c r="D73" s="75">
        <v>90</v>
      </c>
      <c r="E73" s="76" t="s">
        <v>547</v>
      </c>
      <c r="F73" s="92"/>
      <c r="G73" s="76"/>
      <c r="H73" s="76"/>
      <c r="I73" s="48"/>
      <c r="J73" s="48"/>
      <c r="K73" s="48"/>
      <c r="L73" s="69"/>
    </row>
    <row r="74" spans="1:14">
      <c r="A74" s="3"/>
      <c r="B74" s="3"/>
      <c r="C74" s="77" t="s">
        <v>965</v>
      </c>
      <c r="D74" s="75">
        <v>30</v>
      </c>
      <c r="E74" s="76" t="s">
        <v>547</v>
      </c>
      <c r="F74" s="92"/>
      <c r="G74" s="76"/>
      <c r="H74" s="76"/>
      <c r="I74" s="48"/>
      <c r="J74" s="48"/>
      <c r="K74" s="48"/>
      <c r="L74" s="69"/>
    </row>
    <row r="75" spans="1:14">
      <c r="A75" s="3"/>
      <c r="B75" s="3"/>
      <c r="C75" s="77" t="s">
        <v>966</v>
      </c>
      <c r="D75" s="75">
        <v>90</v>
      </c>
      <c r="E75" s="76" t="s">
        <v>547</v>
      </c>
      <c r="F75" s="92"/>
      <c r="G75" s="76"/>
      <c r="H75" s="76"/>
      <c r="I75" s="48"/>
      <c r="J75" s="48"/>
      <c r="K75" s="48"/>
      <c r="L75" s="69"/>
    </row>
    <row r="76" spans="1:14">
      <c r="A76" s="3"/>
      <c r="B76" s="3"/>
      <c r="C76" s="77" t="s">
        <v>967</v>
      </c>
      <c r="D76" s="75">
        <v>30</v>
      </c>
      <c r="E76" s="76" t="s">
        <v>547</v>
      </c>
      <c r="F76" s="92"/>
      <c r="G76" s="76"/>
      <c r="H76" s="76"/>
      <c r="I76" s="48"/>
      <c r="J76" s="48"/>
      <c r="K76" s="48"/>
      <c r="L76" s="69"/>
    </row>
    <row r="77" spans="1:14">
      <c r="A77" s="3"/>
      <c r="B77" s="3"/>
      <c r="C77" s="77" t="s">
        <v>968</v>
      </c>
      <c r="D77" s="75">
        <v>15</v>
      </c>
      <c r="E77" s="76" t="s">
        <v>547</v>
      </c>
      <c r="F77" s="92"/>
      <c r="G77" s="76"/>
      <c r="H77" s="76"/>
      <c r="I77" s="48"/>
      <c r="J77" s="48"/>
      <c r="K77" s="48"/>
      <c r="L77" s="69"/>
    </row>
    <row r="78" spans="1:14">
      <c r="A78" s="3"/>
      <c r="B78" s="3"/>
      <c r="C78" s="77"/>
      <c r="D78" s="75"/>
      <c r="E78" s="76"/>
      <c r="F78" s="92"/>
      <c r="G78" s="76"/>
      <c r="H78" s="76"/>
      <c r="I78" s="48"/>
      <c r="J78" s="48"/>
      <c r="K78" s="48"/>
      <c r="L78" s="69"/>
    </row>
    <row r="79" spans="1:14">
      <c r="A79" s="3"/>
      <c r="B79" s="3"/>
      <c r="C79" s="77"/>
      <c r="D79" s="75"/>
      <c r="E79" s="76"/>
      <c r="F79" s="92"/>
      <c r="G79" s="76"/>
      <c r="H79" s="76"/>
      <c r="I79" s="48"/>
      <c r="J79" s="48"/>
      <c r="K79" s="48"/>
      <c r="L79" s="69"/>
    </row>
    <row r="80" spans="1:14">
      <c r="A80" s="3"/>
      <c r="B80" s="3"/>
      <c r="C80" s="77"/>
      <c r="D80" s="75"/>
      <c r="E80" s="76"/>
      <c r="F80" s="92"/>
      <c r="G80" s="76"/>
      <c r="H80" s="76"/>
      <c r="I80" s="48"/>
      <c r="J80" s="48"/>
      <c r="K80" s="48"/>
      <c r="L80" s="69"/>
    </row>
    <row r="81" spans="1:14">
      <c r="A81" s="3"/>
      <c r="B81" s="3"/>
      <c r="C81" s="77"/>
      <c r="D81" s="75"/>
      <c r="E81" s="76"/>
      <c r="F81" s="92"/>
      <c r="G81" s="76"/>
      <c r="H81" s="76"/>
      <c r="I81" s="48"/>
      <c r="J81" s="48"/>
      <c r="K81" s="48"/>
      <c r="L81" s="69"/>
    </row>
    <row r="82" spans="1:14">
      <c r="D82" s="1"/>
      <c r="E82" s="1"/>
      <c r="G82" s="1"/>
      <c r="H82" s="1"/>
      <c r="I82" s="1"/>
      <c r="J82" s="1"/>
    </row>
    <row r="83" spans="1:14">
      <c r="A83" s="242" t="str">
        <f>$A$4</f>
        <v xml:space="preserve">Please fill in Supplier Name </v>
      </c>
      <c r="B83" s="242" t="s">
        <v>201</v>
      </c>
      <c r="C83" s="242" t="s">
        <v>202</v>
      </c>
      <c r="D83" s="243"/>
      <c r="E83" s="243"/>
      <c r="F83" s="244"/>
      <c r="G83" s="245">
        <f>SUM(G84:G92)</f>
        <v>0</v>
      </c>
      <c r="H83" s="245">
        <f>SUM(H84:H92)</f>
        <v>0</v>
      </c>
      <c r="I83" s="246">
        <f>SUM(G83:H83)</f>
        <v>0</v>
      </c>
      <c r="J83" s="247" t="s">
        <v>217</v>
      </c>
      <c r="K83" s="248">
        <v>1</v>
      </c>
      <c r="L83" s="242" t="s">
        <v>224</v>
      </c>
      <c r="M83" s="250" t="s">
        <v>543</v>
      </c>
      <c r="N83" s="240"/>
    </row>
    <row r="84" spans="1:14">
      <c r="A84" s="3"/>
      <c r="B84" s="3"/>
      <c r="C84" s="77" t="s">
        <v>969</v>
      </c>
      <c r="D84" s="75">
        <v>90</v>
      </c>
      <c r="E84" s="76" t="s">
        <v>547</v>
      </c>
      <c r="F84" s="92"/>
      <c r="G84" s="76"/>
      <c r="H84" s="76"/>
      <c r="I84" s="48"/>
      <c r="J84" s="48"/>
      <c r="K84" s="48"/>
      <c r="L84" s="69"/>
    </row>
    <row r="85" spans="1:14">
      <c r="A85" s="3"/>
      <c r="B85" s="3"/>
      <c r="C85" s="77" t="s">
        <v>970</v>
      </c>
      <c r="D85" s="75">
        <v>30</v>
      </c>
      <c r="E85" s="76" t="s">
        <v>547</v>
      </c>
      <c r="F85" s="92"/>
      <c r="G85" s="76"/>
      <c r="H85" s="76"/>
      <c r="I85" s="48"/>
      <c r="J85" s="48"/>
      <c r="K85" s="48"/>
      <c r="L85" s="69"/>
    </row>
    <row r="86" spans="1:14">
      <c r="A86" s="3"/>
      <c r="B86" s="3"/>
      <c r="C86" s="77" t="s">
        <v>641</v>
      </c>
      <c r="D86" s="75">
        <v>60</v>
      </c>
      <c r="E86" s="76" t="s">
        <v>547</v>
      </c>
      <c r="F86" s="92"/>
      <c r="G86" s="76"/>
      <c r="H86" s="76"/>
      <c r="I86" s="48"/>
      <c r="J86" s="48"/>
      <c r="K86" s="48"/>
      <c r="L86" s="69"/>
    </row>
    <row r="87" spans="1:14">
      <c r="A87" s="3"/>
      <c r="B87" s="3"/>
      <c r="C87" s="77" t="s">
        <v>640</v>
      </c>
      <c r="D87" s="75">
        <v>90</v>
      </c>
      <c r="E87" s="76" t="s">
        <v>547</v>
      </c>
      <c r="F87" s="92"/>
      <c r="G87" s="76"/>
      <c r="H87" s="76"/>
      <c r="I87" s="48"/>
      <c r="J87" s="48"/>
      <c r="K87" s="48"/>
      <c r="L87" s="69"/>
    </row>
    <row r="88" spans="1:14">
      <c r="A88" s="3"/>
      <c r="B88" s="3"/>
      <c r="C88" s="77"/>
      <c r="D88" s="75"/>
      <c r="E88" s="76"/>
      <c r="F88" s="92"/>
      <c r="G88" s="76"/>
      <c r="H88" s="76"/>
      <c r="I88" s="48"/>
      <c r="J88" s="48"/>
      <c r="K88" s="48"/>
      <c r="L88" s="69"/>
    </row>
    <row r="89" spans="1:14">
      <c r="A89" s="3"/>
      <c r="B89" s="3"/>
      <c r="C89" s="77"/>
      <c r="D89" s="75"/>
      <c r="E89" s="76"/>
      <c r="F89" s="92"/>
      <c r="G89" s="76"/>
      <c r="H89" s="76"/>
      <c r="I89" s="48"/>
      <c r="J89" s="48"/>
      <c r="K89" s="48"/>
      <c r="L89" s="69"/>
    </row>
    <row r="90" spans="1:14">
      <c r="A90" s="3"/>
      <c r="B90" s="3"/>
      <c r="C90" s="77"/>
      <c r="D90" s="75"/>
      <c r="E90" s="76"/>
      <c r="F90" s="92"/>
      <c r="G90" s="76"/>
      <c r="H90" s="76"/>
      <c r="I90" s="48"/>
      <c r="J90" s="48"/>
      <c r="K90" s="48"/>
      <c r="L90" s="69"/>
    </row>
    <row r="91" spans="1:14">
      <c r="A91" s="3"/>
      <c r="B91" s="3"/>
      <c r="C91" s="77"/>
      <c r="D91" s="75"/>
      <c r="E91" s="76"/>
      <c r="F91" s="92"/>
      <c r="G91" s="76"/>
      <c r="H91" s="76"/>
      <c r="I91" s="48"/>
      <c r="J91" s="48"/>
      <c r="K91" s="48"/>
      <c r="L91" s="69"/>
    </row>
    <row r="92" spans="1:14">
      <c r="A92" s="3"/>
      <c r="B92" s="3"/>
      <c r="C92" s="77"/>
      <c r="D92" s="75"/>
      <c r="E92" s="76"/>
      <c r="F92" s="92"/>
      <c r="G92" s="76"/>
      <c r="H92" s="76"/>
      <c r="I92" s="48"/>
      <c r="J92" s="48"/>
      <c r="K92" s="48"/>
      <c r="L92" s="69"/>
    </row>
    <row r="93" spans="1:14">
      <c r="D93" s="1"/>
      <c r="E93" s="1"/>
      <c r="G93" s="1"/>
      <c r="H93" s="1"/>
      <c r="I93" s="1"/>
      <c r="J93" s="1"/>
    </row>
    <row r="94" spans="1:14">
      <c r="A94" s="213" t="str">
        <f>$A$4</f>
        <v xml:space="preserve">Please fill in Supplier Name </v>
      </c>
      <c r="B94" s="213" t="s">
        <v>225</v>
      </c>
      <c r="C94" s="213" t="s">
        <v>226</v>
      </c>
      <c r="D94" s="214"/>
      <c r="E94" s="214"/>
      <c r="F94" s="215"/>
      <c r="G94" s="147">
        <f>SUM(G95:G97)</f>
        <v>0</v>
      </c>
      <c r="H94" s="147">
        <f>SUM(H95:H97)</f>
        <v>0</v>
      </c>
      <c r="I94" s="216">
        <f>SUM(G94:H94)</f>
        <v>0</v>
      </c>
      <c r="J94" s="217" t="s">
        <v>217</v>
      </c>
      <c r="K94" s="218">
        <v>1</v>
      </c>
      <c r="L94" s="213"/>
      <c r="M94" s="219" t="s">
        <v>544</v>
      </c>
      <c r="N94" s="219" t="s">
        <v>971</v>
      </c>
    </row>
    <row r="95" spans="1:14">
      <c r="A95" s="3"/>
      <c r="B95" s="3"/>
      <c r="C95" s="3" t="s">
        <v>972</v>
      </c>
      <c r="D95" s="71">
        <v>50</v>
      </c>
      <c r="E95" s="48" t="s">
        <v>559</v>
      </c>
      <c r="F95" s="59"/>
      <c r="G95" s="48"/>
      <c r="H95" s="48"/>
      <c r="I95" s="48"/>
      <c r="J95" s="48"/>
      <c r="K95" s="48"/>
      <c r="L95" s="69"/>
    </row>
    <row r="96" spans="1:14">
      <c r="A96" s="3"/>
      <c r="B96" s="3"/>
      <c r="C96" s="3" t="s">
        <v>973</v>
      </c>
      <c r="D96" s="71">
        <v>10</v>
      </c>
      <c r="E96" s="48" t="s">
        <v>559</v>
      </c>
      <c r="F96" s="59"/>
      <c r="G96" s="48"/>
      <c r="H96" s="48"/>
      <c r="I96" s="48"/>
      <c r="J96" s="48"/>
      <c r="K96" s="48"/>
      <c r="L96" s="69"/>
    </row>
    <row r="97" spans="1:14">
      <c r="A97" s="3"/>
      <c r="B97" s="3"/>
      <c r="C97" s="3"/>
      <c r="D97" s="71"/>
      <c r="E97" s="48"/>
      <c r="F97" s="59"/>
      <c r="G97" s="48"/>
      <c r="H97" s="48"/>
      <c r="I97" s="48"/>
      <c r="J97" s="48"/>
      <c r="K97" s="48"/>
      <c r="L97" s="69"/>
    </row>
    <row r="98" spans="1:14">
      <c r="D98" s="1"/>
      <c r="E98" s="1"/>
      <c r="G98" s="1"/>
      <c r="H98" s="1"/>
      <c r="I98" s="1"/>
      <c r="J98" s="1"/>
    </row>
    <row r="99" spans="1:14">
      <c r="A99" s="200" t="str">
        <f>$A$4</f>
        <v xml:space="preserve">Please fill in Supplier Name </v>
      </c>
      <c r="B99" s="200" t="s">
        <v>227</v>
      </c>
      <c r="C99" s="200" t="s">
        <v>228</v>
      </c>
      <c r="D99" s="201"/>
      <c r="E99" s="201"/>
      <c r="F99" s="202"/>
      <c r="G99" s="198">
        <f>SUM(G100:G102)</f>
        <v>0</v>
      </c>
      <c r="H99" s="198">
        <f>SUM(H100:H102)</f>
        <v>0</v>
      </c>
      <c r="I99" s="203">
        <f>SUM(G99:H99)</f>
        <v>0</v>
      </c>
      <c r="J99" s="204" t="s">
        <v>217</v>
      </c>
      <c r="K99" s="205">
        <v>1</v>
      </c>
      <c r="L99" s="200"/>
      <c r="M99" s="199" t="s">
        <v>532</v>
      </c>
      <c r="N99" s="199"/>
    </row>
    <row r="100" spans="1:14">
      <c r="A100" s="3"/>
      <c r="B100" s="3"/>
      <c r="C100" s="77" t="s">
        <v>974</v>
      </c>
      <c r="D100" s="75">
        <v>60</v>
      </c>
      <c r="E100" s="76" t="s">
        <v>547</v>
      </c>
      <c r="F100" s="92"/>
      <c r="G100" s="76"/>
      <c r="H100" s="76"/>
      <c r="I100" s="48"/>
      <c r="J100" s="48"/>
      <c r="K100" s="48"/>
      <c r="L100" s="69"/>
    </row>
    <row r="101" spans="1:14">
      <c r="A101" s="3"/>
      <c r="B101" s="3"/>
      <c r="C101" s="77" t="s">
        <v>975</v>
      </c>
      <c r="D101" s="75">
        <v>15</v>
      </c>
      <c r="E101" s="76" t="s">
        <v>547</v>
      </c>
      <c r="F101" s="92"/>
      <c r="G101" s="76"/>
      <c r="H101" s="76"/>
      <c r="I101" s="48"/>
      <c r="J101" s="48"/>
      <c r="K101" s="48"/>
      <c r="L101" s="69"/>
    </row>
    <row r="102" spans="1:14">
      <c r="A102" s="3"/>
      <c r="B102" s="3"/>
      <c r="C102" s="77"/>
      <c r="D102" s="75"/>
      <c r="E102" s="76"/>
      <c r="F102" s="92"/>
      <c r="G102" s="76"/>
      <c r="H102" s="76"/>
      <c r="I102" s="48"/>
      <c r="J102" s="48"/>
      <c r="K102" s="48"/>
      <c r="L102" s="69"/>
    </row>
    <row r="103" spans="1:14">
      <c r="D103" s="1"/>
      <c r="E103" s="1"/>
      <c r="G103" s="1"/>
      <c r="H103" s="1"/>
      <c r="I103" s="1"/>
      <c r="J103" s="1"/>
    </row>
    <row r="104" spans="1:14">
      <c r="A104" s="242" t="str">
        <f>$A$4</f>
        <v xml:space="preserve">Please fill in Supplier Name </v>
      </c>
      <c r="B104" s="242" t="s">
        <v>229</v>
      </c>
      <c r="C104" s="242" t="s">
        <v>230</v>
      </c>
      <c r="D104" s="243"/>
      <c r="E104" s="243"/>
      <c r="F104" s="244"/>
      <c r="G104" s="245">
        <f>SUM(G105:G107)</f>
        <v>0</v>
      </c>
      <c r="H104" s="245">
        <f>SUM(H105:H107)</f>
        <v>0</v>
      </c>
      <c r="I104" s="246">
        <f>SUM(G104:H104)</f>
        <v>0</v>
      </c>
      <c r="J104" s="247" t="s">
        <v>217</v>
      </c>
      <c r="K104" s="248">
        <v>1</v>
      </c>
      <c r="L104" s="242"/>
      <c r="M104" s="240" t="s">
        <v>543</v>
      </c>
      <c r="N104" s="240"/>
    </row>
    <row r="105" spans="1:14">
      <c r="A105" s="3"/>
      <c r="B105" s="3"/>
      <c r="C105" s="77" t="s">
        <v>976</v>
      </c>
      <c r="D105" s="75">
        <v>60</v>
      </c>
      <c r="E105" s="76" t="s">
        <v>547</v>
      </c>
      <c r="F105" s="92"/>
      <c r="G105" s="76"/>
      <c r="H105" s="76"/>
      <c r="I105" s="48"/>
      <c r="J105" s="48"/>
      <c r="K105" s="48"/>
      <c r="L105" s="69"/>
    </row>
    <row r="106" spans="1:14">
      <c r="A106" s="3"/>
      <c r="B106" s="3"/>
      <c r="C106" s="77" t="s">
        <v>977</v>
      </c>
      <c r="D106" s="75">
        <v>15</v>
      </c>
      <c r="E106" s="76" t="s">
        <v>547</v>
      </c>
      <c r="F106" s="92"/>
      <c r="G106" s="76"/>
      <c r="H106" s="76"/>
      <c r="I106" s="48"/>
      <c r="J106" s="48"/>
      <c r="K106" s="48"/>
      <c r="L106" s="69"/>
    </row>
    <row r="107" spans="1:14">
      <c r="A107" s="3"/>
      <c r="B107" s="3"/>
      <c r="C107" s="77"/>
      <c r="D107" s="75"/>
      <c r="E107" s="76"/>
      <c r="F107" s="92"/>
      <c r="G107" s="76"/>
      <c r="H107" s="76"/>
      <c r="I107" s="48"/>
      <c r="J107" s="48"/>
      <c r="K107" s="48"/>
      <c r="L107" s="69"/>
    </row>
    <row r="108" spans="1:14">
      <c r="D108" s="1"/>
      <c r="E108" s="1"/>
      <c r="G108" s="1"/>
      <c r="H108" s="1"/>
      <c r="I108" s="1"/>
      <c r="J108" s="1"/>
    </row>
    <row r="109" spans="1:14">
      <c r="A109" s="213" t="str">
        <f>$A$4</f>
        <v xml:space="preserve">Please fill in Supplier Name </v>
      </c>
      <c r="B109" s="213" t="s">
        <v>187</v>
      </c>
      <c r="C109" s="213" t="s">
        <v>894</v>
      </c>
      <c r="D109" s="214"/>
      <c r="E109" s="214"/>
      <c r="F109" s="215"/>
      <c r="G109" s="147">
        <f>SUM(G110:G112)</f>
        <v>0</v>
      </c>
      <c r="H109" s="147">
        <f>SUM(H110:H112)</f>
        <v>0</v>
      </c>
      <c r="I109" s="216">
        <f>SUM(G109:H109)</f>
        <v>0</v>
      </c>
      <c r="J109" s="217" t="s">
        <v>169</v>
      </c>
      <c r="K109" s="218" t="s">
        <v>189</v>
      </c>
      <c r="L109" s="221" t="s">
        <v>190</v>
      </c>
      <c r="M109" s="222" t="s">
        <v>544</v>
      </c>
      <c r="N109" s="219" t="s">
        <v>895</v>
      </c>
    </row>
    <row r="110" spans="1:14">
      <c r="A110" s="278"/>
      <c r="B110" s="278"/>
      <c r="C110" s="3" t="s">
        <v>741</v>
      </c>
      <c r="D110" s="71">
        <v>40</v>
      </c>
      <c r="E110" s="48" t="s">
        <v>559</v>
      </c>
      <c r="F110" s="59"/>
      <c r="G110" s="48"/>
      <c r="H110" s="48"/>
      <c r="I110" s="48"/>
      <c r="J110" s="48"/>
      <c r="K110" s="48"/>
      <c r="L110" s="69"/>
    </row>
    <row r="111" spans="1:14">
      <c r="A111" s="60"/>
      <c r="B111" s="278"/>
      <c r="D111" s="71"/>
      <c r="E111" s="48"/>
      <c r="F111" s="59"/>
      <c r="G111" s="48"/>
      <c r="H111" s="48"/>
      <c r="I111" s="48"/>
      <c r="J111" s="48"/>
      <c r="K111" s="48"/>
      <c r="L111" s="69"/>
    </row>
    <row r="112" spans="1:14">
      <c r="A112" s="278"/>
      <c r="B112" s="278"/>
      <c r="C112" s="278"/>
      <c r="D112" s="71"/>
      <c r="E112" s="48"/>
      <c r="F112" s="59"/>
      <c r="G112" s="48"/>
      <c r="H112" s="48"/>
      <c r="I112" s="48"/>
      <c r="J112" s="48"/>
      <c r="K112" s="48"/>
      <c r="L112" s="69"/>
    </row>
    <row r="113" spans="1:14">
      <c r="D113" s="1"/>
      <c r="E113" s="1"/>
      <c r="G113" s="1"/>
      <c r="H113" s="1"/>
      <c r="I113" s="1"/>
      <c r="J113" s="1"/>
    </row>
    <row r="114" spans="1:14">
      <c r="A114" s="200" t="str">
        <f>$A$4</f>
        <v xml:space="preserve">Please fill in Supplier Name </v>
      </c>
      <c r="B114" s="200" t="s">
        <v>896</v>
      </c>
      <c r="C114" s="200" t="s">
        <v>897</v>
      </c>
      <c r="D114" s="201"/>
      <c r="E114" s="201"/>
      <c r="F114" s="202"/>
      <c r="G114" s="198">
        <f>SUM(G115:G117)</f>
        <v>0</v>
      </c>
      <c r="H114" s="198">
        <f>SUM(H115:H117)</f>
        <v>0</v>
      </c>
      <c r="I114" s="203">
        <f>SUM(G114:H114)</f>
        <v>0</v>
      </c>
      <c r="J114" s="204" t="s">
        <v>169</v>
      </c>
      <c r="K114" s="205" t="s">
        <v>189</v>
      </c>
      <c r="L114" s="210" t="s">
        <v>190</v>
      </c>
      <c r="M114" s="207" t="s">
        <v>532</v>
      </c>
      <c r="N114" s="199" t="s">
        <v>895</v>
      </c>
    </row>
    <row r="115" spans="1:14">
      <c r="A115" s="278"/>
      <c r="B115" s="278"/>
      <c r="C115" s="77" t="s">
        <v>978</v>
      </c>
      <c r="D115" s="75">
        <v>40</v>
      </c>
      <c r="E115" s="76" t="s">
        <v>547</v>
      </c>
      <c r="F115" s="92"/>
      <c r="G115" s="76"/>
      <c r="H115" s="76"/>
      <c r="I115" s="48"/>
      <c r="J115" s="48"/>
      <c r="K115" s="48"/>
      <c r="L115" s="69"/>
    </row>
    <row r="116" spans="1:14">
      <c r="A116" s="60"/>
      <c r="B116" s="278"/>
      <c r="C116" s="78"/>
      <c r="D116" s="75"/>
      <c r="E116" s="76"/>
      <c r="F116" s="92"/>
      <c r="G116" s="76"/>
      <c r="H116" s="76"/>
      <c r="I116" s="48"/>
      <c r="J116" s="48"/>
      <c r="K116" s="48"/>
      <c r="L116" s="69"/>
    </row>
    <row r="117" spans="1:14">
      <c r="A117" s="278"/>
      <c r="B117" s="278"/>
      <c r="C117" s="279"/>
      <c r="D117" s="75"/>
      <c r="E117" s="76"/>
      <c r="F117" s="92"/>
      <c r="G117" s="76"/>
      <c r="H117" s="76"/>
      <c r="I117" s="48"/>
      <c r="J117" s="48"/>
      <c r="K117" s="48"/>
      <c r="L117" s="69"/>
    </row>
    <row r="118" spans="1:14">
      <c r="D118" s="1"/>
      <c r="E118" s="1"/>
      <c r="G118" s="1"/>
      <c r="H118" s="1"/>
      <c r="I118" s="1"/>
      <c r="J118" s="1"/>
    </row>
    <row r="119" spans="1:14">
      <c r="A119" s="242" t="str">
        <f>$A$4</f>
        <v xml:space="preserve">Please fill in Supplier Name </v>
      </c>
      <c r="B119" s="242" t="s">
        <v>898</v>
      </c>
      <c r="C119" s="242" t="s">
        <v>899</v>
      </c>
      <c r="D119" s="243"/>
      <c r="E119" s="243"/>
      <c r="F119" s="244"/>
      <c r="G119" s="245">
        <f>SUM(G120:G122)</f>
        <v>0</v>
      </c>
      <c r="H119" s="245">
        <f>SUM(H120:H122)</f>
        <v>0</v>
      </c>
      <c r="I119" s="246">
        <f>SUM(G119:H119)</f>
        <v>0</v>
      </c>
      <c r="J119" s="247" t="s">
        <v>169</v>
      </c>
      <c r="K119" s="248" t="s">
        <v>189</v>
      </c>
      <c r="L119" s="253" t="s">
        <v>190</v>
      </c>
      <c r="M119" s="250" t="s">
        <v>543</v>
      </c>
      <c r="N119" s="240" t="s">
        <v>895</v>
      </c>
    </row>
    <row r="120" spans="1:14">
      <c r="A120" s="278"/>
      <c r="B120" s="278"/>
      <c r="C120" s="77" t="s">
        <v>979</v>
      </c>
      <c r="D120" s="75">
        <v>40</v>
      </c>
      <c r="E120" s="76" t="s">
        <v>547</v>
      </c>
      <c r="F120" s="92"/>
      <c r="G120" s="76"/>
      <c r="H120" s="76"/>
      <c r="I120" s="48"/>
      <c r="J120" s="48"/>
      <c r="K120" s="48"/>
      <c r="L120" s="69"/>
    </row>
    <row r="121" spans="1:14">
      <c r="A121" s="60"/>
      <c r="B121" s="278"/>
      <c r="C121" s="78"/>
      <c r="D121" s="75"/>
      <c r="E121" s="76"/>
      <c r="F121" s="92"/>
      <c r="G121" s="76"/>
      <c r="H121" s="76"/>
      <c r="I121" s="48"/>
      <c r="J121" s="48"/>
      <c r="K121" s="48"/>
      <c r="L121" s="69"/>
    </row>
    <row r="122" spans="1:14">
      <c r="A122" s="278"/>
      <c r="B122" s="278"/>
      <c r="C122" s="279"/>
      <c r="D122" s="75"/>
      <c r="E122" s="76"/>
      <c r="F122" s="92"/>
      <c r="G122" s="76"/>
      <c r="H122" s="76"/>
      <c r="I122" s="48"/>
      <c r="J122" s="48"/>
      <c r="K122" s="48"/>
      <c r="L122" s="69"/>
    </row>
    <row r="123" spans="1:14">
      <c r="D123" s="1"/>
      <c r="E123" s="1"/>
      <c r="G123" s="1"/>
      <c r="H123" s="1"/>
      <c r="I123" s="1"/>
      <c r="J123" s="1"/>
    </row>
    <row r="124" spans="1:14">
      <c r="A124" s="213" t="str">
        <f>$A$4</f>
        <v xml:space="preserve">Please fill in Supplier Name </v>
      </c>
      <c r="B124" s="213" t="s">
        <v>237</v>
      </c>
      <c r="C124" s="213" t="s">
        <v>980</v>
      </c>
      <c r="D124" s="214"/>
      <c r="E124" s="214"/>
      <c r="F124" s="215"/>
      <c r="G124" s="147">
        <f>SUM(G125:G127)</f>
        <v>0</v>
      </c>
      <c r="H124" s="147">
        <f>SUM(H125:H127)</f>
        <v>0</v>
      </c>
      <c r="I124" s="216">
        <f>SUM(G124:H124)</f>
        <v>0</v>
      </c>
      <c r="J124" s="217" t="s">
        <v>217</v>
      </c>
      <c r="K124" s="218">
        <v>1</v>
      </c>
      <c r="L124" s="213"/>
      <c r="M124" s="219" t="s">
        <v>544</v>
      </c>
      <c r="N124" s="219"/>
    </row>
    <row r="125" spans="1:14">
      <c r="A125" s="3"/>
      <c r="B125" s="3"/>
      <c r="C125" s="3" t="s">
        <v>981</v>
      </c>
      <c r="D125" s="71">
        <v>1</v>
      </c>
      <c r="E125" s="48" t="s">
        <v>535</v>
      </c>
      <c r="F125" s="59"/>
      <c r="G125" s="48"/>
      <c r="H125" s="48"/>
      <c r="I125" s="48"/>
      <c r="J125" s="48"/>
      <c r="K125" s="48"/>
      <c r="L125" s="69"/>
    </row>
    <row r="126" spans="1:14">
      <c r="A126" s="3"/>
      <c r="B126" s="3"/>
      <c r="C126" s="3"/>
      <c r="D126" s="71"/>
      <c r="E126" s="48"/>
      <c r="F126" s="59"/>
      <c r="G126" s="48"/>
      <c r="H126" s="48"/>
      <c r="I126" s="48"/>
      <c r="J126" s="48"/>
      <c r="K126" s="48"/>
      <c r="L126" s="69"/>
    </row>
    <row r="127" spans="1:14">
      <c r="A127" s="3"/>
      <c r="B127" s="3"/>
      <c r="C127" s="3"/>
      <c r="D127" s="71"/>
      <c r="E127" s="48"/>
      <c r="F127" s="59"/>
      <c r="G127" s="48"/>
      <c r="H127" s="48"/>
      <c r="I127" s="48"/>
      <c r="J127" s="48"/>
      <c r="K127" s="48"/>
      <c r="L127" s="69"/>
    </row>
    <row r="128" spans="1:14">
      <c r="D128" s="1"/>
      <c r="E128" s="1"/>
      <c r="G128" s="1"/>
      <c r="H128" s="1"/>
      <c r="I128" s="1"/>
      <c r="J128" s="1"/>
    </row>
    <row r="129" spans="1:14">
      <c r="A129" s="200" t="str">
        <f>$A$4</f>
        <v xml:space="preserve">Please fill in Supplier Name </v>
      </c>
      <c r="B129" s="200" t="s">
        <v>982</v>
      </c>
      <c r="C129" s="200" t="s">
        <v>983</v>
      </c>
      <c r="D129" s="201"/>
      <c r="E129" s="201"/>
      <c r="F129" s="202"/>
      <c r="G129" s="198">
        <f>SUM(G130:G132)</f>
        <v>0</v>
      </c>
      <c r="H129" s="198">
        <f>SUM(H130:H132)</f>
        <v>0</v>
      </c>
      <c r="I129" s="203">
        <f>SUM(G129:H129)</f>
        <v>0</v>
      </c>
      <c r="J129" s="204" t="s">
        <v>217</v>
      </c>
      <c r="K129" s="205">
        <v>1</v>
      </c>
      <c r="L129" s="200"/>
      <c r="M129" s="199" t="s">
        <v>532</v>
      </c>
      <c r="N129" s="199"/>
    </row>
    <row r="130" spans="1:14">
      <c r="A130" s="3"/>
      <c r="B130" s="3"/>
      <c r="C130" s="77" t="s">
        <v>984</v>
      </c>
      <c r="D130" s="75">
        <v>1</v>
      </c>
      <c r="E130" s="76" t="s">
        <v>582</v>
      </c>
      <c r="F130" s="92"/>
      <c r="G130" s="76"/>
      <c r="H130" s="76"/>
      <c r="I130" s="48"/>
      <c r="J130" s="48"/>
      <c r="K130" s="48"/>
      <c r="L130" s="69"/>
    </row>
    <row r="131" spans="1:14">
      <c r="A131" s="3"/>
      <c r="B131" s="3"/>
      <c r="C131" s="77"/>
      <c r="D131" s="75"/>
      <c r="E131" s="76"/>
      <c r="F131" s="92"/>
      <c r="G131" s="76"/>
      <c r="H131" s="76"/>
      <c r="I131" s="48"/>
      <c r="J131" s="48"/>
      <c r="K131" s="48"/>
      <c r="L131" s="69"/>
    </row>
    <row r="132" spans="1:14">
      <c r="A132" s="3"/>
      <c r="B132" s="3"/>
      <c r="C132" s="77"/>
      <c r="D132" s="75"/>
      <c r="E132" s="76"/>
      <c r="F132" s="92"/>
      <c r="G132" s="76"/>
      <c r="H132" s="76"/>
      <c r="I132" s="48"/>
      <c r="J132" s="48"/>
      <c r="K132" s="48"/>
      <c r="L132" s="69"/>
    </row>
    <row r="133" spans="1:14">
      <c r="D133" s="1"/>
      <c r="E133" s="1"/>
      <c r="G133" s="1"/>
      <c r="H133" s="1"/>
      <c r="I133" s="1"/>
      <c r="J133" s="1"/>
    </row>
    <row r="134" spans="1:14">
      <c r="A134" s="242" t="str">
        <f>$A$4</f>
        <v xml:space="preserve">Please fill in Supplier Name </v>
      </c>
      <c r="B134" s="242" t="s">
        <v>985</v>
      </c>
      <c r="C134" s="242" t="s">
        <v>986</v>
      </c>
      <c r="D134" s="243"/>
      <c r="E134" s="243"/>
      <c r="F134" s="244"/>
      <c r="G134" s="245">
        <f>SUM(G135:G137)</f>
        <v>0</v>
      </c>
      <c r="H134" s="245">
        <f>SUM(H135:H137)</f>
        <v>0</v>
      </c>
      <c r="I134" s="246">
        <f>SUM(G134:H134)</f>
        <v>0</v>
      </c>
      <c r="J134" s="247" t="s">
        <v>217</v>
      </c>
      <c r="K134" s="248">
        <v>1</v>
      </c>
      <c r="L134" s="242"/>
      <c r="M134" s="240" t="s">
        <v>543</v>
      </c>
      <c r="N134" s="240"/>
    </row>
    <row r="135" spans="1:14">
      <c r="A135" s="3"/>
      <c r="B135" s="3"/>
      <c r="C135" s="77" t="s">
        <v>987</v>
      </c>
      <c r="D135" s="75">
        <v>1</v>
      </c>
      <c r="E135" s="76" t="s">
        <v>582</v>
      </c>
      <c r="F135" s="92"/>
      <c r="G135" s="76"/>
      <c r="H135" s="76"/>
      <c r="I135" s="48"/>
      <c r="J135" s="48"/>
      <c r="K135" s="48"/>
      <c r="L135" s="69"/>
    </row>
    <row r="136" spans="1:14">
      <c r="A136" s="3"/>
      <c r="B136" s="3"/>
      <c r="C136" s="77"/>
      <c r="D136" s="75"/>
      <c r="E136" s="76"/>
      <c r="F136" s="92"/>
      <c r="G136" s="76"/>
      <c r="H136" s="76"/>
      <c r="I136" s="48"/>
      <c r="J136" s="48"/>
      <c r="K136" s="48"/>
      <c r="L136" s="69"/>
    </row>
    <row r="137" spans="1:14">
      <c r="A137" s="3"/>
      <c r="B137" s="3"/>
      <c r="C137" s="77"/>
      <c r="D137" s="75"/>
      <c r="E137" s="76"/>
      <c r="F137" s="92"/>
      <c r="G137" s="76"/>
      <c r="H137" s="76"/>
      <c r="I137" s="48"/>
      <c r="J137" s="48"/>
      <c r="K137" s="48"/>
      <c r="L137" s="69"/>
    </row>
    <row r="138" spans="1:14">
      <c r="D138" s="1"/>
      <c r="E138" s="1"/>
      <c r="G138" s="1"/>
      <c r="H138" s="1"/>
      <c r="I138" s="1"/>
      <c r="J138" s="1"/>
    </row>
    <row r="139" spans="1:14">
      <c r="A139" s="213" t="str">
        <f>$A$4</f>
        <v xml:space="preserve">Please fill in Supplier Name </v>
      </c>
      <c r="B139" s="213" t="s">
        <v>235</v>
      </c>
      <c r="C139" s="213" t="s">
        <v>988</v>
      </c>
      <c r="D139" s="214"/>
      <c r="E139" s="214"/>
      <c r="F139" s="215"/>
      <c r="G139" s="147">
        <f>SUM(G140:G142)</f>
        <v>0</v>
      </c>
      <c r="H139" s="147">
        <f>SUM(H140:H142)</f>
        <v>0</v>
      </c>
      <c r="I139" s="216">
        <f>SUM(G139:H139)</f>
        <v>0</v>
      </c>
      <c r="J139" s="217" t="s">
        <v>217</v>
      </c>
      <c r="K139" s="218">
        <v>1</v>
      </c>
      <c r="L139" s="213"/>
      <c r="M139" s="219" t="s">
        <v>544</v>
      </c>
      <c r="N139" s="219"/>
    </row>
    <row r="140" spans="1:14">
      <c r="A140" s="3"/>
      <c r="B140" s="3"/>
      <c r="C140" s="3" t="s">
        <v>989</v>
      </c>
      <c r="D140" s="71">
        <v>1</v>
      </c>
      <c r="E140" s="48" t="s">
        <v>535</v>
      </c>
      <c r="F140" s="59"/>
      <c r="G140" s="48"/>
      <c r="H140" s="48"/>
      <c r="I140" s="48"/>
      <c r="J140" s="48"/>
      <c r="K140" s="48"/>
      <c r="L140" s="69"/>
    </row>
    <row r="141" spans="1:14">
      <c r="A141" s="3"/>
      <c r="B141" s="3"/>
      <c r="C141" s="3"/>
      <c r="D141" s="71"/>
      <c r="E141" s="48"/>
      <c r="F141" s="59"/>
      <c r="G141" s="48"/>
      <c r="H141" s="48"/>
      <c r="I141" s="48"/>
      <c r="J141" s="48"/>
      <c r="K141" s="48"/>
      <c r="L141" s="69"/>
    </row>
    <row r="142" spans="1:14">
      <c r="A142" s="3"/>
      <c r="B142" s="3"/>
      <c r="C142" s="3"/>
      <c r="D142" s="71"/>
      <c r="E142" s="48"/>
      <c r="F142" s="59"/>
      <c r="G142" s="48"/>
      <c r="H142" s="48"/>
      <c r="I142" s="48"/>
      <c r="J142" s="48"/>
      <c r="K142" s="48"/>
      <c r="L142" s="69"/>
    </row>
    <row r="143" spans="1:14">
      <c r="D143" s="1"/>
      <c r="E143" s="1"/>
      <c r="G143" s="1"/>
      <c r="H143" s="1"/>
      <c r="I143" s="1"/>
      <c r="J143" s="1"/>
    </row>
    <row r="144" spans="1:14">
      <c r="A144" s="200" t="str">
        <f>$A$4</f>
        <v xml:space="preserve">Please fill in Supplier Name </v>
      </c>
      <c r="B144" s="200" t="s">
        <v>990</v>
      </c>
      <c r="C144" s="200" t="s">
        <v>988</v>
      </c>
      <c r="D144" s="201"/>
      <c r="E144" s="201"/>
      <c r="F144" s="202"/>
      <c r="G144" s="198">
        <f>SUM(G145:G147)</f>
        <v>0</v>
      </c>
      <c r="H144" s="198">
        <f>SUM(H145:H147)</f>
        <v>0</v>
      </c>
      <c r="I144" s="203">
        <f>SUM(G144:H144)</f>
        <v>0</v>
      </c>
      <c r="J144" s="204" t="s">
        <v>217</v>
      </c>
      <c r="K144" s="205">
        <v>1</v>
      </c>
      <c r="L144" s="200"/>
      <c r="M144" s="199" t="s">
        <v>532</v>
      </c>
      <c r="N144" s="199"/>
    </row>
    <row r="145" spans="1:14">
      <c r="A145" s="3"/>
      <c r="B145" s="3"/>
      <c r="C145" s="77" t="s">
        <v>991</v>
      </c>
      <c r="D145" s="75">
        <v>2</v>
      </c>
      <c r="E145" s="76" t="s">
        <v>582</v>
      </c>
      <c r="F145" s="92"/>
      <c r="G145" s="76"/>
      <c r="H145" s="76"/>
      <c r="I145" s="48"/>
      <c r="J145" s="48"/>
      <c r="K145" s="48"/>
      <c r="L145" s="69"/>
    </row>
    <row r="146" spans="1:14">
      <c r="A146" s="3"/>
      <c r="B146" s="3"/>
      <c r="C146" s="77" t="s">
        <v>992</v>
      </c>
      <c r="D146" s="75">
        <v>40</v>
      </c>
      <c r="E146" s="76" t="s">
        <v>547</v>
      </c>
      <c r="F146" s="92"/>
      <c r="G146" s="76"/>
      <c r="H146" s="76"/>
      <c r="I146" s="48"/>
      <c r="J146" s="48"/>
      <c r="K146" s="48"/>
      <c r="L146" s="69"/>
    </row>
    <row r="147" spans="1:14">
      <c r="A147" s="3"/>
      <c r="B147" s="3"/>
      <c r="C147" s="77" t="s">
        <v>993</v>
      </c>
      <c r="D147" s="75">
        <v>20</v>
      </c>
      <c r="E147" s="76" t="s">
        <v>547</v>
      </c>
      <c r="F147" s="92"/>
      <c r="G147" s="76"/>
      <c r="H147" s="76"/>
      <c r="I147" s="48"/>
      <c r="J147" s="48"/>
      <c r="K147" s="48"/>
      <c r="L147" s="69"/>
    </row>
    <row r="148" spans="1:14">
      <c r="D148" s="1"/>
      <c r="E148" s="1"/>
      <c r="G148" s="1"/>
      <c r="H148" s="1"/>
      <c r="I148" s="1"/>
      <c r="J148" s="1"/>
    </row>
    <row r="149" spans="1:14">
      <c r="A149" s="242" t="str">
        <f>$A$4</f>
        <v xml:space="preserve">Please fill in Supplier Name </v>
      </c>
      <c r="B149" s="242" t="s">
        <v>994</v>
      </c>
      <c r="C149" s="242" t="s">
        <v>988</v>
      </c>
      <c r="D149" s="243"/>
      <c r="E149" s="243"/>
      <c r="F149" s="244"/>
      <c r="G149" s="245">
        <f>SUM(G150:G152)</f>
        <v>0</v>
      </c>
      <c r="H149" s="245">
        <f>SUM(H150:H152)</f>
        <v>0</v>
      </c>
      <c r="I149" s="246">
        <f>SUM(G149:H149)</f>
        <v>0</v>
      </c>
      <c r="J149" s="247" t="s">
        <v>217</v>
      </c>
      <c r="K149" s="248">
        <v>1</v>
      </c>
      <c r="L149" s="242"/>
      <c r="M149" s="240" t="s">
        <v>543</v>
      </c>
      <c r="N149" s="240"/>
    </row>
    <row r="150" spans="1:14">
      <c r="A150" s="3"/>
      <c r="B150" s="3"/>
      <c r="C150" s="77" t="s">
        <v>995</v>
      </c>
      <c r="D150" s="75">
        <v>1</v>
      </c>
      <c r="E150" s="76" t="s">
        <v>582</v>
      </c>
      <c r="F150" s="92"/>
      <c r="G150" s="76"/>
      <c r="H150" s="76"/>
      <c r="I150" s="48"/>
      <c r="J150" s="48"/>
      <c r="K150" s="48"/>
      <c r="L150" s="69"/>
    </row>
    <row r="151" spans="1:14">
      <c r="A151" s="3"/>
      <c r="B151" s="3"/>
      <c r="C151" s="77" t="s">
        <v>996</v>
      </c>
      <c r="D151" s="75">
        <v>50</v>
      </c>
      <c r="E151" s="76" t="s">
        <v>547</v>
      </c>
      <c r="F151" s="92"/>
      <c r="G151" s="76"/>
      <c r="H151" s="76"/>
      <c r="I151" s="48"/>
      <c r="J151" s="48"/>
      <c r="K151" s="48"/>
      <c r="L151" s="69"/>
    </row>
    <row r="152" spans="1:14">
      <c r="A152" s="3"/>
      <c r="B152" s="3"/>
      <c r="C152" s="77" t="s">
        <v>997</v>
      </c>
      <c r="D152" s="75">
        <v>15</v>
      </c>
      <c r="E152" s="76" t="s">
        <v>547</v>
      </c>
      <c r="F152" s="92"/>
      <c r="G152" s="76"/>
      <c r="H152" s="76"/>
      <c r="I152" s="48"/>
      <c r="J152" s="48"/>
      <c r="K152" s="48"/>
      <c r="L152" s="69"/>
    </row>
    <row r="153" spans="1:14">
      <c r="D153" s="1"/>
      <c r="E153" s="1"/>
      <c r="G153" s="1"/>
      <c r="H153" s="1"/>
      <c r="I153" s="1"/>
      <c r="J153" s="1"/>
    </row>
    <row r="154" spans="1:14">
      <c r="A154" s="242" t="str">
        <f>$A$4</f>
        <v xml:space="preserve">Please fill in Supplier Name </v>
      </c>
      <c r="B154" s="252" t="s">
        <v>388</v>
      </c>
      <c r="C154" s="242" t="s">
        <v>389</v>
      </c>
      <c r="D154" s="243"/>
      <c r="E154" s="243"/>
      <c r="F154" s="244"/>
      <c r="G154" s="245">
        <f>SUM(G155:G163)</f>
        <v>10</v>
      </c>
      <c r="H154" s="245">
        <f>SUM(H155:H163)</f>
        <v>10</v>
      </c>
      <c r="I154" s="246">
        <f>SUM(G154:H154)</f>
        <v>20</v>
      </c>
      <c r="J154" s="247" t="s">
        <v>217</v>
      </c>
      <c r="K154" s="248">
        <v>1</v>
      </c>
      <c r="L154" s="242"/>
      <c r="M154" s="240" t="s">
        <v>543</v>
      </c>
      <c r="N154" s="240"/>
    </row>
    <row r="155" spans="1:14">
      <c r="A155" s="3"/>
      <c r="B155" s="3"/>
      <c r="C155" s="77" t="s">
        <v>171</v>
      </c>
      <c r="D155" s="75">
        <v>1</v>
      </c>
      <c r="E155" s="76" t="s">
        <v>535</v>
      </c>
      <c r="F155" s="92"/>
      <c r="G155" s="76">
        <v>10</v>
      </c>
      <c r="H155" s="76">
        <v>10</v>
      </c>
      <c r="I155" s="48"/>
      <c r="J155" s="48"/>
      <c r="K155" s="48"/>
      <c r="L155" s="69"/>
    </row>
    <row r="156" spans="1:14">
      <c r="A156" s="3"/>
      <c r="B156" s="3"/>
      <c r="C156" s="77" t="s">
        <v>192</v>
      </c>
      <c r="D156" s="75">
        <v>1</v>
      </c>
      <c r="E156" s="76" t="s">
        <v>535</v>
      </c>
      <c r="F156" s="92"/>
      <c r="G156" s="76"/>
      <c r="H156" s="76"/>
      <c r="I156" s="48"/>
      <c r="J156" s="48"/>
      <c r="K156" s="48"/>
      <c r="L156" s="69"/>
    </row>
    <row r="157" spans="1:14">
      <c r="A157" s="3"/>
      <c r="B157" s="3"/>
      <c r="C157" s="77" t="s">
        <v>184</v>
      </c>
      <c r="D157" s="75">
        <v>1</v>
      </c>
      <c r="E157" s="76" t="s">
        <v>535</v>
      </c>
      <c r="F157" s="92"/>
      <c r="G157" s="76"/>
      <c r="H157" s="76"/>
      <c r="I157" s="48"/>
      <c r="J157" s="48"/>
      <c r="K157" s="48"/>
      <c r="L157" s="69"/>
    </row>
    <row r="158" spans="1:14">
      <c r="A158" s="3"/>
      <c r="B158" s="3"/>
      <c r="C158" s="77" t="s">
        <v>83</v>
      </c>
      <c r="D158" s="75">
        <v>1</v>
      </c>
      <c r="E158" s="76" t="s">
        <v>535</v>
      </c>
      <c r="F158" s="92"/>
      <c r="G158" s="76"/>
      <c r="H158" s="76"/>
      <c r="I158" s="48"/>
      <c r="J158" s="48"/>
      <c r="K158" s="48"/>
      <c r="L158" s="69"/>
    </row>
    <row r="159" spans="1:14">
      <c r="A159" s="3"/>
      <c r="B159" s="3"/>
      <c r="C159" s="77" t="s">
        <v>171</v>
      </c>
      <c r="D159" s="75">
        <v>1</v>
      </c>
      <c r="E159" s="76" t="s">
        <v>535</v>
      </c>
      <c r="F159" s="92"/>
      <c r="G159" s="76"/>
      <c r="H159" s="76"/>
      <c r="I159" s="48"/>
      <c r="J159" s="48"/>
      <c r="K159" s="48"/>
      <c r="L159" s="69"/>
    </row>
    <row r="160" spans="1:14">
      <c r="A160" s="3"/>
      <c r="B160" s="3"/>
      <c r="C160" s="77"/>
      <c r="D160" s="75"/>
      <c r="E160" s="76"/>
      <c r="F160" s="92"/>
      <c r="G160" s="76"/>
      <c r="H160" s="76"/>
      <c r="I160" s="48"/>
      <c r="J160" s="48"/>
      <c r="K160" s="48"/>
      <c r="L160" s="69"/>
    </row>
    <row r="161" spans="1:14">
      <c r="A161" s="3"/>
      <c r="B161" s="3"/>
      <c r="C161" s="77"/>
      <c r="D161" s="75"/>
      <c r="E161" s="76"/>
      <c r="F161" s="92"/>
      <c r="G161" s="76"/>
      <c r="H161" s="76"/>
      <c r="I161" s="48"/>
      <c r="J161" s="48"/>
      <c r="K161" s="48"/>
      <c r="L161" s="69"/>
    </row>
    <row r="162" spans="1:14">
      <c r="A162" s="3"/>
      <c r="B162" s="3"/>
      <c r="C162" s="77"/>
      <c r="D162" s="75"/>
      <c r="E162" s="76"/>
      <c r="F162" s="92"/>
      <c r="G162" s="76"/>
      <c r="H162" s="76"/>
      <c r="I162" s="48"/>
      <c r="J162" s="48"/>
      <c r="K162" s="48"/>
      <c r="L162" s="69"/>
    </row>
    <row r="163" spans="1:14">
      <c r="A163" s="3"/>
      <c r="B163" s="3"/>
      <c r="C163" s="77"/>
      <c r="D163" s="75"/>
      <c r="E163" s="76"/>
      <c r="F163" s="92"/>
      <c r="G163" s="76"/>
      <c r="H163" s="76"/>
      <c r="I163" s="48"/>
      <c r="J163" s="48"/>
      <c r="K163" s="48"/>
      <c r="L163" s="69"/>
    </row>
    <row r="164" spans="1:14">
      <c r="D164" s="1"/>
      <c r="E164" s="1"/>
      <c r="G164" s="1"/>
      <c r="H164" s="1"/>
      <c r="I164" s="1"/>
      <c r="J164" s="1"/>
    </row>
    <row r="165" spans="1:14">
      <c r="A165" s="242" t="str">
        <f>$A$4</f>
        <v xml:space="preserve">Please fill in Supplier Name </v>
      </c>
      <c r="B165" s="252" t="s">
        <v>396</v>
      </c>
      <c r="C165" s="242" t="s">
        <v>397</v>
      </c>
      <c r="D165" s="243"/>
      <c r="E165" s="243"/>
      <c r="F165" s="244"/>
      <c r="G165" s="245">
        <f>SUM(G166:G174)</f>
        <v>10</v>
      </c>
      <c r="H165" s="245">
        <f>SUM(H166:H174)</f>
        <v>10</v>
      </c>
      <c r="I165" s="246">
        <f>SUM(G165:H165)</f>
        <v>20</v>
      </c>
      <c r="J165" s="247" t="s">
        <v>217</v>
      </c>
      <c r="K165" s="248">
        <v>1</v>
      </c>
      <c r="L165" s="242"/>
      <c r="M165" s="240" t="s">
        <v>543</v>
      </c>
      <c r="N165" s="240" t="s">
        <v>516</v>
      </c>
    </row>
    <row r="166" spans="1:14">
      <c r="A166" s="3"/>
      <c r="B166" s="3"/>
      <c r="C166" s="77" t="s">
        <v>173</v>
      </c>
      <c r="D166" s="75">
        <v>1</v>
      </c>
      <c r="E166" s="76" t="s">
        <v>535</v>
      </c>
      <c r="F166" s="92"/>
      <c r="G166" s="76">
        <v>10</v>
      </c>
      <c r="H166" s="76">
        <v>10</v>
      </c>
      <c r="I166" s="48"/>
      <c r="J166" s="48"/>
      <c r="K166" s="48"/>
      <c r="L166" s="69"/>
    </row>
    <row r="167" spans="1:14">
      <c r="A167" s="3"/>
      <c r="B167" s="3"/>
      <c r="C167" s="77" t="s">
        <v>198</v>
      </c>
      <c r="D167" s="75">
        <v>1</v>
      </c>
      <c r="E167" s="76" t="s">
        <v>535</v>
      </c>
      <c r="F167" s="92"/>
      <c r="G167" s="76"/>
      <c r="H167" s="76"/>
      <c r="I167" s="48"/>
      <c r="J167" s="48"/>
      <c r="K167" s="48"/>
      <c r="L167" s="69"/>
    </row>
    <row r="168" spans="1:14">
      <c r="A168" s="3"/>
      <c r="B168" s="3"/>
      <c r="C168" s="77" t="s">
        <v>186</v>
      </c>
      <c r="D168" s="75">
        <v>1</v>
      </c>
      <c r="E168" s="76" t="s">
        <v>535</v>
      </c>
      <c r="F168" s="92"/>
      <c r="G168" s="76"/>
      <c r="H168" s="76"/>
      <c r="I168" s="48"/>
      <c r="J168" s="48"/>
      <c r="K168" s="48"/>
      <c r="L168" s="69"/>
    </row>
    <row r="169" spans="1:14">
      <c r="A169" s="3"/>
      <c r="B169" s="3"/>
      <c r="C169" s="77" t="s">
        <v>109</v>
      </c>
      <c r="D169" s="75">
        <v>1</v>
      </c>
      <c r="E169" s="76" t="s">
        <v>535</v>
      </c>
      <c r="F169" s="92"/>
      <c r="G169" s="76"/>
      <c r="H169" s="76"/>
      <c r="I169" s="48"/>
      <c r="J169" s="48"/>
      <c r="K169" s="48"/>
      <c r="L169" s="69"/>
    </row>
    <row r="170" spans="1:14">
      <c r="A170" s="3"/>
      <c r="B170" s="3"/>
      <c r="C170" s="77" t="s">
        <v>173</v>
      </c>
      <c r="D170" s="75">
        <v>1</v>
      </c>
      <c r="E170" s="76" t="s">
        <v>535</v>
      </c>
      <c r="F170" s="92"/>
      <c r="G170" s="76"/>
      <c r="H170" s="76"/>
      <c r="I170" s="48"/>
      <c r="J170" s="48"/>
      <c r="K170" s="48"/>
      <c r="L170" s="69"/>
    </row>
    <row r="171" spans="1:14">
      <c r="A171" s="3"/>
      <c r="B171" s="3"/>
      <c r="C171" s="77"/>
      <c r="D171" s="75"/>
      <c r="E171" s="76"/>
      <c r="F171" s="92"/>
      <c r="G171" s="76"/>
      <c r="H171" s="76"/>
      <c r="I171" s="48"/>
      <c r="J171" s="48"/>
      <c r="K171" s="48"/>
      <c r="L171" s="69"/>
    </row>
    <row r="172" spans="1:14">
      <c r="A172" s="3"/>
      <c r="B172" s="3"/>
      <c r="C172" s="77"/>
      <c r="D172" s="75"/>
      <c r="E172" s="76"/>
      <c r="F172" s="92"/>
      <c r="G172" s="76"/>
      <c r="H172" s="76"/>
      <c r="I172" s="48"/>
      <c r="J172" s="48"/>
      <c r="K172" s="48"/>
      <c r="L172" s="69"/>
    </row>
    <row r="173" spans="1:14">
      <c r="A173" s="3"/>
      <c r="B173" s="3"/>
      <c r="C173" s="77"/>
      <c r="D173" s="75"/>
      <c r="E173" s="76"/>
      <c r="F173" s="92"/>
      <c r="G173" s="76"/>
      <c r="H173" s="76"/>
      <c r="I173" s="48"/>
      <c r="J173" s="48"/>
      <c r="K173" s="48"/>
      <c r="L173" s="69"/>
    </row>
    <row r="174" spans="1:14">
      <c r="A174" s="3"/>
      <c r="B174" s="3"/>
      <c r="C174" s="77"/>
      <c r="D174" s="75"/>
      <c r="E174" s="76"/>
      <c r="F174" s="92"/>
      <c r="G174" s="76"/>
      <c r="H174" s="76"/>
      <c r="I174" s="48"/>
      <c r="J174" s="48"/>
      <c r="K174" s="48"/>
      <c r="L174" s="69"/>
    </row>
    <row r="175" spans="1:14">
      <c r="D175" s="1"/>
      <c r="E175" s="1"/>
      <c r="G175" s="1"/>
      <c r="H175" s="1"/>
      <c r="I175" s="1"/>
      <c r="J175" s="1"/>
    </row>
    <row r="176" spans="1:14">
      <c r="A176" s="242" t="str">
        <f>$A$4</f>
        <v xml:space="preserve">Please fill in Supplier Name </v>
      </c>
      <c r="B176" s="252" t="s">
        <v>392</v>
      </c>
      <c r="C176" s="242" t="s">
        <v>393</v>
      </c>
      <c r="D176" s="243"/>
      <c r="E176" s="243"/>
      <c r="F176" s="244"/>
      <c r="G176" s="245">
        <f>SUM(G177:G185)</f>
        <v>0</v>
      </c>
      <c r="H176" s="245">
        <f>SUM(H177:H185)</f>
        <v>0</v>
      </c>
      <c r="I176" s="246">
        <f>SUM(G176:H176)</f>
        <v>0</v>
      </c>
      <c r="J176" s="247" t="s">
        <v>217</v>
      </c>
      <c r="K176" s="248">
        <v>1</v>
      </c>
      <c r="L176" s="242"/>
      <c r="M176" s="240" t="s">
        <v>543</v>
      </c>
      <c r="N176" s="240"/>
    </row>
    <row r="177" spans="1:14">
      <c r="A177" s="3"/>
      <c r="B177" s="3"/>
      <c r="C177" s="77" t="s">
        <v>171</v>
      </c>
      <c r="D177" s="75">
        <v>1</v>
      </c>
      <c r="E177" s="76" t="s">
        <v>535</v>
      </c>
      <c r="F177" s="92"/>
      <c r="G177" s="76"/>
      <c r="H177" s="76"/>
      <c r="I177" s="48"/>
      <c r="J177" s="48"/>
      <c r="K177" s="48"/>
      <c r="L177" s="69"/>
    </row>
    <row r="178" spans="1:14">
      <c r="A178" s="3"/>
      <c r="B178" s="3"/>
      <c r="C178" s="77" t="s">
        <v>192</v>
      </c>
      <c r="D178" s="75">
        <v>1</v>
      </c>
      <c r="E178" s="76" t="s">
        <v>535</v>
      </c>
      <c r="F178" s="92"/>
      <c r="G178" s="76"/>
      <c r="H178" s="76"/>
      <c r="I178" s="48"/>
      <c r="J178" s="48"/>
      <c r="K178" s="48"/>
      <c r="L178" s="69"/>
    </row>
    <row r="179" spans="1:14">
      <c r="A179" s="3"/>
      <c r="B179" s="3"/>
      <c r="C179" s="77" t="s">
        <v>184</v>
      </c>
      <c r="D179" s="75">
        <v>1</v>
      </c>
      <c r="E179" s="76" t="s">
        <v>535</v>
      </c>
      <c r="F179" s="92"/>
      <c r="G179" s="76"/>
      <c r="H179" s="76"/>
      <c r="I179" s="48"/>
      <c r="J179" s="48"/>
      <c r="K179" s="48"/>
      <c r="L179" s="69"/>
    </row>
    <row r="180" spans="1:14">
      <c r="A180" s="3"/>
      <c r="B180" s="3"/>
      <c r="C180" s="77" t="s">
        <v>87</v>
      </c>
      <c r="D180" s="75">
        <v>1</v>
      </c>
      <c r="E180" s="76" t="s">
        <v>535</v>
      </c>
      <c r="F180" s="92"/>
      <c r="G180" s="76"/>
      <c r="H180" s="76"/>
      <c r="I180" s="48"/>
      <c r="J180" s="48"/>
      <c r="K180" s="48"/>
      <c r="L180" s="69"/>
    </row>
    <row r="181" spans="1:14">
      <c r="A181" s="3"/>
      <c r="B181" s="3"/>
      <c r="C181" s="77" t="s">
        <v>171</v>
      </c>
      <c r="D181" s="75">
        <v>1</v>
      </c>
      <c r="E181" s="76" t="s">
        <v>535</v>
      </c>
      <c r="F181" s="92"/>
      <c r="G181" s="76"/>
      <c r="H181" s="76"/>
      <c r="I181" s="48"/>
      <c r="J181" s="48"/>
      <c r="K181" s="48"/>
      <c r="L181" s="69"/>
    </row>
    <row r="182" spans="1:14">
      <c r="A182" s="3"/>
      <c r="B182" s="3"/>
      <c r="C182" s="77"/>
      <c r="D182" s="75"/>
      <c r="E182" s="76"/>
      <c r="F182" s="92"/>
      <c r="G182" s="76"/>
      <c r="H182" s="76"/>
      <c r="I182" s="48"/>
      <c r="J182" s="48"/>
      <c r="K182" s="48"/>
      <c r="L182" s="69"/>
    </row>
    <row r="183" spans="1:14">
      <c r="A183" s="3"/>
      <c r="B183" s="3"/>
      <c r="C183" s="77"/>
      <c r="D183" s="75"/>
      <c r="E183" s="76"/>
      <c r="F183" s="92"/>
      <c r="G183" s="76"/>
      <c r="H183" s="76"/>
      <c r="I183" s="48"/>
      <c r="J183" s="48"/>
      <c r="K183" s="48"/>
      <c r="L183" s="69"/>
    </row>
    <row r="184" spans="1:14">
      <c r="A184" s="3"/>
      <c r="B184" s="3"/>
      <c r="C184" s="77"/>
      <c r="D184" s="75"/>
      <c r="E184" s="76"/>
      <c r="F184" s="92"/>
      <c r="G184" s="76"/>
      <c r="H184" s="76"/>
      <c r="I184" s="48"/>
      <c r="J184" s="48"/>
      <c r="K184" s="48"/>
      <c r="L184" s="69"/>
    </row>
    <row r="185" spans="1:14">
      <c r="A185" s="3"/>
      <c r="B185" s="3"/>
      <c r="C185" s="77"/>
      <c r="D185" s="75"/>
      <c r="E185" s="76"/>
      <c r="F185" s="92"/>
      <c r="G185" s="76"/>
      <c r="H185" s="76"/>
      <c r="I185" s="48"/>
      <c r="J185" s="48"/>
      <c r="K185" s="48"/>
      <c r="L185" s="69"/>
    </row>
    <row r="186" spans="1:14">
      <c r="D186" s="1"/>
      <c r="E186" s="1"/>
      <c r="G186" s="1"/>
      <c r="H186" s="1"/>
      <c r="I186" s="1"/>
      <c r="J186" s="1"/>
    </row>
    <row r="187" spans="1:14">
      <c r="A187" s="242" t="str">
        <f>$A$4</f>
        <v xml:space="preserve">Please fill in Supplier Name </v>
      </c>
      <c r="B187" s="252" t="s">
        <v>400</v>
      </c>
      <c r="C187" s="242" t="s">
        <v>401</v>
      </c>
      <c r="D187" s="243"/>
      <c r="E187" s="243"/>
      <c r="F187" s="244"/>
      <c r="G187" s="245">
        <f>SUM(G188:G196)</f>
        <v>0</v>
      </c>
      <c r="H187" s="245">
        <f>SUM(H188:H196)</f>
        <v>0</v>
      </c>
      <c r="I187" s="246">
        <f>SUM(G187:H187)</f>
        <v>0</v>
      </c>
      <c r="J187" s="247" t="s">
        <v>217</v>
      </c>
      <c r="K187" s="248">
        <v>1</v>
      </c>
      <c r="L187" s="242"/>
      <c r="M187" s="240" t="s">
        <v>543</v>
      </c>
      <c r="N187" s="240" t="s">
        <v>517</v>
      </c>
    </row>
    <row r="188" spans="1:14">
      <c r="A188" s="3"/>
      <c r="B188" s="3"/>
      <c r="C188" s="77" t="s">
        <v>173</v>
      </c>
      <c r="D188" s="75">
        <v>1</v>
      </c>
      <c r="E188" s="76" t="s">
        <v>535</v>
      </c>
      <c r="F188" s="92"/>
      <c r="G188" s="76"/>
      <c r="H188" s="76"/>
      <c r="I188" s="48"/>
      <c r="J188" s="48"/>
      <c r="K188" s="48"/>
      <c r="L188" s="69"/>
    </row>
    <row r="189" spans="1:14">
      <c r="A189" s="3"/>
      <c r="B189" s="3"/>
      <c r="C189" s="77" t="s">
        <v>198</v>
      </c>
      <c r="D189" s="75">
        <v>1</v>
      </c>
      <c r="E189" s="76" t="s">
        <v>535</v>
      </c>
      <c r="F189" s="92"/>
      <c r="G189" s="76"/>
      <c r="H189" s="76"/>
      <c r="I189" s="48"/>
      <c r="J189" s="48"/>
      <c r="K189" s="48"/>
      <c r="L189" s="69"/>
    </row>
    <row r="190" spans="1:14">
      <c r="A190" s="3"/>
      <c r="B190" s="3"/>
      <c r="C190" s="77" t="s">
        <v>186</v>
      </c>
      <c r="D190" s="75">
        <v>1</v>
      </c>
      <c r="E190" s="76" t="s">
        <v>535</v>
      </c>
      <c r="F190" s="92"/>
      <c r="G190" s="76"/>
      <c r="H190" s="76"/>
      <c r="I190" s="48"/>
      <c r="J190" s="48"/>
      <c r="K190" s="48"/>
      <c r="L190" s="69"/>
    </row>
    <row r="191" spans="1:14">
      <c r="A191" s="3"/>
      <c r="B191" s="3"/>
      <c r="C191" s="77" t="s">
        <v>114</v>
      </c>
      <c r="D191" s="75">
        <v>1</v>
      </c>
      <c r="E191" s="76" t="s">
        <v>535</v>
      </c>
      <c r="F191" s="92"/>
      <c r="G191" s="76"/>
      <c r="H191" s="76"/>
      <c r="I191" s="48"/>
      <c r="J191" s="48"/>
      <c r="K191" s="48"/>
      <c r="L191" s="69"/>
    </row>
    <row r="192" spans="1:14">
      <c r="A192" s="3"/>
      <c r="B192" s="3"/>
      <c r="C192" s="77" t="s">
        <v>173</v>
      </c>
      <c r="D192" s="75">
        <v>1</v>
      </c>
      <c r="E192" s="76" t="s">
        <v>535</v>
      </c>
      <c r="F192" s="92"/>
      <c r="G192" s="76"/>
      <c r="H192" s="76"/>
      <c r="I192" s="48"/>
      <c r="J192" s="48"/>
      <c r="K192" s="48"/>
      <c r="L192" s="69"/>
    </row>
    <row r="193" spans="1:14">
      <c r="A193" s="3"/>
      <c r="B193" s="3"/>
      <c r="C193" s="77"/>
      <c r="D193" s="75"/>
      <c r="E193" s="76"/>
      <c r="F193" s="92"/>
      <c r="G193" s="76"/>
      <c r="H193" s="76"/>
      <c r="I193" s="48"/>
      <c r="J193" s="48"/>
      <c r="K193" s="48"/>
      <c r="L193" s="69"/>
    </row>
    <row r="194" spans="1:14">
      <c r="A194" s="3"/>
      <c r="B194" s="3"/>
      <c r="C194" s="77"/>
      <c r="D194" s="75"/>
      <c r="E194" s="76"/>
      <c r="F194" s="92"/>
      <c r="G194" s="76"/>
      <c r="H194" s="76"/>
      <c r="I194" s="48"/>
      <c r="J194" s="48"/>
      <c r="K194" s="48"/>
      <c r="L194" s="69"/>
    </row>
    <row r="195" spans="1:14">
      <c r="A195" s="3"/>
      <c r="B195" s="3"/>
      <c r="C195" s="77"/>
      <c r="D195" s="75"/>
      <c r="E195" s="76"/>
      <c r="F195" s="92"/>
      <c r="G195" s="76"/>
      <c r="H195" s="76"/>
      <c r="I195" s="48"/>
      <c r="J195" s="48"/>
      <c r="K195" s="48"/>
      <c r="L195" s="69"/>
    </row>
    <row r="196" spans="1:14">
      <c r="A196" s="3"/>
      <c r="B196" s="3"/>
      <c r="C196" s="77"/>
      <c r="D196" s="75"/>
      <c r="E196" s="76"/>
      <c r="F196" s="92"/>
      <c r="G196" s="76"/>
      <c r="H196" s="76"/>
      <c r="I196" s="48"/>
      <c r="J196" s="48"/>
      <c r="K196" s="48"/>
      <c r="L196" s="69"/>
    </row>
    <row r="197" spans="1:14">
      <c r="D197" s="1"/>
      <c r="E197" s="1"/>
      <c r="G197" s="1"/>
      <c r="H197" s="1"/>
      <c r="I197" s="1"/>
      <c r="J197" s="1"/>
    </row>
    <row r="198" spans="1:14">
      <c r="A198" s="242" t="str">
        <f>$A$4</f>
        <v xml:space="preserve">Please fill in Supplier Name </v>
      </c>
      <c r="B198" s="252" t="s">
        <v>394</v>
      </c>
      <c r="C198" s="242" t="s">
        <v>395</v>
      </c>
      <c r="D198" s="243"/>
      <c r="E198" s="243"/>
      <c r="F198" s="244"/>
      <c r="G198" s="245">
        <f>SUM(G199:G207)</f>
        <v>0</v>
      </c>
      <c r="H198" s="245">
        <f>SUM(H199:H207)</f>
        <v>0</v>
      </c>
      <c r="I198" s="246">
        <f>SUM(G198:H198)</f>
        <v>0</v>
      </c>
      <c r="J198" s="247" t="s">
        <v>217</v>
      </c>
      <c r="K198" s="248">
        <v>1</v>
      </c>
      <c r="L198" s="242"/>
      <c r="M198" s="240" t="s">
        <v>543</v>
      </c>
      <c r="N198" s="240"/>
    </row>
    <row r="199" spans="1:14">
      <c r="A199" s="3"/>
      <c r="B199" s="3"/>
      <c r="C199" s="77" t="s">
        <v>171</v>
      </c>
      <c r="D199" s="75">
        <v>1</v>
      </c>
      <c r="E199" s="76" t="s">
        <v>535</v>
      </c>
      <c r="F199" s="92"/>
      <c r="G199" s="76"/>
      <c r="H199" s="76"/>
      <c r="I199" s="48"/>
      <c r="J199" s="48"/>
      <c r="K199" s="48"/>
      <c r="L199" s="69"/>
    </row>
    <row r="200" spans="1:14">
      <c r="A200" s="3"/>
      <c r="B200" s="3"/>
      <c r="C200" s="77" t="s">
        <v>192</v>
      </c>
      <c r="D200" s="75">
        <v>1</v>
      </c>
      <c r="E200" s="76" t="s">
        <v>535</v>
      </c>
      <c r="F200" s="92"/>
      <c r="G200" s="76"/>
      <c r="H200" s="76"/>
      <c r="I200" s="48"/>
      <c r="J200" s="48"/>
      <c r="K200" s="48"/>
      <c r="L200" s="69"/>
    </row>
    <row r="201" spans="1:14">
      <c r="A201" s="3"/>
      <c r="B201" s="3"/>
      <c r="C201" s="77" t="s">
        <v>184</v>
      </c>
      <c r="D201" s="75">
        <v>1</v>
      </c>
      <c r="E201" s="76" t="s">
        <v>535</v>
      </c>
      <c r="F201" s="92"/>
      <c r="G201" s="76"/>
      <c r="H201" s="76"/>
      <c r="I201" s="48"/>
      <c r="J201" s="48"/>
      <c r="K201" s="48"/>
      <c r="L201" s="69"/>
    </row>
    <row r="202" spans="1:14">
      <c r="A202" s="3"/>
      <c r="B202" s="3"/>
      <c r="C202" s="77" t="s">
        <v>89</v>
      </c>
      <c r="D202" s="75">
        <v>1</v>
      </c>
      <c r="E202" s="76" t="s">
        <v>535</v>
      </c>
      <c r="F202" s="92"/>
      <c r="G202" s="76"/>
      <c r="H202" s="76"/>
      <c r="I202" s="48"/>
      <c r="J202" s="48"/>
      <c r="K202" s="48"/>
      <c r="L202" s="69"/>
    </row>
    <row r="203" spans="1:14">
      <c r="A203" s="3"/>
      <c r="B203" s="3"/>
      <c r="C203" s="77" t="s">
        <v>171</v>
      </c>
      <c r="D203" s="75">
        <v>1</v>
      </c>
      <c r="E203" s="76" t="s">
        <v>535</v>
      </c>
      <c r="F203" s="92"/>
      <c r="G203" s="76"/>
      <c r="H203" s="76"/>
      <c r="I203" s="48"/>
      <c r="J203" s="48"/>
      <c r="K203" s="48"/>
      <c r="L203" s="69"/>
    </row>
    <row r="204" spans="1:14">
      <c r="A204" s="3"/>
      <c r="B204" s="3"/>
      <c r="C204" s="77"/>
      <c r="D204" s="75"/>
      <c r="E204" s="76"/>
      <c r="F204" s="92"/>
      <c r="G204" s="76"/>
      <c r="H204" s="76"/>
      <c r="I204" s="48"/>
      <c r="J204" s="48"/>
      <c r="K204" s="48"/>
      <c r="L204" s="69"/>
    </row>
    <row r="205" spans="1:14">
      <c r="A205" s="3"/>
      <c r="B205" s="3"/>
      <c r="C205" s="77"/>
      <c r="D205" s="75"/>
      <c r="E205" s="76"/>
      <c r="F205" s="92"/>
      <c r="G205" s="76"/>
      <c r="H205" s="76"/>
      <c r="I205" s="48"/>
      <c r="J205" s="48"/>
      <c r="K205" s="48"/>
      <c r="L205" s="69"/>
    </row>
    <row r="206" spans="1:14">
      <c r="A206" s="3"/>
      <c r="B206" s="3"/>
      <c r="C206" s="77"/>
      <c r="D206" s="75"/>
      <c r="E206" s="76"/>
      <c r="F206" s="92"/>
      <c r="G206" s="76"/>
      <c r="H206" s="76"/>
      <c r="I206" s="48"/>
      <c r="J206" s="48"/>
      <c r="K206" s="48"/>
      <c r="L206" s="69"/>
    </row>
    <row r="207" spans="1:14">
      <c r="A207" s="3"/>
      <c r="B207" s="3"/>
      <c r="C207" s="77"/>
      <c r="D207" s="75"/>
      <c r="E207" s="76"/>
      <c r="F207" s="92"/>
      <c r="G207" s="76"/>
      <c r="H207" s="76"/>
      <c r="I207" s="48"/>
      <c r="J207" s="48"/>
      <c r="K207" s="48"/>
      <c r="L207" s="69"/>
    </row>
    <row r="208" spans="1:14">
      <c r="D208" s="1"/>
      <c r="E208" s="1"/>
      <c r="G208" s="1"/>
      <c r="H208" s="1"/>
      <c r="I208" s="1"/>
      <c r="J208" s="1"/>
    </row>
    <row r="209" spans="1:14">
      <c r="A209" s="242" t="str">
        <f>$A$4</f>
        <v xml:space="preserve">Please fill in Supplier Name </v>
      </c>
      <c r="B209" s="252" t="s">
        <v>402</v>
      </c>
      <c r="C209" s="242" t="s">
        <v>403</v>
      </c>
      <c r="D209" s="243"/>
      <c r="E209" s="243"/>
      <c r="F209" s="244"/>
      <c r="G209" s="245">
        <f>SUM(G210:G218)</f>
        <v>0</v>
      </c>
      <c r="H209" s="245">
        <f>SUM(H210:H218)</f>
        <v>0</v>
      </c>
      <c r="I209" s="246">
        <f>SUM(G209:H209)</f>
        <v>0</v>
      </c>
      <c r="J209" s="247" t="s">
        <v>217</v>
      </c>
      <c r="K209" s="248">
        <v>1</v>
      </c>
      <c r="L209" s="242"/>
      <c r="M209" s="240" t="s">
        <v>543</v>
      </c>
      <c r="N209" s="240" t="s">
        <v>518</v>
      </c>
    </row>
    <row r="210" spans="1:14">
      <c r="A210" s="3"/>
      <c r="B210" s="3"/>
      <c r="C210" s="77" t="s">
        <v>173</v>
      </c>
      <c r="D210" s="75">
        <v>1</v>
      </c>
      <c r="E210" s="76" t="s">
        <v>535</v>
      </c>
      <c r="F210" s="92"/>
      <c r="G210" s="76"/>
      <c r="H210" s="76"/>
      <c r="I210" s="48"/>
      <c r="J210" s="48"/>
      <c r="K210" s="48"/>
      <c r="L210" s="69"/>
    </row>
    <row r="211" spans="1:14">
      <c r="A211" s="3"/>
      <c r="B211" s="3"/>
      <c r="C211" s="77" t="s">
        <v>998</v>
      </c>
      <c r="D211" s="75">
        <v>1</v>
      </c>
      <c r="E211" s="76" t="s">
        <v>535</v>
      </c>
      <c r="F211" s="92"/>
      <c r="G211" s="76"/>
      <c r="H211" s="76"/>
      <c r="I211" s="48"/>
      <c r="J211" s="48"/>
      <c r="K211" s="48"/>
      <c r="L211" s="69"/>
    </row>
    <row r="212" spans="1:14">
      <c r="A212" s="3"/>
      <c r="B212" s="3"/>
      <c r="C212" s="77" t="s">
        <v>186</v>
      </c>
      <c r="D212" s="75">
        <v>1</v>
      </c>
      <c r="E212" s="76" t="s">
        <v>535</v>
      </c>
      <c r="F212" s="92"/>
      <c r="G212" s="76"/>
      <c r="H212" s="76"/>
      <c r="I212" s="48"/>
      <c r="J212" s="48"/>
      <c r="K212" s="48"/>
      <c r="L212" s="69"/>
    </row>
    <row r="213" spans="1:14">
      <c r="A213" s="3"/>
      <c r="B213" s="3"/>
      <c r="C213" s="77" t="s">
        <v>117</v>
      </c>
      <c r="D213" s="75">
        <v>1</v>
      </c>
      <c r="E213" s="76" t="s">
        <v>535</v>
      </c>
      <c r="F213" s="92"/>
      <c r="G213" s="76"/>
      <c r="H213" s="76"/>
      <c r="I213" s="48"/>
      <c r="J213" s="48"/>
      <c r="K213" s="48"/>
      <c r="L213" s="69"/>
    </row>
    <row r="214" spans="1:14">
      <c r="A214" s="3"/>
      <c r="B214" s="3"/>
      <c r="C214" s="77" t="s">
        <v>173</v>
      </c>
      <c r="D214" s="75">
        <v>1</v>
      </c>
      <c r="E214" s="76" t="s">
        <v>535</v>
      </c>
      <c r="F214" s="92"/>
      <c r="G214" s="76"/>
      <c r="H214" s="76"/>
      <c r="I214" s="48"/>
      <c r="J214" s="48"/>
      <c r="K214" s="48"/>
      <c r="L214" s="69"/>
    </row>
    <row r="215" spans="1:14">
      <c r="A215" s="3"/>
      <c r="B215" s="3"/>
      <c r="C215" s="77"/>
      <c r="D215" s="75"/>
      <c r="E215" s="76"/>
      <c r="F215" s="92"/>
      <c r="G215" s="76"/>
      <c r="H215" s="76"/>
      <c r="I215" s="48"/>
      <c r="J215" s="48"/>
      <c r="K215" s="48"/>
      <c r="L215" s="69"/>
    </row>
    <row r="216" spans="1:14">
      <c r="A216" s="3"/>
      <c r="B216" s="3"/>
      <c r="C216" s="77"/>
      <c r="D216" s="75"/>
      <c r="E216" s="76"/>
      <c r="F216" s="92"/>
      <c r="G216" s="76"/>
      <c r="H216" s="76"/>
      <c r="I216" s="48"/>
      <c r="J216" s="48"/>
      <c r="K216" s="48"/>
      <c r="L216" s="69"/>
    </row>
    <row r="217" spans="1:14">
      <c r="A217" s="3"/>
      <c r="B217" s="3"/>
      <c r="C217" s="77"/>
      <c r="D217" s="75"/>
      <c r="E217" s="76"/>
      <c r="F217" s="92"/>
      <c r="G217" s="76"/>
      <c r="H217" s="76"/>
      <c r="I217" s="48"/>
      <c r="J217" s="48"/>
      <c r="K217" s="48"/>
      <c r="L217" s="69"/>
    </row>
    <row r="218" spans="1:14">
      <c r="A218" s="3"/>
      <c r="B218" s="3"/>
      <c r="C218" s="77"/>
      <c r="D218" s="75"/>
      <c r="E218" s="76"/>
      <c r="F218" s="92"/>
      <c r="G218" s="76"/>
      <c r="H218" s="76"/>
      <c r="I218" s="48"/>
      <c r="J218" s="48"/>
      <c r="K218" s="48"/>
      <c r="L218" s="69"/>
    </row>
    <row r="219" spans="1:14">
      <c r="D219" s="1"/>
      <c r="E219" s="1"/>
      <c r="G219" s="1"/>
      <c r="H219" s="1"/>
      <c r="I219" s="1"/>
      <c r="J219" s="1"/>
    </row>
    <row r="220" spans="1:14">
      <c r="A220" s="242" t="str">
        <f>$A$4</f>
        <v xml:space="preserve">Please fill in Supplier Name </v>
      </c>
      <c r="B220" s="252" t="s">
        <v>360</v>
      </c>
      <c r="C220" s="242" t="s">
        <v>361</v>
      </c>
      <c r="D220" s="242">
        <v>1</v>
      </c>
      <c r="E220" s="242" t="s">
        <v>535</v>
      </c>
      <c r="F220" s="95"/>
      <c r="G220" s="129">
        <v>0</v>
      </c>
      <c r="H220" s="129">
        <v>0</v>
      </c>
      <c r="I220" s="246">
        <f t="shared" ref="I220:I229" si="0">SUM(G220:H220)</f>
        <v>0</v>
      </c>
      <c r="J220" s="247" t="s">
        <v>217</v>
      </c>
      <c r="K220" s="248">
        <v>1</v>
      </c>
      <c r="L220" s="251"/>
      <c r="M220" s="240" t="s">
        <v>543</v>
      </c>
      <c r="N220" s="240" t="s">
        <v>819</v>
      </c>
    </row>
    <row r="221" spans="1:14">
      <c r="A221" s="242" t="str">
        <f t="shared" ref="A221:A229" si="1">$A$4</f>
        <v xml:space="preserve">Please fill in Supplier Name </v>
      </c>
      <c r="B221" s="252" t="s">
        <v>362</v>
      </c>
      <c r="C221" s="242" t="s">
        <v>363</v>
      </c>
      <c r="D221" s="242">
        <v>1</v>
      </c>
      <c r="E221" s="242" t="s">
        <v>535</v>
      </c>
      <c r="F221" s="95"/>
      <c r="G221" s="129">
        <v>0</v>
      </c>
      <c r="H221" s="129">
        <v>0</v>
      </c>
      <c r="I221" s="246">
        <f t="shared" si="0"/>
        <v>0</v>
      </c>
      <c r="J221" s="247" t="s">
        <v>217</v>
      </c>
      <c r="K221" s="248">
        <v>1</v>
      </c>
      <c r="L221" s="251"/>
      <c r="M221" s="240" t="s">
        <v>543</v>
      </c>
      <c r="N221" s="240" t="s">
        <v>819</v>
      </c>
    </row>
    <row r="222" spans="1:14">
      <c r="A222" s="242" t="str">
        <f t="shared" si="1"/>
        <v xml:space="preserve">Please fill in Supplier Name </v>
      </c>
      <c r="B222" s="252" t="s">
        <v>364</v>
      </c>
      <c r="C222" s="242" t="s">
        <v>365</v>
      </c>
      <c r="D222" s="242">
        <v>1</v>
      </c>
      <c r="E222" s="242" t="s">
        <v>535</v>
      </c>
      <c r="F222" s="95"/>
      <c r="G222" s="129">
        <v>0</v>
      </c>
      <c r="H222" s="129">
        <v>0</v>
      </c>
      <c r="I222" s="246">
        <f>SUM(G222:H222)</f>
        <v>0</v>
      </c>
      <c r="J222" s="247" t="s">
        <v>217</v>
      </c>
      <c r="K222" s="248">
        <v>1</v>
      </c>
      <c r="L222" s="251"/>
      <c r="M222" s="240" t="s">
        <v>543</v>
      </c>
      <c r="N222" s="240" t="s">
        <v>819</v>
      </c>
    </row>
    <row r="223" spans="1:14">
      <c r="A223" s="242" t="str">
        <f t="shared" si="1"/>
        <v xml:space="preserve">Please fill in Supplier Name </v>
      </c>
      <c r="B223" s="252" t="s">
        <v>366</v>
      </c>
      <c r="C223" s="242" t="s">
        <v>367</v>
      </c>
      <c r="D223" s="242">
        <v>1</v>
      </c>
      <c r="E223" s="242" t="s">
        <v>535</v>
      </c>
      <c r="F223" s="95"/>
      <c r="G223" s="129">
        <v>0</v>
      </c>
      <c r="H223" s="129">
        <v>0</v>
      </c>
      <c r="I223" s="246">
        <f t="shared" si="0"/>
        <v>0</v>
      </c>
      <c r="J223" s="247" t="s">
        <v>217</v>
      </c>
      <c r="K223" s="248">
        <v>1</v>
      </c>
      <c r="L223" s="251"/>
      <c r="M223" s="240" t="s">
        <v>543</v>
      </c>
      <c r="N223" s="240" t="s">
        <v>819</v>
      </c>
    </row>
    <row r="224" spans="1:14">
      <c r="A224" s="242" t="str">
        <f t="shared" si="1"/>
        <v xml:space="preserve">Please fill in Supplier Name </v>
      </c>
      <c r="B224" s="252" t="s">
        <v>368</v>
      </c>
      <c r="C224" s="242" t="s">
        <v>369</v>
      </c>
      <c r="D224" s="242">
        <v>1</v>
      </c>
      <c r="E224" s="242" t="s">
        <v>535</v>
      </c>
      <c r="F224" s="95"/>
      <c r="G224" s="129">
        <v>0</v>
      </c>
      <c r="H224" s="129">
        <v>0</v>
      </c>
      <c r="I224" s="246">
        <f t="shared" si="0"/>
        <v>0</v>
      </c>
      <c r="J224" s="247" t="s">
        <v>217</v>
      </c>
      <c r="K224" s="248">
        <v>1</v>
      </c>
      <c r="L224" s="251"/>
      <c r="M224" s="240" t="s">
        <v>543</v>
      </c>
      <c r="N224" s="240" t="s">
        <v>819</v>
      </c>
    </row>
    <row r="225" spans="1:14">
      <c r="A225" s="242" t="str">
        <f t="shared" si="1"/>
        <v xml:space="preserve">Please fill in Supplier Name </v>
      </c>
      <c r="B225" s="252" t="s">
        <v>370</v>
      </c>
      <c r="C225" s="242" t="s">
        <v>371</v>
      </c>
      <c r="D225" s="242">
        <v>1</v>
      </c>
      <c r="E225" s="242" t="s">
        <v>535</v>
      </c>
      <c r="F225" s="95"/>
      <c r="G225" s="129">
        <v>0</v>
      </c>
      <c r="H225" s="129">
        <v>0</v>
      </c>
      <c r="I225" s="246">
        <f t="shared" si="0"/>
        <v>0</v>
      </c>
      <c r="J225" s="247" t="s">
        <v>217</v>
      </c>
      <c r="K225" s="248">
        <v>1</v>
      </c>
      <c r="L225" s="251"/>
      <c r="M225" s="240" t="s">
        <v>543</v>
      </c>
      <c r="N225" s="240" t="s">
        <v>819</v>
      </c>
    </row>
    <row r="226" spans="1:14">
      <c r="A226" s="242" t="str">
        <f t="shared" si="1"/>
        <v xml:space="preserve">Please fill in Supplier Name </v>
      </c>
      <c r="B226" s="252" t="s">
        <v>372</v>
      </c>
      <c r="C226" s="242" t="s">
        <v>373</v>
      </c>
      <c r="D226" s="242">
        <v>1</v>
      </c>
      <c r="E226" s="242" t="s">
        <v>535</v>
      </c>
      <c r="F226" s="95"/>
      <c r="G226" s="129">
        <v>0</v>
      </c>
      <c r="H226" s="129">
        <v>0</v>
      </c>
      <c r="I226" s="246">
        <f t="shared" si="0"/>
        <v>0</v>
      </c>
      <c r="J226" s="247" t="s">
        <v>217</v>
      </c>
      <c r="K226" s="248">
        <v>1</v>
      </c>
      <c r="L226" s="251"/>
      <c r="M226" s="240" t="s">
        <v>543</v>
      </c>
      <c r="N226" s="240" t="s">
        <v>819</v>
      </c>
    </row>
    <row r="227" spans="1:14">
      <c r="A227" s="242" t="str">
        <f t="shared" si="1"/>
        <v xml:space="preserve">Please fill in Supplier Name </v>
      </c>
      <c r="B227" s="252" t="s">
        <v>374</v>
      </c>
      <c r="C227" s="242" t="s">
        <v>375</v>
      </c>
      <c r="D227" s="242">
        <v>1</v>
      </c>
      <c r="E227" s="242" t="s">
        <v>535</v>
      </c>
      <c r="F227" s="95"/>
      <c r="G227" s="129">
        <v>0</v>
      </c>
      <c r="H227" s="129">
        <v>0</v>
      </c>
      <c r="I227" s="246">
        <f t="shared" si="0"/>
        <v>0</v>
      </c>
      <c r="J227" s="247" t="s">
        <v>217</v>
      </c>
      <c r="K227" s="248">
        <v>1</v>
      </c>
      <c r="L227" s="251"/>
      <c r="M227" s="240" t="s">
        <v>543</v>
      </c>
      <c r="N227" s="240" t="s">
        <v>819</v>
      </c>
    </row>
    <row r="228" spans="1:14">
      <c r="A228" s="242" t="str">
        <f t="shared" si="1"/>
        <v xml:space="preserve">Please fill in Supplier Name </v>
      </c>
      <c r="B228" s="252" t="s">
        <v>376</v>
      </c>
      <c r="C228" s="242" t="s">
        <v>377</v>
      </c>
      <c r="D228" s="242">
        <v>1</v>
      </c>
      <c r="E228" s="242" t="s">
        <v>535</v>
      </c>
      <c r="F228" s="95"/>
      <c r="G228" s="129">
        <v>0</v>
      </c>
      <c r="H228" s="129">
        <v>0</v>
      </c>
      <c r="I228" s="246">
        <f t="shared" si="0"/>
        <v>0</v>
      </c>
      <c r="J228" s="247" t="s">
        <v>217</v>
      </c>
      <c r="K228" s="248">
        <v>1</v>
      </c>
      <c r="L228" s="251"/>
      <c r="M228" s="240" t="s">
        <v>543</v>
      </c>
      <c r="N228" s="240" t="s">
        <v>819</v>
      </c>
    </row>
    <row r="229" spans="1:14">
      <c r="A229" s="242" t="str">
        <f t="shared" si="1"/>
        <v xml:space="preserve">Please fill in Supplier Name </v>
      </c>
      <c r="B229" s="252" t="s">
        <v>378</v>
      </c>
      <c r="C229" s="242" t="s">
        <v>379</v>
      </c>
      <c r="D229" s="242">
        <v>1</v>
      </c>
      <c r="E229" s="242" t="s">
        <v>535</v>
      </c>
      <c r="F229" s="95"/>
      <c r="G229" s="129">
        <v>0</v>
      </c>
      <c r="H229" s="129">
        <v>0</v>
      </c>
      <c r="I229" s="246">
        <f t="shared" si="0"/>
        <v>0</v>
      </c>
      <c r="J229" s="247" t="s">
        <v>217</v>
      </c>
      <c r="K229" s="248">
        <v>1</v>
      </c>
      <c r="L229" s="251"/>
      <c r="M229" s="240" t="s">
        <v>543</v>
      </c>
      <c r="N229" s="240" t="s">
        <v>819</v>
      </c>
    </row>
    <row r="230" spans="1:14">
      <c r="D230" s="1"/>
      <c r="E230" s="1"/>
      <c r="G230" s="1"/>
      <c r="H230" s="1"/>
      <c r="I230" s="1"/>
      <c r="J230" s="1"/>
    </row>
    <row r="231" spans="1:14">
      <c r="A231" s="200" t="str">
        <f>$A$4</f>
        <v xml:space="preserve">Please fill in Supplier Name </v>
      </c>
      <c r="B231" s="200" t="s">
        <v>272</v>
      </c>
      <c r="C231" s="200" t="s">
        <v>273</v>
      </c>
      <c r="D231" s="200">
        <v>1</v>
      </c>
      <c r="E231" s="200" t="s">
        <v>535</v>
      </c>
      <c r="F231" s="202"/>
      <c r="G231" s="201"/>
      <c r="H231" s="201"/>
      <c r="I231" s="212">
        <v>0</v>
      </c>
      <c r="J231" s="204" t="s">
        <v>217</v>
      </c>
      <c r="K231" s="205">
        <v>1</v>
      </c>
      <c r="L231" s="200"/>
      <c r="M231" s="199" t="s">
        <v>999</v>
      </c>
      <c r="N231" s="199"/>
    </row>
  </sheetData>
  <sheetProtection algorithmName="SHA-512" hashValue="Q/6l98qoeXg4eIe1zGYsfOpRLLYDf9SAM1O2zgzV+tJvbuvFPI3KhQL75awWh4yBMyf22O43eOeRtjXYnJSoRw==" saltValue="AeGCVdtEIpxezhIFjBPy1g==" spinCount="100000" sheet="1" objects="1" scenarios="1"/>
  <autoFilter ref="A3:N231" xr:uid="{ABF8E461-CEDE-4E7F-9DC1-B8F70F3CBC76}"/>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694A1-0E40-4233-9868-285C5720E476}">
  <sheetPr>
    <tabColor theme="8" tint="0.59999389629810485"/>
  </sheetPr>
  <dimension ref="A1:L216"/>
  <sheetViews>
    <sheetView showGridLines="0" zoomScale="85" zoomScaleNormal="85" workbookViewId="0">
      <pane ySplit="3" topLeftCell="A4" activePane="bottomLeft" state="frozen"/>
      <selection pane="bottomLeft" activeCell="E218" sqref="E218"/>
      <selection activeCell="N64" sqref="N64"/>
    </sheetView>
  </sheetViews>
  <sheetFormatPr defaultColWidth="7.75" defaultRowHeight="13.15"/>
  <cols>
    <col min="1" max="1" width="30.625" style="1" customWidth="1"/>
    <col min="2" max="2" width="23.75" style="1" bestFit="1" customWidth="1"/>
    <col min="3" max="3" width="39.375" style="1" bestFit="1" customWidth="1"/>
    <col min="4" max="4" width="8.5" style="2" customWidth="1"/>
    <col min="5" max="5" width="4.25" style="2" customWidth="1"/>
    <col min="6" max="6" width="50.625" style="2" customWidth="1"/>
    <col min="7" max="7" width="8.625" style="2" customWidth="1"/>
    <col min="8" max="8" width="8.875" style="2" customWidth="1"/>
    <col min="9" max="9" width="11.375" style="2" customWidth="1"/>
    <col min="10" max="10" width="8.75" style="2" customWidth="1"/>
    <col min="11" max="11" width="15.25" style="1" customWidth="1"/>
    <col min="12" max="12" width="69.75" style="53" bestFit="1" customWidth="1"/>
    <col min="13" max="16384" width="7.75" style="1"/>
  </cols>
  <sheetData>
    <row r="1" spans="1:12">
      <c r="A1" s="1" t="s">
        <v>831</v>
      </c>
      <c r="B1" s="1" t="s">
        <v>520</v>
      </c>
      <c r="C1" s="1" t="s">
        <v>521</v>
      </c>
    </row>
    <row r="2" spans="1:12" ht="22.7" customHeight="1">
      <c r="A2" s="46"/>
      <c r="B2" s="3" t="s">
        <v>1000</v>
      </c>
      <c r="C2" s="168" t="s">
        <v>1001</v>
      </c>
      <c r="D2" s="4"/>
      <c r="E2" s="4"/>
      <c r="F2" s="4"/>
      <c r="G2" s="4"/>
      <c r="H2" s="4"/>
      <c r="I2" s="4"/>
      <c r="J2" s="4"/>
      <c r="K2" s="4"/>
      <c r="L2" s="54"/>
    </row>
    <row r="3" spans="1:12" s="22" customFormat="1" ht="59.25" customHeight="1">
      <c r="A3" s="6" t="s">
        <v>524</v>
      </c>
      <c r="B3" s="6" t="s">
        <v>3</v>
      </c>
      <c r="C3" s="6" t="s">
        <v>4</v>
      </c>
      <c r="D3" s="6" t="s">
        <v>5</v>
      </c>
      <c r="E3" s="6" t="s">
        <v>6</v>
      </c>
      <c r="F3" s="6" t="s">
        <v>525</v>
      </c>
      <c r="G3" s="6" t="s">
        <v>8</v>
      </c>
      <c r="H3" s="6" t="s">
        <v>9</v>
      </c>
      <c r="I3" s="6" t="s">
        <v>10</v>
      </c>
      <c r="J3" s="20" t="s">
        <v>11</v>
      </c>
      <c r="K3" s="20" t="s">
        <v>526</v>
      </c>
      <c r="L3" s="6" t="s">
        <v>13</v>
      </c>
    </row>
    <row r="4" spans="1:12" ht="13.15" customHeight="1">
      <c r="A4" s="82" t="str">
        <f>'CS C C1-3'!$A$4</f>
        <v xml:space="preserve">Please fill in Supplier Name </v>
      </c>
      <c r="B4" s="55" t="s">
        <v>1002</v>
      </c>
      <c r="C4" s="55" t="s">
        <v>1003</v>
      </c>
      <c r="D4" s="56"/>
      <c r="E4" s="10"/>
      <c r="F4" s="10"/>
      <c r="G4" s="7">
        <f>SUM(G5:G13)</f>
        <v>0</v>
      </c>
      <c r="H4" s="7">
        <f>SUM(H5:H13)</f>
        <v>0</v>
      </c>
      <c r="I4" s="57">
        <f>SUM(G4:H4)</f>
        <v>0</v>
      </c>
      <c r="J4" s="58" t="s">
        <v>474</v>
      </c>
      <c r="K4" s="11">
        <v>1</v>
      </c>
      <c r="L4" s="17"/>
    </row>
    <row r="5" spans="1:12" ht="13.15" customHeight="1">
      <c r="A5" s="3"/>
      <c r="B5" s="3"/>
      <c r="C5" s="77" t="s">
        <v>1004</v>
      </c>
      <c r="D5" s="75">
        <v>1</v>
      </c>
      <c r="E5" s="76" t="s">
        <v>535</v>
      </c>
      <c r="F5" s="76"/>
      <c r="G5" s="76">
        <v>0</v>
      </c>
      <c r="H5" s="76"/>
      <c r="I5" s="48"/>
      <c r="J5" s="48"/>
      <c r="K5" s="48"/>
      <c r="L5" s="59"/>
    </row>
    <row r="6" spans="1:12" ht="13.15" customHeight="1">
      <c r="A6" s="3"/>
      <c r="B6" s="3"/>
      <c r="C6" s="77" t="s">
        <v>1005</v>
      </c>
      <c r="D6" s="75">
        <v>1</v>
      </c>
      <c r="E6" s="76" t="s">
        <v>535</v>
      </c>
      <c r="F6" s="76"/>
      <c r="G6" s="76"/>
      <c r="H6" s="76"/>
      <c r="I6" s="48"/>
      <c r="J6" s="48"/>
      <c r="K6" s="48"/>
      <c r="L6" s="59"/>
    </row>
    <row r="7" spans="1:12" ht="13.15" customHeight="1">
      <c r="A7" s="3"/>
      <c r="B7" s="3"/>
      <c r="C7" s="77" t="s">
        <v>1006</v>
      </c>
      <c r="D7" s="75">
        <v>1</v>
      </c>
      <c r="E7" s="76" t="s">
        <v>535</v>
      </c>
      <c r="F7" s="76"/>
      <c r="G7" s="76"/>
      <c r="H7" s="76"/>
      <c r="I7" s="48"/>
      <c r="J7" s="48"/>
      <c r="K7" s="48"/>
      <c r="L7" s="59"/>
    </row>
    <row r="8" spans="1:12" ht="13.15" customHeight="1">
      <c r="A8" s="3"/>
      <c r="B8" s="3"/>
      <c r="C8" s="77"/>
      <c r="D8" s="75"/>
      <c r="E8" s="76"/>
      <c r="F8" s="76"/>
      <c r="G8" s="76"/>
      <c r="H8" s="76"/>
      <c r="I8" s="48"/>
      <c r="J8" s="48"/>
      <c r="K8" s="48"/>
      <c r="L8" s="59"/>
    </row>
    <row r="9" spans="1:12" ht="13.15" customHeight="1">
      <c r="A9" s="3"/>
      <c r="B9" s="3"/>
      <c r="C9" s="77"/>
      <c r="D9" s="75"/>
      <c r="E9" s="76"/>
      <c r="F9" s="76"/>
      <c r="G9" s="76"/>
      <c r="H9" s="76"/>
      <c r="I9" s="48"/>
      <c r="J9" s="48"/>
      <c r="K9" s="48"/>
      <c r="L9" s="59"/>
    </row>
    <row r="10" spans="1:12" ht="13.15" customHeight="1">
      <c r="A10" s="3"/>
      <c r="B10" s="3"/>
      <c r="C10" s="77"/>
      <c r="D10" s="75"/>
      <c r="E10" s="76"/>
      <c r="F10" s="76"/>
      <c r="G10" s="76"/>
      <c r="H10" s="76"/>
      <c r="I10" s="48"/>
      <c r="J10" s="48"/>
      <c r="K10" s="48"/>
      <c r="L10" s="59"/>
    </row>
    <row r="11" spans="1:12" ht="13.15" customHeight="1">
      <c r="A11" s="3"/>
      <c r="B11" s="3"/>
      <c r="C11" s="77"/>
      <c r="D11" s="75"/>
      <c r="E11" s="76"/>
      <c r="F11" s="76"/>
      <c r="G11" s="76"/>
      <c r="H11" s="76"/>
      <c r="I11" s="48"/>
      <c r="J11" s="48"/>
      <c r="K11" s="48"/>
      <c r="L11" s="59"/>
    </row>
    <row r="12" spans="1:12" ht="13.15" customHeight="1">
      <c r="A12" s="3"/>
      <c r="B12" s="3"/>
      <c r="C12" s="77"/>
      <c r="D12" s="75"/>
      <c r="E12" s="76"/>
      <c r="F12" s="76"/>
      <c r="G12" s="76"/>
      <c r="H12" s="76"/>
      <c r="I12" s="48"/>
      <c r="J12" s="48"/>
      <c r="K12" s="48"/>
      <c r="L12" s="59"/>
    </row>
    <row r="13" spans="1:12" ht="13.15" customHeight="1">
      <c r="A13" s="3"/>
      <c r="B13" s="3"/>
      <c r="C13" s="77"/>
      <c r="D13" s="75"/>
      <c r="E13" s="76"/>
      <c r="F13" s="76"/>
      <c r="G13" s="76"/>
      <c r="H13" s="76"/>
      <c r="I13" s="48"/>
      <c r="J13" s="48"/>
      <c r="K13" s="48"/>
      <c r="L13" s="59"/>
    </row>
    <row r="14" spans="1:12" ht="13.15" customHeight="1">
      <c r="A14" s="60"/>
      <c r="B14" s="60"/>
      <c r="C14" s="60"/>
      <c r="D14" s="60"/>
      <c r="E14" s="60"/>
      <c r="F14" s="60"/>
      <c r="G14" s="1"/>
      <c r="H14" s="1"/>
      <c r="I14" s="1"/>
      <c r="J14" s="1"/>
    </row>
    <row r="15" spans="1:12">
      <c r="A15" s="55" t="str">
        <f>$A$4</f>
        <v xml:space="preserve">Please fill in Supplier Name </v>
      </c>
      <c r="B15" s="55" t="s">
        <v>1007</v>
      </c>
      <c r="C15" s="55" t="s">
        <v>1008</v>
      </c>
      <c r="D15" s="10"/>
      <c r="E15" s="10"/>
      <c r="F15" s="10"/>
      <c r="G15" s="7">
        <f>SUM(G16:G24)</f>
        <v>0</v>
      </c>
      <c r="H15" s="7">
        <f>SUM(H16:H24)</f>
        <v>0</v>
      </c>
      <c r="I15" s="57">
        <f>SUM(G15:H15)</f>
        <v>0</v>
      </c>
      <c r="J15" s="14" t="s">
        <v>476</v>
      </c>
      <c r="K15" s="11">
        <v>0.5</v>
      </c>
      <c r="L15" s="17"/>
    </row>
    <row r="16" spans="1:12">
      <c r="A16" s="3"/>
      <c r="B16" s="3"/>
      <c r="C16" s="77" t="s">
        <v>1009</v>
      </c>
      <c r="D16" s="75">
        <v>30</v>
      </c>
      <c r="E16" s="76" t="s">
        <v>559</v>
      </c>
      <c r="F16" s="76"/>
      <c r="G16" s="76"/>
      <c r="H16" s="76"/>
      <c r="I16" s="48"/>
      <c r="J16" s="48"/>
      <c r="K16" s="48"/>
      <c r="L16" s="59"/>
    </row>
    <row r="17" spans="1:12">
      <c r="A17" s="3"/>
      <c r="B17" s="3"/>
      <c r="C17" s="77" t="s">
        <v>1010</v>
      </c>
      <c r="D17" s="75">
        <v>10</v>
      </c>
      <c r="E17" s="76" t="s">
        <v>559</v>
      </c>
      <c r="F17" s="76"/>
      <c r="G17" s="76"/>
      <c r="H17" s="76"/>
      <c r="I17" s="48"/>
      <c r="J17" s="48"/>
      <c r="K17" s="48"/>
      <c r="L17" s="59"/>
    </row>
    <row r="18" spans="1:12">
      <c r="A18" s="3"/>
      <c r="B18" s="3"/>
      <c r="C18" s="77" t="s">
        <v>1011</v>
      </c>
      <c r="D18" s="75">
        <v>20</v>
      </c>
      <c r="E18" s="76" t="s">
        <v>559</v>
      </c>
      <c r="F18" s="76"/>
      <c r="G18" s="76"/>
      <c r="H18" s="76"/>
      <c r="I18" s="48"/>
      <c r="J18" s="48"/>
      <c r="K18" s="48"/>
      <c r="L18" s="59"/>
    </row>
    <row r="19" spans="1:12">
      <c r="A19" s="3"/>
      <c r="B19" s="3"/>
      <c r="C19" s="77" t="s">
        <v>1012</v>
      </c>
      <c r="D19" s="75">
        <v>3</v>
      </c>
      <c r="E19" s="76" t="s">
        <v>559</v>
      </c>
      <c r="F19" s="76"/>
      <c r="G19" s="76"/>
      <c r="H19" s="76"/>
      <c r="I19" s="48"/>
      <c r="J19" s="48"/>
      <c r="K19" s="48"/>
      <c r="L19" s="59"/>
    </row>
    <row r="20" spans="1:12">
      <c r="A20" s="3"/>
      <c r="B20" s="3"/>
      <c r="C20" s="77" t="s">
        <v>1013</v>
      </c>
      <c r="D20" s="75">
        <v>1</v>
      </c>
      <c r="E20" s="76" t="s">
        <v>535</v>
      </c>
      <c r="F20" s="76"/>
      <c r="G20" s="76"/>
      <c r="H20" s="76"/>
      <c r="I20" s="48"/>
      <c r="J20" s="48"/>
      <c r="K20" s="48"/>
      <c r="L20" s="59"/>
    </row>
    <row r="21" spans="1:12">
      <c r="A21" s="3"/>
      <c r="B21" s="3"/>
      <c r="C21" s="77"/>
      <c r="D21" s="75"/>
      <c r="E21" s="76"/>
      <c r="F21" s="76"/>
      <c r="G21" s="76"/>
      <c r="H21" s="76"/>
      <c r="I21" s="48"/>
      <c r="J21" s="48"/>
      <c r="K21" s="48"/>
      <c r="L21" s="59"/>
    </row>
    <row r="22" spans="1:12">
      <c r="B22" s="3"/>
      <c r="C22" s="78"/>
      <c r="D22" s="83"/>
      <c r="E22" s="83"/>
      <c r="F22" s="76"/>
      <c r="G22" s="76"/>
      <c r="H22" s="76"/>
      <c r="I22" s="48"/>
      <c r="J22" s="48"/>
      <c r="K22" s="48"/>
      <c r="L22" s="59"/>
    </row>
    <row r="23" spans="1:12">
      <c r="A23" s="3"/>
      <c r="B23" s="3"/>
      <c r="C23" s="77"/>
      <c r="D23" s="75"/>
      <c r="E23" s="76"/>
      <c r="F23" s="76"/>
      <c r="G23" s="76"/>
      <c r="H23" s="76"/>
      <c r="I23" s="48"/>
      <c r="J23" s="48"/>
      <c r="K23" s="48"/>
      <c r="L23" s="59"/>
    </row>
    <row r="24" spans="1:12">
      <c r="A24" s="3"/>
      <c r="B24" s="3"/>
      <c r="C24" s="77"/>
      <c r="D24" s="75"/>
      <c r="E24" s="76"/>
      <c r="F24" s="76"/>
      <c r="G24" s="76"/>
      <c r="H24" s="76"/>
      <c r="I24" s="48"/>
      <c r="J24" s="48"/>
      <c r="K24" s="48"/>
      <c r="L24" s="59"/>
    </row>
    <row r="25" spans="1:12">
      <c r="D25" s="1"/>
      <c r="E25" s="1"/>
      <c r="F25" s="1"/>
      <c r="G25" s="1"/>
      <c r="H25" s="1"/>
      <c r="I25" s="1"/>
      <c r="J25" s="1"/>
    </row>
    <row r="26" spans="1:12">
      <c r="A26" s="55" t="str">
        <f>$A$4</f>
        <v xml:space="preserve">Please fill in Supplier Name </v>
      </c>
      <c r="B26" s="55" t="s">
        <v>1014</v>
      </c>
      <c r="C26" s="55" t="s">
        <v>1015</v>
      </c>
      <c r="D26" s="10"/>
      <c r="E26" s="10"/>
      <c r="F26" s="10"/>
      <c r="G26" s="7">
        <f>SUM(G27:G35)</f>
        <v>0</v>
      </c>
      <c r="H26" s="7">
        <f>SUM(H27:H35)</f>
        <v>0</v>
      </c>
      <c r="I26" s="57">
        <f>SUM(G26:H26)</f>
        <v>0</v>
      </c>
      <c r="J26" s="14" t="s">
        <v>217</v>
      </c>
      <c r="K26" s="11">
        <v>0.5</v>
      </c>
      <c r="L26" s="17"/>
    </row>
    <row r="27" spans="1:12">
      <c r="A27" s="3"/>
      <c r="B27" s="3"/>
      <c r="C27" s="77" t="s">
        <v>1016</v>
      </c>
      <c r="D27" s="75">
        <v>20</v>
      </c>
      <c r="E27" s="76" t="s">
        <v>559</v>
      </c>
      <c r="F27" s="76"/>
      <c r="G27" s="76"/>
      <c r="H27" s="76"/>
      <c r="I27" s="48"/>
      <c r="J27" s="48"/>
      <c r="K27" s="48"/>
      <c r="L27" s="59"/>
    </row>
    <row r="28" spans="1:12">
      <c r="A28" s="3"/>
      <c r="B28" s="3"/>
      <c r="C28" s="77" t="s">
        <v>1017</v>
      </c>
      <c r="D28" s="75">
        <v>10</v>
      </c>
      <c r="E28" s="76" t="s">
        <v>559</v>
      </c>
      <c r="F28" s="76"/>
      <c r="G28" s="76"/>
      <c r="H28" s="76"/>
      <c r="I28" s="48"/>
      <c r="J28" s="48"/>
      <c r="K28" s="48"/>
      <c r="L28" s="59"/>
    </row>
    <row r="29" spans="1:12">
      <c r="A29" s="3"/>
      <c r="B29" s="3"/>
      <c r="C29" s="77" t="s">
        <v>1018</v>
      </c>
      <c r="D29" s="75">
        <v>50</v>
      </c>
      <c r="E29" s="76" t="s">
        <v>559</v>
      </c>
      <c r="F29" s="76"/>
      <c r="G29" s="76"/>
      <c r="H29" s="76"/>
      <c r="I29" s="48"/>
      <c r="J29" s="48"/>
      <c r="K29" s="48"/>
      <c r="L29" s="59"/>
    </row>
    <row r="30" spans="1:12" ht="13.15" customHeight="1">
      <c r="A30" s="3"/>
      <c r="B30" s="3"/>
      <c r="C30" s="77" t="s">
        <v>918</v>
      </c>
      <c r="D30" s="75">
        <v>3</v>
      </c>
      <c r="E30" s="76" t="s">
        <v>559</v>
      </c>
      <c r="F30" s="76"/>
      <c r="G30" s="76"/>
      <c r="H30" s="76"/>
      <c r="I30" s="48"/>
      <c r="J30" s="48"/>
      <c r="K30" s="48"/>
      <c r="L30" s="59"/>
    </row>
    <row r="31" spans="1:12">
      <c r="A31" s="3"/>
      <c r="B31" s="3"/>
      <c r="C31" s="77" t="s">
        <v>1019</v>
      </c>
      <c r="D31" s="75">
        <v>2</v>
      </c>
      <c r="E31" s="76" t="s">
        <v>535</v>
      </c>
      <c r="F31" s="76"/>
      <c r="G31" s="76"/>
      <c r="H31" s="76"/>
      <c r="I31" s="48"/>
      <c r="J31" s="48"/>
      <c r="K31" s="48"/>
      <c r="L31" s="59"/>
    </row>
    <row r="32" spans="1:12">
      <c r="B32" s="3"/>
      <c r="C32" s="78"/>
      <c r="D32" s="83"/>
      <c r="E32" s="83"/>
      <c r="F32" s="76"/>
      <c r="G32" s="76"/>
      <c r="H32" s="76"/>
      <c r="I32" s="48"/>
      <c r="J32" s="48"/>
      <c r="K32" s="48"/>
      <c r="L32" s="59"/>
    </row>
    <row r="33" spans="1:12">
      <c r="A33" s="3"/>
      <c r="B33" s="3"/>
      <c r="C33" s="77"/>
      <c r="D33" s="75"/>
      <c r="E33" s="76"/>
      <c r="F33" s="76"/>
      <c r="G33" s="76"/>
      <c r="H33" s="76"/>
      <c r="I33" s="48"/>
      <c r="J33" s="48"/>
      <c r="K33" s="48"/>
      <c r="L33" s="59"/>
    </row>
    <row r="34" spans="1:12">
      <c r="A34" s="3"/>
      <c r="B34" s="3"/>
      <c r="C34" s="77"/>
      <c r="D34" s="75"/>
      <c r="E34" s="76"/>
      <c r="F34" s="76"/>
      <c r="G34" s="76"/>
      <c r="H34" s="76"/>
      <c r="I34" s="48"/>
      <c r="J34" s="48"/>
      <c r="K34" s="48"/>
      <c r="L34" s="59"/>
    </row>
    <row r="35" spans="1:12">
      <c r="A35" s="3"/>
      <c r="B35" s="3"/>
      <c r="C35" s="77"/>
      <c r="D35" s="75"/>
      <c r="E35" s="76"/>
      <c r="F35" s="76"/>
      <c r="G35" s="76"/>
      <c r="H35" s="76"/>
      <c r="I35" s="48"/>
      <c r="J35" s="48"/>
      <c r="K35" s="48"/>
      <c r="L35" s="59"/>
    </row>
    <row r="36" spans="1:12">
      <c r="D36" s="1"/>
      <c r="E36" s="1"/>
      <c r="F36" s="1"/>
      <c r="G36" s="1"/>
      <c r="H36" s="1"/>
      <c r="I36" s="1"/>
      <c r="J36" s="1"/>
    </row>
    <row r="37" spans="1:12">
      <c r="A37" s="55" t="str">
        <f>$A$4</f>
        <v xml:space="preserve">Please fill in Supplier Name </v>
      </c>
      <c r="B37" s="55" t="s">
        <v>1020</v>
      </c>
      <c r="C37" s="55" t="s">
        <v>1021</v>
      </c>
      <c r="D37" s="10"/>
      <c r="E37" s="10"/>
      <c r="F37" s="10"/>
      <c r="G37" s="7">
        <f>SUM(G38:G46)</f>
        <v>0</v>
      </c>
      <c r="H37" s="7">
        <f>SUM(H38:H46)</f>
        <v>0</v>
      </c>
      <c r="I37" s="57">
        <f>SUM(G37:H37)</f>
        <v>0</v>
      </c>
      <c r="J37" s="14" t="s">
        <v>474</v>
      </c>
      <c r="K37" s="11">
        <v>0.5</v>
      </c>
      <c r="L37" s="61"/>
    </row>
    <row r="38" spans="1:12">
      <c r="A38" s="3"/>
      <c r="B38" s="3"/>
      <c r="C38" s="77" t="s">
        <v>1022</v>
      </c>
      <c r="D38" s="75">
        <v>40</v>
      </c>
      <c r="E38" s="76" t="s">
        <v>559</v>
      </c>
      <c r="F38" s="76"/>
      <c r="G38" s="76"/>
      <c r="H38" s="76"/>
      <c r="I38" s="48"/>
      <c r="J38" s="48"/>
      <c r="K38" s="48"/>
      <c r="L38" s="59"/>
    </row>
    <row r="39" spans="1:12">
      <c r="A39" s="3"/>
      <c r="B39" s="3"/>
      <c r="C39" s="77" t="s">
        <v>1023</v>
      </c>
      <c r="D39" s="75">
        <v>30</v>
      </c>
      <c r="E39" s="76" t="s">
        <v>559</v>
      </c>
      <c r="F39" s="76"/>
      <c r="G39" s="76"/>
      <c r="H39" s="76"/>
      <c r="I39" s="48"/>
      <c r="J39" s="48"/>
      <c r="K39" s="48"/>
      <c r="L39" s="59"/>
    </row>
    <row r="40" spans="1:12">
      <c r="A40" s="3"/>
      <c r="B40" s="3"/>
      <c r="C40" s="77" t="s">
        <v>955</v>
      </c>
      <c r="D40" s="75">
        <v>4</v>
      </c>
      <c r="E40" s="76" t="s">
        <v>559</v>
      </c>
      <c r="F40" s="76"/>
      <c r="G40" s="76"/>
      <c r="H40" s="76"/>
      <c r="I40" s="48"/>
      <c r="J40" s="48"/>
      <c r="K40" s="48"/>
      <c r="L40" s="59"/>
    </row>
    <row r="41" spans="1:12">
      <c r="A41" s="3"/>
      <c r="B41" s="3"/>
      <c r="C41" s="77" t="s">
        <v>1024</v>
      </c>
      <c r="D41" s="75">
        <v>5</v>
      </c>
      <c r="E41" s="76" t="s">
        <v>559</v>
      </c>
      <c r="F41" s="76"/>
      <c r="G41" s="76"/>
      <c r="H41" s="76"/>
      <c r="I41" s="48"/>
      <c r="J41" s="48"/>
      <c r="K41" s="48"/>
      <c r="L41" s="59"/>
    </row>
    <row r="42" spans="1:12">
      <c r="A42" s="3"/>
      <c r="B42" s="3"/>
      <c r="C42" s="77" t="s">
        <v>1025</v>
      </c>
      <c r="D42" s="75">
        <v>1</v>
      </c>
      <c r="E42" s="76" t="s">
        <v>535</v>
      </c>
      <c r="F42" s="76"/>
      <c r="G42" s="76"/>
      <c r="H42" s="76"/>
      <c r="I42" s="48"/>
      <c r="J42" s="48"/>
      <c r="K42" s="48"/>
      <c r="L42" s="59"/>
    </row>
    <row r="43" spans="1:12">
      <c r="A43" s="3"/>
      <c r="B43" s="3"/>
      <c r="C43" s="77" t="s">
        <v>1026</v>
      </c>
      <c r="D43" s="75">
        <v>1</v>
      </c>
      <c r="E43" s="76" t="s">
        <v>535</v>
      </c>
      <c r="F43" s="76"/>
      <c r="G43" s="76"/>
      <c r="H43" s="76"/>
      <c r="I43" s="48"/>
      <c r="J43" s="48"/>
      <c r="K43" s="48"/>
      <c r="L43" s="59"/>
    </row>
    <row r="44" spans="1:12">
      <c r="A44" s="3"/>
      <c r="B44" s="3"/>
      <c r="C44" s="77" t="s">
        <v>1027</v>
      </c>
      <c r="D44" s="75">
        <v>1</v>
      </c>
      <c r="E44" s="76" t="s">
        <v>535</v>
      </c>
      <c r="F44" s="76"/>
      <c r="G44" s="76"/>
      <c r="H44" s="76"/>
      <c r="I44" s="48"/>
      <c r="J44" s="48"/>
      <c r="K44" s="48"/>
      <c r="L44" s="59"/>
    </row>
    <row r="45" spans="1:12">
      <c r="A45" s="3"/>
      <c r="B45" s="3"/>
      <c r="C45" s="77"/>
      <c r="D45" s="75"/>
      <c r="E45" s="76"/>
      <c r="F45" s="76"/>
      <c r="G45" s="76"/>
      <c r="H45" s="76"/>
      <c r="I45" s="48"/>
      <c r="J45" s="48"/>
      <c r="K45" s="48"/>
      <c r="L45" s="59"/>
    </row>
    <row r="46" spans="1:12">
      <c r="A46" s="3"/>
      <c r="B46" s="3"/>
      <c r="C46" s="77"/>
      <c r="D46" s="75"/>
      <c r="E46" s="76"/>
      <c r="F46" s="76"/>
      <c r="G46" s="76"/>
      <c r="H46" s="76"/>
      <c r="I46" s="48"/>
      <c r="J46" s="48"/>
      <c r="K46" s="48"/>
      <c r="L46" s="59"/>
    </row>
    <row r="47" spans="1:12">
      <c r="D47" s="1"/>
      <c r="E47" s="1"/>
      <c r="F47" s="1"/>
      <c r="G47" s="1"/>
      <c r="H47" s="1"/>
      <c r="I47" s="1"/>
      <c r="J47" s="1"/>
    </row>
    <row r="48" spans="1:12">
      <c r="A48" s="55" t="str">
        <f>$A$4</f>
        <v xml:space="preserve">Please fill in Supplier Name </v>
      </c>
      <c r="B48" s="55" t="s">
        <v>1028</v>
      </c>
      <c r="C48" s="55" t="s">
        <v>1029</v>
      </c>
      <c r="D48" s="10"/>
      <c r="E48" s="10"/>
      <c r="F48" s="10"/>
      <c r="G48" s="7">
        <f>SUM(G49:G57)</f>
        <v>0</v>
      </c>
      <c r="H48" s="7">
        <f>SUM(H49:H57)</f>
        <v>0</v>
      </c>
      <c r="I48" s="57">
        <f>SUM(G48:H48)</f>
        <v>0</v>
      </c>
      <c r="J48" s="14" t="s">
        <v>474</v>
      </c>
      <c r="K48" s="11">
        <v>1</v>
      </c>
      <c r="L48" s="17"/>
    </row>
    <row r="49" spans="1:12">
      <c r="A49" s="3"/>
      <c r="B49" s="3"/>
      <c r="C49" s="77" t="s">
        <v>1030</v>
      </c>
      <c r="D49" s="75">
        <v>10</v>
      </c>
      <c r="E49" s="76" t="s">
        <v>559</v>
      </c>
      <c r="F49" s="76"/>
      <c r="G49" s="76"/>
      <c r="H49" s="76"/>
      <c r="I49" s="48"/>
      <c r="J49" s="48"/>
      <c r="K49" s="48"/>
      <c r="L49" s="59"/>
    </row>
    <row r="50" spans="1:12">
      <c r="A50" s="3"/>
      <c r="B50" s="3"/>
      <c r="C50" s="77" t="s">
        <v>1031</v>
      </c>
      <c r="D50" s="75">
        <v>13</v>
      </c>
      <c r="E50" s="76" t="s">
        <v>559</v>
      </c>
      <c r="F50" s="76"/>
      <c r="G50" s="76"/>
      <c r="H50" s="76"/>
      <c r="I50" s="48"/>
      <c r="J50" s="48"/>
      <c r="K50" s="48"/>
      <c r="L50" s="59"/>
    </row>
    <row r="51" spans="1:12">
      <c r="A51" s="3"/>
      <c r="B51" s="3"/>
      <c r="C51" s="77" t="s">
        <v>1032</v>
      </c>
      <c r="D51" s="75">
        <v>30</v>
      </c>
      <c r="E51" s="76" t="s">
        <v>559</v>
      </c>
      <c r="F51" s="76"/>
      <c r="G51" s="76"/>
      <c r="H51" s="76"/>
      <c r="I51" s="48"/>
      <c r="J51" s="48"/>
      <c r="K51" s="48"/>
      <c r="L51" s="59"/>
    </row>
    <row r="52" spans="1:12">
      <c r="A52" s="3"/>
      <c r="B52" s="3"/>
      <c r="C52" s="77" t="s">
        <v>955</v>
      </c>
      <c r="D52" s="75">
        <v>4</v>
      </c>
      <c r="E52" s="76" t="s">
        <v>559</v>
      </c>
      <c r="F52" s="76"/>
      <c r="G52" s="76"/>
      <c r="H52" s="76"/>
      <c r="I52" s="48"/>
      <c r="J52" s="48"/>
      <c r="K52" s="48"/>
      <c r="L52" s="59"/>
    </row>
    <row r="53" spans="1:12">
      <c r="A53" s="3"/>
      <c r="B53" s="3"/>
      <c r="C53" s="77" t="s">
        <v>1024</v>
      </c>
      <c r="D53" s="75">
        <v>3</v>
      </c>
      <c r="E53" s="76" t="s">
        <v>559</v>
      </c>
      <c r="F53" s="76"/>
      <c r="G53" s="76"/>
      <c r="H53" s="76"/>
      <c r="I53" s="48"/>
      <c r="J53" s="48"/>
      <c r="K53" s="48"/>
      <c r="L53" s="59"/>
    </row>
    <row r="54" spans="1:12">
      <c r="A54" s="3"/>
      <c r="B54" s="3"/>
      <c r="C54" s="77" t="s">
        <v>1033</v>
      </c>
      <c r="D54" s="75">
        <v>1</v>
      </c>
      <c r="E54" s="76" t="s">
        <v>535</v>
      </c>
      <c r="F54" s="76"/>
      <c r="G54" s="76"/>
      <c r="H54" s="76"/>
      <c r="I54" s="48"/>
      <c r="J54" s="48"/>
      <c r="K54" s="48"/>
      <c r="L54" s="59"/>
    </row>
    <row r="55" spans="1:12">
      <c r="A55" s="3"/>
      <c r="B55" s="3"/>
      <c r="C55" s="77" t="s">
        <v>1034</v>
      </c>
      <c r="D55" s="75">
        <v>3</v>
      </c>
      <c r="E55" s="76" t="s">
        <v>535</v>
      </c>
      <c r="F55" s="76"/>
      <c r="G55" s="76"/>
      <c r="H55" s="76"/>
      <c r="I55" s="48"/>
      <c r="J55" s="48"/>
      <c r="K55" s="48"/>
      <c r="L55" s="59"/>
    </row>
    <row r="56" spans="1:12">
      <c r="A56" s="3"/>
      <c r="B56" s="3"/>
      <c r="C56" s="77" t="s">
        <v>1035</v>
      </c>
      <c r="D56" s="75">
        <v>30</v>
      </c>
      <c r="E56" s="76" t="s">
        <v>559</v>
      </c>
      <c r="F56" s="76"/>
      <c r="G56" s="76"/>
      <c r="H56" s="76"/>
      <c r="I56" s="48"/>
      <c r="J56" s="48"/>
      <c r="K56" s="48"/>
      <c r="L56" s="59"/>
    </row>
    <row r="57" spans="1:12">
      <c r="A57" s="3"/>
      <c r="B57" s="3"/>
      <c r="C57" s="77"/>
      <c r="D57" s="75"/>
      <c r="E57" s="76"/>
      <c r="F57" s="76"/>
      <c r="G57" s="76"/>
      <c r="H57" s="76"/>
      <c r="I57" s="48"/>
      <c r="J57" s="48"/>
      <c r="K57" s="48"/>
      <c r="L57" s="59"/>
    </row>
    <row r="58" spans="1:12">
      <c r="D58" s="1"/>
      <c r="E58" s="1"/>
      <c r="F58" s="1"/>
      <c r="G58" s="1"/>
      <c r="H58" s="1"/>
      <c r="I58" s="1"/>
      <c r="J58" s="1"/>
    </row>
    <row r="59" spans="1:12">
      <c r="A59" s="55" t="str">
        <f>$A$4</f>
        <v xml:space="preserve">Please fill in Supplier Name </v>
      </c>
      <c r="B59" s="55" t="s">
        <v>1036</v>
      </c>
      <c r="C59" s="55" t="s">
        <v>1037</v>
      </c>
      <c r="D59" s="10"/>
      <c r="E59" s="10"/>
      <c r="F59" s="10"/>
      <c r="G59" s="7">
        <f>SUM(G60:G68)</f>
        <v>0</v>
      </c>
      <c r="H59" s="7">
        <f>SUM(H60:H68)</f>
        <v>0</v>
      </c>
      <c r="I59" s="57">
        <f>SUM(G59:H59)</f>
        <v>0</v>
      </c>
      <c r="J59" s="14" t="s">
        <v>474</v>
      </c>
      <c r="K59" s="11">
        <v>1</v>
      </c>
      <c r="L59" s="17"/>
    </row>
    <row r="60" spans="1:12">
      <c r="A60" s="3"/>
      <c r="B60" s="3"/>
      <c r="C60" s="77" t="s">
        <v>1038</v>
      </c>
      <c r="D60" s="75">
        <v>1</v>
      </c>
      <c r="E60" s="76" t="s">
        <v>535</v>
      </c>
      <c r="F60" s="76"/>
      <c r="G60" s="76"/>
      <c r="H60" s="76"/>
      <c r="I60" s="48"/>
      <c r="J60" s="48"/>
      <c r="K60" s="48"/>
      <c r="L60" s="59"/>
    </row>
    <row r="61" spans="1:12">
      <c r="A61" s="3"/>
      <c r="B61" s="3"/>
      <c r="C61" s="77" t="s">
        <v>1039</v>
      </c>
      <c r="D61" s="75">
        <v>1</v>
      </c>
      <c r="E61" s="76" t="s">
        <v>535</v>
      </c>
      <c r="F61" s="76"/>
      <c r="G61" s="76"/>
      <c r="H61" s="76"/>
      <c r="I61" s="48"/>
      <c r="J61" s="48"/>
      <c r="K61" s="48"/>
      <c r="L61" s="59"/>
    </row>
    <row r="62" spans="1:12">
      <c r="A62" s="3"/>
      <c r="B62" s="3"/>
      <c r="C62" s="77" t="s">
        <v>504</v>
      </c>
      <c r="D62" s="75">
        <v>1</v>
      </c>
      <c r="E62" s="76" t="s">
        <v>535</v>
      </c>
      <c r="F62" s="76"/>
      <c r="G62" s="76"/>
      <c r="H62" s="76"/>
      <c r="I62" s="48"/>
      <c r="J62" s="48"/>
      <c r="K62" s="48"/>
      <c r="L62" s="59"/>
    </row>
    <row r="63" spans="1:12">
      <c r="A63" s="3"/>
      <c r="B63" s="3"/>
      <c r="C63" s="77" t="s">
        <v>1040</v>
      </c>
      <c r="D63" s="75">
        <v>1</v>
      </c>
      <c r="E63" s="76" t="s">
        <v>535</v>
      </c>
      <c r="F63" s="76"/>
      <c r="G63" s="76"/>
      <c r="H63" s="76"/>
      <c r="I63" s="48"/>
      <c r="J63" s="48"/>
      <c r="K63" s="48"/>
      <c r="L63" s="59"/>
    </row>
    <row r="64" spans="1:12">
      <c r="A64" s="3"/>
      <c r="B64" s="3"/>
      <c r="C64" s="77"/>
      <c r="D64" s="75"/>
      <c r="E64" s="76"/>
      <c r="F64" s="76"/>
      <c r="G64" s="76"/>
      <c r="H64" s="76"/>
      <c r="I64" s="48"/>
      <c r="J64" s="48"/>
      <c r="K64" s="48"/>
      <c r="L64" s="59"/>
    </row>
    <row r="65" spans="1:12">
      <c r="B65" s="3"/>
      <c r="C65" s="78"/>
      <c r="D65" s="83"/>
      <c r="E65" s="83"/>
      <c r="F65" s="76"/>
      <c r="G65" s="76"/>
      <c r="H65" s="76"/>
      <c r="I65" s="48"/>
      <c r="J65" s="48"/>
      <c r="K65" s="48"/>
      <c r="L65" s="59"/>
    </row>
    <row r="66" spans="1:12">
      <c r="A66" s="3"/>
      <c r="B66" s="3"/>
      <c r="C66" s="77"/>
      <c r="D66" s="75"/>
      <c r="E66" s="76"/>
      <c r="F66" s="76"/>
      <c r="G66" s="76"/>
      <c r="H66" s="76"/>
      <c r="I66" s="48"/>
      <c r="J66" s="48"/>
      <c r="K66" s="48"/>
      <c r="L66" s="59"/>
    </row>
    <row r="67" spans="1:12">
      <c r="A67" s="3"/>
      <c r="B67" s="3"/>
      <c r="C67" s="77"/>
      <c r="D67" s="75"/>
      <c r="E67" s="76"/>
      <c r="F67" s="76"/>
      <c r="G67" s="76"/>
      <c r="H67" s="76"/>
      <c r="I67" s="48"/>
      <c r="J67" s="48"/>
      <c r="K67" s="48"/>
      <c r="L67" s="59"/>
    </row>
    <row r="68" spans="1:12">
      <c r="A68" s="3"/>
      <c r="B68" s="3"/>
      <c r="C68" s="77"/>
      <c r="D68" s="75"/>
      <c r="E68" s="76"/>
      <c r="F68" s="76"/>
      <c r="G68" s="76"/>
      <c r="H68" s="76"/>
      <c r="I68" s="48"/>
      <c r="J68" s="48"/>
      <c r="K68" s="48"/>
      <c r="L68" s="59"/>
    </row>
    <row r="69" spans="1:12">
      <c r="D69" s="1"/>
      <c r="E69" s="1"/>
      <c r="F69" s="1"/>
      <c r="G69" s="1"/>
      <c r="H69" s="1"/>
      <c r="I69" s="1"/>
      <c r="J69" s="1"/>
    </row>
    <row r="70" spans="1:12">
      <c r="A70" s="55" t="str">
        <f>$A$4</f>
        <v xml:space="preserve">Please fill in Supplier Name </v>
      </c>
      <c r="B70" s="55" t="s">
        <v>1041</v>
      </c>
      <c r="C70" s="55" t="s">
        <v>1042</v>
      </c>
      <c r="D70" s="10"/>
      <c r="E70" s="10"/>
      <c r="F70" s="10"/>
      <c r="G70" s="7">
        <f>SUM(G71:G79)</f>
        <v>0</v>
      </c>
      <c r="H70" s="7">
        <f>SUM(H71:H79)</f>
        <v>0</v>
      </c>
      <c r="I70" s="57">
        <f>SUM(G70:H70)</f>
        <v>0</v>
      </c>
      <c r="J70" s="14" t="s">
        <v>476</v>
      </c>
      <c r="K70" s="11">
        <v>1</v>
      </c>
      <c r="L70" s="17"/>
    </row>
    <row r="71" spans="1:12">
      <c r="A71" s="3"/>
      <c r="B71" s="3"/>
      <c r="C71" s="77" t="s">
        <v>1038</v>
      </c>
      <c r="D71" s="75">
        <v>1</v>
      </c>
      <c r="E71" s="76" t="s">
        <v>535</v>
      </c>
      <c r="F71" s="76"/>
      <c r="G71" s="76"/>
      <c r="H71" s="76"/>
      <c r="I71" s="48"/>
      <c r="J71" s="48"/>
      <c r="K71" s="48"/>
      <c r="L71" s="59"/>
    </row>
    <row r="72" spans="1:12">
      <c r="A72" s="3"/>
      <c r="B72" s="3"/>
      <c r="C72" s="77" t="s">
        <v>1039</v>
      </c>
      <c r="D72" s="75">
        <v>1</v>
      </c>
      <c r="E72" s="76" t="s">
        <v>535</v>
      </c>
      <c r="F72" s="76"/>
      <c r="G72" s="76"/>
      <c r="H72" s="76"/>
      <c r="I72" s="48"/>
      <c r="J72" s="48"/>
      <c r="K72" s="48"/>
      <c r="L72" s="59"/>
    </row>
    <row r="73" spans="1:12">
      <c r="A73" s="3"/>
      <c r="B73" s="3"/>
      <c r="C73" s="77" t="s">
        <v>504</v>
      </c>
      <c r="D73" s="75">
        <v>1</v>
      </c>
      <c r="E73" s="76" t="s">
        <v>535</v>
      </c>
      <c r="F73" s="76"/>
      <c r="G73" s="76"/>
      <c r="H73" s="76"/>
      <c r="I73" s="48"/>
      <c r="J73" s="48"/>
      <c r="K73" s="48"/>
      <c r="L73" s="59"/>
    </row>
    <row r="74" spans="1:12">
      <c r="A74" s="3"/>
      <c r="B74" s="3"/>
      <c r="C74" s="77" t="s">
        <v>1040</v>
      </c>
      <c r="D74" s="84">
        <v>1</v>
      </c>
      <c r="E74" s="85" t="s">
        <v>535</v>
      </c>
      <c r="F74" s="76"/>
      <c r="G74" s="76"/>
      <c r="H74" s="76"/>
      <c r="I74" s="48"/>
      <c r="J74" s="48"/>
      <c r="K74" s="48"/>
      <c r="L74" s="59"/>
    </row>
    <row r="75" spans="1:12">
      <c r="B75" s="3"/>
      <c r="C75" s="78"/>
      <c r="D75" s="86"/>
      <c r="E75" s="86"/>
      <c r="F75" s="80"/>
      <c r="G75" s="76"/>
      <c r="H75" s="76"/>
      <c r="I75" s="48"/>
      <c r="J75" s="48"/>
      <c r="K75" s="48"/>
      <c r="L75" s="59"/>
    </row>
    <row r="76" spans="1:12">
      <c r="A76" s="3"/>
      <c r="B76" s="3"/>
      <c r="C76" s="77"/>
      <c r="D76" s="81"/>
      <c r="E76" s="87"/>
      <c r="F76" s="76"/>
      <c r="G76" s="76"/>
      <c r="H76" s="76"/>
      <c r="I76" s="48"/>
      <c r="J76" s="48"/>
      <c r="K76" s="48"/>
      <c r="L76" s="59"/>
    </row>
    <row r="77" spans="1:12">
      <c r="A77" s="3"/>
      <c r="B77" s="3"/>
      <c r="C77" s="77"/>
      <c r="D77" s="75"/>
      <c r="E77" s="76"/>
      <c r="F77" s="76"/>
      <c r="G77" s="76"/>
      <c r="H77" s="76"/>
      <c r="I77" s="48"/>
      <c r="J77" s="48"/>
      <c r="K77" s="48"/>
      <c r="L77" s="59"/>
    </row>
    <row r="78" spans="1:12">
      <c r="A78" s="3"/>
      <c r="B78" s="3"/>
      <c r="C78" s="77"/>
      <c r="D78" s="75"/>
      <c r="E78" s="76"/>
      <c r="F78" s="76"/>
      <c r="G78" s="76"/>
      <c r="H78" s="76"/>
      <c r="I78" s="48"/>
      <c r="J78" s="48"/>
      <c r="K78" s="48"/>
      <c r="L78" s="59"/>
    </row>
    <row r="79" spans="1:12">
      <c r="A79" s="3"/>
      <c r="B79" s="3"/>
      <c r="C79" s="77"/>
      <c r="D79" s="75"/>
      <c r="E79" s="76"/>
      <c r="F79" s="76"/>
      <c r="G79" s="76"/>
      <c r="H79" s="76"/>
      <c r="I79" s="48"/>
      <c r="J79" s="48"/>
      <c r="K79" s="48"/>
      <c r="L79" s="59"/>
    </row>
    <row r="80" spans="1:12">
      <c r="D80" s="1"/>
      <c r="E80" s="1"/>
      <c r="F80" s="1"/>
      <c r="G80" s="1"/>
      <c r="H80" s="1"/>
      <c r="I80" s="1"/>
      <c r="J80" s="1"/>
    </row>
    <row r="81" spans="1:12">
      <c r="A81" s="55" t="str">
        <f>$A$4</f>
        <v xml:space="preserve">Please fill in Supplier Name </v>
      </c>
      <c r="B81" s="55" t="s">
        <v>1043</v>
      </c>
      <c r="C81" s="55" t="s">
        <v>1044</v>
      </c>
      <c r="D81" s="10"/>
      <c r="E81" s="10"/>
      <c r="F81" s="10"/>
      <c r="G81" s="7">
        <f>SUM(G82:G90)</f>
        <v>0</v>
      </c>
      <c r="H81" s="7">
        <f>SUM(H82:H90)</f>
        <v>0</v>
      </c>
      <c r="I81" s="57">
        <f>SUM(G81:H81)</f>
        <v>0</v>
      </c>
      <c r="J81" s="14" t="s">
        <v>474</v>
      </c>
      <c r="K81" s="11">
        <v>1</v>
      </c>
      <c r="L81" s="61"/>
    </row>
    <row r="82" spans="1:12">
      <c r="A82" s="3"/>
      <c r="B82" s="3"/>
      <c r="C82" s="77" t="s">
        <v>1045</v>
      </c>
      <c r="D82" s="75">
        <v>25</v>
      </c>
      <c r="E82" s="76" t="s">
        <v>559</v>
      </c>
      <c r="F82" s="76"/>
      <c r="G82" s="76"/>
      <c r="H82" s="76"/>
      <c r="I82" s="48"/>
      <c r="J82" s="48"/>
      <c r="K82" s="48"/>
      <c r="L82" s="59"/>
    </row>
    <row r="83" spans="1:12">
      <c r="A83" s="3"/>
      <c r="B83" s="3"/>
      <c r="C83" s="77" t="s">
        <v>1046</v>
      </c>
      <c r="D83" s="75">
        <v>15</v>
      </c>
      <c r="E83" s="76" t="s">
        <v>559</v>
      </c>
      <c r="F83" s="76"/>
      <c r="G83" s="76"/>
      <c r="H83" s="76"/>
      <c r="I83" s="48"/>
      <c r="J83" s="48"/>
      <c r="K83" s="48"/>
      <c r="L83" s="59"/>
    </row>
    <row r="84" spans="1:12">
      <c r="A84" s="3"/>
      <c r="B84" s="3"/>
      <c r="C84" s="77" t="s">
        <v>1047</v>
      </c>
      <c r="D84" s="75">
        <v>5</v>
      </c>
      <c r="E84" s="76" t="s">
        <v>559</v>
      </c>
      <c r="F84" s="76"/>
      <c r="G84" s="76"/>
      <c r="H84" s="76"/>
      <c r="I84" s="48"/>
      <c r="J84" s="48"/>
      <c r="K84" s="48"/>
      <c r="L84" s="59"/>
    </row>
    <row r="85" spans="1:12">
      <c r="A85" s="3"/>
      <c r="B85" s="3"/>
      <c r="C85" s="77" t="s">
        <v>1048</v>
      </c>
      <c r="D85" s="75">
        <v>1</v>
      </c>
      <c r="E85" s="76" t="s">
        <v>535</v>
      </c>
      <c r="F85" s="76"/>
      <c r="G85" s="76"/>
      <c r="H85" s="76"/>
      <c r="I85" s="48"/>
      <c r="J85" s="48"/>
      <c r="K85" s="48"/>
      <c r="L85" s="59"/>
    </row>
    <row r="86" spans="1:12">
      <c r="A86" s="3"/>
      <c r="B86" s="3"/>
      <c r="C86" s="77"/>
      <c r="D86" s="75"/>
      <c r="E86" s="76"/>
      <c r="F86" s="76"/>
      <c r="G86" s="76"/>
      <c r="H86" s="76"/>
      <c r="I86" s="48"/>
      <c r="J86" s="48"/>
      <c r="K86" s="48"/>
      <c r="L86" s="59"/>
    </row>
    <row r="87" spans="1:12">
      <c r="A87" s="3"/>
      <c r="B87" s="3"/>
      <c r="C87" s="77"/>
      <c r="D87" s="75"/>
      <c r="E87" s="76"/>
      <c r="F87" s="76"/>
      <c r="G87" s="76"/>
      <c r="H87" s="76"/>
      <c r="I87" s="48"/>
      <c r="J87" s="48"/>
      <c r="K87" s="48"/>
      <c r="L87" s="59"/>
    </row>
    <row r="88" spans="1:12">
      <c r="A88" s="3"/>
      <c r="B88" s="3"/>
      <c r="C88" s="77"/>
      <c r="D88" s="75"/>
      <c r="E88" s="76"/>
      <c r="F88" s="76"/>
      <c r="G88" s="76"/>
      <c r="H88" s="76"/>
      <c r="I88" s="48"/>
      <c r="J88" s="48"/>
      <c r="K88" s="48"/>
      <c r="L88" s="59"/>
    </row>
    <row r="89" spans="1:12">
      <c r="A89" s="3"/>
      <c r="B89" s="3"/>
      <c r="C89" s="77"/>
      <c r="D89" s="75"/>
      <c r="E89" s="76"/>
      <c r="F89" s="76"/>
      <c r="G89" s="76"/>
      <c r="H89" s="76"/>
      <c r="I89" s="48"/>
      <c r="J89" s="48"/>
      <c r="K89" s="48"/>
      <c r="L89" s="59"/>
    </row>
    <row r="90" spans="1:12">
      <c r="A90" s="3"/>
      <c r="B90" s="3"/>
      <c r="C90" s="77"/>
      <c r="D90" s="75"/>
      <c r="E90" s="76"/>
      <c r="F90" s="76"/>
      <c r="G90" s="76"/>
      <c r="H90" s="76"/>
      <c r="I90" s="48"/>
      <c r="J90" s="48"/>
      <c r="K90" s="48"/>
      <c r="L90" s="59"/>
    </row>
    <row r="91" spans="1:12">
      <c r="D91" s="1"/>
      <c r="E91" s="1"/>
      <c r="F91" s="1"/>
      <c r="G91" s="1"/>
      <c r="H91" s="1"/>
      <c r="I91" s="1"/>
      <c r="J91" s="1"/>
    </row>
    <row r="92" spans="1:12">
      <c r="A92" s="55" t="str">
        <f>$A$4</f>
        <v xml:space="preserve">Please fill in Supplier Name </v>
      </c>
      <c r="B92" s="55" t="s">
        <v>1049</v>
      </c>
      <c r="C92" s="55" t="s">
        <v>1050</v>
      </c>
      <c r="D92" s="10"/>
      <c r="E92" s="10"/>
      <c r="F92" s="10"/>
      <c r="G92" s="7">
        <f>SUM(G93:G101)</f>
        <v>0</v>
      </c>
      <c r="H92" s="7">
        <f>SUM(H93:H101)</f>
        <v>0</v>
      </c>
      <c r="I92" s="57">
        <f>SUM(G92:H92)</f>
        <v>0</v>
      </c>
      <c r="J92" s="14" t="s">
        <v>476</v>
      </c>
      <c r="K92" s="11">
        <v>1</v>
      </c>
      <c r="L92" s="61"/>
    </row>
    <row r="93" spans="1:12">
      <c r="A93" s="3"/>
      <c r="B93" s="3"/>
      <c r="C93" s="77" t="s">
        <v>1045</v>
      </c>
      <c r="D93" s="75">
        <v>25</v>
      </c>
      <c r="E93" s="76" t="s">
        <v>559</v>
      </c>
      <c r="F93" s="76"/>
      <c r="G93" s="76"/>
      <c r="H93" s="76"/>
      <c r="I93" s="48"/>
      <c r="J93" s="48"/>
      <c r="K93" s="48"/>
      <c r="L93" s="59"/>
    </row>
    <row r="94" spans="1:12">
      <c r="A94" s="3"/>
      <c r="B94" s="3"/>
      <c r="C94" s="77" t="s">
        <v>1046</v>
      </c>
      <c r="D94" s="75">
        <v>15</v>
      </c>
      <c r="E94" s="76" t="s">
        <v>559</v>
      </c>
      <c r="F94" s="76"/>
      <c r="G94" s="76"/>
      <c r="H94" s="76"/>
      <c r="I94" s="48"/>
      <c r="J94" s="48"/>
      <c r="K94" s="48"/>
      <c r="L94" s="59"/>
    </row>
    <row r="95" spans="1:12">
      <c r="A95" s="3"/>
      <c r="B95" s="3"/>
      <c r="C95" s="77" t="s">
        <v>1047</v>
      </c>
      <c r="D95" s="75">
        <v>5</v>
      </c>
      <c r="E95" s="76" t="s">
        <v>559</v>
      </c>
      <c r="F95" s="76"/>
      <c r="G95" s="76"/>
      <c r="H95" s="76"/>
      <c r="I95" s="48"/>
      <c r="J95" s="48"/>
      <c r="K95" s="48"/>
      <c r="L95" s="59"/>
    </row>
    <row r="96" spans="1:12">
      <c r="A96" s="3"/>
      <c r="B96" s="3"/>
      <c r="C96" s="77" t="s">
        <v>1048</v>
      </c>
      <c r="D96" s="75">
        <v>1</v>
      </c>
      <c r="E96" s="76" t="s">
        <v>535</v>
      </c>
      <c r="F96" s="76"/>
      <c r="G96" s="76"/>
      <c r="H96" s="76"/>
      <c r="I96" s="48"/>
      <c r="J96" s="48"/>
      <c r="K96" s="48"/>
      <c r="L96" s="59"/>
    </row>
    <row r="97" spans="1:12">
      <c r="A97" s="3"/>
      <c r="B97" s="3"/>
      <c r="C97" s="77"/>
      <c r="D97" s="75"/>
      <c r="E97" s="76"/>
      <c r="F97" s="76"/>
      <c r="G97" s="76"/>
      <c r="H97" s="76"/>
      <c r="I97" s="48"/>
      <c r="J97" s="48"/>
      <c r="K97" s="48"/>
      <c r="L97" s="59"/>
    </row>
    <row r="98" spans="1:12">
      <c r="A98" s="3"/>
      <c r="B98" s="3"/>
      <c r="C98" s="77"/>
      <c r="D98" s="75"/>
      <c r="E98" s="76"/>
      <c r="F98" s="76"/>
      <c r="G98" s="76"/>
      <c r="H98" s="76"/>
      <c r="I98" s="48"/>
      <c r="J98" s="48"/>
      <c r="K98" s="48"/>
      <c r="L98" s="59"/>
    </row>
    <row r="99" spans="1:12">
      <c r="A99" s="3"/>
      <c r="B99" s="3"/>
      <c r="C99" s="77"/>
      <c r="D99" s="75"/>
      <c r="E99" s="76"/>
      <c r="F99" s="76"/>
      <c r="G99" s="76"/>
      <c r="H99" s="76"/>
      <c r="I99" s="48"/>
      <c r="J99" s="48"/>
      <c r="K99" s="48"/>
      <c r="L99" s="59"/>
    </row>
    <row r="100" spans="1:12">
      <c r="A100" s="3"/>
      <c r="B100" s="3"/>
      <c r="C100" s="77"/>
      <c r="D100" s="75"/>
      <c r="E100" s="76"/>
      <c r="F100" s="76"/>
      <c r="G100" s="76"/>
      <c r="H100" s="76"/>
      <c r="I100" s="48"/>
      <c r="J100" s="48"/>
      <c r="K100" s="48"/>
      <c r="L100" s="59"/>
    </row>
    <row r="101" spans="1:12">
      <c r="A101" s="3"/>
      <c r="B101" s="3"/>
      <c r="C101" s="77"/>
      <c r="D101" s="75"/>
      <c r="E101" s="76"/>
      <c r="F101" s="76"/>
      <c r="G101" s="76"/>
      <c r="H101" s="76"/>
      <c r="I101" s="48"/>
      <c r="J101" s="48"/>
      <c r="K101" s="48"/>
      <c r="L101" s="59"/>
    </row>
    <row r="102" spans="1:12">
      <c r="D102" s="1"/>
      <c r="E102" s="1"/>
      <c r="F102" s="1"/>
      <c r="G102" s="1"/>
      <c r="H102" s="1"/>
      <c r="I102" s="1"/>
      <c r="J102" s="1"/>
    </row>
    <row r="103" spans="1:12">
      <c r="A103" s="55" t="str">
        <f>$A$4</f>
        <v xml:space="preserve">Please fill in Supplier Name </v>
      </c>
      <c r="B103" s="55" t="s">
        <v>1051</v>
      </c>
      <c r="C103" s="55" t="s">
        <v>1052</v>
      </c>
      <c r="D103" s="10"/>
      <c r="E103" s="10"/>
      <c r="F103" s="10"/>
      <c r="G103" s="7">
        <f>SUM(G104:G112)</f>
        <v>0</v>
      </c>
      <c r="H103" s="7">
        <f>SUM(H104:H112)</f>
        <v>0</v>
      </c>
      <c r="I103" s="57">
        <f>SUM(G103:H103)</f>
        <v>0</v>
      </c>
      <c r="J103" s="14" t="s">
        <v>474</v>
      </c>
      <c r="K103" s="11">
        <v>1</v>
      </c>
      <c r="L103" s="17"/>
    </row>
    <row r="104" spans="1:12">
      <c r="A104" s="3"/>
      <c r="B104" s="3"/>
      <c r="C104" s="77" t="s">
        <v>650</v>
      </c>
      <c r="D104" s="75">
        <v>90</v>
      </c>
      <c r="E104" s="76" t="s">
        <v>547</v>
      </c>
      <c r="F104" s="76" t="s">
        <v>651</v>
      </c>
      <c r="G104" s="76"/>
      <c r="H104" s="76"/>
      <c r="I104" s="48"/>
      <c r="J104" s="48"/>
      <c r="K104" s="48"/>
      <c r="L104" s="59" t="s">
        <v>1053</v>
      </c>
    </row>
    <row r="105" spans="1:12">
      <c r="A105" s="3"/>
      <c r="B105" s="3"/>
      <c r="C105" s="77" t="s">
        <v>652</v>
      </c>
      <c r="D105" s="75">
        <v>30</v>
      </c>
      <c r="E105" s="76" t="s">
        <v>547</v>
      </c>
      <c r="F105" s="76"/>
      <c r="G105" s="76"/>
      <c r="H105" s="76"/>
      <c r="I105" s="48"/>
      <c r="J105" s="48"/>
      <c r="K105" s="48"/>
      <c r="L105" s="59"/>
    </row>
    <row r="106" spans="1:12">
      <c r="A106" s="3"/>
      <c r="B106" s="3"/>
      <c r="C106" s="77" t="s">
        <v>653</v>
      </c>
      <c r="D106" s="75">
        <v>30</v>
      </c>
      <c r="E106" s="76" t="s">
        <v>547</v>
      </c>
      <c r="F106" s="76"/>
      <c r="G106" s="76"/>
      <c r="H106" s="76"/>
      <c r="I106" s="48"/>
      <c r="J106" s="48"/>
      <c r="K106" s="48"/>
      <c r="L106" s="59"/>
    </row>
    <row r="107" spans="1:12">
      <c r="A107" s="3"/>
      <c r="B107" s="3"/>
      <c r="C107" s="77" t="s">
        <v>654</v>
      </c>
      <c r="D107" s="75">
        <v>60</v>
      </c>
      <c r="E107" s="76" t="s">
        <v>547</v>
      </c>
      <c r="F107" s="76"/>
      <c r="G107" s="76"/>
      <c r="H107" s="76"/>
      <c r="I107" s="48"/>
      <c r="J107" s="48"/>
      <c r="K107" s="48"/>
      <c r="L107" s="59"/>
    </row>
    <row r="108" spans="1:12">
      <c r="A108" s="3"/>
      <c r="B108" s="3"/>
      <c r="C108" s="77" t="s">
        <v>655</v>
      </c>
      <c r="D108" s="75" t="s">
        <v>656</v>
      </c>
      <c r="E108" s="76" t="s">
        <v>547</v>
      </c>
      <c r="F108" s="76"/>
      <c r="G108" s="76"/>
      <c r="H108" s="76"/>
      <c r="I108" s="48"/>
      <c r="J108" s="48"/>
      <c r="K108" s="48"/>
      <c r="L108" s="59"/>
    </row>
    <row r="109" spans="1:12">
      <c r="A109" s="3"/>
      <c r="B109" s="3"/>
      <c r="C109" s="77"/>
      <c r="D109" s="75"/>
      <c r="E109" s="76"/>
      <c r="F109" s="76"/>
      <c r="G109" s="76"/>
      <c r="H109" s="76"/>
      <c r="I109" s="48"/>
      <c r="J109" s="48"/>
      <c r="K109" s="48"/>
      <c r="L109" s="59"/>
    </row>
    <row r="110" spans="1:12">
      <c r="A110" s="3"/>
      <c r="B110" s="3"/>
      <c r="C110" s="77"/>
      <c r="D110" s="75"/>
      <c r="E110" s="76"/>
      <c r="F110" s="76"/>
      <c r="G110" s="76"/>
      <c r="H110" s="76"/>
      <c r="I110" s="48"/>
      <c r="J110" s="48"/>
      <c r="K110" s="48"/>
      <c r="L110" s="59"/>
    </row>
    <row r="111" spans="1:12">
      <c r="A111" s="3"/>
      <c r="B111" s="3"/>
      <c r="C111" s="77"/>
      <c r="D111" s="75"/>
      <c r="E111" s="76"/>
      <c r="F111" s="76"/>
      <c r="G111" s="76"/>
      <c r="H111" s="76"/>
      <c r="I111" s="48"/>
      <c r="J111" s="48"/>
      <c r="K111" s="48"/>
      <c r="L111" s="59"/>
    </row>
    <row r="112" spans="1:12">
      <c r="A112" s="3"/>
      <c r="B112" s="3"/>
      <c r="C112" s="77"/>
      <c r="D112" s="75"/>
      <c r="E112" s="76"/>
      <c r="F112" s="76"/>
      <c r="G112" s="76"/>
      <c r="H112" s="76"/>
      <c r="I112" s="48"/>
      <c r="J112" s="48"/>
      <c r="K112" s="48"/>
      <c r="L112" s="59"/>
    </row>
    <row r="113" spans="1:12">
      <c r="D113" s="1"/>
      <c r="E113" s="1"/>
      <c r="F113" s="1"/>
      <c r="G113" s="1"/>
      <c r="H113" s="1"/>
      <c r="I113" s="1"/>
      <c r="J113" s="1"/>
    </row>
    <row r="114" spans="1:12">
      <c r="A114" s="55" t="str">
        <f>$A$4</f>
        <v xml:space="preserve">Please fill in Supplier Name </v>
      </c>
      <c r="B114" s="55" t="s">
        <v>1054</v>
      </c>
      <c r="C114" s="55" t="s">
        <v>1055</v>
      </c>
      <c r="D114" s="10"/>
      <c r="E114" s="10"/>
      <c r="F114" s="10"/>
      <c r="G114" s="7">
        <f>SUM(G115:G123)</f>
        <v>0</v>
      </c>
      <c r="H114" s="7">
        <f>SUM(H115:H123)</f>
        <v>0</v>
      </c>
      <c r="I114" s="57">
        <f>SUM(G114:H114)</f>
        <v>0</v>
      </c>
      <c r="J114" s="14" t="s">
        <v>476</v>
      </c>
      <c r="K114" s="11">
        <v>0.5</v>
      </c>
      <c r="L114" s="17"/>
    </row>
    <row r="115" spans="1:12">
      <c r="A115" s="3"/>
      <c r="B115" s="3"/>
      <c r="C115" s="77" t="s">
        <v>657</v>
      </c>
      <c r="D115" s="75">
        <v>1</v>
      </c>
      <c r="E115" s="76" t="s">
        <v>582</v>
      </c>
      <c r="F115" s="76" t="s">
        <v>651</v>
      </c>
      <c r="G115" s="76"/>
      <c r="H115" s="76"/>
      <c r="I115" s="48"/>
      <c r="J115" s="48"/>
      <c r="K115" s="48"/>
      <c r="L115" s="59" t="s">
        <v>1053</v>
      </c>
    </row>
    <row r="116" spans="1:12">
      <c r="A116" s="3"/>
      <c r="B116" s="3"/>
      <c r="C116" s="77" t="s">
        <v>658</v>
      </c>
      <c r="D116" s="75">
        <v>30</v>
      </c>
      <c r="E116" s="76" t="s">
        <v>547</v>
      </c>
      <c r="F116" s="76"/>
      <c r="G116" s="76"/>
      <c r="H116" s="76"/>
      <c r="I116" s="48"/>
      <c r="J116" s="48"/>
      <c r="K116" s="48"/>
      <c r="L116" s="59"/>
    </row>
    <row r="117" spans="1:12">
      <c r="A117" s="3"/>
      <c r="B117" s="3"/>
      <c r="C117" s="77" t="s">
        <v>659</v>
      </c>
      <c r="D117" s="75">
        <v>60</v>
      </c>
      <c r="E117" s="76" t="s">
        <v>547</v>
      </c>
      <c r="F117" s="76"/>
      <c r="G117" s="76"/>
      <c r="H117" s="76"/>
      <c r="I117" s="48"/>
      <c r="J117" s="48"/>
      <c r="K117" s="48"/>
      <c r="L117" s="59"/>
    </row>
    <row r="118" spans="1:12">
      <c r="A118" s="3"/>
      <c r="B118" s="3"/>
      <c r="C118" s="77" t="s">
        <v>660</v>
      </c>
      <c r="D118" s="75">
        <v>30</v>
      </c>
      <c r="E118" s="76" t="s">
        <v>547</v>
      </c>
      <c r="F118" s="76"/>
      <c r="G118" s="76"/>
      <c r="H118" s="76"/>
      <c r="I118" s="48"/>
      <c r="J118" s="48"/>
      <c r="K118" s="48"/>
      <c r="L118" s="59"/>
    </row>
    <row r="119" spans="1:12">
      <c r="A119" s="3"/>
      <c r="B119" s="3"/>
      <c r="C119" s="77" t="s">
        <v>661</v>
      </c>
      <c r="D119" s="75">
        <v>30</v>
      </c>
      <c r="E119" s="76" t="s">
        <v>547</v>
      </c>
      <c r="F119" s="76"/>
      <c r="G119" s="76"/>
      <c r="H119" s="76"/>
      <c r="I119" s="48"/>
      <c r="J119" s="48"/>
      <c r="K119" s="48"/>
      <c r="L119" s="59"/>
    </row>
    <row r="120" spans="1:12">
      <c r="A120" s="3"/>
      <c r="B120" s="3"/>
      <c r="C120" s="77"/>
      <c r="D120" s="75"/>
      <c r="E120" s="76"/>
      <c r="F120" s="76"/>
      <c r="G120" s="76"/>
      <c r="H120" s="76"/>
      <c r="I120" s="48"/>
      <c r="J120" s="48"/>
      <c r="K120" s="48"/>
      <c r="L120" s="59"/>
    </row>
    <row r="121" spans="1:12">
      <c r="A121" s="3"/>
      <c r="B121" s="3"/>
      <c r="C121" s="77"/>
      <c r="D121" s="75"/>
      <c r="E121" s="76"/>
      <c r="F121" s="76"/>
      <c r="G121" s="76"/>
      <c r="H121" s="76"/>
      <c r="I121" s="48"/>
      <c r="J121" s="48"/>
      <c r="K121" s="48"/>
      <c r="L121" s="59"/>
    </row>
    <row r="122" spans="1:12">
      <c r="A122" s="3"/>
      <c r="B122" s="3"/>
      <c r="C122" s="77"/>
      <c r="D122" s="75"/>
      <c r="E122" s="76"/>
      <c r="F122" s="76"/>
      <c r="G122" s="76"/>
      <c r="H122" s="76"/>
      <c r="I122" s="48"/>
      <c r="J122" s="48"/>
      <c r="K122" s="48"/>
      <c r="L122" s="59"/>
    </row>
    <row r="123" spans="1:12">
      <c r="A123" s="3"/>
      <c r="B123" s="3"/>
      <c r="C123" s="77"/>
      <c r="D123" s="75"/>
      <c r="E123" s="76"/>
      <c r="F123" s="76"/>
      <c r="G123" s="76"/>
      <c r="H123" s="76"/>
      <c r="I123" s="48"/>
      <c r="J123" s="48"/>
      <c r="K123" s="48"/>
      <c r="L123" s="59"/>
    </row>
    <row r="124" spans="1:12">
      <c r="D124" s="1"/>
      <c r="E124" s="1"/>
      <c r="F124" s="1"/>
      <c r="G124" s="1"/>
      <c r="H124" s="1"/>
      <c r="I124" s="1"/>
      <c r="J124" s="1"/>
    </row>
    <row r="125" spans="1:12">
      <c r="A125" s="55" t="str">
        <f>$A$4</f>
        <v xml:space="preserve">Please fill in Supplier Name </v>
      </c>
      <c r="B125" s="55" t="s">
        <v>1056</v>
      </c>
      <c r="C125" s="55" t="s">
        <v>1057</v>
      </c>
      <c r="D125" s="10"/>
      <c r="E125" s="10"/>
      <c r="F125" s="10"/>
      <c r="G125" s="7">
        <f>SUM(G126:G134)</f>
        <v>0</v>
      </c>
      <c r="H125" s="7">
        <f>SUM(H126:H134)</f>
        <v>0</v>
      </c>
      <c r="I125" s="57">
        <f>SUM(G125:H125)</f>
        <v>0</v>
      </c>
      <c r="J125" s="14" t="s">
        <v>474</v>
      </c>
      <c r="K125" s="11">
        <v>0.5</v>
      </c>
      <c r="L125" s="61"/>
    </row>
    <row r="126" spans="1:12">
      <c r="A126" s="3"/>
      <c r="B126" s="3"/>
      <c r="C126" s="77" t="s">
        <v>632</v>
      </c>
      <c r="D126" s="75">
        <v>90</v>
      </c>
      <c r="E126" s="76" t="s">
        <v>547</v>
      </c>
      <c r="F126" s="76"/>
      <c r="G126" s="76"/>
      <c r="H126" s="76"/>
      <c r="I126" s="48"/>
      <c r="J126" s="48"/>
      <c r="K126" s="48"/>
      <c r="L126" s="59" t="s">
        <v>1058</v>
      </c>
    </row>
    <row r="127" spans="1:12">
      <c r="A127" s="3"/>
      <c r="B127" s="3"/>
      <c r="C127" s="77" t="s">
        <v>633</v>
      </c>
      <c r="D127" s="75">
        <v>30</v>
      </c>
      <c r="E127" s="76" t="s">
        <v>547</v>
      </c>
      <c r="F127" s="76" t="s">
        <v>634</v>
      </c>
      <c r="G127" s="76"/>
      <c r="H127" s="76"/>
      <c r="I127" s="48"/>
      <c r="J127" s="48"/>
      <c r="K127" s="48"/>
      <c r="L127" s="59"/>
    </row>
    <row r="128" spans="1:12">
      <c r="A128" s="3"/>
      <c r="B128" s="3"/>
      <c r="C128" s="77" t="s">
        <v>635</v>
      </c>
      <c r="D128" s="75">
        <v>90</v>
      </c>
      <c r="E128" s="76" t="s">
        <v>547</v>
      </c>
      <c r="F128" s="76"/>
      <c r="G128" s="76"/>
      <c r="H128" s="76"/>
      <c r="I128" s="48"/>
      <c r="J128" s="48"/>
      <c r="K128" s="48"/>
      <c r="L128" s="59"/>
    </row>
    <row r="129" spans="1:12">
      <c r="A129" s="3"/>
      <c r="B129" s="3"/>
      <c r="C129" s="77" t="s">
        <v>636</v>
      </c>
      <c r="D129" s="75">
        <v>60</v>
      </c>
      <c r="E129" s="76" t="s">
        <v>547</v>
      </c>
      <c r="F129" s="76"/>
      <c r="G129" s="76"/>
      <c r="H129" s="76"/>
      <c r="I129" s="48"/>
      <c r="J129" s="48"/>
      <c r="K129" s="48"/>
      <c r="L129" s="59"/>
    </row>
    <row r="130" spans="1:12">
      <c r="A130" s="3"/>
      <c r="B130" s="3"/>
      <c r="C130" s="77"/>
      <c r="D130" s="75"/>
      <c r="E130" s="76"/>
      <c r="F130" s="76"/>
      <c r="G130" s="76"/>
      <c r="H130" s="76"/>
      <c r="I130" s="48"/>
      <c r="J130" s="48"/>
      <c r="K130" s="48"/>
      <c r="L130" s="59"/>
    </row>
    <row r="131" spans="1:12">
      <c r="A131" s="3"/>
      <c r="B131" s="3"/>
      <c r="C131" s="77"/>
      <c r="D131" s="75"/>
      <c r="E131" s="76"/>
      <c r="F131" s="76"/>
      <c r="G131" s="76"/>
      <c r="H131" s="76"/>
      <c r="I131" s="48"/>
      <c r="J131" s="48"/>
      <c r="K131" s="48"/>
      <c r="L131" s="59"/>
    </row>
    <row r="132" spans="1:12">
      <c r="A132" s="3"/>
      <c r="B132" s="3"/>
      <c r="C132" s="77"/>
      <c r="D132" s="75"/>
      <c r="E132" s="76"/>
      <c r="F132" s="76"/>
      <c r="G132" s="76"/>
      <c r="H132" s="76"/>
      <c r="I132" s="48"/>
      <c r="J132" s="48"/>
      <c r="K132" s="48"/>
      <c r="L132" s="59"/>
    </row>
    <row r="133" spans="1:12">
      <c r="A133" s="3"/>
      <c r="B133" s="3"/>
      <c r="C133" s="77"/>
      <c r="D133" s="75"/>
      <c r="E133" s="76"/>
      <c r="F133" s="76"/>
      <c r="G133" s="76"/>
      <c r="H133" s="76"/>
      <c r="I133" s="48"/>
      <c r="J133" s="48"/>
      <c r="K133" s="48"/>
      <c r="L133" s="59"/>
    </row>
    <row r="134" spans="1:12">
      <c r="A134" s="3"/>
      <c r="B134" s="3"/>
      <c r="C134" s="77"/>
      <c r="D134" s="75"/>
      <c r="E134" s="76"/>
      <c r="F134" s="76"/>
      <c r="G134" s="76"/>
      <c r="H134" s="76"/>
      <c r="I134" s="48"/>
      <c r="J134" s="48"/>
      <c r="K134" s="48"/>
      <c r="L134" s="59"/>
    </row>
    <row r="135" spans="1:12">
      <c r="D135" s="1"/>
      <c r="E135" s="1"/>
      <c r="F135" s="1"/>
      <c r="G135" s="1"/>
      <c r="H135" s="1"/>
      <c r="I135" s="1"/>
      <c r="J135" s="1"/>
    </row>
    <row r="136" spans="1:12">
      <c r="A136" s="55" t="str">
        <f>$A$4</f>
        <v xml:space="preserve">Please fill in Supplier Name </v>
      </c>
      <c r="B136" s="55" t="s">
        <v>1059</v>
      </c>
      <c r="C136" s="55" t="s">
        <v>1060</v>
      </c>
      <c r="D136" s="10"/>
      <c r="E136" s="10"/>
      <c r="F136" s="10"/>
      <c r="G136" s="7">
        <f>SUM(G137:G145)</f>
        <v>0</v>
      </c>
      <c r="H136" s="7">
        <f>SUM(H137:H145)</f>
        <v>0</v>
      </c>
      <c r="I136" s="57">
        <f>SUM(G136:H136)</f>
        <v>0</v>
      </c>
      <c r="J136" s="14" t="s">
        <v>476</v>
      </c>
      <c r="K136" s="11">
        <v>0.5</v>
      </c>
      <c r="L136" s="17"/>
    </row>
    <row r="137" spans="1:12">
      <c r="A137" s="3"/>
      <c r="B137" s="3"/>
      <c r="C137" s="77" t="s">
        <v>637</v>
      </c>
      <c r="D137" s="75">
        <v>90</v>
      </c>
      <c r="E137" s="76" t="s">
        <v>547</v>
      </c>
      <c r="F137" s="76" t="s">
        <v>638</v>
      </c>
      <c r="G137" s="76"/>
      <c r="H137" s="76"/>
      <c r="I137" s="48"/>
      <c r="J137" s="48"/>
      <c r="K137" s="48"/>
      <c r="L137" s="59" t="s">
        <v>1058</v>
      </c>
    </row>
    <row r="138" spans="1:12">
      <c r="A138" s="3"/>
      <c r="B138" s="3"/>
      <c r="C138" s="77" t="s">
        <v>639</v>
      </c>
      <c r="D138" s="75">
        <v>30</v>
      </c>
      <c r="E138" s="76" t="s">
        <v>547</v>
      </c>
      <c r="F138" s="76" t="s">
        <v>638</v>
      </c>
      <c r="G138" s="76"/>
      <c r="H138" s="76"/>
      <c r="I138" s="48"/>
      <c r="J138" s="48"/>
      <c r="K138" s="48"/>
      <c r="L138" s="59"/>
    </row>
    <row r="139" spans="1:12">
      <c r="A139" s="3"/>
      <c r="B139" s="3"/>
      <c r="C139" s="77" t="s">
        <v>640</v>
      </c>
      <c r="D139" s="75">
        <v>90</v>
      </c>
      <c r="E139" s="76" t="s">
        <v>547</v>
      </c>
      <c r="F139" s="76"/>
      <c r="G139" s="76"/>
      <c r="H139" s="76"/>
      <c r="I139" s="48"/>
      <c r="J139" s="48"/>
      <c r="K139" s="48"/>
      <c r="L139" s="59"/>
    </row>
    <row r="140" spans="1:12">
      <c r="A140" s="3"/>
      <c r="B140" s="3"/>
      <c r="C140" s="77" t="s">
        <v>641</v>
      </c>
      <c r="D140" s="75">
        <v>60</v>
      </c>
      <c r="E140" s="76" t="s">
        <v>547</v>
      </c>
      <c r="F140" s="76"/>
      <c r="G140" s="76"/>
      <c r="H140" s="76"/>
      <c r="I140" s="48"/>
      <c r="J140" s="48"/>
      <c r="K140" s="48"/>
      <c r="L140" s="59"/>
    </row>
    <row r="141" spans="1:12">
      <c r="A141" s="3"/>
      <c r="B141" s="3"/>
      <c r="C141" s="77" t="s">
        <v>642</v>
      </c>
      <c r="D141" s="75">
        <v>20</v>
      </c>
      <c r="E141" s="76" t="s">
        <v>547</v>
      </c>
      <c r="F141" s="76"/>
      <c r="G141" s="76"/>
      <c r="H141" s="76"/>
      <c r="I141" s="48"/>
      <c r="J141" s="48"/>
      <c r="K141" s="48"/>
      <c r="L141" s="59"/>
    </row>
    <row r="142" spans="1:12">
      <c r="A142" s="3"/>
      <c r="B142" s="3"/>
      <c r="C142" s="77"/>
      <c r="D142" s="75"/>
      <c r="E142" s="76"/>
      <c r="F142" s="76"/>
      <c r="G142" s="76"/>
      <c r="H142" s="76"/>
      <c r="I142" s="48"/>
      <c r="J142" s="48"/>
      <c r="K142" s="48"/>
      <c r="L142" s="59"/>
    </row>
    <row r="143" spans="1:12">
      <c r="A143" s="3"/>
      <c r="B143" s="3"/>
      <c r="C143" s="77"/>
      <c r="D143" s="75"/>
      <c r="E143" s="76"/>
      <c r="F143" s="76"/>
      <c r="G143" s="76"/>
      <c r="H143" s="76"/>
      <c r="I143" s="48"/>
      <c r="J143" s="48"/>
      <c r="K143" s="48"/>
      <c r="L143" s="59"/>
    </row>
    <row r="144" spans="1:12">
      <c r="A144" s="3"/>
      <c r="B144" s="3"/>
      <c r="C144" s="77"/>
      <c r="D144" s="75"/>
      <c r="E144" s="76"/>
      <c r="F144" s="76"/>
      <c r="G144" s="76"/>
      <c r="H144" s="76"/>
      <c r="I144" s="48"/>
      <c r="J144" s="48"/>
      <c r="K144" s="48"/>
      <c r="L144" s="59"/>
    </row>
    <row r="145" spans="1:12">
      <c r="A145" s="3"/>
      <c r="B145" s="3"/>
      <c r="C145" s="77"/>
      <c r="D145" s="75"/>
      <c r="E145" s="76"/>
      <c r="F145" s="76"/>
      <c r="G145" s="76"/>
      <c r="H145" s="76"/>
      <c r="I145" s="48"/>
      <c r="J145" s="48"/>
      <c r="K145" s="48"/>
      <c r="L145" s="59"/>
    </row>
    <row r="146" spans="1:12">
      <c r="D146" s="1"/>
      <c r="E146" s="1"/>
      <c r="F146" s="1"/>
      <c r="G146" s="1"/>
      <c r="H146" s="1"/>
      <c r="I146" s="1"/>
      <c r="J146" s="1"/>
    </row>
    <row r="147" spans="1:12">
      <c r="A147" s="55" t="str">
        <f>$A$4</f>
        <v xml:space="preserve">Please fill in Supplier Name </v>
      </c>
      <c r="B147" s="55" t="s">
        <v>1061</v>
      </c>
      <c r="C147" s="55" t="s">
        <v>1062</v>
      </c>
      <c r="D147" s="10"/>
      <c r="E147" s="10"/>
      <c r="F147" s="10"/>
      <c r="G147" s="7">
        <f>SUM(G148:G156)</f>
        <v>0</v>
      </c>
      <c r="H147" s="7">
        <f>SUM(H148:H156)</f>
        <v>0</v>
      </c>
      <c r="I147" s="57">
        <f>SUM(G147:H147)</f>
        <v>0</v>
      </c>
      <c r="J147" s="14" t="s">
        <v>474</v>
      </c>
      <c r="K147" s="11">
        <v>0.5</v>
      </c>
      <c r="L147" s="17"/>
    </row>
    <row r="148" spans="1:12">
      <c r="A148" s="3"/>
      <c r="B148" s="3"/>
      <c r="C148" s="77" t="s">
        <v>1004</v>
      </c>
      <c r="D148" s="75">
        <v>1</v>
      </c>
      <c r="E148" s="76" t="s">
        <v>535</v>
      </c>
      <c r="F148" s="76"/>
      <c r="G148" s="76"/>
      <c r="H148" s="76"/>
      <c r="I148" s="48"/>
      <c r="J148" s="48"/>
      <c r="K148" s="48"/>
      <c r="L148" s="59"/>
    </row>
    <row r="149" spans="1:12">
      <c r="A149" s="3"/>
      <c r="B149" s="3"/>
      <c r="C149" s="77" t="s">
        <v>1063</v>
      </c>
      <c r="D149" s="75">
        <v>1</v>
      </c>
      <c r="E149" s="76" t="s">
        <v>535</v>
      </c>
      <c r="F149" s="76"/>
      <c r="G149" s="76"/>
      <c r="H149" s="76"/>
      <c r="I149" s="48"/>
      <c r="J149" s="48"/>
      <c r="K149" s="48"/>
      <c r="L149" s="59"/>
    </row>
    <row r="150" spans="1:12">
      <c r="A150" s="3"/>
      <c r="B150" s="3"/>
      <c r="C150" s="77" t="s">
        <v>1064</v>
      </c>
      <c r="D150" s="75">
        <v>1</v>
      </c>
      <c r="E150" s="76" t="s">
        <v>535</v>
      </c>
      <c r="F150" s="76"/>
      <c r="G150" s="76"/>
      <c r="H150" s="76"/>
      <c r="I150" s="48"/>
      <c r="J150" s="48"/>
      <c r="K150" s="48"/>
      <c r="L150" s="59"/>
    </row>
    <row r="151" spans="1:12">
      <c r="A151" s="3"/>
      <c r="B151" s="3"/>
      <c r="C151" s="77" t="s">
        <v>504</v>
      </c>
      <c r="D151" s="75">
        <v>2</v>
      </c>
      <c r="E151" s="76" t="s">
        <v>535</v>
      </c>
      <c r="F151" s="76"/>
      <c r="G151" s="76"/>
      <c r="H151" s="76"/>
      <c r="I151" s="48"/>
      <c r="J151" s="48"/>
      <c r="K151" s="48"/>
      <c r="L151" s="59"/>
    </row>
    <row r="152" spans="1:12">
      <c r="A152" s="3"/>
      <c r="B152" s="3"/>
      <c r="C152" s="77" t="s">
        <v>1005</v>
      </c>
      <c r="D152" s="75">
        <v>1</v>
      </c>
      <c r="E152" s="76" t="s">
        <v>535</v>
      </c>
      <c r="F152" s="76"/>
      <c r="G152" s="76"/>
      <c r="H152" s="76"/>
      <c r="I152" s="48"/>
      <c r="J152" s="48"/>
      <c r="K152" s="48"/>
      <c r="L152" s="59"/>
    </row>
    <row r="153" spans="1:12">
      <c r="A153" s="3"/>
      <c r="B153" s="3"/>
      <c r="C153" s="77"/>
      <c r="D153" s="75"/>
      <c r="E153" s="76"/>
      <c r="F153" s="76"/>
      <c r="G153" s="76"/>
      <c r="H153" s="76"/>
      <c r="I153" s="48"/>
      <c r="J153" s="48"/>
      <c r="K153" s="48"/>
      <c r="L153" s="59"/>
    </row>
    <row r="154" spans="1:12">
      <c r="A154" s="3"/>
      <c r="B154" s="3"/>
      <c r="C154" s="77"/>
      <c r="D154" s="75"/>
      <c r="E154" s="76"/>
      <c r="F154" s="76"/>
      <c r="G154" s="76"/>
      <c r="H154" s="76"/>
      <c r="I154" s="48"/>
      <c r="J154" s="48"/>
      <c r="K154" s="48"/>
      <c r="L154" s="59"/>
    </row>
    <row r="155" spans="1:12">
      <c r="A155" s="3"/>
      <c r="B155" s="3"/>
      <c r="C155" s="77"/>
      <c r="D155" s="75"/>
      <c r="E155" s="76"/>
      <c r="F155" s="76"/>
      <c r="G155" s="76"/>
      <c r="H155" s="76"/>
      <c r="I155" s="48"/>
      <c r="J155" s="48"/>
      <c r="K155" s="48"/>
      <c r="L155" s="59"/>
    </row>
    <row r="156" spans="1:12">
      <c r="A156" s="3"/>
      <c r="B156" s="3"/>
      <c r="C156" s="77"/>
      <c r="D156" s="75"/>
      <c r="E156" s="76"/>
      <c r="F156" s="76"/>
      <c r="G156" s="76"/>
      <c r="H156" s="76"/>
      <c r="I156" s="48"/>
      <c r="J156" s="48"/>
      <c r="K156" s="48"/>
      <c r="L156" s="59"/>
    </row>
    <row r="157" spans="1:12">
      <c r="D157" s="1"/>
      <c r="E157" s="1"/>
      <c r="F157" s="1"/>
      <c r="G157" s="1"/>
      <c r="H157" s="1"/>
      <c r="I157" s="1"/>
      <c r="J157" s="1"/>
    </row>
    <row r="158" spans="1:12">
      <c r="A158" s="55" t="str">
        <f>$A$4</f>
        <v xml:space="preserve">Please fill in Supplier Name </v>
      </c>
      <c r="B158" s="55" t="s">
        <v>1065</v>
      </c>
      <c r="C158" s="55" t="s">
        <v>1066</v>
      </c>
      <c r="D158" s="10"/>
      <c r="E158" s="10"/>
      <c r="F158" s="10"/>
      <c r="G158" s="7">
        <f>SUM(G159:G167)</f>
        <v>0</v>
      </c>
      <c r="H158" s="7">
        <f>SUM(H159:H167)</f>
        <v>0</v>
      </c>
      <c r="I158" s="57">
        <f>SUM(G158:H158)</f>
        <v>0</v>
      </c>
      <c r="J158" s="14" t="s">
        <v>217</v>
      </c>
      <c r="K158" s="11">
        <v>1</v>
      </c>
      <c r="L158" s="17"/>
    </row>
    <row r="159" spans="1:12">
      <c r="A159" s="3"/>
      <c r="B159" s="3"/>
      <c r="C159" s="77" t="s">
        <v>1004</v>
      </c>
      <c r="D159" s="75">
        <v>1</v>
      </c>
      <c r="E159" s="76" t="s">
        <v>535</v>
      </c>
      <c r="F159" s="76"/>
      <c r="G159" s="76"/>
      <c r="H159" s="76"/>
      <c r="I159" s="48"/>
      <c r="J159" s="48"/>
      <c r="K159" s="48"/>
      <c r="L159" s="59"/>
    </row>
    <row r="160" spans="1:12">
      <c r="A160" s="3"/>
      <c r="B160" s="3"/>
      <c r="C160" s="77" t="s">
        <v>1063</v>
      </c>
      <c r="D160" s="75">
        <v>1</v>
      </c>
      <c r="E160" s="76" t="s">
        <v>535</v>
      </c>
      <c r="F160" s="76"/>
      <c r="G160" s="76"/>
      <c r="H160" s="76"/>
      <c r="I160" s="48"/>
      <c r="J160" s="48"/>
      <c r="K160" s="48"/>
      <c r="L160" s="59"/>
    </row>
    <row r="161" spans="1:12">
      <c r="A161" s="3"/>
      <c r="B161" s="3"/>
      <c r="C161" s="77" t="s">
        <v>1064</v>
      </c>
      <c r="D161" s="75">
        <v>1</v>
      </c>
      <c r="E161" s="76" t="s">
        <v>535</v>
      </c>
      <c r="F161" s="76"/>
      <c r="G161" s="76"/>
      <c r="H161" s="76"/>
      <c r="I161" s="48"/>
      <c r="J161" s="48"/>
      <c r="K161" s="48"/>
      <c r="L161" s="59"/>
    </row>
    <row r="162" spans="1:12">
      <c r="A162" s="3"/>
      <c r="B162" s="3"/>
      <c r="C162" s="77" t="s">
        <v>504</v>
      </c>
      <c r="D162" s="75">
        <v>2</v>
      </c>
      <c r="E162" s="76" t="s">
        <v>535</v>
      </c>
      <c r="F162" s="76"/>
      <c r="G162" s="76"/>
      <c r="H162" s="76"/>
      <c r="I162" s="48"/>
      <c r="J162" s="48"/>
      <c r="K162" s="48"/>
      <c r="L162" s="59"/>
    </row>
    <row r="163" spans="1:12">
      <c r="A163" s="3"/>
      <c r="B163" s="3"/>
      <c r="C163" s="77" t="s">
        <v>1005</v>
      </c>
      <c r="D163" s="75">
        <v>1</v>
      </c>
      <c r="E163" s="76" t="s">
        <v>535</v>
      </c>
      <c r="F163" s="76"/>
      <c r="G163" s="76"/>
      <c r="H163" s="76"/>
      <c r="I163" s="48"/>
      <c r="J163" s="48"/>
      <c r="K163" s="48"/>
      <c r="L163" s="59"/>
    </row>
    <row r="164" spans="1:12">
      <c r="A164" s="3"/>
      <c r="B164" s="3"/>
      <c r="C164" s="77"/>
      <c r="D164" s="75"/>
      <c r="E164" s="76"/>
      <c r="F164" s="76"/>
      <c r="G164" s="76"/>
      <c r="H164" s="76"/>
      <c r="I164" s="48"/>
      <c r="J164" s="48"/>
      <c r="K164" s="48"/>
      <c r="L164" s="59"/>
    </row>
    <row r="165" spans="1:12">
      <c r="A165" s="3"/>
      <c r="B165" s="3"/>
      <c r="C165" s="77"/>
      <c r="D165" s="75"/>
      <c r="E165" s="76"/>
      <c r="F165" s="76"/>
      <c r="G165" s="76"/>
      <c r="H165" s="76"/>
      <c r="I165" s="48"/>
      <c r="J165" s="48"/>
      <c r="K165" s="48"/>
      <c r="L165" s="59"/>
    </row>
    <row r="166" spans="1:12">
      <c r="A166" s="3"/>
      <c r="B166" s="3"/>
      <c r="C166" s="77"/>
      <c r="D166" s="75"/>
      <c r="E166" s="76"/>
      <c r="F166" s="76"/>
      <c r="G166" s="76"/>
      <c r="H166" s="76"/>
      <c r="I166" s="48"/>
      <c r="J166" s="48"/>
      <c r="K166" s="48"/>
      <c r="L166" s="59"/>
    </row>
    <row r="167" spans="1:12">
      <c r="A167" s="3"/>
      <c r="B167" s="3"/>
      <c r="C167" s="77"/>
      <c r="D167" s="75"/>
      <c r="E167" s="76"/>
      <c r="F167" s="76"/>
      <c r="G167" s="76"/>
      <c r="H167" s="76"/>
      <c r="I167" s="48"/>
      <c r="J167" s="48"/>
      <c r="K167" s="48"/>
      <c r="L167" s="59"/>
    </row>
    <row r="168" spans="1:12">
      <c r="D168" s="1"/>
      <c r="E168" s="1"/>
      <c r="F168" s="1"/>
      <c r="G168" s="1"/>
      <c r="H168" s="1"/>
      <c r="I168" s="1"/>
      <c r="J168" s="1"/>
    </row>
    <row r="169" spans="1:12">
      <c r="A169" s="55" t="str">
        <f>$A$4</f>
        <v xml:space="preserve">Please fill in Supplier Name </v>
      </c>
      <c r="B169" s="55" t="s">
        <v>1067</v>
      </c>
      <c r="C169" s="55" t="s">
        <v>1068</v>
      </c>
      <c r="D169" s="10"/>
      <c r="E169" s="10"/>
      <c r="F169" s="10"/>
      <c r="G169" s="7">
        <f>SUM(G170:G178)</f>
        <v>0</v>
      </c>
      <c r="H169" s="7">
        <f>SUM(H170:H178)</f>
        <v>0</v>
      </c>
      <c r="I169" s="57">
        <f>SUM(G169:H169)</f>
        <v>0</v>
      </c>
      <c r="J169" s="14" t="s">
        <v>474</v>
      </c>
      <c r="K169" s="11">
        <v>1</v>
      </c>
      <c r="L169" s="17"/>
    </row>
    <row r="170" spans="1:12">
      <c r="A170" s="3"/>
      <c r="B170" s="3"/>
      <c r="C170" s="77" t="s">
        <v>1069</v>
      </c>
      <c r="D170" s="75">
        <v>100</v>
      </c>
      <c r="E170" s="76" t="s">
        <v>559</v>
      </c>
      <c r="F170" s="76"/>
      <c r="G170" s="76"/>
      <c r="H170" s="76"/>
      <c r="I170" s="48"/>
      <c r="J170" s="48"/>
      <c r="K170" s="48"/>
      <c r="L170" s="59"/>
    </row>
    <row r="171" spans="1:12">
      <c r="A171" s="3"/>
      <c r="B171" s="3"/>
      <c r="C171" s="77" t="s">
        <v>1070</v>
      </c>
      <c r="D171" s="75">
        <v>15</v>
      </c>
      <c r="E171" s="76" t="s">
        <v>559</v>
      </c>
      <c r="F171" s="76"/>
      <c r="G171" s="76"/>
      <c r="H171" s="76"/>
      <c r="I171" s="48"/>
      <c r="J171" s="48"/>
      <c r="K171" s="48"/>
      <c r="L171" s="59"/>
    </row>
    <row r="172" spans="1:12">
      <c r="A172" s="3"/>
      <c r="B172" s="3"/>
      <c r="C172" s="77" t="s">
        <v>1071</v>
      </c>
      <c r="D172" s="75">
        <v>1</v>
      </c>
      <c r="E172" s="76" t="s">
        <v>535</v>
      </c>
      <c r="F172" s="76"/>
      <c r="G172" s="76"/>
      <c r="H172" s="76"/>
      <c r="I172" s="48"/>
      <c r="J172" s="48"/>
      <c r="K172" s="48"/>
      <c r="L172" s="59"/>
    </row>
    <row r="173" spans="1:12">
      <c r="A173" s="3"/>
      <c r="B173" s="3"/>
      <c r="C173" s="77" t="s">
        <v>1072</v>
      </c>
      <c r="D173" s="75">
        <v>1</v>
      </c>
      <c r="E173" s="76" t="s">
        <v>535</v>
      </c>
      <c r="F173" s="76"/>
      <c r="G173" s="76"/>
      <c r="H173" s="76"/>
      <c r="I173" s="48"/>
      <c r="J173" s="48"/>
      <c r="K173" s="48"/>
      <c r="L173" s="59"/>
    </row>
    <row r="174" spans="1:12">
      <c r="A174" s="3"/>
      <c r="B174" s="3"/>
      <c r="C174" s="77" t="s">
        <v>1073</v>
      </c>
      <c r="D174" s="75">
        <v>60</v>
      </c>
      <c r="E174" s="76" t="s">
        <v>559</v>
      </c>
      <c r="F174" s="76"/>
      <c r="G174" s="76"/>
      <c r="H174" s="76"/>
      <c r="I174" s="48"/>
      <c r="J174" s="48"/>
      <c r="K174" s="48"/>
      <c r="L174" s="59"/>
    </row>
    <row r="175" spans="1:12">
      <c r="A175" s="3"/>
      <c r="B175" s="3"/>
      <c r="C175" s="77"/>
      <c r="D175" s="75"/>
      <c r="E175" s="76"/>
      <c r="F175" s="76"/>
      <c r="G175" s="76"/>
      <c r="H175" s="76"/>
      <c r="I175" s="48"/>
      <c r="J175" s="48"/>
      <c r="K175" s="48"/>
      <c r="L175" s="59"/>
    </row>
    <row r="176" spans="1:12">
      <c r="A176" s="3"/>
      <c r="B176" s="3"/>
      <c r="C176" s="77"/>
      <c r="D176" s="75"/>
      <c r="E176" s="76"/>
      <c r="F176" s="76"/>
      <c r="G176" s="76"/>
      <c r="H176" s="76"/>
      <c r="I176" s="48"/>
      <c r="J176" s="48"/>
      <c r="K176" s="48"/>
      <c r="L176" s="59"/>
    </row>
    <row r="177" spans="1:12">
      <c r="A177" s="3"/>
      <c r="B177" s="3"/>
      <c r="C177" s="77"/>
      <c r="D177" s="75"/>
      <c r="E177" s="76"/>
      <c r="F177" s="76"/>
      <c r="G177" s="76"/>
      <c r="H177" s="76"/>
      <c r="I177" s="48"/>
      <c r="J177" s="48"/>
      <c r="K177" s="48"/>
      <c r="L177" s="59"/>
    </row>
    <row r="178" spans="1:12">
      <c r="A178" s="3"/>
      <c r="B178" s="3"/>
      <c r="C178" s="77"/>
      <c r="D178" s="75"/>
      <c r="E178" s="76"/>
      <c r="F178" s="76"/>
      <c r="G178" s="76"/>
      <c r="H178" s="76"/>
      <c r="I178" s="48"/>
      <c r="J178" s="48"/>
      <c r="K178" s="48"/>
      <c r="L178" s="59"/>
    </row>
    <row r="179" spans="1:12">
      <c r="E179" s="62"/>
      <c r="F179" s="62"/>
      <c r="G179" s="62"/>
      <c r="H179" s="62"/>
      <c r="I179" s="62"/>
      <c r="J179" s="62"/>
      <c r="K179" s="62"/>
      <c r="L179" s="63"/>
    </row>
    <row r="180" spans="1:12">
      <c r="A180" s="55" t="str">
        <f>$A$4</f>
        <v xml:space="preserve">Please fill in Supplier Name </v>
      </c>
      <c r="B180" s="64" t="s">
        <v>1074</v>
      </c>
      <c r="C180" s="64" t="s">
        <v>1075</v>
      </c>
      <c r="D180" s="10"/>
      <c r="E180" s="10"/>
      <c r="F180" s="10"/>
      <c r="G180" s="7">
        <f>SUM(G181:G189)</f>
        <v>0</v>
      </c>
      <c r="H180" s="7">
        <f>SUM(H181:H189)</f>
        <v>0</v>
      </c>
      <c r="I180" s="57">
        <f>SUM(G180:H180)</f>
        <v>0</v>
      </c>
      <c r="J180" s="14" t="s">
        <v>476</v>
      </c>
      <c r="K180" s="11">
        <v>1</v>
      </c>
      <c r="L180" s="61"/>
    </row>
    <row r="181" spans="1:12">
      <c r="A181" s="3"/>
      <c r="B181" s="3"/>
      <c r="C181" s="77" t="s">
        <v>1069</v>
      </c>
      <c r="D181" s="75">
        <v>100</v>
      </c>
      <c r="E181" s="76" t="s">
        <v>559</v>
      </c>
      <c r="F181" s="76"/>
      <c r="G181" s="76"/>
      <c r="H181" s="76"/>
      <c r="I181" s="48"/>
      <c r="J181" s="48"/>
      <c r="K181" s="48"/>
      <c r="L181" s="59"/>
    </row>
    <row r="182" spans="1:12">
      <c r="A182" s="3"/>
      <c r="B182" s="3"/>
      <c r="C182" s="77" t="s">
        <v>1070</v>
      </c>
      <c r="D182" s="75">
        <v>15</v>
      </c>
      <c r="E182" s="76" t="s">
        <v>559</v>
      </c>
      <c r="F182" s="76"/>
      <c r="G182" s="76"/>
      <c r="H182" s="76"/>
      <c r="I182" s="48"/>
      <c r="J182" s="48"/>
      <c r="K182" s="48"/>
      <c r="L182" s="59"/>
    </row>
    <row r="183" spans="1:12">
      <c r="A183" s="3"/>
      <c r="B183" s="3"/>
      <c r="C183" s="77" t="s">
        <v>1071</v>
      </c>
      <c r="D183" s="75">
        <v>1</v>
      </c>
      <c r="E183" s="76" t="s">
        <v>535</v>
      </c>
      <c r="F183" s="76"/>
      <c r="G183" s="76"/>
      <c r="H183" s="76"/>
      <c r="I183" s="48"/>
      <c r="J183" s="48"/>
      <c r="K183" s="48"/>
      <c r="L183" s="59"/>
    </row>
    <row r="184" spans="1:12">
      <c r="A184" s="3"/>
      <c r="B184" s="3"/>
      <c r="C184" s="77" t="s">
        <v>1072</v>
      </c>
      <c r="D184" s="75">
        <v>1</v>
      </c>
      <c r="E184" s="76" t="s">
        <v>535</v>
      </c>
      <c r="F184" s="76"/>
      <c r="G184" s="76"/>
      <c r="H184" s="76"/>
      <c r="I184" s="48"/>
      <c r="J184" s="48"/>
      <c r="K184" s="48"/>
      <c r="L184" s="59"/>
    </row>
    <row r="185" spans="1:12">
      <c r="A185" s="3"/>
      <c r="B185" s="3"/>
      <c r="C185" s="77" t="s">
        <v>1073</v>
      </c>
      <c r="D185" s="75">
        <v>60</v>
      </c>
      <c r="E185" s="76" t="s">
        <v>559</v>
      </c>
      <c r="F185" s="76"/>
      <c r="G185" s="76"/>
      <c r="H185" s="76"/>
      <c r="I185" s="48"/>
      <c r="J185" s="48"/>
      <c r="K185" s="48"/>
      <c r="L185" s="59"/>
    </row>
    <row r="186" spans="1:12">
      <c r="A186" s="3"/>
      <c r="B186" s="3"/>
      <c r="C186" s="77"/>
      <c r="D186" s="75"/>
      <c r="E186" s="76"/>
      <c r="F186" s="76"/>
      <c r="G186" s="76"/>
      <c r="H186" s="76"/>
      <c r="I186" s="48"/>
      <c r="J186" s="48"/>
      <c r="K186" s="48"/>
      <c r="L186" s="59"/>
    </row>
    <row r="187" spans="1:12">
      <c r="A187" s="3"/>
      <c r="B187" s="3"/>
      <c r="C187" s="77"/>
      <c r="D187" s="75"/>
      <c r="E187" s="76"/>
      <c r="F187" s="76"/>
      <c r="G187" s="76"/>
      <c r="H187" s="76"/>
      <c r="I187" s="48"/>
      <c r="J187" s="48"/>
      <c r="K187" s="48"/>
      <c r="L187" s="59"/>
    </row>
    <row r="188" spans="1:12">
      <c r="A188" s="3"/>
      <c r="B188" s="3"/>
      <c r="C188" s="77"/>
      <c r="D188" s="75"/>
      <c r="E188" s="76"/>
      <c r="F188" s="76"/>
      <c r="G188" s="76"/>
      <c r="H188" s="76"/>
      <c r="I188" s="48"/>
      <c r="J188" s="48"/>
      <c r="K188" s="48"/>
      <c r="L188" s="59"/>
    </row>
    <row r="189" spans="1:12">
      <c r="A189" s="3"/>
      <c r="B189" s="3"/>
      <c r="C189" s="77"/>
      <c r="D189" s="75"/>
      <c r="E189" s="76"/>
      <c r="F189" s="76"/>
      <c r="G189" s="76"/>
      <c r="H189" s="76"/>
      <c r="I189" s="48"/>
      <c r="J189" s="48"/>
      <c r="K189" s="48"/>
      <c r="L189" s="59"/>
    </row>
    <row r="190" spans="1:12">
      <c r="D190" s="1"/>
      <c r="E190" s="1"/>
      <c r="F190" s="1"/>
      <c r="G190" s="1"/>
      <c r="H190" s="1"/>
      <c r="I190" s="1"/>
      <c r="J190" s="1"/>
    </row>
    <row r="191" spans="1:12" s="44" customFormat="1">
      <c r="A191" s="55" t="str">
        <f t="shared" ref="A191:A214" si="0">$A$4</f>
        <v xml:space="preserve">Please fill in Supplier Name </v>
      </c>
      <c r="B191" s="65" t="s">
        <v>1076</v>
      </c>
      <c r="C191" s="66" t="s">
        <v>1077</v>
      </c>
      <c r="D191" s="67">
        <v>1</v>
      </c>
      <c r="E191" s="66" t="s">
        <v>535</v>
      </c>
      <c r="F191" s="89" t="s">
        <v>822</v>
      </c>
      <c r="G191" s="88">
        <v>0</v>
      </c>
      <c r="H191" s="88">
        <v>0</v>
      </c>
      <c r="I191" s="50">
        <f t="shared" ref="I191:I205" si="1">SUM(G191:H191)</f>
        <v>0</v>
      </c>
      <c r="J191" s="67" t="s">
        <v>474</v>
      </c>
      <c r="K191" s="68">
        <v>1</v>
      </c>
      <c r="L191" s="17" t="s">
        <v>1078</v>
      </c>
    </row>
    <row r="192" spans="1:12" s="44" customFormat="1">
      <c r="A192" s="55" t="str">
        <f t="shared" si="0"/>
        <v xml:space="preserve">Please fill in Supplier Name </v>
      </c>
      <c r="B192" s="65" t="s">
        <v>1079</v>
      </c>
      <c r="C192" s="66" t="s">
        <v>1080</v>
      </c>
      <c r="D192" s="67">
        <v>1</v>
      </c>
      <c r="E192" s="66" t="s">
        <v>535</v>
      </c>
      <c r="F192" s="89" t="s">
        <v>823</v>
      </c>
      <c r="G192" s="88">
        <v>0</v>
      </c>
      <c r="H192" s="88">
        <v>0</v>
      </c>
      <c r="I192" s="50">
        <f t="shared" si="1"/>
        <v>0</v>
      </c>
      <c r="J192" s="67" t="s">
        <v>474</v>
      </c>
      <c r="K192" s="68">
        <v>1</v>
      </c>
      <c r="L192" s="17" t="s">
        <v>1078</v>
      </c>
    </row>
    <row r="193" spans="1:12" s="44" customFormat="1">
      <c r="A193" s="55" t="str">
        <f t="shared" si="0"/>
        <v xml:space="preserve">Please fill in Supplier Name </v>
      </c>
      <c r="B193" s="65" t="s">
        <v>1081</v>
      </c>
      <c r="C193" s="66" t="s">
        <v>1082</v>
      </c>
      <c r="D193" s="67">
        <v>1</v>
      </c>
      <c r="E193" s="66" t="s">
        <v>535</v>
      </c>
      <c r="F193" s="89" t="s">
        <v>821</v>
      </c>
      <c r="G193" s="88">
        <v>0</v>
      </c>
      <c r="H193" s="88">
        <v>0</v>
      </c>
      <c r="I193" s="50">
        <f t="shared" si="1"/>
        <v>0</v>
      </c>
      <c r="J193" s="67" t="s">
        <v>474</v>
      </c>
      <c r="K193" s="68">
        <v>1</v>
      </c>
      <c r="L193" s="17" t="s">
        <v>1078</v>
      </c>
    </row>
    <row r="194" spans="1:12" s="44" customFormat="1">
      <c r="A194" s="55" t="str">
        <f t="shared" si="0"/>
        <v xml:space="preserve">Please fill in Supplier Name </v>
      </c>
      <c r="B194" s="65" t="s">
        <v>1083</v>
      </c>
      <c r="C194" s="66" t="s">
        <v>1084</v>
      </c>
      <c r="D194" s="67">
        <v>1</v>
      </c>
      <c r="E194" s="66" t="s">
        <v>535</v>
      </c>
      <c r="F194" s="89" t="s">
        <v>822</v>
      </c>
      <c r="G194" s="88">
        <v>0</v>
      </c>
      <c r="H194" s="88">
        <v>0</v>
      </c>
      <c r="I194" s="50">
        <f t="shared" si="1"/>
        <v>0</v>
      </c>
      <c r="J194" s="67" t="s">
        <v>476</v>
      </c>
      <c r="K194" s="68">
        <v>1</v>
      </c>
      <c r="L194" s="17" t="s">
        <v>1078</v>
      </c>
    </row>
    <row r="195" spans="1:12" s="44" customFormat="1">
      <c r="A195" s="55" t="str">
        <f t="shared" si="0"/>
        <v xml:space="preserve">Please fill in Supplier Name </v>
      </c>
      <c r="B195" s="65" t="s">
        <v>1085</v>
      </c>
      <c r="C195" s="66" t="s">
        <v>1086</v>
      </c>
      <c r="D195" s="67">
        <v>1</v>
      </c>
      <c r="E195" s="66" t="s">
        <v>535</v>
      </c>
      <c r="F195" s="89" t="s">
        <v>823</v>
      </c>
      <c r="G195" s="88">
        <v>0</v>
      </c>
      <c r="H195" s="88">
        <v>0</v>
      </c>
      <c r="I195" s="50">
        <f t="shared" si="1"/>
        <v>0</v>
      </c>
      <c r="J195" s="67" t="s">
        <v>476</v>
      </c>
      <c r="K195" s="68">
        <v>1</v>
      </c>
      <c r="L195" s="17" t="s">
        <v>1078</v>
      </c>
    </row>
    <row r="196" spans="1:12" s="44" customFormat="1">
      <c r="A196" s="55" t="str">
        <f t="shared" si="0"/>
        <v xml:space="preserve">Please fill in Supplier Name </v>
      </c>
      <c r="B196" s="65" t="s">
        <v>1087</v>
      </c>
      <c r="C196" s="66" t="s">
        <v>1088</v>
      </c>
      <c r="D196" s="67">
        <v>1</v>
      </c>
      <c r="E196" s="66" t="s">
        <v>535</v>
      </c>
      <c r="F196" s="89" t="s">
        <v>821</v>
      </c>
      <c r="G196" s="88">
        <v>0</v>
      </c>
      <c r="H196" s="88">
        <v>0</v>
      </c>
      <c r="I196" s="50">
        <f t="shared" si="1"/>
        <v>0</v>
      </c>
      <c r="J196" s="67" t="s">
        <v>476</v>
      </c>
      <c r="K196" s="68">
        <v>1</v>
      </c>
      <c r="L196" s="17" t="s">
        <v>1078</v>
      </c>
    </row>
    <row r="197" spans="1:12">
      <c r="A197" s="55" t="str">
        <f t="shared" si="0"/>
        <v xml:space="preserve">Please fill in Supplier Name </v>
      </c>
      <c r="B197" s="65" t="s">
        <v>1089</v>
      </c>
      <c r="C197" s="65" t="s">
        <v>1090</v>
      </c>
      <c r="D197" s="67">
        <v>1</v>
      </c>
      <c r="E197" s="66" t="s">
        <v>535</v>
      </c>
      <c r="F197" s="89" t="s">
        <v>827</v>
      </c>
      <c r="G197" s="88">
        <v>0</v>
      </c>
      <c r="H197" s="88">
        <v>0</v>
      </c>
      <c r="I197" s="50">
        <f t="shared" si="1"/>
        <v>0</v>
      </c>
      <c r="J197" s="67" t="s">
        <v>474</v>
      </c>
      <c r="K197" s="68">
        <v>1</v>
      </c>
      <c r="L197" s="17" t="s">
        <v>1078</v>
      </c>
    </row>
    <row r="198" spans="1:12">
      <c r="A198" s="55" t="str">
        <f t="shared" si="0"/>
        <v xml:space="preserve">Please fill in Supplier Name </v>
      </c>
      <c r="B198" s="65" t="s">
        <v>1091</v>
      </c>
      <c r="C198" s="65" t="s">
        <v>1092</v>
      </c>
      <c r="D198" s="67">
        <v>1</v>
      </c>
      <c r="E198" s="66" t="s">
        <v>535</v>
      </c>
      <c r="F198" s="89" t="s">
        <v>828</v>
      </c>
      <c r="G198" s="88">
        <v>0</v>
      </c>
      <c r="H198" s="88">
        <v>0</v>
      </c>
      <c r="I198" s="50">
        <f t="shared" si="1"/>
        <v>0</v>
      </c>
      <c r="J198" s="67" t="s">
        <v>474</v>
      </c>
      <c r="K198" s="68">
        <v>1</v>
      </c>
      <c r="L198" s="17" t="s">
        <v>1078</v>
      </c>
    </row>
    <row r="199" spans="1:12" s="44" customFormat="1">
      <c r="A199" s="55" t="str">
        <f t="shared" si="0"/>
        <v xml:space="preserve">Please fill in Supplier Name </v>
      </c>
      <c r="B199" s="65" t="s">
        <v>1093</v>
      </c>
      <c r="C199" s="65" t="s">
        <v>1094</v>
      </c>
      <c r="D199" s="67">
        <v>1</v>
      </c>
      <c r="E199" s="66" t="s">
        <v>535</v>
      </c>
      <c r="F199" s="89" t="s">
        <v>826</v>
      </c>
      <c r="G199" s="88">
        <v>0</v>
      </c>
      <c r="H199" s="88">
        <v>0</v>
      </c>
      <c r="I199" s="50">
        <f t="shared" si="1"/>
        <v>0</v>
      </c>
      <c r="J199" s="67" t="s">
        <v>474</v>
      </c>
      <c r="K199" s="68">
        <v>1</v>
      </c>
      <c r="L199" s="17" t="s">
        <v>1078</v>
      </c>
    </row>
    <row r="200" spans="1:12">
      <c r="A200" s="55" t="str">
        <f t="shared" si="0"/>
        <v xml:space="preserve">Please fill in Supplier Name </v>
      </c>
      <c r="B200" s="65" t="s">
        <v>1089</v>
      </c>
      <c r="C200" s="66" t="s">
        <v>1090</v>
      </c>
      <c r="D200" s="67">
        <v>1</v>
      </c>
      <c r="E200" s="66" t="s">
        <v>535</v>
      </c>
      <c r="F200" s="89" t="s">
        <v>827</v>
      </c>
      <c r="G200" s="88">
        <v>0</v>
      </c>
      <c r="H200" s="88">
        <v>0</v>
      </c>
      <c r="I200" s="50">
        <f t="shared" si="1"/>
        <v>0</v>
      </c>
      <c r="J200" s="67" t="s">
        <v>474</v>
      </c>
      <c r="K200" s="68">
        <v>1</v>
      </c>
      <c r="L200" s="17" t="s">
        <v>1078</v>
      </c>
    </row>
    <row r="201" spans="1:12" s="60" customFormat="1">
      <c r="A201" s="55" t="str">
        <f t="shared" si="0"/>
        <v xml:space="preserve">Please fill in Supplier Name </v>
      </c>
      <c r="B201" s="283" t="s">
        <v>1095</v>
      </c>
      <c r="C201" s="283" t="s">
        <v>1096</v>
      </c>
      <c r="D201" s="67">
        <v>1</v>
      </c>
      <c r="E201" s="66" t="s">
        <v>535</v>
      </c>
      <c r="F201" s="89" t="s">
        <v>828</v>
      </c>
      <c r="G201" s="88">
        <v>0</v>
      </c>
      <c r="H201" s="88">
        <v>0</v>
      </c>
      <c r="I201" s="50">
        <f t="shared" si="1"/>
        <v>0</v>
      </c>
      <c r="J201" s="67" t="s">
        <v>476</v>
      </c>
      <c r="K201" s="284">
        <v>1</v>
      </c>
      <c r="L201" s="17" t="s">
        <v>1078</v>
      </c>
    </row>
    <row r="202" spans="1:12" s="60" customFormat="1">
      <c r="A202" s="55" t="str">
        <f t="shared" si="0"/>
        <v xml:space="preserve">Please fill in Supplier Name </v>
      </c>
      <c r="B202" s="283" t="s">
        <v>1097</v>
      </c>
      <c r="C202" s="283" t="s">
        <v>1098</v>
      </c>
      <c r="D202" s="67">
        <v>1</v>
      </c>
      <c r="E202" s="66" t="s">
        <v>535</v>
      </c>
      <c r="F202" s="89" t="s">
        <v>826</v>
      </c>
      <c r="G202" s="88">
        <v>0</v>
      </c>
      <c r="H202" s="88">
        <v>0</v>
      </c>
      <c r="I202" s="50">
        <f t="shared" si="1"/>
        <v>0</v>
      </c>
      <c r="J202" s="67" t="s">
        <v>476</v>
      </c>
      <c r="K202" s="68">
        <v>1</v>
      </c>
      <c r="L202" s="17" t="s">
        <v>1078</v>
      </c>
    </row>
    <row r="203" spans="1:12">
      <c r="A203" s="55" t="str">
        <f t="shared" si="0"/>
        <v xml:space="preserve">Please fill in Supplier Name </v>
      </c>
      <c r="B203" s="65" t="s">
        <v>1099</v>
      </c>
      <c r="C203" s="66" t="s">
        <v>1100</v>
      </c>
      <c r="D203" s="67">
        <v>1</v>
      </c>
      <c r="E203" s="66" t="s">
        <v>535</v>
      </c>
      <c r="F203" s="89" t="s">
        <v>1101</v>
      </c>
      <c r="G203" s="88">
        <v>0</v>
      </c>
      <c r="H203" s="88">
        <v>0</v>
      </c>
      <c r="I203" s="50">
        <f t="shared" si="1"/>
        <v>0</v>
      </c>
      <c r="J203" s="67" t="s">
        <v>474</v>
      </c>
      <c r="K203" s="68">
        <v>1</v>
      </c>
      <c r="L203" s="17" t="s">
        <v>1078</v>
      </c>
    </row>
    <row r="204" spans="1:12">
      <c r="A204" s="55" t="str">
        <f t="shared" si="0"/>
        <v xml:space="preserve">Please fill in Supplier Name </v>
      </c>
      <c r="B204" s="65" t="s">
        <v>1102</v>
      </c>
      <c r="C204" s="65" t="s">
        <v>1103</v>
      </c>
      <c r="D204" s="67">
        <v>1</v>
      </c>
      <c r="E204" s="66" t="s">
        <v>535</v>
      </c>
      <c r="F204" s="89" t="s">
        <v>1104</v>
      </c>
      <c r="G204" s="88">
        <v>0</v>
      </c>
      <c r="H204" s="88">
        <v>0</v>
      </c>
      <c r="I204" s="50">
        <f t="shared" si="1"/>
        <v>0</v>
      </c>
      <c r="J204" s="67" t="s">
        <v>474</v>
      </c>
      <c r="K204" s="68">
        <v>1</v>
      </c>
      <c r="L204" s="17" t="s">
        <v>1078</v>
      </c>
    </row>
    <row r="205" spans="1:12">
      <c r="A205" s="55" t="str">
        <f t="shared" si="0"/>
        <v xml:space="preserve">Please fill in Supplier Name </v>
      </c>
      <c r="B205" s="65" t="s">
        <v>1105</v>
      </c>
      <c r="C205" s="65" t="s">
        <v>1106</v>
      </c>
      <c r="D205" s="67">
        <v>1</v>
      </c>
      <c r="E205" s="66" t="s">
        <v>535</v>
      </c>
      <c r="F205" s="89" t="s">
        <v>1107</v>
      </c>
      <c r="G205" s="88">
        <v>0</v>
      </c>
      <c r="H205" s="88">
        <v>0</v>
      </c>
      <c r="I205" s="50">
        <f t="shared" si="1"/>
        <v>0</v>
      </c>
      <c r="J205" s="67" t="s">
        <v>474</v>
      </c>
      <c r="K205" s="68">
        <v>1</v>
      </c>
      <c r="L205" s="17" t="s">
        <v>1078</v>
      </c>
    </row>
    <row r="206" spans="1:12">
      <c r="A206" s="55" t="str">
        <f t="shared" si="0"/>
        <v xml:space="preserve">Please fill in Supplier Name </v>
      </c>
      <c r="B206" s="65" t="s">
        <v>1108</v>
      </c>
      <c r="C206" s="65" t="s">
        <v>1109</v>
      </c>
      <c r="D206" s="67">
        <v>1</v>
      </c>
      <c r="E206" s="66" t="s">
        <v>535</v>
      </c>
      <c r="F206" s="89" t="s">
        <v>1110</v>
      </c>
      <c r="G206" s="88">
        <v>0</v>
      </c>
      <c r="H206" s="88">
        <v>0</v>
      </c>
      <c r="I206" s="50">
        <f t="shared" ref="I206:I214" si="2">SUM(G206:H206)</f>
        <v>0</v>
      </c>
      <c r="J206" s="67" t="s">
        <v>476</v>
      </c>
      <c r="K206" s="68">
        <v>1</v>
      </c>
      <c r="L206" s="17" t="s">
        <v>1078</v>
      </c>
    </row>
    <row r="207" spans="1:12">
      <c r="A207" s="55" t="str">
        <f t="shared" si="0"/>
        <v xml:space="preserve">Please fill in Supplier Name </v>
      </c>
      <c r="B207" s="65" t="s">
        <v>1111</v>
      </c>
      <c r="C207" s="66" t="s">
        <v>1112</v>
      </c>
      <c r="D207" s="67">
        <v>1</v>
      </c>
      <c r="E207" s="66" t="s">
        <v>535</v>
      </c>
      <c r="F207" s="89" t="s">
        <v>1113</v>
      </c>
      <c r="G207" s="88">
        <v>0</v>
      </c>
      <c r="H207" s="88">
        <v>0</v>
      </c>
      <c r="I207" s="50">
        <f t="shared" si="2"/>
        <v>0</v>
      </c>
      <c r="J207" s="67" t="s">
        <v>476</v>
      </c>
      <c r="K207" s="68">
        <v>1</v>
      </c>
      <c r="L207" s="17" t="s">
        <v>1078</v>
      </c>
    </row>
    <row r="208" spans="1:12">
      <c r="A208" s="55" t="str">
        <f t="shared" si="0"/>
        <v xml:space="preserve">Please fill in Supplier Name </v>
      </c>
      <c r="B208" s="65" t="s">
        <v>1114</v>
      </c>
      <c r="C208" s="66" t="s">
        <v>1115</v>
      </c>
      <c r="D208" s="67">
        <v>1</v>
      </c>
      <c r="E208" s="66" t="s">
        <v>535</v>
      </c>
      <c r="F208" s="89" t="s">
        <v>1116</v>
      </c>
      <c r="G208" s="88">
        <v>0</v>
      </c>
      <c r="H208" s="88">
        <v>0</v>
      </c>
      <c r="I208" s="50">
        <f t="shared" si="2"/>
        <v>0</v>
      </c>
      <c r="J208" s="67" t="s">
        <v>476</v>
      </c>
      <c r="K208" s="68">
        <v>1</v>
      </c>
      <c r="L208" s="17" t="s">
        <v>1078</v>
      </c>
    </row>
    <row r="209" spans="1:12">
      <c r="A209" s="55" t="str">
        <f t="shared" si="0"/>
        <v xml:space="preserve">Please fill in Supplier Name </v>
      </c>
      <c r="B209" s="65" t="s">
        <v>1117</v>
      </c>
      <c r="C209" s="66" t="s">
        <v>1118</v>
      </c>
      <c r="D209" s="67">
        <v>1</v>
      </c>
      <c r="E209" s="66" t="s">
        <v>535</v>
      </c>
      <c r="F209" s="89" t="s">
        <v>1101</v>
      </c>
      <c r="G209" s="88">
        <v>0</v>
      </c>
      <c r="H209" s="88">
        <v>0</v>
      </c>
      <c r="I209" s="50">
        <f t="shared" si="2"/>
        <v>0</v>
      </c>
      <c r="J209" s="67" t="s">
        <v>474</v>
      </c>
      <c r="K209" s="68">
        <v>1</v>
      </c>
      <c r="L209" s="17" t="s">
        <v>1078</v>
      </c>
    </row>
    <row r="210" spans="1:12">
      <c r="A210" s="55" t="str">
        <f t="shared" si="0"/>
        <v xml:space="preserve">Please fill in Supplier Name </v>
      </c>
      <c r="B210" s="65" t="s">
        <v>1119</v>
      </c>
      <c r="C210" s="66" t="s">
        <v>1120</v>
      </c>
      <c r="D210" s="67">
        <v>1</v>
      </c>
      <c r="E210" s="66" t="s">
        <v>535</v>
      </c>
      <c r="F210" s="89" t="s">
        <v>1104</v>
      </c>
      <c r="G210" s="88">
        <v>0</v>
      </c>
      <c r="H210" s="88">
        <v>0</v>
      </c>
      <c r="I210" s="50">
        <f t="shared" si="2"/>
        <v>0</v>
      </c>
      <c r="J210" s="67" t="s">
        <v>474</v>
      </c>
      <c r="K210" s="68">
        <v>1</v>
      </c>
      <c r="L210" s="17" t="s">
        <v>1078</v>
      </c>
    </row>
    <row r="211" spans="1:12">
      <c r="A211" s="55" t="str">
        <f t="shared" si="0"/>
        <v xml:space="preserve">Please fill in Supplier Name </v>
      </c>
      <c r="B211" s="65" t="s">
        <v>1121</v>
      </c>
      <c r="C211" s="66" t="s">
        <v>1122</v>
      </c>
      <c r="D211" s="67">
        <v>1</v>
      </c>
      <c r="E211" s="66" t="s">
        <v>535</v>
      </c>
      <c r="F211" s="89" t="s">
        <v>1107</v>
      </c>
      <c r="G211" s="88">
        <v>0</v>
      </c>
      <c r="H211" s="88">
        <v>0</v>
      </c>
      <c r="I211" s="50">
        <f t="shared" si="2"/>
        <v>0</v>
      </c>
      <c r="J211" s="67" t="s">
        <v>474</v>
      </c>
      <c r="K211" s="68">
        <v>1</v>
      </c>
      <c r="L211" s="17" t="s">
        <v>1078</v>
      </c>
    </row>
    <row r="212" spans="1:12">
      <c r="A212" s="55" t="str">
        <f t="shared" si="0"/>
        <v xml:space="preserve">Please fill in Supplier Name </v>
      </c>
      <c r="B212" s="65" t="s">
        <v>1123</v>
      </c>
      <c r="C212" s="66" t="s">
        <v>1124</v>
      </c>
      <c r="D212" s="67">
        <v>1</v>
      </c>
      <c r="E212" s="66" t="s">
        <v>535</v>
      </c>
      <c r="F212" s="89" t="s">
        <v>1110</v>
      </c>
      <c r="G212" s="88">
        <v>0</v>
      </c>
      <c r="H212" s="88">
        <v>0</v>
      </c>
      <c r="I212" s="50">
        <f t="shared" si="2"/>
        <v>0</v>
      </c>
      <c r="J212" s="67" t="s">
        <v>476</v>
      </c>
      <c r="K212" s="68">
        <v>1</v>
      </c>
      <c r="L212" s="17" t="s">
        <v>1078</v>
      </c>
    </row>
    <row r="213" spans="1:12">
      <c r="A213" s="55" t="str">
        <f t="shared" si="0"/>
        <v xml:space="preserve">Please fill in Supplier Name </v>
      </c>
      <c r="B213" s="65" t="s">
        <v>1125</v>
      </c>
      <c r="C213" s="66" t="s">
        <v>1126</v>
      </c>
      <c r="D213" s="67">
        <v>1</v>
      </c>
      <c r="E213" s="66" t="s">
        <v>535</v>
      </c>
      <c r="F213" s="89" t="s">
        <v>1113</v>
      </c>
      <c r="G213" s="88">
        <v>0</v>
      </c>
      <c r="H213" s="88">
        <v>0</v>
      </c>
      <c r="I213" s="50">
        <f t="shared" si="2"/>
        <v>0</v>
      </c>
      <c r="J213" s="67" t="s">
        <v>476</v>
      </c>
      <c r="K213" s="68">
        <v>1</v>
      </c>
      <c r="L213" s="17" t="s">
        <v>1078</v>
      </c>
    </row>
    <row r="214" spans="1:12">
      <c r="A214" s="55" t="str">
        <f t="shared" si="0"/>
        <v xml:space="preserve">Please fill in Supplier Name </v>
      </c>
      <c r="B214" s="65" t="s">
        <v>1127</v>
      </c>
      <c r="C214" s="66" t="s">
        <v>1128</v>
      </c>
      <c r="D214" s="67">
        <v>1</v>
      </c>
      <c r="E214" s="66" t="s">
        <v>535</v>
      </c>
      <c r="F214" s="89" t="s">
        <v>1116</v>
      </c>
      <c r="G214" s="88">
        <v>0</v>
      </c>
      <c r="H214" s="88">
        <v>0</v>
      </c>
      <c r="I214" s="50">
        <f t="shared" si="2"/>
        <v>0</v>
      </c>
      <c r="J214" s="67" t="s">
        <v>476</v>
      </c>
      <c r="K214" s="68">
        <v>1</v>
      </c>
      <c r="L214" s="17" t="s">
        <v>1078</v>
      </c>
    </row>
    <row r="215" spans="1:12" s="101" customFormat="1">
      <c r="A215" s="109" t="str">
        <f>$A$4</f>
        <v xml:space="preserve">Please fill in Supplier Name </v>
      </c>
      <c r="B215" s="65" t="s">
        <v>1129</v>
      </c>
      <c r="C215" s="65" t="s">
        <v>1130</v>
      </c>
      <c r="D215" s="127">
        <v>1</v>
      </c>
      <c r="E215" s="127" t="s">
        <v>535</v>
      </c>
      <c r="F215" s="111"/>
      <c r="G215" s="130"/>
      <c r="H215" s="130"/>
      <c r="I215" s="79">
        <v>0</v>
      </c>
      <c r="J215" s="114" t="s">
        <v>474</v>
      </c>
      <c r="K215" s="114">
        <v>1</v>
      </c>
      <c r="L215" s="109"/>
    </row>
    <row r="216" spans="1:12">
      <c r="A216" s="109" t="str">
        <f>$A$4</f>
        <v xml:space="preserve">Please fill in Supplier Name </v>
      </c>
      <c r="B216" s="65" t="s">
        <v>1131</v>
      </c>
      <c r="C216" s="65" t="s">
        <v>1132</v>
      </c>
      <c r="D216" s="127">
        <v>1</v>
      </c>
      <c r="E216" s="127" t="s">
        <v>535</v>
      </c>
      <c r="F216" s="111"/>
      <c r="G216" s="130"/>
      <c r="H216" s="130"/>
      <c r="I216" s="79">
        <v>0</v>
      </c>
      <c r="J216" s="114" t="s">
        <v>476</v>
      </c>
      <c r="K216" s="114">
        <v>1</v>
      </c>
      <c r="L216" s="109"/>
    </row>
  </sheetData>
  <sheetProtection algorithmName="SHA-512" hashValue="KhS+DiKXVy1PHw0OsCRzlvE4Fd3bqoVi9r/xrWvA8fm6ICn5f852q/q3opXJfSFg4XBdkGBBUsgyeqsKJQNmvQ==" saltValue="57cV6Ba/Ek57i9/8uA0Hlg==" spinCount="100000" sheet="1" objects="1" scenarios="1"/>
  <autoFilter ref="A3:L214" xr:uid="{FA4694A1-0E40-4233-9868-285C5720E476}"/>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0096F-6B42-462A-94BA-4416E6CB1815}">
  <sheetPr>
    <tabColor theme="8" tint="0.59999389629810485"/>
  </sheetPr>
  <dimension ref="A1:L36"/>
  <sheetViews>
    <sheetView showGridLines="0" zoomScale="85" zoomScaleNormal="85" workbookViewId="0">
      <pane ySplit="3" topLeftCell="A7" activePane="bottomLeft" state="frozen"/>
      <selection pane="bottomLeft" activeCell="C20" sqref="C20"/>
      <selection activeCell="N64" sqref="N64"/>
    </sheetView>
  </sheetViews>
  <sheetFormatPr defaultColWidth="7.75" defaultRowHeight="13.15"/>
  <cols>
    <col min="1" max="1" width="30.625" style="1" customWidth="1"/>
    <col min="2" max="2" width="52" style="1" bestFit="1" customWidth="1"/>
    <col min="3" max="3" width="39.375" style="1" bestFit="1" customWidth="1"/>
    <col min="4" max="4" width="8.5" style="2" customWidth="1"/>
    <col min="5" max="5" width="4.25" style="2" customWidth="1"/>
    <col min="6" max="6" width="50.625" style="2" customWidth="1"/>
    <col min="7" max="7" width="8.625" style="2" customWidth="1"/>
    <col min="8" max="8" width="8.875" style="2" customWidth="1"/>
    <col min="9" max="9" width="11.375" style="2" customWidth="1"/>
    <col min="10" max="10" width="8.75" style="2" customWidth="1"/>
    <col min="11" max="11" width="15.25" style="1" customWidth="1"/>
    <col min="12" max="12" width="13.875" style="1" customWidth="1"/>
    <col min="13" max="16384" width="7.75" style="1"/>
  </cols>
  <sheetData>
    <row r="1" spans="1:12">
      <c r="A1" s="1" t="s">
        <v>831</v>
      </c>
      <c r="B1" s="1" t="s">
        <v>0</v>
      </c>
      <c r="C1" s="1" t="s">
        <v>521</v>
      </c>
    </row>
    <row r="2" spans="1:12" ht="22.7" customHeight="1">
      <c r="A2" s="46"/>
      <c r="B2" s="3" t="s">
        <v>1133</v>
      </c>
      <c r="C2" s="168" t="s">
        <v>1134</v>
      </c>
      <c r="D2" s="4"/>
      <c r="E2" s="4"/>
      <c r="F2" s="4"/>
      <c r="G2" s="4"/>
      <c r="H2" s="4"/>
      <c r="I2" s="4"/>
      <c r="J2" s="4"/>
      <c r="K2" s="4"/>
      <c r="L2" s="5"/>
    </row>
    <row r="3" spans="1:12" s="22" customFormat="1" ht="44.25" customHeight="1">
      <c r="A3" s="6" t="s">
        <v>524</v>
      </c>
      <c r="B3" s="6" t="s">
        <v>3</v>
      </c>
      <c r="C3" s="6" t="s">
        <v>4</v>
      </c>
      <c r="D3" s="6" t="s">
        <v>5</v>
      </c>
      <c r="E3" s="6" t="s">
        <v>6</v>
      </c>
      <c r="F3" s="6" t="s">
        <v>7</v>
      </c>
      <c r="G3" s="6" t="s">
        <v>8</v>
      </c>
      <c r="H3" s="6" t="s">
        <v>9</v>
      </c>
      <c r="I3" s="6" t="s">
        <v>10</v>
      </c>
      <c r="J3" s="20" t="s">
        <v>11</v>
      </c>
      <c r="K3" s="20" t="s">
        <v>526</v>
      </c>
      <c r="L3" s="21" t="s">
        <v>13</v>
      </c>
    </row>
    <row r="4" spans="1:12" ht="13.15" customHeight="1">
      <c r="A4" s="82" t="str">
        <f>'CS C C1-3'!$A$4</f>
        <v xml:space="preserve">Please fill in Supplier Name </v>
      </c>
      <c r="B4" s="9" t="s">
        <v>1135</v>
      </c>
      <c r="C4" s="9" t="s">
        <v>1136</v>
      </c>
      <c r="D4" s="10"/>
      <c r="E4" s="10"/>
      <c r="F4" s="10"/>
      <c r="G4" s="88">
        <v>0</v>
      </c>
      <c r="H4" s="88">
        <v>0</v>
      </c>
      <c r="I4" s="50">
        <f t="shared" ref="I4" si="0">SUM(G4:H4)</f>
        <v>0</v>
      </c>
      <c r="J4" s="14" t="s">
        <v>250</v>
      </c>
      <c r="K4" s="14" t="s">
        <v>241</v>
      </c>
      <c r="L4" s="9" t="s">
        <v>1137</v>
      </c>
    </row>
    <row r="5" spans="1:12" ht="13.15" customHeight="1">
      <c r="A5" s="9" t="str">
        <f t="shared" ref="A5:A36" si="1">$A$4</f>
        <v xml:space="preserve">Please fill in Supplier Name </v>
      </c>
      <c r="B5" s="9" t="s">
        <v>1138</v>
      </c>
      <c r="C5" s="9" t="s">
        <v>1139</v>
      </c>
      <c r="D5" s="10"/>
      <c r="E5" s="10"/>
      <c r="F5" s="10"/>
      <c r="G5" s="88">
        <v>0</v>
      </c>
      <c r="H5" s="88">
        <v>0</v>
      </c>
      <c r="I5" s="50">
        <f t="shared" ref="I5:I12" si="2">SUM(G5:H5)</f>
        <v>0</v>
      </c>
      <c r="J5" s="14" t="s">
        <v>250</v>
      </c>
      <c r="K5" s="14" t="s">
        <v>241</v>
      </c>
      <c r="L5" s="9" t="s">
        <v>1140</v>
      </c>
    </row>
    <row r="6" spans="1:12" ht="13.15" customHeight="1">
      <c r="A6" s="9" t="str">
        <f t="shared" si="1"/>
        <v xml:space="preserve">Please fill in Supplier Name </v>
      </c>
      <c r="B6" s="9" t="s">
        <v>1141</v>
      </c>
      <c r="C6" s="9" t="s">
        <v>1136</v>
      </c>
      <c r="D6" s="10"/>
      <c r="E6" s="10"/>
      <c r="F6" s="10"/>
      <c r="G6" s="88">
        <v>0</v>
      </c>
      <c r="H6" s="88">
        <v>0</v>
      </c>
      <c r="I6" s="50">
        <f t="shared" si="2"/>
        <v>0</v>
      </c>
      <c r="J6" s="14" t="s">
        <v>250</v>
      </c>
      <c r="K6" s="14" t="s">
        <v>241</v>
      </c>
      <c r="L6" s="9" t="s">
        <v>1142</v>
      </c>
    </row>
    <row r="7" spans="1:12" ht="13.15" customHeight="1">
      <c r="A7" s="9" t="str">
        <f t="shared" si="1"/>
        <v xml:space="preserve">Please fill in Supplier Name </v>
      </c>
      <c r="B7" s="9" t="s">
        <v>1143</v>
      </c>
      <c r="C7" s="9" t="s">
        <v>1136</v>
      </c>
      <c r="D7" s="10"/>
      <c r="E7" s="10"/>
      <c r="F7" s="10"/>
      <c r="G7" s="88">
        <v>0</v>
      </c>
      <c r="H7" s="88">
        <v>0</v>
      </c>
      <c r="I7" s="50">
        <f t="shared" si="2"/>
        <v>0</v>
      </c>
      <c r="J7" s="14" t="s">
        <v>250</v>
      </c>
      <c r="K7" s="14" t="s">
        <v>241</v>
      </c>
      <c r="L7" s="9" t="s">
        <v>1137</v>
      </c>
    </row>
    <row r="8" spans="1:12" ht="13.15" customHeight="1">
      <c r="A8" s="9" t="str">
        <f t="shared" si="1"/>
        <v xml:space="preserve">Please fill in Supplier Name </v>
      </c>
      <c r="B8" s="9" t="s">
        <v>1138</v>
      </c>
      <c r="C8" s="9" t="s">
        <v>1136</v>
      </c>
      <c r="D8" s="10"/>
      <c r="E8" s="10"/>
      <c r="F8" s="10"/>
      <c r="G8" s="88">
        <v>0</v>
      </c>
      <c r="H8" s="88">
        <v>0</v>
      </c>
      <c r="I8" s="50">
        <f t="shared" si="2"/>
        <v>0</v>
      </c>
      <c r="J8" s="14" t="s">
        <v>250</v>
      </c>
      <c r="K8" s="14" t="s">
        <v>241</v>
      </c>
      <c r="L8" s="9" t="s">
        <v>1140</v>
      </c>
    </row>
    <row r="9" spans="1:12" ht="13.15" customHeight="1">
      <c r="A9" s="9" t="str">
        <f t="shared" si="1"/>
        <v xml:space="preserve">Please fill in Supplier Name </v>
      </c>
      <c r="B9" s="9" t="s">
        <v>1141</v>
      </c>
      <c r="C9" s="9" t="s">
        <v>1136</v>
      </c>
      <c r="D9" s="10"/>
      <c r="E9" s="10"/>
      <c r="F9" s="10"/>
      <c r="G9" s="88">
        <v>0</v>
      </c>
      <c r="H9" s="88">
        <v>0</v>
      </c>
      <c r="I9" s="50">
        <f t="shared" si="2"/>
        <v>0</v>
      </c>
      <c r="J9" s="14" t="s">
        <v>250</v>
      </c>
      <c r="K9" s="14" t="s">
        <v>241</v>
      </c>
      <c r="L9" s="9" t="s">
        <v>1142</v>
      </c>
    </row>
    <row r="10" spans="1:12" ht="13.15" customHeight="1">
      <c r="A10" s="9" t="str">
        <f t="shared" si="1"/>
        <v xml:space="preserve">Please fill in Supplier Name </v>
      </c>
      <c r="B10" s="9" t="s">
        <v>1144</v>
      </c>
      <c r="C10" s="9" t="s">
        <v>1136</v>
      </c>
      <c r="D10" s="10"/>
      <c r="E10" s="10"/>
      <c r="F10" s="10"/>
      <c r="G10" s="88">
        <v>0</v>
      </c>
      <c r="H10" s="88">
        <v>0</v>
      </c>
      <c r="I10" s="50">
        <f t="shared" si="2"/>
        <v>0</v>
      </c>
      <c r="J10" s="14" t="s">
        <v>250</v>
      </c>
      <c r="K10" s="14" t="s">
        <v>241</v>
      </c>
      <c r="L10" s="9" t="s">
        <v>1137</v>
      </c>
    </row>
    <row r="11" spans="1:12" ht="13.15" customHeight="1">
      <c r="A11" s="9" t="str">
        <f t="shared" si="1"/>
        <v xml:space="preserve">Please fill in Supplier Name </v>
      </c>
      <c r="B11" s="9" t="s">
        <v>1145</v>
      </c>
      <c r="C11" s="9" t="s">
        <v>1136</v>
      </c>
      <c r="D11" s="10"/>
      <c r="E11" s="10"/>
      <c r="F11" s="10"/>
      <c r="G11" s="88">
        <v>0</v>
      </c>
      <c r="H11" s="88">
        <v>0</v>
      </c>
      <c r="I11" s="50">
        <f t="shared" si="2"/>
        <v>0</v>
      </c>
      <c r="J11" s="14" t="s">
        <v>250</v>
      </c>
      <c r="K11" s="14" t="s">
        <v>241</v>
      </c>
      <c r="L11" s="9" t="s">
        <v>1140</v>
      </c>
    </row>
    <row r="12" spans="1:12" ht="13.15" customHeight="1">
      <c r="A12" s="9" t="str">
        <f t="shared" si="1"/>
        <v xml:space="preserve">Please fill in Supplier Name </v>
      </c>
      <c r="B12" s="9" t="s">
        <v>1146</v>
      </c>
      <c r="C12" s="9" t="s">
        <v>1136</v>
      </c>
      <c r="D12" s="10"/>
      <c r="E12" s="10"/>
      <c r="F12" s="10"/>
      <c r="G12" s="88">
        <v>0</v>
      </c>
      <c r="H12" s="88">
        <v>0</v>
      </c>
      <c r="I12" s="50">
        <f t="shared" si="2"/>
        <v>0</v>
      </c>
      <c r="J12" s="14" t="s">
        <v>250</v>
      </c>
      <c r="K12" s="14" t="s">
        <v>241</v>
      </c>
      <c r="L12" s="9" t="s">
        <v>1142</v>
      </c>
    </row>
    <row r="13" spans="1:12" ht="13.15" customHeight="1">
      <c r="A13" s="9" t="str">
        <f t="shared" si="1"/>
        <v xml:space="preserve">Please fill in Supplier Name </v>
      </c>
      <c r="B13" s="9" t="s">
        <v>256</v>
      </c>
      <c r="C13" s="9" t="s">
        <v>1147</v>
      </c>
      <c r="D13" s="10"/>
      <c r="E13" s="10"/>
      <c r="F13" s="10"/>
      <c r="G13" s="51"/>
      <c r="H13" s="51"/>
      <c r="I13" s="88">
        <v>0</v>
      </c>
      <c r="J13" s="14" t="s">
        <v>250</v>
      </c>
      <c r="K13" s="14" t="s">
        <v>241</v>
      </c>
      <c r="L13" s="9"/>
    </row>
    <row r="14" spans="1:12" ht="13.15" customHeight="1">
      <c r="A14" s="9" t="str">
        <f t="shared" si="1"/>
        <v xml:space="preserve">Please fill in Supplier Name </v>
      </c>
      <c r="B14" s="9" t="s">
        <v>258</v>
      </c>
      <c r="C14" s="9" t="s">
        <v>259</v>
      </c>
      <c r="D14" s="10"/>
      <c r="E14" s="10"/>
      <c r="F14" s="10"/>
      <c r="G14" s="51"/>
      <c r="H14" s="51"/>
      <c r="I14" s="88">
        <v>0</v>
      </c>
      <c r="J14" s="14" t="s">
        <v>250</v>
      </c>
      <c r="K14" s="14" t="s">
        <v>241</v>
      </c>
      <c r="L14" s="9"/>
    </row>
    <row r="15" spans="1:12" ht="13.15" customHeight="1">
      <c r="A15" s="9" t="str">
        <f t="shared" si="1"/>
        <v xml:space="preserve">Please fill in Supplier Name </v>
      </c>
      <c r="B15" s="9" t="s">
        <v>260</v>
      </c>
      <c r="C15" s="9" t="s">
        <v>261</v>
      </c>
      <c r="D15" s="10"/>
      <c r="E15" s="10"/>
      <c r="F15" s="10"/>
      <c r="G15" s="51"/>
      <c r="H15" s="51"/>
      <c r="I15" s="88">
        <v>0</v>
      </c>
      <c r="J15" s="14" t="s">
        <v>250</v>
      </c>
      <c r="K15" s="14" t="s">
        <v>241</v>
      </c>
      <c r="L15" s="9"/>
    </row>
    <row r="16" spans="1:12" ht="13.15" customHeight="1">
      <c r="A16" s="9" t="str">
        <f t="shared" si="1"/>
        <v xml:space="preserve">Please fill in Supplier Name </v>
      </c>
      <c r="B16" s="9" t="s">
        <v>262</v>
      </c>
      <c r="C16" s="9" t="s">
        <v>263</v>
      </c>
      <c r="D16" s="10"/>
      <c r="E16" s="10"/>
      <c r="F16" s="10"/>
      <c r="G16" s="51"/>
      <c r="H16" s="51"/>
      <c r="I16" s="88">
        <v>0</v>
      </c>
      <c r="J16" s="14" t="s">
        <v>250</v>
      </c>
      <c r="K16" s="14" t="s">
        <v>241</v>
      </c>
      <c r="L16" s="9"/>
    </row>
    <row r="17" spans="1:12" ht="13.15" customHeight="1">
      <c r="A17" s="9" t="str">
        <f t="shared" si="1"/>
        <v xml:space="preserve">Please fill in Supplier Name </v>
      </c>
      <c r="B17" s="9" t="s">
        <v>264</v>
      </c>
      <c r="C17" s="9" t="s">
        <v>265</v>
      </c>
      <c r="D17" s="10"/>
      <c r="E17" s="10"/>
      <c r="F17" s="10"/>
      <c r="G17" s="51"/>
      <c r="H17" s="51"/>
      <c r="I17" s="88">
        <v>0</v>
      </c>
      <c r="J17" s="14" t="s">
        <v>250</v>
      </c>
      <c r="K17" s="14" t="s">
        <v>241</v>
      </c>
      <c r="L17" s="9"/>
    </row>
    <row r="18" spans="1:12" ht="13.15" customHeight="1">
      <c r="A18" s="9" t="str">
        <f t="shared" si="1"/>
        <v xml:space="preserve">Please fill in Supplier Name </v>
      </c>
      <c r="B18" s="9" t="s">
        <v>266</v>
      </c>
      <c r="C18" s="9" t="s">
        <v>267</v>
      </c>
      <c r="D18" s="10"/>
      <c r="E18" s="10"/>
      <c r="F18" s="10"/>
      <c r="G18" s="51"/>
      <c r="H18" s="51"/>
      <c r="I18" s="88">
        <v>0</v>
      </c>
      <c r="J18" s="14" t="s">
        <v>250</v>
      </c>
      <c r="K18" s="14" t="s">
        <v>241</v>
      </c>
      <c r="L18" s="9"/>
    </row>
    <row r="19" spans="1:12">
      <c r="A19" s="9" t="str">
        <f t="shared" si="1"/>
        <v xml:space="preserve">Please fill in Supplier Name </v>
      </c>
      <c r="B19" s="9" t="s">
        <v>1148</v>
      </c>
      <c r="C19" s="9"/>
      <c r="D19" s="9"/>
      <c r="E19" s="9" t="s">
        <v>535</v>
      </c>
      <c r="F19" s="9"/>
      <c r="G19" s="52"/>
      <c r="H19" s="52"/>
      <c r="I19" s="88">
        <v>0</v>
      </c>
      <c r="J19" s="14" t="s">
        <v>250</v>
      </c>
      <c r="K19" s="14" t="s">
        <v>241</v>
      </c>
      <c r="L19" s="9"/>
    </row>
    <row r="20" spans="1:12">
      <c r="A20" s="9" t="str">
        <f t="shared" si="1"/>
        <v xml:space="preserve">Please fill in Supplier Name </v>
      </c>
      <c r="B20" s="9" t="s">
        <v>1149</v>
      </c>
      <c r="C20" s="9"/>
      <c r="D20" s="9"/>
      <c r="E20" s="9" t="s">
        <v>535</v>
      </c>
      <c r="F20" s="9"/>
      <c r="G20" s="52"/>
      <c r="H20" s="52"/>
      <c r="I20" s="88">
        <v>0</v>
      </c>
      <c r="J20" s="14" t="s">
        <v>250</v>
      </c>
      <c r="K20" s="14" t="s">
        <v>241</v>
      </c>
      <c r="L20" s="9"/>
    </row>
    <row r="21" spans="1:12">
      <c r="A21" s="9" t="str">
        <f t="shared" si="1"/>
        <v xml:space="preserve">Please fill in Supplier Name </v>
      </c>
      <c r="B21" s="9" t="s">
        <v>1150</v>
      </c>
      <c r="C21" s="9"/>
      <c r="D21" s="9"/>
      <c r="E21" s="9" t="s">
        <v>535</v>
      </c>
      <c r="F21" s="9"/>
      <c r="G21" s="52"/>
      <c r="H21" s="52"/>
      <c r="I21" s="88">
        <v>0</v>
      </c>
      <c r="J21" s="14" t="s">
        <v>250</v>
      </c>
      <c r="K21" s="14" t="s">
        <v>241</v>
      </c>
      <c r="L21" s="9"/>
    </row>
    <row r="22" spans="1:12">
      <c r="A22" s="9" t="str">
        <f t="shared" si="1"/>
        <v xml:space="preserve">Please fill in Supplier Name </v>
      </c>
      <c r="B22" s="9" t="s">
        <v>1151</v>
      </c>
      <c r="C22" s="9"/>
      <c r="D22" s="9"/>
      <c r="E22" s="9" t="s">
        <v>535</v>
      </c>
      <c r="F22" s="9"/>
      <c r="G22" s="52"/>
      <c r="H22" s="52"/>
      <c r="I22" s="88">
        <v>0</v>
      </c>
      <c r="J22" s="14" t="s">
        <v>250</v>
      </c>
      <c r="K22" s="14" t="s">
        <v>241</v>
      </c>
      <c r="L22" s="9"/>
    </row>
    <row r="23" spans="1:12">
      <c r="A23" s="9" t="str">
        <f t="shared" si="1"/>
        <v xml:space="preserve">Please fill in Supplier Name </v>
      </c>
      <c r="B23" s="9" t="s">
        <v>1152</v>
      </c>
      <c r="C23" s="9"/>
      <c r="D23" s="9"/>
      <c r="E23" s="9" t="s">
        <v>535</v>
      </c>
      <c r="F23" s="9"/>
      <c r="G23" s="52"/>
      <c r="H23" s="52"/>
      <c r="I23" s="88">
        <v>0</v>
      </c>
      <c r="J23" s="14" t="s">
        <v>250</v>
      </c>
      <c r="K23" s="14" t="s">
        <v>241</v>
      </c>
      <c r="L23" s="9"/>
    </row>
    <row r="24" spans="1:12">
      <c r="A24" s="9" t="str">
        <f t="shared" si="1"/>
        <v xml:space="preserve">Please fill in Supplier Name </v>
      </c>
      <c r="B24" s="9" t="s">
        <v>1153</v>
      </c>
      <c r="C24" s="9"/>
      <c r="D24" s="9"/>
      <c r="E24" s="9" t="s">
        <v>535</v>
      </c>
      <c r="F24" s="9"/>
      <c r="G24" s="52"/>
      <c r="H24" s="52"/>
      <c r="I24" s="88">
        <v>0</v>
      </c>
      <c r="J24" s="14" t="s">
        <v>250</v>
      </c>
      <c r="K24" s="14" t="s">
        <v>241</v>
      </c>
      <c r="L24" s="9"/>
    </row>
    <row r="25" spans="1:12">
      <c r="A25" s="9" t="str">
        <f t="shared" si="1"/>
        <v xml:space="preserve">Please fill in Supplier Name </v>
      </c>
      <c r="B25" s="9" t="s">
        <v>1154</v>
      </c>
      <c r="C25" s="9"/>
      <c r="D25" s="9"/>
      <c r="E25" s="9" t="s">
        <v>535</v>
      </c>
      <c r="F25" s="9"/>
      <c r="G25" s="52"/>
      <c r="H25" s="52"/>
      <c r="I25" s="88">
        <v>0</v>
      </c>
      <c r="J25" s="14" t="s">
        <v>250</v>
      </c>
      <c r="K25" s="14" t="s">
        <v>241</v>
      </c>
      <c r="L25" s="9"/>
    </row>
    <row r="26" spans="1:12">
      <c r="A26" s="9" t="str">
        <f t="shared" si="1"/>
        <v xml:space="preserve">Please fill in Supplier Name </v>
      </c>
      <c r="B26" s="9" t="s">
        <v>1155</v>
      </c>
      <c r="C26" s="9"/>
      <c r="D26" s="9"/>
      <c r="E26" s="9" t="s">
        <v>535</v>
      </c>
      <c r="F26" s="9"/>
      <c r="G26" s="52"/>
      <c r="H26" s="52"/>
      <c r="I26" s="88">
        <v>0</v>
      </c>
      <c r="J26" s="14" t="s">
        <v>250</v>
      </c>
      <c r="K26" s="14" t="s">
        <v>241</v>
      </c>
      <c r="L26" s="9"/>
    </row>
    <row r="27" spans="1:12">
      <c r="A27" s="9" t="str">
        <f t="shared" si="1"/>
        <v xml:space="preserve">Please fill in Supplier Name </v>
      </c>
      <c r="B27" s="9" t="s">
        <v>1156</v>
      </c>
      <c r="C27" s="9"/>
      <c r="D27" s="9"/>
      <c r="E27" s="9" t="s">
        <v>535</v>
      </c>
      <c r="F27" s="9"/>
      <c r="G27" s="52"/>
      <c r="H27" s="52"/>
      <c r="I27" s="88">
        <v>0</v>
      </c>
      <c r="J27" s="14" t="s">
        <v>250</v>
      </c>
      <c r="K27" s="14" t="s">
        <v>241</v>
      </c>
      <c r="L27" s="9"/>
    </row>
    <row r="28" spans="1:12">
      <c r="A28" s="9" t="str">
        <f t="shared" si="1"/>
        <v xml:space="preserve">Please fill in Supplier Name </v>
      </c>
      <c r="B28" s="9" t="s">
        <v>1157</v>
      </c>
      <c r="C28" s="9"/>
      <c r="D28" s="9"/>
      <c r="E28" s="9" t="s">
        <v>535</v>
      </c>
      <c r="F28" s="9"/>
      <c r="G28" s="52"/>
      <c r="H28" s="52"/>
      <c r="I28" s="88">
        <v>0</v>
      </c>
      <c r="J28" s="14" t="s">
        <v>250</v>
      </c>
      <c r="K28" s="14" t="s">
        <v>241</v>
      </c>
      <c r="L28" s="9"/>
    </row>
    <row r="29" spans="1:12">
      <c r="A29" s="9" t="str">
        <f t="shared" si="1"/>
        <v xml:space="preserve">Please fill in Supplier Name </v>
      </c>
      <c r="B29" s="9" t="s">
        <v>1158</v>
      </c>
      <c r="C29" s="9"/>
      <c r="D29" s="9"/>
      <c r="E29" s="9" t="s">
        <v>535</v>
      </c>
      <c r="F29" s="9"/>
      <c r="G29" s="52"/>
      <c r="H29" s="52"/>
      <c r="I29" s="88">
        <v>0</v>
      </c>
      <c r="J29" s="14" t="s">
        <v>250</v>
      </c>
      <c r="K29" s="14" t="s">
        <v>241</v>
      </c>
      <c r="L29" s="9"/>
    </row>
    <row r="30" spans="1:12">
      <c r="A30" s="9" t="str">
        <f t="shared" si="1"/>
        <v xml:space="preserve">Please fill in Supplier Name </v>
      </c>
      <c r="B30" s="9" t="s">
        <v>1159</v>
      </c>
      <c r="C30" s="9"/>
      <c r="D30" s="9"/>
      <c r="E30" s="9" t="s">
        <v>535</v>
      </c>
      <c r="F30" s="9"/>
      <c r="G30" s="52"/>
      <c r="H30" s="52"/>
      <c r="I30" s="88">
        <v>0</v>
      </c>
      <c r="J30" s="14" t="s">
        <v>250</v>
      </c>
      <c r="K30" s="14" t="s">
        <v>241</v>
      </c>
      <c r="L30" s="9"/>
    </row>
    <row r="31" spans="1:12">
      <c r="A31" s="9" t="str">
        <f t="shared" si="1"/>
        <v xml:space="preserve">Please fill in Supplier Name </v>
      </c>
      <c r="B31" s="9" t="s">
        <v>1160</v>
      </c>
      <c r="C31" s="9"/>
      <c r="D31" s="9"/>
      <c r="E31" s="9" t="s">
        <v>535</v>
      </c>
      <c r="F31" s="9"/>
      <c r="G31" s="52"/>
      <c r="H31" s="52"/>
      <c r="I31" s="88">
        <v>0</v>
      </c>
      <c r="J31" s="14" t="s">
        <v>250</v>
      </c>
      <c r="K31" s="14" t="s">
        <v>241</v>
      </c>
      <c r="L31" s="9"/>
    </row>
    <row r="32" spans="1:12">
      <c r="A32" s="9" t="str">
        <f t="shared" si="1"/>
        <v xml:space="preserve">Please fill in Supplier Name </v>
      </c>
      <c r="B32" s="9" t="s">
        <v>1161</v>
      </c>
      <c r="C32" s="9"/>
      <c r="D32" s="9"/>
      <c r="E32" s="9" t="s">
        <v>535</v>
      </c>
      <c r="F32" s="9"/>
      <c r="G32" s="52"/>
      <c r="H32" s="52"/>
      <c r="I32" s="88">
        <v>0</v>
      </c>
      <c r="J32" s="14" t="s">
        <v>250</v>
      </c>
      <c r="K32" s="14" t="s">
        <v>241</v>
      </c>
      <c r="L32" s="9"/>
    </row>
    <row r="33" spans="1:12">
      <c r="A33" s="9" t="str">
        <f t="shared" si="1"/>
        <v xml:space="preserve">Please fill in Supplier Name </v>
      </c>
      <c r="B33" s="9" t="s">
        <v>1162</v>
      </c>
      <c r="C33" s="9"/>
      <c r="D33" s="9"/>
      <c r="E33" s="9" t="s">
        <v>535</v>
      </c>
      <c r="F33" s="9"/>
      <c r="G33" s="52"/>
      <c r="H33" s="52"/>
      <c r="I33" s="88">
        <v>0</v>
      </c>
      <c r="J33" s="14" t="s">
        <v>250</v>
      </c>
      <c r="K33" s="14" t="s">
        <v>241</v>
      </c>
      <c r="L33" s="9"/>
    </row>
    <row r="34" spans="1:12">
      <c r="A34" s="9" t="str">
        <f t="shared" si="1"/>
        <v xml:space="preserve">Please fill in Supplier Name </v>
      </c>
      <c r="B34" s="9" t="s">
        <v>1163</v>
      </c>
      <c r="C34" s="9"/>
      <c r="D34" s="9"/>
      <c r="E34" s="9" t="s">
        <v>535</v>
      </c>
      <c r="F34" s="9"/>
      <c r="G34" s="52"/>
      <c r="H34" s="52"/>
      <c r="I34" s="88">
        <v>0</v>
      </c>
      <c r="J34" s="14" t="s">
        <v>250</v>
      </c>
      <c r="K34" s="14" t="s">
        <v>241</v>
      </c>
      <c r="L34" s="9"/>
    </row>
    <row r="35" spans="1:12">
      <c r="A35" s="9" t="str">
        <f t="shared" si="1"/>
        <v xml:space="preserve">Please fill in Supplier Name </v>
      </c>
      <c r="B35" s="9" t="s">
        <v>1164</v>
      </c>
      <c r="C35" s="9"/>
      <c r="D35" s="9"/>
      <c r="E35" s="9" t="s">
        <v>535</v>
      </c>
      <c r="F35" s="9"/>
      <c r="G35" s="52"/>
      <c r="H35" s="52"/>
      <c r="I35" s="88">
        <v>0</v>
      </c>
      <c r="J35" s="14" t="s">
        <v>250</v>
      </c>
      <c r="K35" s="14" t="s">
        <v>241</v>
      </c>
      <c r="L35" s="9"/>
    </row>
    <row r="36" spans="1:12">
      <c r="A36" s="9" t="str">
        <f t="shared" si="1"/>
        <v xml:space="preserve">Please fill in Supplier Name </v>
      </c>
      <c r="B36" s="9" t="s">
        <v>1165</v>
      </c>
      <c r="C36" s="9"/>
      <c r="D36" s="9"/>
      <c r="E36" s="9" t="s">
        <v>535</v>
      </c>
      <c r="F36" s="9"/>
      <c r="G36" s="52"/>
      <c r="H36" s="52"/>
      <c r="I36" s="88">
        <v>0</v>
      </c>
      <c r="J36" s="14" t="s">
        <v>250</v>
      </c>
      <c r="K36" s="14" t="s">
        <v>241</v>
      </c>
      <c r="L36" s="9"/>
    </row>
  </sheetData>
  <sheetProtection algorithmName="SHA-512" hashValue="Y05eStBG8hO/Y1Kt4KbfzvnukOpMaLsn3T1uVywj2fIE5NepIjm+5AsYiAHME8iGaGad4SH1TgrPRKvfmaN0yg==" saltValue="LstyJe8/5JftYKN5srSgRw==" spinCount="100000" sheet="1" objects="1" scenarios="1"/>
  <autoFilter ref="A3:L36" xr:uid="{3E30096F-6B42-462A-94BA-4416E6CB1815}"/>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7BFAF-2BDC-4B7E-98DC-3B5C21975AC0}">
  <sheetPr>
    <tabColor theme="8" tint="0.59999389629810485"/>
  </sheetPr>
  <dimension ref="A1:N16"/>
  <sheetViews>
    <sheetView showGridLines="0" zoomScale="70" zoomScaleNormal="70" workbookViewId="0">
      <pane ySplit="3" topLeftCell="A4" activePane="bottomLeft" state="frozen"/>
      <selection pane="bottomLeft" activeCell="C4" sqref="C4"/>
      <selection activeCell="N64" sqref="N64"/>
    </sheetView>
  </sheetViews>
  <sheetFormatPr defaultColWidth="7.75" defaultRowHeight="13.15"/>
  <cols>
    <col min="1" max="1" width="30.625" style="44" customWidth="1"/>
    <col min="2" max="2" width="23.75" style="44" bestFit="1" customWidth="1"/>
    <col min="3" max="3" width="43.125" style="44" customWidth="1"/>
    <col min="4" max="4" width="8.5" style="45" customWidth="1"/>
    <col min="5" max="5" width="6.75" style="45" customWidth="1"/>
    <col min="6" max="6" width="50.625" style="45" customWidth="1"/>
    <col min="7" max="7" width="9.875" style="45" bestFit="1" customWidth="1"/>
    <col min="8" max="8" width="8.875" style="45" customWidth="1"/>
    <col min="9" max="9" width="15.5" style="45" customWidth="1"/>
    <col min="10" max="10" width="10" style="45" bestFit="1" customWidth="1"/>
    <col min="11" max="11" width="15.25" style="44" customWidth="1"/>
    <col min="12" max="12" width="22.25" style="44" customWidth="1"/>
    <col min="13" max="13" width="7.75" style="44" bestFit="1"/>
    <col min="14" max="14" width="59.125" style="44" customWidth="1"/>
    <col min="15" max="16384" width="7.75" style="44"/>
  </cols>
  <sheetData>
    <row r="1" spans="1:14">
      <c r="A1" s="1" t="s">
        <v>831</v>
      </c>
      <c r="B1" s="1" t="s">
        <v>1166</v>
      </c>
      <c r="C1" s="1" t="s">
        <v>521</v>
      </c>
      <c r="D1" s="2"/>
      <c r="E1" s="2"/>
      <c r="F1" s="2"/>
      <c r="G1" s="2"/>
      <c r="H1" s="2"/>
      <c r="I1" s="2"/>
      <c r="J1" s="2"/>
      <c r="K1" s="1"/>
      <c r="L1" s="1"/>
      <c r="M1" s="1"/>
      <c r="N1" s="1"/>
    </row>
    <row r="2" spans="1:14" ht="66" customHeight="1">
      <c r="A2" s="46"/>
      <c r="B2" s="3" t="s">
        <v>941</v>
      </c>
      <c r="C2" s="168" t="s">
        <v>1167</v>
      </c>
      <c r="D2" s="4"/>
      <c r="E2" s="4"/>
      <c r="F2" s="4"/>
      <c r="G2" s="4"/>
      <c r="H2" s="4"/>
      <c r="I2" s="4"/>
      <c r="J2" s="4"/>
      <c r="K2" s="4"/>
      <c r="L2" s="5"/>
      <c r="M2" s="1"/>
      <c r="N2" s="1"/>
    </row>
    <row r="3" spans="1:14" s="47" customFormat="1" ht="52.9">
      <c r="A3" s="6" t="s">
        <v>524</v>
      </c>
      <c r="B3" s="6" t="s">
        <v>3</v>
      </c>
      <c r="C3" s="6" t="s">
        <v>4</v>
      </c>
      <c r="D3" s="6" t="s">
        <v>5</v>
      </c>
      <c r="E3" s="6" t="s">
        <v>6</v>
      </c>
      <c r="F3" s="6" t="s">
        <v>525</v>
      </c>
      <c r="G3" s="6" t="s">
        <v>8</v>
      </c>
      <c r="H3" s="6" t="s">
        <v>9</v>
      </c>
      <c r="I3" s="6" t="s">
        <v>10</v>
      </c>
      <c r="J3" s="20" t="s">
        <v>11</v>
      </c>
      <c r="K3" s="20" t="s">
        <v>526</v>
      </c>
      <c r="L3" s="21" t="s">
        <v>13</v>
      </c>
      <c r="M3" s="21" t="s">
        <v>527</v>
      </c>
      <c r="N3" s="6" t="s">
        <v>528</v>
      </c>
    </row>
    <row r="4" spans="1:14">
      <c r="A4" s="82" t="str">
        <f>'CS C C1-3'!$A$4</f>
        <v xml:space="preserve">Please fill in Supplier Name </v>
      </c>
      <c r="B4" s="9" t="s">
        <v>1168</v>
      </c>
      <c r="C4" s="9" t="s">
        <v>226</v>
      </c>
      <c r="D4" s="9"/>
      <c r="E4" s="9"/>
      <c r="F4" s="9"/>
      <c r="G4" s="7">
        <f>SUM(G5:G6)</f>
        <v>0</v>
      </c>
      <c r="H4" s="7">
        <f>SUM(H5:H6)</f>
        <v>0</v>
      </c>
      <c r="I4" s="57">
        <f>SUM(G4:H4)</f>
        <v>0</v>
      </c>
      <c r="J4" s="14" t="s">
        <v>217</v>
      </c>
      <c r="K4" s="11">
        <v>1</v>
      </c>
      <c r="L4" s="9"/>
      <c r="M4" s="12" t="s">
        <v>544</v>
      </c>
      <c r="N4" s="12"/>
    </row>
    <row r="5" spans="1:14">
      <c r="A5" s="3"/>
      <c r="B5" s="3"/>
      <c r="C5" s="3" t="s">
        <v>1169</v>
      </c>
      <c r="D5" s="71"/>
      <c r="E5" s="285"/>
      <c r="F5" s="285"/>
      <c r="G5" s="48">
        <v>0</v>
      </c>
      <c r="H5" s="76"/>
      <c r="I5" s="285"/>
      <c r="J5" s="285"/>
      <c r="K5" s="285"/>
      <c r="L5" s="286"/>
      <c r="M5" s="1"/>
      <c r="N5" s="1"/>
    </row>
    <row r="6" spans="1:14">
      <c r="A6" s="3"/>
      <c r="B6" s="3"/>
      <c r="C6" s="3" t="s">
        <v>1170</v>
      </c>
      <c r="D6" s="71"/>
      <c r="E6" s="285"/>
      <c r="F6" s="285"/>
      <c r="G6" s="48">
        <v>0</v>
      </c>
      <c r="H6" s="76"/>
      <c r="I6" s="285"/>
      <c r="J6" s="285"/>
      <c r="K6" s="285"/>
      <c r="L6" s="286"/>
      <c r="M6" s="1"/>
      <c r="N6" s="1"/>
    </row>
    <row r="7" spans="1:14">
      <c r="A7" s="1"/>
      <c r="B7" s="1"/>
      <c r="C7" s="1"/>
      <c r="D7" s="1"/>
      <c r="E7" s="1"/>
      <c r="F7" s="1"/>
      <c r="G7" s="1"/>
      <c r="H7" s="1"/>
      <c r="I7" s="1"/>
      <c r="J7" s="1"/>
      <c r="K7" s="1"/>
      <c r="L7" s="1"/>
      <c r="M7" s="1"/>
      <c r="N7" s="1"/>
    </row>
    <row r="8" spans="1:14">
      <c r="A8" s="9" t="str">
        <f>$A$4</f>
        <v xml:space="preserve">Please fill in Supplier Name </v>
      </c>
      <c r="B8" s="9" t="s">
        <v>1171</v>
      </c>
      <c r="C8" s="9" t="s">
        <v>236</v>
      </c>
      <c r="D8" s="9"/>
      <c r="E8" s="9"/>
      <c r="F8" s="9"/>
      <c r="G8" s="7">
        <f>SUM(G9:G10)</f>
        <v>0</v>
      </c>
      <c r="H8" s="7">
        <f>SUM(H9:H10)</f>
        <v>0</v>
      </c>
      <c r="I8" s="57">
        <f>SUM(G8:H8)</f>
        <v>0</v>
      </c>
      <c r="J8" s="14" t="s">
        <v>217</v>
      </c>
      <c r="K8" s="11">
        <v>1</v>
      </c>
      <c r="L8" s="9"/>
      <c r="M8" s="12"/>
      <c r="N8" s="12"/>
    </row>
    <row r="9" spans="1:14">
      <c r="A9" s="3"/>
      <c r="B9" s="3"/>
      <c r="C9" s="3" t="s">
        <v>1172</v>
      </c>
      <c r="D9" s="71">
        <v>1</v>
      </c>
      <c r="E9" s="285" t="s">
        <v>535</v>
      </c>
      <c r="F9" s="285"/>
      <c r="G9" s="48">
        <v>0</v>
      </c>
      <c r="H9" s="76"/>
      <c r="I9" s="285"/>
      <c r="J9" s="285"/>
      <c r="K9" s="285"/>
      <c r="L9" s="286"/>
      <c r="M9" s="1"/>
      <c r="N9" s="1" t="s">
        <v>1173</v>
      </c>
    </row>
    <row r="10" spans="1:14">
      <c r="A10" s="3"/>
      <c r="B10" s="3"/>
      <c r="C10" s="287" t="s">
        <v>1174</v>
      </c>
      <c r="D10" s="71"/>
      <c r="E10" s="285"/>
      <c r="F10" s="285"/>
      <c r="G10" s="48">
        <v>0</v>
      </c>
      <c r="H10" s="76"/>
      <c r="I10" s="285"/>
      <c r="J10" s="285"/>
      <c r="K10" s="285"/>
      <c r="L10" s="286"/>
      <c r="M10" s="1"/>
      <c r="N10" s="1"/>
    </row>
    <row r="11" spans="1:14">
      <c r="A11" s="1"/>
      <c r="B11" s="1"/>
      <c r="C11" s="1"/>
      <c r="D11" s="1"/>
      <c r="E11" s="1"/>
      <c r="F11" s="1"/>
      <c r="G11" s="1"/>
      <c r="H11" s="1"/>
      <c r="I11" s="1"/>
      <c r="J11" s="1"/>
      <c r="K11" s="1"/>
      <c r="L11" s="1"/>
      <c r="M11" s="1"/>
      <c r="N11" s="1"/>
    </row>
    <row r="12" spans="1:14">
      <c r="A12" s="9" t="str">
        <f>$A$4</f>
        <v xml:space="preserve">Please fill in Supplier Name </v>
      </c>
      <c r="B12" s="9" t="s">
        <v>1175</v>
      </c>
      <c r="C12" s="9" t="s">
        <v>179</v>
      </c>
      <c r="D12" s="9"/>
      <c r="E12" s="9"/>
      <c r="F12" s="9"/>
      <c r="G12" s="7">
        <f>SUM(G13:G14)</f>
        <v>0</v>
      </c>
      <c r="H12" s="7">
        <f>SUM(H13:H14)</f>
        <v>0</v>
      </c>
      <c r="I12" s="57">
        <f>SUM(G12:H12)</f>
        <v>0</v>
      </c>
      <c r="J12" s="14" t="s">
        <v>217</v>
      </c>
      <c r="K12" s="11">
        <v>1</v>
      </c>
      <c r="L12" s="9" t="s">
        <v>224</v>
      </c>
      <c r="M12" s="12" t="s">
        <v>544</v>
      </c>
      <c r="N12" s="12"/>
    </row>
    <row r="13" spans="1:14">
      <c r="A13" s="3"/>
      <c r="B13" s="3"/>
      <c r="C13" s="3" t="s">
        <v>1176</v>
      </c>
      <c r="D13" s="71">
        <v>1</v>
      </c>
      <c r="E13" s="285" t="s">
        <v>535</v>
      </c>
      <c r="F13" s="285"/>
      <c r="G13" s="48">
        <v>0</v>
      </c>
      <c r="H13" s="76"/>
      <c r="I13" s="285"/>
      <c r="J13" s="285"/>
      <c r="K13" s="285"/>
      <c r="L13" s="286"/>
      <c r="M13" s="1"/>
      <c r="N13" s="1"/>
    </row>
    <row r="14" spans="1:14">
      <c r="A14" s="3"/>
      <c r="B14" s="3"/>
      <c r="C14" s="287" t="s">
        <v>1177</v>
      </c>
      <c r="D14" s="71"/>
      <c r="E14" s="285"/>
      <c r="F14" s="285"/>
      <c r="G14" s="48">
        <v>0</v>
      </c>
      <c r="H14" s="76"/>
      <c r="I14" s="285"/>
      <c r="J14" s="285"/>
      <c r="K14" s="285"/>
      <c r="L14" s="286"/>
      <c r="M14" s="1"/>
      <c r="N14" s="1"/>
    </row>
    <row r="15" spans="1:14">
      <c r="A15" s="1"/>
      <c r="B15" s="1"/>
      <c r="C15" s="1"/>
      <c r="D15" s="1"/>
      <c r="E15" s="1"/>
      <c r="F15" s="1"/>
      <c r="G15" s="1"/>
      <c r="H15" s="1"/>
      <c r="I15" s="1"/>
      <c r="J15" s="1"/>
      <c r="K15" s="1"/>
      <c r="L15" s="1"/>
      <c r="M15" s="1"/>
      <c r="N15" s="1"/>
    </row>
    <row r="16" spans="1:14">
      <c r="A16" s="9" t="str">
        <f>$A$4</f>
        <v xml:space="preserve">Please fill in Supplier Name </v>
      </c>
      <c r="B16" s="9" t="s">
        <v>1178</v>
      </c>
      <c r="C16" s="9" t="s">
        <v>1179</v>
      </c>
      <c r="D16" s="10"/>
      <c r="E16" s="10"/>
      <c r="F16" s="10"/>
      <c r="G16" s="7"/>
      <c r="H16" s="7"/>
      <c r="I16" s="288"/>
      <c r="J16" s="14" t="s">
        <v>217</v>
      </c>
      <c r="K16" s="11">
        <v>1</v>
      </c>
      <c r="L16" s="9"/>
      <c r="M16" s="1"/>
      <c r="N16" s="1"/>
    </row>
  </sheetData>
  <sheetProtection algorithmName="SHA-512" hashValue="hEh22OYuHaEz25citCReo3xI72eq0wLLkw3iOlGlQ/xckCkNxfEAGyUbM2ZyNDGEPCmk42NYFdCH5VnaTN5nJg==" saltValue="ynE3q+pwGZiH6Ksk0x/KuA==" spinCount="100000" sheet="1" objects="1" scenarios="1"/>
  <autoFilter ref="A3:N16" xr:uid="{2047BFAF-2BDC-4B7E-98DC-3B5C21975AC0}"/>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727D0-6A5A-4C46-91E0-3CF675452CD0}">
  <sheetPr filterMode="1">
    <tabColor rgb="FFFFFF00"/>
  </sheetPr>
  <dimension ref="A1:Q579"/>
  <sheetViews>
    <sheetView showGridLines="0" zoomScale="70" zoomScaleNormal="70" workbookViewId="0">
      <pane ySplit="3" topLeftCell="A414" activePane="bottomLeft" state="frozen"/>
      <selection pane="bottomLeft" activeCell="M364" sqref="M364"/>
      <selection activeCell="L255" sqref="L255"/>
    </sheetView>
  </sheetViews>
  <sheetFormatPr defaultColWidth="7.75" defaultRowHeight="13.15"/>
  <cols>
    <col min="1" max="1" width="30.625" style="101" customWidth="1"/>
    <col min="2" max="2" width="23.75" style="101" bestFit="1" customWidth="1"/>
    <col min="3" max="3" width="41.125" style="103" customWidth="1"/>
    <col min="4" max="4" width="11.125" style="102" customWidth="1"/>
    <col min="5" max="5" width="10.25" style="102" customWidth="1"/>
    <col min="6" max="6" width="50.625" style="103" customWidth="1"/>
    <col min="7" max="7" width="8.625" style="102" customWidth="1"/>
    <col min="8" max="8" width="8.875" style="102" customWidth="1"/>
    <col min="9" max="9" width="11.375" style="102" customWidth="1"/>
    <col min="10" max="10" width="8.75" style="102" customWidth="1"/>
    <col min="11" max="12" width="18.125" style="101" customWidth="1"/>
    <col min="13" max="13" width="18.125" style="141" customWidth="1"/>
    <col min="14" max="14" width="17.25" style="101" customWidth="1"/>
    <col min="15" max="15" width="7.75" style="101"/>
    <col min="16" max="16" width="88.5" style="101" bestFit="1" customWidth="1"/>
    <col min="17" max="17" width="78.875" style="101" customWidth="1"/>
    <col min="18" max="16384" width="7.75" style="101"/>
  </cols>
  <sheetData>
    <row r="1" spans="1:16">
      <c r="A1" s="101" t="s">
        <v>519</v>
      </c>
      <c r="B1" s="101" t="s">
        <v>520</v>
      </c>
      <c r="C1" s="103" t="s">
        <v>521</v>
      </c>
    </row>
    <row r="2" spans="1:16" ht="22.7" customHeight="1">
      <c r="A2" s="104"/>
      <c r="B2" s="105" t="s">
        <v>522</v>
      </c>
      <c r="C2" s="107" t="s">
        <v>523</v>
      </c>
      <c r="D2" s="106"/>
      <c r="E2" s="106"/>
      <c r="F2" s="107"/>
      <c r="G2" s="106"/>
      <c r="H2" s="106"/>
      <c r="I2" s="106"/>
      <c r="J2" s="106"/>
      <c r="K2" s="106"/>
      <c r="L2" s="106"/>
      <c r="M2" s="142"/>
      <c r="N2" s="108"/>
    </row>
    <row r="3" spans="1:16" s="22" customFormat="1" ht="39.6">
      <c r="A3" s="6" t="s">
        <v>524</v>
      </c>
      <c r="B3" s="6" t="s">
        <v>3</v>
      </c>
      <c r="C3" s="6" t="s">
        <v>4</v>
      </c>
      <c r="D3" s="6" t="s">
        <v>5</v>
      </c>
      <c r="E3" s="6" t="s">
        <v>6</v>
      </c>
      <c r="F3" s="6" t="s">
        <v>525</v>
      </c>
      <c r="G3" s="6" t="s">
        <v>8</v>
      </c>
      <c r="H3" s="6" t="s">
        <v>9</v>
      </c>
      <c r="I3" s="6" t="s">
        <v>10</v>
      </c>
      <c r="J3" s="20" t="s">
        <v>11</v>
      </c>
      <c r="K3" s="20" t="s">
        <v>526</v>
      </c>
      <c r="L3" s="20"/>
      <c r="M3" s="143"/>
      <c r="N3" s="21" t="s">
        <v>13</v>
      </c>
      <c r="O3" s="21" t="s">
        <v>527</v>
      </c>
      <c r="P3" s="6" t="s">
        <v>528</v>
      </c>
    </row>
    <row r="4" spans="1:16" ht="13.15" customHeight="1">
      <c r="A4" s="184" t="str">
        <f>'CS C C1-3'!$A$4</f>
        <v xml:space="preserve">Please fill in Supplier Name </v>
      </c>
      <c r="B4" s="185" t="s">
        <v>530</v>
      </c>
      <c r="C4" s="186" t="s">
        <v>531</v>
      </c>
      <c r="D4" s="187"/>
      <c r="E4" s="187"/>
      <c r="F4" s="188"/>
      <c r="G4" s="189">
        <f>'CS C C1-3'!G4</f>
        <v>0</v>
      </c>
      <c r="H4" s="189">
        <f>'CS C C1-3'!H4</f>
        <v>1.04</v>
      </c>
      <c r="I4" s="190">
        <f>'CS C C1-3'!I4</f>
        <v>1.04</v>
      </c>
      <c r="J4" s="191" t="s">
        <v>16</v>
      </c>
      <c r="K4" s="191" t="s">
        <v>17</v>
      </c>
      <c r="L4" s="192">
        <v>40</v>
      </c>
      <c r="M4" s="193">
        <f>I4*L4</f>
        <v>41.6</v>
      </c>
      <c r="N4" s="186"/>
      <c r="O4" s="194" t="s">
        <v>532</v>
      </c>
      <c r="P4" s="194" t="s">
        <v>533</v>
      </c>
    </row>
    <row r="5" spans="1:16" ht="13.15" hidden="1" customHeight="1">
      <c r="B5" s="105"/>
      <c r="C5" s="103" t="s">
        <v>534</v>
      </c>
      <c r="D5" s="121">
        <v>1</v>
      </c>
      <c r="E5" s="117" t="s">
        <v>535</v>
      </c>
      <c r="F5" s="122"/>
      <c r="G5" s="117">
        <v>0</v>
      </c>
      <c r="H5" s="118"/>
      <c r="I5" s="117"/>
      <c r="J5" s="117"/>
      <c r="K5" s="119"/>
      <c r="L5" s="119"/>
      <c r="M5" s="119"/>
      <c r="N5" s="120">
        <v>972062</v>
      </c>
    </row>
    <row r="6" spans="1:16" ht="13.15" hidden="1" customHeight="1">
      <c r="A6" s="105"/>
      <c r="B6" s="105"/>
      <c r="C6" s="131" t="s">
        <v>536</v>
      </c>
      <c r="D6" s="121">
        <v>3</v>
      </c>
      <c r="E6" s="117" t="s">
        <v>535</v>
      </c>
      <c r="F6" s="122"/>
      <c r="G6" s="117">
        <v>0</v>
      </c>
      <c r="H6" s="118"/>
      <c r="I6" s="117"/>
      <c r="J6" s="117"/>
      <c r="K6" s="119"/>
      <c r="L6" s="119"/>
      <c r="M6" s="119"/>
      <c r="N6" s="120">
        <v>971090</v>
      </c>
    </row>
    <row r="7" spans="1:16" ht="13.15" hidden="1" customHeight="1">
      <c r="A7" s="105"/>
      <c r="B7" s="105"/>
      <c r="C7" s="131" t="s">
        <v>537</v>
      </c>
      <c r="D7" s="121">
        <v>3</v>
      </c>
      <c r="E7" s="117" t="s">
        <v>535</v>
      </c>
      <c r="F7" s="122"/>
      <c r="G7" s="117">
        <v>0</v>
      </c>
      <c r="H7" s="118"/>
      <c r="I7" s="117"/>
      <c r="J7" s="117"/>
      <c r="K7" s="119"/>
      <c r="L7" s="119"/>
      <c r="M7" s="119"/>
      <c r="N7" s="120">
        <v>971091</v>
      </c>
    </row>
    <row r="8" spans="1:16" ht="13.15" hidden="1" customHeight="1">
      <c r="A8" s="105"/>
      <c r="B8" s="105"/>
      <c r="C8" s="131" t="s">
        <v>538</v>
      </c>
      <c r="D8" s="121">
        <v>1</v>
      </c>
      <c r="E8" s="117" t="s">
        <v>535</v>
      </c>
      <c r="F8" s="122"/>
      <c r="G8" s="117">
        <v>0</v>
      </c>
      <c r="H8" s="118"/>
      <c r="I8" s="117"/>
      <c r="J8" s="117"/>
      <c r="K8" s="119"/>
      <c r="L8" s="119"/>
      <c r="M8" s="119"/>
      <c r="N8" s="120">
        <v>971093</v>
      </c>
    </row>
    <row r="9" spans="1:16" ht="13.15" hidden="1" customHeight="1">
      <c r="A9" s="105"/>
      <c r="B9" s="105"/>
      <c r="C9" s="131" t="s">
        <v>539</v>
      </c>
      <c r="D9" s="121">
        <v>1</v>
      </c>
      <c r="E9" s="117" t="s">
        <v>535</v>
      </c>
      <c r="F9" s="122"/>
      <c r="G9" s="117">
        <v>0</v>
      </c>
      <c r="H9" s="118"/>
      <c r="I9" s="117"/>
      <c r="J9" s="117"/>
      <c r="K9" s="119"/>
      <c r="L9" s="119"/>
      <c r="M9" s="119"/>
      <c r="N9" s="120">
        <v>973034</v>
      </c>
    </row>
    <row r="10" spans="1:16" ht="13.15" hidden="1" customHeight="1">
      <c r="A10" s="105"/>
      <c r="B10" s="105"/>
      <c r="C10" s="131" t="s">
        <v>540</v>
      </c>
      <c r="D10" s="121">
        <v>1</v>
      </c>
      <c r="E10" s="117" t="s">
        <v>535</v>
      </c>
      <c r="F10" s="122"/>
      <c r="G10" s="117">
        <v>0</v>
      </c>
      <c r="H10" s="118"/>
      <c r="I10" s="117"/>
      <c r="J10" s="117"/>
      <c r="K10" s="119"/>
      <c r="L10" s="119"/>
      <c r="M10" s="119"/>
      <c r="N10" s="120">
        <v>973020</v>
      </c>
    </row>
    <row r="11" spans="1:16" ht="13.15" hidden="1" customHeight="1">
      <c r="A11" s="105"/>
      <c r="B11" s="105"/>
      <c r="C11" s="131"/>
      <c r="D11" s="121"/>
      <c r="E11" s="117"/>
      <c r="F11" s="122"/>
      <c r="G11" s="117"/>
      <c r="H11" s="118"/>
      <c r="I11" s="117"/>
      <c r="J11" s="117"/>
      <c r="K11" s="119"/>
      <c r="L11" s="119"/>
      <c r="M11" s="119"/>
      <c r="N11" s="120"/>
    </row>
    <row r="12" spans="1:16" ht="13.15" hidden="1" customHeight="1">
      <c r="A12" s="105"/>
      <c r="B12" s="105"/>
      <c r="C12" s="131"/>
      <c r="D12" s="121"/>
      <c r="E12" s="117"/>
      <c r="F12" s="122"/>
      <c r="G12" s="117"/>
      <c r="H12" s="118"/>
      <c r="I12" s="117"/>
      <c r="J12" s="117"/>
      <c r="K12" s="119"/>
      <c r="L12" s="119"/>
      <c r="M12" s="119"/>
      <c r="N12" s="120"/>
    </row>
    <row r="13" spans="1:16" ht="13.15" hidden="1" customHeight="1">
      <c r="A13" s="105"/>
      <c r="B13" s="105"/>
      <c r="C13" s="131"/>
      <c r="D13" s="121"/>
      <c r="E13" s="117"/>
      <c r="F13" s="122"/>
      <c r="G13" s="117"/>
      <c r="H13" s="118"/>
      <c r="I13" s="117"/>
      <c r="J13" s="117"/>
      <c r="K13" s="119"/>
      <c r="L13" s="119"/>
      <c r="M13" s="119"/>
      <c r="N13" s="120"/>
    </row>
    <row r="14" spans="1:16" ht="13.15" hidden="1" customHeight="1">
      <c r="D14" s="101"/>
      <c r="E14" s="101"/>
      <c r="G14" s="101"/>
      <c r="H14" s="101"/>
      <c r="I14" s="101"/>
      <c r="J14" s="101"/>
      <c r="M14" s="101"/>
    </row>
    <row r="15" spans="1:16" ht="13.15" customHeight="1">
      <c r="A15" s="227" t="str">
        <f>$A$4</f>
        <v xml:space="preserve">Please fill in Supplier Name </v>
      </c>
      <c r="B15" s="227" t="s">
        <v>541</v>
      </c>
      <c r="C15" s="228" t="s">
        <v>542</v>
      </c>
      <c r="D15" s="229"/>
      <c r="E15" s="229"/>
      <c r="F15" s="230"/>
      <c r="G15" s="231">
        <f>'CS C C1-3'!G15</f>
        <v>0</v>
      </c>
      <c r="H15" s="231">
        <f>'CS C C1-3'!H15</f>
        <v>1.04</v>
      </c>
      <c r="I15" s="232">
        <f>'CS C C1-3'!I15</f>
        <v>1.04</v>
      </c>
      <c r="J15" s="233" t="s">
        <v>16</v>
      </c>
      <c r="K15" s="233" t="s">
        <v>17</v>
      </c>
      <c r="L15" s="234">
        <v>40</v>
      </c>
      <c r="M15" s="235">
        <f>I15*L15</f>
        <v>41.6</v>
      </c>
      <c r="N15" s="228"/>
      <c r="O15" s="236" t="s">
        <v>543</v>
      </c>
      <c r="P15" s="236" t="s">
        <v>533</v>
      </c>
    </row>
    <row r="16" spans="1:16" ht="13.15" hidden="1" customHeight="1">
      <c r="B16" s="105"/>
      <c r="C16" s="103" t="s">
        <v>534</v>
      </c>
      <c r="D16" s="121">
        <v>1</v>
      </c>
      <c r="E16" s="117" t="s">
        <v>535</v>
      </c>
      <c r="F16" s="122"/>
      <c r="G16" s="117">
        <v>0</v>
      </c>
      <c r="H16" s="118"/>
      <c r="I16" s="117"/>
      <c r="J16" s="117"/>
      <c r="K16" s="119"/>
      <c r="L16" s="119"/>
      <c r="M16" s="119"/>
      <c r="N16" s="120">
        <v>972062</v>
      </c>
    </row>
    <row r="17" spans="1:16" ht="13.15" hidden="1" customHeight="1">
      <c r="A17" s="105"/>
      <c r="B17" s="105"/>
      <c r="C17" s="131" t="s">
        <v>536</v>
      </c>
      <c r="D17" s="121">
        <v>3</v>
      </c>
      <c r="E17" s="117" t="s">
        <v>535</v>
      </c>
      <c r="F17" s="122"/>
      <c r="G17" s="117">
        <v>0</v>
      </c>
      <c r="H17" s="118"/>
      <c r="I17" s="117"/>
      <c r="J17" s="117"/>
      <c r="K17" s="119"/>
      <c r="L17" s="119"/>
      <c r="M17" s="119"/>
      <c r="N17" s="120">
        <v>971090</v>
      </c>
    </row>
    <row r="18" spans="1:16" ht="13.15" hidden="1" customHeight="1">
      <c r="A18" s="105"/>
      <c r="B18" s="105"/>
      <c r="C18" s="131" t="s">
        <v>537</v>
      </c>
      <c r="D18" s="121">
        <v>3</v>
      </c>
      <c r="E18" s="117" t="s">
        <v>535</v>
      </c>
      <c r="F18" s="122"/>
      <c r="G18" s="117">
        <v>0</v>
      </c>
      <c r="H18" s="118"/>
      <c r="I18" s="117"/>
      <c r="J18" s="117"/>
      <c r="K18" s="119"/>
      <c r="L18" s="119"/>
      <c r="M18" s="119"/>
      <c r="N18" s="120">
        <v>971091</v>
      </c>
    </row>
    <row r="19" spans="1:16" ht="13.15" hidden="1" customHeight="1">
      <c r="A19" s="105"/>
      <c r="B19" s="105"/>
      <c r="C19" s="131" t="s">
        <v>538</v>
      </c>
      <c r="D19" s="121">
        <v>1</v>
      </c>
      <c r="E19" s="117" t="s">
        <v>535</v>
      </c>
      <c r="F19" s="122"/>
      <c r="G19" s="117">
        <v>0</v>
      </c>
      <c r="H19" s="118"/>
      <c r="I19" s="117"/>
      <c r="J19" s="117"/>
      <c r="K19" s="119"/>
      <c r="L19" s="119"/>
      <c r="M19" s="119"/>
      <c r="N19" s="120">
        <v>971093</v>
      </c>
    </row>
    <row r="20" spans="1:16" ht="13.15" hidden="1" customHeight="1">
      <c r="A20" s="105"/>
      <c r="B20" s="105"/>
      <c r="C20" s="131" t="s">
        <v>539</v>
      </c>
      <c r="D20" s="121">
        <v>1</v>
      </c>
      <c r="E20" s="117" t="s">
        <v>535</v>
      </c>
      <c r="F20" s="122"/>
      <c r="G20" s="117">
        <v>0</v>
      </c>
      <c r="H20" s="118"/>
      <c r="I20" s="117"/>
      <c r="J20" s="117"/>
      <c r="K20" s="119"/>
      <c r="L20" s="119"/>
      <c r="M20" s="119"/>
      <c r="N20" s="120">
        <v>973034</v>
      </c>
    </row>
    <row r="21" spans="1:16" ht="13.15" hidden="1" customHeight="1">
      <c r="A21" s="105"/>
      <c r="B21" s="105"/>
      <c r="C21" s="131" t="s">
        <v>540</v>
      </c>
      <c r="D21" s="121">
        <v>1</v>
      </c>
      <c r="E21" s="117" t="s">
        <v>535</v>
      </c>
      <c r="F21" s="122"/>
      <c r="G21" s="117">
        <v>0</v>
      </c>
      <c r="H21" s="118"/>
      <c r="I21" s="117"/>
      <c r="J21" s="117"/>
      <c r="K21" s="119"/>
      <c r="L21" s="119"/>
      <c r="M21" s="119"/>
      <c r="N21" s="120">
        <v>973020</v>
      </c>
    </row>
    <row r="22" spans="1:16" ht="13.15" hidden="1" customHeight="1">
      <c r="A22" s="105"/>
      <c r="B22" s="105"/>
      <c r="C22" s="131"/>
      <c r="D22" s="121"/>
      <c r="E22" s="117"/>
      <c r="F22" s="122"/>
      <c r="G22" s="117"/>
      <c r="H22" s="118"/>
      <c r="I22" s="117"/>
      <c r="J22" s="117"/>
      <c r="K22" s="119"/>
      <c r="L22" s="119"/>
      <c r="M22" s="119"/>
      <c r="N22" s="120"/>
    </row>
    <row r="23" spans="1:16" ht="13.15" hidden="1" customHeight="1">
      <c r="A23" s="105"/>
      <c r="B23" s="105"/>
      <c r="C23" s="131"/>
      <c r="D23" s="121"/>
      <c r="E23" s="117"/>
      <c r="F23" s="122"/>
      <c r="G23" s="117"/>
      <c r="H23" s="118"/>
      <c r="I23" s="117"/>
      <c r="J23" s="117"/>
      <c r="K23" s="119"/>
      <c r="L23" s="119"/>
      <c r="M23" s="119"/>
      <c r="N23" s="120"/>
    </row>
    <row r="24" spans="1:16" ht="13.15" hidden="1" customHeight="1">
      <c r="A24" s="105"/>
      <c r="B24" s="105"/>
      <c r="C24" s="131"/>
      <c r="D24" s="121"/>
      <c r="E24" s="117"/>
      <c r="F24" s="122"/>
      <c r="G24" s="117"/>
      <c r="H24" s="118"/>
      <c r="I24" s="117"/>
      <c r="J24" s="117"/>
      <c r="K24" s="119"/>
      <c r="L24" s="119"/>
      <c r="M24" s="119"/>
      <c r="N24" s="120"/>
    </row>
    <row r="25" spans="1:16" ht="13.15" hidden="1" customHeight="1">
      <c r="D25" s="101"/>
      <c r="E25" s="101"/>
      <c r="G25" s="101"/>
      <c r="H25" s="101"/>
      <c r="I25" s="101"/>
      <c r="J25" s="101"/>
      <c r="M25" s="101"/>
    </row>
    <row r="26" spans="1:16" ht="13.15" hidden="1" customHeight="1">
      <c r="A26" s="109" t="str">
        <f>$A$4</f>
        <v xml:space="preserve">Please fill in Supplier Name </v>
      </c>
      <c r="B26" s="109" t="s">
        <v>18</v>
      </c>
      <c r="C26" s="115" t="s">
        <v>19</v>
      </c>
      <c r="D26" s="110"/>
      <c r="E26" s="110"/>
      <c r="F26" s="111"/>
      <c r="G26" s="112">
        <f>SUM(G27:G29)</f>
        <v>0</v>
      </c>
      <c r="H26" s="112">
        <f>SUM(H27:H29)</f>
        <v>0</v>
      </c>
      <c r="I26" s="113">
        <f>SUM(G26:H26)</f>
        <v>0</v>
      </c>
      <c r="J26" s="114" t="s">
        <v>16</v>
      </c>
      <c r="K26" s="127" t="s">
        <v>20</v>
      </c>
      <c r="L26" s="145">
        <v>4</v>
      </c>
      <c r="M26" s="144">
        <f>I26*L26</f>
        <v>0</v>
      </c>
      <c r="N26" s="115"/>
      <c r="O26" s="116" t="s">
        <v>544</v>
      </c>
      <c r="P26" s="116" t="s">
        <v>545</v>
      </c>
    </row>
    <row r="27" spans="1:16" ht="13.15" hidden="1" customHeight="1">
      <c r="A27" s="105"/>
      <c r="B27" s="105"/>
      <c r="C27" s="131" t="s">
        <v>546</v>
      </c>
      <c r="D27" s="121">
        <v>15</v>
      </c>
      <c r="E27" s="117" t="s">
        <v>547</v>
      </c>
      <c r="F27" s="122" t="s">
        <v>548</v>
      </c>
      <c r="G27" s="117"/>
      <c r="H27" s="117"/>
      <c r="I27" s="117"/>
      <c r="J27" s="117"/>
      <c r="K27" s="117"/>
      <c r="L27" s="117"/>
      <c r="M27" s="117"/>
      <c r="N27" s="120"/>
    </row>
    <row r="28" spans="1:16" ht="13.15" hidden="1" customHeight="1">
      <c r="A28" s="105"/>
      <c r="B28" s="105"/>
      <c r="C28" s="131"/>
      <c r="D28" s="121"/>
      <c r="E28" s="117"/>
      <c r="F28" s="122"/>
      <c r="G28" s="117"/>
      <c r="H28" s="117"/>
      <c r="I28" s="117"/>
      <c r="J28" s="117"/>
      <c r="K28" s="117"/>
      <c r="L28" s="117"/>
      <c r="M28" s="117"/>
      <c r="N28" s="120"/>
    </row>
    <row r="29" spans="1:16" ht="13.15" hidden="1" customHeight="1">
      <c r="A29" s="105"/>
      <c r="B29" s="105"/>
      <c r="C29" s="131"/>
      <c r="D29" s="121"/>
      <c r="E29" s="117"/>
      <c r="F29" s="122"/>
      <c r="G29" s="117"/>
      <c r="H29" s="117"/>
      <c r="I29" s="117"/>
      <c r="J29" s="117"/>
      <c r="K29" s="117"/>
      <c r="L29" s="117"/>
      <c r="M29" s="117"/>
      <c r="N29" s="120"/>
    </row>
    <row r="30" spans="1:16" ht="13.15" hidden="1" customHeight="1">
      <c r="D30" s="101"/>
      <c r="E30" s="101"/>
      <c r="G30" s="101"/>
      <c r="H30" s="101"/>
      <c r="I30" s="101"/>
      <c r="J30" s="101"/>
      <c r="M30" s="101"/>
    </row>
    <row r="31" spans="1:16" ht="13.15" customHeight="1">
      <c r="A31" s="185" t="str">
        <f>$A$4</f>
        <v xml:space="preserve">Please fill in Supplier Name </v>
      </c>
      <c r="B31" s="185" t="s">
        <v>21</v>
      </c>
      <c r="C31" s="186" t="s">
        <v>22</v>
      </c>
      <c r="D31" s="187"/>
      <c r="E31" s="187"/>
      <c r="F31" s="188"/>
      <c r="G31" s="189">
        <f>'CS C C1-3'!G31</f>
        <v>0</v>
      </c>
      <c r="H31" s="189">
        <f>'CS C C1-3'!H31</f>
        <v>0</v>
      </c>
      <c r="I31" s="190">
        <f>'CS C C1-3'!I31</f>
        <v>0</v>
      </c>
      <c r="J31" s="191" t="s">
        <v>16</v>
      </c>
      <c r="K31" s="191" t="s">
        <v>20</v>
      </c>
      <c r="L31" s="192">
        <v>4</v>
      </c>
      <c r="M31" s="193">
        <f>I31*L31</f>
        <v>0</v>
      </c>
      <c r="N31" s="186"/>
      <c r="O31" s="194" t="s">
        <v>532</v>
      </c>
      <c r="P31" s="194" t="s">
        <v>545</v>
      </c>
    </row>
    <row r="32" spans="1:16" ht="13.15" hidden="1" customHeight="1">
      <c r="A32" s="105"/>
      <c r="B32" s="105"/>
      <c r="C32" s="132"/>
      <c r="D32" s="123"/>
      <c r="E32" s="118"/>
      <c r="F32" s="124"/>
      <c r="G32" s="118"/>
      <c r="H32" s="118"/>
      <c r="I32" s="117"/>
      <c r="J32" s="117"/>
      <c r="K32" s="117"/>
      <c r="L32" s="117"/>
      <c r="M32" s="117"/>
      <c r="N32" s="120"/>
    </row>
    <row r="33" spans="1:16" ht="13.15" hidden="1" customHeight="1">
      <c r="A33" s="105"/>
      <c r="B33" s="105"/>
      <c r="C33" s="132"/>
      <c r="D33" s="125"/>
      <c r="E33" s="118"/>
      <c r="F33" s="124"/>
      <c r="G33" s="118"/>
      <c r="H33" s="118"/>
      <c r="I33" s="117"/>
      <c r="J33" s="117"/>
      <c r="K33" s="117"/>
      <c r="L33" s="117"/>
      <c r="M33" s="117"/>
      <c r="N33" s="120"/>
    </row>
    <row r="34" spans="1:16" ht="13.15" hidden="1" customHeight="1">
      <c r="A34" s="105"/>
      <c r="B34" s="105"/>
      <c r="C34" s="132"/>
      <c r="D34" s="125"/>
      <c r="E34" s="118"/>
      <c r="F34" s="124"/>
      <c r="G34" s="118"/>
      <c r="H34" s="118"/>
      <c r="I34" s="117"/>
      <c r="J34" s="117"/>
      <c r="K34" s="117"/>
      <c r="L34" s="117"/>
      <c r="M34" s="117"/>
      <c r="N34" s="120"/>
    </row>
    <row r="35" spans="1:16" ht="13.15" hidden="1" customHeight="1">
      <c r="D35" s="101"/>
      <c r="E35" s="101"/>
      <c r="G35" s="101"/>
      <c r="H35" s="101"/>
      <c r="I35" s="101"/>
      <c r="J35" s="101"/>
      <c r="M35" s="101"/>
    </row>
    <row r="36" spans="1:16" ht="13.15" customHeight="1">
      <c r="A36" s="227" t="str">
        <f>$A$4</f>
        <v xml:space="preserve">Please fill in Supplier Name </v>
      </c>
      <c r="B36" s="227" t="s">
        <v>23</v>
      </c>
      <c r="C36" s="228" t="s">
        <v>24</v>
      </c>
      <c r="D36" s="229"/>
      <c r="E36" s="229"/>
      <c r="F36" s="230"/>
      <c r="G36" s="231">
        <f>'CS C C1-3'!G36</f>
        <v>0</v>
      </c>
      <c r="H36" s="231">
        <f>'CS C C1-3'!H36</f>
        <v>0</v>
      </c>
      <c r="I36" s="232">
        <f>'CS C C1-3'!I36</f>
        <v>0</v>
      </c>
      <c r="J36" s="233" t="s">
        <v>16</v>
      </c>
      <c r="K36" s="233" t="s">
        <v>20</v>
      </c>
      <c r="L36" s="234">
        <v>4</v>
      </c>
      <c r="M36" s="235">
        <f>I36*L36</f>
        <v>0</v>
      </c>
      <c r="N36" s="228"/>
      <c r="O36" s="236" t="s">
        <v>543</v>
      </c>
      <c r="P36" s="236" t="s">
        <v>545</v>
      </c>
    </row>
    <row r="37" spans="1:16" ht="13.15" hidden="1" customHeight="1">
      <c r="A37" s="105"/>
      <c r="B37" s="105"/>
      <c r="C37" s="132"/>
      <c r="D37" s="125"/>
      <c r="E37" s="118"/>
      <c r="F37" s="124"/>
      <c r="G37" s="118"/>
      <c r="H37" s="118"/>
      <c r="I37" s="117"/>
      <c r="J37" s="117"/>
      <c r="K37" s="117"/>
      <c r="L37" s="117"/>
      <c r="M37" s="117"/>
      <c r="N37" s="120"/>
    </row>
    <row r="38" spans="1:16" ht="13.15" hidden="1" customHeight="1">
      <c r="A38" s="105"/>
      <c r="B38" s="105"/>
      <c r="C38" s="132"/>
      <c r="D38" s="125"/>
      <c r="E38" s="118"/>
      <c r="F38" s="124"/>
      <c r="G38" s="118"/>
      <c r="H38" s="118"/>
      <c r="I38" s="117"/>
      <c r="J38" s="117"/>
      <c r="K38" s="117"/>
      <c r="L38" s="117"/>
      <c r="M38" s="117"/>
      <c r="N38" s="120"/>
    </row>
    <row r="39" spans="1:16" ht="13.15" hidden="1" customHeight="1">
      <c r="A39" s="105"/>
      <c r="B39" s="105"/>
      <c r="C39" s="132"/>
      <c r="D39" s="125"/>
      <c r="E39" s="118"/>
      <c r="F39" s="124"/>
      <c r="G39" s="118"/>
      <c r="H39" s="118"/>
      <c r="I39" s="117"/>
      <c r="J39" s="117"/>
      <c r="K39" s="117"/>
      <c r="L39" s="117"/>
      <c r="M39" s="117"/>
      <c r="N39" s="120"/>
    </row>
    <row r="40" spans="1:16" ht="13.15" hidden="1" customHeight="1">
      <c r="D40" s="101"/>
      <c r="E40" s="101"/>
      <c r="G40" s="101"/>
      <c r="H40" s="101"/>
      <c r="I40" s="101"/>
      <c r="J40" s="101"/>
      <c r="M40" s="101"/>
    </row>
    <row r="41" spans="1:16" ht="13.15" hidden="1" customHeight="1">
      <c r="A41" s="109" t="str">
        <f>$A$4</f>
        <v xml:space="preserve">Please fill in Supplier Name </v>
      </c>
      <c r="B41" s="109" t="s">
        <v>25</v>
      </c>
      <c r="C41" s="115" t="s">
        <v>26</v>
      </c>
      <c r="D41" s="110"/>
      <c r="E41" s="110"/>
      <c r="F41" s="111"/>
      <c r="G41" s="112">
        <f>SUM(G42:G44)</f>
        <v>0</v>
      </c>
      <c r="H41" s="112">
        <f>SUM(H42:H44)</f>
        <v>0</v>
      </c>
      <c r="I41" s="113">
        <f>SUM(G41:H41)</f>
        <v>0</v>
      </c>
      <c r="J41" s="114" t="s">
        <v>16</v>
      </c>
      <c r="K41" s="114" t="s">
        <v>27</v>
      </c>
      <c r="L41" s="145">
        <v>2</v>
      </c>
      <c r="M41" s="144">
        <f>I41*L41</f>
        <v>0</v>
      </c>
      <c r="N41" s="115"/>
      <c r="O41" s="116" t="s">
        <v>544</v>
      </c>
      <c r="P41" s="116" t="s">
        <v>557</v>
      </c>
    </row>
    <row r="42" spans="1:16" ht="13.15" hidden="1" customHeight="1">
      <c r="A42" s="105"/>
      <c r="B42" s="105"/>
      <c r="C42" s="133" t="s">
        <v>558</v>
      </c>
      <c r="D42" s="121">
        <v>3</v>
      </c>
      <c r="E42" s="117" t="s">
        <v>559</v>
      </c>
      <c r="F42" s="122"/>
      <c r="G42" s="117"/>
      <c r="H42" s="117"/>
      <c r="I42" s="117"/>
      <c r="J42" s="117"/>
      <c r="K42" s="117"/>
      <c r="L42" s="117"/>
      <c r="M42" s="117"/>
      <c r="N42" s="120"/>
    </row>
    <row r="43" spans="1:16" ht="13.15" hidden="1" customHeight="1">
      <c r="A43" s="105"/>
      <c r="B43" s="105"/>
      <c r="C43" s="134" t="s">
        <v>560</v>
      </c>
      <c r="D43" s="121"/>
      <c r="E43" s="117"/>
      <c r="F43" s="122"/>
      <c r="G43" s="117"/>
      <c r="H43" s="117"/>
      <c r="I43" s="117"/>
      <c r="J43" s="117"/>
      <c r="K43" s="117"/>
      <c r="L43" s="117"/>
      <c r="M43" s="117"/>
      <c r="N43" s="120"/>
    </row>
    <row r="44" spans="1:16" ht="13.15" hidden="1" customHeight="1">
      <c r="A44" s="105"/>
      <c r="B44" s="105"/>
      <c r="C44" s="131"/>
      <c r="D44" s="121"/>
      <c r="E44" s="117"/>
      <c r="F44" s="122"/>
      <c r="G44" s="117"/>
      <c r="H44" s="117"/>
      <c r="I44" s="117"/>
      <c r="J44" s="117"/>
      <c r="K44" s="117"/>
      <c r="L44" s="117"/>
      <c r="M44" s="117"/>
      <c r="N44" s="120"/>
    </row>
    <row r="45" spans="1:16" ht="13.15" hidden="1" customHeight="1">
      <c r="D45" s="101"/>
      <c r="E45" s="101"/>
      <c r="G45" s="101"/>
      <c r="H45" s="101"/>
      <c r="I45" s="101"/>
      <c r="J45" s="101"/>
      <c r="M45" s="101"/>
    </row>
    <row r="46" spans="1:16">
      <c r="A46" s="185" t="str">
        <f>$A$4</f>
        <v xml:space="preserve">Please fill in Supplier Name </v>
      </c>
      <c r="B46" s="185" t="s">
        <v>74</v>
      </c>
      <c r="C46" s="186" t="s">
        <v>75</v>
      </c>
      <c r="D46" s="187"/>
      <c r="E46" s="187"/>
      <c r="F46" s="188"/>
      <c r="G46" s="189">
        <f>'CS C C1-3'!G46</f>
        <v>0</v>
      </c>
      <c r="H46" s="189">
        <f>'CS C C1-3'!H46</f>
        <v>0</v>
      </c>
      <c r="I46" s="190">
        <f>'CS C C1-3'!I46</f>
        <v>0</v>
      </c>
      <c r="J46" s="191" t="s">
        <v>16</v>
      </c>
      <c r="K46" s="191" t="s">
        <v>27</v>
      </c>
      <c r="L46" s="192">
        <v>2</v>
      </c>
      <c r="M46" s="193">
        <f>I46*L46</f>
        <v>0</v>
      </c>
      <c r="N46" s="186"/>
      <c r="O46" s="194" t="s">
        <v>532</v>
      </c>
      <c r="P46" s="194" t="s">
        <v>561</v>
      </c>
    </row>
    <row r="47" spans="1:16" hidden="1">
      <c r="A47" s="105"/>
      <c r="B47" s="105"/>
      <c r="C47" s="132"/>
      <c r="D47" s="125"/>
      <c r="E47" s="118"/>
      <c r="F47" s="124"/>
      <c r="G47" s="118"/>
      <c r="H47" s="118"/>
      <c r="I47" s="117"/>
      <c r="J47" s="117"/>
      <c r="K47" s="117"/>
      <c r="L47" s="117"/>
      <c r="M47" s="117"/>
      <c r="N47" s="120"/>
    </row>
    <row r="48" spans="1:16" hidden="1">
      <c r="A48" s="105"/>
      <c r="B48" s="105"/>
      <c r="C48" s="132"/>
      <c r="D48" s="125"/>
      <c r="E48" s="118"/>
      <c r="F48" s="124"/>
      <c r="G48" s="118"/>
      <c r="H48" s="118"/>
      <c r="I48" s="117"/>
      <c r="J48" s="117"/>
      <c r="K48" s="117"/>
      <c r="L48" s="117"/>
      <c r="M48" s="117"/>
      <c r="N48" s="120"/>
    </row>
    <row r="49" spans="1:16" hidden="1">
      <c r="A49" s="105"/>
      <c r="B49" s="105"/>
      <c r="C49" s="132"/>
      <c r="D49" s="125"/>
      <c r="E49" s="118"/>
      <c r="F49" s="124"/>
      <c r="G49" s="118"/>
      <c r="H49" s="118"/>
      <c r="I49" s="117"/>
      <c r="J49" s="117"/>
      <c r="K49" s="117"/>
      <c r="L49" s="117"/>
      <c r="M49" s="117"/>
      <c r="N49" s="120"/>
    </row>
    <row r="50" spans="1:16" hidden="1">
      <c r="D50" s="101"/>
      <c r="E50" s="101"/>
      <c r="G50" s="101"/>
      <c r="H50" s="101"/>
      <c r="I50" s="101"/>
      <c r="J50" s="101"/>
      <c r="M50" s="101"/>
    </row>
    <row r="51" spans="1:16">
      <c r="A51" s="227" t="str">
        <f>$A$4</f>
        <v xml:space="preserve">Please fill in Supplier Name </v>
      </c>
      <c r="B51" s="227" t="s">
        <v>100</v>
      </c>
      <c r="C51" s="228" t="s">
        <v>101</v>
      </c>
      <c r="D51" s="229"/>
      <c r="E51" s="229"/>
      <c r="F51" s="230"/>
      <c r="G51" s="231">
        <f>'CS C C1-3'!G51</f>
        <v>0</v>
      </c>
      <c r="H51" s="231">
        <f>'CS C C1-3'!H51</f>
        <v>0</v>
      </c>
      <c r="I51" s="232">
        <f>'CS C C1-3'!I51</f>
        <v>0</v>
      </c>
      <c r="J51" s="233" t="s">
        <v>16</v>
      </c>
      <c r="K51" s="233" t="s">
        <v>27</v>
      </c>
      <c r="L51" s="234">
        <v>2</v>
      </c>
      <c r="M51" s="235">
        <f>I51*L51</f>
        <v>0</v>
      </c>
      <c r="N51" s="228"/>
      <c r="O51" s="236" t="s">
        <v>543</v>
      </c>
      <c r="P51" s="236" t="s">
        <v>563</v>
      </c>
    </row>
    <row r="52" spans="1:16" hidden="1">
      <c r="A52" s="105"/>
      <c r="B52" s="105"/>
      <c r="C52" s="132"/>
      <c r="D52" s="125"/>
      <c r="E52" s="118"/>
      <c r="F52" s="124"/>
      <c r="G52" s="118"/>
      <c r="H52" s="118"/>
      <c r="I52" s="117"/>
      <c r="J52" s="117"/>
      <c r="K52" s="117"/>
      <c r="L52" s="117"/>
      <c r="M52" s="117"/>
      <c r="N52" s="120"/>
    </row>
    <row r="53" spans="1:16" hidden="1">
      <c r="A53" s="105"/>
      <c r="B53" s="105"/>
      <c r="C53" s="132"/>
      <c r="D53" s="125"/>
      <c r="E53" s="118"/>
      <c r="F53" s="124"/>
      <c r="G53" s="118"/>
      <c r="H53" s="118"/>
      <c r="I53" s="117"/>
      <c r="J53" s="117"/>
      <c r="K53" s="117"/>
      <c r="L53" s="117"/>
      <c r="M53" s="117"/>
      <c r="N53" s="120"/>
    </row>
    <row r="54" spans="1:16" hidden="1">
      <c r="A54" s="105"/>
      <c r="B54" s="105"/>
      <c r="C54" s="132"/>
      <c r="D54" s="125"/>
      <c r="E54" s="118"/>
      <c r="F54" s="124"/>
      <c r="G54" s="118"/>
      <c r="H54" s="118"/>
      <c r="I54" s="117"/>
      <c r="J54" s="117"/>
      <c r="K54" s="117"/>
      <c r="L54" s="117"/>
      <c r="M54" s="117"/>
      <c r="N54" s="120"/>
    </row>
    <row r="55" spans="1:16" hidden="1">
      <c r="D55" s="101"/>
      <c r="E55" s="101"/>
      <c r="G55" s="101"/>
      <c r="H55" s="101"/>
      <c r="I55" s="101"/>
      <c r="J55" s="101"/>
      <c r="M55" s="101"/>
    </row>
    <row r="56" spans="1:16" ht="13.15" hidden="1" customHeight="1">
      <c r="A56" s="109" t="str">
        <f>$A$4</f>
        <v xml:space="preserve">Please fill in Supplier Name </v>
      </c>
      <c r="B56" s="109" t="s">
        <v>28</v>
      </c>
      <c r="C56" s="115" t="s">
        <v>565</v>
      </c>
      <c r="D56" s="110"/>
      <c r="E56" s="110"/>
      <c r="F56" s="111"/>
      <c r="G56" s="112">
        <f>SUM(G57:G59)</f>
        <v>0</v>
      </c>
      <c r="H56" s="112">
        <f>SUM(H57:H59)</f>
        <v>0</v>
      </c>
      <c r="I56" s="113">
        <f>SUM(G56:H56)</f>
        <v>0</v>
      </c>
      <c r="J56" s="114" t="s">
        <v>16</v>
      </c>
      <c r="K56" s="114">
        <v>1</v>
      </c>
      <c r="L56" s="166">
        <v>1</v>
      </c>
      <c r="M56" s="144">
        <f>I56*L56</f>
        <v>0</v>
      </c>
      <c r="N56" s="115"/>
      <c r="O56" s="116" t="s">
        <v>544</v>
      </c>
      <c r="P56" s="116" t="s">
        <v>566</v>
      </c>
    </row>
    <row r="57" spans="1:16" ht="13.15" hidden="1" customHeight="1">
      <c r="B57" s="105"/>
      <c r="C57" s="93" t="s">
        <v>567</v>
      </c>
      <c r="D57" s="121">
        <v>10</v>
      </c>
      <c r="E57" s="117" t="s">
        <v>547</v>
      </c>
      <c r="F57" s="93" t="s">
        <v>568</v>
      </c>
      <c r="G57" s="117"/>
      <c r="H57" s="117"/>
      <c r="I57" s="117"/>
      <c r="J57" s="117"/>
      <c r="K57" s="117"/>
      <c r="L57" s="117"/>
      <c r="M57" s="117"/>
      <c r="N57" s="120"/>
    </row>
    <row r="58" spans="1:16" ht="13.15" hidden="1" customHeight="1">
      <c r="A58" s="105"/>
      <c r="B58" s="105"/>
      <c r="C58" s="131"/>
      <c r="D58" s="121"/>
      <c r="E58" s="117"/>
      <c r="F58" s="122"/>
      <c r="G58" s="117"/>
      <c r="H58" s="117"/>
      <c r="I58" s="117"/>
      <c r="J58" s="117"/>
      <c r="K58" s="117"/>
      <c r="L58" s="117"/>
      <c r="M58" s="117"/>
      <c r="N58" s="120"/>
    </row>
    <row r="59" spans="1:16" ht="13.15" hidden="1" customHeight="1">
      <c r="A59" s="105"/>
      <c r="B59" s="105"/>
      <c r="C59" s="131"/>
      <c r="D59" s="121"/>
      <c r="E59" s="117"/>
      <c r="F59" s="122"/>
      <c r="G59" s="117"/>
      <c r="H59" s="117"/>
      <c r="I59" s="117"/>
      <c r="J59" s="117"/>
      <c r="K59" s="117"/>
      <c r="L59" s="117"/>
      <c r="M59" s="117"/>
      <c r="N59" s="120"/>
    </row>
    <row r="60" spans="1:16" ht="13.15" hidden="1" customHeight="1">
      <c r="D60" s="101"/>
      <c r="E60" s="101"/>
      <c r="G60" s="101"/>
      <c r="H60" s="101"/>
      <c r="I60" s="101"/>
      <c r="J60" s="101"/>
      <c r="M60" s="101"/>
    </row>
    <row r="61" spans="1:16" ht="13.15" customHeight="1">
      <c r="A61" s="185" t="str">
        <f>$A$4</f>
        <v xml:space="preserve">Please fill in Supplier Name </v>
      </c>
      <c r="B61" s="185" t="s">
        <v>569</v>
      </c>
      <c r="C61" s="186" t="s">
        <v>570</v>
      </c>
      <c r="D61" s="187"/>
      <c r="E61" s="187"/>
      <c r="F61" s="188"/>
      <c r="G61" s="189">
        <f>'CS C C1-3'!G61</f>
        <v>0</v>
      </c>
      <c r="H61" s="189">
        <f>'CS C C1-3'!H61</f>
        <v>0</v>
      </c>
      <c r="I61" s="190">
        <f>'CS C C1-3'!I61</f>
        <v>0</v>
      </c>
      <c r="J61" s="191" t="s">
        <v>16</v>
      </c>
      <c r="K61" s="191">
        <v>1</v>
      </c>
      <c r="L61" s="195">
        <v>1</v>
      </c>
      <c r="M61" s="193">
        <f>I61*L61*$K$576</f>
        <v>0</v>
      </c>
      <c r="N61" s="186"/>
      <c r="O61" s="194" t="s">
        <v>532</v>
      </c>
      <c r="P61" s="194" t="s">
        <v>566</v>
      </c>
    </row>
    <row r="62" spans="1:16" ht="13.15" hidden="1" customHeight="1">
      <c r="B62" s="105"/>
      <c r="C62" s="94"/>
      <c r="D62" s="125"/>
      <c r="E62" s="118"/>
      <c r="F62" s="94"/>
      <c r="G62" s="118"/>
      <c r="H62" s="118"/>
      <c r="I62" s="117"/>
      <c r="J62" s="117"/>
      <c r="K62" s="117"/>
      <c r="L62" s="117"/>
      <c r="M62" s="117"/>
      <c r="N62" s="120"/>
    </row>
    <row r="63" spans="1:16" ht="13.15" hidden="1" customHeight="1">
      <c r="A63" s="105"/>
      <c r="B63" s="105"/>
      <c r="C63" s="132"/>
      <c r="D63" s="125"/>
      <c r="E63" s="118"/>
      <c r="F63" s="124"/>
      <c r="G63" s="118"/>
      <c r="H63" s="118"/>
      <c r="I63" s="117"/>
      <c r="J63" s="117"/>
      <c r="K63" s="117"/>
      <c r="L63" s="117"/>
      <c r="M63" s="117"/>
      <c r="N63" s="120"/>
    </row>
    <row r="64" spans="1:16" ht="13.15" hidden="1" customHeight="1">
      <c r="A64" s="105"/>
      <c r="B64" s="105"/>
      <c r="C64" s="132"/>
      <c r="D64" s="125"/>
      <c r="E64" s="118"/>
      <c r="F64" s="124"/>
      <c r="G64" s="118"/>
      <c r="H64" s="118"/>
      <c r="I64" s="117"/>
      <c r="J64" s="117"/>
      <c r="K64" s="117"/>
      <c r="L64" s="117"/>
      <c r="M64" s="117"/>
      <c r="N64" s="120"/>
    </row>
    <row r="65" spans="1:16" ht="13.15" hidden="1" customHeight="1">
      <c r="D65" s="101"/>
      <c r="E65" s="101"/>
      <c r="G65" s="101"/>
      <c r="H65" s="101"/>
      <c r="I65" s="101"/>
      <c r="J65" s="101"/>
      <c r="M65" s="101"/>
    </row>
    <row r="66" spans="1:16" ht="13.15" customHeight="1">
      <c r="A66" s="227" t="str">
        <f>$A$4</f>
        <v xml:space="preserve">Please fill in Supplier Name </v>
      </c>
      <c r="B66" s="227" t="s">
        <v>573</v>
      </c>
      <c r="C66" s="228" t="s">
        <v>574</v>
      </c>
      <c r="D66" s="229"/>
      <c r="E66" s="229"/>
      <c r="F66" s="230"/>
      <c r="G66" s="231">
        <f>'CS C C1-3'!G66</f>
        <v>0</v>
      </c>
      <c r="H66" s="231">
        <f>'CS C C1-3'!H66</f>
        <v>0</v>
      </c>
      <c r="I66" s="232">
        <f>'CS C C1-3'!I66</f>
        <v>0</v>
      </c>
      <c r="J66" s="233" t="s">
        <v>16</v>
      </c>
      <c r="K66" s="233">
        <v>1</v>
      </c>
      <c r="L66" s="237">
        <v>1</v>
      </c>
      <c r="M66" s="235">
        <f>I66*L66*$K$576</f>
        <v>0</v>
      </c>
      <c r="N66" s="228"/>
      <c r="O66" s="236" t="s">
        <v>543</v>
      </c>
      <c r="P66" s="236" t="s">
        <v>566</v>
      </c>
    </row>
    <row r="67" spans="1:16" ht="13.15" hidden="1" customHeight="1">
      <c r="B67" s="105"/>
      <c r="C67" s="94"/>
      <c r="D67" s="125"/>
      <c r="E67" s="118"/>
      <c r="F67" s="94"/>
      <c r="G67" s="118"/>
      <c r="H67" s="118"/>
      <c r="I67" s="117"/>
      <c r="J67" s="117"/>
      <c r="K67" s="117"/>
      <c r="L67" s="117"/>
      <c r="M67" s="117"/>
      <c r="N67" s="120"/>
    </row>
    <row r="68" spans="1:16" ht="13.15" hidden="1" customHeight="1">
      <c r="A68" s="105"/>
      <c r="B68" s="105"/>
      <c r="C68" s="132"/>
      <c r="D68" s="125"/>
      <c r="E68" s="118"/>
      <c r="F68" s="124"/>
      <c r="G68" s="118"/>
      <c r="H68" s="118"/>
      <c r="I68" s="117"/>
      <c r="J68" s="117"/>
      <c r="K68" s="117"/>
      <c r="L68" s="117"/>
      <c r="M68" s="117"/>
      <c r="N68" s="120"/>
    </row>
    <row r="69" spans="1:16" ht="13.15" hidden="1" customHeight="1">
      <c r="A69" s="105"/>
      <c r="B69" s="105"/>
      <c r="C69" s="132"/>
      <c r="D69" s="125"/>
      <c r="E69" s="118"/>
      <c r="F69" s="124"/>
      <c r="G69" s="118"/>
      <c r="H69" s="118"/>
      <c r="I69" s="117"/>
      <c r="J69" s="117"/>
      <c r="K69" s="117"/>
      <c r="L69" s="117"/>
      <c r="M69" s="117"/>
      <c r="N69" s="120"/>
    </row>
    <row r="70" spans="1:16" ht="13.15" hidden="1" customHeight="1">
      <c r="D70" s="101"/>
      <c r="E70" s="101"/>
      <c r="G70" s="101"/>
      <c r="H70" s="101"/>
      <c r="I70" s="101"/>
      <c r="J70" s="101"/>
      <c r="M70" s="101"/>
    </row>
    <row r="71" spans="1:16" ht="13.15" hidden="1" customHeight="1">
      <c r="A71" s="109" t="str">
        <f>$A$4</f>
        <v xml:space="preserve">Please fill in Supplier Name </v>
      </c>
      <c r="B71" s="109" t="s">
        <v>30</v>
      </c>
      <c r="C71" s="115" t="s">
        <v>31</v>
      </c>
      <c r="D71" s="110"/>
      <c r="E71" s="110"/>
      <c r="F71" s="111"/>
      <c r="G71" s="112">
        <f>SUM(G72:G80)</f>
        <v>0</v>
      </c>
      <c r="H71" s="112">
        <f>SUM(H72:H80)</f>
        <v>0</v>
      </c>
      <c r="I71" s="113">
        <f>SUM(G71:H71)</f>
        <v>0</v>
      </c>
      <c r="J71" s="114" t="s">
        <v>16</v>
      </c>
      <c r="K71" s="114" t="s">
        <v>32</v>
      </c>
      <c r="L71" s="166">
        <v>0.6</v>
      </c>
      <c r="M71" s="144">
        <f>I71*L71*$K$576</f>
        <v>0</v>
      </c>
      <c r="N71" s="115"/>
      <c r="O71" s="116" t="s">
        <v>544</v>
      </c>
      <c r="P71" s="116" t="s">
        <v>575</v>
      </c>
    </row>
    <row r="72" spans="1:16" ht="13.15" hidden="1" customHeight="1">
      <c r="A72" s="105"/>
      <c r="B72" s="105"/>
      <c r="C72" s="131" t="s">
        <v>576</v>
      </c>
      <c r="D72" s="121" t="s">
        <v>577</v>
      </c>
      <c r="E72" s="117" t="s">
        <v>547</v>
      </c>
      <c r="F72" s="122"/>
      <c r="G72" s="117"/>
      <c r="H72" s="117"/>
      <c r="I72" s="117"/>
      <c r="J72" s="117"/>
      <c r="K72" s="117"/>
      <c r="L72" s="117"/>
      <c r="M72" s="117"/>
      <c r="N72" s="120"/>
    </row>
    <row r="73" spans="1:16" ht="13.15" hidden="1" customHeight="1">
      <c r="A73" s="105"/>
      <c r="B73" s="105"/>
      <c r="C73" s="131" t="s">
        <v>578</v>
      </c>
      <c r="D73" s="121">
        <v>20</v>
      </c>
      <c r="E73" s="117" t="s">
        <v>547</v>
      </c>
      <c r="F73" s="122"/>
      <c r="G73" s="117"/>
      <c r="H73" s="117"/>
      <c r="I73" s="117"/>
      <c r="J73" s="117"/>
      <c r="K73" s="117"/>
      <c r="L73" s="117"/>
      <c r="M73" s="117"/>
      <c r="N73" s="120"/>
    </row>
    <row r="74" spans="1:16" ht="13.15" hidden="1" customHeight="1">
      <c r="A74" s="105"/>
      <c r="B74" s="105"/>
      <c r="C74" s="131" t="s">
        <v>579</v>
      </c>
      <c r="D74" s="121">
        <v>10</v>
      </c>
      <c r="E74" s="117" t="s">
        <v>547</v>
      </c>
      <c r="F74" s="122"/>
      <c r="G74" s="117"/>
      <c r="H74" s="117"/>
      <c r="I74" s="117"/>
      <c r="J74" s="117"/>
      <c r="K74" s="117"/>
      <c r="L74" s="117"/>
      <c r="M74" s="117"/>
      <c r="N74" s="120"/>
    </row>
    <row r="75" spans="1:16" ht="13.15" hidden="1" customHeight="1">
      <c r="A75" s="105"/>
      <c r="B75" s="105"/>
      <c r="C75" s="131" t="s">
        <v>580</v>
      </c>
      <c r="D75" s="121">
        <v>2</v>
      </c>
      <c r="E75" s="117" t="s">
        <v>547</v>
      </c>
      <c r="F75" s="122"/>
      <c r="G75" s="117"/>
      <c r="H75" s="117"/>
      <c r="I75" s="117"/>
      <c r="J75" s="117"/>
      <c r="K75" s="117"/>
      <c r="L75" s="117"/>
      <c r="M75" s="117"/>
      <c r="N75" s="120"/>
    </row>
    <row r="76" spans="1:16" ht="13.15" hidden="1" customHeight="1">
      <c r="A76" s="105"/>
      <c r="B76" s="105"/>
      <c r="C76" s="131" t="s">
        <v>581</v>
      </c>
      <c r="D76" s="121">
        <v>1</v>
      </c>
      <c r="E76" s="117" t="s">
        <v>582</v>
      </c>
      <c r="F76" s="122"/>
      <c r="G76" s="117"/>
      <c r="H76" s="117"/>
      <c r="I76" s="117"/>
      <c r="J76" s="117"/>
      <c r="K76" s="117"/>
      <c r="L76" s="117"/>
      <c r="M76" s="117"/>
      <c r="N76" s="120"/>
    </row>
    <row r="77" spans="1:16" ht="13.15" hidden="1" customHeight="1">
      <c r="A77" s="105"/>
      <c r="B77" s="105"/>
      <c r="C77" s="131" t="s">
        <v>583</v>
      </c>
      <c r="D77" s="121">
        <v>1</v>
      </c>
      <c r="E77" s="117" t="s">
        <v>547</v>
      </c>
      <c r="F77" s="122"/>
      <c r="G77" s="117"/>
      <c r="H77" s="117"/>
      <c r="I77" s="117"/>
      <c r="J77" s="117"/>
      <c r="K77" s="117"/>
      <c r="L77" s="117"/>
      <c r="M77" s="117"/>
      <c r="N77" s="120"/>
    </row>
    <row r="78" spans="1:16" ht="13.15" hidden="1" customHeight="1">
      <c r="A78" s="105"/>
      <c r="B78" s="105"/>
      <c r="C78" s="131"/>
      <c r="D78" s="121"/>
      <c r="E78" s="117"/>
      <c r="F78" s="122"/>
      <c r="G78" s="117"/>
      <c r="H78" s="117"/>
      <c r="I78" s="117"/>
      <c r="J78" s="117"/>
      <c r="K78" s="117"/>
      <c r="L78" s="117"/>
      <c r="M78" s="117"/>
      <c r="N78" s="120"/>
    </row>
    <row r="79" spans="1:16" ht="13.15" hidden="1" customHeight="1">
      <c r="A79" s="105"/>
      <c r="B79" s="105"/>
      <c r="C79" s="131"/>
      <c r="D79" s="121"/>
      <c r="E79" s="117"/>
      <c r="F79" s="122"/>
      <c r="G79" s="117"/>
      <c r="H79" s="117"/>
      <c r="I79" s="117"/>
      <c r="J79" s="117"/>
      <c r="K79" s="117"/>
      <c r="L79" s="117"/>
      <c r="M79" s="117"/>
      <c r="N79" s="120"/>
    </row>
    <row r="80" spans="1:16" ht="13.15" hidden="1" customHeight="1">
      <c r="A80" s="105"/>
      <c r="B80" s="105"/>
      <c r="C80" s="131"/>
      <c r="D80" s="121"/>
      <c r="E80" s="117"/>
      <c r="F80" s="122"/>
      <c r="G80" s="117"/>
      <c r="H80" s="117"/>
      <c r="I80" s="117"/>
      <c r="J80" s="117"/>
      <c r="K80" s="117"/>
      <c r="L80" s="117"/>
      <c r="M80" s="117"/>
      <c r="N80" s="120"/>
    </row>
    <row r="81" spans="1:16" ht="13.15" hidden="1" customHeight="1">
      <c r="D81" s="101"/>
      <c r="E81" s="101"/>
      <c r="G81" s="101"/>
      <c r="H81" s="101"/>
      <c r="I81" s="101"/>
      <c r="J81" s="101"/>
      <c r="M81" s="101"/>
    </row>
    <row r="82" spans="1:16">
      <c r="A82" s="185" t="str">
        <f>$A$4</f>
        <v xml:space="preserve">Please fill in Supplier Name </v>
      </c>
      <c r="B82" s="185" t="s">
        <v>76</v>
      </c>
      <c r="C82" s="186" t="s">
        <v>77</v>
      </c>
      <c r="D82" s="187"/>
      <c r="E82" s="187"/>
      <c r="F82" s="188"/>
      <c r="G82" s="189">
        <f>'CS C C1-3'!G82</f>
        <v>0</v>
      </c>
      <c r="H82" s="189">
        <f>'CS C C1-3'!H82</f>
        <v>0</v>
      </c>
      <c r="I82" s="190">
        <f>'CS C C1-3'!I82</f>
        <v>0</v>
      </c>
      <c r="J82" s="191" t="s">
        <v>16</v>
      </c>
      <c r="K82" s="191" t="s">
        <v>32</v>
      </c>
      <c r="L82" s="195">
        <v>0.6</v>
      </c>
      <c r="M82" s="193">
        <f>I82*L82*$K$576</f>
        <v>0</v>
      </c>
      <c r="N82" s="186"/>
      <c r="O82" s="194" t="s">
        <v>532</v>
      </c>
      <c r="P82" s="194"/>
    </row>
    <row r="83" spans="1:16" hidden="1">
      <c r="A83" s="105"/>
      <c r="B83" s="105"/>
      <c r="C83" s="132"/>
      <c r="D83" s="125"/>
      <c r="E83" s="118"/>
      <c r="F83" s="124"/>
      <c r="G83" s="118"/>
      <c r="H83" s="118"/>
      <c r="I83" s="117"/>
      <c r="J83" s="117"/>
      <c r="K83" s="117"/>
      <c r="L83" s="117"/>
      <c r="M83" s="117"/>
      <c r="N83" s="120"/>
    </row>
    <row r="84" spans="1:16" hidden="1">
      <c r="A84" s="105"/>
      <c r="B84" s="105"/>
      <c r="C84" s="132"/>
      <c r="D84" s="125"/>
      <c r="E84" s="118"/>
      <c r="F84" s="124"/>
      <c r="G84" s="118"/>
      <c r="H84" s="118"/>
      <c r="I84" s="117"/>
      <c r="J84" s="117"/>
      <c r="K84" s="117"/>
      <c r="L84" s="117"/>
      <c r="M84" s="117"/>
      <c r="N84" s="120"/>
    </row>
    <row r="85" spans="1:16" hidden="1">
      <c r="A85" s="105"/>
      <c r="B85" s="105"/>
      <c r="C85" s="132"/>
      <c r="D85" s="125"/>
      <c r="E85" s="118"/>
      <c r="F85" s="124"/>
      <c r="G85" s="118"/>
      <c r="H85" s="118"/>
      <c r="I85" s="117"/>
      <c r="J85" s="117"/>
      <c r="K85" s="117"/>
      <c r="L85" s="117"/>
      <c r="M85" s="117"/>
      <c r="N85" s="120"/>
    </row>
    <row r="86" spans="1:16" hidden="1">
      <c r="A86" s="105"/>
      <c r="B86" s="105"/>
      <c r="C86" s="132"/>
      <c r="D86" s="125"/>
      <c r="E86" s="118"/>
      <c r="F86" s="124"/>
      <c r="G86" s="118"/>
      <c r="H86" s="118"/>
      <c r="I86" s="117"/>
      <c r="J86" s="117"/>
      <c r="K86" s="117"/>
      <c r="L86" s="117"/>
      <c r="M86" s="117"/>
      <c r="N86" s="120"/>
    </row>
    <row r="87" spans="1:16" hidden="1">
      <c r="A87" s="105"/>
      <c r="B87" s="105"/>
      <c r="C87" s="132"/>
      <c r="D87" s="125"/>
      <c r="E87" s="118"/>
      <c r="F87" s="124"/>
      <c r="G87" s="118"/>
      <c r="H87" s="118"/>
      <c r="I87" s="117"/>
      <c r="J87" s="117"/>
      <c r="K87" s="117"/>
      <c r="L87" s="117"/>
      <c r="M87" s="117"/>
      <c r="N87" s="120"/>
    </row>
    <row r="88" spans="1:16" hidden="1">
      <c r="A88" s="105"/>
      <c r="B88" s="105"/>
      <c r="C88" s="132"/>
      <c r="D88" s="125"/>
      <c r="E88" s="118"/>
      <c r="F88" s="124"/>
      <c r="G88" s="118"/>
      <c r="H88" s="118"/>
      <c r="I88" s="117"/>
      <c r="J88" s="117"/>
      <c r="K88" s="117"/>
      <c r="L88" s="117"/>
      <c r="M88" s="117"/>
      <c r="N88" s="120"/>
    </row>
    <row r="89" spans="1:16" hidden="1">
      <c r="A89" s="105"/>
      <c r="B89" s="105"/>
      <c r="C89" s="132"/>
      <c r="D89" s="125"/>
      <c r="E89" s="118"/>
      <c r="F89" s="124"/>
      <c r="G89" s="118"/>
      <c r="H89" s="118"/>
      <c r="I89" s="117"/>
      <c r="J89" s="117"/>
      <c r="K89" s="117"/>
      <c r="L89" s="117"/>
      <c r="M89" s="117"/>
      <c r="N89" s="120"/>
    </row>
    <row r="90" spans="1:16" hidden="1">
      <c r="A90" s="105"/>
      <c r="B90" s="105"/>
      <c r="C90" s="132"/>
      <c r="D90" s="125"/>
      <c r="E90" s="118"/>
      <c r="F90" s="124"/>
      <c r="G90" s="118"/>
      <c r="H90" s="118"/>
      <c r="I90" s="117"/>
      <c r="J90" s="117"/>
      <c r="K90" s="117"/>
      <c r="L90" s="117"/>
      <c r="M90" s="117"/>
      <c r="N90" s="120"/>
    </row>
    <row r="91" spans="1:16" hidden="1">
      <c r="A91" s="105"/>
      <c r="B91" s="105"/>
      <c r="C91" s="132"/>
      <c r="D91" s="125"/>
      <c r="E91" s="118"/>
      <c r="F91" s="124"/>
      <c r="G91" s="118"/>
      <c r="H91" s="118"/>
      <c r="I91" s="117"/>
      <c r="J91" s="117"/>
      <c r="K91" s="117"/>
      <c r="L91" s="117"/>
      <c r="M91" s="117"/>
      <c r="N91" s="120"/>
    </row>
    <row r="92" spans="1:16" hidden="1">
      <c r="D92" s="101"/>
      <c r="E92" s="101"/>
      <c r="G92" s="101"/>
      <c r="H92" s="101"/>
      <c r="I92" s="101"/>
      <c r="J92" s="101"/>
      <c r="M92" s="101"/>
    </row>
    <row r="93" spans="1:16">
      <c r="A93" s="227" t="str">
        <f>$A$4</f>
        <v xml:space="preserve">Please fill in Supplier Name </v>
      </c>
      <c r="B93" s="227" t="s">
        <v>102</v>
      </c>
      <c r="C93" s="228" t="s">
        <v>103</v>
      </c>
      <c r="D93" s="229"/>
      <c r="E93" s="229"/>
      <c r="F93" s="230"/>
      <c r="G93" s="231">
        <f>'CS C C1-3'!G93</f>
        <v>0</v>
      </c>
      <c r="H93" s="231">
        <f>'CS C C1-3'!H93</f>
        <v>0</v>
      </c>
      <c r="I93" s="232">
        <f>'CS C C1-3'!I93</f>
        <v>0</v>
      </c>
      <c r="J93" s="233" t="s">
        <v>16</v>
      </c>
      <c r="K93" s="233" t="s">
        <v>32</v>
      </c>
      <c r="L93" s="237">
        <v>0.6</v>
      </c>
      <c r="M93" s="235">
        <f>I93*L93*$K$576</f>
        <v>0</v>
      </c>
      <c r="N93" s="228"/>
      <c r="O93" s="236" t="s">
        <v>543</v>
      </c>
      <c r="P93" s="236"/>
    </row>
    <row r="94" spans="1:16" hidden="1">
      <c r="A94" s="105"/>
      <c r="B94" s="105"/>
      <c r="C94" s="132"/>
      <c r="D94" s="125"/>
      <c r="E94" s="118"/>
      <c r="F94" s="124"/>
      <c r="G94" s="118"/>
      <c r="H94" s="118"/>
      <c r="I94" s="117"/>
      <c r="J94" s="117"/>
      <c r="K94" s="117"/>
      <c r="L94" s="117"/>
      <c r="M94" s="117"/>
      <c r="N94" s="120"/>
    </row>
    <row r="95" spans="1:16" hidden="1">
      <c r="A95" s="105"/>
      <c r="B95" s="105"/>
      <c r="C95" s="132"/>
      <c r="D95" s="125"/>
      <c r="E95" s="118"/>
      <c r="F95" s="124"/>
      <c r="G95" s="118"/>
      <c r="H95" s="118"/>
      <c r="I95" s="117"/>
      <c r="J95" s="117"/>
      <c r="K95" s="117"/>
      <c r="L95" s="117"/>
      <c r="M95" s="117"/>
      <c r="N95" s="120"/>
    </row>
    <row r="96" spans="1:16" hidden="1">
      <c r="A96" s="105"/>
      <c r="B96" s="105"/>
      <c r="C96" s="132"/>
      <c r="D96" s="125"/>
      <c r="E96" s="118"/>
      <c r="F96" s="124"/>
      <c r="G96" s="118"/>
      <c r="H96" s="118"/>
      <c r="I96" s="117"/>
      <c r="J96" s="117"/>
      <c r="K96" s="117"/>
      <c r="L96" s="117"/>
      <c r="M96" s="117"/>
      <c r="N96" s="120"/>
    </row>
    <row r="97" spans="1:16" hidden="1">
      <c r="A97" s="105"/>
      <c r="B97" s="105"/>
      <c r="C97" s="132"/>
      <c r="D97" s="125"/>
      <c r="E97" s="118"/>
      <c r="F97" s="124"/>
      <c r="G97" s="118"/>
      <c r="H97" s="118"/>
      <c r="I97" s="117"/>
      <c r="J97" s="117"/>
      <c r="K97" s="117"/>
      <c r="L97" s="117"/>
      <c r="M97" s="117"/>
      <c r="N97" s="120"/>
    </row>
    <row r="98" spans="1:16" hidden="1">
      <c r="A98" s="105"/>
      <c r="B98" s="105"/>
      <c r="C98" s="132"/>
      <c r="D98" s="125"/>
      <c r="E98" s="118"/>
      <c r="F98" s="124"/>
      <c r="G98" s="118"/>
      <c r="H98" s="118"/>
      <c r="I98" s="117"/>
      <c r="J98" s="117"/>
      <c r="K98" s="117"/>
      <c r="L98" s="117"/>
      <c r="M98" s="117"/>
      <c r="N98" s="120"/>
    </row>
    <row r="99" spans="1:16" hidden="1">
      <c r="A99" s="105"/>
      <c r="B99" s="105"/>
      <c r="C99" s="132"/>
      <c r="D99" s="125"/>
      <c r="E99" s="118"/>
      <c r="F99" s="124"/>
      <c r="G99" s="118"/>
      <c r="H99" s="118"/>
      <c r="I99" s="117"/>
      <c r="J99" s="117"/>
      <c r="K99" s="117"/>
      <c r="L99" s="117"/>
      <c r="M99" s="117"/>
      <c r="N99" s="120"/>
    </row>
    <row r="100" spans="1:16" hidden="1">
      <c r="A100" s="105"/>
      <c r="B100" s="105"/>
      <c r="C100" s="132"/>
      <c r="D100" s="125"/>
      <c r="E100" s="118"/>
      <c r="F100" s="124"/>
      <c r="G100" s="118"/>
      <c r="H100" s="118"/>
      <c r="I100" s="117"/>
      <c r="J100" s="117"/>
      <c r="K100" s="117"/>
      <c r="L100" s="117"/>
      <c r="M100" s="117"/>
      <c r="N100" s="120"/>
    </row>
    <row r="101" spans="1:16" hidden="1">
      <c r="A101" s="105"/>
      <c r="B101" s="105"/>
      <c r="C101" s="132"/>
      <c r="D101" s="125"/>
      <c r="E101" s="118"/>
      <c r="F101" s="124"/>
      <c r="G101" s="118"/>
      <c r="H101" s="118"/>
      <c r="I101" s="117"/>
      <c r="J101" s="117"/>
      <c r="K101" s="117"/>
      <c r="L101" s="117"/>
      <c r="M101" s="117"/>
      <c r="N101" s="120"/>
    </row>
    <row r="102" spans="1:16" hidden="1">
      <c r="A102" s="105"/>
      <c r="B102" s="105"/>
      <c r="C102" s="132"/>
      <c r="D102" s="125"/>
      <c r="E102" s="118"/>
      <c r="F102" s="124"/>
      <c r="G102" s="118"/>
      <c r="H102" s="118"/>
      <c r="I102" s="117"/>
      <c r="J102" s="117"/>
      <c r="K102" s="117"/>
      <c r="L102" s="117"/>
      <c r="M102" s="117"/>
      <c r="N102" s="120"/>
    </row>
    <row r="103" spans="1:16" hidden="1">
      <c r="D103" s="101"/>
      <c r="E103" s="101"/>
      <c r="G103" s="101"/>
      <c r="H103" s="101"/>
      <c r="I103" s="101"/>
      <c r="J103" s="101"/>
      <c r="M103" s="101"/>
    </row>
    <row r="104" spans="1:16" ht="13.15" hidden="1" customHeight="1">
      <c r="A104" s="109" t="str">
        <f>$A$4</f>
        <v xml:space="preserve">Please fill in Supplier Name </v>
      </c>
      <c r="B104" s="109" t="s">
        <v>33</v>
      </c>
      <c r="C104" s="115" t="s">
        <v>34</v>
      </c>
      <c r="D104" s="110"/>
      <c r="E104" s="110"/>
      <c r="F104" s="111"/>
      <c r="G104" s="112">
        <f>SUM(G105:G113)</f>
        <v>0</v>
      </c>
      <c r="H104" s="112">
        <f>SUM(H105:H113)</f>
        <v>0</v>
      </c>
      <c r="I104" s="113">
        <f>SUM(G104:H104)</f>
        <v>0</v>
      </c>
      <c r="J104" s="114" t="s">
        <v>16</v>
      </c>
      <c r="K104" s="114" t="s">
        <v>35</v>
      </c>
      <c r="L104" s="166">
        <v>0.6</v>
      </c>
      <c r="M104" s="144">
        <f>I104*L104*$K$576</f>
        <v>0</v>
      </c>
      <c r="N104" s="115"/>
      <c r="O104" s="116" t="s">
        <v>544</v>
      </c>
      <c r="P104" s="116" t="s">
        <v>597</v>
      </c>
    </row>
    <row r="105" spans="1:16" ht="13.15" hidden="1" customHeight="1">
      <c r="A105" s="105"/>
      <c r="B105" s="105"/>
      <c r="C105" s="131" t="s">
        <v>598</v>
      </c>
      <c r="D105" s="121" t="s">
        <v>599</v>
      </c>
      <c r="E105" s="117" t="s">
        <v>547</v>
      </c>
      <c r="F105" s="122"/>
      <c r="G105" s="117"/>
      <c r="H105" s="117"/>
      <c r="I105" s="117"/>
      <c r="J105" s="117"/>
      <c r="K105" s="117"/>
      <c r="L105" s="117"/>
      <c r="M105" s="117"/>
      <c r="N105" s="120"/>
    </row>
    <row r="106" spans="1:16" ht="13.15" hidden="1" customHeight="1">
      <c r="A106" s="105"/>
      <c r="B106" s="105"/>
      <c r="C106" s="131" t="s">
        <v>600</v>
      </c>
      <c r="D106" s="121" t="s">
        <v>601</v>
      </c>
      <c r="E106" s="117" t="s">
        <v>547</v>
      </c>
      <c r="F106" s="122"/>
      <c r="G106" s="117"/>
      <c r="H106" s="117"/>
      <c r="I106" s="117"/>
      <c r="J106" s="117"/>
      <c r="K106" s="117"/>
      <c r="L106" s="117"/>
      <c r="M106" s="117"/>
      <c r="N106" s="120"/>
    </row>
    <row r="107" spans="1:16" ht="13.15" hidden="1" customHeight="1">
      <c r="A107" s="105"/>
      <c r="B107" s="105"/>
      <c r="C107" s="131" t="s">
        <v>602</v>
      </c>
      <c r="D107" s="121" t="s">
        <v>603</v>
      </c>
      <c r="E107" s="117" t="s">
        <v>547</v>
      </c>
      <c r="F107" s="122"/>
      <c r="G107" s="117"/>
      <c r="H107" s="117"/>
      <c r="I107" s="117"/>
      <c r="J107" s="117"/>
      <c r="K107" s="117"/>
      <c r="L107" s="117"/>
      <c r="M107" s="117"/>
      <c r="N107" s="120"/>
    </row>
    <row r="108" spans="1:16" ht="13.15" hidden="1" customHeight="1">
      <c r="A108" s="105"/>
      <c r="B108" s="105"/>
      <c r="C108" s="131" t="s">
        <v>604</v>
      </c>
      <c r="D108" s="121" t="s">
        <v>605</v>
      </c>
      <c r="E108" s="117" t="s">
        <v>547</v>
      </c>
      <c r="F108" s="122"/>
      <c r="G108" s="117"/>
      <c r="H108" s="117"/>
      <c r="I108" s="117"/>
      <c r="J108" s="117"/>
      <c r="K108" s="117"/>
      <c r="L108" s="117"/>
      <c r="M108" s="117"/>
      <c r="N108" s="120"/>
    </row>
    <row r="109" spans="1:16" ht="13.15" hidden="1" customHeight="1">
      <c r="A109" s="105"/>
      <c r="B109" s="105"/>
      <c r="C109" s="131" t="s">
        <v>606</v>
      </c>
      <c r="D109" s="121" t="s">
        <v>601</v>
      </c>
      <c r="E109" s="117" t="s">
        <v>547</v>
      </c>
      <c r="F109" s="122"/>
      <c r="G109" s="117"/>
      <c r="H109" s="117"/>
      <c r="I109" s="117"/>
      <c r="J109" s="117"/>
      <c r="K109" s="117"/>
      <c r="L109" s="117"/>
      <c r="M109" s="117"/>
      <c r="N109" s="120"/>
    </row>
    <row r="110" spans="1:16" ht="13.15" hidden="1" customHeight="1">
      <c r="A110" s="105"/>
      <c r="B110" s="105"/>
      <c r="C110" s="131" t="s">
        <v>607</v>
      </c>
      <c r="D110" s="121" t="s">
        <v>599</v>
      </c>
      <c r="E110" s="117" t="s">
        <v>547</v>
      </c>
      <c r="F110" s="122"/>
      <c r="G110" s="117"/>
      <c r="H110" s="117"/>
      <c r="I110" s="117"/>
      <c r="J110" s="117"/>
      <c r="K110" s="117"/>
      <c r="L110" s="117"/>
      <c r="M110" s="117"/>
      <c r="N110" s="120"/>
    </row>
    <row r="111" spans="1:16" ht="13.15" hidden="1" customHeight="1">
      <c r="A111" s="105"/>
      <c r="B111" s="105"/>
      <c r="C111" s="131"/>
      <c r="D111" s="121"/>
      <c r="E111" s="117"/>
      <c r="F111" s="122"/>
      <c r="G111" s="117"/>
      <c r="H111" s="117"/>
      <c r="I111" s="117"/>
      <c r="J111" s="117"/>
      <c r="K111" s="117"/>
      <c r="L111" s="117"/>
      <c r="M111" s="117"/>
      <c r="N111" s="120"/>
    </row>
    <row r="112" spans="1:16" ht="13.15" hidden="1" customHeight="1">
      <c r="A112" s="105"/>
      <c r="B112" s="105"/>
      <c r="C112" s="131"/>
      <c r="D112" s="121"/>
      <c r="E112" s="117"/>
      <c r="F112" s="122"/>
      <c r="G112" s="117"/>
      <c r="H112" s="117"/>
      <c r="I112" s="117"/>
      <c r="J112" s="117"/>
      <c r="K112" s="117"/>
      <c r="L112" s="117"/>
      <c r="M112" s="117"/>
      <c r="N112" s="120"/>
    </row>
    <row r="113" spans="1:16" ht="13.15" hidden="1" customHeight="1">
      <c r="A113" s="105"/>
      <c r="B113" s="105"/>
      <c r="C113" s="131"/>
      <c r="D113" s="121"/>
      <c r="E113" s="117"/>
      <c r="F113" s="122"/>
      <c r="G113" s="117"/>
      <c r="H113" s="117"/>
      <c r="I113" s="117"/>
      <c r="J113" s="117"/>
      <c r="K113" s="117"/>
      <c r="L113" s="117"/>
      <c r="M113" s="117"/>
      <c r="N113" s="120"/>
    </row>
    <row r="114" spans="1:16" ht="13.15" hidden="1" customHeight="1">
      <c r="D114" s="101"/>
      <c r="E114" s="101"/>
      <c r="G114" s="101"/>
      <c r="H114" s="101"/>
      <c r="I114" s="101"/>
      <c r="J114" s="101"/>
      <c r="M114" s="101"/>
    </row>
    <row r="115" spans="1:16">
      <c r="A115" s="185" t="str">
        <f>$A$4</f>
        <v xml:space="preserve">Please fill in Supplier Name </v>
      </c>
      <c r="B115" s="185" t="s">
        <v>78</v>
      </c>
      <c r="C115" s="186" t="s">
        <v>79</v>
      </c>
      <c r="D115" s="187"/>
      <c r="E115" s="187"/>
      <c r="F115" s="188"/>
      <c r="G115" s="189">
        <f>'CS C C1-3'!G115</f>
        <v>0</v>
      </c>
      <c r="H115" s="189">
        <f>'CS C C1-3'!H115</f>
        <v>0</v>
      </c>
      <c r="I115" s="190">
        <f>'CS C C1-3'!I115</f>
        <v>0</v>
      </c>
      <c r="J115" s="191" t="s">
        <v>16</v>
      </c>
      <c r="K115" s="191" t="s">
        <v>35</v>
      </c>
      <c r="L115" s="195">
        <v>0.6</v>
      </c>
      <c r="M115" s="193">
        <f>I115*L115*$K$576</f>
        <v>0</v>
      </c>
      <c r="N115" s="186"/>
      <c r="O115" s="194" t="s">
        <v>532</v>
      </c>
      <c r="P115" s="194"/>
    </row>
    <row r="116" spans="1:16" hidden="1">
      <c r="A116" s="105"/>
      <c r="B116" s="105"/>
      <c r="C116" s="132"/>
      <c r="D116" s="125"/>
      <c r="E116" s="118"/>
      <c r="F116" s="124"/>
      <c r="G116" s="118"/>
      <c r="H116" s="118"/>
      <c r="I116" s="117"/>
      <c r="J116" s="117"/>
      <c r="K116" s="117"/>
      <c r="L116" s="117"/>
      <c r="M116" s="117"/>
      <c r="N116" s="120"/>
    </row>
    <row r="117" spans="1:16" hidden="1">
      <c r="A117" s="105"/>
      <c r="B117" s="105"/>
      <c r="C117" s="132"/>
      <c r="D117" s="125"/>
      <c r="E117" s="118"/>
      <c r="F117" s="124"/>
      <c r="G117" s="118"/>
      <c r="H117" s="118"/>
      <c r="I117" s="117"/>
      <c r="J117" s="117"/>
      <c r="K117" s="117"/>
      <c r="L117" s="117"/>
      <c r="M117" s="117"/>
      <c r="N117" s="120"/>
    </row>
    <row r="118" spans="1:16" hidden="1">
      <c r="A118" s="105"/>
      <c r="B118" s="105"/>
      <c r="C118" s="132"/>
      <c r="D118" s="125"/>
      <c r="E118" s="118"/>
      <c r="F118" s="124"/>
      <c r="G118" s="118"/>
      <c r="H118" s="118"/>
      <c r="I118" s="117"/>
      <c r="J118" s="117"/>
      <c r="K118" s="117"/>
      <c r="L118" s="117"/>
      <c r="M118" s="117"/>
      <c r="N118" s="120"/>
    </row>
    <row r="119" spans="1:16" hidden="1">
      <c r="A119" s="105"/>
      <c r="B119" s="105"/>
      <c r="C119" s="132"/>
      <c r="D119" s="125"/>
      <c r="E119" s="118"/>
      <c r="F119" s="124"/>
      <c r="G119" s="118"/>
      <c r="H119" s="118"/>
      <c r="I119" s="117"/>
      <c r="J119" s="117"/>
      <c r="K119" s="117"/>
      <c r="L119" s="117"/>
      <c r="M119" s="117"/>
      <c r="N119" s="120"/>
    </row>
    <row r="120" spans="1:16" hidden="1">
      <c r="A120" s="105"/>
      <c r="B120" s="105"/>
      <c r="C120" s="132"/>
      <c r="D120" s="125"/>
      <c r="E120" s="118"/>
      <c r="F120" s="124"/>
      <c r="G120" s="118"/>
      <c r="H120" s="118"/>
      <c r="I120" s="117"/>
      <c r="J120" s="117"/>
      <c r="K120" s="117"/>
      <c r="L120" s="117"/>
      <c r="M120" s="117"/>
      <c r="N120" s="120"/>
    </row>
    <row r="121" spans="1:16" hidden="1">
      <c r="A121" s="105"/>
      <c r="B121" s="105"/>
      <c r="C121" s="132"/>
      <c r="D121" s="125"/>
      <c r="E121" s="118"/>
      <c r="F121" s="124"/>
      <c r="G121" s="118"/>
      <c r="H121" s="118"/>
      <c r="I121" s="117"/>
      <c r="J121" s="117"/>
      <c r="K121" s="117"/>
      <c r="L121" s="117"/>
      <c r="M121" s="117"/>
      <c r="N121" s="120"/>
    </row>
    <row r="122" spans="1:16" ht="14.45" hidden="1">
      <c r="B122" s="105"/>
      <c r="C122" s="135"/>
      <c r="D122" s="125"/>
      <c r="E122" s="118"/>
      <c r="F122" s="124"/>
      <c r="G122" s="118"/>
      <c r="H122" s="118"/>
      <c r="I122" s="117"/>
      <c r="J122" s="117"/>
      <c r="K122" s="117"/>
      <c r="L122" s="117"/>
      <c r="M122" s="117"/>
      <c r="N122" s="120"/>
    </row>
    <row r="123" spans="1:16" hidden="1">
      <c r="A123" s="105"/>
      <c r="B123" s="105"/>
      <c r="C123" s="132"/>
      <c r="D123" s="125"/>
      <c r="E123" s="118"/>
      <c r="F123" s="124"/>
      <c r="G123" s="118"/>
      <c r="H123" s="118"/>
      <c r="I123" s="117"/>
      <c r="J123" s="117"/>
      <c r="K123" s="117"/>
      <c r="L123" s="117"/>
      <c r="M123" s="117"/>
      <c r="N123" s="120"/>
    </row>
    <row r="124" spans="1:16" hidden="1">
      <c r="A124" s="105"/>
      <c r="B124" s="105"/>
      <c r="C124" s="132"/>
      <c r="D124" s="125"/>
      <c r="E124" s="118"/>
      <c r="F124" s="124"/>
      <c r="G124" s="118"/>
      <c r="H124" s="118"/>
      <c r="I124" s="117"/>
      <c r="J124" s="117"/>
      <c r="K124" s="117"/>
      <c r="L124" s="117"/>
      <c r="M124" s="117"/>
      <c r="N124" s="120"/>
    </row>
    <row r="125" spans="1:16" hidden="1">
      <c r="D125" s="101"/>
      <c r="E125" s="101"/>
      <c r="G125" s="101"/>
      <c r="H125" s="101"/>
      <c r="I125" s="101"/>
      <c r="J125" s="101"/>
      <c r="M125" s="101"/>
    </row>
    <row r="126" spans="1:16">
      <c r="A126" s="227" t="str">
        <f>$A$4</f>
        <v xml:space="preserve">Please fill in Supplier Name </v>
      </c>
      <c r="B126" s="227" t="s">
        <v>104</v>
      </c>
      <c r="C126" s="228" t="s">
        <v>105</v>
      </c>
      <c r="D126" s="229"/>
      <c r="E126" s="229"/>
      <c r="F126" s="230"/>
      <c r="G126" s="231">
        <f>'CS C C1-3'!G126</f>
        <v>0</v>
      </c>
      <c r="H126" s="231">
        <f>'CS C C1-3'!H126</f>
        <v>0</v>
      </c>
      <c r="I126" s="232">
        <f>'CS C C1-3'!I126</f>
        <v>0</v>
      </c>
      <c r="J126" s="233" t="s">
        <v>16</v>
      </c>
      <c r="K126" s="233" t="s">
        <v>35</v>
      </c>
      <c r="L126" s="237">
        <v>0.6</v>
      </c>
      <c r="M126" s="235">
        <f>I126*L126*$K$576</f>
        <v>0</v>
      </c>
      <c r="N126" s="228"/>
      <c r="O126" s="236" t="s">
        <v>543</v>
      </c>
      <c r="P126" s="236"/>
    </row>
    <row r="127" spans="1:16" hidden="1">
      <c r="A127" s="105"/>
      <c r="B127" s="105"/>
      <c r="C127" s="132"/>
      <c r="D127" s="125"/>
      <c r="E127" s="118"/>
      <c r="F127" s="124"/>
      <c r="G127" s="118"/>
      <c r="H127" s="118"/>
      <c r="I127" s="117"/>
      <c r="J127" s="117"/>
      <c r="K127" s="117"/>
      <c r="L127" s="117"/>
      <c r="M127" s="117"/>
      <c r="N127" s="120"/>
    </row>
    <row r="128" spans="1:16" hidden="1">
      <c r="A128" s="105"/>
      <c r="B128" s="105"/>
      <c r="C128" s="132"/>
      <c r="D128" s="125"/>
      <c r="E128" s="118"/>
      <c r="F128" s="124"/>
      <c r="G128" s="118"/>
      <c r="H128" s="118"/>
      <c r="I128" s="117"/>
      <c r="J128" s="117"/>
      <c r="K128" s="117"/>
      <c r="L128" s="117"/>
      <c r="M128" s="117"/>
      <c r="N128" s="120"/>
    </row>
    <row r="129" spans="1:16" hidden="1">
      <c r="A129" s="105"/>
      <c r="B129" s="105"/>
      <c r="C129" s="132"/>
      <c r="D129" s="125"/>
      <c r="E129" s="118"/>
      <c r="F129" s="124"/>
      <c r="G129" s="118"/>
      <c r="H129" s="118"/>
      <c r="I129" s="117"/>
      <c r="J129" s="117"/>
      <c r="K129" s="117"/>
      <c r="L129" s="117"/>
      <c r="M129" s="117"/>
      <c r="N129" s="120"/>
    </row>
    <row r="130" spans="1:16" hidden="1">
      <c r="A130" s="105"/>
      <c r="B130" s="105"/>
      <c r="C130" s="132"/>
      <c r="D130" s="125"/>
      <c r="E130" s="118"/>
      <c r="F130" s="124"/>
      <c r="G130" s="118"/>
      <c r="H130" s="118"/>
      <c r="I130" s="117"/>
      <c r="J130" s="117"/>
      <c r="K130" s="117"/>
      <c r="L130" s="117"/>
      <c r="M130" s="117"/>
      <c r="N130" s="120"/>
    </row>
    <row r="131" spans="1:16" hidden="1">
      <c r="A131" s="105"/>
      <c r="B131" s="105"/>
      <c r="C131" s="132"/>
      <c r="D131" s="125"/>
      <c r="E131" s="118"/>
      <c r="F131" s="124"/>
      <c r="G131" s="118"/>
      <c r="H131" s="118"/>
      <c r="I131" s="117"/>
      <c r="J131" s="117"/>
      <c r="K131" s="117"/>
      <c r="L131" s="117"/>
      <c r="M131" s="117"/>
      <c r="N131" s="120"/>
    </row>
    <row r="132" spans="1:16" hidden="1">
      <c r="A132" s="105"/>
      <c r="B132" s="105"/>
      <c r="C132" s="132"/>
      <c r="D132" s="125"/>
      <c r="E132" s="118"/>
      <c r="F132" s="124"/>
      <c r="G132" s="118"/>
      <c r="H132" s="118"/>
      <c r="I132" s="117"/>
      <c r="J132" s="117"/>
      <c r="K132" s="117"/>
      <c r="L132" s="117"/>
      <c r="M132" s="117"/>
      <c r="N132" s="120"/>
    </row>
    <row r="133" spans="1:16" hidden="1">
      <c r="A133" s="105"/>
      <c r="B133" s="105"/>
      <c r="C133" s="132"/>
      <c r="D133" s="125"/>
      <c r="E133" s="118"/>
      <c r="F133" s="124"/>
      <c r="G133" s="118"/>
      <c r="H133" s="118"/>
      <c r="I133" s="117"/>
      <c r="J133" s="117"/>
      <c r="K133" s="117"/>
      <c r="L133" s="117"/>
      <c r="M133" s="117"/>
      <c r="N133" s="120"/>
    </row>
    <row r="134" spans="1:16" hidden="1">
      <c r="A134" s="105"/>
      <c r="B134" s="105"/>
      <c r="C134" s="132"/>
      <c r="D134" s="125"/>
      <c r="E134" s="118"/>
      <c r="F134" s="124"/>
      <c r="G134" s="118"/>
      <c r="H134" s="118"/>
      <c r="I134" s="117"/>
      <c r="J134" s="117"/>
      <c r="K134" s="117"/>
      <c r="L134" s="117"/>
      <c r="M134" s="117"/>
      <c r="N134" s="120"/>
    </row>
    <row r="135" spans="1:16" hidden="1">
      <c r="A135" s="105"/>
      <c r="B135" s="105"/>
      <c r="C135" s="132"/>
      <c r="D135" s="125"/>
      <c r="E135" s="118"/>
      <c r="F135" s="124"/>
      <c r="G135" s="118"/>
      <c r="H135" s="118"/>
      <c r="I135" s="117"/>
      <c r="J135" s="117"/>
      <c r="K135" s="117"/>
      <c r="L135" s="117"/>
      <c r="M135" s="117"/>
      <c r="N135" s="120"/>
    </row>
    <row r="136" spans="1:16" hidden="1">
      <c r="D136" s="101"/>
      <c r="E136" s="101"/>
      <c r="G136" s="101"/>
      <c r="H136" s="101"/>
      <c r="I136" s="101"/>
      <c r="J136" s="101"/>
      <c r="M136" s="101"/>
    </row>
    <row r="137" spans="1:16" ht="13.15" hidden="1" customHeight="1">
      <c r="A137" s="109" t="str">
        <f>$A$4</f>
        <v xml:space="preserve">Please fill in Supplier Name </v>
      </c>
      <c r="B137" s="109" t="s">
        <v>36</v>
      </c>
      <c r="C137" s="115" t="s">
        <v>37</v>
      </c>
      <c r="D137" s="110"/>
      <c r="E137" s="110"/>
      <c r="F137" s="111"/>
      <c r="G137" s="112">
        <f>SUM(G138:G140)</f>
        <v>0</v>
      </c>
      <c r="H137" s="112">
        <f>SUM(H138:H140)</f>
        <v>0</v>
      </c>
      <c r="I137" s="113">
        <f>SUM(G137:H137)</f>
        <v>0</v>
      </c>
      <c r="J137" s="114" t="s">
        <v>16</v>
      </c>
      <c r="K137" s="114" t="s">
        <v>27</v>
      </c>
      <c r="L137" s="145">
        <v>2</v>
      </c>
      <c r="M137" s="144">
        <f>I137*L137</f>
        <v>0</v>
      </c>
      <c r="N137" s="115"/>
      <c r="O137" s="116" t="s">
        <v>544</v>
      </c>
      <c r="P137" s="116" t="s">
        <v>620</v>
      </c>
    </row>
    <row r="138" spans="1:16" ht="13.15" hidden="1" customHeight="1">
      <c r="A138" s="105"/>
      <c r="B138" s="105"/>
      <c r="C138" s="131" t="s">
        <v>621</v>
      </c>
      <c r="D138" s="121">
        <v>5</v>
      </c>
      <c r="E138" s="117" t="s">
        <v>547</v>
      </c>
      <c r="F138" s="122"/>
      <c r="G138" s="117"/>
      <c r="H138" s="117"/>
      <c r="I138" s="117"/>
      <c r="J138" s="117"/>
      <c r="K138" s="117"/>
      <c r="L138" s="117"/>
      <c r="M138" s="117"/>
      <c r="N138" s="120"/>
    </row>
    <row r="139" spans="1:16" ht="13.15" hidden="1" customHeight="1">
      <c r="A139" s="105"/>
      <c r="B139" s="105"/>
      <c r="C139" s="131"/>
      <c r="D139" s="121"/>
      <c r="E139" s="117"/>
      <c r="F139" s="122"/>
      <c r="G139" s="117"/>
      <c r="H139" s="117"/>
      <c r="I139" s="117"/>
      <c r="J139" s="117"/>
      <c r="K139" s="117"/>
      <c r="L139" s="117"/>
      <c r="M139" s="117"/>
      <c r="N139" s="120"/>
    </row>
    <row r="140" spans="1:16" ht="13.15" hidden="1" customHeight="1">
      <c r="A140" s="105"/>
      <c r="B140" s="105"/>
      <c r="C140" s="131"/>
      <c r="D140" s="121"/>
      <c r="E140" s="117"/>
      <c r="F140" s="122"/>
      <c r="G140" s="117"/>
      <c r="H140" s="117"/>
      <c r="I140" s="117"/>
      <c r="J140" s="117"/>
      <c r="K140" s="117"/>
      <c r="L140" s="117"/>
      <c r="M140" s="117"/>
      <c r="N140" s="120"/>
    </row>
    <row r="141" spans="1:16" ht="13.15" hidden="1" customHeight="1">
      <c r="D141" s="101"/>
      <c r="E141" s="101"/>
      <c r="G141" s="101"/>
      <c r="H141" s="101"/>
      <c r="I141" s="101"/>
      <c r="J141" s="101"/>
      <c r="M141" s="101"/>
    </row>
    <row r="142" spans="1:16">
      <c r="A142" s="185" t="str">
        <f>$A$4</f>
        <v xml:space="preserve">Please fill in Supplier Name </v>
      </c>
      <c r="B142" s="185" t="s">
        <v>80</v>
      </c>
      <c r="C142" s="186" t="s">
        <v>81</v>
      </c>
      <c r="D142" s="187"/>
      <c r="E142" s="187"/>
      <c r="F142" s="188"/>
      <c r="G142" s="189">
        <f>'CS C C1-3'!G142</f>
        <v>0</v>
      </c>
      <c r="H142" s="189">
        <f>'CS C C1-3'!H142</f>
        <v>0</v>
      </c>
      <c r="I142" s="190">
        <f>'CS C C1-3'!I142</f>
        <v>0</v>
      </c>
      <c r="J142" s="191" t="s">
        <v>16</v>
      </c>
      <c r="K142" s="191" t="s">
        <v>27</v>
      </c>
      <c r="L142" s="192">
        <v>2</v>
      </c>
      <c r="M142" s="193">
        <f>I142*L142</f>
        <v>0</v>
      </c>
      <c r="N142" s="186"/>
      <c r="O142" s="194" t="s">
        <v>532</v>
      </c>
      <c r="P142" s="194" t="s">
        <v>622</v>
      </c>
    </row>
    <row r="143" spans="1:16" hidden="1">
      <c r="A143" s="105"/>
      <c r="B143" s="105"/>
      <c r="C143" s="132"/>
      <c r="D143" s="125"/>
      <c r="E143" s="118"/>
      <c r="F143" s="124"/>
      <c r="G143" s="118"/>
      <c r="H143" s="118"/>
      <c r="I143" s="117"/>
      <c r="J143" s="117"/>
      <c r="K143" s="117"/>
      <c r="L143" s="117"/>
      <c r="M143" s="117"/>
      <c r="N143" s="120"/>
    </row>
    <row r="144" spans="1:16" hidden="1">
      <c r="A144" s="105"/>
      <c r="B144" s="105"/>
      <c r="C144" s="132"/>
      <c r="D144" s="125"/>
      <c r="E144" s="118"/>
      <c r="F144" s="124"/>
      <c r="G144" s="118"/>
      <c r="H144" s="118"/>
      <c r="I144" s="117"/>
      <c r="J144" s="117"/>
      <c r="K144" s="117"/>
      <c r="L144" s="117"/>
      <c r="M144" s="117"/>
      <c r="N144" s="120"/>
    </row>
    <row r="145" spans="1:16" hidden="1">
      <c r="A145" s="105"/>
      <c r="B145" s="105"/>
      <c r="C145" s="132"/>
      <c r="D145" s="125"/>
      <c r="E145" s="118"/>
      <c r="F145" s="124"/>
      <c r="G145" s="118"/>
      <c r="H145" s="118"/>
      <c r="I145" s="117"/>
      <c r="J145" s="117"/>
      <c r="K145" s="117"/>
      <c r="L145" s="117"/>
      <c r="M145" s="117"/>
      <c r="N145" s="120"/>
    </row>
    <row r="146" spans="1:16" hidden="1">
      <c r="D146" s="101"/>
      <c r="E146" s="101"/>
      <c r="G146" s="101"/>
      <c r="H146" s="101"/>
      <c r="I146" s="101"/>
      <c r="J146" s="101"/>
      <c r="M146" s="101"/>
    </row>
    <row r="147" spans="1:16">
      <c r="A147" s="227" t="str">
        <f>$A$4</f>
        <v xml:space="preserve">Please fill in Supplier Name </v>
      </c>
      <c r="B147" s="227" t="s">
        <v>106</v>
      </c>
      <c r="C147" s="228" t="s">
        <v>107</v>
      </c>
      <c r="D147" s="229"/>
      <c r="E147" s="229"/>
      <c r="F147" s="230"/>
      <c r="G147" s="231">
        <f>'CS C C1-3'!G147</f>
        <v>0</v>
      </c>
      <c r="H147" s="231">
        <f>'CS C C1-3'!H147</f>
        <v>0</v>
      </c>
      <c r="I147" s="232">
        <f>'CS C C1-3'!I147</f>
        <v>0</v>
      </c>
      <c r="J147" s="233" t="s">
        <v>16</v>
      </c>
      <c r="K147" s="233" t="s">
        <v>27</v>
      </c>
      <c r="L147" s="234">
        <v>2</v>
      </c>
      <c r="M147" s="235">
        <f>I147*L147</f>
        <v>0</v>
      </c>
      <c r="N147" s="228"/>
      <c r="O147" s="236" t="s">
        <v>543</v>
      </c>
      <c r="P147" s="236" t="s">
        <v>622</v>
      </c>
    </row>
    <row r="148" spans="1:16" hidden="1">
      <c r="A148" s="105"/>
      <c r="B148" s="105"/>
      <c r="C148" s="132"/>
      <c r="D148" s="125"/>
      <c r="E148" s="118"/>
      <c r="F148" s="124"/>
      <c r="G148" s="118"/>
      <c r="H148" s="118"/>
      <c r="I148" s="117"/>
      <c r="J148" s="117"/>
      <c r="K148" s="117"/>
      <c r="L148" s="117"/>
      <c r="M148" s="117"/>
      <c r="N148" s="120"/>
    </row>
    <row r="149" spans="1:16" hidden="1">
      <c r="A149" s="105"/>
      <c r="B149" s="105"/>
      <c r="C149" s="132"/>
      <c r="D149" s="125"/>
      <c r="E149" s="118"/>
      <c r="F149" s="124"/>
      <c r="G149" s="118"/>
      <c r="H149" s="118"/>
      <c r="I149" s="117"/>
      <c r="J149" s="117"/>
      <c r="K149" s="117"/>
      <c r="L149" s="117"/>
      <c r="M149" s="117"/>
      <c r="N149" s="120"/>
    </row>
    <row r="150" spans="1:16" hidden="1">
      <c r="A150" s="105"/>
      <c r="B150" s="105"/>
      <c r="C150" s="132"/>
      <c r="D150" s="125"/>
      <c r="E150" s="118"/>
      <c r="F150" s="124"/>
      <c r="G150" s="118"/>
      <c r="H150" s="118"/>
      <c r="I150" s="117"/>
      <c r="J150" s="117"/>
      <c r="K150" s="117"/>
      <c r="L150" s="117"/>
      <c r="M150" s="117"/>
      <c r="N150" s="120"/>
    </row>
    <row r="151" spans="1:16" hidden="1">
      <c r="D151" s="101"/>
      <c r="E151" s="101"/>
      <c r="G151" s="101"/>
      <c r="H151" s="101"/>
      <c r="I151" s="101"/>
      <c r="J151" s="101"/>
      <c r="M151" s="101"/>
    </row>
    <row r="152" spans="1:16" ht="13.15" hidden="1" customHeight="1">
      <c r="A152" s="109" t="str">
        <f>$A$4</f>
        <v xml:space="preserve">Please fill in Supplier Name </v>
      </c>
      <c r="B152" s="109" t="s">
        <v>38</v>
      </c>
      <c r="C152" s="115" t="s">
        <v>39</v>
      </c>
      <c r="D152" s="110"/>
      <c r="E152" s="110"/>
      <c r="F152" s="111"/>
      <c r="G152" s="112">
        <f>SUM(G153:G161)</f>
        <v>0</v>
      </c>
      <c r="H152" s="112">
        <f>SUM(H153:H161)</f>
        <v>0</v>
      </c>
      <c r="I152" s="113">
        <f>SUM(G152:H152)</f>
        <v>0</v>
      </c>
      <c r="J152" s="114" t="s">
        <v>16</v>
      </c>
      <c r="K152" s="114" t="s">
        <v>625</v>
      </c>
      <c r="L152" s="166">
        <v>0.5</v>
      </c>
      <c r="M152" s="144">
        <f>I152*L152*$K$576</f>
        <v>0</v>
      </c>
      <c r="N152" s="115"/>
      <c r="O152" s="116" t="s">
        <v>544</v>
      </c>
      <c r="P152" s="116" t="s">
        <v>626</v>
      </c>
    </row>
    <row r="153" spans="1:16" ht="13.15" hidden="1" customHeight="1">
      <c r="A153" s="105"/>
      <c r="B153" s="105"/>
      <c r="C153" s="131" t="s">
        <v>627</v>
      </c>
      <c r="D153" s="121">
        <v>90</v>
      </c>
      <c r="E153" s="117"/>
      <c r="F153" s="122"/>
      <c r="G153" s="117"/>
      <c r="H153" s="117"/>
      <c r="I153" s="117"/>
      <c r="J153" s="117"/>
      <c r="K153" s="117"/>
      <c r="L153" s="117"/>
      <c r="M153" s="117"/>
      <c r="N153" s="120"/>
    </row>
    <row r="154" spans="1:16" ht="13.15" hidden="1" customHeight="1">
      <c r="A154" s="105"/>
      <c r="B154" s="105"/>
      <c r="C154" s="131" t="s">
        <v>628</v>
      </c>
      <c r="D154" s="121">
        <v>40</v>
      </c>
      <c r="E154" s="117"/>
      <c r="F154" s="122"/>
      <c r="G154" s="117"/>
      <c r="H154" s="117"/>
      <c r="I154" s="117"/>
      <c r="J154" s="117"/>
      <c r="K154" s="117"/>
      <c r="L154" s="117"/>
      <c r="M154" s="117"/>
      <c r="N154" s="120"/>
    </row>
    <row r="155" spans="1:16" ht="13.15" hidden="1" customHeight="1">
      <c r="A155" s="105"/>
      <c r="B155" s="105"/>
      <c r="C155" s="131" t="s">
        <v>629</v>
      </c>
      <c r="D155" s="121">
        <v>70</v>
      </c>
      <c r="E155" s="117"/>
      <c r="F155" s="122"/>
      <c r="G155" s="117"/>
      <c r="H155" s="117"/>
      <c r="I155" s="117"/>
      <c r="J155" s="117"/>
      <c r="K155" s="117"/>
      <c r="L155" s="117"/>
      <c r="M155" s="117"/>
      <c r="N155" s="120"/>
    </row>
    <row r="156" spans="1:16" ht="13.15" hidden="1" customHeight="1">
      <c r="A156" s="105"/>
      <c r="B156" s="105"/>
      <c r="C156" s="131" t="s">
        <v>630</v>
      </c>
      <c r="D156" s="121">
        <v>40</v>
      </c>
      <c r="E156" s="117"/>
      <c r="F156" s="122"/>
      <c r="G156" s="117"/>
      <c r="H156" s="117"/>
      <c r="I156" s="117"/>
      <c r="J156" s="117"/>
      <c r="K156" s="117"/>
      <c r="L156" s="117"/>
      <c r="M156" s="117"/>
      <c r="N156" s="120"/>
    </row>
    <row r="157" spans="1:16" ht="13.15" hidden="1" customHeight="1">
      <c r="A157" s="105"/>
      <c r="B157" s="105"/>
      <c r="C157" s="131" t="s">
        <v>631</v>
      </c>
      <c r="D157" s="121">
        <v>25</v>
      </c>
      <c r="E157" s="117"/>
      <c r="F157" s="122"/>
      <c r="G157" s="117"/>
      <c r="H157" s="117"/>
      <c r="I157" s="117"/>
      <c r="J157" s="117"/>
      <c r="K157" s="117"/>
      <c r="L157" s="117"/>
      <c r="M157" s="117"/>
      <c r="N157" s="120"/>
    </row>
    <row r="158" spans="1:16" ht="13.15" hidden="1" customHeight="1">
      <c r="A158" s="105"/>
      <c r="B158" s="105"/>
      <c r="C158" s="131"/>
      <c r="D158" s="121"/>
      <c r="E158" s="117"/>
      <c r="F158" s="122"/>
      <c r="G158" s="117"/>
      <c r="H158" s="117"/>
      <c r="I158" s="117"/>
      <c r="J158" s="117"/>
      <c r="K158" s="117"/>
      <c r="L158" s="117"/>
      <c r="M158" s="117"/>
      <c r="N158" s="120"/>
    </row>
    <row r="159" spans="1:16" ht="13.15" hidden="1" customHeight="1">
      <c r="A159" s="105"/>
      <c r="B159" s="105"/>
      <c r="C159" s="131"/>
      <c r="D159" s="121"/>
      <c r="E159" s="117"/>
      <c r="F159" s="122"/>
      <c r="G159" s="117"/>
      <c r="H159" s="117"/>
      <c r="I159" s="117"/>
      <c r="J159" s="117"/>
      <c r="K159" s="117"/>
      <c r="L159" s="117"/>
      <c r="M159" s="117"/>
      <c r="N159" s="120"/>
    </row>
    <row r="160" spans="1:16" ht="13.15" hidden="1" customHeight="1">
      <c r="A160" s="105"/>
      <c r="B160" s="105"/>
      <c r="C160" s="131"/>
      <c r="D160" s="121"/>
      <c r="E160" s="117"/>
      <c r="F160" s="122"/>
      <c r="G160" s="117"/>
      <c r="H160" s="117"/>
      <c r="I160" s="117"/>
      <c r="J160" s="117"/>
      <c r="K160" s="117"/>
      <c r="L160" s="117"/>
      <c r="M160" s="117"/>
      <c r="N160" s="120"/>
    </row>
    <row r="161" spans="1:16" ht="13.15" hidden="1" customHeight="1">
      <c r="A161" s="105"/>
      <c r="B161" s="105"/>
      <c r="C161" s="131"/>
      <c r="D161" s="121"/>
      <c r="E161" s="117"/>
      <c r="F161" s="122"/>
      <c r="G161" s="117"/>
      <c r="H161" s="117"/>
      <c r="I161" s="117"/>
      <c r="J161" s="117"/>
      <c r="K161" s="117"/>
      <c r="L161" s="117"/>
      <c r="M161" s="117"/>
      <c r="N161" s="120"/>
    </row>
    <row r="162" spans="1:16" ht="13.15" hidden="1" customHeight="1">
      <c r="D162" s="101"/>
      <c r="E162" s="101"/>
      <c r="G162" s="101"/>
      <c r="H162" s="101"/>
      <c r="I162" s="101"/>
      <c r="J162" s="101"/>
      <c r="M162" s="101"/>
    </row>
    <row r="163" spans="1:16">
      <c r="A163" s="185" t="str">
        <f>$A$4</f>
        <v xml:space="preserve">Please fill in Supplier Name </v>
      </c>
      <c r="B163" s="185" t="s">
        <v>82</v>
      </c>
      <c r="C163" s="186" t="s">
        <v>83</v>
      </c>
      <c r="D163" s="187"/>
      <c r="E163" s="187"/>
      <c r="F163" s="188"/>
      <c r="G163" s="189">
        <f>'CS C C1-3'!G163</f>
        <v>0</v>
      </c>
      <c r="H163" s="189">
        <f>'CS C C1-3'!H163</f>
        <v>0</v>
      </c>
      <c r="I163" s="190">
        <f>'CS C C1-3'!I163</f>
        <v>0</v>
      </c>
      <c r="J163" s="191" t="s">
        <v>16</v>
      </c>
      <c r="K163" s="191" t="s">
        <v>625</v>
      </c>
      <c r="L163" s="195">
        <v>0.5</v>
      </c>
      <c r="M163" s="193">
        <f>I163*L163*$K$576</f>
        <v>0</v>
      </c>
      <c r="N163" s="186"/>
      <c r="O163" s="194" t="s">
        <v>532</v>
      </c>
      <c r="P163" s="194"/>
    </row>
    <row r="164" spans="1:16" hidden="1">
      <c r="A164" s="105"/>
      <c r="B164" s="105"/>
      <c r="C164" s="132"/>
      <c r="D164" s="125"/>
      <c r="E164" s="118"/>
      <c r="F164" s="124"/>
      <c r="G164" s="118"/>
      <c r="H164" s="118"/>
      <c r="I164" s="117"/>
      <c r="J164" s="117"/>
      <c r="K164" s="117"/>
      <c r="L164" s="117"/>
      <c r="M164" s="117"/>
      <c r="N164" s="120"/>
    </row>
    <row r="165" spans="1:16" hidden="1">
      <c r="A165" s="105"/>
      <c r="B165" s="105"/>
      <c r="C165" s="132"/>
      <c r="D165" s="125"/>
      <c r="E165" s="118"/>
      <c r="F165" s="124"/>
      <c r="G165" s="118"/>
      <c r="H165" s="118"/>
      <c r="I165" s="117"/>
      <c r="J165" s="117"/>
      <c r="K165" s="117"/>
      <c r="L165" s="117"/>
      <c r="M165" s="117"/>
      <c r="N165" s="120"/>
    </row>
    <row r="166" spans="1:16" hidden="1">
      <c r="A166" s="105"/>
      <c r="B166" s="105"/>
      <c r="C166" s="132"/>
      <c r="D166" s="125"/>
      <c r="E166" s="118"/>
      <c r="F166" s="124"/>
      <c r="G166" s="118"/>
      <c r="H166" s="118"/>
      <c r="I166" s="117"/>
      <c r="J166" s="117"/>
      <c r="K166" s="117"/>
      <c r="L166" s="117"/>
      <c r="M166" s="117"/>
      <c r="N166" s="120"/>
    </row>
    <row r="167" spans="1:16" hidden="1">
      <c r="A167" s="105"/>
      <c r="B167" s="105"/>
      <c r="C167" s="132"/>
      <c r="D167" s="125"/>
      <c r="E167" s="118"/>
      <c r="F167" s="124"/>
      <c r="G167" s="118"/>
      <c r="H167" s="118"/>
      <c r="I167" s="117"/>
      <c r="J167" s="117"/>
      <c r="K167" s="117"/>
      <c r="L167" s="117"/>
      <c r="M167" s="117"/>
      <c r="N167" s="120"/>
    </row>
    <row r="168" spans="1:16" hidden="1">
      <c r="A168" s="105"/>
      <c r="B168" s="105"/>
      <c r="C168" s="132"/>
      <c r="D168" s="125"/>
      <c r="E168" s="118"/>
      <c r="F168" s="124"/>
      <c r="G168" s="118"/>
      <c r="H168" s="118"/>
      <c r="I168" s="117"/>
      <c r="J168" s="117"/>
      <c r="K168" s="117"/>
      <c r="L168" s="117"/>
      <c r="M168" s="117"/>
      <c r="N168" s="120"/>
    </row>
    <row r="169" spans="1:16" hidden="1">
      <c r="A169" s="105"/>
      <c r="B169" s="105"/>
      <c r="C169" s="132"/>
      <c r="D169" s="125"/>
      <c r="E169" s="118"/>
      <c r="F169" s="124"/>
      <c r="G169" s="118"/>
      <c r="H169" s="118"/>
      <c r="I169" s="117"/>
      <c r="J169" s="117"/>
      <c r="K169" s="117"/>
      <c r="L169" s="117"/>
      <c r="M169" s="117"/>
      <c r="N169" s="120"/>
    </row>
    <row r="170" spans="1:16" hidden="1">
      <c r="A170" s="105"/>
      <c r="B170" s="105"/>
      <c r="C170" s="132"/>
      <c r="D170" s="125"/>
      <c r="E170" s="118"/>
      <c r="F170" s="124"/>
      <c r="G170" s="118"/>
      <c r="H170" s="118"/>
      <c r="I170" s="117"/>
      <c r="J170" s="117"/>
      <c r="K170" s="117"/>
      <c r="L170" s="117"/>
      <c r="M170" s="117"/>
      <c r="N170" s="120"/>
    </row>
    <row r="171" spans="1:16" hidden="1">
      <c r="A171" s="105"/>
      <c r="B171" s="105"/>
      <c r="C171" s="132"/>
      <c r="D171" s="125"/>
      <c r="E171" s="118"/>
      <c r="F171" s="124"/>
      <c r="G171" s="118"/>
      <c r="H171" s="118"/>
      <c r="I171" s="117"/>
      <c r="J171" s="117"/>
      <c r="K171" s="117"/>
      <c r="L171" s="117"/>
      <c r="M171" s="117"/>
      <c r="N171" s="120"/>
    </row>
    <row r="172" spans="1:16" hidden="1">
      <c r="A172" s="105"/>
      <c r="B172" s="105"/>
      <c r="C172" s="132"/>
      <c r="D172" s="125"/>
      <c r="E172" s="118"/>
      <c r="F172" s="124"/>
      <c r="G172" s="118"/>
      <c r="H172" s="118"/>
      <c r="I172" s="117"/>
      <c r="J172" s="117"/>
      <c r="K172" s="117"/>
      <c r="L172" s="117"/>
      <c r="M172" s="117"/>
      <c r="N172" s="120"/>
    </row>
    <row r="173" spans="1:16" hidden="1">
      <c r="D173" s="101"/>
      <c r="E173" s="101"/>
      <c r="G173" s="101"/>
      <c r="H173" s="101"/>
      <c r="I173" s="101"/>
      <c r="J173" s="101"/>
      <c r="M173" s="101"/>
    </row>
    <row r="174" spans="1:16">
      <c r="A174" s="227" t="str">
        <f>$A$4</f>
        <v xml:space="preserve">Please fill in Supplier Name </v>
      </c>
      <c r="B174" s="227" t="s">
        <v>108</v>
      </c>
      <c r="C174" s="228" t="s">
        <v>109</v>
      </c>
      <c r="D174" s="229"/>
      <c r="E174" s="229"/>
      <c r="F174" s="230"/>
      <c r="G174" s="231">
        <f>'CS C C1-3'!G174</f>
        <v>0</v>
      </c>
      <c r="H174" s="231">
        <f>'CS C C1-3'!H174</f>
        <v>0</v>
      </c>
      <c r="I174" s="232">
        <f>'CS C C1-3'!I174</f>
        <v>0</v>
      </c>
      <c r="J174" s="233" t="s">
        <v>16</v>
      </c>
      <c r="K174" s="233" t="s">
        <v>625</v>
      </c>
      <c r="L174" s="237">
        <v>0.5</v>
      </c>
      <c r="M174" s="235">
        <f>I174*L174*$K$576</f>
        <v>0</v>
      </c>
      <c r="N174" s="228"/>
      <c r="O174" s="236" t="s">
        <v>543</v>
      </c>
      <c r="P174" s="236"/>
    </row>
    <row r="175" spans="1:16" hidden="1">
      <c r="A175" s="105"/>
      <c r="B175" s="105"/>
      <c r="C175" s="132"/>
      <c r="D175" s="125"/>
      <c r="E175" s="118"/>
      <c r="F175" s="124"/>
      <c r="G175" s="118"/>
      <c r="H175" s="118"/>
      <c r="I175" s="117"/>
      <c r="J175" s="117"/>
      <c r="K175" s="117"/>
      <c r="L175" s="117"/>
      <c r="M175" s="117"/>
      <c r="N175" s="120"/>
    </row>
    <row r="176" spans="1:16" hidden="1">
      <c r="A176" s="105"/>
      <c r="B176" s="105"/>
      <c r="C176" s="132"/>
      <c r="D176" s="125"/>
      <c r="E176" s="118"/>
      <c r="F176" s="124"/>
      <c r="G176" s="118"/>
      <c r="H176" s="118"/>
      <c r="I176" s="117"/>
      <c r="J176" s="117"/>
      <c r="K176" s="117"/>
      <c r="L176" s="117"/>
      <c r="M176" s="117"/>
      <c r="N176" s="120"/>
    </row>
    <row r="177" spans="1:16" hidden="1">
      <c r="A177" s="105"/>
      <c r="B177" s="105"/>
      <c r="C177" s="132"/>
      <c r="D177" s="125"/>
      <c r="E177" s="118"/>
      <c r="F177" s="124"/>
      <c r="G177" s="118"/>
      <c r="H177" s="118"/>
      <c r="I177" s="117"/>
      <c r="J177" s="117"/>
      <c r="K177" s="117"/>
      <c r="L177" s="117"/>
      <c r="M177" s="117"/>
      <c r="N177" s="120"/>
    </row>
    <row r="178" spans="1:16" hidden="1">
      <c r="A178" s="105"/>
      <c r="B178" s="105"/>
      <c r="C178" s="132"/>
      <c r="D178" s="125"/>
      <c r="E178" s="118"/>
      <c r="F178" s="124"/>
      <c r="G178" s="118"/>
      <c r="H178" s="118"/>
      <c r="I178" s="117"/>
      <c r="J178" s="117"/>
      <c r="K178" s="117"/>
      <c r="L178" s="117"/>
      <c r="M178" s="117"/>
      <c r="N178" s="120"/>
    </row>
    <row r="179" spans="1:16" hidden="1">
      <c r="A179" s="105"/>
      <c r="B179" s="105"/>
      <c r="C179" s="132"/>
      <c r="D179" s="125"/>
      <c r="E179" s="118"/>
      <c r="F179" s="124"/>
      <c r="G179" s="118"/>
      <c r="H179" s="118"/>
      <c r="I179" s="117"/>
      <c r="J179" s="117"/>
      <c r="K179" s="117"/>
      <c r="L179" s="117"/>
      <c r="M179" s="117"/>
      <c r="N179" s="120"/>
    </row>
    <row r="180" spans="1:16" hidden="1">
      <c r="A180" s="105"/>
      <c r="B180" s="105"/>
      <c r="C180" s="132"/>
      <c r="D180" s="125"/>
      <c r="E180" s="118"/>
      <c r="F180" s="124"/>
      <c r="G180" s="118"/>
      <c r="H180" s="118"/>
      <c r="I180" s="117"/>
      <c r="J180" s="117"/>
      <c r="K180" s="117"/>
      <c r="L180" s="117"/>
      <c r="M180" s="117"/>
      <c r="N180" s="120"/>
    </row>
    <row r="181" spans="1:16" hidden="1">
      <c r="A181" s="105"/>
      <c r="B181" s="105"/>
      <c r="C181" s="132"/>
      <c r="D181" s="125"/>
      <c r="E181" s="118"/>
      <c r="F181" s="124"/>
      <c r="G181" s="118"/>
      <c r="H181" s="118"/>
      <c r="I181" s="117"/>
      <c r="J181" s="117"/>
      <c r="K181" s="117"/>
      <c r="L181" s="117"/>
      <c r="M181" s="117"/>
      <c r="N181" s="120"/>
    </row>
    <row r="182" spans="1:16" hidden="1">
      <c r="A182" s="105"/>
      <c r="B182" s="105"/>
      <c r="C182" s="132"/>
      <c r="D182" s="125"/>
      <c r="E182" s="118"/>
      <c r="F182" s="124"/>
      <c r="G182" s="118"/>
      <c r="H182" s="118"/>
      <c r="I182" s="117"/>
      <c r="J182" s="117"/>
      <c r="K182" s="117"/>
      <c r="L182" s="117"/>
      <c r="M182" s="117"/>
      <c r="N182" s="120"/>
    </row>
    <row r="183" spans="1:16" hidden="1">
      <c r="A183" s="105"/>
      <c r="B183" s="105"/>
      <c r="C183" s="132"/>
      <c r="D183" s="125"/>
      <c r="E183" s="118"/>
      <c r="F183" s="124"/>
      <c r="G183" s="118"/>
      <c r="H183" s="118"/>
      <c r="I183" s="117"/>
      <c r="J183" s="117"/>
      <c r="K183" s="117"/>
      <c r="L183" s="117"/>
      <c r="M183" s="117"/>
      <c r="N183" s="120"/>
    </row>
    <row r="184" spans="1:16" hidden="1">
      <c r="D184" s="101"/>
      <c r="E184" s="101"/>
      <c r="G184" s="101"/>
      <c r="H184" s="101"/>
      <c r="I184" s="101"/>
      <c r="J184" s="101"/>
      <c r="M184" s="101"/>
    </row>
    <row r="185" spans="1:16" ht="13.15" hidden="1" customHeight="1">
      <c r="A185" s="109" t="str">
        <f>$A$4</f>
        <v xml:space="preserve">Please fill in Supplier Name </v>
      </c>
      <c r="B185" s="109" t="s">
        <v>44</v>
      </c>
      <c r="C185" s="115" t="s">
        <v>45</v>
      </c>
      <c r="D185" s="110"/>
      <c r="E185" s="110"/>
      <c r="F185" s="111"/>
      <c r="G185" s="112">
        <f>SUM(G186:G194)</f>
        <v>0</v>
      </c>
      <c r="H185" s="112">
        <f>SUM(H186:H194)</f>
        <v>0</v>
      </c>
      <c r="I185" s="113">
        <f>SUM(G185:H185)</f>
        <v>0</v>
      </c>
      <c r="J185" s="114" t="s">
        <v>16</v>
      </c>
      <c r="K185" s="114" t="s">
        <v>643</v>
      </c>
      <c r="L185" s="166">
        <v>0.5</v>
      </c>
      <c r="M185" s="144">
        <f>I185*L185*$K$576</f>
        <v>0</v>
      </c>
      <c r="N185" s="115"/>
      <c r="O185" s="116" t="s">
        <v>544</v>
      </c>
      <c r="P185" s="116" t="s">
        <v>644</v>
      </c>
    </row>
    <row r="186" spans="1:16" ht="13.15" hidden="1" customHeight="1">
      <c r="A186" s="105"/>
      <c r="B186" s="105"/>
      <c r="C186" s="131" t="s">
        <v>645</v>
      </c>
      <c r="D186" s="121">
        <v>1</v>
      </c>
      <c r="E186" s="117" t="s">
        <v>535</v>
      </c>
      <c r="F186" s="122"/>
      <c r="G186" s="117"/>
      <c r="H186" s="117"/>
      <c r="I186" s="117"/>
      <c r="J186" s="117"/>
      <c r="K186" s="117"/>
      <c r="L186" s="117"/>
      <c r="M186" s="117"/>
      <c r="N186" s="120"/>
    </row>
    <row r="187" spans="1:16" ht="13.15" hidden="1" customHeight="1">
      <c r="A187" s="105"/>
      <c r="B187" s="105"/>
      <c r="C187" s="131" t="s">
        <v>646</v>
      </c>
      <c r="D187" s="121">
        <v>60</v>
      </c>
      <c r="E187" s="117" t="s">
        <v>559</v>
      </c>
      <c r="F187" s="122"/>
      <c r="G187" s="117"/>
      <c r="H187" s="117"/>
      <c r="I187" s="117"/>
      <c r="J187" s="117"/>
      <c r="K187" s="117"/>
      <c r="L187" s="117"/>
      <c r="M187" s="117"/>
      <c r="N187" s="120"/>
    </row>
    <row r="188" spans="1:16" ht="13.15" hidden="1" customHeight="1">
      <c r="A188" s="105"/>
      <c r="B188" s="105"/>
      <c r="C188" s="131" t="s">
        <v>647</v>
      </c>
      <c r="D188" s="121">
        <v>60</v>
      </c>
      <c r="E188" s="117" t="s">
        <v>559</v>
      </c>
      <c r="F188" s="122"/>
      <c r="G188" s="117"/>
      <c r="H188" s="117"/>
      <c r="I188" s="117"/>
      <c r="J188" s="117"/>
      <c r="K188" s="117"/>
      <c r="L188" s="117"/>
      <c r="M188" s="117"/>
      <c r="N188" s="120"/>
    </row>
    <row r="189" spans="1:16" ht="13.15" hidden="1" customHeight="1">
      <c r="B189" s="105"/>
      <c r="C189" s="136" t="s">
        <v>648</v>
      </c>
      <c r="D189" s="121"/>
      <c r="E189" s="117"/>
      <c r="F189" s="122"/>
      <c r="G189" s="117"/>
      <c r="H189" s="117"/>
      <c r="I189" s="117"/>
      <c r="J189" s="117"/>
      <c r="K189" s="117"/>
      <c r="L189" s="117"/>
      <c r="M189" s="117"/>
      <c r="N189" s="120"/>
    </row>
    <row r="190" spans="1:16" ht="13.15" hidden="1" customHeight="1">
      <c r="A190" s="105"/>
      <c r="B190" s="105"/>
      <c r="C190" s="131" t="s">
        <v>649</v>
      </c>
      <c r="D190" s="121">
        <v>30</v>
      </c>
      <c r="E190" s="117" t="s">
        <v>559</v>
      </c>
      <c r="F190" s="122"/>
      <c r="G190" s="117"/>
      <c r="H190" s="117"/>
      <c r="I190" s="117"/>
      <c r="J190" s="117"/>
      <c r="K190" s="117"/>
      <c r="L190" s="117"/>
      <c r="M190" s="117"/>
      <c r="N190" s="120"/>
    </row>
    <row r="191" spans="1:16" ht="13.15" hidden="1" customHeight="1">
      <c r="A191" s="105"/>
      <c r="B191" s="105"/>
      <c r="C191" s="131"/>
      <c r="D191" s="121"/>
      <c r="E191" s="117"/>
      <c r="F191" s="122"/>
      <c r="G191" s="117"/>
      <c r="H191" s="117"/>
      <c r="I191" s="117"/>
      <c r="J191" s="117"/>
      <c r="K191" s="117"/>
      <c r="L191" s="117"/>
      <c r="M191" s="117"/>
      <c r="N191" s="120"/>
    </row>
    <row r="192" spans="1:16" ht="13.15" hidden="1" customHeight="1">
      <c r="A192" s="105"/>
      <c r="B192" s="105"/>
      <c r="C192" s="131"/>
      <c r="D192" s="121"/>
      <c r="E192" s="117"/>
      <c r="F192" s="122"/>
      <c r="G192" s="117"/>
      <c r="H192" s="117"/>
      <c r="I192" s="117"/>
      <c r="J192" s="117"/>
      <c r="K192" s="117"/>
      <c r="L192" s="117"/>
      <c r="M192" s="117"/>
      <c r="N192" s="120"/>
    </row>
    <row r="193" spans="1:16" ht="13.15" hidden="1" customHeight="1">
      <c r="A193" s="105"/>
      <c r="B193" s="105"/>
      <c r="C193" s="131"/>
      <c r="D193" s="121"/>
      <c r="E193" s="117"/>
      <c r="F193" s="122"/>
      <c r="G193" s="117"/>
      <c r="H193" s="117"/>
      <c r="I193" s="117"/>
      <c r="J193" s="117"/>
      <c r="K193" s="117"/>
      <c r="L193" s="117"/>
      <c r="M193" s="117"/>
      <c r="N193" s="120"/>
    </row>
    <row r="194" spans="1:16" ht="13.15" hidden="1" customHeight="1">
      <c r="A194" s="105"/>
      <c r="B194" s="105"/>
      <c r="C194" s="131"/>
      <c r="D194" s="121"/>
      <c r="E194" s="117"/>
      <c r="F194" s="122"/>
      <c r="G194" s="117"/>
      <c r="H194" s="117"/>
      <c r="I194" s="117"/>
      <c r="J194" s="117"/>
      <c r="K194" s="117"/>
      <c r="L194" s="117"/>
      <c r="M194" s="117"/>
      <c r="N194" s="120"/>
    </row>
    <row r="195" spans="1:16" ht="13.15" hidden="1" customHeight="1">
      <c r="D195" s="101"/>
      <c r="E195" s="101"/>
      <c r="G195" s="101"/>
      <c r="H195" s="101"/>
      <c r="I195" s="101"/>
      <c r="J195" s="101"/>
      <c r="M195" s="101"/>
    </row>
    <row r="196" spans="1:16">
      <c r="A196" s="185" t="str">
        <f>$A$4</f>
        <v xml:space="preserve">Please fill in Supplier Name </v>
      </c>
      <c r="B196" s="185" t="s">
        <v>86</v>
      </c>
      <c r="C196" s="186" t="s">
        <v>87</v>
      </c>
      <c r="D196" s="187"/>
      <c r="E196" s="187"/>
      <c r="F196" s="188"/>
      <c r="G196" s="189">
        <f>'CS C C1-3'!G196</f>
        <v>0</v>
      </c>
      <c r="H196" s="189">
        <f>'CS C C1-3'!H196</f>
        <v>0</v>
      </c>
      <c r="I196" s="190">
        <f>'CS C C1-3'!I196</f>
        <v>0</v>
      </c>
      <c r="J196" s="191" t="s">
        <v>16</v>
      </c>
      <c r="K196" s="191" t="s">
        <v>643</v>
      </c>
      <c r="L196" s="195">
        <v>0.5</v>
      </c>
      <c r="M196" s="193">
        <f>I196*L196*$K$576</f>
        <v>0</v>
      </c>
      <c r="N196" s="186"/>
      <c r="O196" s="194" t="s">
        <v>532</v>
      </c>
      <c r="P196" s="194"/>
    </row>
    <row r="197" spans="1:16" hidden="1">
      <c r="A197" s="105"/>
      <c r="B197" s="105"/>
      <c r="C197" s="132"/>
      <c r="D197" s="125"/>
      <c r="E197" s="118"/>
      <c r="F197" s="124"/>
      <c r="G197" s="118"/>
      <c r="H197" s="118"/>
      <c r="I197" s="117"/>
      <c r="J197" s="117"/>
      <c r="K197" s="117"/>
      <c r="L197" s="117"/>
      <c r="M197" s="117"/>
      <c r="N197" s="120"/>
    </row>
    <row r="198" spans="1:16" hidden="1">
      <c r="A198" s="105"/>
      <c r="B198" s="105"/>
      <c r="C198" s="132"/>
      <c r="D198" s="125"/>
      <c r="E198" s="118"/>
      <c r="F198" s="124"/>
      <c r="G198" s="118"/>
      <c r="H198" s="118"/>
      <c r="I198" s="117"/>
      <c r="J198" s="117"/>
      <c r="K198" s="117"/>
      <c r="L198" s="117"/>
      <c r="M198" s="117"/>
      <c r="N198" s="120"/>
    </row>
    <row r="199" spans="1:16" hidden="1">
      <c r="A199" s="105"/>
      <c r="B199" s="105"/>
      <c r="C199" s="132"/>
      <c r="D199" s="125"/>
      <c r="E199" s="118"/>
      <c r="F199" s="124"/>
      <c r="G199" s="118"/>
      <c r="H199" s="118"/>
      <c r="I199" s="117"/>
      <c r="J199" s="117"/>
      <c r="K199" s="117"/>
      <c r="L199" s="117"/>
      <c r="M199" s="117"/>
      <c r="N199" s="120"/>
    </row>
    <row r="200" spans="1:16" hidden="1">
      <c r="A200" s="105"/>
      <c r="B200" s="105"/>
      <c r="C200" s="132"/>
      <c r="D200" s="125"/>
      <c r="E200" s="118"/>
      <c r="F200" s="124"/>
      <c r="G200" s="118"/>
      <c r="H200" s="118"/>
      <c r="I200" s="117"/>
      <c r="J200" s="117"/>
      <c r="K200" s="117"/>
      <c r="L200" s="117"/>
      <c r="M200" s="117"/>
      <c r="N200" s="120"/>
    </row>
    <row r="201" spans="1:16" hidden="1">
      <c r="A201" s="105"/>
      <c r="B201" s="105"/>
      <c r="C201" s="132"/>
      <c r="D201" s="125"/>
      <c r="E201" s="118"/>
      <c r="F201" s="124"/>
      <c r="G201" s="118"/>
      <c r="H201" s="118"/>
      <c r="I201" s="117"/>
      <c r="J201" s="117"/>
      <c r="K201" s="117"/>
      <c r="L201" s="117"/>
      <c r="M201" s="117"/>
      <c r="N201" s="120"/>
    </row>
    <row r="202" spans="1:16" hidden="1">
      <c r="A202" s="105"/>
      <c r="B202" s="105"/>
      <c r="C202" s="132"/>
      <c r="D202" s="125"/>
      <c r="E202" s="118"/>
      <c r="F202" s="124"/>
      <c r="G202" s="118"/>
      <c r="H202" s="118"/>
      <c r="I202" s="117"/>
      <c r="J202" s="117"/>
      <c r="K202" s="117"/>
      <c r="L202" s="117"/>
      <c r="M202" s="117"/>
      <c r="N202" s="120"/>
    </row>
    <row r="203" spans="1:16" hidden="1">
      <c r="A203" s="105"/>
      <c r="B203" s="105"/>
      <c r="C203" s="132"/>
      <c r="D203" s="125"/>
      <c r="E203" s="118"/>
      <c r="F203" s="124"/>
      <c r="G203" s="118"/>
      <c r="H203" s="118"/>
      <c r="I203" s="117"/>
      <c r="J203" s="117"/>
      <c r="K203" s="117"/>
      <c r="L203" s="117"/>
      <c r="M203" s="117"/>
      <c r="N203" s="120"/>
    </row>
    <row r="204" spans="1:16" hidden="1">
      <c r="B204" s="105"/>
      <c r="C204" s="137"/>
      <c r="D204" s="125"/>
      <c r="E204" s="118"/>
      <c r="F204" s="124"/>
      <c r="G204" s="118"/>
      <c r="H204" s="118"/>
      <c r="I204" s="117"/>
      <c r="J204" s="117"/>
      <c r="K204" s="117"/>
      <c r="L204" s="117"/>
      <c r="M204" s="117"/>
      <c r="N204" s="120"/>
    </row>
    <row r="205" spans="1:16" hidden="1">
      <c r="A205" s="105"/>
      <c r="B205" s="105"/>
      <c r="C205" s="132"/>
      <c r="D205" s="125"/>
      <c r="E205" s="118"/>
      <c r="F205" s="124"/>
      <c r="G205" s="118"/>
      <c r="H205" s="118"/>
      <c r="I205" s="117"/>
      <c r="J205" s="117"/>
      <c r="K205" s="117"/>
      <c r="L205" s="117"/>
      <c r="M205" s="117"/>
      <c r="N205" s="120"/>
    </row>
    <row r="206" spans="1:16" hidden="1">
      <c r="D206" s="101"/>
      <c r="E206" s="101"/>
      <c r="G206" s="101"/>
      <c r="H206" s="101"/>
      <c r="I206" s="101"/>
      <c r="J206" s="101"/>
      <c r="M206" s="101"/>
    </row>
    <row r="207" spans="1:16">
      <c r="A207" s="227" t="str">
        <f>$A$4</f>
        <v xml:space="preserve">Please fill in Supplier Name </v>
      </c>
      <c r="B207" s="227" t="s">
        <v>113</v>
      </c>
      <c r="C207" s="228" t="s">
        <v>114</v>
      </c>
      <c r="D207" s="229"/>
      <c r="E207" s="229"/>
      <c r="F207" s="230"/>
      <c r="G207" s="231">
        <f>'CS C C1-3'!G207</f>
        <v>0</v>
      </c>
      <c r="H207" s="231">
        <f>'CS C C1-3'!H207</f>
        <v>0</v>
      </c>
      <c r="I207" s="232">
        <f>'CS C C1-3'!I207</f>
        <v>0</v>
      </c>
      <c r="J207" s="233" t="s">
        <v>16</v>
      </c>
      <c r="K207" s="233" t="s">
        <v>643</v>
      </c>
      <c r="L207" s="237">
        <v>0.5</v>
      </c>
      <c r="M207" s="235">
        <f>I207*L207*$K$576</f>
        <v>0</v>
      </c>
      <c r="N207" s="228"/>
      <c r="O207" s="236" t="s">
        <v>543</v>
      </c>
      <c r="P207" s="236"/>
    </row>
    <row r="208" spans="1:16" hidden="1">
      <c r="A208" s="105"/>
      <c r="B208" s="105"/>
      <c r="C208" s="132"/>
      <c r="D208" s="125"/>
      <c r="E208" s="118"/>
      <c r="F208" s="124"/>
      <c r="G208" s="118"/>
      <c r="H208" s="118"/>
      <c r="I208" s="117"/>
      <c r="J208" s="117"/>
      <c r="K208" s="117"/>
      <c r="L208" s="117"/>
      <c r="M208" s="117"/>
      <c r="N208" s="120"/>
    </row>
    <row r="209" spans="1:16" hidden="1">
      <c r="A209" s="105"/>
      <c r="B209" s="105"/>
      <c r="C209" s="132"/>
      <c r="D209" s="125"/>
      <c r="E209" s="118"/>
      <c r="F209" s="124"/>
      <c r="G209" s="118"/>
      <c r="H209" s="118"/>
      <c r="I209" s="117"/>
      <c r="J209" s="117"/>
      <c r="K209" s="117"/>
      <c r="L209" s="117"/>
      <c r="M209" s="117"/>
      <c r="N209" s="120"/>
    </row>
    <row r="210" spans="1:16" hidden="1">
      <c r="A210" s="105"/>
      <c r="B210" s="105"/>
      <c r="C210" s="132"/>
      <c r="D210" s="125"/>
      <c r="E210" s="118"/>
      <c r="F210" s="124"/>
      <c r="G210" s="118"/>
      <c r="H210" s="118"/>
      <c r="I210" s="117"/>
      <c r="J210" s="117"/>
      <c r="K210" s="117"/>
      <c r="L210" s="117"/>
      <c r="M210" s="117"/>
      <c r="N210" s="120"/>
    </row>
    <row r="211" spans="1:16" hidden="1">
      <c r="A211" s="105"/>
      <c r="B211" s="105"/>
      <c r="C211" s="132"/>
      <c r="D211" s="125"/>
      <c r="E211" s="118"/>
      <c r="F211" s="124"/>
      <c r="G211" s="118"/>
      <c r="H211" s="118"/>
      <c r="I211" s="117"/>
      <c r="J211" s="117"/>
      <c r="K211" s="117"/>
      <c r="L211" s="117"/>
      <c r="M211" s="117"/>
      <c r="N211" s="120"/>
    </row>
    <row r="212" spans="1:16" hidden="1">
      <c r="A212" s="105"/>
      <c r="B212" s="105"/>
      <c r="C212" s="132"/>
      <c r="D212" s="125"/>
      <c r="E212" s="118"/>
      <c r="F212" s="124"/>
      <c r="G212" s="118"/>
      <c r="H212" s="118"/>
      <c r="I212" s="117"/>
      <c r="J212" s="117"/>
      <c r="K212" s="117"/>
      <c r="L212" s="117"/>
      <c r="M212" s="117"/>
      <c r="N212" s="120"/>
    </row>
    <row r="213" spans="1:16" hidden="1">
      <c r="A213" s="105"/>
      <c r="B213" s="105"/>
      <c r="C213" s="132"/>
      <c r="D213" s="125"/>
      <c r="E213" s="118"/>
      <c r="F213" s="124"/>
      <c r="G213" s="118"/>
      <c r="H213" s="118"/>
      <c r="I213" s="117"/>
      <c r="J213" s="117"/>
      <c r="K213" s="117"/>
      <c r="L213" s="117"/>
      <c r="M213" s="117"/>
      <c r="N213" s="120"/>
    </row>
    <row r="214" spans="1:16" hidden="1">
      <c r="A214" s="105"/>
      <c r="B214" s="105"/>
      <c r="C214" s="132"/>
      <c r="D214" s="125"/>
      <c r="E214" s="118"/>
      <c r="F214" s="124"/>
      <c r="G214" s="118"/>
      <c r="H214" s="118"/>
      <c r="I214" s="117"/>
      <c r="J214" s="117"/>
      <c r="K214" s="117"/>
      <c r="L214" s="117"/>
      <c r="M214" s="117"/>
      <c r="N214" s="120"/>
    </row>
    <row r="215" spans="1:16" hidden="1">
      <c r="A215" s="105"/>
      <c r="B215" s="105"/>
      <c r="C215" s="132"/>
      <c r="D215" s="125"/>
      <c r="E215" s="118"/>
      <c r="F215" s="124"/>
      <c r="G215" s="118"/>
      <c r="H215" s="118"/>
      <c r="I215" s="117"/>
      <c r="J215" s="117"/>
      <c r="K215" s="117"/>
      <c r="L215" s="117"/>
      <c r="M215" s="117"/>
      <c r="N215" s="120"/>
    </row>
    <row r="216" spans="1:16" hidden="1">
      <c r="A216" s="105"/>
      <c r="B216" s="105"/>
      <c r="C216" s="132"/>
      <c r="D216" s="125"/>
      <c r="E216" s="118"/>
      <c r="F216" s="124"/>
      <c r="G216" s="118"/>
      <c r="H216" s="118"/>
      <c r="I216" s="117"/>
      <c r="J216" s="117"/>
      <c r="K216" s="117"/>
      <c r="L216" s="117"/>
      <c r="M216" s="117"/>
      <c r="N216" s="120"/>
    </row>
    <row r="217" spans="1:16" hidden="1">
      <c r="D217" s="101"/>
      <c r="E217" s="101"/>
      <c r="G217" s="101"/>
      <c r="H217" s="101"/>
      <c r="I217" s="101"/>
      <c r="J217" s="101"/>
      <c r="M217" s="101"/>
    </row>
    <row r="218" spans="1:16" ht="13.15" hidden="1" customHeight="1">
      <c r="A218" s="109" t="str">
        <f>$A$4</f>
        <v xml:space="preserve">Please fill in Supplier Name </v>
      </c>
      <c r="B218" s="109" t="s">
        <v>46</v>
      </c>
      <c r="C218" s="115" t="s">
        <v>47</v>
      </c>
      <c r="D218" s="110"/>
      <c r="E218" s="110"/>
      <c r="F218" s="111"/>
      <c r="G218" s="112">
        <f>SUM(G219:G227)</f>
        <v>0</v>
      </c>
      <c r="H218" s="112">
        <f>SUM(H219:H227)</f>
        <v>0</v>
      </c>
      <c r="I218" s="113">
        <f>SUM(G218:H218)</f>
        <v>0</v>
      </c>
      <c r="J218" s="114" t="s">
        <v>16</v>
      </c>
      <c r="K218" s="114" t="s">
        <v>48</v>
      </c>
      <c r="L218" s="166">
        <v>0.2</v>
      </c>
      <c r="M218" s="144">
        <f>I218*L218*$K$576</f>
        <v>0</v>
      </c>
      <c r="N218" s="115"/>
      <c r="O218" s="116" t="s">
        <v>544</v>
      </c>
      <c r="P218" s="116" t="s">
        <v>662</v>
      </c>
    </row>
    <row r="219" spans="1:16" ht="13.15" hidden="1" customHeight="1">
      <c r="A219" s="105"/>
      <c r="B219" s="105"/>
      <c r="C219" s="131" t="s">
        <v>663</v>
      </c>
      <c r="D219" s="121">
        <v>100</v>
      </c>
      <c r="E219" s="117" t="s">
        <v>559</v>
      </c>
      <c r="F219" s="122"/>
      <c r="G219" s="117"/>
      <c r="H219" s="117"/>
      <c r="I219" s="117"/>
      <c r="J219" s="117"/>
      <c r="K219" s="117"/>
      <c r="L219" s="117"/>
      <c r="M219" s="117"/>
      <c r="N219" s="120"/>
    </row>
    <row r="220" spans="1:16" ht="13.15" hidden="1" customHeight="1">
      <c r="A220" s="105"/>
      <c r="B220" s="105"/>
      <c r="C220" s="131" t="s">
        <v>664</v>
      </c>
      <c r="D220" s="121">
        <v>50</v>
      </c>
      <c r="E220" s="117" t="s">
        <v>665</v>
      </c>
      <c r="F220" s="122"/>
      <c r="G220" s="117"/>
      <c r="H220" s="117"/>
      <c r="I220" s="117"/>
      <c r="J220" s="117"/>
      <c r="K220" s="117"/>
      <c r="L220" s="117"/>
      <c r="M220" s="117"/>
      <c r="N220" s="120"/>
    </row>
    <row r="221" spans="1:16" ht="13.15" hidden="1" customHeight="1">
      <c r="A221" s="105"/>
      <c r="B221" s="105"/>
      <c r="C221" s="131" t="s">
        <v>666</v>
      </c>
      <c r="D221" s="121">
        <v>30</v>
      </c>
      <c r="E221" s="117" t="s">
        <v>559</v>
      </c>
      <c r="F221" s="122"/>
      <c r="G221" s="117"/>
      <c r="H221" s="117"/>
      <c r="I221" s="117"/>
      <c r="J221" s="117"/>
      <c r="K221" s="117"/>
      <c r="L221" s="117"/>
      <c r="M221" s="117"/>
      <c r="N221" s="120"/>
    </row>
    <row r="222" spans="1:16" ht="13.15" hidden="1" customHeight="1">
      <c r="A222" s="105"/>
      <c r="B222" s="105"/>
      <c r="C222" s="131"/>
      <c r="D222" s="121"/>
      <c r="E222" s="117"/>
      <c r="F222" s="122"/>
      <c r="G222" s="117"/>
      <c r="H222" s="117"/>
      <c r="I222" s="117"/>
      <c r="J222" s="117"/>
      <c r="K222" s="117"/>
      <c r="L222" s="117"/>
      <c r="M222" s="117"/>
      <c r="N222" s="120"/>
    </row>
    <row r="223" spans="1:16" ht="13.15" hidden="1" customHeight="1">
      <c r="A223" s="105"/>
      <c r="B223" s="105"/>
      <c r="C223" s="131"/>
      <c r="D223" s="121"/>
      <c r="E223" s="117"/>
      <c r="F223" s="122"/>
      <c r="G223" s="117"/>
      <c r="H223" s="117"/>
      <c r="I223" s="117"/>
      <c r="J223" s="117"/>
      <c r="K223" s="117"/>
      <c r="L223" s="117"/>
      <c r="M223" s="117"/>
      <c r="N223" s="120"/>
    </row>
    <row r="224" spans="1:16" ht="13.15" hidden="1" customHeight="1">
      <c r="A224" s="105"/>
      <c r="B224" s="105"/>
      <c r="C224" s="131"/>
      <c r="D224" s="121"/>
      <c r="E224" s="117"/>
      <c r="F224" s="122"/>
      <c r="G224" s="117"/>
      <c r="H224" s="117"/>
      <c r="I224" s="117"/>
      <c r="J224" s="117"/>
      <c r="K224" s="117"/>
      <c r="L224" s="117"/>
      <c r="M224" s="117"/>
      <c r="N224" s="120"/>
    </row>
    <row r="225" spans="1:16" ht="13.15" hidden="1" customHeight="1">
      <c r="A225" s="105"/>
      <c r="B225" s="105"/>
      <c r="C225" s="131"/>
      <c r="D225" s="121"/>
      <c r="E225" s="117"/>
      <c r="F225" s="122"/>
      <c r="G225" s="117"/>
      <c r="H225" s="117"/>
      <c r="I225" s="117"/>
      <c r="J225" s="117"/>
      <c r="K225" s="117"/>
      <c r="L225" s="117"/>
      <c r="M225" s="117"/>
      <c r="N225" s="120"/>
    </row>
    <row r="226" spans="1:16" ht="13.15" hidden="1" customHeight="1">
      <c r="A226" s="105"/>
      <c r="B226" s="105"/>
      <c r="C226" s="131"/>
      <c r="D226" s="121"/>
      <c r="E226" s="117"/>
      <c r="F226" s="122"/>
      <c r="G226" s="117"/>
      <c r="H226" s="117"/>
      <c r="I226" s="117"/>
      <c r="J226" s="117"/>
      <c r="K226" s="117"/>
      <c r="L226" s="117"/>
      <c r="M226" s="117"/>
      <c r="N226" s="120"/>
    </row>
    <row r="227" spans="1:16" ht="13.15" hidden="1" customHeight="1">
      <c r="A227" s="105"/>
      <c r="B227" s="105"/>
      <c r="C227" s="131"/>
      <c r="D227" s="121"/>
      <c r="E227" s="117"/>
      <c r="F227" s="122"/>
      <c r="G227" s="117"/>
      <c r="H227" s="117"/>
      <c r="I227" s="117"/>
      <c r="J227" s="117"/>
      <c r="K227" s="117"/>
      <c r="L227" s="117"/>
      <c r="M227" s="117"/>
      <c r="N227" s="120"/>
    </row>
    <row r="228" spans="1:16" hidden="1">
      <c r="D228" s="101"/>
      <c r="E228" s="101"/>
      <c r="G228" s="101"/>
      <c r="H228" s="101"/>
      <c r="I228" s="101"/>
      <c r="J228" s="101"/>
      <c r="M228" s="101"/>
    </row>
    <row r="229" spans="1:16">
      <c r="A229" s="185" t="str">
        <f>$A$4</f>
        <v xml:space="preserve">Please fill in Supplier Name </v>
      </c>
      <c r="B229" s="185" t="s">
        <v>88</v>
      </c>
      <c r="C229" s="186" t="s">
        <v>89</v>
      </c>
      <c r="D229" s="187"/>
      <c r="E229" s="187"/>
      <c r="F229" s="188"/>
      <c r="G229" s="189">
        <f>'CS C C1-3'!G229</f>
        <v>0</v>
      </c>
      <c r="H229" s="189">
        <f>'CS C C1-3'!H229</f>
        <v>0</v>
      </c>
      <c r="I229" s="190">
        <f>'CS C C1-3'!I229</f>
        <v>0</v>
      </c>
      <c r="J229" s="191" t="s">
        <v>16</v>
      </c>
      <c r="K229" s="191" t="s">
        <v>48</v>
      </c>
      <c r="L229" s="195">
        <v>0.2</v>
      </c>
      <c r="M229" s="193">
        <f>I229*L229*$K$576</f>
        <v>0</v>
      </c>
      <c r="N229" s="186"/>
      <c r="O229" s="194" t="s">
        <v>532</v>
      </c>
      <c r="P229" s="194"/>
    </row>
    <row r="230" spans="1:16" hidden="1">
      <c r="A230" s="105"/>
      <c r="B230" s="105"/>
      <c r="C230" s="132"/>
      <c r="D230" s="125"/>
      <c r="E230" s="118"/>
      <c r="F230" s="124"/>
      <c r="G230" s="118"/>
      <c r="H230" s="118"/>
      <c r="I230" s="117"/>
      <c r="J230" s="117"/>
      <c r="K230" s="117"/>
      <c r="L230" s="117"/>
      <c r="M230" s="117"/>
      <c r="N230" s="120"/>
    </row>
    <row r="231" spans="1:16" hidden="1">
      <c r="A231" s="105"/>
      <c r="B231" s="105"/>
      <c r="C231" s="132"/>
      <c r="D231" s="125"/>
      <c r="E231" s="118"/>
      <c r="F231" s="124"/>
      <c r="G231" s="118"/>
      <c r="H231" s="118"/>
      <c r="I231" s="117"/>
      <c r="J231" s="117"/>
      <c r="K231" s="117"/>
      <c r="L231" s="117"/>
      <c r="M231" s="117"/>
      <c r="N231" s="120"/>
    </row>
    <row r="232" spans="1:16" hidden="1">
      <c r="A232" s="105"/>
      <c r="B232" s="105"/>
      <c r="C232" s="132"/>
      <c r="D232" s="125"/>
      <c r="E232" s="118"/>
      <c r="F232" s="124"/>
      <c r="G232" s="118"/>
      <c r="H232" s="118"/>
      <c r="I232" s="117"/>
      <c r="J232" s="117"/>
      <c r="K232" s="117"/>
      <c r="L232" s="117"/>
      <c r="M232" s="117"/>
      <c r="N232" s="120"/>
    </row>
    <row r="233" spans="1:16" hidden="1">
      <c r="A233" s="105"/>
      <c r="B233" s="105"/>
      <c r="C233" s="132"/>
      <c r="D233" s="125"/>
      <c r="E233" s="118"/>
      <c r="F233" s="124"/>
      <c r="G233" s="118"/>
      <c r="H233" s="118"/>
      <c r="I233" s="117"/>
      <c r="J233" s="117"/>
      <c r="K233" s="117"/>
      <c r="L233" s="117"/>
      <c r="M233" s="117"/>
      <c r="N233" s="120"/>
    </row>
    <row r="234" spans="1:16" hidden="1">
      <c r="A234" s="105"/>
      <c r="B234" s="105"/>
      <c r="C234" s="132"/>
      <c r="D234" s="125"/>
      <c r="E234" s="118"/>
      <c r="F234" s="124"/>
      <c r="G234" s="118"/>
      <c r="H234" s="118"/>
      <c r="I234" s="117"/>
      <c r="J234" s="117"/>
      <c r="K234" s="117"/>
      <c r="L234" s="117"/>
      <c r="M234" s="117"/>
      <c r="N234" s="120"/>
    </row>
    <row r="235" spans="1:16" hidden="1">
      <c r="A235" s="105"/>
      <c r="B235" s="105"/>
      <c r="C235" s="132"/>
      <c r="D235" s="125"/>
      <c r="E235" s="118"/>
      <c r="F235" s="124"/>
      <c r="G235" s="118"/>
      <c r="H235" s="118"/>
      <c r="I235" s="117"/>
      <c r="J235" s="117"/>
      <c r="K235" s="117"/>
      <c r="L235" s="117"/>
      <c r="M235" s="117"/>
      <c r="N235" s="120"/>
    </row>
    <row r="236" spans="1:16" hidden="1">
      <c r="A236" s="105"/>
      <c r="B236" s="105"/>
      <c r="C236" s="132"/>
      <c r="D236" s="125"/>
      <c r="E236" s="118"/>
      <c r="F236" s="124"/>
      <c r="G236" s="118"/>
      <c r="H236" s="118"/>
      <c r="I236" s="117"/>
      <c r="J236" s="117"/>
      <c r="K236" s="117"/>
      <c r="L236" s="117"/>
      <c r="M236" s="117"/>
      <c r="N236" s="120"/>
    </row>
    <row r="237" spans="1:16" hidden="1">
      <c r="A237" s="105"/>
      <c r="B237" s="105"/>
      <c r="C237" s="132"/>
      <c r="D237" s="125"/>
      <c r="E237" s="118"/>
      <c r="F237" s="124"/>
      <c r="G237" s="118"/>
      <c r="H237" s="118"/>
      <c r="I237" s="117"/>
      <c r="J237" s="117"/>
      <c r="K237" s="117"/>
      <c r="L237" s="117"/>
      <c r="M237" s="117"/>
      <c r="N237" s="120"/>
    </row>
    <row r="238" spans="1:16" hidden="1">
      <c r="A238" s="105"/>
      <c r="B238" s="105"/>
      <c r="C238" s="132"/>
      <c r="D238" s="125"/>
      <c r="E238" s="118"/>
      <c r="F238" s="124"/>
      <c r="G238" s="118"/>
      <c r="H238" s="118"/>
      <c r="I238" s="117"/>
      <c r="J238" s="117"/>
      <c r="K238" s="117"/>
      <c r="L238" s="117"/>
      <c r="M238" s="117"/>
      <c r="N238" s="120"/>
    </row>
    <row r="239" spans="1:16" hidden="1">
      <c r="D239" s="101"/>
      <c r="E239" s="101"/>
      <c r="G239" s="101"/>
      <c r="H239" s="101"/>
      <c r="I239" s="101"/>
      <c r="J239" s="101"/>
      <c r="M239" s="101"/>
    </row>
    <row r="240" spans="1:16">
      <c r="A240" s="227" t="str">
        <f>$A$4</f>
        <v xml:space="preserve">Please fill in Supplier Name </v>
      </c>
      <c r="B240" s="227" t="s">
        <v>116</v>
      </c>
      <c r="C240" s="228" t="s">
        <v>117</v>
      </c>
      <c r="D240" s="229"/>
      <c r="E240" s="229"/>
      <c r="F240" s="230"/>
      <c r="G240" s="231">
        <f>'CS C C1-3'!G240</f>
        <v>0</v>
      </c>
      <c r="H240" s="231">
        <f>'CS C C1-3'!H240</f>
        <v>0</v>
      </c>
      <c r="I240" s="232">
        <f>'CS C C1-3'!I240</f>
        <v>0</v>
      </c>
      <c r="J240" s="233" t="s">
        <v>16</v>
      </c>
      <c r="K240" s="233" t="s">
        <v>48</v>
      </c>
      <c r="L240" s="237">
        <v>0.2</v>
      </c>
      <c r="M240" s="235">
        <f>I240*L240*$K$576</f>
        <v>0</v>
      </c>
      <c r="N240" s="228"/>
      <c r="O240" s="236" t="s">
        <v>543</v>
      </c>
      <c r="P240" s="236"/>
    </row>
    <row r="241" spans="1:16" hidden="1">
      <c r="A241" s="105"/>
      <c r="B241" s="105"/>
      <c r="C241" s="132"/>
      <c r="D241" s="125"/>
      <c r="E241" s="118"/>
      <c r="F241" s="124"/>
      <c r="G241" s="118"/>
      <c r="H241" s="118"/>
      <c r="I241" s="117"/>
      <c r="J241" s="117"/>
      <c r="K241" s="117"/>
      <c r="L241" s="117"/>
      <c r="M241" s="117"/>
      <c r="N241" s="120"/>
    </row>
    <row r="242" spans="1:16" hidden="1">
      <c r="A242" s="105"/>
      <c r="B242" s="105"/>
      <c r="C242" s="132"/>
      <c r="D242" s="125"/>
      <c r="E242" s="118"/>
      <c r="F242" s="124"/>
      <c r="G242" s="118"/>
      <c r="H242" s="118"/>
      <c r="I242" s="117"/>
      <c r="J242" s="117"/>
      <c r="K242" s="117"/>
      <c r="L242" s="117"/>
      <c r="M242" s="117"/>
      <c r="N242" s="120"/>
    </row>
    <row r="243" spans="1:16" hidden="1">
      <c r="A243" s="105"/>
      <c r="B243" s="105"/>
      <c r="C243" s="132"/>
      <c r="D243" s="125"/>
      <c r="E243" s="118"/>
      <c r="F243" s="124"/>
      <c r="G243" s="118"/>
      <c r="H243" s="118"/>
      <c r="I243" s="117"/>
      <c r="J243" s="117"/>
      <c r="K243" s="117"/>
      <c r="L243" s="117"/>
      <c r="M243" s="117"/>
      <c r="N243" s="120"/>
    </row>
    <row r="244" spans="1:16" hidden="1">
      <c r="A244" s="105"/>
      <c r="B244" s="105"/>
      <c r="C244" s="132"/>
      <c r="D244" s="125"/>
      <c r="E244" s="118"/>
      <c r="F244" s="124"/>
      <c r="G244" s="118"/>
      <c r="H244" s="118"/>
      <c r="I244" s="117"/>
      <c r="J244" s="117"/>
      <c r="K244" s="117"/>
      <c r="L244" s="117"/>
      <c r="M244" s="117"/>
      <c r="N244" s="120"/>
    </row>
    <row r="245" spans="1:16" hidden="1">
      <c r="A245" s="105"/>
      <c r="B245" s="105"/>
      <c r="C245" s="132"/>
      <c r="D245" s="125"/>
      <c r="E245" s="118"/>
      <c r="F245" s="124"/>
      <c r="G245" s="118"/>
      <c r="H245" s="118"/>
      <c r="I245" s="117"/>
      <c r="J245" s="117"/>
      <c r="K245" s="117"/>
      <c r="L245" s="117"/>
      <c r="M245" s="117"/>
      <c r="N245" s="120"/>
    </row>
    <row r="246" spans="1:16" hidden="1">
      <c r="A246" s="105"/>
      <c r="B246" s="105"/>
      <c r="C246" s="132"/>
      <c r="D246" s="125"/>
      <c r="E246" s="118"/>
      <c r="F246" s="124"/>
      <c r="G246" s="118"/>
      <c r="H246" s="118"/>
      <c r="I246" s="117"/>
      <c r="J246" s="117"/>
      <c r="K246" s="117"/>
      <c r="L246" s="117"/>
      <c r="M246" s="117"/>
      <c r="N246" s="120"/>
    </row>
    <row r="247" spans="1:16" hidden="1">
      <c r="A247" s="105"/>
      <c r="B247" s="105"/>
      <c r="C247" s="132"/>
      <c r="D247" s="125"/>
      <c r="E247" s="118"/>
      <c r="F247" s="124"/>
      <c r="G247" s="118"/>
      <c r="H247" s="118"/>
      <c r="I247" s="117"/>
      <c r="J247" s="117"/>
      <c r="K247" s="117"/>
      <c r="L247" s="117"/>
      <c r="M247" s="117"/>
      <c r="N247" s="120"/>
    </row>
    <row r="248" spans="1:16" hidden="1">
      <c r="A248" s="105"/>
      <c r="B248" s="105"/>
      <c r="C248" s="132"/>
      <c r="D248" s="125"/>
      <c r="E248" s="118"/>
      <c r="F248" s="124"/>
      <c r="G248" s="118"/>
      <c r="H248" s="118"/>
      <c r="I248" s="117"/>
      <c r="J248" s="117"/>
      <c r="K248" s="117"/>
      <c r="L248" s="117"/>
      <c r="M248" s="117"/>
      <c r="N248" s="120"/>
    </row>
    <row r="249" spans="1:16" hidden="1">
      <c r="A249" s="105"/>
      <c r="B249" s="105"/>
      <c r="C249" s="132"/>
      <c r="D249" s="125"/>
      <c r="E249" s="118"/>
      <c r="F249" s="124"/>
      <c r="G249" s="118"/>
      <c r="H249" s="118"/>
      <c r="I249" s="117"/>
      <c r="J249" s="117"/>
      <c r="K249" s="117"/>
      <c r="L249" s="117"/>
      <c r="M249" s="117"/>
      <c r="N249" s="120"/>
    </row>
    <row r="250" spans="1:16" hidden="1">
      <c r="D250" s="101"/>
      <c r="E250" s="101"/>
      <c r="G250" s="101"/>
      <c r="H250" s="101"/>
      <c r="I250" s="101"/>
      <c r="J250" s="101"/>
      <c r="M250" s="101"/>
    </row>
    <row r="251" spans="1:16" hidden="1">
      <c r="A251" s="109" t="str">
        <f>$A$4</f>
        <v xml:space="preserve">Please fill in Supplier Name </v>
      </c>
      <c r="B251" s="109" t="s">
        <v>49</v>
      </c>
      <c r="C251" s="115" t="s">
        <v>50</v>
      </c>
      <c r="D251" s="110"/>
      <c r="E251" s="110"/>
      <c r="F251" s="111"/>
      <c r="G251" s="112">
        <f>SUM(G252:G254)</f>
        <v>0</v>
      </c>
      <c r="H251" s="112">
        <f>SUM(H252:H254)</f>
        <v>0</v>
      </c>
      <c r="I251" s="113">
        <f>SUM(G251:H251)</f>
        <v>0</v>
      </c>
      <c r="J251" s="114" t="s">
        <v>16</v>
      </c>
      <c r="K251" s="114" t="s">
        <v>27</v>
      </c>
      <c r="L251" s="145">
        <v>2</v>
      </c>
      <c r="M251" s="144">
        <f>I251*L251</f>
        <v>0</v>
      </c>
      <c r="N251" s="115"/>
      <c r="O251" s="116" t="s">
        <v>544</v>
      </c>
      <c r="P251" s="116" t="s">
        <v>675</v>
      </c>
    </row>
    <row r="252" spans="1:16" ht="13.15" hidden="1" customHeight="1">
      <c r="A252" s="105"/>
      <c r="B252" s="105"/>
      <c r="C252" s="131" t="s">
        <v>676</v>
      </c>
      <c r="D252" s="121">
        <v>15</v>
      </c>
      <c r="E252" s="117" t="s">
        <v>559</v>
      </c>
      <c r="F252" s="122"/>
      <c r="G252" s="117"/>
      <c r="H252" s="117"/>
      <c r="I252" s="117"/>
      <c r="J252" s="117"/>
      <c r="K252" s="117"/>
      <c r="L252" s="117"/>
      <c r="M252" s="117"/>
      <c r="N252" s="120"/>
    </row>
    <row r="253" spans="1:16" ht="13.15" hidden="1" customHeight="1">
      <c r="A253" s="105"/>
      <c r="B253" s="105"/>
      <c r="C253" s="131"/>
      <c r="D253" s="121"/>
      <c r="E253" s="117"/>
      <c r="F253" s="122"/>
      <c r="G253" s="117"/>
      <c r="H253" s="117"/>
      <c r="I253" s="117"/>
      <c r="J253" s="117"/>
      <c r="K253" s="117"/>
      <c r="L253" s="117"/>
      <c r="M253" s="117"/>
      <c r="N253" s="120"/>
    </row>
    <row r="254" spans="1:16" ht="13.15" hidden="1" customHeight="1">
      <c r="A254" s="105"/>
      <c r="B254" s="105"/>
      <c r="C254" s="131"/>
      <c r="D254" s="121"/>
      <c r="E254" s="117"/>
      <c r="F254" s="122"/>
      <c r="G254" s="117"/>
      <c r="H254" s="117"/>
      <c r="I254" s="117"/>
      <c r="J254" s="117"/>
      <c r="K254" s="117"/>
      <c r="L254" s="117"/>
      <c r="M254" s="117"/>
      <c r="N254" s="120"/>
    </row>
    <row r="255" spans="1:16" hidden="1">
      <c r="D255" s="101"/>
      <c r="E255" s="101"/>
      <c r="G255" s="101"/>
      <c r="H255" s="101"/>
      <c r="I255" s="101"/>
      <c r="J255" s="101"/>
      <c r="M255" s="101"/>
    </row>
    <row r="256" spans="1:16">
      <c r="A256" s="185" t="str">
        <f>$A$4</f>
        <v xml:space="preserve">Please fill in Supplier Name </v>
      </c>
      <c r="B256" s="185" t="s">
        <v>90</v>
      </c>
      <c r="C256" s="186" t="s">
        <v>91</v>
      </c>
      <c r="D256" s="187"/>
      <c r="E256" s="187"/>
      <c r="F256" s="188"/>
      <c r="G256" s="189">
        <f>'CS C C1-3'!G256</f>
        <v>0</v>
      </c>
      <c r="H256" s="189">
        <f>'CS C C1-3'!H256</f>
        <v>0</v>
      </c>
      <c r="I256" s="190">
        <f>'CS C C1-3'!I256</f>
        <v>0</v>
      </c>
      <c r="J256" s="191" t="s">
        <v>16</v>
      </c>
      <c r="K256" s="191" t="s">
        <v>27</v>
      </c>
      <c r="L256" s="192">
        <v>2</v>
      </c>
      <c r="M256" s="193">
        <f>I256*L256</f>
        <v>0</v>
      </c>
      <c r="N256" s="186"/>
      <c r="O256" s="194" t="s">
        <v>532</v>
      </c>
      <c r="P256" s="194" t="s">
        <v>677</v>
      </c>
    </row>
    <row r="257" spans="1:16" hidden="1">
      <c r="A257" s="105"/>
      <c r="B257" s="105"/>
      <c r="C257" s="132"/>
      <c r="D257" s="125"/>
      <c r="E257" s="118"/>
      <c r="F257" s="124"/>
      <c r="G257" s="118"/>
      <c r="H257" s="118"/>
      <c r="I257" s="117"/>
      <c r="J257" s="117"/>
      <c r="K257" s="117"/>
      <c r="L257" s="117"/>
      <c r="M257" s="117"/>
      <c r="N257" s="120"/>
    </row>
    <row r="258" spans="1:16" hidden="1">
      <c r="A258" s="105"/>
      <c r="B258" s="105"/>
      <c r="C258" s="132"/>
      <c r="D258" s="125"/>
      <c r="E258" s="118"/>
      <c r="F258" s="124"/>
      <c r="G258" s="118"/>
      <c r="H258" s="118"/>
      <c r="I258" s="117"/>
      <c r="J258" s="117"/>
      <c r="K258" s="117"/>
      <c r="L258" s="117"/>
      <c r="M258" s="117"/>
      <c r="N258" s="120"/>
    </row>
    <row r="259" spans="1:16" hidden="1">
      <c r="A259" s="105"/>
      <c r="B259" s="105"/>
      <c r="C259" s="132"/>
      <c r="D259" s="125"/>
      <c r="E259" s="118"/>
      <c r="F259" s="124"/>
      <c r="G259" s="118"/>
      <c r="H259" s="118"/>
      <c r="I259" s="117"/>
      <c r="J259" s="117"/>
      <c r="K259" s="117"/>
      <c r="L259" s="117"/>
      <c r="M259" s="117"/>
      <c r="N259" s="120"/>
    </row>
    <row r="260" spans="1:16" hidden="1">
      <c r="D260" s="101"/>
      <c r="E260" s="101"/>
      <c r="G260" s="101"/>
      <c r="H260" s="101"/>
      <c r="I260" s="101"/>
      <c r="J260" s="101"/>
      <c r="M260" s="101"/>
    </row>
    <row r="261" spans="1:16">
      <c r="A261" s="227" t="str">
        <f>$A$4</f>
        <v xml:space="preserve">Please fill in Supplier Name </v>
      </c>
      <c r="B261" s="227" t="s">
        <v>119</v>
      </c>
      <c r="C261" s="228" t="s">
        <v>120</v>
      </c>
      <c r="D261" s="229"/>
      <c r="E261" s="229"/>
      <c r="F261" s="230"/>
      <c r="G261" s="231">
        <f>'CS C C1-3'!G261</f>
        <v>0</v>
      </c>
      <c r="H261" s="231">
        <f>'CS C C1-3'!H261</f>
        <v>0</v>
      </c>
      <c r="I261" s="232">
        <f>'CS C C1-3'!I261</f>
        <v>0</v>
      </c>
      <c r="J261" s="233" t="s">
        <v>16</v>
      </c>
      <c r="K261" s="233" t="s">
        <v>27</v>
      </c>
      <c r="L261" s="234">
        <v>2</v>
      </c>
      <c r="M261" s="235">
        <f>I261*L261</f>
        <v>0</v>
      </c>
      <c r="N261" s="228"/>
      <c r="O261" s="236" t="s">
        <v>543</v>
      </c>
      <c r="P261" s="236"/>
    </row>
    <row r="262" spans="1:16" hidden="1">
      <c r="A262" s="105"/>
      <c r="B262" s="105"/>
      <c r="C262" s="132"/>
      <c r="D262" s="125"/>
      <c r="E262" s="118"/>
      <c r="F262" s="124"/>
      <c r="G262" s="118"/>
      <c r="H262" s="118"/>
      <c r="I262" s="117"/>
      <c r="J262" s="117"/>
      <c r="K262" s="117"/>
      <c r="L262" s="117"/>
      <c r="M262" s="117"/>
      <c r="N262" s="120"/>
    </row>
    <row r="263" spans="1:16" hidden="1">
      <c r="A263" s="105"/>
      <c r="B263" s="105"/>
      <c r="C263" s="132"/>
      <c r="D263" s="125"/>
      <c r="E263" s="118"/>
      <c r="F263" s="124"/>
      <c r="G263" s="118"/>
      <c r="H263" s="118"/>
      <c r="I263" s="117"/>
      <c r="J263" s="117"/>
      <c r="K263" s="117"/>
      <c r="L263" s="117"/>
      <c r="M263" s="117"/>
      <c r="N263" s="120"/>
    </row>
    <row r="264" spans="1:16" hidden="1">
      <c r="A264" s="105"/>
      <c r="B264" s="105"/>
      <c r="C264" s="132"/>
      <c r="D264" s="125"/>
      <c r="E264" s="118"/>
      <c r="F264" s="124"/>
      <c r="G264" s="118"/>
      <c r="H264" s="118"/>
      <c r="I264" s="117"/>
      <c r="J264" s="117"/>
      <c r="K264" s="117"/>
      <c r="L264" s="117"/>
      <c r="M264" s="117"/>
      <c r="N264" s="120"/>
    </row>
    <row r="265" spans="1:16" hidden="1">
      <c r="D265" s="101"/>
      <c r="E265" s="101"/>
      <c r="G265" s="101"/>
      <c r="H265" s="101"/>
      <c r="I265" s="101"/>
      <c r="J265" s="101"/>
      <c r="M265" s="101"/>
    </row>
    <row r="266" spans="1:16" hidden="1">
      <c r="A266" s="109" t="str">
        <f>$A$4</f>
        <v xml:space="preserve">Please fill in Supplier Name </v>
      </c>
      <c r="B266" s="109" t="s">
        <v>51</v>
      </c>
      <c r="C266" s="115" t="s">
        <v>52</v>
      </c>
      <c r="D266" s="110"/>
      <c r="E266" s="110"/>
      <c r="F266" s="111"/>
      <c r="G266" s="112">
        <f>SUM(G267:G269)</f>
        <v>0</v>
      </c>
      <c r="H266" s="112">
        <f>SUM(H267:H269)</f>
        <v>0</v>
      </c>
      <c r="I266" s="113">
        <f>SUM(G266:H266)</f>
        <v>0</v>
      </c>
      <c r="J266" s="114" t="s">
        <v>16</v>
      </c>
      <c r="K266" s="114" t="s">
        <v>20</v>
      </c>
      <c r="L266" s="145">
        <v>4</v>
      </c>
      <c r="M266" s="144">
        <f>I266*L266</f>
        <v>0</v>
      </c>
      <c r="N266" s="115"/>
      <c r="O266" s="116" t="s">
        <v>544</v>
      </c>
      <c r="P266" s="116" t="s">
        <v>679</v>
      </c>
    </row>
    <row r="267" spans="1:16" hidden="1">
      <c r="A267" s="105"/>
      <c r="B267" s="105"/>
      <c r="C267" s="131" t="s">
        <v>680</v>
      </c>
      <c r="D267" s="121">
        <v>20</v>
      </c>
      <c r="E267" s="117" t="s">
        <v>559</v>
      </c>
      <c r="F267" s="122"/>
      <c r="G267" s="117"/>
      <c r="H267" s="117"/>
      <c r="I267" s="117"/>
      <c r="J267" s="117"/>
      <c r="K267" s="117"/>
      <c r="L267" s="117"/>
      <c r="M267" s="117"/>
      <c r="N267" s="120"/>
    </row>
    <row r="268" spans="1:16" hidden="1">
      <c r="A268" s="105"/>
      <c r="B268" s="105"/>
      <c r="C268" s="131" t="s">
        <v>681</v>
      </c>
      <c r="D268" s="121">
        <v>20</v>
      </c>
      <c r="E268" s="117" t="s">
        <v>559</v>
      </c>
      <c r="F268" s="122"/>
      <c r="G268" s="117"/>
      <c r="H268" s="117"/>
      <c r="I268" s="117"/>
      <c r="J268" s="117"/>
      <c r="K268" s="117"/>
      <c r="L268" s="117"/>
      <c r="M268" s="117"/>
      <c r="N268" s="120"/>
    </row>
    <row r="269" spans="1:16" hidden="1">
      <c r="A269" s="105"/>
      <c r="B269" s="105"/>
      <c r="C269" s="131"/>
      <c r="D269" s="121"/>
      <c r="E269" s="117"/>
      <c r="F269" s="122"/>
      <c r="G269" s="117"/>
      <c r="H269" s="117"/>
      <c r="I269" s="117"/>
      <c r="J269" s="117"/>
      <c r="K269" s="117"/>
      <c r="L269" s="117"/>
      <c r="M269" s="117"/>
      <c r="N269" s="120"/>
    </row>
    <row r="270" spans="1:16" ht="13.15" hidden="1" customHeight="1">
      <c r="D270" s="101"/>
      <c r="E270" s="101"/>
      <c r="G270" s="101"/>
      <c r="H270" s="101"/>
      <c r="I270" s="101"/>
      <c r="J270" s="101"/>
      <c r="M270" s="101"/>
    </row>
    <row r="271" spans="1:16">
      <c r="A271" s="185" t="str">
        <f>$A$4</f>
        <v xml:space="preserve">Please fill in Supplier Name </v>
      </c>
      <c r="B271" s="185" t="s">
        <v>92</v>
      </c>
      <c r="C271" s="186" t="s">
        <v>93</v>
      </c>
      <c r="D271" s="187"/>
      <c r="E271" s="187"/>
      <c r="F271" s="188"/>
      <c r="G271" s="189">
        <f>'CS C C1-3'!G271</f>
        <v>0</v>
      </c>
      <c r="H271" s="189">
        <f>'CS C C1-3'!H271</f>
        <v>0</v>
      </c>
      <c r="I271" s="190">
        <f>'CS C C1-3'!I271</f>
        <v>0</v>
      </c>
      <c r="J271" s="191" t="s">
        <v>16</v>
      </c>
      <c r="K271" s="191" t="s">
        <v>20</v>
      </c>
      <c r="L271" s="192">
        <v>4</v>
      </c>
      <c r="M271" s="193">
        <f>I271*L271</f>
        <v>0</v>
      </c>
      <c r="N271" s="186"/>
      <c r="O271" s="194" t="s">
        <v>532</v>
      </c>
      <c r="P271" s="194" t="s">
        <v>682</v>
      </c>
    </row>
    <row r="272" spans="1:16" hidden="1">
      <c r="A272" s="105"/>
      <c r="B272" s="105"/>
      <c r="C272" s="132"/>
      <c r="D272" s="125"/>
      <c r="E272" s="118"/>
      <c r="F272" s="124"/>
      <c r="G272" s="118"/>
      <c r="H272" s="118"/>
      <c r="I272" s="117"/>
      <c r="J272" s="117"/>
      <c r="K272" s="117"/>
      <c r="L272" s="117"/>
      <c r="M272" s="117"/>
      <c r="N272" s="120"/>
      <c r="P272" s="101" t="s">
        <v>682</v>
      </c>
    </row>
    <row r="273" spans="1:16" hidden="1">
      <c r="A273" s="105"/>
      <c r="B273" s="105"/>
      <c r="C273" s="132"/>
      <c r="D273" s="125"/>
      <c r="E273" s="118"/>
      <c r="F273" s="124"/>
      <c r="G273" s="118"/>
      <c r="H273" s="118"/>
      <c r="I273" s="117"/>
      <c r="J273" s="117"/>
      <c r="K273" s="117"/>
      <c r="L273" s="117"/>
      <c r="M273" s="117"/>
      <c r="N273" s="120"/>
    </row>
    <row r="274" spans="1:16" hidden="1">
      <c r="A274" s="105"/>
      <c r="B274" s="105"/>
      <c r="C274" s="132"/>
      <c r="D274" s="125"/>
      <c r="E274" s="118"/>
      <c r="F274" s="124"/>
      <c r="G274" s="118"/>
      <c r="H274" s="118"/>
      <c r="I274" s="117"/>
      <c r="J274" s="117"/>
      <c r="K274" s="117"/>
      <c r="L274" s="117"/>
      <c r="M274" s="117"/>
      <c r="N274" s="120"/>
    </row>
    <row r="275" spans="1:16" hidden="1">
      <c r="D275" s="101"/>
      <c r="E275" s="101"/>
      <c r="G275" s="101"/>
      <c r="H275" s="101"/>
      <c r="I275" s="101"/>
      <c r="J275" s="101"/>
      <c r="M275" s="101"/>
    </row>
    <row r="276" spans="1:16">
      <c r="A276" s="227" t="str">
        <f>$A$4</f>
        <v xml:space="preserve">Please fill in Supplier Name </v>
      </c>
      <c r="B276" s="227" t="s">
        <v>121</v>
      </c>
      <c r="C276" s="228" t="s">
        <v>122</v>
      </c>
      <c r="D276" s="229"/>
      <c r="E276" s="229"/>
      <c r="F276" s="230"/>
      <c r="G276" s="231">
        <f>'CS C C1-3'!G276</f>
        <v>0</v>
      </c>
      <c r="H276" s="231">
        <f>'CS C C1-3'!H276</f>
        <v>0</v>
      </c>
      <c r="I276" s="232">
        <f>'CS C C1-3'!I276</f>
        <v>0</v>
      </c>
      <c r="J276" s="233" t="s">
        <v>16</v>
      </c>
      <c r="K276" s="233" t="s">
        <v>20</v>
      </c>
      <c r="L276" s="234">
        <v>4</v>
      </c>
      <c r="M276" s="235">
        <f>I276*L276</f>
        <v>0</v>
      </c>
      <c r="N276" s="228"/>
      <c r="O276" s="236" t="s">
        <v>543</v>
      </c>
      <c r="P276" s="236"/>
    </row>
    <row r="277" spans="1:16" hidden="1">
      <c r="A277" s="105"/>
      <c r="B277" s="105"/>
      <c r="C277" s="132"/>
      <c r="D277" s="125"/>
      <c r="E277" s="118"/>
      <c r="F277" s="124"/>
      <c r="G277" s="118"/>
      <c r="H277" s="118"/>
      <c r="I277" s="117"/>
      <c r="J277" s="117"/>
      <c r="K277" s="117"/>
      <c r="L277" s="117"/>
      <c r="M277" s="117"/>
      <c r="N277" s="120"/>
    </row>
    <row r="278" spans="1:16" hidden="1">
      <c r="A278" s="105"/>
      <c r="B278" s="105"/>
      <c r="C278" s="132"/>
      <c r="D278" s="125"/>
      <c r="E278" s="118"/>
      <c r="F278" s="124"/>
      <c r="G278" s="118"/>
      <c r="H278" s="118"/>
      <c r="I278" s="117"/>
      <c r="J278" s="117"/>
      <c r="K278" s="117"/>
      <c r="L278" s="117"/>
      <c r="M278" s="117"/>
      <c r="N278" s="120"/>
    </row>
    <row r="279" spans="1:16" hidden="1">
      <c r="A279" s="105"/>
      <c r="B279" s="105"/>
      <c r="C279" s="132"/>
      <c r="D279" s="125"/>
      <c r="E279" s="118"/>
      <c r="F279" s="124"/>
      <c r="G279" s="118"/>
      <c r="H279" s="118"/>
      <c r="I279" s="117"/>
      <c r="J279" s="117"/>
      <c r="K279" s="117"/>
      <c r="L279" s="117"/>
      <c r="M279" s="117"/>
      <c r="N279" s="120"/>
    </row>
    <row r="280" spans="1:16" hidden="1">
      <c r="D280" s="101"/>
      <c r="E280" s="101"/>
      <c r="G280" s="101"/>
      <c r="H280" s="101"/>
      <c r="I280" s="101"/>
      <c r="J280" s="101"/>
      <c r="M280" s="101"/>
    </row>
    <row r="281" spans="1:16" ht="13.15" hidden="1" customHeight="1">
      <c r="A281" s="109" t="str">
        <f>$A$4</f>
        <v xml:space="preserve">Please fill in Supplier Name </v>
      </c>
      <c r="B281" s="109" t="s">
        <v>53</v>
      </c>
      <c r="C281" s="115" t="s">
        <v>54</v>
      </c>
      <c r="D281" s="110"/>
      <c r="E281" s="110"/>
      <c r="F281" s="111"/>
      <c r="G281" s="112">
        <f>SUM(G282:G284)</f>
        <v>0</v>
      </c>
      <c r="H281" s="112">
        <f>SUM(H282:H284)</f>
        <v>0</v>
      </c>
      <c r="I281" s="113">
        <f>SUM(G281:H281)</f>
        <v>0</v>
      </c>
      <c r="J281" s="114" t="s">
        <v>16</v>
      </c>
      <c r="K281" s="114" t="s">
        <v>1180</v>
      </c>
      <c r="L281" s="145">
        <v>3</v>
      </c>
      <c r="M281" s="144">
        <f>I281*L281</f>
        <v>0</v>
      </c>
      <c r="N281" s="115"/>
      <c r="O281" s="116" t="s">
        <v>544</v>
      </c>
      <c r="P281" s="116" t="s">
        <v>688</v>
      </c>
    </row>
    <row r="282" spans="1:16" ht="13.15" hidden="1" customHeight="1">
      <c r="A282" s="105"/>
      <c r="B282" s="105"/>
      <c r="C282" s="131" t="s">
        <v>689</v>
      </c>
      <c r="D282" s="121">
        <v>40</v>
      </c>
      <c r="E282" s="117" t="s">
        <v>559</v>
      </c>
      <c r="F282" s="122"/>
      <c r="G282" s="117"/>
      <c r="H282" s="117"/>
      <c r="I282" s="117"/>
      <c r="J282" s="117"/>
      <c r="K282" s="117"/>
      <c r="L282" s="117"/>
      <c r="M282" s="117"/>
      <c r="N282" s="120"/>
    </row>
    <row r="283" spans="1:16" ht="13.15" hidden="1" customHeight="1">
      <c r="A283" s="105"/>
      <c r="B283" s="105"/>
      <c r="C283" s="131"/>
      <c r="D283" s="121"/>
      <c r="E283" s="117"/>
      <c r="F283" s="122"/>
      <c r="G283" s="117"/>
      <c r="H283" s="117"/>
      <c r="I283" s="117"/>
      <c r="J283" s="117"/>
      <c r="K283" s="117"/>
      <c r="L283" s="117"/>
      <c r="M283" s="117"/>
      <c r="N283" s="120"/>
    </row>
    <row r="284" spans="1:16" ht="13.15" hidden="1" customHeight="1">
      <c r="A284" s="105"/>
      <c r="B284" s="105"/>
      <c r="C284" s="131"/>
      <c r="D284" s="121"/>
      <c r="E284" s="117"/>
      <c r="F284" s="122"/>
      <c r="G284" s="117"/>
      <c r="H284" s="117"/>
      <c r="I284" s="117"/>
      <c r="J284" s="117"/>
      <c r="K284" s="117"/>
      <c r="L284" s="117"/>
      <c r="M284" s="117"/>
      <c r="N284" s="120"/>
    </row>
    <row r="285" spans="1:16" ht="13.15" hidden="1" customHeight="1">
      <c r="D285" s="101"/>
      <c r="E285" s="101"/>
      <c r="G285" s="101"/>
      <c r="H285" s="101"/>
      <c r="I285" s="101"/>
      <c r="J285" s="101"/>
      <c r="M285" s="101"/>
    </row>
    <row r="286" spans="1:16">
      <c r="A286" s="185" t="str">
        <f>$A$4</f>
        <v xml:space="preserve">Please fill in Supplier Name </v>
      </c>
      <c r="B286" s="185" t="s">
        <v>94</v>
      </c>
      <c r="C286" s="186" t="s">
        <v>95</v>
      </c>
      <c r="D286" s="187"/>
      <c r="E286" s="187"/>
      <c r="F286" s="188"/>
      <c r="G286" s="189">
        <f>'CS C C1-3'!G286</f>
        <v>0</v>
      </c>
      <c r="H286" s="189">
        <f>'CS C C1-3'!H286</f>
        <v>0</v>
      </c>
      <c r="I286" s="190">
        <f>'CS C C1-3'!I286</f>
        <v>0</v>
      </c>
      <c r="J286" s="191" t="s">
        <v>16</v>
      </c>
      <c r="K286" s="191" t="s">
        <v>1180</v>
      </c>
      <c r="L286" s="192">
        <v>3</v>
      </c>
      <c r="M286" s="193">
        <f>I286*L286</f>
        <v>0</v>
      </c>
      <c r="N286" s="186"/>
      <c r="O286" s="194" t="s">
        <v>532</v>
      </c>
      <c r="P286" s="194"/>
    </row>
    <row r="287" spans="1:16" hidden="1">
      <c r="A287" s="105"/>
      <c r="B287" s="105"/>
      <c r="C287" s="132"/>
      <c r="D287" s="125"/>
      <c r="E287" s="118"/>
      <c r="F287" s="124"/>
      <c r="G287" s="118"/>
      <c r="H287" s="118"/>
      <c r="I287" s="117"/>
      <c r="J287" s="117"/>
      <c r="K287" s="117"/>
      <c r="L287" s="117"/>
      <c r="M287" s="117"/>
      <c r="N287" s="120"/>
    </row>
    <row r="288" spans="1:16" hidden="1">
      <c r="A288" s="105"/>
      <c r="B288" s="105"/>
      <c r="C288" s="132"/>
      <c r="D288" s="125"/>
      <c r="E288" s="277"/>
      <c r="F288" s="124"/>
      <c r="G288" s="118"/>
      <c r="H288" s="118"/>
      <c r="I288" s="117"/>
      <c r="J288" s="117"/>
      <c r="K288" s="117"/>
      <c r="L288" s="117"/>
      <c r="M288" s="117"/>
      <c r="N288" s="120"/>
    </row>
    <row r="289" spans="1:16" hidden="1">
      <c r="A289" s="105"/>
      <c r="B289" s="105"/>
      <c r="C289" s="132"/>
      <c r="D289" s="125"/>
      <c r="E289" s="118"/>
      <c r="F289" s="124"/>
      <c r="G289" s="118"/>
      <c r="H289" s="118"/>
      <c r="I289" s="117"/>
      <c r="J289" s="117"/>
      <c r="K289" s="117"/>
      <c r="L289" s="117"/>
      <c r="M289" s="117"/>
      <c r="N289" s="120"/>
    </row>
    <row r="290" spans="1:16" hidden="1">
      <c r="D290" s="101"/>
      <c r="E290" s="101"/>
      <c r="G290" s="101"/>
      <c r="H290" s="101"/>
      <c r="I290" s="101"/>
      <c r="J290" s="101"/>
      <c r="M290" s="101"/>
    </row>
    <row r="291" spans="1:16">
      <c r="A291" s="227" t="str">
        <f>$A$4</f>
        <v xml:space="preserve">Please fill in Supplier Name </v>
      </c>
      <c r="B291" s="227" t="s">
        <v>123</v>
      </c>
      <c r="C291" s="228" t="s">
        <v>124</v>
      </c>
      <c r="D291" s="229"/>
      <c r="E291" s="229"/>
      <c r="F291" s="230"/>
      <c r="G291" s="231">
        <f>'CS C C1-3'!G291</f>
        <v>0</v>
      </c>
      <c r="H291" s="231">
        <f>'CS C C1-3'!H291</f>
        <v>0</v>
      </c>
      <c r="I291" s="232">
        <f>'CS C C1-3'!I291</f>
        <v>0</v>
      </c>
      <c r="J291" s="233" t="s">
        <v>16</v>
      </c>
      <c r="K291" s="233" t="s">
        <v>1180</v>
      </c>
      <c r="L291" s="234">
        <v>3</v>
      </c>
      <c r="M291" s="235">
        <f>I291*L291</f>
        <v>0</v>
      </c>
      <c r="N291" s="228"/>
      <c r="O291" s="236" t="s">
        <v>543</v>
      </c>
      <c r="P291" s="236"/>
    </row>
    <row r="292" spans="1:16" hidden="1">
      <c r="A292" s="105"/>
      <c r="B292" s="105"/>
      <c r="C292" s="132"/>
      <c r="D292" s="125"/>
      <c r="E292" s="118"/>
      <c r="F292" s="124"/>
      <c r="G292" s="118"/>
      <c r="H292" s="118"/>
      <c r="I292" s="117"/>
      <c r="J292" s="117"/>
      <c r="K292" s="117"/>
      <c r="L292" s="117"/>
      <c r="M292" s="117"/>
      <c r="N292" s="120"/>
    </row>
    <row r="293" spans="1:16" hidden="1">
      <c r="A293" s="105"/>
      <c r="B293" s="105"/>
      <c r="C293" s="132"/>
      <c r="D293" s="125"/>
      <c r="E293" s="118"/>
      <c r="F293" s="124"/>
      <c r="G293" s="118"/>
      <c r="H293" s="118"/>
      <c r="I293" s="117"/>
      <c r="J293" s="117"/>
      <c r="K293" s="117"/>
      <c r="L293" s="117"/>
      <c r="M293" s="117"/>
      <c r="N293" s="120"/>
    </row>
    <row r="294" spans="1:16" hidden="1">
      <c r="A294" s="105"/>
      <c r="B294" s="105"/>
      <c r="C294" s="132"/>
      <c r="D294" s="125"/>
      <c r="E294" s="118"/>
      <c r="F294" s="124"/>
      <c r="G294" s="118"/>
      <c r="H294" s="118"/>
      <c r="I294" s="117"/>
      <c r="J294" s="117"/>
      <c r="K294" s="117"/>
      <c r="L294" s="117"/>
      <c r="M294" s="117"/>
      <c r="N294" s="120"/>
    </row>
    <row r="295" spans="1:16" hidden="1">
      <c r="D295" s="101"/>
      <c r="E295" s="101"/>
      <c r="G295" s="101"/>
      <c r="H295" s="101"/>
      <c r="I295" s="101"/>
      <c r="J295" s="101"/>
      <c r="M295" s="101"/>
    </row>
    <row r="296" spans="1:16" ht="13.15" hidden="1" customHeight="1">
      <c r="A296" s="109" t="str">
        <f>$A$4</f>
        <v xml:space="preserve">Please fill in Supplier Name </v>
      </c>
      <c r="B296" s="109" t="s">
        <v>55</v>
      </c>
      <c r="C296" s="115" t="s">
        <v>56</v>
      </c>
      <c r="D296" s="110"/>
      <c r="E296" s="110"/>
      <c r="F296" s="111"/>
      <c r="G296" s="112">
        <f>SUM(G297:G299)</f>
        <v>0</v>
      </c>
      <c r="H296" s="112">
        <f>SUM(H297:H299)</f>
        <v>0</v>
      </c>
      <c r="I296" s="113">
        <f>SUM(G296:H296)</f>
        <v>0</v>
      </c>
      <c r="J296" s="114" t="s">
        <v>16</v>
      </c>
      <c r="K296" s="114" t="s">
        <v>27</v>
      </c>
      <c r="L296" s="145">
        <v>2</v>
      </c>
      <c r="M296" s="144">
        <f>I296*L296</f>
        <v>0</v>
      </c>
      <c r="N296" s="115"/>
      <c r="O296" s="116" t="s">
        <v>544</v>
      </c>
      <c r="P296" s="116" t="s">
        <v>695</v>
      </c>
    </row>
    <row r="297" spans="1:16" ht="13.15" hidden="1" customHeight="1">
      <c r="A297" s="105"/>
      <c r="B297" s="105"/>
      <c r="C297" s="131" t="s">
        <v>696</v>
      </c>
      <c r="D297" s="121">
        <v>25</v>
      </c>
      <c r="E297" s="117" t="s">
        <v>559</v>
      </c>
      <c r="F297" s="122"/>
      <c r="G297" s="117"/>
      <c r="H297" s="117"/>
      <c r="I297" s="117"/>
      <c r="J297" s="117"/>
      <c r="K297" s="117"/>
      <c r="L297" s="117"/>
      <c r="M297" s="117"/>
      <c r="N297" s="120"/>
    </row>
    <row r="298" spans="1:16" ht="13.15" hidden="1" customHeight="1">
      <c r="A298" s="105"/>
      <c r="B298" s="105"/>
      <c r="C298" s="131"/>
      <c r="D298" s="121"/>
      <c r="E298" s="117"/>
      <c r="F298" s="122"/>
      <c r="G298" s="117"/>
      <c r="H298" s="117"/>
      <c r="I298" s="117"/>
      <c r="J298" s="117"/>
      <c r="K298" s="117"/>
      <c r="L298" s="117"/>
      <c r="M298" s="117"/>
      <c r="N298" s="120"/>
    </row>
    <row r="299" spans="1:16" hidden="1">
      <c r="A299" s="105"/>
      <c r="B299" s="105"/>
      <c r="C299" s="131"/>
      <c r="D299" s="121"/>
      <c r="E299" s="117"/>
      <c r="F299" s="122"/>
      <c r="G299" s="117"/>
      <c r="H299" s="117"/>
      <c r="I299" s="117"/>
      <c r="J299" s="117"/>
      <c r="K299" s="117"/>
      <c r="L299" s="117"/>
      <c r="M299" s="117"/>
      <c r="N299" s="120"/>
    </row>
    <row r="300" spans="1:16" hidden="1">
      <c r="D300" s="101"/>
      <c r="E300" s="101"/>
      <c r="G300" s="101"/>
      <c r="H300" s="101"/>
      <c r="I300" s="101"/>
      <c r="J300" s="101"/>
      <c r="M300" s="101"/>
    </row>
    <row r="301" spans="1:16">
      <c r="A301" s="185" t="str">
        <f>$A$4</f>
        <v xml:space="preserve">Please fill in Supplier Name </v>
      </c>
      <c r="B301" s="185" t="s">
        <v>96</v>
      </c>
      <c r="C301" s="186" t="s">
        <v>97</v>
      </c>
      <c r="D301" s="187"/>
      <c r="E301" s="187"/>
      <c r="F301" s="188"/>
      <c r="G301" s="189">
        <f>'CS C C1-3'!G301</f>
        <v>0</v>
      </c>
      <c r="H301" s="189">
        <f>'CS C C1-3'!H301</f>
        <v>0</v>
      </c>
      <c r="I301" s="190">
        <f>'CS C C1-3'!I301</f>
        <v>0</v>
      </c>
      <c r="J301" s="191" t="s">
        <v>16</v>
      </c>
      <c r="K301" s="191" t="s">
        <v>27</v>
      </c>
      <c r="L301" s="192">
        <v>2</v>
      </c>
      <c r="M301" s="193">
        <f>I301*L301</f>
        <v>0</v>
      </c>
      <c r="N301" s="186"/>
      <c r="O301" s="194" t="s">
        <v>532</v>
      </c>
      <c r="P301" s="194"/>
    </row>
    <row r="302" spans="1:16" hidden="1">
      <c r="A302" s="105"/>
      <c r="B302" s="105"/>
      <c r="C302" s="132"/>
      <c r="D302" s="125"/>
      <c r="E302" s="118"/>
      <c r="F302" s="124"/>
      <c r="G302" s="118"/>
      <c r="H302" s="118"/>
      <c r="I302" s="117"/>
      <c r="J302" s="117"/>
      <c r="K302" s="117"/>
      <c r="L302" s="117"/>
      <c r="M302" s="117"/>
      <c r="N302" s="120"/>
    </row>
    <row r="303" spans="1:16" hidden="1">
      <c r="A303" s="105"/>
      <c r="B303" s="105"/>
      <c r="C303" s="132"/>
      <c r="D303" s="125"/>
      <c r="E303" s="118"/>
      <c r="F303" s="124"/>
      <c r="G303" s="118"/>
      <c r="H303" s="118"/>
      <c r="I303" s="117"/>
      <c r="J303" s="117"/>
      <c r="K303" s="117"/>
      <c r="L303" s="117"/>
      <c r="M303" s="117"/>
      <c r="N303" s="120"/>
    </row>
    <row r="304" spans="1:16" hidden="1">
      <c r="A304" s="105"/>
      <c r="B304" s="105"/>
      <c r="C304" s="132"/>
      <c r="D304" s="125"/>
      <c r="E304" s="118"/>
      <c r="F304" s="124"/>
      <c r="G304" s="118"/>
      <c r="H304" s="118"/>
      <c r="I304" s="117"/>
      <c r="J304" s="117"/>
      <c r="K304" s="117"/>
      <c r="L304" s="117"/>
      <c r="M304" s="117"/>
      <c r="N304" s="120"/>
    </row>
    <row r="305" spans="1:16" hidden="1">
      <c r="D305" s="101"/>
      <c r="E305" s="101"/>
      <c r="G305" s="101"/>
      <c r="H305" s="101"/>
      <c r="I305" s="101"/>
      <c r="J305" s="101"/>
      <c r="M305" s="101"/>
    </row>
    <row r="306" spans="1:16">
      <c r="A306" s="227" t="str">
        <f>$A$4</f>
        <v xml:space="preserve">Please fill in Supplier Name </v>
      </c>
      <c r="B306" s="227" t="s">
        <v>125</v>
      </c>
      <c r="C306" s="228" t="s">
        <v>126</v>
      </c>
      <c r="D306" s="229"/>
      <c r="E306" s="229"/>
      <c r="F306" s="230"/>
      <c r="G306" s="231">
        <f>'CS C C1-3'!G306</f>
        <v>0</v>
      </c>
      <c r="H306" s="231">
        <f>'CS C C1-3'!H306</f>
        <v>0</v>
      </c>
      <c r="I306" s="232">
        <f>'CS C C1-3'!I306</f>
        <v>0</v>
      </c>
      <c r="J306" s="233" t="s">
        <v>16</v>
      </c>
      <c r="K306" s="233" t="s">
        <v>27</v>
      </c>
      <c r="L306" s="234">
        <v>2</v>
      </c>
      <c r="M306" s="235">
        <f>I306*L306</f>
        <v>0</v>
      </c>
      <c r="N306" s="228"/>
      <c r="O306" s="236" t="s">
        <v>543</v>
      </c>
      <c r="P306" s="236"/>
    </row>
    <row r="307" spans="1:16" hidden="1">
      <c r="A307" s="105"/>
      <c r="B307" s="105"/>
      <c r="C307" s="132"/>
      <c r="D307" s="125"/>
      <c r="E307" s="118"/>
      <c r="F307" s="124"/>
      <c r="G307" s="118"/>
      <c r="H307" s="118"/>
      <c r="I307" s="117"/>
      <c r="J307" s="117"/>
      <c r="K307" s="117"/>
      <c r="L307" s="117"/>
      <c r="M307" s="117"/>
      <c r="N307" s="120"/>
    </row>
    <row r="308" spans="1:16" hidden="1">
      <c r="A308" s="105"/>
      <c r="B308" s="105"/>
      <c r="C308" s="132"/>
      <c r="D308" s="125"/>
      <c r="E308" s="118"/>
      <c r="F308" s="124"/>
      <c r="G308" s="118"/>
      <c r="H308" s="118"/>
      <c r="I308" s="117"/>
      <c r="J308" s="117"/>
      <c r="K308" s="117"/>
      <c r="L308" s="117"/>
      <c r="M308" s="117"/>
      <c r="N308" s="120"/>
    </row>
    <row r="309" spans="1:16" hidden="1">
      <c r="A309" s="105"/>
      <c r="B309" s="105"/>
      <c r="C309" s="132"/>
      <c r="D309" s="125"/>
      <c r="E309" s="118"/>
      <c r="F309" s="124"/>
      <c r="G309" s="118"/>
      <c r="H309" s="118"/>
      <c r="I309" s="117"/>
      <c r="J309" s="117"/>
      <c r="K309" s="117"/>
      <c r="L309" s="117"/>
      <c r="M309" s="117"/>
      <c r="N309" s="120"/>
    </row>
    <row r="310" spans="1:16" hidden="1">
      <c r="D310" s="101"/>
      <c r="E310" s="101"/>
      <c r="G310" s="101"/>
      <c r="H310" s="101"/>
      <c r="I310" s="101"/>
      <c r="J310" s="101"/>
      <c r="M310" s="101"/>
    </row>
    <row r="311" spans="1:16" ht="13.15" hidden="1" customHeight="1">
      <c r="A311" s="109" t="str">
        <f>$A$4</f>
        <v xml:space="preserve">Please fill in Supplier Name </v>
      </c>
      <c r="B311" s="109" t="s">
        <v>60</v>
      </c>
      <c r="C311" s="115" t="s">
        <v>61</v>
      </c>
      <c r="D311" s="110"/>
      <c r="E311" s="110"/>
      <c r="F311" s="111"/>
      <c r="G311" s="112">
        <f>SUM(G312:G320)</f>
        <v>0</v>
      </c>
      <c r="H311" s="112">
        <f>SUM(H312:H320)</f>
        <v>0</v>
      </c>
      <c r="I311" s="113">
        <f>SUM(G311:H311)</f>
        <v>0</v>
      </c>
      <c r="J311" s="114" t="s">
        <v>16</v>
      </c>
      <c r="K311" s="114" t="s">
        <v>1180</v>
      </c>
      <c r="L311" s="145">
        <v>3</v>
      </c>
      <c r="M311" s="144">
        <f>I311*L311</f>
        <v>0</v>
      </c>
      <c r="N311" s="115"/>
      <c r="O311" s="116" t="s">
        <v>544</v>
      </c>
      <c r="P311" s="116" t="s">
        <v>699</v>
      </c>
    </row>
    <row r="312" spans="1:16" ht="13.15" hidden="1" customHeight="1">
      <c r="A312" s="105"/>
      <c r="B312" s="105"/>
      <c r="C312" s="131" t="s">
        <v>700</v>
      </c>
      <c r="D312" s="121">
        <v>150</v>
      </c>
      <c r="E312" s="117" t="s">
        <v>559</v>
      </c>
      <c r="F312" s="122"/>
      <c r="G312" s="117"/>
      <c r="H312" s="117"/>
      <c r="I312" s="117"/>
      <c r="J312" s="117"/>
      <c r="K312" s="117"/>
      <c r="L312" s="117"/>
      <c r="M312" s="117"/>
      <c r="N312" s="120"/>
    </row>
    <row r="313" spans="1:16" ht="13.15" hidden="1" customHeight="1">
      <c r="A313" s="105"/>
      <c r="B313" s="105"/>
      <c r="C313" s="131" t="s">
        <v>701</v>
      </c>
      <c r="D313" s="121">
        <v>150</v>
      </c>
      <c r="E313" s="117" t="s">
        <v>559</v>
      </c>
      <c r="F313" s="122"/>
      <c r="G313" s="117"/>
      <c r="H313" s="117"/>
      <c r="I313" s="117"/>
      <c r="J313" s="117"/>
      <c r="K313" s="117"/>
      <c r="L313" s="117"/>
      <c r="M313" s="117"/>
      <c r="N313" s="120"/>
    </row>
    <row r="314" spans="1:16" ht="13.15" hidden="1" customHeight="1">
      <c r="A314" s="105"/>
      <c r="B314" s="105"/>
      <c r="C314" s="131" t="s">
        <v>702</v>
      </c>
      <c r="D314" s="121">
        <v>150</v>
      </c>
      <c r="E314" s="117" t="s">
        <v>559</v>
      </c>
      <c r="F314" s="122"/>
      <c r="G314" s="117"/>
      <c r="H314" s="117"/>
      <c r="I314" s="117"/>
      <c r="J314" s="117"/>
      <c r="K314" s="117"/>
      <c r="L314" s="117"/>
      <c r="M314" s="117"/>
      <c r="N314" s="120"/>
    </row>
    <row r="315" spans="1:16" ht="13.15" hidden="1" customHeight="1">
      <c r="A315" s="105"/>
      <c r="B315" s="105"/>
      <c r="C315" s="131" t="s">
        <v>703</v>
      </c>
      <c r="D315" s="121">
        <v>150</v>
      </c>
      <c r="E315" s="117" t="s">
        <v>559</v>
      </c>
      <c r="F315" s="122"/>
      <c r="G315" s="117"/>
      <c r="H315" s="117"/>
      <c r="I315" s="117"/>
      <c r="J315" s="117"/>
      <c r="K315" s="117"/>
      <c r="L315" s="117"/>
      <c r="M315" s="117"/>
      <c r="N315" s="120"/>
    </row>
    <row r="316" spans="1:16" ht="13.15" hidden="1" customHeight="1">
      <c r="A316" s="105"/>
      <c r="B316" s="105"/>
      <c r="C316" s="131"/>
      <c r="D316" s="121"/>
      <c r="E316" s="117"/>
      <c r="F316" s="122"/>
      <c r="G316" s="117"/>
      <c r="H316" s="117"/>
      <c r="I316" s="117"/>
      <c r="J316" s="117"/>
      <c r="K316" s="117"/>
      <c r="L316" s="117"/>
      <c r="M316" s="117"/>
      <c r="N316" s="120"/>
    </row>
    <row r="317" spans="1:16" hidden="1">
      <c r="A317" s="105"/>
      <c r="B317" s="105"/>
      <c r="C317" s="131"/>
      <c r="D317" s="121"/>
      <c r="E317" s="117"/>
      <c r="F317" s="122"/>
      <c r="G317" s="117"/>
      <c r="H317" s="117"/>
      <c r="I317" s="117"/>
      <c r="J317" s="117"/>
      <c r="K317" s="117"/>
      <c r="L317" s="117"/>
      <c r="M317" s="117"/>
      <c r="N317" s="120"/>
    </row>
    <row r="318" spans="1:16" hidden="1">
      <c r="A318" s="105"/>
      <c r="B318" s="105"/>
      <c r="C318" s="131"/>
      <c r="D318" s="121"/>
      <c r="E318" s="117"/>
      <c r="F318" s="122"/>
      <c r="G318" s="117"/>
      <c r="H318" s="117"/>
      <c r="I318" s="117"/>
      <c r="J318" s="117"/>
      <c r="K318" s="117"/>
      <c r="L318" s="117"/>
      <c r="M318" s="117"/>
      <c r="N318" s="120"/>
    </row>
    <row r="319" spans="1:16" ht="13.15" hidden="1" customHeight="1">
      <c r="A319" s="105"/>
      <c r="B319" s="105"/>
      <c r="C319" s="131"/>
      <c r="D319" s="121"/>
      <c r="E319" s="117"/>
      <c r="F319" s="122"/>
      <c r="G319" s="117"/>
      <c r="H319" s="117"/>
      <c r="I319" s="117"/>
      <c r="J319" s="117"/>
      <c r="K319" s="117"/>
      <c r="L319" s="117"/>
      <c r="M319" s="117"/>
      <c r="N319" s="120"/>
    </row>
    <row r="320" spans="1:16" ht="13.15" hidden="1" customHeight="1">
      <c r="A320" s="105"/>
      <c r="B320" s="105"/>
      <c r="C320" s="131"/>
      <c r="D320" s="121"/>
      <c r="E320" s="117"/>
      <c r="F320" s="122"/>
      <c r="G320" s="117"/>
      <c r="H320" s="117"/>
      <c r="I320" s="117"/>
      <c r="J320" s="117"/>
      <c r="K320" s="117"/>
      <c r="L320" s="117"/>
      <c r="M320" s="117"/>
      <c r="N320" s="120"/>
    </row>
    <row r="321" spans="1:16" ht="13.15" hidden="1" customHeight="1">
      <c r="D321" s="101"/>
      <c r="E321" s="101"/>
      <c r="G321" s="101"/>
      <c r="H321" s="101"/>
      <c r="I321" s="101"/>
      <c r="J321" s="101"/>
      <c r="M321" s="101"/>
    </row>
    <row r="322" spans="1:16" ht="13.15" customHeight="1">
      <c r="A322" s="185" t="str">
        <f>$A$4</f>
        <v xml:space="preserve">Please fill in Supplier Name </v>
      </c>
      <c r="B322" s="185" t="s">
        <v>704</v>
      </c>
      <c r="C322" s="186" t="s">
        <v>63</v>
      </c>
      <c r="D322" s="187"/>
      <c r="E322" s="187"/>
      <c r="F322" s="188"/>
      <c r="G322" s="189">
        <f>'CS C C1-3'!G322</f>
        <v>0</v>
      </c>
      <c r="H322" s="189">
        <f>'CS C C1-3'!H322</f>
        <v>0</v>
      </c>
      <c r="I322" s="190">
        <f>'CS C C1-3'!I322</f>
        <v>0</v>
      </c>
      <c r="J322" s="191" t="s">
        <v>16</v>
      </c>
      <c r="K322" s="191" t="s">
        <v>1180</v>
      </c>
      <c r="L322" s="192">
        <v>3</v>
      </c>
      <c r="M322" s="193">
        <f>I322*L322</f>
        <v>0</v>
      </c>
      <c r="N322" s="186"/>
      <c r="O322" s="194" t="s">
        <v>532</v>
      </c>
      <c r="P322" s="194" t="s">
        <v>699</v>
      </c>
    </row>
    <row r="323" spans="1:16" hidden="1">
      <c r="A323" s="105"/>
      <c r="B323" s="105"/>
      <c r="C323" s="132"/>
      <c r="D323" s="125"/>
      <c r="E323" s="118"/>
      <c r="F323" s="124"/>
      <c r="G323" s="118"/>
      <c r="H323" s="118"/>
      <c r="I323" s="117"/>
      <c r="J323" s="117"/>
      <c r="K323" s="117"/>
      <c r="L323" s="117"/>
      <c r="M323" s="117"/>
      <c r="N323" s="120"/>
    </row>
    <row r="324" spans="1:16" hidden="1">
      <c r="A324" s="105"/>
      <c r="B324" s="105"/>
      <c r="C324" s="132"/>
      <c r="D324" s="125"/>
      <c r="E324" s="118"/>
      <c r="F324" s="124"/>
      <c r="G324" s="118"/>
      <c r="H324" s="118"/>
      <c r="I324" s="117"/>
      <c r="J324" s="117"/>
      <c r="K324" s="117"/>
      <c r="L324" s="117"/>
      <c r="M324" s="117"/>
      <c r="N324" s="120"/>
    </row>
    <row r="325" spans="1:16" hidden="1">
      <c r="A325" s="105"/>
      <c r="B325" s="105"/>
      <c r="C325" s="132"/>
      <c r="D325" s="125"/>
      <c r="E325" s="118"/>
      <c r="F325" s="124"/>
      <c r="G325" s="118"/>
      <c r="H325" s="118"/>
      <c r="I325" s="117"/>
      <c r="J325" s="117"/>
      <c r="K325" s="117"/>
      <c r="L325" s="117"/>
      <c r="M325" s="117"/>
      <c r="N325" s="120"/>
    </row>
    <row r="326" spans="1:16" hidden="1">
      <c r="A326" s="105"/>
      <c r="B326" s="105"/>
      <c r="C326" s="132"/>
      <c r="D326" s="125"/>
      <c r="E326" s="118"/>
      <c r="F326" s="124"/>
      <c r="G326" s="118"/>
      <c r="H326" s="118"/>
      <c r="I326" s="117"/>
      <c r="J326" s="117"/>
      <c r="K326" s="117"/>
      <c r="L326" s="117"/>
      <c r="M326" s="117"/>
      <c r="N326" s="120"/>
    </row>
    <row r="327" spans="1:16" hidden="1">
      <c r="A327" s="105"/>
      <c r="B327" s="105"/>
      <c r="C327" s="132"/>
      <c r="D327" s="125"/>
      <c r="E327" s="118"/>
      <c r="F327" s="124"/>
      <c r="G327" s="118"/>
      <c r="H327" s="118"/>
      <c r="I327" s="117"/>
      <c r="J327" s="117"/>
      <c r="K327" s="117"/>
      <c r="L327" s="117"/>
      <c r="M327" s="117"/>
      <c r="N327" s="120"/>
    </row>
    <row r="328" spans="1:16" hidden="1">
      <c r="A328" s="105"/>
      <c r="B328" s="105"/>
      <c r="C328" s="132"/>
      <c r="D328" s="125"/>
      <c r="E328" s="118"/>
      <c r="F328" s="124"/>
      <c r="G328" s="118"/>
      <c r="H328" s="118"/>
      <c r="I328" s="117"/>
      <c r="J328" s="117"/>
      <c r="K328" s="117"/>
      <c r="L328" s="117"/>
      <c r="M328" s="117"/>
      <c r="N328" s="120"/>
    </row>
    <row r="329" spans="1:16" hidden="1">
      <c r="A329" s="105"/>
      <c r="B329" s="105"/>
      <c r="C329" s="132"/>
      <c r="D329" s="125"/>
      <c r="E329" s="118"/>
      <c r="F329" s="124"/>
      <c r="G329" s="118"/>
      <c r="H329" s="118"/>
      <c r="I329" s="117"/>
      <c r="J329" s="117"/>
      <c r="K329" s="117"/>
      <c r="L329" s="117"/>
      <c r="M329" s="117"/>
      <c r="N329" s="120"/>
    </row>
    <row r="330" spans="1:16" hidden="1">
      <c r="A330" s="105"/>
      <c r="B330" s="105"/>
      <c r="C330" s="132"/>
      <c r="D330" s="125"/>
      <c r="E330" s="118"/>
      <c r="F330" s="124"/>
      <c r="G330" s="118"/>
      <c r="H330" s="118"/>
      <c r="I330" s="117"/>
      <c r="J330" s="117"/>
      <c r="K330" s="117"/>
      <c r="L330" s="117"/>
      <c r="M330" s="117"/>
      <c r="N330" s="120"/>
    </row>
    <row r="331" spans="1:16" hidden="1">
      <c r="A331" s="105"/>
      <c r="B331" s="105"/>
      <c r="C331" s="132"/>
      <c r="D331" s="125"/>
      <c r="E331" s="118"/>
      <c r="F331" s="124"/>
      <c r="G331" s="118"/>
      <c r="H331" s="118"/>
      <c r="I331" s="117"/>
      <c r="J331" s="117"/>
      <c r="K331" s="117"/>
      <c r="L331" s="117"/>
      <c r="M331" s="117"/>
      <c r="N331" s="120"/>
    </row>
    <row r="332" spans="1:16" hidden="1">
      <c r="D332" s="101"/>
      <c r="E332" s="101"/>
      <c r="G332" s="101"/>
      <c r="H332" s="101"/>
      <c r="I332" s="101"/>
      <c r="J332" s="101"/>
      <c r="M332" s="101"/>
    </row>
    <row r="333" spans="1:16">
      <c r="A333" s="227" t="str">
        <f>$A$4</f>
        <v xml:space="preserve">Please fill in Supplier Name </v>
      </c>
      <c r="B333" s="227" t="s">
        <v>706</v>
      </c>
      <c r="C333" s="228" t="s">
        <v>65</v>
      </c>
      <c r="D333" s="229"/>
      <c r="E333" s="229"/>
      <c r="F333" s="230"/>
      <c r="G333" s="231">
        <f>'CS C C1-3'!G333</f>
        <v>0</v>
      </c>
      <c r="H333" s="231">
        <f>'CS C C1-3'!H333</f>
        <v>0</v>
      </c>
      <c r="I333" s="232">
        <f>'CS C C1-3'!I333</f>
        <v>0</v>
      </c>
      <c r="J333" s="233" t="s">
        <v>16</v>
      </c>
      <c r="K333" s="233" t="s">
        <v>1180</v>
      </c>
      <c r="L333" s="234">
        <v>3</v>
      </c>
      <c r="M333" s="235">
        <f>I333*L333</f>
        <v>0</v>
      </c>
      <c r="N333" s="228"/>
      <c r="O333" s="236" t="s">
        <v>543</v>
      </c>
      <c r="P333" s="236" t="s">
        <v>699</v>
      </c>
    </row>
    <row r="334" spans="1:16" hidden="1">
      <c r="A334" s="105"/>
      <c r="B334" s="105"/>
      <c r="C334" s="132"/>
      <c r="D334" s="125"/>
      <c r="E334" s="118"/>
      <c r="F334" s="124"/>
      <c r="G334" s="118"/>
      <c r="H334" s="118"/>
      <c r="I334" s="117"/>
      <c r="J334" s="117"/>
      <c r="K334" s="117"/>
      <c r="L334" s="117"/>
      <c r="M334" s="117"/>
      <c r="N334" s="120"/>
    </row>
    <row r="335" spans="1:16" hidden="1">
      <c r="A335" s="105"/>
      <c r="B335" s="105"/>
      <c r="C335" s="132"/>
      <c r="D335" s="125"/>
      <c r="E335" s="118"/>
      <c r="F335" s="124"/>
      <c r="G335" s="118"/>
      <c r="H335" s="118"/>
      <c r="I335" s="117"/>
      <c r="J335" s="117"/>
      <c r="K335" s="117"/>
      <c r="L335" s="117"/>
      <c r="M335" s="117"/>
      <c r="N335" s="120"/>
    </row>
    <row r="336" spans="1:16" ht="13.15" hidden="1" customHeight="1">
      <c r="A336" s="105"/>
      <c r="B336" s="105"/>
      <c r="C336" s="132"/>
      <c r="D336" s="125"/>
      <c r="E336" s="118"/>
      <c r="F336" s="124"/>
      <c r="G336" s="118"/>
      <c r="H336" s="118"/>
      <c r="I336" s="117"/>
      <c r="J336" s="117"/>
      <c r="K336" s="117"/>
      <c r="L336" s="117"/>
      <c r="M336" s="117"/>
      <c r="N336" s="120"/>
    </row>
    <row r="337" spans="1:16" hidden="1">
      <c r="A337" s="105"/>
      <c r="B337" s="105"/>
      <c r="C337" s="132"/>
      <c r="D337" s="125"/>
      <c r="E337" s="118"/>
      <c r="F337" s="124"/>
      <c r="G337" s="118"/>
      <c r="H337" s="118"/>
      <c r="I337" s="117"/>
      <c r="J337" s="117"/>
      <c r="K337" s="117"/>
      <c r="L337" s="117"/>
      <c r="M337" s="117"/>
      <c r="N337" s="120"/>
    </row>
    <row r="338" spans="1:16" hidden="1">
      <c r="A338" s="105"/>
      <c r="B338" s="105"/>
      <c r="C338" s="132"/>
      <c r="D338" s="125"/>
      <c r="E338" s="118"/>
      <c r="F338" s="124"/>
      <c r="G338" s="118"/>
      <c r="H338" s="118"/>
      <c r="I338" s="117"/>
      <c r="J338" s="117"/>
      <c r="K338" s="117"/>
      <c r="L338" s="117"/>
      <c r="M338" s="117"/>
      <c r="N338" s="120"/>
    </row>
    <row r="339" spans="1:16" hidden="1">
      <c r="A339" s="105"/>
      <c r="B339" s="105"/>
      <c r="C339" s="132"/>
      <c r="D339" s="125"/>
      <c r="E339" s="118"/>
      <c r="F339" s="124"/>
      <c r="G339" s="118"/>
      <c r="H339" s="118"/>
      <c r="I339" s="117"/>
      <c r="J339" s="117"/>
      <c r="K339" s="117"/>
      <c r="L339" s="117"/>
      <c r="M339" s="117"/>
      <c r="N339" s="120"/>
    </row>
    <row r="340" spans="1:16" hidden="1">
      <c r="A340" s="105"/>
      <c r="B340" s="105"/>
      <c r="C340" s="132"/>
      <c r="D340" s="125"/>
      <c r="E340" s="118"/>
      <c r="F340" s="124"/>
      <c r="G340" s="118"/>
      <c r="H340" s="118"/>
      <c r="I340" s="117"/>
      <c r="J340" s="117"/>
      <c r="K340" s="117"/>
      <c r="L340" s="117"/>
      <c r="M340" s="117"/>
      <c r="N340" s="120"/>
    </row>
    <row r="341" spans="1:16" hidden="1">
      <c r="A341" s="105"/>
      <c r="B341" s="105"/>
      <c r="C341" s="132"/>
      <c r="D341" s="125"/>
      <c r="E341" s="118"/>
      <c r="F341" s="124"/>
      <c r="G341" s="118"/>
      <c r="H341" s="118"/>
      <c r="I341" s="117"/>
      <c r="J341" s="117"/>
      <c r="K341" s="117"/>
      <c r="L341" s="117"/>
      <c r="M341" s="117"/>
      <c r="N341" s="120"/>
    </row>
    <row r="342" spans="1:16" hidden="1">
      <c r="A342" s="105"/>
      <c r="B342" s="105"/>
      <c r="C342" s="132"/>
      <c r="D342" s="125"/>
      <c r="E342" s="118"/>
      <c r="F342" s="124"/>
      <c r="G342" s="118"/>
      <c r="H342" s="118"/>
      <c r="I342" s="117"/>
      <c r="J342" s="117"/>
      <c r="K342" s="117"/>
      <c r="L342" s="117"/>
      <c r="M342" s="117"/>
      <c r="N342" s="120"/>
    </row>
    <row r="343" spans="1:16" hidden="1">
      <c r="D343" s="101"/>
      <c r="E343" s="101"/>
      <c r="G343" s="101"/>
      <c r="H343" s="101"/>
      <c r="I343" s="101"/>
      <c r="J343" s="101"/>
      <c r="M343" s="101"/>
    </row>
    <row r="344" spans="1:16" hidden="1">
      <c r="A344" s="109" t="str">
        <f>$A$4</f>
        <v xml:space="preserve">Please fill in Supplier Name </v>
      </c>
      <c r="B344" s="109" t="s">
        <v>66</v>
      </c>
      <c r="C344" s="115" t="s">
        <v>710</v>
      </c>
      <c r="D344" s="110"/>
      <c r="E344" s="110"/>
      <c r="F344" s="111"/>
      <c r="G344" s="112">
        <f>SUM(G345:G347)</f>
        <v>0</v>
      </c>
      <c r="H344" s="112">
        <f>SUM(H345:H347)</f>
        <v>0</v>
      </c>
      <c r="I344" s="113">
        <f>SUM(G344:H344)</f>
        <v>0</v>
      </c>
      <c r="J344" s="114" t="s">
        <v>16</v>
      </c>
      <c r="K344" s="114" t="s">
        <v>68</v>
      </c>
      <c r="L344" s="166">
        <v>0.75</v>
      </c>
      <c r="M344" s="144">
        <f>I344*L344*$K$576</f>
        <v>0</v>
      </c>
      <c r="N344" s="115" t="s">
        <v>69</v>
      </c>
      <c r="O344" s="116" t="s">
        <v>544</v>
      </c>
      <c r="P344" s="116" t="s">
        <v>711</v>
      </c>
    </row>
    <row r="345" spans="1:16" hidden="1">
      <c r="A345" s="105"/>
      <c r="B345" s="105"/>
      <c r="C345" s="131" t="s">
        <v>712</v>
      </c>
      <c r="D345" s="121">
        <v>40</v>
      </c>
      <c r="E345" s="117" t="s">
        <v>559</v>
      </c>
      <c r="F345" s="122"/>
      <c r="G345" s="117"/>
      <c r="H345" s="117"/>
      <c r="I345" s="117"/>
      <c r="J345" s="117"/>
      <c r="K345" s="117"/>
      <c r="L345" s="117"/>
      <c r="M345" s="117"/>
      <c r="N345" s="120"/>
    </row>
    <row r="346" spans="1:16" hidden="1">
      <c r="A346" s="105"/>
      <c r="B346" s="105"/>
      <c r="C346" s="131" t="s">
        <v>713</v>
      </c>
      <c r="D346" s="121">
        <v>40</v>
      </c>
      <c r="E346" s="117" t="s">
        <v>559</v>
      </c>
      <c r="F346" s="122"/>
      <c r="G346" s="117"/>
      <c r="H346" s="117"/>
      <c r="I346" s="117"/>
      <c r="J346" s="117"/>
      <c r="K346" s="117"/>
      <c r="L346" s="117"/>
      <c r="M346" s="117"/>
      <c r="N346" s="120"/>
    </row>
    <row r="347" spans="1:16" hidden="1">
      <c r="A347" s="105"/>
      <c r="B347" s="105"/>
      <c r="C347" s="131"/>
      <c r="D347" s="121"/>
      <c r="E347" s="117"/>
      <c r="F347" s="122"/>
      <c r="G347" s="117"/>
      <c r="H347" s="117"/>
      <c r="I347" s="117"/>
      <c r="J347" s="117"/>
      <c r="K347" s="117"/>
      <c r="L347" s="117"/>
      <c r="M347" s="117"/>
      <c r="N347" s="120"/>
    </row>
    <row r="348" spans="1:16" hidden="1">
      <c r="D348" s="101"/>
      <c r="E348" s="101"/>
      <c r="G348" s="101"/>
      <c r="H348" s="101"/>
      <c r="I348" s="101"/>
      <c r="J348" s="101"/>
      <c r="M348" s="101"/>
    </row>
    <row r="349" spans="1:16">
      <c r="A349" s="185" t="str">
        <f>$A$4</f>
        <v xml:space="preserve">Please fill in Supplier Name </v>
      </c>
      <c r="B349" s="185" t="s">
        <v>714</v>
      </c>
      <c r="C349" s="186" t="s">
        <v>715</v>
      </c>
      <c r="D349" s="187"/>
      <c r="E349" s="187"/>
      <c r="F349" s="188"/>
      <c r="G349" s="189">
        <f>'CS C C1-3'!G349</f>
        <v>0</v>
      </c>
      <c r="H349" s="189">
        <f>'CS C C1-3'!H349</f>
        <v>0</v>
      </c>
      <c r="I349" s="190">
        <f>'CS C C1-3'!I349</f>
        <v>0</v>
      </c>
      <c r="J349" s="191" t="s">
        <v>16</v>
      </c>
      <c r="K349" s="191" t="s">
        <v>68</v>
      </c>
      <c r="L349" s="195">
        <v>0.75</v>
      </c>
      <c r="M349" s="193">
        <f>I349*L349*$K$576</f>
        <v>0</v>
      </c>
      <c r="N349" s="186" t="s">
        <v>69</v>
      </c>
      <c r="O349" s="194" t="s">
        <v>532</v>
      </c>
      <c r="P349" s="194" t="s">
        <v>711</v>
      </c>
    </row>
    <row r="350" spans="1:16" hidden="1">
      <c r="A350" s="105"/>
      <c r="B350" s="105"/>
      <c r="C350" s="132"/>
      <c r="D350" s="125"/>
      <c r="E350" s="118"/>
      <c r="F350" s="124"/>
      <c r="G350" s="118"/>
      <c r="H350" s="118"/>
      <c r="I350" s="117"/>
      <c r="J350" s="117"/>
      <c r="K350" s="117"/>
      <c r="L350" s="166"/>
      <c r="M350" s="117"/>
      <c r="N350" s="120"/>
    </row>
    <row r="351" spans="1:16" hidden="1">
      <c r="A351" s="105"/>
      <c r="B351" s="105"/>
      <c r="C351" s="132"/>
      <c r="D351" s="125"/>
      <c r="E351" s="118"/>
      <c r="F351" s="124"/>
      <c r="G351" s="118"/>
      <c r="H351" s="118"/>
      <c r="I351" s="117"/>
      <c r="J351" s="117"/>
      <c r="K351" s="117"/>
      <c r="L351" s="166"/>
      <c r="M351" s="117"/>
      <c r="N351" s="120"/>
    </row>
    <row r="352" spans="1:16" hidden="1">
      <c r="A352" s="105"/>
      <c r="B352" s="105"/>
      <c r="C352" s="132"/>
      <c r="D352" s="125"/>
      <c r="E352" s="118"/>
      <c r="F352" s="124"/>
      <c r="G352" s="118"/>
      <c r="H352" s="118"/>
      <c r="I352" s="117"/>
      <c r="J352" s="117"/>
      <c r="K352" s="117"/>
      <c r="L352" s="166"/>
      <c r="M352" s="117"/>
      <c r="N352" s="120"/>
    </row>
    <row r="353" spans="1:16" hidden="1">
      <c r="D353" s="101"/>
      <c r="E353" s="101"/>
      <c r="G353" s="101"/>
      <c r="H353" s="101"/>
      <c r="I353" s="101"/>
      <c r="J353" s="101"/>
      <c r="L353" s="166"/>
      <c r="M353" s="101"/>
    </row>
    <row r="354" spans="1:16">
      <c r="A354" s="227" t="str">
        <f>$A$4</f>
        <v xml:space="preserve">Please fill in Supplier Name </v>
      </c>
      <c r="B354" s="227" t="s">
        <v>719</v>
      </c>
      <c r="C354" s="228" t="s">
        <v>720</v>
      </c>
      <c r="D354" s="229"/>
      <c r="E354" s="229"/>
      <c r="F354" s="230"/>
      <c r="G354" s="231">
        <f>'CS C C1-3'!G354</f>
        <v>0</v>
      </c>
      <c r="H354" s="231">
        <f>'CS C C1-3'!H354</f>
        <v>0</v>
      </c>
      <c r="I354" s="232">
        <f>'CS C C1-3'!I354</f>
        <v>0</v>
      </c>
      <c r="J354" s="233" t="s">
        <v>16</v>
      </c>
      <c r="K354" s="233" t="s">
        <v>68</v>
      </c>
      <c r="L354" s="237">
        <v>0.75</v>
      </c>
      <c r="M354" s="235">
        <f>I354*L354*$K$576</f>
        <v>0</v>
      </c>
      <c r="N354" s="228" t="s">
        <v>69</v>
      </c>
      <c r="O354" s="236" t="s">
        <v>543</v>
      </c>
      <c r="P354" s="236" t="s">
        <v>711</v>
      </c>
    </row>
    <row r="355" spans="1:16" hidden="1">
      <c r="A355" s="105"/>
      <c r="B355" s="105"/>
      <c r="C355" s="132"/>
      <c r="D355" s="125"/>
      <c r="E355" s="118"/>
      <c r="F355" s="124"/>
      <c r="G355" s="118"/>
      <c r="H355" s="118"/>
      <c r="I355" s="117"/>
      <c r="J355" s="117"/>
      <c r="K355" s="117"/>
      <c r="L355" s="166"/>
      <c r="M355" s="117"/>
      <c r="N355" s="120"/>
    </row>
    <row r="356" spans="1:16" hidden="1">
      <c r="A356" s="105"/>
      <c r="B356" s="105"/>
      <c r="C356" s="132"/>
      <c r="D356" s="125"/>
      <c r="E356" s="118"/>
      <c r="F356" s="124"/>
      <c r="G356" s="118"/>
      <c r="H356" s="118"/>
      <c r="I356" s="117"/>
      <c r="J356" s="117"/>
      <c r="K356" s="117"/>
      <c r="L356" s="166"/>
      <c r="M356" s="117"/>
      <c r="N356" s="120"/>
    </row>
    <row r="357" spans="1:16" hidden="1">
      <c r="A357" s="105"/>
      <c r="B357" s="105"/>
      <c r="C357" s="132"/>
      <c r="D357" s="125"/>
      <c r="E357" s="118"/>
      <c r="F357" s="124"/>
      <c r="G357" s="118"/>
      <c r="H357" s="118"/>
      <c r="I357" s="117"/>
      <c r="J357" s="117"/>
      <c r="K357" s="117"/>
      <c r="L357" s="166"/>
      <c r="M357" s="117"/>
      <c r="N357" s="120"/>
    </row>
    <row r="358" spans="1:16" hidden="1">
      <c r="D358" s="101"/>
      <c r="E358" s="101"/>
      <c r="G358" s="101"/>
      <c r="H358" s="101"/>
      <c r="I358" s="101"/>
      <c r="J358" s="101"/>
      <c r="L358" s="166"/>
      <c r="M358" s="101"/>
    </row>
    <row r="359" spans="1:16" hidden="1">
      <c r="A359" s="109" t="str">
        <f>$A$4</f>
        <v xml:space="preserve">Please fill in Supplier Name </v>
      </c>
      <c r="B359" s="109" t="s">
        <v>70</v>
      </c>
      <c r="C359" s="115" t="s">
        <v>721</v>
      </c>
      <c r="D359" s="110"/>
      <c r="E359" s="110"/>
      <c r="F359" s="111"/>
      <c r="G359" s="112">
        <f>SUM(G360:G362)</f>
        <v>0</v>
      </c>
      <c r="H359" s="112">
        <f>SUM(H360:H362)</f>
        <v>0</v>
      </c>
      <c r="I359" s="113">
        <f>SUM(G359:H359)</f>
        <v>0</v>
      </c>
      <c r="J359" s="114" t="s">
        <v>16</v>
      </c>
      <c r="K359" s="114" t="s">
        <v>68</v>
      </c>
      <c r="L359" s="166">
        <v>0.75</v>
      </c>
      <c r="M359" s="144">
        <f>I359*L359*$K$576</f>
        <v>0</v>
      </c>
      <c r="N359" s="115" t="s">
        <v>69</v>
      </c>
      <c r="O359" s="116" t="s">
        <v>544</v>
      </c>
      <c r="P359" s="116" t="s">
        <v>711</v>
      </c>
    </row>
    <row r="360" spans="1:16" hidden="1">
      <c r="A360" s="105"/>
      <c r="B360" s="105"/>
      <c r="C360" s="131" t="s">
        <v>722</v>
      </c>
      <c r="D360" s="121">
        <v>1</v>
      </c>
      <c r="E360" s="117" t="s">
        <v>535</v>
      </c>
      <c r="F360" s="122"/>
      <c r="G360" s="117"/>
      <c r="H360" s="117"/>
      <c r="I360" s="117"/>
      <c r="J360" s="117"/>
      <c r="K360" s="117"/>
      <c r="L360" s="166"/>
      <c r="M360" s="117"/>
      <c r="N360" s="120"/>
    </row>
    <row r="361" spans="1:16" hidden="1">
      <c r="A361" s="105"/>
      <c r="B361" s="105"/>
      <c r="C361" s="131" t="s">
        <v>723</v>
      </c>
      <c r="D361" s="121">
        <v>1</v>
      </c>
      <c r="E361" s="117" t="s">
        <v>559</v>
      </c>
      <c r="F361" s="122"/>
      <c r="G361" s="117"/>
      <c r="H361" s="117"/>
      <c r="I361" s="117"/>
      <c r="J361" s="117"/>
      <c r="K361" s="117"/>
      <c r="L361" s="166"/>
      <c r="M361" s="117"/>
      <c r="N361" s="120"/>
    </row>
    <row r="362" spans="1:16" hidden="1">
      <c r="A362" s="105"/>
      <c r="B362" s="105"/>
      <c r="C362" s="131"/>
      <c r="D362" s="121"/>
      <c r="E362" s="117"/>
      <c r="F362" s="122"/>
      <c r="G362" s="117"/>
      <c r="H362" s="117"/>
      <c r="I362" s="117"/>
      <c r="J362" s="117"/>
      <c r="K362" s="117"/>
      <c r="L362" s="166"/>
      <c r="M362" s="117"/>
      <c r="N362" s="120"/>
    </row>
    <row r="363" spans="1:16" hidden="1">
      <c r="D363" s="101"/>
      <c r="E363" s="101"/>
      <c r="G363" s="101"/>
      <c r="H363" s="101"/>
      <c r="I363" s="101"/>
      <c r="J363" s="101"/>
      <c r="L363" s="166"/>
      <c r="M363" s="101"/>
    </row>
    <row r="364" spans="1:16">
      <c r="A364" s="185" t="str">
        <f>$A$4</f>
        <v xml:space="preserve">Please fill in Supplier Name </v>
      </c>
      <c r="B364" s="185" t="s">
        <v>724</v>
      </c>
      <c r="C364" s="186" t="s">
        <v>725</v>
      </c>
      <c r="D364" s="187"/>
      <c r="E364" s="187"/>
      <c r="F364" s="188"/>
      <c r="G364" s="189">
        <f>'CS C C1-3'!G364</f>
        <v>0</v>
      </c>
      <c r="H364" s="189">
        <f>'CS C C1-3'!H364</f>
        <v>0</v>
      </c>
      <c r="I364" s="190">
        <f>'CS C C1-3'!I364</f>
        <v>0</v>
      </c>
      <c r="J364" s="191" t="s">
        <v>16</v>
      </c>
      <c r="K364" s="191" t="s">
        <v>68</v>
      </c>
      <c r="L364" s="195">
        <v>0.75</v>
      </c>
      <c r="M364" s="193">
        <f>I364*L364*$K$576</f>
        <v>0</v>
      </c>
      <c r="N364" s="186" t="s">
        <v>69</v>
      </c>
      <c r="O364" s="194" t="s">
        <v>532</v>
      </c>
      <c r="P364" s="194" t="s">
        <v>711</v>
      </c>
    </row>
    <row r="365" spans="1:16" hidden="1">
      <c r="A365" s="105"/>
      <c r="B365" s="105"/>
      <c r="C365" s="132"/>
      <c r="D365" s="125"/>
      <c r="E365" s="118"/>
      <c r="F365" s="124"/>
      <c r="G365" s="118"/>
      <c r="H365" s="118"/>
      <c r="I365" s="117"/>
      <c r="J365" s="117"/>
      <c r="K365" s="117"/>
      <c r="L365" s="166"/>
      <c r="M365" s="117"/>
      <c r="N365" s="120"/>
    </row>
    <row r="366" spans="1:16" hidden="1">
      <c r="A366" s="105"/>
      <c r="B366" s="105"/>
      <c r="C366" s="132"/>
      <c r="D366" s="125"/>
      <c r="E366" s="118"/>
      <c r="F366" s="124"/>
      <c r="G366" s="118"/>
      <c r="H366" s="118"/>
      <c r="I366" s="117"/>
      <c r="J366" s="117"/>
      <c r="K366" s="117"/>
      <c r="L366" s="166"/>
      <c r="M366" s="117"/>
      <c r="N366" s="120"/>
    </row>
    <row r="367" spans="1:16" hidden="1">
      <c r="A367" s="105"/>
      <c r="B367" s="105"/>
      <c r="C367" s="132"/>
      <c r="D367" s="125"/>
      <c r="E367" s="118"/>
      <c r="F367" s="124"/>
      <c r="G367" s="118"/>
      <c r="H367" s="118"/>
      <c r="I367" s="117"/>
      <c r="J367" s="117"/>
      <c r="K367" s="117"/>
      <c r="L367" s="166"/>
      <c r="M367" s="117"/>
      <c r="N367" s="120"/>
    </row>
    <row r="368" spans="1:16" hidden="1">
      <c r="D368" s="101"/>
      <c r="E368" s="101"/>
      <c r="G368" s="101"/>
      <c r="H368" s="101"/>
      <c r="I368" s="101"/>
      <c r="J368" s="101"/>
      <c r="L368" s="166"/>
      <c r="M368" s="101"/>
    </row>
    <row r="369" spans="1:16">
      <c r="A369" s="227" t="str">
        <f>$A$4</f>
        <v xml:space="preserve">Please fill in Supplier Name </v>
      </c>
      <c r="B369" s="227" t="s">
        <v>728</v>
      </c>
      <c r="C369" s="228" t="s">
        <v>729</v>
      </c>
      <c r="D369" s="229"/>
      <c r="E369" s="229"/>
      <c r="F369" s="230"/>
      <c r="G369" s="231">
        <f>'CS C C1-3'!G369</f>
        <v>0</v>
      </c>
      <c r="H369" s="231">
        <f>'CS C C1-3'!H369</f>
        <v>0</v>
      </c>
      <c r="I369" s="232">
        <f>'CS C C1-3'!I369</f>
        <v>0</v>
      </c>
      <c r="J369" s="233" t="s">
        <v>16</v>
      </c>
      <c r="K369" s="233" t="s">
        <v>68</v>
      </c>
      <c r="L369" s="237">
        <v>0.75</v>
      </c>
      <c r="M369" s="235">
        <f>I369*L369*$K$576</f>
        <v>0</v>
      </c>
      <c r="N369" s="228" t="s">
        <v>69</v>
      </c>
      <c r="O369" s="236" t="s">
        <v>543</v>
      </c>
      <c r="P369" s="236" t="s">
        <v>711</v>
      </c>
    </row>
    <row r="370" spans="1:16" hidden="1">
      <c r="A370" s="105"/>
      <c r="B370" s="105"/>
      <c r="C370" s="132"/>
      <c r="D370" s="125"/>
      <c r="E370" s="118"/>
      <c r="F370" s="124"/>
      <c r="G370" s="118"/>
      <c r="H370" s="118"/>
      <c r="I370" s="117"/>
      <c r="J370" s="117"/>
      <c r="K370" s="117"/>
      <c r="L370" s="117"/>
      <c r="M370" s="117"/>
      <c r="N370" s="120"/>
    </row>
    <row r="371" spans="1:16" hidden="1">
      <c r="A371" s="105"/>
      <c r="B371" s="105"/>
      <c r="C371" s="132"/>
      <c r="D371" s="125"/>
      <c r="E371" s="118"/>
      <c r="F371" s="124"/>
      <c r="G371" s="118"/>
      <c r="H371" s="118"/>
      <c r="I371" s="117"/>
      <c r="J371" s="117"/>
      <c r="K371" s="117"/>
      <c r="L371" s="117"/>
      <c r="M371" s="117"/>
      <c r="N371" s="120"/>
    </row>
    <row r="372" spans="1:16" hidden="1">
      <c r="A372" s="105"/>
      <c r="B372" s="105"/>
      <c r="C372" s="132"/>
      <c r="D372" s="125"/>
      <c r="E372" s="118"/>
      <c r="F372" s="124"/>
      <c r="G372" s="118"/>
      <c r="H372" s="118"/>
      <c r="I372" s="117"/>
      <c r="J372" s="117"/>
      <c r="K372" s="117"/>
      <c r="L372" s="117"/>
      <c r="M372" s="117"/>
      <c r="N372" s="120"/>
    </row>
    <row r="373" spans="1:16" hidden="1">
      <c r="D373" s="101"/>
      <c r="E373" s="101"/>
      <c r="G373" s="101"/>
      <c r="H373" s="101"/>
      <c r="I373" s="101"/>
      <c r="J373" s="101"/>
      <c r="M373" s="101"/>
    </row>
    <row r="374" spans="1:16" hidden="1">
      <c r="A374" s="109" t="str">
        <f>$A$4</f>
        <v xml:space="preserve">Please fill in Supplier Name </v>
      </c>
      <c r="B374" s="109" t="s">
        <v>72</v>
      </c>
      <c r="C374" s="115" t="s">
        <v>730</v>
      </c>
      <c r="D374" s="110"/>
      <c r="E374" s="110"/>
      <c r="F374" s="111"/>
      <c r="G374" s="112">
        <f>SUM(G375:G377)</f>
        <v>0</v>
      </c>
      <c r="H374" s="112">
        <f>SUM(H375:H377)</f>
        <v>0</v>
      </c>
      <c r="I374" s="113">
        <f>SUM(G374:H374)</f>
        <v>0</v>
      </c>
      <c r="J374" s="114" t="s">
        <v>16</v>
      </c>
      <c r="K374" s="114" t="s">
        <v>27</v>
      </c>
      <c r="L374" s="145">
        <v>2</v>
      </c>
      <c r="M374" s="144">
        <f>I374*L374</f>
        <v>0</v>
      </c>
      <c r="N374" s="115"/>
      <c r="O374" s="116" t="s">
        <v>544</v>
      </c>
      <c r="P374" s="116" t="s">
        <v>711</v>
      </c>
    </row>
    <row r="375" spans="1:16" hidden="1">
      <c r="A375" s="105"/>
      <c r="B375" s="105"/>
      <c r="C375" s="131" t="s">
        <v>731</v>
      </c>
      <c r="D375" s="121">
        <v>500</v>
      </c>
      <c r="E375" s="117" t="s">
        <v>559</v>
      </c>
      <c r="F375" s="122"/>
      <c r="G375" s="117"/>
      <c r="H375" s="117"/>
      <c r="I375" s="117"/>
      <c r="J375" s="117"/>
      <c r="K375" s="117"/>
      <c r="L375" s="117"/>
      <c r="M375" s="117"/>
      <c r="N375" s="120"/>
    </row>
    <row r="376" spans="1:16" hidden="1">
      <c r="A376" s="105"/>
      <c r="B376" s="105"/>
      <c r="C376" s="131"/>
      <c r="D376" s="121"/>
      <c r="E376" s="117"/>
      <c r="F376" s="122"/>
      <c r="G376" s="117"/>
      <c r="H376" s="117"/>
      <c r="I376" s="117"/>
      <c r="J376" s="117"/>
      <c r="K376" s="117"/>
      <c r="L376" s="117"/>
      <c r="M376" s="117"/>
      <c r="N376" s="120"/>
    </row>
    <row r="377" spans="1:16" hidden="1">
      <c r="A377" s="105"/>
      <c r="B377" s="105"/>
      <c r="C377" s="131"/>
      <c r="D377" s="121"/>
      <c r="E377" s="117"/>
      <c r="F377" s="122"/>
      <c r="G377" s="117"/>
      <c r="H377" s="117"/>
      <c r="I377" s="117"/>
      <c r="J377" s="117"/>
      <c r="K377" s="117"/>
      <c r="L377" s="117"/>
      <c r="M377" s="117"/>
      <c r="N377" s="120"/>
    </row>
    <row r="378" spans="1:16" hidden="1">
      <c r="D378" s="101"/>
      <c r="E378" s="101"/>
      <c r="G378" s="101"/>
      <c r="H378" s="101"/>
      <c r="I378" s="101"/>
      <c r="J378" s="101"/>
      <c r="M378" s="101"/>
    </row>
    <row r="379" spans="1:16">
      <c r="A379" s="185" t="str">
        <f>$A$4</f>
        <v xml:space="preserve">Please fill in Supplier Name </v>
      </c>
      <c r="B379" s="185" t="s">
        <v>732</v>
      </c>
      <c r="C379" s="186" t="s">
        <v>733</v>
      </c>
      <c r="D379" s="187"/>
      <c r="E379" s="187"/>
      <c r="F379" s="188"/>
      <c r="G379" s="189">
        <f>'CS C C1-3'!G379</f>
        <v>0</v>
      </c>
      <c r="H379" s="189">
        <f>'CS C C1-3'!H379</f>
        <v>0</v>
      </c>
      <c r="I379" s="190">
        <f>'CS C C1-3'!I379</f>
        <v>0</v>
      </c>
      <c r="J379" s="191" t="s">
        <v>16</v>
      </c>
      <c r="K379" s="191" t="s">
        <v>27</v>
      </c>
      <c r="L379" s="192">
        <v>2</v>
      </c>
      <c r="M379" s="193">
        <f>I379*L379</f>
        <v>0</v>
      </c>
      <c r="N379" s="186"/>
      <c r="O379" s="194" t="s">
        <v>532</v>
      </c>
      <c r="P379" s="194" t="s">
        <v>711</v>
      </c>
    </row>
    <row r="380" spans="1:16" hidden="1">
      <c r="A380" s="105"/>
      <c r="B380" s="105"/>
      <c r="C380" s="132"/>
      <c r="D380" s="125"/>
      <c r="E380" s="118"/>
      <c r="F380" s="124"/>
      <c r="G380" s="118"/>
      <c r="H380" s="118"/>
      <c r="I380" s="117"/>
      <c r="J380" s="117"/>
      <c r="K380" s="117"/>
      <c r="L380" s="117"/>
      <c r="M380" s="117"/>
      <c r="N380" s="120"/>
    </row>
    <row r="381" spans="1:16" hidden="1">
      <c r="A381" s="105"/>
      <c r="B381" s="105"/>
      <c r="C381" s="132"/>
      <c r="D381" s="125"/>
      <c r="E381" s="118"/>
      <c r="F381" s="124"/>
      <c r="G381" s="118"/>
      <c r="H381" s="118"/>
      <c r="I381" s="117"/>
      <c r="J381" s="117"/>
      <c r="K381" s="117"/>
      <c r="L381" s="117"/>
      <c r="M381" s="117"/>
      <c r="N381" s="120"/>
    </row>
    <row r="382" spans="1:16" hidden="1">
      <c r="A382" s="105"/>
      <c r="B382" s="105"/>
      <c r="C382" s="132"/>
      <c r="D382" s="125"/>
      <c r="E382" s="118"/>
      <c r="F382" s="124"/>
      <c r="G382" s="118"/>
      <c r="H382" s="118"/>
      <c r="I382" s="117"/>
      <c r="J382" s="117"/>
      <c r="K382" s="117"/>
      <c r="L382" s="117"/>
      <c r="M382" s="117"/>
      <c r="N382" s="120"/>
    </row>
    <row r="383" spans="1:16" hidden="1">
      <c r="D383" s="101"/>
      <c r="E383" s="101"/>
      <c r="G383" s="101"/>
      <c r="H383" s="101"/>
      <c r="I383" s="101"/>
      <c r="J383" s="101"/>
      <c r="M383" s="101"/>
    </row>
    <row r="384" spans="1:16">
      <c r="A384" s="227" t="str">
        <f>$A$4</f>
        <v xml:space="preserve">Please fill in Supplier Name </v>
      </c>
      <c r="B384" s="227" t="s">
        <v>735</v>
      </c>
      <c r="C384" s="228" t="s">
        <v>736</v>
      </c>
      <c r="D384" s="229"/>
      <c r="E384" s="229"/>
      <c r="F384" s="230"/>
      <c r="G384" s="231">
        <f>'CS C C1-3'!G384</f>
        <v>0</v>
      </c>
      <c r="H384" s="231">
        <f>'CS C C1-3'!H384</f>
        <v>0</v>
      </c>
      <c r="I384" s="232">
        <f>'CS C C1-3'!I384</f>
        <v>0</v>
      </c>
      <c r="J384" s="233" t="s">
        <v>16</v>
      </c>
      <c r="K384" s="233" t="s">
        <v>27</v>
      </c>
      <c r="L384" s="234">
        <v>2</v>
      </c>
      <c r="M384" s="235">
        <f>I384*L384</f>
        <v>0</v>
      </c>
      <c r="N384" s="228"/>
      <c r="O384" s="236" t="s">
        <v>543</v>
      </c>
      <c r="P384" s="236" t="s">
        <v>711</v>
      </c>
    </row>
    <row r="385" spans="1:17" hidden="1">
      <c r="A385" s="105"/>
      <c r="B385" s="105"/>
      <c r="C385" s="132"/>
      <c r="D385" s="125"/>
      <c r="E385" s="118"/>
      <c r="F385" s="124"/>
      <c r="G385" s="118"/>
      <c r="H385" s="118"/>
      <c r="I385" s="117"/>
      <c r="J385" s="117"/>
      <c r="K385" s="117"/>
      <c r="L385" s="117"/>
      <c r="M385" s="117"/>
      <c r="N385" s="120"/>
    </row>
    <row r="386" spans="1:17" hidden="1">
      <c r="A386" s="105"/>
      <c r="B386" s="105"/>
      <c r="C386" s="132"/>
      <c r="D386" s="125"/>
      <c r="E386" s="118"/>
      <c r="F386" s="124"/>
      <c r="G386" s="118"/>
      <c r="H386" s="118"/>
      <c r="I386" s="117"/>
      <c r="J386" s="117"/>
      <c r="K386" s="117"/>
      <c r="L386" s="117"/>
      <c r="M386" s="117"/>
      <c r="N386" s="120"/>
    </row>
    <row r="387" spans="1:17" hidden="1">
      <c r="A387" s="105"/>
      <c r="B387" s="105"/>
      <c r="C387" s="132"/>
      <c r="D387" s="125"/>
      <c r="E387" s="118"/>
      <c r="F387" s="124"/>
      <c r="G387" s="118"/>
      <c r="H387" s="118"/>
      <c r="I387" s="117"/>
      <c r="J387" s="117"/>
      <c r="K387" s="117"/>
      <c r="L387" s="117"/>
      <c r="M387" s="117"/>
      <c r="N387" s="120"/>
    </row>
    <row r="388" spans="1:17" hidden="1">
      <c r="D388" s="101"/>
      <c r="E388" s="101"/>
      <c r="G388" s="101"/>
      <c r="H388" s="101"/>
      <c r="I388" s="101"/>
      <c r="J388" s="101"/>
      <c r="M388" s="101"/>
    </row>
    <row r="389" spans="1:17" hidden="1">
      <c r="A389" s="109" t="str">
        <f>$A$4</f>
        <v xml:space="preserve">Please fill in Supplier Name </v>
      </c>
      <c r="B389" s="109" t="s">
        <v>152</v>
      </c>
      <c r="C389" s="115" t="s">
        <v>737</v>
      </c>
      <c r="D389" s="110"/>
      <c r="E389" s="110"/>
      <c r="F389" s="111"/>
      <c r="G389" s="112">
        <f>SUM(G390:G392)</f>
        <v>0</v>
      </c>
      <c r="H389" s="112">
        <f>SUM(H390:H392)</f>
        <v>0</v>
      </c>
      <c r="I389" s="113">
        <f>SUM(G389:H389)</f>
        <v>0</v>
      </c>
      <c r="J389" s="114" t="s">
        <v>16</v>
      </c>
      <c r="K389" s="114" t="s">
        <v>59</v>
      </c>
      <c r="L389" s="166">
        <v>0.6</v>
      </c>
      <c r="M389" s="144">
        <f>I389*L389*$K$576</f>
        <v>0</v>
      </c>
      <c r="N389" s="115" t="s">
        <v>69</v>
      </c>
      <c r="O389" s="116" t="s">
        <v>544</v>
      </c>
      <c r="P389" s="116" t="s">
        <v>738</v>
      </c>
    </row>
    <row r="390" spans="1:17" hidden="1">
      <c r="A390" s="105"/>
      <c r="B390" s="105"/>
      <c r="C390" s="131" t="s">
        <v>739</v>
      </c>
      <c r="D390" s="121">
        <v>40</v>
      </c>
      <c r="E390" s="117" t="s">
        <v>559</v>
      </c>
      <c r="F390" s="122"/>
      <c r="G390" s="117"/>
      <c r="H390" s="117"/>
      <c r="I390" s="117"/>
      <c r="J390" s="117"/>
      <c r="K390" s="117"/>
      <c r="L390" s="117"/>
      <c r="M390" s="117"/>
      <c r="N390" s="120"/>
      <c r="Q390" s="101" t="s">
        <v>740</v>
      </c>
    </row>
    <row r="391" spans="1:17" hidden="1">
      <c r="A391" s="105"/>
      <c r="B391" s="105"/>
      <c r="C391" s="131" t="s">
        <v>741</v>
      </c>
      <c r="D391" s="121">
        <v>40</v>
      </c>
      <c r="E391" s="117" t="s">
        <v>559</v>
      </c>
      <c r="F391" s="122"/>
      <c r="G391" s="117"/>
      <c r="H391" s="117"/>
      <c r="I391" s="117"/>
      <c r="J391" s="117"/>
      <c r="K391" s="117"/>
      <c r="L391" s="117"/>
      <c r="M391" s="117"/>
      <c r="N391" s="120"/>
    </row>
    <row r="392" spans="1:17" hidden="1">
      <c r="A392" s="105"/>
      <c r="B392" s="105"/>
      <c r="C392" s="131"/>
      <c r="D392" s="121"/>
      <c r="E392" s="117"/>
      <c r="F392" s="122"/>
      <c r="G392" s="117"/>
      <c r="H392" s="117"/>
      <c r="I392" s="117"/>
      <c r="J392" s="117"/>
      <c r="K392" s="117"/>
      <c r="L392" s="117"/>
      <c r="M392" s="117"/>
      <c r="N392" s="120"/>
    </row>
    <row r="393" spans="1:17" hidden="1">
      <c r="D393" s="101"/>
      <c r="E393" s="101"/>
      <c r="G393" s="101"/>
      <c r="H393" s="101"/>
      <c r="I393" s="101"/>
      <c r="J393" s="101"/>
      <c r="M393" s="101"/>
    </row>
    <row r="394" spans="1:17">
      <c r="A394" s="185" t="str">
        <f>$A$4</f>
        <v xml:space="preserve">Please fill in Supplier Name </v>
      </c>
      <c r="B394" s="185" t="s">
        <v>742</v>
      </c>
      <c r="C394" s="186" t="s">
        <v>743</v>
      </c>
      <c r="D394" s="187"/>
      <c r="E394" s="187"/>
      <c r="F394" s="188"/>
      <c r="G394" s="189">
        <f>'CS C C1-3'!G394</f>
        <v>0</v>
      </c>
      <c r="H394" s="189">
        <f>'CS C C1-3'!H394</f>
        <v>0</v>
      </c>
      <c r="I394" s="190">
        <f>'CS C C1-3'!I394</f>
        <v>0</v>
      </c>
      <c r="J394" s="191" t="s">
        <v>16</v>
      </c>
      <c r="K394" s="191" t="s">
        <v>59</v>
      </c>
      <c r="L394" s="195">
        <v>0.6</v>
      </c>
      <c r="M394" s="193">
        <f>I394*L394*$K$576</f>
        <v>0</v>
      </c>
      <c r="N394" s="186" t="s">
        <v>69</v>
      </c>
      <c r="O394" s="194" t="s">
        <v>532</v>
      </c>
      <c r="P394" s="194" t="s">
        <v>738</v>
      </c>
    </row>
    <row r="395" spans="1:17" hidden="1">
      <c r="A395" s="105"/>
      <c r="B395" s="105"/>
      <c r="C395" s="132"/>
      <c r="D395" s="125"/>
      <c r="E395" s="118"/>
      <c r="F395" s="124"/>
      <c r="G395" s="118"/>
      <c r="H395" s="118"/>
      <c r="I395" s="117"/>
      <c r="J395" s="117"/>
      <c r="K395" s="117"/>
      <c r="L395" s="117"/>
      <c r="M395" s="117"/>
      <c r="N395" s="120"/>
      <c r="Q395" s="101" t="s">
        <v>740</v>
      </c>
    </row>
    <row r="396" spans="1:17" hidden="1">
      <c r="A396" s="105"/>
      <c r="B396" s="105"/>
      <c r="C396" s="132"/>
      <c r="D396" s="125"/>
      <c r="E396" s="118"/>
      <c r="F396" s="124"/>
      <c r="G396" s="118"/>
      <c r="H396" s="118"/>
      <c r="I396" s="117"/>
      <c r="J396" s="117"/>
      <c r="K396" s="117"/>
      <c r="L396" s="117"/>
      <c r="M396" s="117"/>
      <c r="N396" s="120"/>
    </row>
    <row r="397" spans="1:17" hidden="1">
      <c r="A397" s="105"/>
      <c r="B397" s="105"/>
      <c r="C397" s="132"/>
      <c r="D397" s="125"/>
      <c r="E397" s="118"/>
      <c r="F397" s="124"/>
      <c r="G397" s="118"/>
      <c r="H397" s="118"/>
      <c r="I397" s="117"/>
      <c r="J397" s="117"/>
      <c r="K397" s="117"/>
      <c r="L397" s="117"/>
      <c r="M397" s="117"/>
      <c r="N397" s="120"/>
    </row>
    <row r="398" spans="1:17" hidden="1">
      <c r="D398" s="101"/>
      <c r="E398" s="101"/>
      <c r="G398" s="101"/>
      <c r="H398" s="101"/>
      <c r="I398" s="101"/>
      <c r="J398" s="101"/>
      <c r="M398" s="101"/>
    </row>
    <row r="399" spans="1:17">
      <c r="A399" s="227" t="str">
        <f>$A$4</f>
        <v xml:space="preserve">Please fill in Supplier Name </v>
      </c>
      <c r="B399" s="227" t="s">
        <v>745</v>
      </c>
      <c r="C399" s="228" t="s">
        <v>746</v>
      </c>
      <c r="D399" s="229"/>
      <c r="E399" s="229"/>
      <c r="F399" s="230"/>
      <c r="G399" s="231">
        <f>'CS C C1-3'!G399</f>
        <v>0</v>
      </c>
      <c r="H399" s="231">
        <f>'CS C C1-3'!H399</f>
        <v>0</v>
      </c>
      <c r="I399" s="232">
        <f>'CS C C1-3'!I399</f>
        <v>0</v>
      </c>
      <c r="J399" s="233" t="s">
        <v>16</v>
      </c>
      <c r="K399" s="233" t="s">
        <v>59</v>
      </c>
      <c r="L399" s="237">
        <v>0.6</v>
      </c>
      <c r="M399" s="235">
        <f>I399*L399*$K$576</f>
        <v>0</v>
      </c>
      <c r="N399" s="228" t="s">
        <v>69</v>
      </c>
      <c r="O399" s="236" t="s">
        <v>543</v>
      </c>
      <c r="P399" s="236" t="s">
        <v>738</v>
      </c>
    </row>
    <row r="400" spans="1:17" hidden="1">
      <c r="A400" s="105"/>
      <c r="B400" s="105"/>
      <c r="C400" s="132"/>
      <c r="D400" s="125"/>
      <c r="E400" s="118"/>
      <c r="F400" s="124"/>
      <c r="G400" s="118"/>
      <c r="H400" s="118"/>
      <c r="I400" s="117"/>
      <c r="J400" s="117"/>
      <c r="K400" s="117"/>
      <c r="L400" s="117"/>
      <c r="M400" s="117"/>
      <c r="N400" s="120"/>
      <c r="Q400" s="101" t="s">
        <v>740</v>
      </c>
    </row>
    <row r="401" spans="1:16" hidden="1">
      <c r="A401" s="105"/>
      <c r="B401" s="105"/>
      <c r="C401" s="132"/>
      <c r="D401" s="125"/>
      <c r="E401" s="118"/>
      <c r="F401" s="124"/>
      <c r="G401" s="118"/>
      <c r="H401" s="118"/>
      <c r="I401" s="117"/>
      <c r="J401" s="117"/>
      <c r="K401" s="117"/>
      <c r="L401" s="117"/>
      <c r="M401" s="117"/>
      <c r="N401" s="120"/>
    </row>
    <row r="402" spans="1:16" hidden="1">
      <c r="A402" s="105"/>
      <c r="B402" s="105"/>
      <c r="C402" s="132"/>
      <c r="D402" s="125"/>
      <c r="E402" s="118"/>
      <c r="F402" s="124"/>
      <c r="G402" s="118"/>
      <c r="H402" s="118"/>
      <c r="I402" s="117"/>
      <c r="J402" s="117"/>
      <c r="K402" s="117"/>
      <c r="L402" s="117"/>
      <c r="M402" s="117"/>
      <c r="N402" s="120"/>
    </row>
    <row r="403" spans="1:16" hidden="1">
      <c r="D403" s="101"/>
      <c r="E403" s="101"/>
      <c r="G403" s="101"/>
      <c r="H403" s="101"/>
      <c r="I403" s="101"/>
      <c r="J403" s="101"/>
      <c r="M403" s="101"/>
    </row>
    <row r="404" spans="1:16" hidden="1">
      <c r="A404" s="109" t="str">
        <f>$A$4</f>
        <v xml:space="preserve">Please fill in Supplier Name </v>
      </c>
      <c r="B404" s="109" t="s">
        <v>154</v>
      </c>
      <c r="C404" s="115" t="s">
        <v>747</v>
      </c>
      <c r="D404" s="110"/>
      <c r="E404" s="110"/>
      <c r="F404" s="111"/>
      <c r="G404" s="112">
        <f>SUM(G405:G407)</f>
        <v>0</v>
      </c>
      <c r="H404" s="112">
        <f>SUM(H405:H407)</f>
        <v>0</v>
      </c>
      <c r="I404" s="113">
        <f>SUM(G404:H404)</f>
        <v>0</v>
      </c>
      <c r="J404" s="114" t="s">
        <v>16</v>
      </c>
      <c r="K404" s="114">
        <v>1</v>
      </c>
      <c r="L404" s="166">
        <v>1</v>
      </c>
      <c r="M404" s="144">
        <f>I404*L404</f>
        <v>0</v>
      </c>
      <c r="N404" s="115" t="s">
        <v>69</v>
      </c>
      <c r="O404" s="116" t="s">
        <v>544</v>
      </c>
      <c r="P404" s="116" t="s">
        <v>748</v>
      </c>
    </row>
    <row r="405" spans="1:16" hidden="1">
      <c r="A405" s="105"/>
      <c r="B405" s="105"/>
      <c r="C405" s="131" t="s">
        <v>748</v>
      </c>
      <c r="D405" s="121">
        <v>30</v>
      </c>
      <c r="E405" s="117" t="s">
        <v>559</v>
      </c>
      <c r="F405" s="122"/>
      <c r="G405" s="117"/>
      <c r="H405" s="117"/>
      <c r="I405" s="117"/>
      <c r="J405" s="117"/>
      <c r="K405" s="117"/>
      <c r="L405" s="117"/>
      <c r="M405" s="117"/>
      <c r="N405" s="120"/>
    </row>
    <row r="406" spans="1:16" hidden="1">
      <c r="A406" s="105"/>
      <c r="B406" s="105"/>
      <c r="C406" s="131"/>
      <c r="D406" s="121"/>
      <c r="E406" s="117"/>
      <c r="F406" s="122"/>
      <c r="G406" s="117"/>
      <c r="H406" s="117"/>
      <c r="I406" s="117"/>
      <c r="J406" s="117"/>
      <c r="K406" s="117"/>
      <c r="L406" s="117"/>
      <c r="M406" s="117"/>
      <c r="N406" s="120"/>
    </row>
    <row r="407" spans="1:16" hidden="1">
      <c r="A407" s="105"/>
      <c r="B407" s="105"/>
      <c r="C407" s="131"/>
      <c r="D407" s="121"/>
      <c r="E407" s="117"/>
      <c r="F407" s="122"/>
      <c r="G407" s="117"/>
      <c r="H407" s="117"/>
      <c r="I407" s="117"/>
      <c r="J407" s="117"/>
      <c r="K407" s="117"/>
      <c r="L407" s="117"/>
      <c r="M407" s="117"/>
      <c r="N407" s="120"/>
    </row>
    <row r="408" spans="1:16" hidden="1">
      <c r="D408" s="101"/>
      <c r="E408" s="101"/>
      <c r="G408" s="101"/>
      <c r="H408" s="101"/>
      <c r="I408" s="101"/>
      <c r="J408" s="101"/>
      <c r="M408" s="101"/>
    </row>
    <row r="409" spans="1:16">
      <c r="A409" s="185" t="str">
        <f>$A$4</f>
        <v xml:space="preserve">Please fill in Supplier Name </v>
      </c>
      <c r="B409" s="185" t="s">
        <v>749</v>
      </c>
      <c r="C409" s="186" t="s">
        <v>750</v>
      </c>
      <c r="D409" s="187"/>
      <c r="E409" s="187"/>
      <c r="F409" s="188"/>
      <c r="G409" s="189">
        <f>'CS C C1-3'!G409</f>
        <v>0</v>
      </c>
      <c r="H409" s="189">
        <f>'CS C C1-3'!H409</f>
        <v>0</v>
      </c>
      <c r="I409" s="190">
        <f>'CS C C1-3'!I409</f>
        <v>0</v>
      </c>
      <c r="J409" s="191" t="s">
        <v>16</v>
      </c>
      <c r="K409" s="191">
        <v>1</v>
      </c>
      <c r="L409" s="195">
        <v>1</v>
      </c>
      <c r="M409" s="193">
        <f>I409*L409*$K$576</f>
        <v>0</v>
      </c>
      <c r="N409" s="186" t="s">
        <v>69</v>
      </c>
      <c r="O409" s="194" t="s">
        <v>532</v>
      </c>
      <c r="P409" s="194" t="s">
        <v>748</v>
      </c>
    </row>
    <row r="410" spans="1:16" hidden="1">
      <c r="A410" s="105"/>
      <c r="B410" s="105"/>
      <c r="C410" s="132"/>
      <c r="D410" s="125"/>
      <c r="E410" s="118"/>
      <c r="F410" s="124"/>
      <c r="G410" s="118"/>
      <c r="H410" s="118"/>
      <c r="I410" s="117"/>
      <c r="J410" s="117"/>
      <c r="K410" s="117"/>
      <c r="L410" s="117"/>
      <c r="M410" s="117"/>
      <c r="N410" s="120"/>
    </row>
    <row r="411" spans="1:16" hidden="1">
      <c r="A411" s="105"/>
      <c r="B411" s="105"/>
      <c r="C411" s="132"/>
      <c r="D411" s="125"/>
      <c r="E411" s="118"/>
      <c r="F411" s="124"/>
      <c r="G411" s="118"/>
      <c r="H411" s="118"/>
      <c r="I411" s="117"/>
      <c r="J411" s="117"/>
      <c r="K411" s="117"/>
      <c r="L411" s="117"/>
      <c r="M411" s="117"/>
      <c r="N411" s="120"/>
    </row>
    <row r="412" spans="1:16" hidden="1">
      <c r="A412" s="105"/>
      <c r="B412" s="105"/>
      <c r="C412" s="132"/>
      <c r="D412" s="125"/>
      <c r="E412" s="118"/>
      <c r="F412" s="124"/>
      <c r="G412" s="118"/>
      <c r="H412" s="118"/>
      <c r="I412" s="117"/>
      <c r="J412" s="117"/>
      <c r="K412" s="117"/>
      <c r="L412" s="117"/>
      <c r="M412" s="117"/>
      <c r="N412" s="120"/>
    </row>
    <row r="413" spans="1:16" hidden="1">
      <c r="D413" s="101"/>
      <c r="E413" s="101"/>
      <c r="G413" s="101"/>
      <c r="H413" s="101"/>
      <c r="I413" s="101"/>
      <c r="J413" s="101"/>
      <c r="M413" s="101"/>
    </row>
    <row r="414" spans="1:16">
      <c r="A414" s="227" t="str">
        <f>$A$4</f>
        <v xml:space="preserve">Please fill in Supplier Name </v>
      </c>
      <c r="B414" s="227" t="s">
        <v>752</v>
      </c>
      <c r="C414" s="228" t="s">
        <v>753</v>
      </c>
      <c r="D414" s="229"/>
      <c r="E414" s="229"/>
      <c r="F414" s="230"/>
      <c r="G414" s="231">
        <f>'CS C C1-3'!G414</f>
        <v>0</v>
      </c>
      <c r="H414" s="231">
        <f>'CS C C1-3'!H414</f>
        <v>0</v>
      </c>
      <c r="I414" s="232">
        <f>'CS C C1-3'!I414</f>
        <v>0</v>
      </c>
      <c r="J414" s="233" t="s">
        <v>16</v>
      </c>
      <c r="K414" s="233">
        <v>1</v>
      </c>
      <c r="L414" s="237">
        <v>1</v>
      </c>
      <c r="M414" s="235">
        <f>I414*L414*$K$576</f>
        <v>0</v>
      </c>
      <c r="N414" s="228" t="s">
        <v>69</v>
      </c>
      <c r="O414" s="236" t="s">
        <v>543</v>
      </c>
      <c r="P414" s="236" t="s">
        <v>748</v>
      </c>
    </row>
    <row r="415" spans="1:16" hidden="1">
      <c r="A415" s="105"/>
      <c r="B415" s="105"/>
      <c r="C415" s="132"/>
      <c r="D415" s="125"/>
      <c r="E415" s="118"/>
      <c r="F415" s="124"/>
      <c r="G415" s="118"/>
      <c r="H415" s="118"/>
      <c r="I415" s="117"/>
      <c r="J415" s="117"/>
      <c r="K415" s="117"/>
      <c r="L415" s="117"/>
      <c r="M415" s="117"/>
      <c r="N415" s="120"/>
    </row>
    <row r="416" spans="1:16" hidden="1">
      <c r="A416" s="105"/>
      <c r="B416" s="105"/>
      <c r="C416" s="132"/>
      <c r="D416" s="125"/>
      <c r="E416" s="118"/>
      <c r="F416" s="124"/>
      <c r="G416" s="118"/>
      <c r="H416" s="118"/>
      <c r="I416" s="117"/>
      <c r="J416" s="117"/>
      <c r="K416" s="117"/>
      <c r="L416" s="117"/>
      <c r="M416" s="117"/>
      <c r="N416" s="120"/>
    </row>
    <row r="417" spans="1:16" hidden="1">
      <c r="A417" s="105"/>
      <c r="B417" s="105"/>
      <c r="C417" s="132"/>
      <c r="D417" s="125"/>
      <c r="E417" s="118"/>
      <c r="F417" s="124"/>
      <c r="G417" s="118"/>
      <c r="H417" s="118"/>
      <c r="I417" s="117"/>
      <c r="J417" s="117"/>
      <c r="K417" s="117"/>
      <c r="L417" s="117"/>
      <c r="M417" s="117"/>
      <c r="N417" s="120"/>
    </row>
    <row r="418" spans="1:16" hidden="1">
      <c r="D418" s="101"/>
      <c r="E418" s="101"/>
      <c r="G418" s="101"/>
      <c r="H418" s="101"/>
      <c r="I418" s="101"/>
      <c r="J418" s="101"/>
      <c r="M418" s="101"/>
    </row>
    <row r="419" spans="1:16">
      <c r="A419" s="185" t="str">
        <f>$A$4</f>
        <v xml:space="preserve">Please fill in Supplier Name </v>
      </c>
      <c r="B419" s="185" t="s">
        <v>755</v>
      </c>
      <c r="C419" s="186" t="s">
        <v>132</v>
      </c>
      <c r="D419" s="187"/>
      <c r="E419" s="187"/>
      <c r="F419" s="188"/>
      <c r="G419" s="189">
        <f>'CS C C1-3'!G419</f>
        <v>0</v>
      </c>
      <c r="H419" s="189">
        <f>'CS C C1-3'!H419</f>
        <v>0.53999999999999992</v>
      </c>
      <c r="I419" s="190">
        <f>'CS C C1-3'!I419</f>
        <v>0.53999999999999992</v>
      </c>
      <c r="J419" s="191" t="s">
        <v>16</v>
      </c>
      <c r="K419" s="191">
        <v>1</v>
      </c>
      <c r="L419" s="195">
        <v>1</v>
      </c>
      <c r="M419" s="193">
        <f>I419*L419*$K$576</f>
        <v>18.359999999999996</v>
      </c>
      <c r="N419" s="186"/>
      <c r="O419" s="194" t="s">
        <v>532</v>
      </c>
      <c r="P419" s="194" t="s">
        <v>756</v>
      </c>
    </row>
    <row r="420" spans="1:16" hidden="1">
      <c r="A420" s="105"/>
      <c r="B420" s="105"/>
      <c r="C420" s="131" t="s">
        <v>757</v>
      </c>
      <c r="D420" s="121">
        <v>1</v>
      </c>
      <c r="E420" s="117"/>
      <c r="F420" s="122"/>
      <c r="G420" s="117">
        <v>0</v>
      </c>
      <c r="H420" s="118"/>
      <c r="I420" s="117"/>
      <c r="J420" s="117"/>
      <c r="K420" s="117"/>
      <c r="L420" s="117"/>
      <c r="M420" s="117"/>
      <c r="N420" s="120">
        <v>971168</v>
      </c>
    </row>
    <row r="421" spans="1:16" hidden="1">
      <c r="A421" s="105"/>
      <c r="B421" s="105"/>
      <c r="C421" s="131" t="s">
        <v>758</v>
      </c>
      <c r="D421" s="121">
        <v>1</v>
      </c>
      <c r="E421" s="117"/>
      <c r="F421" s="122"/>
      <c r="G421" s="117">
        <v>0</v>
      </c>
      <c r="H421" s="118"/>
      <c r="I421" s="117"/>
      <c r="J421" s="117"/>
      <c r="K421" s="117"/>
      <c r="L421" s="117"/>
      <c r="M421" s="117"/>
      <c r="N421" s="120">
        <v>973186</v>
      </c>
    </row>
    <row r="422" spans="1:16" hidden="1">
      <c r="A422" s="105"/>
      <c r="B422" s="105"/>
      <c r="C422" s="131" t="s">
        <v>759</v>
      </c>
      <c r="D422" s="121">
        <v>1</v>
      </c>
      <c r="E422" s="117"/>
      <c r="F422" s="122"/>
      <c r="G422" s="117">
        <v>0</v>
      </c>
      <c r="H422" s="118"/>
      <c r="I422" s="117"/>
      <c r="J422" s="117"/>
      <c r="K422" s="117"/>
      <c r="L422" s="117"/>
      <c r="M422" s="117"/>
      <c r="N422" s="120">
        <v>971050</v>
      </c>
    </row>
    <row r="423" spans="1:16" hidden="1">
      <c r="A423" s="105"/>
      <c r="B423" s="105"/>
      <c r="C423" s="131" t="s">
        <v>760</v>
      </c>
      <c r="D423" s="121">
        <v>1</v>
      </c>
      <c r="E423" s="117"/>
      <c r="F423" s="122"/>
      <c r="G423" s="117">
        <v>0</v>
      </c>
      <c r="H423" s="118"/>
      <c r="I423" s="117"/>
      <c r="J423" s="117"/>
      <c r="K423" s="117"/>
      <c r="L423" s="117"/>
      <c r="M423" s="117"/>
      <c r="N423" s="120">
        <v>971051</v>
      </c>
    </row>
    <row r="424" spans="1:16" hidden="1">
      <c r="A424" s="105"/>
      <c r="B424" s="105"/>
      <c r="C424" s="131" t="s">
        <v>761</v>
      </c>
      <c r="D424" s="121">
        <v>1</v>
      </c>
      <c r="E424" s="117"/>
      <c r="F424" s="122"/>
      <c r="G424" s="117">
        <v>0</v>
      </c>
      <c r="H424" s="118"/>
      <c r="I424" s="117"/>
      <c r="J424" s="117"/>
      <c r="K424" s="117"/>
      <c r="L424" s="117"/>
      <c r="M424" s="117"/>
      <c r="N424" s="120">
        <v>973151</v>
      </c>
    </row>
    <row r="425" spans="1:16" hidden="1">
      <c r="A425" s="105"/>
      <c r="B425" s="105"/>
      <c r="C425" s="131" t="s">
        <v>762</v>
      </c>
      <c r="D425" s="121">
        <v>1</v>
      </c>
      <c r="E425" s="117"/>
      <c r="F425" s="122"/>
      <c r="G425" s="117">
        <v>0</v>
      </c>
      <c r="H425" s="118"/>
      <c r="I425" s="117"/>
      <c r="J425" s="117"/>
      <c r="K425" s="117"/>
      <c r="L425" s="117"/>
      <c r="M425" s="117"/>
      <c r="N425" s="120">
        <v>971055</v>
      </c>
    </row>
    <row r="426" spans="1:16" hidden="1">
      <c r="A426" s="105"/>
      <c r="B426" s="105"/>
      <c r="C426" s="131" t="s">
        <v>763</v>
      </c>
      <c r="D426" s="121">
        <v>1</v>
      </c>
      <c r="E426" s="117"/>
      <c r="F426" s="122"/>
      <c r="G426" s="117">
        <v>0</v>
      </c>
      <c r="H426" s="118"/>
      <c r="I426" s="117"/>
      <c r="J426" s="117"/>
      <c r="K426" s="117"/>
      <c r="L426" s="117"/>
      <c r="M426" s="117"/>
      <c r="N426" s="120">
        <v>971268</v>
      </c>
    </row>
    <row r="427" spans="1:16" hidden="1">
      <c r="A427" s="105"/>
      <c r="B427" s="105"/>
      <c r="C427" s="131" t="s">
        <v>764</v>
      </c>
      <c r="D427" s="121">
        <v>1</v>
      </c>
      <c r="E427" s="117"/>
      <c r="F427" s="122"/>
      <c r="G427" s="117">
        <v>0</v>
      </c>
      <c r="H427" s="118"/>
      <c r="I427" s="117"/>
      <c r="J427" s="117"/>
      <c r="K427" s="117"/>
      <c r="L427" s="117"/>
      <c r="M427" s="117"/>
      <c r="N427" s="120">
        <v>971053</v>
      </c>
    </row>
    <row r="428" spans="1:16" hidden="1">
      <c r="A428" s="105"/>
      <c r="B428" s="105"/>
      <c r="C428" s="138" t="s">
        <v>765</v>
      </c>
      <c r="D428" s="121">
        <v>1</v>
      </c>
      <c r="E428" s="117"/>
      <c r="F428" s="122"/>
      <c r="G428" s="117">
        <v>0</v>
      </c>
      <c r="H428" s="118"/>
      <c r="I428" s="117"/>
      <c r="J428" s="117"/>
      <c r="K428" s="117"/>
      <c r="L428" s="117"/>
      <c r="M428" s="117"/>
      <c r="N428" s="120">
        <v>971086</v>
      </c>
    </row>
    <row r="429" spans="1:16" hidden="1">
      <c r="A429" s="105"/>
      <c r="B429" s="105"/>
      <c r="C429" s="139" t="s">
        <v>766</v>
      </c>
      <c r="D429" s="140">
        <v>1</v>
      </c>
      <c r="E429" s="117"/>
      <c r="F429" s="122"/>
      <c r="G429" s="117">
        <v>0</v>
      </c>
      <c r="H429" s="118"/>
      <c r="I429" s="117"/>
      <c r="J429" s="117"/>
      <c r="K429" s="117"/>
      <c r="L429" s="117"/>
      <c r="M429" s="117"/>
      <c r="N429" s="120">
        <v>973550</v>
      </c>
    </row>
    <row r="430" spans="1:16" hidden="1">
      <c r="D430" s="101"/>
      <c r="E430" s="101"/>
      <c r="G430" s="101"/>
      <c r="H430" s="101"/>
      <c r="I430" s="101"/>
      <c r="J430" s="101"/>
      <c r="M430" s="101"/>
    </row>
    <row r="431" spans="1:16">
      <c r="A431" s="227" t="str">
        <f>$A$4</f>
        <v xml:space="preserve">Please fill in Supplier Name </v>
      </c>
      <c r="B431" s="227" t="s">
        <v>767</v>
      </c>
      <c r="C431" s="228" t="s">
        <v>134</v>
      </c>
      <c r="D431" s="229"/>
      <c r="E431" s="229"/>
      <c r="F431" s="230"/>
      <c r="G431" s="231">
        <f>'CS C C1-3'!G431</f>
        <v>0</v>
      </c>
      <c r="H431" s="231">
        <f>'CS C C1-3'!H431</f>
        <v>0.53999999999999992</v>
      </c>
      <c r="I431" s="232">
        <f>'CS C C1-3'!I431</f>
        <v>0.53999999999999992</v>
      </c>
      <c r="J431" s="233" t="s">
        <v>16</v>
      </c>
      <c r="K431" s="233">
        <v>1</v>
      </c>
      <c r="L431" s="237">
        <v>1</v>
      </c>
      <c r="M431" s="235">
        <f>I431*L431*$K$576</f>
        <v>18.359999999999996</v>
      </c>
      <c r="N431" s="228"/>
      <c r="O431" s="236" t="s">
        <v>543</v>
      </c>
      <c r="P431" s="236" t="s">
        <v>756</v>
      </c>
    </row>
    <row r="432" spans="1:16" hidden="1">
      <c r="A432" s="105"/>
      <c r="B432" s="105"/>
      <c r="C432" s="131" t="s">
        <v>757</v>
      </c>
      <c r="D432" s="121">
        <v>1</v>
      </c>
      <c r="E432" s="117"/>
      <c r="F432" s="122"/>
      <c r="G432" s="117">
        <v>0</v>
      </c>
      <c r="H432" s="118"/>
      <c r="I432" s="117"/>
      <c r="J432" s="117"/>
      <c r="K432" s="117"/>
      <c r="L432" s="117"/>
      <c r="M432" s="117"/>
      <c r="N432" s="120">
        <v>971168</v>
      </c>
    </row>
    <row r="433" spans="1:16" hidden="1">
      <c r="A433" s="105"/>
      <c r="B433" s="105"/>
      <c r="C433" s="131" t="s">
        <v>758</v>
      </c>
      <c r="D433" s="121">
        <v>1</v>
      </c>
      <c r="E433" s="117"/>
      <c r="F433" s="122"/>
      <c r="G433" s="117">
        <v>0</v>
      </c>
      <c r="H433" s="118"/>
      <c r="I433" s="117"/>
      <c r="J433" s="117"/>
      <c r="K433" s="117"/>
      <c r="L433" s="117"/>
      <c r="M433" s="117"/>
      <c r="N433" s="120">
        <v>973186</v>
      </c>
    </row>
    <row r="434" spans="1:16" hidden="1">
      <c r="A434" s="105"/>
      <c r="B434" s="105"/>
      <c r="C434" s="131" t="s">
        <v>759</v>
      </c>
      <c r="D434" s="121">
        <v>1</v>
      </c>
      <c r="E434" s="117"/>
      <c r="F434" s="122"/>
      <c r="G434" s="117">
        <v>0</v>
      </c>
      <c r="H434" s="118"/>
      <c r="I434" s="117"/>
      <c r="J434" s="117"/>
      <c r="K434" s="117"/>
      <c r="L434" s="117"/>
      <c r="M434" s="117"/>
      <c r="N434" s="120">
        <v>971050</v>
      </c>
    </row>
    <row r="435" spans="1:16" hidden="1">
      <c r="A435" s="105"/>
      <c r="B435" s="105"/>
      <c r="C435" s="131" t="s">
        <v>760</v>
      </c>
      <c r="D435" s="121">
        <v>1</v>
      </c>
      <c r="E435" s="117"/>
      <c r="F435" s="122"/>
      <c r="G435" s="117">
        <v>0</v>
      </c>
      <c r="H435" s="118"/>
      <c r="I435" s="117"/>
      <c r="J435" s="117"/>
      <c r="K435" s="117"/>
      <c r="L435" s="117"/>
      <c r="M435" s="117"/>
      <c r="N435" s="120">
        <v>971051</v>
      </c>
    </row>
    <row r="436" spans="1:16" hidden="1">
      <c r="A436" s="105"/>
      <c r="B436" s="105"/>
      <c r="C436" s="131" t="s">
        <v>761</v>
      </c>
      <c r="D436" s="121">
        <v>1</v>
      </c>
      <c r="E436" s="117"/>
      <c r="F436" s="122"/>
      <c r="G436" s="117">
        <v>0</v>
      </c>
      <c r="H436" s="118"/>
      <c r="I436" s="117"/>
      <c r="J436" s="117"/>
      <c r="K436" s="117"/>
      <c r="L436" s="117"/>
      <c r="M436" s="117"/>
      <c r="N436" s="120">
        <v>973151</v>
      </c>
    </row>
    <row r="437" spans="1:16" hidden="1">
      <c r="A437" s="105"/>
      <c r="B437" s="105"/>
      <c r="C437" s="131" t="s">
        <v>762</v>
      </c>
      <c r="D437" s="121">
        <v>1</v>
      </c>
      <c r="E437" s="117"/>
      <c r="F437" s="122"/>
      <c r="G437" s="117">
        <v>0</v>
      </c>
      <c r="H437" s="118"/>
      <c r="I437" s="117"/>
      <c r="J437" s="117"/>
      <c r="K437" s="117"/>
      <c r="L437" s="117"/>
      <c r="M437" s="117"/>
      <c r="N437" s="120">
        <v>971055</v>
      </c>
    </row>
    <row r="438" spans="1:16" hidden="1">
      <c r="A438" s="105"/>
      <c r="B438" s="105"/>
      <c r="C438" s="131" t="s">
        <v>763</v>
      </c>
      <c r="D438" s="121">
        <v>1</v>
      </c>
      <c r="E438" s="117"/>
      <c r="F438" s="122"/>
      <c r="G438" s="117">
        <v>0</v>
      </c>
      <c r="H438" s="118"/>
      <c r="I438" s="117"/>
      <c r="J438" s="117"/>
      <c r="K438" s="117"/>
      <c r="L438" s="117"/>
      <c r="M438" s="117"/>
      <c r="N438" s="120">
        <v>971268</v>
      </c>
    </row>
    <row r="439" spans="1:16" hidden="1">
      <c r="A439" s="105"/>
      <c r="B439" s="105"/>
      <c r="C439" s="131" t="s">
        <v>764</v>
      </c>
      <c r="D439" s="121">
        <v>1</v>
      </c>
      <c r="E439" s="117"/>
      <c r="F439" s="122"/>
      <c r="G439" s="117">
        <v>0</v>
      </c>
      <c r="H439" s="118"/>
      <c r="I439" s="117"/>
      <c r="J439" s="117"/>
      <c r="K439" s="117"/>
      <c r="L439" s="117"/>
      <c r="M439" s="117"/>
      <c r="N439" s="120">
        <v>971053</v>
      </c>
    </row>
    <row r="440" spans="1:16" hidden="1">
      <c r="A440" s="105"/>
      <c r="B440" s="105"/>
      <c r="C440" s="138" t="s">
        <v>765</v>
      </c>
      <c r="D440" s="121">
        <v>1</v>
      </c>
      <c r="E440" s="117"/>
      <c r="F440" s="122"/>
      <c r="G440" s="117">
        <v>0</v>
      </c>
      <c r="H440" s="118"/>
      <c r="I440" s="117"/>
      <c r="J440" s="117"/>
      <c r="K440" s="117"/>
      <c r="L440" s="117"/>
      <c r="M440" s="117"/>
      <c r="N440" s="120">
        <v>971086</v>
      </c>
    </row>
    <row r="441" spans="1:16" hidden="1">
      <c r="A441" s="105"/>
      <c r="B441" s="105"/>
      <c r="C441" s="139" t="s">
        <v>766</v>
      </c>
      <c r="D441" s="140">
        <v>1</v>
      </c>
      <c r="E441" s="117"/>
      <c r="F441" s="122"/>
      <c r="G441" s="117">
        <v>0</v>
      </c>
      <c r="H441" s="118"/>
      <c r="I441" s="117"/>
      <c r="J441" s="117"/>
      <c r="K441" s="117"/>
      <c r="L441" s="117"/>
      <c r="M441" s="117"/>
      <c r="N441" s="120">
        <v>973550</v>
      </c>
    </row>
    <row r="442" spans="1:16" hidden="1">
      <c r="D442" s="101"/>
      <c r="E442" s="101"/>
      <c r="G442" s="101"/>
      <c r="H442" s="101"/>
      <c r="I442" s="101"/>
      <c r="J442" s="101"/>
      <c r="M442" s="101"/>
    </row>
    <row r="443" spans="1:16" hidden="1">
      <c r="A443" s="109" t="str">
        <f>$A$4</f>
        <v xml:space="preserve">Please fill in Supplier Name </v>
      </c>
      <c r="B443" s="109" t="s">
        <v>137</v>
      </c>
      <c r="C443" s="115" t="s">
        <v>138</v>
      </c>
      <c r="D443" s="110"/>
      <c r="E443" s="110"/>
      <c r="F443" s="111"/>
      <c r="G443" s="112">
        <f>SUM(G444:G452)</f>
        <v>0</v>
      </c>
      <c r="H443" s="112">
        <f>SUM(H444:H452)</f>
        <v>0</v>
      </c>
      <c r="I443" s="113">
        <f>SUM(G443:H443)</f>
        <v>0</v>
      </c>
      <c r="J443" s="114" t="s">
        <v>16</v>
      </c>
      <c r="K443" s="114">
        <v>1</v>
      </c>
      <c r="L443" s="166">
        <v>1</v>
      </c>
      <c r="M443" s="144">
        <f>I443*L443</f>
        <v>0</v>
      </c>
      <c r="N443" s="126"/>
      <c r="O443" s="116" t="s">
        <v>544</v>
      </c>
      <c r="P443" s="116" t="s">
        <v>768</v>
      </c>
    </row>
    <row r="444" spans="1:16" hidden="1">
      <c r="A444" s="105"/>
      <c r="B444" s="105"/>
      <c r="C444" s="131" t="s">
        <v>769</v>
      </c>
      <c r="D444" s="121">
        <v>10</v>
      </c>
      <c r="E444" s="117" t="s">
        <v>559</v>
      </c>
      <c r="F444" s="122"/>
      <c r="G444" s="117"/>
      <c r="H444" s="117"/>
      <c r="I444" s="117"/>
      <c r="J444" s="117"/>
      <c r="K444" s="117"/>
      <c r="L444" s="117"/>
      <c r="M444" s="117"/>
      <c r="N444" s="120"/>
    </row>
    <row r="445" spans="1:16" hidden="1">
      <c r="A445" s="105"/>
      <c r="B445" s="105"/>
      <c r="C445" s="131" t="s">
        <v>770</v>
      </c>
      <c r="D445" s="121">
        <v>12</v>
      </c>
      <c r="E445" s="117" t="s">
        <v>559</v>
      </c>
      <c r="F445" s="122"/>
      <c r="G445" s="117"/>
      <c r="H445" s="117"/>
      <c r="I445" s="117"/>
      <c r="J445" s="117"/>
      <c r="K445" s="117"/>
      <c r="L445" s="117"/>
      <c r="M445" s="117"/>
      <c r="N445" s="120"/>
    </row>
    <row r="446" spans="1:16" hidden="1">
      <c r="A446" s="105"/>
      <c r="B446" s="105"/>
      <c r="C446" s="131" t="s">
        <v>771</v>
      </c>
      <c r="D446" s="121">
        <v>15</v>
      </c>
      <c r="E446" s="117" t="s">
        <v>559</v>
      </c>
      <c r="F446" s="122" t="s">
        <v>772</v>
      </c>
      <c r="G446" s="117"/>
      <c r="H446" s="117"/>
      <c r="I446" s="117"/>
      <c r="J446" s="117"/>
      <c r="K446" s="117"/>
      <c r="L446" s="117"/>
      <c r="M446" s="117"/>
      <c r="N446" s="120"/>
    </row>
    <row r="447" spans="1:16" hidden="1">
      <c r="A447" s="105"/>
      <c r="B447" s="105"/>
      <c r="C447" s="131" t="s">
        <v>773</v>
      </c>
      <c r="D447" s="121">
        <v>6</v>
      </c>
      <c r="E447" s="117" t="s">
        <v>559</v>
      </c>
      <c r="F447" s="122"/>
      <c r="G447" s="117"/>
      <c r="H447" s="117"/>
      <c r="I447" s="117"/>
      <c r="J447" s="117"/>
      <c r="K447" s="117"/>
      <c r="L447" s="117"/>
      <c r="M447" s="117"/>
      <c r="N447" s="120"/>
    </row>
    <row r="448" spans="1:16" hidden="1">
      <c r="A448" s="105"/>
      <c r="B448" s="105"/>
      <c r="C448" s="131" t="s">
        <v>774</v>
      </c>
      <c r="D448" s="121">
        <v>8</v>
      </c>
      <c r="E448" s="117" t="s">
        <v>559</v>
      </c>
      <c r="F448" s="122"/>
      <c r="G448" s="117"/>
      <c r="H448" s="117"/>
      <c r="I448" s="117"/>
      <c r="J448" s="117"/>
      <c r="K448" s="117"/>
      <c r="L448" s="117"/>
      <c r="M448" s="117"/>
      <c r="N448" s="120"/>
    </row>
    <row r="449" spans="1:16" hidden="1">
      <c r="A449" s="105"/>
      <c r="B449" s="105"/>
      <c r="C449" s="131" t="s">
        <v>775</v>
      </c>
      <c r="D449" s="121">
        <v>6</v>
      </c>
      <c r="E449" s="117" t="s">
        <v>559</v>
      </c>
      <c r="F449" s="122"/>
      <c r="G449" s="117"/>
      <c r="H449" s="117"/>
      <c r="I449" s="117"/>
      <c r="J449" s="117"/>
      <c r="K449" s="117"/>
      <c r="L449" s="117"/>
      <c r="M449" s="117"/>
      <c r="N449" s="120"/>
    </row>
    <row r="450" spans="1:16" hidden="1">
      <c r="A450" s="105"/>
      <c r="B450" s="105"/>
      <c r="C450" s="131" t="s">
        <v>776</v>
      </c>
      <c r="D450" s="121">
        <v>1</v>
      </c>
      <c r="E450" s="117" t="s">
        <v>535</v>
      </c>
      <c r="F450" s="122"/>
      <c r="G450" s="117"/>
      <c r="H450" s="117"/>
      <c r="I450" s="117"/>
      <c r="J450" s="117"/>
      <c r="K450" s="117"/>
      <c r="L450" s="117"/>
      <c r="M450" s="117"/>
      <c r="N450" s="120"/>
    </row>
    <row r="451" spans="1:16" hidden="1">
      <c r="A451" s="105"/>
      <c r="B451" s="105"/>
      <c r="C451" s="131"/>
      <c r="D451" s="121"/>
      <c r="E451" s="117"/>
      <c r="F451" s="122"/>
      <c r="G451" s="117"/>
      <c r="H451" s="117"/>
      <c r="I451" s="117"/>
      <c r="J451" s="117"/>
      <c r="K451" s="117"/>
      <c r="L451" s="117"/>
      <c r="M451" s="117"/>
      <c r="N451" s="120"/>
    </row>
    <row r="452" spans="1:16" hidden="1">
      <c r="A452" s="105"/>
      <c r="B452" s="105"/>
      <c r="C452" s="131"/>
      <c r="D452" s="121"/>
      <c r="E452" s="117"/>
      <c r="F452" s="122"/>
      <c r="G452" s="117"/>
      <c r="H452" s="117"/>
      <c r="I452" s="117"/>
      <c r="J452" s="117"/>
      <c r="K452" s="117"/>
      <c r="L452" s="117"/>
      <c r="M452" s="117"/>
      <c r="N452" s="120"/>
    </row>
    <row r="453" spans="1:16" hidden="1">
      <c r="D453" s="101"/>
      <c r="E453" s="101"/>
      <c r="G453" s="101"/>
      <c r="H453" s="101"/>
      <c r="I453" s="101"/>
      <c r="J453" s="101"/>
      <c r="M453" s="101"/>
    </row>
    <row r="454" spans="1:16">
      <c r="A454" s="185" t="str">
        <f>$A$4</f>
        <v xml:space="preserve">Please fill in Supplier Name </v>
      </c>
      <c r="B454" s="185" t="s">
        <v>156</v>
      </c>
      <c r="C454" s="186" t="s">
        <v>157</v>
      </c>
      <c r="D454" s="187"/>
      <c r="E454" s="187"/>
      <c r="F454" s="188"/>
      <c r="G454" s="189">
        <f>'CS C C1-3'!G454</f>
        <v>0</v>
      </c>
      <c r="H454" s="189">
        <f>'CS C C1-3'!H454</f>
        <v>0</v>
      </c>
      <c r="I454" s="190">
        <f>'CS C C1-3'!I454</f>
        <v>0</v>
      </c>
      <c r="J454" s="191" t="s">
        <v>16</v>
      </c>
      <c r="K454" s="191">
        <v>1</v>
      </c>
      <c r="L454" s="195">
        <v>1</v>
      </c>
      <c r="M454" s="193">
        <f>I454*L454*$K$576</f>
        <v>0</v>
      </c>
      <c r="N454" s="196"/>
      <c r="O454" s="194" t="s">
        <v>532</v>
      </c>
      <c r="P454" s="194" t="s">
        <v>768</v>
      </c>
    </row>
    <row r="455" spans="1:16" hidden="1">
      <c r="A455" s="105"/>
      <c r="B455" s="105"/>
      <c r="C455" s="132"/>
      <c r="D455" s="125"/>
      <c r="E455" s="118"/>
      <c r="F455" s="124"/>
      <c r="G455" s="118"/>
      <c r="H455" s="118"/>
      <c r="I455" s="117"/>
      <c r="J455" s="117"/>
      <c r="K455" s="117"/>
      <c r="L455" s="117"/>
      <c r="M455" s="117"/>
      <c r="N455" s="120"/>
      <c r="P455" s="101" t="s">
        <v>768</v>
      </c>
    </row>
    <row r="456" spans="1:16" hidden="1">
      <c r="A456" s="105"/>
      <c r="B456" s="105"/>
      <c r="C456" s="132"/>
      <c r="D456" s="125"/>
      <c r="E456" s="118"/>
      <c r="F456" s="124"/>
      <c r="G456" s="118"/>
      <c r="H456" s="118"/>
      <c r="I456" s="117"/>
      <c r="J456" s="117"/>
      <c r="K456" s="117"/>
      <c r="L456" s="117"/>
      <c r="M456" s="117"/>
      <c r="N456" s="120"/>
    </row>
    <row r="457" spans="1:16" hidden="1">
      <c r="A457" s="105"/>
      <c r="B457" s="105"/>
      <c r="C457" s="132"/>
      <c r="D457" s="125"/>
      <c r="E457" s="118"/>
      <c r="F457" s="124"/>
      <c r="G457" s="118"/>
      <c r="H457" s="118"/>
      <c r="I457" s="117"/>
      <c r="J457" s="117"/>
      <c r="K457" s="117"/>
      <c r="L457" s="117"/>
      <c r="M457" s="117"/>
      <c r="N457" s="120"/>
    </row>
    <row r="458" spans="1:16" hidden="1">
      <c r="A458" s="105"/>
      <c r="B458" s="105"/>
      <c r="C458" s="132"/>
      <c r="D458" s="125"/>
      <c r="E458" s="118"/>
      <c r="F458" s="124"/>
      <c r="G458" s="118"/>
      <c r="H458" s="118"/>
      <c r="I458" s="117"/>
      <c r="J458" s="117"/>
      <c r="K458" s="117"/>
      <c r="L458" s="117"/>
      <c r="M458" s="117"/>
      <c r="N458" s="120"/>
    </row>
    <row r="459" spans="1:16" hidden="1">
      <c r="A459" s="105"/>
      <c r="B459" s="105"/>
      <c r="C459" s="132"/>
      <c r="D459" s="125"/>
      <c r="E459" s="118"/>
      <c r="F459" s="124"/>
      <c r="G459" s="118"/>
      <c r="H459" s="118"/>
      <c r="I459" s="117"/>
      <c r="J459" s="117"/>
      <c r="K459" s="117"/>
      <c r="L459" s="117"/>
      <c r="M459" s="117"/>
      <c r="N459" s="120"/>
    </row>
    <row r="460" spans="1:16" hidden="1">
      <c r="A460" s="105"/>
      <c r="B460" s="105"/>
      <c r="C460" s="132"/>
      <c r="D460" s="125"/>
      <c r="E460" s="118"/>
      <c r="F460" s="124"/>
      <c r="G460" s="118"/>
      <c r="H460" s="118"/>
      <c r="I460" s="117"/>
      <c r="J460" s="117"/>
      <c r="K460" s="117"/>
      <c r="L460" s="117"/>
      <c r="M460" s="117"/>
      <c r="N460" s="120"/>
    </row>
    <row r="461" spans="1:16" hidden="1">
      <c r="A461" s="105"/>
      <c r="B461" s="105"/>
      <c r="C461" s="132"/>
      <c r="D461" s="125"/>
      <c r="E461" s="118"/>
      <c r="F461" s="124"/>
      <c r="G461" s="118"/>
      <c r="H461" s="118"/>
      <c r="I461" s="117"/>
      <c r="J461" s="117"/>
      <c r="K461" s="117"/>
      <c r="L461" s="117"/>
      <c r="M461" s="117"/>
      <c r="N461" s="120"/>
    </row>
    <row r="462" spans="1:16" hidden="1">
      <c r="B462" s="105"/>
      <c r="C462" s="137"/>
      <c r="D462" s="125"/>
      <c r="E462" s="118"/>
      <c r="F462" s="124"/>
      <c r="G462" s="118"/>
      <c r="H462" s="118"/>
      <c r="I462" s="117"/>
      <c r="J462" s="117"/>
      <c r="K462" s="117"/>
      <c r="L462" s="117"/>
      <c r="M462" s="117"/>
      <c r="N462" s="120"/>
    </row>
    <row r="463" spans="1:16" hidden="1">
      <c r="A463" s="105"/>
      <c r="B463" s="105"/>
      <c r="C463" s="132"/>
      <c r="D463" s="125"/>
      <c r="E463" s="118"/>
      <c r="F463" s="124"/>
      <c r="G463" s="118"/>
      <c r="H463" s="118"/>
      <c r="I463" s="117"/>
      <c r="J463" s="117"/>
      <c r="K463" s="117"/>
      <c r="L463" s="117"/>
      <c r="M463" s="117"/>
      <c r="N463" s="120"/>
    </row>
    <row r="464" spans="1:16" hidden="1">
      <c r="D464" s="101"/>
      <c r="E464" s="101"/>
      <c r="G464" s="101"/>
      <c r="H464" s="101"/>
      <c r="I464" s="101"/>
      <c r="J464" s="101"/>
      <c r="M464" s="101"/>
    </row>
    <row r="465" spans="1:16">
      <c r="A465" s="227" t="str">
        <f>$A$4</f>
        <v xml:space="preserve">Please fill in Supplier Name </v>
      </c>
      <c r="B465" s="227" t="s">
        <v>158</v>
      </c>
      <c r="C465" s="228" t="s">
        <v>159</v>
      </c>
      <c r="D465" s="229"/>
      <c r="E465" s="229"/>
      <c r="F465" s="230"/>
      <c r="G465" s="231">
        <f>'CS C C1-3'!G465</f>
        <v>0</v>
      </c>
      <c r="H465" s="231">
        <f>'CS C C1-3'!H465</f>
        <v>0</v>
      </c>
      <c r="I465" s="232">
        <f>'CS C C1-3'!I465</f>
        <v>0</v>
      </c>
      <c r="J465" s="233" t="s">
        <v>16</v>
      </c>
      <c r="K465" s="233">
        <v>1</v>
      </c>
      <c r="L465" s="237">
        <v>1</v>
      </c>
      <c r="M465" s="235">
        <f>I465*L465*$K$576</f>
        <v>0</v>
      </c>
      <c r="N465" s="238"/>
      <c r="O465" s="236" t="s">
        <v>543</v>
      </c>
      <c r="P465" s="236"/>
    </row>
    <row r="466" spans="1:16" hidden="1">
      <c r="A466" s="105"/>
      <c r="B466" s="105"/>
      <c r="C466" s="132"/>
      <c r="D466" s="125"/>
      <c r="E466" s="118"/>
      <c r="F466" s="124"/>
      <c r="G466" s="118"/>
      <c r="H466" s="118"/>
      <c r="I466" s="117"/>
      <c r="J466" s="117"/>
      <c r="K466" s="117"/>
      <c r="L466" s="117"/>
      <c r="M466" s="117"/>
      <c r="N466" s="120"/>
    </row>
    <row r="467" spans="1:16" hidden="1">
      <c r="A467" s="105"/>
      <c r="B467" s="105"/>
      <c r="C467" s="132"/>
      <c r="D467" s="125"/>
      <c r="E467" s="118"/>
      <c r="F467" s="124"/>
      <c r="G467" s="118"/>
      <c r="H467" s="118"/>
      <c r="I467" s="117"/>
      <c r="J467" s="117"/>
      <c r="K467" s="117"/>
      <c r="L467" s="117"/>
      <c r="M467" s="117"/>
      <c r="N467" s="120"/>
    </row>
    <row r="468" spans="1:16" hidden="1">
      <c r="A468" s="105"/>
      <c r="B468" s="105"/>
      <c r="C468" s="132"/>
      <c r="D468" s="125"/>
      <c r="E468" s="118"/>
      <c r="F468" s="124"/>
      <c r="G468" s="118"/>
      <c r="H468" s="118"/>
      <c r="I468" s="117"/>
      <c r="J468" s="117"/>
      <c r="K468" s="117"/>
      <c r="L468" s="117"/>
      <c r="M468" s="117"/>
      <c r="N468" s="120"/>
    </row>
    <row r="469" spans="1:16" hidden="1">
      <c r="A469" s="105"/>
      <c r="B469" s="105"/>
      <c r="C469" s="132"/>
      <c r="D469" s="125"/>
      <c r="E469" s="118"/>
      <c r="F469" s="124"/>
      <c r="G469" s="118"/>
      <c r="H469" s="118"/>
      <c r="I469" s="117"/>
      <c r="J469" s="117"/>
      <c r="K469" s="117"/>
      <c r="L469" s="117"/>
      <c r="M469" s="117"/>
      <c r="N469" s="120"/>
    </row>
    <row r="470" spans="1:16" hidden="1">
      <c r="A470" s="105"/>
      <c r="B470" s="105"/>
      <c r="C470" s="132"/>
      <c r="D470" s="125"/>
      <c r="E470" s="118"/>
      <c r="F470" s="124"/>
      <c r="G470" s="118"/>
      <c r="H470" s="118"/>
      <c r="I470" s="117"/>
      <c r="J470" s="117"/>
      <c r="K470" s="117"/>
      <c r="L470" s="117"/>
      <c r="M470" s="117"/>
      <c r="N470" s="120"/>
    </row>
    <row r="471" spans="1:16" hidden="1">
      <c r="A471" s="105"/>
      <c r="B471" s="105"/>
      <c r="C471" s="132"/>
      <c r="D471" s="125"/>
      <c r="E471" s="118"/>
      <c r="F471" s="124"/>
      <c r="G471" s="118"/>
      <c r="H471" s="118"/>
      <c r="I471" s="117"/>
      <c r="J471" s="117"/>
      <c r="K471" s="117"/>
      <c r="L471" s="117"/>
      <c r="M471" s="117"/>
      <c r="N471" s="120"/>
    </row>
    <row r="472" spans="1:16" hidden="1">
      <c r="A472" s="105"/>
      <c r="B472" s="105"/>
      <c r="C472" s="132"/>
      <c r="D472" s="125"/>
      <c r="E472" s="118"/>
      <c r="F472" s="124"/>
      <c r="G472" s="118"/>
      <c r="H472" s="118"/>
      <c r="I472" s="117"/>
      <c r="J472" s="117"/>
      <c r="K472" s="117"/>
      <c r="L472" s="117"/>
      <c r="M472" s="117"/>
      <c r="N472" s="120"/>
    </row>
    <row r="473" spans="1:16" hidden="1">
      <c r="A473" s="105"/>
      <c r="B473" s="105"/>
      <c r="C473" s="132"/>
      <c r="D473" s="125"/>
      <c r="E473" s="118"/>
      <c r="F473" s="124"/>
      <c r="G473" s="118"/>
      <c r="H473" s="118"/>
      <c r="I473" s="117"/>
      <c r="J473" s="117"/>
      <c r="K473" s="117"/>
      <c r="L473" s="117"/>
      <c r="M473" s="117"/>
      <c r="N473" s="120"/>
    </row>
    <row r="474" spans="1:16" hidden="1">
      <c r="A474" s="105"/>
      <c r="B474" s="105"/>
      <c r="C474" s="132"/>
      <c r="D474" s="125"/>
      <c r="E474" s="118"/>
      <c r="F474" s="124"/>
      <c r="G474" s="118"/>
      <c r="H474" s="118"/>
      <c r="I474" s="117"/>
      <c r="J474" s="117"/>
      <c r="K474" s="117"/>
      <c r="L474" s="117"/>
      <c r="M474" s="117"/>
      <c r="N474" s="120"/>
    </row>
    <row r="475" spans="1:16" hidden="1">
      <c r="D475" s="101"/>
      <c r="E475" s="101"/>
      <c r="G475" s="101"/>
      <c r="H475" s="101"/>
      <c r="I475" s="101"/>
      <c r="J475" s="101"/>
      <c r="M475" s="101"/>
    </row>
    <row r="476" spans="1:16" hidden="1">
      <c r="A476" s="109" t="str">
        <f>$A$4</f>
        <v xml:space="preserve">Please fill in Supplier Name </v>
      </c>
      <c r="B476" s="109" t="s">
        <v>139</v>
      </c>
      <c r="C476" s="115" t="s">
        <v>140</v>
      </c>
      <c r="D476" s="110"/>
      <c r="E476" s="110"/>
      <c r="F476" s="111"/>
      <c r="G476" s="112">
        <f>SUM(G477:G485)</f>
        <v>0</v>
      </c>
      <c r="H476" s="112">
        <f>SUM(H477:H485)</f>
        <v>0</v>
      </c>
      <c r="I476" s="113">
        <f>SUM(G476:H476)</f>
        <v>0</v>
      </c>
      <c r="J476" s="114" t="s">
        <v>16</v>
      </c>
      <c r="K476" s="114">
        <v>1</v>
      </c>
      <c r="L476" s="166">
        <v>1</v>
      </c>
      <c r="M476" s="144">
        <f>I476*L476</f>
        <v>0</v>
      </c>
      <c r="N476" s="126"/>
      <c r="O476" s="116" t="s">
        <v>544</v>
      </c>
      <c r="P476" s="116" t="s">
        <v>789</v>
      </c>
    </row>
    <row r="477" spans="1:16" hidden="1">
      <c r="A477" s="105"/>
      <c r="B477" s="105"/>
      <c r="C477" s="131" t="s">
        <v>790</v>
      </c>
      <c r="D477" s="121">
        <v>60</v>
      </c>
      <c r="E477" s="117" t="s">
        <v>559</v>
      </c>
      <c r="F477" s="122"/>
      <c r="G477" s="117"/>
      <c r="H477" s="117"/>
      <c r="I477" s="117"/>
      <c r="J477" s="117"/>
      <c r="K477" s="117"/>
      <c r="L477" s="117"/>
      <c r="M477" s="117"/>
      <c r="N477" s="120"/>
    </row>
    <row r="478" spans="1:16" hidden="1">
      <c r="A478" s="105"/>
      <c r="B478" s="105"/>
      <c r="C478" s="131" t="s">
        <v>791</v>
      </c>
      <c r="D478" s="121">
        <v>5</v>
      </c>
      <c r="E478" s="117" t="s">
        <v>559</v>
      </c>
      <c r="F478" s="122"/>
      <c r="G478" s="117"/>
      <c r="H478" s="117"/>
      <c r="I478" s="117"/>
      <c r="J478" s="117"/>
      <c r="K478" s="117"/>
      <c r="L478" s="117"/>
      <c r="M478" s="117"/>
      <c r="N478" s="120"/>
    </row>
    <row r="479" spans="1:16" hidden="1">
      <c r="A479" s="105"/>
      <c r="B479" s="105"/>
      <c r="C479" s="131" t="s">
        <v>792</v>
      </c>
      <c r="D479" s="121">
        <v>1</v>
      </c>
      <c r="E479" s="117" t="s">
        <v>535</v>
      </c>
      <c r="F479" s="122"/>
      <c r="G479" s="117"/>
      <c r="H479" s="117"/>
      <c r="I479" s="117"/>
      <c r="J479" s="117"/>
      <c r="K479" s="117"/>
      <c r="L479" s="117"/>
      <c r="M479" s="117"/>
      <c r="N479" s="120"/>
    </row>
    <row r="480" spans="1:16" hidden="1">
      <c r="A480" s="105"/>
      <c r="B480" s="105"/>
      <c r="C480" s="131" t="s">
        <v>793</v>
      </c>
      <c r="D480" s="121">
        <v>5</v>
      </c>
      <c r="E480" s="117" t="s">
        <v>535</v>
      </c>
      <c r="F480" s="122"/>
      <c r="G480" s="117"/>
      <c r="H480" s="117"/>
      <c r="I480" s="117"/>
      <c r="J480" s="117"/>
      <c r="K480" s="117"/>
      <c r="L480" s="117"/>
      <c r="M480" s="117"/>
      <c r="N480" s="120"/>
    </row>
    <row r="481" spans="1:16" hidden="1">
      <c r="A481" s="105"/>
      <c r="B481" s="105"/>
      <c r="C481" s="131"/>
      <c r="D481" s="121"/>
      <c r="E481" s="117"/>
      <c r="F481" s="122"/>
      <c r="G481" s="117"/>
      <c r="H481" s="117"/>
      <c r="I481" s="117"/>
      <c r="J481" s="117"/>
      <c r="K481" s="117"/>
      <c r="L481" s="117"/>
      <c r="M481" s="117"/>
      <c r="N481" s="120"/>
    </row>
    <row r="482" spans="1:16" hidden="1">
      <c r="A482" s="105"/>
      <c r="B482" s="105"/>
      <c r="C482" s="131"/>
      <c r="D482" s="121"/>
      <c r="E482" s="117"/>
      <c r="F482" s="122"/>
      <c r="G482" s="117"/>
      <c r="H482" s="117"/>
      <c r="I482" s="117"/>
      <c r="J482" s="117"/>
      <c r="K482" s="117"/>
      <c r="L482" s="117"/>
      <c r="M482" s="117"/>
      <c r="N482" s="120"/>
    </row>
    <row r="483" spans="1:16" hidden="1">
      <c r="A483" s="105"/>
      <c r="B483" s="105"/>
      <c r="C483" s="131"/>
      <c r="D483" s="121"/>
      <c r="E483" s="117"/>
      <c r="F483" s="122"/>
      <c r="G483" s="117"/>
      <c r="H483" s="117"/>
      <c r="I483" s="117"/>
      <c r="J483" s="117"/>
      <c r="K483" s="117"/>
      <c r="L483" s="117"/>
      <c r="M483" s="117"/>
      <c r="N483" s="120"/>
    </row>
    <row r="484" spans="1:16" hidden="1">
      <c r="A484" s="105"/>
      <c r="B484" s="105"/>
      <c r="C484" s="131"/>
      <c r="D484" s="121"/>
      <c r="E484" s="117"/>
      <c r="F484" s="122"/>
      <c r="G484" s="117"/>
      <c r="H484" s="117"/>
      <c r="I484" s="117"/>
      <c r="J484" s="117"/>
      <c r="K484" s="117"/>
      <c r="L484" s="117"/>
      <c r="M484" s="117"/>
      <c r="N484" s="120"/>
    </row>
    <row r="485" spans="1:16" hidden="1">
      <c r="A485" s="105"/>
      <c r="B485" s="105"/>
      <c r="C485" s="131"/>
      <c r="D485" s="121"/>
      <c r="E485" s="117"/>
      <c r="F485" s="122"/>
      <c r="G485" s="117"/>
      <c r="H485" s="117"/>
      <c r="I485" s="117"/>
      <c r="J485" s="117"/>
      <c r="K485" s="117"/>
      <c r="L485" s="117"/>
      <c r="M485" s="117"/>
      <c r="N485" s="120"/>
    </row>
    <row r="486" spans="1:16" hidden="1">
      <c r="D486" s="101"/>
      <c r="E486" s="101"/>
      <c r="G486" s="101"/>
      <c r="H486" s="101"/>
      <c r="I486" s="101"/>
      <c r="J486" s="101"/>
      <c r="M486" s="101"/>
    </row>
    <row r="487" spans="1:16">
      <c r="A487" s="185" t="str">
        <f>$A$4</f>
        <v xml:space="preserve">Please fill in Supplier Name </v>
      </c>
      <c r="B487" s="185" t="s">
        <v>141</v>
      </c>
      <c r="C487" s="186" t="s">
        <v>142</v>
      </c>
      <c r="D487" s="187"/>
      <c r="E487" s="187"/>
      <c r="F487" s="188"/>
      <c r="G487" s="189">
        <f>'CS C C1-3'!G487</f>
        <v>0</v>
      </c>
      <c r="H487" s="189">
        <f>'CS C C1-3'!H487</f>
        <v>0</v>
      </c>
      <c r="I487" s="190">
        <f>'CS C C1-3'!I487</f>
        <v>0</v>
      </c>
      <c r="J487" s="191" t="s">
        <v>16</v>
      </c>
      <c r="K487" s="191">
        <v>1</v>
      </c>
      <c r="L487" s="195">
        <v>1</v>
      </c>
      <c r="M487" s="193">
        <f>I487*L487*$K$576</f>
        <v>0</v>
      </c>
      <c r="N487" s="196"/>
      <c r="O487" s="194" t="s">
        <v>532</v>
      </c>
      <c r="P487" s="194" t="s">
        <v>794</v>
      </c>
    </row>
    <row r="488" spans="1:16" hidden="1">
      <c r="A488" s="105"/>
      <c r="B488" s="105"/>
      <c r="C488" s="132"/>
      <c r="D488" s="125"/>
      <c r="E488" s="118"/>
      <c r="F488" s="124"/>
      <c r="G488" s="118"/>
      <c r="H488" s="118"/>
      <c r="I488" s="117"/>
      <c r="J488" s="117"/>
      <c r="K488" s="117"/>
      <c r="L488" s="117"/>
      <c r="M488" s="117"/>
      <c r="N488" s="120"/>
    </row>
    <row r="489" spans="1:16" hidden="1">
      <c r="A489" s="105"/>
      <c r="B489" s="105"/>
      <c r="C489" s="132"/>
      <c r="D489" s="125"/>
      <c r="E489" s="118"/>
      <c r="F489" s="124"/>
      <c r="G489" s="118"/>
      <c r="H489" s="118"/>
      <c r="I489" s="117"/>
      <c r="J489" s="117"/>
      <c r="K489" s="117"/>
      <c r="L489" s="117"/>
      <c r="M489" s="117"/>
      <c r="N489" s="120"/>
    </row>
    <row r="490" spans="1:16" hidden="1">
      <c r="A490" s="105"/>
      <c r="B490" s="105"/>
      <c r="C490" s="132"/>
      <c r="D490" s="125"/>
      <c r="E490" s="118"/>
      <c r="F490" s="124"/>
      <c r="G490" s="118"/>
      <c r="H490" s="118"/>
      <c r="I490" s="117"/>
      <c r="J490" s="117"/>
      <c r="K490" s="117"/>
      <c r="L490" s="117"/>
      <c r="M490" s="117"/>
      <c r="N490" s="120"/>
    </row>
    <row r="491" spans="1:16" hidden="1">
      <c r="A491" s="105"/>
      <c r="B491" s="105"/>
      <c r="C491" s="132"/>
      <c r="D491" s="125"/>
      <c r="E491" s="118"/>
      <c r="F491" s="124"/>
      <c r="G491" s="118"/>
      <c r="H491" s="118"/>
      <c r="I491" s="117"/>
      <c r="J491" s="117"/>
      <c r="K491" s="117"/>
      <c r="L491" s="117"/>
      <c r="M491" s="117"/>
      <c r="N491" s="120"/>
    </row>
    <row r="492" spans="1:16" hidden="1">
      <c r="A492" s="105"/>
      <c r="B492" s="105"/>
      <c r="C492" s="132"/>
      <c r="D492" s="125"/>
      <c r="E492" s="118"/>
      <c r="F492" s="124"/>
      <c r="G492" s="118"/>
      <c r="H492" s="118"/>
      <c r="I492" s="117"/>
      <c r="J492" s="117"/>
      <c r="K492" s="117"/>
      <c r="L492" s="117"/>
      <c r="M492" s="117"/>
      <c r="N492" s="120"/>
    </row>
    <row r="493" spans="1:16" hidden="1">
      <c r="A493" s="105"/>
      <c r="B493" s="105"/>
      <c r="C493" s="132"/>
      <c r="D493" s="125"/>
      <c r="E493" s="118"/>
      <c r="F493" s="124"/>
      <c r="G493" s="118"/>
      <c r="H493" s="118"/>
      <c r="I493" s="117"/>
      <c r="J493" s="117"/>
      <c r="K493" s="117"/>
      <c r="L493" s="117"/>
      <c r="M493" s="117"/>
      <c r="N493" s="120"/>
    </row>
    <row r="494" spans="1:16" hidden="1">
      <c r="A494" s="105"/>
      <c r="B494" s="105"/>
      <c r="C494" s="132"/>
      <c r="D494" s="125"/>
      <c r="E494" s="118"/>
      <c r="F494" s="124"/>
      <c r="G494" s="118"/>
      <c r="H494" s="118"/>
      <c r="I494" s="117"/>
      <c r="J494" s="117"/>
      <c r="K494" s="117"/>
      <c r="L494" s="117"/>
      <c r="M494" s="117"/>
      <c r="N494" s="120"/>
    </row>
    <row r="495" spans="1:16" hidden="1">
      <c r="A495" s="105"/>
      <c r="B495" s="105"/>
      <c r="C495" s="132"/>
      <c r="D495" s="125"/>
      <c r="E495" s="118"/>
      <c r="F495" s="124"/>
      <c r="G495" s="118"/>
      <c r="H495" s="118"/>
      <c r="I495" s="117"/>
      <c r="J495" s="117"/>
      <c r="K495" s="117"/>
      <c r="L495" s="117"/>
      <c r="M495" s="117"/>
      <c r="N495" s="120"/>
    </row>
    <row r="496" spans="1:16" hidden="1">
      <c r="A496" s="105"/>
      <c r="B496" s="105"/>
      <c r="C496" s="132"/>
      <c r="D496" s="125"/>
      <c r="E496" s="118"/>
      <c r="F496" s="124"/>
      <c r="G496" s="118"/>
      <c r="H496" s="118"/>
      <c r="I496" s="117"/>
      <c r="J496" s="117"/>
      <c r="K496" s="117"/>
      <c r="L496" s="117"/>
      <c r="M496" s="117"/>
      <c r="N496" s="120"/>
    </row>
    <row r="497" spans="1:16" hidden="1">
      <c r="D497" s="101"/>
      <c r="E497" s="101"/>
      <c r="G497" s="101"/>
      <c r="H497" s="101"/>
      <c r="I497" s="101"/>
      <c r="J497" s="101"/>
      <c r="M497" s="101"/>
    </row>
    <row r="498" spans="1:16">
      <c r="A498" s="227" t="str">
        <f>$A$4</f>
        <v xml:space="preserve">Please fill in Supplier Name </v>
      </c>
      <c r="B498" s="227" t="s">
        <v>143</v>
      </c>
      <c r="C498" s="228" t="s">
        <v>144</v>
      </c>
      <c r="D498" s="229"/>
      <c r="E498" s="229"/>
      <c r="F498" s="230"/>
      <c r="G498" s="231">
        <f>'CS C C1-3'!G498</f>
        <v>0</v>
      </c>
      <c r="H498" s="231">
        <f>'CS C C1-3'!H498</f>
        <v>0</v>
      </c>
      <c r="I498" s="232">
        <f>'CS C C1-3'!I498</f>
        <v>0</v>
      </c>
      <c r="J498" s="233" t="s">
        <v>16</v>
      </c>
      <c r="K498" s="233">
        <v>1</v>
      </c>
      <c r="L498" s="237">
        <v>1</v>
      </c>
      <c r="M498" s="235">
        <f>I498*L498*$K$576</f>
        <v>0</v>
      </c>
      <c r="N498" s="238"/>
      <c r="O498" s="236" t="s">
        <v>543</v>
      </c>
      <c r="P498" s="236" t="s">
        <v>794</v>
      </c>
    </row>
    <row r="499" spans="1:16" hidden="1">
      <c r="A499" s="105"/>
      <c r="B499" s="105"/>
      <c r="C499" s="132"/>
      <c r="D499" s="125"/>
      <c r="E499" s="118"/>
      <c r="F499" s="124"/>
      <c r="G499" s="118"/>
      <c r="H499" s="118"/>
      <c r="I499" s="117"/>
      <c r="J499" s="117"/>
      <c r="K499" s="117"/>
      <c r="L499" s="117"/>
      <c r="M499" s="117"/>
      <c r="N499" s="120"/>
    </row>
    <row r="500" spans="1:16" hidden="1">
      <c r="A500" s="105"/>
      <c r="B500" s="105"/>
      <c r="C500" s="132"/>
      <c r="D500" s="125"/>
      <c r="E500" s="118"/>
      <c r="F500" s="124"/>
      <c r="G500" s="118"/>
      <c r="H500" s="118"/>
      <c r="I500" s="117"/>
      <c r="J500" s="117"/>
      <c r="K500" s="117"/>
      <c r="L500" s="117"/>
      <c r="M500" s="117"/>
      <c r="N500" s="120"/>
    </row>
    <row r="501" spans="1:16" hidden="1">
      <c r="A501" s="105"/>
      <c r="B501" s="105"/>
      <c r="C501" s="132"/>
      <c r="D501" s="125"/>
      <c r="E501" s="118"/>
      <c r="F501" s="124"/>
      <c r="G501" s="118"/>
      <c r="H501" s="118"/>
      <c r="I501" s="117"/>
      <c r="J501" s="117"/>
      <c r="K501" s="117"/>
      <c r="L501" s="117"/>
      <c r="M501" s="117"/>
      <c r="N501" s="120"/>
    </row>
    <row r="502" spans="1:16" hidden="1">
      <c r="A502" s="105"/>
      <c r="B502" s="105"/>
      <c r="C502" s="132"/>
      <c r="D502" s="125"/>
      <c r="E502" s="118"/>
      <c r="F502" s="124"/>
      <c r="G502" s="118"/>
      <c r="H502" s="118"/>
      <c r="I502" s="117"/>
      <c r="J502" s="117"/>
      <c r="K502" s="117"/>
      <c r="L502" s="117"/>
      <c r="M502" s="117"/>
      <c r="N502" s="120"/>
    </row>
    <row r="503" spans="1:16" hidden="1">
      <c r="A503" s="105"/>
      <c r="B503" s="105"/>
      <c r="C503" s="132"/>
      <c r="D503" s="125"/>
      <c r="E503" s="118"/>
      <c r="F503" s="124"/>
      <c r="G503" s="118"/>
      <c r="H503" s="118"/>
      <c r="I503" s="117"/>
      <c r="J503" s="117"/>
      <c r="K503" s="117"/>
      <c r="L503" s="117"/>
      <c r="M503" s="117"/>
      <c r="N503" s="120"/>
    </row>
    <row r="504" spans="1:16" hidden="1">
      <c r="A504" s="105"/>
      <c r="B504" s="105"/>
      <c r="C504" s="132"/>
      <c r="D504" s="125"/>
      <c r="E504" s="118"/>
      <c r="F504" s="124"/>
      <c r="G504" s="118"/>
      <c r="H504" s="118"/>
      <c r="I504" s="117"/>
      <c r="J504" s="117"/>
      <c r="K504" s="117"/>
      <c r="L504" s="117"/>
      <c r="M504" s="117"/>
      <c r="N504" s="120"/>
    </row>
    <row r="505" spans="1:16" hidden="1">
      <c r="A505" s="105"/>
      <c r="B505" s="105"/>
      <c r="C505" s="132"/>
      <c r="D505" s="125"/>
      <c r="E505" s="118"/>
      <c r="F505" s="124"/>
      <c r="G505" s="118"/>
      <c r="H505" s="118"/>
      <c r="I505" s="117"/>
      <c r="J505" s="117"/>
      <c r="K505" s="117"/>
      <c r="L505" s="117"/>
      <c r="M505" s="117"/>
      <c r="N505" s="120"/>
    </row>
    <row r="506" spans="1:16" hidden="1">
      <c r="A506" s="105"/>
      <c r="B506" s="105"/>
      <c r="C506" s="132"/>
      <c r="D506" s="125"/>
      <c r="E506" s="118"/>
      <c r="F506" s="124"/>
      <c r="G506" s="118"/>
      <c r="H506" s="118"/>
      <c r="I506" s="117"/>
      <c r="J506" s="117"/>
      <c r="K506" s="117"/>
      <c r="L506" s="117"/>
      <c r="M506" s="117"/>
      <c r="N506" s="120"/>
    </row>
    <row r="507" spans="1:16" hidden="1">
      <c r="A507" s="105"/>
      <c r="B507" s="105"/>
      <c r="C507" s="132"/>
      <c r="D507" s="125"/>
      <c r="E507" s="118"/>
      <c r="F507" s="124"/>
      <c r="G507" s="118"/>
      <c r="H507" s="118"/>
      <c r="I507" s="117"/>
      <c r="J507" s="117"/>
      <c r="K507" s="117"/>
      <c r="L507" s="117"/>
      <c r="M507" s="117"/>
      <c r="N507" s="120"/>
    </row>
    <row r="508" spans="1:16" hidden="1">
      <c r="D508" s="101"/>
      <c r="E508" s="101"/>
      <c r="G508" s="101"/>
      <c r="H508" s="101"/>
      <c r="I508" s="101"/>
      <c r="J508" s="101"/>
      <c r="M508" s="101"/>
    </row>
    <row r="509" spans="1:16" hidden="1">
      <c r="A509" s="109" t="str">
        <f>$A$4</f>
        <v xml:space="preserve">Please fill in Supplier Name </v>
      </c>
      <c r="B509" s="109" t="s">
        <v>145</v>
      </c>
      <c r="C509" s="115" t="s">
        <v>146</v>
      </c>
      <c r="D509" s="110"/>
      <c r="E509" s="110"/>
      <c r="F509" s="111"/>
      <c r="G509" s="112">
        <f>SUM(G510:G512)</f>
        <v>0</v>
      </c>
      <c r="H509" s="112">
        <f>SUM(H510:H512)</f>
        <v>0</v>
      </c>
      <c r="I509" s="113">
        <f>SUM(G509:H509)</f>
        <v>0</v>
      </c>
      <c r="J509" s="114" t="s">
        <v>16</v>
      </c>
      <c r="K509" s="114" t="s">
        <v>147</v>
      </c>
      <c r="L509" s="166">
        <v>0.8</v>
      </c>
      <c r="M509" s="144">
        <f>I509*L509*$K$576</f>
        <v>0</v>
      </c>
      <c r="N509" s="126"/>
      <c r="O509" s="116" t="s">
        <v>544</v>
      </c>
      <c r="P509" s="116" t="s">
        <v>800</v>
      </c>
    </row>
    <row r="510" spans="1:16" hidden="1">
      <c r="A510" s="105"/>
      <c r="B510" s="105"/>
      <c r="C510" s="131" t="s">
        <v>801</v>
      </c>
      <c r="D510" s="121">
        <v>1</v>
      </c>
      <c r="E510" s="117" t="s">
        <v>535</v>
      </c>
      <c r="F510" s="122"/>
      <c r="G510" s="117"/>
      <c r="H510" s="117"/>
      <c r="I510" s="117"/>
      <c r="J510" s="117"/>
      <c r="K510" s="117"/>
      <c r="L510" s="117"/>
      <c r="M510" s="117"/>
      <c r="N510" s="120"/>
    </row>
    <row r="511" spans="1:16" hidden="1">
      <c r="A511" s="105"/>
      <c r="B511" s="105"/>
      <c r="C511" s="131"/>
      <c r="D511" s="121"/>
      <c r="E511" s="117"/>
      <c r="F511" s="122"/>
      <c r="G511" s="117"/>
      <c r="H511" s="117"/>
      <c r="I511" s="117"/>
      <c r="J511" s="117"/>
      <c r="K511" s="117"/>
      <c r="L511" s="117"/>
      <c r="M511" s="117"/>
      <c r="N511" s="120"/>
    </row>
    <row r="512" spans="1:16" hidden="1">
      <c r="A512" s="105"/>
      <c r="B512" s="105"/>
      <c r="C512" s="131"/>
      <c r="D512" s="121"/>
      <c r="E512" s="117"/>
      <c r="F512" s="122"/>
      <c r="G512" s="117"/>
      <c r="H512" s="117"/>
      <c r="I512" s="117"/>
      <c r="J512" s="117"/>
      <c r="K512" s="117"/>
      <c r="L512" s="117"/>
      <c r="M512" s="117"/>
      <c r="N512" s="120"/>
    </row>
    <row r="513" spans="1:16" hidden="1">
      <c r="D513" s="101"/>
      <c r="E513" s="101"/>
      <c r="G513" s="101"/>
      <c r="H513" s="101"/>
      <c r="I513" s="101"/>
      <c r="J513" s="101"/>
      <c r="M513" s="101"/>
    </row>
    <row r="514" spans="1:16">
      <c r="A514" s="185" t="str">
        <f>$A$4</f>
        <v xml:space="preserve">Please fill in Supplier Name </v>
      </c>
      <c r="B514" s="185" t="s">
        <v>148</v>
      </c>
      <c r="C514" s="186" t="s">
        <v>149</v>
      </c>
      <c r="D514" s="187"/>
      <c r="E514" s="187"/>
      <c r="F514" s="188"/>
      <c r="G514" s="189">
        <f>'CS C C1-3'!G514</f>
        <v>0</v>
      </c>
      <c r="H514" s="189">
        <f>'CS C C1-3'!H514</f>
        <v>0</v>
      </c>
      <c r="I514" s="190">
        <f>'CS C C1-3'!I514</f>
        <v>0</v>
      </c>
      <c r="J514" s="191" t="s">
        <v>16</v>
      </c>
      <c r="K514" s="191" t="s">
        <v>147</v>
      </c>
      <c r="L514" s="195">
        <v>0.8</v>
      </c>
      <c r="M514" s="193">
        <f>I514*L514*$K$576</f>
        <v>0</v>
      </c>
      <c r="N514" s="196"/>
      <c r="O514" s="194" t="s">
        <v>532</v>
      </c>
      <c r="P514" s="194" t="s">
        <v>800</v>
      </c>
    </row>
    <row r="515" spans="1:16" hidden="1">
      <c r="A515" s="105"/>
      <c r="B515" s="105"/>
      <c r="C515" s="132"/>
      <c r="D515" s="125"/>
      <c r="E515" s="118"/>
      <c r="F515" s="124"/>
      <c r="G515" s="118"/>
      <c r="H515" s="118"/>
      <c r="I515" s="117"/>
      <c r="J515" s="117"/>
      <c r="K515" s="117"/>
      <c r="L515" s="117"/>
      <c r="M515" s="117"/>
      <c r="N515" s="120"/>
    </row>
    <row r="516" spans="1:16" hidden="1">
      <c r="A516" s="105"/>
      <c r="B516" s="105"/>
      <c r="C516" s="132"/>
      <c r="D516" s="125"/>
      <c r="E516" s="118"/>
      <c r="F516" s="124"/>
      <c r="G516" s="118"/>
      <c r="H516" s="118"/>
      <c r="I516" s="117"/>
      <c r="J516" s="117"/>
      <c r="K516" s="117"/>
      <c r="L516" s="117"/>
      <c r="M516" s="117"/>
      <c r="N516" s="120"/>
    </row>
    <row r="517" spans="1:16" hidden="1">
      <c r="A517" s="105"/>
      <c r="B517" s="105"/>
      <c r="C517" s="132"/>
      <c r="D517" s="125"/>
      <c r="E517" s="118"/>
      <c r="F517" s="124"/>
      <c r="G517" s="118"/>
      <c r="H517" s="118"/>
      <c r="I517" s="117"/>
      <c r="J517" s="117"/>
      <c r="K517" s="117"/>
      <c r="L517" s="117"/>
      <c r="M517" s="117"/>
      <c r="N517" s="120"/>
    </row>
    <row r="518" spans="1:16" hidden="1">
      <c r="D518" s="101"/>
      <c r="E518" s="101"/>
      <c r="G518" s="101"/>
      <c r="H518" s="101"/>
      <c r="I518" s="101"/>
      <c r="J518" s="101"/>
      <c r="M518" s="101"/>
    </row>
    <row r="519" spans="1:16">
      <c r="A519" s="227" t="str">
        <f>$A$4</f>
        <v xml:space="preserve">Please fill in Supplier Name </v>
      </c>
      <c r="B519" s="227" t="s">
        <v>150</v>
      </c>
      <c r="C519" s="228" t="s">
        <v>151</v>
      </c>
      <c r="D519" s="229"/>
      <c r="E519" s="229"/>
      <c r="F519" s="230"/>
      <c r="G519" s="231">
        <f>'CS C C1-3'!G519</f>
        <v>0</v>
      </c>
      <c r="H519" s="231">
        <f>'CS C C1-3'!H519</f>
        <v>0</v>
      </c>
      <c r="I519" s="232">
        <f>'CS C C1-3'!I519</f>
        <v>0</v>
      </c>
      <c r="J519" s="233" t="s">
        <v>16</v>
      </c>
      <c r="K519" s="233" t="s">
        <v>147</v>
      </c>
      <c r="L519" s="237">
        <v>0.8</v>
      </c>
      <c r="M519" s="235">
        <f>I519*L519*$K$576</f>
        <v>0</v>
      </c>
      <c r="N519" s="238"/>
      <c r="O519" s="236" t="s">
        <v>543</v>
      </c>
      <c r="P519" s="236" t="s">
        <v>800</v>
      </c>
    </row>
    <row r="520" spans="1:16" hidden="1">
      <c r="A520" s="105"/>
      <c r="B520" s="105"/>
      <c r="C520" s="132"/>
      <c r="D520" s="125"/>
      <c r="E520" s="118"/>
      <c r="F520" s="124"/>
      <c r="G520" s="118"/>
      <c r="H520" s="118"/>
      <c r="I520" s="117"/>
      <c r="J520" s="117"/>
      <c r="K520" s="117"/>
      <c r="L520" s="117"/>
      <c r="M520" s="117"/>
      <c r="N520" s="120"/>
    </row>
    <row r="521" spans="1:16" hidden="1">
      <c r="A521" s="105"/>
      <c r="B521" s="105"/>
      <c r="C521" s="132"/>
      <c r="D521" s="125"/>
      <c r="E521" s="118"/>
      <c r="F521" s="124"/>
      <c r="G521" s="118"/>
      <c r="H521" s="118"/>
      <c r="I521" s="117"/>
      <c r="J521" s="117"/>
      <c r="K521" s="117"/>
      <c r="L521" s="117"/>
      <c r="M521" s="117"/>
      <c r="N521" s="120"/>
    </row>
    <row r="522" spans="1:16" hidden="1">
      <c r="A522" s="105"/>
      <c r="B522" s="105"/>
      <c r="C522" s="132"/>
      <c r="D522" s="125"/>
      <c r="E522" s="118"/>
      <c r="F522" s="124"/>
      <c r="G522" s="118"/>
      <c r="H522" s="118"/>
      <c r="I522" s="117"/>
      <c r="J522" s="117"/>
      <c r="K522" s="117"/>
      <c r="L522" s="117"/>
      <c r="M522" s="117"/>
      <c r="N522" s="120"/>
    </row>
    <row r="523" spans="1:16" hidden="1">
      <c r="D523" s="101"/>
      <c r="E523" s="101"/>
      <c r="G523" s="101"/>
      <c r="H523" s="101"/>
      <c r="I523" s="101"/>
      <c r="J523" s="101"/>
      <c r="M523" s="101"/>
    </row>
    <row r="524" spans="1:16" hidden="1">
      <c r="A524" s="109" t="str">
        <f>$A$4</f>
        <v xml:space="preserve">Please fill in Supplier Name </v>
      </c>
      <c r="B524" s="109" t="s">
        <v>160</v>
      </c>
      <c r="C524" s="115" t="s">
        <v>161</v>
      </c>
      <c r="D524" s="110"/>
      <c r="E524" s="110"/>
      <c r="F524" s="111"/>
      <c r="G524" s="112">
        <f>SUM(G525:G533)</f>
        <v>0</v>
      </c>
      <c r="H524" s="112">
        <f>SUM(H525:H533)</f>
        <v>0</v>
      </c>
      <c r="I524" s="113">
        <f>SUM(G524:H524)</f>
        <v>0</v>
      </c>
      <c r="J524" s="114" t="s">
        <v>16</v>
      </c>
      <c r="K524" s="114" t="s">
        <v>162</v>
      </c>
      <c r="L524" s="166">
        <v>0.5</v>
      </c>
      <c r="M524" s="144">
        <f>I524*L524*$K$576</f>
        <v>0</v>
      </c>
      <c r="N524" s="126" t="s">
        <v>69</v>
      </c>
      <c r="O524" s="116" t="s">
        <v>544</v>
      </c>
      <c r="P524" s="116" t="s">
        <v>805</v>
      </c>
    </row>
    <row r="525" spans="1:16" hidden="1">
      <c r="A525" s="105"/>
      <c r="B525" s="105"/>
      <c r="C525" s="131" t="s">
        <v>806</v>
      </c>
      <c r="D525" s="121">
        <v>60</v>
      </c>
      <c r="E525" s="117" t="s">
        <v>559</v>
      </c>
      <c r="F525" s="122"/>
      <c r="G525" s="117"/>
      <c r="H525" s="117"/>
      <c r="I525" s="117"/>
      <c r="J525" s="117"/>
      <c r="K525" s="117"/>
      <c r="L525" s="117"/>
      <c r="M525" s="117"/>
      <c r="N525" s="120"/>
    </row>
    <row r="526" spans="1:16" hidden="1">
      <c r="A526" s="105"/>
      <c r="B526" s="105"/>
      <c r="C526" s="131" t="s">
        <v>807</v>
      </c>
      <c r="D526" s="121">
        <v>12</v>
      </c>
      <c r="E526" s="117" t="s">
        <v>559</v>
      </c>
      <c r="F526" s="122"/>
      <c r="G526" s="117"/>
      <c r="H526" s="117"/>
      <c r="I526" s="117"/>
      <c r="J526" s="117"/>
      <c r="K526" s="117"/>
      <c r="L526" s="117"/>
      <c r="M526" s="117"/>
      <c r="N526" s="120"/>
    </row>
    <row r="527" spans="1:16" hidden="1">
      <c r="A527" s="105"/>
      <c r="B527" s="105"/>
      <c r="C527" s="131" t="s">
        <v>808</v>
      </c>
      <c r="D527" s="121">
        <v>12</v>
      </c>
      <c r="E527" s="117" t="s">
        <v>559</v>
      </c>
      <c r="F527" s="122"/>
      <c r="G527" s="117"/>
      <c r="H527" s="117"/>
      <c r="I527" s="117"/>
      <c r="J527" s="117"/>
      <c r="K527" s="117"/>
      <c r="L527" s="117"/>
      <c r="M527" s="117"/>
      <c r="N527" s="120"/>
    </row>
    <row r="528" spans="1:16" hidden="1">
      <c r="A528" s="105"/>
      <c r="B528" s="105"/>
      <c r="C528" s="131" t="s">
        <v>809</v>
      </c>
      <c r="D528" s="121">
        <v>20</v>
      </c>
      <c r="E528" s="117" t="s">
        <v>559</v>
      </c>
      <c r="F528" s="122"/>
      <c r="G528" s="117"/>
      <c r="H528" s="117"/>
      <c r="I528" s="117"/>
      <c r="J528" s="117"/>
      <c r="K528" s="117"/>
      <c r="L528" s="117"/>
      <c r="M528" s="117"/>
      <c r="N528" s="120"/>
    </row>
    <row r="529" spans="1:16" hidden="1">
      <c r="A529" s="105"/>
      <c r="B529" s="105"/>
      <c r="C529" s="131" t="s">
        <v>810</v>
      </c>
      <c r="D529" s="121">
        <v>10</v>
      </c>
      <c r="E529" s="117" t="s">
        <v>559</v>
      </c>
      <c r="F529" s="122"/>
      <c r="G529" s="117"/>
      <c r="H529" s="117"/>
      <c r="I529" s="117"/>
      <c r="J529" s="117"/>
      <c r="K529" s="117"/>
      <c r="L529" s="117"/>
      <c r="M529" s="117"/>
      <c r="N529" s="120"/>
    </row>
    <row r="530" spans="1:16" hidden="1">
      <c r="A530" s="105"/>
      <c r="B530" s="105"/>
      <c r="C530" s="131"/>
      <c r="D530" s="121"/>
      <c r="E530" s="117"/>
      <c r="F530" s="122"/>
      <c r="G530" s="117"/>
      <c r="H530" s="117"/>
      <c r="I530" s="117"/>
      <c r="J530" s="117"/>
      <c r="K530" s="117"/>
      <c r="L530" s="117"/>
      <c r="M530" s="117"/>
      <c r="N530" s="120"/>
    </row>
    <row r="531" spans="1:16" hidden="1">
      <c r="A531" s="105"/>
      <c r="B531" s="105"/>
      <c r="C531" s="131"/>
      <c r="D531" s="121"/>
      <c r="E531" s="117"/>
      <c r="F531" s="122"/>
      <c r="G531" s="117"/>
      <c r="H531" s="117"/>
      <c r="I531" s="117"/>
      <c r="J531" s="117"/>
      <c r="K531" s="117"/>
      <c r="L531" s="117"/>
      <c r="M531" s="117"/>
      <c r="N531" s="120"/>
    </row>
    <row r="532" spans="1:16" hidden="1">
      <c r="A532" s="105"/>
      <c r="B532" s="105"/>
      <c r="C532" s="131"/>
      <c r="D532" s="121"/>
      <c r="E532" s="117"/>
      <c r="F532" s="122"/>
      <c r="G532" s="117"/>
      <c r="H532" s="117"/>
      <c r="I532" s="117"/>
      <c r="J532" s="117"/>
      <c r="K532" s="117"/>
      <c r="L532" s="117"/>
      <c r="M532" s="117"/>
      <c r="N532" s="120"/>
    </row>
    <row r="533" spans="1:16" hidden="1">
      <c r="A533" s="105"/>
      <c r="B533" s="105"/>
      <c r="C533" s="131"/>
      <c r="D533" s="121"/>
      <c r="E533" s="117"/>
      <c r="F533" s="122"/>
      <c r="G533" s="117"/>
      <c r="H533" s="117"/>
      <c r="I533" s="117"/>
      <c r="J533" s="117"/>
      <c r="K533" s="117"/>
      <c r="L533" s="117"/>
      <c r="M533" s="117"/>
      <c r="N533" s="120"/>
    </row>
    <row r="534" spans="1:16" hidden="1">
      <c r="D534" s="101"/>
      <c r="E534" s="101"/>
      <c r="G534" s="101"/>
      <c r="H534" s="101"/>
      <c r="I534" s="101"/>
      <c r="J534" s="101"/>
      <c r="M534" s="101"/>
    </row>
    <row r="535" spans="1:16">
      <c r="A535" s="185" t="str">
        <f>$A$4</f>
        <v xml:space="preserve">Please fill in Supplier Name </v>
      </c>
      <c r="B535" s="185" t="s">
        <v>163</v>
      </c>
      <c r="C535" s="186" t="s">
        <v>164</v>
      </c>
      <c r="D535" s="187"/>
      <c r="E535" s="187"/>
      <c r="F535" s="188"/>
      <c r="G535" s="189">
        <f>'CS C C1-3'!G535</f>
        <v>0</v>
      </c>
      <c r="H535" s="189">
        <f>'CS C C1-3'!H535</f>
        <v>0</v>
      </c>
      <c r="I535" s="190">
        <f>'CS C C1-3'!I535</f>
        <v>0</v>
      </c>
      <c r="J535" s="191" t="s">
        <v>16</v>
      </c>
      <c r="K535" s="191" t="s">
        <v>162</v>
      </c>
      <c r="L535" s="195">
        <v>0.5</v>
      </c>
      <c r="M535" s="193">
        <f>I535*L535*$K$576</f>
        <v>0</v>
      </c>
      <c r="N535" s="196" t="s">
        <v>69</v>
      </c>
      <c r="O535" s="194" t="s">
        <v>532</v>
      </c>
      <c r="P535" s="194" t="s">
        <v>805</v>
      </c>
    </row>
    <row r="536" spans="1:16" hidden="1">
      <c r="A536" s="105"/>
      <c r="B536" s="105"/>
      <c r="C536" s="132"/>
      <c r="D536" s="125"/>
      <c r="E536" s="118"/>
      <c r="F536" s="124"/>
      <c r="G536" s="118"/>
      <c r="H536" s="118"/>
      <c r="I536" s="117"/>
      <c r="J536" s="117"/>
      <c r="K536" s="117"/>
      <c r="L536" s="117"/>
      <c r="M536" s="117"/>
      <c r="N536" s="120"/>
    </row>
    <row r="537" spans="1:16" hidden="1">
      <c r="A537" s="105"/>
      <c r="B537" s="105"/>
      <c r="C537" s="132"/>
      <c r="D537" s="125"/>
      <c r="E537" s="118"/>
      <c r="F537" s="124"/>
      <c r="G537" s="118"/>
      <c r="H537" s="118"/>
      <c r="I537" s="117"/>
      <c r="J537" s="117"/>
      <c r="K537" s="117"/>
      <c r="L537" s="117"/>
      <c r="M537" s="117"/>
      <c r="N537" s="120"/>
    </row>
    <row r="538" spans="1:16" hidden="1">
      <c r="A538" s="105"/>
      <c r="B538" s="105"/>
      <c r="C538" s="132"/>
      <c r="D538" s="125"/>
      <c r="E538" s="118"/>
      <c r="F538" s="124"/>
      <c r="G538" s="118"/>
      <c r="H538" s="118"/>
      <c r="I538" s="117"/>
      <c r="J538" s="117"/>
      <c r="K538" s="117"/>
      <c r="L538" s="117"/>
      <c r="M538" s="117"/>
      <c r="N538" s="120"/>
    </row>
    <row r="539" spans="1:16" hidden="1">
      <c r="A539" s="105"/>
      <c r="B539" s="105"/>
      <c r="C539" s="132"/>
      <c r="D539" s="125"/>
      <c r="E539" s="118"/>
      <c r="F539" s="124"/>
      <c r="G539" s="118"/>
      <c r="H539" s="118"/>
      <c r="I539" s="117"/>
      <c r="J539" s="117"/>
      <c r="K539" s="117"/>
      <c r="L539" s="117"/>
      <c r="M539" s="117"/>
      <c r="N539" s="120"/>
    </row>
    <row r="540" spans="1:16" hidden="1">
      <c r="A540" s="105"/>
      <c r="B540" s="105"/>
      <c r="C540" s="132"/>
      <c r="D540" s="125"/>
      <c r="E540" s="118"/>
      <c r="F540" s="124"/>
      <c r="G540" s="118"/>
      <c r="H540" s="118"/>
      <c r="I540" s="117"/>
      <c r="J540" s="117"/>
      <c r="K540" s="117"/>
      <c r="L540" s="117"/>
      <c r="M540" s="117"/>
      <c r="N540" s="120"/>
    </row>
    <row r="541" spans="1:16" hidden="1">
      <c r="A541" s="105"/>
      <c r="B541" s="105"/>
      <c r="C541" s="132"/>
      <c r="D541" s="125"/>
      <c r="E541" s="118"/>
      <c r="F541" s="124"/>
      <c r="G541" s="118"/>
      <c r="H541" s="118"/>
      <c r="I541" s="117"/>
      <c r="J541" s="117"/>
      <c r="K541" s="117"/>
      <c r="L541" s="117"/>
      <c r="M541" s="117"/>
      <c r="N541" s="120"/>
    </row>
    <row r="542" spans="1:16" hidden="1">
      <c r="A542" s="105"/>
      <c r="B542" s="105"/>
      <c r="C542" s="132"/>
      <c r="D542" s="125"/>
      <c r="E542" s="118"/>
      <c r="F542" s="124"/>
      <c r="G542" s="118"/>
      <c r="H542" s="118"/>
      <c r="I542" s="117"/>
      <c r="J542" s="117"/>
      <c r="K542" s="117"/>
      <c r="L542" s="117"/>
      <c r="M542" s="117"/>
      <c r="N542" s="120"/>
    </row>
    <row r="543" spans="1:16" hidden="1">
      <c r="A543" s="105"/>
      <c r="B543" s="105"/>
      <c r="C543" s="132"/>
      <c r="D543" s="125"/>
      <c r="E543" s="118"/>
      <c r="F543" s="124"/>
      <c r="G543" s="118"/>
      <c r="H543" s="118"/>
      <c r="I543" s="117"/>
      <c r="J543" s="117"/>
      <c r="K543" s="117"/>
      <c r="L543" s="117"/>
      <c r="M543" s="117"/>
      <c r="N543" s="120"/>
    </row>
    <row r="544" spans="1:16" hidden="1">
      <c r="A544" s="105"/>
      <c r="B544" s="105"/>
      <c r="C544" s="132"/>
      <c r="D544" s="125"/>
      <c r="E544" s="118"/>
      <c r="F544" s="124"/>
      <c r="G544" s="118"/>
      <c r="H544" s="118"/>
      <c r="I544" s="117"/>
      <c r="J544" s="117"/>
      <c r="K544" s="117"/>
      <c r="L544" s="117"/>
      <c r="M544" s="117"/>
      <c r="N544" s="120"/>
    </row>
    <row r="545" spans="1:16" hidden="1">
      <c r="D545" s="101"/>
      <c r="E545" s="101"/>
      <c r="G545" s="101"/>
      <c r="H545" s="101"/>
      <c r="I545" s="101"/>
      <c r="J545" s="101"/>
      <c r="M545" s="101"/>
    </row>
    <row r="546" spans="1:16">
      <c r="A546" s="227" t="str">
        <f>$A$4</f>
        <v xml:space="preserve">Please fill in Supplier Name </v>
      </c>
      <c r="B546" s="227" t="s">
        <v>165</v>
      </c>
      <c r="C546" s="228" t="s">
        <v>166</v>
      </c>
      <c r="D546" s="229"/>
      <c r="E546" s="229"/>
      <c r="F546" s="230"/>
      <c r="G546" s="231">
        <f>'CS C C1-3'!G546</f>
        <v>0</v>
      </c>
      <c r="H546" s="231">
        <f>'CS C C1-3'!H546</f>
        <v>0</v>
      </c>
      <c r="I546" s="232">
        <f>'CS C C1-3'!I546</f>
        <v>0</v>
      </c>
      <c r="J546" s="233" t="s">
        <v>16</v>
      </c>
      <c r="K546" s="233" t="s">
        <v>162</v>
      </c>
      <c r="L546" s="237">
        <v>0.5</v>
      </c>
      <c r="M546" s="235">
        <f>I546*L546*$K$576</f>
        <v>0</v>
      </c>
      <c r="N546" s="238" t="s">
        <v>69</v>
      </c>
      <c r="O546" s="236" t="s">
        <v>543</v>
      </c>
      <c r="P546" s="236" t="s">
        <v>805</v>
      </c>
    </row>
    <row r="547" spans="1:16" hidden="1">
      <c r="A547" s="105"/>
      <c r="B547" s="105"/>
      <c r="C547" s="132"/>
      <c r="D547" s="125"/>
      <c r="E547" s="118"/>
      <c r="F547" s="124"/>
      <c r="G547" s="118"/>
      <c r="H547" s="118"/>
      <c r="I547" s="117"/>
      <c r="J547" s="117"/>
      <c r="K547" s="117"/>
      <c r="L547" s="117"/>
      <c r="M547" s="117"/>
      <c r="N547" s="120"/>
    </row>
    <row r="548" spans="1:16" hidden="1">
      <c r="A548" s="105"/>
      <c r="B548" s="105"/>
      <c r="C548" s="132"/>
      <c r="D548" s="125"/>
      <c r="E548" s="118"/>
      <c r="F548" s="124"/>
      <c r="G548" s="118"/>
      <c r="H548" s="118"/>
      <c r="I548" s="117"/>
      <c r="J548" s="117"/>
      <c r="K548" s="117"/>
      <c r="L548" s="117"/>
      <c r="M548" s="117"/>
      <c r="N548" s="120"/>
    </row>
    <row r="549" spans="1:16" hidden="1">
      <c r="A549" s="105"/>
      <c r="B549" s="105"/>
      <c r="C549" s="132"/>
      <c r="D549" s="125"/>
      <c r="E549" s="118"/>
      <c r="F549" s="124"/>
      <c r="G549" s="118"/>
      <c r="H549" s="118"/>
      <c r="I549" s="117"/>
      <c r="J549" s="117"/>
      <c r="K549" s="117"/>
      <c r="L549" s="117"/>
      <c r="M549" s="117"/>
      <c r="N549" s="120"/>
    </row>
    <row r="550" spans="1:16" hidden="1">
      <c r="A550" s="105"/>
      <c r="B550" s="105"/>
      <c r="C550" s="132"/>
      <c r="D550" s="125"/>
      <c r="E550" s="118"/>
      <c r="F550" s="124"/>
      <c r="G550" s="118"/>
      <c r="H550" s="118"/>
      <c r="I550" s="117"/>
      <c r="J550" s="117"/>
      <c r="K550" s="117"/>
      <c r="L550" s="117"/>
      <c r="M550" s="117"/>
      <c r="N550" s="120"/>
    </row>
    <row r="551" spans="1:16" hidden="1">
      <c r="A551" s="105"/>
      <c r="B551" s="105"/>
      <c r="C551" s="132"/>
      <c r="D551" s="125"/>
      <c r="E551" s="118"/>
      <c r="F551" s="124"/>
      <c r="G551" s="118"/>
      <c r="H551" s="118"/>
      <c r="I551" s="117"/>
      <c r="J551" s="117"/>
      <c r="K551" s="117"/>
      <c r="L551" s="117"/>
      <c r="M551" s="117"/>
      <c r="N551" s="120"/>
    </row>
    <row r="552" spans="1:16" hidden="1">
      <c r="A552" s="105"/>
      <c r="B552" s="105"/>
      <c r="C552" s="132"/>
      <c r="D552" s="125"/>
      <c r="E552" s="118"/>
      <c r="F552" s="124"/>
      <c r="G552" s="118"/>
      <c r="H552" s="118"/>
      <c r="I552" s="117"/>
      <c r="J552" s="117"/>
      <c r="K552" s="117"/>
      <c r="L552" s="117"/>
      <c r="M552" s="117"/>
      <c r="N552" s="120"/>
    </row>
    <row r="553" spans="1:16" hidden="1">
      <c r="A553" s="105"/>
      <c r="B553" s="105"/>
      <c r="C553" s="132"/>
      <c r="D553" s="125"/>
      <c r="E553" s="118"/>
      <c r="F553" s="124"/>
      <c r="G553" s="118"/>
      <c r="H553" s="118"/>
      <c r="I553" s="117"/>
      <c r="J553" s="117"/>
      <c r="K553" s="117"/>
      <c r="L553" s="117"/>
      <c r="M553" s="117"/>
      <c r="N553" s="120"/>
    </row>
    <row r="554" spans="1:16" hidden="1">
      <c r="A554" s="105"/>
      <c r="B554" s="105"/>
      <c r="C554" s="132"/>
      <c r="D554" s="125"/>
      <c r="E554" s="118"/>
      <c r="F554" s="124"/>
      <c r="G554" s="118"/>
      <c r="H554" s="118"/>
      <c r="I554" s="117"/>
      <c r="J554" s="117"/>
      <c r="K554" s="117"/>
      <c r="L554" s="117"/>
      <c r="M554" s="117"/>
      <c r="N554" s="120"/>
    </row>
    <row r="555" spans="1:16" hidden="1">
      <c r="A555" s="105"/>
      <c r="B555" s="105"/>
      <c r="C555" s="132"/>
      <c r="D555" s="125"/>
      <c r="E555" s="118"/>
      <c r="F555" s="124"/>
      <c r="G555" s="118"/>
      <c r="H555" s="118"/>
      <c r="I555" s="117"/>
      <c r="J555" s="117"/>
      <c r="K555" s="117"/>
      <c r="L555" s="117"/>
      <c r="M555" s="117"/>
      <c r="N555" s="120"/>
    </row>
    <row r="556" spans="1:16" hidden="1">
      <c r="D556" s="101"/>
      <c r="E556" s="101"/>
      <c r="G556" s="101"/>
      <c r="H556" s="101"/>
      <c r="I556" s="101"/>
      <c r="J556" s="101"/>
      <c r="M556" s="101"/>
    </row>
    <row r="557" spans="1:16">
      <c r="A557" s="227" t="str">
        <f t="shared" ref="A557:A569" si="0">$A$4</f>
        <v xml:space="preserve">Please fill in Supplier Name </v>
      </c>
      <c r="B557" s="228" t="s">
        <v>318</v>
      </c>
      <c r="C557" s="228" t="s">
        <v>319</v>
      </c>
      <c r="D557" s="239">
        <v>1</v>
      </c>
      <c r="E557" s="239" t="s">
        <v>535</v>
      </c>
      <c r="F557" s="230"/>
      <c r="G557" s="231">
        <f>'CS C C1-3'!G557</f>
        <v>0</v>
      </c>
      <c r="H557" s="231">
        <f>'CS C C1-3'!H557</f>
        <v>0</v>
      </c>
      <c r="I557" s="232">
        <f>'CS C C1-3'!I557</f>
        <v>0</v>
      </c>
      <c r="J557" s="233" t="s">
        <v>16</v>
      </c>
      <c r="K557" s="237">
        <v>1</v>
      </c>
      <c r="L557" s="237">
        <v>1</v>
      </c>
      <c r="M557" s="235">
        <f t="shared" ref="M557:M569" si="1">I557*L557*$K$576</f>
        <v>0</v>
      </c>
      <c r="N557" s="238"/>
      <c r="O557" s="236" t="s">
        <v>543</v>
      </c>
      <c r="P557" s="240" t="s">
        <v>819</v>
      </c>
    </row>
    <row r="558" spans="1:16">
      <c r="A558" s="227" t="str">
        <f t="shared" si="0"/>
        <v xml:space="preserve">Please fill in Supplier Name </v>
      </c>
      <c r="B558" s="228" t="s">
        <v>320</v>
      </c>
      <c r="C558" s="228" t="s">
        <v>321</v>
      </c>
      <c r="D558" s="239">
        <v>1</v>
      </c>
      <c r="E558" s="239" t="s">
        <v>535</v>
      </c>
      <c r="F558" s="230"/>
      <c r="G558" s="231">
        <f>'CS C C1-3'!G558</f>
        <v>0</v>
      </c>
      <c r="H558" s="231">
        <f>'CS C C1-3'!H558</f>
        <v>0</v>
      </c>
      <c r="I558" s="232">
        <f>'CS C C1-3'!I558</f>
        <v>0</v>
      </c>
      <c r="J558" s="233" t="s">
        <v>16</v>
      </c>
      <c r="K558" s="237">
        <v>1</v>
      </c>
      <c r="L558" s="237">
        <v>1</v>
      </c>
      <c r="M558" s="235">
        <f t="shared" si="1"/>
        <v>0</v>
      </c>
      <c r="N558" s="238"/>
      <c r="O558" s="236" t="s">
        <v>543</v>
      </c>
      <c r="P558" s="240" t="s">
        <v>819</v>
      </c>
    </row>
    <row r="559" spans="1:16">
      <c r="A559" s="227" t="str">
        <f t="shared" si="0"/>
        <v xml:space="preserve">Please fill in Supplier Name </v>
      </c>
      <c r="B559" s="228" t="s">
        <v>322</v>
      </c>
      <c r="C559" s="228" t="s">
        <v>323</v>
      </c>
      <c r="D559" s="239">
        <v>1</v>
      </c>
      <c r="E559" s="239" t="s">
        <v>535</v>
      </c>
      <c r="F559" s="230"/>
      <c r="G559" s="231">
        <f>'CS C C1-3'!G559</f>
        <v>0</v>
      </c>
      <c r="H559" s="231">
        <f>'CS C C1-3'!H559</f>
        <v>0</v>
      </c>
      <c r="I559" s="232">
        <f>'CS C C1-3'!I559</f>
        <v>0</v>
      </c>
      <c r="J559" s="233" t="s">
        <v>16</v>
      </c>
      <c r="K559" s="237">
        <v>1</v>
      </c>
      <c r="L559" s="237">
        <v>1</v>
      </c>
      <c r="M559" s="235">
        <f t="shared" si="1"/>
        <v>0</v>
      </c>
      <c r="N559" s="238"/>
      <c r="O559" s="236" t="s">
        <v>543</v>
      </c>
      <c r="P559" s="240" t="s">
        <v>819</v>
      </c>
    </row>
    <row r="560" spans="1:16" ht="13.15" customHeight="1">
      <c r="A560" s="227" t="str">
        <f t="shared" si="0"/>
        <v xml:space="preserve">Please fill in Supplier Name </v>
      </c>
      <c r="B560" s="228" t="s">
        <v>324</v>
      </c>
      <c r="C560" s="228" t="s">
        <v>325</v>
      </c>
      <c r="D560" s="239">
        <v>1</v>
      </c>
      <c r="E560" s="239" t="s">
        <v>535</v>
      </c>
      <c r="F560" s="230"/>
      <c r="G560" s="231">
        <f>'CS C C1-3'!G560</f>
        <v>0</v>
      </c>
      <c r="H560" s="231">
        <f>'CS C C1-3'!H560</f>
        <v>0</v>
      </c>
      <c r="I560" s="232">
        <f>'CS C C1-3'!I560</f>
        <v>0</v>
      </c>
      <c r="J560" s="233" t="s">
        <v>16</v>
      </c>
      <c r="K560" s="237">
        <v>1</v>
      </c>
      <c r="L560" s="237">
        <v>1</v>
      </c>
      <c r="M560" s="235">
        <f t="shared" si="1"/>
        <v>0</v>
      </c>
      <c r="N560" s="238"/>
      <c r="O560" s="236" t="s">
        <v>543</v>
      </c>
      <c r="P560" s="240" t="s">
        <v>819</v>
      </c>
    </row>
    <row r="561" spans="1:16">
      <c r="A561" s="227" t="str">
        <f t="shared" si="0"/>
        <v xml:space="preserve">Please fill in Supplier Name </v>
      </c>
      <c r="B561" s="228" t="s">
        <v>326</v>
      </c>
      <c r="C561" s="228" t="s">
        <v>327</v>
      </c>
      <c r="D561" s="239">
        <v>1</v>
      </c>
      <c r="E561" s="239" t="s">
        <v>535</v>
      </c>
      <c r="F561" s="230"/>
      <c r="G561" s="231">
        <f>'CS C C1-3'!G561</f>
        <v>0</v>
      </c>
      <c r="H561" s="231">
        <f>'CS C C1-3'!H561</f>
        <v>0</v>
      </c>
      <c r="I561" s="232">
        <f>'CS C C1-3'!I561</f>
        <v>0</v>
      </c>
      <c r="J561" s="233" t="s">
        <v>16</v>
      </c>
      <c r="K561" s="237">
        <v>1</v>
      </c>
      <c r="L561" s="237">
        <v>1</v>
      </c>
      <c r="M561" s="235">
        <f t="shared" si="1"/>
        <v>0</v>
      </c>
      <c r="N561" s="238"/>
      <c r="O561" s="236" t="s">
        <v>543</v>
      </c>
      <c r="P561" s="240" t="s">
        <v>819</v>
      </c>
    </row>
    <row r="562" spans="1:16">
      <c r="A562" s="227" t="str">
        <f t="shared" si="0"/>
        <v xml:space="preserve">Please fill in Supplier Name </v>
      </c>
      <c r="B562" s="228" t="s">
        <v>328</v>
      </c>
      <c r="C562" s="228" t="s">
        <v>329</v>
      </c>
      <c r="D562" s="239">
        <v>1</v>
      </c>
      <c r="E562" s="239" t="s">
        <v>535</v>
      </c>
      <c r="F562" s="230"/>
      <c r="G562" s="231">
        <f>'CS C C1-3'!G562</f>
        <v>0</v>
      </c>
      <c r="H562" s="231">
        <f>'CS C C1-3'!H562</f>
        <v>0</v>
      </c>
      <c r="I562" s="232">
        <f>'CS C C1-3'!I562</f>
        <v>0</v>
      </c>
      <c r="J562" s="233" t="s">
        <v>16</v>
      </c>
      <c r="K562" s="237">
        <v>1</v>
      </c>
      <c r="L562" s="237">
        <v>1</v>
      </c>
      <c r="M562" s="235">
        <f t="shared" si="1"/>
        <v>0</v>
      </c>
      <c r="N562" s="238"/>
      <c r="O562" s="236" t="s">
        <v>543</v>
      </c>
      <c r="P562" s="240" t="s">
        <v>819</v>
      </c>
    </row>
    <row r="563" spans="1:16">
      <c r="A563" s="227" t="str">
        <f t="shared" si="0"/>
        <v xml:space="preserve">Please fill in Supplier Name </v>
      </c>
      <c r="B563" s="228" t="s">
        <v>330</v>
      </c>
      <c r="C563" s="228" t="s">
        <v>331</v>
      </c>
      <c r="D563" s="239">
        <v>1</v>
      </c>
      <c r="E563" s="239" t="s">
        <v>535</v>
      </c>
      <c r="F563" s="230"/>
      <c r="G563" s="231">
        <f>'CS C C1-3'!G563</f>
        <v>0</v>
      </c>
      <c r="H563" s="231">
        <f>'CS C C1-3'!H563</f>
        <v>0</v>
      </c>
      <c r="I563" s="232">
        <f>'CS C C1-3'!I563</f>
        <v>0</v>
      </c>
      <c r="J563" s="233" t="s">
        <v>16</v>
      </c>
      <c r="K563" s="237">
        <v>1</v>
      </c>
      <c r="L563" s="237">
        <v>1</v>
      </c>
      <c r="M563" s="235">
        <f t="shared" si="1"/>
        <v>0</v>
      </c>
      <c r="N563" s="238"/>
      <c r="O563" s="236" t="s">
        <v>543</v>
      </c>
      <c r="P563" s="240" t="s">
        <v>819</v>
      </c>
    </row>
    <row r="564" spans="1:16">
      <c r="A564" s="227" t="str">
        <f t="shared" si="0"/>
        <v xml:space="preserve">Please fill in Supplier Name </v>
      </c>
      <c r="B564" s="228" t="s">
        <v>332</v>
      </c>
      <c r="C564" s="228" t="s">
        <v>333</v>
      </c>
      <c r="D564" s="239">
        <v>1</v>
      </c>
      <c r="E564" s="239" t="s">
        <v>535</v>
      </c>
      <c r="F564" s="230"/>
      <c r="G564" s="231">
        <f>'CS C C1-3'!G564</f>
        <v>0</v>
      </c>
      <c r="H564" s="231">
        <f>'CS C C1-3'!H564</f>
        <v>0</v>
      </c>
      <c r="I564" s="232">
        <f>'CS C C1-3'!I564</f>
        <v>0</v>
      </c>
      <c r="J564" s="233" t="s">
        <v>16</v>
      </c>
      <c r="K564" s="237">
        <v>1</v>
      </c>
      <c r="L564" s="237">
        <v>1</v>
      </c>
      <c r="M564" s="235">
        <f t="shared" si="1"/>
        <v>0</v>
      </c>
      <c r="N564" s="238"/>
      <c r="O564" s="236" t="s">
        <v>543</v>
      </c>
      <c r="P564" s="240" t="s">
        <v>819</v>
      </c>
    </row>
    <row r="565" spans="1:16">
      <c r="A565" s="227" t="str">
        <f t="shared" si="0"/>
        <v xml:space="preserve">Please fill in Supplier Name </v>
      </c>
      <c r="B565" s="228" t="s">
        <v>334</v>
      </c>
      <c r="C565" s="228" t="s">
        <v>335</v>
      </c>
      <c r="D565" s="239">
        <v>1</v>
      </c>
      <c r="E565" s="239" t="s">
        <v>535</v>
      </c>
      <c r="F565" s="230"/>
      <c r="G565" s="231">
        <f>'CS C C1-3'!G565</f>
        <v>0</v>
      </c>
      <c r="H565" s="231">
        <f>'CS C C1-3'!H565</f>
        <v>0</v>
      </c>
      <c r="I565" s="232">
        <f>'CS C C1-3'!I565</f>
        <v>0</v>
      </c>
      <c r="J565" s="233" t="s">
        <v>16</v>
      </c>
      <c r="K565" s="237">
        <v>1</v>
      </c>
      <c r="L565" s="237">
        <v>1</v>
      </c>
      <c r="M565" s="235">
        <f t="shared" si="1"/>
        <v>0</v>
      </c>
      <c r="N565" s="238"/>
      <c r="O565" s="236" t="s">
        <v>543</v>
      </c>
      <c r="P565" s="240" t="s">
        <v>819</v>
      </c>
    </row>
    <row r="566" spans="1:16">
      <c r="A566" s="227" t="str">
        <f t="shared" si="0"/>
        <v xml:space="preserve">Please fill in Supplier Name </v>
      </c>
      <c r="B566" s="228" t="s">
        <v>336</v>
      </c>
      <c r="C566" s="228" t="s">
        <v>337</v>
      </c>
      <c r="D566" s="239">
        <v>1</v>
      </c>
      <c r="E566" s="239" t="s">
        <v>535</v>
      </c>
      <c r="F566" s="230"/>
      <c r="G566" s="231">
        <f>'CS C C1-3'!G566</f>
        <v>0</v>
      </c>
      <c r="H566" s="231">
        <f>'CS C C1-3'!H566</f>
        <v>0</v>
      </c>
      <c r="I566" s="232">
        <f>'CS C C1-3'!I566</f>
        <v>0</v>
      </c>
      <c r="J566" s="233" t="s">
        <v>16</v>
      </c>
      <c r="K566" s="237">
        <v>1</v>
      </c>
      <c r="L566" s="237">
        <v>1</v>
      </c>
      <c r="M566" s="235">
        <f t="shared" si="1"/>
        <v>0</v>
      </c>
      <c r="N566" s="238"/>
      <c r="O566" s="236" t="s">
        <v>543</v>
      </c>
      <c r="P566" s="240" t="s">
        <v>819</v>
      </c>
    </row>
    <row r="567" spans="1:16">
      <c r="A567" s="227" t="str">
        <f t="shared" si="0"/>
        <v xml:space="preserve">Please fill in Supplier Name </v>
      </c>
      <c r="B567" s="227" t="s">
        <v>239</v>
      </c>
      <c r="C567" s="228" t="s">
        <v>240</v>
      </c>
      <c r="D567" s="239">
        <v>1</v>
      </c>
      <c r="E567" s="239" t="s">
        <v>535</v>
      </c>
      <c r="F567" s="230"/>
      <c r="G567" s="231">
        <f>'CS C C1-3'!G567</f>
        <v>0</v>
      </c>
      <c r="H567" s="231">
        <f>'CS C C1-3'!H567</f>
        <v>0</v>
      </c>
      <c r="I567" s="232">
        <f>'CS C C1-3'!I567</f>
        <v>0</v>
      </c>
      <c r="J567" s="233" t="s">
        <v>16</v>
      </c>
      <c r="K567" s="237">
        <v>1</v>
      </c>
      <c r="L567" s="237">
        <v>1</v>
      </c>
      <c r="M567" s="235">
        <f t="shared" si="1"/>
        <v>0</v>
      </c>
      <c r="N567" s="238"/>
      <c r="O567" s="236" t="s">
        <v>543</v>
      </c>
      <c r="P567" s="236" t="s">
        <v>830</v>
      </c>
    </row>
    <row r="568" spans="1:16">
      <c r="A568" s="227" t="str">
        <f t="shared" si="0"/>
        <v xml:space="preserve">Please fill in Supplier Name </v>
      </c>
      <c r="B568" s="227" t="s">
        <v>242</v>
      </c>
      <c r="C568" s="228" t="s">
        <v>243</v>
      </c>
      <c r="D568" s="239">
        <v>1</v>
      </c>
      <c r="E568" s="239" t="s">
        <v>535</v>
      </c>
      <c r="F568" s="230"/>
      <c r="G568" s="231">
        <f>'CS C C1-3'!G568</f>
        <v>0</v>
      </c>
      <c r="H568" s="231">
        <f>'CS C C1-3'!H568</f>
        <v>0</v>
      </c>
      <c r="I568" s="232">
        <f>'CS C C1-3'!I568</f>
        <v>0</v>
      </c>
      <c r="J568" s="233" t="s">
        <v>16</v>
      </c>
      <c r="K568" s="237">
        <v>1</v>
      </c>
      <c r="L568" s="237">
        <v>1</v>
      </c>
      <c r="M568" s="235">
        <f t="shared" si="1"/>
        <v>0</v>
      </c>
      <c r="N568" s="238"/>
      <c r="O568" s="236" t="s">
        <v>543</v>
      </c>
      <c r="P568" s="236" t="s">
        <v>830</v>
      </c>
    </row>
    <row r="569" spans="1:16">
      <c r="A569" s="185" t="str">
        <f t="shared" si="0"/>
        <v xml:space="preserve">Please fill in Supplier Name </v>
      </c>
      <c r="B569" s="185" t="s">
        <v>268</v>
      </c>
      <c r="C569" s="186" t="s">
        <v>269</v>
      </c>
      <c r="D569" s="197">
        <v>1</v>
      </c>
      <c r="E569" s="197" t="s">
        <v>535</v>
      </c>
      <c r="F569" s="188"/>
      <c r="G569" s="189"/>
      <c r="H569" s="189"/>
      <c r="I569" s="198">
        <f>'CS C C1-3'!I569</f>
        <v>0</v>
      </c>
      <c r="J569" s="191" t="s">
        <v>16</v>
      </c>
      <c r="K569" s="191">
        <v>1</v>
      </c>
      <c r="L569" s="195">
        <v>1</v>
      </c>
      <c r="M569" s="193">
        <f t="shared" si="1"/>
        <v>0</v>
      </c>
      <c r="N569" s="185"/>
      <c r="O569" s="199" t="s">
        <v>999</v>
      </c>
      <c r="P569" s="194"/>
    </row>
    <row r="573" spans="1:16" ht="13.9" thickBot="1"/>
    <row r="574" spans="1:16" ht="13.9" thickBot="1">
      <c r="I574" s="289" t="s">
        <v>1181</v>
      </c>
      <c r="J574" s="290" t="s">
        <v>1182</v>
      </c>
      <c r="K574" s="291" t="s">
        <v>16</v>
      </c>
      <c r="L574" s="260" t="s">
        <v>1183</v>
      </c>
      <c r="M574" s="225">
        <f>M4+M31+M46+M61+M82+M115+M142+M163+M196+M229+M256+M271+M286+M301+M322+M349+M364+M379+M394+M409+M419+M454+M487+M514+M535+M569</f>
        <v>59.959999999999994</v>
      </c>
      <c r="N574" s="150" t="s">
        <v>1184</v>
      </c>
      <c r="O574" s="150"/>
    </row>
    <row r="575" spans="1:16" ht="13.9" thickBot="1">
      <c r="I575" s="292">
        <v>0.85</v>
      </c>
      <c r="J575" s="293">
        <v>330</v>
      </c>
      <c r="K575" s="294">
        <v>27</v>
      </c>
      <c r="L575" s="261">
        <v>40</v>
      </c>
      <c r="M575" s="225">
        <f>M574/$K$576</f>
        <v>1.7635294117647058</v>
      </c>
      <c r="N575" s="150" t="s">
        <v>1185</v>
      </c>
      <c r="O575" s="150"/>
    </row>
    <row r="576" spans="1:16" ht="13.9" thickBot="1">
      <c r="I576" s="295">
        <v>0.85</v>
      </c>
      <c r="J576" s="296">
        <v>350</v>
      </c>
      <c r="K576" s="297">
        <v>34</v>
      </c>
      <c r="M576" s="170"/>
    </row>
    <row r="577" spans="13:15" ht="14.45" thickBot="1">
      <c r="M577" s="241">
        <f>M4+M31+M46+M61+M82+M115+M142+M163+M196+M229+M256+M271+M286+M301+M322+M349+M364+M379+M394+M409+M419+M454+M487+M514+M535+M569</f>
        <v>59.959999999999994</v>
      </c>
      <c r="N577" s="169" t="s">
        <v>1184</v>
      </c>
      <c r="O577" s="149"/>
    </row>
    <row r="578" spans="13:15" ht="14.45" thickBot="1">
      <c r="M578" s="241">
        <f>M577/$K$576</f>
        <v>1.7635294117647058</v>
      </c>
      <c r="N578" s="150" t="s">
        <v>1186</v>
      </c>
      <c r="O578" s="148"/>
    </row>
    <row r="579" spans="13:15" ht="13.9">
      <c r="O579" s="148"/>
    </row>
  </sheetData>
  <sheetProtection algorithmName="SHA-512" hashValue="LjyPmX/Qp9mSEMEUXCRBuHxwa4jvnECbiL4gFZH0rcI63T/SyUrR2bSH7RMc4hwt23vwDP7xYvj5NKsxdybldQ==" saltValue="X5JlWUEXzqFfJ50UTjLTIQ==" spinCount="100000" sheet="1" objects="1" scenarios="1"/>
  <autoFilter ref="A3:P569" xr:uid="{0F9FFDE2-1A8B-421A-A516-2AEDF6A584F3}">
    <filterColumn colId="1">
      <customFilters>
        <customFilter operator="notEqual" val=" "/>
      </customFilters>
    </filterColumn>
    <filterColumn colId="14">
      <filters>
        <filter val="C2"/>
        <filter val="C2, C3"/>
        <filter val="C3"/>
      </filters>
    </filterColumn>
  </autoFilter>
  <conditionalFormatting sqref="M575">
    <cfRule type="cellIs" dxfId="3" priority="1" operator="greaterThan">
      <formula>$L$575</formula>
    </cfRule>
  </conditionalFormatting>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F4DD8-6FE3-4455-A06C-E95D22AC5CFC}">
  <sheetPr filterMode="1">
    <tabColor rgb="FFFFFF00"/>
  </sheetPr>
  <dimension ref="A1:P240"/>
  <sheetViews>
    <sheetView showGridLines="0" zoomScale="70" zoomScaleNormal="70" workbookViewId="0">
      <pane ySplit="3" topLeftCell="A4" activePane="bottomLeft" state="frozen"/>
      <selection pane="bottomLeft" activeCell="L232" sqref="L232"/>
      <selection activeCell="L255" sqref="L255"/>
    </sheetView>
  </sheetViews>
  <sheetFormatPr defaultColWidth="7.75" defaultRowHeight="13.15"/>
  <cols>
    <col min="1" max="1" width="30.625" style="1" customWidth="1"/>
    <col min="2" max="2" width="23.75" style="1" bestFit="1" customWidth="1"/>
    <col min="3" max="3" width="43.75" style="1" customWidth="1"/>
    <col min="4" max="4" width="8.5" style="2" customWidth="1"/>
    <col min="5" max="5" width="4.25" style="2" customWidth="1"/>
    <col min="6" max="6" width="50.625" style="53" customWidth="1"/>
    <col min="7" max="7" width="8.625" style="2" customWidth="1"/>
    <col min="8" max="8" width="8.875" style="2" customWidth="1"/>
    <col min="9" max="9" width="11.375" style="2" customWidth="1"/>
    <col min="10" max="10" width="8.75" style="2" customWidth="1"/>
    <col min="11" max="13" width="15.25" style="1" customWidth="1"/>
    <col min="14" max="14" width="13.875" style="1" customWidth="1"/>
    <col min="15" max="15" width="7.75" style="1"/>
    <col min="16" max="16" width="88.5" style="1" bestFit="1" customWidth="1"/>
    <col min="17" max="16384" width="7.75" style="1"/>
  </cols>
  <sheetData>
    <row r="1" spans="1:16">
      <c r="A1" s="1" t="s">
        <v>831</v>
      </c>
      <c r="B1" s="1" t="s">
        <v>832</v>
      </c>
      <c r="C1" s="1" t="s">
        <v>521</v>
      </c>
    </row>
    <row r="2" spans="1:16" ht="22.7" customHeight="1">
      <c r="A2" s="46"/>
      <c r="B2" s="3" t="s">
        <v>833</v>
      </c>
      <c r="C2" s="4" t="s">
        <v>834</v>
      </c>
      <c r="D2" s="4"/>
      <c r="E2" s="4"/>
      <c r="F2" s="90"/>
      <c r="G2" s="4"/>
      <c r="H2" s="4"/>
      <c r="I2" s="4"/>
      <c r="J2" s="4"/>
      <c r="K2" s="4"/>
      <c r="L2" s="4"/>
      <c r="M2" s="4"/>
      <c r="N2" s="5"/>
    </row>
    <row r="3" spans="1:16" s="22" customFormat="1" ht="54.75" customHeight="1">
      <c r="A3" s="6" t="s">
        <v>524</v>
      </c>
      <c r="B3" s="6" t="s">
        <v>3</v>
      </c>
      <c r="C3" s="6" t="s">
        <v>4</v>
      </c>
      <c r="D3" s="6" t="s">
        <v>5</v>
      </c>
      <c r="E3" s="6" t="s">
        <v>6</v>
      </c>
      <c r="F3" s="6" t="s">
        <v>525</v>
      </c>
      <c r="G3" s="6" t="s">
        <v>8</v>
      </c>
      <c r="H3" s="6" t="s">
        <v>9</v>
      </c>
      <c r="I3" s="6" t="s">
        <v>10</v>
      </c>
      <c r="J3" s="20" t="s">
        <v>11</v>
      </c>
      <c r="K3" s="20" t="s">
        <v>526</v>
      </c>
      <c r="L3" s="20"/>
      <c r="M3" s="20"/>
      <c r="N3" s="21" t="s">
        <v>13</v>
      </c>
      <c r="O3" s="21" t="s">
        <v>527</v>
      </c>
      <c r="P3" s="6" t="s">
        <v>528</v>
      </c>
    </row>
    <row r="4" spans="1:16" ht="13.15" customHeight="1">
      <c r="A4" s="257" t="str">
        <f>'CS Y C1-3'!$A$4</f>
        <v xml:space="preserve">Please fill in Supplier Name </v>
      </c>
      <c r="B4" s="200" t="s">
        <v>835</v>
      </c>
      <c r="C4" s="200" t="s">
        <v>171</v>
      </c>
      <c r="D4" s="201"/>
      <c r="E4" s="201"/>
      <c r="F4" s="202"/>
      <c r="G4" s="198">
        <f>'CS Y C1-3'!G4</f>
        <v>0</v>
      </c>
      <c r="H4" s="198">
        <f>'CS Y C1-3'!H4</f>
        <v>1.06</v>
      </c>
      <c r="I4" s="203">
        <f>'CS Y C1-3'!I4</f>
        <v>1.06</v>
      </c>
      <c r="J4" s="204" t="s">
        <v>169</v>
      </c>
      <c r="K4" s="205">
        <v>1</v>
      </c>
      <c r="L4" s="205">
        <v>1</v>
      </c>
      <c r="M4" s="206">
        <f>I4*L4*$K$233</f>
        <v>28.62</v>
      </c>
      <c r="N4" s="207"/>
      <c r="O4" s="199" t="s">
        <v>532</v>
      </c>
      <c r="P4" s="199" t="s">
        <v>492</v>
      </c>
    </row>
    <row r="5" spans="1:16" ht="13.15" hidden="1" customHeight="1">
      <c r="A5" s="3"/>
      <c r="B5" s="3"/>
      <c r="C5" s="3" t="s">
        <v>757</v>
      </c>
      <c r="D5" s="71">
        <v>1</v>
      </c>
      <c r="E5" s="48" t="s">
        <v>535</v>
      </c>
      <c r="F5" s="59"/>
      <c r="G5" s="48">
        <v>0</v>
      </c>
      <c r="H5" s="49"/>
      <c r="I5" s="48"/>
      <c r="J5" s="48"/>
      <c r="K5" s="48"/>
      <c r="L5" s="48"/>
      <c r="M5" s="48"/>
      <c r="N5" s="69">
        <v>971168</v>
      </c>
    </row>
    <row r="6" spans="1:16" ht="13.15" hidden="1" customHeight="1">
      <c r="A6" s="3"/>
      <c r="B6" s="3"/>
      <c r="C6" s="3" t="s">
        <v>758</v>
      </c>
      <c r="D6" s="71">
        <v>1</v>
      </c>
      <c r="E6" s="48" t="s">
        <v>535</v>
      </c>
      <c r="F6" s="59"/>
      <c r="G6" s="48">
        <v>0</v>
      </c>
      <c r="H6" s="49"/>
      <c r="I6" s="48"/>
      <c r="J6" s="48"/>
      <c r="K6" s="48"/>
      <c r="L6" s="48"/>
      <c r="M6" s="48"/>
      <c r="N6" s="69">
        <v>973186</v>
      </c>
    </row>
    <row r="7" spans="1:16" ht="13.15" hidden="1" customHeight="1">
      <c r="A7" s="3"/>
      <c r="B7" s="3"/>
      <c r="C7" s="3" t="s">
        <v>836</v>
      </c>
      <c r="D7" s="71">
        <v>1</v>
      </c>
      <c r="E7" s="48" t="s">
        <v>535</v>
      </c>
      <c r="F7" s="59"/>
      <c r="G7" s="48">
        <v>0</v>
      </c>
      <c r="H7" s="49"/>
      <c r="I7" s="48"/>
      <c r="J7" s="48"/>
      <c r="K7" s="48"/>
      <c r="L7" s="48"/>
      <c r="M7" s="48"/>
      <c r="N7" s="69">
        <v>973012</v>
      </c>
    </row>
    <row r="8" spans="1:16" ht="13.15" hidden="1" customHeight="1">
      <c r="A8" s="3"/>
      <c r="B8" s="3"/>
      <c r="C8" s="3" t="s">
        <v>837</v>
      </c>
      <c r="D8" s="71">
        <v>1</v>
      </c>
      <c r="E8" s="48" t="s">
        <v>535</v>
      </c>
      <c r="F8" s="59"/>
      <c r="G8" s="48">
        <v>0</v>
      </c>
      <c r="H8" s="49"/>
      <c r="I8" s="48"/>
      <c r="J8" s="48"/>
      <c r="K8" s="48"/>
      <c r="L8" s="48"/>
      <c r="M8" s="48"/>
      <c r="N8" s="69">
        <v>971091</v>
      </c>
    </row>
    <row r="9" spans="1:16" ht="13.15" hidden="1" customHeight="1">
      <c r="A9" s="3"/>
      <c r="B9" s="3"/>
      <c r="C9" s="3" t="s">
        <v>838</v>
      </c>
      <c r="D9" s="71">
        <v>1</v>
      </c>
      <c r="E9" s="48" t="s">
        <v>535</v>
      </c>
      <c r="F9" s="59"/>
      <c r="G9" s="48">
        <v>0</v>
      </c>
      <c r="H9" s="49"/>
      <c r="I9" s="48"/>
      <c r="J9" s="48"/>
      <c r="K9" s="48"/>
      <c r="L9" s="48"/>
      <c r="M9" s="48"/>
      <c r="N9" s="71">
        <v>971092</v>
      </c>
    </row>
    <row r="10" spans="1:16" ht="13.15" hidden="1" customHeight="1">
      <c r="A10" s="3"/>
      <c r="B10" s="3"/>
      <c r="C10" s="3" t="s">
        <v>839</v>
      </c>
      <c r="D10" s="71">
        <v>1</v>
      </c>
      <c r="E10" s="48" t="s">
        <v>535</v>
      </c>
      <c r="F10" s="59"/>
      <c r="G10" s="48">
        <v>0</v>
      </c>
      <c r="H10" s="49"/>
      <c r="I10" s="48"/>
      <c r="J10" s="48"/>
      <c r="K10" s="48"/>
      <c r="L10" s="48"/>
      <c r="M10" s="48"/>
      <c r="N10" s="71">
        <v>971093</v>
      </c>
    </row>
    <row r="11" spans="1:16" ht="13.15" hidden="1" customHeight="1">
      <c r="A11" s="3"/>
      <c r="B11" s="3"/>
      <c r="C11" s="3" t="s">
        <v>840</v>
      </c>
      <c r="D11" s="71">
        <v>1</v>
      </c>
      <c r="E11" s="48" t="s">
        <v>535</v>
      </c>
      <c r="F11" s="59"/>
      <c r="G11" s="48">
        <v>0</v>
      </c>
      <c r="H11" s="49"/>
      <c r="I11" s="48"/>
      <c r="J11" s="48"/>
      <c r="K11" s="48"/>
      <c r="L11" s="48"/>
      <c r="M11" s="48"/>
      <c r="N11" s="69">
        <v>971090</v>
      </c>
    </row>
    <row r="12" spans="1:16" ht="13.15" hidden="1" customHeight="1">
      <c r="A12" s="3"/>
      <c r="B12" s="3"/>
      <c r="C12" s="3" t="s">
        <v>841</v>
      </c>
      <c r="D12" s="71">
        <v>1</v>
      </c>
      <c r="E12" s="48" t="s">
        <v>535</v>
      </c>
      <c r="F12" s="59"/>
      <c r="G12" s="48">
        <v>0</v>
      </c>
      <c r="H12" s="49"/>
      <c r="I12" s="48"/>
      <c r="J12" s="48"/>
      <c r="K12" s="48"/>
      <c r="L12" s="48"/>
      <c r="M12" s="48"/>
      <c r="N12" s="69">
        <v>973099</v>
      </c>
    </row>
    <row r="13" spans="1:16" ht="13.15" hidden="1" customHeight="1">
      <c r="A13" s="3"/>
      <c r="B13" s="3"/>
      <c r="C13" s="3" t="s">
        <v>842</v>
      </c>
      <c r="D13" s="71">
        <v>1</v>
      </c>
      <c r="E13" s="48" t="s">
        <v>535</v>
      </c>
      <c r="F13" s="59"/>
      <c r="G13" s="48">
        <v>0</v>
      </c>
      <c r="H13" s="49"/>
      <c r="I13" s="48"/>
      <c r="J13" s="48"/>
      <c r="K13" s="48"/>
      <c r="L13" s="48"/>
      <c r="M13" s="48"/>
      <c r="N13" s="69">
        <v>973023</v>
      </c>
    </row>
    <row r="14" spans="1:16" ht="13.15" hidden="1" customHeight="1">
      <c r="A14" s="3"/>
      <c r="B14" s="3"/>
      <c r="C14" s="3" t="s">
        <v>843</v>
      </c>
      <c r="D14" s="71">
        <v>1</v>
      </c>
      <c r="E14" s="48" t="s">
        <v>535</v>
      </c>
      <c r="F14" s="59"/>
      <c r="G14" s="48">
        <v>0</v>
      </c>
      <c r="H14" s="49"/>
      <c r="I14" s="48"/>
      <c r="J14" s="48"/>
      <c r="K14" s="48"/>
      <c r="L14" s="48"/>
      <c r="M14" s="48"/>
      <c r="N14" s="69">
        <v>973034</v>
      </c>
    </row>
    <row r="15" spans="1:16" ht="13.15" hidden="1" customHeight="1">
      <c r="A15" s="3"/>
      <c r="B15" s="3"/>
      <c r="C15" s="3" t="s">
        <v>844</v>
      </c>
      <c r="D15" s="71">
        <v>1</v>
      </c>
      <c r="E15" s="48" t="s">
        <v>535</v>
      </c>
      <c r="F15" s="59"/>
      <c r="G15" s="48">
        <v>0</v>
      </c>
      <c r="H15" s="49"/>
      <c r="I15" s="48"/>
      <c r="J15" s="48"/>
      <c r="K15" s="48"/>
      <c r="L15" s="48"/>
      <c r="M15" s="48"/>
      <c r="N15" s="69">
        <v>973020</v>
      </c>
    </row>
    <row r="16" spans="1:16" ht="13.15" hidden="1" customHeight="1">
      <c r="D16" s="1"/>
      <c r="E16" s="1"/>
      <c r="G16" s="1"/>
      <c r="H16" s="1"/>
      <c r="I16" s="1"/>
      <c r="J16" s="1"/>
    </row>
    <row r="17" spans="1:16" ht="13.15" customHeight="1">
      <c r="A17" s="242" t="str">
        <f>$A$4</f>
        <v xml:space="preserve">Please fill in Supplier Name </v>
      </c>
      <c r="B17" s="242" t="s">
        <v>848</v>
      </c>
      <c r="C17" s="242" t="s">
        <v>173</v>
      </c>
      <c r="D17" s="243"/>
      <c r="E17" s="243"/>
      <c r="F17" s="244"/>
      <c r="G17" s="245">
        <f>'CS Y C1-3'!G20</f>
        <v>0</v>
      </c>
      <c r="H17" s="245">
        <f>'CS Y C1-3'!H20</f>
        <v>1.01</v>
      </c>
      <c r="I17" s="246">
        <f>'CS Y C1-3'!I20</f>
        <v>1.01</v>
      </c>
      <c r="J17" s="247" t="s">
        <v>169</v>
      </c>
      <c r="K17" s="248">
        <v>1</v>
      </c>
      <c r="L17" s="248">
        <v>1</v>
      </c>
      <c r="M17" s="249">
        <f>I17*L17*$K$233</f>
        <v>27.27</v>
      </c>
      <c r="N17" s="250"/>
      <c r="O17" s="240" t="s">
        <v>543</v>
      </c>
      <c r="P17" s="240" t="s">
        <v>492</v>
      </c>
    </row>
    <row r="18" spans="1:16" ht="13.15" hidden="1" customHeight="1">
      <c r="A18" s="3"/>
      <c r="B18" s="3"/>
      <c r="C18" s="3" t="s">
        <v>757</v>
      </c>
      <c r="D18" s="71">
        <v>1</v>
      </c>
      <c r="E18" s="48" t="s">
        <v>535</v>
      </c>
      <c r="F18" s="59"/>
      <c r="G18" s="48">
        <v>0</v>
      </c>
      <c r="H18" s="49"/>
      <c r="I18" s="48"/>
      <c r="J18" s="48"/>
      <c r="K18" s="48"/>
      <c r="L18" s="48"/>
      <c r="M18" s="48"/>
      <c r="N18" s="69">
        <v>971168</v>
      </c>
    </row>
    <row r="19" spans="1:16" ht="13.15" hidden="1" customHeight="1">
      <c r="A19" s="3"/>
      <c r="B19" s="3"/>
      <c r="C19" s="3" t="s">
        <v>758</v>
      </c>
      <c r="D19" s="71">
        <v>1</v>
      </c>
      <c r="E19" s="48" t="s">
        <v>535</v>
      </c>
      <c r="F19" s="59"/>
      <c r="G19" s="48">
        <v>0</v>
      </c>
      <c r="H19" s="49"/>
      <c r="I19" s="48"/>
      <c r="J19" s="48"/>
      <c r="K19" s="48"/>
      <c r="L19" s="48"/>
      <c r="M19" s="48"/>
      <c r="N19" s="69">
        <v>973186</v>
      </c>
    </row>
    <row r="20" spans="1:16" ht="13.15" hidden="1" customHeight="1">
      <c r="A20" s="3"/>
      <c r="B20" s="3"/>
      <c r="C20" s="3" t="s">
        <v>836</v>
      </c>
      <c r="D20" s="71">
        <v>1</v>
      </c>
      <c r="E20" s="48" t="s">
        <v>535</v>
      </c>
      <c r="F20" s="59"/>
      <c r="G20" s="48">
        <v>0</v>
      </c>
      <c r="H20" s="49"/>
      <c r="I20" s="48"/>
      <c r="J20" s="48"/>
      <c r="K20" s="48"/>
      <c r="L20" s="48"/>
      <c r="M20" s="48"/>
      <c r="N20" s="69">
        <v>973012</v>
      </c>
    </row>
    <row r="21" spans="1:16" ht="13.15" hidden="1" customHeight="1">
      <c r="A21" s="3"/>
      <c r="B21" s="3"/>
      <c r="C21" s="3" t="s">
        <v>837</v>
      </c>
      <c r="D21" s="71">
        <v>1</v>
      </c>
      <c r="E21" s="48" t="s">
        <v>535</v>
      </c>
      <c r="F21" s="59"/>
      <c r="G21" s="48">
        <v>0</v>
      </c>
      <c r="H21" s="49"/>
      <c r="I21" s="48"/>
      <c r="J21" s="48"/>
      <c r="K21" s="48"/>
      <c r="L21" s="48"/>
      <c r="M21" s="48"/>
      <c r="N21" s="69">
        <v>971091</v>
      </c>
    </row>
    <row r="22" spans="1:16" ht="13.15" hidden="1" customHeight="1">
      <c r="A22" s="3"/>
      <c r="B22" s="3"/>
      <c r="C22" s="3" t="s">
        <v>838</v>
      </c>
      <c r="D22" s="71">
        <v>1</v>
      </c>
      <c r="E22" s="48" t="s">
        <v>535</v>
      </c>
      <c r="F22" s="59"/>
      <c r="G22" s="48">
        <v>0</v>
      </c>
      <c r="H22" s="49"/>
      <c r="I22" s="48"/>
      <c r="J22" s="48"/>
      <c r="K22" s="48"/>
      <c r="L22" s="48"/>
      <c r="M22" s="48"/>
      <c r="N22" s="71">
        <v>971092</v>
      </c>
    </row>
    <row r="23" spans="1:16" ht="13.15" hidden="1" customHeight="1">
      <c r="A23" s="3"/>
      <c r="B23" s="3"/>
      <c r="C23" s="3" t="s">
        <v>839</v>
      </c>
      <c r="D23" s="71">
        <v>1</v>
      </c>
      <c r="E23" s="48" t="s">
        <v>535</v>
      </c>
      <c r="F23" s="59"/>
      <c r="G23" s="48">
        <v>0</v>
      </c>
      <c r="H23" s="49"/>
      <c r="I23" s="48"/>
      <c r="J23" s="48"/>
      <c r="K23" s="48"/>
      <c r="L23" s="48"/>
      <c r="M23" s="48"/>
      <c r="N23" s="71">
        <v>971093</v>
      </c>
    </row>
    <row r="24" spans="1:16" ht="13.15" hidden="1" customHeight="1">
      <c r="A24" s="3"/>
      <c r="B24" s="3"/>
      <c r="C24" s="3" t="s">
        <v>840</v>
      </c>
      <c r="D24" s="71">
        <v>1</v>
      </c>
      <c r="E24" s="48" t="s">
        <v>535</v>
      </c>
      <c r="F24" s="59"/>
      <c r="G24" s="48">
        <v>0</v>
      </c>
      <c r="H24" s="49"/>
      <c r="I24" s="48"/>
      <c r="J24" s="48"/>
      <c r="K24" s="48"/>
      <c r="L24" s="48"/>
      <c r="M24" s="48"/>
      <c r="N24" s="69">
        <v>971090</v>
      </c>
    </row>
    <row r="25" spans="1:16" ht="13.15" hidden="1" customHeight="1">
      <c r="A25" s="3"/>
      <c r="B25" s="3"/>
      <c r="C25" s="3" t="s">
        <v>841</v>
      </c>
      <c r="D25" s="71">
        <v>1</v>
      </c>
      <c r="E25" s="48" t="s">
        <v>535</v>
      </c>
      <c r="F25" s="59"/>
      <c r="G25" s="48">
        <v>0</v>
      </c>
      <c r="H25" s="49"/>
      <c r="I25" s="48"/>
      <c r="J25" s="48"/>
      <c r="K25" s="48"/>
      <c r="L25" s="48"/>
      <c r="M25" s="48"/>
      <c r="N25" s="69">
        <v>973099</v>
      </c>
    </row>
    <row r="26" spans="1:16" ht="13.15" hidden="1" customHeight="1">
      <c r="A26" s="3"/>
      <c r="B26" s="3"/>
      <c r="C26" s="3" t="s">
        <v>842</v>
      </c>
      <c r="D26" s="71">
        <v>1</v>
      </c>
      <c r="E26" s="48" t="s">
        <v>535</v>
      </c>
      <c r="F26" s="59"/>
      <c r="G26" s="48">
        <v>0</v>
      </c>
      <c r="H26" s="49"/>
      <c r="I26" s="48"/>
      <c r="J26" s="48"/>
      <c r="K26" s="48"/>
      <c r="L26" s="48"/>
      <c r="M26" s="48"/>
      <c r="N26" s="69">
        <v>973023</v>
      </c>
    </row>
    <row r="27" spans="1:16" ht="13.15" hidden="1" customHeight="1">
      <c r="A27" s="3"/>
      <c r="B27" s="3"/>
      <c r="C27" s="3" t="s">
        <v>843</v>
      </c>
      <c r="D27" s="71">
        <v>1</v>
      </c>
      <c r="E27" s="48" t="s">
        <v>535</v>
      </c>
      <c r="F27" s="59"/>
      <c r="G27" s="48">
        <v>0</v>
      </c>
      <c r="H27" s="49"/>
      <c r="I27" s="48"/>
      <c r="J27" s="48"/>
      <c r="K27" s="48"/>
      <c r="L27" s="48"/>
      <c r="M27" s="48"/>
      <c r="N27" s="69">
        <v>973034</v>
      </c>
    </row>
    <row r="28" spans="1:16" ht="13.15" hidden="1" customHeight="1">
      <c r="A28" s="3"/>
      <c r="B28" s="3"/>
      <c r="C28" s="3" t="s">
        <v>844</v>
      </c>
      <c r="D28" s="71">
        <v>1</v>
      </c>
      <c r="E28" s="48" t="s">
        <v>535</v>
      </c>
      <c r="F28" s="59"/>
      <c r="G28" s="48">
        <v>0</v>
      </c>
      <c r="H28" s="49"/>
      <c r="I28" s="48"/>
      <c r="J28" s="48"/>
      <c r="K28" s="48"/>
      <c r="L28" s="48"/>
      <c r="M28" s="48"/>
      <c r="N28" s="69">
        <v>973020</v>
      </c>
    </row>
    <row r="29" spans="1:16" ht="13.15" hidden="1" customHeight="1">
      <c r="D29" s="1"/>
      <c r="E29" s="1"/>
      <c r="G29" s="1"/>
      <c r="H29" s="1"/>
      <c r="I29" s="1"/>
      <c r="J29" s="1"/>
    </row>
    <row r="30" spans="1:16" ht="13.15" hidden="1" customHeight="1">
      <c r="A30" s="9" t="str">
        <f>$A$4</f>
        <v xml:space="preserve">Please fill in Supplier Name </v>
      </c>
      <c r="B30" s="9" t="s">
        <v>174</v>
      </c>
      <c r="C30" s="72" t="s">
        <v>175</v>
      </c>
      <c r="D30" s="73"/>
      <c r="E30" s="10"/>
      <c r="F30" s="91"/>
      <c r="G30" s="7">
        <f>SUM(G31:G39)</f>
        <v>0</v>
      </c>
      <c r="H30" s="7">
        <f>SUM(H31:H39)</f>
        <v>0</v>
      </c>
      <c r="I30" s="57">
        <f>SUM(G30:H30)</f>
        <v>0</v>
      </c>
      <c r="J30" s="14" t="s">
        <v>169</v>
      </c>
      <c r="K30" s="11">
        <v>1</v>
      </c>
      <c r="L30" s="11"/>
      <c r="M30" s="146">
        <f>I30*L30</f>
        <v>0</v>
      </c>
      <c r="N30" s="13"/>
      <c r="O30" s="12" t="s">
        <v>544</v>
      </c>
      <c r="P30" s="12" t="s">
        <v>849</v>
      </c>
    </row>
    <row r="31" spans="1:16" ht="13.15" hidden="1" customHeight="1">
      <c r="A31" s="3"/>
      <c r="B31" s="74"/>
      <c r="C31" s="3" t="s">
        <v>850</v>
      </c>
      <c r="D31" s="71">
        <v>15</v>
      </c>
      <c r="E31" s="96" t="s">
        <v>559</v>
      </c>
      <c r="F31" s="59"/>
      <c r="G31" s="48"/>
      <c r="H31" s="48"/>
      <c r="I31" s="48"/>
      <c r="J31" s="48"/>
      <c r="K31" s="48"/>
      <c r="L31" s="48"/>
      <c r="M31" s="48"/>
      <c r="N31" s="69"/>
    </row>
    <row r="32" spans="1:16" ht="13.15" hidden="1" customHeight="1">
      <c r="A32" s="3"/>
      <c r="B32" s="74"/>
      <c r="C32" s="3" t="s">
        <v>851</v>
      </c>
      <c r="D32" s="71">
        <v>20</v>
      </c>
      <c r="E32" s="96" t="s">
        <v>559</v>
      </c>
      <c r="F32" s="59"/>
      <c r="G32" s="48"/>
      <c r="H32" s="48"/>
      <c r="I32" s="48"/>
      <c r="J32" s="48"/>
      <c r="K32" s="48"/>
      <c r="L32" s="48"/>
      <c r="M32" s="48"/>
      <c r="N32" s="69"/>
    </row>
    <row r="33" spans="1:16" hidden="1">
      <c r="A33" s="3"/>
      <c r="B33" s="74"/>
      <c r="C33" s="3" t="s">
        <v>852</v>
      </c>
      <c r="D33" s="71">
        <v>35</v>
      </c>
      <c r="E33" s="96" t="s">
        <v>559</v>
      </c>
      <c r="F33" s="59"/>
      <c r="G33" s="48"/>
      <c r="H33" s="48"/>
      <c r="I33" s="48"/>
      <c r="J33" s="48"/>
      <c r="K33" s="48"/>
      <c r="L33" s="48"/>
      <c r="M33" s="48"/>
      <c r="N33" s="69"/>
    </row>
    <row r="34" spans="1:16" ht="13.9" hidden="1">
      <c r="A34" s="3"/>
      <c r="B34" s="74"/>
      <c r="C34" s="97" t="s">
        <v>560</v>
      </c>
      <c r="D34" s="98"/>
      <c r="E34" s="96"/>
      <c r="F34" s="59"/>
      <c r="G34" s="48"/>
      <c r="H34" s="48"/>
      <c r="I34" s="48"/>
      <c r="J34" s="48"/>
      <c r="K34" s="48"/>
      <c r="L34" s="48"/>
      <c r="M34" s="48"/>
      <c r="N34" s="69"/>
      <c r="P34" s="1" t="s">
        <v>560</v>
      </c>
    </row>
    <row r="35" spans="1:16" ht="13.15" hidden="1" customHeight="1">
      <c r="A35" s="3"/>
      <c r="B35" s="3"/>
      <c r="C35" s="99"/>
      <c r="D35" s="100"/>
      <c r="E35" s="48"/>
      <c r="F35" s="59"/>
      <c r="G35" s="48"/>
      <c r="H35" s="48"/>
      <c r="I35" s="48"/>
      <c r="J35" s="48"/>
      <c r="K35" s="48"/>
      <c r="L35" s="48"/>
      <c r="M35" s="48"/>
      <c r="N35" s="69"/>
    </row>
    <row r="36" spans="1:16" ht="13.15" hidden="1" customHeight="1">
      <c r="A36" s="3"/>
      <c r="B36" s="3"/>
      <c r="C36" s="3"/>
      <c r="D36" s="71"/>
      <c r="E36" s="48"/>
      <c r="F36" s="59"/>
      <c r="G36" s="48"/>
      <c r="H36" s="48"/>
      <c r="I36" s="48"/>
      <c r="J36" s="48"/>
      <c r="K36" s="48"/>
      <c r="L36" s="48"/>
      <c r="M36" s="48"/>
      <c r="N36" s="69"/>
    </row>
    <row r="37" spans="1:16" ht="13.15" hidden="1" customHeight="1">
      <c r="A37" s="3"/>
      <c r="B37" s="3"/>
      <c r="C37" s="3"/>
      <c r="D37" s="71"/>
      <c r="E37" s="48"/>
      <c r="F37" s="59"/>
      <c r="G37" s="48"/>
      <c r="H37" s="48"/>
      <c r="I37" s="48"/>
      <c r="J37" s="48"/>
      <c r="K37" s="48"/>
      <c r="L37" s="48"/>
      <c r="M37" s="48"/>
      <c r="N37" s="69"/>
    </row>
    <row r="38" spans="1:16" ht="13.15" hidden="1" customHeight="1">
      <c r="A38" s="3"/>
      <c r="B38" s="3"/>
      <c r="C38" s="3"/>
      <c r="D38" s="71"/>
      <c r="E38" s="48"/>
      <c r="F38" s="59"/>
      <c r="G38" s="48"/>
      <c r="H38" s="48"/>
      <c r="I38" s="48"/>
      <c r="J38" s="48"/>
      <c r="K38" s="48"/>
      <c r="L38" s="48"/>
      <c r="M38" s="48"/>
      <c r="N38" s="69"/>
    </row>
    <row r="39" spans="1:16" hidden="1">
      <c r="A39" s="3"/>
      <c r="B39" s="3"/>
      <c r="C39" s="3"/>
      <c r="D39" s="71"/>
      <c r="E39" s="48"/>
      <c r="F39" s="59"/>
      <c r="G39" s="48"/>
      <c r="H39" s="48"/>
      <c r="I39" s="48"/>
      <c r="J39" s="48"/>
      <c r="K39" s="48"/>
      <c r="L39" s="48"/>
      <c r="M39" s="48"/>
      <c r="N39" s="69"/>
    </row>
    <row r="40" spans="1:16" hidden="1">
      <c r="D40" s="1"/>
      <c r="E40" s="1"/>
      <c r="G40" s="1"/>
      <c r="H40" s="1"/>
      <c r="I40" s="1"/>
      <c r="J40" s="1"/>
    </row>
    <row r="41" spans="1:16">
      <c r="A41" s="200" t="str">
        <f>$A$4</f>
        <v xml:space="preserve">Please fill in Supplier Name </v>
      </c>
      <c r="B41" s="200" t="s">
        <v>191</v>
      </c>
      <c r="C41" s="200" t="s">
        <v>192</v>
      </c>
      <c r="D41" s="201"/>
      <c r="E41" s="201"/>
      <c r="F41" s="202"/>
      <c r="G41" s="198">
        <f>'CS Y C1-3'!G46</f>
        <v>0</v>
      </c>
      <c r="H41" s="198">
        <f>'CS Y C1-3'!H46</f>
        <v>0</v>
      </c>
      <c r="I41" s="203">
        <f>'CS Y C1-3'!I46</f>
        <v>0</v>
      </c>
      <c r="J41" s="204" t="s">
        <v>169</v>
      </c>
      <c r="K41" s="205">
        <v>1</v>
      </c>
      <c r="L41" s="205">
        <v>1</v>
      </c>
      <c r="M41" s="206">
        <f>I41*L41*$K$233</f>
        <v>0</v>
      </c>
      <c r="N41" s="208"/>
      <c r="O41" s="207" t="s">
        <v>532</v>
      </c>
      <c r="P41" s="199" t="s">
        <v>1187</v>
      </c>
    </row>
    <row r="42" spans="1:16" hidden="1">
      <c r="A42" s="278"/>
      <c r="B42" s="278"/>
      <c r="C42" s="77"/>
      <c r="D42" s="75"/>
      <c r="E42" s="76"/>
      <c r="F42" s="92"/>
      <c r="G42" s="76"/>
      <c r="H42" s="76"/>
      <c r="I42" s="48"/>
      <c r="J42" s="48"/>
      <c r="K42" s="48"/>
      <c r="L42" s="48"/>
      <c r="M42" s="48"/>
      <c r="N42" s="69"/>
    </row>
    <row r="43" spans="1:16" hidden="1">
      <c r="A43" s="278"/>
      <c r="B43" s="278"/>
      <c r="C43" s="77"/>
      <c r="D43" s="75"/>
      <c r="E43" s="76"/>
      <c r="F43" s="92"/>
      <c r="G43" s="76"/>
      <c r="H43" s="76"/>
      <c r="I43" s="48"/>
      <c r="J43" s="48"/>
      <c r="K43" s="48"/>
      <c r="L43" s="48"/>
      <c r="M43" s="48"/>
      <c r="N43" s="69"/>
    </row>
    <row r="44" spans="1:16" hidden="1">
      <c r="A44" s="278"/>
      <c r="B44" s="278"/>
      <c r="C44" s="77"/>
      <c r="D44" s="75"/>
      <c r="E44" s="76"/>
      <c r="F44" s="92"/>
      <c r="G44" s="76"/>
      <c r="H44" s="76"/>
      <c r="I44" s="48"/>
      <c r="J44" s="48"/>
      <c r="K44" s="48"/>
      <c r="L44" s="48"/>
      <c r="M44" s="48"/>
      <c r="N44" s="69"/>
    </row>
    <row r="45" spans="1:16" hidden="1">
      <c r="A45" s="278"/>
      <c r="B45" s="278"/>
      <c r="C45" s="77"/>
      <c r="D45" s="75"/>
      <c r="E45" s="76"/>
      <c r="F45" s="92"/>
      <c r="G45" s="76"/>
      <c r="H45" s="76"/>
      <c r="I45" s="48"/>
      <c r="J45" s="48"/>
      <c r="K45" s="48"/>
      <c r="L45" s="48"/>
      <c r="M45" s="48"/>
      <c r="N45" s="69"/>
    </row>
    <row r="46" spans="1:16" hidden="1">
      <c r="A46" s="278"/>
      <c r="B46" s="278"/>
      <c r="C46" s="77"/>
      <c r="D46" s="75"/>
      <c r="E46" s="76"/>
      <c r="F46" s="92"/>
      <c r="G46" s="76"/>
      <c r="H46" s="76"/>
      <c r="I46" s="48"/>
      <c r="J46" s="48"/>
      <c r="K46" s="48"/>
      <c r="L46" s="48"/>
      <c r="M46" s="48"/>
      <c r="N46" s="69"/>
    </row>
    <row r="47" spans="1:16" hidden="1">
      <c r="A47" s="278"/>
      <c r="B47" s="278"/>
      <c r="C47" s="77"/>
      <c r="D47" s="75"/>
      <c r="E47" s="76"/>
      <c r="F47" s="92"/>
      <c r="G47" s="76"/>
      <c r="H47" s="76"/>
      <c r="I47" s="48"/>
      <c r="J47" s="48"/>
      <c r="K47" s="48"/>
      <c r="L47" s="48"/>
      <c r="M47" s="48"/>
      <c r="N47" s="69"/>
    </row>
    <row r="48" spans="1:16" hidden="1">
      <c r="A48" s="278"/>
      <c r="B48" s="278"/>
      <c r="C48" s="77"/>
      <c r="D48" s="75"/>
      <c r="E48" s="76"/>
      <c r="F48" s="92"/>
      <c r="G48" s="76"/>
      <c r="H48" s="76"/>
      <c r="I48" s="48"/>
      <c r="J48" s="48"/>
      <c r="K48" s="48"/>
      <c r="L48" s="48"/>
      <c r="M48" s="48"/>
      <c r="N48" s="69"/>
    </row>
    <row r="49" spans="1:16" hidden="1">
      <c r="A49" s="278"/>
      <c r="B49" s="278"/>
      <c r="C49" s="77"/>
      <c r="D49" s="75"/>
      <c r="E49" s="76"/>
      <c r="F49" s="92"/>
      <c r="G49" s="76"/>
      <c r="H49" s="76"/>
      <c r="I49" s="48"/>
      <c r="J49" s="48"/>
      <c r="K49" s="48"/>
      <c r="L49" s="48"/>
      <c r="M49" s="48"/>
      <c r="N49" s="69"/>
    </row>
    <row r="50" spans="1:16" hidden="1">
      <c r="A50" s="278"/>
      <c r="B50" s="278"/>
      <c r="C50" s="77"/>
      <c r="D50" s="75"/>
      <c r="E50" s="76"/>
      <c r="F50" s="92"/>
      <c r="G50" s="76"/>
      <c r="H50" s="76"/>
      <c r="I50" s="48"/>
      <c r="J50" s="48"/>
      <c r="K50" s="48"/>
      <c r="L50" s="48"/>
      <c r="M50" s="48"/>
      <c r="N50" s="69"/>
    </row>
    <row r="51" spans="1:16" hidden="1">
      <c r="D51" s="1"/>
      <c r="E51" s="1"/>
      <c r="G51" s="1"/>
      <c r="H51" s="1"/>
      <c r="I51" s="1"/>
      <c r="J51" s="1"/>
    </row>
    <row r="52" spans="1:16">
      <c r="A52" s="242" t="str">
        <f>$A$4</f>
        <v xml:space="preserve">Please fill in Supplier Name </v>
      </c>
      <c r="B52" s="242" t="s">
        <v>197</v>
      </c>
      <c r="C52" s="242" t="s">
        <v>198</v>
      </c>
      <c r="D52" s="243"/>
      <c r="E52" s="243"/>
      <c r="F52" s="244"/>
      <c r="G52" s="245">
        <f>'CS Y C1-3'!G57</f>
        <v>0</v>
      </c>
      <c r="H52" s="245">
        <f>'CS Y C1-3'!H57</f>
        <v>0</v>
      </c>
      <c r="I52" s="246">
        <f>'CS Y C1-3'!I57</f>
        <v>0</v>
      </c>
      <c r="J52" s="247" t="s">
        <v>169</v>
      </c>
      <c r="K52" s="248">
        <v>1</v>
      </c>
      <c r="L52" s="248">
        <v>1</v>
      </c>
      <c r="M52" s="249">
        <f>I52*L52*$K$233</f>
        <v>0</v>
      </c>
      <c r="N52" s="251"/>
      <c r="O52" s="250" t="s">
        <v>543</v>
      </c>
      <c r="P52" s="240" t="s">
        <v>500</v>
      </c>
    </row>
    <row r="53" spans="1:16" hidden="1">
      <c r="A53" s="278"/>
      <c r="B53" s="278"/>
      <c r="C53" s="77"/>
      <c r="D53" s="75"/>
      <c r="E53" s="76"/>
      <c r="F53" s="92"/>
      <c r="G53" s="76"/>
      <c r="H53" s="76"/>
      <c r="I53" s="48"/>
      <c r="J53" s="48"/>
      <c r="K53" s="48"/>
      <c r="L53" s="48"/>
      <c r="M53" s="48"/>
      <c r="N53" s="69"/>
    </row>
    <row r="54" spans="1:16" hidden="1">
      <c r="A54" s="278"/>
      <c r="B54" s="278"/>
      <c r="C54" s="77"/>
      <c r="D54" s="75"/>
      <c r="E54" s="76"/>
      <c r="F54" s="92"/>
      <c r="G54" s="76"/>
      <c r="H54" s="76"/>
      <c r="I54" s="48"/>
      <c r="J54" s="48"/>
      <c r="K54" s="48"/>
      <c r="L54" s="48"/>
      <c r="M54" s="48"/>
      <c r="N54" s="69"/>
    </row>
    <row r="55" spans="1:16" hidden="1">
      <c r="A55" s="278"/>
      <c r="B55" s="278"/>
      <c r="C55" s="77"/>
      <c r="D55" s="75"/>
      <c r="E55" s="76"/>
      <c r="F55" s="92"/>
      <c r="G55" s="76"/>
      <c r="H55" s="76"/>
      <c r="I55" s="48"/>
      <c r="J55" s="48"/>
      <c r="K55" s="48"/>
      <c r="L55" s="48"/>
      <c r="M55" s="48"/>
      <c r="N55" s="69"/>
    </row>
    <row r="56" spans="1:16" hidden="1">
      <c r="A56" s="278"/>
      <c r="B56" s="278"/>
      <c r="C56" s="77"/>
      <c r="D56" s="75"/>
      <c r="E56" s="76"/>
      <c r="F56" s="92"/>
      <c r="G56" s="76"/>
      <c r="H56" s="76"/>
      <c r="I56" s="48"/>
      <c r="J56" s="48"/>
      <c r="K56" s="48"/>
      <c r="L56" s="48"/>
      <c r="M56" s="48"/>
      <c r="N56" s="69"/>
    </row>
    <row r="57" spans="1:16" hidden="1">
      <c r="A57" s="278"/>
      <c r="B57" s="278"/>
      <c r="C57" s="77"/>
      <c r="D57" s="75"/>
      <c r="E57" s="76"/>
      <c r="F57" s="92"/>
      <c r="G57" s="76"/>
      <c r="H57" s="76"/>
      <c r="I57" s="48"/>
      <c r="J57" s="48"/>
      <c r="K57" s="48"/>
      <c r="L57" s="48"/>
      <c r="M57" s="48"/>
      <c r="N57" s="69"/>
    </row>
    <row r="58" spans="1:16" hidden="1">
      <c r="A58" s="278"/>
      <c r="B58" s="278"/>
      <c r="C58" s="77"/>
      <c r="D58" s="75"/>
      <c r="E58" s="76"/>
      <c r="F58" s="92"/>
      <c r="G58" s="76"/>
      <c r="H58" s="76"/>
      <c r="I58" s="48"/>
      <c r="J58" s="48"/>
      <c r="K58" s="48"/>
      <c r="L58" s="48"/>
      <c r="M58" s="48"/>
      <c r="N58" s="69"/>
    </row>
    <row r="59" spans="1:16" hidden="1">
      <c r="A59" s="278"/>
      <c r="B59" s="278"/>
      <c r="C59" s="77"/>
      <c r="D59" s="75"/>
      <c r="E59" s="76"/>
      <c r="F59" s="92"/>
      <c r="G59" s="76"/>
      <c r="H59" s="76"/>
      <c r="I59" s="48"/>
      <c r="J59" s="48"/>
      <c r="K59" s="48"/>
      <c r="L59" s="48"/>
      <c r="M59" s="48"/>
      <c r="N59" s="69"/>
    </row>
    <row r="60" spans="1:16" hidden="1">
      <c r="A60" s="278"/>
      <c r="B60" s="278"/>
      <c r="C60" s="77"/>
      <c r="D60" s="75"/>
      <c r="E60" s="76"/>
      <c r="F60" s="92"/>
      <c r="G60" s="76"/>
      <c r="H60" s="76"/>
      <c r="I60" s="48"/>
      <c r="J60" s="48"/>
      <c r="K60" s="48"/>
      <c r="L60" s="48"/>
      <c r="M60" s="48"/>
      <c r="N60" s="69"/>
    </row>
    <row r="61" spans="1:16" hidden="1">
      <c r="A61" s="278"/>
      <c r="B61" s="278"/>
      <c r="C61" s="279"/>
      <c r="D61" s="75"/>
      <c r="E61" s="76"/>
      <c r="F61" s="92"/>
      <c r="G61" s="76"/>
      <c r="H61" s="76"/>
      <c r="I61" s="48"/>
      <c r="J61" s="48"/>
      <c r="K61" s="48"/>
      <c r="L61" s="48"/>
      <c r="M61" s="48"/>
      <c r="N61" s="69"/>
    </row>
    <row r="62" spans="1:16" hidden="1">
      <c r="D62" s="1"/>
      <c r="E62" s="1"/>
      <c r="G62" s="1"/>
      <c r="H62" s="1"/>
      <c r="I62" s="1"/>
      <c r="J62" s="1"/>
    </row>
    <row r="63" spans="1:16" ht="13.15" hidden="1" customHeight="1">
      <c r="A63" s="9" t="str">
        <f>$A$4</f>
        <v xml:space="preserve">Please fill in Supplier Name </v>
      </c>
      <c r="B63" s="9" t="s">
        <v>176</v>
      </c>
      <c r="C63" s="9" t="s">
        <v>177</v>
      </c>
      <c r="D63" s="10"/>
      <c r="E63" s="10"/>
      <c r="F63" s="91"/>
      <c r="G63" s="7">
        <f>SUM(G64:G72)</f>
        <v>0</v>
      </c>
      <c r="H63" s="7">
        <f>SUM(H64:H72)</f>
        <v>0</v>
      </c>
      <c r="I63" s="57">
        <f>SUM(G63:H63)</f>
        <v>0</v>
      </c>
      <c r="J63" s="14" t="s">
        <v>169</v>
      </c>
      <c r="K63" s="14" t="s">
        <v>35</v>
      </c>
      <c r="L63" s="14"/>
      <c r="M63" s="146">
        <f>I63*L63</f>
        <v>0</v>
      </c>
      <c r="N63" s="9"/>
      <c r="O63" s="12" t="s">
        <v>544</v>
      </c>
      <c r="P63" s="12" t="s">
        <v>860</v>
      </c>
    </row>
    <row r="64" spans="1:16" ht="13.15" hidden="1" customHeight="1">
      <c r="A64" s="3"/>
      <c r="B64" s="3"/>
      <c r="C64" s="3" t="s">
        <v>861</v>
      </c>
      <c r="D64" s="71">
        <v>4</v>
      </c>
      <c r="E64" s="48" t="s">
        <v>862</v>
      </c>
      <c r="F64" s="59"/>
      <c r="G64" s="48"/>
      <c r="H64" s="48"/>
      <c r="I64" s="48"/>
      <c r="J64" s="48"/>
      <c r="K64" s="48"/>
      <c r="L64" s="48"/>
      <c r="M64" s="48"/>
      <c r="N64" s="69"/>
    </row>
    <row r="65" spans="1:16" hidden="1">
      <c r="A65" s="3"/>
      <c r="B65" s="3"/>
      <c r="C65" s="3" t="s">
        <v>863</v>
      </c>
      <c r="D65" s="71">
        <v>30</v>
      </c>
      <c r="E65" s="48" t="s">
        <v>665</v>
      </c>
      <c r="F65" s="59"/>
      <c r="G65" s="48"/>
      <c r="H65" s="48"/>
      <c r="I65" s="48"/>
      <c r="J65" s="48"/>
      <c r="K65" s="48"/>
      <c r="L65" s="48"/>
      <c r="M65" s="48"/>
      <c r="N65" s="69"/>
    </row>
    <row r="66" spans="1:16" hidden="1">
      <c r="A66" s="3"/>
      <c r="B66" s="3"/>
      <c r="C66" s="3" t="s">
        <v>864</v>
      </c>
      <c r="D66" s="71">
        <v>80</v>
      </c>
      <c r="E66" s="48" t="s">
        <v>559</v>
      </c>
      <c r="F66" s="59"/>
      <c r="G66" s="48"/>
      <c r="H66" s="48"/>
      <c r="I66" s="48"/>
      <c r="J66" s="48"/>
      <c r="K66" s="48"/>
      <c r="L66" s="48"/>
      <c r="M66" s="48"/>
      <c r="N66" s="69"/>
    </row>
    <row r="67" spans="1:16" ht="13.15" hidden="1" customHeight="1">
      <c r="A67" s="3"/>
      <c r="B67" s="3"/>
      <c r="C67" s="3" t="s">
        <v>865</v>
      </c>
      <c r="D67" s="71">
        <v>60</v>
      </c>
      <c r="E67" s="48" t="s">
        <v>559</v>
      </c>
      <c r="F67" s="59"/>
      <c r="G67" s="48"/>
      <c r="H67" s="48"/>
      <c r="I67" s="48"/>
      <c r="J67" s="48"/>
      <c r="K67" s="48"/>
      <c r="L67" s="48"/>
      <c r="M67" s="48"/>
      <c r="N67" s="69"/>
    </row>
    <row r="68" spans="1:16" ht="13.15" hidden="1" customHeight="1">
      <c r="A68" s="3"/>
      <c r="B68" s="3"/>
      <c r="C68" s="3"/>
      <c r="D68" s="71"/>
      <c r="E68" s="48"/>
      <c r="F68" s="59"/>
      <c r="G68" s="48"/>
      <c r="H68" s="48"/>
      <c r="I68" s="48"/>
      <c r="J68" s="48"/>
      <c r="K68" s="48"/>
      <c r="L68" s="48"/>
      <c r="M68" s="48"/>
      <c r="N68" s="69"/>
    </row>
    <row r="69" spans="1:16" ht="13.15" hidden="1" customHeight="1">
      <c r="A69" s="3"/>
      <c r="B69" s="3"/>
      <c r="C69" s="3"/>
      <c r="D69" s="71"/>
      <c r="E69" s="48"/>
      <c r="F69" s="59"/>
      <c r="G69" s="48"/>
      <c r="H69" s="48"/>
      <c r="I69" s="48"/>
      <c r="J69" s="48"/>
      <c r="K69" s="48"/>
      <c r="L69" s="48"/>
      <c r="M69" s="48"/>
      <c r="N69" s="69"/>
    </row>
    <row r="70" spans="1:16" ht="13.15" hidden="1" customHeight="1">
      <c r="A70" s="3"/>
      <c r="B70" s="3"/>
      <c r="C70" s="3"/>
      <c r="D70" s="71"/>
      <c r="E70" s="48"/>
      <c r="F70" s="59"/>
      <c r="G70" s="48"/>
      <c r="H70" s="48"/>
      <c r="I70" s="48"/>
      <c r="J70" s="48"/>
      <c r="K70" s="48"/>
      <c r="L70" s="48"/>
      <c r="M70" s="48"/>
      <c r="N70" s="69"/>
    </row>
    <row r="71" spans="1:16" hidden="1">
      <c r="A71" s="3"/>
      <c r="B71" s="3"/>
      <c r="C71" s="3"/>
      <c r="D71" s="71"/>
      <c r="E71" s="48"/>
      <c r="F71" s="59"/>
      <c r="G71" s="48"/>
      <c r="H71" s="48"/>
      <c r="I71" s="48"/>
      <c r="J71" s="48"/>
      <c r="K71" s="48"/>
      <c r="L71" s="48"/>
      <c r="M71" s="48"/>
      <c r="N71" s="69"/>
    </row>
    <row r="72" spans="1:16" hidden="1">
      <c r="A72" s="3"/>
      <c r="B72" s="3"/>
      <c r="C72" s="3"/>
      <c r="D72" s="71"/>
      <c r="E72" s="48"/>
      <c r="F72" s="59"/>
      <c r="G72" s="48"/>
      <c r="H72" s="48"/>
      <c r="I72" s="48"/>
      <c r="J72" s="48"/>
      <c r="K72" s="48"/>
      <c r="L72" s="48"/>
      <c r="M72" s="48"/>
      <c r="N72" s="69"/>
    </row>
    <row r="73" spans="1:16" ht="13.15" hidden="1" customHeight="1">
      <c r="D73" s="1"/>
      <c r="E73" s="1"/>
      <c r="G73" s="1"/>
      <c r="H73" s="1"/>
      <c r="I73" s="1"/>
      <c r="J73" s="1"/>
    </row>
    <row r="74" spans="1:16">
      <c r="A74" s="200" t="str">
        <f>$A$4</f>
        <v xml:space="preserve">Please fill in Supplier Name </v>
      </c>
      <c r="B74" s="200" t="s">
        <v>193</v>
      </c>
      <c r="C74" s="200" t="s">
        <v>194</v>
      </c>
      <c r="D74" s="201"/>
      <c r="E74" s="201"/>
      <c r="F74" s="202"/>
      <c r="G74" s="198">
        <f>'CS Y C1-3'!G79</f>
        <v>0</v>
      </c>
      <c r="H74" s="198">
        <f>'CS Y C1-3'!H79</f>
        <v>0</v>
      </c>
      <c r="I74" s="203">
        <f>'CS Y C1-3'!I79</f>
        <v>0</v>
      </c>
      <c r="J74" s="204" t="s">
        <v>169</v>
      </c>
      <c r="K74" s="204" t="s">
        <v>35</v>
      </c>
      <c r="L74" s="205">
        <v>0.6</v>
      </c>
      <c r="M74" s="206">
        <f>I74*L74*$K$233</f>
        <v>0</v>
      </c>
      <c r="N74" s="200"/>
      <c r="O74" s="207" t="s">
        <v>532</v>
      </c>
      <c r="P74" s="199" t="s">
        <v>1188</v>
      </c>
    </row>
    <row r="75" spans="1:16" hidden="1">
      <c r="A75" s="278"/>
      <c r="B75" s="278"/>
      <c r="C75" s="77"/>
      <c r="D75" s="75"/>
      <c r="E75" s="76"/>
      <c r="F75" s="92"/>
      <c r="G75" s="76"/>
      <c r="H75" s="76"/>
      <c r="I75" s="48"/>
      <c r="J75" s="48"/>
      <c r="K75" s="48"/>
      <c r="L75" s="48"/>
      <c r="M75" s="48"/>
      <c r="N75" s="69"/>
    </row>
    <row r="76" spans="1:16" hidden="1">
      <c r="A76" s="278"/>
      <c r="B76" s="278"/>
      <c r="C76" s="77"/>
      <c r="D76" s="75"/>
      <c r="E76" s="76"/>
      <c r="F76" s="92"/>
      <c r="G76" s="76"/>
      <c r="H76" s="76"/>
      <c r="I76" s="48"/>
      <c r="J76" s="48"/>
      <c r="K76" s="48"/>
      <c r="L76" s="48"/>
      <c r="M76" s="48"/>
      <c r="N76" s="69"/>
    </row>
    <row r="77" spans="1:16" hidden="1">
      <c r="A77" s="278"/>
      <c r="B77" s="278"/>
      <c r="C77" s="77"/>
      <c r="D77" s="75"/>
      <c r="E77" s="76"/>
      <c r="F77" s="92"/>
      <c r="G77" s="76"/>
      <c r="H77" s="76"/>
      <c r="I77" s="48"/>
      <c r="J77" s="48"/>
      <c r="K77" s="48"/>
      <c r="L77" s="48"/>
      <c r="M77" s="48"/>
      <c r="N77" s="69"/>
    </row>
    <row r="78" spans="1:16" hidden="1">
      <c r="A78" s="278"/>
      <c r="B78" s="278"/>
      <c r="C78" s="77"/>
      <c r="D78" s="75"/>
      <c r="E78" s="76"/>
      <c r="F78" s="92"/>
      <c r="G78" s="76"/>
      <c r="H78" s="76"/>
      <c r="I78" s="48"/>
      <c r="J78" s="48"/>
      <c r="K78" s="48"/>
      <c r="L78" s="48"/>
      <c r="M78" s="48"/>
      <c r="N78" s="69"/>
    </row>
    <row r="79" spans="1:16" hidden="1">
      <c r="A79" s="278"/>
      <c r="B79" s="278"/>
      <c r="C79" s="77"/>
      <c r="D79" s="75"/>
      <c r="E79" s="76"/>
      <c r="F79" s="92"/>
      <c r="G79" s="76"/>
      <c r="H79" s="76"/>
      <c r="I79" s="48"/>
      <c r="J79" s="48"/>
      <c r="K79" s="48"/>
      <c r="L79" s="48"/>
      <c r="M79" s="48"/>
      <c r="N79" s="69"/>
    </row>
    <row r="80" spans="1:16" hidden="1">
      <c r="A80" s="278"/>
      <c r="B80" s="278"/>
      <c r="C80" s="279"/>
      <c r="D80" s="75"/>
      <c r="E80" s="76"/>
      <c r="F80" s="92"/>
      <c r="G80" s="76"/>
      <c r="H80" s="76"/>
      <c r="I80" s="48"/>
      <c r="J80" s="48"/>
      <c r="K80" s="48"/>
      <c r="L80" s="48"/>
      <c r="M80" s="48"/>
      <c r="N80" s="69"/>
    </row>
    <row r="81" spans="1:16" hidden="1">
      <c r="A81" s="278"/>
      <c r="B81" s="278"/>
      <c r="C81" s="279"/>
      <c r="D81" s="75"/>
      <c r="E81" s="76"/>
      <c r="F81" s="92"/>
      <c r="G81" s="76"/>
      <c r="H81" s="76"/>
      <c r="I81" s="48"/>
      <c r="J81" s="48"/>
      <c r="K81" s="48"/>
      <c r="L81" s="48"/>
      <c r="M81" s="48"/>
      <c r="N81" s="69"/>
    </row>
    <row r="82" spans="1:16" hidden="1">
      <c r="A82" s="278"/>
      <c r="B82" s="278"/>
      <c r="C82" s="279"/>
      <c r="D82" s="75"/>
      <c r="E82" s="76"/>
      <c r="F82" s="92"/>
      <c r="G82" s="76"/>
      <c r="H82" s="76"/>
      <c r="I82" s="48"/>
      <c r="J82" s="48"/>
      <c r="K82" s="48"/>
      <c r="L82" s="48"/>
      <c r="M82" s="48"/>
      <c r="N82" s="69"/>
    </row>
    <row r="83" spans="1:16" hidden="1">
      <c r="A83" s="278"/>
      <c r="B83" s="278"/>
      <c r="C83" s="279"/>
      <c r="D83" s="75"/>
      <c r="E83" s="76"/>
      <c r="F83" s="92"/>
      <c r="G83" s="76"/>
      <c r="H83" s="76"/>
      <c r="I83" s="48"/>
      <c r="J83" s="48"/>
      <c r="K83" s="48"/>
      <c r="L83" s="48"/>
      <c r="M83" s="48"/>
      <c r="N83" s="69"/>
    </row>
    <row r="84" spans="1:16" hidden="1">
      <c r="D84" s="1"/>
      <c r="E84" s="1"/>
      <c r="G84" s="1"/>
      <c r="H84" s="1"/>
      <c r="I84" s="1"/>
      <c r="J84" s="1"/>
    </row>
    <row r="85" spans="1:16">
      <c r="A85" s="242" t="str">
        <f>$A$4</f>
        <v xml:space="preserve">Please fill in Supplier Name </v>
      </c>
      <c r="B85" s="242" t="s">
        <v>199</v>
      </c>
      <c r="C85" s="242" t="s">
        <v>200</v>
      </c>
      <c r="D85" s="243"/>
      <c r="E85" s="243"/>
      <c r="F85" s="244"/>
      <c r="G85" s="245">
        <f>'CS Y C1-3'!G90</f>
        <v>0</v>
      </c>
      <c r="H85" s="245">
        <f>'CS Y C1-3'!H90</f>
        <v>0</v>
      </c>
      <c r="I85" s="246">
        <f>'CS Y C1-3'!I90</f>
        <v>0</v>
      </c>
      <c r="J85" s="247" t="s">
        <v>169</v>
      </c>
      <c r="K85" s="247" t="s">
        <v>35</v>
      </c>
      <c r="L85" s="248">
        <v>0.6</v>
      </c>
      <c r="M85" s="249">
        <f>I85*L85*$K$233</f>
        <v>0</v>
      </c>
      <c r="N85" s="242"/>
      <c r="O85" s="250" t="s">
        <v>543</v>
      </c>
      <c r="P85" s="240"/>
    </row>
    <row r="86" spans="1:16" hidden="1">
      <c r="A86" s="278"/>
      <c r="B86" s="278"/>
      <c r="C86" s="77"/>
      <c r="D86" s="75"/>
      <c r="E86" s="76"/>
      <c r="F86" s="92"/>
      <c r="G86" s="76"/>
      <c r="H86" s="76"/>
      <c r="I86" s="48"/>
      <c r="J86" s="48"/>
      <c r="K86" s="48"/>
      <c r="L86" s="48"/>
      <c r="M86" s="48"/>
      <c r="N86" s="69"/>
    </row>
    <row r="87" spans="1:16" hidden="1">
      <c r="A87" s="278"/>
      <c r="B87" s="278"/>
      <c r="C87" s="77"/>
      <c r="D87" s="75"/>
      <c r="E87" s="76"/>
      <c r="F87" s="92"/>
      <c r="G87" s="76"/>
      <c r="H87" s="76"/>
      <c r="I87" s="48"/>
      <c r="J87" s="48"/>
      <c r="K87" s="48"/>
      <c r="L87" s="48"/>
      <c r="M87" s="48"/>
      <c r="N87" s="69"/>
    </row>
    <row r="88" spans="1:16" hidden="1">
      <c r="A88" s="278"/>
      <c r="B88" s="278"/>
      <c r="C88" s="77"/>
      <c r="D88" s="75"/>
      <c r="E88" s="76"/>
      <c r="F88" s="92"/>
      <c r="G88" s="76"/>
      <c r="H88" s="76"/>
      <c r="I88" s="48"/>
      <c r="J88" s="48"/>
      <c r="K88" s="48"/>
      <c r="L88" s="48"/>
      <c r="M88" s="48"/>
      <c r="N88" s="69"/>
    </row>
    <row r="89" spans="1:16" hidden="1">
      <c r="A89" s="278"/>
      <c r="B89" s="278"/>
      <c r="C89" s="77"/>
      <c r="D89" s="75"/>
      <c r="E89" s="76"/>
      <c r="F89" s="92"/>
      <c r="G89" s="76"/>
      <c r="H89" s="76"/>
      <c r="I89" s="48"/>
      <c r="J89" s="48"/>
      <c r="K89" s="48"/>
      <c r="L89" s="48"/>
      <c r="M89" s="48"/>
      <c r="N89" s="69"/>
    </row>
    <row r="90" spans="1:16" hidden="1">
      <c r="A90" s="278"/>
      <c r="B90" s="278"/>
      <c r="C90" s="77"/>
      <c r="D90" s="75"/>
      <c r="E90" s="76"/>
      <c r="F90" s="92"/>
      <c r="G90" s="76"/>
      <c r="H90" s="76"/>
      <c r="I90" s="48"/>
      <c r="J90" s="48"/>
      <c r="K90" s="48"/>
      <c r="L90" s="48"/>
      <c r="M90" s="48"/>
      <c r="N90" s="69"/>
    </row>
    <row r="91" spans="1:16" hidden="1">
      <c r="A91" s="278"/>
      <c r="B91" s="278"/>
      <c r="C91" s="77"/>
      <c r="D91" s="75"/>
      <c r="E91" s="76"/>
      <c r="F91" s="92"/>
      <c r="G91" s="76"/>
      <c r="H91" s="76"/>
      <c r="I91" s="48"/>
      <c r="J91" s="48"/>
      <c r="K91" s="48"/>
      <c r="L91" s="48"/>
      <c r="M91" s="48"/>
      <c r="N91" s="69"/>
    </row>
    <row r="92" spans="1:16" hidden="1">
      <c r="A92" s="278"/>
      <c r="B92" s="278"/>
      <c r="C92" s="77"/>
      <c r="D92" s="75"/>
      <c r="E92" s="76"/>
      <c r="F92" s="92"/>
      <c r="G92" s="76"/>
      <c r="H92" s="76"/>
      <c r="I92" s="48"/>
      <c r="J92" s="48"/>
      <c r="K92" s="48"/>
      <c r="L92" s="48"/>
      <c r="M92" s="48"/>
      <c r="N92" s="69"/>
    </row>
    <row r="93" spans="1:16" hidden="1">
      <c r="A93" s="278"/>
      <c r="B93" s="278"/>
      <c r="C93" s="77"/>
      <c r="D93" s="75"/>
      <c r="E93" s="76"/>
      <c r="F93" s="92"/>
      <c r="G93" s="76"/>
      <c r="H93" s="76"/>
      <c r="I93" s="48"/>
      <c r="J93" s="48"/>
      <c r="K93" s="48"/>
      <c r="L93" s="48"/>
      <c r="M93" s="48"/>
      <c r="N93" s="69"/>
    </row>
    <row r="94" spans="1:16" hidden="1">
      <c r="A94" s="278"/>
      <c r="B94" s="278"/>
      <c r="C94" s="279"/>
      <c r="D94" s="75"/>
      <c r="E94" s="76"/>
      <c r="F94" s="92"/>
      <c r="G94" s="76"/>
      <c r="H94" s="76"/>
      <c r="I94" s="48"/>
      <c r="J94" s="48"/>
      <c r="K94" s="48"/>
      <c r="L94" s="48"/>
      <c r="M94" s="48"/>
      <c r="N94" s="69"/>
    </row>
    <row r="95" spans="1:16" hidden="1">
      <c r="D95" s="1"/>
      <c r="E95" s="1"/>
      <c r="G95" s="1"/>
      <c r="H95" s="1"/>
      <c r="I95" s="1"/>
      <c r="J95" s="1"/>
    </row>
    <row r="96" spans="1:16" ht="13.15" hidden="1" customHeight="1">
      <c r="A96" s="9" t="str">
        <f>$A$4</f>
        <v xml:space="preserve">Please fill in Supplier Name </v>
      </c>
      <c r="B96" s="9" t="s">
        <v>178</v>
      </c>
      <c r="C96" s="9" t="s">
        <v>179</v>
      </c>
      <c r="D96" s="10"/>
      <c r="E96" s="10"/>
      <c r="F96" s="91"/>
      <c r="G96" s="7">
        <f>SUM(G97:G105)</f>
        <v>0</v>
      </c>
      <c r="H96" s="7">
        <f>SUM(H97:H105)</f>
        <v>0</v>
      </c>
      <c r="I96" s="57">
        <f>SUM(G96:H96)</f>
        <v>0</v>
      </c>
      <c r="J96" s="14" t="s">
        <v>169</v>
      </c>
      <c r="K96" s="14" t="s">
        <v>110</v>
      </c>
      <c r="L96" s="14"/>
      <c r="M96" s="146">
        <f>I96*L96</f>
        <v>0</v>
      </c>
      <c r="N96" s="17" t="s">
        <v>180</v>
      </c>
      <c r="O96" s="12" t="s">
        <v>544</v>
      </c>
      <c r="P96" s="12" t="s">
        <v>875</v>
      </c>
    </row>
    <row r="97" spans="1:16" hidden="1">
      <c r="A97" s="278"/>
      <c r="B97" s="278"/>
      <c r="C97" s="3" t="s">
        <v>876</v>
      </c>
      <c r="D97" s="71">
        <v>100</v>
      </c>
      <c r="E97" s="48" t="s">
        <v>559</v>
      </c>
      <c r="F97" s="59"/>
      <c r="G97" s="48"/>
      <c r="H97" s="48"/>
      <c r="I97" s="48"/>
      <c r="J97" s="48"/>
      <c r="K97" s="48"/>
      <c r="L97" s="48"/>
      <c r="M97" s="48"/>
      <c r="N97" s="69"/>
    </row>
    <row r="98" spans="1:16" hidden="1">
      <c r="A98" s="278"/>
      <c r="B98" s="278"/>
      <c r="C98" s="3" t="s">
        <v>877</v>
      </c>
      <c r="D98" s="71">
        <v>30</v>
      </c>
      <c r="E98" s="48" t="s">
        <v>665</v>
      </c>
      <c r="F98" s="59"/>
      <c r="G98" s="48"/>
      <c r="H98" s="48"/>
      <c r="I98" s="48"/>
      <c r="J98" s="48"/>
      <c r="K98" s="48"/>
      <c r="L98" s="48"/>
      <c r="M98" s="48"/>
      <c r="N98" s="69"/>
    </row>
    <row r="99" spans="1:16" ht="13.15" hidden="1" customHeight="1">
      <c r="A99" s="278"/>
      <c r="B99" s="278"/>
      <c r="C99" s="3" t="s">
        <v>878</v>
      </c>
      <c r="D99" s="71">
        <v>80</v>
      </c>
      <c r="E99" s="48" t="s">
        <v>559</v>
      </c>
      <c r="F99" s="59"/>
      <c r="G99" s="48"/>
      <c r="H99" s="48"/>
      <c r="I99" s="48"/>
      <c r="J99" s="48"/>
      <c r="K99" s="48"/>
      <c r="L99" s="48"/>
      <c r="M99" s="48"/>
      <c r="N99" s="69"/>
    </row>
    <row r="100" spans="1:16" ht="13.15" hidden="1" customHeight="1">
      <c r="A100" s="278"/>
      <c r="B100" s="278"/>
      <c r="C100" s="3" t="s">
        <v>879</v>
      </c>
      <c r="D100" s="71">
        <v>40</v>
      </c>
      <c r="E100" s="48" t="s">
        <v>559</v>
      </c>
      <c r="F100" s="59"/>
      <c r="G100" s="48"/>
      <c r="H100" s="48"/>
      <c r="I100" s="48"/>
      <c r="J100" s="48"/>
      <c r="K100" s="48"/>
      <c r="L100" s="48"/>
      <c r="M100" s="48"/>
      <c r="N100" s="69"/>
    </row>
    <row r="101" spans="1:16" ht="13.15" hidden="1" customHeight="1">
      <c r="A101" s="278"/>
      <c r="B101" s="278"/>
      <c r="C101" s="3" t="s">
        <v>880</v>
      </c>
      <c r="D101" s="71">
        <v>0</v>
      </c>
      <c r="E101" s="48"/>
      <c r="F101" s="59"/>
      <c r="G101" s="48"/>
      <c r="H101" s="48"/>
      <c r="I101" s="48"/>
      <c r="J101" s="48"/>
      <c r="K101" s="48"/>
      <c r="L101" s="48"/>
      <c r="M101" s="48"/>
      <c r="N101" s="69"/>
    </row>
    <row r="102" spans="1:16" ht="13.15" hidden="1" customHeight="1">
      <c r="A102" s="278"/>
      <c r="B102" s="278"/>
      <c r="C102" s="278" t="s">
        <v>881</v>
      </c>
      <c r="D102" s="71" t="s">
        <v>881</v>
      </c>
      <c r="E102" s="48"/>
      <c r="F102" s="59"/>
      <c r="G102" s="48"/>
      <c r="H102" s="48"/>
      <c r="I102" s="48"/>
      <c r="J102" s="48"/>
      <c r="K102" s="48"/>
      <c r="L102" s="48"/>
      <c r="M102" s="48"/>
      <c r="N102" s="69"/>
    </row>
    <row r="103" spans="1:16" hidden="1">
      <c r="A103" s="278"/>
      <c r="B103" s="278"/>
      <c r="C103" s="278"/>
      <c r="D103" s="71"/>
      <c r="E103" s="48"/>
      <c r="F103" s="59"/>
      <c r="G103" s="48"/>
      <c r="H103" s="48"/>
      <c r="I103" s="48"/>
      <c r="J103" s="48"/>
      <c r="K103" s="48"/>
      <c r="L103" s="48"/>
      <c r="M103" s="48"/>
      <c r="N103" s="69"/>
    </row>
    <row r="104" spans="1:16" hidden="1">
      <c r="A104" s="278"/>
      <c r="B104" s="278"/>
      <c r="C104" s="278"/>
      <c r="D104" s="71"/>
      <c r="E104" s="48"/>
      <c r="F104" s="59"/>
      <c r="G104" s="48"/>
      <c r="H104" s="48"/>
      <c r="I104" s="48"/>
      <c r="J104" s="48"/>
      <c r="K104" s="48"/>
      <c r="L104" s="48"/>
      <c r="M104" s="48"/>
      <c r="N104" s="69"/>
    </row>
    <row r="105" spans="1:16" hidden="1">
      <c r="A105" s="278"/>
      <c r="B105" s="278"/>
      <c r="C105" s="278"/>
      <c r="D105" s="71"/>
      <c r="E105" s="48"/>
      <c r="F105" s="59"/>
      <c r="G105" s="48"/>
      <c r="H105" s="48"/>
      <c r="I105" s="48"/>
      <c r="J105" s="48"/>
      <c r="K105" s="48"/>
      <c r="L105" s="48"/>
      <c r="M105" s="48"/>
      <c r="N105" s="69"/>
    </row>
    <row r="106" spans="1:16" hidden="1">
      <c r="A106" s="278"/>
      <c r="B106" s="278"/>
      <c r="C106" s="278"/>
      <c r="D106" s="1"/>
      <c r="E106" s="1"/>
      <c r="G106" s="1"/>
      <c r="H106" s="1"/>
      <c r="I106" s="1"/>
      <c r="J106" s="1"/>
    </row>
    <row r="107" spans="1:16">
      <c r="A107" s="200" t="str">
        <f>$A$4</f>
        <v xml:space="preserve">Please fill in Supplier Name </v>
      </c>
      <c r="B107" s="200" t="s">
        <v>195</v>
      </c>
      <c r="C107" s="200" t="s">
        <v>196</v>
      </c>
      <c r="D107" s="201"/>
      <c r="E107" s="201"/>
      <c r="F107" s="202"/>
      <c r="G107" s="198">
        <f>'CS Y C1-3'!G112</f>
        <v>0</v>
      </c>
      <c r="H107" s="198">
        <f>'CS Y C1-3'!H112</f>
        <v>0</v>
      </c>
      <c r="I107" s="203">
        <f>'CS Y C1-3'!I112</f>
        <v>0</v>
      </c>
      <c r="J107" s="204" t="s">
        <v>169</v>
      </c>
      <c r="K107" s="204" t="s">
        <v>110</v>
      </c>
      <c r="L107" s="205">
        <v>0.4</v>
      </c>
      <c r="M107" s="206">
        <f>I107*L107*$K$233</f>
        <v>0</v>
      </c>
      <c r="N107" s="209" t="s">
        <v>180</v>
      </c>
      <c r="O107" s="207" t="s">
        <v>532</v>
      </c>
      <c r="P107" s="199" t="s">
        <v>1189</v>
      </c>
    </row>
    <row r="108" spans="1:16" hidden="1">
      <c r="A108" s="278"/>
      <c r="B108" s="278"/>
      <c r="C108" s="77"/>
      <c r="D108" s="75"/>
      <c r="E108" s="76"/>
      <c r="F108" s="92"/>
      <c r="G108" s="76"/>
      <c r="H108" s="76"/>
      <c r="I108" s="48"/>
      <c r="J108" s="48"/>
      <c r="K108" s="48"/>
      <c r="L108" s="48"/>
      <c r="M108" s="48"/>
      <c r="N108" s="69"/>
    </row>
    <row r="109" spans="1:16" hidden="1">
      <c r="A109" s="278"/>
      <c r="B109" s="278"/>
      <c r="C109" s="77"/>
      <c r="D109" s="75"/>
      <c r="E109" s="76"/>
      <c r="F109" s="92"/>
      <c r="G109" s="76"/>
      <c r="H109" s="76"/>
      <c r="I109" s="48"/>
      <c r="J109" s="48"/>
      <c r="K109" s="48"/>
      <c r="L109" s="48"/>
      <c r="M109" s="48"/>
      <c r="N109" s="69"/>
    </row>
    <row r="110" spans="1:16" hidden="1">
      <c r="A110" s="278"/>
      <c r="B110" s="278"/>
      <c r="C110" s="77"/>
      <c r="D110" s="75"/>
      <c r="E110" s="76"/>
      <c r="F110" s="92"/>
      <c r="G110" s="76"/>
      <c r="H110" s="76"/>
      <c r="I110" s="48"/>
      <c r="J110" s="48"/>
      <c r="K110" s="48"/>
      <c r="L110" s="48"/>
      <c r="M110" s="48"/>
      <c r="N110" s="69"/>
    </row>
    <row r="111" spans="1:16" hidden="1">
      <c r="A111" s="278"/>
      <c r="B111" s="278"/>
      <c r="C111" s="77"/>
      <c r="D111" s="75"/>
      <c r="E111" s="76"/>
      <c r="F111" s="92"/>
      <c r="G111" s="76"/>
      <c r="H111" s="76"/>
      <c r="I111" s="48"/>
      <c r="J111" s="48"/>
      <c r="K111" s="48"/>
      <c r="L111" s="48"/>
      <c r="M111" s="48"/>
      <c r="N111" s="69"/>
    </row>
    <row r="112" spans="1:16" hidden="1">
      <c r="A112" s="278"/>
      <c r="B112" s="278"/>
      <c r="C112" s="279"/>
      <c r="D112" s="75"/>
      <c r="E112" s="76"/>
      <c r="F112" s="92"/>
      <c r="G112" s="76"/>
      <c r="H112" s="76"/>
      <c r="I112" s="48"/>
      <c r="J112" s="48"/>
      <c r="K112" s="48"/>
      <c r="L112" s="48"/>
      <c r="M112" s="48"/>
      <c r="N112" s="69"/>
    </row>
    <row r="113" spans="1:16" hidden="1">
      <c r="A113" s="278"/>
      <c r="B113" s="278"/>
      <c r="C113" s="279"/>
      <c r="D113" s="75"/>
      <c r="E113" s="76"/>
      <c r="F113" s="92"/>
      <c r="G113" s="76"/>
      <c r="H113" s="76"/>
      <c r="I113" s="48"/>
      <c r="J113" s="48"/>
      <c r="K113" s="48"/>
      <c r="L113" s="48"/>
      <c r="M113" s="48"/>
      <c r="N113" s="69"/>
    </row>
    <row r="114" spans="1:16" hidden="1">
      <c r="A114" s="278"/>
      <c r="B114" s="278"/>
      <c r="C114" s="279"/>
      <c r="D114" s="75"/>
      <c r="E114" s="76"/>
      <c r="F114" s="92"/>
      <c r="G114" s="76"/>
      <c r="H114" s="76"/>
      <c r="I114" s="48"/>
      <c r="J114" s="48"/>
      <c r="K114" s="48"/>
      <c r="L114" s="48"/>
      <c r="M114" s="48"/>
      <c r="N114" s="69"/>
    </row>
    <row r="115" spans="1:16" hidden="1">
      <c r="A115" s="278"/>
      <c r="B115" s="278"/>
      <c r="C115" s="279"/>
      <c r="D115" s="75"/>
      <c r="E115" s="76"/>
      <c r="F115" s="92"/>
      <c r="G115" s="76"/>
      <c r="H115" s="76"/>
      <c r="I115" s="48"/>
      <c r="J115" s="48"/>
      <c r="K115" s="48"/>
      <c r="L115" s="48"/>
      <c r="M115" s="48"/>
      <c r="N115" s="69"/>
    </row>
    <row r="116" spans="1:16" hidden="1">
      <c r="A116" s="278"/>
      <c r="B116" s="278"/>
      <c r="C116" s="279"/>
      <c r="D116" s="75"/>
      <c r="E116" s="76"/>
      <c r="F116" s="92"/>
      <c r="G116" s="76"/>
      <c r="H116" s="76"/>
      <c r="I116" s="48"/>
      <c r="J116" s="48"/>
      <c r="K116" s="48"/>
      <c r="L116" s="48"/>
      <c r="M116" s="48"/>
      <c r="N116" s="69"/>
    </row>
    <row r="117" spans="1:16" hidden="1">
      <c r="D117" s="1"/>
      <c r="E117" s="1"/>
      <c r="G117" s="1"/>
      <c r="H117" s="1"/>
      <c r="I117" s="1"/>
      <c r="J117" s="1"/>
    </row>
    <row r="118" spans="1:16">
      <c r="A118" s="242" t="str">
        <f>$A$4</f>
        <v xml:space="preserve">Please fill in Supplier Name </v>
      </c>
      <c r="B118" s="242" t="s">
        <v>201</v>
      </c>
      <c r="C118" s="242" t="s">
        <v>202</v>
      </c>
      <c r="D118" s="243"/>
      <c r="E118" s="243"/>
      <c r="F118" s="244"/>
      <c r="G118" s="245">
        <f>'CS Y C1-3'!G123</f>
        <v>0</v>
      </c>
      <c r="H118" s="245">
        <f>'CS Y C1-3'!H123</f>
        <v>0</v>
      </c>
      <c r="I118" s="246">
        <f>'CS Y C1-3'!I123</f>
        <v>0</v>
      </c>
      <c r="J118" s="247" t="s">
        <v>169</v>
      </c>
      <c r="K118" s="247" t="s">
        <v>110</v>
      </c>
      <c r="L118" s="248">
        <v>0.4</v>
      </c>
      <c r="M118" s="249">
        <f>I118*L118*$K$233</f>
        <v>0</v>
      </c>
      <c r="N118" s="252" t="s">
        <v>180</v>
      </c>
      <c r="O118" s="250" t="s">
        <v>543</v>
      </c>
      <c r="P118" s="240"/>
    </row>
    <row r="119" spans="1:16" hidden="1">
      <c r="A119" s="3"/>
      <c r="B119" s="3"/>
      <c r="C119" s="77"/>
      <c r="D119" s="75"/>
      <c r="E119" s="76"/>
      <c r="F119" s="92"/>
      <c r="G119" s="76"/>
      <c r="H119" s="76"/>
      <c r="I119" s="48"/>
      <c r="J119" s="48"/>
      <c r="K119" s="48"/>
      <c r="L119" s="48"/>
      <c r="M119" s="48"/>
      <c r="N119" s="69"/>
    </row>
    <row r="120" spans="1:16" hidden="1">
      <c r="A120" s="3"/>
      <c r="B120" s="3"/>
      <c r="C120" s="77"/>
      <c r="D120" s="75"/>
      <c r="E120" s="76"/>
      <c r="F120" s="92"/>
      <c r="G120" s="76"/>
      <c r="H120" s="76"/>
      <c r="I120" s="48"/>
      <c r="J120" s="48"/>
      <c r="K120" s="48"/>
      <c r="L120" s="48"/>
      <c r="M120" s="48"/>
      <c r="N120" s="69"/>
    </row>
    <row r="121" spans="1:16" hidden="1">
      <c r="A121" s="3"/>
      <c r="B121" s="3"/>
      <c r="C121" s="77"/>
      <c r="D121" s="75"/>
      <c r="E121" s="76"/>
      <c r="F121" s="92"/>
      <c r="G121" s="76"/>
      <c r="H121" s="76"/>
      <c r="I121" s="48"/>
      <c r="J121" s="48"/>
      <c r="K121" s="48"/>
      <c r="L121" s="48"/>
      <c r="M121" s="48"/>
      <c r="N121" s="69"/>
    </row>
    <row r="122" spans="1:16" hidden="1">
      <c r="A122" s="3"/>
      <c r="B122" s="3"/>
      <c r="C122" s="77"/>
      <c r="D122" s="75"/>
      <c r="E122" s="76"/>
      <c r="F122" s="92"/>
      <c r="G122" s="76"/>
      <c r="H122" s="76"/>
      <c r="I122" s="48"/>
      <c r="J122" s="48"/>
      <c r="K122" s="48"/>
      <c r="L122" s="48"/>
      <c r="M122" s="48"/>
      <c r="N122" s="69"/>
    </row>
    <row r="123" spans="1:16" hidden="1">
      <c r="A123" s="3"/>
      <c r="B123" s="3"/>
      <c r="C123" s="77"/>
      <c r="D123" s="75"/>
      <c r="E123" s="76"/>
      <c r="F123" s="92"/>
      <c r="G123" s="76"/>
      <c r="H123" s="76"/>
      <c r="I123" s="48"/>
      <c r="J123" s="48"/>
      <c r="K123" s="48"/>
      <c r="L123" s="48"/>
      <c r="M123" s="48"/>
      <c r="N123" s="69"/>
    </row>
    <row r="124" spans="1:16" hidden="1">
      <c r="A124" s="3"/>
      <c r="B124" s="3"/>
      <c r="C124" s="77"/>
      <c r="D124" s="75"/>
      <c r="E124" s="76"/>
      <c r="F124" s="92"/>
      <c r="G124" s="76"/>
      <c r="H124" s="76"/>
      <c r="I124" s="48"/>
      <c r="J124" s="48"/>
      <c r="K124" s="48"/>
      <c r="L124" s="48"/>
      <c r="M124" s="48"/>
      <c r="N124" s="69"/>
    </row>
    <row r="125" spans="1:16" hidden="1">
      <c r="A125" s="3"/>
      <c r="B125" s="3"/>
      <c r="C125" s="77"/>
      <c r="D125" s="75"/>
      <c r="E125" s="76"/>
      <c r="F125" s="92"/>
      <c r="G125" s="76"/>
      <c r="H125" s="76"/>
      <c r="I125" s="48"/>
      <c r="J125" s="48"/>
      <c r="K125" s="48"/>
      <c r="L125" s="48"/>
      <c r="M125" s="48"/>
      <c r="N125" s="69"/>
    </row>
    <row r="126" spans="1:16" hidden="1">
      <c r="A126" s="3"/>
      <c r="B126" s="3"/>
      <c r="C126" s="77"/>
      <c r="D126" s="75"/>
      <c r="E126" s="76"/>
      <c r="F126" s="92"/>
      <c r="G126" s="76"/>
      <c r="H126" s="76"/>
      <c r="I126" s="48"/>
      <c r="J126" s="48"/>
      <c r="K126" s="48"/>
      <c r="L126" s="48"/>
      <c r="M126" s="48"/>
      <c r="N126" s="69"/>
    </row>
    <row r="127" spans="1:16" hidden="1">
      <c r="A127" s="3"/>
      <c r="B127" s="3"/>
      <c r="C127" s="77"/>
      <c r="D127" s="75"/>
      <c r="E127" s="76"/>
      <c r="F127" s="92"/>
      <c r="G127" s="76"/>
      <c r="H127" s="76"/>
      <c r="I127" s="48"/>
      <c r="J127" s="48"/>
      <c r="K127" s="48"/>
      <c r="L127" s="48"/>
      <c r="M127" s="48"/>
      <c r="N127" s="69"/>
    </row>
    <row r="128" spans="1:16" hidden="1">
      <c r="D128" s="1"/>
      <c r="E128" s="1"/>
      <c r="G128" s="1"/>
      <c r="H128" s="1"/>
      <c r="I128" s="1"/>
      <c r="J128" s="1"/>
    </row>
    <row r="129" spans="1:16" hidden="1">
      <c r="A129" s="9" t="str">
        <f>$A$4</f>
        <v xml:space="preserve">Please fill in Supplier Name </v>
      </c>
      <c r="B129" s="9" t="s">
        <v>181</v>
      </c>
      <c r="C129" s="9" t="s">
        <v>182</v>
      </c>
      <c r="D129" s="10"/>
      <c r="E129" s="10"/>
      <c r="F129" s="91"/>
      <c r="G129" s="7">
        <f>SUM(G130:G132)</f>
        <v>0</v>
      </c>
      <c r="H129" s="7">
        <f>SUM(H130:H132)</f>
        <v>0</v>
      </c>
      <c r="I129" s="57">
        <f>SUM(G129:H129)</f>
        <v>0</v>
      </c>
      <c r="J129" s="14" t="s">
        <v>169</v>
      </c>
      <c r="K129" s="11">
        <v>1</v>
      </c>
      <c r="L129" s="11">
        <v>1</v>
      </c>
      <c r="M129" s="146">
        <f>I129*L129</f>
        <v>0</v>
      </c>
      <c r="N129" s="13"/>
      <c r="O129" s="12" t="s">
        <v>544</v>
      </c>
      <c r="P129" s="12" t="s">
        <v>884</v>
      </c>
    </row>
    <row r="130" spans="1:16" hidden="1">
      <c r="A130" s="278"/>
      <c r="B130" s="278"/>
      <c r="C130" s="3" t="s">
        <v>885</v>
      </c>
      <c r="D130" s="71">
        <v>40</v>
      </c>
      <c r="E130" s="48" t="s">
        <v>559</v>
      </c>
      <c r="F130" s="59"/>
      <c r="G130" s="48"/>
      <c r="H130" s="48"/>
      <c r="I130" s="48"/>
      <c r="J130" s="48"/>
      <c r="K130" s="48"/>
      <c r="L130" s="48"/>
      <c r="M130" s="48"/>
      <c r="N130" s="69"/>
    </row>
    <row r="131" spans="1:16" hidden="1">
      <c r="A131" s="278"/>
      <c r="B131" s="278"/>
      <c r="C131" s="3" t="s">
        <v>886</v>
      </c>
      <c r="D131" s="71">
        <v>20</v>
      </c>
      <c r="E131" s="48" t="s">
        <v>559</v>
      </c>
      <c r="F131" s="59"/>
      <c r="G131" s="48"/>
      <c r="H131" s="48"/>
      <c r="I131" s="48"/>
      <c r="J131" s="48"/>
      <c r="K131" s="48"/>
      <c r="L131" s="48"/>
      <c r="M131" s="48"/>
      <c r="N131" s="69"/>
    </row>
    <row r="132" spans="1:16" hidden="1">
      <c r="A132" s="278"/>
      <c r="B132" s="278"/>
      <c r="C132" s="3" t="s">
        <v>887</v>
      </c>
      <c r="D132" s="71">
        <v>10</v>
      </c>
      <c r="E132" s="48" t="s">
        <v>559</v>
      </c>
      <c r="F132" s="59"/>
      <c r="G132" s="48"/>
      <c r="H132" s="48"/>
      <c r="I132" s="48"/>
      <c r="J132" s="48"/>
      <c r="K132" s="48"/>
      <c r="L132" s="48"/>
      <c r="M132" s="48"/>
      <c r="N132" s="69"/>
    </row>
    <row r="133" spans="1:16" hidden="1">
      <c r="D133" s="1"/>
      <c r="E133" s="1"/>
      <c r="G133" s="1"/>
      <c r="H133" s="1"/>
      <c r="I133" s="1"/>
      <c r="J133" s="1"/>
    </row>
    <row r="134" spans="1:16">
      <c r="A134" s="200" t="str">
        <f>$A$4</f>
        <v xml:space="preserve">Please fill in Supplier Name </v>
      </c>
      <c r="B134" s="200" t="s">
        <v>183</v>
      </c>
      <c r="C134" s="200" t="s">
        <v>184</v>
      </c>
      <c r="D134" s="201"/>
      <c r="E134" s="201"/>
      <c r="F134" s="202"/>
      <c r="G134" s="198">
        <f>'CS Y C1-3'!G139</f>
        <v>0</v>
      </c>
      <c r="H134" s="198">
        <f>'CS Y C1-3'!H139</f>
        <v>0</v>
      </c>
      <c r="I134" s="203">
        <f>'CS Y C1-3'!I139</f>
        <v>0</v>
      </c>
      <c r="J134" s="204" t="s">
        <v>169</v>
      </c>
      <c r="K134" s="205">
        <v>1</v>
      </c>
      <c r="L134" s="205">
        <v>1</v>
      </c>
      <c r="M134" s="206">
        <f>I134*L134*$K$233</f>
        <v>0</v>
      </c>
      <c r="N134" s="208"/>
      <c r="O134" s="207" t="s">
        <v>532</v>
      </c>
      <c r="P134" s="199" t="s">
        <v>1190</v>
      </c>
    </row>
    <row r="135" spans="1:16" hidden="1">
      <c r="A135" s="278"/>
      <c r="B135" s="278"/>
      <c r="C135" s="77"/>
      <c r="D135" s="75"/>
      <c r="E135" s="76"/>
      <c r="F135" s="92"/>
      <c r="G135" s="76"/>
      <c r="H135" s="76"/>
      <c r="I135" s="48"/>
      <c r="J135" s="48"/>
      <c r="K135" s="48"/>
      <c r="L135" s="48"/>
      <c r="M135" s="48"/>
      <c r="N135" s="69"/>
    </row>
    <row r="136" spans="1:16" hidden="1">
      <c r="A136" s="278"/>
      <c r="B136" s="278"/>
      <c r="C136" s="77"/>
      <c r="D136" s="75"/>
      <c r="E136" s="76"/>
      <c r="F136" s="92"/>
      <c r="G136" s="76"/>
      <c r="H136" s="76"/>
      <c r="I136" s="48"/>
      <c r="J136" s="48"/>
      <c r="K136" s="48"/>
      <c r="L136" s="48"/>
      <c r="M136" s="48"/>
      <c r="N136" s="69"/>
    </row>
    <row r="137" spans="1:16" hidden="1">
      <c r="A137" s="278"/>
      <c r="B137" s="278"/>
      <c r="C137" s="279"/>
      <c r="D137" s="75"/>
      <c r="E137" s="76"/>
      <c r="F137" s="92"/>
      <c r="G137" s="76"/>
      <c r="H137" s="76"/>
      <c r="I137" s="48"/>
      <c r="J137" s="48"/>
      <c r="K137" s="48"/>
      <c r="L137" s="48"/>
      <c r="M137" s="48"/>
      <c r="N137" s="69"/>
    </row>
    <row r="138" spans="1:16" hidden="1">
      <c r="D138" s="1"/>
      <c r="E138" s="1"/>
      <c r="G138" s="1"/>
      <c r="H138" s="1"/>
      <c r="I138" s="1"/>
      <c r="J138" s="1"/>
    </row>
    <row r="139" spans="1:16">
      <c r="A139" s="242" t="str">
        <f>$A$4</f>
        <v xml:space="preserve">Please fill in Supplier Name </v>
      </c>
      <c r="B139" s="242" t="s">
        <v>185</v>
      </c>
      <c r="C139" s="242" t="s">
        <v>186</v>
      </c>
      <c r="D139" s="243"/>
      <c r="E139" s="243"/>
      <c r="F139" s="244"/>
      <c r="G139" s="245">
        <f>'CS Y C1-3'!G144</f>
        <v>0</v>
      </c>
      <c r="H139" s="245">
        <f>'CS Y C1-3'!H144</f>
        <v>0</v>
      </c>
      <c r="I139" s="246">
        <f>'CS Y C1-3'!I144</f>
        <v>0</v>
      </c>
      <c r="J139" s="247" t="s">
        <v>169</v>
      </c>
      <c r="K139" s="248">
        <v>1</v>
      </c>
      <c r="L139" s="248">
        <v>1</v>
      </c>
      <c r="M139" s="249">
        <f>I139*L139*$K$233</f>
        <v>0</v>
      </c>
      <c r="N139" s="251"/>
      <c r="O139" s="250" t="s">
        <v>543</v>
      </c>
      <c r="P139" s="240" t="s">
        <v>502</v>
      </c>
    </row>
    <row r="140" spans="1:16" hidden="1">
      <c r="A140" s="278"/>
      <c r="B140" s="278"/>
      <c r="C140" s="77"/>
      <c r="D140" s="75"/>
      <c r="E140" s="76"/>
      <c r="F140" s="92"/>
      <c r="G140" s="76"/>
      <c r="H140" s="76"/>
      <c r="I140" s="48"/>
      <c r="J140" s="48"/>
      <c r="K140" s="48"/>
      <c r="L140" s="48"/>
      <c r="M140" s="48"/>
      <c r="N140" s="69"/>
    </row>
    <row r="141" spans="1:16" hidden="1">
      <c r="A141" s="278"/>
      <c r="B141" s="278"/>
      <c r="C141" s="77"/>
      <c r="D141" s="75"/>
      <c r="E141" s="76"/>
      <c r="F141" s="92"/>
      <c r="G141" s="76"/>
      <c r="H141" s="76"/>
      <c r="I141" s="48"/>
      <c r="J141" s="48"/>
      <c r="K141" s="48"/>
      <c r="L141" s="48"/>
      <c r="M141" s="48"/>
      <c r="N141" s="69"/>
    </row>
    <row r="142" spans="1:16" hidden="1">
      <c r="A142" s="278"/>
      <c r="B142" s="278"/>
      <c r="C142" s="77"/>
      <c r="D142" s="75"/>
      <c r="E142" s="76"/>
      <c r="F142" s="92"/>
      <c r="G142" s="76"/>
      <c r="H142" s="76"/>
      <c r="I142" s="48"/>
      <c r="J142" s="48"/>
      <c r="K142" s="48"/>
      <c r="L142" s="48"/>
      <c r="M142" s="48"/>
      <c r="N142" s="69"/>
    </row>
    <row r="143" spans="1:16" hidden="1">
      <c r="D143" s="1"/>
      <c r="E143" s="1"/>
      <c r="G143" s="1"/>
      <c r="H143" s="1"/>
      <c r="I143" s="1"/>
      <c r="J143" s="1"/>
    </row>
    <row r="144" spans="1:16" hidden="1">
      <c r="A144" s="9" t="str">
        <f>$A$4</f>
        <v xml:space="preserve">Please fill in Supplier Name </v>
      </c>
      <c r="B144" s="9" t="s">
        <v>187</v>
      </c>
      <c r="C144" s="9" t="s">
        <v>894</v>
      </c>
      <c r="D144" s="10"/>
      <c r="E144" s="10"/>
      <c r="F144" s="91"/>
      <c r="G144" s="7">
        <f>SUM(G145:G147)</f>
        <v>0</v>
      </c>
      <c r="H144" s="7">
        <f>SUM(H145:H147)</f>
        <v>0</v>
      </c>
      <c r="I144" s="57">
        <f>SUM(G144:H144)</f>
        <v>0</v>
      </c>
      <c r="J144" s="14" t="s">
        <v>169</v>
      </c>
      <c r="K144" s="11" t="s">
        <v>189</v>
      </c>
      <c r="L144" s="11">
        <v>1.2</v>
      </c>
      <c r="M144" s="146">
        <f>I144*L144</f>
        <v>0</v>
      </c>
      <c r="N144" s="16" t="s">
        <v>190</v>
      </c>
      <c r="O144" s="15" t="s">
        <v>544</v>
      </c>
      <c r="P144" s="12" t="s">
        <v>895</v>
      </c>
    </row>
    <row r="145" spans="1:16" hidden="1">
      <c r="A145" s="278"/>
      <c r="B145" s="278"/>
      <c r="C145" s="3" t="s">
        <v>741</v>
      </c>
      <c r="D145" s="71">
        <v>40</v>
      </c>
      <c r="E145" s="48" t="s">
        <v>559</v>
      </c>
      <c r="F145" s="59"/>
      <c r="G145" s="48"/>
      <c r="H145" s="48"/>
      <c r="I145" s="48"/>
      <c r="J145" s="48"/>
      <c r="K145" s="48"/>
      <c r="L145" s="48"/>
      <c r="M145" s="48"/>
      <c r="N145" s="69"/>
    </row>
    <row r="146" spans="1:16" hidden="1">
      <c r="A146" s="60"/>
      <c r="B146" s="278"/>
      <c r="D146" s="71"/>
      <c r="E146" s="48"/>
      <c r="F146" s="59"/>
      <c r="G146" s="48"/>
      <c r="H146" s="48"/>
      <c r="I146" s="48"/>
      <c r="J146" s="48"/>
      <c r="K146" s="48"/>
      <c r="L146" s="48"/>
      <c r="M146" s="48"/>
      <c r="N146" s="69"/>
    </row>
    <row r="147" spans="1:16" hidden="1">
      <c r="A147" s="278"/>
      <c r="B147" s="278"/>
      <c r="C147" s="278"/>
      <c r="D147" s="71"/>
      <c r="E147" s="48"/>
      <c r="F147" s="59"/>
      <c r="G147" s="48"/>
      <c r="H147" s="48"/>
      <c r="I147" s="48"/>
      <c r="J147" s="48"/>
      <c r="K147" s="48"/>
      <c r="L147" s="48"/>
      <c r="M147" s="48"/>
      <c r="N147" s="69"/>
    </row>
    <row r="148" spans="1:16" hidden="1">
      <c r="D148" s="1"/>
      <c r="E148" s="1"/>
      <c r="G148" s="1"/>
      <c r="H148" s="1"/>
      <c r="I148" s="1"/>
      <c r="J148" s="1"/>
    </row>
    <row r="149" spans="1:16">
      <c r="A149" s="200" t="str">
        <f>$A$4</f>
        <v xml:space="preserve">Please fill in Supplier Name </v>
      </c>
      <c r="B149" s="200" t="s">
        <v>896</v>
      </c>
      <c r="C149" s="200" t="s">
        <v>897</v>
      </c>
      <c r="D149" s="201"/>
      <c r="E149" s="201"/>
      <c r="F149" s="202"/>
      <c r="G149" s="198">
        <f>'CS Y C1-3'!G154</f>
        <v>0</v>
      </c>
      <c r="H149" s="198">
        <f>'CS Y C1-3'!H154</f>
        <v>0</v>
      </c>
      <c r="I149" s="203">
        <f>'CS Y C1-3'!I154</f>
        <v>0</v>
      </c>
      <c r="J149" s="204" t="s">
        <v>169</v>
      </c>
      <c r="K149" s="205" t="s">
        <v>189</v>
      </c>
      <c r="L149" s="205">
        <v>1.2</v>
      </c>
      <c r="M149" s="206">
        <f>I149*L149*$K$233</f>
        <v>0</v>
      </c>
      <c r="N149" s="210" t="s">
        <v>190</v>
      </c>
      <c r="O149" s="207" t="s">
        <v>532</v>
      </c>
      <c r="P149" s="199" t="s">
        <v>895</v>
      </c>
    </row>
    <row r="150" spans="1:16" hidden="1">
      <c r="A150" s="278"/>
      <c r="B150" s="278"/>
      <c r="C150" s="77"/>
      <c r="D150" s="75"/>
      <c r="E150" s="76"/>
      <c r="F150" s="92"/>
      <c r="G150" s="76"/>
      <c r="H150" s="76"/>
      <c r="I150" s="48"/>
      <c r="J150" s="48"/>
      <c r="K150" s="48"/>
      <c r="L150" s="48"/>
      <c r="M150" s="48"/>
      <c r="N150" s="69"/>
    </row>
    <row r="151" spans="1:16" hidden="1">
      <c r="A151" s="60"/>
      <c r="B151" s="278"/>
      <c r="C151" s="78"/>
      <c r="D151" s="75"/>
      <c r="E151" s="76"/>
      <c r="F151" s="92"/>
      <c r="G151" s="76"/>
      <c r="H151" s="76"/>
      <c r="I151" s="48"/>
      <c r="J151" s="48"/>
      <c r="K151" s="48"/>
      <c r="L151" s="48"/>
      <c r="M151" s="48"/>
      <c r="N151" s="69"/>
    </row>
    <row r="152" spans="1:16" hidden="1">
      <c r="A152" s="278"/>
      <c r="B152" s="278"/>
      <c r="C152" s="279"/>
      <c r="D152" s="75"/>
      <c r="E152" s="76"/>
      <c r="F152" s="92"/>
      <c r="G152" s="76"/>
      <c r="H152" s="76"/>
      <c r="I152" s="48"/>
      <c r="J152" s="48"/>
      <c r="K152" s="48"/>
      <c r="L152" s="48"/>
      <c r="M152" s="48"/>
      <c r="N152" s="69"/>
    </row>
    <row r="153" spans="1:16" hidden="1">
      <c r="D153" s="1"/>
      <c r="E153" s="1"/>
      <c r="G153" s="1"/>
      <c r="H153" s="1"/>
      <c r="I153" s="1"/>
      <c r="J153" s="1"/>
    </row>
    <row r="154" spans="1:16">
      <c r="A154" s="242" t="str">
        <f>$A$4</f>
        <v xml:space="preserve">Please fill in Supplier Name </v>
      </c>
      <c r="B154" s="242" t="s">
        <v>898</v>
      </c>
      <c r="C154" s="242" t="s">
        <v>899</v>
      </c>
      <c r="D154" s="243"/>
      <c r="E154" s="243"/>
      <c r="F154" s="244"/>
      <c r="G154" s="245">
        <f>'CS Y C1-3'!G159</f>
        <v>0</v>
      </c>
      <c r="H154" s="245">
        <f>'CS Y C1-3'!H159</f>
        <v>0</v>
      </c>
      <c r="I154" s="246">
        <f>'CS Y C1-3'!I159</f>
        <v>0</v>
      </c>
      <c r="J154" s="247" t="s">
        <v>169</v>
      </c>
      <c r="K154" s="248" t="s">
        <v>189</v>
      </c>
      <c r="L154" s="248">
        <v>1.2</v>
      </c>
      <c r="M154" s="249">
        <f>I154*L154*$K$233</f>
        <v>0</v>
      </c>
      <c r="N154" s="253" t="s">
        <v>190</v>
      </c>
      <c r="O154" s="250" t="s">
        <v>543</v>
      </c>
      <c r="P154" s="240" t="s">
        <v>895</v>
      </c>
    </row>
    <row r="155" spans="1:16" hidden="1">
      <c r="A155" s="278"/>
      <c r="B155" s="278"/>
      <c r="C155" s="77"/>
      <c r="D155" s="75"/>
      <c r="E155" s="76"/>
      <c r="F155" s="92"/>
      <c r="G155" s="76"/>
      <c r="H155" s="76"/>
      <c r="I155" s="48"/>
      <c r="J155" s="48"/>
      <c r="K155" s="48"/>
      <c r="L155" s="48"/>
      <c r="M155" s="48"/>
      <c r="N155" s="69"/>
    </row>
    <row r="156" spans="1:16" hidden="1">
      <c r="A156" s="60"/>
      <c r="B156" s="278"/>
      <c r="C156" s="78"/>
      <c r="D156" s="75"/>
      <c r="E156" s="76"/>
      <c r="F156" s="92"/>
      <c r="G156" s="76"/>
      <c r="H156" s="76"/>
      <c r="I156" s="48"/>
      <c r="J156" s="48"/>
      <c r="K156" s="48"/>
      <c r="L156" s="48"/>
      <c r="M156" s="48"/>
      <c r="N156" s="69"/>
    </row>
    <row r="157" spans="1:16" hidden="1">
      <c r="A157" s="278"/>
      <c r="B157" s="278"/>
      <c r="C157" s="279"/>
      <c r="D157" s="75"/>
      <c r="E157" s="76"/>
      <c r="F157" s="92"/>
      <c r="G157" s="76"/>
      <c r="H157" s="76"/>
      <c r="I157" s="48"/>
      <c r="J157" s="48"/>
      <c r="K157" s="48"/>
      <c r="L157" s="48"/>
      <c r="M157" s="48"/>
      <c r="N157" s="69"/>
    </row>
    <row r="158" spans="1:16" hidden="1">
      <c r="D158" s="1"/>
      <c r="E158" s="1"/>
      <c r="G158" s="1"/>
      <c r="H158" s="1"/>
      <c r="I158" s="1"/>
      <c r="J158" s="1"/>
    </row>
    <row r="159" spans="1:16">
      <c r="A159" s="200" t="str">
        <f>$A$4</f>
        <v xml:space="preserve">Please fill in Supplier Name </v>
      </c>
      <c r="B159" s="200" t="s">
        <v>900</v>
      </c>
      <c r="C159" s="200" t="s">
        <v>206</v>
      </c>
      <c r="D159" s="201"/>
      <c r="E159" s="201"/>
      <c r="F159" s="202"/>
      <c r="G159" s="198">
        <f>'CS Y C1-3'!G164</f>
        <v>0</v>
      </c>
      <c r="H159" s="198">
        <f>'CS Y C1-3'!H164</f>
        <v>0</v>
      </c>
      <c r="I159" s="203">
        <f>'CS Y C1-3'!I164</f>
        <v>0</v>
      </c>
      <c r="J159" s="204" t="s">
        <v>169</v>
      </c>
      <c r="K159" s="205">
        <v>1</v>
      </c>
      <c r="L159" s="205">
        <v>1</v>
      </c>
      <c r="M159" s="206">
        <f>I159*L159*$K$233</f>
        <v>0</v>
      </c>
      <c r="N159" s="207"/>
      <c r="O159" s="199" t="s">
        <v>532</v>
      </c>
      <c r="P159" s="199" t="s">
        <v>901</v>
      </c>
    </row>
    <row r="160" spans="1:16" hidden="1">
      <c r="A160" s="3"/>
      <c r="B160" s="3"/>
      <c r="C160" s="3" t="s">
        <v>902</v>
      </c>
      <c r="D160" s="71">
        <v>1</v>
      </c>
      <c r="E160" s="48" t="s">
        <v>535</v>
      </c>
      <c r="F160" s="59"/>
      <c r="G160" s="48">
        <v>0</v>
      </c>
      <c r="H160" s="76"/>
      <c r="I160" s="48"/>
      <c r="J160" s="48"/>
      <c r="K160" s="48"/>
      <c r="L160" s="48"/>
      <c r="M160" s="48"/>
      <c r="N160" s="69"/>
    </row>
    <row r="161" spans="1:16" hidden="1">
      <c r="A161" s="3"/>
      <c r="B161" s="3"/>
      <c r="C161" s="3" t="s">
        <v>903</v>
      </c>
      <c r="D161" s="71">
        <v>1</v>
      </c>
      <c r="E161" s="48" t="s">
        <v>535</v>
      </c>
      <c r="F161" s="59"/>
      <c r="G161" s="48">
        <v>0</v>
      </c>
      <c r="H161" s="76"/>
      <c r="I161" s="48"/>
      <c r="J161" s="48"/>
      <c r="K161" s="48"/>
      <c r="L161" s="48"/>
      <c r="M161" s="48"/>
      <c r="N161" s="69"/>
    </row>
    <row r="162" spans="1:16" hidden="1">
      <c r="A162" s="3"/>
      <c r="B162" s="3"/>
      <c r="C162" s="3" t="s">
        <v>904</v>
      </c>
      <c r="D162" s="71">
        <v>1</v>
      </c>
      <c r="E162" s="48" t="s">
        <v>535</v>
      </c>
      <c r="F162" s="59"/>
      <c r="G162" s="48">
        <v>0</v>
      </c>
      <c r="H162" s="76"/>
      <c r="I162" s="48"/>
      <c r="J162" s="48"/>
      <c r="K162" s="48"/>
      <c r="L162" s="48"/>
      <c r="M162" s="48"/>
      <c r="N162" s="69"/>
    </row>
    <row r="163" spans="1:16" hidden="1">
      <c r="A163" s="3"/>
      <c r="B163" s="3"/>
      <c r="C163" s="3" t="s">
        <v>905</v>
      </c>
      <c r="D163" s="71">
        <v>1</v>
      </c>
      <c r="E163" s="48" t="s">
        <v>535</v>
      </c>
      <c r="F163" s="59"/>
      <c r="G163" s="48">
        <v>0</v>
      </c>
      <c r="H163" s="76"/>
      <c r="I163" s="48"/>
      <c r="J163" s="48"/>
      <c r="K163" s="48"/>
      <c r="L163" s="48"/>
      <c r="M163" s="48"/>
      <c r="N163" s="69"/>
    </row>
    <row r="164" spans="1:16" hidden="1">
      <c r="A164" s="3"/>
      <c r="B164" s="3"/>
      <c r="C164" s="3" t="s">
        <v>906</v>
      </c>
      <c r="D164" s="71">
        <v>1</v>
      </c>
      <c r="E164" s="48" t="s">
        <v>535</v>
      </c>
      <c r="F164" s="59"/>
      <c r="G164" s="48">
        <v>0</v>
      </c>
      <c r="H164" s="76"/>
      <c r="I164" s="48"/>
      <c r="J164" s="48"/>
      <c r="K164" s="48"/>
      <c r="L164" s="48"/>
      <c r="M164" s="48"/>
      <c r="N164" s="69"/>
    </row>
    <row r="165" spans="1:16" hidden="1">
      <c r="A165" s="3"/>
      <c r="B165" s="3"/>
      <c r="C165" s="3" t="s">
        <v>907</v>
      </c>
      <c r="D165" s="71">
        <v>1</v>
      </c>
      <c r="E165" s="48" t="s">
        <v>535</v>
      </c>
      <c r="F165" s="59"/>
      <c r="G165" s="48">
        <v>0</v>
      </c>
      <c r="H165" s="76"/>
      <c r="I165" s="48"/>
      <c r="J165" s="48"/>
      <c r="K165" s="48"/>
      <c r="L165" s="48"/>
      <c r="M165" s="48"/>
      <c r="N165" s="69"/>
    </row>
    <row r="166" spans="1:16" hidden="1">
      <c r="A166" s="3"/>
      <c r="B166" s="3"/>
      <c r="C166" s="3"/>
      <c r="D166" s="71"/>
      <c r="E166" s="48"/>
      <c r="F166" s="59"/>
      <c r="G166" s="48"/>
      <c r="H166" s="76"/>
      <c r="I166" s="48"/>
      <c r="J166" s="48"/>
      <c r="K166" s="48"/>
      <c r="L166" s="48"/>
      <c r="M166" s="48"/>
      <c r="N166" s="69"/>
    </row>
    <row r="167" spans="1:16" hidden="1">
      <c r="A167" s="3"/>
      <c r="B167" s="3"/>
      <c r="C167" s="3"/>
      <c r="D167" s="71"/>
      <c r="E167" s="48"/>
      <c r="F167" s="59"/>
      <c r="G167" s="48"/>
      <c r="H167" s="76"/>
      <c r="I167" s="48"/>
      <c r="J167" s="48"/>
      <c r="K167" s="48"/>
      <c r="L167" s="48"/>
      <c r="M167" s="48"/>
      <c r="N167" s="69"/>
    </row>
    <row r="168" spans="1:16" hidden="1">
      <c r="A168" s="3"/>
      <c r="B168" s="3"/>
      <c r="C168" s="3"/>
      <c r="D168" s="71"/>
      <c r="E168" s="48"/>
      <c r="F168" s="59"/>
      <c r="G168" s="48"/>
      <c r="H168" s="76"/>
      <c r="I168" s="48"/>
      <c r="J168" s="48"/>
      <c r="K168" s="48"/>
      <c r="L168" s="48"/>
      <c r="M168" s="48"/>
      <c r="N168" s="69"/>
    </row>
    <row r="169" spans="1:16" hidden="1">
      <c r="D169" s="1"/>
      <c r="E169" s="1"/>
      <c r="G169" s="1"/>
      <c r="H169" s="1"/>
      <c r="I169" s="1"/>
      <c r="J169" s="1"/>
    </row>
    <row r="170" spans="1:16">
      <c r="A170" s="242" t="str">
        <f>$A$4</f>
        <v xml:space="preserve">Please fill in Supplier Name </v>
      </c>
      <c r="B170" s="242" t="s">
        <v>912</v>
      </c>
      <c r="C170" s="242" t="s">
        <v>208</v>
      </c>
      <c r="D170" s="243"/>
      <c r="E170" s="243"/>
      <c r="F170" s="244"/>
      <c r="G170" s="245">
        <f>'CS Y C1-3'!G176</f>
        <v>0</v>
      </c>
      <c r="H170" s="245">
        <f>'CS Y C1-3'!H176</f>
        <v>0</v>
      </c>
      <c r="I170" s="246">
        <f>'CS Y C1-3'!I176</f>
        <v>0</v>
      </c>
      <c r="J170" s="247" t="s">
        <v>169</v>
      </c>
      <c r="K170" s="248">
        <v>1</v>
      </c>
      <c r="L170" s="248">
        <v>1</v>
      </c>
      <c r="M170" s="249">
        <f>I170*L170*$K$233</f>
        <v>0</v>
      </c>
      <c r="N170" s="250"/>
      <c r="O170" s="240" t="s">
        <v>543</v>
      </c>
      <c r="P170" s="240" t="s">
        <v>901</v>
      </c>
    </row>
    <row r="171" spans="1:16" hidden="1">
      <c r="A171" s="3"/>
      <c r="B171" s="3"/>
      <c r="C171" s="3" t="s">
        <v>902</v>
      </c>
      <c r="D171" s="71">
        <v>1</v>
      </c>
      <c r="E171" s="48" t="s">
        <v>535</v>
      </c>
      <c r="F171" s="59"/>
      <c r="G171" s="48">
        <v>0</v>
      </c>
      <c r="H171" s="76"/>
      <c r="I171" s="48"/>
      <c r="J171" s="48"/>
      <c r="K171" s="48"/>
      <c r="L171" s="48"/>
      <c r="M171" s="48"/>
      <c r="N171" s="69"/>
    </row>
    <row r="172" spans="1:16" hidden="1">
      <c r="A172" s="3"/>
      <c r="B172" s="3"/>
      <c r="C172" s="3" t="s">
        <v>903</v>
      </c>
      <c r="D172" s="71">
        <v>1</v>
      </c>
      <c r="E172" s="48" t="s">
        <v>535</v>
      </c>
      <c r="F172" s="59"/>
      <c r="G172" s="48">
        <v>0</v>
      </c>
      <c r="H172" s="76"/>
      <c r="I172" s="48"/>
      <c r="J172" s="48"/>
      <c r="K172" s="48"/>
      <c r="L172" s="48"/>
      <c r="M172" s="48"/>
      <c r="N172" s="69"/>
    </row>
    <row r="173" spans="1:16" hidden="1">
      <c r="A173" s="3"/>
      <c r="B173" s="3"/>
      <c r="C173" s="3" t="s">
        <v>904</v>
      </c>
      <c r="D173" s="71">
        <v>1</v>
      </c>
      <c r="E173" s="48" t="s">
        <v>535</v>
      </c>
      <c r="F173" s="59"/>
      <c r="G173" s="48">
        <v>0</v>
      </c>
      <c r="H173" s="76"/>
      <c r="I173" s="48"/>
      <c r="J173" s="48"/>
      <c r="K173" s="48"/>
      <c r="L173" s="48"/>
      <c r="M173" s="48"/>
      <c r="N173" s="69"/>
    </row>
    <row r="174" spans="1:16" hidden="1">
      <c r="A174" s="3"/>
      <c r="B174" s="3"/>
      <c r="C174" s="3" t="s">
        <v>905</v>
      </c>
      <c r="D174" s="71">
        <v>1</v>
      </c>
      <c r="E174" s="48" t="s">
        <v>535</v>
      </c>
      <c r="F174" s="59"/>
      <c r="G174" s="48">
        <v>0</v>
      </c>
      <c r="H174" s="76"/>
      <c r="I174" s="48"/>
      <c r="J174" s="48"/>
      <c r="K174" s="48"/>
      <c r="L174" s="48"/>
      <c r="M174" s="48"/>
      <c r="N174" s="69"/>
    </row>
    <row r="175" spans="1:16" hidden="1">
      <c r="A175" s="3"/>
      <c r="B175" s="3"/>
      <c r="C175" s="3" t="s">
        <v>906</v>
      </c>
      <c r="D175" s="71">
        <v>1</v>
      </c>
      <c r="E175" s="48" t="s">
        <v>535</v>
      </c>
      <c r="F175" s="59"/>
      <c r="G175" s="48">
        <v>0</v>
      </c>
      <c r="H175" s="76"/>
      <c r="I175" s="48"/>
      <c r="J175" s="48"/>
      <c r="K175" s="48"/>
      <c r="L175" s="48"/>
      <c r="M175" s="48"/>
      <c r="N175" s="69"/>
    </row>
    <row r="176" spans="1:16" hidden="1">
      <c r="A176" s="3"/>
      <c r="B176" s="3"/>
      <c r="C176" s="3" t="s">
        <v>907</v>
      </c>
      <c r="D176" s="71">
        <v>1</v>
      </c>
      <c r="E176" s="48" t="s">
        <v>535</v>
      </c>
      <c r="F176" s="59"/>
      <c r="G176" s="48">
        <v>0</v>
      </c>
      <c r="H176" s="76"/>
      <c r="I176" s="48"/>
      <c r="J176" s="48"/>
      <c r="K176" s="48"/>
      <c r="L176" s="48"/>
      <c r="M176" s="48"/>
      <c r="N176" s="69"/>
    </row>
    <row r="177" spans="1:16" hidden="1">
      <c r="A177" s="3"/>
      <c r="B177" s="3"/>
      <c r="C177" s="3"/>
      <c r="D177" s="71"/>
      <c r="E177" s="48"/>
      <c r="F177" s="59"/>
      <c r="G177" s="48"/>
      <c r="H177" s="76"/>
      <c r="I177" s="48"/>
      <c r="J177" s="48"/>
      <c r="K177" s="48"/>
      <c r="L177" s="48"/>
      <c r="M177" s="48"/>
      <c r="N177" s="69"/>
    </row>
    <row r="178" spans="1:16" hidden="1">
      <c r="A178" s="3"/>
      <c r="B178" s="3"/>
      <c r="C178" s="3"/>
      <c r="D178" s="71"/>
      <c r="E178" s="48"/>
      <c r="F178" s="59"/>
      <c r="G178" s="48"/>
      <c r="H178" s="76"/>
      <c r="I178" s="48"/>
      <c r="J178" s="48"/>
      <c r="K178" s="48"/>
      <c r="L178" s="48"/>
      <c r="M178" s="48"/>
      <c r="N178" s="69"/>
    </row>
    <row r="179" spans="1:16" hidden="1">
      <c r="A179" s="3"/>
      <c r="B179" s="3"/>
      <c r="C179" s="3"/>
      <c r="D179" s="71"/>
      <c r="E179" s="48"/>
      <c r="F179" s="59"/>
      <c r="G179" s="48"/>
      <c r="H179" s="76"/>
      <c r="I179" s="48"/>
      <c r="J179" s="48"/>
      <c r="K179" s="48"/>
      <c r="L179" s="48"/>
      <c r="M179" s="48"/>
      <c r="N179" s="69"/>
    </row>
    <row r="180" spans="1:16" hidden="1">
      <c r="D180" s="1"/>
      <c r="E180" s="1"/>
      <c r="G180" s="1"/>
      <c r="H180" s="1"/>
      <c r="I180" s="1"/>
      <c r="J180" s="1"/>
    </row>
    <row r="181" spans="1:16" hidden="1">
      <c r="A181" s="9" t="str">
        <f>$A$4</f>
        <v xml:space="preserve">Please fill in Supplier Name </v>
      </c>
      <c r="B181" s="9" t="s">
        <v>209</v>
      </c>
      <c r="C181" s="9" t="s">
        <v>210</v>
      </c>
      <c r="D181" s="10"/>
      <c r="E181" s="10"/>
      <c r="F181" s="91"/>
      <c r="G181" s="7">
        <f>SUM(G182:G190)</f>
        <v>0</v>
      </c>
      <c r="H181" s="7">
        <f>SUM(H182:H190)</f>
        <v>0</v>
      </c>
      <c r="I181" s="57">
        <f>SUM(G181:H181)</f>
        <v>0</v>
      </c>
      <c r="J181" s="14" t="s">
        <v>169</v>
      </c>
      <c r="K181" s="11">
        <v>1</v>
      </c>
      <c r="L181" s="11">
        <v>1</v>
      </c>
      <c r="M181" s="146">
        <f>I181*L181</f>
        <v>0</v>
      </c>
      <c r="N181" s="13"/>
      <c r="O181" s="12" t="s">
        <v>544</v>
      </c>
      <c r="P181" s="12" t="s">
        <v>913</v>
      </c>
    </row>
    <row r="182" spans="1:16" hidden="1">
      <c r="A182" s="3"/>
      <c r="B182" s="3"/>
      <c r="C182" s="3" t="s">
        <v>914</v>
      </c>
      <c r="D182" s="71">
        <v>30</v>
      </c>
      <c r="E182" s="48" t="s">
        <v>559</v>
      </c>
      <c r="F182" s="59"/>
      <c r="G182" s="48"/>
      <c r="H182" s="48"/>
      <c r="I182" s="48"/>
      <c r="J182" s="48"/>
      <c r="K182" s="48"/>
      <c r="L182" s="48"/>
      <c r="M182" s="48"/>
      <c r="N182" s="69"/>
    </row>
    <row r="183" spans="1:16" hidden="1">
      <c r="A183" s="3"/>
      <c r="B183" s="3"/>
      <c r="C183" s="3" t="s">
        <v>915</v>
      </c>
      <c r="D183" s="71">
        <v>30</v>
      </c>
      <c r="E183" s="48" t="s">
        <v>559</v>
      </c>
      <c r="F183" s="59"/>
      <c r="G183" s="48"/>
      <c r="H183" s="48"/>
      <c r="I183" s="48"/>
      <c r="J183" s="48"/>
      <c r="K183" s="48"/>
      <c r="L183" s="48"/>
      <c r="M183" s="48"/>
      <c r="N183" s="69"/>
    </row>
    <row r="184" spans="1:16" hidden="1">
      <c r="A184" s="3"/>
      <c r="B184" s="3"/>
      <c r="C184" s="3" t="s">
        <v>916</v>
      </c>
      <c r="D184" s="71">
        <v>1</v>
      </c>
      <c r="E184" s="48" t="s">
        <v>535</v>
      </c>
      <c r="F184" s="59"/>
      <c r="G184" s="48"/>
      <c r="H184" s="48"/>
      <c r="I184" s="48"/>
      <c r="J184" s="48"/>
      <c r="K184" s="48"/>
      <c r="L184" s="48"/>
      <c r="M184" s="48"/>
      <c r="N184" s="69"/>
    </row>
    <row r="185" spans="1:16" hidden="1">
      <c r="A185" s="3"/>
      <c r="B185" s="3"/>
      <c r="C185" s="3" t="s">
        <v>917</v>
      </c>
      <c r="D185" s="71">
        <v>1</v>
      </c>
      <c r="E185" s="48" t="s">
        <v>535</v>
      </c>
      <c r="F185" s="59"/>
      <c r="G185" s="48"/>
      <c r="H185" s="48"/>
      <c r="I185" s="48"/>
      <c r="J185" s="48"/>
      <c r="K185" s="48"/>
      <c r="L185" s="48"/>
      <c r="M185" s="48"/>
      <c r="N185" s="69"/>
    </row>
    <row r="186" spans="1:16" hidden="1">
      <c r="A186" s="3"/>
      <c r="B186" s="3"/>
      <c r="C186" s="3" t="s">
        <v>918</v>
      </c>
      <c r="D186" s="71">
        <v>12</v>
      </c>
      <c r="E186" s="48" t="s">
        <v>559</v>
      </c>
      <c r="F186" s="59"/>
      <c r="G186" s="48"/>
      <c r="H186" s="48"/>
      <c r="I186" s="48"/>
      <c r="J186" s="48"/>
      <c r="K186" s="48"/>
      <c r="L186" s="48"/>
      <c r="M186" s="48"/>
      <c r="N186" s="69"/>
    </row>
    <row r="187" spans="1:16" hidden="1">
      <c r="A187" s="3"/>
      <c r="B187" s="3"/>
      <c r="C187" s="3" t="s">
        <v>919</v>
      </c>
      <c r="D187" s="71">
        <v>25</v>
      </c>
      <c r="E187" s="48" t="s">
        <v>559</v>
      </c>
      <c r="F187" s="59"/>
      <c r="G187" s="48"/>
      <c r="H187" s="48"/>
      <c r="I187" s="48"/>
      <c r="J187" s="48"/>
      <c r="K187" s="48"/>
      <c r="L187" s="48"/>
      <c r="M187" s="48"/>
      <c r="N187" s="69"/>
    </row>
    <row r="188" spans="1:16" hidden="1">
      <c r="A188" s="3"/>
      <c r="B188" s="3"/>
      <c r="C188" s="3" t="s">
        <v>920</v>
      </c>
      <c r="D188" s="71">
        <v>25</v>
      </c>
      <c r="E188" s="48" t="s">
        <v>559</v>
      </c>
      <c r="F188" s="59"/>
      <c r="G188" s="48"/>
      <c r="H188" s="48"/>
      <c r="I188" s="48"/>
      <c r="J188" s="48"/>
      <c r="K188" s="48"/>
      <c r="L188" s="48"/>
      <c r="M188" s="48"/>
      <c r="N188" s="69"/>
    </row>
    <row r="189" spans="1:16" hidden="1">
      <c r="A189" s="3"/>
      <c r="B189" s="3"/>
      <c r="C189" s="3"/>
      <c r="D189" s="71"/>
      <c r="E189" s="48"/>
      <c r="F189" s="59"/>
      <c r="G189" s="48"/>
      <c r="H189" s="48"/>
      <c r="I189" s="48"/>
      <c r="J189" s="48"/>
      <c r="K189" s="48"/>
      <c r="L189" s="48"/>
      <c r="M189" s="48"/>
      <c r="N189" s="69"/>
    </row>
    <row r="190" spans="1:16" hidden="1">
      <c r="A190" s="3"/>
      <c r="B190" s="3"/>
      <c r="C190" s="3"/>
      <c r="D190" s="71"/>
      <c r="E190" s="48"/>
      <c r="F190" s="59"/>
      <c r="G190" s="48"/>
      <c r="H190" s="48"/>
      <c r="I190" s="48"/>
      <c r="J190" s="48"/>
      <c r="K190" s="48"/>
      <c r="L190" s="48"/>
      <c r="M190" s="48"/>
      <c r="N190" s="69"/>
    </row>
    <row r="191" spans="1:16" hidden="1">
      <c r="D191" s="1"/>
      <c r="E191" s="1"/>
      <c r="G191" s="1"/>
      <c r="H191" s="1"/>
      <c r="I191" s="1"/>
      <c r="J191" s="1"/>
    </row>
    <row r="192" spans="1:16">
      <c r="A192" s="200" t="str">
        <f>$A$4</f>
        <v xml:space="preserve">Please fill in Supplier Name </v>
      </c>
      <c r="B192" s="200" t="s">
        <v>211</v>
      </c>
      <c r="C192" s="200" t="s">
        <v>212</v>
      </c>
      <c r="D192" s="201"/>
      <c r="E192" s="201"/>
      <c r="F192" s="202"/>
      <c r="G192" s="198">
        <f>'CS Y C1-3'!G198</f>
        <v>0</v>
      </c>
      <c r="H192" s="198">
        <f>'CS Y C1-3'!H198</f>
        <v>0</v>
      </c>
      <c r="I192" s="203">
        <f>'CS Y C1-3'!I198</f>
        <v>0</v>
      </c>
      <c r="J192" s="204" t="s">
        <v>169</v>
      </c>
      <c r="K192" s="205">
        <v>1</v>
      </c>
      <c r="L192" s="205">
        <v>1</v>
      </c>
      <c r="M192" s="206">
        <f>I192*L192*$K$233</f>
        <v>0</v>
      </c>
      <c r="N192" s="208"/>
      <c r="O192" s="207" t="s">
        <v>532</v>
      </c>
      <c r="P192" s="199" t="s">
        <v>913</v>
      </c>
    </row>
    <row r="193" spans="1:16" hidden="1">
      <c r="A193" s="3"/>
      <c r="B193" s="3"/>
      <c r="C193" s="77"/>
      <c r="D193" s="75"/>
      <c r="E193" s="76"/>
      <c r="F193" s="92"/>
      <c r="G193" s="76"/>
      <c r="H193" s="76"/>
      <c r="I193" s="48"/>
      <c r="J193" s="48"/>
      <c r="K193" s="48"/>
      <c r="L193" s="48"/>
      <c r="M193" s="48"/>
      <c r="N193" s="69"/>
    </row>
    <row r="194" spans="1:16" hidden="1">
      <c r="A194" s="3"/>
      <c r="B194" s="3"/>
      <c r="C194" s="77"/>
      <c r="D194" s="75"/>
      <c r="E194" s="76"/>
      <c r="F194" s="92"/>
      <c r="G194" s="76"/>
      <c r="H194" s="76"/>
      <c r="I194" s="48"/>
      <c r="J194" s="48"/>
      <c r="K194" s="48"/>
      <c r="L194" s="48"/>
      <c r="M194" s="48"/>
      <c r="N194" s="69"/>
    </row>
    <row r="195" spans="1:16" hidden="1">
      <c r="A195" s="3"/>
      <c r="B195" s="3"/>
      <c r="C195" s="77"/>
      <c r="D195" s="75"/>
      <c r="E195" s="76"/>
      <c r="F195" s="92"/>
      <c r="G195" s="76"/>
      <c r="H195" s="76"/>
      <c r="I195" s="48"/>
      <c r="J195" s="48"/>
      <c r="K195" s="48"/>
      <c r="L195" s="48"/>
      <c r="M195" s="48"/>
      <c r="N195" s="69"/>
    </row>
    <row r="196" spans="1:16" hidden="1">
      <c r="A196" s="3"/>
      <c r="B196" s="3"/>
      <c r="C196" s="77"/>
      <c r="D196" s="75"/>
      <c r="E196" s="76"/>
      <c r="F196" s="92"/>
      <c r="G196" s="76"/>
      <c r="H196" s="76"/>
      <c r="I196" s="48"/>
      <c r="J196" s="48"/>
      <c r="K196" s="48"/>
      <c r="L196" s="48"/>
      <c r="M196" s="48"/>
      <c r="N196" s="69"/>
    </row>
    <row r="197" spans="1:16" hidden="1">
      <c r="A197" s="3"/>
      <c r="B197" s="3"/>
      <c r="C197" s="77"/>
      <c r="D197" s="75"/>
      <c r="E197" s="76"/>
      <c r="F197" s="92"/>
      <c r="G197" s="76"/>
      <c r="H197" s="76"/>
      <c r="I197" s="48"/>
      <c r="J197" s="48"/>
      <c r="K197" s="48"/>
      <c r="L197" s="48"/>
      <c r="M197" s="48"/>
      <c r="N197" s="69"/>
    </row>
    <row r="198" spans="1:16" hidden="1">
      <c r="A198" s="3"/>
      <c r="B198" s="3"/>
      <c r="C198" s="77"/>
      <c r="D198" s="75"/>
      <c r="E198" s="76"/>
      <c r="F198" s="92"/>
      <c r="G198" s="76"/>
      <c r="H198" s="76"/>
      <c r="I198" s="48"/>
      <c r="J198" s="48"/>
      <c r="K198" s="48"/>
      <c r="L198" s="48"/>
      <c r="M198" s="48"/>
      <c r="N198" s="69"/>
    </row>
    <row r="199" spans="1:16" hidden="1">
      <c r="A199" s="3"/>
      <c r="B199" s="3"/>
      <c r="C199" s="77"/>
      <c r="D199" s="75"/>
      <c r="E199" s="76"/>
      <c r="F199" s="92"/>
      <c r="G199" s="76"/>
      <c r="H199" s="76"/>
      <c r="I199" s="48"/>
      <c r="J199" s="48"/>
      <c r="K199" s="48"/>
      <c r="L199" s="48"/>
      <c r="M199" s="48"/>
      <c r="N199" s="69"/>
    </row>
    <row r="200" spans="1:16" hidden="1">
      <c r="A200" s="3"/>
      <c r="B200" s="3"/>
      <c r="C200" s="77"/>
      <c r="D200" s="75"/>
      <c r="E200" s="76"/>
      <c r="F200" s="92"/>
      <c r="G200" s="76"/>
      <c r="H200" s="76"/>
      <c r="I200" s="48"/>
      <c r="J200" s="48"/>
      <c r="K200" s="48"/>
      <c r="L200" s="48"/>
      <c r="M200" s="48"/>
      <c r="N200" s="69"/>
    </row>
    <row r="201" spans="1:16" hidden="1">
      <c r="A201" s="3"/>
      <c r="B201" s="3"/>
      <c r="C201" s="77"/>
      <c r="D201" s="75"/>
      <c r="E201" s="76"/>
      <c r="F201" s="92"/>
      <c r="G201" s="76"/>
      <c r="H201" s="76"/>
      <c r="I201" s="48"/>
      <c r="J201" s="48"/>
      <c r="K201" s="48"/>
      <c r="L201" s="48"/>
      <c r="M201" s="48"/>
      <c r="N201" s="69"/>
    </row>
    <row r="202" spans="1:16" hidden="1">
      <c r="D202" s="1"/>
      <c r="E202" s="1"/>
      <c r="G202" s="1"/>
      <c r="H202" s="1"/>
      <c r="I202" s="1"/>
      <c r="J202" s="1"/>
    </row>
    <row r="203" spans="1:16">
      <c r="A203" s="242" t="str">
        <f>$A$4</f>
        <v xml:space="preserve">Please fill in Supplier Name </v>
      </c>
      <c r="B203" s="242" t="s">
        <v>213</v>
      </c>
      <c r="C203" s="242" t="s">
        <v>214</v>
      </c>
      <c r="D203" s="243"/>
      <c r="E203" s="243"/>
      <c r="F203" s="244"/>
      <c r="G203" s="245">
        <f>'CS Y C1-3'!G209</f>
        <v>0</v>
      </c>
      <c r="H203" s="245">
        <f>'CS Y C1-3'!H209</f>
        <v>0</v>
      </c>
      <c r="I203" s="246">
        <f>'CS Y C1-3'!I209</f>
        <v>0</v>
      </c>
      <c r="J203" s="247" t="s">
        <v>169</v>
      </c>
      <c r="K203" s="248">
        <v>1</v>
      </c>
      <c r="L203" s="248">
        <v>1</v>
      </c>
      <c r="M203" s="249">
        <f>I203*L203*$K$233</f>
        <v>0</v>
      </c>
      <c r="N203" s="251"/>
      <c r="O203" s="250" t="s">
        <v>543</v>
      </c>
      <c r="P203" s="240" t="s">
        <v>913</v>
      </c>
    </row>
    <row r="204" spans="1:16" hidden="1">
      <c r="A204" s="3"/>
      <c r="B204" s="3"/>
      <c r="C204" s="77"/>
      <c r="D204" s="75"/>
      <c r="E204" s="76"/>
      <c r="F204" s="92"/>
      <c r="G204" s="76"/>
      <c r="H204" s="76"/>
      <c r="I204" s="48"/>
      <c r="J204" s="48"/>
      <c r="K204" s="48"/>
      <c r="L204" s="48"/>
      <c r="M204" s="48"/>
      <c r="N204" s="69"/>
    </row>
    <row r="205" spans="1:16" hidden="1">
      <c r="A205" s="3"/>
      <c r="B205" s="3"/>
      <c r="C205" s="77"/>
      <c r="D205" s="75"/>
      <c r="E205" s="76"/>
      <c r="F205" s="92"/>
      <c r="G205" s="76"/>
      <c r="H205" s="76"/>
      <c r="I205" s="48"/>
      <c r="J205" s="48"/>
      <c r="K205" s="48"/>
      <c r="L205" s="48"/>
      <c r="M205" s="48"/>
      <c r="N205" s="69"/>
    </row>
    <row r="206" spans="1:16" hidden="1">
      <c r="A206" s="3"/>
      <c r="B206" s="3"/>
      <c r="C206" s="77"/>
      <c r="D206" s="75"/>
      <c r="E206" s="76"/>
      <c r="F206" s="92"/>
      <c r="G206" s="76"/>
      <c r="H206" s="76"/>
      <c r="I206" s="48"/>
      <c r="J206" s="48"/>
      <c r="K206" s="48"/>
      <c r="L206" s="48"/>
      <c r="M206" s="48"/>
      <c r="N206" s="69"/>
    </row>
    <row r="207" spans="1:16" hidden="1">
      <c r="A207" s="3"/>
      <c r="B207" s="3"/>
      <c r="C207" s="77"/>
      <c r="D207" s="75"/>
      <c r="E207" s="76"/>
      <c r="F207" s="92"/>
      <c r="G207" s="76"/>
      <c r="H207" s="76"/>
      <c r="I207" s="48"/>
      <c r="J207" s="48"/>
      <c r="K207" s="48"/>
      <c r="L207" s="48"/>
      <c r="M207" s="48"/>
      <c r="N207" s="69"/>
    </row>
    <row r="208" spans="1:16" hidden="1">
      <c r="A208" s="3"/>
      <c r="B208" s="3"/>
      <c r="C208" s="77"/>
      <c r="D208" s="75"/>
      <c r="E208" s="76"/>
      <c r="F208" s="92"/>
      <c r="G208" s="76"/>
      <c r="H208" s="76"/>
      <c r="I208" s="48"/>
      <c r="J208" s="48"/>
      <c r="K208" s="48"/>
      <c r="L208" s="48"/>
      <c r="M208" s="48"/>
      <c r="N208" s="69"/>
    </row>
    <row r="209" spans="1:16" hidden="1">
      <c r="A209" s="3"/>
      <c r="B209" s="3"/>
      <c r="C209" s="77"/>
      <c r="D209" s="75"/>
      <c r="E209" s="76"/>
      <c r="F209" s="92"/>
      <c r="G209" s="76"/>
      <c r="H209" s="76"/>
      <c r="I209" s="48"/>
      <c r="J209" s="48"/>
      <c r="K209" s="48"/>
      <c r="L209" s="48"/>
      <c r="M209" s="48"/>
      <c r="N209" s="69"/>
    </row>
    <row r="210" spans="1:16" hidden="1">
      <c r="A210" s="3"/>
      <c r="B210" s="3"/>
      <c r="C210" s="77"/>
      <c r="D210" s="75"/>
      <c r="E210" s="76"/>
      <c r="F210" s="92"/>
      <c r="G210" s="76"/>
      <c r="H210" s="76"/>
      <c r="I210" s="48"/>
      <c r="J210" s="48"/>
      <c r="K210" s="48"/>
      <c r="L210" s="48"/>
      <c r="M210" s="48"/>
      <c r="N210" s="69"/>
    </row>
    <row r="211" spans="1:16" hidden="1">
      <c r="A211" s="3"/>
      <c r="B211" s="3"/>
      <c r="C211" s="77"/>
      <c r="D211" s="75"/>
      <c r="E211" s="76"/>
      <c r="F211" s="92"/>
      <c r="G211" s="76"/>
      <c r="H211" s="76"/>
      <c r="I211" s="48"/>
      <c r="J211" s="48"/>
      <c r="K211" s="48"/>
      <c r="L211" s="48"/>
      <c r="M211" s="48"/>
      <c r="N211" s="69"/>
    </row>
    <row r="212" spans="1:16" hidden="1">
      <c r="A212" s="3"/>
      <c r="B212" s="3"/>
      <c r="C212" s="77"/>
      <c r="D212" s="75"/>
      <c r="E212" s="76"/>
      <c r="F212" s="92"/>
      <c r="G212" s="76"/>
      <c r="H212" s="76"/>
      <c r="I212" s="48"/>
      <c r="J212" s="48"/>
      <c r="K212" s="48"/>
      <c r="L212" s="48"/>
      <c r="M212" s="48"/>
      <c r="N212" s="69"/>
    </row>
    <row r="213" spans="1:16" hidden="1">
      <c r="D213" s="1"/>
      <c r="E213" s="1"/>
      <c r="G213" s="1"/>
      <c r="H213" s="1"/>
      <c r="I213" s="1"/>
      <c r="J213" s="1"/>
    </row>
    <row r="214" spans="1:16">
      <c r="A214" s="242" t="str">
        <f t="shared" ref="A214:A226" si="0">$A$4</f>
        <v xml:space="preserve">Please fill in Supplier Name </v>
      </c>
      <c r="B214" s="252" t="s">
        <v>338</v>
      </c>
      <c r="C214" s="242" t="s">
        <v>339</v>
      </c>
      <c r="D214" s="242">
        <v>1</v>
      </c>
      <c r="E214" s="242" t="s">
        <v>535</v>
      </c>
      <c r="F214" s="244"/>
      <c r="G214" s="245">
        <f>'CS Y C1-3'!G220</f>
        <v>0</v>
      </c>
      <c r="H214" s="245">
        <f>'CS Y C1-3'!H220</f>
        <v>0</v>
      </c>
      <c r="I214" s="246">
        <f>'CS Y C1-3'!I220</f>
        <v>0</v>
      </c>
      <c r="J214" s="247" t="s">
        <v>169</v>
      </c>
      <c r="K214" s="248">
        <v>1</v>
      </c>
      <c r="L214" s="248">
        <v>1</v>
      </c>
      <c r="M214" s="249">
        <f t="shared" ref="M214:M226" si="1">I214*L214*$K$233</f>
        <v>0</v>
      </c>
      <c r="N214" s="251"/>
      <c r="O214" s="250" t="s">
        <v>543</v>
      </c>
      <c r="P214" s="240" t="s">
        <v>819</v>
      </c>
    </row>
    <row r="215" spans="1:16">
      <c r="A215" s="242" t="str">
        <f t="shared" si="0"/>
        <v xml:space="preserve">Please fill in Supplier Name </v>
      </c>
      <c r="B215" s="252" t="s">
        <v>340</v>
      </c>
      <c r="C215" s="242" t="s">
        <v>341</v>
      </c>
      <c r="D215" s="242">
        <v>1</v>
      </c>
      <c r="E215" s="242" t="s">
        <v>535</v>
      </c>
      <c r="F215" s="244"/>
      <c r="G215" s="245">
        <f>'CS Y C1-3'!G221</f>
        <v>0</v>
      </c>
      <c r="H215" s="245">
        <f>'CS Y C1-3'!H221</f>
        <v>0</v>
      </c>
      <c r="I215" s="246">
        <f>'CS Y C1-3'!I221</f>
        <v>0</v>
      </c>
      <c r="J215" s="247" t="s">
        <v>169</v>
      </c>
      <c r="K215" s="248">
        <v>1</v>
      </c>
      <c r="L215" s="248">
        <v>1</v>
      </c>
      <c r="M215" s="249">
        <f t="shared" si="1"/>
        <v>0</v>
      </c>
      <c r="N215" s="251"/>
      <c r="O215" s="250" t="s">
        <v>543</v>
      </c>
      <c r="P215" s="240" t="s">
        <v>819</v>
      </c>
    </row>
    <row r="216" spans="1:16">
      <c r="A216" s="242" t="str">
        <f t="shared" si="0"/>
        <v xml:space="preserve">Please fill in Supplier Name </v>
      </c>
      <c r="B216" s="252" t="s">
        <v>342</v>
      </c>
      <c r="C216" s="242" t="s">
        <v>343</v>
      </c>
      <c r="D216" s="242">
        <v>1</v>
      </c>
      <c r="E216" s="242" t="s">
        <v>535</v>
      </c>
      <c r="F216" s="244"/>
      <c r="G216" s="245">
        <f>'CS Y C1-3'!G222</f>
        <v>0</v>
      </c>
      <c r="H216" s="245">
        <f>'CS Y C1-3'!H222</f>
        <v>0</v>
      </c>
      <c r="I216" s="246">
        <f>'CS Y C1-3'!I222</f>
        <v>0</v>
      </c>
      <c r="J216" s="247" t="s">
        <v>169</v>
      </c>
      <c r="K216" s="248">
        <v>1</v>
      </c>
      <c r="L216" s="248">
        <v>1</v>
      </c>
      <c r="M216" s="249">
        <f t="shared" si="1"/>
        <v>0</v>
      </c>
      <c r="N216" s="251"/>
      <c r="O216" s="250" t="s">
        <v>543</v>
      </c>
      <c r="P216" s="240" t="s">
        <v>819</v>
      </c>
    </row>
    <row r="217" spans="1:16">
      <c r="A217" s="242" t="str">
        <f t="shared" si="0"/>
        <v xml:space="preserve">Please fill in Supplier Name </v>
      </c>
      <c r="B217" s="252" t="s">
        <v>344</v>
      </c>
      <c r="C217" s="242" t="s">
        <v>345</v>
      </c>
      <c r="D217" s="242">
        <v>1</v>
      </c>
      <c r="E217" s="242" t="s">
        <v>535</v>
      </c>
      <c r="F217" s="244"/>
      <c r="G217" s="245">
        <f>'CS Y C1-3'!G223</f>
        <v>0</v>
      </c>
      <c r="H217" s="245">
        <f>'CS Y C1-3'!H223</f>
        <v>0</v>
      </c>
      <c r="I217" s="246">
        <f>'CS Y C1-3'!I223</f>
        <v>0</v>
      </c>
      <c r="J217" s="247" t="s">
        <v>169</v>
      </c>
      <c r="K217" s="248">
        <v>1</v>
      </c>
      <c r="L217" s="248">
        <v>1</v>
      </c>
      <c r="M217" s="249">
        <f t="shared" si="1"/>
        <v>0</v>
      </c>
      <c r="N217" s="251"/>
      <c r="O217" s="250" t="s">
        <v>543</v>
      </c>
      <c r="P217" s="240" t="s">
        <v>819</v>
      </c>
    </row>
    <row r="218" spans="1:16">
      <c r="A218" s="242" t="str">
        <f t="shared" si="0"/>
        <v xml:space="preserve">Please fill in Supplier Name </v>
      </c>
      <c r="B218" s="252" t="s">
        <v>346</v>
      </c>
      <c r="C218" s="242" t="s">
        <v>347</v>
      </c>
      <c r="D218" s="242">
        <v>1</v>
      </c>
      <c r="E218" s="242" t="s">
        <v>535</v>
      </c>
      <c r="F218" s="244"/>
      <c r="G218" s="245">
        <f>'CS Y C1-3'!G224</f>
        <v>0</v>
      </c>
      <c r="H218" s="245">
        <f>'CS Y C1-3'!H224</f>
        <v>0</v>
      </c>
      <c r="I218" s="246">
        <f>'CS Y C1-3'!I224</f>
        <v>0</v>
      </c>
      <c r="J218" s="247" t="s">
        <v>169</v>
      </c>
      <c r="K218" s="248">
        <v>1</v>
      </c>
      <c r="L218" s="248">
        <v>1</v>
      </c>
      <c r="M218" s="249">
        <f t="shared" si="1"/>
        <v>0</v>
      </c>
      <c r="N218" s="251"/>
      <c r="O218" s="250" t="s">
        <v>543</v>
      </c>
      <c r="P218" s="240" t="s">
        <v>819</v>
      </c>
    </row>
    <row r="219" spans="1:16">
      <c r="A219" s="242" t="str">
        <f t="shared" si="0"/>
        <v xml:space="preserve">Please fill in Supplier Name </v>
      </c>
      <c r="B219" s="252" t="s">
        <v>348</v>
      </c>
      <c r="C219" s="242" t="s">
        <v>349</v>
      </c>
      <c r="D219" s="242">
        <v>1</v>
      </c>
      <c r="E219" s="242" t="s">
        <v>535</v>
      </c>
      <c r="F219" s="244"/>
      <c r="G219" s="245">
        <f>'CS Y C1-3'!G225</f>
        <v>0</v>
      </c>
      <c r="H219" s="245">
        <f>'CS Y C1-3'!H225</f>
        <v>0</v>
      </c>
      <c r="I219" s="246">
        <f>'CS Y C1-3'!I225</f>
        <v>0</v>
      </c>
      <c r="J219" s="247" t="s">
        <v>169</v>
      </c>
      <c r="K219" s="248">
        <v>1</v>
      </c>
      <c r="L219" s="248">
        <v>1</v>
      </c>
      <c r="M219" s="249">
        <f t="shared" si="1"/>
        <v>0</v>
      </c>
      <c r="N219" s="251"/>
      <c r="O219" s="250" t="s">
        <v>543</v>
      </c>
      <c r="P219" s="240" t="s">
        <v>819</v>
      </c>
    </row>
    <row r="220" spans="1:16">
      <c r="A220" s="242" t="str">
        <f t="shared" si="0"/>
        <v xml:space="preserve">Please fill in Supplier Name </v>
      </c>
      <c r="B220" s="252" t="s">
        <v>350</v>
      </c>
      <c r="C220" s="242" t="s">
        <v>351</v>
      </c>
      <c r="D220" s="242">
        <v>1</v>
      </c>
      <c r="E220" s="242" t="s">
        <v>535</v>
      </c>
      <c r="F220" s="244"/>
      <c r="G220" s="245">
        <f>'CS Y C1-3'!G226</f>
        <v>0</v>
      </c>
      <c r="H220" s="245">
        <f>'CS Y C1-3'!H226</f>
        <v>0</v>
      </c>
      <c r="I220" s="246">
        <f>'CS Y C1-3'!I226</f>
        <v>0</v>
      </c>
      <c r="J220" s="247" t="s">
        <v>169</v>
      </c>
      <c r="K220" s="248">
        <v>1</v>
      </c>
      <c r="L220" s="248">
        <v>1</v>
      </c>
      <c r="M220" s="249">
        <f t="shared" si="1"/>
        <v>0</v>
      </c>
      <c r="N220" s="251"/>
      <c r="O220" s="250" t="s">
        <v>543</v>
      </c>
      <c r="P220" s="240" t="s">
        <v>819</v>
      </c>
    </row>
    <row r="221" spans="1:16">
      <c r="A221" s="242" t="str">
        <f t="shared" si="0"/>
        <v xml:space="preserve">Please fill in Supplier Name </v>
      </c>
      <c r="B221" s="252" t="s">
        <v>352</v>
      </c>
      <c r="C221" s="242" t="s">
        <v>353</v>
      </c>
      <c r="D221" s="242">
        <v>1</v>
      </c>
      <c r="E221" s="242" t="s">
        <v>535</v>
      </c>
      <c r="F221" s="244"/>
      <c r="G221" s="245">
        <f>'CS Y C1-3'!G227</f>
        <v>0</v>
      </c>
      <c r="H221" s="245">
        <f>'CS Y C1-3'!H227</f>
        <v>0</v>
      </c>
      <c r="I221" s="246">
        <f>'CS Y C1-3'!I227</f>
        <v>0</v>
      </c>
      <c r="J221" s="247" t="s">
        <v>169</v>
      </c>
      <c r="K221" s="248">
        <v>1</v>
      </c>
      <c r="L221" s="248">
        <v>1</v>
      </c>
      <c r="M221" s="249">
        <f t="shared" si="1"/>
        <v>0</v>
      </c>
      <c r="N221" s="251"/>
      <c r="O221" s="250" t="s">
        <v>543</v>
      </c>
      <c r="P221" s="240" t="s">
        <v>819</v>
      </c>
    </row>
    <row r="222" spans="1:16">
      <c r="A222" s="242" t="str">
        <f t="shared" si="0"/>
        <v xml:space="preserve">Please fill in Supplier Name </v>
      </c>
      <c r="B222" s="252" t="s">
        <v>354</v>
      </c>
      <c r="C222" s="242" t="s">
        <v>355</v>
      </c>
      <c r="D222" s="242">
        <v>1</v>
      </c>
      <c r="E222" s="242" t="s">
        <v>535</v>
      </c>
      <c r="F222" s="244"/>
      <c r="G222" s="245">
        <f>'CS Y C1-3'!G228</f>
        <v>0</v>
      </c>
      <c r="H222" s="245">
        <f>'CS Y C1-3'!H228</f>
        <v>0</v>
      </c>
      <c r="I222" s="246">
        <f>'CS Y C1-3'!I228</f>
        <v>0</v>
      </c>
      <c r="J222" s="247" t="s">
        <v>169</v>
      </c>
      <c r="K222" s="248">
        <v>1</v>
      </c>
      <c r="L222" s="248">
        <v>1</v>
      </c>
      <c r="M222" s="249">
        <f t="shared" si="1"/>
        <v>0</v>
      </c>
      <c r="N222" s="251"/>
      <c r="O222" s="250" t="s">
        <v>543</v>
      </c>
      <c r="P222" s="240" t="s">
        <v>819</v>
      </c>
    </row>
    <row r="223" spans="1:16">
      <c r="A223" s="242" t="str">
        <f t="shared" si="0"/>
        <v xml:space="preserve">Please fill in Supplier Name </v>
      </c>
      <c r="B223" s="252" t="s">
        <v>356</v>
      </c>
      <c r="C223" s="242" t="s">
        <v>357</v>
      </c>
      <c r="D223" s="242">
        <v>1</v>
      </c>
      <c r="E223" s="242" t="s">
        <v>535</v>
      </c>
      <c r="F223" s="244"/>
      <c r="G223" s="245">
        <f>'CS Y C1-3'!G229</f>
        <v>0</v>
      </c>
      <c r="H223" s="245">
        <f>'CS Y C1-3'!H229</f>
        <v>0</v>
      </c>
      <c r="I223" s="246">
        <f>'CS Y C1-3'!I229</f>
        <v>0</v>
      </c>
      <c r="J223" s="247" t="s">
        <v>169</v>
      </c>
      <c r="K223" s="248">
        <v>1</v>
      </c>
      <c r="L223" s="248">
        <v>1</v>
      </c>
      <c r="M223" s="249">
        <f t="shared" si="1"/>
        <v>0</v>
      </c>
      <c r="N223" s="251"/>
      <c r="O223" s="250" t="s">
        <v>543</v>
      </c>
      <c r="P223" s="240" t="s">
        <v>819</v>
      </c>
    </row>
    <row r="224" spans="1:16">
      <c r="A224" s="242" t="str">
        <f t="shared" si="0"/>
        <v xml:space="preserve">Please fill in Supplier Name </v>
      </c>
      <c r="B224" s="242" t="s">
        <v>244</v>
      </c>
      <c r="C224" s="242" t="s">
        <v>245</v>
      </c>
      <c r="D224" s="242">
        <v>1</v>
      </c>
      <c r="E224" s="242" t="s">
        <v>535</v>
      </c>
      <c r="F224" s="244"/>
      <c r="G224" s="245">
        <f>'CS Y C1-3'!G230</f>
        <v>0</v>
      </c>
      <c r="H224" s="245">
        <f>'CS Y C1-3'!H230</f>
        <v>0</v>
      </c>
      <c r="I224" s="246">
        <f>'CS Y C1-3'!I230</f>
        <v>0</v>
      </c>
      <c r="J224" s="247" t="s">
        <v>169</v>
      </c>
      <c r="K224" s="248">
        <v>1</v>
      </c>
      <c r="L224" s="248">
        <v>1</v>
      </c>
      <c r="M224" s="249">
        <f t="shared" si="1"/>
        <v>0</v>
      </c>
      <c r="N224" s="251"/>
      <c r="O224" s="250" t="s">
        <v>543</v>
      </c>
      <c r="P224" s="240" t="s">
        <v>940</v>
      </c>
    </row>
    <row r="225" spans="1:16">
      <c r="A225" s="242" t="str">
        <f t="shared" si="0"/>
        <v xml:space="preserve">Please fill in Supplier Name </v>
      </c>
      <c r="B225" s="242" t="s">
        <v>246</v>
      </c>
      <c r="C225" s="242" t="s">
        <v>247</v>
      </c>
      <c r="D225" s="242">
        <v>1</v>
      </c>
      <c r="E225" s="242" t="s">
        <v>535</v>
      </c>
      <c r="F225" s="244"/>
      <c r="G225" s="245">
        <f>'CS Y C1-3'!G231</f>
        <v>0</v>
      </c>
      <c r="H225" s="245">
        <f>'CS Y C1-3'!H231</f>
        <v>0</v>
      </c>
      <c r="I225" s="246">
        <f>'CS Y C1-3'!I231</f>
        <v>0</v>
      </c>
      <c r="J225" s="247" t="s">
        <v>169</v>
      </c>
      <c r="K225" s="248">
        <v>1</v>
      </c>
      <c r="L225" s="248">
        <v>1</v>
      </c>
      <c r="M225" s="249">
        <f t="shared" si="1"/>
        <v>0</v>
      </c>
      <c r="N225" s="251"/>
      <c r="O225" s="250" t="s">
        <v>543</v>
      </c>
      <c r="P225" s="240" t="s">
        <v>940</v>
      </c>
    </row>
    <row r="226" spans="1:16">
      <c r="A226" s="200" t="str">
        <f t="shared" si="0"/>
        <v xml:space="preserve">Please fill in Supplier Name </v>
      </c>
      <c r="B226" s="200" t="s">
        <v>270</v>
      </c>
      <c r="C226" s="200" t="s">
        <v>271</v>
      </c>
      <c r="D226" s="200">
        <v>1</v>
      </c>
      <c r="E226" s="200" t="s">
        <v>535</v>
      </c>
      <c r="F226" s="202"/>
      <c r="G226" s="201"/>
      <c r="H226" s="201"/>
      <c r="I226" s="198">
        <f>'CS Y C1-3'!I232</f>
        <v>0</v>
      </c>
      <c r="J226" s="204" t="s">
        <v>169</v>
      </c>
      <c r="K226" s="205">
        <v>1</v>
      </c>
      <c r="L226" s="205">
        <v>1</v>
      </c>
      <c r="M226" s="206">
        <f t="shared" si="1"/>
        <v>0</v>
      </c>
      <c r="N226" s="200"/>
      <c r="O226" s="199" t="s">
        <v>999</v>
      </c>
      <c r="P226" s="199"/>
    </row>
    <row r="230" spans="1:16" ht="13.9" thickBot="1"/>
    <row r="231" spans="1:16" ht="13.9" thickBot="1">
      <c r="I231" s="289" t="s">
        <v>1181</v>
      </c>
      <c r="J231" s="290" t="s">
        <v>1182</v>
      </c>
      <c r="K231" s="291" t="s">
        <v>169</v>
      </c>
      <c r="L231" s="258" t="s">
        <v>1191</v>
      </c>
      <c r="M231" s="226">
        <f>M4+M41+M74+M107+M134+M149+M159+M192+M226</f>
        <v>28.62</v>
      </c>
      <c r="N231" s="60" t="s">
        <v>1192</v>
      </c>
    </row>
    <row r="232" spans="1:16" ht="13.9" thickBot="1">
      <c r="I232" s="292">
        <v>0.85</v>
      </c>
      <c r="J232" s="293">
        <v>330</v>
      </c>
      <c r="K232" s="294">
        <v>48</v>
      </c>
      <c r="L232" s="259">
        <v>22</v>
      </c>
      <c r="M232" s="226">
        <f>M231/$K$233</f>
        <v>1.06</v>
      </c>
      <c r="N232" s="150" t="s">
        <v>1193</v>
      </c>
    </row>
    <row r="233" spans="1:16" ht="13.9" thickBot="1">
      <c r="I233" s="298"/>
      <c r="J233" s="296">
        <v>350</v>
      </c>
      <c r="K233" s="299">
        <v>27</v>
      </c>
    </row>
    <row r="234" spans="1:16" ht="13.9" thickBot="1">
      <c r="M234" s="254">
        <f>M17+M52+M85+M118+M139+M154+M170+M203+M226</f>
        <v>27.27</v>
      </c>
      <c r="N234" s="60" t="s">
        <v>1192</v>
      </c>
    </row>
    <row r="235" spans="1:16" ht="13.9" thickBot="1">
      <c r="M235" s="254">
        <f>M234/$K$233</f>
        <v>1.01</v>
      </c>
      <c r="N235" s="150" t="s">
        <v>1194</v>
      </c>
    </row>
    <row r="238" spans="1:16" ht="13.9">
      <c r="O238" s="262"/>
    </row>
    <row r="239" spans="1:16" ht="13.9">
      <c r="O239" s="148"/>
    </row>
    <row r="240" spans="1:16" ht="13.9">
      <c r="O240" s="148"/>
    </row>
  </sheetData>
  <sheetProtection algorithmName="SHA-512" hashValue="15M4fzuACNYGPYBsFCVv1l7KTeRQg9xO3igRBVhPlR6SCLySiqqNBwDcKNN9ACdNaiWz3s43D9ume2Z0NxZ3hA==" saltValue="DXpsRXwCbi10ndyM+8H5FQ==" spinCount="100000" sheet="1" objects="1" scenarios="1"/>
  <autoFilter ref="A3:P226" xr:uid="{A32F4638-0E28-43D5-B312-B333A93376B5}">
    <filterColumn colId="1">
      <customFilters>
        <customFilter operator="notEqual" val=" "/>
      </customFilters>
    </filterColumn>
    <filterColumn colId="14">
      <filters>
        <filter val="C2"/>
        <filter val="C2, C3"/>
        <filter val="C3"/>
      </filters>
    </filterColumn>
  </autoFilter>
  <conditionalFormatting sqref="M232">
    <cfRule type="cellIs" dxfId="2" priority="1" operator="greaterThan">
      <formula>$L$232</formula>
    </cfRule>
  </conditionalFormatting>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47EC6-82BF-441F-AEBB-3AB42D709E40}">
  <sheetPr filterMode="1">
    <tabColor rgb="FFFFFF00"/>
  </sheetPr>
  <dimension ref="A1:P240"/>
  <sheetViews>
    <sheetView showGridLines="0" zoomScale="70" zoomScaleNormal="70" workbookViewId="0">
      <pane ySplit="3" topLeftCell="A4" activePane="bottomLeft" state="frozen"/>
      <selection pane="bottomLeft" activeCell="M218" sqref="M218"/>
      <selection activeCell="I568" sqref="I568"/>
    </sheetView>
  </sheetViews>
  <sheetFormatPr defaultColWidth="7.75" defaultRowHeight="13.15"/>
  <cols>
    <col min="1" max="1" width="30.625" style="1" customWidth="1"/>
    <col min="2" max="2" width="23.75" style="1" bestFit="1" customWidth="1"/>
    <col min="3" max="3" width="43.125" style="1" customWidth="1"/>
    <col min="4" max="4" width="8.5" style="2" customWidth="1"/>
    <col min="5" max="5" width="4.25" style="2" customWidth="1"/>
    <col min="6" max="6" width="50.625" style="53" customWidth="1"/>
    <col min="7" max="7" width="8.625" style="2" customWidth="1"/>
    <col min="8" max="8" width="8.875" style="2" customWidth="1"/>
    <col min="9" max="9" width="11.375" style="2" customWidth="1"/>
    <col min="10" max="10" width="8.75" style="2" customWidth="1"/>
    <col min="11" max="13" width="15.25" style="1" customWidth="1"/>
    <col min="14" max="14" width="22.25" style="1" customWidth="1"/>
    <col min="15" max="15" width="7.75" style="1"/>
    <col min="16" max="16" width="211.375" style="1" bestFit="1" customWidth="1"/>
    <col min="17" max="16384" width="7.75" style="1"/>
  </cols>
  <sheetData>
    <row r="1" spans="1:16">
      <c r="A1" s="1" t="s">
        <v>831</v>
      </c>
      <c r="B1" s="1" t="s">
        <v>520</v>
      </c>
      <c r="C1" s="1" t="s">
        <v>521</v>
      </c>
    </row>
    <row r="2" spans="1:16" ht="22.7" customHeight="1">
      <c r="A2" s="46"/>
      <c r="B2" s="3" t="s">
        <v>941</v>
      </c>
      <c r="C2" s="4" t="s">
        <v>942</v>
      </c>
      <c r="D2" s="4"/>
      <c r="E2" s="4"/>
      <c r="F2" s="90"/>
      <c r="G2" s="4"/>
      <c r="H2" s="4"/>
      <c r="I2" s="4"/>
      <c r="J2" s="4"/>
      <c r="K2" s="4"/>
      <c r="L2" s="4"/>
      <c r="M2" s="4"/>
      <c r="N2" s="5"/>
    </row>
    <row r="3" spans="1:16" s="22" customFormat="1" ht="59.25" customHeight="1">
      <c r="A3" s="6" t="s">
        <v>524</v>
      </c>
      <c r="B3" s="6" t="s">
        <v>3</v>
      </c>
      <c r="C3" s="6" t="s">
        <v>4</v>
      </c>
      <c r="D3" s="6" t="s">
        <v>5</v>
      </c>
      <c r="E3" s="6" t="s">
        <v>6</v>
      </c>
      <c r="F3" s="6" t="s">
        <v>525</v>
      </c>
      <c r="G3" s="6" t="s">
        <v>8</v>
      </c>
      <c r="H3" s="6" t="s">
        <v>9</v>
      </c>
      <c r="I3" s="6" t="s">
        <v>10</v>
      </c>
      <c r="J3" s="20" t="s">
        <v>11</v>
      </c>
      <c r="K3" s="20" t="s">
        <v>526</v>
      </c>
      <c r="L3" s="20"/>
      <c r="M3" s="20"/>
      <c r="N3" s="21" t="s">
        <v>13</v>
      </c>
      <c r="O3" s="21" t="s">
        <v>527</v>
      </c>
      <c r="P3" s="6" t="s">
        <v>528</v>
      </c>
    </row>
    <row r="4" spans="1:16" ht="13.15" customHeight="1">
      <c r="A4" s="270" t="str">
        <f>'CS M C1-3'!$A$4</f>
        <v xml:space="preserve">Please fill in Supplier Name </v>
      </c>
      <c r="B4" s="200" t="s">
        <v>943</v>
      </c>
      <c r="C4" s="200" t="s">
        <v>219</v>
      </c>
      <c r="D4" s="201"/>
      <c r="E4" s="201"/>
      <c r="F4" s="202"/>
      <c r="G4" s="198">
        <f>'CS M C1-3'!G4</f>
        <v>0</v>
      </c>
      <c r="H4" s="198">
        <f>'CS M C1-3'!H4</f>
        <v>0.61999999999999988</v>
      </c>
      <c r="I4" s="203">
        <f>'CS M C1-3'!I4</f>
        <v>0.61999999999999988</v>
      </c>
      <c r="J4" s="204" t="s">
        <v>217</v>
      </c>
      <c r="K4" s="205">
        <v>1</v>
      </c>
      <c r="L4" s="205">
        <v>1</v>
      </c>
      <c r="M4" s="206">
        <f>I4*L4*$K$235</f>
        <v>120.27999999999997</v>
      </c>
      <c r="N4" s="200"/>
      <c r="O4" s="199" t="s">
        <v>532</v>
      </c>
      <c r="P4" s="199" t="s">
        <v>944</v>
      </c>
    </row>
    <row r="5" spans="1:16" ht="13.15" hidden="1" customHeight="1">
      <c r="A5" s="3"/>
      <c r="B5" s="3"/>
      <c r="C5" s="3" t="s">
        <v>902</v>
      </c>
      <c r="D5" s="71">
        <v>1</v>
      </c>
      <c r="E5" s="48"/>
      <c r="F5" s="59"/>
      <c r="G5" s="48">
        <v>0</v>
      </c>
      <c r="H5" s="76"/>
      <c r="I5" s="48"/>
      <c r="J5" s="48"/>
      <c r="K5" s="48"/>
      <c r="L5" s="48"/>
      <c r="M5" s="48"/>
      <c r="N5" s="69">
        <v>971167</v>
      </c>
    </row>
    <row r="6" spans="1:16" ht="13.15" hidden="1" customHeight="1">
      <c r="A6" s="3"/>
      <c r="B6" s="3"/>
      <c r="C6" s="3" t="s">
        <v>945</v>
      </c>
      <c r="D6" s="71">
        <v>1</v>
      </c>
      <c r="E6" s="48"/>
      <c r="F6" s="59"/>
      <c r="G6" s="48">
        <v>0</v>
      </c>
      <c r="H6" s="76"/>
      <c r="I6" s="48"/>
      <c r="J6" s="48"/>
      <c r="K6" s="48"/>
      <c r="L6" s="48"/>
      <c r="M6" s="48"/>
      <c r="N6" s="69">
        <v>973172</v>
      </c>
    </row>
    <row r="7" spans="1:16" ht="13.15" hidden="1" customHeight="1">
      <c r="A7" s="3"/>
      <c r="B7" s="3"/>
      <c r="C7" s="3" t="s">
        <v>946</v>
      </c>
      <c r="D7" s="71">
        <v>1</v>
      </c>
      <c r="E7" s="48"/>
      <c r="F7" s="59"/>
      <c r="G7" s="48">
        <v>0</v>
      </c>
      <c r="H7" s="76"/>
      <c r="I7" s="48"/>
      <c r="J7" s="48"/>
      <c r="K7" s="48"/>
      <c r="L7" s="48"/>
      <c r="M7" s="48"/>
      <c r="N7" s="69">
        <v>973605</v>
      </c>
    </row>
    <row r="8" spans="1:16" ht="13.15" hidden="1" customHeight="1">
      <c r="A8" s="3"/>
      <c r="B8" s="3"/>
      <c r="C8" s="3" t="s">
        <v>947</v>
      </c>
      <c r="D8" s="71">
        <v>1</v>
      </c>
      <c r="E8" s="48"/>
      <c r="F8" s="59"/>
      <c r="G8" s="48">
        <v>0</v>
      </c>
      <c r="H8" s="76"/>
      <c r="I8" s="48"/>
      <c r="J8" s="48"/>
      <c r="K8" s="48"/>
      <c r="L8" s="48"/>
      <c r="M8" s="48"/>
      <c r="N8" s="69">
        <v>973045</v>
      </c>
    </row>
    <row r="9" spans="1:16" ht="13.15" hidden="1" customHeight="1">
      <c r="A9" s="3"/>
      <c r="B9" s="3"/>
      <c r="C9" s="3" t="s">
        <v>948</v>
      </c>
      <c r="D9" s="71">
        <v>1</v>
      </c>
      <c r="E9" s="48"/>
      <c r="F9" s="59"/>
      <c r="G9" s="48">
        <v>0</v>
      </c>
      <c r="H9" s="76"/>
      <c r="I9" s="48"/>
      <c r="J9" s="48"/>
      <c r="K9" s="48"/>
      <c r="L9" s="48"/>
      <c r="M9" s="48"/>
      <c r="N9" s="69">
        <v>971205</v>
      </c>
    </row>
    <row r="10" spans="1:16" ht="13.15" hidden="1" customHeight="1">
      <c r="A10" s="3"/>
      <c r="B10" s="3"/>
      <c r="C10" s="3" t="s">
        <v>949</v>
      </c>
      <c r="D10" s="71">
        <v>1</v>
      </c>
      <c r="E10" s="48"/>
      <c r="F10" s="59"/>
      <c r="G10" s="48">
        <v>0</v>
      </c>
      <c r="H10" s="76"/>
      <c r="I10" s="48"/>
      <c r="J10" s="48"/>
      <c r="K10" s="48"/>
      <c r="L10" s="48"/>
      <c r="M10" s="48"/>
      <c r="N10" s="69">
        <v>971206</v>
      </c>
    </row>
    <row r="11" spans="1:16" ht="13.15" hidden="1" customHeight="1">
      <c r="A11" s="3"/>
      <c r="B11" s="3"/>
      <c r="C11" s="3" t="s">
        <v>950</v>
      </c>
      <c r="D11" s="71">
        <v>1</v>
      </c>
      <c r="E11" s="48"/>
      <c r="F11" s="59"/>
      <c r="G11" s="48">
        <v>0</v>
      </c>
      <c r="H11" s="76"/>
      <c r="I11" s="48"/>
      <c r="J11" s="48"/>
      <c r="K11" s="48"/>
      <c r="L11" s="48"/>
      <c r="M11" s="48"/>
      <c r="N11" s="69">
        <v>971207</v>
      </c>
    </row>
    <row r="12" spans="1:16" ht="13.15" hidden="1" customHeight="1">
      <c r="B12" s="3"/>
      <c r="C12" s="1" t="s">
        <v>951</v>
      </c>
      <c r="D12" s="71">
        <v>1</v>
      </c>
      <c r="E12" s="48"/>
      <c r="F12" s="59"/>
      <c r="G12" s="48">
        <v>0</v>
      </c>
      <c r="H12" s="76"/>
      <c r="I12" s="48"/>
      <c r="J12" s="48"/>
      <c r="K12" s="48"/>
      <c r="L12" s="48"/>
      <c r="M12" s="48"/>
      <c r="N12" s="69">
        <v>971208</v>
      </c>
    </row>
    <row r="13" spans="1:16" ht="13.15" hidden="1" customHeight="1">
      <c r="A13" s="3"/>
      <c r="B13" s="3"/>
      <c r="C13" s="3"/>
      <c r="D13" s="71"/>
      <c r="E13" s="48"/>
      <c r="F13" s="59"/>
      <c r="G13" s="48">
        <v>0</v>
      </c>
      <c r="H13" s="76"/>
      <c r="I13" s="48"/>
      <c r="J13" s="48"/>
      <c r="K13" s="48"/>
      <c r="L13" s="48"/>
      <c r="M13" s="48"/>
      <c r="N13" s="69"/>
    </row>
    <row r="14" spans="1:16" ht="13.15" hidden="1" customHeight="1">
      <c r="D14" s="1"/>
      <c r="E14" s="1"/>
      <c r="G14" s="1"/>
      <c r="H14" s="1"/>
      <c r="I14" s="1"/>
      <c r="J14" s="1"/>
    </row>
    <row r="15" spans="1:16" ht="13.15" customHeight="1">
      <c r="A15" s="242" t="str">
        <f>$A$4</f>
        <v xml:space="preserve">Please fill in Supplier Name </v>
      </c>
      <c r="B15" s="242" t="s">
        <v>953</v>
      </c>
      <c r="C15" s="242" t="s">
        <v>221</v>
      </c>
      <c r="D15" s="243"/>
      <c r="E15" s="243"/>
      <c r="F15" s="244"/>
      <c r="G15" s="245">
        <f>'C Cost_Pax'!G15</f>
        <v>0</v>
      </c>
      <c r="H15" s="245">
        <f>'CS M C1-3'!H16</f>
        <v>0.61999999999999988</v>
      </c>
      <c r="I15" s="246">
        <f>'CS M C1-3'!I16</f>
        <v>0.61999999999999988</v>
      </c>
      <c r="J15" s="247" t="s">
        <v>217</v>
      </c>
      <c r="K15" s="248">
        <v>1</v>
      </c>
      <c r="L15" s="248">
        <v>1</v>
      </c>
      <c r="M15" s="249">
        <f>I15*L15*$K$235</f>
        <v>120.27999999999997</v>
      </c>
      <c r="N15" s="242"/>
      <c r="O15" s="240" t="s">
        <v>543</v>
      </c>
      <c r="P15" s="240" t="s">
        <v>944</v>
      </c>
    </row>
    <row r="16" spans="1:16" ht="13.15" hidden="1" customHeight="1">
      <c r="A16" s="3"/>
      <c r="B16" s="3"/>
      <c r="C16" s="3" t="s">
        <v>902</v>
      </c>
      <c r="D16" s="71">
        <v>1</v>
      </c>
      <c r="E16" s="48"/>
      <c r="F16" s="59"/>
      <c r="G16" s="48">
        <v>0</v>
      </c>
      <c r="H16" s="76"/>
      <c r="I16" s="48"/>
      <c r="J16" s="48"/>
      <c r="K16" s="48"/>
      <c r="L16" s="48"/>
      <c r="M16" s="48"/>
      <c r="N16" s="69">
        <v>971167</v>
      </c>
    </row>
    <row r="17" spans="1:16" ht="13.15" hidden="1" customHeight="1">
      <c r="A17" s="3"/>
      <c r="B17" s="3"/>
      <c r="C17" s="3" t="s">
        <v>945</v>
      </c>
      <c r="D17" s="71">
        <v>1</v>
      </c>
      <c r="E17" s="48"/>
      <c r="F17" s="59"/>
      <c r="G17" s="48">
        <v>0</v>
      </c>
      <c r="H17" s="76"/>
      <c r="I17" s="48"/>
      <c r="J17" s="48"/>
      <c r="K17" s="48"/>
      <c r="L17" s="48"/>
      <c r="M17" s="48"/>
      <c r="N17" s="69">
        <v>973172</v>
      </c>
    </row>
    <row r="18" spans="1:16" ht="13.15" hidden="1" customHeight="1">
      <c r="A18" s="3"/>
      <c r="B18" s="3"/>
      <c r="C18" s="3" t="s">
        <v>946</v>
      </c>
      <c r="D18" s="71">
        <v>1</v>
      </c>
      <c r="E18" s="48"/>
      <c r="F18" s="59"/>
      <c r="G18" s="48">
        <v>0</v>
      </c>
      <c r="H18" s="76"/>
      <c r="I18" s="48"/>
      <c r="J18" s="48"/>
      <c r="K18" s="48"/>
      <c r="L18" s="48"/>
      <c r="M18" s="48"/>
      <c r="N18" s="69">
        <v>973605</v>
      </c>
    </row>
    <row r="19" spans="1:16" ht="13.15" hidden="1" customHeight="1">
      <c r="A19" s="3"/>
      <c r="B19" s="3"/>
      <c r="C19" s="3" t="s">
        <v>947</v>
      </c>
      <c r="D19" s="71">
        <v>1</v>
      </c>
      <c r="E19" s="48"/>
      <c r="F19" s="59"/>
      <c r="G19" s="48">
        <v>0</v>
      </c>
      <c r="H19" s="76"/>
      <c r="I19" s="48"/>
      <c r="J19" s="48"/>
      <c r="K19" s="48"/>
      <c r="L19" s="48"/>
      <c r="M19" s="48"/>
      <c r="N19" s="69">
        <v>973045</v>
      </c>
    </row>
    <row r="20" spans="1:16" ht="13.15" hidden="1" customHeight="1">
      <c r="A20" s="3"/>
      <c r="B20" s="3"/>
      <c r="C20" s="3" t="s">
        <v>948</v>
      </c>
      <c r="D20" s="71">
        <v>1</v>
      </c>
      <c r="E20" s="48"/>
      <c r="F20" s="59"/>
      <c r="G20" s="48">
        <v>0</v>
      </c>
      <c r="H20" s="76"/>
      <c r="I20" s="48"/>
      <c r="J20" s="48"/>
      <c r="K20" s="48"/>
      <c r="L20" s="48"/>
      <c r="M20" s="48"/>
      <c r="N20" s="69">
        <v>971205</v>
      </c>
    </row>
    <row r="21" spans="1:16" ht="13.15" hidden="1" customHeight="1">
      <c r="A21" s="3"/>
      <c r="B21" s="3"/>
      <c r="C21" s="3" t="s">
        <v>949</v>
      </c>
      <c r="D21" s="71">
        <v>1</v>
      </c>
      <c r="E21" s="48"/>
      <c r="F21" s="59"/>
      <c r="G21" s="48">
        <v>0</v>
      </c>
      <c r="H21" s="76"/>
      <c r="I21" s="48"/>
      <c r="J21" s="48"/>
      <c r="K21" s="48"/>
      <c r="L21" s="48"/>
      <c r="M21" s="48"/>
      <c r="N21" s="69">
        <v>971206</v>
      </c>
    </row>
    <row r="22" spans="1:16" ht="13.15" hidden="1" customHeight="1">
      <c r="A22" s="3"/>
      <c r="B22" s="3"/>
      <c r="C22" s="3" t="s">
        <v>950</v>
      </c>
      <c r="D22" s="71">
        <v>1</v>
      </c>
      <c r="E22" s="48"/>
      <c r="F22" s="59"/>
      <c r="G22" s="48">
        <v>0</v>
      </c>
      <c r="H22" s="76"/>
      <c r="I22" s="48"/>
      <c r="J22" s="48"/>
      <c r="K22" s="48"/>
      <c r="L22" s="48"/>
      <c r="M22" s="48"/>
      <c r="N22" s="69">
        <v>971207</v>
      </c>
    </row>
    <row r="23" spans="1:16" ht="13.15" hidden="1" customHeight="1">
      <c r="B23" s="3"/>
      <c r="C23" s="1" t="s">
        <v>951</v>
      </c>
      <c r="D23" s="71">
        <v>1</v>
      </c>
      <c r="E23" s="48"/>
      <c r="F23" s="59"/>
      <c r="G23" s="48">
        <v>0</v>
      </c>
      <c r="H23" s="76"/>
      <c r="I23" s="48"/>
      <c r="J23" s="48"/>
      <c r="K23" s="48"/>
      <c r="L23" s="48"/>
      <c r="M23" s="48"/>
      <c r="N23" s="69">
        <v>971208</v>
      </c>
    </row>
    <row r="24" spans="1:16" ht="13.15" hidden="1" customHeight="1">
      <c r="A24" s="3"/>
      <c r="B24" s="3"/>
      <c r="C24" s="3"/>
      <c r="D24" s="71"/>
      <c r="E24" s="48"/>
      <c r="F24" s="59"/>
      <c r="G24" s="48">
        <v>0</v>
      </c>
      <c r="H24" s="76"/>
      <c r="I24" s="48"/>
      <c r="J24" s="48"/>
      <c r="K24" s="48"/>
      <c r="L24" s="48"/>
      <c r="M24" s="48"/>
      <c r="N24" s="69"/>
    </row>
    <row r="25" spans="1:16" ht="13.15" hidden="1" customHeight="1">
      <c r="D25" s="1"/>
      <c r="E25" s="1"/>
      <c r="G25" s="1"/>
      <c r="H25" s="1"/>
      <c r="I25" s="1"/>
      <c r="J25" s="1"/>
    </row>
    <row r="26" spans="1:16" hidden="1">
      <c r="A26" s="9" t="str">
        <f>$A$4</f>
        <v xml:space="preserve">Please fill in Supplier Name </v>
      </c>
      <c r="B26" s="9" t="s">
        <v>222</v>
      </c>
      <c r="C26" s="9" t="s">
        <v>223</v>
      </c>
      <c r="D26" s="10"/>
      <c r="E26" s="10"/>
      <c r="F26" s="91"/>
      <c r="G26" s="7">
        <f>SUM(G27:G35)</f>
        <v>0</v>
      </c>
      <c r="H26" s="7">
        <f>'CS M C1-3'!H28</f>
        <v>0</v>
      </c>
      <c r="I26" s="57">
        <f>'CS M C1-3'!I28</f>
        <v>0</v>
      </c>
      <c r="J26" s="14" t="s">
        <v>217</v>
      </c>
      <c r="K26" s="11">
        <v>1</v>
      </c>
      <c r="L26" s="11">
        <v>1</v>
      </c>
      <c r="M26" s="146">
        <f>I26*K26</f>
        <v>0</v>
      </c>
      <c r="N26" s="13"/>
      <c r="O26" s="12" t="s">
        <v>544</v>
      </c>
      <c r="P26" s="12" t="s">
        <v>954</v>
      </c>
    </row>
    <row r="27" spans="1:16" hidden="1">
      <c r="A27" s="3"/>
      <c r="B27" s="3"/>
      <c r="C27" s="3" t="s">
        <v>955</v>
      </c>
      <c r="D27" s="71">
        <v>10</v>
      </c>
      <c r="E27" s="48"/>
      <c r="F27" s="59"/>
      <c r="G27" s="48"/>
      <c r="H27" s="48"/>
      <c r="I27" s="48"/>
      <c r="J27" s="48"/>
      <c r="K27" s="48"/>
      <c r="L27" s="48"/>
      <c r="M27" s="48"/>
      <c r="N27" s="69"/>
    </row>
    <row r="28" spans="1:16" hidden="1">
      <c r="A28" s="3"/>
      <c r="B28" s="3"/>
      <c r="C28" s="3" t="s">
        <v>956</v>
      </c>
      <c r="D28" s="71">
        <v>10</v>
      </c>
      <c r="E28" s="48"/>
      <c r="F28" s="59"/>
      <c r="G28" s="48"/>
      <c r="H28" s="48"/>
      <c r="I28" s="48"/>
      <c r="J28" s="48"/>
      <c r="K28" s="48"/>
      <c r="L28" s="48"/>
      <c r="M28" s="48"/>
      <c r="N28" s="69"/>
    </row>
    <row r="29" spans="1:16" hidden="1">
      <c r="A29" s="3"/>
      <c r="B29" s="3"/>
      <c r="C29" s="3" t="s">
        <v>957</v>
      </c>
      <c r="D29" s="71">
        <v>10</v>
      </c>
      <c r="E29" s="48"/>
      <c r="F29" s="59"/>
      <c r="G29" s="48"/>
      <c r="H29" s="48"/>
      <c r="I29" s="48"/>
      <c r="J29" s="48"/>
      <c r="K29" s="48"/>
      <c r="L29" s="48"/>
      <c r="M29" s="48"/>
      <c r="N29" s="69"/>
    </row>
    <row r="30" spans="1:16" hidden="1">
      <c r="A30" s="3"/>
      <c r="B30" s="3"/>
      <c r="C30" s="3" t="s">
        <v>958</v>
      </c>
      <c r="D30" s="71">
        <v>3</v>
      </c>
      <c r="E30" s="48"/>
      <c r="F30" s="59"/>
      <c r="G30" s="48"/>
      <c r="H30" s="48"/>
      <c r="I30" s="48"/>
      <c r="J30" s="48"/>
      <c r="K30" s="48"/>
      <c r="L30" s="48"/>
      <c r="M30" s="48"/>
      <c r="N30" s="69"/>
    </row>
    <row r="31" spans="1:16" hidden="1">
      <c r="A31" s="3"/>
      <c r="B31" s="3"/>
      <c r="C31" s="3"/>
      <c r="D31" s="71"/>
      <c r="E31" s="48"/>
      <c r="F31" s="59"/>
      <c r="G31" s="48"/>
      <c r="H31" s="48"/>
      <c r="I31" s="48"/>
      <c r="J31" s="48"/>
      <c r="K31" s="48"/>
      <c r="L31" s="48"/>
      <c r="M31" s="48"/>
      <c r="N31" s="69"/>
    </row>
    <row r="32" spans="1:16" hidden="1">
      <c r="A32" s="3"/>
      <c r="B32" s="3"/>
      <c r="C32" s="3"/>
      <c r="D32" s="71"/>
      <c r="E32" s="48"/>
      <c r="F32" s="59"/>
      <c r="G32" s="48"/>
      <c r="H32" s="48"/>
      <c r="I32" s="48"/>
      <c r="J32" s="48"/>
      <c r="K32" s="48"/>
      <c r="L32" s="48"/>
      <c r="M32" s="48"/>
      <c r="N32" s="69"/>
    </row>
    <row r="33" spans="1:16" hidden="1">
      <c r="A33" s="3"/>
      <c r="B33" s="3"/>
      <c r="C33" s="3"/>
      <c r="D33" s="71"/>
      <c r="E33" s="48"/>
      <c r="F33" s="59"/>
      <c r="G33" s="48"/>
      <c r="H33" s="48"/>
      <c r="I33" s="48"/>
      <c r="J33" s="48"/>
      <c r="K33" s="48"/>
      <c r="L33" s="48"/>
      <c r="M33" s="48"/>
      <c r="N33" s="69"/>
    </row>
    <row r="34" spans="1:16" hidden="1">
      <c r="A34" s="3"/>
      <c r="B34" s="3"/>
      <c r="C34" s="3"/>
      <c r="D34" s="71"/>
      <c r="E34" s="48"/>
      <c r="F34" s="59"/>
      <c r="G34" s="48"/>
      <c r="H34" s="48"/>
      <c r="I34" s="48"/>
      <c r="J34" s="48"/>
      <c r="K34" s="48"/>
      <c r="L34" s="48"/>
      <c r="M34" s="48"/>
      <c r="N34" s="69"/>
    </row>
    <row r="35" spans="1:16" hidden="1">
      <c r="A35" s="3"/>
      <c r="B35" s="3"/>
      <c r="C35" s="3"/>
      <c r="D35" s="71"/>
      <c r="E35" s="48"/>
      <c r="F35" s="59"/>
      <c r="G35" s="48"/>
      <c r="H35" s="48"/>
      <c r="I35" s="48"/>
      <c r="J35" s="48"/>
      <c r="K35" s="48"/>
      <c r="L35" s="48"/>
      <c r="M35" s="48"/>
      <c r="N35" s="69"/>
    </row>
    <row r="36" spans="1:16" hidden="1">
      <c r="D36" s="1"/>
      <c r="E36" s="1"/>
      <c r="G36" s="1"/>
      <c r="H36" s="1"/>
      <c r="I36" s="1"/>
      <c r="J36" s="1"/>
    </row>
    <row r="37" spans="1:16">
      <c r="A37" s="200" t="str">
        <f>$A$4</f>
        <v xml:space="preserve">Please fill in Supplier Name </v>
      </c>
      <c r="B37" s="200" t="s">
        <v>231</v>
      </c>
      <c r="C37" s="200" t="s">
        <v>232</v>
      </c>
      <c r="D37" s="201"/>
      <c r="E37" s="201"/>
      <c r="F37" s="202"/>
      <c r="G37" s="198">
        <f>'CS M C1-3'!G39</f>
        <v>0</v>
      </c>
      <c r="H37" s="198">
        <f>'CS M C1-3'!H39</f>
        <v>0</v>
      </c>
      <c r="I37" s="203">
        <f>'CS M C1-3'!I39</f>
        <v>0</v>
      </c>
      <c r="J37" s="204" t="s">
        <v>217</v>
      </c>
      <c r="K37" s="205">
        <v>1</v>
      </c>
      <c r="L37" s="205">
        <v>1</v>
      </c>
      <c r="M37" s="206">
        <f>I37*L37*$K$235</f>
        <v>0</v>
      </c>
      <c r="N37" s="208"/>
      <c r="O37" s="199" t="s">
        <v>532</v>
      </c>
      <c r="P37" s="199"/>
    </row>
    <row r="38" spans="1:16" hidden="1">
      <c r="A38" s="3"/>
      <c r="B38" s="3"/>
      <c r="C38" s="77"/>
      <c r="D38" s="75"/>
      <c r="E38" s="76"/>
      <c r="F38" s="92"/>
      <c r="G38" s="76"/>
      <c r="H38" s="76"/>
      <c r="I38" s="48"/>
      <c r="J38" s="48"/>
      <c r="K38" s="48"/>
      <c r="L38" s="48"/>
      <c r="M38" s="48"/>
      <c r="N38" s="69"/>
    </row>
    <row r="39" spans="1:16" hidden="1">
      <c r="A39" s="3"/>
      <c r="B39" s="3"/>
      <c r="C39" s="77"/>
      <c r="D39" s="75"/>
      <c r="E39" s="76"/>
      <c r="F39" s="92"/>
      <c r="G39" s="76"/>
      <c r="H39" s="76"/>
      <c r="I39" s="48"/>
      <c r="J39" s="48"/>
      <c r="K39" s="48"/>
      <c r="L39" s="48"/>
      <c r="M39" s="48"/>
      <c r="N39" s="69"/>
    </row>
    <row r="40" spans="1:16" hidden="1">
      <c r="A40" s="3"/>
      <c r="B40" s="3"/>
      <c r="C40" s="77"/>
      <c r="D40" s="75"/>
      <c r="E40" s="76"/>
      <c r="F40" s="92"/>
      <c r="G40" s="76"/>
      <c r="H40" s="76"/>
      <c r="I40" s="48"/>
      <c r="J40" s="48"/>
      <c r="K40" s="48"/>
      <c r="L40" s="48"/>
      <c r="M40" s="48"/>
      <c r="N40" s="69"/>
    </row>
    <row r="41" spans="1:16" hidden="1">
      <c r="A41" s="3"/>
      <c r="B41" s="3"/>
      <c r="C41" s="77"/>
      <c r="D41" s="75"/>
      <c r="E41" s="76"/>
      <c r="F41" s="92"/>
      <c r="G41" s="76"/>
      <c r="H41" s="76"/>
      <c r="I41" s="48"/>
      <c r="J41" s="48"/>
      <c r="K41" s="48"/>
      <c r="L41" s="48"/>
      <c r="M41" s="48"/>
      <c r="N41" s="69"/>
    </row>
    <row r="42" spans="1:16" hidden="1">
      <c r="A42" s="3"/>
      <c r="B42" s="3"/>
      <c r="C42" s="77"/>
      <c r="D42" s="75"/>
      <c r="E42" s="76"/>
      <c r="F42" s="92"/>
      <c r="G42" s="76"/>
      <c r="H42" s="76"/>
      <c r="I42" s="48"/>
      <c r="J42" s="48"/>
      <c r="K42" s="48"/>
      <c r="L42" s="48"/>
      <c r="M42" s="48"/>
      <c r="N42" s="69"/>
    </row>
    <row r="43" spans="1:16" hidden="1">
      <c r="A43" s="3"/>
      <c r="B43" s="3"/>
      <c r="C43" s="77"/>
      <c r="D43" s="75"/>
      <c r="E43" s="76"/>
      <c r="F43" s="92"/>
      <c r="G43" s="76"/>
      <c r="H43" s="76"/>
      <c r="I43" s="48"/>
      <c r="J43" s="48"/>
      <c r="K43" s="48"/>
      <c r="L43" s="48"/>
      <c r="M43" s="48"/>
      <c r="N43" s="69"/>
    </row>
    <row r="44" spans="1:16" hidden="1">
      <c r="A44" s="3"/>
      <c r="B44" s="3"/>
      <c r="C44" s="77"/>
      <c r="D44" s="75"/>
      <c r="E44" s="76"/>
      <c r="F44" s="92"/>
      <c r="G44" s="76"/>
      <c r="H44" s="76"/>
      <c r="I44" s="48"/>
      <c r="J44" s="48"/>
      <c r="K44" s="48"/>
      <c r="L44" s="48"/>
      <c r="M44" s="48"/>
      <c r="N44" s="69"/>
    </row>
    <row r="45" spans="1:16" hidden="1">
      <c r="A45" s="3"/>
      <c r="B45" s="3"/>
      <c r="C45" s="77"/>
      <c r="D45" s="75"/>
      <c r="E45" s="76"/>
      <c r="F45" s="92"/>
      <c r="G45" s="76"/>
      <c r="H45" s="76"/>
      <c r="I45" s="48"/>
      <c r="J45" s="48"/>
      <c r="K45" s="48"/>
      <c r="L45" s="48"/>
      <c r="M45" s="48"/>
      <c r="N45" s="69"/>
    </row>
    <row r="46" spans="1:16" hidden="1">
      <c r="A46" s="3"/>
      <c r="B46" s="3"/>
      <c r="C46" s="77"/>
      <c r="D46" s="75"/>
      <c r="E46" s="76"/>
      <c r="F46" s="92"/>
      <c r="G46" s="76"/>
      <c r="H46" s="76"/>
      <c r="I46" s="48"/>
      <c r="J46" s="48"/>
      <c r="K46" s="48"/>
      <c r="L46" s="48"/>
      <c r="M46" s="48"/>
      <c r="N46" s="69"/>
    </row>
    <row r="47" spans="1:16" hidden="1">
      <c r="D47" s="1"/>
      <c r="E47" s="1"/>
      <c r="G47" s="1"/>
      <c r="H47" s="1"/>
      <c r="I47" s="1"/>
      <c r="J47" s="1"/>
    </row>
    <row r="48" spans="1:16">
      <c r="A48" s="9" t="str">
        <f>$A$4</f>
        <v xml:space="preserve">Please fill in Supplier Name </v>
      </c>
      <c r="B48" s="242" t="s">
        <v>233</v>
      </c>
      <c r="C48" s="242" t="s">
        <v>234</v>
      </c>
      <c r="D48" s="243"/>
      <c r="E48" s="243"/>
      <c r="F48" s="244"/>
      <c r="G48" s="245">
        <f>'CS M C1-3'!G50</f>
        <v>0</v>
      </c>
      <c r="H48" s="245">
        <f>'CS M C1-3'!H50</f>
        <v>0</v>
      </c>
      <c r="I48" s="246">
        <f>'CS M C1-3'!I50</f>
        <v>0</v>
      </c>
      <c r="J48" s="247" t="s">
        <v>217</v>
      </c>
      <c r="K48" s="248">
        <v>1</v>
      </c>
      <c r="L48" s="248">
        <v>1</v>
      </c>
      <c r="M48" s="249">
        <f>I48*L48*$K$235</f>
        <v>0</v>
      </c>
      <c r="N48" s="251"/>
      <c r="O48" s="240" t="s">
        <v>543</v>
      </c>
      <c r="P48" s="240"/>
    </row>
    <row r="49" spans="1:16" hidden="1">
      <c r="A49" s="3"/>
      <c r="B49" s="3"/>
      <c r="C49" s="77"/>
      <c r="D49" s="75"/>
      <c r="E49" s="76"/>
      <c r="F49" s="92"/>
      <c r="G49" s="76"/>
      <c r="H49" s="76"/>
      <c r="I49" s="48"/>
      <c r="J49" s="48"/>
      <c r="K49" s="48"/>
      <c r="L49" s="48"/>
      <c r="M49" s="48"/>
      <c r="N49" s="69"/>
    </row>
    <row r="50" spans="1:16" hidden="1">
      <c r="A50" s="3"/>
      <c r="B50" s="3"/>
      <c r="C50" s="77"/>
      <c r="D50" s="75"/>
      <c r="E50" s="76"/>
      <c r="F50" s="92"/>
      <c r="G50" s="76"/>
      <c r="H50" s="76"/>
      <c r="I50" s="48"/>
      <c r="J50" s="48"/>
      <c r="K50" s="48"/>
      <c r="L50" s="48"/>
      <c r="M50" s="48"/>
      <c r="N50" s="69"/>
    </row>
    <row r="51" spans="1:16" hidden="1">
      <c r="A51" s="3"/>
      <c r="B51" s="3"/>
      <c r="C51" s="77"/>
      <c r="D51" s="75"/>
      <c r="E51" s="76"/>
      <c r="F51" s="92"/>
      <c r="G51" s="76"/>
      <c r="H51" s="76"/>
      <c r="I51" s="48"/>
      <c r="J51" s="48"/>
      <c r="K51" s="48"/>
      <c r="L51" s="48"/>
      <c r="M51" s="48"/>
      <c r="N51" s="69"/>
    </row>
    <row r="52" spans="1:16" hidden="1">
      <c r="A52" s="3"/>
      <c r="B52" s="3"/>
      <c r="C52" s="77"/>
      <c r="D52" s="75"/>
      <c r="E52" s="76"/>
      <c r="F52" s="92"/>
      <c r="G52" s="76"/>
      <c r="H52" s="76"/>
      <c r="I52" s="48"/>
      <c r="J52" s="48"/>
      <c r="K52" s="48"/>
      <c r="L52" s="48"/>
      <c r="M52" s="48"/>
      <c r="N52" s="69"/>
    </row>
    <row r="53" spans="1:16" hidden="1">
      <c r="A53" s="3"/>
      <c r="B53" s="3"/>
      <c r="C53" s="77"/>
      <c r="D53" s="75"/>
      <c r="E53" s="76"/>
      <c r="F53" s="92"/>
      <c r="G53" s="76"/>
      <c r="H53" s="76"/>
      <c r="I53" s="48"/>
      <c r="J53" s="48"/>
      <c r="K53" s="48"/>
      <c r="L53" s="48"/>
      <c r="M53" s="48"/>
      <c r="N53" s="69"/>
    </row>
    <row r="54" spans="1:16" hidden="1">
      <c r="A54" s="3"/>
      <c r="B54" s="3"/>
      <c r="C54" s="77"/>
      <c r="D54" s="75"/>
      <c r="E54" s="76"/>
      <c r="F54" s="92"/>
      <c r="G54" s="76"/>
      <c r="H54" s="76"/>
      <c r="I54" s="48"/>
      <c r="J54" s="48"/>
      <c r="K54" s="48"/>
      <c r="L54" s="48"/>
      <c r="M54" s="48"/>
      <c r="N54" s="69"/>
    </row>
    <row r="55" spans="1:16" hidden="1">
      <c r="A55" s="3"/>
      <c r="B55" s="3"/>
      <c r="C55" s="77"/>
      <c r="D55" s="75"/>
      <c r="E55" s="76"/>
      <c r="F55" s="92"/>
      <c r="G55" s="76"/>
      <c r="H55" s="76"/>
      <c r="I55" s="48"/>
      <c r="J55" s="48"/>
      <c r="K55" s="48"/>
      <c r="L55" s="48"/>
      <c r="M55" s="48"/>
      <c r="N55" s="69"/>
    </row>
    <row r="56" spans="1:16" hidden="1">
      <c r="A56" s="3"/>
      <c r="B56" s="3"/>
      <c r="C56" s="77"/>
      <c r="D56" s="75"/>
      <c r="E56" s="76"/>
      <c r="F56" s="92"/>
      <c r="G56" s="76"/>
      <c r="H56" s="76"/>
      <c r="I56" s="48"/>
      <c r="J56" s="48"/>
      <c r="K56" s="48"/>
      <c r="L56" s="48"/>
      <c r="M56" s="48"/>
      <c r="N56" s="69"/>
    </row>
    <row r="57" spans="1:16" hidden="1">
      <c r="A57" s="3"/>
      <c r="B57" s="3"/>
      <c r="C57" s="77"/>
      <c r="D57" s="75"/>
      <c r="E57" s="76"/>
      <c r="F57" s="92"/>
      <c r="G57" s="76"/>
      <c r="H57" s="76"/>
      <c r="I57" s="48"/>
      <c r="J57" s="48"/>
      <c r="K57" s="48"/>
      <c r="L57" s="48"/>
      <c r="M57" s="48"/>
      <c r="N57" s="69"/>
    </row>
    <row r="58" spans="1:16" s="44" customFormat="1" hidden="1">
      <c r="A58" s="1"/>
      <c r="B58" s="1"/>
      <c r="C58" s="1"/>
      <c r="D58" s="2"/>
      <c r="E58" s="280"/>
      <c r="F58" s="281"/>
      <c r="G58" s="280"/>
      <c r="H58" s="280"/>
      <c r="I58" s="280"/>
      <c r="J58" s="280"/>
      <c r="K58" s="280"/>
      <c r="L58" s="280"/>
      <c r="M58" s="280"/>
      <c r="N58" s="282"/>
      <c r="O58" s="1"/>
      <c r="P58" s="1"/>
    </row>
    <row r="59" spans="1:16" hidden="1">
      <c r="A59" s="9" t="str">
        <f>$A$4</f>
        <v xml:space="preserve">Please fill in Supplier Name </v>
      </c>
      <c r="B59" s="9" t="s">
        <v>178</v>
      </c>
      <c r="C59" s="9" t="s">
        <v>179</v>
      </c>
      <c r="D59" s="10"/>
      <c r="E59" s="10"/>
      <c r="F59" s="91"/>
      <c r="G59" s="7">
        <f>SUM(G60:G68)</f>
        <v>0</v>
      </c>
      <c r="H59" s="7">
        <f>'CS M C1-3'!H61</f>
        <v>0</v>
      </c>
      <c r="I59" s="57">
        <f>'CS M C1-3'!I61</f>
        <v>0</v>
      </c>
      <c r="J59" s="14" t="s">
        <v>217</v>
      </c>
      <c r="K59" s="11">
        <v>1</v>
      </c>
      <c r="L59" s="11">
        <v>1</v>
      </c>
      <c r="M59" s="146">
        <f>I59*K59</f>
        <v>0</v>
      </c>
      <c r="N59" s="9" t="s">
        <v>224</v>
      </c>
      <c r="O59" s="12" t="s">
        <v>544</v>
      </c>
      <c r="P59" s="12" t="s">
        <v>963</v>
      </c>
    </row>
    <row r="60" spans="1:16" hidden="1">
      <c r="A60" s="3"/>
      <c r="B60" s="3"/>
      <c r="C60" s="3" t="s">
        <v>876</v>
      </c>
      <c r="D60" s="71">
        <v>100</v>
      </c>
      <c r="E60" s="48" t="s">
        <v>559</v>
      </c>
      <c r="F60" s="59"/>
      <c r="G60" s="48"/>
      <c r="H60" s="48"/>
      <c r="I60" s="48"/>
      <c r="J60" s="48"/>
      <c r="K60" s="48"/>
      <c r="L60" s="48"/>
      <c r="M60" s="48"/>
      <c r="N60" s="69"/>
    </row>
    <row r="61" spans="1:16" hidden="1">
      <c r="A61" s="3"/>
      <c r="B61" s="3"/>
      <c r="C61" s="3" t="s">
        <v>877</v>
      </c>
      <c r="D61" s="71">
        <v>30</v>
      </c>
      <c r="E61" s="48" t="s">
        <v>665</v>
      </c>
      <c r="F61" s="59"/>
      <c r="G61" s="48"/>
      <c r="H61" s="48"/>
      <c r="I61" s="48"/>
      <c r="J61" s="48"/>
      <c r="K61" s="48"/>
      <c r="L61" s="48"/>
      <c r="M61" s="48"/>
      <c r="N61" s="69"/>
    </row>
    <row r="62" spans="1:16" hidden="1">
      <c r="A62" s="3"/>
      <c r="B62" s="3"/>
      <c r="C62" s="3" t="s">
        <v>878</v>
      </c>
      <c r="D62" s="71">
        <v>80</v>
      </c>
      <c r="E62" s="48" t="s">
        <v>559</v>
      </c>
      <c r="F62" s="59"/>
      <c r="G62" s="48"/>
      <c r="H62" s="48"/>
      <c r="I62" s="48"/>
      <c r="J62" s="48"/>
      <c r="K62" s="48"/>
      <c r="L62" s="48"/>
      <c r="M62" s="48"/>
      <c r="N62" s="69"/>
    </row>
    <row r="63" spans="1:16" hidden="1">
      <c r="A63" s="3"/>
      <c r="B63" s="3"/>
      <c r="C63" s="3" t="s">
        <v>879</v>
      </c>
      <c r="D63" s="71">
        <v>40</v>
      </c>
      <c r="E63" s="48" t="s">
        <v>559</v>
      </c>
      <c r="F63" s="59"/>
      <c r="G63" s="48"/>
      <c r="H63" s="48"/>
      <c r="I63" s="48"/>
      <c r="J63" s="48"/>
      <c r="K63" s="48"/>
      <c r="L63" s="48"/>
      <c r="M63" s="48"/>
      <c r="N63" s="69"/>
    </row>
    <row r="64" spans="1:16" hidden="1">
      <c r="A64" s="3"/>
      <c r="B64" s="3"/>
      <c r="C64" s="3" t="s">
        <v>880</v>
      </c>
      <c r="D64" s="71">
        <v>0</v>
      </c>
      <c r="E64" s="48"/>
      <c r="F64" s="59"/>
      <c r="G64" s="48"/>
      <c r="H64" s="48"/>
      <c r="I64" s="48"/>
      <c r="J64" s="48"/>
      <c r="K64" s="48"/>
      <c r="L64" s="48"/>
      <c r="M64" s="48"/>
      <c r="N64" s="69"/>
    </row>
    <row r="65" spans="1:16" hidden="1">
      <c r="A65" s="3"/>
      <c r="B65" s="3"/>
      <c r="C65" s="3"/>
      <c r="D65" s="71"/>
      <c r="E65" s="48"/>
      <c r="F65" s="59"/>
      <c r="G65" s="48"/>
      <c r="H65" s="48"/>
      <c r="I65" s="48"/>
      <c r="J65" s="48"/>
      <c r="K65" s="48"/>
      <c r="L65" s="48"/>
      <c r="M65" s="48"/>
      <c r="N65" s="69"/>
    </row>
    <row r="66" spans="1:16" hidden="1">
      <c r="A66" s="3"/>
      <c r="B66" s="3"/>
      <c r="C66" s="3"/>
      <c r="D66" s="71"/>
      <c r="E66" s="48"/>
      <c r="F66" s="59"/>
      <c r="G66" s="48"/>
      <c r="H66" s="48"/>
      <c r="I66" s="48"/>
      <c r="J66" s="48"/>
      <c r="K66" s="48"/>
      <c r="L66" s="48"/>
      <c r="M66" s="48"/>
      <c r="N66" s="69"/>
    </row>
    <row r="67" spans="1:16" hidden="1">
      <c r="A67" s="3"/>
      <c r="B67" s="3"/>
      <c r="C67" s="3"/>
      <c r="D67" s="71"/>
      <c r="E67" s="48"/>
      <c r="F67" s="59"/>
      <c r="G67" s="48"/>
      <c r="H67" s="48"/>
      <c r="I67" s="48"/>
      <c r="J67" s="48"/>
      <c r="K67" s="48"/>
      <c r="L67" s="48"/>
      <c r="M67" s="48"/>
      <c r="N67" s="69"/>
    </row>
    <row r="68" spans="1:16" hidden="1">
      <c r="A68" s="3"/>
      <c r="B68" s="3"/>
      <c r="C68" s="3"/>
      <c r="D68" s="71"/>
      <c r="E68" s="48"/>
      <c r="F68" s="59"/>
      <c r="G68" s="48"/>
      <c r="H68" s="48"/>
      <c r="I68" s="48"/>
      <c r="J68" s="48"/>
      <c r="K68" s="48"/>
      <c r="L68" s="48"/>
      <c r="M68" s="48"/>
      <c r="N68" s="69"/>
    </row>
    <row r="69" spans="1:16" hidden="1">
      <c r="D69" s="1"/>
      <c r="E69" s="1"/>
      <c r="G69" s="1"/>
      <c r="H69" s="1"/>
      <c r="I69" s="1"/>
      <c r="J69" s="1"/>
    </row>
    <row r="70" spans="1:16">
      <c r="A70" s="200" t="str">
        <f>$A$4</f>
        <v xml:space="preserve">Please fill in Supplier Name </v>
      </c>
      <c r="B70" s="200" t="s">
        <v>195</v>
      </c>
      <c r="C70" s="200" t="s">
        <v>196</v>
      </c>
      <c r="D70" s="201"/>
      <c r="E70" s="201"/>
      <c r="F70" s="202"/>
      <c r="G70" s="198">
        <f>'CS M C1-3'!G72</f>
        <v>0</v>
      </c>
      <c r="H70" s="198">
        <f>'CS M C1-3'!H72</f>
        <v>0</v>
      </c>
      <c r="I70" s="203">
        <f>'CS M C1-3'!I72</f>
        <v>0</v>
      </c>
      <c r="J70" s="204" t="s">
        <v>217</v>
      </c>
      <c r="K70" s="205">
        <v>1</v>
      </c>
      <c r="L70" s="205">
        <v>1</v>
      </c>
      <c r="M70" s="206">
        <f>I70*L70*$K$235</f>
        <v>0</v>
      </c>
      <c r="N70" s="200" t="s">
        <v>224</v>
      </c>
      <c r="O70" s="207" t="s">
        <v>532</v>
      </c>
      <c r="P70" s="199"/>
    </row>
    <row r="71" spans="1:16" hidden="1">
      <c r="A71" s="3"/>
      <c r="B71" s="3"/>
      <c r="C71" s="77"/>
      <c r="D71" s="75"/>
      <c r="E71" s="76"/>
      <c r="F71" s="92"/>
      <c r="G71" s="76"/>
      <c r="H71" s="76"/>
      <c r="I71" s="48"/>
      <c r="J71" s="48"/>
      <c r="K71" s="48"/>
      <c r="L71" s="48"/>
      <c r="M71" s="48"/>
      <c r="N71" s="69"/>
    </row>
    <row r="72" spans="1:16" hidden="1">
      <c r="A72" s="3"/>
      <c r="B72" s="3"/>
      <c r="C72" s="77"/>
      <c r="D72" s="75"/>
      <c r="E72" s="76"/>
      <c r="F72" s="92"/>
      <c r="G72" s="76"/>
      <c r="H72" s="76"/>
      <c r="I72" s="48"/>
      <c r="J72" s="48"/>
      <c r="K72" s="48"/>
      <c r="L72" s="48"/>
      <c r="M72" s="48"/>
      <c r="N72" s="69"/>
    </row>
    <row r="73" spans="1:16" hidden="1">
      <c r="A73" s="3"/>
      <c r="B73" s="3"/>
      <c r="C73" s="77"/>
      <c r="D73" s="75"/>
      <c r="E73" s="76"/>
      <c r="F73" s="92"/>
      <c r="G73" s="76"/>
      <c r="H73" s="76"/>
      <c r="I73" s="48"/>
      <c r="J73" s="48"/>
      <c r="K73" s="48"/>
      <c r="L73" s="48"/>
      <c r="M73" s="48"/>
      <c r="N73" s="69"/>
    </row>
    <row r="74" spans="1:16" hidden="1">
      <c r="A74" s="3"/>
      <c r="B74" s="3"/>
      <c r="C74" s="77"/>
      <c r="D74" s="75"/>
      <c r="E74" s="76"/>
      <c r="F74" s="92"/>
      <c r="G74" s="76"/>
      <c r="H74" s="76"/>
      <c r="I74" s="48"/>
      <c r="J74" s="48"/>
      <c r="K74" s="48"/>
      <c r="L74" s="48"/>
      <c r="M74" s="48"/>
      <c r="N74" s="69"/>
    </row>
    <row r="75" spans="1:16" hidden="1">
      <c r="A75" s="3"/>
      <c r="B75" s="3"/>
      <c r="C75" s="77"/>
      <c r="D75" s="75"/>
      <c r="E75" s="76"/>
      <c r="F75" s="92"/>
      <c r="G75" s="76"/>
      <c r="H75" s="76"/>
      <c r="I75" s="48"/>
      <c r="J75" s="48"/>
      <c r="K75" s="48"/>
      <c r="L75" s="48"/>
      <c r="M75" s="48"/>
      <c r="N75" s="69"/>
    </row>
    <row r="76" spans="1:16" hidden="1">
      <c r="A76" s="3"/>
      <c r="B76" s="3"/>
      <c r="C76" s="77"/>
      <c r="D76" s="75"/>
      <c r="E76" s="76"/>
      <c r="F76" s="92"/>
      <c r="G76" s="76"/>
      <c r="H76" s="76"/>
      <c r="I76" s="48"/>
      <c r="J76" s="48"/>
      <c r="K76" s="48"/>
      <c r="L76" s="48"/>
      <c r="M76" s="48"/>
      <c r="N76" s="69"/>
    </row>
    <row r="77" spans="1:16" hidden="1">
      <c r="A77" s="3"/>
      <c r="B77" s="3"/>
      <c r="C77" s="77"/>
      <c r="D77" s="75"/>
      <c r="E77" s="76"/>
      <c r="F77" s="92"/>
      <c r="G77" s="76"/>
      <c r="H77" s="76"/>
      <c r="I77" s="48"/>
      <c r="J77" s="48"/>
      <c r="K77" s="48"/>
      <c r="L77" s="48"/>
      <c r="M77" s="48"/>
      <c r="N77" s="69"/>
    </row>
    <row r="78" spans="1:16" hidden="1">
      <c r="A78" s="3"/>
      <c r="B78" s="3"/>
      <c r="C78" s="77"/>
      <c r="D78" s="75"/>
      <c r="E78" s="76"/>
      <c r="F78" s="92"/>
      <c r="G78" s="76"/>
      <c r="H78" s="76"/>
      <c r="I78" s="48"/>
      <c r="J78" s="48"/>
      <c r="K78" s="48"/>
      <c r="L78" s="48"/>
      <c r="M78" s="48"/>
      <c r="N78" s="69"/>
    </row>
    <row r="79" spans="1:16" hidden="1">
      <c r="A79" s="3"/>
      <c r="B79" s="3"/>
      <c r="C79" s="77"/>
      <c r="D79" s="75"/>
      <c r="E79" s="76"/>
      <c r="F79" s="92"/>
      <c r="G79" s="76"/>
      <c r="H79" s="76"/>
      <c r="I79" s="48"/>
      <c r="J79" s="48"/>
      <c r="K79" s="48"/>
      <c r="L79" s="48"/>
      <c r="M79" s="48"/>
      <c r="N79" s="69"/>
    </row>
    <row r="80" spans="1:16" hidden="1">
      <c r="D80" s="1"/>
      <c r="E80" s="1"/>
      <c r="G80" s="1"/>
      <c r="H80" s="1"/>
      <c r="I80" s="1"/>
      <c r="J80" s="1"/>
    </row>
    <row r="81" spans="1:16">
      <c r="A81" s="9" t="str">
        <f>$A$4</f>
        <v xml:space="preserve">Please fill in Supplier Name </v>
      </c>
      <c r="B81" s="242" t="s">
        <v>201</v>
      </c>
      <c r="C81" s="242" t="s">
        <v>202</v>
      </c>
      <c r="D81" s="243"/>
      <c r="E81" s="243"/>
      <c r="F81" s="244"/>
      <c r="G81" s="245">
        <f>'CS M C1-3'!G83</f>
        <v>0</v>
      </c>
      <c r="H81" s="245">
        <f>'CS M C1-3'!H83</f>
        <v>0</v>
      </c>
      <c r="I81" s="246">
        <f>'CS M C1-3'!I83</f>
        <v>0</v>
      </c>
      <c r="J81" s="247" t="s">
        <v>217</v>
      </c>
      <c r="K81" s="248">
        <v>1</v>
      </c>
      <c r="L81" s="248">
        <v>1</v>
      </c>
      <c r="M81" s="249">
        <f>I81*L81*$K$235</f>
        <v>0</v>
      </c>
      <c r="N81" s="242" t="s">
        <v>224</v>
      </c>
      <c r="O81" s="250" t="s">
        <v>543</v>
      </c>
      <c r="P81" s="240"/>
    </row>
    <row r="82" spans="1:16" hidden="1">
      <c r="A82" s="3"/>
      <c r="B82" s="3"/>
      <c r="C82" s="77"/>
      <c r="D82" s="75"/>
      <c r="E82" s="76"/>
      <c r="F82" s="92"/>
      <c r="G82" s="76"/>
      <c r="H82" s="76"/>
      <c r="I82" s="48"/>
      <c r="J82" s="48"/>
      <c r="K82" s="48"/>
      <c r="L82" s="48"/>
      <c r="M82" s="48"/>
      <c r="N82" s="69"/>
    </row>
    <row r="83" spans="1:16" hidden="1">
      <c r="A83" s="3"/>
      <c r="B83" s="3"/>
      <c r="C83" s="77"/>
      <c r="D83" s="75"/>
      <c r="E83" s="76"/>
      <c r="F83" s="92"/>
      <c r="G83" s="76"/>
      <c r="H83" s="76"/>
      <c r="I83" s="48"/>
      <c r="J83" s="48"/>
      <c r="K83" s="48"/>
      <c r="L83" s="48"/>
      <c r="M83" s="48"/>
      <c r="N83" s="69"/>
    </row>
    <row r="84" spans="1:16" hidden="1">
      <c r="A84" s="3"/>
      <c r="B84" s="3"/>
      <c r="C84" s="77"/>
      <c r="D84" s="75"/>
      <c r="E84" s="76"/>
      <c r="F84" s="92"/>
      <c r="G84" s="76"/>
      <c r="H84" s="76"/>
      <c r="I84" s="48"/>
      <c r="J84" s="48"/>
      <c r="K84" s="48"/>
      <c r="L84" s="48"/>
      <c r="M84" s="48"/>
      <c r="N84" s="69"/>
    </row>
    <row r="85" spans="1:16" hidden="1">
      <c r="A85" s="3"/>
      <c r="B85" s="3"/>
      <c r="C85" s="77"/>
      <c r="D85" s="75"/>
      <c r="E85" s="76"/>
      <c r="F85" s="92"/>
      <c r="G85" s="76"/>
      <c r="H85" s="76"/>
      <c r="I85" s="48"/>
      <c r="J85" s="48"/>
      <c r="K85" s="48"/>
      <c r="L85" s="48"/>
      <c r="M85" s="48"/>
      <c r="N85" s="69"/>
    </row>
    <row r="86" spans="1:16" hidden="1">
      <c r="A86" s="3"/>
      <c r="B86" s="3"/>
      <c r="C86" s="77"/>
      <c r="D86" s="75"/>
      <c r="E86" s="76"/>
      <c r="F86" s="92"/>
      <c r="G86" s="76"/>
      <c r="H86" s="76"/>
      <c r="I86" s="48"/>
      <c r="J86" s="48"/>
      <c r="K86" s="48"/>
      <c r="L86" s="48"/>
      <c r="M86" s="48"/>
      <c r="N86" s="69"/>
    </row>
    <row r="87" spans="1:16" hidden="1">
      <c r="A87" s="3"/>
      <c r="B87" s="3"/>
      <c r="C87" s="77"/>
      <c r="D87" s="75"/>
      <c r="E87" s="76"/>
      <c r="F87" s="92"/>
      <c r="G87" s="76"/>
      <c r="H87" s="76"/>
      <c r="I87" s="48"/>
      <c r="J87" s="48"/>
      <c r="K87" s="48"/>
      <c r="L87" s="48"/>
      <c r="M87" s="48"/>
      <c r="N87" s="69"/>
    </row>
    <row r="88" spans="1:16" hidden="1">
      <c r="A88" s="3"/>
      <c r="B88" s="3"/>
      <c r="C88" s="77"/>
      <c r="D88" s="75"/>
      <c r="E88" s="76"/>
      <c r="F88" s="92"/>
      <c r="G88" s="76"/>
      <c r="H88" s="76"/>
      <c r="I88" s="48"/>
      <c r="J88" s="48"/>
      <c r="K88" s="48"/>
      <c r="L88" s="48"/>
      <c r="M88" s="48"/>
      <c r="N88" s="69"/>
    </row>
    <row r="89" spans="1:16" hidden="1">
      <c r="A89" s="3"/>
      <c r="B89" s="3"/>
      <c r="C89" s="77"/>
      <c r="D89" s="75"/>
      <c r="E89" s="76"/>
      <c r="F89" s="92"/>
      <c r="G89" s="76"/>
      <c r="H89" s="76"/>
      <c r="I89" s="48"/>
      <c r="J89" s="48"/>
      <c r="K89" s="48"/>
      <c r="L89" s="48"/>
      <c r="M89" s="48"/>
      <c r="N89" s="69"/>
    </row>
    <row r="90" spans="1:16" hidden="1">
      <c r="A90" s="3"/>
      <c r="B90" s="3"/>
      <c r="C90" s="77"/>
      <c r="D90" s="75"/>
      <c r="E90" s="76"/>
      <c r="F90" s="92"/>
      <c r="G90" s="76"/>
      <c r="H90" s="76"/>
      <c r="I90" s="48"/>
      <c r="J90" s="48"/>
      <c r="K90" s="48"/>
      <c r="L90" s="48"/>
      <c r="M90" s="48"/>
      <c r="N90" s="69"/>
    </row>
    <row r="91" spans="1:16" hidden="1">
      <c r="D91" s="1"/>
      <c r="E91" s="1"/>
      <c r="G91" s="1"/>
      <c r="H91" s="1"/>
      <c r="I91" s="1"/>
      <c r="J91" s="1"/>
    </row>
    <row r="92" spans="1:16" hidden="1">
      <c r="A92" s="9" t="str">
        <f>$A$4</f>
        <v xml:space="preserve">Please fill in Supplier Name </v>
      </c>
      <c r="B92" s="9" t="s">
        <v>225</v>
      </c>
      <c r="C92" s="9" t="s">
        <v>226</v>
      </c>
      <c r="D92" s="10"/>
      <c r="E92" s="10"/>
      <c r="F92" s="91"/>
      <c r="G92" s="7">
        <f>SUM(G93:G95)</f>
        <v>0</v>
      </c>
      <c r="H92" s="7">
        <f>'CS M C1-3'!H94</f>
        <v>0</v>
      </c>
      <c r="I92" s="57">
        <f>'CS M C1-3'!I94</f>
        <v>0</v>
      </c>
      <c r="J92" s="14" t="s">
        <v>217</v>
      </c>
      <c r="K92" s="11">
        <v>1</v>
      </c>
      <c r="L92" s="11">
        <v>1</v>
      </c>
      <c r="M92" s="146">
        <f>I92*K92</f>
        <v>0</v>
      </c>
      <c r="N92" s="9"/>
      <c r="O92" s="12" t="s">
        <v>544</v>
      </c>
      <c r="P92" s="12" t="s">
        <v>971</v>
      </c>
    </row>
    <row r="93" spans="1:16" hidden="1">
      <c r="A93" s="3"/>
      <c r="B93" s="3"/>
      <c r="C93" s="3" t="s">
        <v>972</v>
      </c>
      <c r="D93" s="71">
        <v>50</v>
      </c>
      <c r="E93" s="48" t="s">
        <v>559</v>
      </c>
      <c r="F93" s="59"/>
      <c r="G93" s="48"/>
      <c r="H93" s="48"/>
      <c r="I93" s="48"/>
      <c r="J93" s="48"/>
      <c r="K93" s="48"/>
      <c r="L93" s="48"/>
      <c r="M93" s="48"/>
      <c r="N93" s="69"/>
    </row>
    <row r="94" spans="1:16" hidden="1">
      <c r="A94" s="3"/>
      <c r="B94" s="3"/>
      <c r="C94" s="3" t="s">
        <v>973</v>
      </c>
      <c r="D94" s="71">
        <v>10</v>
      </c>
      <c r="E94" s="48" t="s">
        <v>559</v>
      </c>
      <c r="F94" s="59"/>
      <c r="G94" s="48"/>
      <c r="H94" s="48"/>
      <c r="I94" s="48"/>
      <c r="J94" s="48"/>
      <c r="K94" s="48"/>
      <c r="L94" s="48"/>
      <c r="M94" s="48"/>
      <c r="N94" s="69"/>
    </row>
    <row r="95" spans="1:16" hidden="1">
      <c r="A95" s="3"/>
      <c r="B95" s="3"/>
      <c r="C95" s="3"/>
      <c r="D95" s="71"/>
      <c r="E95" s="48"/>
      <c r="F95" s="59"/>
      <c r="G95" s="48"/>
      <c r="H95" s="48"/>
      <c r="I95" s="48"/>
      <c r="J95" s="48"/>
      <c r="K95" s="48"/>
      <c r="L95" s="48"/>
      <c r="M95" s="48"/>
      <c r="N95" s="69"/>
    </row>
    <row r="96" spans="1:16" hidden="1">
      <c r="D96" s="1"/>
      <c r="E96" s="1"/>
      <c r="G96" s="1"/>
      <c r="H96" s="1"/>
      <c r="I96" s="1"/>
      <c r="J96" s="1"/>
    </row>
    <row r="97" spans="1:16">
      <c r="A97" s="200" t="str">
        <f>$A$4</f>
        <v xml:space="preserve">Please fill in Supplier Name </v>
      </c>
      <c r="B97" s="200" t="s">
        <v>227</v>
      </c>
      <c r="C97" s="200" t="s">
        <v>228</v>
      </c>
      <c r="D97" s="201"/>
      <c r="E97" s="201"/>
      <c r="F97" s="202"/>
      <c r="G97" s="198">
        <f>'CS M C1-3'!G99</f>
        <v>0</v>
      </c>
      <c r="H97" s="198">
        <f>'CS M C1-3'!H99</f>
        <v>0</v>
      </c>
      <c r="I97" s="203">
        <f>'CS M C1-3'!I99</f>
        <v>0</v>
      </c>
      <c r="J97" s="204" t="s">
        <v>217</v>
      </c>
      <c r="K97" s="205">
        <v>1</v>
      </c>
      <c r="L97" s="205">
        <v>1</v>
      </c>
      <c r="M97" s="206">
        <f>I97*L97*$K$235</f>
        <v>0</v>
      </c>
      <c r="N97" s="200"/>
      <c r="O97" s="199" t="s">
        <v>532</v>
      </c>
      <c r="P97" s="199"/>
    </row>
    <row r="98" spans="1:16" hidden="1">
      <c r="A98" s="3"/>
      <c r="B98" s="3"/>
      <c r="C98" s="77"/>
      <c r="D98" s="75"/>
      <c r="E98" s="76"/>
      <c r="F98" s="92"/>
      <c r="G98" s="76"/>
      <c r="H98" s="76"/>
      <c r="I98" s="48"/>
      <c r="J98" s="48"/>
      <c r="K98" s="48"/>
      <c r="L98" s="48"/>
      <c r="M98" s="48"/>
      <c r="N98" s="69"/>
    </row>
    <row r="99" spans="1:16" hidden="1">
      <c r="A99" s="3"/>
      <c r="B99" s="3"/>
      <c r="C99" s="77"/>
      <c r="D99" s="75"/>
      <c r="E99" s="76"/>
      <c r="F99" s="92"/>
      <c r="G99" s="76"/>
      <c r="H99" s="76"/>
      <c r="I99" s="48"/>
      <c r="J99" s="48"/>
      <c r="K99" s="48"/>
      <c r="L99" s="48"/>
      <c r="M99" s="48"/>
      <c r="N99" s="69"/>
    </row>
    <row r="100" spans="1:16" hidden="1">
      <c r="A100" s="3"/>
      <c r="B100" s="3"/>
      <c r="C100" s="77"/>
      <c r="D100" s="75"/>
      <c r="E100" s="76"/>
      <c r="F100" s="92"/>
      <c r="G100" s="76"/>
      <c r="H100" s="76"/>
      <c r="I100" s="48"/>
      <c r="J100" s="48"/>
      <c r="K100" s="48"/>
      <c r="L100" s="48"/>
      <c r="M100" s="48"/>
      <c r="N100" s="69"/>
    </row>
    <row r="101" spans="1:16" hidden="1">
      <c r="D101" s="1"/>
      <c r="E101" s="1"/>
      <c r="G101" s="1"/>
      <c r="H101" s="1"/>
      <c r="I101" s="1"/>
      <c r="J101" s="1"/>
    </row>
    <row r="102" spans="1:16">
      <c r="A102" s="9" t="str">
        <f>$A$4</f>
        <v xml:space="preserve">Please fill in Supplier Name </v>
      </c>
      <c r="B102" s="242" t="s">
        <v>229</v>
      </c>
      <c r="C102" s="242" t="s">
        <v>230</v>
      </c>
      <c r="D102" s="243"/>
      <c r="E102" s="243"/>
      <c r="F102" s="244"/>
      <c r="G102" s="245">
        <f>'CS M C1-3'!G104</f>
        <v>0</v>
      </c>
      <c r="H102" s="245">
        <f>'CS M C1-3'!H104</f>
        <v>0</v>
      </c>
      <c r="I102" s="246">
        <f>'CS M C1-3'!I104</f>
        <v>0</v>
      </c>
      <c r="J102" s="247" t="s">
        <v>217</v>
      </c>
      <c r="K102" s="248">
        <v>1</v>
      </c>
      <c r="L102" s="248">
        <v>1</v>
      </c>
      <c r="M102" s="249">
        <f>I102*L102*$K$235</f>
        <v>0</v>
      </c>
      <c r="N102" s="242"/>
      <c r="O102" s="240" t="s">
        <v>543</v>
      </c>
      <c r="P102" s="240"/>
    </row>
    <row r="103" spans="1:16" hidden="1">
      <c r="A103" s="3"/>
      <c r="B103" s="3"/>
      <c r="C103" s="77"/>
      <c r="D103" s="75"/>
      <c r="E103" s="76"/>
      <c r="F103" s="92"/>
      <c r="G103" s="76"/>
      <c r="H103" s="76"/>
      <c r="I103" s="48"/>
      <c r="J103" s="48"/>
      <c r="K103" s="48"/>
      <c r="L103" s="48"/>
      <c r="M103" s="48"/>
      <c r="N103" s="69"/>
    </row>
    <row r="104" spans="1:16" hidden="1">
      <c r="A104" s="3"/>
      <c r="B104" s="3"/>
      <c r="C104" s="77"/>
      <c r="D104" s="75"/>
      <c r="E104" s="76"/>
      <c r="F104" s="92"/>
      <c r="G104" s="76"/>
      <c r="H104" s="76"/>
      <c r="I104" s="48"/>
      <c r="J104" s="48"/>
      <c r="K104" s="48"/>
      <c r="L104" s="48"/>
      <c r="M104" s="48"/>
      <c r="N104" s="69"/>
    </row>
    <row r="105" spans="1:16" hidden="1">
      <c r="A105" s="3"/>
      <c r="B105" s="3"/>
      <c r="C105" s="77"/>
      <c r="D105" s="75"/>
      <c r="E105" s="76"/>
      <c r="F105" s="92"/>
      <c r="G105" s="76"/>
      <c r="H105" s="76"/>
      <c r="I105" s="48"/>
      <c r="J105" s="48"/>
      <c r="K105" s="48"/>
      <c r="L105" s="48"/>
      <c r="M105" s="48"/>
      <c r="N105" s="69"/>
    </row>
    <row r="106" spans="1:16" hidden="1">
      <c r="D106" s="1"/>
      <c r="E106" s="1"/>
      <c r="G106" s="1"/>
      <c r="H106" s="1"/>
      <c r="I106" s="1"/>
      <c r="J106" s="1"/>
    </row>
    <row r="107" spans="1:16" hidden="1">
      <c r="A107" s="9" t="str">
        <f>$A$4</f>
        <v xml:space="preserve">Please fill in Supplier Name </v>
      </c>
      <c r="B107" s="9" t="s">
        <v>187</v>
      </c>
      <c r="C107" s="9" t="s">
        <v>894</v>
      </c>
      <c r="D107" s="10"/>
      <c r="E107" s="10"/>
      <c r="F107" s="91"/>
      <c r="G107" s="7">
        <f>'CS M C1-3'!G109</f>
        <v>0</v>
      </c>
      <c r="H107" s="7">
        <f>'CS M C1-3'!H109</f>
        <v>0</v>
      </c>
      <c r="I107" s="57">
        <f>'CS M C1-3'!I109</f>
        <v>0</v>
      </c>
      <c r="J107" s="14" t="s">
        <v>169</v>
      </c>
      <c r="K107" s="11" t="s">
        <v>189</v>
      </c>
      <c r="L107" s="11">
        <v>1.2</v>
      </c>
      <c r="M107" s="146">
        <f>I107*L107</f>
        <v>0</v>
      </c>
      <c r="N107" s="16" t="s">
        <v>190</v>
      </c>
      <c r="O107" s="15" t="s">
        <v>544</v>
      </c>
      <c r="P107" s="12" t="s">
        <v>895</v>
      </c>
    </row>
    <row r="108" spans="1:16" hidden="1">
      <c r="A108" s="278"/>
      <c r="B108" s="278"/>
      <c r="C108" s="3" t="s">
        <v>741</v>
      </c>
      <c r="D108" s="71">
        <v>40</v>
      </c>
      <c r="E108" s="48" t="s">
        <v>559</v>
      </c>
      <c r="F108" s="59"/>
      <c r="G108" s="48"/>
      <c r="H108" s="48"/>
      <c r="I108" s="48"/>
      <c r="J108" s="48"/>
      <c r="K108" s="48"/>
      <c r="L108" s="48"/>
      <c r="M108" s="3"/>
      <c r="N108" s="69"/>
    </row>
    <row r="109" spans="1:16" hidden="1">
      <c r="A109" s="60"/>
      <c r="B109" s="278"/>
      <c r="D109" s="71"/>
      <c r="E109" s="48"/>
      <c r="F109" s="59"/>
      <c r="G109" s="48"/>
      <c r="H109" s="48"/>
      <c r="I109" s="48"/>
      <c r="J109" s="48"/>
      <c r="K109" s="48"/>
      <c r="L109" s="48"/>
      <c r="M109" s="3"/>
      <c r="N109" s="69"/>
    </row>
    <row r="110" spans="1:16" hidden="1">
      <c r="A110" s="278"/>
      <c r="B110" s="278"/>
      <c r="C110" s="278"/>
      <c r="D110" s="71"/>
      <c r="E110" s="48"/>
      <c r="F110" s="59"/>
      <c r="G110" s="48"/>
      <c r="H110" s="48"/>
      <c r="I110" s="48"/>
      <c r="J110" s="48"/>
      <c r="K110" s="48"/>
      <c r="L110" s="48"/>
      <c r="M110" s="3"/>
      <c r="N110" s="69"/>
    </row>
    <row r="111" spans="1:16" hidden="1">
      <c r="D111" s="1"/>
      <c r="E111" s="1"/>
      <c r="G111" s="1"/>
      <c r="H111" s="1"/>
      <c r="I111" s="1"/>
      <c r="J111" s="1"/>
    </row>
    <row r="112" spans="1:16">
      <c r="A112" s="200" t="str">
        <f>$A$4</f>
        <v xml:space="preserve">Please fill in Supplier Name </v>
      </c>
      <c r="B112" s="200" t="s">
        <v>896</v>
      </c>
      <c r="C112" s="200" t="s">
        <v>897</v>
      </c>
      <c r="D112" s="201"/>
      <c r="E112" s="201"/>
      <c r="F112" s="202"/>
      <c r="G112" s="198">
        <f>SUM(G113:G115)</f>
        <v>0</v>
      </c>
      <c r="H112" s="198">
        <f>'CS M C1-3'!H114</f>
        <v>0</v>
      </c>
      <c r="I112" s="203">
        <f>'CS M C1-3'!I114</f>
        <v>0</v>
      </c>
      <c r="J112" s="204" t="s">
        <v>169</v>
      </c>
      <c r="K112" s="205" t="s">
        <v>189</v>
      </c>
      <c r="L112" s="205">
        <v>1.2</v>
      </c>
      <c r="M112" s="206">
        <f>I112*L112*$K$235</f>
        <v>0</v>
      </c>
      <c r="N112" s="210" t="s">
        <v>190</v>
      </c>
      <c r="O112" s="207" t="s">
        <v>532</v>
      </c>
      <c r="P112" s="199" t="s">
        <v>895</v>
      </c>
    </row>
    <row r="113" spans="1:16" hidden="1">
      <c r="A113" s="278"/>
      <c r="B113" s="278"/>
      <c r="C113" s="77"/>
      <c r="D113" s="75"/>
      <c r="E113" s="76"/>
      <c r="F113" s="92"/>
      <c r="G113" s="76"/>
      <c r="H113" s="76"/>
      <c r="I113" s="48"/>
      <c r="J113" s="48"/>
      <c r="K113" s="48"/>
      <c r="L113" s="11"/>
      <c r="M113" s="3"/>
      <c r="N113" s="69"/>
    </row>
    <row r="114" spans="1:16" hidden="1">
      <c r="A114" s="60"/>
      <c r="B114" s="278"/>
      <c r="C114" s="78"/>
      <c r="D114" s="75"/>
      <c r="E114" s="76"/>
      <c r="F114" s="92"/>
      <c r="G114" s="76"/>
      <c r="H114" s="76"/>
      <c r="I114" s="48"/>
      <c r="J114" s="48"/>
      <c r="K114" s="48"/>
      <c r="L114" s="11"/>
      <c r="M114" s="3"/>
      <c r="N114" s="69"/>
    </row>
    <row r="115" spans="1:16" hidden="1">
      <c r="A115" s="278"/>
      <c r="B115" s="278"/>
      <c r="C115" s="279"/>
      <c r="D115" s="75"/>
      <c r="E115" s="76"/>
      <c r="F115" s="92"/>
      <c r="G115" s="76"/>
      <c r="H115" s="76"/>
      <c r="I115" s="48"/>
      <c r="J115" s="48"/>
      <c r="K115" s="48"/>
      <c r="L115" s="11"/>
      <c r="M115" s="3"/>
      <c r="N115" s="69"/>
    </row>
    <row r="116" spans="1:16" hidden="1">
      <c r="D116" s="1"/>
      <c r="E116" s="1"/>
      <c r="G116" s="1"/>
      <c r="H116" s="1"/>
      <c r="I116" s="1"/>
      <c r="J116" s="1"/>
      <c r="L116" s="11"/>
    </row>
    <row r="117" spans="1:16">
      <c r="A117" s="9" t="str">
        <f>$A$4</f>
        <v xml:space="preserve">Please fill in Supplier Name </v>
      </c>
      <c r="B117" s="242" t="s">
        <v>898</v>
      </c>
      <c r="C117" s="242" t="s">
        <v>899</v>
      </c>
      <c r="D117" s="243"/>
      <c r="E117" s="243"/>
      <c r="F117" s="244"/>
      <c r="G117" s="245">
        <f>'CS M C1-3'!G114</f>
        <v>0</v>
      </c>
      <c r="H117" s="245">
        <f>'CS M C1-3'!H119</f>
        <v>0</v>
      </c>
      <c r="I117" s="246">
        <f>'CS M C1-3'!I119</f>
        <v>0</v>
      </c>
      <c r="J117" s="247" t="s">
        <v>169</v>
      </c>
      <c r="K117" s="248" t="s">
        <v>189</v>
      </c>
      <c r="L117" s="248">
        <v>1.2</v>
      </c>
      <c r="M117" s="249">
        <f>I117*L117*$K$235</f>
        <v>0</v>
      </c>
      <c r="N117" s="253" t="s">
        <v>190</v>
      </c>
      <c r="O117" s="250" t="s">
        <v>543</v>
      </c>
      <c r="P117" s="240" t="s">
        <v>895</v>
      </c>
    </row>
    <row r="118" spans="1:16" hidden="1">
      <c r="A118" s="278"/>
      <c r="B118" s="278"/>
      <c r="C118" s="77"/>
      <c r="D118" s="75"/>
      <c r="E118" s="76"/>
      <c r="F118" s="92"/>
      <c r="G118" s="76"/>
      <c r="H118" s="76"/>
      <c r="I118" s="48"/>
      <c r="J118" s="48"/>
      <c r="K118" s="48"/>
      <c r="L118" s="48"/>
      <c r="M118" s="3"/>
      <c r="N118" s="69"/>
    </row>
    <row r="119" spans="1:16" hidden="1">
      <c r="A119" s="60"/>
      <c r="B119" s="278"/>
      <c r="C119" s="78"/>
      <c r="D119" s="75"/>
      <c r="E119" s="76"/>
      <c r="F119" s="92"/>
      <c r="G119" s="76"/>
      <c r="H119" s="76"/>
      <c r="I119" s="48"/>
      <c r="J119" s="48"/>
      <c r="K119" s="48"/>
      <c r="L119" s="48"/>
      <c r="M119" s="3"/>
      <c r="N119" s="69"/>
    </row>
    <row r="120" spans="1:16" hidden="1">
      <c r="A120" s="278"/>
      <c r="B120" s="278"/>
      <c r="C120" s="279"/>
      <c r="D120" s="75"/>
      <c r="E120" s="76"/>
      <c r="F120" s="92"/>
      <c r="G120" s="76"/>
      <c r="H120" s="76"/>
      <c r="I120" s="48"/>
      <c r="J120" s="48"/>
      <c r="K120" s="48"/>
      <c r="L120" s="48"/>
      <c r="M120" s="3"/>
      <c r="N120" s="69"/>
    </row>
    <row r="121" spans="1:16" hidden="1">
      <c r="D121" s="1"/>
      <c r="E121" s="1"/>
      <c r="G121" s="1"/>
      <c r="H121" s="1"/>
      <c r="I121" s="1"/>
      <c r="J121" s="1"/>
    </row>
    <row r="122" spans="1:16" hidden="1">
      <c r="A122" s="9" t="str">
        <f>$A$4</f>
        <v xml:space="preserve">Please fill in Supplier Name </v>
      </c>
      <c r="B122" s="9" t="s">
        <v>237</v>
      </c>
      <c r="C122" s="9" t="s">
        <v>980</v>
      </c>
      <c r="D122" s="10"/>
      <c r="E122" s="10"/>
      <c r="F122" s="91"/>
      <c r="G122" s="7">
        <f>SUM(G123:G125)</f>
        <v>0</v>
      </c>
      <c r="H122" s="7">
        <f>'CS M C1-3'!H124</f>
        <v>0</v>
      </c>
      <c r="I122" s="57">
        <f>'CS M C1-3'!I124</f>
        <v>0</v>
      </c>
      <c r="J122" s="14" t="s">
        <v>217</v>
      </c>
      <c r="K122" s="11">
        <v>1</v>
      </c>
      <c r="L122" s="11">
        <v>1</v>
      </c>
      <c r="M122" s="146">
        <f>I122*K122</f>
        <v>0</v>
      </c>
      <c r="N122" s="9"/>
      <c r="O122" s="12" t="s">
        <v>544</v>
      </c>
      <c r="P122" s="12"/>
    </row>
    <row r="123" spans="1:16" hidden="1">
      <c r="A123" s="3"/>
      <c r="B123" s="3"/>
      <c r="C123" s="3" t="s">
        <v>981</v>
      </c>
      <c r="D123" s="71">
        <v>1</v>
      </c>
      <c r="E123" s="48" t="s">
        <v>535</v>
      </c>
      <c r="F123" s="59"/>
      <c r="G123" s="48"/>
      <c r="H123" s="48"/>
      <c r="I123" s="48"/>
      <c r="J123" s="48"/>
      <c r="K123" s="48"/>
      <c r="L123" s="48"/>
      <c r="M123" s="48"/>
      <c r="N123" s="69"/>
    </row>
    <row r="124" spans="1:16" hidden="1">
      <c r="A124" s="3"/>
      <c r="B124" s="3"/>
      <c r="C124" s="3"/>
      <c r="D124" s="71"/>
      <c r="E124" s="48"/>
      <c r="F124" s="59"/>
      <c r="G124" s="48"/>
      <c r="H124" s="48"/>
      <c r="I124" s="48"/>
      <c r="J124" s="48"/>
      <c r="K124" s="48"/>
      <c r="L124" s="48"/>
      <c r="M124" s="48"/>
      <c r="N124" s="69"/>
    </row>
    <row r="125" spans="1:16" hidden="1">
      <c r="A125" s="3"/>
      <c r="B125" s="3"/>
      <c r="C125" s="3"/>
      <c r="D125" s="71"/>
      <c r="E125" s="48"/>
      <c r="F125" s="59"/>
      <c r="G125" s="48"/>
      <c r="H125" s="48"/>
      <c r="I125" s="48"/>
      <c r="J125" s="48"/>
      <c r="K125" s="48"/>
      <c r="L125" s="48"/>
      <c r="M125" s="48"/>
      <c r="N125" s="69"/>
    </row>
    <row r="126" spans="1:16" hidden="1">
      <c r="D126" s="1"/>
      <c r="E126" s="1"/>
      <c r="G126" s="1"/>
      <c r="H126" s="1"/>
      <c r="I126" s="1"/>
      <c r="J126" s="1"/>
    </row>
    <row r="127" spans="1:16">
      <c r="A127" s="200" t="str">
        <f>$A$4</f>
        <v xml:space="preserve">Please fill in Supplier Name </v>
      </c>
      <c r="B127" s="200" t="s">
        <v>982</v>
      </c>
      <c r="C127" s="200" t="s">
        <v>983</v>
      </c>
      <c r="D127" s="201"/>
      <c r="E127" s="201"/>
      <c r="F127" s="202"/>
      <c r="G127" s="198">
        <f>'CS M C1-3'!G129</f>
        <v>0</v>
      </c>
      <c r="H127" s="198">
        <f>'CS M C1-3'!H129</f>
        <v>0</v>
      </c>
      <c r="I127" s="203">
        <f>'CS M C1-3'!I129</f>
        <v>0</v>
      </c>
      <c r="J127" s="204" t="s">
        <v>217</v>
      </c>
      <c r="K127" s="205">
        <v>1</v>
      </c>
      <c r="L127" s="205">
        <v>1</v>
      </c>
      <c r="M127" s="206">
        <f>I127*L127*$K$235</f>
        <v>0</v>
      </c>
      <c r="N127" s="200"/>
      <c r="O127" s="199" t="s">
        <v>532</v>
      </c>
      <c r="P127" s="199"/>
    </row>
    <row r="128" spans="1:16" hidden="1">
      <c r="A128" s="3"/>
      <c r="B128" s="3"/>
      <c r="C128" s="77"/>
      <c r="D128" s="75"/>
      <c r="E128" s="76"/>
      <c r="F128" s="92"/>
      <c r="G128" s="76"/>
      <c r="H128" s="76"/>
      <c r="I128" s="48"/>
      <c r="J128" s="48"/>
      <c r="K128" s="48"/>
      <c r="L128" s="48"/>
      <c r="M128" s="48"/>
      <c r="N128" s="69"/>
    </row>
    <row r="129" spans="1:16" hidden="1">
      <c r="A129" s="3"/>
      <c r="B129" s="3"/>
      <c r="C129" s="77"/>
      <c r="D129" s="75"/>
      <c r="E129" s="76"/>
      <c r="F129" s="92"/>
      <c r="G129" s="76"/>
      <c r="H129" s="76"/>
      <c r="I129" s="48"/>
      <c r="J129" s="48"/>
      <c r="K129" s="48"/>
      <c r="L129" s="48"/>
      <c r="M129" s="48"/>
      <c r="N129" s="69"/>
    </row>
    <row r="130" spans="1:16" hidden="1">
      <c r="A130" s="3"/>
      <c r="B130" s="3"/>
      <c r="C130" s="77"/>
      <c r="D130" s="75"/>
      <c r="E130" s="76"/>
      <c r="F130" s="92"/>
      <c r="G130" s="76"/>
      <c r="H130" s="76"/>
      <c r="I130" s="48"/>
      <c r="J130" s="48"/>
      <c r="K130" s="48"/>
      <c r="L130" s="48"/>
      <c r="M130" s="48"/>
      <c r="N130" s="69"/>
    </row>
    <row r="131" spans="1:16" hidden="1">
      <c r="D131" s="1"/>
      <c r="E131" s="1"/>
      <c r="G131" s="1"/>
      <c r="H131" s="1"/>
      <c r="I131" s="1"/>
      <c r="J131" s="1"/>
    </row>
    <row r="132" spans="1:16">
      <c r="A132" s="9" t="str">
        <f>$A$4</f>
        <v xml:space="preserve">Please fill in Supplier Name </v>
      </c>
      <c r="B132" s="242" t="s">
        <v>985</v>
      </c>
      <c r="C132" s="242" t="s">
        <v>986</v>
      </c>
      <c r="D132" s="243"/>
      <c r="E132" s="243"/>
      <c r="F132" s="244"/>
      <c r="G132" s="245">
        <f>'CS M C1-3'!G134</f>
        <v>0</v>
      </c>
      <c r="H132" s="245">
        <f>'CS M C1-3'!H134</f>
        <v>0</v>
      </c>
      <c r="I132" s="246">
        <f>'CS M C1-3'!I134</f>
        <v>0</v>
      </c>
      <c r="J132" s="247" t="s">
        <v>217</v>
      </c>
      <c r="K132" s="248">
        <v>1</v>
      </c>
      <c r="L132" s="248">
        <v>1</v>
      </c>
      <c r="M132" s="249">
        <f>I132*L132*$K$235</f>
        <v>0</v>
      </c>
      <c r="N132" s="242"/>
      <c r="O132" s="240" t="s">
        <v>543</v>
      </c>
      <c r="P132" s="240"/>
    </row>
    <row r="133" spans="1:16" hidden="1">
      <c r="A133" s="3"/>
      <c r="B133" s="3"/>
      <c r="C133" s="77"/>
      <c r="D133" s="75"/>
      <c r="E133" s="76"/>
      <c r="F133" s="92"/>
      <c r="G133" s="76"/>
      <c r="H133" s="76"/>
      <c r="I133" s="48"/>
      <c r="J133" s="48"/>
      <c r="K133" s="48"/>
      <c r="L133" s="48"/>
      <c r="M133" s="48"/>
      <c r="N133" s="69"/>
    </row>
    <row r="134" spans="1:16" hidden="1">
      <c r="A134" s="3"/>
      <c r="B134" s="3"/>
      <c r="C134" s="77"/>
      <c r="D134" s="75"/>
      <c r="E134" s="76"/>
      <c r="F134" s="92"/>
      <c r="G134" s="76"/>
      <c r="H134" s="76"/>
      <c r="I134" s="48"/>
      <c r="J134" s="48"/>
      <c r="K134" s="48"/>
      <c r="L134" s="48"/>
      <c r="M134" s="48"/>
      <c r="N134" s="69"/>
    </row>
    <row r="135" spans="1:16" hidden="1">
      <c r="A135" s="3"/>
      <c r="B135" s="3"/>
      <c r="C135" s="77"/>
      <c r="D135" s="75"/>
      <c r="E135" s="76"/>
      <c r="F135" s="92"/>
      <c r="G135" s="76"/>
      <c r="H135" s="76"/>
      <c r="I135" s="48"/>
      <c r="J135" s="48"/>
      <c r="K135" s="48"/>
      <c r="L135" s="48"/>
      <c r="M135" s="48"/>
      <c r="N135" s="69"/>
    </row>
    <row r="136" spans="1:16" hidden="1">
      <c r="D136" s="1"/>
      <c r="E136" s="1"/>
      <c r="G136" s="1"/>
      <c r="H136" s="1"/>
      <c r="I136" s="1"/>
      <c r="J136" s="1"/>
    </row>
    <row r="137" spans="1:16" hidden="1">
      <c r="A137" s="9" t="str">
        <f>$A$4</f>
        <v xml:space="preserve">Please fill in Supplier Name </v>
      </c>
      <c r="B137" s="9" t="s">
        <v>235</v>
      </c>
      <c r="C137" s="9" t="s">
        <v>988</v>
      </c>
      <c r="D137" s="10"/>
      <c r="E137" s="10"/>
      <c r="F137" s="91"/>
      <c r="G137" s="7">
        <f>SUM(G138:G140)</f>
        <v>0</v>
      </c>
      <c r="H137" s="7">
        <f>'CS M C1-3'!H139</f>
        <v>0</v>
      </c>
      <c r="I137" s="57">
        <f>'CS M C1-3'!I139</f>
        <v>0</v>
      </c>
      <c r="J137" s="14" t="s">
        <v>217</v>
      </c>
      <c r="K137" s="11">
        <v>1</v>
      </c>
      <c r="L137" s="11">
        <v>1</v>
      </c>
      <c r="M137" s="146">
        <f>I137*K137</f>
        <v>0</v>
      </c>
      <c r="N137" s="9"/>
      <c r="O137" s="12" t="s">
        <v>544</v>
      </c>
      <c r="P137" s="12"/>
    </row>
    <row r="138" spans="1:16" hidden="1">
      <c r="A138" s="3"/>
      <c r="B138" s="3"/>
      <c r="C138" s="3" t="s">
        <v>989</v>
      </c>
      <c r="D138" s="71">
        <v>1</v>
      </c>
      <c r="E138" s="48" t="s">
        <v>535</v>
      </c>
      <c r="F138" s="59"/>
      <c r="G138" s="48"/>
      <c r="H138" s="48"/>
      <c r="I138" s="48"/>
      <c r="J138" s="48"/>
      <c r="K138" s="48"/>
      <c r="L138" s="48"/>
      <c r="M138" s="48"/>
      <c r="N138" s="69"/>
    </row>
    <row r="139" spans="1:16" hidden="1">
      <c r="A139" s="3"/>
      <c r="B139" s="3"/>
      <c r="C139" s="3"/>
      <c r="D139" s="71"/>
      <c r="E139" s="48"/>
      <c r="F139" s="59"/>
      <c r="G139" s="48"/>
      <c r="H139" s="48"/>
      <c r="I139" s="48"/>
      <c r="J139" s="48"/>
      <c r="K139" s="48"/>
      <c r="L139" s="48"/>
      <c r="M139" s="48"/>
      <c r="N139" s="69"/>
    </row>
    <row r="140" spans="1:16" hidden="1">
      <c r="A140" s="3"/>
      <c r="B140" s="3"/>
      <c r="C140" s="3"/>
      <c r="D140" s="71"/>
      <c r="E140" s="48"/>
      <c r="F140" s="59"/>
      <c r="G140" s="48"/>
      <c r="H140" s="48"/>
      <c r="I140" s="48"/>
      <c r="J140" s="48"/>
      <c r="K140" s="48"/>
      <c r="L140" s="48"/>
      <c r="M140" s="48"/>
      <c r="N140" s="69"/>
    </row>
    <row r="141" spans="1:16" hidden="1">
      <c r="D141" s="1"/>
      <c r="E141" s="1"/>
      <c r="G141" s="1"/>
      <c r="H141" s="1"/>
      <c r="I141" s="1"/>
      <c r="J141" s="1"/>
    </row>
    <row r="142" spans="1:16">
      <c r="A142" s="200" t="str">
        <f>$A$4</f>
        <v xml:space="preserve">Please fill in Supplier Name </v>
      </c>
      <c r="B142" s="200" t="s">
        <v>990</v>
      </c>
      <c r="C142" s="200" t="s">
        <v>988</v>
      </c>
      <c r="D142" s="201"/>
      <c r="E142" s="201"/>
      <c r="F142" s="202"/>
      <c r="G142" s="198">
        <f>'CS M C1-3'!G144</f>
        <v>0</v>
      </c>
      <c r="H142" s="198">
        <f>'CS M C1-3'!H144</f>
        <v>0</v>
      </c>
      <c r="I142" s="203">
        <f>'CS M C1-3'!I144</f>
        <v>0</v>
      </c>
      <c r="J142" s="204" t="s">
        <v>217</v>
      </c>
      <c r="K142" s="205">
        <v>1</v>
      </c>
      <c r="L142" s="205">
        <v>1</v>
      </c>
      <c r="M142" s="206">
        <f>I142*L142*$K$235</f>
        <v>0</v>
      </c>
      <c r="N142" s="200"/>
      <c r="O142" s="199" t="s">
        <v>532</v>
      </c>
      <c r="P142" s="199"/>
    </row>
    <row r="143" spans="1:16" hidden="1">
      <c r="A143" s="3"/>
      <c r="B143" s="3"/>
      <c r="C143" s="77"/>
      <c r="D143" s="75"/>
      <c r="E143" s="76"/>
      <c r="F143" s="92"/>
      <c r="G143" s="76"/>
      <c r="H143" s="76"/>
      <c r="I143" s="48"/>
      <c r="J143" s="48"/>
      <c r="K143" s="48"/>
      <c r="L143" s="48"/>
      <c r="M143" s="48"/>
      <c r="N143" s="69"/>
    </row>
    <row r="144" spans="1:16" hidden="1">
      <c r="A144" s="3"/>
      <c r="B144" s="3"/>
      <c r="C144" s="77"/>
      <c r="D144" s="75"/>
      <c r="E144" s="76"/>
      <c r="F144" s="92"/>
      <c r="G144" s="76"/>
      <c r="H144" s="76"/>
      <c r="I144" s="48"/>
      <c r="J144" s="48"/>
      <c r="K144" s="48"/>
      <c r="L144" s="48"/>
      <c r="M144" s="48"/>
      <c r="N144" s="69"/>
    </row>
    <row r="145" spans="1:16" hidden="1">
      <c r="A145" s="3"/>
      <c r="B145" s="3"/>
      <c r="C145" s="77"/>
      <c r="D145" s="75"/>
      <c r="E145" s="76"/>
      <c r="F145" s="92"/>
      <c r="G145" s="76"/>
      <c r="H145" s="76"/>
      <c r="I145" s="48"/>
      <c r="J145" s="48"/>
      <c r="K145" s="48"/>
      <c r="L145" s="48"/>
      <c r="M145" s="48"/>
      <c r="N145" s="69"/>
    </row>
    <row r="146" spans="1:16" hidden="1">
      <c r="D146" s="1"/>
      <c r="E146" s="1"/>
      <c r="G146" s="1"/>
      <c r="H146" s="1"/>
      <c r="I146" s="1"/>
      <c r="J146" s="1"/>
    </row>
    <row r="147" spans="1:16">
      <c r="A147" s="9" t="str">
        <f>$A$4</f>
        <v xml:space="preserve">Please fill in Supplier Name </v>
      </c>
      <c r="B147" s="242" t="s">
        <v>994</v>
      </c>
      <c r="C147" s="242" t="s">
        <v>988</v>
      </c>
      <c r="D147" s="243"/>
      <c r="E147" s="243"/>
      <c r="F147" s="244"/>
      <c r="G147" s="245">
        <f>'CS M C1-3'!G149</f>
        <v>0</v>
      </c>
      <c r="H147" s="245">
        <f>'CS M C1-3'!H149</f>
        <v>0</v>
      </c>
      <c r="I147" s="246">
        <f>'CS M C1-3'!I149</f>
        <v>0</v>
      </c>
      <c r="J147" s="247" t="s">
        <v>217</v>
      </c>
      <c r="K147" s="248">
        <v>1</v>
      </c>
      <c r="L147" s="248">
        <v>1</v>
      </c>
      <c r="M147" s="249">
        <f>I147*L147*$K$235</f>
        <v>0</v>
      </c>
      <c r="N147" s="242"/>
      <c r="O147" s="240" t="s">
        <v>543</v>
      </c>
      <c r="P147" s="240"/>
    </row>
    <row r="148" spans="1:16" hidden="1">
      <c r="A148" s="3"/>
      <c r="B148" s="3"/>
      <c r="C148" s="77"/>
      <c r="D148" s="75"/>
      <c r="E148" s="76"/>
      <c r="F148" s="92"/>
      <c r="G148" s="76"/>
      <c r="H148" s="76"/>
      <c r="I148" s="48"/>
      <c r="J148" s="48"/>
      <c r="K148" s="48"/>
      <c r="L148" s="48"/>
      <c r="M148" s="48"/>
      <c r="N148" s="69"/>
    </row>
    <row r="149" spans="1:16" hidden="1">
      <c r="A149" s="3"/>
      <c r="B149" s="3"/>
      <c r="C149" s="77"/>
      <c r="D149" s="75"/>
      <c r="E149" s="76"/>
      <c r="F149" s="92"/>
      <c r="G149" s="76"/>
      <c r="H149" s="76"/>
      <c r="I149" s="48"/>
      <c r="J149" s="48"/>
      <c r="K149" s="48"/>
      <c r="L149" s="48"/>
      <c r="M149" s="48"/>
      <c r="N149" s="69"/>
    </row>
    <row r="150" spans="1:16" hidden="1">
      <c r="A150" s="3"/>
      <c r="B150" s="3"/>
      <c r="C150" s="77"/>
      <c r="D150" s="75"/>
      <c r="E150" s="76"/>
      <c r="F150" s="92"/>
      <c r="G150" s="76"/>
      <c r="H150" s="76"/>
      <c r="I150" s="48"/>
      <c r="J150" s="48"/>
      <c r="K150" s="48"/>
      <c r="L150" s="48"/>
      <c r="M150" s="48"/>
      <c r="N150" s="69"/>
    </row>
    <row r="151" spans="1:16" hidden="1">
      <c r="D151" s="1"/>
      <c r="E151" s="1"/>
      <c r="G151" s="1"/>
      <c r="H151" s="1"/>
      <c r="I151" s="1"/>
      <c r="J151" s="1"/>
    </row>
    <row r="152" spans="1:16">
      <c r="A152" s="9" t="str">
        <f>$A$4</f>
        <v xml:space="preserve">Please fill in Supplier Name </v>
      </c>
      <c r="B152" s="252" t="s">
        <v>388</v>
      </c>
      <c r="C152" s="242" t="s">
        <v>389</v>
      </c>
      <c r="D152" s="243"/>
      <c r="E152" s="243"/>
      <c r="F152" s="244"/>
      <c r="G152" s="245">
        <f>'CS M C1-3'!G154</f>
        <v>10</v>
      </c>
      <c r="H152" s="245">
        <f>'CS M C1-3'!H154</f>
        <v>10</v>
      </c>
      <c r="I152" s="246">
        <f>'CS M C1-3'!I154</f>
        <v>20</v>
      </c>
      <c r="J152" s="247" t="s">
        <v>217</v>
      </c>
      <c r="K152" s="248">
        <v>1</v>
      </c>
      <c r="L152" s="248">
        <v>1</v>
      </c>
      <c r="M152" s="249">
        <f>I152*L152</f>
        <v>20</v>
      </c>
      <c r="N152" s="242"/>
      <c r="O152" s="240" t="s">
        <v>543</v>
      </c>
      <c r="P152" s="240"/>
    </row>
    <row r="153" spans="1:16" hidden="1">
      <c r="A153" s="3"/>
      <c r="B153" s="3"/>
      <c r="C153" s="77" t="s">
        <v>171</v>
      </c>
      <c r="D153" s="75">
        <v>1</v>
      </c>
      <c r="E153" s="76" t="s">
        <v>535</v>
      </c>
      <c r="F153" s="92"/>
      <c r="G153" s="76"/>
      <c r="H153" s="76"/>
      <c r="I153" s="48"/>
      <c r="J153" s="48"/>
      <c r="K153" s="48"/>
      <c r="L153" s="48"/>
      <c r="M153" s="48"/>
      <c r="N153" s="69"/>
    </row>
    <row r="154" spans="1:16" hidden="1">
      <c r="A154" s="3"/>
      <c r="B154" s="3"/>
      <c r="C154" s="77" t="s">
        <v>192</v>
      </c>
      <c r="D154" s="75">
        <v>1</v>
      </c>
      <c r="E154" s="76" t="s">
        <v>535</v>
      </c>
      <c r="F154" s="92"/>
      <c r="G154" s="76"/>
      <c r="H154" s="76"/>
      <c r="I154" s="48"/>
      <c r="J154" s="48"/>
      <c r="K154" s="48"/>
      <c r="L154" s="48"/>
      <c r="M154" s="48"/>
      <c r="N154" s="69"/>
    </row>
    <row r="155" spans="1:16" hidden="1">
      <c r="A155" s="3"/>
      <c r="B155" s="3"/>
      <c r="C155" s="77" t="s">
        <v>184</v>
      </c>
      <c r="D155" s="75">
        <v>1</v>
      </c>
      <c r="E155" s="76" t="s">
        <v>535</v>
      </c>
      <c r="F155" s="92"/>
      <c r="G155" s="76"/>
      <c r="H155" s="76"/>
      <c r="I155" s="48"/>
      <c r="J155" s="48"/>
      <c r="K155" s="48"/>
      <c r="L155" s="48"/>
      <c r="M155" s="48"/>
      <c r="N155" s="69"/>
    </row>
    <row r="156" spans="1:16" hidden="1">
      <c r="A156" s="3"/>
      <c r="B156" s="3"/>
      <c r="C156" s="77" t="s">
        <v>83</v>
      </c>
      <c r="D156" s="75">
        <v>1</v>
      </c>
      <c r="E156" s="76" t="s">
        <v>535</v>
      </c>
      <c r="F156" s="92"/>
      <c r="G156" s="76"/>
      <c r="H156" s="76"/>
      <c r="I156" s="48"/>
      <c r="J156" s="48"/>
      <c r="K156" s="48"/>
      <c r="L156" s="48"/>
      <c r="M156" s="48"/>
      <c r="N156" s="69"/>
    </row>
    <row r="157" spans="1:16" hidden="1">
      <c r="A157" s="3"/>
      <c r="B157" s="3"/>
      <c r="C157" s="77" t="s">
        <v>171</v>
      </c>
      <c r="D157" s="75">
        <v>1</v>
      </c>
      <c r="E157" s="76" t="s">
        <v>535</v>
      </c>
      <c r="F157" s="92"/>
      <c r="G157" s="76"/>
      <c r="H157" s="76"/>
      <c r="I157" s="48"/>
      <c r="J157" s="48"/>
      <c r="K157" s="48"/>
      <c r="L157" s="48"/>
      <c r="M157" s="48"/>
      <c r="N157" s="69"/>
    </row>
    <row r="158" spans="1:16" hidden="1">
      <c r="A158" s="3"/>
      <c r="B158" s="3"/>
      <c r="C158" s="77"/>
      <c r="D158" s="75"/>
      <c r="E158" s="76"/>
      <c r="F158" s="92"/>
      <c r="G158" s="76"/>
      <c r="H158" s="76"/>
      <c r="I158" s="48"/>
      <c r="J158" s="48"/>
      <c r="K158" s="48"/>
      <c r="L158" s="48"/>
      <c r="M158" s="48"/>
      <c r="N158" s="69"/>
    </row>
    <row r="159" spans="1:16" hidden="1">
      <c r="A159" s="3"/>
      <c r="B159" s="3"/>
      <c r="C159" s="77"/>
      <c r="D159" s="75"/>
      <c r="E159" s="76"/>
      <c r="F159" s="92"/>
      <c r="G159" s="76"/>
      <c r="H159" s="76"/>
      <c r="I159" s="48"/>
      <c r="J159" s="48"/>
      <c r="K159" s="48"/>
      <c r="L159" s="48"/>
      <c r="M159" s="48"/>
      <c r="N159" s="69"/>
    </row>
    <row r="160" spans="1:16" hidden="1">
      <c r="A160" s="3"/>
      <c r="B160" s="3"/>
      <c r="C160" s="77"/>
      <c r="D160" s="75"/>
      <c r="E160" s="76"/>
      <c r="F160" s="92"/>
      <c r="G160" s="76"/>
      <c r="H160" s="76"/>
      <c r="I160" s="48"/>
      <c r="J160" s="48"/>
      <c r="K160" s="48"/>
      <c r="L160" s="48"/>
      <c r="M160" s="48"/>
      <c r="N160" s="69"/>
    </row>
    <row r="161" spans="1:16" hidden="1">
      <c r="A161" s="3"/>
      <c r="B161" s="3"/>
      <c r="C161" s="77"/>
      <c r="D161" s="75"/>
      <c r="E161" s="76"/>
      <c r="F161" s="92"/>
      <c r="G161" s="76"/>
      <c r="H161" s="76"/>
      <c r="I161" s="48"/>
      <c r="J161" s="48"/>
      <c r="K161" s="48"/>
      <c r="L161" s="48"/>
      <c r="M161" s="48"/>
      <c r="N161" s="69"/>
    </row>
    <row r="162" spans="1:16" hidden="1">
      <c r="D162" s="1"/>
      <c r="E162" s="1"/>
      <c r="G162" s="1"/>
      <c r="H162" s="1"/>
      <c r="I162" s="1"/>
      <c r="J162" s="1"/>
    </row>
    <row r="163" spans="1:16">
      <c r="A163" s="9" t="str">
        <f>$A$4</f>
        <v xml:space="preserve">Please fill in Supplier Name </v>
      </c>
      <c r="B163" s="252" t="s">
        <v>396</v>
      </c>
      <c r="C163" s="242" t="s">
        <v>397</v>
      </c>
      <c r="D163" s="243"/>
      <c r="E163" s="243"/>
      <c r="F163" s="244"/>
      <c r="G163" s="245">
        <f>'CS M C1-3'!G165</f>
        <v>10</v>
      </c>
      <c r="H163" s="245">
        <f>'CS M C1-3'!H165</f>
        <v>10</v>
      </c>
      <c r="I163" s="246">
        <f>'CS M C1-3'!I165</f>
        <v>20</v>
      </c>
      <c r="J163" s="247" t="s">
        <v>217</v>
      </c>
      <c r="K163" s="248">
        <v>1</v>
      </c>
      <c r="L163" s="248">
        <v>1</v>
      </c>
      <c r="M163" s="249">
        <f>I163*L163</f>
        <v>20</v>
      </c>
      <c r="N163" s="242"/>
      <c r="O163" s="240" t="s">
        <v>543</v>
      </c>
      <c r="P163" s="240" t="s">
        <v>516</v>
      </c>
    </row>
    <row r="164" spans="1:16" hidden="1">
      <c r="A164" s="3"/>
      <c r="B164" s="3"/>
      <c r="C164" s="77" t="s">
        <v>173</v>
      </c>
      <c r="D164" s="75">
        <v>1</v>
      </c>
      <c r="E164" s="76" t="s">
        <v>535</v>
      </c>
      <c r="F164" s="92"/>
      <c r="G164" s="76"/>
      <c r="H164" s="76"/>
      <c r="I164" s="48"/>
      <c r="J164" s="48"/>
      <c r="K164" s="48"/>
      <c r="L164" s="48"/>
      <c r="M164" s="48"/>
      <c r="N164" s="69"/>
    </row>
    <row r="165" spans="1:16" hidden="1">
      <c r="A165" s="3"/>
      <c r="B165" s="3"/>
      <c r="C165" s="77" t="s">
        <v>198</v>
      </c>
      <c r="D165" s="75">
        <v>1</v>
      </c>
      <c r="E165" s="76" t="s">
        <v>535</v>
      </c>
      <c r="F165" s="92"/>
      <c r="G165" s="76"/>
      <c r="H165" s="76"/>
      <c r="I165" s="48"/>
      <c r="J165" s="48"/>
      <c r="K165" s="48"/>
      <c r="L165" s="48"/>
      <c r="M165" s="48"/>
      <c r="N165" s="69"/>
    </row>
    <row r="166" spans="1:16" hidden="1">
      <c r="A166" s="3"/>
      <c r="B166" s="3"/>
      <c r="C166" s="77" t="s">
        <v>186</v>
      </c>
      <c r="D166" s="75">
        <v>1</v>
      </c>
      <c r="E166" s="76" t="s">
        <v>535</v>
      </c>
      <c r="F166" s="92"/>
      <c r="G166" s="76"/>
      <c r="H166" s="76"/>
      <c r="I166" s="48"/>
      <c r="J166" s="48"/>
      <c r="K166" s="48"/>
      <c r="L166" s="48"/>
      <c r="M166" s="48"/>
      <c r="N166" s="69"/>
    </row>
    <row r="167" spans="1:16" hidden="1">
      <c r="A167" s="3"/>
      <c r="B167" s="3"/>
      <c r="C167" s="77" t="s">
        <v>109</v>
      </c>
      <c r="D167" s="75">
        <v>1</v>
      </c>
      <c r="E167" s="76" t="s">
        <v>535</v>
      </c>
      <c r="F167" s="92"/>
      <c r="G167" s="76"/>
      <c r="H167" s="76"/>
      <c r="I167" s="48"/>
      <c r="J167" s="48"/>
      <c r="K167" s="48"/>
      <c r="L167" s="48"/>
      <c r="M167" s="48"/>
      <c r="N167" s="69"/>
    </row>
    <row r="168" spans="1:16" hidden="1">
      <c r="A168" s="3"/>
      <c r="B168" s="3"/>
      <c r="C168" s="77" t="s">
        <v>173</v>
      </c>
      <c r="D168" s="75">
        <v>1</v>
      </c>
      <c r="E168" s="76" t="s">
        <v>535</v>
      </c>
      <c r="F168" s="92"/>
      <c r="G168" s="76"/>
      <c r="H168" s="76"/>
      <c r="I168" s="48"/>
      <c r="J168" s="48"/>
      <c r="K168" s="48"/>
      <c r="L168" s="48"/>
      <c r="M168" s="48"/>
      <c r="N168" s="69"/>
    </row>
    <row r="169" spans="1:16" hidden="1">
      <c r="A169" s="3"/>
      <c r="B169" s="3"/>
      <c r="C169" s="77"/>
      <c r="D169" s="75"/>
      <c r="E169" s="76"/>
      <c r="F169" s="92"/>
      <c r="G169" s="76"/>
      <c r="H169" s="76"/>
      <c r="I169" s="48"/>
      <c r="J169" s="48"/>
      <c r="K169" s="48"/>
      <c r="L169" s="48"/>
      <c r="M169" s="48"/>
      <c r="N169" s="69"/>
    </row>
    <row r="170" spans="1:16" hidden="1">
      <c r="A170" s="3"/>
      <c r="B170" s="3"/>
      <c r="C170" s="77"/>
      <c r="D170" s="75"/>
      <c r="E170" s="76"/>
      <c r="F170" s="92"/>
      <c r="G170" s="76"/>
      <c r="H170" s="76"/>
      <c r="I170" s="48"/>
      <c r="J170" s="48"/>
      <c r="K170" s="48"/>
      <c r="L170" s="48"/>
      <c r="M170" s="48"/>
      <c r="N170" s="69"/>
    </row>
    <row r="171" spans="1:16" hidden="1">
      <c r="A171" s="3"/>
      <c r="B171" s="3"/>
      <c r="C171" s="77"/>
      <c r="D171" s="75"/>
      <c r="E171" s="76"/>
      <c r="F171" s="92"/>
      <c r="G171" s="76"/>
      <c r="H171" s="76"/>
      <c r="I171" s="48"/>
      <c r="J171" s="48"/>
      <c r="K171" s="48"/>
      <c r="L171" s="48"/>
      <c r="M171" s="48"/>
      <c r="N171" s="69"/>
    </row>
    <row r="172" spans="1:16" hidden="1">
      <c r="A172" s="3"/>
      <c r="B172" s="3"/>
      <c r="C172" s="77"/>
      <c r="D172" s="75"/>
      <c r="E172" s="76"/>
      <c r="F172" s="92"/>
      <c r="G172" s="76"/>
      <c r="H172" s="76"/>
      <c r="I172" s="48"/>
      <c r="J172" s="48"/>
      <c r="K172" s="48"/>
      <c r="L172" s="48"/>
      <c r="M172" s="48"/>
      <c r="N172" s="69"/>
    </row>
    <row r="173" spans="1:16" hidden="1">
      <c r="D173" s="1"/>
      <c r="E173" s="1"/>
      <c r="G173" s="1"/>
      <c r="H173" s="1"/>
      <c r="I173" s="1"/>
      <c r="J173" s="1"/>
    </row>
    <row r="174" spans="1:16">
      <c r="A174" s="9" t="str">
        <f>$A$4</f>
        <v xml:space="preserve">Please fill in Supplier Name </v>
      </c>
      <c r="B174" s="252" t="s">
        <v>392</v>
      </c>
      <c r="C174" s="242" t="s">
        <v>393</v>
      </c>
      <c r="D174" s="243"/>
      <c r="E174" s="243"/>
      <c r="F174" s="244"/>
      <c r="G174" s="245">
        <f>'CS M C1-3'!G176</f>
        <v>0</v>
      </c>
      <c r="H174" s="245">
        <f>'CS M C1-3'!H176</f>
        <v>0</v>
      </c>
      <c r="I174" s="246">
        <f>'CS M C1-3'!I176</f>
        <v>0</v>
      </c>
      <c r="J174" s="247" t="s">
        <v>217</v>
      </c>
      <c r="K174" s="248">
        <v>1</v>
      </c>
      <c r="L174" s="248">
        <v>1</v>
      </c>
      <c r="M174" s="249">
        <f>I174*L174</f>
        <v>0</v>
      </c>
      <c r="N174" s="242"/>
      <c r="O174" s="240" t="s">
        <v>543</v>
      </c>
      <c r="P174" s="240"/>
    </row>
    <row r="175" spans="1:16" hidden="1">
      <c r="A175" s="3"/>
      <c r="B175" s="3"/>
      <c r="C175" s="77" t="s">
        <v>171</v>
      </c>
      <c r="D175" s="75">
        <v>1</v>
      </c>
      <c r="E175" s="76" t="s">
        <v>535</v>
      </c>
      <c r="F175" s="92"/>
      <c r="G175" s="76"/>
      <c r="H175" s="76"/>
      <c r="I175" s="48"/>
      <c r="J175" s="48"/>
      <c r="K175" s="48"/>
      <c r="L175" s="48"/>
      <c r="M175" s="48"/>
      <c r="N175" s="69"/>
    </row>
    <row r="176" spans="1:16" hidden="1">
      <c r="A176" s="3"/>
      <c r="B176" s="3"/>
      <c r="C176" s="77" t="s">
        <v>192</v>
      </c>
      <c r="D176" s="75">
        <v>1</v>
      </c>
      <c r="E176" s="76" t="s">
        <v>535</v>
      </c>
      <c r="F176" s="92"/>
      <c r="G176" s="76"/>
      <c r="H176" s="76"/>
      <c r="I176" s="48"/>
      <c r="J176" s="48"/>
      <c r="K176" s="48"/>
      <c r="L176" s="48"/>
      <c r="M176" s="48"/>
      <c r="N176" s="69"/>
    </row>
    <row r="177" spans="1:16" hidden="1">
      <c r="A177" s="3"/>
      <c r="B177" s="3"/>
      <c r="C177" s="77" t="s">
        <v>184</v>
      </c>
      <c r="D177" s="75">
        <v>1</v>
      </c>
      <c r="E177" s="76" t="s">
        <v>535</v>
      </c>
      <c r="F177" s="92"/>
      <c r="G177" s="76"/>
      <c r="H177" s="76"/>
      <c r="I177" s="48"/>
      <c r="J177" s="48"/>
      <c r="K177" s="48"/>
      <c r="L177" s="48"/>
      <c r="M177" s="48"/>
      <c r="N177" s="69"/>
    </row>
    <row r="178" spans="1:16" hidden="1">
      <c r="A178" s="3"/>
      <c r="B178" s="3"/>
      <c r="C178" s="77" t="s">
        <v>87</v>
      </c>
      <c r="D178" s="75">
        <v>1</v>
      </c>
      <c r="E178" s="76" t="s">
        <v>535</v>
      </c>
      <c r="F178" s="92"/>
      <c r="G178" s="76"/>
      <c r="H178" s="76"/>
      <c r="I178" s="48"/>
      <c r="J178" s="48"/>
      <c r="K178" s="48"/>
      <c r="L178" s="48"/>
      <c r="M178" s="48"/>
      <c r="N178" s="69"/>
    </row>
    <row r="179" spans="1:16" hidden="1">
      <c r="A179" s="3"/>
      <c r="B179" s="3"/>
      <c r="C179" s="77" t="s">
        <v>171</v>
      </c>
      <c r="D179" s="75">
        <v>1</v>
      </c>
      <c r="E179" s="76" t="s">
        <v>535</v>
      </c>
      <c r="F179" s="92"/>
      <c r="G179" s="76"/>
      <c r="H179" s="76"/>
      <c r="I179" s="48"/>
      <c r="J179" s="48"/>
      <c r="K179" s="48"/>
      <c r="L179" s="48"/>
      <c r="M179" s="48"/>
      <c r="N179" s="69"/>
    </row>
    <row r="180" spans="1:16" hidden="1">
      <c r="A180" s="3"/>
      <c r="B180" s="3"/>
      <c r="C180" s="77"/>
      <c r="D180" s="75"/>
      <c r="E180" s="76"/>
      <c r="F180" s="92"/>
      <c r="G180" s="76"/>
      <c r="H180" s="76"/>
      <c r="I180" s="48"/>
      <c r="J180" s="48"/>
      <c r="K180" s="48"/>
      <c r="L180" s="48"/>
      <c r="M180" s="48"/>
      <c r="N180" s="69"/>
    </row>
    <row r="181" spans="1:16" hidden="1">
      <c r="A181" s="3"/>
      <c r="B181" s="3"/>
      <c r="C181" s="77"/>
      <c r="D181" s="75"/>
      <c r="E181" s="76"/>
      <c r="F181" s="92"/>
      <c r="G181" s="76"/>
      <c r="H181" s="76"/>
      <c r="I181" s="48"/>
      <c r="J181" s="48"/>
      <c r="K181" s="48"/>
      <c r="L181" s="48"/>
      <c r="M181" s="48"/>
      <c r="N181" s="69"/>
    </row>
    <row r="182" spans="1:16" hidden="1">
      <c r="A182" s="3"/>
      <c r="B182" s="3"/>
      <c r="C182" s="77"/>
      <c r="D182" s="75"/>
      <c r="E182" s="76"/>
      <c r="F182" s="92"/>
      <c r="G182" s="76"/>
      <c r="H182" s="76"/>
      <c r="I182" s="48"/>
      <c r="J182" s="48"/>
      <c r="K182" s="48"/>
      <c r="L182" s="48"/>
      <c r="M182" s="48"/>
      <c r="N182" s="69"/>
    </row>
    <row r="183" spans="1:16" hidden="1">
      <c r="A183" s="3"/>
      <c r="B183" s="3"/>
      <c r="C183" s="77"/>
      <c r="D183" s="75"/>
      <c r="E183" s="76"/>
      <c r="F183" s="92"/>
      <c r="G183" s="76"/>
      <c r="H183" s="76"/>
      <c r="I183" s="48"/>
      <c r="J183" s="48"/>
      <c r="K183" s="48"/>
      <c r="L183" s="48"/>
      <c r="M183" s="48"/>
      <c r="N183" s="69"/>
    </row>
    <row r="184" spans="1:16" hidden="1">
      <c r="D184" s="1"/>
      <c r="E184" s="1"/>
      <c r="G184" s="1"/>
      <c r="H184" s="1"/>
      <c r="I184" s="1"/>
      <c r="J184" s="1"/>
    </row>
    <row r="185" spans="1:16">
      <c r="A185" s="9" t="str">
        <f>$A$4</f>
        <v xml:space="preserve">Please fill in Supplier Name </v>
      </c>
      <c r="B185" s="252" t="s">
        <v>400</v>
      </c>
      <c r="C185" s="242" t="s">
        <v>401</v>
      </c>
      <c r="D185" s="243"/>
      <c r="E185" s="243"/>
      <c r="F185" s="244"/>
      <c r="G185" s="245">
        <f>'CS M C1-3'!G187</f>
        <v>0</v>
      </c>
      <c r="H185" s="245">
        <f>'CS M C1-3'!H187</f>
        <v>0</v>
      </c>
      <c r="I185" s="246">
        <f>'CS M C1-3'!I187</f>
        <v>0</v>
      </c>
      <c r="J185" s="247" t="s">
        <v>217</v>
      </c>
      <c r="K185" s="248">
        <v>1</v>
      </c>
      <c r="L185" s="248">
        <v>1</v>
      </c>
      <c r="M185" s="249">
        <f>I185*L185</f>
        <v>0</v>
      </c>
      <c r="N185" s="242"/>
      <c r="O185" s="240" t="s">
        <v>543</v>
      </c>
      <c r="P185" s="240" t="s">
        <v>517</v>
      </c>
    </row>
    <row r="186" spans="1:16" hidden="1">
      <c r="A186" s="3"/>
      <c r="B186" s="3"/>
      <c r="C186" s="77" t="s">
        <v>173</v>
      </c>
      <c r="D186" s="75">
        <v>1</v>
      </c>
      <c r="E186" s="76" t="s">
        <v>535</v>
      </c>
      <c r="F186" s="92"/>
      <c r="G186" s="76"/>
      <c r="H186" s="76"/>
      <c r="I186" s="48"/>
      <c r="J186" s="48"/>
      <c r="K186" s="48"/>
      <c r="L186" s="48"/>
      <c r="M186" s="48"/>
      <c r="N186" s="69"/>
    </row>
    <row r="187" spans="1:16" hidden="1">
      <c r="A187" s="3"/>
      <c r="B187" s="3"/>
      <c r="C187" s="77" t="s">
        <v>198</v>
      </c>
      <c r="D187" s="75">
        <v>1</v>
      </c>
      <c r="E187" s="76" t="s">
        <v>535</v>
      </c>
      <c r="F187" s="92"/>
      <c r="G187" s="76"/>
      <c r="H187" s="76"/>
      <c r="I187" s="48"/>
      <c r="J187" s="48"/>
      <c r="K187" s="48"/>
      <c r="L187" s="48"/>
      <c r="M187" s="48"/>
      <c r="N187" s="69"/>
    </row>
    <row r="188" spans="1:16" hidden="1">
      <c r="A188" s="3"/>
      <c r="B188" s="3"/>
      <c r="C188" s="77" t="s">
        <v>186</v>
      </c>
      <c r="D188" s="75">
        <v>1</v>
      </c>
      <c r="E188" s="76" t="s">
        <v>535</v>
      </c>
      <c r="F188" s="92"/>
      <c r="G188" s="76"/>
      <c r="H188" s="76"/>
      <c r="I188" s="48"/>
      <c r="J188" s="48"/>
      <c r="K188" s="48"/>
      <c r="L188" s="48"/>
      <c r="M188" s="48"/>
      <c r="N188" s="69"/>
    </row>
    <row r="189" spans="1:16" hidden="1">
      <c r="A189" s="3"/>
      <c r="B189" s="3"/>
      <c r="C189" s="77" t="s">
        <v>114</v>
      </c>
      <c r="D189" s="75">
        <v>1</v>
      </c>
      <c r="E189" s="76" t="s">
        <v>535</v>
      </c>
      <c r="F189" s="92"/>
      <c r="G189" s="76"/>
      <c r="H189" s="76"/>
      <c r="I189" s="48"/>
      <c r="J189" s="48"/>
      <c r="K189" s="48"/>
      <c r="L189" s="48"/>
      <c r="M189" s="48"/>
      <c r="N189" s="69"/>
    </row>
    <row r="190" spans="1:16" hidden="1">
      <c r="A190" s="3"/>
      <c r="B190" s="3"/>
      <c r="C190" s="77" t="s">
        <v>173</v>
      </c>
      <c r="D190" s="75">
        <v>1</v>
      </c>
      <c r="E190" s="76" t="s">
        <v>535</v>
      </c>
      <c r="F190" s="92"/>
      <c r="G190" s="76"/>
      <c r="H190" s="76"/>
      <c r="I190" s="48"/>
      <c r="J190" s="48"/>
      <c r="K190" s="48"/>
      <c r="L190" s="48"/>
      <c r="M190" s="48"/>
      <c r="N190" s="69"/>
    </row>
    <row r="191" spans="1:16" hidden="1">
      <c r="A191" s="3"/>
      <c r="B191" s="3"/>
      <c r="C191" s="77"/>
      <c r="D191" s="75"/>
      <c r="E191" s="76"/>
      <c r="F191" s="92"/>
      <c r="G191" s="76"/>
      <c r="H191" s="76"/>
      <c r="I191" s="48"/>
      <c r="J191" s="48"/>
      <c r="K191" s="48"/>
      <c r="L191" s="48"/>
      <c r="M191" s="48"/>
      <c r="N191" s="69"/>
    </row>
    <row r="192" spans="1:16" hidden="1">
      <c r="A192" s="3"/>
      <c r="B192" s="3"/>
      <c r="C192" s="77"/>
      <c r="D192" s="75"/>
      <c r="E192" s="76"/>
      <c r="F192" s="92"/>
      <c r="G192" s="76"/>
      <c r="H192" s="76"/>
      <c r="I192" s="48"/>
      <c r="J192" s="48"/>
      <c r="K192" s="48"/>
      <c r="L192" s="48"/>
      <c r="M192" s="48"/>
      <c r="N192" s="69"/>
    </row>
    <row r="193" spans="1:16" hidden="1">
      <c r="A193" s="3"/>
      <c r="B193" s="3"/>
      <c r="C193" s="77"/>
      <c r="D193" s="75"/>
      <c r="E193" s="76"/>
      <c r="F193" s="92"/>
      <c r="G193" s="76"/>
      <c r="H193" s="76"/>
      <c r="I193" s="48"/>
      <c r="J193" s="48"/>
      <c r="K193" s="48"/>
      <c r="L193" s="48"/>
      <c r="M193" s="48"/>
      <c r="N193" s="69"/>
    </row>
    <row r="194" spans="1:16" hidden="1">
      <c r="A194" s="3"/>
      <c r="B194" s="3"/>
      <c r="C194" s="77"/>
      <c r="D194" s="75"/>
      <c r="E194" s="76"/>
      <c r="F194" s="92"/>
      <c r="G194" s="76"/>
      <c r="H194" s="76"/>
      <c r="I194" s="48"/>
      <c r="J194" s="48"/>
      <c r="K194" s="48"/>
      <c r="L194" s="48"/>
      <c r="M194" s="48"/>
      <c r="N194" s="69"/>
    </row>
    <row r="195" spans="1:16" hidden="1">
      <c r="D195" s="1"/>
      <c r="E195" s="1"/>
      <c r="G195" s="1"/>
      <c r="H195" s="1"/>
      <c r="I195" s="1"/>
      <c r="J195" s="1"/>
    </row>
    <row r="196" spans="1:16">
      <c r="A196" s="9" t="str">
        <f>$A$4</f>
        <v xml:space="preserve">Please fill in Supplier Name </v>
      </c>
      <c r="B196" s="252" t="s">
        <v>394</v>
      </c>
      <c r="C196" s="242" t="s">
        <v>395</v>
      </c>
      <c r="D196" s="243"/>
      <c r="E196" s="243"/>
      <c r="F196" s="244"/>
      <c r="G196" s="245">
        <f>'CS M C1-3'!G198</f>
        <v>0</v>
      </c>
      <c r="H196" s="245">
        <f>'CS M C1-3'!H198</f>
        <v>0</v>
      </c>
      <c r="I196" s="246">
        <f>'CS M C1-3'!I198</f>
        <v>0</v>
      </c>
      <c r="J196" s="247" t="s">
        <v>217</v>
      </c>
      <c r="K196" s="248">
        <v>1</v>
      </c>
      <c r="L196" s="248">
        <v>1</v>
      </c>
      <c r="M196" s="249">
        <f>I196*L196</f>
        <v>0</v>
      </c>
      <c r="N196" s="242"/>
      <c r="O196" s="240" t="s">
        <v>543</v>
      </c>
      <c r="P196" s="240"/>
    </row>
    <row r="197" spans="1:16" hidden="1">
      <c r="A197" s="3"/>
      <c r="B197" s="3"/>
      <c r="C197" s="77" t="s">
        <v>171</v>
      </c>
      <c r="D197" s="75">
        <v>1</v>
      </c>
      <c r="E197" s="76" t="s">
        <v>535</v>
      </c>
      <c r="F197" s="92"/>
      <c r="G197" s="76"/>
      <c r="H197" s="76"/>
      <c r="I197" s="48"/>
      <c r="J197" s="48"/>
      <c r="K197" s="48"/>
      <c r="L197" s="48"/>
      <c r="M197" s="48"/>
      <c r="N197" s="69"/>
    </row>
    <row r="198" spans="1:16" hidden="1">
      <c r="A198" s="3"/>
      <c r="B198" s="3"/>
      <c r="C198" s="77" t="s">
        <v>192</v>
      </c>
      <c r="D198" s="75">
        <v>1</v>
      </c>
      <c r="E198" s="76" t="s">
        <v>535</v>
      </c>
      <c r="F198" s="92"/>
      <c r="G198" s="76"/>
      <c r="H198" s="76"/>
      <c r="I198" s="48"/>
      <c r="J198" s="48"/>
      <c r="K198" s="48"/>
      <c r="L198" s="48"/>
      <c r="M198" s="48"/>
      <c r="N198" s="69"/>
    </row>
    <row r="199" spans="1:16" hidden="1">
      <c r="A199" s="3"/>
      <c r="B199" s="3"/>
      <c r="C199" s="77" t="s">
        <v>184</v>
      </c>
      <c r="D199" s="75">
        <v>1</v>
      </c>
      <c r="E199" s="76" t="s">
        <v>535</v>
      </c>
      <c r="F199" s="92"/>
      <c r="G199" s="76"/>
      <c r="H199" s="76"/>
      <c r="I199" s="48"/>
      <c r="J199" s="48"/>
      <c r="K199" s="48"/>
      <c r="L199" s="48"/>
      <c r="M199" s="48"/>
      <c r="N199" s="69"/>
    </row>
    <row r="200" spans="1:16" hidden="1">
      <c r="A200" s="3"/>
      <c r="B200" s="3"/>
      <c r="C200" s="77" t="s">
        <v>89</v>
      </c>
      <c r="D200" s="75">
        <v>1</v>
      </c>
      <c r="E200" s="76" t="s">
        <v>535</v>
      </c>
      <c r="F200" s="92"/>
      <c r="G200" s="76"/>
      <c r="H200" s="76"/>
      <c r="I200" s="48"/>
      <c r="J200" s="48"/>
      <c r="K200" s="48"/>
      <c r="L200" s="48"/>
      <c r="M200" s="48"/>
      <c r="N200" s="69"/>
    </row>
    <row r="201" spans="1:16" hidden="1">
      <c r="A201" s="3"/>
      <c r="B201" s="3"/>
      <c r="C201" s="77" t="s">
        <v>171</v>
      </c>
      <c r="D201" s="75">
        <v>1</v>
      </c>
      <c r="E201" s="76" t="s">
        <v>535</v>
      </c>
      <c r="F201" s="92"/>
      <c r="G201" s="76"/>
      <c r="H201" s="76"/>
      <c r="I201" s="48"/>
      <c r="J201" s="48"/>
      <c r="K201" s="48"/>
      <c r="L201" s="48"/>
      <c r="M201" s="48"/>
      <c r="N201" s="69"/>
    </row>
    <row r="202" spans="1:16" hidden="1">
      <c r="A202" s="3"/>
      <c r="B202" s="3"/>
      <c r="C202" s="77"/>
      <c r="D202" s="75"/>
      <c r="E202" s="76"/>
      <c r="F202" s="92"/>
      <c r="G202" s="76"/>
      <c r="H202" s="76"/>
      <c r="I202" s="48"/>
      <c r="J202" s="48"/>
      <c r="K202" s="48"/>
      <c r="L202" s="48"/>
      <c r="M202" s="48"/>
      <c r="N202" s="69"/>
    </row>
    <row r="203" spans="1:16" hidden="1">
      <c r="A203" s="3"/>
      <c r="B203" s="3"/>
      <c r="C203" s="77"/>
      <c r="D203" s="75"/>
      <c r="E203" s="76"/>
      <c r="F203" s="92"/>
      <c r="G203" s="76"/>
      <c r="H203" s="76"/>
      <c r="I203" s="48"/>
      <c r="J203" s="48"/>
      <c r="K203" s="48"/>
      <c r="L203" s="48"/>
      <c r="M203" s="48"/>
      <c r="N203" s="69"/>
    </row>
    <row r="204" spans="1:16" hidden="1">
      <c r="A204" s="3"/>
      <c r="B204" s="3"/>
      <c r="C204" s="77"/>
      <c r="D204" s="75"/>
      <c r="E204" s="76"/>
      <c r="F204" s="92"/>
      <c r="G204" s="76"/>
      <c r="H204" s="76"/>
      <c r="I204" s="48"/>
      <c r="J204" s="48"/>
      <c r="K204" s="48"/>
      <c r="L204" s="48"/>
      <c r="M204" s="48"/>
      <c r="N204" s="69"/>
    </row>
    <row r="205" spans="1:16" hidden="1">
      <c r="A205" s="3"/>
      <c r="B205" s="3"/>
      <c r="C205" s="77"/>
      <c r="D205" s="75"/>
      <c r="E205" s="76"/>
      <c r="F205" s="92"/>
      <c r="G205" s="76"/>
      <c r="H205" s="76"/>
      <c r="I205" s="48"/>
      <c r="J205" s="48"/>
      <c r="K205" s="48"/>
      <c r="L205" s="48"/>
      <c r="M205" s="48"/>
      <c r="N205" s="69"/>
    </row>
    <row r="206" spans="1:16" hidden="1">
      <c r="D206" s="1"/>
      <c r="E206" s="1"/>
      <c r="G206" s="1"/>
      <c r="H206" s="1"/>
      <c r="I206" s="1"/>
      <c r="J206" s="1"/>
    </row>
    <row r="207" spans="1:16">
      <c r="A207" s="9" t="str">
        <f>$A$4</f>
        <v xml:space="preserve">Please fill in Supplier Name </v>
      </c>
      <c r="B207" s="252" t="s">
        <v>402</v>
      </c>
      <c r="C207" s="242" t="s">
        <v>403</v>
      </c>
      <c r="D207" s="243"/>
      <c r="E207" s="243"/>
      <c r="F207" s="244"/>
      <c r="G207" s="245">
        <f>'CS M C1-3'!G209</f>
        <v>0</v>
      </c>
      <c r="H207" s="245">
        <f>'CS M C1-3'!H209</f>
        <v>0</v>
      </c>
      <c r="I207" s="246">
        <f>'CS M C1-3'!I209</f>
        <v>0</v>
      </c>
      <c r="J207" s="247" t="s">
        <v>217</v>
      </c>
      <c r="K207" s="248">
        <v>1</v>
      </c>
      <c r="L207" s="248">
        <v>1</v>
      </c>
      <c r="M207" s="249">
        <f>I207*L207</f>
        <v>0</v>
      </c>
      <c r="N207" s="242"/>
      <c r="O207" s="240" t="s">
        <v>543</v>
      </c>
      <c r="P207" s="240" t="s">
        <v>518</v>
      </c>
    </row>
    <row r="208" spans="1:16" hidden="1">
      <c r="A208" s="3"/>
      <c r="B208" s="3"/>
      <c r="C208" s="77" t="s">
        <v>173</v>
      </c>
      <c r="D208" s="75">
        <v>1</v>
      </c>
      <c r="E208" s="76" t="s">
        <v>535</v>
      </c>
      <c r="F208" s="92"/>
      <c r="G208" s="76"/>
      <c r="H208" s="76"/>
      <c r="I208" s="48"/>
      <c r="J208" s="48"/>
      <c r="K208" s="48"/>
      <c r="L208" s="48"/>
      <c r="M208" s="48"/>
      <c r="N208" s="69"/>
    </row>
    <row r="209" spans="1:16" hidden="1">
      <c r="A209" s="3"/>
      <c r="B209" s="3"/>
      <c r="C209" s="77" t="s">
        <v>998</v>
      </c>
      <c r="D209" s="75">
        <v>1</v>
      </c>
      <c r="E209" s="76" t="s">
        <v>535</v>
      </c>
      <c r="F209" s="92"/>
      <c r="G209" s="76"/>
      <c r="H209" s="76"/>
      <c r="I209" s="48"/>
      <c r="J209" s="48"/>
      <c r="K209" s="48"/>
      <c r="L209" s="48"/>
      <c r="M209" s="48"/>
      <c r="N209" s="69"/>
    </row>
    <row r="210" spans="1:16" hidden="1">
      <c r="A210" s="3"/>
      <c r="B210" s="3"/>
      <c r="C210" s="77" t="s">
        <v>186</v>
      </c>
      <c r="D210" s="75">
        <v>1</v>
      </c>
      <c r="E210" s="76" t="s">
        <v>535</v>
      </c>
      <c r="F210" s="92"/>
      <c r="G210" s="76"/>
      <c r="H210" s="76"/>
      <c r="I210" s="48"/>
      <c r="J210" s="48"/>
      <c r="K210" s="48"/>
      <c r="L210" s="48"/>
      <c r="M210" s="48"/>
      <c r="N210" s="69"/>
    </row>
    <row r="211" spans="1:16" hidden="1">
      <c r="A211" s="3"/>
      <c r="B211" s="3"/>
      <c r="C211" s="77" t="s">
        <v>117</v>
      </c>
      <c r="D211" s="75">
        <v>1</v>
      </c>
      <c r="E211" s="76" t="s">
        <v>535</v>
      </c>
      <c r="F211" s="92"/>
      <c r="G211" s="76"/>
      <c r="H211" s="76"/>
      <c r="I211" s="48"/>
      <c r="J211" s="48"/>
      <c r="K211" s="48"/>
      <c r="L211" s="48"/>
      <c r="M211" s="48"/>
      <c r="N211" s="69"/>
    </row>
    <row r="212" spans="1:16" hidden="1">
      <c r="A212" s="3"/>
      <c r="B212" s="3"/>
      <c r="C212" s="77" t="s">
        <v>173</v>
      </c>
      <c r="D212" s="75">
        <v>1</v>
      </c>
      <c r="E212" s="76" t="s">
        <v>535</v>
      </c>
      <c r="F212" s="92"/>
      <c r="G212" s="76"/>
      <c r="H212" s="76"/>
      <c r="I212" s="48"/>
      <c r="J212" s="48"/>
      <c r="K212" s="48"/>
      <c r="L212" s="48"/>
      <c r="M212" s="48"/>
      <c r="N212" s="69"/>
    </row>
    <row r="213" spans="1:16" hidden="1">
      <c r="A213" s="3"/>
      <c r="B213" s="3"/>
      <c r="C213" s="77"/>
      <c r="D213" s="75"/>
      <c r="E213" s="76"/>
      <c r="F213" s="92"/>
      <c r="G213" s="76"/>
      <c r="H213" s="76"/>
      <c r="I213" s="48"/>
      <c r="J213" s="48"/>
      <c r="K213" s="48"/>
      <c r="L213" s="48"/>
      <c r="M213" s="48"/>
      <c r="N213" s="69"/>
    </row>
    <row r="214" spans="1:16" hidden="1">
      <c r="A214" s="3"/>
      <c r="B214" s="3"/>
      <c r="C214" s="77"/>
      <c r="D214" s="75"/>
      <c r="E214" s="76"/>
      <c r="F214" s="92"/>
      <c r="G214" s="76"/>
      <c r="H214" s="76"/>
      <c r="I214" s="48"/>
      <c r="J214" s="48"/>
      <c r="K214" s="48"/>
      <c r="L214" s="48"/>
      <c r="M214" s="48"/>
      <c r="N214" s="69"/>
    </row>
    <row r="215" spans="1:16" hidden="1">
      <c r="A215" s="3"/>
      <c r="B215" s="3"/>
      <c r="C215" s="77"/>
      <c r="D215" s="75"/>
      <c r="E215" s="76"/>
      <c r="F215" s="92"/>
      <c r="G215" s="76"/>
      <c r="H215" s="76"/>
      <c r="I215" s="48"/>
      <c r="J215" s="48"/>
      <c r="K215" s="48"/>
      <c r="L215" s="48"/>
      <c r="M215" s="48"/>
      <c r="N215" s="69"/>
    </row>
    <row r="216" spans="1:16" hidden="1">
      <c r="A216" s="3"/>
      <c r="B216" s="3"/>
      <c r="C216" s="77"/>
      <c r="D216" s="75"/>
      <c r="E216" s="76"/>
      <c r="F216" s="92"/>
      <c r="G216" s="76"/>
      <c r="H216" s="76"/>
      <c r="I216" s="48"/>
      <c r="J216" s="48"/>
      <c r="K216" s="48"/>
      <c r="L216" s="48"/>
      <c r="M216" s="48"/>
      <c r="N216" s="69"/>
    </row>
    <row r="217" spans="1:16" hidden="1">
      <c r="D217" s="1"/>
      <c r="E217" s="1"/>
      <c r="G217" s="1"/>
      <c r="H217" s="1"/>
      <c r="I217" s="1"/>
      <c r="J217" s="1"/>
    </row>
    <row r="218" spans="1:16">
      <c r="A218" s="9" t="str">
        <f>$A$4</f>
        <v xml:space="preserve">Please fill in Supplier Name </v>
      </c>
      <c r="B218" s="252" t="s">
        <v>360</v>
      </c>
      <c r="C218" s="242" t="s">
        <v>361</v>
      </c>
      <c r="D218" s="242">
        <v>1</v>
      </c>
      <c r="E218" s="242" t="s">
        <v>535</v>
      </c>
      <c r="F218" s="244"/>
      <c r="G218" s="245">
        <f>'CS M C1-3'!G220</f>
        <v>0</v>
      </c>
      <c r="H218" s="245">
        <f>'CS M C1-3'!H220</f>
        <v>0</v>
      </c>
      <c r="I218" s="246">
        <f>'CS M C1-3'!I220</f>
        <v>0</v>
      </c>
      <c r="J218" s="247" t="s">
        <v>217</v>
      </c>
      <c r="K218" s="248">
        <v>1</v>
      </c>
      <c r="L218" s="248">
        <v>1</v>
      </c>
      <c r="M218" s="249">
        <f t="shared" ref="M218:M227" si="0">I218*L218</f>
        <v>0</v>
      </c>
      <c r="N218" s="251"/>
      <c r="O218" s="240" t="s">
        <v>543</v>
      </c>
      <c r="P218" s="240" t="s">
        <v>819</v>
      </c>
    </row>
    <row r="219" spans="1:16">
      <c r="A219" s="9" t="str">
        <f t="shared" ref="A219:A227" si="1">$A$4</f>
        <v xml:space="preserve">Please fill in Supplier Name </v>
      </c>
      <c r="B219" s="252" t="s">
        <v>362</v>
      </c>
      <c r="C219" s="242" t="s">
        <v>363</v>
      </c>
      <c r="D219" s="242">
        <v>1</v>
      </c>
      <c r="E219" s="242" t="s">
        <v>535</v>
      </c>
      <c r="F219" s="244"/>
      <c r="G219" s="245">
        <f>'CS M C1-3'!G221</f>
        <v>0</v>
      </c>
      <c r="H219" s="245">
        <f>'CS M C1-3'!H221</f>
        <v>0</v>
      </c>
      <c r="I219" s="246">
        <f>'CS M C1-3'!I221</f>
        <v>0</v>
      </c>
      <c r="J219" s="247" t="s">
        <v>217</v>
      </c>
      <c r="K219" s="248">
        <v>1</v>
      </c>
      <c r="L219" s="248">
        <v>1</v>
      </c>
      <c r="M219" s="249">
        <f t="shared" si="0"/>
        <v>0</v>
      </c>
      <c r="N219" s="251"/>
      <c r="O219" s="240" t="s">
        <v>543</v>
      </c>
      <c r="P219" s="240" t="s">
        <v>819</v>
      </c>
    </row>
    <row r="220" spans="1:16">
      <c r="A220" s="9" t="str">
        <f t="shared" si="1"/>
        <v xml:space="preserve">Please fill in Supplier Name </v>
      </c>
      <c r="B220" s="252" t="s">
        <v>364</v>
      </c>
      <c r="C220" s="242" t="s">
        <v>365</v>
      </c>
      <c r="D220" s="242">
        <v>1</v>
      </c>
      <c r="E220" s="242" t="s">
        <v>535</v>
      </c>
      <c r="F220" s="244"/>
      <c r="G220" s="245">
        <f>'CS M C1-3'!G222</f>
        <v>0</v>
      </c>
      <c r="H220" s="245">
        <f>'CS M C1-3'!H222</f>
        <v>0</v>
      </c>
      <c r="I220" s="246">
        <f>'CS M C1-3'!I222</f>
        <v>0</v>
      </c>
      <c r="J220" s="247" t="s">
        <v>217</v>
      </c>
      <c r="K220" s="248">
        <v>1</v>
      </c>
      <c r="L220" s="248">
        <v>1</v>
      </c>
      <c r="M220" s="249">
        <f t="shared" si="0"/>
        <v>0</v>
      </c>
      <c r="N220" s="251"/>
      <c r="O220" s="240" t="s">
        <v>543</v>
      </c>
      <c r="P220" s="240" t="s">
        <v>819</v>
      </c>
    </row>
    <row r="221" spans="1:16">
      <c r="A221" s="9" t="str">
        <f t="shared" si="1"/>
        <v xml:space="preserve">Please fill in Supplier Name </v>
      </c>
      <c r="B221" s="252" t="s">
        <v>366</v>
      </c>
      <c r="C221" s="242" t="s">
        <v>367</v>
      </c>
      <c r="D221" s="242">
        <v>1</v>
      </c>
      <c r="E221" s="242" t="s">
        <v>535</v>
      </c>
      <c r="F221" s="244"/>
      <c r="G221" s="245">
        <f>'CS M C1-3'!G223</f>
        <v>0</v>
      </c>
      <c r="H221" s="245">
        <f>'CS M C1-3'!H223</f>
        <v>0</v>
      </c>
      <c r="I221" s="246">
        <f>'CS M C1-3'!I223</f>
        <v>0</v>
      </c>
      <c r="J221" s="247" t="s">
        <v>217</v>
      </c>
      <c r="K221" s="248">
        <v>1</v>
      </c>
      <c r="L221" s="248">
        <v>1</v>
      </c>
      <c r="M221" s="249">
        <f t="shared" si="0"/>
        <v>0</v>
      </c>
      <c r="N221" s="251"/>
      <c r="O221" s="240" t="s">
        <v>543</v>
      </c>
      <c r="P221" s="240" t="s">
        <v>819</v>
      </c>
    </row>
    <row r="222" spans="1:16">
      <c r="A222" s="9" t="str">
        <f t="shared" si="1"/>
        <v xml:space="preserve">Please fill in Supplier Name </v>
      </c>
      <c r="B222" s="252" t="s">
        <v>368</v>
      </c>
      <c r="C222" s="242" t="s">
        <v>369</v>
      </c>
      <c r="D222" s="242">
        <v>1</v>
      </c>
      <c r="E222" s="242" t="s">
        <v>535</v>
      </c>
      <c r="F222" s="244"/>
      <c r="G222" s="245">
        <f>'CS M C1-3'!G224</f>
        <v>0</v>
      </c>
      <c r="H222" s="245">
        <f>'CS M C1-3'!H224</f>
        <v>0</v>
      </c>
      <c r="I222" s="246">
        <f>'CS M C1-3'!I224</f>
        <v>0</v>
      </c>
      <c r="J222" s="247" t="s">
        <v>217</v>
      </c>
      <c r="K222" s="248">
        <v>1</v>
      </c>
      <c r="L222" s="248">
        <v>1</v>
      </c>
      <c r="M222" s="249">
        <f t="shared" si="0"/>
        <v>0</v>
      </c>
      <c r="N222" s="251"/>
      <c r="O222" s="240" t="s">
        <v>543</v>
      </c>
      <c r="P222" s="240" t="s">
        <v>819</v>
      </c>
    </row>
    <row r="223" spans="1:16">
      <c r="A223" s="9" t="str">
        <f t="shared" si="1"/>
        <v xml:space="preserve">Please fill in Supplier Name </v>
      </c>
      <c r="B223" s="252" t="s">
        <v>370</v>
      </c>
      <c r="C223" s="242" t="s">
        <v>371</v>
      </c>
      <c r="D223" s="242">
        <v>1</v>
      </c>
      <c r="E223" s="242" t="s">
        <v>535</v>
      </c>
      <c r="F223" s="244"/>
      <c r="G223" s="245">
        <f>'CS M C1-3'!G225</f>
        <v>0</v>
      </c>
      <c r="H223" s="245">
        <f>'CS M C1-3'!H225</f>
        <v>0</v>
      </c>
      <c r="I223" s="246">
        <f>'CS M C1-3'!I225</f>
        <v>0</v>
      </c>
      <c r="J223" s="247" t="s">
        <v>217</v>
      </c>
      <c r="K223" s="248">
        <v>1</v>
      </c>
      <c r="L223" s="248">
        <v>1</v>
      </c>
      <c r="M223" s="249">
        <f t="shared" si="0"/>
        <v>0</v>
      </c>
      <c r="N223" s="251"/>
      <c r="O223" s="240" t="s">
        <v>543</v>
      </c>
      <c r="P223" s="240" t="s">
        <v>819</v>
      </c>
    </row>
    <row r="224" spans="1:16">
      <c r="A224" s="9" t="str">
        <f t="shared" si="1"/>
        <v xml:space="preserve">Please fill in Supplier Name </v>
      </c>
      <c r="B224" s="252" t="s">
        <v>372</v>
      </c>
      <c r="C224" s="242" t="s">
        <v>373</v>
      </c>
      <c r="D224" s="242">
        <v>1</v>
      </c>
      <c r="E224" s="242" t="s">
        <v>535</v>
      </c>
      <c r="F224" s="244"/>
      <c r="G224" s="245">
        <f>'CS M C1-3'!G226</f>
        <v>0</v>
      </c>
      <c r="H224" s="245">
        <f>'CS M C1-3'!H226</f>
        <v>0</v>
      </c>
      <c r="I224" s="246">
        <f>'CS M C1-3'!I226</f>
        <v>0</v>
      </c>
      <c r="J224" s="247" t="s">
        <v>217</v>
      </c>
      <c r="K224" s="248">
        <v>1</v>
      </c>
      <c r="L224" s="248">
        <v>1</v>
      </c>
      <c r="M224" s="249">
        <f t="shared" si="0"/>
        <v>0</v>
      </c>
      <c r="N224" s="251"/>
      <c r="O224" s="240" t="s">
        <v>543</v>
      </c>
      <c r="P224" s="240" t="s">
        <v>819</v>
      </c>
    </row>
    <row r="225" spans="1:16">
      <c r="A225" s="9" t="str">
        <f t="shared" si="1"/>
        <v xml:space="preserve">Please fill in Supplier Name </v>
      </c>
      <c r="B225" s="252" t="s">
        <v>374</v>
      </c>
      <c r="C225" s="242" t="s">
        <v>375</v>
      </c>
      <c r="D225" s="242">
        <v>1</v>
      </c>
      <c r="E225" s="242" t="s">
        <v>535</v>
      </c>
      <c r="F225" s="244"/>
      <c r="G225" s="245">
        <f>'CS M C1-3'!G227</f>
        <v>0</v>
      </c>
      <c r="H225" s="245">
        <f>'CS M C1-3'!H227</f>
        <v>0</v>
      </c>
      <c r="I225" s="246">
        <f>'CS M C1-3'!I227</f>
        <v>0</v>
      </c>
      <c r="J225" s="247" t="s">
        <v>217</v>
      </c>
      <c r="K225" s="248">
        <v>1</v>
      </c>
      <c r="L225" s="248">
        <v>1</v>
      </c>
      <c r="M225" s="249">
        <f t="shared" si="0"/>
        <v>0</v>
      </c>
      <c r="N225" s="251"/>
      <c r="O225" s="240" t="s">
        <v>543</v>
      </c>
      <c r="P225" s="240" t="s">
        <v>819</v>
      </c>
    </row>
    <row r="226" spans="1:16">
      <c r="A226" s="9" t="str">
        <f t="shared" si="1"/>
        <v xml:space="preserve">Please fill in Supplier Name </v>
      </c>
      <c r="B226" s="252" t="s">
        <v>376</v>
      </c>
      <c r="C226" s="242" t="s">
        <v>377</v>
      </c>
      <c r="D226" s="242">
        <v>1</v>
      </c>
      <c r="E226" s="242" t="s">
        <v>535</v>
      </c>
      <c r="F226" s="244"/>
      <c r="G226" s="245">
        <f>'CS M C1-3'!G228</f>
        <v>0</v>
      </c>
      <c r="H226" s="245">
        <f>'CS M C1-3'!H228</f>
        <v>0</v>
      </c>
      <c r="I226" s="246">
        <f>'CS M C1-3'!I228</f>
        <v>0</v>
      </c>
      <c r="J226" s="247" t="s">
        <v>217</v>
      </c>
      <c r="K226" s="248">
        <v>1</v>
      </c>
      <c r="L226" s="248">
        <v>1</v>
      </c>
      <c r="M226" s="249">
        <f t="shared" si="0"/>
        <v>0</v>
      </c>
      <c r="N226" s="251"/>
      <c r="O226" s="240" t="s">
        <v>543</v>
      </c>
      <c r="P226" s="240" t="s">
        <v>819</v>
      </c>
    </row>
    <row r="227" spans="1:16">
      <c r="A227" s="9" t="str">
        <f t="shared" si="1"/>
        <v xml:space="preserve">Please fill in Supplier Name </v>
      </c>
      <c r="B227" s="252" t="s">
        <v>378</v>
      </c>
      <c r="C227" s="242" t="s">
        <v>379</v>
      </c>
      <c r="D227" s="242">
        <v>1</v>
      </c>
      <c r="E227" s="242" t="s">
        <v>535</v>
      </c>
      <c r="F227" s="244"/>
      <c r="G227" s="245">
        <f>'CS M C1-3'!G229</f>
        <v>0</v>
      </c>
      <c r="H227" s="245">
        <f>'CS M C1-3'!H229</f>
        <v>0</v>
      </c>
      <c r="I227" s="246">
        <f>'CS M C1-3'!I229</f>
        <v>0</v>
      </c>
      <c r="J227" s="247" t="s">
        <v>217</v>
      </c>
      <c r="K227" s="248">
        <v>1</v>
      </c>
      <c r="L227" s="248">
        <v>1</v>
      </c>
      <c r="M227" s="249">
        <f t="shared" si="0"/>
        <v>0</v>
      </c>
      <c r="N227" s="251"/>
      <c r="O227" s="240" t="s">
        <v>543</v>
      </c>
      <c r="P227" s="240" t="s">
        <v>819</v>
      </c>
    </row>
    <row r="228" spans="1:16" hidden="1">
      <c r="D228" s="1"/>
      <c r="E228" s="1"/>
      <c r="G228" s="1"/>
      <c r="H228" s="1"/>
      <c r="I228" s="1"/>
      <c r="J228" s="1"/>
    </row>
    <row r="229" spans="1:16">
      <c r="A229" s="200" t="str">
        <f>$A$4</f>
        <v xml:space="preserve">Please fill in Supplier Name </v>
      </c>
      <c r="B229" s="200" t="s">
        <v>272</v>
      </c>
      <c r="C229" s="200" t="s">
        <v>273</v>
      </c>
      <c r="D229" s="200">
        <v>1</v>
      </c>
      <c r="E229" s="200" t="s">
        <v>535</v>
      </c>
      <c r="F229" s="202"/>
      <c r="G229" s="201"/>
      <c r="H229" s="201"/>
      <c r="I229" s="203">
        <f>'CS M C1-3'!I231</f>
        <v>0</v>
      </c>
      <c r="J229" s="204" t="s">
        <v>217</v>
      </c>
      <c r="K229" s="205">
        <v>1</v>
      </c>
      <c r="L229" s="205">
        <v>1</v>
      </c>
      <c r="M229" s="206">
        <f>I229*L229*$K$235</f>
        <v>0</v>
      </c>
      <c r="N229" s="200"/>
      <c r="O229" s="199" t="s">
        <v>999</v>
      </c>
      <c r="P229" s="199"/>
    </row>
    <row r="232" spans="1:16" ht="13.9" thickBot="1"/>
    <row r="233" spans="1:16" ht="13.9" thickBot="1">
      <c r="I233" s="289" t="s">
        <v>1181</v>
      </c>
      <c r="J233" s="290" t="s">
        <v>1182</v>
      </c>
      <c r="K233" s="291" t="s">
        <v>217</v>
      </c>
      <c r="L233" s="258" t="s">
        <v>1191</v>
      </c>
      <c r="M233" s="226">
        <f>M4+M37+M70+M97+M112+M127+M142+M229</f>
        <v>120.27999999999997</v>
      </c>
      <c r="N233" s="150" t="s">
        <v>1195</v>
      </c>
    </row>
    <row r="234" spans="1:16" ht="13.9" thickBot="1">
      <c r="I234" s="263">
        <v>0.85</v>
      </c>
      <c r="J234" s="264">
        <v>330</v>
      </c>
      <c r="K234" s="265">
        <v>148</v>
      </c>
      <c r="L234" s="259">
        <v>15</v>
      </c>
      <c r="M234" s="226">
        <f>M233/$K$235</f>
        <v>0.61999999999999988</v>
      </c>
      <c r="N234" s="150" t="s">
        <v>1196</v>
      </c>
    </row>
    <row r="235" spans="1:16" ht="13.9" thickBot="1">
      <c r="I235" s="266"/>
      <c r="J235" s="267">
        <v>350</v>
      </c>
      <c r="K235" s="268">
        <v>194</v>
      </c>
    </row>
    <row r="236" spans="1:16" ht="13.9" thickBot="1">
      <c r="M236" s="254">
        <f>M15+M48+M81+M102+M117+M132+M147+M229</f>
        <v>120.27999999999997</v>
      </c>
      <c r="N236" s="150" t="s">
        <v>1197</v>
      </c>
    </row>
    <row r="237" spans="1:16" ht="13.9" thickBot="1">
      <c r="M237" s="254">
        <f>M236/$K$235</f>
        <v>0.61999999999999988</v>
      </c>
      <c r="N237" s="150" t="s">
        <v>1198</v>
      </c>
    </row>
    <row r="238" spans="1:16" ht="13.9">
      <c r="J238"/>
    </row>
    <row r="239" spans="1:16" ht="13.9">
      <c r="J239" s="269"/>
    </row>
    <row r="240" spans="1:16" ht="13.9">
      <c r="J240" s="269"/>
    </row>
  </sheetData>
  <sheetProtection algorithmName="SHA-512" hashValue="OjsPou/nbaDLST6+Bf8ls6cSL9M2GtJMDfu37ZOXhD/KJ2Ft2TUMLdC7SneO068/GC5ON6v+Ppu3zuhziVahOQ==" saltValue="AtZwOpxNwnkRMgq43sV5mw==" spinCount="100000" sheet="1" objects="1" scenarios="1"/>
  <autoFilter ref="A3:P229" xr:uid="{ABF8E461-CEDE-4E7F-9DC1-B8F70F3CBC76}">
    <filterColumn colId="1">
      <customFilters>
        <customFilter operator="notEqual" val=" "/>
      </customFilters>
    </filterColumn>
    <filterColumn colId="14">
      <filters>
        <filter val="C2"/>
        <filter val="C2, C3"/>
        <filter val="C3"/>
      </filters>
    </filterColumn>
  </autoFilter>
  <conditionalFormatting sqref="M234">
    <cfRule type="cellIs" dxfId="1" priority="1" operator="greaterThan">
      <formula>$L$234</formula>
    </cfRule>
    <cfRule type="cellIs" dxfId="0" priority="2" operator="greaterThan">
      <formula>15</formula>
    </cfRule>
  </conditionalFormatting>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ED48B-9185-4A66-B597-230128858531}">
  <dimension ref="A1:M57"/>
  <sheetViews>
    <sheetView showGridLines="0" zoomScaleNormal="100" workbookViewId="0">
      <selection sqref="A1:M1"/>
    </sheetView>
  </sheetViews>
  <sheetFormatPr defaultRowHeight="13.15"/>
  <cols>
    <col min="1" max="1" width="2" style="171" bestFit="1" customWidth="1"/>
    <col min="2" max="2" width="7" style="171" bestFit="1" customWidth="1"/>
    <col min="3" max="3" width="8.875" style="171" bestFit="1" customWidth="1"/>
    <col min="4" max="4" width="1.375" style="171" bestFit="1" customWidth="1"/>
    <col min="5" max="5" width="9" style="171" bestFit="1" customWidth="1"/>
    <col min="6" max="6" width="7.25" style="171" bestFit="1" customWidth="1"/>
    <col min="7" max="7" width="1" style="171" bestFit="1" customWidth="1"/>
    <col min="8" max="8" width="11.125" style="171" bestFit="1" customWidth="1"/>
    <col min="9" max="9" width="0.25" style="171" bestFit="1" customWidth="1"/>
    <col min="10" max="10" width="2.25" style="171" bestFit="1" customWidth="1"/>
    <col min="11" max="11" width="3.625" style="171" bestFit="1" customWidth="1"/>
    <col min="12" max="12" width="7.75" style="171" bestFit="1" customWidth="1"/>
    <col min="13" max="13" width="0.125" style="171" bestFit="1" customWidth="1"/>
    <col min="14" max="256" width="9" style="171"/>
    <col min="257" max="257" width="2" style="171" bestFit="1" customWidth="1"/>
    <col min="258" max="258" width="7" style="171" bestFit="1" customWidth="1"/>
    <col min="259" max="259" width="8.875" style="171" bestFit="1" customWidth="1"/>
    <col min="260" max="260" width="1.375" style="171" bestFit="1" customWidth="1"/>
    <col min="261" max="261" width="9" style="171" bestFit="1"/>
    <col min="262" max="262" width="7.25" style="171" bestFit="1" customWidth="1"/>
    <col min="263" max="263" width="1" style="171" bestFit="1" customWidth="1"/>
    <col min="264" max="264" width="11.125" style="171" bestFit="1" customWidth="1"/>
    <col min="265" max="265" width="0.25" style="171" bestFit="1" customWidth="1"/>
    <col min="266" max="266" width="2.25" style="171" bestFit="1" customWidth="1"/>
    <col min="267" max="267" width="3.625" style="171" bestFit="1" customWidth="1"/>
    <col min="268" max="268" width="7.75" style="171" bestFit="1" customWidth="1"/>
    <col min="269" max="269" width="0.125" style="171" bestFit="1" customWidth="1"/>
    <col min="270" max="512" width="9" style="171"/>
    <col min="513" max="513" width="2" style="171" bestFit="1" customWidth="1"/>
    <col min="514" max="514" width="7" style="171" bestFit="1" customWidth="1"/>
    <col min="515" max="515" width="8.875" style="171" bestFit="1" customWidth="1"/>
    <col min="516" max="516" width="1.375" style="171" bestFit="1" customWidth="1"/>
    <col min="517" max="517" width="9" style="171" bestFit="1"/>
    <col min="518" max="518" width="7.25" style="171" bestFit="1" customWidth="1"/>
    <col min="519" max="519" width="1" style="171" bestFit="1" customWidth="1"/>
    <col min="520" max="520" width="11.125" style="171" bestFit="1" customWidth="1"/>
    <col min="521" max="521" width="0.25" style="171" bestFit="1" customWidth="1"/>
    <col min="522" max="522" width="2.25" style="171" bestFit="1" customWidth="1"/>
    <col min="523" max="523" width="3.625" style="171" bestFit="1" customWidth="1"/>
    <col min="524" max="524" width="7.75" style="171" bestFit="1" customWidth="1"/>
    <col min="525" max="525" width="0.125" style="171" bestFit="1" customWidth="1"/>
    <col min="526" max="768" width="9" style="171"/>
    <col min="769" max="769" width="2" style="171" bestFit="1" customWidth="1"/>
    <col min="770" max="770" width="7" style="171" bestFit="1" customWidth="1"/>
    <col min="771" max="771" width="8.875" style="171" bestFit="1" customWidth="1"/>
    <col min="772" max="772" width="1.375" style="171" bestFit="1" customWidth="1"/>
    <col min="773" max="773" width="9" style="171" bestFit="1"/>
    <col min="774" max="774" width="7.25" style="171" bestFit="1" customWidth="1"/>
    <col min="775" max="775" width="1" style="171" bestFit="1" customWidth="1"/>
    <col min="776" max="776" width="11.125" style="171" bestFit="1" customWidth="1"/>
    <col min="777" max="777" width="0.25" style="171" bestFit="1" customWidth="1"/>
    <col min="778" max="778" width="2.25" style="171" bestFit="1" customWidth="1"/>
    <col min="779" max="779" width="3.625" style="171" bestFit="1" customWidth="1"/>
    <col min="780" max="780" width="7.75" style="171" bestFit="1" customWidth="1"/>
    <col min="781" max="781" width="0.125" style="171" bestFit="1" customWidth="1"/>
    <col min="782" max="1024" width="9" style="171"/>
    <col min="1025" max="1025" width="2" style="171" bestFit="1" customWidth="1"/>
    <col min="1026" max="1026" width="7" style="171" bestFit="1" customWidth="1"/>
    <col min="1027" max="1027" width="8.875" style="171" bestFit="1" customWidth="1"/>
    <col min="1028" max="1028" width="1.375" style="171" bestFit="1" customWidth="1"/>
    <col min="1029" max="1029" width="9" style="171" bestFit="1"/>
    <col min="1030" max="1030" width="7.25" style="171" bestFit="1" customWidth="1"/>
    <col min="1031" max="1031" width="1" style="171" bestFit="1" customWidth="1"/>
    <col min="1032" max="1032" width="11.125" style="171" bestFit="1" customWidth="1"/>
    <col min="1033" max="1033" width="0.25" style="171" bestFit="1" customWidth="1"/>
    <col min="1034" max="1034" width="2.25" style="171" bestFit="1" customWidth="1"/>
    <col min="1035" max="1035" width="3.625" style="171" bestFit="1" customWidth="1"/>
    <col min="1036" max="1036" width="7.75" style="171" bestFit="1" customWidth="1"/>
    <col min="1037" max="1037" width="0.125" style="171" bestFit="1" customWidth="1"/>
    <col min="1038" max="1280" width="9" style="171"/>
    <col min="1281" max="1281" width="2" style="171" bestFit="1" customWidth="1"/>
    <col min="1282" max="1282" width="7" style="171" bestFit="1" customWidth="1"/>
    <col min="1283" max="1283" width="8.875" style="171" bestFit="1" customWidth="1"/>
    <col min="1284" max="1284" width="1.375" style="171" bestFit="1" customWidth="1"/>
    <col min="1285" max="1285" width="9" style="171" bestFit="1"/>
    <col min="1286" max="1286" width="7.25" style="171" bestFit="1" customWidth="1"/>
    <col min="1287" max="1287" width="1" style="171" bestFit="1" customWidth="1"/>
    <col min="1288" max="1288" width="11.125" style="171" bestFit="1" customWidth="1"/>
    <col min="1289" max="1289" width="0.25" style="171" bestFit="1" customWidth="1"/>
    <col min="1290" max="1290" width="2.25" style="171" bestFit="1" customWidth="1"/>
    <col min="1291" max="1291" width="3.625" style="171" bestFit="1" customWidth="1"/>
    <col min="1292" max="1292" width="7.75" style="171" bestFit="1" customWidth="1"/>
    <col min="1293" max="1293" width="0.125" style="171" bestFit="1" customWidth="1"/>
    <col min="1294" max="1536" width="9" style="171"/>
    <col min="1537" max="1537" width="2" style="171" bestFit="1" customWidth="1"/>
    <col min="1538" max="1538" width="7" style="171" bestFit="1" customWidth="1"/>
    <col min="1539" max="1539" width="8.875" style="171" bestFit="1" customWidth="1"/>
    <col min="1540" max="1540" width="1.375" style="171" bestFit="1" customWidth="1"/>
    <col min="1541" max="1541" width="9" style="171" bestFit="1"/>
    <col min="1542" max="1542" width="7.25" style="171" bestFit="1" customWidth="1"/>
    <col min="1543" max="1543" width="1" style="171" bestFit="1" customWidth="1"/>
    <col min="1544" max="1544" width="11.125" style="171" bestFit="1" customWidth="1"/>
    <col min="1545" max="1545" width="0.25" style="171" bestFit="1" customWidth="1"/>
    <col min="1546" max="1546" width="2.25" style="171" bestFit="1" customWidth="1"/>
    <col min="1547" max="1547" width="3.625" style="171" bestFit="1" customWidth="1"/>
    <col min="1548" max="1548" width="7.75" style="171" bestFit="1" customWidth="1"/>
    <col min="1549" max="1549" width="0.125" style="171" bestFit="1" customWidth="1"/>
    <col min="1550" max="1792" width="9" style="171"/>
    <col min="1793" max="1793" width="2" style="171" bestFit="1" customWidth="1"/>
    <col min="1794" max="1794" width="7" style="171" bestFit="1" customWidth="1"/>
    <col min="1795" max="1795" width="8.875" style="171" bestFit="1" customWidth="1"/>
    <col min="1796" max="1796" width="1.375" style="171" bestFit="1" customWidth="1"/>
    <col min="1797" max="1797" width="9" style="171" bestFit="1"/>
    <col min="1798" max="1798" width="7.25" style="171" bestFit="1" customWidth="1"/>
    <col min="1799" max="1799" width="1" style="171" bestFit="1" customWidth="1"/>
    <col min="1800" max="1800" width="11.125" style="171" bestFit="1" customWidth="1"/>
    <col min="1801" max="1801" width="0.25" style="171" bestFit="1" customWidth="1"/>
    <col min="1802" max="1802" width="2.25" style="171" bestFit="1" customWidth="1"/>
    <col min="1803" max="1803" width="3.625" style="171" bestFit="1" customWidth="1"/>
    <col min="1804" max="1804" width="7.75" style="171" bestFit="1" customWidth="1"/>
    <col min="1805" max="1805" width="0.125" style="171" bestFit="1" customWidth="1"/>
    <col min="1806" max="2048" width="9" style="171"/>
    <col min="2049" max="2049" width="2" style="171" bestFit="1" customWidth="1"/>
    <col min="2050" max="2050" width="7" style="171" bestFit="1" customWidth="1"/>
    <col min="2051" max="2051" width="8.875" style="171" bestFit="1" customWidth="1"/>
    <col min="2052" max="2052" width="1.375" style="171" bestFit="1" customWidth="1"/>
    <col min="2053" max="2053" width="9" style="171" bestFit="1"/>
    <col min="2054" max="2054" width="7.25" style="171" bestFit="1" customWidth="1"/>
    <col min="2055" max="2055" width="1" style="171" bestFit="1" customWidth="1"/>
    <col min="2056" max="2056" width="11.125" style="171" bestFit="1" customWidth="1"/>
    <col min="2057" max="2057" width="0.25" style="171" bestFit="1" customWidth="1"/>
    <col min="2058" max="2058" width="2.25" style="171" bestFit="1" customWidth="1"/>
    <col min="2059" max="2059" width="3.625" style="171" bestFit="1" customWidth="1"/>
    <col min="2060" max="2060" width="7.75" style="171" bestFit="1" customWidth="1"/>
    <col min="2061" max="2061" width="0.125" style="171" bestFit="1" customWidth="1"/>
    <col min="2062" max="2304" width="9" style="171"/>
    <col min="2305" max="2305" width="2" style="171" bestFit="1" customWidth="1"/>
    <col min="2306" max="2306" width="7" style="171" bestFit="1" customWidth="1"/>
    <col min="2307" max="2307" width="8.875" style="171" bestFit="1" customWidth="1"/>
    <col min="2308" max="2308" width="1.375" style="171" bestFit="1" customWidth="1"/>
    <col min="2309" max="2309" width="9" style="171" bestFit="1"/>
    <col min="2310" max="2310" width="7.25" style="171" bestFit="1" customWidth="1"/>
    <col min="2311" max="2311" width="1" style="171" bestFit="1" customWidth="1"/>
    <col min="2312" max="2312" width="11.125" style="171" bestFit="1" customWidth="1"/>
    <col min="2313" max="2313" width="0.25" style="171" bestFit="1" customWidth="1"/>
    <col min="2314" max="2314" width="2.25" style="171" bestFit="1" customWidth="1"/>
    <col min="2315" max="2315" width="3.625" style="171" bestFit="1" customWidth="1"/>
    <col min="2316" max="2316" width="7.75" style="171" bestFit="1" customWidth="1"/>
    <col min="2317" max="2317" width="0.125" style="171" bestFit="1" customWidth="1"/>
    <col min="2318" max="2560" width="9" style="171"/>
    <col min="2561" max="2561" width="2" style="171" bestFit="1" customWidth="1"/>
    <col min="2562" max="2562" width="7" style="171" bestFit="1" customWidth="1"/>
    <col min="2563" max="2563" width="8.875" style="171" bestFit="1" customWidth="1"/>
    <col min="2564" max="2564" width="1.375" style="171" bestFit="1" customWidth="1"/>
    <col min="2565" max="2565" width="9" style="171" bestFit="1"/>
    <col min="2566" max="2566" width="7.25" style="171" bestFit="1" customWidth="1"/>
    <col min="2567" max="2567" width="1" style="171" bestFit="1" customWidth="1"/>
    <col min="2568" max="2568" width="11.125" style="171" bestFit="1" customWidth="1"/>
    <col min="2569" max="2569" width="0.25" style="171" bestFit="1" customWidth="1"/>
    <col min="2570" max="2570" width="2.25" style="171" bestFit="1" customWidth="1"/>
    <col min="2571" max="2571" width="3.625" style="171" bestFit="1" customWidth="1"/>
    <col min="2572" max="2572" width="7.75" style="171" bestFit="1" customWidth="1"/>
    <col min="2573" max="2573" width="0.125" style="171" bestFit="1" customWidth="1"/>
    <col min="2574" max="2816" width="9" style="171"/>
    <col min="2817" max="2817" width="2" style="171" bestFit="1" customWidth="1"/>
    <col min="2818" max="2818" width="7" style="171" bestFit="1" customWidth="1"/>
    <col min="2819" max="2819" width="8.875" style="171" bestFit="1" customWidth="1"/>
    <col min="2820" max="2820" width="1.375" style="171" bestFit="1" customWidth="1"/>
    <col min="2821" max="2821" width="9" style="171" bestFit="1"/>
    <col min="2822" max="2822" width="7.25" style="171" bestFit="1" customWidth="1"/>
    <col min="2823" max="2823" width="1" style="171" bestFit="1" customWidth="1"/>
    <col min="2824" max="2824" width="11.125" style="171" bestFit="1" customWidth="1"/>
    <col min="2825" max="2825" width="0.25" style="171" bestFit="1" customWidth="1"/>
    <col min="2826" max="2826" width="2.25" style="171" bestFit="1" customWidth="1"/>
    <col min="2827" max="2827" width="3.625" style="171" bestFit="1" customWidth="1"/>
    <col min="2828" max="2828" width="7.75" style="171" bestFit="1" customWidth="1"/>
    <col min="2829" max="2829" width="0.125" style="171" bestFit="1" customWidth="1"/>
    <col min="2830" max="3072" width="9" style="171"/>
    <col min="3073" max="3073" width="2" style="171" bestFit="1" customWidth="1"/>
    <col min="3074" max="3074" width="7" style="171" bestFit="1" customWidth="1"/>
    <col min="3075" max="3075" width="8.875" style="171" bestFit="1" customWidth="1"/>
    <col min="3076" max="3076" width="1.375" style="171" bestFit="1" customWidth="1"/>
    <col min="3077" max="3077" width="9" style="171" bestFit="1"/>
    <col min="3078" max="3078" width="7.25" style="171" bestFit="1" customWidth="1"/>
    <col min="3079" max="3079" width="1" style="171" bestFit="1" customWidth="1"/>
    <col min="3080" max="3080" width="11.125" style="171" bestFit="1" customWidth="1"/>
    <col min="3081" max="3081" width="0.25" style="171" bestFit="1" customWidth="1"/>
    <col min="3082" max="3082" width="2.25" style="171" bestFit="1" customWidth="1"/>
    <col min="3083" max="3083" width="3.625" style="171" bestFit="1" customWidth="1"/>
    <col min="3084" max="3084" width="7.75" style="171" bestFit="1" customWidth="1"/>
    <col min="3085" max="3085" width="0.125" style="171" bestFit="1" customWidth="1"/>
    <col min="3086" max="3328" width="9" style="171"/>
    <col min="3329" max="3329" width="2" style="171" bestFit="1" customWidth="1"/>
    <col min="3330" max="3330" width="7" style="171" bestFit="1" customWidth="1"/>
    <col min="3331" max="3331" width="8.875" style="171" bestFit="1" customWidth="1"/>
    <col min="3332" max="3332" width="1.375" style="171" bestFit="1" customWidth="1"/>
    <col min="3333" max="3333" width="9" style="171" bestFit="1"/>
    <col min="3334" max="3334" width="7.25" style="171" bestFit="1" customWidth="1"/>
    <col min="3335" max="3335" width="1" style="171" bestFit="1" customWidth="1"/>
    <col min="3336" max="3336" width="11.125" style="171" bestFit="1" customWidth="1"/>
    <col min="3337" max="3337" width="0.25" style="171" bestFit="1" customWidth="1"/>
    <col min="3338" max="3338" width="2.25" style="171" bestFit="1" customWidth="1"/>
    <col min="3339" max="3339" width="3.625" style="171" bestFit="1" customWidth="1"/>
    <col min="3340" max="3340" width="7.75" style="171" bestFit="1" customWidth="1"/>
    <col min="3341" max="3341" width="0.125" style="171" bestFit="1" customWidth="1"/>
    <col min="3342" max="3584" width="9" style="171"/>
    <col min="3585" max="3585" width="2" style="171" bestFit="1" customWidth="1"/>
    <col min="3586" max="3586" width="7" style="171" bestFit="1" customWidth="1"/>
    <col min="3587" max="3587" width="8.875" style="171" bestFit="1" customWidth="1"/>
    <col min="3588" max="3588" width="1.375" style="171" bestFit="1" customWidth="1"/>
    <col min="3589" max="3589" width="9" style="171" bestFit="1"/>
    <col min="3590" max="3590" width="7.25" style="171" bestFit="1" customWidth="1"/>
    <col min="3591" max="3591" width="1" style="171" bestFit="1" customWidth="1"/>
    <col min="3592" max="3592" width="11.125" style="171" bestFit="1" customWidth="1"/>
    <col min="3593" max="3593" width="0.25" style="171" bestFit="1" customWidth="1"/>
    <col min="3594" max="3594" width="2.25" style="171" bestFit="1" customWidth="1"/>
    <col min="3595" max="3595" width="3.625" style="171" bestFit="1" customWidth="1"/>
    <col min="3596" max="3596" width="7.75" style="171" bestFit="1" customWidth="1"/>
    <col min="3597" max="3597" width="0.125" style="171" bestFit="1" customWidth="1"/>
    <col min="3598" max="3840" width="9" style="171"/>
    <col min="3841" max="3841" width="2" style="171" bestFit="1" customWidth="1"/>
    <col min="3842" max="3842" width="7" style="171" bestFit="1" customWidth="1"/>
    <col min="3843" max="3843" width="8.875" style="171" bestFit="1" customWidth="1"/>
    <col min="3844" max="3844" width="1.375" style="171" bestFit="1" customWidth="1"/>
    <col min="3845" max="3845" width="9" style="171" bestFit="1"/>
    <col min="3846" max="3846" width="7.25" style="171" bestFit="1" customWidth="1"/>
    <col min="3847" max="3847" width="1" style="171" bestFit="1" customWidth="1"/>
    <col min="3848" max="3848" width="11.125" style="171" bestFit="1" customWidth="1"/>
    <col min="3849" max="3849" width="0.25" style="171" bestFit="1" customWidth="1"/>
    <col min="3850" max="3850" width="2.25" style="171" bestFit="1" customWidth="1"/>
    <col min="3851" max="3851" width="3.625" style="171" bestFit="1" customWidth="1"/>
    <col min="3852" max="3852" width="7.75" style="171" bestFit="1" customWidth="1"/>
    <col min="3853" max="3853" width="0.125" style="171" bestFit="1" customWidth="1"/>
    <col min="3854" max="4096" width="9" style="171"/>
    <col min="4097" max="4097" width="2" style="171" bestFit="1" customWidth="1"/>
    <col min="4098" max="4098" width="7" style="171" bestFit="1" customWidth="1"/>
    <col min="4099" max="4099" width="8.875" style="171" bestFit="1" customWidth="1"/>
    <col min="4100" max="4100" width="1.375" style="171" bestFit="1" customWidth="1"/>
    <col min="4101" max="4101" width="9" style="171" bestFit="1"/>
    <col min="4102" max="4102" width="7.25" style="171" bestFit="1" customWidth="1"/>
    <col min="4103" max="4103" width="1" style="171" bestFit="1" customWidth="1"/>
    <col min="4104" max="4104" width="11.125" style="171" bestFit="1" customWidth="1"/>
    <col min="4105" max="4105" width="0.25" style="171" bestFit="1" customWidth="1"/>
    <col min="4106" max="4106" width="2.25" style="171" bestFit="1" customWidth="1"/>
    <col min="4107" max="4107" width="3.625" style="171" bestFit="1" customWidth="1"/>
    <col min="4108" max="4108" width="7.75" style="171" bestFit="1" customWidth="1"/>
    <col min="4109" max="4109" width="0.125" style="171" bestFit="1" customWidth="1"/>
    <col min="4110" max="4352" width="9" style="171"/>
    <col min="4353" max="4353" width="2" style="171" bestFit="1" customWidth="1"/>
    <col min="4354" max="4354" width="7" style="171" bestFit="1" customWidth="1"/>
    <col min="4355" max="4355" width="8.875" style="171" bestFit="1" customWidth="1"/>
    <col min="4356" max="4356" width="1.375" style="171" bestFit="1" customWidth="1"/>
    <col min="4357" max="4357" width="9" style="171" bestFit="1"/>
    <col min="4358" max="4358" width="7.25" style="171" bestFit="1" customWidth="1"/>
    <col min="4359" max="4359" width="1" style="171" bestFit="1" customWidth="1"/>
    <col min="4360" max="4360" width="11.125" style="171" bestFit="1" customWidth="1"/>
    <col min="4361" max="4361" width="0.25" style="171" bestFit="1" customWidth="1"/>
    <col min="4362" max="4362" width="2.25" style="171" bestFit="1" customWidth="1"/>
    <col min="4363" max="4363" width="3.625" style="171" bestFit="1" customWidth="1"/>
    <col min="4364" max="4364" width="7.75" style="171" bestFit="1" customWidth="1"/>
    <col min="4365" max="4365" width="0.125" style="171" bestFit="1" customWidth="1"/>
    <col min="4366" max="4608" width="9" style="171"/>
    <col min="4609" max="4609" width="2" style="171" bestFit="1" customWidth="1"/>
    <col min="4610" max="4610" width="7" style="171" bestFit="1" customWidth="1"/>
    <col min="4611" max="4611" width="8.875" style="171" bestFit="1" customWidth="1"/>
    <col min="4612" max="4612" width="1.375" style="171" bestFit="1" customWidth="1"/>
    <col min="4613" max="4613" width="9" style="171" bestFit="1"/>
    <col min="4614" max="4614" width="7.25" style="171" bestFit="1" customWidth="1"/>
    <col min="4615" max="4615" width="1" style="171" bestFit="1" customWidth="1"/>
    <col min="4616" max="4616" width="11.125" style="171" bestFit="1" customWidth="1"/>
    <col min="4617" max="4617" width="0.25" style="171" bestFit="1" customWidth="1"/>
    <col min="4618" max="4618" width="2.25" style="171" bestFit="1" customWidth="1"/>
    <col min="4619" max="4619" width="3.625" style="171" bestFit="1" customWidth="1"/>
    <col min="4620" max="4620" width="7.75" style="171" bestFit="1" customWidth="1"/>
    <col min="4621" max="4621" width="0.125" style="171" bestFit="1" customWidth="1"/>
    <col min="4622" max="4864" width="9" style="171"/>
    <col min="4865" max="4865" width="2" style="171" bestFit="1" customWidth="1"/>
    <col min="4866" max="4866" width="7" style="171" bestFit="1" customWidth="1"/>
    <col min="4867" max="4867" width="8.875" style="171" bestFit="1" customWidth="1"/>
    <col min="4868" max="4868" width="1.375" style="171" bestFit="1" customWidth="1"/>
    <col min="4869" max="4869" width="9" style="171" bestFit="1"/>
    <col min="4870" max="4870" width="7.25" style="171" bestFit="1" customWidth="1"/>
    <col min="4871" max="4871" width="1" style="171" bestFit="1" customWidth="1"/>
    <col min="4872" max="4872" width="11.125" style="171" bestFit="1" customWidth="1"/>
    <col min="4873" max="4873" width="0.25" style="171" bestFit="1" customWidth="1"/>
    <col min="4874" max="4874" width="2.25" style="171" bestFit="1" customWidth="1"/>
    <col min="4875" max="4875" width="3.625" style="171" bestFit="1" customWidth="1"/>
    <col min="4876" max="4876" width="7.75" style="171" bestFit="1" customWidth="1"/>
    <col min="4877" max="4877" width="0.125" style="171" bestFit="1" customWidth="1"/>
    <col min="4878" max="5120" width="9" style="171"/>
    <col min="5121" max="5121" width="2" style="171" bestFit="1" customWidth="1"/>
    <col min="5122" max="5122" width="7" style="171" bestFit="1" customWidth="1"/>
    <col min="5123" max="5123" width="8.875" style="171" bestFit="1" customWidth="1"/>
    <col min="5124" max="5124" width="1.375" style="171" bestFit="1" customWidth="1"/>
    <col min="5125" max="5125" width="9" style="171" bestFit="1"/>
    <col min="5126" max="5126" width="7.25" style="171" bestFit="1" customWidth="1"/>
    <col min="5127" max="5127" width="1" style="171" bestFit="1" customWidth="1"/>
    <col min="5128" max="5128" width="11.125" style="171" bestFit="1" customWidth="1"/>
    <col min="5129" max="5129" width="0.25" style="171" bestFit="1" customWidth="1"/>
    <col min="5130" max="5130" width="2.25" style="171" bestFit="1" customWidth="1"/>
    <col min="5131" max="5131" width="3.625" style="171" bestFit="1" customWidth="1"/>
    <col min="5132" max="5132" width="7.75" style="171" bestFit="1" customWidth="1"/>
    <col min="5133" max="5133" width="0.125" style="171" bestFit="1" customWidth="1"/>
    <col min="5134" max="5376" width="9" style="171"/>
    <col min="5377" max="5377" width="2" style="171" bestFit="1" customWidth="1"/>
    <col min="5378" max="5378" width="7" style="171" bestFit="1" customWidth="1"/>
    <col min="5379" max="5379" width="8.875" style="171" bestFit="1" customWidth="1"/>
    <col min="5380" max="5380" width="1.375" style="171" bestFit="1" customWidth="1"/>
    <col min="5381" max="5381" width="9" style="171" bestFit="1"/>
    <col min="5382" max="5382" width="7.25" style="171" bestFit="1" customWidth="1"/>
    <col min="5383" max="5383" width="1" style="171" bestFit="1" customWidth="1"/>
    <col min="5384" max="5384" width="11.125" style="171" bestFit="1" customWidth="1"/>
    <col min="5385" max="5385" width="0.25" style="171" bestFit="1" customWidth="1"/>
    <col min="5386" max="5386" width="2.25" style="171" bestFit="1" customWidth="1"/>
    <col min="5387" max="5387" width="3.625" style="171" bestFit="1" customWidth="1"/>
    <col min="5388" max="5388" width="7.75" style="171" bestFit="1" customWidth="1"/>
    <col min="5389" max="5389" width="0.125" style="171" bestFit="1" customWidth="1"/>
    <col min="5390" max="5632" width="9" style="171"/>
    <col min="5633" max="5633" width="2" style="171" bestFit="1" customWidth="1"/>
    <col min="5634" max="5634" width="7" style="171" bestFit="1" customWidth="1"/>
    <col min="5635" max="5635" width="8.875" style="171" bestFit="1" customWidth="1"/>
    <col min="5636" max="5636" width="1.375" style="171" bestFit="1" customWidth="1"/>
    <col min="5637" max="5637" width="9" style="171" bestFit="1"/>
    <col min="5638" max="5638" width="7.25" style="171" bestFit="1" customWidth="1"/>
    <col min="5639" max="5639" width="1" style="171" bestFit="1" customWidth="1"/>
    <col min="5640" max="5640" width="11.125" style="171" bestFit="1" customWidth="1"/>
    <col min="5641" max="5641" width="0.25" style="171" bestFit="1" customWidth="1"/>
    <col min="5642" max="5642" width="2.25" style="171" bestFit="1" customWidth="1"/>
    <col min="5643" max="5643" width="3.625" style="171" bestFit="1" customWidth="1"/>
    <col min="5644" max="5644" width="7.75" style="171" bestFit="1" customWidth="1"/>
    <col min="5645" max="5645" width="0.125" style="171" bestFit="1" customWidth="1"/>
    <col min="5646" max="5888" width="9" style="171"/>
    <col min="5889" max="5889" width="2" style="171" bestFit="1" customWidth="1"/>
    <col min="5890" max="5890" width="7" style="171" bestFit="1" customWidth="1"/>
    <col min="5891" max="5891" width="8.875" style="171" bestFit="1" customWidth="1"/>
    <col min="5892" max="5892" width="1.375" style="171" bestFit="1" customWidth="1"/>
    <col min="5893" max="5893" width="9" style="171" bestFit="1"/>
    <col min="5894" max="5894" width="7.25" style="171" bestFit="1" customWidth="1"/>
    <col min="5895" max="5895" width="1" style="171" bestFit="1" customWidth="1"/>
    <col min="5896" max="5896" width="11.125" style="171" bestFit="1" customWidth="1"/>
    <col min="5897" max="5897" width="0.25" style="171" bestFit="1" customWidth="1"/>
    <col min="5898" max="5898" width="2.25" style="171" bestFit="1" customWidth="1"/>
    <col min="5899" max="5899" width="3.625" style="171" bestFit="1" customWidth="1"/>
    <col min="5900" max="5900" width="7.75" style="171" bestFit="1" customWidth="1"/>
    <col min="5901" max="5901" width="0.125" style="171" bestFit="1" customWidth="1"/>
    <col min="5902" max="6144" width="9" style="171"/>
    <col min="6145" max="6145" width="2" style="171" bestFit="1" customWidth="1"/>
    <col min="6146" max="6146" width="7" style="171" bestFit="1" customWidth="1"/>
    <col min="6147" max="6147" width="8.875" style="171" bestFit="1" customWidth="1"/>
    <col min="6148" max="6148" width="1.375" style="171" bestFit="1" customWidth="1"/>
    <col min="6149" max="6149" width="9" style="171" bestFit="1"/>
    <col min="6150" max="6150" width="7.25" style="171" bestFit="1" customWidth="1"/>
    <col min="6151" max="6151" width="1" style="171" bestFit="1" customWidth="1"/>
    <col min="6152" max="6152" width="11.125" style="171" bestFit="1" customWidth="1"/>
    <col min="6153" max="6153" width="0.25" style="171" bestFit="1" customWidth="1"/>
    <col min="6154" max="6154" width="2.25" style="171" bestFit="1" customWidth="1"/>
    <col min="6155" max="6155" width="3.625" style="171" bestFit="1" customWidth="1"/>
    <col min="6156" max="6156" width="7.75" style="171" bestFit="1" customWidth="1"/>
    <col min="6157" max="6157" width="0.125" style="171" bestFit="1" customWidth="1"/>
    <col min="6158" max="6400" width="9" style="171"/>
    <col min="6401" max="6401" width="2" style="171" bestFit="1" customWidth="1"/>
    <col min="6402" max="6402" width="7" style="171" bestFit="1" customWidth="1"/>
    <col min="6403" max="6403" width="8.875" style="171" bestFit="1" customWidth="1"/>
    <col min="6404" max="6404" width="1.375" style="171" bestFit="1" customWidth="1"/>
    <col min="6405" max="6405" width="9" style="171" bestFit="1"/>
    <col min="6406" max="6406" width="7.25" style="171" bestFit="1" customWidth="1"/>
    <col min="6407" max="6407" width="1" style="171" bestFit="1" customWidth="1"/>
    <col min="6408" max="6408" width="11.125" style="171" bestFit="1" customWidth="1"/>
    <col min="6409" max="6409" width="0.25" style="171" bestFit="1" customWidth="1"/>
    <col min="6410" max="6410" width="2.25" style="171" bestFit="1" customWidth="1"/>
    <col min="6411" max="6411" width="3.625" style="171" bestFit="1" customWidth="1"/>
    <col min="6412" max="6412" width="7.75" style="171" bestFit="1" customWidth="1"/>
    <col min="6413" max="6413" width="0.125" style="171" bestFit="1" customWidth="1"/>
    <col min="6414" max="6656" width="9" style="171"/>
    <col min="6657" max="6657" width="2" style="171" bestFit="1" customWidth="1"/>
    <col min="6658" max="6658" width="7" style="171" bestFit="1" customWidth="1"/>
    <col min="6659" max="6659" width="8.875" style="171" bestFit="1" customWidth="1"/>
    <col min="6660" max="6660" width="1.375" style="171" bestFit="1" customWidth="1"/>
    <col min="6661" max="6661" width="9" style="171" bestFit="1"/>
    <col min="6662" max="6662" width="7.25" style="171" bestFit="1" customWidth="1"/>
    <col min="6663" max="6663" width="1" style="171" bestFit="1" customWidth="1"/>
    <col min="6664" max="6664" width="11.125" style="171" bestFit="1" customWidth="1"/>
    <col min="6665" max="6665" width="0.25" style="171" bestFit="1" customWidth="1"/>
    <col min="6666" max="6666" width="2.25" style="171" bestFit="1" customWidth="1"/>
    <col min="6667" max="6667" width="3.625" style="171" bestFit="1" customWidth="1"/>
    <col min="6668" max="6668" width="7.75" style="171" bestFit="1" customWidth="1"/>
    <col min="6669" max="6669" width="0.125" style="171" bestFit="1" customWidth="1"/>
    <col min="6670" max="6912" width="9" style="171"/>
    <col min="6913" max="6913" width="2" style="171" bestFit="1" customWidth="1"/>
    <col min="6914" max="6914" width="7" style="171" bestFit="1" customWidth="1"/>
    <col min="6915" max="6915" width="8.875" style="171" bestFit="1" customWidth="1"/>
    <col min="6916" max="6916" width="1.375" style="171" bestFit="1" customWidth="1"/>
    <col min="6917" max="6917" width="9" style="171" bestFit="1"/>
    <col min="6918" max="6918" width="7.25" style="171" bestFit="1" customWidth="1"/>
    <col min="6919" max="6919" width="1" style="171" bestFit="1" customWidth="1"/>
    <col min="6920" max="6920" width="11.125" style="171" bestFit="1" customWidth="1"/>
    <col min="6921" max="6921" width="0.25" style="171" bestFit="1" customWidth="1"/>
    <col min="6922" max="6922" width="2.25" style="171" bestFit="1" customWidth="1"/>
    <col min="6923" max="6923" width="3.625" style="171" bestFit="1" customWidth="1"/>
    <col min="6924" max="6924" width="7.75" style="171" bestFit="1" customWidth="1"/>
    <col min="6925" max="6925" width="0.125" style="171" bestFit="1" customWidth="1"/>
    <col min="6926" max="7168" width="9" style="171"/>
    <col min="7169" max="7169" width="2" style="171" bestFit="1" customWidth="1"/>
    <col min="7170" max="7170" width="7" style="171" bestFit="1" customWidth="1"/>
    <col min="7171" max="7171" width="8.875" style="171" bestFit="1" customWidth="1"/>
    <col min="7172" max="7172" width="1.375" style="171" bestFit="1" customWidth="1"/>
    <col min="7173" max="7173" width="9" style="171" bestFit="1"/>
    <col min="7174" max="7174" width="7.25" style="171" bestFit="1" customWidth="1"/>
    <col min="7175" max="7175" width="1" style="171" bestFit="1" customWidth="1"/>
    <col min="7176" max="7176" width="11.125" style="171" bestFit="1" customWidth="1"/>
    <col min="7177" max="7177" width="0.25" style="171" bestFit="1" customWidth="1"/>
    <col min="7178" max="7178" width="2.25" style="171" bestFit="1" customWidth="1"/>
    <col min="7179" max="7179" width="3.625" style="171" bestFit="1" customWidth="1"/>
    <col min="7180" max="7180" width="7.75" style="171" bestFit="1" customWidth="1"/>
    <col min="7181" max="7181" width="0.125" style="171" bestFit="1" customWidth="1"/>
    <col min="7182" max="7424" width="9" style="171"/>
    <col min="7425" max="7425" width="2" style="171" bestFit="1" customWidth="1"/>
    <col min="7426" max="7426" width="7" style="171" bestFit="1" customWidth="1"/>
    <col min="7427" max="7427" width="8.875" style="171" bestFit="1" customWidth="1"/>
    <col min="7428" max="7428" width="1.375" style="171" bestFit="1" customWidth="1"/>
    <col min="7429" max="7429" width="9" style="171" bestFit="1"/>
    <col min="7430" max="7430" width="7.25" style="171" bestFit="1" customWidth="1"/>
    <col min="7431" max="7431" width="1" style="171" bestFit="1" customWidth="1"/>
    <col min="7432" max="7432" width="11.125" style="171" bestFit="1" customWidth="1"/>
    <col min="7433" max="7433" width="0.25" style="171" bestFit="1" customWidth="1"/>
    <col min="7434" max="7434" width="2.25" style="171" bestFit="1" customWidth="1"/>
    <col min="7435" max="7435" width="3.625" style="171" bestFit="1" customWidth="1"/>
    <col min="7436" max="7436" width="7.75" style="171" bestFit="1" customWidth="1"/>
    <col min="7437" max="7437" width="0.125" style="171" bestFit="1" customWidth="1"/>
    <col min="7438" max="7680" width="9" style="171"/>
    <col min="7681" max="7681" width="2" style="171" bestFit="1" customWidth="1"/>
    <col min="7682" max="7682" width="7" style="171" bestFit="1" customWidth="1"/>
    <col min="7683" max="7683" width="8.875" style="171" bestFit="1" customWidth="1"/>
    <col min="7684" max="7684" width="1.375" style="171" bestFit="1" customWidth="1"/>
    <col min="7685" max="7685" width="9" style="171" bestFit="1"/>
    <col min="7686" max="7686" width="7.25" style="171" bestFit="1" customWidth="1"/>
    <col min="7687" max="7687" width="1" style="171" bestFit="1" customWidth="1"/>
    <col min="7688" max="7688" width="11.125" style="171" bestFit="1" customWidth="1"/>
    <col min="7689" max="7689" width="0.25" style="171" bestFit="1" customWidth="1"/>
    <col min="7690" max="7690" width="2.25" style="171" bestFit="1" customWidth="1"/>
    <col min="7691" max="7691" width="3.625" style="171" bestFit="1" customWidth="1"/>
    <col min="7692" max="7692" width="7.75" style="171" bestFit="1" customWidth="1"/>
    <col min="7693" max="7693" width="0.125" style="171" bestFit="1" customWidth="1"/>
    <col min="7694" max="7936" width="9" style="171"/>
    <col min="7937" max="7937" width="2" style="171" bestFit="1" customWidth="1"/>
    <col min="7938" max="7938" width="7" style="171" bestFit="1" customWidth="1"/>
    <col min="7939" max="7939" width="8.875" style="171" bestFit="1" customWidth="1"/>
    <col min="7940" max="7940" width="1.375" style="171" bestFit="1" customWidth="1"/>
    <col min="7941" max="7941" width="9" style="171" bestFit="1"/>
    <col min="7942" max="7942" width="7.25" style="171" bestFit="1" customWidth="1"/>
    <col min="7943" max="7943" width="1" style="171" bestFit="1" customWidth="1"/>
    <col min="7944" max="7944" width="11.125" style="171" bestFit="1" customWidth="1"/>
    <col min="7945" max="7945" width="0.25" style="171" bestFit="1" customWidth="1"/>
    <col min="7946" max="7946" width="2.25" style="171" bestFit="1" customWidth="1"/>
    <col min="7947" max="7947" width="3.625" style="171" bestFit="1" customWidth="1"/>
    <col min="7948" max="7948" width="7.75" style="171" bestFit="1" customWidth="1"/>
    <col min="7949" max="7949" width="0.125" style="171" bestFit="1" customWidth="1"/>
    <col min="7950" max="8192" width="9" style="171"/>
    <col min="8193" max="8193" width="2" style="171" bestFit="1" customWidth="1"/>
    <col min="8194" max="8194" width="7" style="171" bestFit="1" customWidth="1"/>
    <col min="8195" max="8195" width="8.875" style="171" bestFit="1" customWidth="1"/>
    <col min="8196" max="8196" width="1.375" style="171" bestFit="1" customWidth="1"/>
    <col min="8197" max="8197" width="9" style="171" bestFit="1"/>
    <col min="8198" max="8198" width="7.25" style="171" bestFit="1" customWidth="1"/>
    <col min="8199" max="8199" width="1" style="171" bestFit="1" customWidth="1"/>
    <col min="8200" max="8200" width="11.125" style="171" bestFit="1" customWidth="1"/>
    <col min="8201" max="8201" width="0.25" style="171" bestFit="1" customWidth="1"/>
    <col min="8202" max="8202" width="2.25" style="171" bestFit="1" customWidth="1"/>
    <col min="8203" max="8203" width="3.625" style="171" bestFit="1" customWidth="1"/>
    <col min="8204" max="8204" width="7.75" style="171" bestFit="1" customWidth="1"/>
    <col min="8205" max="8205" width="0.125" style="171" bestFit="1" customWidth="1"/>
    <col min="8206" max="8448" width="9" style="171"/>
    <col min="8449" max="8449" width="2" style="171" bestFit="1" customWidth="1"/>
    <col min="8450" max="8450" width="7" style="171" bestFit="1" customWidth="1"/>
    <col min="8451" max="8451" width="8.875" style="171" bestFit="1" customWidth="1"/>
    <col min="8452" max="8452" width="1.375" style="171" bestFit="1" customWidth="1"/>
    <col min="8453" max="8453" width="9" style="171" bestFit="1"/>
    <col min="8454" max="8454" width="7.25" style="171" bestFit="1" customWidth="1"/>
    <col min="8455" max="8455" width="1" style="171" bestFit="1" customWidth="1"/>
    <col min="8456" max="8456" width="11.125" style="171" bestFit="1" customWidth="1"/>
    <col min="8457" max="8457" width="0.25" style="171" bestFit="1" customWidth="1"/>
    <col min="8458" max="8458" width="2.25" style="171" bestFit="1" customWidth="1"/>
    <col min="8459" max="8459" width="3.625" style="171" bestFit="1" customWidth="1"/>
    <col min="8460" max="8460" width="7.75" style="171" bestFit="1" customWidth="1"/>
    <col min="8461" max="8461" width="0.125" style="171" bestFit="1" customWidth="1"/>
    <col min="8462" max="8704" width="9" style="171"/>
    <col min="8705" max="8705" width="2" style="171" bestFit="1" customWidth="1"/>
    <col min="8706" max="8706" width="7" style="171" bestFit="1" customWidth="1"/>
    <col min="8707" max="8707" width="8.875" style="171" bestFit="1" customWidth="1"/>
    <col min="8708" max="8708" width="1.375" style="171" bestFit="1" customWidth="1"/>
    <col min="8709" max="8709" width="9" style="171" bestFit="1"/>
    <col min="8710" max="8710" width="7.25" style="171" bestFit="1" customWidth="1"/>
    <col min="8711" max="8711" width="1" style="171" bestFit="1" customWidth="1"/>
    <col min="8712" max="8712" width="11.125" style="171" bestFit="1" customWidth="1"/>
    <col min="8713" max="8713" width="0.25" style="171" bestFit="1" customWidth="1"/>
    <col min="8714" max="8714" width="2.25" style="171" bestFit="1" customWidth="1"/>
    <col min="8715" max="8715" width="3.625" style="171" bestFit="1" customWidth="1"/>
    <col min="8716" max="8716" width="7.75" style="171" bestFit="1" customWidth="1"/>
    <col min="8717" max="8717" width="0.125" style="171" bestFit="1" customWidth="1"/>
    <col min="8718" max="8960" width="9" style="171"/>
    <col min="8961" max="8961" width="2" style="171" bestFit="1" customWidth="1"/>
    <col min="8962" max="8962" width="7" style="171" bestFit="1" customWidth="1"/>
    <col min="8963" max="8963" width="8.875" style="171" bestFit="1" customWidth="1"/>
    <col min="8964" max="8964" width="1.375" style="171" bestFit="1" customWidth="1"/>
    <col min="8965" max="8965" width="9" style="171" bestFit="1"/>
    <col min="8966" max="8966" width="7.25" style="171" bestFit="1" customWidth="1"/>
    <col min="8967" max="8967" width="1" style="171" bestFit="1" customWidth="1"/>
    <col min="8968" max="8968" width="11.125" style="171" bestFit="1" customWidth="1"/>
    <col min="8969" max="8969" width="0.25" style="171" bestFit="1" customWidth="1"/>
    <col min="8970" max="8970" width="2.25" style="171" bestFit="1" customWidth="1"/>
    <col min="8971" max="8971" width="3.625" style="171" bestFit="1" customWidth="1"/>
    <col min="8972" max="8972" width="7.75" style="171" bestFit="1" customWidth="1"/>
    <col min="8973" max="8973" width="0.125" style="171" bestFit="1" customWidth="1"/>
    <col min="8974" max="9216" width="9" style="171"/>
    <col min="9217" max="9217" width="2" style="171" bestFit="1" customWidth="1"/>
    <col min="9218" max="9218" width="7" style="171" bestFit="1" customWidth="1"/>
    <col min="9219" max="9219" width="8.875" style="171" bestFit="1" customWidth="1"/>
    <col min="9220" max="9220" width="1.375" style="171" bestFit="1" customWidth="1"/>
    <col min="9221" max="9221" width="9" style="171" bestFit="1"/>
    <col min="9222" max="9222" width="7.25" style="171" bestFit="1" customWidth="1"/>
    <col min="9223" max="9223" width="1" style="171" bestFit="1" customWidth="1"/>
    <col min="9224" max="9224" width="11.125" style="171" bestFit="1" customWidth="1"/>
    <col min="9225" max="9225" width="0.25" style="171" bestFit="1" customWidth="1"/>
    <col min="9226" max="9226" width="2.25" style="171" bestFit="1" customWidth="1"/>
    <col min="9227" max="9227" width="3.625" style="171" bestFit="1" customWidth="1"/>
    <col min="9228" max="9228" width="7.75" style="171" bestFit="1" customWidth="1"/>
    <col min="9229" max="9229" width="0.125" style="171" bestFit="1" customWidth="1"/>
    <col min="9230" max="9472" width="9" style="171"/>
    <col min="9473" max="9473" width="2" style="171" bestFit="1" customWidth="1"/>
    <col min="9474" max="9474" width="7" style="171" bestFit="1" customWidth="1"/>
    <col min="9475" max="9475" width="8.875" style="171" bestFit="1" customWidth="1"/>
    <col min="9476" max="9476" width="1.375" style="171" bestFit="1" customWidth="1"/>
    <col min="9477" max="9477" width="9" style="171" bestFit="1"/>
    <col min="9478" max="9478" width="7.25" style="171" bestFit="1" customWidth="1"/>
    <col min="9479" max="9479" width="1" style="171" bestFit="1" customWidth="1"/>
    <col min="9480" max="9480" width="11.125" style="171" bestFit="1" customWidth="1"/>
    <col min="9481" max="9481" width="0.25" style="171" bestFit="1" customWidth="1"/>
    <col min="9482" max="9482" width="2.25" style="171" bestFit="1" customWidth="1"/>
    <col min="9483" max="9483" width="3.625" style="171" bestFit="1" customWidth="1"/>
    <col min="9484" max="9484" width="7.75" style="171" bestFit="1" customWidth="1"/>
    <col min="9485" max="9485" width="0.125" style="171" bestFit="1" customWidth="1"/>
    <col min="9486" max="9728" width="9" style="171"/>
    <col min="9729" max="9729" width="2" style="171" bestFit="1" customWidth="1"/>
    <col min="9730" max="9730" width="7" style="171" bestFit="1" customWidth="1"/>
    <col min="9731" max="9731" width="8.875" style="171" bestFit="1" customWidth="1"/>
    <col min="9732" max="9732" width="1.375" style="171" bestFit="1" customWidth="1"/>
    <col min="9733" max="9733" width="9" style="171" bestFit="1"/>
    <col min="9734" max="9734" width="7.25" style="171" bestFit="1" customWidth="1"/>
    <col min="9735" max="9735" width="1" style="171" bestFit="1" customWidth="1"/>
    <col min="9736" max="9736" width="11.125" style="171" bestFit="1" customWidth="1"/>
    <col min="9737" max="9737" width="0.25" style="171" bestFit="1" customWidth="1"/>
    <col min="9738" max="9738" width="2.25" style="171" bestFit="1" customWidth="1"/>
    <col min="9739" max="9739" width="3.625" style="171" bestFit="1" customWidth="1"/>
    <col min="9740" max="9740" width="7.75" style="171" bestFit="1" customWidth="1"/>
    <col min="9741" max="9741" width="0.125" style="171" bestFit="1" customWidth="1"/>
    <col min="9742" max="9984" width="9" style="171"/>
    <col min="9985" max="9985" width="2" style="171" bestFit="1" customWidth="1"/>
    <col min="9986" max="9986" width="7" style="171" bestFit="1" customWidth="1"/>
    <col min="9987" max="9987" width="8.875" style="171" bestFit="1" customWidth="1"/>
    <col min="9988" max="9988" width="1.375" style="171" bestFit="1" customWidth="1"/>
    <col min="9989" max="9989" width="9" style="171" bestFit="1"/>
    <col min="9990" max="9990" width="7.25" style="171" bestFit="1" customWidth="1"/>
    <col min="9991" max="9991" width="1" style="171" bestFit="1" customWidth="1"/>
    <col min="9992" max="9992" width="11.125" style="171" bestFit="1" customWidth="1"/>
    <col min="9993" max="9993" width="0.25" style="171" bestFit="1" customWidth="1"/>
    <col min="9994" max="9994" width="2.25" style="171" bestFit="1" customWidth="1"/>
    <col min="9995" max="9995" width="3.625" style="171" bestFit="1" customWidth="1"/>
    <col min="9996" max="9996" width="7.75" style="171" bestFit="1" customWidth="1"/>
    <col min="9997" max="9997" width="0.125" style="171" bestFit="1" customWidth="1"/>
    <col min="9998" max="10240" width="9" style="171"/>
    <col min="10241" max="10241" width="2" style="171" bestFit="1" customWidth="1"/>
    <col min="10242" max="10242" width="7" style="171" bestFit="1" customWidth="1"/>
    <col min="10243" max="10243" width="8.875" style="171" bestFit="1" customWidth="1"/>
    <col min="10244" max="10244" width="1.375" style="171" bestFit="1" customWidth="1"/>
    <col min="10245" max="10245" width="9" style="171" bestFit="1"/>
    <col min="10246" max="10246" width="7.25" style="171" bestFit="1" customWidth="1"/>
    <col min="10247" max="10247" width="1" style="171" bestFit="1" customWidth="1"/>
    <col min="10248" max="10248" width="11.125" style="171" bestFit="1" customWidth="1"/>
    <col min="10249" max="10249" width="0.25" style="171" bestFit="1" customWidth="1"/>
    <col min="10250" max="10250" width="2.25" style="171" bestFit="1" customWidth="1"/>
    <col min="10251" max="10251" width="3.625" style="171" bestFit="1" customWidth="1"/>
    <col min="10252" max="10252" width="7.75" style="171" bestFit="1" customWidth="1"/>
    <col min="10253" max="10253" width="0.125" style="171" bestFit="1" customWidth="1"/>
    <col min="10254" max="10496" width="9" style="171"/>
    <col min="10497" max="10497" width="2" style="171" bestFit="1" customWidth="1"/>
    <col min="10498" max="10498" width="7" style="171" bestFit="1" customWidth="1"/>
    <col min="10499" max="10499" width="8.875" style="171" bestFit="1" customWidth="1"/>
    <col min="10500" max="10500" width="1.375" style="171" bestFit="1" customWidth="1"/>
    <col min="10501" max="10501" width="9" style="171" bestFit="1"/>
    <col min="10502" max="10502" width="7.25" style="171" bestFit="1" customWidth="1"/>
    <col min="10503" max="10503" width="1" style="171" bestFit="1" customWidth="1"/>
    <col min="10504" max="10504" width="11.125" style="171" bestFit="1" customWidth="1"/>
    <col min="10505" max="10505" width="0.25" style="171" bestFit="1" customWidth="1"/>
    <col min="10506" max="10506" width="2.25" style="171" bestFit="1" customWidth="1"/>
    <col min="10507" max="10507" width="3.625" style="171" bestFit="1" customWidth="1"/>
    <col min="10508" max="10508" width="7.75" style="171" bestFit="1" customWidth="1"/>
    <col min="10509" max="10509" width="0.125" style="171" bestFit="1" customWidth="1"/>
    <col min="10510" max="10752" width="9" style="171"/>
    <col min="10753" max="10753" width="2" style="171" bestFit="1" customWidth="1"/>
    <col min="10754" max="10754" width="7" style="171" bestFit="1" customWidth="1"/>
    <col min="10755" max="10755" width="8.875" style="171" bestFit="1" customWidth="1"/>
    <col min="10756" max="10756" width="1.375" style="171" bestFit="1" customWidth="1"/>
    <col min="10757" max="10757" width="9" style="171" bestFit="1"/>
    <col min="10758" max="10758" width="7.25" style="171" bestFit="1" customWidth="1"/>
    <col min="10759" max="10759" width="1" style="171" bestFit="1" customWidth="1"/>
    <col min="10760" max="10760" width="11.125" style="171" bestFit="1" customWidth="1"/>
    <col min="10761" max="10761" width="0.25" style="171" bestFit="1" customWidth="1"/>
    <col min="10762" max="10762" width="2.25" style="171" bestFit="1" customWidth="1"/>
    <col min="10763" max="10763" width="3.625" style="171" bestFit="1" customWidth="1"/>
    <col min="10764" max="10764" width="7.75" style="171" bestFit="1" customWidth="1"/>
    <col min="10765" max="10765" width="0.125" style="171" bestFit="1" customWidth="1"/>
    <col min="10766" max="11008" width="9" style="171"/>
    <col min="11009" max="11009" width="2" style="171" bestFit="1" customWidth="1"/>
    <col min="11010" max="11010" width="7" style="171" bestFit="1" customWidth="1"/>
    <col min="11011" max="11011" width="8.875" style="171" bestFit="1" customWidth="1"/>
    <col min="11012" max="11012" width="1.375" style="171" bestFit="1" customWidth="1"/>
    <col min="11013" max="11013" width="9" style="171" bestFit="1"/>
    <col min="11014" max="11014" width="7.25" style="171" bestFit="1" customWidth="1"/>
    <col min="11015" max="11015" width="1" style="171" bestFit="1" customWidth="1"/>
    <col min="11016" max="11016" width="11.125" style="171" bestFit="1" customWidth="1"/>
    <col min="11017" max="11017" width="0.25" style="171" bestFit="1" customWidth="1"/>
    <col min="11018" max="11018" width="2.25" style="171" bestFit="1" customWidth="1"/>
    <col min="11019" max="11019" width="3.625" style="171" bestFit="1" customWidth="1"/>
    <col min="11020" max="11020" width="7.75" style="171" bestFit="1" customWidth="1"/>
    <col min="11021" max="11021" width="0.125" style="171" bestFit="1" customWidth="1"/>
    <col min="11022" max="11264" width="9" style="171"/>
    <col min="11265" max="11265" width="2" style="171" bestFit="1" customWidth="1"/>
    <col min="11266" max="11266" width="7" style="171" bestFit="1" customWidth="1"/>
    <col min="11267" max="11267" width="8.875" style="171" bestFit="1" customWidth="1"/>
    <col min="11268" max="11268" width="1.375" style="171" bestFit="1" customWidth="1"/>
    <col min="11269" max="11269" width="9" style="171" bestFit="1"/>
    <col min="11270" max="11270" width="7.25" style="171" bestFit="1" customWidth="1"/>
    <col min="11271" max="11271" width="1" style="171" bestFit="1" customWidth="1"/>
    <col min="11272" max="11272" width="11.125" style="171" bestFit="1" customWidth="1"/>
    <col min="11273" max="11273" width="0.25" style="171" bestFit="1" customWidth="1"/>
    <col min="11274" max="11274" width="2.25" style="171" bestFit="1" customWidth="1"/>
    <col min="11275" max="11275" width="3.625" style="171" bestFit="1" customWidth="1"/>
    <col min="11276" max="11276" width="7.75" style="171" bestFit="1" customWidth="1"/>
    <col min="11277" max="11277" width="0.125" style="171" bestFit="1" customWidth="1"/>
    <col min="11278" max="11520" width="9" style="171"/>
    <col min="11521" max="11521" width="2" style="171" bestFit="1" customWidth="1"/>
    <col min="11522" max="11522" width="7" style="171" bestFit="1" customWidth="1"/>
    <col min="11523" max="11523" width="8.875" style="171" bestFit="1" customWidth="1"/>
    <col min="11524" max="11524" width="1.375" style="171" bestFit="1" customWidth="1"/>
    <col min="11525" max="11525" width="9" style="171" bestFit="1"/>
    <col min="11526" max="11526" width="7.25" style="171" bestFit="1" customWidth="1"/>
    <col min="11527" max="11527" width="1" style="171" bestFit="1" customWidth="1"/>
    <col min="11528" max="11528" width="11.125" style="171" bestFit="1" customWidth="1"/>
    <col min="11529" max="11529" width="0.25" style="171" bestFit="1" customWidth="1"/>
    <col min="11530" max="11530" width="2.25" style="171" bestFit="1" customWidth="1"/>
    <col min="11531" max="11531" width="3.625" style="171" bestFit="1" customWidth="1"/>
    <col min="11532" max="11532" width="7.75" style="171" bestFit="1" customWidth="1"/>
    <col min="11533" max="11533" width="0.125" style="171" bestFit="1" customWidth="1"/>
    <col min="11534" max="11776" width="9" style="171"/>
    <col min="11777" max="11777" width="2" style="171" bestFit="1" customWidth="1"/>
    <col min="11778" max="11778" width="7" style="171" bestFit="1" customWidth="1"/>
    <col min="11779" max="11779" width="8.875" style="171" bestFit="1" customWidth="1"/>
    <col min="11780" max="11780" width="1.375" style="171" bestFit="1" customWidth="1"/>
    <col min="11781" max="11781" width="9" style="171" bestFit="1"/>
    <col min="11782" max="11782" width="7.25" style="171" bestFit="1" customWidth="1"/>
    <col min="11783" max="11783" width="1" style="171" bestFit="1" customWidth="1"/>
    <col min="11784" max="11784" width="11.125" style="171" bestFit="1" customWidth="1"/>
    <col min="11785" max="11785" width="0.25" style="171" bestFit="1" customWidth="1"/>
    <col min="11786" max="11786" width="2.25" style="171" bestFit="1" customWidth="1"/>
    <col min="11787" max="11787" width="3.625" style="171" bestFit="1" customWidth="1"/>
    <col min="11788" max="11788" width="7.75" style="171" bestFit="1" customWidth="1"/>
    <col min="11789" max="11789" width="0.125" style="171" bestFit="1" customWidth="1"/>
    <col min="11790" max="12032" width="9" style="171"/>
    <col min="12033" max="12033" width="2" style="171" bestFit="1" customWidth="1"/>
    <col min="12034" max="12034" width="7" style="171" bestFit="1" customWidth="1"/>
    <col min="12035" max="12035" width="8.875" style="171" bestFit="1" customWidth="1"/>
    <col min="12036" max="12036" width="1.375" style="171" bestFit="1" customWidth="1"/>
    <col min="12037" max="12037" width="9" style="171" bestFit="1"/>
    <col min="12038" max="12038" width="7.25" style="171" bestFit="1" customWidth="1"/>
    <col min="12039" max="12039" width="1" style="171" bestFit="1" customWidth="1"/>
    <col min="12040" max="12040" width="11.125" style="171" bestFit="1" customWidth="1"/>
    <col min="12041" max="12041" width="0.25" style="171" bestFit="1" customWidth="1"/>
    <col min="12042" max="12042" width="2.25" style="171" bestFit="1" customWidth="1"/>
    <col min="12043" max="12043" width="3.625" style="171" bestFit="1" customWidth="1"/>
    <col min="12044" max="12044" width="7.75" style="171" bestFit="1" customWidth="1"/>
    <col min="12045" max="12045" width="0.125" style="171" bestFit="1" customWidth="1"/>
    <col min="12046" max="12288" width="9" style="171"/>
    <col min="12289" max="12289" width="2" style="171" bestFit="1" customWidth="1"/>
    <col min="12290" max="12290" width="7" style="171" bestFit="1" customWidth="1"/>
    <col min="12291" max="12291" width="8.875" style="171" bestFit="1" customWidth="1"/>
    <col min="12292" max="12292" width="1.375" style="171" bestFit="1" customWidth="1"/>
    <col min="12293" max="12293" width="9" style="171" bestFit="1"/>
    <col min="12294" max="12294" width="7.25" style="171" bestFit="1" customWidth="1"/>
    <col min="12295" max="12295" width="1" style="171" bestFit="1" customWidth="1"/>
    <col min="12296" max="12296" width="11.125" style="171" bestFit="1" customWidth="1"/>
    <col min="12297" max="12297" width="0.25" style="171" bestFit="1" customWidth="1"/>
    <col min="12298" max="12298" width="2.25" style="171" bestFit="1" customWidth="1"/>
    <col min="12299" max="12299" width="3.625" style="171" bestFit="1" customWidth="1"/>
    <col min="12300" max="12300" width="7.75" style="171" bestFit="1" customWidth="1"/>
    <col min="12301" max="12301" width="0.125" style="171" bestFit="1" customWidth="1"/>
    <col min="12302" max="12544" width="9" style="171"/>
    <col min="12545" max="12545" width="2" style="171" bestFit="1" customWidth="1"/>
    <col min="12546" max="12546" width="7" style="171" bestFit="1" customWidth="1"/>
    <col min="12547" max="12547" width="8.875" style="171" bestFit="1" customWidth="1"/>
    <col min="12548" max="12548" width="1.375" style="171" bestFit="1" customWidth="1"/>
    <col min="12549" max="12549" width="9" style="171" bestFit="1"/>
    <col min="12550" max="12550" width="7.25" style="171" bestFit="1" customWidth="1"/>
    <col min="12551" max="12551" width="1" style="171" bestFit="1" customWidth="1"/>
    <col min="12552" max="12552" width="11.125" style="171" bestFit="1" customWidth="1"/>
    <col min="12553" max="12553" width="0.25" style="171" bestFit="1" customWidth="1"/>
    <col min="12554" max="12554" width="2.25" style="171" bestFit="1" customWidth="1"/>
    <col min="12555" max="12555" width="3.625" style="171" bestFit="1" customWidth="1"/>
    <col min="12556" max="12556" width="7.75" style="171" bestFit="1" customWidth="1"/>
    <col min="12557" max="12557" width="0.125" style="171" bestFit="1" customWidth="1"/>
    <col min="12558" max="12800" width="9" style="171"/>
    <col min="12801" max="12801" width="2" style="171" bestFit="1" customWidth="1"/>
    <col min="12802" max="12802" width="7" style="171" bestFit="1" customWidth="1"/>
    <col min="12803" max="12803" width="8.875" style="171" bestFit="1" customWidth="1"/>
    <col min="12804" max="12804" width="1.375" style="171" bestFit="1" customWidth="1"/>
    <col min="12805" max="12805" width="9" style="171" bestFit="1"/>
    <col min="12806" max="12806" width="7.25" style="171" bestFit="1" customWidth="1"/>
    <col min="12807" max="12807" width="1" style="171" bestFit="1" customWidth="1"/>
    <col min="12808" max="12808" width="11.125" style="171" bestFit="1" customWidth="1"/>
    <col min="12809" max="12809" width="0.25" style="171" bestFit="1" customWidth="1"/>
    <col min="12810" max="12810" width="2.25" style="171" bestFit="1" customWidth="1"/>
    <col min="12811" max="12811" width="3.625" style="171" bestFit="1" customWidth="1"/>
    <col min="12812" max="12812" width="7.75" style="171" bestFit="1" customWidth="1"/>
    <col min="12813" max="12813" width="0.125" style="171" bestFit="1" customWidth="1"/>
    <col min="12814" max="13056" width="9" style="171"/>
    <col min="13057" max="13057" width="2" style="171" bestFit="1" customWidth="1"/>
    <col min="13058" max="13058" width="7" style="171" bestFit="1" customWidth="1"/>
    <col min="13059" max="13059" width="8.875" style="171" bestFit="1" customWidth="1"/>
    <col min="13060" max="13060" width="1.375" style="171" bestFit="1" customWidth="1"/>
    <col min="13061" max="13061" width="9" style="171" bestFit="1"/>
    <col min="13062" max="13062" width="7.25" style="171" bestFit="1" customWidth="1"/>
    <col min="13063" max="13063" width="1" style="171" bestFit="1" customWidth="1"/>
    <col min="13064" max="13064" width="11.125" style="171" bestFit="1" customWidth="1"/>
    <col min="13065" max="13065" width="0.25" style="171" bestFit="1" customWidth="1"/>
    <col min="13066" max="13066" width="2.25" style="171" bestFit="1" customWidth="1"/>
    <col min="13067" max="13067" width="3.625" style="171" bestFit="1" customWidth="1"/>
    <col min="13068" max="13068" width="7.75" style="171" bestFit="1" customWidth="1"/>
    <col min="13069" max="13069" width="0.125" style="171" bestFit="1" customWidth="1"/>
    <col min="13070" max="13312" width="9" style="171"/>
    <col min="13313" max="13313" width="2" style="171" bestFit="1" customWidth="1"/>
    <col min="13314" max="13314" width="7" style="171" bestFit="1" customWidth="1"/>
    <col min="13315" max="13315" width="8.875" style="171" bestFit="1" customWidth="1"/>
    <col min="13316" max="13316" width="1.375" style="171" bestFit="1" customWidth="1"/>
    <col min="13317" max="13317" width="9" style="171" bestFit="1"/>
    <col min="13318" max="13318" width="7.25" style="171" bestFit="1" customWidth="1"/>
    <col min="13319" max="13319" width="1" style="171" bestFit="1" customWidth="1"/>
    <col min="13320" max="13320" width="11.125" style="171" bestFit="1" customWidth="1"/>
    <col min="13321" max="13321" width="0.25" style="171" bestFit="1" customWidth="1"/>
    <col min="13322" max="13322" width="2.25" style="171" bestFit="1" customWidth="1"/>
    <col min="13323" max="13323" width="3.625" style="171" bestFit="1" customWidth="1"/>
    <col min="13324" max="13324" width="7.75" style="171" bestFit="1" customWidth="1"/>
    <col min="13325" max="13325" width="0.125" style="171" bestFit="1" customWidth="1"/>
    <col min="13326" max="13568" width="9" style="171"/>
    <col min="13569" max="13569" width="2" style="171" bestFit="1" customWidth="1"/>
    <col min="13570" max="13570" width="7" style="171" bestFit="1" customWidth="1"/>
    <col min="13571" max="13571" width="8.875" style="171" bestFit="1" customWidth="1"/>
    <col min="13572" max="13572" width="1.375" style="171" bestFit="1" customWidth="1"/>
    <col min="13573" max="13573" width="9" style="171" bestFit="1"/>
    <col min="13574" max="13574" width="7.25" style="171" bestFit="1" customWidth="1"/>
    <col min="13575" max="13575" width="1" style="171" bestFit="1" customWidth="1"/>
    <col min="13576" max="13576" width="11.125" style="171" bestFit="1" customWidth="1"/>
    <col min="13577" max="13577" width="0.25" style="171" bestFit="1" customWidth="1"/>
    <col min="13578" max="13578" width="2.25" style="171" bestFit="1" customWidth="1"/>
    <col min="13579" max="13579" width="3.625" style="171" bestFit="1" customWidth="1"/>
    <col min="13580" max="13580" width="7.75" style="171" bestFit="1" customWidth="1"/>
    <col min="13581" max="13581" width="0.125" style="171" bestFit="1" customWidth="1"/>
    <col min="13582" max="13824" width="9" style="171"/>
    <col min="13825" max="13825" width="2" style="171" bestFit="1" customWidth="1"/>
    <col min="13826" max="13826" width="7" style="171" bestFit="1" customWidth="1"/>
    <col min="13827" max="13827" width="8.875" style="171" bestFit="1" customWidth="1"/>
    <col min="13828" max="13828" width="1.375" style="171" bestFit="1" customWidth="1"/>
    <col min="13829" max="13829" width="9" style="171" bestFit="1"/>
    <col min="13830" max="13830" width="7.25" style="171" bestFit="1" customWidth="1"/>
    <col min="13831" max="13831" width="1" style="171" bestFit="1" customWidth="1"/>
    <col min="13832" max="13832" width="11.125" style="171" bestFit="1" customWidth="1"/>
    <col min="13833" max="13833" width="0.25" style="171" bestFit="1" customWidth="1"/>
    <col min="13834" max="13834" width="2.25" style="171" bestFit="1" customWidth="1"/>
    <col min="13835" max="13835" width="3.625" style="171" bestFit="1" customWidth="1"/>
    <col min="13836" max="13836" width="7.75" style="171" bestFit="1" customWidth="1"/>
    <col min="13837" max="13837" width="0.125" style="171" bestFit="1" customWidth="1"/>
    <col min="13838" max="14080" width="9" style="171"/>
    <col min="14081" max="14081" width="2" style="171" bestFit="1" customWidth="1"/>
    <col min="14082" max="14082" width="7" style="171" bestFit="1" customWidth="1"/>
    <col min="14083" max="14083" width="8.875" style="171" bestFit="1" customWidth="1"/>
    <col min="14084" max="14084" width="1.375" style="171" bestFit="1" customWidth="1"/>
    <col min="14085" max="14085" width="9" style="171" bestFit="1"/>
    <col min="14086" max="14086" width="7.25" style="171" bestFit="1" customWidth="1"/>
    <col min="14087" max="14087" width="1" style="171" bestFit="1" customWidth="1"/>
    <col min="14088" max="14088" width="11.125" style="171" bestFit="1" customWidth="1"/>
    <col min="14089" max="14089" width="0.25" style="171" bestFit="1" customWidth="1"/>
    <col min="14090" max="14090" width="2.25" style="171" bestFit="1" customWidth="1"/>
    <col min="14091" max="14091" width="3.625" style="171" bestFit="1" customWidth="1"/>
    <col min="14092" max="14092" width="7.75" style="171" bestFit="1" customWidth="1"/>
    <col min="14093" max="14093" width="0.125" style="171" bestFit="1" customWidth="1"/>
    <col min="14094" max="14336" width="9" style="171"/>
    <col min="14337" max="14337" width="2" style="171" bestFit="1" customWidth="1"/>
    <col min="14338" max="14338" width="7" style="171" bestFit="1" customWidth="1"/>
    <col min="14339" max="14339" width="8.875" style="171" bestFit="1" customWidth="1"/>
    <col min="14340" max="14340" width="1.375" style="171" bestFit="1" customWidth="1"/>
    <col min="14341" max="14341" width="9" style="171" bestFit="1"/>
    <col min="14342" max="14342" width="7.25" style="171" bestFit="1" customWidth="1"/>
    <col min="14343" max="14343" width="1" style="171" bestFit="1" customWidth="1"/>
    <col min="14344" max="14344" width="11.125" style="171" bestFit="1" customWidth="1"/>
    <col min="14345" max="14345" width="0.25" style="171" bestFit="1" customWidth="1"/>
    <col min="14346" max="14346" width="2.25" style="171" bestFit="1" customWidth="1"/>
    <col min="14347" max="14347" width="3.625" style="171" bestFit="1" customWidth="1"/>
    <col min="14348" max="14348" width="7.75" style="171" bestFit="1" customWidth="1"/>
    <col min="14349" max="14349" width="0.125" style="171" bestFit="1" customWidth="1"/>
    <col min="14350" max="14592" width="9" style="171"/>
    <col min="14593" max="14593" width="2" style="171" bestFit="1" customWidth="1"/>
    <col min="14594" max="14594" width="7" style="171" bestFit="1" customWidth="1"/>
    <col min="14595" max="14595" width="8.875" style="171" bestFit="1" customWidth="1"/>
    <col min="14596" max="14596" width="1.375" style="171" bestFit="1" customWidth="1"/>
    <col min="14597" max="14597" width="9" style="171" bestFit="1"/>
    <col min="14598" max="14598" width="7.25" style="171" bestFit="1" customWidth="1"/>
    <col min="14599" max="14599" width="1" style="171" bestFit="1" customWidth="1"/>
    <col min="14600" max="14600" width="11.125" style="171" bestFit="1" customWidth="1"/>
    <col min="14601" max="14601" width="0.25" style="171" bestFit="1" customWidth="1"/>
    <col min="14602" max="14602" width="2.25" style="171" bestFit="1" customWidth="1"/>
    <col min="14603" max="14603" width="3.625" style="171" bestFit="1" customWidth="1"/>
    <col min="14604" max="14604" width="7.75" style="171" bestFit="1" customWidth="1"/>
    <col min="14605" max="14605" width="0.125" style="171" bestFit="1" customWidth="1"/>
    <col min="14606" max="14848" width="9" style="171"/>
    <col min="14849" max="14849" width="2" style="171" bestFit="1" customWidth="1"/>
    <col min="14850" max="14850" width="7" style="171" bestFit="1" customWidth="1"/>
    <col min="14851" max="14851" width="8.875" style="171" bestFit="1" customWidth="1"/>
    <col min="14852" max="14852" width="1.375" style="171" bestFit="1" customWidth="1"/>
    <col min="14853" max="14853" width="9" style="171" bestFit="1"/>
    <col min="14854" max="14854" width="7.25" style="171" bestFit="1" customWidth="1"/>
    <col min="14855" max="14855" width="1" style="171" bestFit="1" customWidth="1"/>
    <col min="14856" max="14856" width="11.125" style="171" bestFit="1" customWidth="1"/>
    <col min="14857" max="14857" width="0.25" style="171" bestFit="1" customWidth="1"/>
    <col min="14858" max="14858" width="2.25" style="171" bestFit="1" customWidth="1"/>
    <col min="14859" max="14859" width="3.625" style="171" bestFit="1" customWidth="1"/>
    <col min="14860" max="14860" width="7.75" style="171" bestFit="1" customWidth="1"/>
    <col min="14861" max="14861" width="0.125" style="171" bestFit="1" customWidth="1"/>
    <col min="14862" max="15104" width="9" style="171"/>
    <col min="15105" max="15105" width="2" style="171" bestFit="1" customWidth="1"/>
    <col min="15106" max="15106" width="7" style="171" bestFit="1" customWidth="1"/>
    <col min="15107" max="15107" width="8.875" style="171" bestFit="1" customWidth="1"/>
    <col min="15108" max="15108" width="1.375" style="171" bestFit="1" customWidth="1"/>
    <col min="15109" max="15109" width="9" style="171" bestFit="1"/>
    <col min="15110" max="15110" width="7.25" style="171" bestFit="1" customWidth="1"/>
    <col min="15111" max="15111" width="1" style="171" bestFit="1" customWidth="1"/>
    <col min="15112" max="15112" width="11.125" style="171" bestFit="1" customWidth="1"/>
    <col min="15113" max="15113" width="0.25" style="171" bestFit="1" customWidth="1"/>
    <col min="15114" max="15114" width="2.25" style="171" bestFit="1" customWidth="1"/>
    <col min="15115" max="15115" width="3.625" style="171" bestFit="1" customWidth="1"/>
    <col min="15116" max="15116" width="7.75" style="171" bestFit="1" customWidth="1"/>
    <col min="15117" max="15117" width="0.125" style="171" bestFit="1" customWidth="1"/>
    <col min="15118" max="15360" width="9" style="171"/>
    <col min="15361" max="15361" width="2" style="171" bestFit="1" customWidth="1"/>
    <col min="15362" max="15362" width="7" style="171" bestFit="1" customWidth="1"/>
    <col min="15363" max="15363" width="8.875" style="171" bestFit="1" customWidth="1"/>
    <col min="15364" max="15364" width="1.375" style="171" bestFit="1" customWidth="1"/>
    <col min="15365" max="15365" width="9" style="171" bestFit="1"/>
    <col min="15366" max="15366" width="7.25" style="171" bestFit="1" customWidth="1"/>
    <col min="15367" max="15367" width="1" style="171" bestFit="1" customWidth="1"/>
    <col min="15368" max="15368" width="11.125" style="171" bestFit="1" customWidth="1"/>
    <col min="15369" max="15369" width="0.25" style="171" bestFit="1" customWidth="1"/>
    <col min="15370" max="15370" width="2.25" style="171" bestFit="1" customWidth="1"/>
    <col min="15371" max="15371" width="3.625" style="171" bestFit="1" customWidth="1"/>
    <col min="15372" max="15372" width="7.75" style="171" bestFit="1" customWidth="1"/>
    <col min="15373" max="15373" width="0.125" style="171" bestFit="1" customWidth="1"/>
    <col min="15374" max="15616" width="9" style="171"/>
    <col min="15617" max="15617" width="2" style="171" bestFit="1" customWidth="1"/>
    <col min="15618" max="15618" width="7" style="171" bestFit="1" customWidth="1"/>
    <col min="15619" max="15619" width="8.875" style="171" bestFit="1" customWidth="1"/>
    <col min="15620" max="15620" width="1.375" style="171" bestFit="1" customWidth="1"/>
    <col min="15621" max="15621" width="9" style="171" bestFit="1"/>
    <col min="15622" max="15622" width="7.25" style="171" bestFit="1" customWidth="1"/>
    <col min="15623" max="15623" width="1" style="171" bestFit="1" customWidth="1"/>
    <col min="15624" max="15624" width="11.125" style="171" bestFit="1" customWidth="1"/>
    <col min="15625" max="15625" width="0.25" style="171" bestFit="1" customWidth="1"/>
    <col min="15626" max="15626" width="2.25" style="171" bestFit="1" customWidth="1"/>
    <col min="15627" max="15627" width="3.625" style="171" bestFit="1" customWidth="1"/>
    <col min="15628" max="15628" width="7.75" style="171" bestFit="1" customWidth="1"/>
    <col min="15629" max="15629" width="0.125" style="171" bestFit="1" customWidth="1"/>
    <col min="15630" max="15872" width="9" style="171"/>
    <col min="15873" max="15873" width="2" style="171" bestFit="1" customWidth="1"/>
    <col min="15874" max="15874" width="7" style="171" bestFit="1" customWidth="1"/>
    <col min="15875" max="15875" width="8.875" style="171" bestFit="1" customWidth="1"/>
    <col min="15876" max="15876" width="1.375" style="171" bestFit="1" customWidth="1"/>
    <col min="15877" max="15877" width="9" style="171" bestFit="1"/>
    <col min="15878" max="15878" width="7.25" style="171" bestFit="1" customWidth="1"/>
    <col min="15879" max="15879" width="1" style="171" bestFit="1" customWidth="1"/>
    <col min="15880" max="15880" width="11.125" style="171" bestFit="1" customWidth="1"/>
    <col min="15881" max="15881" width="0.25" style="171" bestFit="1" customWidth="1"/>
    <col min="15882" max="15882" width="2.25" style="171" bestFit="1" customWidth="1"/>
    <col min="15883" max="15883" width="3.625" style="171" bestFit="1" customWidth="1"/>
    <col min="15884" max="15884" width="7.75" style="171" bestFit="1" customWidth="1"/>
    <col min="15885" max="15885" width="0.125" style="171" bestFit="1" customWidth="1"/>
    <col min="15886" max="16128" width="9" style="171"/>
    <col min="16129" max="16129" width="2" style="171" bestFit="1" customWidth="1"/>
    <col min="16130" max="16130" width="7" style="171" bestFit="1" customWidth="1"/>
    <col min="16131" max="16131" width="8.875" style="171" bestFit="1" customWidth="1"/>
    <col min="16132" max="16132" width="1.375" style="171" bestFit="1" customWidth="1"/>
    <col min="16133" max="16133" width="9" style="171" bestFit="1"/>
    <col min="16134" max="16134" width="7.25" style="171" bestFit="1" customWidth="1"/>
    <col min="16135" max="16135" width="1" style="171" bestFit="1" customWidth="1"/>
    <col min="16136" max="16136" width="11.125" style="171" bestFit="1" customWidth="1"/>
    <col min="16137" max="16137" width="0.25" style="171" bestFit="1" customWidth="1"/>
    <col min="16138" max="16138" width="2.25" style="171" bestFit="1" customWidth="1"/>
    <col min="16139" max="16139" width="3.625" style="171" bestFit="1" customWidth="1"/>
    <col min="16140" max="16140" width="7.75" style="171" bestFit="1" customWidth="1"/>
    <col min="16141" max="16141" width="0.125" style="171" bestFit="1" customWidth="1"/>
    <col min="16142" max="16384" width="9" style="171"/>
  </cols>
  <sheetData>
    <row r="1" spans="1:13">
      <c r="A1" s="344" t="s">
        <v>1199</v>
      </c>
      <c r="B1" s="345"/>
      <c r="C1" s="345"/>
      <c r="D1" s="345"/>
      <c r="E1" s="345"/>
      <c r="F1" s="345"/>
      <c r="G1" s="345"/>
      <c r="H1" s="345"/>
      <c r="I1" s="345"/>
      <c r="J1" s="345"/>
      <c r="K1" s="345"/>
      <c r="L1" s="345"/>
      <c r="M1" s="346"/>
    </row>
    <row r="2" spans="1:13">
      <c r="A2" s="172"/>
      <c r="B2" s="173"/>
      <c r="C2" s="174"/>
      <c r="D2" s="174"/>
      <c r="E2" s="174"/>
      <c r="F2" s="174"/>
      <c r="G2" s="174"/>
      <c r="H2" s="174"/>
      <c r="I2" s="174"/>
      <c r="J2" s="173"/>
      <c r="K2" s="173"/>
      <c r="L2" s="173"/>
      <c r="M2" s="175"/>
    </row>
    <row r="3" spans="1:13">
      <c r="A3" s="176"/>
      <c r="B3" s="177"/>
      <c r="C3" s="177"/>
      <c r="D3" s="177"/>
      <c r="E3" s="177"/>
      <c r="F3" s="177"/>
      <c r="G3" s="177"/>
      <c r="H3" s="341" t="s">
        <v>1200</v>
      </c>
      <c r="I3" s="341" t="s">
        <v>1201</v>
      </c>
      <c r="J3" s="342"/>
      <c r="K3" s="341" t="s">
        <v>1202</v>
      </c>
      <c r="L3" s="342"/>
      <c r="M3" s="343"/>
    </row>
    <row r="4" spans="1:13" ht="12.75" customHeight="1">
      <c r="A4" s="176"/>
      <c r="B4" s="183" t="s">
        <v>1203</v>
      </c>
      <c r="C4" s="301"/>
      <c r="D4" s="183" t="s">
        <v>1201</v>
      </c>
      <c r="E4" s="183" t="s">
        <v>1204</v>
      </c>
      <c r="F4" s="300"/>
      <c r="G4" s="177"/>
      <c r="H4" s="342"/>
      <c r="I4" s="342"/>
      <c r="J4" s="342"/>
      <c r="K4" s="342"/>
      <c r="L4" s="342"/>
      <c r="M4" s="343"/>
    </row>
    <row r="5" spans="1:13">
      <c r="A5" s="176"/>
      <c r="B5" s="300"/>
      <c r="C5" s="300"/>
      <c r="D5" s="300"/>
      <c r="E5" s="300"/>
      <c r="F5" s="300"/>
      <c r="G5" s="177"/>
      <c r="H5" s="177"/>
      <c r="I5" s="177"/>
      <c r="J5" s="177"/>
      <c r="K5" s="342"/>
      <c r="L5" s="342"/>
      <c r="M5" s="343"/>
    </row>
    <row r="6" spans="1:13">
      <c r="A6" s="176"/>
      <c r="B6" s="177"/>
      <c r="C6" s="177"/>
      <c r="D6" s="177"/>
      <c r="E6" s="177"/>
      <c r="F6" s="177"/>
      <c r="G6" s="177"/>
      <c r="H6" s="177"/>
      <c r="I6" s="177"/>
      <c r="J6" s="177"/>
      <c r="K6" s="342"/>
      <c r="L6" s="342"/>
      <c r="M6" s="343"/>
    </row>
    <row r="7" spans="1:13">
      <c r="A7" s="176"/>
      <c r="B7" s="341" t="s">
        <v>1205</v>
      </c>
      <c r="C7" s="342"/>
      <c r="D7" s="341" t="s">
        <v>1201</v>
      </c>
      <c r="E7" s="341" t="s">
        <v>1206</v>
      </c>
      <c r="F7" s="342"/>
      <c r="G7" s="177"/>
      <c r="H7" s="341" t="s">
        <v>1207</v>
      </c>
      <c r="I7" s="341" t="s">
        <v>1201</v>
      </c>
      <c r="J7" s="342"/>
      <c r="K7" s="342"/>
      <c r="L7" s="342"/>
      <c r="M7" s="343"/>
    </row>
    <row r="8" spans="1:13">
      <c r="A8" s="176"/>
      <c r="B8" s="342"/>
      <c r="C8" s="342"/>
      <c r="D8" s="342"/>
      <c r="E8" s="342"/>
      <c r="F8" s="342"/>
      <c r="G8" s="177"/>
      <c r="H8" s="342"/>
      <c r="I8" s="342"/>
      <c r="J8" s="342"/>
      <c r="K8" s="177"/>
      <c r="L8" s="177"/>
      <c r="M8" s="175"/>
    </row>
    <row r="9" spans="1:13" ht="13.9" thickBot="1">
      <c r="A9" s="176"/>
      <c r="B9" s="341" t="s">
        <v>1208</v>
      </c>
      <c r="C9" s="342"/>
      <c r="D9" s="178" t="s">
        <v>1201</v>
      </c>
      <c r="E9" s="341" t="s">
        <v>1209</v>
      </c>
      <c r="F9" s="342"/>
      <c r="G9" s="177"/>
      <c r="H9" s="178" t="s">
        <v>1210</v>
      </c>
      <c r="I9" s="341" t="s">
        <v>1201</v>
      </c>
      <c r="J9" s="342"/>
      <c r="K9" s="341" t="s">
        <v>1211</v>
      </c>
      <c r="L9" s="342"/>
      <c r="M9" s="343"/>
    </row>
    <row r="10" spans="1:13">
      <c r="A10" s="176"/>
      <c r="B10" s="177"/>
      <c r="C10" s="338" t="s">
        <v>1212</v>
      </c>
      <c r="D10" s="339"/>
      <c r="E10" s="339"/>
      <c r="F10" s="339" t="s">
        <v>1213</v>
      </c>
      <c r="G10" s="339"/>
      <c r="H10" s="339"/>
      <c r="I10" s="340"/>
      <c r="J10" s="177"/>
      <c r="K10" s="177"/>
      <c r="L10" s="177"/>
      <c r="M10" s="175"/>
    </row>
    <row r="11" spans="1:13">
      <c r="A11" s="176"/>
      <c r="B11" s="177"/>
      <c r="C11" s="332" t="s">
        <v>1214</v>
      </c>
      <c r="D11" s="333"/>
      <c r="E11" s="333"/>
      <c r="F11" s="333" t="s">
        <v>1206</v>
      </c>
      <c r="G11" s="333"/>
      <c r="H11" s="333"/>
      <c r="I11" s="334"/>
      <c r="J11" s="177"/>
      <c r="K11" s="177"/>
      <c r="L11" s="177"/>
      <c r="M11" s="175"/>
    </row>
    <row r="12" spans="1:13">
      <c r="A12" s="176"/>
      <c r="B12" s="177"/>
      <c r="C12" s="332" t="s">
        <v>1206</v>
      </c>
      <c r="D12" s="333"/>
      <c r="E12" s="333"/>
      <c r="F12" s="333" t="s">
        <v>1206</v>
      </c>
      <c r="G12" s="333"/>
      <c r="H12" s="333"/>
      <c r="I12" s="334"/>
      <c r="J12" s="177"/>
      <c r="K12" s="177"/>
      <c r="L12" s="177"/>
      <c r="M12" s="175"/>
    </row>
    <row r="13" spans="1:13">
      <c r="A13" s="176"/>
      <c r="B13" s="177"/>
      <c r="C13" s="332" t="s">
        <v>1215</v>
      </c>
      <c r="D13" s="333"/>
      <c r="E13" s="333"/>
      <c r="F13" s="333" t="s">
        <v>1206</v>
      </c>
      <c r="G13" s="333"/>
      <c r="H13" s="333"/>
      <c r="I13" s="334"/>
      <c r="J13" s="177"/>
      <c r="K13" s="177"/>
      <c r="L13" s="177"/>
      <c r="M13" s="175"/>
    </row>
    <row r="14" spans="1:13">
      <c r="A14" s="176"/>
      <c r="B14" s="177"/>
      <c r="C14" s="332" t="s">
        <v>1216</v>
      </c>
      <c r="D14" s="333"/>
      <c r="E14" s="333"/>
      <c r="F14" s="333" t="s">
        <v>1206</v>
      </c>
      <c r="G14" s="333"/>
      <c r="H14" s="333"/>
      <c r="I14" s="334"/>
      <c r="J14" s="177"/>
      <c r="K14" s="177"/>
      <c r="L14" s="177"/>
      <c r="M14" s="175"/>
    </row>
    <row r="15" spans="1:13">
      <c r="A15" s="176"/>
      <c r="B15" s="177"/>
      <c r="C15" s="332" t="s">
        <v>1217</v>
      </c>
      <c r="D15" s="333"/>
      <c r="E15" s="333"/>
      <c r="F15" s="333" t="s">
        <v>1206</v>
      </c>
      <c r="G15" s="333"/>
      <c r="H15" s="333"/>
      <c r="I15" s="334"/>
      <c r="J15" s="177"/>
      <c r="K15" s="177"/>
      <c r="L15" s="177"/>
      <c r="M15" s="175"/>
    </row>
    <row r="16" spans="1:13">
      <c r="A16" s="176"/>
      <c r="B16" s="177"/>
      <c r="C16" s="332" t="s">
        <v>1218</v>
      </c>
      <c r="D16" s="333"/>
      <c r="E16" s="333"/>
      <c r="F16" s="333" t="s">
        <v>1206</v>
      </c>
      <c r="G16" s="333"/>
      <c r="H16" s="333"/>
      <c r="I16" s="334"/>
      <c r="J16" s="177"/>
      <c r="K16" s="177"/>
      <c r="L16" s="177"/>
      <c r="M16" s="175"/>
    </row>
    <row r="17" spans="1:13">
      <c r="A17" s="176"/>
      <c r="B17" s="177"/>
      <c r="C17" s="332" t="s">
        <v>1219</v>
      </c>
      <c r="D17" s="333"/>
      <c r="E17" s="333"/>
      <c r="F17" s="333" t="s">
        <v>1206</v>
      </c>
      <c r="G17" s="333"/>
      <c r="H17" s="333"/>
      <c r="I17" s="334"/>
      <c r="J17" s="177"/>
      <c r="K17" s="177"/>
      <c r="L17" s="177"/>
      <c r="M17" s="175"/>
    </row>
    <row r="18" spans="1:13">
      <c r="A18" s="176"/>
      <c r="B18" s="177"/>
      <c r="C18" s="332" t="s">
        <v>1220</v>
      </c>
      <c r="D18" s="333"/>
      <c r="E18" s="333"/>
      <c r="F18" s="333" t="s">
        <v>1206</v>
      </c>
      <c r="G18" s="333"/>
      <c r="H18" s="333"/>
      <c r="I18" s="334"/>
      <c r="J18" s="177"/>
      <c r="K18" s="177"/>
      <c r="L18" s="177"/>
      <c r="M18" s="175"/>
    </row>
    <row r="19" spans="1:13">
      <c r="A19" s="176"/>
      <c r="B19" s="177"/>
      <c r="C19" s="332" t="s">
        <v>1221</v>
      </c>
      <c r="D19" s="333"/>
      <c r="E19" s="333"/>
      <c r="F19" s="333" t="s">
        <v>1206</v>
      </c>
      <c r="G19" s="333"/>
      <c r="H19" s="333"/>
      <c r="I19" s="334"/>
      <c r="J19" s="177"/>
      <c r="K19" s="177"/>
      <c r="L19" s="177"/>
      <c r="M19" s="175"/>
    </row>
    <row r="20" spans="1:13">
      <c r="A20" s="176"/>
      <c r="B20" s="177"/>
      <c r="C20" s="332" t="s">
        <v>1222</v>
      </c>
      <c r="D20" s="333"/>
      <c r="E20" s="333"/>
      <c r="F20" s="333" t="s">
        <v>1206</v>
      </c>
      <c r="G20" s="333"/>
      <c r="H20" s="333"/>
      <c r="I20" s="334"/>
      <c r="J20" s="177"/>
      <c r="K20" s="177"/>
      <c r="L20" s="177"/>
      <c r="M20" s="175"/>
    </row>
    <row r="21" spans="1:13">
      <c r="A21" s="176"/>
      <c r="B21" s="177"/>
      <c r="C21" s="332" t="s">
        <v>1223</v>
      </c>
      <c r="D21" s="333"/>
      <c r="E21" s="333"/>
      <c r="F21" s="333" t="s">
        <v>1206</v>
      </c>
      <c r="G21" s="333"/>
      <c r="H21" s="333"/>
      <c r="I21" s="334"/>
      <c r="J21" s="177"/>
      <c r="K21" s="177"/>
      <c r="L21" s="177"/>
      <c r="M21" s="175"/>
    </row>
    <row r="22" spans="1:13">
      <c r="A22" s="176"/>
      <c r="B22" s="177"/>
      <c r="C22" s="332" t="s">
        <v>1224</v>
      </c>
      <c r="D22" s="333"/>
      <c r="E22" s="333"/>
      <c r="F22" s="333" t="s">
        <v>1206</v>
      </c>
      <c r="G22" s="333"/>
      <c r="H22" s="333"/>
      <c r="I22" s="334"/>
      <c r="J22" s="177"/>
      <c r="K22" s="177"/>
      <c r="L22" s="177"/>
      <c r="M22" s="175"/>
    </row>
    <row r="23" spans="1:13">
      <c r="A23" s="176"/>
      <c r="B23" s="177"/>
      <c r="C23" s="332" t="s">
        <v>1225</v>
      </c>
      <c r="D23" s="333"/>
      <c r="E23" s="333"/>
      <c r="F23" s="333" t="s">
        <v>1206</v>
      </c>
      <c r="G23" s="333"/>
      <c r="H23" s="333"/>
      <c r="I23" s="334"/>
      <c r="J23" s="177"/>
      <c r="K23" s="177"/>
      <c r="L23" s="177"/>
      <c r="M23" s="175"/>
    </row>
    <row r="24" spans="1:13">
      <c r="A24" s="176"/>
      <c r="B24" s="177"/>
      <c r="C24" s="332" t="s">
        <v>1226</v>
      </c>
      <c r="D24" s="333"/>
      <c r="E24" s="333"/>
      <c r="F24" s="333" t="s">
        <v>1206</v>
      </c>
      <c r="G24" s="333"/>
      <c r="H24" s="333"/>
      <c r="I24" s="334"/>
      <c r="J24" s="177"/>
      <c r="K24" s="177"/>
      <c r="L24" s="177"/>
      <c r="M24" s="175"/>
    </row>
    <row r="25" spans="1:13">
      <c r="A25" s="176"/>
      <c r="B25" s="177"/>
      <c r="C25" s="332" t="s">
        <v>1227</v>
      </c>
      <c r="D25" s="333"/>
      <c r="E25" s="333"/>
      <c r="F25" s="333" t="s">
        <v>1206</v>
      </c>
      <c r="G25" s="333"/>
      <c r="H25" s="333"/>
      <c r="I25" s="334"/>
      <c r="J25" s="177"/>
      <c r="K25" s="177"/>
      <c r="L25" s="177"/>
      <c r="M25" s="175"/>
    </row>
    <row r="26" spans="1:13">
      <c r="A26" s="176"/>
      <c r="B26" s="177"/>
      <c r="C26" s="332" t="s">
        <v>1228</v>
      </c>
      <c r="D26" s="333"/>
      <c r="E26" s="333"/>
      <c r="F26" s="333" t="s">
        <v>1206</v>
      </c>
      <c r="G26" s="333"/>
      <c r="H26" s="333"/>
      <c r="I26" s="334"/>
      <c r="J26" s="177"/>
      <c r="K26" s="177"/>
      <c r="L26" s="177"/>
      <c r="M26" s="175"/>
    </row>
    <row r="27" spans="1:13">
      <c r="A27" s="176"/>
      <c r="B27" s="177"/>
      <c r="C27" s="332" t="s">
        <v>1229</v>
      </c>
      <c r="D27" s="333"/>
      <c r="E27" s="333"/>
      <c r="F27" s="333" t="s">
        <v>1206</v>
      </c>
      <c r="G27" s="333"/>
      <c r="H27" s="333"/>
      <c r="I27" s="334"/>
      <c r="J27" s="177"/>
      <c r="K27" s="177"/>
      <c r="L27" s="177"/>
      <c r="M27" s="175"/>
    </row>
    <row r="28" spans="1:13">
      <c r="A28" s="176"/>
      <c r="B28" s="177"/>
      <c r="C28" s="332" t="s">
        <v>1230</v>
      </c>
      <c r="D28" s="333"/>
      <c r="E28" s="333"/>
      <c r="F28" s="333" t="s">
        <v>1206</v>
      </c>
      <c r="G28" s="333"/>
      <c r="H28" s="333"/>
      <c r="I28" s="334"/>
      <c r="J28" s="177"/>
      <c r="K28" s="177"/>
      <c r="L28" s="177"/>
      <c r="M28" s="175"/>
    </row>
    <row r="29" spans="1:13">
      <c r="A29" s="176"/>
      <c r="B29" s="177"/>
      <c r="C29" s="332" t="s">
        <v>1231</v>
      </c>
      <c r="D29" s="333"/>
      <c r="E29" s="333"/>
      <c r="F29" s="333" t="s">
        <v>1206</v>
      </c>
      <c r="G29" s="333"/>
      <c r="H29" s="333"/>
      <c r="I29" s="334"/>
      <c r="J29" s="177"/>
      <c r="K29" s="177"/>
      <c r="L29" s="177"/>
      <c r="M29" s="175"/>
    </row>
    <row r="30" spans="1:13">
      <c r="A30" s="176"/>
      <c r="B30" s="177"/>
      <c r="C30" s="332" t="s">
        <v>1232</v>
      </c>
      <c r="D30" s="333"/>
      <c r="E30" s="333"/>
      <c r="F30" s="333" t="s">
        <v>1206</v>
      </c>
      <c r="G30" s="333"/>
      <c r="H30" s="333"/>
      <c r="I30" s="334"/>
      <c r="J30" s="177"/>
      <c r="K30" s="177"/>
      <c r="L30" s="177"/>
      <c r="M30" s="175"/>
    </row>
    <row r="31" spans="1:13">
      <c r="A31" s="176"/>
      <c r="B31" s="177"/>
      <c r="C31" s="332" t="s">
        <v>1233</v>
      </c>
      <c r="D31" s="333"/>
      <c r="E31" s="333"/>
      <c r="F31" s="333" t="s">
        <v>1215</v>
      </c>
      <c r="G31" s="333"/>
      <c r="H31" s="333"/>
      <c r="I31" s="334"/>
      <c r="J31" s="177"/>
      <c r="K31" s="177"/>
      <c r="L31" s="177"/>
      <c r="M31" s="175"/>
    </row>
    <row r="32" spans="1:13">
      <c r="A32" s="176"/>
      <c r="B32" s="177"/>
      <c r="C32" s="332" t="s">
        <v>1234</v>
      </c>
      <c r="D32" s="333"/>
      <c r="E32" s="333"/>
      <c r="F32" s="333" t="s">
        <v>1215</v>
      </c>
      <c r="G32" s="333"/>
      <c r="H32" s="333"/>
      <c r="I32" s="334"/>
      <c r="J32" s="177"/>
      <c r="K32" s="177"/>
      <c r="L32" s="177"/>
      <c r="M32" s="175"/>
    </row>
    <row r="33" spans="1:13">
      <c r="A33" s="176"/>
      <c r="B33" s="177"/>
      <c r="C33" s="332" t="s">
        <v>1235</v>
      </c>
      <c r="D33" s="333"/>
      <c r="E33" s="333"/>
      <c r="F33" s="333" t="s">
        <v>1215</v>
      </c>
      <c r="G33" s="333"/>
      <c r="H33" s="333"/>
      <c r="I33" s="334"/>
      <c r="J33" s="177"/>
      <c r="K33" s="177"/>
      <c r="L33" s="177"/>
      <c r="M33" s="175"/>
    </row>
    <row r="34" spans="1:13">
      <c r="A34" s="176"/>
      <c r="B34" s="177"/>
      <c r="C34" s="332" t="s">
        <v>1236</v>
      </c>
      <c r="D34" s="333"/>
      <c r="E34" s="333"/>
      <c r="F34" s="333" t="s">
        <v>1215</v>
      </c>
      <c r="G34" s="333"/>
      <c r="H34" s="333"/>
      <c r="I34" s="334"/>
      <c r="J34" s="177"/>
      <c r="K34" s="177"/>
      <c r="L34" s="177"/>
      <c r="M34" s="175"/>
    </row>
    <row r="35" spans="1:13">
      <c r="A35" s="176"/>
      <c r="B35" s="177"/>
      <c r="C35" s="332" t="s">
        <v>1237</v>
      </c>
      <c r="D35" s="333"/>
      <c r="E35" s="333"/>
      <c r="F35" s="333" t="s">
        <v>1215</v>
      </c>
      <c r="G35" s="333"/>
      <c r="H35" s="333"/>
      <c r="I35" s="334"/>
      <c r="J35" s="177"/>
      <c r="K35" s="177"/>
      <c r="L35" s="177"/>
      <c r="M35" s="175"/>
    </row>
    <row r="36" spans="1:13">
      <c r="A36" s="176"/>
      <c r="B36" s="177"/>
      <c r="C36" s="332" t="s">
        <v>1238</v>
      </c>
      <c r="D36" s="333"/>
      <c r="E36" s="333"/>
      <c r="F36" s="333" t="s">
        <v>1215</v>
      </c>
      <c r="G36" s="333"/>
      <c r="H36" s="333"/>
      <c r="I36" s="334"/>
      <c r="J36" s="177"/>
      <c r="K36" s="177"/>
      <c r="L36" s="177"/>
      <c r="M36" s="175"/>
    </row>
    <row r="37" spans="1:13">
      <c r="A37" s="176"/>
      <c r="B37" s="177"/>
      <c r="C37" s="332" t="s">
        <v>1239</v>
      </c>
      <c r="D37" s="333"/>
      <c r="E37" s="333"/>
      <c r="F37" s="333" t="s">
        <v>1215</v>
      </c>
      <c r="G37" s="333"/>
      <c r="H37" s="333"/>
      <c r="I37" s="334"/>
      <c r="J37" s="177"/>
      <c r="K37" s="177"/>
      <c r="L37" s="177"/>
      <c r="M37" s="175"/>
    </row>
    <row r="38" spans="1:13">
      <c r="A38" s="176"/>
      <c r="B38" s="177"/>
      <c r="C38" s="332" t="s">
        <v>1240</v>
      </c>
      <c r="D38" s="333"/>
      <c r="E38" s="333"/>
      <c r="F38" s="333" t="s">
        <v>1215</v>
      </c>
      <c r="G38" s="333"/>
      <c r="H38" s="333"/>
      <c r="I38" s="334"/>
      <c r="J38" s="177"/>
      <c r="K38" s="177"/>
      <c r="L38" s="177"/>
      <c r="M38" s="175"/>
    </row>
    <row r="39" spans="1:13">
      <c r="A39" s="176"/>
      <c r="B39" s="177"/>
      <c r="C39" s="332" t="s">
        <v>1241</v>
      </c>
      <c r="D39" s="333"/>
      <c r="E39" s="333"/>
      <c r="F39" s="333" t="s">
        <v>1215</v>
      </c>
      <c r="G39" s="333"/>
      <c r="H39" s="333"/>
      <c r="I39" s="334"/>
      <c r="J39" s="177"/>
      <c r="K39" s="177"/>
      <c r="L39" s="177"/>
      <c r="M39" s="175"/>
    </row>
    <row r="40" spans="1:13">
      <c r="A40" s="176"/>
      <c r="B40" s="177"/>
      <c r="C40" s="332" t="s">
        <v>1242</v>
      </c>
      <c r="D40" s="333"/>
      <c r="E40" s="333"/>
      <c r="F40" s="333" t="s">
        <v>1215</v>
      </c>
      <c r="G40" s="333"/>
      <c r="H40" s="333"/>
      <c r="I40" s="334"/>
      <c r="J40" s="177"/>
      <c r="K40" s="177"/>
      <c r="L40" s="177"/>
      <c r="M40" s="175"/>
    </row>
    <row r="41" spans="1:13">
      <c r="A41" s="176"/>
      <c r="B41" s="177"/>
      <c r="C41" s="332" t="s">
        <v>1243</v>
      </c>
      <c r="D41" s="333"/>
      <c r="E41" s="333"/>
      <c r="F41" s="333" t="s">
        <v>1215</v>
      </c>
      <c r="G41" s="333"/>
      <c r="H41" s="333"/>
      <c r="I41" s="334"/>
      <c r="J41" s="177"/>
      <c r="K41" s="177"/>
      <c r="L41" s="177"/>
      <c r="M41" s="175"/>
    </row>
    <row r="42" spans="1:13">
      <c r="A42" s="176"/>
      <c r="B42" s="177"/>
      <c r="C42" s="332" t="s">
        <v>1244</v>
      </c>
      <c r="D42" s="333"/>
      <c r="E42" s="333"/>
      <c r="F42" s="333" t="s">
        <v>1215</v>
      </c>
      <c r="G42" s="333"/>
      <c r="H42" s="333"/>
      <c r="I42" s="334"/>
      <c r="J42" s="177"/>
      <c r="K42" s="177"/>
      <c r="L42" s="177"/>
      <c r="M42" s="175"/>
    </row>
    <row r="43" spans="1:13">
      <c r="A43" s="176"/>
      <c r="B43" s="177"/>
      <c r="C43" s="332" t="s">
        <v>1245</v>
      </c>
      <c r="D43" s="333"/>
      <c r="E43" s="333"/>
      <c r="F43" s="333" t="s">
        <v>1216</v>
      </c>
      <c r="G43" s="333"/>
      <c r="H43" s="333"/>
      <c r="I43" s="334"/>
      <c r="J43" s="177"/>
      <c r="K43" s="177"/>
      <c r="L43" s="177"/>
      <c r="M43" s="175"/>
    </row>
    <row r="44" spans="1:13">
      <c r="A44" s="176"/>
      <c r="B44" s="177"/>
      <c r="C44" s="332" t="s">
        <v>1246</v>
      </c>
      <c r="D44" s="333"/>
      <c r="E44" s="333"/>
      <c r="F44" s="333" t="s">
        <v>1216</v>
      </c>
      <c r="G44" s="333"/>
      <c r="H44" s="333"/>
      <c r="I44" s="334"/>
      <c r="J44" s="177"/>
      <c r="K44" s="177"/>
      <c r="L44" s="177"/>
      <c r="M44" s="175"/>
    </row>
    <row r="45" spans="1:13">
      <c r="A45" s="176"/>
      <c r="B45" s="177"/>
      <c r="C45" s="332" t="s">
        <v>1247</v>
      </c>
      <c r="D45" s="333"/>
      <c r="E45" s="333"/>
      <c r="F45" s="333" t="s">
        <v>1216</v>
      </c>
      <c r="G45" s="333"/>
      <c r="H45" s="333"/>
      <c r="I45" s="334"/>
      <c r="J45" s="177"/>
      <c r="K45" s="177"/>
      <c r="L45" s="177"/>
      <c r="M45" s="175"/>
    </row>
    <row r="46" spans="1:13">
      <c r="A46" s="176"/>
      <c r="B46" s="177"/>
      <c r="C46" s="332" t="s">
        <v>1248</v>
      </c>
      <c r="D46" s="333"/>
      <c r="E46" s="333"/>
      <c r="F46" s="333" t="s">
        <v>1216</v>
      </c>
      <c r="G46" s="333"/>
      <c r="H46" s="333"/>
      <c r="I46" s="334"/>
      <c r="J46" s="177"/>
      <c r="K46" s="177"/>
      <c r="L46" s="177"/>
      <c r="M46" s="175"/>
    </row>
    <row r="47" spans="1:13">
      <c r="A47" s="176"/>
      <c r="B47" s="177"/>
      <c r="C47" s="332" t="s">
        <v>1249</v>
      </c>
      <c r="D47" s="333"/>
      <c r="E47" s="333"/>
      <c r="F47" s="333" t="s">
        <v>1216</v>
      </c>
      <c r="G47" s="333"/>
      <c r="H47" s="333"/>
      <c r="I47" s="334"/>
      <c r="J47" s="177"/>
      <c r="K47" s="177"/>
      <c r="L47" s="177"/>
      <c r="M47" s="175"/>
    </row>
    <row r="48" spans="1:13">
      <c r="A48" s="176"/>
      <c r="B48" s="177"/>
      <c r="C48" s="332" t="s">
        <v>1250</v>
      </c>
      <c r="D48" s="333"/>
      <c r="E48" s="333"/>
      <c r="F48" s="333" t="s">
        <v>1216</v>
      </c>
      <c r="G48" s="333"/>
      <c r="H48" s="333"/>
      <c r="I48" s="334"/>
      <c r="J48" s="177"/>
      <c r="K48" s="177"/>
      <c r="L48" s="177"/>
      <c r="M48" s="175"/>
    </row>
    <row r="49" spans="1:13">
      <c r="A49" s="176"/>
      <c r="B49" s="177"/>
      <c r="C49" s="332" t="s">
        <v>1251</v>
      </c>
      <c r="D49" s="333"/>
      <c r="E49" s="333"/>
      <c r="F49" s="333" t="s">
        <v>1216</v>
      </c>
      <c r="G49" s="333"/>
      <c r="H49" s="333"/>
      <c r="I49" s="334"/>
      <c r="J49" s="177"/>
      <c r="K49" s="177"/>
      <c r="L49" s="177"/>
      <c r="M49" s="175"/>
    </row>
    <row r="50" spans="1:13">
      <c r="A50" s="176"/>
      <c r="B50" s="177"/>
      <c r="C50" s="332" t="s">
        <v>1252</v>
      </c>
      <c r="D50" s="333"/>
      <c r="E50" s="333"/>
      <c r="F50" s="333" t="s">
        <v>1216</v>
      </c>
      <c r="G50" s="333"/>
      <c r="H50" s="333"/>
      <c r="I50" s="334"/>
      <c r="J50" s="177"/>
      <c r="K50" s="177"/>
      <c r="L50" s="177"/>
      <c r="M50" s="175"/>
    </row>
    <row r="51" spans="1:13">
      <c r="A51" s="176"/>
      <c r="B51" s="177"/>
      <c r="C51" s="332" t="s">
        <v>1253</v>
      </c>
      <c r="D51" s="333"/>
      <c r="E51" s="333"/>
      <c r="F51" s="333" t="s">
        <v>1217</v>
      </c>
      <c r="G51" s="333"/>
      <c r="H51" s="333"/>
      <c r="I51" s="334"/>
      <c r="J51" s="177"/>
      <c r="K51" s="177"/>
      <c r="L51" s="177"/>
      <c r="M51" s="175"/>
    </row>
    <row r="52" spans="1:13">
      <c r="A52" s="176"/>
      <c r="B52" s="177"/>
      <c r="C52" s="332" t="s">
        <v>1254</v>
      </c>
      <c r="D52" s="333"/>
      <c r="E52" s="333"/>
      <c r="F52" s="333" t="s">
        <v>1217</v>
      </c>
      <c r="G52" s="333"/>
      <c r="H52" s="333"/>
      <c r="I52" s="334"/>
      <c r="J52" s="177"/>
      <c r="K52" s="177"/>
      <c r="L52" s="177"/>
      <c r="M52" s="175"/>
    </row>
    <row r="53" spans="1:13">
      <c r="A53" s="176"/>
      <c r="B53" s="177"/>
      <c r="C53" s="332" t="s">
        <v>1255</v>
      </c>
      <c r="D53" s="333"/>
      <c r="E53" s="333"/>
      <c r="F53" s="333" t="s">
        <v>1217</v>
      </c>
      <c r="G53" s="333"/>
      <c r="H53" s="333"/>
      <c r="I53" s="334"/>
      <c r="J53" s="177"/>
      <c r="K53" s="177"/>
      <c r="L53" s="177"/>
      <c r="M53" s="175"/>
    </row>
    <row r="54" spans="1:13">
      <c r="A54" s="176"/>
      <c r="B54" s="177"/>
      <c r="C54" s="332" t="s">
        <v>1256</v>
      </c>
      <c r="D54" s="333"/>
      <c r="E54" s="333"/>
      <c r="F54" s="333" t="s">
        <v>1217</v>
      </c>
      <c r="G54" s="333"/>
      <c r="H54" s="333"/>
      <c r="I54" s="334"/>
      <c r="J54" s="177"/>
      <c r="K54" s="177"/>
      <c r="L54" s="177"/>
      <c r="M54" s="175"/>
    </row>
    <row r="55" spans="1:13">
      <c r="A55" s="176"/>
      <c r="B55" s="177"/>
      <c r="C55" s="332" t="s">
        <v>1257</v>
      </c>
      <c r="D55" s="333"/>
      <c r="E55" s="333"/>
      <c r="F55" s="333" t="s">
        <v>1217</v>
      </c>
      <c r="G55" s="333"/>
      <c r="H55" s="333"/>
      <c r="I55" s="334"/>
      <c r="J55" s="177"/>
      <c r="K55" s="177"/>
      <c r="L55" s="177"/>
      <c r="M55" s="175"/>
    </row>
    <row r="56" spans="1:13" ht="13.9" thickBot="1">
      <c r="A56" s="176"/>
      <c r="B56" s="177"/>
      <c r="C56" s="335" t="s">
        <v>1258</v>
      </c>
      <c r="D56" s="336"/>
      <c r="E56" s="336"/>
      <c r="F56" s="336" t="s">
        <v>1217</v>
      </c>
      <c r="G56" s="336"/>
      <c r="H56" s="336"/>
      <c r="I56" s="337"/>
      <c r="J56" s="177"/>
      <c r="K56" s="177"/>
      <c r="L56" s="177"/>
      <c r="M56" s="175"/>
    </row>
    <row r="57" spans="1:13" ht="13.9" thickBot="1">
      <c r="A57" s="179"/>
      <c r="B57" s="180"/>
      <c r="C57" s="181"/>
      <c r="D57" s="181"/>
      <c r="E57" s="181"/>
      <c r="F57" s="181"/>
      <c r="G57" s="181"/>
      <c r="H57" s="181"/>
      <c r="I57" s="181"/>
      <c r="J57" s="180"/>
      <c r="K57" s="180"/>
      <c r="L57" s="180"/>
      <c r="M57" s="182"/>
    </row>
  </sheetData>
  <sheetProtection algorithmName="SHA-512" hashValue="V3TsLW2J0f6gbFJ1RhNI3otIyl2mqxvcEuw5jswypl72GmjW2XU5WQgIkh6Jd4G9QcoscDVFd3A38To8hHkbig==" saltValue="voONEWMLFUSFxxfEFLb1MQ==" spinCount="100000" sheet="1"/>
  <mergeCells count="107">
    <mergeCell ref="H7:H8"/>
    <mergeCell ref="I7:J8"/>
    <mergeCell ref="B9:C9"/>
    <mergeCell ref="E9:F9"/>
    <mergeCell ref="I9:J9"/>
    <mergeCell ref="K9:M9"/>
    <mergeCell ref="A1:M1"/>
    <mergeCell ref="H3:H4"/>
    <mergeCell ref="I3:J4"/>
    <mergeCell ref="K3:M7"/>
    <mergeCell ref="B7:C8"/>
    <mergeCell ref="D7:D8"/>
    <mergeCell ref="E7:F8"/>
    <mergeCell ref="C13:E13"/>
    <mergeCell ref="F13:I13"/>
    <mergeCell ref="C14:E14"/>
    <mergeCell ref="F14:I14"/>
    <mergeCell ref="C15:E15"/>
    <mergeCell ref="F15:I15"/>
    <mergeCell ref="C10:E10"/>
    <mergeCell ref="F10:I10"/>
    <mergeCell ref="C11:E11"/>
    <mergeCell ref="F11:I11"/>
    <mergeCell ref="C12:E12"/>
    <mergeCell ref="F12:I12"/>
    <mergeCell ref="C19:E19"/>
    <mergeCell ref="F19:I19"/>
    <mergeCell ref="C20:E20"/>
    <mergeCell ref="F20:I20"/>
    <mergeCell ref="C21:E21"/>
    <mergeCell ref="F21:I21"/>
    <mergeCell ref="C16:E16"/>
    <mergeCell ref="F16:I16"/>
    <mergeCell ref="C17:E17"/>
    <mergeCell ref="F17:I17"/>
    <mergeCell ref="C18:E18"/>
    <mergeCell ref="F18:I18"/>
    <mergeCell ref="C25:E25"/>
    <mergeCell ref="F25:I25"/>
    <mergeCell ref="C26:E26"/>
    <mergeCell ref="F26:I26"/>
    <mergeCell ref="C27:E27"/>
    <mergeCell ref="F27:I27"/>
    <mergeCell ref="C22:E22"/>
    <mergeCell ref="F22:I22"/>
    <mergeCell ref="C23:E23"/>
    <mergeCell ref="F23:I23"/>
    <mergeCell ref="C24:E24"/>
    <mergeCell ref="F24:I24"/>
    <mergeCell ref="C31:E31"/>
    <mergeCell ref="F31:I31"/>
    <mergeCell ref="C32:E32"/>
    <mergeCell ref="F32:I32"/>
    <mergeCell ref="C33:E33"/>
    <mergeCell ref="F33:I33"/>
    <mergeCell ref="C28:E28"/>
    <mergeCell ref="F28:I28"/>
    <mergeCell ref="C29:E29"/>
    <mergeCell ref="F29:I29"/>
    <mergeCell ref="C30:E30"/>
    <mergeCell ref="F30:I30"/>
    <mergeCell ref="C37:E37"/>
    <mergeCell ref="F37:I37"/>
    <mergeCell ref="C38:E38"/>
    <mergeCell ref="F38:I38"/>
    <mergeCell ref="C39:E39"/>
    <mergeCell ref="F39:I39"/>
    <mergeCell ref="C34:E34"/>
    <mergeCell ref="F34:I34"/>
    <mergeCell ref="C35:E35"/>
    <mergeCell ref="F35:I35"/>
    <mergeCell ref="C36:E36"/>
    <mergeCell ref="F36:I36"/>
    <mergeCell ref="C43:E43"/>
    <mergeCell ref="F43:I43"/>
    <mergeCell ref="C44:E44"/>
    <mergeCell ref="F44:I44"/>
    <mergeCell ref="C45:E45"/>
    <mergeCell ref="F45:I45"/>
    <mergeCell ref="C40:E40"/>
    <mergeCell ref="F40:I40"/>
    <mergeCell ref="C41:E41"/>
    <mergeCell ref="F41:I41"/>
    <mergeCell ref="C42:E42"/>
    <mergeCell ref="F42:I42"/>
    <mergeCell ref="C49:E49"/>
    <mergeCell ref="F49:I49"/>
    <mergeCell ref="C50:E50"/>
    <mergeCell ref="F50:I50"/>
    <mergeCell ref="C51:E51"/>
    <mergeCell ref="F51:I51"/>
    <mergeCell ref="C46:E46"/>
    <mergeCell ref="F46:I46"/>
    <mergeCell ref="C47:E47"/>
    <mergeCell ref="F47:I47"/>
    <mergeCell ref="C48:E48"/>
    <mergeCell ref="F48:I48"/>
    <mergeCell ref="C55:E55"/>
    <mergeCell ref="F55:I55"/>
    <mergeCell ref="C56:E56"/>
    <mergeCell ref="F56:I56"/>
    <mergeCell ref="C52:E52"/>
    <mergeCell ref="F52:I52"/>
    <mergeCell ref="C53:E53"/>
    <mergeCell ref="F53:I53"/>
    <mergeCell ref="C54:E54"/>
    <mergeCell ref="F54:I54"/>
  </mergeCells>
  <pageMargins left="0" right="0" top="0" bottom="0" header="0" footer="0"/>
  <pageSetup paperSize="9" scale="0" firstPageNumber="0" fitToWidth="0" fitToHeight="0" pageOrder="overThenDown"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8F01D-EE74-4CD7-AFF0-C87CF4C56C11}">
  <dimension ref="A1:M49"/>
  <sheetViews>
    <sheetView showGridLines="0" topLeftCell="A4" zoomScaleNormal="100" workbookViewId="0">
      <selection sqref="A1:M1"/>
    </sheetView>
  </sheetViews>
  <sheetFormatPr defaultRowHeight="13.15"/>
  <cols>
    <col min="1" max="1" width="2" style="171" bestFit="1" customWidth="1"/>
    <col min="2" max="2" width="7" style="171" bestFit="1" customWidth="1"/>
    <col min="3" max="3" width="8.875" style="171" bestFit="1" customWidth="1"/>
    <col min="4" max="4" width="1.375" style="171" bestFit="1" customWidth="1"/>
    <col min="5" max="5" width="9" style="171" bestFit="1" customWidth="1"/>
    <col min="6" max="6" width="7.25" style="171" bestFit="1" customWidth="1"/>
    <col min="7" max="7" width="1" style="171" bestFit="1" customWidth="1"/>
    <col min="8" max="8" width="11.125" style="171" bestFit="1" customWidth="1"/>
    <col min="9" max="9" width="0.25" style="171" bestFit="1" customWidth="1"/>
    <col min="10" max="10" width="2.25" style="171" bestFit="1" customWidth="1"/>
    <col min="11" max="11" width="3.625" style="171" bestFit="1" customWidth="1"/>
    <col min="12" max="12" width="7.75" style="171" bestFit="1" customWidth="1"/>
    <col min="13" max="13" width="0.125" style="171" bestFit="1" customWidth="1"/>
    <col min="14" max="256" width="9" style="171"/>
    <col min="257" max="257" width="2" style="171" bestFit="1" customWidth="1"/>
    <col min="258" max="258" width="7" style="171" bestFit="1" customWidth="1"/>
    <col min="259" max="259" width="8.875" style="171" bestFit="1" customWidth="1"/>
    <col min="260" max="260" width="1.375" style="171" bestFit="1" customWidth="1"/>
    <col min="261" max="261" width="9" style="171" bestFit="1"/>
    <col min="262" max="262" width="7.25" style="171" bestFit="1" customWidth="1"/>
    <col min="263" max="263" width="1" style="171" bestFit="1" customWidth="1"/>
    <col min="264" max="264" width="11.125" style="171" bestFit="1" customWidth="1"/>
    <col min="265" max="265" width="0.25" style="171" bestFit="1" customWidth="1"/>
    <col min="266" max="266" width="2.25" style="171" bestFit="1" customWidth="1"/>
    <col min="267" max="267" width="3.625" style="171" bestFit="1" customWidth="1"/>
    <col min="268" max="268" width="7.75" style="171" bestFit="1" customWidth="1"/>
    <col min="269" max="269" width="0.125" style="171" bestFit="1" customWidth="1"/>
    <col min="270" max="512" width="9" style="171"/>
    <col min="513" max="513" width="2" style="171" bestFit="1" customWidth="1"/>
    <col min="514" max="514" width="7" style="171" bestFit="1" customWidth="1"/>
    <col min="515" max="515" width="8.875" style="171" bestFit="1" customWidth="1"/>
    <col min="516" max="516" width="1.375" style="171" bestFit="1" customWidth="1"/>
    <col min="517" max="517" width="9" style="171" bestFit="1"/>
    <col min="518" max="518" width="7.25" style="171" bestFit="1" customWidth="1"/>
    <col min="519" max="519" width="1" style="171" bestFit="1" customWidth="1"/>
    <col min="520" max="520" width="11.125" style="171" bestFit="1" customWidth="1"/>
    <col min="521" max="521" width="0.25" style="171" bestFit="1" customWidth="1"/>
    <col min="522" max="522" width="2.25" style="171" bestFit="1" customWidth="1"/>
    <col min="523" max="523" width="3.625" style="171" bestFit="1" customWidth="1"/>
    <col min="524" max="524" width="7.75" style="171" bestFit="1" customWidth="1"/>
    <col min="525" max="525" width="0.125" style="171" bestFit="1" customWidth="1"/>
    <col min="526" max="768" width="9" style="171"/>
    <col min="769" max="769" width="2" style="171" bestFit="1" customWidth="1"/>
    <col min="770" max="770" width="7" style="171" bestFit="1" customWidth="1"/>
    <col min="771" max="771" width="8.875" style="171" bestFit="1" customWidth="1"/>
    <col min="772" max="772" width="1.375" style="171" bestFit="1" customWidth="1"/>
    <col min="773" max="773" width="9" style="171" bestFit="1"/>
    <col min="774" max="774" width="7.25" style="171" bestFit="1" customWidth="1"/>
    <col min="775" max="775" width="1" style="171" bestFit="1" customWidth="1"/>
    <col min="776" max="776" width="11.125" style="171" bestFit="1" customWidth="1"/>
    <col min="777" max="777" width="0.25" style="171" bestFit="1" customWidth="1"/>
    <col min="778" max="778" width="2.25" style="171" bestFit="1" customWidth="1"/>
    <col min="779" max="779" width="3.625" style="171" bestFit="1" customWidth="1"/>
    <col min="780" max="780" width="7.75" style="171" bestFit="1" customWidth="1"/>
    <col min="781" max="781" width="0.125" style="171" bestFit="1" customWidth="1"/>
    <col min="782" max="1024" width="9" style="171"/>
    <col min="1025" max="1025" width="2" style="171" bestFit="1" customWidth="1"/>
    <col min="1026" max="1026" width="7" style="171" bestFit="1" customWidth="1"/>
    <col min="1027" max="1027" width="8.875" style="171" bestFit="1" customWidth="1"/>
    <col min="1028" max="1028" width="1.375" style="171" bestFit="1" customWidth="1"/>
    <col min="1029" max="1029" width="9" style="171" bestFit="1"/>
    <col min="1030" max="1030" width="7.25" style="171" bestFit="1" customWidth="1"/>
    <col min="1031" max="1031" width="1" style="171" bestFit="1" customWidth="1"/>
    <col min="1032" max="1032" width="11.125" style="171" bestFit="1" customWidth="1"/>
    <col min="1033" max="1033" width="0.25" style="171" bestFit="1" customWidth="1"/>
    <col min="1034" max="1034" width="2.25" style="171" bestFit="1" customWidth="1"/>
    <col min="1035" max="1035" width="3.625" style="171" bestFit="1" customWidth="1"/>
    <col min="1036" max="1036" width="7.75" style="171" bestFit="1" customWidth="1"/>
    <col min="1037" max="1037" width="0.125" style="171" bestFit="1" customWidth="1"/>
    <col min="1038" max="1280" width="9" style="171"/>
    <col min="1281" max="1281" width="2" style="171" bestFit="1" customWidth="1"/>
    <col min="1282" max="1282" width="7" style="171" bestFit="1" customWidth="1"/>
    <col min="1283" max="1283" width="8.875" style="171" bestFit="1" customWidth="1"/>
    <col min="1284" max="1284" width="1.375" style="171" bestFit="1" customWidth="1"/>
    <col min="1285" max="1285" width="9" style="171" bestFit="1"/>
    <col min="1286" max="1286" width="7.25" style="171" bestFit="1" customWidth="1"/>
    <col min="1287" max="1287" width="1" style="171" bestFit="1" customWidth="1"/>
    <col min="1288" max="1288" width="11.125" style="171" bestFit="1" customWidth="1"/>
    <col min="1289" max="1289" width="0.25" style="171" bestFit="1" customWidth="1"/>
    <col min="1290" max="1290" width="2.25" style="171" bestFit="1" customWidth="1"/>
    <col min="1291" max="1291" width="3.625" style="171" bestFit="1" customWidth="1"/>
    <col min="1292" max="1292" width="7.75" style="171" bestFit="1" customWidth="1"/>
    <col min="1293" max="1293" width="0.125" style="171" bestFit="1" customWidth="1"/>
    <col min="1294" max="1536" width="9" style="171"/>
    <col min="1537" max="1537" width="2" style="171" bestFit="1" customWidth="1"/>
    <col min="1538" max="1538" width="7" style="171" bestFit="1" customWidth="1"/>
    <col min="1539" max="1539" width="8.875" style="171" bestFit="1" customWidth="1"/>
    <col min="1540" max="1540" width="1.375" style="171" bestFit="1" customWidth="1"/>
    <col min="1541" max="1541" width="9" style="171" bestFit="1"/>
    <col min="1542" max="1542" width="7.25" style="171" bestFit="1" customWidth="1"/>
    <col min="1543" max="1543" width="1" style="171" bestFit="1" customWidth="1"/>
    <col min="1544" max="1544" width="11.125" style="171" bestFit="1" customWidth="1"/>
    <col min="1545" max="1545" width="0.25" style="171" bestFit="1" customWidth="1"/>
    <col min="1546" max="1546" width="2.25" style="171" bestFit="1" customWidth="1"/>
    <col min="1547" max="1547" width="3.625" style="171" bestFit="1" customWidth="1"/>
    <col min="1548" max="1548" width="7.75" style="171" bestFit="1" customWidth="1"/>
    <col min="1549" max="1549" width="0.125" style="171" bestFit="1" customWidth="1"/>
    <col min="1550" max="1792" width="9" style="171"/>
    <col min="1793" max="1793" width="2" style="171" bestFit="1" customWidth="1"/>
    <col min="1794" max="1794" width="7" style="171" bestFit="1" customWidth="1"/>
    <col min="1795" max="1795" width="8.875" style="171" bestFit="1" customWidth="1"/>
    <col min="1796" max="1796" width="1.375" style="171" bestFit="1" customWidth="1"/>
    <col min="1797" max="1797" width="9" style="171" bestFit="1"/>
    <col min="1798" max="1798" width="7.25" style="171" bestFit="1" customWidth="1"/>
    <col min="1799" max="1799" width="1" style="171" bestFit="1" customWidth="1"/>
    <col min="1800" max="1800" width="11.125" style="171" bestFit="1" customWidth="1"/>
    <col min="1801" max="1801" width="0.25" style="171" bestFit="1" customWidth="1"/>
    <col min="1802" max="1802" width="2.25" style="171" bestFit="1" customWidth="1"/>
    <col min="1803" max="1803" width="3.625" style="171" bestFit="1" customWidth="1"/>
    <col min="1804" max="1804" width="7.75" style="171" bestFit="1" customWidth="1"/>
    <col min="1805" max="1805" width="0.125" style="171" bestFit="1" customWidth="1"/>
    <col min="1806" max="2048" width="9" style="171"/>
    <col min="2049" max="2049" width="2" style="171" bestFit="1" customWidth="1"/>
    <col min="2050" max="2050" width="7" style="171" bestFit="1" customWidth="1"/>
    <col min="2051" max="2051" width="8.875" style="171" bestFit="1" customWidth="1"/>
    <col min="2052" max="2052" width="1.375" style="171" bestFit="1" customWidth="1"/>
    <col min="2053" max="2053" width="9" style="171" bestFit="1"/>
    <col min="2054" max="2054" width="7.25" style="171" bestFit="1" customWidth="1"/>
    <col min="2055" max="2055" width="1" style="171" bestFit="1" customWidth="1"/>
    <col min="2056" max="2056" width="11.125" style="171" bestFit="1" customWidth="1"/>
    <col min="2057" max="2057" width="0.25" style="171" bestFit="1" customWidth="1"/>
    <col min="2058" max="2058" width="2.25" style="171" bestFit="1" customWidth="1"/>
    <col min="2059" max="2059" width="3.625" style="171" bestFit="1" customWidth="1"/>
    <col min="2060" max="2060" width="7.75" style="171" bestFit="1" customWidth="1"/>
    <col min="2061" max="2061" width="0.125" style="171" bestFit="1" customWidth="1"/>
    <col min="2062" max="2304" width="9" style="171"/>
    <col min="2305" max="2305" width="2" style="171" bestFit="1" customWidth="1"/>
    <col min="2306" max="2306" width="7" style="171" bestFit="1" customWidth="1"/>
    <col min="2307" max="2307" width="8.875" style="171" bestFit="1" customWidth="1"/>
    <col min="2308" max="2308" width="1.375" style="171" bestFit="1" customWidth="1"/>
    <col min="2309" max="2309" width="9" style="171" bestFit="1"/>
    <col min="2310" max="2310" width="7.25" style="171" bestFit="1" customWidth="1"/>
    <col min="2311" max="2311" width="1" style="171" bestFit="1" customWidth="1"/>
    <col min="2312" max="2312" width="11.125" style="171" bestFit="1" customWidth="1"/>
    <col min="2313" max="2313" width="0.25" style="171" bestFit="1" customWidth="1"/>
    <col min="2314" max="2314" width="2.25" style="171" bestFit="1" customWidth="1"/>
    <col min="2315" max="2315" width="3.625" style="171" bestFit="1" customWidth="1"/>
    <col min="2316" max="2316" width="7.75" style="171" bestFit="1" customWidth="1"/>
    <col min="2317" max="2317" width="0.125" style="171" bestFit="1" customWidth="1"/>
    <col min="2318" max="2560" width="9" style="171"/>
    <col min="2561" max="2561" width="2" style="171" bestFit="1" customWidth="1"/>
    <col min="2562" max="2562" width="7" style="171" bestFit="1" customWidth="1"/>
    <col min="2563" max="2563" width="8.875" style="171" bestFit="1" customWidth="1"/>
    <col min="2564" max="2564" width="1.375" style="171" bestFit="1" customWidth="1"/>
    <col min="2565" max="2565" width="9" style="171" bestFit="1"/>
    <col min="2566" max="2566" width="7.25" style="171" bestFit="1" customWidth="1"/>
    <col min="2567" max="2567" width="1" style="171" bestFit="1" customWidth="1"/>
    <col min="2568" max="2568" width="11.125" style="171" bestFit="1" customWidth="1"/>
    <col min="2569" max="2569" width="0.25" style="171" bestFit="1" customWidth="1"/>
    <col min="2570" max="2570" width="2.25" style="171" bestFit="1" customWidth="1"/>
    <col min="2571" max="2571" width="3.625" style="171" bestFit="1" customWidth="1"/>
    <col min="2572" max="2572" width="7.75" style="171" bestFit="1" customWidth="1"/>
    <col min="2573" max="2573" width="0.125" style="171" bestFit="1" customWidth="1"/>
    <col min="2574" max="2816" width="9" style="171"/>
    <col min="2817" max="2817" width="2" style="171" bestFit="1" customWidth="1"/>
    <col min="2818" max="2818" width="7" style="171" bestFit="1" customWidth="1"/>
    <col min="2819" max="2819" width="8.875" style="171" bestFit="1" customWidth="1"/>
    <col min="2820" max="2820" width="1.375" style="171" bestFit="1" customWidth="1"/>
    <col min="2821" max="2821" width="9" style="171" bestFit="1"/>
    <col min="2822" max="2822" width="7.25" style="171" bestFit="1" customWidth="1"/>
    <col min="2823" max="2823" width="1" style="171" bestFit="1" customWidth="1"/>
    <col min="2824" max="2824" width="11.125" style="171" bestFit="1" customWidth="1"/>
    <col min="2825" max="2825" width="0.25" style="171" bestFit="1" customWidth="1"/>
    <col min="2826" max="2826" width="2.25" style="171" bestFit="1" customWidth="1"/>
    <col min="2827" max="2827" width="3.625" style="171" bestFit="1" customWidth="1"/>
    <col min="2828" max="2828" width="7.75" style="171" bestFit="1" customWidth="1"/>
    <col min="2829" max="2829" width="0.125" style="171" bestFit="1" customWidth="1"/>
    <col min="2830" max="3072" width="9" style="171"/>
    <col min="3073" max="3073" width="2" style="171" bestFit="1" customWidth="1"/>
    <col min="3074" max="3074" width="7" style="171" bestFit="1" customWidth="1"/>
    <col min="3075" max="3075" width="8.875" style="171" bestFit="1" customWidth="1"/>
    <col min="3076" max="3076" width="1.375" style="171" bestFit="1" customWidth="1"/>
    <col min="3077" max="3077" width="9" style="171" bestFit="1"/>
    <col min="3078" max="3078" width="7.25" style="171" bestFit="1" customWidth="1"/>
    <col min="3079" max="3079" width="1" style="171" bestFit="1" customWidth="1"/>
    <col min="3080" max="3080" width="11.125" style="171" bestFit="1" customWidth="1"/>
    <col min="3081" max="3081" width="0.25" style="171" bestFit="1" customWidth="1"/>
    <col min="3082" max="3082" width="2.25" style="171" bestFit="1" customWidth="1"/>
    <col min="3083" max="3083" width="3.625" style="171" bestFit="1" customWidth="1"/>
    <col min="3084" max="3084" width="7.75" style="171" bestFit="1" customWidth="1"/>
    <col min="3085" max="3085" width="0.125" style="171" bestFit="1" customWidth="1"/>
    <col min="3086" max="3328" width="9" style="171"/>
    <col min="3329" max="3329" width="2" style="171" bestFit="1" customWidth="1"/>
    <col min="3330" max="3330" width="7" style="171" bestFit="1" customWidth="1"/>
    <col min="3331" max="3331" width="8.875" style="171" bestFit="1" customWidth="1"/>
    <col min="3332" max="3332" width="1.375" style="171" bestFit="1" customWidth="1"/>
    <col min="3333" max="3333" width="9" style="171" bestFit="1"/>
    <col min="3334" max="3334" width="7.25" style="171" bestFit="1" customWidth="1"/>
    <col min="3335" max="3335" width="1" style="171" bestFit="1" customWidth="1"/>
    <col min="3336" max="3336" width="11.125" style="171" bestFit="1" customWidth="1"/>
    <col min="3337" max="3337" width="0.25" style="171" bestFit="1" customWidth="1"/>
    <col min="3338" max="3338" width="2.25" style="171" bestFit="1" customWidth="1"/>
    <col min="3339" max="3339" width="3.625" style="171" bestFit="1" customWidth="1"/>
    <col min="3340" max="3340" width="7.75" style="171" bestFit="1" customWidth="1"/>
    <col min="3341" max="3341" width="0.125" style="171" bestFit="1" customWidth="1"/>
    <col min="3342" max="3584" width="9" style="171"/>
    <col min="3585" max="3585" width="2" style="171" bestFit="1" customWidth="1"/>
    <col min="3586" max="3586" width="7" style="171" bestFit="1" customWidth="1"/>
    <col min="3587" max="3587" width="8.875" style="171" bestFit="1" customWidth="1"/>
    <col min="3588" max="3588" width="1.375" style="171" bestFit="1" customWidth="1"/>
    <col min="3589" max="3589" width="9" style="171" bestFit="1"/>
    <col min="3590" max="3590" width="7.25" style="171" bestFit="1" customWidth="1"/>
    <col min="3591" max="3591" width="1" style="171" bestFit="1" customWidth="1"/>
    <col min="3592" max="3592" width="11.125" style="171" bestFit="1" customWidth="1"/>
    <col min="3593" max="3593" width="0.25" style="171" bestFit="1" customWidth="1"/>
    <col min="3594" max="3594" width="2.25" style="171" bestFit="1" customWidth="1"/>
    <col min="3595" max="3595" width="3.625" style="171" bestFit="1" customWidth="1"/>
    <col min="3596" max="3596" width="7.75" style="171" bestFit="1" customWidth="1"/>
    <col min="3597" max="3597" width="0.125" style="171" bestFit="1" customWidth="1"/>
    <col min="3598" max="3840" width="9" style="171"/>
    <col min="3841" max="3841" width="2" style="171" bestFit="1" customWidth="1"/>
    <col min="3842" max="3842" width="7" style="171" bestFit="1" customWidth="1"/>
    <col min="3843" max="3843" width="8.875" style="171" bestFit="1" customWidth="1"/>
    <col min="3844" max="3844" width="1.375" style="171" bestFit="1" customWidth="1"/>
    <col min="3845" max="3845" width="9" style="171" bestFit="1"/>
    <col min="3846" max="3846" width="7.25" style="171" bestFit="1" customWidth="1"/>
    <col min="3847" max="3847" width="1" style="171" bestFit="1" customWidth="1"/>
    <col min="3848" max="3848" width="11.125" style="171" bestFit="1" customWidth="1"/>
    <col min="3849" max="3849" width="0.25" style="171" bestFit="1" customWidth="1"/>
    <col min="3850" max="3850" width="2.25" style="171" bestFit="1" customWidth="1"/>
    <col min="3851" max="3851" width="3.625" style="171" bestFit="1" customWidth="1"/>
    <col min="3852" max="3852" width="7.75" style="171" bestFit="1" customWidth="1"/>
    <col min="3853" max="3853" width="0.125" style="171" bestFit="1" customWidth="1"/>
    <col min="3854" max="4096" width="9" style="171"/>
    <col min="4097" max="4097" width="2" style="171" bestFit="1" customWidth="1"/>
    <col min="4098" max="4098" width="7" style="171" bestFit="1" customWidth="1"/>
    <col min="4099" max="4099" width="8.875" style="171" bestFit="1" customWidth="1"/>
    <col min="4100" max="4100" width="1.375" style="171" bestFit="1" customWidth="1"/>
    <col min="4101" max="4101" width="9" style="171" bestFit="1"/>
    <col min="4102" max="4102" width="7.25" style="171" bestFit="1" customWidth="1"/>
    <col min="4103" max="4103" width="1" style="171" bestFit="1" customWidth="1"/>
    <col min="4104" max="4104" width="11.125" style="171" bestFit="1" customWidth="1"/>
    <col min="4105" max="4105" width="0.25" style="171" bestFit="1" customWidth="1"/>
    <col min="4106" max="4106" width="2.25" style="171" bestFit="1" customWidth="1"/>
    <col min="4107" max="4107" width="3.625" style="171" bestFit="1" customWidth="1"/>
    <col min="4108" max="4108" width="7.75" style="171" bestFit="1" customWidth="1"/>
    <col min="4109" max="4109" width="0.125" style="171" bestFit="1" customWidth="1"/>
    <col min="4110" max="4352" width="9" style="171"/>
    <col min="4353" max="4353" width="2" style="171" bestFit="1" customWidth="1"/>
    <col min="4354" max="4354" width="7" style="171" bestFit="1" customWidth="1"/>
    <col min="4355" max="4355" width="8.875" style="171" bestFit="1" customWidth="1"/>
    <col min="4356" max="4356" width="1.375" style="171" bestFit="1" customWidth="1"/>
    <col min="4357" max="4357" width="9" style="171" bestFit="1"/>
    <col min="4358" max="4358" width="7.25" style="171" bestFit="1" customWidth="1"/>
    <col min="4359" max="4359" width="1" style="171" bestFit="1" customWidth="1"/>
    <col min="4360" max="4360" width="11.125" style="171" bestFit="1" customWidth="1"/>
    <col min="4361" max="4361" width="0.25" style="171" bestFit="1" customWidth="1"/>
    <col min="4362" max="4362" width="2.25" style="171" bestFit="1" customWidth="1"/>
    <col min="4363" max="4363" width="3.625" style="171" bestFit="1" customWidth="1"/>
    <col min="4364" max="4364" width="7.75" style="171" bestFit="1" customWidth="1"/>
    <col min="4365" max="4365" width="0.125" style="171" bestFit="1" customWidth="1"/>
    <col min="4366" max="4608" width="9" style="171"/>
    <col min="4609" max="4609" width="2" style="171" bestFit="1" customWidth="1"/>
    <col min="4610" max="4610" width="7" style="171" bestFit="1" customWidth="1"/>
    <col min="4611" max="4611" width="8.875" style="171" bestFit="1" customWidth="1"/>
    <col min="4612" max="4612" width="1.375" style="171" bestFit="1" customWidth="1"/>
    <col min="4613" max="4613" width="9" style="171" bestFit="1"/>
    <col min="4614" max="4614" width="7.25" style="171" bestFit="1" customWidth="1"/>
    <col min="4615" max="4615" width="1" style="171" bestFit="1" customWidth="1"/>
    <col min="4616" max="4616" width="11.125" style="171" bestFit="1" customWidth="1"/>
    <col min="4617" max="4617" width="0.25" style="171" bestFit="1" customWidth="1"/>
    <col min="4618" max="4618" width="2.25" style="171" bestFit="1" customWidth="1"/>
    <col min="4619" max="4619" width="3.625" style="171" bestFit="1" customWidth="1"/>
    <col min="4620" max="4620" width="7.75" style="171" bestFit="1" customWidth="1"/>
    <col min="4621" max="4621" width="0.125" style="171" bestFit="1" customWidth="1"/>
    <col min="4622" max="4864" width="9" style="171"/>
    <col min="4865" max="4865" width="2" style="171" bestFit="1" customWidth="1"/>
    <col min="4866" max="4866" width="7" style="171" bestFit="1" customWidth="1"/>
    <col min="4867" max="4867" width="8.875" style="171" bestFit="1" customWidth="1"/>
    <col min="4868" max="4868" width="1.375" style="171" bestFit="1" customWidth="1"/>
    <col min="4869" max="4869" width="9" style="171" bestFit="1"/>
    <col min="4870" max="4870" width="7.25" style="171" bestFit="1" customWidth="1"/>
    <col min="4871" max="4871" width="1" style="171" bestFit="1" customWidth="1"/>
    <col min="4872" max="4872" width="11.125" style="171" bestFit="1" customWidth="1"/>
    <col min="4873" max="4873" width="0.25" style="171" bestFit="1" customWidth="1"/>
    <col min="4874" max="4874" width="2.25" style="171" bestFit="1" customWidth="1"/>
    <col min="4875" max="4875" width="3.625" style="171" bestFit="1" customWidth="1"/>
    <col min="4876" max="4876" width="7.75" style="171" bestFit="1" customWidth="1"/>
    <col min="4877" max="4877" width="0.125" style="171" bestFit="1" customWidth="1"/>
    <col min="4878" max="5120" width="9" style="171"/>
    <col min="5121" max="5121" width="2" style="171" bestFit="1" customWidth="1"/>
    <col min="5122" max="5122" width="7" style="171" bestFit="1" customWidth="1"/>
    <col min="5123" max="5123" width="8.875" style="171" bestFit="1" customWidth="1"/>
    <col min="5124" max="5124" width="1.375" style="171" bestFit="1" customWidth="1"/>
    <col min="5125" max="5125" width="9" style="171" bestFit="1"/>
    <col min="5126" max="5126" width="7.25" style="171" bestFit="1" customWidth="1"/>
    <col min="5127" max="5127" width="1" style="171" bestFit="1" customWidth="1"/>
    <col min="5128" max="5128" width="11.125" style="171" bestFit="1" customWidth="1"/>
    <col min="5129" max="5129" width="0.25" style="171" bestFit="1" customWidth="1"/>
    <col min="5130" max="5130" width="2.25" style="171" bestFit="1" customWidth="1"/>
    <col min="5131" max="5131" width="3.625" style="171" bestFit="1" customWidth="1"/>
    <col min="5132" max="5132" width="7.75" style="171" bestFit="1" customWidth="1"/>
    <col min="5133" max="5133" width="0.125" style="171" bestFit="1" customWidth="1"/>
    <col min="5134" max="5376" width="9" style="171"/>
    <col min="5377" max="5377" width="2" style="171" bestFit="1" customWidth="1"/>
    <col min="5378" max="5378" width="7" style="171" bestFit="1" customWidth="1"/>
    <col min="5379" max="5379" width="8.875" style="171" bestFit="1" customWidth="1"/>
    <col min="5380" max="5380" width="1.375" style="171" bestFit="1" customWidth="1"/>
    <col min="5381" max="5381" width="9" style="171" bestFit="1"/>
    <col min="5382" max="5382" width="7.25" style="171" bestFit="1" customWidth="1"/>
    <col min="5383" max="5383" width="1" style="171" bestFit="1" customWidth="1"/>
    <col min="5384" max="5384" width="11.125" style="171" bestFit="1" customWidth="1"/>
    <col min="5385" max="5385" width="0.25" style="171" bestFit="1" customWidth="1"/>
    <col min="5386" max="5386" width="2.25" style="171" bestFit="1" customWidth="1"/>
    <col min="5387" max="5387" width="3.625" style="171" bestFit="1" customWidth="1"/>
    <col min="5388" max="5388" width="7.75" style="171" bestFit="1" customWidth="1"/>
    <col min="5389" max="5389" width="0.125" style="171" bestFit="1" customWidth="1"/>
    <col min="5390" max="5632" width="9" style="171"/>
    <col min="5633" max="5633" width="2" style="171" bestFit="1" customWidth="1"/>
    <col min="5634" max="5634" width="7" style="171" bestFit="1" customWidth="1"/>
    <col min="5635" max="5635" width="8.875" style="171" bestFit="1" customWidth="1"/>
    <col min="5636" max="5636" width="1.375" style="171" bestFit="1" customWidth="1"/>
    <col min="5637" max="5637" width="9" style="171" bestFit="1"/>
    <col min="5638" max="5638" width="7.25" style="171" bestFit="1" customWidth="1"/>
    <col min="5639" max="5639" width="1" style="171" bestFit="1" customWidth="1"/>
    <col min="5640" max="5640" width="11.125" style="171" bestFit="1" customWidth="1"/>
    <col min="5641" max="5641" width="0.25" style="171" bestFit="1" customWidth="1"/>
    <col min="5642" max="5642" width="2.25" style="171" bestFit="1" customWidth="1"/>
    <col min="5643" max="5643" width="3.625" style="171" bestFit="1" customWidth="1"/>
    <col min="5644" max="5644" width="7.75" style="171" bestFit="1" customWidth="1"/>
    <col min="5645" max="5645" width="0.125" style="171" bestFit="1" customWidth="1"/>
    <col min="5646" max="5888" width="9" style="171"/>
    <col min="5889" max="5889" width="2" style="171" bestFit="1" customWidth="1"/>
    <col min="5890" max="5890" width="7" style="171" bestFit="1" customWidth="1"/>
    <col min="5891" max="5891" width="8.875" style="171" bestFit="1" customWidth="1"/>
    <col min="5892" max="5892" width="1.375" style="171" bestFit="1" customWidth="1"/>
    <col min="5893" max="5893" width="9" style="171" bestFit="1"/>
    <col min="5894" max="5894" width="7.25" style="171" bestFit="1" customWidth="1"/>
    <col min="5895" max="5895" width="1" style="171" bestFit="1" customWidth="1"/>
    <col min="5896" max="5896" width="11.125" style="171" bestFit="1" customWidth="1"/>
    <col min="5897" max="5897" width="0.25" style="171" bestFit="1" customWidth="1"/>
    <col min="5898" max="5898" width="2.25" style="171" bestFit="1" customWidth="1"/>
    <col min="5899" max="5899" width="3.625" style="171" bestFit="1" customWidth="1"/>
    <col min="5900" max="5900" width="7.75" style="171" bestFit="1" customWidth="1"/>
    <col min="5901" max="5901" width="0.125" style="171" bestFit="1" customWidth="1"/>
    <col min="5902" max="6144" width="9" style="171"/>
    <col min="6145" max="6145" width="2" style="171" bestFit="1" customWidth="1"/>
    <col min="6146" max="6146" width="7" style="171" bestFit="1" customWidth="1"/>
    <col min="6147" max="6147" width="8.875" style="171" bestFit="1" customWidth="1"/>
    <col min="6148" max="6148" width="1.375" style="171" bestFit="1" customWidth="1"/>
    <col min="6149" max="6149" width="9" style="171" bestFit="1"/>
    <col min="6150" max="6150" width="7.25" style="171" bestFit="1" customWidth="1"/>
    <col min="6151" max="6151" width="1" style="171" bestFit="1" customWidth="1"/>
    <col min="6152" max="6152" width="11.125" style="171" bestFit="1" customWidth="1"/>
    <col min="6153" max="6153" width="0.25" style="171" bestFit="1" customWidth="1"/>
    <col min="6154" max="6154" width="2.25" style="171" bestFit="1" customWidth="1"/>
    <col min="6155" max="6155" width="3.625" style="171" bestFit="1" customWidth="1"/>
    <col min="6156" max="6156" width="7.75" style="171" bestFit="1" customWidth="1"/>
    <col min="6157" max="6157" width="0.125" style="171" bestFit="1" customWidth="1"/>
    <col min="6158" max="6400" width="9" style="171"/>
    <col min="6401" max="6401" width="2" style="171" bestFit="1" customWidth="1"/>
    <col min="6402" max="6402" width="7" style="171" bestFit="1" customWidth="1"/>
    <col min="6403" max="6403" width="8.875" style="171" bestFit="1" customWidth="1"/>
    <col min="6404" max="6404" width="1.375" style="171" bestFit="1" customWidth="1"/>
    <col min="6405" max="6405" width="9" style="171" bestFit="1"/>
    <col min="6406" max="6406" width="7.25" style="171" bestFit="1" customWidth="1"/>
    <col min="6407" max="6407" width="1" style="171" bestFit="1" customWidth="1"/>
    <col min="6408" max="6408" width="11.125" style="171" bestFit="1" customWidth="1"/>
    <col min="6409" max="6409" width="0.25" style="171" bestFit="1" customWidth="1"/>
    <col min="6410" max="6410" width="2.25" style="171" bestFit="1" customWidth="1"/>
    <col min="6411" max="6411" width="3.625" style="171" bestFit="1" customWidth="1"/>
    <col min="6412" max="6412" width="7.75" style="171" bestFit="1" customWidth="1"/>
    <col min="6413" max="6413" width="0.125" style="171" bestFit="1" customWidth="1"/>
    <col min="6414" max="6656" width="9" style="171"/>
    <col min="6657" max="6657" width="2" style="171" bestFit="1" customWidth="1"/>
    <col min="6658" max="6658" width="7" style="171" bestFit="1" customWidth="1"/>
    <col min="6659" max="6659" width="8.875" style="171" bestFit="1" customWidth="1"/>
    <col min="6660" max="6660" width="1.375" style="171" bestFit="1" customWidth="1"/>
    <col min="6661" max="6661" width="9" style="171" bestFit="1"/>
    <col min="6662" max="6662" width="7.25" style="171" bestFit="1" customWidth="1"/>
    <col min="6663" max="6663" width="1" style="171" bestFit="1" customWidth="1"/>
    <col min="6664" max="6664" width="11.125" style="171" bestFit="1" customWidth="1"/>
    <col min="6665" max="6665" width="0.25" style="171" bestFit="1" customWidth="1"/>
    <col min="6666" max="6666" width="2.25" style="171" bestFit="1" customWidth="1"/>
    <col min="6667" max="6667" width="3.625" style="171" bestFit="1" customWidth="1"/>
    <col min="6668" max="6668" width="7.75" style="171" bestFit="1" customWidth="1"/>
    <col min="6669" max="6669" width="0.125" style="171" bestFit="1" customWidth="1"/>
    <col min="6670" max="6912" width="9" style="171"/>
    <col min="6913" max="6913" width="2" style="171" bestFit="1" customWidth="1"/>
    <col min="6914" max="6914" width="7" style="171" bestFit="1" customWidth="1"/>
    <col min="6915" max="6915" width="8.875" style="171" bestFit="1" customWidth="1"/>
    <col min="6916" max="6916" width="1.375" style="171" bestFit="1" customWidth="1"/>
    <col min="6917" max="6917" width="9" style="171" bestFit="1"/>
    <col min="6918" max="6918" width="7.25" style="171" bestFit="1" customWidth="1"/>
    <col min="6919" max="6919" width="1" style="171" bestFit="1" customWidth="1"/>
    <col min="6920" max="6920" width="11.125" style="171" bestFit="1" customWidth="1"/>
    <col min="6921" max="6921" width="0.25" style="171" bestFit="1" customWidth="1"/>
    <col min="6922" max="6922" width="2.25" style="171" bestFit="1" customWidth="1"/>
    <col min="6923" max="6923" width="3.625" style="171" bestFit="1" customWidth="1"/>
    <col min="6924" max="6924" width="7.75" style="171" bestFit="1" customWidth="1"/>
    <col min="6925" max="6925" width="0.125" style="171" bestFit="1" customWidth="1"/>
    <col min="6926" max="7168" width="9" style="171"/>
    <col min="7169" max="7169" width="2" style="171" bestFit="1" customWidth="1"/>
    <col min="7170" max="7170" width="7" style="171" bestFit="1" customWidth="1"/>
    <col min="7171" max="7171" width="8.875" style="171" bestFit="1" customWidth="1"/>
    <col min="7172" max="7172" width="1.375" style="171" bestFit="1" customWidth="1"/>
    <col min="7173" max="7173" width="9" style="171" bestFit="1"/>
    <col min="7174" max="7174" width="7.25" style="171" bestFit="1" customWidth="1"/>
    <col min="7175" max="7175" width="1" style="171" bestFit="1" customWidth="1"/>
    <col min="7176" max="7176" width="11.125" style="171" bestFit="1" customWidth="1"/>
    <col min="7177" max="7177" width="0.25" style="171" bestFit="1" customWidth="1"/>
    <col min="7178" max="7178" width="2.25" style="171" bestFit="1" customWidth="1"/>
    <col min="7179" max="7179" width="3.625" style="171" bestFit="1" customWidth="1"/>
    <col min="7180" max="7180" width="7.75" style="171" bestFit="1" customWidth="1"/>
    <col min="7181" max="7181" width="0.125" style="171" bestFit="1" customWidth="1"/>
    <col min="7182" max="7424" width="9" style="171"/>
    <col min="7425" max="7425" width="2" style="171" bestFit="1" customWidth="1"/>
    <col min="7426" max="7426" width="7" style="171" bestFit="1" customWidth="1"/>
    <col min="7427" max="7427" width="8.875" style="171" bestFit="1" customWidth="1"/>
    <col min="7428" max="7428" width="1.375" style="171" bestFit="1" customWidth="1"/>
    <col min="7429" max="7429" width="9" style="171" bestFit="1"/>
    <col min="7430" max="7430" width="7.25" style="171" bestFit="1" customWidth="1"/>
    <col min="7431" max="7431" width="1" style="171" bestFit="1" customWidth="1"/>
    <col min="7432" max="7432" width="11.125" style="171" bestFit="1" customWidth="1"/>
    <col min="7433" max="7433" width="0.25" style="171" bestFit="1" customWidth="1"/>
    <col min="7434" max="7434" width="2.25" style="171" bestFit="1" customWidth="1"/>
    <col min="7435" max="7435" width="3.625" style="171" bestFit="1" customWidth="1"/>
    <col min="7436" max="7436" width="7.75" style="171" bestFit="1" customWidth="1"/>
    <col min="7437" max="7437" width="0.125" style="171" bestFit="1" customWidth="1"/>
    <col min="7438" max="7680" width="9" style="171"/>
    <col min="7681" max="7681" width="2" style="171" bestFit="1" customWidth="1"/>
    <col min="7682" max="7682" width="7" style="171" bestFit="1" customWidth="1"/>
    <col min="7683" max="7683" width="8.875" style="171" bestFit="1" customWidth="1"/>
    <col min="7684" max="7684" width="1.375" style="171" bestFit="1" customWidth="1"/>
    <col min="7685" max="7685" width="9" style="171" bestFit="1"/>
    <col min="7686" max="7686" width="7.25" style="171" bestFit="1" customWidth="1"/>
    <col min="7687" max="7687" width="1" style="171" bestFit="1" customWidth="1"/>
    <col min="7688" max="7688" width="11.125" style="171" bestFit="1" customWidth="1"/>
    <col min="7689" max="7689" width="0.25" style="171" bestFit="1" customWidth="1"/>
    <col min="7690" max="7690" width="2.25" style="171" bestFit="1" customWidth="1"/>
    <col min="7691" max="7691" width="3.625" style="171" bestFit="1" customWidth="1"/>
    <col min="7692" max="7692" width="7.75" style="171" bestFit="1" customWidth="1"/>
    <col min="7693" max="7693" width="0.125" style="171" bestFit="1" customWidth="1"/>
    <col min="7694" max="7936" width="9" style="171"/>
    <col min="7937" max="7937" width="2" style="171" bestFit="1" customWidth="1"/>
    <col min="7938" max="7938" width="7" style="171" bestFit="1" customWidth="1"/>
    <col min="7939" max="7939" width="8.875" style="171" bestFit="1" customWidth="1"/>
    <col min="7940" max="7940" width="1.375" style="171" bestFit="1" customWidth="1"/>
    <col min="7941" max="7941" width="9" style="171" bestFit="1"/>
    <col min="7942" max="7942" width="7.25" style="171" bestFit="1" customWidth="1"/>
    <col min="7943" max="7943" width="1" style="171" bestFit="1" customWidth="1"/>
    <col min="7944" max="7944" width="11.125" style="171" bestFit="1" customWidth="1"/>
    <col min="7945" max="7945" width="0.25" style="171" bestFit="1" customWidth="1"/>
    <col min="7946" max="7946" width="2.25" style="171" bestFit="1" customWidth="1"/>
    <col min="7947" max="7947" width="3.625" style="171" bestFit="1" customWidth="1"/>
    <col min="7948" max="7948" width="7.75" style="171" bestFit="1" customWidth="1"/>
    <col min="7949" max="7949" width="0.125" style="171" bestFit="1" customWidth="1"/>
    <col min="7950" max="8192" width="9" style="171"/>
    <col min="8193" max="8193" width="2" style="171" bestFit="1" customWidth="1"/>
    <col min="8194" max="8194" width="7" style="171" bestFit="1" customWidth="1"/>
    <col min="8195" max="8195" width="8.875" style="171" bestFit="1" customWidth="1"/>
    <col min="8196" max="8196" width="1.375" style="171" bestFit="1" customWidth="1"/>
    <col min="8197" max="8197" width="9" style="171" bestFit="1"/>
    <col min="8198" max="8198" width="7.25" style="171" bestFit="1" customWidth="1"/>
    <col min="8199" max="8199" width="1" style="171" bestFit="1" customWidth="1"/>
    <col min="8200" max="8200" width="11.125" style="171" bestFit="1" customWidth="1"/>
    <col min="8201" max="8201" width="0.25" style="171" bestFit="1" customWidth="1"/>
    <col min="8202" max="8202" width="2.25" style="171" bestFit="1" customWidth="1"/>
    <col min="8203" max="8203" width="3.625" style="171" bestFit="1" customWidth="1"/>
    <col min="8204" max="8204" width="7.75" style="171" bestFit="1" customWidth="1"/>
    <col min="8205" max="8205" width="0.125" style="171" bestFit="1" customWidth="1"/>
    <col min="8206" max="8448" width="9" style="171"/>
    <col min="8449" max="8449" width="2" style="171" bestFit="1" customWidth="1"/>
    <col min="8450" max="8450" width="7" style="171" bestFit="1" customWidth="1"/>
    <col min="8451" max="8451" width="8.875" style="171" bestFit="1" customWidth="1"/>
    <col min="8452" max="8452" width="1.375" style="171" bestFit="1" customWidth="1"/>
    <col min="8453" max="8453" width="9" style="171" bestFit="1"/>
    <col min="8454" max="8454" width="7.25" style="171" bestFit="1" customWidth="1"/>
    <col min="8455" max="8455" width="1" style="171" bestFit="1" customWidth="1"/>
    <col min="8456" max="8456" width="11.125" style="171" bestFit="1" customWidth="1"/>
    <col min="8457" max="8457" width="0.25" style="171" bestFit="1" customWidth="1"/>
    <col min="8458" max="8458" width="2.25" style="171" bestFit="1" customWidth="1"/>
    <col min="8459" max="8459" width="3.625" style="171" bestFit="1" customWidth="1"/>
    <col min="8460" max="8460" width="7.75" style="171" bestFit="1" customWidth="1"/>
    <col min="8461" max="8461" width="0.125" style="171" bestFit="1" customWidth="1"/>
    <col min="8462" max="8704" width="9" style="171"/>
    <col min="8705" max="8705" width="2" style="171" bestFit="1" customWidth="1"/>
    <col min="8706" max="8706" width="7" style="171" bestFit="1" customWidth="1"/>
    <col min="8707" max="8707" width="8.875" style="171" bestFit="1" customWidth="1"/>
    <col min="8708" max="8708" width="1.375" style="171" bestFit="1" customWidth="1"/>
    <col min="8709" max="8709" width="9" style="171" bestFit="1"/>
    <col min="8710" max="8710" width="7.25" style="171" bestFit="1" customWidth="1"/>
    <col min="8711" max="8711" width="1" style="171" bestFit="1" customWidth="1"/>
    <col min="8712" max="8712" width="11.125" style="171" bestFit="1" customWidth="1"/>
    <col min="8713" max="8713" width="0.25" style="171" bestFit="1" customWidth="1"/>
    <col min="8714" max="8714" width="2.25" style="171" bestFit="1" customWidth="1"/>
    <col min="8715" max="8715" width="3.625" style="171" bestFit="1" customWidth="1"/>
    <col min="8716" max="8716" width="7.75" style="171" bestFit="1" customWidth="1"/>
    <col min="8717" max="8717" width="0.125" style="171" bestFit="1" customWidth="1"/>
    <col min="8718" max="8960" width="9" style="171"/>
    <col min="8961" max="8961" width="2" style="171" bestFit="1" customWidth="1"/>
    <col min="8962" max="8962" width="7" style="171" bestFit="1" customWidth="1"/>
    <col min="8963" max="8963" width="8.875" style="171" bestFit="1" customWidth="1"/>
    <col min="8964" max="8964" width="1.375" style="171" bestFit="1" customWidth="1"/>
    <col min="8965" max="8965" width="9" style="171" bestFit="1"/>
    <col min="8966" max="8966" width="7.25" style="171" bestFit="1" customWidth="1"/>
    <col min="8967" max="8967" width="1" style="171" bestFit="1" customWidth="1"/>
    <col min="8968" max="8968" width="11.125" style="171" bestFit="1" customWidth="1"/>
    <col min="8969" max="8969" width="0.25" style="171" bestFit="1" customWidth="1"/>
    <col min="8970" max="8970" width="2.25" style="171" bestFit="1" customWidth="1"/>
    <col min="8971" max="8971" width="3.625" style="171" bestFit="1" customWidth="1"/>
    <col min="8972" max="8972" width="7.75" style="171" bestFit="1" customWidth="1"/>
    <col min="8973" max="8973" width="0.125" style="171" bestFit="1" customWidth="1"/>
    <col min="8974" max="9216" width="9" style="171"/>
    <col min="9217" max="9217" width="2" style="171" bestFit="1" customWidth="1"/>
    <col min="9218" max="9218" width="7" style="171" bestFit="1" customWidth="1"/>
    <col min="9219" max="9219" width="8.875" style="171" bestFit="1" customWidth="1"/>
    <col min="9220" max="9220" width="1.375" style="171" bestFit="1" customWidth="1"/>
    <col min="9221" max="9221" width="9" style="171" bestFit="1"/>
    <col min="9222" max="9222" width="7.25" style="171" bestFit="1" customWidth="1"/>
    <col min="9223" max="9223" width="1" style="171" bestFit="1" customWidth="1"/>
    <col min="9224" max="9224" width="11.125" style="171" bestFit="1" customWidth="1"/>
    <col min="9225" max="9225" width="0.25" style="171" bestFit="1" customWidth="1"/>
    <col min="9226" max="9226" width="2.25" style="171" bestFit="1" customWidth="1"/>
    <col min="9227" max="9227" width="3.625" style="171" bestFit="1" customWidth="1"/>
    <col min="9228" max="9228" width="7.75" style="171" bestFit="1" customWidth="1"/>
    <col min="9229" max="9229" width="0.125" style="171" bestFit="1" customWidth="1"/>
    <col min="9230" max="9472" width="9" style="171"/>
    <col min="9473" max="9473" width="2" style="171" bestFit="1" customWidth="1"/>
    <col min="9474" max="9474" width="7" style="171" bestFit="1" customWidth="1"/>
    <col min="9475" max="9475" width="8.875" style="171" bestFit="1" customWidth="1"/>
    <col min="9476" max="9476" width="1.375" style="171" bestFit="1" customWidth="1"/>
    <col min="9477" max="9477" width="9" style="171" bestFit="1"/>
    <col min="9478" max="9478" width="7.25" style="171" bestFit="1" customWidth="1"/>
    <col min="9479" max="9479" width="1" style="171" bestFit="1" customWidth="1"/>
    <col min="9480" max="9480" width="11.125" style="171" bestFit="1" customWidth="1"/>
    <col min="9481" max="9481" width="0.25" style="171" bestFit="1" customWidth="1"/>
    <col min="9482" max="9482" width="2.25" style="171" bestFit="1" customWidth="1"/>
    <col min="9483" max="9483" width="3.625" style="171" bestFit="1" customWidth="1"/>
    <col min="9484" max="9484" width="7.75" style="171" bestFit="1" customWidth="1"/>
    <col min="9485" max="9485" width="0.125" style="171" bestFit="1" customWidth="1"/>
    <col min="9486" max="9728" width="9" style="171"/>
    <col min="9729" max="9729" width="2" style="171" bestFit="1" customWidth="1"/>
    <col min="9730" max="9730" width="7" style="171" bestFit="1" customWidth="1"/>
    <col min="9731" max="9731" width="8.875" style="171" bestFit="1" customWidth="1"/>
    <col min="9732" max="9732" width="1.375" style="171" bestFit="1" customWidth="1"/>
    <col min="9733" max="9733" width="9" style="171" bestFit="1"/>
    <col min="9734" max="9734" width="7.25" style="171" bestFit="1" customWidth="1"/>
    <col min="9735" max="9735" width="1" style="171" bestFit="1" customWidth="1"/>
    <col min="9736" max="9736" width="11.125" style="171" bestFit="1" customWidth="1"/>
    <col min="9737" max="9737" width="0.25" style="171" bestFit="1" customWidth="1"/>
    <col min="9738" max="9738" width="2.25" style="171" bestFit="1" customWidth="1"/>
    <col min="9739" max="9739" width="3.625" style="171" bestFit="1" customWidth="1"/>
    <col min="9740" max="9740" width="7.75" style="171" bestFit="1" customWidth="1"/>
    <col min="9741" max="9741" width="0.125" style="171" bestFit="1" customWidth="1"/>
    <col min="9742" max="9984" width="9" style="171"/>
    <col min="9985" max="9985" width="2" style="171" bestFit="1" customWidth="1"/>
    <col min="9986" max="9986" width="7" style="171" bestFit="1" customWidth="1"/>
    <col min="9987" max="9987" width="8.875" style="171" bestFit="1" customWidth="1"/>
    <col min="9988" max="9988" width="1.375" style="171" bestFit="1" customWidth="1"/>
    <col min="9989" max="9989" width="9" style="171" bestFit="1"/>
    <col min="9990" max="9990" width="7.25" style="171" bestFit="1" customWidth="1"/>
    <col min="9991" max="9991" width="1" style="171" bestFit="1" customWidth="1"/>
    <col min="9992" max="9992" width="11.125" style="171" bestFit="1" customWidth="1"/>
    <col min="9993" max="9993" width="0.25" style="171" bestFit="1" customWidth="1"/>
    <col min="9994" max="9994" width="2.25" style="171" bestFit="1" customWidth="1"/>
    <col min="9995" max="9995" width="3.625" style="171" bestFit="1" customWidth="1"/>
    <col min="9996" max="9996" width="7.75" style="171" bestFit="1" customWidth="1"/>
    <col min="9997" max="9997" width="0.125" style="171" bestFit="1" customWidth="1"/>
    <col min="9998" max="10240" width="9" style="171"/>
    <col min="10241" max="10241" width="2" style="171" bestFit="1" customWidth="1"/>
    <col min="10242" max="10242" width="7" style="171" bestFit="1" customWidth="1"/>
    <col min="10243" max="10243" width="8.875" style="171" bestFit="1" customWidth="1"/>
    <col min="10244" max="10244" width="1.375" style="171" bestFit="1" customWidth="1"/>
    <col min="10245" max="10245" width="9" style="171" bestFit="1"/>
    <col min="10246" max="10246" width="7.25" style="171" bestFit="1" customWidth="1"/>
    <col min="10247" max="10247" width="1" style="171" bestFit="1" customWidth="1"/>
    <col min="10248" max="10248" width="11.125" style="171" bestFit="1" customWidth="1"/>
    <col min="10249" max="10249" width="0.25" style="171" bestFit="1" customWidth="1"/>
    <col min="10250" max="10250" width="2.25" style="171" bestFit="1" customWidth="1"/>
    <col min="10251" max="10251" width="3.625" style="171" bestFit="1" customWidth="1"/>
    <col min="10252" max="10252" width="7.75" style="171" bestFit="1" customWidth="1"/>
    <col min="10253" max="10253" width="0.125" style="171" bestFit="1" customWidth="1"/>
    <col min="10254" max="10496" width="9" style="171"/>
    <col min="10497" max="10497" width="2" style="171" bestFit="1" customWidth="1"/>
    <col min="10498" max="10498" width="7" style="171" bestFit="1" customWidth="1"/>
    <col min="10499" max="10499" width="8.875" style="171" bestFit="1" customWidth="1"/>
    <col min="10500" max="10500" width="1.375" style="171" bestFit="1" customWidth="1"/>
    <col min="10501" max="10501" width="9" style="171" bestFit="1"/>
    <col min="10502" max="10502" width="7.25" style="171" bestFit="1" customWidth="1"/>
    <col min="10503" max="10503" width="1" style="171" bestFit="1" customWidth="1"/>
    <col min="10504" max="10504" width="11.125" style="171" bestFit="1" customWidth="1"/>
    <col min="10505" max="10505" width="0.25" style="171" bestFit="1" customWidth="1"/>
    <col min="10506" max="10506" width="2.25" style="171" bestFit="1" customWidth="1"/>
    <col min="10507" max="10507" width="3.625" style="171" bestFit="1" customWidth="1"/>
    <col min="10508" max="10508" width="7.75" style="171" bestFit="1" customWidth="1"/>
    <col min="10509" max="10509" width="0.125" style="171" bestFit="1" customWidth="1"/>
    <col min="10510" max="10752" width="9" style="171"/>
    <col min="10753" max="10753" width="2" style="171" bestFit="1" customWidth="1"/>
    <col min="10754" max="10754" width="7" style="171" bestFit="1" customWidth="1"/>
    <col min="10755" max="10755" width="8.875" style="171" bestFit="1" customWidth="1"/>
    <col min="10756" max="10756" width="1.375" style="171" bestFit="1" customWidth="1"/>
    <col min="10757" max="10757" width="9" style="171" bestFit="1"/>
    <col min="10758" max="10758" width="7.25" style="171" bestFit="1" customWidth="1"/>
    <col min="10759" max="10759" width="1" style="171" bestFit="1" customWidth="1"/>
    <col min="10760" max="10760" width="11.125" style="171" bestFit="1" customWidth="1"/>
    <col min="10761" max="10761" width="0.25" style="171" bestFit="1" customWidth="1"/>
    <col min="10762" max="10762" width="2.25" style="171" bestFit="1" customWidth="1"/>
    <col min="10763" max="10763" width="3.625" style="171" bestFit="1" customWidth="1"/>
    <col min="10764" max="10764" width="7.75" style="171" bestFit="1" customWidth="1"/>
    <col min="10765" max="10765" width="0.125" style="171" bestFit="1" customWidth="1"/>
    <col min="10766" max="11008" width="9" style="171"/>
    <col min="11009" max="11009" width="2" style="171" bestFit="1" customWidth="1"/>
    <col min="11010" max="11010" width="7" style="171" bestFit="1" customWidth="1"/>
    <col min="11011" max="11011" width="8.875" style="171" bestFit="1" customWidth="1"/>
    <col min="11012" max="11012" width="1.375" style="171" bestFit="1" customWidth="1"/>
    <col min="11013" max="11013" width="9" style="171" bestFit="1"/>
    <col min="11014" max="11014" width="7.25" style="171" bestFit="1" customWidth="1"/>
    <col min="11015" max="11015" width="1" style="171" bestFit="1" customWidth="1"/>
    <col min="11016" max="11016" width="11.125" style="171" bestFit="1" customWidth="1"/>
    <col min="11017" max="11017" width="0.25" style="171" bestFit="1" customWidth="1"/>
    <col min="11018" max="11018" width="2.25" style="171" bestFit="1" customWidth="1"/>
    <col min="11019" max="11019" width="3.625" style="171" bestFit="1" customWidth="1"/>
    <col min="11020" max="11020" width="7.75" style="171" bestFit="1" customWidth="1"/>
    <col min="11021" max="11021" width="0.125" style="171" bestFit="1" customWidth="1"/>
    <col min="11022" max="11264" width="9" style="171"/>
    <col min="11265" max="11265" width="2" style="171" bestFit="1" customWidth="1"/>
    <col min="11266" max="11266" width="7" style="171" bestFit="1" customWidth="1"/>
    <col min="11267" max="11267" width="8.875" style="171" bestFit="1" customWidth="1"/>
    <col min="11268" max="11268" width="1.375" style="171" bestFit="1" customWidth="1"/>
    <col min="11269" max="11269" width="9" style="171" bestFit="1"/>
    <col min="11270" max="11270" width="7.25" style="171" bestFit="1" customWidth="1"/>
    <col min="11271" max="11271" width="1" style="171" bestFit="1" customWidth="1"/>
    <col min="11272" max="11272" width="11.125" style="171" bestFit="1" customWidth="1"/>
    <col min="11273" max="11273" width="0.25" style="171" bestFit="1" customWidth="1"/>
    <col min="11274" max="11274" width="2.25" style="171" bestFit="1" customWidth="1"/>
    <col min="11275" max="11275" width="3.625" style="171" bestFit="1" customWidth="1"/>
    <col min="11276" max="11276" width="7.75" style="171" bestFit="1" customWidth="1"/>
    <col min="11277" max="11277" width="0.125" style="171" bestFit="1" customWidth="1"/>
    <col min="11278" max="11520" width="9" style="171"/>
    <col min="11521" max="11521" width="2" style="171" bestFit="1" customWidth="1"/>
    <col min="11522" max="11522" width="7" style="171" bestFit="1" customWidth="1"/>
    <col min="11523" max="11523" width="8.875" style="171" bestFit="1" customWidth="1"/>
    <col min="11524" max="11524" width="1.375" style="171" bestFit="1" customWidth="1"/>
    <col min="11525" max="11525" width="9" style="171" bestFit="1"/>
    <col min="11526" max="11526" width="7.25" style="171" bestFit="1" customWidth="1"/>
    <col min="11527" max="11527" width="1" style="171" bestFit="1" customWidth="1"/>
    <col min="11528" max="11528" width="11.125" style="171" bestFit="1" customWidth="1"/>
    <col min="11529" max="11529" width="0.25" style="171" bestFit="1" customWidth="1"/>
    <col min="11530" max="11530" width="2.25" style="171" bestFit="1" customWidth="1"/>
    <col min="11531" max="11531" width="3.625" style="171" bestFit="1" customWidth="1"/>
    <col min="11532" max="11532" width="7.75" style="171" bestFit="1" customWidth="1"/>
    <col min="11533" max="11533" width="0.125" style="171" bestFit="1" customWidth="1"/>
    <col min="11534" max="11776" width="9" style="171"/>
    <col min="11777" max="11777" width="2" style="171" bestFit="1" customWidth="1"/>
    <col min="11778" max="11778" width="7" style="171" bestFit="1" customWidth="1"/>
    <col min="11779" max="11779" width="8.875" style="171" bestFit="1" customWidth="1"/>
    <col min="11780" max="11780" width="1.375" style="171" bestFit="1" customWidth="1"/>
    <col min="11781" max="11781" width="9" style="171" bestFit="1"/>
    <col min="11782" max="11782" width="7.25" style="171" bestFit="1" customWidth="1"/>
    <col min="11783" max="11783" width="1" style="171" bestFit="1" customWidth="1"/>
    <col min="11784" max="11784" width="11.125" style="171" bestFit="1" customWidth="1"/>
    <col min="11785" max="11785" width="0.25" style="171" bestFit="1" customWidth="1"/>
    <col min="11786" max="11786" width="2.25" style="171" bestFit="1" customWidth="1"/>
    <col min="11787" max="11787" width="3.625" style="171" bestFit="1" customWidth="1"/>
    <col min="11788" max="11788" width="7.75" style="171" bestFit="1" customWidth="1"/>
    <col min="11789" max="11789" width="0.125" style="171" bestFit="1" customWidth="1"/>
    <col min="11790" max="12032" width="9" style="171"/>
    <col min="12033" max="12033" width="2" style="171" bestFit="1" customWidth="1"/>
    <col min="12034" max="12034" width="7" style="171" bestFit="1" customWidth="1"/>
    <col min="12035" max="12035" width="8.875" style="171" bestFit="1" customWidth="1"/>
    <col min="12036" max="12036" width="1.375" style="171" bestFit="1" customWidth="1"/>
    <col min="12037" max="12037" width="9" style="171" bestFit="1"/>
    <col min="12038" max="12038" width="7.25" style="171" bestFit="1" customWidth="1"/>
    <col min="12039" max="12039" width="1" style="171" bestFit="1" customWidth="1"/>
    <col min="12040" max="12040" width="11.125" style="171" bestFit="1" customWidth="1"/>
    <col min="12041" max="12041" width="0.25" style="171" bestFit="1" customWidth="1"/>
    <col min="12042" max="12042" width="2.25" style="171" bestFit="1" customWidth="1"/>
    <col min="12043" max="12043" width="3.625" style="171" bestFit="1" customWidth="1"/>
    <col min="12044" max="12044" width="7.75" style="171" bestFit="1" customWidth="1"/>
    <col min="12045" max="12045" width="0.125" style="171" bestFit="1" customWidth="1"/>
    <col min="12046" max="12288" width="9" style="171"/>
    <col min="12289" max="12289" width="2" style="171" bestFit="1" customWidth="1"/>
    <col min="12290" max="12290" width="7" style="171" bestFit="1" customWidth="1"/>
    <col min="12291" max="12291" width="8.875" style="171" bestFit="1" customWidth="1"/>
    <col min="12292" max="12292" width="1.375" style="171" bestFit="1" customWidth="1"/>
    <col min="12293" max="12293" width="9" style="171" bestFit="1"/>
    <col min="12294" max="12294" width="7.25" style="171" bestFit="1" customWidth="1"/>
    <col min="12295" max="12295" width="1" style="171" bestFit="1" customWidth="1"/>
    <col min="12296" max="12296" width="11.125" style="171" bestFit="1" customWidth="1"/>
    <col min="12297" max="12297" width="0.25" style="171" bestFit="1" customWidth="1"/>
    <col min="12298" max="12298" width="2.25" style="171" bestFit="1" customWidth="1"/>
    <col min="12299" max="12299" width="3.625" style="171" bestFit="1" customWidth="1"/>
    <col min="12300" max="12300" width="7.75" style="171" bestFit="1" customWidth="1"/>
    <col min="12301" max="12301" width="0.125" style="171" bestFit="1" customWidth="1"/>
    <col min="12302" max="12544" width="9" style="171"/>
    <col min="12545" max="12545" width="2" style="171" bestFit="1" customWidth="1"/>
    <col min="12546" max="12546" width="7" style="171" bestFit="1" customWidth="1"/>
    <col min="12547" max="12547" width="8.875" style="171" bestFit="1" customWidth="1"/>
    <col min="12548" max="12548" width="1.375" style="171" bestFit="1" customWidth="1"/>
    <col min="12549" max="12549" width="9" style="171" bestFit="1"/>
    <col min="12550" max="12550" width="7.25" style="171" bestFit="1" customWidth="1"/>
    <col min="12551" max="12551" width="1" style="171" bestFit="1" customWidth="1"/>
    <col min="12552" max="12552" width="11.125" style="171" bestFit="1" customWidth="1"/>
    <col min="12553" max="12553" width="0.25" style="171" bestFit="1" customWidth="1"/>
    <col min="12554" max="12554" width="2.25" style="171" bestFit="1" customWidth="1"/>
    <col min="12555" max="12555" width="3.625" style="171" bestFit="1" customWidth="1"/>
    <col min="12556" max="12556" width="7.75" style="171" bestFit="1" customWidth="1"/>
    <col min="12557" max="12557" width="0.125" style="171" bestFit="1" customWidth="1"/>
    <col min="12558" max="12800" width="9" style="171"/>
    <col min="12801" max="12801" width="2" style="171" bestFit="1" customWidth="1"/>
    <col min="12802" max="12802" width="7" style="171" bestFit="1" customWidth="1"/>
    <col min="12803" max="12803" width="8.875" style="171" bestFit="1" customWidth="1"/>
    <col min="12804" max="12804" width="1.375" style="171" bestFit="1" customWidth="1"/>
    <col min="12805" max="12805" width="9" style="171" bestFit="1"/>
    <col min="12806" max="12806" width="7.25" style="171" bestFit="1" customWidth="1"/>
    <col min="12807" max="12807" width="1" style="171" bestFit="1" customWidth="1"/>
    <col min="12808" max="12808" width="11.125" style="171" bestFit="1" customWidth="1"/>
    <col min="12809" max="12809" width="0.25" style="171" bestFit="1" customWidth="1"/>
    <col min="12810" max="12810" width="2.25" style="171" bestFit="1" customWidth="1"/>
    <col min="12811" max="12811" width="3.625" style="171" bestFit="1" customWidth="1"/>
    <col min="12812" max="12812" width="7.75" style="171" bestFit="1" customWidth="1"/>
    <col min="12813" max="12813" width="0.125" style="171" bestFit="1" customWidth="1"/>
    <col min="12814" max="13056" width="9" style="171"/>
    <col min="13057" max="13057" width="2" style="171" bestFit="1" customWidth="1"/>
    <col min="13058" max="13058" width="7" style="171" bestFit="1" customWidth="1"/>
    <col min="13059" max="13059" width="8.875" style="171" bestFit="1" customWidth="1"/>
    <col min="13060" max="13060" width="1.375" style="171" bestFit="1" customWidth="1"/>
    <col min="13061" max="13061" width="9" style="171" bestFit="1"/>
    <col min="13062" max="13062" width="7.25" style="171" bestFit="1" customWidth="1"/>
    <col min="13063" max="13063" width="1" style="171" bestFit="1" customWidth="1"/>
    <col min="13064" max="13064" width="11.125" style="171" bestFit="1" customWidth="1"/>
    <col min="13065" max="13065" width="0.25" style="171" bestFit="1" customWidth="1"/>
    <col min="13066" max="13066" width="2.25" style="171" bestFit="1" customWidth="1"/>
    <col min="13067" max="13067" width="3.625" style="171" bestFit="1" customWidth="1"/>
    <col min="13068" max="13068" width="7.75" style="171" bestFit="1" customWidth="1"/>
    <col min="13069" max="13069" width="0.125" style="171" bestFit="1" customWidth="1"/>
    <col min="13070" max="13312" width="9" style="171"/>
    <col min="13313" max="13313" width="2" style="171" bestFit="1" customWidth="1"/>
    <col min="13314" max="13314" width="7" style="171" bestFit="1" customWidth="1"/>
    <col min="13315" max="13315" width="8.875" style="171" bestFit="1" customWidth="1"/>
    <col min="13316" max="13316" width="1.375" style="171" bestFit="1" customWidth="1"/>
    <col min="13317" max="13317" width="9" style="171" bestFit="1"/>
    <col min="13318" max="13318" width="7.25" style="171" bestFit="1" customWidth="1"/>
    <col min="13319" max="13319" width="1" style="171" bestFit="1" customWidth="1"/>
    <col min="13320" max="13320" width="11.125" style="171" bestFit="1" customWidth="1"/>
    <col min="13321" max="13321" width="0.25" style="171" bestFit="1" customWidth="1"/>
    <col min="13322" max="13322" width="2.25" style="171" bestFit="1" customWidth="1"/>
    <col min="13323" max="13323" width="3.625" style="171" bestFit="1" customWidth="1"/>
    <col min="13324" max="13324" width="7.75" style="171" bestFit="1" customWidth="1"/>
    <col min="13325" max="13325" width="0.125" style="171" bestFit="1" customWidth="1"/>
    <col min="13326" max="13568" width="9" style="171"/>
    <col min="13569" max="13569" width="2" style="171" bestFit="1" customWidth="1"/>
    <col min="13570" max="13570" width="7" style="171" bestFit="1" customWidth="1"/>
    <col min="13571" max="13571" width="8.875" style="171" bestFit="1" customWidth="1"/>
    <col min="13572" max="13572" width="1.375" style="171" bestFit="1" customWidth="1"/>
    <col min="13573" max="13573" width="9" style="171" bestFit="1"/>
    <col min="13574" max="13574" width="7.25" style="171" bestFit="1" customWidth="1"/>
    <col min="13575" max="13575" width="1" style="171" bestFit="1" customWidth="1"/>
    <col min="13576" max="13576" width="11.125" style="171" bestFit="1" customWidth="1"/>
    <col min="13577" max="13577" width="0.25" style="171" bestFit="1" customWidth="1"/>
    <col min="13578" max="13578" width="2.25" style="171" bestFit="1" customWidth="1"/>
    <col min="13579" max="13579" width="3.625" style="171" bestFit="1" customWidth="1"/>
    <col min="13580" max="13580" width="7.75" style="171" bestFit="1" customWidth="1"/>
    <col min="13581" max="13581" width="0.125" style="171" bestFit="1" customWidth="1"/>
    <col min="13582" max="13824" width="9" style="171"/>
    <col min="13825" max="13825" width="2" style="171" bestFit="1" customWidth="1"/>
    <col min="13826" max="13826" width="7" style="171" bestFit="1" customWidth="1"/>
    <col min="13827" max="13827" width="8.875" style="171" bestFit="1" customWidth="1"/>
    <col min="13828" max="13828" width="1.375" style="171" bestFit="1" customWidth="1"/>
    <col min="13829" max="13829" width="9" style="171" bestFit="1"/>
    <col min="13830" max="13830" width="7.25" style="171" bestFit="1" customWidth="1"/>
    <col min="13831" max="13831" width="1" style="171" bestFit="1" customWidth="1"/>
    <col min="13832" max="13832" width="11.125" style="171" bestFit="1" customWidth="1"/>
    <col min="13833" max="13833" width="0.25" style="171" bestFit="1" customWidth="1"/>
    <col min="13834" max="13834" width="2.25" style="171" bestFit="1" customWidth="1"/>
    <col min="13835" max="13835" width="3.625" style="171" bestFit="1" customWidth="1"/>
    <col min="13836" max="13836" width="7.75" style="171" bestFit="1" customWidth="1"/>
    <col min="13837" max="13837" width="0.125" style="171" bestFit="1" customWidth="1"/>
    <col min="13838" max="14080" width="9" style="171"/>
    <col min="14081" max="14081" width="2" style="171" bestFit="1" customWidth="1"/>
    <col min="14082" max="14082" width="7" style="171" bestFit="1" customWidth="1"/>
    <col min="14083" max="14083" width="8.875" style="171" bestFit="1" customWidth="1"/>
    <col min="14084" max="14084" width="1.375" style="171" bestFit="1" customWidth="1"/>
    <col min="14085" max="14085" width="9" style="171" bestFit="1"/>
    <col min="14086" max="14086" width="7.25" style="171" bestFit="1" customWidth="1"/>
    <col min="14087" max="14087" width="1" style="171" bestFit="1" customWidth="1"/>
    <col min="14088" max="14088" width="11.125" style="171" bestFit="1" customWidth="1"/>
    <col min="14089" max="14089" width="0.25" style="171" bestFit="1" customWidth="1"/>
    <col min="14090" max="14090" width="2.25" style="171" bestFit="1" customWidth="1"/>
    <col min="14091" max="14091" width="3.625" style="171" bestFit="1" customWidth="1"/>
    <col min="14092" max="14092" width="7.75" style="171" bestFit="1" customWidth="1"/>
    <col min="14093" max="14093" width="0.125" style="171" bestFit="1" customWidth="1"/>
    <col min="14094" max="14336" width="9" style="171"/>
    <col min="14337" max="14337" width="2" style="171" bestFit="1" customWidth="1"/>
    <col min="14338" max="14338" width="7" style="171" bestFit="1" customWidth="1"/>
    <col min="14339" max="14339" width="8.875" style="171" bestFit="1" customWidth="1"/>
    <col min="14340" max="14340" width="1.375" style="171" bestFit="1" customWidth="1"/>
    <col min="14341" max="14341" width="9" style="171" bestFit="1"/>
    <col min="14342" max="14342" width="7.25" style="171" bestFit="1" customWidth="1"/>
    <col min="14343" max="14343" width="1" style="171" bestFit="1" customWidth="1"/>
    <col min="14344" max="14344" width="11.125" style="171" bestFit="1" customWidth="1"/>
    <col min="14345" max="14345" width="0.25" style="171" bestFit="1" customWidth="1"/>
    <col min="14346" max="14346" width="2.25" style="171" bestFit="1" customWidth="1"/>
    <col min="14347" max="14347" width="3.625" style="171" bestFit="1" customWidth="1"/>
    <col min="14348" max="14348" width="7.75" style="171" bestFit="1" customWidth="1"/>
    <col min="14349" max="14349" width="0.125" style="171" bestFit="1" customWidth="1"/>
    <col min="14350" max="14592" width="9" style="171"/>
    <col min="14593" max="14593" width="2" style="171" bestFit="1" customWidth="1"/>
    <col min="14594" max="14594" width="7" style="171" bestFit="1" customWidth="1"/>
    <col min="14595" max="14595" width="8.875" style="171" bestFit="1" customWidth="1"/>
    <col min="14596" max="14596" width="1.375" style="171" bestFit="1" customWidth="1"/>
    <col min="14597" max="14597" width="9" style="171" bestFit="1"/>
    <col min="14598" max="14598" width="7.25" style="171" bestFit="1" customWidth="1"/>
    <col min="14599" max="14599" width="1" style="171" bestFit="1" customWidth="1"/>
    <col min="14600" max="14600" width="11.125" style="171" bestFit="1" customWidth="1"/>
    <col min="14601" max="14601" width="0.25" style="171" bestFit="1" customWidth="1"/>
    <col min="14602" max="14602" width="2.25" style="171" bestFit="1" customWidth="1"/>
    <col min="14603" max="14603" width="3.625" style="171" bestFit="1" customWidth="1"/>
    <col min="14604" max="14604" width="7.75" style="171" bestFit="1" customWidth="1"/>
    <col min="14605" max="14605" width="0.125" style="171" bestFit="1" customWidth="1"/>
    <col min="14606" max="14848" width="9" style="171"/>
    <col min="14849" max="14849" width="2" style="171" bestFit="1" customWidth="1"/>
    <col min="14850" max="14850" width="7" style="171" bestFit="1" customWidth="1"/>
    <col min="14851" max="14851" width="8.875" style="171" bestFit="1" customWidth="1"/>
    <col min="14852" max="14852" width="1.375" style="171" bestFit="1" customWidth="1"/>
    <col min="14853" max="14853" width="9" style="171" bestFit="1"/>
    <col min="14854" max="14854" width="7.25" style="171" bestFit="1" customWidth="1"/>
    <col min="14855" max="14855" width="1" style="171" bestFit="1" customWidth="1"/>
    <col min="14856" max="14856" width="11.125" style="171" bestFit="1" customWidth="1"/>
    <col min="14857" max="14857" width="0.25" style="171" bestFit="1" customWidth="1"/>
    <col min="14858" max="14858" width="2.25" style="171" bestFit="1" customWidth="1"/>
    <col min="14859" max="14859" width="3.625" style="171" bestFit="1" customWidth="1"/>
    <col min="14860" max="14860" width="7.75" style="171" bestFit="1" customWidth="1"/>
    <col min="14861" max="14861" width="0.125" style="171" bestFit="1" customWidth="1"/>
    <col min="14862" max="15104" width="9" style="171"/>
    <col min="15105" max="15105" width="2" style="171" bestFit="1" customWidth="1"/>
    <col min="15106" max="15106" width="7" style="171" bestFit="1" customWidth="1"/>
    <col min="15107" max="15107" width="8.875" style="171" bestFit="1" customWidth="1"/>
    <col min="15108" max="15108" width="1.375" style="171" bestFit="1" customWidth="1"/>
    <col min="15109" max="15109" width="9" style="171" bestFit="1"/>
    <col min="15110" max="15110" width="7.25" style="171" bestFit="1" customWidth="1"/>
    <col min="15111" max="15111" width="1" style="171" bestFit="1" customWidth="1"/>
    <col min="15112" max="15112" width="11.125" style="171" bestFit="1" customWidth="1"/>
    <col min="15113" max="15113" width="0.25" style="171" bestFit="1" customWidth="1"/>
    <col min="15114" max="15114" width="2.25" style="171" bestFit="1" customWidth="1"/>
    <col min="15115" max="15115" width="3.625" style="171" bestFit="1" customWidth="1"/>
    <col min="15116" max="15116" width="7.75" style="171" bestFit="1" customWidth="1"/>
    <col min="15117" max="15117" width="0.125" style="171" bestFit="1" customWidth="1"/>
    <col min="15118" max="15360" width="9" style="171"/>
    <col min="15361" max="15361" width="2" style="171" bestFit="1" customWidth="1"/>
    <col min="15362" max="15362" width="7" style="171" bestFit="1" customWidth="1"/>
    <col min="15363" max="15363" width="8.875" style="171" bestFit="1" customWidth="1"/>
    <col min="15364" max="15364" width="1.375" style="171" bestFit="1" customWidth="1"/>
    <col min="15365" max="15365" width="9" style="171" bestFit="1"/>
    <col min="15366" max="15366" width="7.25" style="171" bestFit="1" customWidth="1"/>
    <col min="15367" max="15367" width="1" style="171" bestFit="1" customWidth="1"/>
    <col min="15368" max="15368" width="11.125" style="171" bestFit="1" customWidth="1"/>
    <col min="15369" max="15369" width="0.25" style="171" bestFit="1" customWidth="1"/>
    <col min="15370" max="15370" width="2.25" style="171" bestFit="1" customWidth="1"/>
    <col min="15371" max="15371" width="3.625" style="171" bestFit="1" customWidth="1"/>
    <col min="15372" max="15372" width="7.75" style="171" bestFit="1" customWidth="1"/>
    <col min="15373" max="15373" width="0.125" style="171" bestFit="1" customWidth="1"/>
    <col min="15374" max="15616" width="9" style="171"/>
    <col min="15617" max="15617" width="2" style="171" bestFit="1" customWidth="1"/>
    <col min="15618" max="15618" width="7" style="171" bestFit="1" customWidth="1"/>
    <col min="15619" max="15619" width="8.875" style="171" bestFit="1" customWidth="1"/>
    <col min="15620" max="15620" width="1.375" style="171" bestFit="1" customWidth="1"/>
    <col min="15621" max="15621" width="9" style="171" bestFit="1"/>
    <col min="15622" max="15622" width="7.25" style="171" bestFit="1" customWidth="1"/>
    <col min="15623" max="15623" width="1" style="171" bestFit="1" customWidth="1"/>
    <col min="15624" max="15624" width="11.125" style="171" bestFit="1" customWidth="1"/>
    <col min="15625" max="15625" width="0.25" style="171" bestFit="1" customWidth="1"/>
    <col min="15626" max="15626" width="2.25" style="171" bestFit="1" customWidth="1"/>
    <col min="15627" max="15627" width="3.625" style="171" bestFit="1" customWidth="1"/>
    <col min="15628" max="15628" width="7.75" style="171" bestFit="1" customWidth="1"/>
    <col min="15629" max="15629" width="0.125" style="171" bestFit="1" customWidth="1"/>
    <col min="15630" max="15872" width="9" style="171"/>
    <col min="15873" max="15873" width="2" style="171" bestFit="1" customWidth="1"/>
    <col min="15874" max="15874" width="7" style="171" bestFit="1" customWidth="1"/>
    <col min="15875" max="15875" width="8.875" style="171" bestFit="1" customWidth="1"/>
    <col min="15876" max="15876" width="1.375" style="171" bestFit="1" customWidth="1"/>
    <col min="15877" max="15877" width="9" style="171" bestFit="1"/>
    <col min="15878" max="15878" width="7.25" style="171" bestFit="1" customWidth="1"/>
    <col min="15879" max="15879" width="1" style="171" bestFit="1" customWidth="1"/>
    <col min="15880" max="15880" width="11.125" style="171" bestFit="1" customWidth="1"/>
    <col min="15881" max="15881" width="0.25" style="171" bestFit="1" customWidth="1"/>
    <col min="15882" max="15882" width="2.25" style="171" bestFit="1" customWidth="1"/>
    <col min="15883" max="15883" width="3.625" style="171" bestFit="1" customWidth="1"/>
    <col min="15884" max="15884" width="7.75" style="171" bestFit="1" customWidth="1"/>
    <col min="15885" max="15885" width="0.125" style="171" bestFit="1" customWidth="1"/>
    <col min="15886" max="16128" width="9" style="171"/>
    <col min="16129" max="16129" width="2" style="171" bestFit="1" customWidth="1"/>
    <col min="16130" max="16130" width="7" style="171" bestFit="1" customWidth="1"/>
    <col min="16131" max="16131" width="8.875" style="171" bestFit="1" customWidth="1"/>
    <col min="16132" max="16132" width="1.375" style="171" bestFit="1" customWidth="1"/>
    <col min="16133" max="16133" width="9" style="171" bestFit="1"/>
    <col min="16134" max="16134" width="7.25" style="171" bestFit="1" customWidth="1"/>
    <col min="16135" max="16135" width="1" style="171" bestFit="1" customWidth="1"/>
    <col min="16136" max="16136" width="11.125" style="171" bestFit="1" customWidth="1"/>
    <col min="16137" max="16137" width="0.25" style="171" bestFit="1" customWidth="1"/>
    <col min="16138" max="16138" width="2.25" style="171" bestFit="1" customWidth="1"/>
    <col min="16139" max="16139" width="3.625" style="171" bestFit="1" customWidth="1"/>
    <col min="16140" max="16140" width="7.75" style="171" bestFit="1" customWidth="1"/>
    <col min="16141" max="16141" width="0.125" style="171" bestFit="1" customWidth="1"/>
    <col min="16142" max="16384" width="9" style="171"/>
  </cols>
  <sheetData>
    <row r="1" spans="1:13">
      <c r="A1" s="344" t="s">
        <v>1199</v>
      </c>
      <c r="B1" s="345"/>
      <c r="C1" s="345"/>
      <c r="D1" s="345"/>
      <c r="E1" s="345"/>
      <c r="F1" s="345"/>
      <c r="G1" s="345"/>
      <c r="H1" s="345"/>
      <c r="I1" s="345"/>
      <c r="J1" s="345"/>
      <c r="K1" s="345"/>
      <c r="L1" s="345"/>
      <c r="M1" s="346"/>
    </row>
    <row r="2" spans="1:13">
      <c r="A2" s="172"/>
      <c r="B2" s="173"/>
      <c r="C2" s="174"/>
      <c r="D2" s="174"/>
      <c r="E2" s="174"/>
      <c r="F2" s="174"/>
      <c r="G2" s="174"/>
      <c r="H2" s="174"/>
      <c r="I2" s="174"/>
      <c r="J2" s="173"/>
      <c r="K2" s="173"/>
      <c r="L2" s="173"/>
      <c r="M2" s="175"/>
    </row>
    <row r="3" spans="1:13">
      <c r="A3" s="176"/>
      <c r="B3" s="177"/>
      <c r="C3" s="177"/>
      <c r="D3" s="177"/>
      <c r="E3" s="177"/>
      <c r="F3" s="177"/>
      <c r="G3" s="177"/>
      <c r="H3" s="341" t="s">
        <v>1200</v>
      </c>
      <c r="I3" s="341" t="s">
        <v>1201</v>
      </c>
      <c r="J3" s="342"/>
      <c r="K3" s="341" t="s">
        <v>1259</v>
      </c>
      <c r="L3" s="342"/>
      <c r="M3" s="343"/>
    </row>
    <row r="4" spans="1:13" ht="12.75" customHeight="1">
      <c r="A4" s="176"/>
      <c r="B4" s="183" t="s">
        <v>1203</v>
      </c>
      <c r="C4" s="301"/>
      <c r="D4" s="183" t="s">
        <v>1201</v>
      </c>
      <c r="E4" s="183" t="s">
        <v>1260</v>
      </c>
      <c r="F4" s="300"/>
      <c r="G4" s="177"/>
      <c r="H4" s="342"/>
      <c r="I4" s="342"/>
      <c r="J4" s="342"/>
      <c r="K4" s="342"/>
      <c r="L4" s="342"/>
      <c r="M4" s="343"/>
    </row>
    <row r="5" spans="1:13">
      <c r="A5" s="176"/>
      <c r="B5" s="300"/>
      <c r="C5" s="300"/>
      <c r="D5" s="300"/>
      <c r="E5" s="300"/>
      <c r="F5" s="300"/>
      <c r="G5" s="177"/>
      <c r="H5" s="177"/>
      <c r="I5" s="177"/>
      <c r="J5" s="177"/>
      <c r="K5" s="177"/>
      <c r="L5" s="177"/>
      <c r="M5" s="175"/>
    </row>
    <row r="6" spans="1:13" ht="26.45">
      <c r="A6" s="176"/>
      <c r="B6" s="341" t="s">
        <v>1205</v>
      </c>
      <c r="C6" s="342"/>
      <c r="D6" s="178" t="s">
        <v>1201</v>
      </c>
      <c r="E6" s="341" t="s">
        <v>1214</v>
      </c>
      <c r="F6" s="342"/>
      <c r="G6" s="177"/>
      <c r="H6" s="178" t="s">
        <v>1207</v>
      </c>
      <c r="I6" s="341" t="s">
        <v>1201</v>
      </c>
      <c r="J6" s="342"/>
      <c r="K6" s="341" t="s">
        <v>1261</v>
      </c>
      <c r="L6" s="342"/>
      <c r="M6" s="343"/>
    </row>
    <row r="7" spans="1:13" ht="13.9" thickBot="1">
      <c r="A7" s="176"/>
      <c r="B7" s="341" t="s">
        <v>1208</v>
      </c>
      <c r="C7" s="342"/>
      <c r="D7" s="178" t="s">
        <v>1201</v>
      </c>
      <c r="E7" s="341" t="s">
        <v>1262</v>
      </c>
      <c r="F7" s="342"/>
      <c r="G7" s="177"/>
      <c r="H7" s="178" t="s">
        <v>1210</v>
      </c>
      <c r="I7" s="341" t="s">
        <v>1201</v>
      </c>
      <c r="J7" s="342"/>
      <c r="K7" s="341" t="s">
        <v>1211</v>
      </c>
      <c r="L7" s="342"/>
      <c r="M7" s="343"/>
    </row>
    <row r="8" spans="1:13">
      <c r="A8" s="176"/>
      <c r="B8" s="177"/>
      <c r="C8" s="338" t="s">
        <v>1212</v>
      </c>
      <c r="D8" s="339"/>
      <c r="E8" s="339"/>
      <c r="F8" s="339" t="s">
        <v>1213</v>
      </c>
      <c r="G8" s="339"/>
      <c r="H8" s="339"/>
      <c r="I8" s="340"/>
      <c r="J8" s="177"/>
      <c r="K8" s="177"/>
      <c r="L8" s="177"/>
      <c r="M8" s="175"/>
    </row>
    <row r="9" spans="1:13">
      <c r="A9" s="176"/>
      <c r="B9" s="177"/>
      <c r="C9" s="332" t="s">
        <v>1214</v>
      </c>
      <c r="D9" s="333"/>
      <c r="E9" s="333"/>
      <c r="F9" s="333" t="s">
        <v>1206</v>
      </c>
      <c r="G9" s="333"/>
      <c r="H9" s="333"/>
      <c r="I9" s="334"/>
      <c r="J9" s="177"/>
      <c r="K9" s="177"/>
      <c r="L9" s="177"/>
      <c r="M9" s="175"/>
    </row>
    <row r="10" spans="1:13">
      <c r="A10" s="176"/>
      <c r="B10" s="177"/>
      <c r="C10" s="332" t="s">
        <v>1206</v>
      </c>
      <c r="D10" s="333"/>
      <c r="E10" s="333"/>
      <c r="F10" s="333" t="s">
        <v>1206</v>
      </c>
      <c r="G10" s="333"/>
      <c r="H10" s="333"/>
      <c r="I10" s="334"/>
      <c r="J10" s="177"/>
      <c r="K10" s="177"/>
      <c r="L10" s="177"/>
      <c r="M10" s="175"/>
    </row>
    <row r="11" spans="1:13">
      <c r="A11" s="176"/>
      <c r="B11" s="177"/>
      <c r="C11" s="332" t="s">
        <v>1215</v>
      </c>
      <c r="D11" s="333"/>
      <c r="E11" s="333"/>
      <c r="F11" s="333" t="s">
        <v>1206</v>
      </c>
      <c r="G11" s="333"/>
      <c r="H11" s="333"/>
      <c r="I11" s="334"/>
      <c r="J11" s="177"/>
      <c r="K11" s="177"/>
      <c r="L11" s="177"/>
      <c r="M11" s="175"/>
    </row>
    <row r="12" spans="1:13">
      <c r="A12" s="176"/>
      <c r="B12" s="177"/>
      <c r="C12" s="332" t="s">
        <v>1216</v>
      </c>
      <c r="D12" s="333"/>
      <c r="E12" s="333"/>
      <c r="F12" s="333" t="s">
        <v>1206</v>
      </c>
      <c r="G12" s="333"/>
      <c r="H12" s="333"/>
      <c r="I12" s="334"/>
      <c r="J12" s="177"/>
      <c r="K12" s="177"/>
      <c r="L12" s="177"/>
      <c r="M12" s="175"/>
    </row>
    <row r="13" spans="1:13">
      <c r="A13" s="176"/>
      <c r="B13" s="177"/>
      <c r="C13" s="332" t="s">
        <v>1217</v>
      </c>
      <c r="D13" s="333"/>
      <c r="E13" s="333"/>
      <c r="F13" s="333" t="s">
        <v>1206</v>
      </c>
      <c r="G13" s="333"/>
      <c r="H13" s="333"/>
      <c r="I13" s="334"/>
      <c r="J13" s="177"/>
      <c r="K13" s="177"/>
      <c r="L13" s="177"/>
      <c r="M13" s="175"/>
    </row>
    <row r="14" spans="1:13">
      <c r="A14" s="176"/>
      <c r="B14" s="177"/>
      <c r="C14" s="332" t="s">
        <v>1218</v>
      </c>
      <c r="D14" s="333"/>
      <c r="E14" s="333"/>
      <c r="F14" s="333" t="s">
        <v>1206</v>
      </c>
      <c r="G14" s="333"/>
      <c r="H14" s="333"/>
      <c r="I14" s="334"/>
      <c r="J14" s="177"/>
      <c r="K14" s="177"/>
      <c r="L14" s="177"/>
      <c r="M14" s="175"/>
    </row>
    <row r="15" spans="1:13">
      <c r="A15" s="176"/>
      <c r="B15" s="177"/>
      <c r="C15" s="332" t="s">
        <v>1219</v>
      </c>
      <c r="D15" s="333"/>
      <c r="E15" s="333"/>
      <c r="F15" s="333" t="s">
        <v>1206</v>
      </c>
      <c r="G15" s="333"/>
      <c r="H15" s="333"/>
      <c r="I15" s="334"/>
      <c r="J15" s="177"/>
      <c r="K15" s="177"/>
      <c r="L15" s="177"/>
      <c r="M15" s="175"/>
    </row>
    <row r="16" spans="1:13">
      <c r="A16" s="176"/>
      <c r="B16" s="177"/>
      <c r="C16" s="332" t="s">
        <v>1220</v>
      </c>
      <c r="D16" s="333"/>
      <c r="E16" s="333"/>
      <c r="F16" s="333" t="s">
        <v>1206</v>
      </c>
      <c r="G16" s="333"/>
      <c r="H16" s="333"/>
      <c r="I16" s="334"/>
      <c r="J16" s="177"/>
      <c r="K16" s="177"/>
      <c r="L16" s="177"/>
      <c r="M16" s="175"/>
    </row>
    <row r="17" spans="1:13">
      <c r="A17" s="176"/>
      <c r="B17" s="177"/>
      <c r="C17" s="332" t="s">
        <v>1221</v>
      </c>
      <c r="D17" s="333"/>
      <c r="E17" s="333"/>
      <c r="F17" s="333" t="s">
        <v>1206</v>
      </c>
      <c r="G17" s="333"/>
      <c r="H17" s="333"/>
      <c r="I17" s="334"/>
      <c r="J17" s="177"/>
      <c r="K17" s="177"/>
      <c r="L17" s="177"/>
      <c r="M17" s="175"/>
    </row>
    <row r="18" spans="1:13">
      <c r="A18" s="176"/>
      <c r="B18" s="177"/>
      <c r="C18" s="332" t="s">
        <v>1222</v>
      </c>
      <c r="D18" s="333"/>
      <c r="E18" s="333"/>
      <c r="F18" s="333" t="s">
        <v>1206</v>
      </c>
      <c r="G18" s="333"/>
      <c r="H18" s="333"/>
      <c r="I18" s="334"/>
      <c r="J18" s="177"/>
      <c r="K18" s="177"/>
      <c r="L18" s="177"/>
      <c r="M18" s="175"/>
    </row>
    <row r="19" spans="1:13">
      <c r="A19" s="176"/>
      <c r="B19" s="177"/>
      <c r="C19" s="332" t="s">
        <v>1223</v>
      </c>
      <c r="D19" s="333"/>
      <c r="E19" s="333"/>
      <c r="F19" s="333" t="s">
        <v>1206</v>
      </c>
      <c r="G19" s="333"/>
      <c r="H19" s="333"/>
      <c r="I19" s="334"/>
      <c r="J19" s="177"/>
      <c r="K19" s="177"/>
      <c r="L19" s="177"/>
      <c r="M19" s="175"/>
    </row>
    <row r="20" spans="1:13">
      <c r="A20" s="176"/>
      <c r="B20" s="177"/>
      <c r="C20" s="332" t="s">
        <v>1224</v>
      </c>
      <c r="D20" s="333"/>
      <c r="E20" s="333"/>
      <c r="F20" s="333" t="s">
        <v>1206</v>
      </c>
      <c r="G20" s="333"/>
      <c r="H20" s="333"/>
      <c r="I20" s="334"/>
      <c r="J20" s="177"/>
      <c r="K20" s="177"/>
      <c r="L20" s="177"/>
      <c r="M20" s="175"/>
    </row>
    <row r="21" spans="1:13">
      <c r="A21" s="176"/>
      <c r="B21" s="177"/>
      <c r="C21" s="332" t="s">
        <v>1225</v>
      </c>
      <c r="D21" s="333"/>
      <c r="E21" s="333"/>
      <c r="F21" s="333" t="s">
        <v>1206</v>
      </c>
      <c r="G21" s="333"/>
      <c r="H21" s="333"/>
      <c r="I21" s="334"/>
      <c r="J21" s="177"/>
      <c r="K21" s="177"/>
      <c r="L21" s="177"/>
      <c r="M21" s="175"/>
    </row>
    <row r="22" spans="1:13">
      <c r="A22" s="176"/>
      <c r="B22" s="177"/>
      <c r="C22" s="332" t="s">
        <v>1226</v>
      </c>
      <c r="D22" s="333"/>
      <c r="E22" s="333"/>
      <c r="F22" s="333" t="s">
        <v>1206</v>
      </c>
      <c r="G22" s="333"/>
      <c r="H22" s="333"/>
      <c r="I22" s="334"/>
      <c r="J22" s="177"/>
      <c r="K22" s="177"/>
      <c r="L22" s="177"/>
      <c r="M22" s="175"/>
    </row>
    <row r="23" spans="1:13">
      <c r="A23" s="176"/>
      <c r="B23" s="177"/>
      <c r="C23" s="332" t="s">
        <v>1227</v>
      </c>
      <c r="D23" s="333"/>
      <c r="E23" s="333"/>
      <c r="F23" s="333" t="s">
        <v>1206</v>
      </c>
      <c r="G23" s="333"/>
      <c r="H23" s="333"/>
      <c r="I23" s="334"/>
      <c r="J23" s="177"/>
      <c r="K23" s="177"/>
      <c r="L23" s="177"/>
      <c r="M23" s="175"/>
    </row>
    <row r="24" spans="1:13">
      <c r="A24" s="176"/>
      <c r="B24" s="177"/>
      <c r="C24" s="332" t="s">
        <v>1228</v>
      </c>
      <c r="D24" s="333"/>
      <c r="E24" s="333"/>
      <c r="F24" s="333" t="s">
        <v>1206</v>
      </c>
      <c r="G24" s="333"/>
      <c r="H24" s="333"/>
      <c r="I24" s="334"/>
      <c r="J24" s="177"/>
      <c r="K24" s="177"/>
      <c r="L24" s="177"/>
      <c r="M24" s="175"/>
    </row>
    <row r="25" spans="1:13">
      <c r="A25" s="176"/>
      <c r="B25" s="177"/>
      <c r="C25" s="332" t="s">
        <v>1229</v>
      </c>
      <c r="D25" s="333"/>
      <c r="E25" s="333"/>
      <c r="F25" s="333" t="s">
        <v>1206</v>
      </c>
      <c r="G25" s="333"/>
      <c r="H25" s="333"/>
      <c r="I25" s="334"/>
      <c r="J25" s="177"/>
      <c r="K25" s="177"/>
      <c r="L25" s="177"/>
      <c r="M25" s="175"/>
    </row>
    <row r="26" spans="1:13">
      <c r="A26" s="176"/>
      <c r="B26" s="177"/>
      <c r="C26" s="332" t="s">
        <v>1230</v>
      </c>
      <c r="D26" s="333"/>
      <c r="E26" s="333"/>
      <c r="F26" s="333" t="s">
        <v>1206</v>
      </c>
      <c r="G26" s="333"/>
      <c r="H26" s="333"/>
      <c r="I26" s="334"/>
      <c r="J26" s="177"/>
      <c r="K26" s="177"/>
      <c r="L26" s="177"/>
      <c r="M26" s="175"/>
    </row>
    <row r="27" spans="1:13">
      <c r="A27" s="176"/>
      <c r="B27" s="177"/>
      <c r="C27" s="332" t="s">
        <v>1231</v>
      </c>
      <c r="D27" s="333"/>
      <c r="E27" s="333"/>
      <c r="F27" s="333" t="s">
        <v>1206</v>
      </c>
      <c r="G27" s="333"/>
      <c r="H27" s="333"/>
      <c r="I27" s="334"/>
      <c r="J27" s="177"/>
      <c r="K27" s="177"/>
      <c r="L27" s="177"/>
      <c r="M27" s="175"/>
    </row>
    <row r="28" spans="1:13">
      <c r="A28" s="176"/>
      <c r="B28" s="177"/>
      <c r="C28" s="332" t="s">
        <v>1232</v>
      </c>
      <c r="D28" s="333"/>
      <c r="E28" s="333"/>
      <c r="F28" s="333" t="s">
        <v>1206</v>
      </c>
      <c r="G28" s="333"/>
      <c r="H28" s="333"/>
      <c r="I28" s="334"/>
      <c r="J28" s="177"/>
      <c r="K28" s="177"/>
      <c r="L28" s="177"/>
      <c r="M28" s="175"/>
    </row>
    <row r="29" spans="1:13">
      <c r="A29" s="176"/>
      <c r="B29" s="177"/>
      <c r="C29" s="332" t="s">
        <v>1233</v>
      </c>
      <c r="D29" s="333"/>
      <c r="E29" s="333"/>
      <c r="F29" s="333" t="s">
        <v>1206</v>
      </c>
      <c r="G29" s="333"/>
      <c r="H29" s="333"/>
      <c r="I29" s="334"/>
      <c r="J29" s="177"/>
      <c r="K29" s="177"/>
      <c r="L29" s="177"/>
      <c r="M29" s="175"/>
    </row>
    <row r="30" spans="1:13">
      <c r="A30" s="176"/>
      <c r="B30" s="177"/>
      <c r="C30" s="332" t="s">
        <v>1234</v>
      </c>
      <c r="D30" s="333"/>
      <c r="E30" s="333"/>
      <c r="F30" s="333" t="s">
        <v>1206</v>
      </c>
      <c r="G30" s="333"/>
      <c r="H30" s="333"/>
      <c r="I30" s="334"/>
      <c r="J30" s="177"/>
      <c r="K30" s="177"/>
      <c r="L30" s="177"/>
      <c r="M30" s="175"/>
    </row>
    <row r="31" spans="1:13">
      <c r="A31" s="176"/>
      <c r="B31" s="177"/>
      <c r="C31" s="332" t="s">
        <v>1235</v>
      </c>
      <c r="D31" s="333"/>
      <c r="E31" s="333"/>
      <c r="F31" s="333" t="s">
        <v>1206</v>
      </c>
      <c r="G31" s="333"/>
      <c r="H31" s="333"/>
      <c r="I31" s="334"/>
      <c r="J31" s="177"/>
      <c r="K31" s="177"/>
      <c r="L31" s="177"/>
      <c r="M31" s="175"/>
    </row>
    <row r="32" spans="1:13">
      <c r="A32" s="176"/>
      <c r="B32" s="177"/>
      <c r="C32" s="332" t="s">
        <v>1236</v>
      </c>
      <c r="D32" s="333"/>
      <c r="E32" s="333"/>
      <c r="F32" s="333" t="s">
        <v>1206</v>
      </c>
      <c r="G32" s="333"/>
      <c r="H32" s="333"/>
      <c r="I32" s="334"/>
      <c r="J32" s="177"/>
      <c r="K32" s="177"/>
      <c r="L32" s="177"/>
      <c r="M32" s="175"/>
    </row>
    <row r="33" spans="1:13">
      <c r="A33" s="176"/>
      <c r="B33" s="177"/>
      <c r="C33" s="332" t="s">
        <v>1237</v>
      </c>
      <c r="D33" s="333"/>
      <c r="E33" s="333"/>
      <c r="F33" s="333" t="s">
        <v>1215</v>
      </c>
      <c r="G33" s="333"/>
      <c r="H33" s="333"/>
      <c r="I33" s="334"/>
      <c r="J33" s="177"/>
      <c r="K33" s="177"/>
      <c r="L33" s="177"/>
      <c r="M33" s="175"/>
    </row>
    <row r="34" spans="1:13">
      <c r="A34" s="176"/>
      <c r="B34" s="177"/>
      <c r="C34" s="332" t="s">
        <v>1238</v>
      </c>
      <c r="D34" s="333"/>
      <c r="E34" s="333"/>
      <c r="F34" s="333" t="s">
        <v>1215</v>
      </c>
      <c r="G34" s="333"/>
      <c r="H34" s="333"/>
      <c r="I34" s="334"/>
      <c r="J34" s="177"/>
      <c r="K34" s="177"/>
      <c r="L34" s="177"/>
      <c r="M34" s="175"/>
    </row>
    <row r="35" spans="1:13">
      <c r="A35" s="176"/>
      <c r="B35" s="177"/>
      <c r="C35" s="332" t="s">
        <v>1239</v>
      </c>
      <c r="D35" s="333"/>
      <c r="E35" s="333"/>
      <c r="F35" s="333" t="s">
        <v>1215</v>
      </c>
      <c r="G35" s="333"/>
      <c r="H35" s="333"/>
      <c r="I35" s="334"/>
      <c r="J35" s="177"/>
      <c r="K35" s="177"/>
      <c r="L35" s="177"/>
      <c r="M35" s="175"/>
    </row>
    <row r="36" spans="1:13">
      <c r="A36" s="176"/>
      <c r="B36" s="177"/>
      <c r="C36" s="332" t="s">
        <v>1240</v>
      </c>
      <c r="D36" s="333"/>
      <c r="E36" s="333"/>
      <c r="F36" s="333" t="s">
        <v>1215</v>
      </c>
      <c r="G36" s="333"/>
      <c r="H36" s="333"/>
      <c r="I36" s="334"/>
      <c r="J36" s="177"/>
      <c r="K36" s="177"/>
      <c r="L36" s="177"/>
      <c r="M36" s="175"/>
    </row>
    <row r="37" spans="1:13">
      <c r="A37" s="176"/>
      <c r="B37" s="177"/>
      <c r="C37" s="332" t="s">
        <v>1241</v>
      </c>
      <c r="D37" s="333"/>
      <c r="E37" s="333"/>
      <c r="F37" s="333" t="s">
        <v>1215</v>
      </c>
      <c r="G37" s="333"/>
      <c r="H37" s="333"/>
      <c r="I37" s="334"/>
      <c r="J37" s="177"/>
      <c r="K37" s="177"/>
      <c r="L37" s="177"/>
      <c r="M37" s="175"/>
    </row>
    <row r="38" spans="1:13">
      <c r="A38" s="176"/>
      <c r="B38" s="177"/>
      <c r="C38" s="332" t="s">
        <v>1242</v>
      </c>
      <c r="D38" s="333"/>
      <c r="E38" s="333"/>
      <c r="F38" s="333" t="s">
        <v>1215</v>
      </c>
      <c r="G38" s="333"/>
      <c r="H38" s="333"/>
      <c r="I38" s="334"/>
      <c r="J38" s="177"/>
      <c r="K38" s="177"/>
      <c r="L38" s="177"/>
      <c r="M38" s="175"/>
    </row>
    <row r="39" spans="1:13">
      <c r="A39" s="176"/>
      <c r="B39" s="177"/>
      <c r="C39" s="332" t="s">
        <v>1243</v>
      </c>
      <c r="D39" s="333"/>
      <c r="E39" s="333"/>
      <c r="F39" s="333" t="s">
        <v>1215</v>
      </c>
      <c r="G39" s="333"/>
      <c r="H39" s="333"/>
      <c r="I39" s="334"/>
      <c r="J39" s="177"/>
      <c r="K39" s="177"/>
      <c r="L39" s="177"/>
      <c r="M39" s="175"/>
    </row>
    <row r="40" spans="1:13">
      <c r="A40" s="176"/>
      <c r="B40" s="177"/>
      <c r="C40" s="332" t="s">
        <v>1244</v>
      </c>
      <c r="D40" s="333"/>
      <c r="E40" s="333"/>
      <c r="F40" s="333" t="s">
        <v>1215</v>
      </c>
      <c r="G40" s="333"/>
      <c r="H40" s="333"/>
      <c r="I40" s="334"/>
      <c r="J40" s="177"/>
      <c r="K40" s="177"/>
      <c r="L40" s="177"/>
      <c r="M40" s="175"/>
    </row>
    <row r="41" spans="1:13">
      <c r="A41" s="176"/>
      <c r="B41" s="177"/>
      <c r="C41" s="332" t="s">
        <v>1245</v>
      </c>
      <c r="D41" s="333"/>
      <c r="E41" s="333"/>
      <c r="F41" s="333" t="s">
        <v>1215</v>
      </c>
      <c r="G41" s="333"/>
      <c r="H41" s="333"/>
      <c r="I41" s="334"/>
      <c r="J41" s="177"/>
      <c r="K41" s="177"/>
      <c r="L41" s="177"/>
      <c r="M41" s="175"/>
    </row>
    <row r="42" spans="1:13">
      <c r="A42" s="176"/>
      <c r="B42" s="177"/>
      <c r="C42" s="332" t="s">
        <v>1246</v>
      </c>
      <c r="D42" s="333"/>
      <c r="E42" s="333"/>
      <c r="F42" s="333" t="s">
        <v>1215</v>
      </c>
      <c r="G42" s="333"/>
      <c r="H42" s="333"/>
      <c r="I42" s="334"/>
      <c r="J42" s="177"/>
      <c r="K42" s="177"/>
      <c r="L42" s="177"/>
      <c r="M42" s="175"/>
    </row>
    <row r="43" spans="1:13">
      <c r="A43" s="176"/>
      <c r="B43" s="177"/>
      <c r="C43" s="332" t="s">
        <v>1247</v>
      </c>
      <c r="D43" s="333"/>
      <c r="E43" s="333"/>
      <c r="F43" s="333" t="s">
        <v>1215</v>
      </c>
      <c r="G43" s="333"/>
      <c r="H43" s="333"/>
      <c r="I43" s="334"/>
      <c r="J43" s="177"/>
      <c r="K43" s="177"/>
      <c r="L43" s="177"/>
      <c r="M43" s="175"/>
    </row>
    <row r="44" spans="1:13">
      <c r="A44" s="176"/>
      <c r="B44" s="177"/>
      <c r="C44" s="332" t="s">
        <v>1248</v>
      </c>
      <c r="D44" s="333"/>
      <c r="E44" s="333"/>
      <c r="F44" s="333" t="s">
        <v>1215</v>
      </c>
      <c r="G44" s="333"/>
      <c r="H44" s="333"/>
      <c r="I44" s="334"/>
      <c r="J44" s="177"/>
      <c r="K44" s="177"/>
      <c r="L44" s="177"/>
      <c r="M44" s="175"/>
    </row>
    <row r="45" spans="1:13">
      <c r="A45" s="176"/>
      <c r="B45" s="177"/>
      <c r="C45" s="332" t="s">
        <v>1249</v>
      </c>
      <c r="D45" s="333"/>
      <c r="E45" s="333"/>
      <c r="F45" s="333" t="s">
        <v>1215</v>
      </c>
      <c r="G45" s="333"/>
      <c r="H45" s="333"/>
      <c r="I45" s="334"/>
      <c r="J45" s="177"/>
      <c r="K45" s="177"/>
      <c r="L45" s="177"/>
      <c r="M45" s="175"/>
    </row>
    <row r="46" spans="1:13">
      <c r="A46" s="176"/>
      <c r="B46" s="177"/>
      <c r="C46" s="332" t="s">
        <v>1250</v>
      </c>
      <c r="D46" s="333"/>
      <c r="E46" s="333"/>
      <c r="F46" s="333" t="s">
        <v>1215</v>
      </c>
      <c r="G46" s="333"/>
      <c r="H46" s="333"/>
      <c r="I46" s="334"/>
      <c r="J46" s="177"/>
      <c r="K46" s="177"/>
      <c r="L46" s="177"/>
      <c r="M46" s="175"/>
    </row>
    <row r="47" spans="1:13">
      <c r="A47" s="176"/>
      <c r="B47" s="177"/>
      <c r="C47" s="332" t="s">
        <v>1251</v>
      </c>
      <c r="D47" s="333"/>
      <c r="E47" s="333"/>
      <c r="F47" s="333" t="s">
        <v>1215</v>
      </c>
      <c r="G47" s="333"/>
      <c r="H47" s="333"/>
      <c r="I47" s="334"/>
      <c r="J47" s="177"/>
      <c r="K47" s="177"/>
      <c r="L47" s="177"/>
      <c r="M47" s="175"/>
    </row>
    <row r="48" spans="1:13" ht="13.9" thickBot="1">
      <c r="A48" s="176"/>
      <c r="B48" s="177"/>
      <c r="C48" s="335" t="s">
        <v>1252</v>
      </c>
      <c r="D48" s="336"/>
      <c r="E48" s="336"/>
      <c r="F48" s="336" t="s">
        <v>1215</v>
      </c>
      <c r="G48" s="336"/>
      <c r="H48" s="336"/>
      <c r="I48" s="337"/>
      <c r="J48" s="177"/>
      <c r="K48" s="177"/>
      <c r="L48" s="177"/>
      <c r="M48" s="175"/>
    </row>
    <row r="49" spans="1:13" ht="13.9" thickBot="1">
      <c r="A49" s="302"/>
      <c r="B49" s="303"/>
      <c r="C49" s="303"/>
      <c r="D49" s="303"/>
      <c r="E49" s="303"/>
      <c r="F49" s="303"/>
      <c r="G49" s="303"/>
      <c r="H49" s="303"/>
      <c r="I49" s="303"/>
      <c r="J49" s="303"/>
      <c r="K49" s="303"/>
      <c r="L49" s="303"/>
      <c r="M49" s="304"/>
    </row>
  </sheetData>
  <sheetProtection algorithmName="SHA-512" hashValue="9lVdyG103j7H9TLWjJHSM5oX7oi4UQGrfX3C2uZaJU+vRegp3y3AKnkYhT87j3wBGZAVR8sqKrEjBchjUD++Mg==" saltValue="LvEu5+X5YE8juYZGKjYoSg==" spinCount="100000" sheet="1"/>
  <mergeCells count="94">
    <mergeCell ref="A1:M1"/>
    <mergeCell ref="H3:H4"/>
    <mergeCell ref="I3:J4"/>
    <mergeCell ref="K3:M4"/>
    <mergeCell ref="B6:C6"/>
    <mergeCell ref="E6:F6"/>
    <mergeCell ref="I6:J6"/>
    <mergeCell ref="K6:M6"/>
    <mergeCell ref="B7:C7"/>
    <mergeCell ref="E7:F7"/>
    <mergeCell ref="I7:J7"/>
    <mergeCell ref="K7:M7"/>
    <mergeCell ref="C8:E8"/>
    <mergeCell ref="F8:I8"/>
    <mergeCell ref="C9:E9"/>
    <mergeCell ref="F9:I9"/>
    <mergeCell ref="C10:E10"/>
    <mergeCell ref="F10:I10"/>
    <mergeCell ref="C11:E11"/>
    <mergeCell ref="F11:I11"/>
    <mergeCell ref="C12:E12"/>
    <mergeCell ref="F12:I12"/>
    <mergeCell ref="C13:E13"/>
    <mergeCell ref="F13:I13"/>
    <mergeCell ref="C14:E14"/>
    <mergeCell ref="F14:I14"/>
    <mergeCell ref="C15:E15"/>
    <mergeCell ref="F15:I15"/>
    <mergeCell ref="C16:E16"/>
    <mergeCell ref="F16:I16"/>
    <mergeCell ref="C17:E17"/>
    <mergeCell ref="F17:I17"/>
    <mergeCell ref="C18:E18"/>
    <mergeCell ref="F18:I18"/>
    <mergeCell ref="C19:E19"/>
    <mergeCell ref="F19:I19"/>
    <mergeCell ref="C20:E20"/>
    <mergeCell ref="F20:I20"/>
    <mergeCell ref="C21:E21"/>
    <mergeCell ref="F21:I21"/>
    <mergeCell ref="C22:E22"/>
    <mergeCell ref="F22:I22"/>
    <mergeCell ref="C23:E23"/>
    <mergeCell ref="F23:I23"/>
    <mergeCell ref="C24:E24"/>
    <mergeCell ref="F24:I24"/>
    <mergeCell ref="C25:E25"/>
    <mergeCell ref="F25:I25"/>
    <mergeCell ref="C26:E26"/>
    <mergeCell ref="F26:I26"/>
    <mergeCell ref="C27:E27"/>
    <mergeCell ref="F27:I27"/>
    <mergeCell ref="C28:E28"/>
    <mergeCell ref="F28:I28"/>
    <mergeCell ref="C29:E29"/>
    <mergeCell ref="F29:I29"/>
    <mergeCell ref="C30:E30"/>
    <mergeCell ref="F30:I30"/>
    <mergeCell ref="C31:E31"/>
    <mergeCell ref="F31:I31"/>
    <mergeCell ref="C32:E32"/>
    <mergeCell ref="F32:I32"/>
    <mergeCell ref="C33:E33"/>
    <mergeCell ref="F33:I33"/>
    <mergeCell ref="C34:E34"/>
    <mergeCell ref="F34:I34"/>
    <mergeCell ref="C35:E35"/>
    <mergeCell ref="F35:I35"/>
    <mergeCell ref="C36:E36"/>
    <mergeCell ref="F36:I36"/>
    <mergeCell ref="C37:E37"/>
    <mergeCell ref="F37:I37"/>
    <mergeCell ref="C38:E38"/>
    <mergeCell ref="F38:I38"/>
    <mergeCell ref="C39:E39"/>
    <mergeCell ref="F39:I39"/>
    <mergeCell ref="C40:E40"/>
    <mergeCell ref="F40:I40"/>
    <mergeCell ref="C41:E41"/>
    <mergeCell ref="F41:I41"/>
    <mergeCell ref="C42:E42"/>
    <mergeCell ref="F42:I42"/>
    <mergeCell ref="C43:E43"/>
    <mergeCell ref="F43:I43"/>
    <mergeCell ref="C47:E47"/>
    <mergeCell ref="F47:I47"/>
    <mergeCell ref="C48:E48"/>
    <mergeCell ref="F48:I48"/>
    <mergeCell ref="C44:E44"/>
    <mergeCell ref="F44:I44"/>
    <mergeCell ref="C45:E45"/>
    <mergeCell ref="F45:I45"/>
    <mergeCell ref="C46:E46"/>
    <mergeCell ref="F46:I46"/>
  </mergeCells>
  <pageMargins left="0" right="0" top="0" bottom="0" header="0" footer="0"/>
  <pageSetup paperSize="9" scale="0" firstPageNumber="0" fitToWidth="0" fitToHeight="0" pageOrder="overThenDown"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28534-27FB-4744-A09F-24E87DDF9160}">
  <dimension ref="B1:F8"/>
  <sheetViews>
    <sheetView showGridLines="0" zoomScale="70" zoomScaleNormal="70" workbookViewId="0"/>
  </sheetViews>
  <sheetFormatPr defaultRowHeight="13.9"/>
  <cols>
    <col min="1" max="1" width="2.5" customWidth="1"/>
    <col min="2" max="2" width="10.125" bestFit="1" customWidth="1"/>
  </cols>
  <sheetData>
    <row r="1" spans="2:6" ht="14.45" thickBot="1"/>
    <row r="2" spans="2:6">
      <c r="B2" s="151" t="s">
        <v>1263</v>
      </c>
      <c r="C2" s="152" t="s">
        <v>1182</v>
      </c>
      <c r="D2" s="152" t="s">
        <v>16</v>
      </c>
      <c r="E2" s="152" t="s">
        <v>169</v>
      </c>
      <c r="F2" s="153" t="s">
        <v>217</v>
      </c>
    </row>
    <row r="3" spans="2:6">
      <c r="B3" s="154"/>
      <c r="C3" s="155">
        <v>330</v>
      </c>
      <c r="D3" s="155">
        <v>32</v>
      </c>
      <c r="E3" s="155">
        <v>56</v>
      </c>
      <c r="F3" s="156">
        <v>174</v>
      </c>
    </row>
    <row r="4" spans="2:6" ht="14.45" thickBot="1">
      <c r="B4" s="157"/>
      <c r="C4" s="158">
        <v>350</v>
      </c>
      <c r="D4" s="158">
        <v>40</v>
      </c>
      <c r="E4" s="158">
        <v>32</v>
      </c>
      <c r="F4" s="159">
        <v>228</v>
      </c>
    </row>
    <row r="5" spans="2:6" ht="14.45" thickBot="1">
      <c r="B5" s="160"/>
      <c r="C5" s="160"/>
      <c r="D5" s="160"/>
      <c r="E5" s="160"/>
      <c r="F5" s="160"/>
    </row>
    <row r="6" spans="2:6">
      <c r="B6" s="151" t="s">
        <v>1181</v>
      </c>
      <c r="C6" s="152" t="s">
        <v>1182</v>
      </c>
      <c r="D6" s="152" t="s">
        <v>16</v>
      </c>
      <c r="E6" s="152" t="s">
        <v>169</v>
      </c>
      <c r="F6" s="153" t="s">
        <v>217</v>
      </c>
    </row>
    <row r="7" spans="2:6">
      <c r="B7" s="161">
        <v>0.85</v>
      </c>
      <c r="C7" s="155">
        <v>330</v>
      </c>
      <c r="D7" s="162">
        <f>D3*B7</f>
        <v>27.2</v>
      </c>
      <c r="E7" s="162">
        <f>E3*B7</f>
        <v>47.6</v>
      </c>
      <c r="F7" s="163">
        <f>F3*B7</f>
        <v>147.9</v>
      </c>
    </row>
    <row r="8" spans="2:6" ht="14.45" thickBot="1">
      <c r="B8" s="157"/>
      <c r="C8" s="158">
        <v>350</v>
      </c>
      <c r="D8" s="158">
        <f>D4*B7</f>
        <v>34</v>
      </c>
      <c r="E8" s="164">
        <f>E4*B7</f>
        <v>27.2</v>
      </c>
      <c r="F8" s="165">
        <f>F4*B7</f>
        <v>193.79999999999998</v>
      </c>
    </row>
  </sheetData>
  <sheetProtection algorithmName="SHA-512" hashValue="VSwyAzcn2PG6pxlQ0Zz/BkvKb35Ln1swPKhV/j9CEolKFd6+ChQl7xnqKoYuQxdA+cg9dhhoJkCaKaNiaus5wg==" saltValue="AE88EcyAeYWn4vBhesIqGg=="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42478ca-ca2d-4d01-83eb-90396d5625e9">
      <Terms xmlns="http://schemas.microsoft.com/office/infopath/2007/PartnerControls"/>
    </lcf76f155ced4ddcb4097134ff3c332f>
    <TaxCatchAll xmlns="70b03f2f-74c7-4926-a36d-d4bdb9e02d4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560CDE7020FBE4F987D5680CBA97CD3" ma:contentTypeVersion="10" ma:contentTypeDescription="Create a new document." ma:contentTypeScope="" ma:versionID="4fbed0173a2ebcc74ba7d005722587c6">
  <xsd:schema xmlns:xsd="http://www.w3.org/2001/XMLSchema" xmlns:xs="http://www.w3.org/2001/XMLSchema" xmlns:p="http://schemas.microsoft.com/office/2006/metadata/properties" xmlns:ns2="042478ca-ca2d-4d01-83eb-90396d5625e9" xmlns:ns3="70b03f2f-74c7-4926-a36d-d4bdb9e02d45" targetNamespace="http://schemas.microsoft.com/office/2006/metadata/properties" ma:root="true" ma:fieldsID="1e47617018f8bf8a4d157a39e72236d1" ns2:_="" ns3:_="">
    <xsd:import namespace="042478ca-ca2d-4d01-83eb-90396d5625e9"/>
    <xsd:import namespace="70b03f2f-74c7-4926-a36d-d4bdb9e02d4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EventHashCode" minOccurs="0"/>
                <xsd:element ref="ns2:MediaServiceOCR" minOccurs="0"/>
                <xsd:element ref="ns2: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2478ca-ca2d-4d01-83eb-90396d5625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fieldId="{5cf76f15-5ced-4ddc-b409-7134ff3c332f}" ma:taxonomyMulti="true" ma:sspId="00000000-0000-0000-0000-000000000000" ma:termSetId="00000000-0000-0000-0000-000000000000" ma:anchorId="00000000-0000-0000-0000-000000000000" ma:open="false" ma:isKeyword="false">
      <xsd:complexType>
        <xsd:sequence>
          <xsd:element ref="pc:Terms" minOccurs="0" maxOccurs="1"/>
        </xsd:sequence>
      </xsd:complex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b03f2f-74c7-4926-a36d-d4bdb9e02d4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7cd25fd-8387-47a0-a3a2-f48b21d35c24}" ma:internalName="TaxCatchAll" ma:showField="CatchAllData" ma:web="70b03f2f-74c7-4926-a36d-d4bdb9e02d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4E6DC3-E04D-445C-AB0E-6553551DB19D}"/>
</file>

<file path=customXml/itemProps2.xml><?xml version="1.0" encoding="utf-8"?>
<ds:datastoreItem xmlns:ds="http://schemas.openxmlformats.org/officeDocument/2006/customXml" ds:itemID="{BADD4CD1-26A7-4B28-827C-CC93FA5EA626}"/>
</file>

<file path=customXml/itemProps3.xml><?xml version="1.0" encoding="utf-8"?>
<ds:datastoreItem xmlns:ds="http://schemas.openxmlformats.org/officeDocument/2006/customXml" ds:itemID="{A2ED7D38-72F2-4B87-BB46-6A667E3B8FC4}"/>
</file>

<file path=docProps/app.xml><?xml version="1.0" encoding="utf-8"?>
<Properties xmlns="http://schemas.openxmlformats.org/officeDocument/2006/extended-properties" xmlns:vt="http://schemas.openxmlformats.org/officeDocument/2006/docPropsVTypes">
  <Application>Microsoft Excel Online</Application>
  <Manager/>
  <Company>SAS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Alexander Lund</dc:creator>
  <cp:keywords/>
  <dc:description/>
  <cp:lastModifiedBy>Sue  Lu</cp:lastModifiedBy>
  <cp:revision/>
  <dcterms:created xsi:type="dcterms:W3CDTF">2015-05-26T10:02:59Z</dcterms:created>
  <dcterms:modified xsi:type="dcterms:W3CDTF">2024-03-11T17:56:49Z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0x0101000560CDE7020FBE4F987D5680CBA97CD3</vt:lpwstr>
  </property>
  <property fmtid="{D5CDD505-2E9C-101B-9397-08002B2CF9AE}" pid="3" name="_dlc_DocIdItemGuid">
    <vt:lpwstr>88d88989-fda8-4d6c-9937-a3fb142a756b</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