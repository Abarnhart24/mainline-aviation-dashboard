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RFP 2024/Price Template/"/>
    </mc:Choice>
  </mc:AlternateContent>
  <xr:revisionPtr revIDLastSave="10" documentId="8_{F377A0DC-55B9-484C-BF4D-AF59A5E6C04C}" xr6:coauthVersionLast="47" xr6:coauthVersionMax="47" xr10:uidLastSave="{9392A0BE-7615-495A-859E-18F03E5E4A03}"/>
  <bookViews>
    <workbookView xWindow="-108" yWindow="-108" windowWidth="23256" windowHeight="12456" xr2:uid="{00000000-000D-0000-FFFF-FFFF00000000}"/>
  </bookViews>
  <sheets>
    <sheet name="List of All Pax Spec codes " sheetId="7" r:id="rId1"/>
    <sheet name="List of All CrewMeal Specs" sheetId="6" r:id="rId2"/>
  </sheets>
  <definedNames>
    <definedName name="_xlnm.Print_Area" localSheetId="1">'List of All CrewMeal Specs'!$A$1:$G$50</definedName>
    <definedName name="_xlnm.Print_Area" localSheetId="0">'List of All Pax Spec codes '!$A$1:$I$155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7" l="1"/>
  <c r="H100" i="7"/>
  <c r="H78" i="7"/>
  <c r="H77" i="7"/>
  <c r="H76" i="7"/>
  <c r="H75" i="7"/>
  <c r="Q10" i="7"/>
  <c r="H104" i="7" s="1"/>
  <c r="P10" i="7"/>
  <c r="H103" i="7" s="1"/>
  <c r="O10" i="7"/>
  <c r="H102" i="7" s="1"/>
  <c r="N10" i="7"/>
  <c r="H101" i="7" s="1"/>
  <c r="M10" i="7"/>
  <c r="H10" i="7"/>
  <c r="H9" i="7"/>
  <c r="H6" i="7"/>
  <c r="H71" i="7"/>
  <c r="H70" i="7"/>
  <c r="H67" i="7"/>
  <c r="H66" i="7"/>
  <c r="H65" i="7"/>
  <c r="H64" i="7"/>
  <c r="H58" i="7"/>
  <c r="H57" i="7"/>
  <c r="H56" i="7"/>
  <c r="H54" i="7"/>
  <c r="H53" i="7"/>
  <c r="H52" i="7"/>
  <c r="H51" i="7"/>
  <c r="H50" i="7"/>
  <c r="H49" i="7"/>
  <c r="H43" i="7"/>
  <c r="H42" i="7"/>
  <c r="H41" i="7"/>
  <c r="H40" i="7"/>
  <c r="H39" i="7"/>
  <c r="H38" i="7"/>
  <c r="H37" i="7"/>
  <c r="H36" i="7"/>
  <c r="H34" i="7"/>
  <c r="H33" i="7"/>
  <c r="H32" i="7"/>
  <c r="H31" i="7"/>
  <c r="H30" i="7"/>
  <c r="H29" i="7"/>
  <c r="H26" i="7"/>
  <c r="H25" i="7"/>
  <c r="H15" i="7"/>
  <c r="H14" i="7"/>
  <c r="H13" i="7"/>
  <c r="H11" i="7"/>
  <c r="F78" i="7"/>
  <c r="F76" i="7"/>
  <c r="F37" i="7"/>
  <c r="H17" i="7" l="1"/>
  <c r="H7" i="7"/>
  <c r="H18" i="7"/>
</calcChain>
</file>

<file path=xl/sharedStrings.xml><?xml version="1.0" encoding="utf-8"?>
<sst xmlns="http://schemas.openxmlformats.org/spreadsheetml/2006/main" count="759" uniqueCount="404">
  <si>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</si>
  <si>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</si>
  <si>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</si>
  <si>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</si>
  <si>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</si>
  <si>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</si>
  <si>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</si>
  <si>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</si>
  <si>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</si>
  <si>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</si>
  <si>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</si>
  <si>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</si>
  <si>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</si>
  <si>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</si>
  <si>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</si>
  <si>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</si>
  <si>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</si>
  <si>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</si>
  <si>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</si>
  <si>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</si>
  <si>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</si>
  <si>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</si>
  <si>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</si>
  <si>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</si>
  <si>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</si>
  <si>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</si>
  <si>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</si>
  <si>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</si>
  <si>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</si>
  <si>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</si>
  <si>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</si>
  <si>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</si>
  <si>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</si>
  <si>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</si>
  <si>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</si>
  <si>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</si>
  <si>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</si>
  <si>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</si>
  <si>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</si>
  <si>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</si>
  <si>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</si>
  <si>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</si>
  <si>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</si>
  <si>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</si>
  <si>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</si>
  <si>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</si>
  <si>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</si>
  <si>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</si>
  <si>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</si>
  <si>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</si>
  <si>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</si>
  <si>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</si>
  <si>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</si>
  <si>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</si>
  <si>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</si>
  <si>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</si>
  <si>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</si>
  <si>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</si>
  <si>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</si>
  <si>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</si>
  <si>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</si>
  <si>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</si>
  <si>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</si>
  <si>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</si>
  <si>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</si>
  <si>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</si>
  <si>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</si>
  <si>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</si>
  <si>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</si>
  <si>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</si>
  <si>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</si>
  <si>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</si>
  <si>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</si>
  <si>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</si>
  <si>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</si>
  <si>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</si>
  <si>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</si>
  <si>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</si>
  <si>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</si>
  <si>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</si>
  <si>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</si>
  <si>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</si>
  <si>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</si>
  <si>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</si>
  <si>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</si>
  <si>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</si>
  <si>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</si>
  <si>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</si>
  <si>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</si>
  <si>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</si>
  <si>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</si>
  <si>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</si>
  <si>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</si>
  <si>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</si>
  <si>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</si>
  <si>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</si>
  <si>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</si>
  <si>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</si>
  <si>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</si>
  <si>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</si>
  <si>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</si>
  <si>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</si>
  <si>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</si>
  <si>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</si>
  <si>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</si>
  <si>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</si>
  <si>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</si>
  <si>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</si>
  <si>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</si>
  <si>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</si>
  <si>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</si>
  <si>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</si>
  <si>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</si>
  <si>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</si>
  <si>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</si>
  <si>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</si>
  <si>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</si>
  <si>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</si>
  <si>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</si>
  <si>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</si>
  <si>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</si>
  <si>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</si>
  <si>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</si>
  <si>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</si>
  <si>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</si>
  <si>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</si>
  <si>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</si>
  <si>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</si>
  <si>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</si>
  <si>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</si>
  <si>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</si>
  <si>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</si>
  <si>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</si>
  <si>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</si>
  <si>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</si>
  <si>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</si>
  <si>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</si>
  <si>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</si>
  <si>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</si>
  <si>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</si>
  <si>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</si>
  <si>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</si>
  <si>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</si>
  <si>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</si>
  <si>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</si>
  <si>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</si>
  <si>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</si>
  <si>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</si>
  <si>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</si>
  <si>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</si>
  <si>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</si>
  <si>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</si>
  <si>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</si>
  <si>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</si>
  <si>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</si>
  <si>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</si>
  <si>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</si>
  <si>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</si>
  <si>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</si>
  <si>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</si>
  <si>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</si>
  <si>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</si>
  <si>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</si>
  <si>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</si>
  <si>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</si>
  <si>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</si>
  <si>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</si>
  <si>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</si>
  <si>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</si>
  <si>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</si>
  <si>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</si>
  <si>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</si>
  <si>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</si>
  <si>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</si>
  <si>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</si>
  <si>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</si>
  <si>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</si>
  <si>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</si>
  <si>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</si>
  <si>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</si>
  <si>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</si>
  <si>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</si>
  <si>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</si>
  <si>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</si>
  <si>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</si>
  <si>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</si>
  <si>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</si>
  <si>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</si>
  <si>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</si>
  <si>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</si>
  <si>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</si>
  <si>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</si>
  <si>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</si>
  <si>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</si>
  <si>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</si>
  <si>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</si>
  <si>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</si>
  <si>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</si>
  <si>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</si>
  <si>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</si>
  <si>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</si>
  <si>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</si>
  <si>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</si>
  <si>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</si>
  <si>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</si>
  <si>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</si>
  <si>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</si>
  <si>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</si>
  <si>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</si>
  <si>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</si>
  <si>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</si>
  <si>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</si>
  <si>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</si>
  <si>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</si>
  <si>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</si>
  <si>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</si>
  <si>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</si>
  <si>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</si>
  <si>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</si>
  <si>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</si>
  <si>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</si>
  <si>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</si>
  <si>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</si>
  <si>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</si>
  <si>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</si>
  <si>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</si>
  <si>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</si>
  <si>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</si>
  <si>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</si>
  <si>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</si>
  <si>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</si>
  <si>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</si>
  <si>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</si>
  <si>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</si>
  <si>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</si>
  <si>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</si>
  <si>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</si>
  <si>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</si>
  <si>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</si>
  <si>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</si>
  <si>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</si>
  <si>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</si>
  <si>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</si>
  <si>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</si>
  <si>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</si>
  <si>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</si>
  <si>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</si>
  <si>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</si>
  <si>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</si>
  <si>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</si>
  <si>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</si>
  <si>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</si>
  <si>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</si>
  <si>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</si>
  <si>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</si>
  <si>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</si>
  <si>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</si>
  <si>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</si>
  <si>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</si>
  <si>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</si>
  <si>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</si>
  <si>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</si>
  <si>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</si>
  <si>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</si>
  <si>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</si>
  <si>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</si>
  <si>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</si>
  <si>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</si>
  <si>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</si>
  <si>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</si>
  <si>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</si>
  <si>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</si>
  <si>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</si>
  <si>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</si>
  <si>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</si>
  <si>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</si>
  <si>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</si>
  <si>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</si>
  <si>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</si>
  <si>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</si>
  <si>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</si>
  <si>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</si>
  <si>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</si>
  <si>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</si>
  <si>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</si>
  <si>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</si>
  <si>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</si>
  <si>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</si>
  <si>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</si>
  <si>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</si>
  <si>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</si>
  <si>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</si>
  <si>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</si>
  <si>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</si>
  <si>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</si>
  <si>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</si>
  <si>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</si>
  <si>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</si>
  <si>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</si>
  <si>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</si>
  <si>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</si>
  <si>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</si>
  <si>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</si>
  <si>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</si>
  <si>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</si>
  <si>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</si>
  <si>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</si>
  <si>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</si>
  <si>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</si>
  <si>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</si>
  <si>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</si>
  <si>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</si>
  <si>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</si>
  <si>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</si>
  <si>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</si>
  <si>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</si>
  <si>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</si>
  <si>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</si>
  <si>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</si>
  <si>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</si>
  <si>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</si>
  <si>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</si>
  <si>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</si>
  <si>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</si>
  <si>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</si>
  <si>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</si>
  <si>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</si>
  <si>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</si>
  <si>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</si>
  <si>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</si>
  <si>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</si>
  <si>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</si>
  <si>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</si>
  <si>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</si>
  <si>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</si>
  <si>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</si>
  <si>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</si>
  <si>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</si>
  <si>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</si>
  <si>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</si>
  <si>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</si>
  <si>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</si>
  <si>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</si>
  <si>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</si>
  <si>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</si>
  <si>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</si>
  <si>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</si>
  <si>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</si>
  <si>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</si>
  <si>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</si>
  <si>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</si>
  <si>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</si>
  <si>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</si>
  <si>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</si>
  <si>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</si>
  <si>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</si>
  <si>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</si>
  <si>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</si>
  <si>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</si>
  <si>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</si>
  <si>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</si>
  <si>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</si>
  <si>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</si>
  <si>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</si>
  <si>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</si>
  <si>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</si>
  <si>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</si>
  <si>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</si>
  <si>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</si>
  <si>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>Price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</si>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</sst>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1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/>
    </xf>
    <xf numFmtId="9" fontId="3" fillId="6" borderId="5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left" vertical="center"/>
    </xf>
    <xf numFmtId="9" fontId="3" fillId="6" borderId="6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8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/>
    </xf>
    <xf numFmtId="0" fontId="6" fillId="5" borderId="2" xfId="1" applyFont="1" applyFill="1" applyBorder="1" applyAlignment="1">
      <alignment vertical="center"/>
    </xf>
    <xf numFmtId="0" fontId="6" fillId="5" borderId="3" xfId="1" applyFont="1" applyFill="1" applyBorder="1" applyAlignment="1">
      <alignment vertical="center"/>
    </xf>
    <xf numFmtId="0" fontId="8" fillId="6" borderId="5" xfId="1" applyFont="1" applyFill="1" applyBorder="1" applyAlignment="1">
      <alignment horizontal="left" vertical="center"/>
    </xf>
    <xf numFmtId="0" fontId="7" fillId="6" borderId="5" xfId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vertical="center"/>
    </xf>
    <xf numFmtId="9" fontId="8" fillId="6" borderId="5" xfId="1" applyNumberFormat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7" fillId="4" borderId="5" xfId="1" applyFont="1" applyFill="1" applyBorder="1" applyAlignment="1">
      <alignment horizontal="left" vertical="center"/>
    </xf>
    <xf numFmtId="0" fontId="3" fillId="6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8" fillId="4" borderId="5" xfId="1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 wrapText="1"/>
    </xf>
    <xf numFmtId="9" fontId="8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2" borderId="2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2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0" fontId="3" fillId="15" borderId="5" xfId="1" applyFont="1" applyFill="1" applyBorder="1" applyAlignment="1">
      <alignment vertical="center"/>
    </xf>
    <xf numFmtId="0" fontId="3" fillId="15" borderId="5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left"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0" fillId="9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6" borderId="2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horizontal="center" vertical="center"/>
    </xf>
    <xf numFmtId="9" fontId="3" fillId="17" borderId="5" xfId="0" applyNumberFormat="1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 wrapText="1"/>
    </xf>
    <xf numFmtId="9" fontId="3" fillId="17" borderId="5" xfId="0" applyNumberFormat="1" applyFont="1" applyFill="1" applyBorder="1" applyAlignment="1">
      <alignment horizontal="left" vertical="center"/>
    </xf>
    <xf numFmtId="0" fontId="8" fillId="17" borderId="5" xfId="0" applyFont="1" applyFill="1" applyBorder="1" applyAlignment="1">
      <alignment vertical="center" wrapText="1"/>
    </xf>
    <xf numFmtId="44" fontId="3" fillId="0" borderId="0" xfId="2" applyFont="1" applyAlignment="1">
      <alignment vertical="center"/>
    </xf>
    <xf numFmtId="44" fontId="2" fillId="4" borderId="4" xfId="2" applyFont="1" applyFill="1" applyBorder="1" applyAlignment="1">
      <alignment horizontal="center" vertical="center" wrapText="1"/>
    </xf>
    <xf numFmtId="44" fontId="6" fillId="5" borderId="2" xfId="2" applyFont="1" applyFill="1" applyBorder="1" applyAlignment="1">
      <alignment vertical="center"/>
    </xf>
    <xf numFmtId="44" fontId="2" fillId="9" borderId="2" xfId="2" applyFont="1" applyFill="1" applyBorder="1" applyAlignment="1">
      <alignment vertical="center"/>
    </xf>
    <xf numFmtId="44" fontId="3" fillId="6" borderId="5" xfId="2" applyFont="1" applyFill="1" applyBorder="1" applyAlignment="1">
      <alignment horizontal="center" vertical="center"/>
    </xf>
    <xf numFmtId="44" fontId="3" fillId="6" borderId="6" xfId="2" applyFont="1" applyFill="1" applyBorder="1" applyAlignment="1">
      <alignment horizontal="center" vertical="center"/>
    </xf>
    <xf numFmtId="44" fontId="8" fillId="6" borderId="5" xfId="2" applyFont="1" applyFill="1" applyBorder="1" applyAlignment="1">
      <alignment horizontal="center" vertical="center"/>
    </xf>
    <xf numFmtId="44" fontId="3" fillId="6" borderId="7" xfId="2" applyFont="1" applyFill="1" applyBorder="1" applyAlignment="1">
      <alignment horizontal="center" vertical="center"/>
    </xf>
    <xf numFmtId="44" fontId="3" fillId="8" borderId="5" xfId="2" applyFont="1" applyFill="1" applyBorder="1" applyAlignment="1">
      <alignment horizontal="center" vertical="center"/>
    </xf>
    <xf numFmtId="44" fontId="3" fillId="0" borderId="5" xfId="2" applyFont="1" applyBorder="1" applyAlignment="1">
      <alignment horizontal="center" vertical="center"/>
    </xf>
    <xf numFmtId="44" fontId="6" fillId="10" borderId="2" xfId="2" applyFont="1" applyFill="1" applyBorder="1" applyAlignment="1">
      <alignment vertical="center"/>
    </xf>
    <xf numFmtId="44" fontId="3" fillId="17" borderId="5" xfId="2" applyFont="1" applyFill="1" applyBorder="1" applyAlignment="1">
      <alignment horizontal="center" vertical="center"/>
    </xf>
    <xf numFmtId="44" fontId="3" fillId="0" borderId="2" xfId="2" applyFont="1" applyBorder="1" applyAlignment="1">
      <alignment horizontal="center" vertical="center"/>
    </xf>
    <xf numFmtId="44" fontId="6" fillId="16" borderId="2" xfId="2" applyFont="1" applyFill="1" applyBorder="1" applyAlignment="1">
      <alignment vertical="center"/>
    </xf>
    <xf numFmtId="44" fontId="2" fillId="11" borderId="2" xfId="2" applyFont="1" applyFill="1" applyBorder="1" applyAlignment="1">
      <alignment vertical="center"/>
    </xf>
    <xf numFmtId="44" fontId="3" fillId="7" borderId="5" xfId="2" applyFont="1" applyFill="1" applyBorder="1" applyAlignment="1">
      <alignment horizontal="center" vertical="center"/>
    </xf>
    <xf numFmtId="44" fontId="6" fillId="12" borderId="2" xfId="2" applyFont="1" applyFill="1" applyBorder="1" applyAlignment="1">
      <alignment vertical="center"/>
    </xf>
    <xf numFmtId="44" fontId="2" fillId="2" borderId="2" xfId="2" applyFont="1" applyFill="1" applyBorder="1" applyAlignment="1">
      <alignment vertical="center"/>
    </xf>
    <xf numFmtId="44" fontId="3" fillId="4" borderId="5" xfId="2" applyFont="1" applyFill="1" applyBorder="1" applyAlignment="1">
      <alignment horizontal="center" vertical="center"/>
    </xf>
    <xf numFmtId="44" fontId="6" fillId="13" borderId="2" xfId="2" applyFont="1" applyFill="1" applyBorder="1" applyAlignment="1">
      <alignment vertical="center"/>
    </xf>
    <xf numFmtId="44" fontId="4" fillId="3" borderId="2" xfId="2" applyFont="1" applyFill="1" applyBorder="1" applyAlignment="1">
      <alignment vertical="center"/>
    </xf>
    <xf numFmtId="44" fontId="3" fillId="4" borderId="3" xfId="2" applyFont="1" applyFill="1" applyBorder="1" applyAlignment="1">
      <alignment horizontal="center" vertical="center"/>
    </xf>
    <xf numFmtId="44" fontId="6" fillId="14" borderId="2" xfId="2" applyFont="1" applyFill="1" applyBorder="1" applyAlignment="1">
      <alignment vertical="center"/>
    </xf>
    <xf numFmtId="44" fontId="3" fillId="4" borderId="6" xfId="2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44" fontId="6" fillId="9" borderId="2" xfId="2" applyFont="1" applyFill="1" applyBorder="1" applyAlignment="1">
      <alignment vertical="center"/>
    </xf>
    <xf numFmtId="44" fontId="6" fillId="3" borderId="2" xfId="2" applyFont="1" applyFill="1" applyBorder="1" applyAlignment="1">
      <alignment vertical="center"/>
    </xf>
    <xf numFmtId="44" fontId="3" fillId="15" borderId="6" xfId="2" applyFont="1" applyFill="1" applyBorder="1" applyAlignment="1">
      <alignment horizontal="center" vertical="center"/>
    </xf>
    <xf numFmtId="0" fontId="3" fillId="3" borderId="5" xfId="1" applyFont="1" applyFill="1" applyBorder="1" applyAlignment="1">
      <alignment vertical="center" wrapText="1"/>
    </xf>
    <xf numFmtId="44" fontId="3" fillId="3" borderId="5" xfId="2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vertical="center"/>
    </xf>
    <xf numFmtId="0" fontId="17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6" fillId="10" borderId="2" xfId="0" applyFont="1" applyFill="1" applyBorder="1" applyAlignment="1">
      <alignment vertical="center"/>
    </xf>
    <xf numFmtId="0" fontId="17" fillId="17" borderId="5" xfId="0" applyFont="1" applyFill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16" borderId="2" xfId="0" applyFont="1" applyFill="1" applyBorder="1" applyAlignment="1">
      <alignment vertical="center"/>
    </xf>
    <xf numFmtId="0" fontId="16" fillId="11" borderId="2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6" fillId="1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6" fillId="1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6" fillId="14" borderId="2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3" fillId="18" borderId="5" xfId="0" applyFont="1" applyFill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0" xfId="2" applyNumberFormat="1" applyFont="1" applyAlignment="1">
      <alignment vertical="center"/>
    </xf>
    <xf numFmtId="0" fontId="2" fillId="4" borderId="4" xfId="2" applyNumberFormat="1" applyFont="1" applyFill="1" applyBorder="1" applyAlignment="1">
      <alignment horizontal="center" vertical="center" wrapText="1"/>
    </xf>
    <xf numFmtId="0" fontId="6" fillId="5" borderId="2" xfId="2" applyNumberFormat="1" applyFont="1" applyFill="1" applyBorder="1" applyAlignment="1">
      <alignment vertical="center"/>
    </xf>
    <xf numFmtId="0" fontId="2" fillId="9" borderId="2" xfId="2" applyNumberFormat="1" applyFont="1" applyFill="1" applyBorder="1" applyAlignment="1">
      <alignment vertical="center"/>
    </xf>
    <xf numFmtId="0" fontId="3" fillId="6" borderId="5" xfId="2" applyNumberFormat="1" applyFont="1" applyFill="1" applyBorder="1" applyAlignment="1">
      <alignment horizontal="center" vertical="center"/>
    </xf>
    <xf numFmtId="0" fontId="3" fillId="6" borderId="6" xfId="2" applyNumberFormat="1" applyFont="1" applyFill="1" applyBorder="1" applyAlignment="1">
      <alignment horizontal="center" vertical="center"/>
    </xf>
    <xf numFmtId="0" fontId="8" fillId="6" borderId="5" xfId="2" applyNumberFormat="1" applyFont="1" applyFill="1" applyBorder="1" applyAlignment="1">
      <alignment horizontal="center" vertical="center"/>
    </xf>
    <xf numFmtId="0" fontId="3" fillId="3" borderId="5" xfId="2" applyNumberFormat="1" applyFont="1" applyFill="1" applyBorder="1" applyAlignment="1">
      <alignment horizontal="center" vertical="center"/>
    </xf>
    <xf numFmtId="0" fontId="3" fillId="8" borderId="5" xfId="2" applyNumberFormat="1" applyFont="1" applyFill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/>
    </xf>
    <xf numFmtId="0" fontId="6" fillId="10" borderId="2" xfId="2" applyNumberFormat="1" applyFont="1" applyFill="1" applyBorder="1" applyAlignment="1">
      <alignment vertical="center"/>
    </xf>
    <xf numFmtId="0" fontId="3" fillId="17" borderId="5" xfId="2" applyNumberFormat="1" applyFont="1" applyFill="1" applyBorder="1" applyAlignment="1">
      <alignment horizontal="center" vertical="center"/>
    </xf>
    <xf numFmtId="0" fontId="3" fillId="0" borderId="2" xfId="2" applyNumberFormat="1" applyFont="1" applyBorder="1" applyAlignment="1">
      <alignment horizontal="center" vertical="center"/>
    </xf>
    <xf numFmtId="0" fontId="6" fillId="16" borderId="2" xfId="2" applyNumberFormat="1" applyFont="1" applyFill="1" applyBorder="1" applyAlignment="1">
      <alignment vertical="center"/>
    </xf>
    <xf numFmtId="0" fontId="2" fillId="11" borderId="2" xfId="2" applyNumberFormat="1" applyFont="1" applyFill="1" applyBorder="1" applyAlignment="1">
      <alignment vertical="center"/>
    </xf>
    <xf numFmtId="0" fontId="3" fillId="7" borderId="5" xfId="2" applyNumberFormat="1" applyFont="1" applyFill="1" applyBorder="1" applyAlignment="1">
      <alignment horizontal="center" vertical="center"/>
    </xf>
    <xf numFmtId="0" fontId="6" fillId="12" borderId="2" xfId="2" applyNumberFormat="1" applyFont="1" applyFill="1" applyBorder="1" applyAlignment="1">
      <alignment vertical="center"/>
    </xf>
    <xf numFmtId="0" fontId="2" fillId="2" borderId="2" xfId="2" applyNumberFormat="1" applyFont="1" applyFill="1" applyBorder="1" applyAlignment="1">
      <alignment vertical="center"/>
    </xf>
    <xf numFmtId="0" fontId="3" fillId="4" borderId="5" xfId="2" applyNumberFormat="1" applyFont="1" applyFill="1" applyBorder="1" applyAlignment="1">
      <alignment horizontal="center" vertical="center"/>
    </xf>
    <xf numFmtId="0" fontId="6" fillId="13" borderId="2" xfId="2" applyNumberFormat="1" applyFont="1" applyFill="1" applyBorder="1" applyAlignment="1">
      <alignment vertical="center"/>
    </xf>
    <xf numFmtId="0" fontId="4" fillId="3" borderId="2" xfId="2" applyNumberFormat="1" applyFont="1" applyFill="1" applyBorder="1" applyAlignment="1">
      <alignment vertical="center"/>
    </xf>
    <xf numFmtId="0" fontId="3" fillId="4" borderId="3" xfId="2" applyNumberFormat="1" applyFont="1" applyFill="1" applyBorder="1" applyAlignment="1">
      <alignment horizontal="center" vertical="center"/>
    </xf>
    <xf numFmtId="0" fontId="6" fillId="14" borderId="2" xfId="2" applyNumberFormat="1" applyFont="1" applyFill="1" applyBorder="1" applyAlignment="1">
      <alignment vertical="center"/>
    </xf>
    <xf numFmtId="0" fontId="3" fillId="4" borderId="6" xfId="2" applyNumberFormat="1" applyFont="1" applyFill="1" applyBorder="1" applyAlignment="1">
      <alignment horizontal="center" vertical="center"/>
    </xf>
    <xf numFmtId="9" fontId="3" fillId="6" borderId="5" xfId="2" applyNumberFormat="1" applyFont="1" applyFill="1" applyBorder="1" applyAlignment="1">
      <alignment horizontal="center" vertical="center"/>
    </xf>
    <xf numFmtId="9" fontId="3" fillId="6" borderId="6" xfId="2" applyNumberFormat="1" applyFont="1" applyFill="1" applyBorder="1" applyAlignment="1">
      <alignment horizontal="center" vertical="center"/>
    </xf>
    <xf numFmtId="9" fontId="3" fillId="17" borderId="5" xfId="3" applyFont="1" applyFill="1" applyBorder="1" applyAlignment="1">
      <alignment horizontal="center" vertical="center"/>
    </xf>
    <xf numFmtId="9" fontId="2" fillId="9" borderId="2" xfId="3" applyFont="1" applyFill="1" applyBorder="1" applyAlignment="1">
      <alignment vertical="center"/>
    </xf>
    <xf numFmtId="9" fontId="3" fillId="8" borderId="5" xfId="3" applyFont="1" applyFill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9" fontId="6" fillId="16" borderId="2" xfId="3" applyFont="1" applyFill="1" applyBorder="1" applyAlignment="1">
      <alignment vertical="center"/>
    </xf>
    <xf numFmtId="9" fontId="2" fillId="11" borderId="2" xfId="3" applyFont="1" applyFill="1" applyBorder="1" applyAlignment="1">
      <alignment vertical="center"/>
    </xf>
    <xf numFmtId="9" fontId="3" fillId="7" borderId="5" xfId="3" applyFont="1" applyFill="1" applyBorder="1" applyAlignment="1">
      <alignment horizontal="center" vertical="center"/>
    </xf>
    <xf numFmtId="9" fontId="6" fillId="12" borderId="2" xfId="3" applyFont="1" applyFill="1" applyBorder="1" applyAlignment="1">
      <alignment vertical="center"/>
    </xf>
    <xf numFmtId="9" fontId="2" fillId="2" borderId="2" xfId="3" applyFont="1" applyFill="1" applyBorder="1" applyAlignment="1">
      <alignment vertical="center"/>
    </xf>
    <xf numFmtId="9" fontId="3" fillId="4" borderId="5" xfId="3" applyFont="1" applyFill="1" applyBorder="1" applyAlignment="1">
      <alignment horizontal="center" vertical="center"/>
    </xf>
    <xf numFmtId="9" fontId="6" fillId="13" borderId="2" xfId="3" applyFont="1" applyFill="1" applyBorder="1" applyAlignment="1">
      <alignment vertical="center"/>
    </xf>
    <xf numFmtId="9" fontId="4" fillId="3" borderId="2" xfId="3" applyFont="1" applyFill="1" applyBorder="1" applyAlignment="1">
      <alignment vertical="center"/>
    </xf>
    <xf numFmtId="9" fontId="3" fillId="4" borderId="3" xfId="3" applyFont="1" applyFill="1" applyBorder="1" applyAlignment="1">
      <alignment horizontal="center" vertical="center"/>
    </xf>
    <xf numFmtId="9" fontId="6" fillId="14" borderId="2" xfId="3" applyFont="1" applyFill="1" applyBorder="1" applyAlignment="1">
      <alignment vertical="center"/>
    </xf>
    <xf numFmtId="9" fontId="3" fillId="3" borderId="5" xfId="3" applyFont="1" applyFill="1" applyBorder="1" applyAlignment="1">
      <alignment horizontal="center" vertical="center"/>
    </xf>
    <xf numFmtId="9" fontId="3" fillId="4" borderId="6" xfId="3" applyFont="1" applyFill="1" applyBorder="1" applyAlignment="1">
      <alignment horizontal="center" vertical="center"/>
    </xf>
    <xf numFmtId="0" fontId="14" fillId="3" borderId="4" xfId="2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vertical="center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</cellXfs>
  <cellStyles count="4">
    <cellStyle name="Currency" xfId="2" builtinId="4"/>
    <cellStyle name="Normal" xfId="0" builtinId="0"/>
    <cellStyle name="Normal 2" xfId="1" xr:uid="{AE3CF8C0-78D3-4E73-AAE1-81216815EA0D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F155"/>
  <sheetViews>
    <sheetView showGridLines="0" tabSelected="1" view="pageBreakPreview" topLeftCell="B1" zoomScale="103" zoomScaleNormal="100" zoomScaleSheetLayoutView="115" workbookViewId="0">
      <selection activeCell="P9" sqref="P9"/>
    </sheetView>
  </sheetViews>
  <sheetFormatPr defaultColWidth="7.69921875" defaultRowHeight="13.2" x14ac:dyDescent="0.25"/>
  <cols>
    <col min="1" max="1" width="19.296875" style="1" customWidth="1"/>
    <col min="2" max="2" width="31.796875" style="1" customWidth="1"/>
    <col min="3" max="3" width="28.8984375" style="134" hidden="1" customWidth="1"/>
    <col min="4" max="4" width="8.69921875" style="2" customWidth="1"/>
    <col min="5" max="5" width="15.19921875" style="1" customWidth="1"/>
    <col min="6" max="6" width="15.19921875" style="103" customWidth="1"/>
    <col min="7" max="7" width="5.19921875" style="162" bestFit="1" customWidth="1"/>
    <col min="8" max="8" width="15.19921875" style="162" customWidth="1"/>
    <col min="9" max="9" width="21" style="1" customWidth="1"/>
    <col min="10" max="11" width="7.69921875" style="1"/>
    <col min="12" max="12" width="14" style="1" bestFit="1" customWidth="1"/>
    <col min="13" max="16384" width="7.69921875" style="1"/>
  </cols>
  <sheetData>
    <row r="1" spans="1:17" x14ac:dyDescent="0.25">
      <c r="A1" s="1" t="s">
        <v>271</v>
      </c>
      <c r="I1" s="1" t="s">
        <v>360</v>
      </c>
    </row>
    <row r="2" spans="1:17" ht="22.8" customHeight="1" x14ac:dyDescent="0.25">
      <c r="A2" s="206" t="s">
        <v>0</v>
      </c>
      <c r="B2" s="207"/>
      <c r="C2" s="207"/>
      <c r="D2" s="207"/>
      <c r="E2" s="207"/>
      <c r="F2" s="207"/>
      <c r="G2" s="207"/>
      <c r="H2" s="207"/>
      <c r="I2" s="208"/>
    </row>
    <row r="3" spans="1:17" ht="39.6" x14ac:dyDescent="0.25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369</v>
      </c>
      <c r="G3" s="163" t="s">
        <v>397</v>
      </c>
      <c r="H3" s="204" t="s">
        <v>398</v>
      </c>
      <c r="I3" s="4" t="s">
        <v>6</v>
      </c>
    </row>
    <row r="4" spans="1:17" ht="13.2" customHeight="1" x14ac:dyDescent="0.25">
      <c r="A4" s="48" t="s">
        <v>305</v>
      </c>
      <c r="B4" s="49"/>
      <c r="C4" s="136"/>
      <c r="D4" s="49"/>
      <c r="E4" s="49"/>
      <c r="F4" s="105"/>
      <c r="G4" s="164"/>
      <c r="H4" s="164"/>
      <c r="I4" s="50"/>
    </row>
    <row r="5" spans="1:17" ht="13.2" customHeight="1" x14ac:dyDescent="0.25">
      <c r="A5" s="51" t="s">
        <v>306</v>
      </c>
      <c r="B5" s="52"/>
      <c r="C5" s="137"/>
      <c r="D5" s="52"/>
      <c r="E5" s="52"/>
      <c r="F5" s="106"/>
      <c r="G5" s="165"/>
      <c r="H5" s="165"/>
      <c r="I5" s="53"/>
      <c r="L5" s="75"/>
      <c r="M5" s="75" t="s">
        <v>390</v>
      </c>
      <c r="N5" s="75"/>
      <c r="O5" s="75"/>
      <c r="P5" s="75"/>
      <c r="Q5" s="75"/>
    </row>
    <row r="6" spans="1:17" ht="13.2" customHeight="1" x14ac:dyDescent="0.25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66">
        <v>40</v>
      </c>
      <c r="H6" s="166">
        <f>G6</f>
        <v>40</v>
      </c>
      <c r="I6" s="7"/>
      <c r="L6" s="75"/>
      <c r="M6" s="75" t="s">
        <v>391</v>
      </c>
      <c r="N6" s="75" t="s">
        <v>392</v>
      </c>
      <c r="O6" s="75" t="s">
        <v>393</v>
      </c>
      <c r="P6" s="75" t="s">
        <v>394</v>
      </c>
      <c r="Q6" s="75" t="s">
        <v>395</v>
      </c>
    </row>
    <row r="7" spans="1:17" ht="13.2" customHeight="1" x14ac:dyDescent="0.25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66"/>
      <c r="H7" s="166">
        <f>HLOOKUP($M$10,$L$21:$BF$22,2,0)</f>
        <v>3</v>
      </c>
      <c r="I7" s="7"/>
      <c r="L7" s="161" t="s">
        <v>396</v>
      </c>
      <c r="M7" s="205">
        <v>31</v>
      </c>
      <c r="N7" s="205">
        <v>55</v>
      </c>
      <c r="O7" s="205">
        <v>166</v>
      </c>
      <c r="P7" s="205">
        <v>1</v>
      </c>
      <c r="Q7" s="205">
        <v>1</v>
      </c>
    </row>
    <row r="8" spans="1:17" ht="13.2" customHeight="1" x14ac:dyDescent="0.25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66">
        <v>2</v>
      </c>
      <c r="H8" s="166">
        <v>2</v>
      </c>
      <c r="I8" s="7"/>
      <c r="L8" s="133" t="s">
        <v>314</v>
      </c>
      <c r="M8" s="205">
        <v>1</v>
      </c>
      <c r="N8" s="205">
        <v>1</v>
      </c>
      <c r="O8" s="205">
        <v>8</v>
      </c>
      <c r="P8" s="205">
        <v>3</v>
      </c>
      <c r="Q8" s="205">
        <v>6</v>
      </c>
    </row>
    <row r="9" spans="1:17" ht="13.2" customHeight="1" x14ac:dyDescent="0.25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86">
        <v>1</v>
      </c>
      <c r="H9" s="166">
        <f>$M$7*G9</f>
        <v>31</v>
      </c>
      <c r="I9" s="7"/>
      <c r="L9" s="75" t="s">
        <v>401</v>
      </c>
      <c r="M9" s="205">
        <v>0</v>
      </c>
      <c r="N9" s="205">
        <v>0</v>
      </c>
      <c r="O9" s="205">
        <v>0</v>
      </c>
      <c r="P9" s="205">
        <v>0</v>
      </c>
      <c r="Q9" s="205">
        <v>0</v>
      </c>
    </row>
    <row r="10" spans="1:17" ht="13.2" customHeight="1" x14ac:dyDescent="0.25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86">
        <v>0.6</v>
      </c>
      <c r="H10" s="166">
        <f>ROUNDUP($M$7*G10,0)</f>
        <v>19</v>
      </c>
      <c r="I10" s="7"/>
      <c r="L10" s="75" t="s">
        <v>402</v>
      </c>
      <c r="M10" s="75">
        <f>SUM(M7:M9)</f>
        <v>32</v>
      </c>
      <c r="N10" s="75">
        <f>SUM(N7:N9)</f>
        <v>56</v>
      </c>
      <c r="O10" s="75">
        <f>SUM(O7:O9)</f>
        <v>174</v>
      </c>
      <c r="P10" s="75">
        <f t="shared" ref="P10:Q10" si="0">SUM(P7:P9)</f>
        <v>4</v>
      </c>
      <c r="Q10" s="75">
        <f t="shared" si="0"/>
        <v>7</v>
      </c>
    </row>
    <row r="11" spans="1:17" ht="13.2" customHeight="1" x14ac:dyDescent="0.25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86">
        <v>0.6</v>
      </c>
      <c r="H11" s="166">
        <f>ROUNDDOWN($M$7*G11,0)</f>
        <v>18</v>
      </c>
      <c r="I11" s="7"/>
      <c r="L11" s="1" t="s">
        <v>403</v>
      </c>
      <c r="M11" s="1">
        <v>32</v>
      </c>
      <c r="N11" s="1">
        <v>56</v>
      </c>
      <c r="O11" s="1">
        <v>174</v>
      </c>
      <c r="P11" s="1">
        <v>2</v>
      </c>
      <c r="Q11" s="1">
        <v>6</v>
      </c>
    </row>
    <row r="12" spans="1:17" ht="13.2" customHeight="1" x14ac:dyDescent="0.25">
      <c r="A12" s="160" t="s">
        <v>389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66">
        <v>2</v>
      </c>
      <c r="H12" s="166">
        <v>2</v>
      </c>
      <c r="I12" s="5"/>
    </row>
    <row r="13" spans="1:17" ht="13.2" customHeight="1" x14ac:dyDescent="0.25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86">
        <v>0.5</v>
      </c>
      <c r="H13" s="166">
        <f>ROUNDUP($M$7*G13,0)</f>
        <v>16</v>
      </c>
      <c r="I13" s="5"/>
    </row>
    <row r="14" spans="1:17" ht="13.2" customHeight="1" x14ac:dyDescent="0.25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86">
        <v>0.5</v>
      </c>
      <c r="H14" s="166">
        <f>ROUNDDOWN($M$7*G14,0)</f>
        <v>15</v>
      </c>
      <c r="I14" s="5"/>
      <c r="M14" s="1">
        <v>20</v>
      </c>
      <c r="N14" s="1">
        <v>50</v>
      </c>
      <c r="O14" s="1">
        <v>143</v>
      </c>
      <c r="P14" s="1">
        <v>1</v>
      </c>
      <c r="Q14" s="1">
        <v>1</v>
      </c>
    </row>
    <row r="15" spans="1:17" ht="13.2" customHeight="1" x14ac:dyDescent="0.25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86">
        <v>0.2</v>
      </c>
      <c r="H15" s="166">
        <f>ROUNDUP($M$7*G15,0)</f>
        <v>7</v>
      </c>
      <c r="I15" s="7"/>
      <c r="M15" s="1">
        <v>4</v>
      </c>
      <c r="N15" s="1">
        <v>3</v>
      </c>
      <c r="O15" s="1">
        <v>9</v>
      </c>
      <c r="P15" s="1">
        <v>6</v>
      </c>
    </row>
    <row r="16" spans="1:17" ht="13.2" customHeight="1" x14ac:dyDescent="0.25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66">
        <v>2</v>
      </c>
      <c r="H16" s="166">
        <v>2</v>
      </c>
      <c r="I16" s="7"/>
    </row>
    <row r="17" spans="1:58" ht="13.2" customHeight="1" x14ac:dyDescent="0.25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67"/>
      <c r="H17" s="166">
        <f>HLOOKUP($M$10,$L$21:$BF$22,2,0)</f>
        <v>3</v>
      </c>
      <c r="I17" s="7"/>
    </row>
    <row r="18" spans="1:58" ht="13.2" customHeight="1" x14ac:dyDescent="0.25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67"/>
      <c r="H18" s="166">
        <f>HLOOKUP($M$10,$L$27:$BF$28,2,0)</f>
        <v>3</v>
      </c>
      <c r="I18" s="7"/>
    </row>
    <row r="19" spans="1:58" ht="13.2" customHeight="1" x14ac:dyDescent="0.25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66">
        <v>2</v>
      </c>
      <c r="H19" s="166">
        <v>2</v>
      </c>
      <c r="I19" s="7"/>
    </row>
    <row r="20" spans="1:58" ht="13.2" customHeight="1" x14ac:dyDescent="0.25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67"/>
      <c r="H20" s="167">
        <v>3</v>
      </c>
      <c r="I20" s="7"/>
      <c r="L20" s="1" t="s">
        <v>12</v>
      </c>
    </row>
    <row r="21" spans="1:58" x14ac:dyDescent="0.25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68">
        <v>1</v>
      </c>
      <c r="H21" s="168">
        <v>1</v>
      </c>
      <c r="I21" s="46"/>
      <c r="L21" s="75" t="s">
        <v>399</v>
      </c>
      <c r="M21" s="75">
        <v>1</v>
      </c>
      <c r="N21" s="75">
        <v>2</v>
      </c>
      <c r="O21" s="75">
        <v>3</v>
      </c>
      <c r="P21" s="75">
        <v>4</v>
      </c>
      <c r="Q21" s="75">
        <v>5</v>
      </c>
      <c r="R21" s="75">
        <v>6</v>
      </c>
      <c r="S21" s="75">
        <v>7</v>
      </c>
      <c r="T21" s="75">
        <v>8</v>
      </c>
      <c r="U21" s="75">
        <v>9</v>
      </c>
      <c r="V21" s="75">
        <v>10</v>
      </c>
      <c r="W21" s="75">
        <v>11</v>
      </c>
      <c r="X21" s="75">
        <v>12</v>
      </c>
      <c r="Y21" s="75">
        <v>13</v>
      </c>
      <c r="Z21" s="75">
        <v>14</v>
      </c>
      <c r="AA21" s="75">
        <v>15</v>
      </c>
      <c r="AB21" s="75">
        <v>16</v>
      </c>
      <c r="AC21" s="75">
        <v>17</v>
      </c>
      <c r="AD21" s="75">
        <v>18</v>
      </c>
      <c r="AE21" s="75">
        <v>19</v>
      </c>
      <c r="AF21" s="75">
        <v>20</v>
      </c>
      <c r="AG21" s="75">
        <v>21</v>
      </c>
      <c r="AH21" s="75">
        <v>22</v>
      </c>
      <c r="AI21" s="75">
        <v>23</v>
      </c>
      <c r="AJ21" s="75">
        <v>24</v>
      </c>
      <c r="AK21" s="75">
        <v>25</v>
      </c>
      <c r="AL21" s="75">
        <v>26</v>
      </c>
      <c r="AM21" s="75">
        <v>27</v>
      </c>
      <c r="AN21" s="75">
        <v>28</v>
      </c>
      <c r="AO21" s="75">
        <v>29</v>
      </c>
      <c r="AP21" s="75">
        <v>30</v>
      </c>
      <c r="AQ21" s="75">
        <v>31</v>
      </c>
      <c r="AR21" s="75">
        <v>32</v>
      </c>
      <c r="AS21" s="75">
        <v>33</v>
      </c>
      <c r="AT21" s="75">
        <v>34</v>
      </c>
      <c r="AU21" s="75">
        <v>35</v>
      </c>
      <c r="AV21" s="75">
        <v>36</v>
      </c>
      <c r="AW21" s="75">
        <v>37</v>
      </c>
      <c r="AX21" s="75">
        <v>38</v>
      </c>
      <c r="AY21" s="75">
        <v>39</v>
      </c>
      <c r="AZ21" s="75">
        <v>40</v>
      </c>
      <c r="BA21" s="75">
        <v>41</v>
      </c>
      <c r="BB21" s="75">
        <v>42</v>
      </c>
      <c r="BC21" s="75">
        <v>43</v>
      </c>
      <c r="BD21" s="75">
        <v>44</v>
      </c>
      <c r="BE21" s="75">
        <v>45</v>
      </c>
      <c r="BF21" s="75">
        <v>46</v>
      </c>
    </row>
    <row r="22" spans="1:58" x14ac:dyDescent="0.25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68">
        <v>1</v>
      </c>
      <c r="H22" s="168">
        <v>1</v>
      </c>
      <c r="I22" s="46"/>
      <c r="L22" s="75" t="s">
        <v>400</v>
      </c>
      <c r="M22" s="75">
        <v>2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3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4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5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</row>
    <row r="23" spans="1:58" x14ac:dyDescent="0.25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68">
        <v>1</v>
      </c>
      <c r="H23" s="168">
        <v>1</v>
      </c>
      <c r="I23" s="46"/>
    </row>
    <row r="24" spans="1:58" x14ac:dyDescent="0.25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68">
        <v>2</v>
      </c>
      <c r="H24" s="168">
        <v>2</v>
      </c>
      <c r="I24" s="46"/>
    </row>
    <row r="25" spans="1:58" ht="13.2" customHeight="1" x14ac:dyDescent="0.25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87">
        <v>0.75</v>
      </c>
      <c r="H25" s="166">
        <f>ROUND($M$7*G25,0)</f>
        <v>23</v>
      </c>
      <c r="I25" s="7" t="s">
        <v>44</v>
      </c>
    </row>
    <row r="26" spans="1:58" ht="13.2" customHeight="1" x14ac:dyDescent="0.25">
      <c r="A26" s="127" t="s">
        <v>45</v>
      </c>
      <c r="B26" s="127" t="s">
        <v>378</v>
      </c>
      <c r="C26" s="138"/>
      <c r="D26" s="6" t="s">
        <v>14</v>
      </c>
      <c r="E26" s="8" t="s">
        <v>43</v>
      </c>
      <c r="F26" s="108">
        <v>0.94</v>
      </c>
      <c r="G26" s="187">
        <v>0.75</v>
      </c>
      <c r="H26" s="166">
        <f>ROUND($M$7*G26,0)</f>
        <v>23</v>
      </c>
      <c r="I26" s="7" t="s">
        <v>44</v>
      </c>
      <c r="L26" s="1" t="s">
        <v>39</v>
      </c>
    </row>
    <row r="27" spans="1:58" ht="13.2" customHeight="1" x14ac:dyDescent="0.25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67">
        <v>2</v>
      </c>
      <c r="H27" s="167">
        <v>2</v>
      </c>
      <c r="I27" s="7"/>
      <c r="L27" s="75" t="s">
        <v>399</v>
      </c>
      <c r="M27" s="75">
        <v>1</v>
      </c>
      <c r="N27" s="75">
        <v>2</v>
      </c>
      <c r="O27" s="75">
        <v>3</v>
      </c>
      <c r="P27" s="75">
        <v>4</v>
      </c>
      <c r="Q27" s="75">
        <v>5</v>
      </c>
      <c r="R27" s="75">
        <v>6</v>
      </c>
      <c r="S27" s="75">
        <v>7</v>
      </c>
      <c r="T27" s="75">
        <v>8</v>
      </c>
      <c r="U27" s="75">
        <v>9</v>
      </c>
      <c r="V27" s="75">
        <v>10</v>
      </c>
      <c r="W27" s="75">
        <v>11</v>
      </c>
      <c r="X27" s="75">
        <v>12</v>
      </c>
      <c r="Y27" s="75">
        <v>13</v>
      </c>
      <c r="Z27" s="75">
        <v>14</v>
      </c>
      <c r="AA27" s="75">
        <v>15</v>
      </c>
      <c r="AB27" s="75">
        <v>16</v>
      </c>
      <c r="AC27" s="75">
        <v>17</v>
      </c>
      <c r="AD27" s="75">
        <v>18</v>
      </c>
      <c r="AE27" s="75">
        <v>19</v>
      </c>
      <c r="AF27" s="75">
        <v>20</v>
      </c>
      <c r="AG27" s="75">
        <v>21</v>
      </c>
      <c r="AH27" s="75">
        <v>22</v>
      </c>
      <c r="AI27" s="75">
        <v>23</v>
      </c>
      <c r="AJ27" s="75">
        <v>24</v>
      </c>
      <c r="AK27" s="75">
        <v>25</v>
      </c>
      <c r="AL27" s="75">
        <v>26</v>
      </c>
      <c r="AM27" s="75">
        <v>27</v>
      </c>
      <c r="AN27" s="75">
        <v>28</v>
      </c>
      <c r="AO27" s="75">
        <v>29</v>
      </c>
      <c r="AP27" s="75">
        <v>30</v>
      </c>
      <c r="AQ27" s="75">
        <v>31</v>
      </c>
      <c r="AR27" s="75">
        <v>32</v>
      </c>
      <c r="AS27" s="75">
        <v>33</v>
      </c>
      <c r="AT27" s="75">
        <v>34</v>
      </c>
      <c r="AU27" s="75">
        <v>35</v>
      </c>
      <c r="AV27" s="75">
        <v>36</v>
      </c>
      <c r="AW27" s="75">
        <v>37</v>
      </c>
      <c r="AX27" s="75">
        <v>38</v>
      </c>
      <c r="AY27" s="75">
        <v>39</v>
      </c>
      <c r="AZ27" s="75">
        <v>40</v>
      </c>
      <c r="BA27" s="75">
        <v>41</v>
      </c>
      <c r="BB27" s="75">
        <v>42</v>
      </c>
      <c r="BC27" s="75">
        <v>43</v>
      </c>
      <c r="BD27" s="75">
        <v>44</v>
      </c>
      <c r="BE27" s="75">
        <v>45</v>
      </c>
      <c r="BF27" s="75">
        <v>46</v>
      </c>
    </row>
    <row r="28" spans="1:58" ht="13.2" customHeight="1" x14ac:dyDescent="0.25">
      <c r="A28" s="51" t="s">
        <v>327</v>
      </c>
      <c r="B28" s="52"/>
      <c r="C28" s="137"/>
      <c r="D28" s="52"/>
      <c r="E28" s="52"/>
      <c r="F28" s="106"/>
      <c r="G28" s="165"/>
      <c r="H28" s="165"/>
      <c r="I28" s="53"/>
      <c r="L28" s="75" t="s">
        <v>400</v>
      </c>
      <c r="M28" s="75">
        <v>2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3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</row>
    <row r="29" spans="1:58" ht="13.2" customHeight="1" x14ac:dyDescent="0.25">
      <c r="A29" s="5" t="s">
        <v>334</v>
      </c>
      <c r="B29" s="5" t="s">
        <v>329</v>
      </c>
      <c r="C29" s="139" t="s">
        <v>373</v>
      </c>
      <c r="D29" s="6" t="s">
        <v>14</v>
      </c>
      <c r="E29" s="6">
        <v>1</v>
      </c>
      <c r="F29" s="132">
        <v>0.94</v>
      </c>
      <c r="G29" s="169">
        <v>4</v>
      </c>
      <c r="H29" s="169">
        <f>G29</f>
        <v>4</v>
      </c>
      <c r="I29" s="5" t="s">
        <v>341</v>
      </c>
    </row>
    <row r="30" spans="1:58" ht="13.2" customHeight="1" x14ac:dyDescent="0.25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7">
        <v>1.04</v>
      </c>
      <c r="G30" s="166">
        <v>4</v>
      </c>
      <c r="H30" s="169">
        <f t="shared" ref="H30:H34" si="1">G30</f>
        <v>4</v>
      </c>
      <c r="I30" s="5" t="s">
        <v>341</v>
      </c>
    </row>
    <row r="31" spans="1:58" ht="13.2" customHeight="1" x14ac:dyDescent="0.25">
      <c r="A31" s="5" t="s">
        <v>335</v>
      </c>
      <c r="B31" s="5" t="s">
        <v>330</v>
      </c>
      <c r="C31" s="138" t="s">
        <v>370</v>
      </c>
      <c r="D31" s="6" t="s">
        <v>14</v>
      </c>
      <c r="E31" s="6">
        <v>1</v>
      </c>
      <c r="F31" s="132">
        <v>0.79</v>
      </c>
      <c r="G31" s="169">
        <v>4</v>
      </c>
      <c r="H31" s="169">
        <f t="shared" si="1"/>
        <v>4</v>
      </c>
      <c r="I31" s="5" t="s">
        <v>341</v>
      </c>
    </row>
    <row r="32" spans="1:58" ht="13.2" customHeight="1" x14ac:dyDescent="0.25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32">
        <v>3.23</v>
      </c>
      <c r="G32" s="169">
        <v>2</v>
      </c>
      <c r="H32" s="169">
        <f t="shared" si="1"/>
        <v>2</v>
      </c>
      <c r="I32" s="5" t="s">
        <v>341</v>
      </c>
    </row>
    <row r="33" spans="1:9" ht="13.2" customHeight="1" x14ac:dyDescent="0.25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32">
        <v>3.72</v>
      </c>
      <c r="G33" s="169">
        <v>2</v>
      </c>
      <c r="H33" s="169">
        <f t="shared" si="1"/>
        <v>2</v>
      </c>
      <c r="I33" s="5" t="s">
        <v>341</v>
      </c>
    </row>
    <row r="34" spans="1:9" ht="13.2" customHeight="1" x14ac:dyDescent="0.25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32">
        <v>3.78</v>
      </c>
      <c r="G34" s="169">
        <v>4</v>
      </c>
      <c r="H34" s="169">
        <f t="shared" si="1"/>
        <v>4</v>
      </c>
      <c r="I34" s="5" t="s">
        <v>341</v>
      </c>
    </row>
    <row r="35" spans="1:9" ht="13.2" customHeight="1" x14ac:dyDescent="0.25">
      <c r="A35" s="51" t="s">
        <v>307</v>
      </c>
      <c r="B35" s="52"/>
      <c r="C35" s="137"/>
      <c r="D35" s="52"/>
      <c r="E35" s="52"/>
      <c r="F35" s="106"/>
      <c r="G35" s="165"/>
      <c r="H35" s="165"/>
      <c r="I35" s="53"/>
    </row>
    <row r="36" spans="1:9" ht="13.2" customHeight="1" x14ac:dyDescent="0.25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86">
        <v>1</v>
      </c>
      <c r="H36" s="166">
        <f t="shared" ref="H36:H43" si="2">ROUND($M$7*G36,0)</f>
        <v>31</v>
      </c>
      <c r="I36" s="7"/>
    </row>
    <row r="37" spans="1:9" ht="13.2" customHeight="1" x14ac:dyDescent="0.25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86">
        <v>1</v>
      </c>
      <c r="H37" s="166">
        <f t="shared" si="2"/>
        <v>31</v>
      </c>
      <c r="I37" s="9"/>
    </row>
    <row r="38" spans="1:9" ht="13.2" customHeight="1" x14ac:dyDescent="0.25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86">
        <v>1</v>
      </c>
      <c r="H38" s="166">
        <f t="shared" si="2"/>
        <v>31</v>
      </c>
      <c r="I38" s="9"/>
    </row>
    <row r="39" spans="1:9" ht="13.2" customHeight="1" x14ac:dyDescent="0.25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86">
        <v>1</v>
      </c>
      <c r="H39" s="166">
        <f t="shared" si="2"/>
        <v>31</v>
      </c>
      <c r="I39" s="5"/>
    </row>
    <row r="40" spans="1:9" ht="13.2" customHeight="1" x14ac:dyDescent="0.25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86">
        <v>1</v>
      </c>
      <c r="H40" s="166">
        <f t="shared" si="2"/>
        <v>31</v>
      </c>
      <c r="I40" s="10"/>
    </row>
    <row r="41" spans="1:9" ht="13.2" customHeight="1" x14ac:dyDescent="0.25">
      <c r="A41" s="127" t="s">
        <v>379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86">
        <v>0.6</v>
      </c>
      <c r="H41" s="166">
        <f t="shared" si="2"/>
        <v>19</v>
      </c>
      <c r="I41" s="7" t="s">
        <v>44</v>
      </c>
    </row>
    <row r="42" spans="1:9" ht="13.2" customHeight="1" x14ac:dyDescent="0.25">
      <c r="A42" s="127" t="s">
        <v>380</v>
      </c>
      <c r="B42" s="5" t="s">
        <v>381</v>
      </c>
      <c r="C42" s="138"/>
      <c r="D42" s="6" t="s">
        <v>14</v>
      </c>
      <c r="E42" s="6" t="s">
        <v>55</v>
      </c>
      <c r="F42" s="107">
        <v>0.56000000000000005</v>
      </c>
      <c r="G42" s="186">
        <v>0.6</v>
      </c>
      <c r="H42" s="166">
        <f t="shared" si="2"/>
        <v>19</v>
      </c>
      <c r="I42" s="7" t="s">
        <v>44</v>
      </c>
    </row>
    <row r="43" spans="1:9" ht="13.2" customHeight="1" x14ac:dyDescent="0.25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86">
        <v>1</v>
      </c>
      <c r="H43" s="166">
        <f t="shared" si="2"/>
        <v>31</v>
      </c>
      <c r="I43" s="7" t="s">
        <v>44</v>
      </c>
    </row>
    <row r="44" spans="1:9" ht="13.2" customHeight="1" x14ac:dyDescent="0.25">
      <c r="A44" s="51" t="s">
        <v>308</v>
      </c>
      <c r="B44" s="52"/>
      <c r="C44" s="137"/>
      <c r="D44" s="52"/>
      <c r="E44" s="52"/>
      <c r="F44" s="106"/>
      <c r="G44" s="165"/>
      <c r="H44" s="165"/>
      <c r="I44" s="53"/>
    </row>
    <row r="45" spans="1:9" ht="13.5" customHeight="1" x14ac:dyDescent="0.25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70"/>
      <c r="H45" s="170"/>
      <c r="I45" s="45" t="s">
        <v>270</v>
      </c>
    </row>
    <row r="46" spans="1:9" ht="13.5" customHeight="1" x14ac:dyDescent="0.25">
      <c r="A46" s="75"/>
      <c r="B46" s="75"/>
      <c r="C46" s="141"/>
      <c r="D46" s="76"/>
      <c r="E46" s="76"/>
      <c r="F46" s="112"/>
      <c r="G46" s="171"/>
      <c r="H46" s="171"/>
      <c r="I46" s="77"/>
    </row>
    <row r="47" spans="1:9" ht="13.2" customHeight="1" x14ac:dyDescent="0.25">
      <c r="A47" s="54" t="s">
        <v>309</v>
      </c>
      <c r="B47" s="55"/>
      <c r="C47" s="142"/>
      <c r="D47" s="55"/>
      <c r="E47" s="55"/>
      <c r="F47" s="113"/>
      <c r="G47" s="172"/>
      <c r="H47" s="172"/>
      <c r="I47" s="56"/>
    </row>
    <row r="48" spans="1:9" ht="13.2" customHeight="1" x14ac:dyDescent="0.25">
      <c r="A48" s="51" t="s">
        <v>306</v>
      </c>
      <c r="B48" s="52"/>
      <c r="C48" s="137"/>
      <c r="D48" s="52"/>
      <c r="E48" s="52"/>
      <c r="F48" s="106"/>
      <c r="G48" s="165"/>
      <c r="H48" s="165"/>
      <c r="I48" s="53"/>
    </row>
    <row r="49" spans="1:9" ht="13.2" customHeight="1" x14ac:dyDescent="0.25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88">
        <v>1</v>
      </c>
      <c r="H49" s="173">
        <f>ROUND($N$7*G49,0)</f>
        <v>55</v>
      </c>
      <c r="I49" s="99"/>
    </row>
    <row r="50" spans="1:9" ht="13.2" customHeight="1" x14ac:dyDescent="0.25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88">
        <v>1</v>
      </c>
      <c r="H50" s="173">
        <f>ROUND($N$7*G50,0)</f>
        <v>55</v>
      </c>
      <c r="I50" s="100"/>
    </row>
    <row r="51" spans="1:9" ht="13.2" customHeight="1" x14ac:dyDescent="0.25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88">
        <v>0.6</v>
      </c>
      <c r="H51" s="173">
        <f>ROUNDUP($N$7*G51,0)</f>
        <v>33</v>
      </c>
      <c r="I51" s="96"/>
    </row>
    <row r="52" spans="1:9" ht="13.2" customHeight="1" x14ac:dyDescent="0.25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88">
        <v>0.4</v>
      </c>
      <c r="H52" s="173">
        <f>ROUNDDOWN($N$7*G52,0)</f>
        <v>22</v>
      </c>
      <c r="I52" s="101" t="s">
        <v>70</v>
      </c>
    </row>
    <row r="53" spans="1:9" ht="13.2" customHeight="1" x14ac:dyDescent="0.25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88">
        <v>1</v>
      </c>
      <c r="H53" s="173">
        <f>ROUND($N$7*G53,0)</f>
        <v>55</v>
      </c>
      <c r="I53" s="100"/>
    </row>
    <row r="54" spans="1:9" ht="13.2" customHeight="1" x14ac:dyDescent="0.25">
      <c r="A54" s="96" t="s">
        <v>72</v>
      </c>
      <c r="B54" s="127" t="s">
        <v>388</v>
      </c>
      <c r="C54" s="143"/>
      <c r="D54" s="97" t="s">
        <v>62</v>
      </c>
      <c r="E54" s="98" t="s">
        <v>73</v>
      </c>
      <c r="F54" s="114">
        <v>0.8</v>
      </c>
      <c r="G54" s="188">
        <v>1.2</v>
      </c>
      <c r="H54" s="173">
        <f>ROUND($N$7*G54,0)</f>
        <v>66</v>
      </c>
      <c r="I54" s="102" t="s">
        <v>74</v>
      </c>
    </row>
    <row r="55" spans="1:9" ht="13.2" customHeight="1" x14ac:dyDescent="0.25">
      <c r="A55" s="51" t="s">
        <v>307</v>
      </c>
      <c r="B55" s="52"/>
      <c r="C55" s="137"/>
      <c r="D55" s="52"/>
      <c r="E55" s="52"/>
      <c r="F55" s="106"/>
      <c r="G55" s="189"/>
      <c r="H55" s="165"/>
      <c r="I55" s="53"/>
    </row>
    <row r="56" spans="1:9" ht="13.2" customHeight="1" x14ac:dyDescent="0.25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88">
        <v>1</v>
      </c>
      <c r="H56" s="173">
        <f>ROUND($N$7*G56,0)</f>
        <v>55</v>
      </c>
      <c r="I56" s="102"/>
    </row>
    <row r="57" spans="1:9" ht="13.2" customHeight="1" x14ac:dyDescent="0.25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88">
        <v>1</v>
      </c>
      <c r="H57" s="173">
        <f>ROUND($N$7*G57,0)</f>
        <v>55</v>
      </c>
      <c r="I57" s="102"/>
    </row>
    <row r="58" spans="1:9" ht="13.2" customHeight="1" x14ac:dyDescent="0.25">
      <c r="A58" s="127" t="s">
        <v>382</v>
      </c>
      <c r="B58" s="96" t="s">
        <v>383</v>
      </c>
      <c r="C58" s="143"/>
      <c r="D58" s="97" t="s">
        <v>62</v>
      </c>
      <c r="E58" s="98" t="s">
        <v>73</v>
      </c>
      <c r="F58" s="114">
        <v>0.78</v>
      </c>
      <c r="G58" s="188">
        <v>1.2</v>
      </c>
      <c r="H58" s="173">
        <f>ROUND($N$7*G58,0)</f>
        <v>66</v>
      </c>
      <c r="I58" s="102" t="s">
        <v>74</v>
      </c>
    </row>
    <row r="59" spans="1:9" ht="13.2" customHeight="1" x14ac:dyDescent="0.25">
      <c r="A59" s="51" t="s">
        <v>308</v>
      </c>
      <c r="B59" s="52"/>
      <c r="C59" s="137"/>
      <c r="D59" s="52"/>
      <c r="E59" s="52"/>
      <c r="F59" s="106"/>
      <c r="G59" s="189"/>
      <c r="H59" s="165"/>
      <c r="I59" s="53"/>
    </row>
    <row r="60" spans="1:9" ht="13.2" customHeight="1" x14ac:dyDescent="0.25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90"/>
      <c r="H60" s="170"/>
      <c r="I60" s="42" t="s">
        <v>270</v>
      </c>
    </row>
    <row r="61" spans="1:9" ht="13.2" customHeight="1" x14ac:dyDescent="0.25">
      <c r="A61" s="78"/>
      <c r="B61" s="79"/>
      <c r="C61" s="145"/>
      <c r="D61" s="80"/>
      <c r="E61" s="80"/>
      <c r="F61" s="115"/>
      <c r="G61" s="191"/>
      <c r="H61" s="174"/>
      <c r="I61" s="81"/>
    </row>
    <row r="62" spans="1:9" ht="13.2" customHeight="1" x14ac:dyDescent="0.25">
      <c r="A62" s="93" t="s">
        <v>310</v>
      </c>
      <c r="B62" s="94"/>
      <c r="C62" s="146"/>
      <c r="D62" s="94"/>
      <c r="E62" s="94"/>
      <c r="F62" s="116"/>
      <c r="G62" s="192"/>
      <c r="H62" s="175"/>
      <c r="I62" s="95"/>
    </row>
    <row r="63" spans="1:9" ht="13.2" customHeight="1" x14ac:dyDescent="0.25">
      <c r="A63" s="57" t="s">
        <v>306</v>
      </c>
      <c r="B63" s="58"/>
      <c r="C63" s="147"/>
      <c r="D63" s="58"/>
      <c r="E63" s="58"/>
      <c r="F63" s="117"/>
      <c r="G63" s="193"/>
      <c r="H63" s="176"/>
      <c r="I63" s="59"/>
    </row>
    <row r="64" spans="1:9" ht="13.2" customHeight="1" x14ac:dyDescent="0.25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94">
        <v>1</v>
      </c>
      <c r="H64" s="177">
        <f>ROUND($O$7*G64,0)</f>
        <v>166</v>
      </c>
      <c r="I64" s="11"/>
    </row>
    <row r="65" spans="1:9" ht="13.2" customHeight="1" x14ac:dyDescent="0.25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94">
        <v>1</v>
      </c>
      <c r="H65" s="177">
        <f>ROUND($O$7*G65,0)</f>
        <v>166</v>
      </c>
      <c r="I65" s="14"/>
    </row>
    <row r="66" spans="1:9" ht="13.2" customHeight="1" x14ac:dyDescent="0.25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94">
        <v>1</v>
      </c>
      <c r="H66" s="177">
        <f>ROUND($O$7*G66,0)</f>
        <v>166</v>
      </c>
      <c r="I66" s="11" t="s">
        <v>84</v>
      </c>
    </row>
    <row r="67" spans="1:9" ht="13.2" customHeight="1" x14ac:dyDescent="0.25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94">
        <v>1</v>
      </c>
      <c r="H67" s="177">
        <f>ROUND($O$7*G67,0)</f>
        <v>166</v>
      </c>
      <c r="I67" s="11"/>
    </row>
    <row r="68" spans="1:9" ht="13.2" customHeight="1" x14ac:dyDescent="0.25">
      <c r="A68" s="127" t="s">
        <v>384</v>
      </c>
      <c r="B68" s="127" t="s">
        <v>385</v>
      </c>
      <c r="C68" s="148"/>
      <c r="D68" s="12" t="s">
        <v>81</v>
      </c>
      <c r="E68" s="13" t="s">
        <v>73</v>
      </c>
      <c r="F68" s="118">
        <v>0.28000000000000003</v>
      </c>
      <c r="G68" s="194">
        <v>1.2</v>
      </c>
      <c r="H68" s="177">
        <f>ROUND($O$7*G68,0)</f>
        <v>199</v>
      </c>
      <c r="I68" s="15" t="s">
        <v>74</v>
      </c>
    </row>
    <row r="69" spans="1:9" ht="13.2" customHeight="1" x14ac:dyDescent="0.25">
      <c r="A69" s="57" t="s">
        <v>307</v>
      </c>
      <c r="B69" s="58"/>
      <c r="C69" s="147"/>
      <c r="D69" s="58"/>
      <c r="E69" s="58"/>
      <c r="F69" s="117"/>
      <c r="G69" s="193"/>
      <c r="H69" s="176"/>
      <c r="I69" s="59"/>
    </row>
    <row r="70" spans="1:9" ht="13.2" customHeight="1" x14ac:dyDescent="0.25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94">
        <v>1</v>
      </c>
      <c r="H70" s="177">
        <f>ROUND($O$7*G70,0)</f>
        <v>166</v>
      </c>
      <c r="I70" s="11"/>
    </row>
    <row r="71" spans="1:9" ht="13.2" customHeight="1" x14ac:dyDescent="0.25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94">
        <v>1</v>
      </c>
      <c r="H71" s="177">
        <f>ROUND($O$7*G71,0)</f>
        <v>166</v>
      </c>
      <c r="I71" s="11"/>
    </row>
    <row r="72" spans="1:9" ht="13.2" customHeight="1" x14ac:dyDescent="0.25">
      <c r="A72" s="78"/>
      <c r="B72" s="79"/>
      <c r="C72" s="149"/>
      <c r="D72" s="80"/>
      <c r="E72" s="82"/>
      <c r="F72" s="115"/>
      <c r="G72" s="191"/>
      <c r="H72" s="174"/>
      <c r="I72" s="81"/>
    </row>
    <row r="73" spans="1:9" ht="13.2" customHeight="1" x14ac:dyDescent="0.25">
      <c r="A73" s="60" t="s">
        <v>311</v>
      </c>
      <c r="B73" s="61"/>
      <c r="C73" s="150"/>
      <c r="D73" s="61"/>
      <c r="E73" s="61"/>
      <c r="F73" s="119"/>
      <c r="G73" s="195"/>
      <c r="H73" s="178"/>
      <c r="I73" s="62"/>
    </row>
    <row r="74" spans="1:9" ht="13.2" customHeight="1" x14ac:dyDescent="0.25">
      <c r="A74" s="63" t="s">
        <v>312</v>
      </c>
      <c r="B74" s="64"/>
      <c r="C74" s="151"/>
      <c r="D74" s="64"/>
      <c r="E74" s="64"/>
      <c r="F74" s="120"/>
      <c r="G74" s="196"/>
      <c r="H74" s="179"/>
      <c r="I74" s="65"/>
    </row>
    <row r="75" spans="1:9" ht="13.2" customHeight="1" x14ac:dyDescent="0.25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97"/>
      <c r="H75" s="180">
        <f>M9</f>
        <v>0</v>
      </c>
      <c r="I75" s="18"/>
    </row>
    <row r="76" spans="1:9" ht="13.2" customHeight="1" x14ac:dyDescent="0.25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97"/>
      <c r="H76" s="180">
        <f>IF(4-M9&gt;0,4-M9,0)</f>
        <v>4</v>
      </c>
      <c r="I76" s="18"/>
    </row>
    <row r="77" spans="1:9" ht="13.2" customHeight="1" x14ac:dyDescent="0.25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97"/>
      <c r="H77" s="180">
        <f>N9</f>
        <v>0</v>
      </c>
      <c r="I77" s="18"/>
    </row>
    <row r="78" spans="1:9" ht="13.2" customHeight="1" x14ac:dyDescent="0.25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97"/>
      <c r="H78" s="180">
        <f>IF(4-N9&gt;0,4-N9,0)</f>
        <v>4</v>
      </c>
      <c r="I78" s="18"/>
    </row>
    <row r="79" spans="1:9" ht="13.2" customHeight="1" x14ac:dyDescent="0.25">
      <c r="A79" s="66" t="s">
        <v>313</v>
      </c>
      <c r="B79" s="67"/>
      <c r="C79" s="153"/>
      <c r="D79" s="67"/>
      <c r="E79" s="67"/>
      <c r="F79" s="122"/>
      <c r="G79" s="198"/>
      <c r="H79" s="181"/>
      <c r="I79" s="68"/>
    </row>
    <row r="80" spans="1:9" ht="13.2" customHeight="1" x14ac:dyDescent="0.25">
      <c r="A80" s="63" t="s">
        <v>312</v>
      </c>
      <c r="B80" s="64"/>
      <c r="C80" s="151"/>
      <c r="D80" s="64"/>
      <c r="E80" s="64"/>
      <c r="F80" s="120"/>
      <c r="G80" s="196"/>
      <c r="H80" s="179"/>
      <c r="I80" s="65"/>
    </row>
    <row r="81" spans="1:9" ht="13.2" customHeight="1" x14ac:dyDescent="0.25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97"/>
      <c r="H81" s="180"/>
      <c r="I81" s="16" t="s">
        <v>97</v>
      </c>
    </row>
    <row r="82" spans="1:9" ht="13.2" customHeight="1" x14ac:dyDescent="0.25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97"/>
      <c r="H82" s="180"/>
      <c r="I82" s="16" t="s">
        <v>98</v>
      </c>
    </row>
    <row r="83" spans="1:9" ht="13.2" customHeight="1" x14ac:dyDescent="0.25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97"/>
      <c r="H83" s="180"/>
      <c r="I83" s="16" t="s">
        <v>99</v>
      </c>
    </row>
    <row r="84" spans="1:9" ht="13.2" customHeight="1" x14ac:dyDescent="0.25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97"/>
      <c r="H84" s="180"/>
      <c r="I84" s="16"/>
    </row>
    <row r="85" spans="1:9" ht="13.2" customHeight="1" x14ac:dyDescent="0.25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97"/>
      <c r="H85" s="180"/>
      <c r="I85" s="16"/>
    </row>
    <row r="86" spans="1:9" ht="13.2" customHeight="1" x14ac:dyDescent="0.25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97"/>
      <c r="H86" s="180"/>
      <c r="I86" s="16"/>
    </row>
    <row r="87" spans="1:9" ht="13.2" customHeight="1" x14ac:dyDescent="0.25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97"/>
      <c r="H87" s="180"/>
      <c r="I87" s="16"/>
    </row>
    <row r="88" spans="1:9" ht="13.2" customHeight="1" x14ac:dyDescent="0.25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97"/>
      <c r="H88" s="180"/>
      <c r="I88" s="16"/>
    </row>
    <row r="89" spans="1:9" ht="13.2" customHeight="1" x14ac:dyDescent="0.25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97"/>
      <c r="H89" s="180"/>
      <c r="I89" s="16"/>
    </row>
    <row r="90" spans="1:9" ht="13.2" customHeight="1" x14ac:dyDescent="0.25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97"/>
      <c r="H90" s="180"/>
      <c r="I90" s="16"/>
    </row>
    <row r="91" spans="1:9" ht="13.2" customHeight="1" x14ac:dyDescent="0.25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97"/>
      <c r="H91" s="180"/>
      <c r="I91" s="16"/>
    </row>
    <row r="92" spans="1:9" ht="13.2" customHeight="1" x14ac:dyDescent="0.25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97"/>
      <c r="H92" s="180"/>
      <c r="I92" s="16"/>
    </row>
    <row r="93" spans="1:9" ht="13.2" customHeight="1" x14ac:dyDescent="0.25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97"/>
      <c r="H93" s="180"/>
      <c r="I93" s="16"/>
    </row>
    <row r="94" spans="1:9" ht="13.2" customHeight="1" x14ac:dyDescent="0.25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97"/>
      <c r="H94" s="180"/>
      <c r="I94" s="16"/>
    </row>
    <row r="95" spans="1:9" ht="13.2" customHeight="1" x14ac:dyDescent="0.25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97"/>
      <c r="H95" s="180"/>
      <c r="I95" s="16"/>
    </row>
    <row r="96" spans="1:9" ht="13.2" customHeight="1" x14ac:dyDescent="0.25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97"/>
      <c r="H96" s="180"/>
      <c r="I96" s="16"/>
    </row>
    <row r="97" spans="1:9" ht="13.2" customHeight="1" x14ac:dyDescent="0.25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97"/>
      <c r="H97" s="180"/>
      <c r="I97" s="16"/>
    </row>
    <row r="98" spans="1:9" ht="13.2" customHeight="1" x14ac:dyDescent="0.25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97"/>
      <c r="H98" s="180"/>
      <c r="I98" s="16"/>
    </row>
    <row r="99" spans="1:9" ht="13.2" customHeight="1" x14ac:dyDescent="0.25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97"/>
      <c r="H99" s="180"/>
      <c r="I99" s="16"/>
    </row>
    <row r="100" spans="1:9" ht="13.2" customHeight="1" x14ac:dyDescent="0.25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97"/>
      <c r="H100" s="180">
        <f>M10</f>
        <v>32</v>
      </c>
      <c r="I100" s="16"/>
    </row>
    <row r="101" spans="1:9" ht="13.2" customHeight="1" x14ac:dyDescent="0.25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97"/>
      <c r="H101" s="180">
        <f>N10</f>
        <v>56</v>
      </c>
      <c r="I101" s="16"/>
    </row>
    <row r="102" spans="1:9" ht="13.2" customHeight="1" x14ac:dyDescent="0.25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97"/>
      <c r="H102" s="180">
        <f>O10</f>
        <v>174</v>
      </c>
      <c r="I102" s="16"/>
    </row>
    <row r="103" spans="1:9" ht="13.2" customHeight="1" x14ac:dyDescent="0.25">
      <c r="A103" s="127" t="s">
        <v>386</v>
      </c>
      <c r="B103" s="127" t="s">
        <v>371</v>
      </c>
      <c r="C103" s="152"/>
      <c r="D103" s="17" t="s">
        <v>96</v>
      </c>
      <c r="E103" s="17" t="s">
        <v>92</v>
      </c>
      <c r="F103" s="121">
        <v>3</v>
      </c>
      <c r="G103" s="197"/>
      <c r="H103" s="180">
        <f>P10</f>
        <v>4</v>
      </c>
      <c r="I103" s="16"/>
    </row>
    <row r="104" spans="1:9" ht="13.2" customHeight="1" x14ac:dyDescent="0.25">
      <c r="A104" s="127" t="s">
        <v>387</v>
      </c>
      <c r="B104" s="127" t="s">
        <v>372</v>
      </c>
      <c r="C104" s="152"/>
      <c r="D104" s="17" t="s">
        <v>96</v>
      </c>
      <c r="E104" s="17" t="s">
        <v>92</v>
      </c>
      <c r="F104" s="121">
        <v>3</v>
      </c>
      <c r="G104" s="197"/>
      <c r="H104" s="180">
        <f>Q10</f>
        <v>7</v>
      </c>
      <c r="I104" s="16"/>
    </row>
    <row r="105" spans="1:9" ht="13.2" customHeight="1" x14ac:dyDescent="0.25">
      <c r="A105" s="78"/>
      <c r="B105" s="79"/>
      <c r="C105" s="149"/>
      <c r="D105" s="80"/>
      <c r="E105" s="82"/>
      <c r="F105" s="115"/>
      <c r="G105" s="191"/>
      <c r="H105" s="174"/>
      <c r="I105" s="81"/>
    </row>
    <row r="106" spans="1:9" ht="13.2" customHeight="1" x14ac:dyDescent="0.25">
      <c r="A106" s="69" t="s">
        <v>314</v>
      </c>
      <c r="B106" s="70"/>
      <c r="C106" s="154"/>
      <c r="D106" s="70"/>
      <c r="E106" s="70"/>
      <c r="F106" s="123"/>
      <c r="G106" s="199"/>
      <c r="H106" s="182"/>
      <c r="I106" s="71"/>
    </row>
    <row r="107" spans="1:9" ht="13.2" customHeight="1" x14ac:dyDescent="0.25">
      <c r="A107" s="63" t="s">
        <v>312</v>
      </c>
      <c r="B107" s="64"/>
      <c r="C107" s="151"/>
      <c r="D107" s="64"/>
      <c r="E107" s="64"/>
      <c r="F107" s="120"/>
      <c r="G107" s="196"/>
      <c r="H107" s="179"/>
      <c r="I107" s="65"/>
    </row>
    <row r="108" spans="1:9" ht="13.2" customHeight="1" x14ac:dyDescent="0.25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97"/>
      <c r="H108" s="180"/>
      <c r="I108" s="18"/>
    </row>
    <row r="109" spans="1:9" x14ac:dyDescent="0.25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97"/>
      <c r="H109" s="180"/>
      <c r="I109" s="18"/>
    </row>
    <row r="110" spans="1:9" x14ac:dyDescent="0.25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97"/>
      <c r="H110" s="180"/>
      <c r="I110" s="18"/>
    </row>
    <row r="111" spans="1:9" x14ac:dyDescent="0.25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97"/>
      <c r="H111" s="180"/>
      <c r="I111" s="18"/>
    </row>
    <row r="112" spans="1:9" x14ac:dyDescent="0.25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97"/>
      <c r="H112" s="180"/>
      <c r="I112" s="18"/>
    </row>
    <row r="113" spans="1:9" x14ac:dyDescent="0.25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97"/>
      <c r="H113" s="180"/>
      <c r="I113" s="18"/>
    </row>
    <row r="114" spans="1:9" x14ac:dyDescent="0.25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97"/>
      <c r="H114" s="180"/>
      <c r="I114" s="18"/>
    </row>
    <row r="115" spans="1:9" x14ac:dyDescent="0.25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97"/>
      <c r="H115" s="180"/>
      <c r="I115" s="18"/>
    </row>
    <row r="116" spans="1:9" x14ac:dyDescent="0.25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97"/>
      <c r="H116" s="180"/>
      <c r="I116" s="18"/>
    </row>
    <row r="117" spans="1:9" x14ac:dyDescent="0.25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97"/>
      <c r="H117" s="180"/>
      <c r="I117" s="18"/>
    </row>
    <row r="118" spans="1:9" x14ac:dyDescent="0.25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97"/>
      <c r="H118" s="180"/>
      <c r="I118" s="18"/>
    </row>
    <row r="119" spans="1:9" x14ac:dyDescent="0.25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97"/>
      <c r="H119" s="180"/>
      <c r="I119" s="18"/>
    </row>
    <row r="120" spans="1:9" x14ac:dyDescent="0.25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200"/>
      <c r="H120" s="183"/>
      <c r="I120" s="20"/>
    </row>
    <row r="121" spans="1:9" x14ac:dyDescent="0.25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200"/>
      <c r="H121" s="183"/>
      <c r="I121" s="20"/>
    </row>
    <row r="122" spans="1:9" x14ac:dyDescent="0.25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200"/>
      <c r="H122" s="183"/>
      <c r="I122" s="20"/>
    </row>
    <row r="123" spans="1:9" x14ac:dyDescent="0.25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200"/>
      <c r="H123" s="183"/>
      <c r="I123" s="20"/>
    </row>
    <row r="124" spans="1:9" x14ac:dyDescent="0.25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200"/>
      <c r="H124" s="183"/>
      <c r="I124" s="20"/>
    </row>
    <row r="125" spans="1:9" x14ac:dyDescent="0.25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200"/>
      <c r="H125" s="183"/>
      <c r="I125" s="20"/>
    </row>
    <row r="126" spans="1:9" x14ac:dyDescent="0.25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200"/>
      <c r="H126" s="183"/>
      <c r="I126" s="20"/>
    </row>
    <row r="127" spans="1:9" x14ac:dyDescent="0.25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200"/>
      <c r="H127" s="183"/>
      <c r="I127" s="20"/>
    </row>
    <row r="128" spans="1:9" x14ac:dyDescent="0.25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200"/>
      <c r="H128" s="183"/>
      <c r="I128" s="20"/>
    </row>
    <row r="129" spans="1:9" x14ac:dyDescent="0.25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200"/>
      <c r="H129" s="183"/>
      <c r="I129" s="20"/>
    </row>
    <row r="130" spans="1:9" s="22" customFormat="1" x14ac:dyDescent="0.25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200"/>
      <c r="H130" s="183"/>
      <c r="I130" s="20"/>
    </row>
    <row r="131" spans="1:9" s="22" customFormat="1" x14ac:dyDescent="0.25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200"/>
      <c r="H131" s="183"/>
      <c r="I131" s="20"/>
    </row>
    <row r="132" spans="1:9" s="22" customFormat="1" x14ac:dyDescent="0.25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200"/>
      <c r="H132" s="183"/>
      <c r="I132" s="20"/>
    </row>
    <row r="133" spans="1:9" s="22" customFormat="1" x14ac:dyDescent="0.25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200"/>
      <c r="H133" s="183"/>
      <c r="I133" s="20"/>
    </row>
    <row r="134" spans="1:9" s="22" customFormat="1" x14ac:dyDescent="0.25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200"/>
      <c r="H134" s="183"/>
      <c r="I134" s="20"/>
    </row>
    <row r="135" spans="1:9" s="22" customFormat="1" x14ac:dyDescent="0.25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200"/>
      <c r="H135" s="183"/>
      <c r="I135" s="20"/>
    </row>
    <row r="136" spans="1:9" s="22" customFormat="1" x14ac:dyDescent="0.25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200"/>
      <c r="H136" s="183"/>
      <c r="I136" s="20"/>
    </row>
    <row r="137" spans="1:9" s="22" customFormat="1" x14ac:dyDescent="0.25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200"/>
      <c r="H137" s="183"/>
      <c r="I137" s="20"/>
    </row>
    <row r="138" spans="1:9" x14ac:dyDescent="0.25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200"/>
      <c r="H138" s="183"/>
      <c r="I138" s="20"/>
    </row>
    <row r="139" spans="1:9" ht="16.8" x14ac:dyDescent="0.25">
      <c r="A139" s="72" t="s">
        <v>320</v>
      </c>
      <c r="B139" s="73"/>
      <c r="C139" s="156"/>
      <c r="D139" s="73"/>
      <c r="E139" s="73"/>
      <c r="F139" s="125"/>
      <c r="G139" s="201"/>
      <c r="H139" s="184"/>
      <c r="I139" s="74"/>
    </row>
    <row r="140" spans="1:9" x14ac:dyDescent="0.25">
      <c r="A140" s="63" t="s">
        <v>312</v>
      </c>
      <c r="B140" s="64"/>
      <c r="C140" s="151"/>
      <c r="D140" s="64"/>
      <c r="E140" s="64"/>
      <c r="F140" s="120"/>
      <c r="G140" s="196"/>
      <c r="H140" s="179"/>
      <c r="I140" s="65"/>
    </row>
    <row r="141" spans="1:9" x14ac:dyDescent="0.25">
      <c r="A141" s="133" t="s">
        <v>263</v>
      </c>
      <c r="B141" s="133" t="s">
        <v>227</v>
      </c>
      <c r="C141" s="159" t="s">
        <v>374</v>
      </c>
      <c r="D141" s="17" t="s">
        <v>14</v>
      </c>
      <c r="E141" s="17" t="s">
        <v>92</v>
      </c>
      <c r="F141" s="132">
        <v>13.5</v>
      </c>
      <c r="G141" s="202"/>
      <c r="H141" s="169"/>
      <c r="I141" s="19" t="s">
        <v>231</v>
      </c>
    </row>
    <row r="142" spans="1:9" x14ac:dyDescent="0.25">
      <c r="A142" s="133" t="s">
        <v>278</v>
      </c>
      <c r="B142" s="133" t="s">
        <v>279</v>
      </c>
      <c r="C142" s="159" t="s">
        <v>375</v>
      </c>
      <c r="D142" s="17" t="s">
        <v>14</v>
      </c>
      <c r="E142" s="17" t="s">
        <v>92</v>
      </c>
      <c r="F142" s="132">
        <v>17.79</v>
      </c>
      <c r="G142" s="202"/>
      <c r="H142" s="169"/>
      <c r="I142" s="19" t="s">
        <v>303</v>
      </c>
    </row>
    <row r="143" spans="1:9" x14ac:dyDescent="0.25">
      <c r="A143" s="133" t="s">
        <v>264</v>
      </c>
      <c r="B143" s="133" t="s">
        <v>229</v>
      </c>
      <c r="C143" s="159" t="s">
        <v>376</v>
      </c>
      <c r="D143" s="17" t="s">
        <v>14</v>
      </c>
      <c r="E143" s="17" t="s">
        <v>92</v>
      </c>
      <c r="F143" s="132">
        <v>7.86</v>
      </c>
      <c r="G143" s="202"/>
      <c r="H143" s="169"/>
      <c r="I143" s="19" t="s">
        <v>231</v>
      </c>
    </row>
    <row r="144" spans="1:9" x14ac:dyDescent="0.25">
      <c r="A144" s="133" t="s">
        <v>265</v>
      </c>
      <c r="B144" s="133" t="s">
        <v>228</v>
      </c>
      <c r="C144" s="159" t="s">
        <v>377</v>
      </c>
      <c r="D144" s="17" t="s">
        <v>14</v>
      </c>
      <c r="E144" s="17" t="s">
        <v>92</v>
      </c>
      <c r="F144" s="132">
        <v>6.56</v>
      </c>
      <c r="G144" s="202"/>
      <c r="H144" s="169"/>
      <c r="I144" s="19" t="s">
        <v>231</v>
      </c>
    </row>
    <row r="145" spans="1:9" x14ac:dyDescent="0.25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97"/>
      <c r="H145" s="180"/>
      <c r="I145" s="19" t="s">
        <v>230</v>
      </c>
    </row>
    <row r="146" spans="1:9" x14ac:dyDescent="0.25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97"/>
      <c r="H146" s="180"/>
      <c r="I146" s="19" t="s">
        <v>304</v>
      </c>
    </row>
    <row r="147" spans="1:9" x14ac:dyDescent="0.25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203"/>
      <c r="H147" s="185"/>
      <c r="I147" s="21" t="s">
        <v>230</v>
      </c>
    </row>
    <row r="148" spans="1:9" x14ac:dyDescent="0.25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202"/>
      <c r="H148" s="169"/>
      <c r="I148" s="19" t="s">
        <v>230</v>
      </c>
    </row>
    <row r="149" spans="1:9" ht="16.8" x14ac:dyDescent="0.25">
      <c r="A149" s="69" t="s">
        <v>292</v>
      </c>
      <c r="B149" s="70"/>
      <c r="C149" s="158"/>
      <c r="D149" s="70"/>
      <c r="E149" s="70"/>
      <c r="F149" s="123"/>
      <c r="G149" s="199"/>
      <c r="H149" s="182"/>
      <c r="I149" s="71"/>
    </row>
    <row r="150" spans="1:9" x14ac:dyDescent="0.25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97"/>
      <c r="H150" s="180"/>
      <c r="I150" s="19" t="s">
        <v>281</v>
      </c>
    </row>
    <row r="151" spans="1:9" x14ac:dyDescent="0.25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97"/>
      <c r="H151" s="180"/>
      <c r="I151" s="19" t="s">
        <v>281</v>
      </c>
    </row>
    <row r="152" spans="1:9" x14ac:dyDescent="0.25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97"/>
      <c r="H152" s="180"/>
      <c r="I152" s="19" t="s">
        <v>281</v>
      </c>
    </row>
    <row r="153" spans="1:9" x14ac:dyDescent="0.25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97"/>
      <c r="H153" s="180"/>
      <c r="I153" s="19"/>
    </row>
    <row r="154" spans="1:9" x14ac:dyDescent="0.25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97"/>
      <c r="H154" s="180"/>
      <c r="I154" s="19"/>
    </row>
    <row r="155" spans="1:9" x14ac:dyDescent="0.25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97"/>
      <c r="H155" s="180"/>
      <c r="I155" s="19"/>
    </row>
  </sheetData>
  <sheetProtection algorithmName="SHA-512" hashValue="HtdhxPFb2E20csZMr4NL4yv4Gmm3qpmYM5F11al9QIEaoCyxX8jrSUPQ4BPxL+37v0b6rYUrShOUFzMleswSLQ==" saltValue="0yQ/SxiM1TmSucfs9nqfmQ==" spinCount="100000" sheet="1" objects="1" scenarios="1" selectLockedCells="1"/>
  <mergeCells count="1">
    <mergeCell ref="A2:I2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G92"/>
  <sheetViews>
    <sheetView showGridLines="0" topLeftCell="A23" zoomScale="84" zoomScaleNormal="84" workbookViewId="0">
      <selection activeCell="C57" sqref="C57"/>
    </sheetView>
  </sheetViews>
  <sheetFormatPr defaultColWidth="8.09765625" defaultRowHeight="13.2" x14ac:dyDescent="0.25"/>
  <cols>
    <col min="1" max="1" width="21.19921875" style="22" bestFit="1" customWidth="1"/>
    <col min="2" max="2" width="26.296875" style="22" bestFit="1" customWidth="1"/>
    <col min="3" max="3" width="16.296875" style="23" bestFit="1" customWidth="1"/>
    <col min="4" max="4" width="5.296875" style="23" bestFit="1" customWidth="1"/>
    <col min="5" max="5" width="16" style="22" customWidth="1"/>
    <col min="6" max="6" width="16" style="103" customWidth="1"/>
    <col min="7" max="7" width="78.296875" style="22" customWidth="1"/>
    <col min="8" max="16384" width="8.09765625" style="22"/>
  </cols>
  <sheetData>
    <row r="1" spans="1:7" x14ac:dyDescent="0.25">
      <c r="A1" s="22" t="s">
        <v>271</v>
      </c>
      <c r="G1" s="22" t="s">
        <v>361</v>
      </c>
    </row>
    <row r="2" spans="1:7" ht="16.8" x14ac:dyDescent="0.25">
      <c r="A2" s="209" t="s">
        <v>146</v>
      </c>
      <c r="B2" s="210"/>
      <c r="C2" s="210"/>
      <c r="D2" s="210"/>
      <c r="E2" s="210"/>
      <c r="F2" s="210"/>
      <c r="G2" s="211"/>
    </row>
    <row r="3" spans="1:7" ht="21.6" x14ac:dyDescent="0.25">
      <c r="A3" s="212" t="s">
        <v>147</v>
      </c>
      <c r="B3" s="213"/>
      <c r="C3" s="213"/>
      <c r="D3" s="213"/>
      <c r="E3" s="213"/>
      <c r="F3" s="213"/>
      <c r="G3" s="213"/>
    </row>
    <row r="4" spans="1:7" ht="26.4" x14ac:dyDescent="0.25">
      <c r="A4" s="24" t="s">
        <v>1</v>
      </c>
      <c r="B4" s="24" t="s">
        <v>2</v>
      </c>
      <c r="C4" s="24" t="s">
        <v>3</v>
      </c>
      <c r="D4" s="24" t="s">
        <v>4</v>
      </c>
      <c r="E4" s="24" t="s">
        <v>148</v>
      </c>
      <c r="F4" s="104"/>
      <c r="G4" s="25" t="s">
        <v>6</v>
      </c>
    </row>
    <row r="5" spans="1:7" ht="16.8" x14ac:dyDescent="0.25">
      <c r="A5" s="26"/>
      <c r="B5" s="27"/>
      <c r="C5" s="27"/>
      <c r="D5" s="27"/>
      <c r="E5" s="27"/>
      <c r="F5" s="105"/>
      <c r="G5" s="28"/>
    </row>
    <row r="6" spans="1:7" ht="16.8" x14ac:dyDescent="0.25">
      <c r="A6" s="89" t="s">
        <v>338</v>
      </c>
      <c r="B6" s="87"/>
      <c r="C6" s="87"/>
      <c r="D6" s="87"/>
      <c r="E6" s="87"/>
      <c r="F6" s="128"/>
      <c r="G6" s="88"/>
    </row>
    <row r="7" spans="1:7" x14ac:dyDescent="0.25">
      <c r="A7" s="29" t="s">
        <v>149</v>
      </c>
      <c r="B7" s="29" t="s">
        <v>150</v>
      </c>
      <c r="C7" s="30"/>
      <c r="D7" s="31" t="s">
        <v>151</v>
      </c>
      <c r="E7" s="31">
        <v>1</v>
      </c>
      <c r="F7" s="107">
        <v>1.19</v>
      </c>
      <c r="G7" s="32" t="s">
        <v>152</v>
      </c>
    </row>
    <row r="8" spans="1:7" x14ac:dyDescent="0.25">
      <c r="A8" s="29" t="s">
        <v>160</v>
      </c>
      <c r="B8" s="29" t="s">
        <v>161</v>
      </c>
      <c r="C8" s="30"/>
      <c r="D8" s="31" t="s">
        <v>151</v>
      </c>
      <c r="E8" s="31">
        <v>0.5</v>
      </c>
      <c r="F8" s="107">
        <v>3.87</v>
      </c>
      <c r="G8" s="32"/>
    </row>
    <row r="9" spans="1:7" x14ac:dyDescent="0.25">
      <c r="A9" s="29" t="s">
        <v>162</v>
      </c>
      <c r="B9" s="29" t="s">
        <v>163</v>
      </c>
      <c r="C9" s="30"/>
      <c r="D9" s="31" t="s">
        <v>151</v>
      </c>
      <c r="E9" s="31">
        <v>0.5</v>
      </c>
      <c r="F9" s="107">
        <v>3.64</v>
      </c>
      <c r="G9" s="32"/>
    </row>
    <row r="10" spans="1:7" x14ac:dyDescent="0.25">
      <c r="A10" s="29" t="s">
        <v>153</v>
      </c>
      <c r="B10" s="29" t="s">
        <v>154</v>
      </c>
      <c r="C10" s="30"/>
      <c r="D10" s="31" t="s">
        <v>155</v>
      </c>
      <c r="E10" s="33">
        <v>0.5</v>
      </c>
      <c r="F10" s="109">
        <v>2.75</v>
      </c>
      <c r="G10" s="34" t="s">
        <v>156</v>
      </c>
    </row>
    <row r="11" spans="1:7" x14ac:dyDescent="0.25">
      <c r="A11" s="29" t="s">
        <v>157</v>
      </c>
      <c r="B11" s="29" t="s">
        <v>158</v>
      </c>
      <c r="C11" s="30"/>
      <c r="D11" s="31" t="s">
        <v>155</v>
      </c>
      <c r="E11" s="33">
        <v>0.5</v>
      </c>
      <c r="F11" s="109">
        <v>3.29</v>
      </c>
      <c r="G11" s="34" t="s">
        <v>159</v>
      </c>
    </row>
    <row r="12" spans="1:7" ht="16.8" x14ac:dyDescent="0.25">
      <c r="A12" s="89" t="s">
        <v>339</v>
      </c>
      <c r="B12" s="87"/>
      <c r="C12" s="87"/>
      <c r="D12" s="87"/>
      <c r="E12" s="87"/>
      <c r="F12" s="128"/>
      <c r="G12" s="88"/>
    </row>
    <row r="13" spans="1:7" x14ac:dyDescent="0.25">
      <c r="A13" s="29" t="s">
        <v>164</v>
      </c>
      <c r="B13" s="29" t="s">
        <v>165</v>
      </c>
      <c r="C13" s="30"/>
      <c r="D13" s="31" t="s">
        <v>151</v>
      </c>
      <c r="E13" s="31">
        <v>1</v>
      </c>
      <c r="F13" s="107">
        <v>1.4</v>
      </c>
      <c r="G13" s="131" t="s">
        <v>166</v>
      </c>
    </row>
    <row r="14" spans="1:7" x14ac:dyDescent="0.25">
      <c r="A14" s="29" t="s">
        <v>169</v>
      </c>
      <c r="B14" s="29" t="s">
        <v>170</v>
      </c>
      <c r="C14" s="30"/>
      <c r="D14" s="31" t="s">
        <v>151</v>
      </c>
      <c r="E14" s="31">
        <v>1</v>
      </c>
      <c r="F14" s="107">
        <v>0.82</v>
      </c>
      <c r="G14" s="32"/>
    </row>
    <row r="15" spans="1:7" x14ac:dyDescent="0.25">
      <c r="A15" s="29" t="s">
        <v>173</v>
      </c>
      <c r="B15" s="29" t="s">
        <v>174</v>
      </c>
      <c r="C15" s="30"/>
      <c r="D15" s="31" t="s">
        <v>151</v>
      </c>
      <c r="E15" s="31">
        <v>0.5</v>
      </c>
      <c r="F15" s="107">
        <v>7.86</v>
      </c>
      <c r="G15" s="32"/>
    </row>
    <row r="16" spans="1:7" x14ac:dyDescent="0.25">
      <c r="A16" s="29" t="s">
        <v>177</v>
      </c>
      <c r="B16" s="29" t="s">
        <v>178</v>
      </c>
      <c r="C16" s="30"/>
      <c r="D16" s="31" t="s">
        <v>151</v>
      </c>
      <c r="E16" s="31">
        <v>0.5</v>
      </c>
      <c r="F16" s="107">
        <v>17.79</v>
      </c>
      <c r="G16" s="32"/>
    </row>
    <row r="17" spans="1:7" x14ac:dyDescent="0.25">
      <c r="A17" s="29" t="s">
        <v>167</v>
      </c>
      <c r="B17" s="29" t="s">
        <v>168</v>
      </c>
      <c r="C17" s="30"/>
      <c r="D17" s="31" t="s">
        <v>155</v>
      </c>
      <c r="E17" s="31">
        <v>1</v>
      </c>
      <c r="F17" s="107">
        <v>1.4</v>
      </c>
      <c r="G17" s="131" t="s">
        <v>166</v>
      </c>
    </row>
    <row r="18" spans="1:7" x14ac:dyDescent="0.25">
      <c r="A18" s="29" t="s">
        <v>171</v>
      </c>
      <c r="B18" s="29" t="s">
        <v>172</v>
      </c>
      <c r="C18" s="30"/>
      <c r="D18" s="31" t="s">
        <v>155</v>
      </c>
      <c r="E18" s="31">
        <v>1</v>
      </c>
      <c r="F18" s="107">
        <v>0.82</v>
      </c>
      <c r="G18" s="32"/>
    </row>
    <row r="19" spans="1:7" x14ac:dyDescent="0.25">
      <c r="A19" s="29" t="s">
        <v>175</v>
      </c>
      <c r="B19" s="29" t="s">
        <v>176</v>
      </c>
      <c r="C19" s="30"/>
      <c r="D19" s="31" t="s">
        <v>155</v>
      </c>
      <c r="E19" s="31">
        <v>0.5</v>
      </c>
      <c r="F19" s="107">
        <v>7.86</v>
      </c>
      <c r="G19" s="32"/>
    </row>
    <row r="20" spans="1:7" x14ac:dyDescent="0.25">
      <c r="A20" s="29" t="s">
        <v>179</v>
      </c>
      <c r="B20" s="29" t="s">
        <v>180</v>
      </c>
      <c r="C20" s="30"/>
      <c r="D20" s="31" t="s">
        <v>155</v>
      </c>
      <c r="E20" s="31">
        <v>0.5</v>
      </c>
      <c r="F20" s="107">
        <v>17.79</v>
      </c>
      <c r="G20" s="32"/>
    </row>
    <row r="21" spans="1:7" ht="16.8" x14ac:dyDescent="0.25">
      <c r="A21" s="89" t="s">
        <v>340</v>
      </c>
      <c r="B21" s="87"/>
      <c r="C21" s="87"/>
      <c r="D21" s="87"/>
      <c r="E21" s="87"/>
      <c r="F21" s="128"/>
      <c r="G21" s="88"/>
    </row>
    <row r="22" spans="1:7" x14ac:dyDescent="0.25">
      <c r="A22" s="29" t="s">
        <v>181</v>
      </c>
      <c r="B22" s="29" t="s">
        <v>182</v>
      </c>
      <c r="C22" s="30"/>
      <c r="D22" s="31" t="s">
        <v>151</v>
      </c>
      <c r="E22" s="31">
        <v>1</v>
      </c>
      <c r="F22" s="107">
        <v>4.1900000000000004</v>
      </c>
      <c r="G22" s="32" t="s">
        <v>183</v>
      </c>
    </row>
    <row r="23" spans="1:7" x14ac:dyDescent="0.25">
      <c r="A23" s="29" t="s">
        <v>186</v>
      </c>
      <c r="B23" s="29" t="s">
        <v>187</v>
      </c>
      <c r="C23" s="30"/>
      <c r="D23" s="31" t="s">
        <v>151</v>
      </c>
      <c r="E23" s="31">
        <v>1</v>
      </c>
      <c r="F23" s="107">
        <v>3.8</v>
      </c>
      <c r="G23" s="32"/>
    </row>
    <row r="24" spans="1:7" x14ac:dyDescent="0.25">
      <c r="A24" s="29" t="s">
        <v>184</v>
      </c>
      <c r="B24" s="29" t="s">
        <v>185</v>
      </c>
      <c r="C24" s="30"/>
      <c r="D24" s="31" t="s">
        <v>155</v>
      </c>
      <c r="E24" s="31">
        <v>1</v>
      </c>
      <c r="F24" s="107">
        <v>4.1900000000000004</v>
      </c>
      <c r="G24" s="32" t="s">
        <v>183</v>
      </c>
    </row>
    <row r="25" spans="1:7" x14ac:dyDescent="0.25">
      <c r="A25" s="29" t="s">
        <v>188</v>
      </c>
      <c r="B25" s="29" t="s">
        <v>189</v>
      </c>
      <c r="C25" s="30"/>
      <c r="D25" s="31" t="s">
        <v>155</v>
      </c>
      <c r="E25" s="31">
        <v>1</v>
      </c>
      <c r="F25" s="107">
        <v>3.8</v>
      </c>
      <c r="G25" s="32"/>
    </row>
    <row r="27" spans="1:7" s="1" customFormat="1" ht="16.8" x14ac:dyDescent="0.25">
      <c r="A27" s="89" t="s">
        <v>314</v>
      </c>
      <c r="B27" s="87"/>
      <c r="C27" s="87"/>
      <c r="D27" s="87"/>
      <c r="E27" s="87"/>
      <c r="F27" s="128"/>
      <c r="G27" s="88"/>
    </row>
    <row r="28" spans="1:7" x14ac:dyDescent="0.25">
      <c r="A28" s="41" t="s">
        <v>190</v>
      </c>
      <c r="B28" s="35" t="s">
        <v>191</v>
      </c>
      <c r="C28" s="36"/>
      <c r="D28" s="37" t="s">
        <v>151</v>
      </c>
      <c r="E28" s="38" t="s">
        <v>92</v>
      </c>
      <c r="F28" s="126">
        <v>17.16</v>
      </c>
      <c r="G28" s="39"/>
    </row>
    <row r="29" spans="1:7" x14ac:dyDescent="0.25">
      <c r="A29" s="41" t="s">
        <v>192</v>
      </c>
      <c r="B29" s="35" t="s">
        <v>193</v>
      </c>
      <c r="C29" s="36"/>
      <c r="D29" s="37" t="s">
        <v>151</v>
      </c>
      <c r="E29" s="38" t="s">
        <v>92</v>
      </c>
      <c r="F29" s="126">
        <v>17.16</v>
      </c>
      <c r="G29" s="39"/>
    </row>
    <row r="30" spans="1:7" x14ac:dyDescent="0.25">
      <c r="A30" s="41" t="s">
        <v>194</v>
      </c>
      <c r="B30" s="35" t="s">
        <v>195</v>
      </c>
      <c r="C30" s="36"/>
      <c r="D30" s="37" t="s">
        <v>151</v>
      </c>
      <c r="E30" s="38" t="s">
        <v>92</v>
      </c>
      <c r="F30" s="126">
        <v>17.16</v>
      </c>
      <c r="G30" s="39"/>
    </row>
    <row r="31" spans="1:7" x14ac:dyDescent="0.25">
      <c r="A31" s="41" t="s">
        <v>196</v>
      </c>
      <c r="B31" s="35" t="s">
        <v>197</v>
      </c>
      <c r="C31" s="36"/>
      <c r="D31" s="37" t="s">
        <v>155</v>
      </c>
      <c r="E31" s="38" t="s">
        <v>92</v>
      </c>
      <c r="F31" s="126">
        <v>17.16</v>
      </c>
      <c r="G31" s="39"/>
    </row>
    <row r="32" spans="1:7" x14ac:dyDescent="0.25">
      <c r="A32" s="41" t="s">
        <v>198</v>
      </c>
      <c r="B32" s="35" t="s">
        <v>199</v>
      </c>
      <c r="C32" s="36"/>
      <c r="D32" s="37" t="s">
        <v>155</v>
      </c>
      <c r="E32" s="38" t="s">
        <v>92</v>
      </c>
      <c r="F32" s="126">
        <v>17.16</v>
      </c>
      <c r="G32" s="39"/>
    </row>
    <row r="33" spans="1:7" x14ac:dyDescent="0.25">
      <c r="A33" s="41" t="s">
        <v>200</v>
      </c>
      <c r="B33" s="35" t="s">
        <v>201</v>
      </c>
      <c r="C33" s="36"/>
      <c r="D33" s="37" t="s">
        <v>155</v>
      </c>
      <c r="E33" s="38" t="s">
        <v>92</v>
      </c>
      <c r="F33" s="126">
        <v>17.16</v>
      </c>
      <c r="G33" s="39"/>
    </row>
    <row r="34" spans="1:7" x14ac:dyDescent="0.25">
      <c r="A34" s="35" t="s">
        <v>202</v>
      </c>
      <c r="B34" s="35" t="s">
        <v>203</v>
      </c>
      <c r="C34" s="36"/>
      <c r="D34" s="37" t="s">
        <v>151</v>
      </c>
      <c r="E34" s="38" t="s">
        <v>92</v>
      </c>
      <c r="F34" s="126">
        <v>7.8</v>
      </c>
      <c r="G34" s="40"/>
    </row>
    <row r="35" spans="1:7" x14ac:dyDescent="0.25">
      <c r="A35" s="35" t="s">
        <v>204</v>
      </c>
      <c r="B35" s="35" t="s">
        <v>205</v>
      </c>
      <c r="C35" s="36"/>
      <c r="D35" s="37" t="s">
        <v>151</v>
      </c>
      <c r="E35" s="38" t="s">
        <v>92</v>
      </c>
      <c r="F35" s="126">
        <v>7.8</v>
      </c>
      <c r="G35" s="39"/>
    </row>
    <row r="36" spans="1:7" x14ac:dyDescent="0.25">
      <c r="A36" s="35" t="s">
        <v>206</v>
      </c>
      <c r="B36" s="35" t="s">
        <v>207</v>
      </c>
      <c r="C36" s="36"/>
      <c r="D36" s="37" t="s">
        <v>151</v>
      </c>
      <c r="E36" s="38" t="s">
        <v>92</v>
      </c>
      <c r="F36" s="126">
        <v>7.8</v>
      </c>
      <c r="G36" s="39"/>
    </row>
    <row r="37" spans="1:7" x14ac:dyDescent="0.25">
      <c r="A37" s="35" t="s">
        <v>208</v>
      </c>
      <c r="B37" s="35" t="s">
        <v>209</v>
      </c>
      <c r="C37" s="36"/>
      <c r="D37" s="37" t="s">
        <v>155</v>
      </c>
      <c r="E37" s="38" t="s">
        <v>92</v>
      </c>
      <c r="F37" s="126">
        <v>7.8</v>
      </c>
      <c r="G37" s="39"/>
    </row>
    <row r="38" spans="1:7" x14ac:dyDescent="0.25">
      <c r="A38" s="35" t="s">
        <v>210</v>
      </c>
      <c r="B38" s="35" t="s">
        <v>211</v>
      </c>
      <c r="C38" s="36"/>
      <c r="D38" s="37" t="s">
        <v>155</v>
      </c>
      <c r="E38" s="38" t="s">
        <v>92</v>
      </c>
      <c r="F38" s="126">
        <v>7.8</v>
      </c>
      <c r="G38" s="39"/>
    </row>
    <row r="39" spans="1:7" x14ac:dyDescent="0.25">
      <c r="A39" s="35" t="s">
        <v>212</v>
      </c>
      <c r="B39" s="35" t="s">
        <v>213</v>
      </c>
      <c r="C39" s="36"/>
      <c r="D39" s="37" t="s">
        <v>155</v>
      </c>
      <c r="E39" s="38" t="s">
        <v>92</v>
      </c>
      <c r="F39" s="126">
        <v>7.8</v>
      </c>
      <c r="G39" s="39"/>
    </row>
    <row r="40" spans="1:7" x14ac:dyDescent="0.25">
      <c r="A40" s="35" t="s">
        <v>214</v>
      </c>
      <c r="B40" s="35" t="s">
        <v>215</v>
      </c>
      <c r="C40" s="36"/>
      <c r="D40" s="37" t="s">
        <v>151</v>
      </c>
      <c r="E40" s="38" t="s">
        <v>92</v>
      </c>
      <c r="F40" s="126">
        <v>6.24</v>
      </c>
      <c r="G40" s="39"/>
    </row>
    <row r="41" spans="1:7" x14ac:dyDescent="0.25">
      <c r="A41" s="35" t="s">
        <v>216</v>
      </c>
      <c r="B41" s="35" t="s">
        <v>217</v>
      </c>
      <c r="C41" s="36"/>
      <c r="D41" s="37" t="s">
        <v>151</v>
      </c>
      <c r="E41" s="38" t="s">
        <v>92</v>
      </c>
      <c r="F41" s="126">
        <v>6.24</v>
      </c>
      <c r="G41" s="39"/>
    </row>
    <row r="42" spans="1:7" x14ac:dyDescent="0.25">
      <c r="A42" s="35" t="s">
        <v>218</v>
      </c>
      <c r="B42" s="35" t="s">
        <v>219</v>
      </c>
      <c r="C42" s="36"/>
      <c r="D42" s="37" t="s">
        <v>151</v>
      </c>
      <c r="E42" s="38" t="s">
        <v>92</v>
      </c>
      <c r="F42" s="126">
        <v>6.24</v>
      </c>
      <c r="G42" s="39"/>
    </row>
    <row r="43" spans="1:7" x14ac:dyDescent="0.25">
      <c r="A43" s="35" t="s">
        <v>220</v>
      </c>
      <c r="B43" s="35" t="s">
        <v>221</v>
      </c>
      <c r="C43" s="36"/>
      <c r="D43" s="37" t="s">
        <v>155</v>
      </c>
      <c r="E43" s="38" t="s">
        <v>92</v>
      </c>
      <c r="F43" s="126">
        <v>5.27</v>
      </c>
      <c r="G43" s="39"/>
    </row>
    <row r="44" spans="1:7" x14ac:dyDescent="0.25">
      <c r="A44" s="35" t="s">
        <v>222</v>
      </c>
      <c r="B44" s="35" t="s">
        <v>223</v>
      </c>
      <c r="C44" s="36"/>
      <c r="D44" s="37" t="s">
        <v>155</v>
      </c>
      <c r="E44" s="38" t="s">
        <v>92</v>
      </c>
      <c r="F44" s="126">
        <v>5.27</v>
      </c>
      <c r="G44" s="39"/>
    </row>
    <row r="45" spans="1:7" ht="12" customHeight="1" x14ac:dyDescent="0.25">
      <c r="A45" s="35" t="s">
        <v>224</v>
      </c>
      <c r="B45" s="35" t="s">
        <v>225</v>
      </c>
      <c r="C45" s="36"/>
      <c r="D45" s="37" t="s">
        <v>155</v>
      </c>
      <c r="E45" s="38" t="s">
        <v>92</v>
      </c>
      <c r="F45" s="126">
        <v>5.27</v>
      </c>
      <c r="G45" s="39"/>
    </row>
    <row r="46" spans="1:7" ht="18.75" customHeight="1" x14ac:dyDescent="0.25">
      <c r="A46" s="90" t="s">
        <v>292</v>
      </c>
      <c r="B46" s="91"/>
      <c r="C46" s="91"/>
      <c r="D46" s="91"/>
      <c r="E46" s="91"/>
      <c r="F46" s="129"/>
      <c r="G46" s="92"/>
    </row>
    <row r="47" spans="1:7" x14ac:dyDescent="0.25">
      <c r="A47" s="83" t="s">
        <v>293</v>
      </c>
      <c r="B47" s="83" t="s">
        <v>288</v>
      </c>
      <c r="C47" s="83"/>
      <c r="D47" s="84" t="s">
        <v>151</v>
      </c>
      <c r="E47" s="85">
        <v>6</v>
      </c>
      <c r="F47" s="130">
        <v>0.35</v>
      </c>
      <c r="G47" s="86" t="s">
        <v>292</v>
      </c>
    </row>
    <row r="48" spans="1:7" x14ac:dyDescent="0.25">
      <c r="A48" s="83" t="s">
        <v>294</v>
      </c>
      <c r="B48" s="83" t="s">
        <v>289</v>
      </c>
      <c r="C48" s="83"/>
      <c r="D48" s="84" t="s">
        <v>151</v>
      </c>
      <c r="E48" s="85">
        <v>1</v>
      </c>
      <c r="F48" s="130">
        <v>1.5</v>
      </c>
      <c r="G48" s="86" t="s">
        <v>292</v>
      </c>
    </row>
    <row r="49" spans="1:7" x14ac:dyDescent="0.25">
      <c r="A49" s="83" t="s">
        <v>295</v>
      </c>
      <c r="B49" s="83" t="s">
        <v>290</v>
      </c>
      <c r="C49" s="83"/>
      <c r="D49" s="84" t="s">
        <v>155</v>
      </c>
      <c r="E49" s="85">
        <v>20</v>
      </c>
      <c r="F49" s="130">
        <v>0.35</v>
      </c>
      <c r="G49" s="86" t="s">
        <v>292</v>
      </c>
    </row>
    <row r="50" spans="1:7" x14ac:dyDescent="0.25">
      <c r="A50" s="83" t="s">
        <v>296</v>
      </c>
      <c r="B50" s="83" t="s">
        <v>291</v>
      </c>
      <c r="C50" s="83"/>
      <c r="D50" s="84" t="s">
        <v>155</v>
      </c>
      <c r="E50" s="85">
        <v>4</v>
      </c>
      <c r="F50" s="130">
        <v>1.5</v>
      </c>
      <c r="G50" s="86" t="s">
        <v>292</v>
      </c>
    </row>
    <row r="72" spans="1:2" x14ac:dyDescent="0.25">
      <c r="B72" s="22" t="s">
        <v>343</v>
      </c>
    </row>
    <row r="73" spans="1:2" x14ac:dyDescent="0.25">
      <c r="B73" s="22" t="s">
        <v>342</v>
      </c>
    </row>
    <row r="74" spans="1:2" x14ac:dyDescent="0.25">
      <c r="B74" s="22" t="s">
        <v>344</v>
      </c>
    </row>
    <row r="75" spans="1:2" x14ac:dyDescent="0.25">
      <c r="B75" s="22" t="s">
        <v>345</v>
      </c>
    </row>
    <row r="78" spans="1:2" x14ac:dyDescent="0.25">
      <c r="A78" s="22" t="s">
        <v>346</v>
      </c>
      <c r="B78" s="22" t="s">
        <v>351</v>
      </c>
    </row>
    <row r="79" spans="1:2" x14ac:dyDescent="0.25">
      <c r="A79" s="22" t="s">
        <v>347</v>
      </c>
      <c r="B79" s="22" t="s">
        <v>351</v>
      </c>
    </row>
    <row r="80" spans="1:2" x14ac:dyDescent="0.25">
      <c r="A80" s="22" t="s">
        <v>348</v>
      </c>
      <c r="B80" s="22" t="s">
        <v>351</v>
      </c>
    </row>
    <row r="81" spans="1:2" x14ac:dyDescent="0.25">
      <c r="A81" s="22" t="s">
        <v>349</v>
      </c>
      <c r="B81" s="22" t="s">
        <v>352</v>
      </c>
    </row>
    <row r="82" spans="1:2" x14ac:dyDescent="0.25">
      <c r="A82" s="22" t="s">
        <v>349</v>
      </c>
      <c r="B82" s="22" t="s">
        <v>352</v>
      </c>
    </row>
    <row r="83" spans="1:2" x14ac:dyDescent="0.25">
      <c r="A83" s="22" t="s">
        <v>349</v>
      </c>
      <c r="B83" s="22" t="s">
        <v>352</v>
      </c>
    </row>
    <row r="84" spans="1:2" x14ac:dyDescent="0.25">
      <c r="A84" s="22" t="s">
        <v>350</v>
      </c>
      <c r="B84" s="22" t="s">
        <v>353</v>
      </c>
    </row>
    <row r="85" spans="1:2" x14ac:dyDescent="0.25">
      <c r="A85" s="22" t="s">
        <v>350</v>
      </c>
      <c r="B85" s="22" t="s">
        <v>353</v>
      </c>
    </row>
    <row r="86" spans="1:2" x14ac:dyDescent="0.25">
      <c r="A86" s="22" t="s">
        <v>350</v>
      </c>
      <c r="B86" s="22" t="s">
        <v>353</v>
      </c>
    </row>
    <row r="87" spans="1:2" x14ac:dyDescent="0.25">
      <c r="A87" s="22" t="s">
        <v>354</v>
      </c>
    </row>
    <row r="88" spans="1:2" x14ac:dyDescent="0.25">
      <c r="A88" s="22" t="s">
        <v>355</v>
      </c>
    </row>
    <row r="89" spans="1:2" x14ac:dyDescent="0.25">
      <c r="A89" s="22" t="s">
        <v>356</v>
      </c>
    </row>
    <row r="90" spans="1:2" x14ac:dyDescent="0.25">
      <c r="A90" s="22" t="s">
        <v>357</v>
      </c>
    </row>
    <row r="91" spans="1:2" x14ac:dyDescent="0.25">
      <c r="A91" s="22" t="s">
        <v>358</v>
      </c>
    </row>
    <row r="92" spans="1:2" x14ac:dyDescent="0.25">
      <c r="A92" s="22" t="s">
        <v>359</v>
      </c>
    </row>
  </sheetData>
  <mergeCells count="2">
    <mergeCell ref="A2:G2"/>
    <mergeCell ref="A3:G3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7" max="5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A10B5CC3FB4EA00E51166B7EAD84" ma:contentTypeVersion="30" ma:contentTypeDescription="Create a new document." ma:contentTypeScope="" ma:versionID="cea9fb23c4542bf558c2ffc0708c7d79">
  <xsd:schema xmlns:xsd="http://www.w3.org/2001/XMLSchema" xmlns:xs="http://www.w3.org/2001/XMLSchema" xmlns:p="http://schemas.microsoft.com/office/2006/metadata/properties" xmlns:ns2="4b7efc86-4f7a-4745-8e5c-68f6370292ce" xmlns:ns3="ce1ada4e-9b1b-4f77-b881-7122a436a660" targetNamespace="http://schemas.microsoft.com/office/2006/metadata/properties" ma:root="true" ma:fieldsID="df13aab8ba798e72755fbdf6f505f352" ns2:_="" ns3:_="">
    <xsd:import namespace="4b7efc86-4f7a-4745-8e5c-68f6370292ce"/>
    <xsd:import namespace="ce1ada4e-9b1b-4f77-b881-7122a436a6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fc86-4f7a-4745-8e5c-68f637029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ada4e-9b1b-4f77-b881-7122a436a660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D3E16D-10F9-488C-9100-C0E1203FD0B4}"/>
</file>

<file path=customXml/itemProps2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307CE95-123C-42CE-B0AF-2BC21EDD5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efc86-4f7a-4745-8e5c-68f6370292ce"/>
    <ds:schemaRef ds:uri="ce1ada4e-9b1b-4f77-b881-7122a436a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 of All Pax Spec codes </vt:lpstr>
      <vt:lpstr>List of All CrewMeal Specs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2024-07-08T18:23:04Z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_dlc_DocIdItemGuid">
    <vt:lpwstr>5277fd36-2788-4da0-b4cb-231663a6d2c7</vt:lpwstr>
  </property>
</Properties>
</file>