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S Price Reference" sheetId="1" state="visible" r:id="rId1"/>
    <sheet xmlns:r="http://schemas.openxmlformats.org/officeDocument/2006/relationships" name="Flight Cost Tracker" sheetId="2" state="visible" r:id="rId2"/>
    <sheet xmlns:r="http://schemas.openxmlformats.org/officeDocument/2006/relationships" name="Service Code 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0.0%"/>
    <numFmt numFmtId="166" formatCode="M/D/YYYY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9"/>
    </font>
    <font>
      <name val="Calibri"/>
      <color rgb="00000000"/>
      <sz val="9"/>
    </font>
    <font>
      <name val="Calibri"/>
      <b val="1"/>
      <color rgb="00000000"/>
      <sz val="9"/>
    </font>
    <font>
      <name val="Calibri"/>
      <b val="1"/>
      <color rgb="00FFFFFF"/>
      <sz val="8"/>
    </font>
    <font>
      <name val="Calibri"/>
      <b val="1"/>
      <sz val="9"/>
    </font>
    <font>
      <b val="1"/>
      <sz val="9"/>
    </font>
    <font>
      <name val="Calibri"/>
      <b val="1"/>
      <color rgb="00FFFFFF"/>
      <sz val="11"/>
    </font>
  </fonts>
  <fills count="41">
    <fill>
      <patternFill/>
    </fill>
    <fill>
      <patternFill patternType="gray125"/>
    </fill>
    <fill>
      <patternFill patternType="solid">
        <fgColor rgb="007E5109"/>
      </patternFill>
    </fill>
    <fill>
      <patternFill patternType="solid">
        <fgColor rgb="00A04000"/>
      </patternFill>
    </fill>
    <fill>
      <patternFill patternType="solid">
        <fgColor rgb="00FFF3E0"/>
      </patternFill>
    </fill>
    <fill>
      <patternFill patternType="solid">
        <fgColor rgb="00FDEBD0"/>
      </patternFill>
    </fill>
    <fill>
      <patternFill patternType="solid">
        <fgColor rgb="001E8449"/>
      </patternFill>
    </fill>
    <fill>
      <patternFill patternType="solid">
        <fgColor rgb="0027AE60"/>
      </patternFill>
    </fill>
    <fill>
      <patternFill patternType="solid">
        <fgColor rgb="00E8F8F5"/>
      </patternFill>
    </fill>
    <fill>
      <patternFill patternType="solid">
        <fgColor rgb="00D5F5E3"/>
      </patternFill>
    </fill>
    <fill>
      <patternFill patternType="solid">
        <fgColor rgb="001B4F72"/>
      </patternFill>
    </fill>
    <fill>
      <patternFill patternType="solid">
        <fgColor rgb="002471A3"/>
      </patternFill>
    </fill>
    <fill>
      <patternFill patternType="solid">
        <fgColor rgb="00EBF5FB"/>
      </patternFill>
    </fill>
    <fill>
      <patternFill patternType="solid">
        <fgColor rgb="00D6EAF8"/>
      </patternFill>
    </fill>
    <fill>
      <patternFill patternType="solid">
        <fgColor rgb="007D3C98"/>
      </patternFill>
    </fill>
    <fill>
      <patternFill patternType="solid">
        <fgColor rgb="009B59B6"/>
      </patternFill>
    </fill>
    <fill>
      <patternFill patternType="solid">
        <fgColor rgb="00F5EEF8"/>
      </patternFill>
    </fill>
    <fill>
      <patternFill patternType="solid">
        <fgColor rgb="001F3864"/>
      </patternFill>
    </fill>
    <fill>
      <patternFill patternType="solid">
        <fgColor rgb="002E4057"/>
      </patternFill>
    </fill>
    <fill>
      <patternFill patternType="solid">
        <fgColor rgb="007B3F00"/>
      </patternFill>
    </fill>
    <fill>
      <patternFill patternType="solid">
        <fgColor rgb="001A5276"/>
      </patternFill>
    </fill>
    <fill>
      <patternFill patternType="solid">
        <fgColor rgb="002C3E50"/>
      </patternFill>
    </fill>
    <fill>
      <patternFill patternType="solid">
        <fgColor rgb="00566573"/>
      </patternFill>
    </fill>
    <fill>
      <patternFill patternType="solid">
        <fgColor rgb="00AAAAAA"/>
      </patternFill>
    </fill>
    <fill>
      <patternFill patternType="solid">
        <fgColor rgb="004A235A"/>
      </patternFill>
    </fill>
    <fill>
      <patternFill patternType="solid">
        <fgColor rgb="002E5899"/>
      </patternFill>
    </fill>
    <fill>
      <patternFill patternType="solid">
        <fgColor rgb="003D6B4F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FAFAFA"/>
      </patternFill>
    </fill>
    <fill>
      <patternFill patternType="solid">
        <fgColor rgb="00DDDDDD"/>
      </patternFill>
    </fill>
    <fill>
      <patternFill patternType="solid">
        <fgColor rgb="00F0BB78"/>
      </patternFill>
    </fill>
    <fill>
      <patternFill patternType="solid">
        <fgColor rgb="00A9DFBF"/>
      </patternFill>
    </fill>
    <fill>
      <patternFill patternType="solid">
        <fgColor rgb="00E8DAEF"/>
      </patternFill>
    </fill>
    <fill>
      <patternFill patternType="solid">
        <fgColor rgb="00D0D3D4"/>
      </patternFill>
    </fill>
    <fill>
      <patternFill patternType="solid">
        <fgColor rgb="00AEB6BF"/>
      </patternFill>
    </fill>
    <fill>
      <patternFill patternType="solid">
        <fgColor rgb="00F0F3F4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/>
    </xf>
    <xf numFmtId="164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164" fontId="2" fillId="9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/>
    </xf>
    <xf numFmtId="164" fontId="3" fillId="12" borderId="1" applyAlignment="1" pivotButton="0" quotePrefix="0" xfId="0">
      <alignment horizontal="center" vertical="center"/>
    </xf>
    <xf numFmtId="165" fontId="3" fillId="12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center" vertical="center"/>
    </xf>
    <xf numFmtId="164" fontId="3" fillId="13" borderId="1" applyAlignment="1" pivotButton="0" quotePrefix="0" xfId="0">
      <alignment horizontal="center" vertical="center"/>
    </xf>
    <xf numFmtId="165" fontId="3" fillId="13" borderId="1" applyAlignment="1" pivotButton="0" quotePrefix="0" xfId="0">
      <alignment horizontal="center" vertical="center"/>
    </xf>
    <xf numFmtId="0" fontId="1" fillId="14" borderId="1" applyAlignment="1" pivotButton="0" quotePrefix="0" xfId="0">
      <alignment horizontal="center" vertical="center" wrapText="1"/>
    </xf>
    <xf numFmtId="0" fontId="1" fillId="15" borderId="1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/>
    </xf>
    <xf numFmtId="164" fontId="3" fillId="16" borderId="1" applyAlignment="1" pivotButton="0" quotePrefix="0" xfId="0">
      <alignment horizontal="center" vertical="center"/>
    </xf>
    <xf numFmtId="0" fontId="1" fillId="17" borderId="1" applyAlignment="1" pivotButton="0" quotePrefix="0" xfId="0">
      <alignment horizontal="center" vertical="center" wrapText="1"/>
    </xf>
    <xf numFmtId="0" fontId="1" fillId="18" borderId="1" applyAlignment="1" pivotButton="0" quotePrefix="0" xfId="0">
      <alignment horizontal="center" vertical="center" wrapText="1"/>
    </xf>
    <xf numFmtId="0" fontId="1" fillId="19" borderId="1" applyAlignment="1" pivotButton="0" quotePrefix="0" xfId="0">
      <alignment horizontal="center" vertical="center" wrapText="1"/>
    </xf>
    <xf numFmtId="0" fontId="1" fillId="20" borderId="1" applyAlignment="1" pivotButton="0" quotePrefix="0" xfId="0">
      <alignment horizontal="center" vertical="center" wrapText="1"/>
    </xf>
    <xf numFmtId="0" fontId="1" fillId="21" borderId="1" applyAlignment="1" pivotButton="0" quotePrefix="0" xfId="0">
      <alignment horizontal="center" vertical="center" wrapText="1"/>
    </xf>
    <xf numFmtId="0" fontId="1" fillId="22" borderId="1" applyAlignment="1" pivotButton="0" quotePrefix="0" xfId="0">
      <alignment horizontal="center" vertical="center" wrapText="1"/>
    </xf>
    <xf numFmtId="0" fontId="1" fillId="23" borderId="1" applyAlignment="1" pivotButton="0" quotePrefix="0" xfId="0">
      <alignment horizontal="center" vertical="center" wrapText="1"/>
    </xf>
    <xf numFmtId="0" fontId="1" fillId="24" borderId="1" applyAlignment="1" pivotButton="0" quotePrefix="0" xfId="0">
      <alignment horizontal="center" vertical="center" wrapText="1"/>
    </xf>
    <xf numFmtId="0" fontId="4" fillId="25" borderId="1" applyAlignment="1" pivotButton="0" quotePrefix="0" xfId="0">
      <alignment horizontal="center" vertical="center" wrapText="1"/>
    </xf>
    <xf numFmtId="0" fontId="4" fillId="26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4" fillId="20" borderId="1" applyAlignment="1" pivotButton="0" quotePrefix="0" xfId="0">
      <alignment horizontal="center" vertical="center" wrapText="1"/>
    </xf>
    <xf numFmtId="0" fontId="4" fillId="21" borderId="1" applyAlignment="1" pivotButton="0" quotePrefix="0" xfId="0">
      <alignment horizontal="center" vertical="center" wrapText="1"/>
    </xf>
    <xf numFmtId="0" fontId="4" fillId="22" borderId="1" applyAlignment="1" pivotButton="0" quotePrefix="0" xfId="0">
      <alignment horizontal="center" vertical="center" wrapText="1"/>
    </xf>
    <xf numFmtId="0" fontId="4" fillId="23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24" borderId="1" applyAlignment="1" pivotButton="0" quotePrefix="0" xfId="0">
      <alignment horizontal="center" vertical="center" wrapText="1"/>
    </xf>
    <xf numFmtId="166" fontId="2" fillId="27" borderId="1" applyAlignment="1" pivotButton="0" quotePrefix="0" xfId="0">
      <alignment horizontal="center" vertical="center"/>
    </xf>
    <xf numFmtId="0" fontId="2" fillId="27" borderId="1" applyAlignment="1" pivotButton="0" quotePrefix="0" xfId="0">
      <alignment horizontal="center" vertical="center"/>
    </xf>
    <xf numFmtId="3" fontId="2" fillId="28" borderId="1" applyAlignment="1" pivotButton="0" quotePrefix="0" xfId="0">
      <alignment horizontal="center" vertical="center"/>
    </xf>
    <xf numFmtId="3" fontId="2" fillId="29" borderId="1" applyAlignment="1" pivotButton="0" quotePrefix="0" xfId="0">
      <alignment horizontal="center" vertical="center"/>
    </xf>
    <xf numFmtId="3" fontId="2" fillId="30" borderId="1" applyAlignment="1" pivotButton="0" quotePrefix="0" xfId="0">
      <alignment horizontal="center" vertical="center"/>
    </xf>
    <xf numFmtId="3" fontId="2" fillId="31" borderId="1" applyAlignment="1" pivotButton="0" quotePrefix="0" xfId="0">
      <alignment horizontal="center" vertical="center"/>
    </xf>
    <xf numFmtId="0" fontId="2" fillId="32" borderId="1" applyAlignment="1" pivotButton="0" quotePrefix="0" xfId="0">
      <alignment horizontal="left" vertical="center"/>
    </xf>
    <xf numFmtId="0" fontId="2" fillId="33" borderId="1" applyAlignment="1" pivotButton="0" quotePrefix="0" xfId="0">
      <alignment horizontal="right" vertical="center"/>
    </xf>
    <xf numFmtId="164" fontId="2" fillId="5" borderId="1" applyAlignment="1" pivotButton="0" quotePrefix="0" xfId="0">
      <alignment horizontal="right" vertical="center"/>
    </xf>
    <xf numFmtId="164" fontId="3" fillId="34" borderId="1" applyAlignment="1" pivotButton="0" quotePrefix="0" xfId="0">
      <alignment horizontal="right" vertical="center"/>
    </xf>
    <xf numFmtId="164" fontId="2" fillId="9" borderId="1" applyAlignment="1" pivotButton="0" quotePrefix="0" xfId="0">
      <alignment horizontal="right" vertical="center"/>
    </xf>
    <xf numFmtId="164" fontId="2" fillId="35" borderId="1" applyAlignment="1" pivotButton="0" quotePrefix="0" xfId="0">
      <alignment horizontal="right" vertical="center"/>
    </xf>
    <xf numFmtId="164" fontId="1" fillId="7" borderId="1" applyAlignment="1" pivotButton="0" quotePrefix="0" xfId="0">
      <alignment horizontal="right" vertical="center"/>
    </xf>
    <xf numFmtId="164" fontId="3" fillId="12" borderId="1" applyAlignment="1" pivotButton="0" quotePrefix="0" xfId="0">
      <alignment horizontal="right" vertical="center"/>
    </xf>
    <xf numFmtId="165" fontId="3" fillId="12" borderId="1" applyAlignment="1" pivotButton="0" quotePrefix="0" xfId="0">
      <alignment horizontal="right" vertical="center"/>
    </xf>
    <xf numFmtId="164" fontId="2" fillId="36" borderId="1" applyAlignment="1" pivotButton="0" quotePrefix="0" xfId="0">
      <alignment horizontal="right" vertical="center"/>
    </xf>
    <xf numFmtId="0" fontId="3" fillId="37" borderId="1" applyAlignment="1" pivotButton="0" quotePrefix="0" xfId="0">
      <alignment horizontal="right" vertical="center"/>
    </xf>
    <xf numFmtId="0" fontId="2" fillId="37" borderId="1" applyAlignment="1" pivotButton="0" quotePrefix="0" xfId="0">
      <alignment horizontal="right" vertical="center"/>
    </xf>
    <xf numFmtId="3" fontId="5" fillId="38" borderId="1" applyAlignment="1" pivotButton="0" quotePrefix="0" xfId="0">
      <alignment horizontal="right" vertical="center"/>
    </xf>
    <xf numFmtId="164" fontId="5" fillId="38" borderId="1" applyAlignment="1" pivotButton="0" quotePrefix="0" xfId="0">
      <alignment horizontal="right" vertical="center"/>
    </xf>
    <xf numFmtId="165" fontId="6" fillId="38" borderId="1" applyAlignment="1" pivotButton="0" quotePrefix="0" xfId="0">
      <alignment horizontal="center" vertical="center"/>
    </xf>
    <xf numFmtId="0" fontId="7" fillId="17" borderId="1" applyAlignment="1" pivotButton="0" quotePrefix="0" xfId="0">
      <alignment horizontal="center" vertical="center" wrapText="1"/>
    </xf>
    <xf numFmtId="0" fontId="3" fillId="39" borderId="1" applyAlignment="1" pivotButton="0" quotePrefix="0" xfId="0">
      <alignment horizontal="center" vertical="center"/>
    </xf>
    <xf numFmtId="0" fontId="2" fillId="39" borderId="1" applyAlignment="1" pivotButton="0" quotePrefix="0" xfId="0">
      <alignment horizontal="left" vertical="center"/>
    </xf>
    <xf numFmtId="0" fontId="2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2" fillId="40" borderId="1" applyAlignment="1" pivotButton="0" quotePrefix="0" xfId="0">
      <alignment horizontal="left" vertical="center"/>
    </xf>
    <xf numFmtId="0" fontId="2" fillId="4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H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</cols>
  <sheetData>
    <row r="1" ht="22" customHeight="1">
      <c r="A1" s="1" t="inlineStr">
        <is>
          <t>PRODUCTION COST RATES — per Pax  (Food DM + Wage DL from PnL Files)</t>
        </is>
      </c>
    </row>
    <row r="2">
      <c r="A2" s="2" t="inlineStr">
        <is>
          <t>Cycle</t>
        </is>
      </c>
      <c r="B2" s="2" t="inlineStr">
        <is>
          <t>Period</t>
        </is>
      </c>
      <c r="C2" s="2" t="inlineStr">
        <is>
          <t>BC $/pax</t>
        </is>
      </c>
      <c r="D2" s="2" t="inlineStr">
        <is>
          <t>PY $/pax</t>
        </is>
      </c>
      <c r="E2" s="2" t="inlineStr">
        <is>
          <t>EY $/pax</t>
        </is>
      </c>
      <c r="F2" s="2" t="inlineStr">
        <is>
          <t>K Crew $/pax</t>
        </is>
      </c>
      <c r="G2" s="2" t="inlineStr">
        <is>
          <t>P Crew $/pax</t>
        </is>
      </c>
      <c r="H2" s="2" t="inlineStr">
        <is>
          <t>Source</t>
        </is>
      </c>
    </row>
    <row r="3">
      <c r="A3" s="3" t="n">
        <v>1</v>
      </c>
      <c r="B3" s="3" t="inlineStr">
        <is>
          <t>January</t>
        </is>
      </c>
      <c r="C3" s="4" t="n">
        <v>29.72</v>
      </c>
      <c r="D3" s="4" t="n">
        <v>17.11</v>
      </c>
      <c r="E3" s="4" t="n">
        <v>8.369999999999999</v>
      </c>
      <c r="F3" s="4" t="n">
        <v>19.11</v>
      </c>
      <c r="G3" s="4" t="n">
        <v>16.67</v>
      </c>
      <c r="H3" s="3" t="inlineStr">
        <is>
          <t>C1 PnL (Jan 2026)</t>
        </is>
      </c>
    </row>
    <row r="4">
      <c r="A4" s="5" t="n">
        <v>2</v>
      </c>
      <c r="B4" s="5" t="inlineStr">
        <is>
          <t>Feb – Mar</t>
        </is>
      </c>
      <c r="C4" s="6" t="n">
        <v>28.11</v>
      </c>
      <c r="D4" s="6" t="n">
        <v>17.08</v>
      </c>
      <c r="E4" s="6" t="n">
        <v>8.25</v>
      </c>
      <c r="F4" s="6" t="n">
        <v>18</v>
      </c>
      <c r="G4" s="6" t="n">
        <v>16</v>
      </c>
      <c r="H4" s="5" t="inlineStr">
        <is>
          <t>C2 PnL (Feb–Mar 2026)</t>
        </is>
      </c>
    </row>
    <row r="5">
      <c r="A5" s="3" t="n">
        <v>3</v>
      </c>
      <c r="B5" s="3" t="inlineStr">
        <is>
          <t>April</t>
        </is>
      </c>
      <c r="C5" s="4" t="n">
        <v>28.99</v>
      </c>
      <c r="D5" s="4" t="n">
        <v>19.44</v>
      </c>
      <c r="E5" s="4" t="n">
        <v>9.49</v>
      </c>
      <c r="F5" s="4" t="n">
        <v>18.5</v>
      </c>
      <c r="G5" s="4" t="n">
        <v>16.5</v>
      </c>
      <c r="H5" s="3" t="inlineStr">
        <is>
          <t>C3 PnL (Apr 2026)</t>
        </is>
      </c>
    </row>
    <row r="6">
      <c r="A6" s="5" t="n">
        <v>4</v>
      </c>
      <c r="B6" s="5" t="inlineStr">
        <is>
          <t>May – Jun</t>
        </is>
      </c>
      <c r="C6" s="6" t="n">
        <v>30.96</v>
      </c>
      <c r="D6" s="6" t="n">
        <v>18.3</v>
      </c>
      <c r="E6" s="6" t="n">
        <v>10.45</v>
      </c>
      <c r="F6" s="6" t="n">
        <v>18.43</v>
      </c>
      <c r="G6" s="6" t="n">
        <v>20.28</v>
      </c>
      <c r="H6" s="5" t="inlineStr">
        <is>
          <t>C4 PnL (May–Jun 2026)</t>
        </is>
      </c>
    </row>
    <row r="7" ht="22" customHeight="1">
      <c r="A7" s="7" t="inlineStr">
        <is>
          <t>BILLED REVENUE RATES — per Pax  (What SAS Pays Mainline, from CSV Billing)</t>
        </is>
      </c>
    </row>
    <row r="8">
      <c r="A8" s="8" t="inlineStr">
        <is>
          <t>Cycle</t>
        </is>
      </c>
      <c r="B8" s="8" t="inlineStr">
        <is>
          <t>Period</t>
        </is>
      </c>
      <c r="C8" s="8" t="inlineStr">
        <is>
          <t>BC $/pax</t>
        </is>
      </c>
      <c r="D8" s="8" t="inlineStr">
        <is>
          <t>PY $/pax</t>
        </is>
      </c>
      <c r="E8" s="8" t="inlineStr">
        <is>
          <t>EY $/pax</t>
        </is>
      </c>
      <c r="F8" s="8" t="inlineStr">
        <is>
          <t>Crew Base/Flt</t>
        </is>
      </c>
      <c r="G8" s="8" t="inlineStr">
        <is>
          <t>Replen 3333</t>
        </is>
      </c>
      <c r="H8" s="8" t="inlineStr">
        <is>
          <t>Replen 3591</t>
        </is>
      </c>
    </row>
    <row r="9">
      <c r="A9" s="9" t="n">
        <v>1</v>
      </c>
      <c r="B9" s="9" t="inlineStr">
        <is>
          <t>January</t>
        </is>
      </c>
      <c r="C9" s="10" t="n">
        <v>41.5</v>
      </c>
      <c r="D9" s="10" t="n">
        <v>22</v>
      </c>
      <c r="E9" s="10" t="n">
        <v>11.85</v>
      </c>
      <c r="F9" s="10" t="n">
        <v>65</v>
      </c>
      <c r="G9" s="10" t="n">
        <v>953</v>
      </c>
      <c r="H9" s="10" t="n">
        <v>953</v>
      </c>
    </row>
    <row r="10">
      <c r="A10" s="11" t="n">
        <v>2</v>
      </c>
      <c r="B10" s="11" t="inlineStr">
        <is>
          <t>Feb – Mar</t>
        </is>
      </c>
      <c r="C10" s="12" t="n">
        <v>42.5</v>
      </c>
      <c r="D10" s="12" t="n">
        <v>23</v>
      </c>
      <c r="E10" s="12" t="n">
        <v>12.5</v>
      </c>
      <c r="F10" s="12" t="n">
        <v>65</v>
      </c>
      <c r="G10" s="12" t="n">
        <v>953</v>
      </c>
      <c r="H10" s="12" t="n">
        <v>953</v>
      </c>
    </row>
    <row r="11">
      <c r="A11" s="9" t="n">
        <v>3</v>
      </c>
      <c r="B11" s="9" t="inlineStr">
        <is>
          <t>April</t>
        </is>
      </c>
      <c r="C11" s="10" t="n">
        <v>43</v>
      </c>
      <c r="D11" s="10" t="n">
        <v>25</v>
      </c>
      <c r="E11" s="10" t="n">
        <v>13.44</v>
      </c>
      <c r="F11" s="10" t="n">
        <v>65</v>
      </c>
      <c r="G11" s="10" t="n">
        <v>953</v>
      </c>
      <c r="H11" s="10" t="n">
        <v>953</v>
      </c>
    </row>
    <row r="12">
      <c r="A12" s="11" t="n">
        <v>4</v>
      </c>
      <c r="B12" s="11" t="inlineStr">
        <is>
          <t>May – Jun</t>
        </is>
      </c>
      <c r="C12" s="12" t="n">
        <v>43.5</v>
      </c>
      <c r="D12" s="12" t="n">
        <v>23.5</v>
      </c>
      <c r="E12" s="12" t="n">
        <v>14.5</v>
      </c>
      <c r="F12" s="12" t="n">
        <v>65</v>
      </c>
      <c r="G12" s="12" t="n">
        <v>953</v>
      </c>
      <c r="H12" s="12" t="n">
        <v>1002</v>
      </c>
    </row>
    <row r="13" ht="22" customHeight="1">
      <c r="A13" s="13" t="inlineStr">
        <is>
          <t>IMPLIED MARGIN per Pax  (Revenue − Production Cost)</t>
        </is>
      </c>
    </row>
    <row r="14">
      <c r="A14" s="14" t="inlineStr">
        <is>
          <t>Cycle</t>
        </is>
      </c>
      <c r="B14" s="14" t="inlineStr">
        <is>
          <t>Period</t>
        </is>
      </c>
      <c r="C14" s="14" t="inlineStr">
        <is>
          <t>BC Margin $</t>
        </is>
      </c>
      <c r="D14" s="14" t="inlineStr">
        <is>
          <t>PY Margin $</t>
        </is>
      </c>
      <c r="E14" s="14" t="inlineStr">
        <is>
          <t>EY Margin $</t>
        </is>
      </c>
      <c r="F14" s="14" t="inlineStr">
        <is>
          <t>BC Margin %</t>
        </is>
      </c>
      <c r="G14" s="14" t="inlineStr">
        <is>
          <t>PY Margin %</t>
        </is>
      </c>
      <c r="H14" s="14" t="inlineStr">
        <is>
          <t>EY Margin %</t>
        </is>
      </c>
    </row>
    <row r="15">
      <c r="A15" s="15" t="n">
        <v>1</v>
      </c>
      <c r="B15" s="15" t="inlineStr">
        <is>
          <t>January</t>
        </is>
      </c>
      <c r="C15" s="16" t="n">
        <v>11.78</v>
      </c>
      <c r="D15" s="16" t="n">
        <v>4.890000000000001</v>
      </c>
      <c r="E15" s="16" t="n">
        <v>3.48</v>
      </c>
      <c r="F15" s="17" t="n">
        <v>0.283855421686747</v>
      </c>
      <c r="G15" s="17" t="n">
        <v>0.2222727272727273</v>
      </c>
      <c r="H15" s="17" t="n">
        <v>0.2936708860759494</v>
      </c>
    </row>
    <row r="16">
      <c r="A16" s="18" t="n">
        <v>2</v>
      </c>
      <c r="B16" s="18" t="inlineStr">
        <is>
          <t>Feb – Mar</t>
        </is>
      </c>
      <c r="C16" s="19" t="n">
        <v>14.39</v>
      </c>
      <c r="D16" s="19" t="n">
        <v>5.920000000000002</v>
      </c>
      <c r="E16" s="19" t="n">
        <v>4.25</v>
      </c>
      <c r="F16" s="20" t="n">
        <v>0.3385882352941176</v>
      </c>
      <c r="G16" s="20" t="n">
        <v>0.2573913043478261</v>
      </c>
      <c r="H16" s="20" t="n">
        <v>0.34</v>
      </c>
    </row>
    <row r="17">
      <c r="A17" s="15" t="n">
        <v>3</v>
      </c>
      <c r="B17" s="15" t="inlineStr">
        <is>
          <t>April</t>
        </is>
      </c>
      <c r="C17" s="16" t="n">
        <v>14.01</v>
      </c>
      <c r="D17" s="16" t="n">
        <v>5.559999999999999</v>
      </c>
      <c r="E17" s="16" t="n">
        <v>3.949999999999999</v>
      </c>
      <c r="F17" s="17" t="n">
        <v>0.3258139534883721</v>
      </c>
      <c r="G17" s="17" t="n">
        <v>0.2224</v>
      </c>
      <c r="H17" s="17" t="n">
        <v>0.2938988095238095</v>
      </c>
    </row>
    <row r="18">
      <c r="A18" s="18" t="n">
        <v>4</v>
      </c>
      <c r="B18" s="18" t="inlineStr">
        <is>
          <t>May – Jun</t>
        </is>
      </c>
      <c r="C18" s="19" t="n">
        <v>12.54</v>
      </c>
      <c r="D18" s="19" t="n">
        <v>5.199999999999999</v>
      </c>
      <c r="E18" s="19" t="n">
        <v>4.050000000000001</v>
      </c>
      <c r="F18" s="20" t="n">
        <v>0.2882758620689655</v>
      </c>
      <c r="G18" s="20" t="n">
        <v>0.2212765957446808</v>
      </c>
      <c r="H18" s="20" t="n">
        <v>0.2793103448275863</v>
      </c>
    </row>
    <row r="19">
      <c r="A19" s="21" t="inlineStr">
        <is>
          <t>SPML BILLING PRICES — per SPML Meal  (What SAS Pays Mainline per Special Meal)</t>
        </is>
      </c>
    </row>
    <row r="20">
      <c r="A20" s="22" t="inlineStr">
        <is>
          <t>Business Class (C)</t>
        </is>
      </c>
    </row>
    <row r="21">
      <c r="A21" s="23" t="inlineStr">
        <is>
          <t>AVML</t>
        </is>
      </c>
      <c r="B21" s="24" t="n">
        <v>39.14</v>
      </c>
      <c r="C21" s="23" t="inlineStr">
        <is>
          <t>BXML</t>
        </is>
      </c>
      <c r="D21" s="24" t="n">
        <v>12.23</v>
      </c>
      <c r="E21" s="23" t="inlineStr">
        <is>
          <t>BYML</t>
        </is>
      </c>
      <c r="F21" s="24" t="n">
        <v>12.15</v>
      </c>
      <c r="G21" s="23" t="inlineStr">
        <is>
          <t>BPML</t>
        </is>
      </c>
      <c r="H21" s="24" t="n">
        <v>7.62</v>
      </c>
    </row>
    <row r="22">
      <c r="A22" s="23" t="inlineStr">
        <is>
          <t>BFML</t>
        </is>
      </c>
      <c r="B22" s="24" t="n">
        <v>10.21</v>
      </c>
      <c r="C22" s="23" t="inlineStr">
        <is>
          <t>BVML</t>
        </is>
      </c>
      <c r="D22" s="24" t="n">
        <v>6.15</v>
      </c>
      <c r="E22" s="23" t="inlineStr">
        <is>
          <t>BMML</t>
        </is>
      </c>
      <c r="F22" s="24" t="n">
        <v>12.24</v>
      </c>
      <c r="G22" s="23" t="inlineStr">
        <is>
          <t>VLML</t>
        </is>
      </c>
      <c r="H22" s="24" t="n">
        <v>39.14</v>
      </c>
    </row>
    <row r="23">
      <c r="A23" s="23" t="inlineStr">
        <is>
          <t>VGML</t>
        </is>
      </c>
      <c r="B23" s="24" t="n">
        <v>39.14</v>
      </c>
      <c r="C23" s="23" t="inlineStr">
        <is>
          <t>LGML</t>
        </is>
      </c>
      <c r="D23" s="24" t="n">
        <v>40.31</v>
      </c>
    </row>
    <row r="24">
      <c r="A24" s="22" t="inlineStr">
        <is>
          <t>Premium Economy (Y)</t>
        </is>
      </c>
    </row>
    <row r="25">
      <c r="A25" s="23" t="inlineStr">
        <is>
          <t>AVML</t>
        </is>
      </c>
      <c r="B25" s="24" t="n">
        <v>19.69</v>
      </c>
      <c r="C25" s="23" t="inlineStr">
        <is>
          <t>CHML</t>
        </is>
      </c>
      <c r="D25" s="24" t="n">
        <v>16.74</v>
      </c>
      <c r="E25" s="23" t="inlineStr">
        <is>
          <t>LGML</t>
        </is>
      </c>
      <c r="F25" s="24" t="n">
        <v>20.28</v>
      </c>
      <c r="G25" s="23" t="inlineStr">
        <is>
          <t>VLML</t>
        </is>
      </c>
      <c r="H25" s="24" t="n">
        <v>19.69</v>
      </c>
    </row>
    <row r="26">
      <c r="A26" s="23" t="inlineStr">
        <is>
          <t>VGML</t>
        </is>
      </c>
      <c r="B26" s="24" t="n">
        <v>19.69</v>
      </c>
    </row>
    <row r="27">
      <c r="A27" s="22" t="inlineStr">
        <is>
          <t>Economy (M)</t>
        </is>
      </c>
    </row>
    <row r="28">
      <c r="A28" s="23" t="inlineStr">
        <is>
          <t>AVML</t>
        </is>
      </c>
      <c r="B28" s="24" t="n">
        <v>11.84</v>
      </c>
      <c r="C28" s="23" t="inlineStr">
        <is>
          <t>CHML</t>
        </is>
      </c>
      <c r="D28" s="24" t="n">
        <v>14.34</v>
      </c>
      <c r="E28" s="23" t="inlineStr">
        <is>
          <t>CKML</t>
        </is>
      </c>
      <c r="F28" s="24" t="n">
        <v>16.93</v>
      </c>
      <c r="G28" s="23" t="inlineStr">
        <is>
          <t>FIML</t>
        </is>
      </c>
      <c r="H28" s="24" t="n">
        <v>19.52</v>
      </c>
    </row>
    <row r="29">
      <c r="A29" s="23" t="inlineStr">
        <is>
          <t>GHML</t>
        </is>
      </c>
      <c r="B29" s="24" t="n">
        <v>22.35</v>
      </c>
      <c r="C29" s="23" t="inlineStr">
        <is>
          <t>LGML</t>
        </is>
      </c>
      <c r="D29" s="24" t="n">
        <v>13.92</v>
      </c>
      <c r="E29" s="23" t="inlineStr">
        <is>
          <t>MEML</t>
        </is>
      </c>
      <c r="F29" s="24" t="n">
        <v>21.55</v>
      </c>
      <c r="G29" s="23" t="inlineStr">
        <is>
          <t>VLML</t>
        </is>
      </c>
      <c r="H29" s="24" t="n">
        <v>13.92</v>
      </c>
    </row>
    <row r="30">
      <c r="A30" s="23" t="inlineStr">
        <is>
          <t>VGML</t>
        </is>
      </c>
      <c r="B30" s="24" t="n">
        <v>13.92</v>
      </c>
    </row>
    <row r="31">
      <c r="A31" s="22" t="inlineStr">
        <is>
          <t>Crew K SPML</t>
        </is>
      </c>
    </row>
    <row r="32">
      <c r="A32" s="23" t="inlineStr">
        <is>
          <t>VLML</t>
        </is>
      </c>
      <c r="B32" s="24" t="n">
        <v>30.23</v>
      </c>
      <c r="C32" s="23" t="inlineStr">
        <is>
          <t>LGML</t>
        </is>
      </c>
      <c r="D32" s="24" t="n">
        <v>30.23</v>
      </c>
      <c r="E32" s="23" t="inlineStr">
        <is>
          <t>VGML</t>
        </is>
      </c>
      <c r="F32" s="24" t="n">
        <v>28</v>
      </c>
    </row>
  </sheetData>
  <mergeCells count="8">
    <mergeCell ref="A7:H7"/>
    <mergeCell ref="A20:H20"/>
    <mergeCell ref="A24:H24"/>
    <mergeCell ref="A13:H13"/>
    <mergeCell ref="A19:H19"/>
    <mergeCell ref="A1:H1"/>
    <mergeCell ref="A27:H27"/>
    <mergeCell ref="A31:H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AE60"/>
    <outlinePr summaryBelow="1" summaryRight="1"/>
    <pageSetUpPr/>
  </sheetPr>
  <dimension ref="A1:BC89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8" customWidth="1" min="2" max="2"/>
    <col width="7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  <col width="6" customWidth="1" min="35" max="35"/>
    <col width="6" customWidth="1" min="36" max="36"/>
    <col width="18" customWidth="1" min="37" max="37"/>
    <col width="2" customWidth="1" min="38" max="38"/>
    <col width="10" customWidth="1" min="39" max="39"/>
    <col width="10" customWidth="1" min="40" max="40"/>
    <col width="10" customWidth="1" min="41" max="41"/>
    <col width="11" customWidth="1" min="42" max="42"/>
    <col width="10" customWidth="1" min="43" max="43"/>
    <col width="13" customWidth="1" min="44" max="44"/>
    <col width="10" customWidth="1" min="45" max="45"/>
    <col width="10" customWidth="1" min="46" max="46"/>
    <col width="11" customWidth="1" min="47" max="47"/>
    <col width="10" customWidth="1" min="48" max="48"/>
    <col width="10" customWidth="1" min="49" max="49"/>
    <col width="10" customWidth="1" min="50" max="50"/>
    <col width="10" customWidth="1" min="51" max="51"/>
    <col width="13" customWidth="1" min="52" max="52"/>
    <col width="12" customWidth="1" min="53" max="53"/>
    <col width="8" customWidth="1" min="54" max="54"/>
    <col width="12" customWidth="1" min="55" max="55"/>
  </cols>
  <sheetData>
    <row r="1" ht="24" customHeight="1">
      <c r="A1" s="25" t="inlineStr">
        <is>
          <t>FLIGHT INFO</t>
        </is>
      </c>
      <c r="E1" s="26" t="inlineStr">
        <is>
          <t>PAX &amp; CREW</t>
        </is>
      </c>
      <c r="J1" s="27" t="inlineStr">
        <is>
          <t>BC SPML (C)</t>
        </is>
      </c>
      <c r="T1" s="21" t="inlineStr">
        <is>
          <t>PLUS SPML (Y)</t>
        </is>
      </c>
      <c r="Y1" s="28" t="inlineStr">
        <is>
          <t>ECONOMY SPML (M)</t>
        </is>
      </c>
      <c r="AH1" s="29" t="inlineStr">
        <is>
          <t>CREW K SPML</t>
        </is>
      </c>
      <c r="AK1" s="30" t="inlineStr">
        <is>
          <t>NOTES</t>
        </is>
      </c>
      <c r="AL1" s="31" t="inlineStr"/>
      <c r="AM1" s="1" t="inlineStr">
        <is>
          <t>PRODUCTION COST (what it costs to make)</t>
        </is>
      </c>
      <c r="AS1" s="7" t="inlineStr">
        <is>
          <t>BILLED REVENUE (what SAS pays Mainline)</t>
        </is>
      </c>
      <c r="BA1" s="13" t="inlineStr">
        <is>
          <t>GROSS PROFIT</t>
        </is>
      </c>
      <c r="BC1" s="32" t="inlineStr">
        <is>
          <t>ACTUAL BILLED
(May CSV)</t>
        </is>
      </c>
    </row>
    <row r="2" ht="30" customHeight="1">
      <c r="A2" s="33" t="inlineStr">
        <is>
          <t>Date</t>
        </is>
      </c>
      <c r="B2" s="33" t="inlineStr">
        <is>
          <t>Flight</t>
        </is>
      </c>
      <c r="C2" s="33" t="inlineStr">
        <is>
          <t>A/C</t>
        </is>
      </c>
      <c r="D2" s="33" t="inlineStr">
        <is>
          <t>Cyc</t>
        </is>
      </c>
      <c r="E2" s="34" t="inlineStr">
        <is>
          <t>BC
Pax</t>
        </is>
      </c>
      <c r="F2" s="34" t="inlineStr">
        <is>
          <t>PY
Pax</t>
        </is>
      </c>
      <c r="G2" s="34" t="inlineStr">
        <is>
          <t>EY
Pax</t>
        </is>
      </c>
      <c r="H2" s="34" t="inlineStr">
        <is>
          <t>K
Crew</t>
        </is>
      </c>
      <c r="I2" s="34" t="inlineStr">
        <is>
          <t>P
Crew</t>
        </is>
      </c>
      <c r="J2" s="35" t="inlineStr">
        <is>
          <t>AVML</t>
        </is>
      </c>
      <c r="K2" s="35" t="inlineStr">
        <is>
          <t>BXML</t>
        </is>
      </c>
      <c r="L2" s="35" t="inlineStr">
        <is>
          <t>BYML</t>
        </is>
      </c>
      <c r="M2" s="35" t="inlineStr">
        <is>
          <t>BPML</t>
        </is>
      </c>
      <c r="N2" s="35" t="inlineStr">
        <is>
          <t>BFML</t>
        </is>
      </c>
      <c r="O2" s="35" t="inlineStr">
        <is>
          <t>BVML</t>
        </is>
      </c>
      <c r="P2" s="35" t="inlineStr">
        <is>
          <t>BMML</t>
        </is>
      </c>
      <c r="Q2" s="35" t="inlineStr">
        <is>
          <t>VLML</t>
        </is>
      </c>
      <c r="R2" s="35" t="inlineStr">
        <is>
          <t>VGML</t>
        </is>
      </c>
      <c r="S2" s="35" t="inlineStr">
        <is>
          <t>LGML</t>
        </is>
      </c>
      <c r="T2" s="36" t="inlineStr">
        <is>
          <t>AVML</t>
        </is>
      </c>
      <c r="U2" s="36" t="inlineStr">
        <is>
          <t>CHML</t>
        </is>
      </c>
      <c r="V2" s="36" t="inlineStr">
        <is>
          <t>LGML</t>
        </is>
      </c>
      <c r="W2" s="36" t="inlineStr">
        <is>
          <t>VLML</t>
        </is>
      </c>
      <c r="X2" s="36" t="inlineStr">
        <is>
          <t>VGML</t>
        </is>
      </c>
      <c r="Y2" s="37" t="inlineStr">
        <is>
          <t>AVML</t>
        </is>
      </c>
      <c r="Z2" s="37" t="inlineStr">
        <is>
          <t>CHML</t>
        </is>
      </c>
      <c r="AA2" s="37" t="inlineStr">
        <is>
          <t>CKML</t>
        </is>
      </c>
      <c r="AB2" s="37" t="inlineStr">
        <is>
          <t>FIML</t>
        </is>
      </c>
      <c r="AC2" s="37" t="inlineStr">
        <is>
          <t>GHML</t>
        </is>
      </c>
      <c r="AD2" s="37" t="inlineStr">
        <is>
          <t>LGML</t>
        </is>
      </c>
      <c r="AE2" s="37" t="inlineStr">
        <is>
          <t>MEML</t>
        </is>
      </c>
      <c r="AF2" s="37" t="inlineStr">
        <is>
          <t>VLML</t>
        </is>
      </c>
      <c r="AG2" s="37" t="inlineStr">
        <is>
          <t>VGML</t>
        </is>
      </c>
      <c r="AH2" s="38" t="inlineStr">
        <is>
          <t>VLML</t>
        </is>
      </c>
      <c r="AI2" s="38" t="inlineStr">
        <is>
          <t>LGML</t>
        </is>
      </c>
      <c r="AJ2" s="38" t="inlineStr">
        <is>
          <t>VGML</t>
        </is>
      </c>
      <c r="AK2" s="39" t="inlineStr">
        <is>
          <t>Notes</t>
        </is>
      </c>
      <c r="AL2" s="40" t="inlineStr"/>
      <c r="AM2" s="41" t="inlineStr">
        <is>
          <t>BC
Prod Cost</t>
        </is>
      </c>
      <c r="AN2" s="41" t="inlineStr">
        <is>
          <t>PY
Prod Cost</t>
        </is>
      </c>
      <c r="AO2" s="41" t="inlineStr">
        <is>
          <t>EY
Prod Cost</t>
        </is>
      </c>
      <c r="AP2" s="41" t="inlineStr">
        <is>
          <t>Crew
Prod Cost</t>
        </is>
      </c>
      <c r="AQ2" s="41" t="inlineStr">
        <is>
          <t>Replen
Prod Cost</t>
        </is>
      </c>
      <c r="AR2" s="41" t="inlineStr">
        <is>
          <t>TOTAL
PROD COST</t>
        </is>
      </c>
      <c r="AS2" s="42" t="inlineStr">
        <is>
          <t>BC Std
Rev</t>
        </is>
      </c>
      <c r="AT2" s="42" t="inlineStr">
        <is>
          <t>BC SPML
Rev</t>
        </is>
      </c>
      <c r="AU2" s="42" t="inlineStr">
        <is>
          <t>BC Total
Rev</t>
        </is>
      </c>
      <c r="AV2" s="42" t="inlineStr">
        <is>
          <t>PY
Revenue</t>
        </is>
      </c>
      <c r="AW2" s="42" t="inlineStr">
        <is>
          <t>EY
Revenue</t>
        </is>
      </c>
      <c r="AX2" s="42" t="inlineStr">
        <is>
          <t>Crew
Revenue</t>
        </is>
      </c>
      <c r="AY2" s="42" t="inlineStr">
        <is>
          <t>Replen
Rev</t>
        </is>
      </c>
      <c r="AZ2" s="42" t="inlineStr">
        <is>
          <t>TOTAL
REVENUE</t>
        </is>
      </c>
      <c r="BA2" s="43" t="inlineStr">
        <is>
          <t>GROSS
PROFIT</t>
        </is>
      </c>
      <c r="BB2" s="43" t="inlineStr">
        <is>
          <t>MARGIN
%</t>
        </is>
      </c>
      <c r="BC2" s="44" t="inlineStr">
        <is>
          <t>ACTUAL
BILLED</t>
        </is>
      </c>
    </row>
    <row r="3" ht="16" customHeight="1">
      <c r="A3" s="45" t="inlineStr">
        <is>
          <t>1/2/2026</t>
        </is>
      </c>
      <c r="B3" s="46" t="inlineStr">
        <is>
          <t>SK0930</t>
        </is>
      </c>
      <c r="C3" s="46" t="inlineStr">
        <is>
          <t>3333</t>
        </is>
      </c>
      <c r="D3" s="46" t="inlineStr">
        <is>
          <t>C1</t>
        </is>
      </c>
      <c r="E3" s="47" t="n">
        <v>32</v>
      </c>
      <c r="F3" s="47" t="n">
        <v>56</v>
      </c>
      <c r="G3" s="47" t="n">
        <v>174</v>
      </c>
      <c r="H3" s="47" t="n">
        <v>6</v>
      </c>
      <c r="I3" s="47" t="n">
        <v>2</v>
      </c>
      <c r="J3" s="48" t="n"/>
      <c r="K3" s="48" t="n"/>
      <c r="L3" s="48" t="n"/>
      <c r="M3" s="48" t="n"/>
      <c r="N3" s="48" t="n"/>
      <c r="O3" s="48" t="n"/>
      <c r="P3" s="48" t="n"/>
      <c r="Q3" s="48" t="n"/>
      <c r="R3" s="48" t="n"/>
      <c r="S3" s="48" t="n"/>
      <c r="T3" s="49" t="n"/>
      <c r="U3" s="49" t="n"/>
      <c r="V3" s="49" t="n"/>
      <c r="W3" s="49" t="n"/>
      <c r="X3" s="49" t="n"/>
      <c r="Y3" s="47" t="n"/>
      <c r="Z3" s="47" t="n"/>
      <c r="AA3" s="47" t="n"/>
      <c r="AB3" s="47" t="n"/>
      <c r="AC3" s="47" t="n"/>
      <c r="AD3" s="47" t="n"/>
      <c r="AE3" s="47" t="n"/>
      <c r="AF3" s="47" t="n"/>
      <c r="AG3" s="47" t="n"/>
      <c r="AH3" s="50" t="n"/>
      <c r="AI3" s="50" t="n"/>
      <c r="AJ3" s="50" t="n"/>
      <c r="AK3" s="51" t="inlineStr"/>
      <c r="AL3" s="52" t="n"/>
      <c r="AM3" s="53">
        <f>IF(E3="","",E3*29.72)</f>
        <v/>
      </c>
      <c r="AN3" s="53">
        <f>IF(F3="","",F3*17.11)</f>
        <v/>
      </c>
      <c r="AO3" s="53">
        <f>IF(G3="","",G3*8.37)</f>
        <v/>
      </c>
      <c r="AP3" s="53">
        <f>IF(AND(H3="",I3=""),"",IF(ISNUMBER(H3),H3*19.11,0)+IF(ISNUMBER(I3),I3*16.67,0))</f>
        <v/>
      </c>
      <c r="AQ3" s="53">
        <f>IF(E3="","",667.1)</f>
        <v/>
      </c>
      <c r="AR3" s="54">
        <f>IF(E3="","",IF(ISNUMBER(AM3),AM3,0)+IF(ISNUMBER(AN3),AN3,0)+IF(ISNUMBER(AO3),AO3,0)+IF(ISNUMBER(AP3),AP3,0)+IF(ISNUMBER(AQ3),AQ3,0))</f>
        <v/>
      </c>
      <c r="AS3" s="55">
        <f>IF(E3="","",MAX(E3-SUM(J3:S3),0)*41.5)</f>
        <v/>
      </c>
      <c r="AT3" s="55">
        <f>IF(E3="","",IF(ISNUMBER(J3),J3*39.14,0)+IF(ISNUMBER(K3),K3*12.23,0)+IF(ISNUMBER(L3),L3*12.15,0)+IF(ISNUMBER(M3),M3*7.62,0)+IF(ISNUMBER(N3),N3*10.21,0)+IF(ISNUMBER(O3),O3*6.15,0)+IF(ISNUMBER(P3),P3*12.24,0)+IF(ISNUMBER(Q3),Q3*39.14,0)+IF(ISNUMBER(R3),R3*39.14,0)+IF(ISNUMBER(S3),S3*40.31,0))</f>
        <v/>
      </c>
      <c r="AU3" s="56">
        <f>IF(E3="","",IF(ISNUMBER(AS3),AS3,0)+IF(ISNUMBER(AT3),AT3,0))</f>
        <v/>
      </c>
      <c r="AV3" s="55">
        <f>IF(F3="","",MAX(F3-SUM(T3:X3),0)*22.0+IF(ISNUMBER(T3),T3*19.69,0)+IF(ISNUMBER(U3),U3*16.74,0)+IF(ISNUMBER(V3),V3*20.28,0)+IF(ISNUMBER(W3),W3*19.69,0)+IF(ISNUMBER(X3),X3*19.69,0))</f>
        <v/>
      </c>
      <c r="AW3" s="55">
        <f>IF(G3="","",MAX(G3-SUM(Y3:AG3),0)*11.85+IF(ISNUMBER(Y3),Y3*11.84,0)+IF(ISNUMBER(Z3),Z3*14.34,0)+IF(ISNUMBER(AA3),AA3*16.93,0)+IF(ISNUMBER(AB3),AB3*19.52,0)+IF(ISNUMBER(AC3),AC3*22.35,0)+IF(ISNUMBER(AD3),AD3*13.92,0)+IF(ISNUMBER(AE3),AE3*21.55,0)+IF(ISNUMBER(AF3),AF3*13.92,0)+IF(ISNUMBER(AG3),AG3*13.92,0))</f>
        <v/>
      </c>
      <c r="AX3" s="55">
        <f>IF(AND(H3="",I3=""),"",65.0+IF(ISNUMBER(AH3),AH3*30.23,0)+IF(ISNUMBER(AI3),AI3*30.23,0)+IF(ISNUMBER(AJ3),AJ3*28.0,0))</f>
        <v/>
      </c>
      <c r="AY3" s="55">
        <f>IF(E3="","",953.0)</f>
        <v/>
      </c>
      <c r="AZ3" s="57">
        <f>IF(E3="","",IF(ISNUMBER(AU3),AU3,0)+IF(ISNUMBER(AV3),AV3,0)+IF(ISNUMBER(AW3),AW3,0)+IF(ISNUMBER(AX3),AX3,0)+IF(ISNUMBER(AY3),AY3,0))</f>
        <v/>
      </c>
      <c r="BA3" s="58">
        <f>IF(OR(E3="",AZ3=""),"",AZ3-AR3)</f>
        <v/>
      </c>
      <c r="BB3" s="59">
        <f>IF(OR(E3="",AZ3=0),"",BA3/AZ3)</f>
        <v/>
      </c>
      <c r="BC3" s="60" t="n"/>
    </row>
    <row r="4" ht="16" customHeight="1">
      <c r="A4" s="45" t="inlineStr">
        <is>
          <t>1/3/2026</t>
        </is>
      </c>
      <c r="B4" s="46" t="inlineStr">
        <is>
          <t>SK0930</t>
        </is>
      </c>
      <c r="C4" s="46" t="inlineStr">
        <is>
          <t>3333</t>
        </is>
      </c>
      <c r="D4" s="46" t="inlineStr">
        <is>
          <t>C1</t>
        </is>
      </c>
      <c r="E4" s="47" t="n">
        <v>32</v>
      </c>
      <c r="F4" s="47" t="n">
        <v>42</v>
      </c>
      <c r="G4" s="47" t="n">
        <v>174</v>
      </c>
      <c r="H4" s="47" t="n">
        <v>6</v>
      </c>
      <c r="I4" s="47" t="n">
        <v>2</v>
      </c>
      <c r="J4" s="48" t="n"/>
      <c r="K4" s="48" t="n"/>
      <c r="L4" s="48" t="n"/>
      <c r="M4" s="48" t="n"/>
      <c r="N4" s="48" t="n"/>
      <c r="O4" s="48" t="n"/>
      <c r="P4" s="48" t="n"/>
      <c r="Q4" s="48" t="n"/>
      <c r="R4" s="48" t="n"/>
      <c r="S4" s="48" t="n"/>
      <c r="T4" s="49" t="n"/>
      <c r="U4" s="49" t="n"/>
      <c r="V4" s="49" t="n"/>
      <c r="W4" s="49" t="n"/>
      <c r="X4" s="49" t="n"/>
      <c r="Y4" s="47" t="n"/>
      <c r="Z4" s="47" t="n"/>
      <c r="AA4" s="47" t="n"/>
      <c r="AB4" s="47" t="n"/>
      <c r="AC4" s="47" t="n"/>
      <c r="AD4" s="47" t="n"/>
      <c r="AE4" s="47" t="n"/>
      <c r="AF4" s="47" t="n"/>
      <c r="AG4" s="47" t="n"/>
      <c r="AH4" s="50" t="n"/>
      <c r="AI4" s="50" t="n"/>
      <c r="AJ4" s="50" t="n"/>
      <c r="AK4" s="51" t="inlineStr"/>
      <c r="AL4" s="52" t="n"/>
      <c r="AM4" s="53">
        <f>IF(E4="","",E4*29.72)</f>
        <v/>
      </c>
      <c r="AN4" s="53">
        <f>IF(F4="","",F4*17.11)</f>
        <v/>
      </c>
      <c r="AO4" s="53">
        <f>IF(G4="","",G4*8.37)</f>
        <v/>
      </c>
      <c r="AP4" s="53">
        <f>IF(AND(H4="",I4=""),"",IF(ISNUMBER(H4),H4*19.11,0)+IF(ISNUMBER(I4),I4*16.67,0))</f>
        <v/>
      </c>
      <c r="AQ4" s="53">
        <f>IF(E4="","",667.1)</f>
        <v/>
      </c>
      <c r="AR4" s="54">
        <f>IF(E4="","",IF(ISNUMBER(AM4),AM4,0)+IF(ISNUMBER(AN4),AN4,0)+IF(ISNUMBER(AO4),AO4,0)+IF(ISNUMBER(AP4),AP4,0)+IF(ISNUMBER(AQ4),AQ4,0))</f>
        <v/>
      </c>
      <c r="AS4" s="55">
        <f>IF(E4="","",MAX(E4-SUM(J4:S4),0)*41.5)</f>
        <v/>
      </c>
      <c r="AT4" s="55">
        <f>IF(E4="","",IF(ISNUMBER(J4),J4*39.14,0)+IF(ISNUMBER(K4),K4*12.23,0)+IF(ISNUMBER(L4),L4*12.15,0)+IF(ISNUMBER(M4),M4*7.62,0)+IF(ISNUMBER(N4),N4*10.21,0)+IF(ISNUMBER(O4),O4*6.15,0)+IF(ISNUMBER(P4),P4*12.24,0)+IF(ISNUMBER(Q4),Q4*39.14,0)+IF(ISNUMBER(R4),R4*39.14,0)+IF(ISNUMBER(S4),S4*40.31,0))</f>
        <v/>
      </c>
      <c r="AU4" s="56">
        <f>IF(E4="","",IF(ISNUMBER(AS4),AS4,0)+IF(ISNUMBER(AT4),AT4,0))</f>
        <v/>
      </c>
      <c r="AV4" s="55">
        <f>IF(F4="","",MAX(F4-SUM(T4:X4),0)*22.0+IF(ISNUMBER(T4),T4*19.69,0)+IF(ISNUMBER(U4),U4*16.74,0)+IF(ISNUMBER(V4),V4*20.28,0)+IF(ISNUMBER(W4),W4*19.69,0)+IF(ISNUMBER(X4),X4*19.69,0))</f>
        <v/>
      </c>
      <c r="AW4" s="55">
        <f>IF(G4="","",MAX(G4-SUM(Y4:AG4),0)*11.85+IF(ISNUMBER(Y4),Y4*11.84,0)+IF(ISNUMBER(Z4),Z4*14.34,0)+IF(ISNUMBER(AA4),AA4*16.93,0)+IF(ISNUMBER(AB4),AB4*19.52,0)+IF(ISNUMBER(AC4),AC4*22.35,0)+IF(ISNUMBER(AD4),AD4*13.92,0)+IF(ISNUMBER(AE4),AE4*21.55,0)+IF(ISNUMBER(AF4),AF4*13.92,0)+IF(ISNUMBER(AG4),AG4*13.92,0))</f>
        <v/>
      </c>
      <c r="AX4" s="55">
        <f>IF(AND(H4="",I4=""),"",65.0+IF(ISNUMBER(AH4),AH4*30.23,0)+IF(ISNUMBER(AI4),AI4*30.23,0)+IF(ISNUMBER(AJ4),AJ4*28.0,0))</f>
        <v/>
      </c>
      <c r="AY4" s="55">
        <f>IF(E4="","",953.0)</f>
        <v/>
      </c>
      <c r="AZ4" s="57">
        <f>IF(E4="","",IF(ISNUMBER(AU4),AU4,0)+IF(ISNUMBER(AV4),AV4,0)+IF(ISNUMBER(AW4),AW4,0)+IF(ISNUMBER(AX4),AX4,0)+IF(ISNUMBER(AY4),AY4,0))</f>
        <v/>
      </c>
      <c r="BA4" s="58">
        <f>IF(OR(E4="",AZ4=""),"",AZ4-AR4)</f>
        <v/>
      </c>
      <c r="BB4" s="59">
        <f>IF(OR(E4="",AZ4=0),"",BA4/AZ4)</f>
        <v/>
      </c>
      <c r="BC4" s="60" t="n"/>
    </row>
    <row r="5" ht="16" customHeight="1">
      <c r="A5" s="45" t="inlineStr">
        <is>
          <t>1/4/2026</t>
        </is>
      </c>
      <c r="B5" s="46" t="inlineStr">
        <is>
          <t>SK0930</t>
        </is>
      </c>
      <c r="C5" s="46" t="inlineStr">
        <is>
          <t>3333</t>
        </is>
      </c>
      <c r="D5" s="46" t="inlineStr">
        <is>
          <t>C1</t>
        </is>
      </c>
      <c r="E5" s="50" t="n"/>
      <c r="F5" s="50" t="n"/>
      <c r="G5" s="50" t="n"/>
      <c r="H5" s="50" t="n">
        <v>6</v>
      </c>
      <c r="I5" s="50" t="n">
        <v>2</v>
      </c>
      <c r="J5" s="48" t="n"/>
      <c r="K5" s="48" t="n"/>
      <c r="L5" s="48" t="n"/>
      <c r="M5" s="48" t="n"/>
      <c r="N5" s="48" t="n"/>
      <c r="O5" s="48" t="n"/>
      <c r="P5" s="48" t="n"/>
      <c r="Q5" s="48" t="n"/>
      <c r="R5" s="48" t="n"/>
      <c r="S5" s="48" t="n"/>
      <c r="T5" s="49" t="n"/>
      <c r="U5" s="49" t="n"/>
      <c r="V5" s="49" t="n"/>
      <c r="W5" s="49" t="n"/>
      <c r="X5" s="49" t="n"/>
      <c r="Y5" s="47" t="n"/>
      <c r="Z5" s="47" t="n"/>
      <c r="AA5" s="47" t="n"/>
      <c r="AB5" s="47" t="n"/>
      <c r="AC5" s="47" t="n"/>
      <c r="AD5" s="47" t="n"/>
      <c r="AE5" s="47" t="n"/>
      <c r="AF5" s="47" t="n"/>
      <c r="AG5" s="47" t="n"/>
      <c r="AH5" s="50" t="n"/>
      <c r="AI5" s="50" t="n"/>
      <c r="AJ5" s="50" t="n"/>
      <c r="AK5" s="51" t="inlineStr"/>
      <c r="AL5" s="52" t="n"/>
      <c r="AM5" s="53">
        <f>IF(E5="","",E5*29.72)</f>
        <v/>
      </c>
      <c r="AN5" s="53">
        <f>IF(F5="","",F5*17.11)</f>
        <v/>
      </c>
      <c r="AO5" s="53">
        <f>IF(G5="","",G5*8.37)</f>
        <v/>
      </c>
      <c r="AP5" s="53">
        <f>IF(AND(H5="",I5=""),"",IF(ISNUMBER(H5),H5*19.11,0)+IF(ISNUMBER(I5),I5*16.67,0))</f>
        <v/>
      </c>
      <c r="AQ5" s="53">
        <f>IF(E5="","",667.1)</f>
        <v/>
      </c>
      <c r="AR5" s="54">
        <f>IF(E5="","",IF(ISNUMBER(AM5),AM5,0)+IF(ISNUMBER(AN5),AN5,0)+IF(ISNUMBER(AO5),AO5,0)+IF(ISNUMBER(AP5),AP5,0)+IF(ISNUMBER(AQ5),AQ5,0))</f>
        <v/>
      </c>
      <c r="AS5" s="55">
        <f>IF(E5="","",MAX(E5-SUM(J5:S5),0)*41.5)</f>
        <v/>
      </c>
      <c r="AT5" s="55">
        <f>IF(E5="","",IF(ISNUMBER(J5),J5*39.14,0)+IF(ISNUMBER(K5),K5*12.23,0)+IF(ISNUMBER(L5),L5*12.15,0)+IF(ISNUMBER(M5),M5*7.62,0)+IF(ISNUMBER(N5),N5*10.21,0)+IF(ISNUMBER(O5),O5*6.15,0)+IF(ISNUMBER(P5),P5*12.24,0)+IF(ISNUMBER(Q5),Q5*39.14,0)+IF(ISNUMBER(R5),R5*39.14,0)+IF(ISNUMBER(S5),S5*40.31,0))</f>
        <v/>
      </c>
      <c r="AU5" s="56">
        <f>IF(E5="","",IF(ISNUMBER(AS5),AS5,0)+IF(ISNUMBER(AT5),AT5,0))</f>
        <v/>
      </c>
      <c r="AV5" s="55">
        <f>IF(F5="","",MAX(F5-SUM(T5:X5),0)*22.0+IF(ISNUMBER(T5),T5*19.69,0)+IF(ISNUMBER(U5),U5*16.74,0)+IF(ISNUMBER(V5),V5*20.28,0)+IF(ISNUMBER(W5),W5*19.69,0)+IF(ISNUMBER(X5),X5*19.69,0))</f>
        <v/>
      </c>
      <c r="AW5" s="55">
        <f>IF(G5="","",MAX(G5-SUM(Y5:AG5),0)*11.85+IF(ISNUMBER(Y5),Y5*11.84,0)+IF(ISNUMBER(Z5),Z5*14.34,0)+IF(ISNUMBER(AA5),AA5*16.93,0)+IF(ISNUMBER(AB5),AB5*19.52,0)+IF(ISNUMBER(AC5),AC5*22.35,0)+IF(ISNUMBER(AD5),AD5*13.92,0)+IF(ISNUMBER(AE5),AE5*21.55,0)+IF(ISNUMBER(AF5),AF5*13.92,0)+IF(ISNUMBER(AG5),AG5*13.92,0))</f>
        <v/>
      </c>
      <c r="AX5" s="55">
        <f>IF(AND(H5="",I5=""),"",65.0+IF(ISNUMBER(AH5),AH5*30.23,0)+IF(ISNUMBER(AI5),AI5*30.23,0)+IF(ISNUMBER(AJ5),AJ5*28.0,0))</f>
        <v/>
      </c>
      <c r="AY5" s="55">
        <f>IF(E5="","",953.0)</f>
        <v/>
      </c>
      <c r="AZ5" s="57">
        <f>IF(E5="","",IF(ISNUMBER(AU5),AU5,0)+IF(ISNUMBER(AV5),AV5,0)+IF(ISNUMBER(AW5),AW5,0)+IF(ISNUMBER(AX5),AX5,0)+IF(ISNUMBER(AY5),AY5,0))</f>
        <v/>
      </c>
      <c r="BA5" s="58">
        <f>IF(OR(E5="",AZ5=""),"",AZ5-AR5)</f>
        <v/>
      </c>
      <c r="BB5" s="59">
        <f>IF(OR(E5="",AZ5=0),"",BA5/AZ5)</f>
        <v/>
      </c>
      <c r="BC5" s="60" t="n"/>
    </row>
    <row r="6" ht="16" customHeight="1">
      <c r="A6" s="45" t="inlineStr">
        <is>
          <t>1/9/2026</t>
        </is>
      </c>
      <c r="B6" s="46" t="inlineStr">
        <is>
          <t>SK0930</t>
        </is>
      </c>
      <c r="C6" s="46" t="inlineStr">
        <is>
          <t>3333</t>
        </is>
      </c>
      <c r="D6" s="46" t="inlineStr">
        <is>
          <t>C1</t>
        </is>
      </c>
      <c r="E6" s="50" t="n"/>
      <c r="F6" s="50" t="n"/>
      <c r="G6" s="50" t="n"/>
      <c r="H6" s="50" t="n">
        <v>6</v>
      </c>
      <c r="I6" s="50" t="n">
        <v>2</v>
      </c>
      <c r="J6" s="48" t="n"/>
      <c r="K6" s="48" t="n"/>
      <c r="L6" s="48" t="n"/>
      <c r="M6" s="48" t="n"/>
      <c r="N6" s="48" t="n"/>
      <c r="O6" s="48" t="n"/>
      <c r="P6" s="48" t="n"/>
      <c r="Q6" s="48" t="n"/>
      <c r="R6" s="48" t="n"/>
      <c r="S6" s="48" t="n"/>
      <c r="T6" s="49" t="n"/>
      <c r="U6" s="49" t="n"/>
      <c r="V6" s="49" t="n"/>
      <c r="W6" s="49" t="n"/>
      <c r="X6" s="49" t="n"/>
      <c r="Y6" s="47" t="n"/>
      <c r="Z6" s="47" t="n"/>
      <c r="AA6" s="47" t="n"/>
      <c r="AB6" s="47" t="n"/>
      <c r="AC6" s="47" t="n"/>
      <c r="AD6" s="47" t="n"/>
      <c r="AE6" s="47" t="n"/>
      <c r="AF6" s="47" t="n"/>
      <c r="AG6" s="47" t="n"/>
      <c r="AH6" s="50" t="n"/>
      <c r="AI6" s="50" t="n"/>
      <c r="AJ6" s="50" t="n"/>
      <c r="AK6" s="51" t="inlineStr"/>
      <c r="AL6" s="52" t="n"/>
      <c r="AM6" s="53">
        <f>IF(E6="","",E6*29.72)</f>
        <v/>
      </c>
      <c r="AN6" s="53">
        <f>IF(F6="","",F6*17.11)</f>
        <v/>
      </c>
      <c r="AO6" s="53">
        <f>IF(G6="","",G6*8.37)</f>
        <v/>
      </c>
      <c r="AP6" s="53">
        <f>IF(AND(H6="",I6=""),"",IF(ISNUMBER(H6),H6*19.11,0)+IF(ISNUMBER(I6),I6*16.67,0))</f>
        <v/>
      </c>
      <c r="AQ6" s="53">
        <f>IF(E6="","",667.1)</f>
        <v/>
      </c>
      <c r="AR6" s="54">
        <f>IF(E6="","",IF(ISNUMBER(AM6),AM6,0)+IF(ISNUMBER(AN6),AN6,0)+IF(ISNUMBER(AO6),AO6,0)+IF(ISNUMBER(AP6),AP6,0)+IF(ISNUMBER(AQ6),AQ6,0))</f>
        <v/>
      </c>
      <c r="AS6" s="55">
        <f>IF(E6="","",MAX(E6-SUM(J6:S6),0)*41.5)</f>
        <v/>
      </c>
      <c r="AT6" s="55">
        <f>IF(E6="","",IF(ISNUMBER(J6),J6*39.14,0)+IF(ISNUMBER(K6),K6*12.23,0)+IF(ISNUMBER(L6),L6*12.15,0)+IF(ISNUMBER(M6),M6*7.62,0)+IF(ISNUMBER(N6),N6*10.21,0)+IF(ISNUMBER(O6),O6*6.15,0)+IF(ISNUMBER(P6),P6*12.24,0)+IF(ISNUMBER(Q6),Q6*39.14,0)+IF(ISNUMBER(R6),R6*39.14,0)+IF(ISNUMBER(S6),S6*40.31,0))</f>
        <v/>
      </c>
      <c r="AU6" s="56">
        <f>IF(E6="","",IF(ISNUMBER(AS6),AS6,0)+IF(ISNUMBER(AT6),AT6,0))</f>
        <v/>
      </c>
      <c r="AV6" s="55">
        <f>IF(F6="","",MAX(F6-SUM(T6:X6),0)*22.0+IF(ISNUMBER(T6),T6*19.69,0)+IF(ISNUMBER(U6),U6*16.74,0)+IF(ISNUMBER(V6),V6*20.28,0)+IF(ISNUMBER(W6),W6*19.69,0)+IF(ISNUMBER(X6),X6*19.69,0))</f>
        <v/>
      </c>
      <c r="AW6" s="55">
        <f>IF(G6="","",MAX(G6-SUM(Y6:AG6),0)*11.85+IF(ISNUMBER(Y6),Y6*11.84,0)+IF(ISNUMBER(Z6),Z6*14.34,0)+IF(ISNUMBER(AA6),AA6*16.93,0)+IF(ISNUMBER(AB6),AB6*19.52,0)+IF(ISNUMBER(AC6),AC6*22.35,0)+IF(ISNUMBER(AD6),AD6*13.92,0)+IF(ISNUMBER(AE6),AE6*21.55,0)+IF(ISNUMBER(AF6),AF6*13.92,0)+IF(ISNUMBER(AG6),AG6*13.92,0))</f>
        <v/>
      </c>
      <c r="AX6" s="55">
        <f>IF(AND(H6="",I6=""),"",65.0+IF(ISNUMBER(AH6),AH6*30.23,0)+IF(ISNUMBER(AI6),AI6*30.23,0)+IF(ISNUMBER(AJ6),AJ6*28.0,0))</f>
        <v/>
      </c>
      <c r="AY6" s="55">
        <f>IF(E6="","",953.0)</f>
        <v/>
      </c>
      <c r="AZ6" s="57">
        <f>IF(E6="","",IF(ISNUMBER(AU6),AU6,0)+IF(ISNUMBER(AV6),AV6,0)+IF(ISNUMBER(AW6),AW6,0)+IF(ISNUMBER(AX6),AX6,0)+IF(ISNUMBER(AY6),AY6,0))</f>
        <v/>
      </c>
      <c r="BA6" s="58">
        <f>IF(OR(E6="",AZ6=""),"",AZ6-AR6)</f>
        <v/>
      </c>
      <c r="BB6" s="59">
        <f>IF(OR(E6="",AZ6=0),"",BA6/AZ6)</f>
        <v/>
      </c>
      <c r="BC6" s="60" t="n"/>
    </row>
    <row r="7" ht="16" customHeight="1">
      <c r="A7" s="45" t="inlineStr">
        <is>
          <t>1/10/2026</t>
        </is>
      </c>
      <c r="B7" s="46" t="inlineStr">
        <is>
          <t>SK0930</t>
        </is>
      </c>
      <c r="C7" s="46" t="inlineStr">
        <is>
          <t>3333</t>
        </is>
      </c>
      <c r="D7" s="46" t="inlineStr">
        <is>
          <t>C1</t>
        </is>
      </c>
      <c r="E7" s="50" t="n"/>
      <c r="F7" s="50" t="n"/>
      <c r="G7" s="50" t="n"/>
      <c r="H7" s="50" t="n">
        <v>6</v>
      </c>
      <c r="I7" s="50" t="n">
        <v>2</v>
      </c>
      <c r="J7" s="48" t="n"/>
      <c r="K7" s="48" t="n"/>
      <c r="L7" s="48" t="n"/>
      <c r="M7" s="48" t="n"/>
      <c r="N7" s="48" t="n"/>
      <c r="O7" s="48" t="n"/>
      <c r="P7" s="48" t="n"/>
      <c r="Q7" s="48" t="n"/>
      <c r="R7" s="48" t="n"/>
      <c r="S7" s="48" t="n"/>
      <c r="T7" s="49" t="n"/>
      <c r="U7" s="49" t="n"/>
      <c r="V7" s="49" t="n"/>
      <c r="W7" s="49" t="n"/>
      <c r="X7" s="49" t="n"/>
      <c r="Y7" s="47" t="n"/>
      <c r="Z7" s="47" t="n"/>
      <c r="AA7" s="47" t="n"/>
      <c r="AB7" s="47" t="n"/>
      <c r="AC7" s="47" t="n"/>
      <c r="AD7" s="47" t="n"/>
      <c r="AE7" s="47" t="n"/>
      <c r="AF7" s="47" t="n"/>
      <c r="AG7" s="47" t="n"/>
      <c r="AH7" s="50" t="n"/>
      <c r="AI7" s="50" t="n"/>
      <c r="AJ7" s="50" t="n"/>
      <c r="AK7" s="51" t="inlineStr"/>
      <c r="AL7" s="52" t="n"/>
      <c r="AM7" s="53">
        <f>IF(E7="","",E7*29.72)</f>
        <v/>
      </c>
      <c r="AN7" s="53">
        <f>IF(F7="","",F7*17.11)</f>
        <v/>
      </c>
      <c r="AO7" s="53">
        <f>IF(G7="","",G7*8.37)</f>
        <v/>
      </c>
      <c r="AP7" s="53">
        <f>IF(AND(H7="",I7=""),"",IF(ISNUMBER(H7),H7*19.11,0)+IF(ISNUMBER(I7),I7*16.67,0))</f>
        <v/>
      </c>
      <c r="AQ7" s="53">
        <f>IF(E7="","",667.1)</f>
        <v/>
      </c>
      <c r="AR7" s="54">
        <f>IF(E7="","",IF(ISNUMBER(AM7),AM7,0)+IF(ISNUMBER(AN7),AN7,0)+IF(ISNUMBER(AO7),AO7,0)+IF(ISNUMBER(AP7),AP7,0)+IF(ISNUMBER(AQ7),AQ7,0))</f>
        <v/>
      </c>
      <c r="AS7" s="55">
        <f>IF(E7="","",MAX(E7-SUM(J7:S7),0)*41.5)</f>
        <v/>
      </c>
      <c r="AT7" s="55">
        <f>IF(E7="","",IF(ISNUMBER(J7),J7*39.14,0)+IF(ISNUMBER(K7),K7*12.23,0)+IF(ISNUMBER(L7),L7*12.15,0)+IF(ISNUMBER(M7),M7*7.62,0)+IF(ISNUMBER(N7),N7*10.21,0)+IF(ISNUMBER(O7),O7*6.15,0)+IF(ISNUMBER(P7),P7*12.24,0)+IF(ISNUMBER(Q7),Q7*39.14,0)+IF(ISNUMBER(R7),R7*39.14,0)+IF(ISNUMBER(S7),S7*40.31,0))</f>
        <v/>
      </c>
      <c r="AU7" s="56">
        <f>IF(E7="","",IF(ISNUMBER(AS7),AS7,0)+IF(ISNUMBER(AT7),AT7,0))</f>
        <v/>
      </c>
      <c r="AV7" s="55">
        <f>IF(F7="","",MAX(F7-SUM(T7:X7),0)*22.0+IF(ISNUMBER(T7),T7*19.69,0)+IF(ISNUMBER(U7),U7*16.74,0)+IF(ISNUMBER(V7),V7*20.28,0)+IF(ISNUMBER(W7),W7*19.69,0)+IF(ISNUMBER(X7),X7*19.69,0))</f>
        <v/>
      </c>
      <c r="AW7" s="55">
        <f>IF(G7="","",MAX(G7-SUM(Y7:AG7),0)*11.85+IF(ISNUMBER(Y7),Y7*11.84,0)+IF(ISNUMBER(Z7),Z7*14.34,0)+IF(ISNUMBER(AA7),AA7*16.93,0)+IF(ISNUMBER(AB7),AB7*19.52,0)+IF(ISNUMBER(AC7),AC7*22.35,0)+IF(ISNUMBER(AD7),AD7*13.92,0)+IF(ISNUMBER(AE7),AE7*21.55,0)+IF(ISNUMBER(AF7),AF7*13.92,0)+IF(ISNUMBER(AG7),AG7*13.92,0))</f>
        <v/>
      </c>
      <c r="AX7" s="55">
        <f>IF(AND(H7="",I7=""),"",65.0+IF(ISNUMBER(AH7),AH7*30.23,0)+IF(ISNUMBER(AI7),AI7*30.23,0)+IF(ISNUMBER(AJ7),AJ7*28.0,0))</f>
        <v/>
      </c>
      <c r="AY7" s="55">
        <f>IF(E7="","",953.0)</f>
        <v/>
      </c>
      <c r="AZ7" s="57">
        <f>IF(E7="","",IF(ISNUMBER(AU7),AU7,0)+IF(ISNUMBER(AV7),AV7,0)+IF(ISNUMBER(AW7),AW7,0)+IF(ISNUMBER(AX7),AX7,0)+IF(ISNUMBER(AY7),AY7,0))</f>
        <v/>
      </c>
      <c r="BA7" s="58">
        <f>IF(OR(E7="",AZ7=""),"",AZ7-AR7)</f>
        <v/>
      </c>
      <c r="BB7" s="59">
        <f>IF(OR(E7="",AZ7=0),"",BA7/AZ7)</f>
        <v/>
      </c>
      <c r="BC7" s="60" t="n"/>
    </row>
    <row r="8" ht="16" customHeight="1">
      <c r="A8" s="45" t="inlineStr">
        <is>
          <t>1/12/2026</t>
        </is>
      </c>
      <c r="B8" s="46" t="inlineStr">
        <is>
          <t>SK0930</t>
        </is>
      </c>
      <c r="C8" s="46" t="inlineStr">
        <is>
          <t>3333</t>
        </is>
      </c>
      <c r="D8" s="46" t="inlineStr">
        <is>
          <t>C1</t>
        </is>
      </c>
      <c r="E8" s="47" t="n">
        <v>27</v>
      </c>
      <c r="F8" s="47" t="n">
        <v>23</v>
      </c>
      <c r="G8" s="47" t="n">
        <v>120</v>
      </c>
      <c r="H8" s="47" t="n">
        <v>6</v>
      </c>
      <c r="I8" s="47" t="n">
        <v>2</v>
      </c>
      <c r="J8" s="48" t="n"/>
      <c r="K8" s="48" t="n"/>
      <c r="L8" s="48" t="n"/>
      <c r="M8" s="48" t="n"/>
      <c r="N8" s="48" t="n"/>
      <c r="O8" s="48" t="n"/>
      <c r="P8" s="48" t="n"/>
      <c r="Q8" s="48" t="n"/>
      <c r="R8" s="48" t="n"/>
      <c r="S8" s="48" t="n"/>
      <c r="T8" s="49" t="n"/>
      <c r="U8" s="49" t="n"/>
      <c r="V8" s="49" t="n"/>
      <c r="W8" s="49" t="n"/>
      <c r="X8" s="49" t="n"/>
      <c r="Y8" s="47" t="n"/>
      <c r="Z8" s="47" t="n"/>
      <c r="AA8" s="47" t="n"/>
      <c r="AB8" s="47" t="n"/>
      <c r="AC8" s="47" t="n"/>
      <c r="AD8" s="47" t="n"/>
      <c r="AE8" s="47" t="n"/>
      <c r="AF8" s="47" t="n"/>
      <c r="AG8" s="47" t="n"/>
      <c r="AH8" s="50" t="n"/>
      <c r="AI8" s="50" t="n"/>
      <c r="AJ8" s="50" t="n"/>
      <c r="AK8" s="51" t="inlineStr"/>
      <c r="AL8" s="52" t="n"/>
      <c r="AM8" s="53">
        <f>IF(E8="","",E8*29.72)</f>
        <v/>
      </c>
      <c r="AN8" s="53">
        <f>IF(F8="","",F8*17.11)</f>
        <v/>
      </c>
      <c r="AO8" s="53">
        <f>IF(G8="","",G8*8.37)</f>
        <v/>
      </c>
      <c r="AP8" s="53">
        <f>IF(AND(H8="",I8=""),"",IF(ISNUMBER(H8),H8*19.11,0)+IF(ISNUMBER(I8),I8*16.67,0))</f>
        <v/>
      </c>
      <c r="AQ8" s="53">
        <f>IF(E8="","",667.1)</f>
        <v/>
      </c>
      <c r="AR8" s="54">
        <f>IF(E8="","",IF(ISNUMBER(AM8),AM8,0)+IF(ISNUMBER(AN8),AN8,0)+IF(ISNUMBER(AO8),AO8,0)+IF(ISNUMBER(AP8),AP8,0)+IF(ISNUMBER(AQ8),AQ8,0))</f>
        <v/>
      </c>
      <c r="AS8" s="55">
        <f>IF(E8="","",MAX(E8-SUM(J8:S8),0)*41.5)</f>
        <v/>
      </c>
      <c r="AT8" s="55">
        <f>IF(E8="","",IF(ISNUMBER(J8),J8*39.14,0)+IF(ISNUMBER(K8),K8*12.23,0)+IF(ISNUMBER(L8),L8*12.15,0)+IF(ISNUMBER(M8),M8*7.62,0)+IF(ISNUMBER(N8),N8*10.21,0)+IF(ISNUMBER(O8),O8*6.15,0)+IF(ISNUMBER(P8),P8*12.24,0)+IF(ISNUMBER(Q8),Q8*39.14,0)+IF(ISNUMBER(R8),R8*39.14,0)+IF(ISNUMBER(S8),S8*40.31,0))</f>
        <v/>
      </c>
      <c r="AU8" s="56">
        <f>IF(E8="","",IF(ISNUMBER(AS8),AS8,0)+IF(ISNUMBER(AT8),AT8,0))</f>
        <v/>
      </c>
      <c r="AV8" s="55">
        <f>IF(F8="","",MAX(F8-SUM(T8:X8),0)*22.0+IF(ISNUMBER(T8),T8*19.69,0)+IF(ISNUMBER(U8),U8*16.74,0)+IF(ISNUMBER(V8),V8*20.28,0)+IF(ISNUMBER(W8),W8*19.69,0)+IF(ISNUMBER(X8),X8*19.69,0))</f>
        <v/>
      </c>
      <c r="AW8" s="55">
        <f>IF(G8="","",MAX(G8-SUM(Y8:AG8),0)*11.85+IF(ISNUMBER(Y8),Y8*11.84,0)+IF(ISNUMBER(Z8),Z8*14.34,0)+IF(ISNUMBER(AA8),AA8*16.93,0)+IF(ISNUMBER(AB8),AB8*19.52,0)+IF(ISNUMBER(AC8),AC8*22.35,0)+IF(ISNUMBER(AD8),AD8*13.92,0)+IF(ISNUMBER(AE8),AE8*21.55,0)+IF(ISNUMBER(AF8),AF8*13.92,0)+IF(ISNUMBER(AG8),AG8*13.92,0))</f>
        <v/>
      </c>
      <c r="AX8" s="55">
        <f>IF(AND(H8="",I8=""),"",65.0+IF(ISNUMBER(AH8),AH8*30.23,0)+IF(ISNUMBER(AI8),AI8*30.23,0)+IF(ISNUMBER(AJ8),AJ8*28.0,0))</f>
        <v/>
      </c>
      <c r="AY8" s="55">
        <f>IF(E8="","",953.0)</f>
        <v/>
      </c>
      <c r="AZ8" s="57">
        <f>IF(E8="","",IF(ISNUMBER(AU8),AU8,0)+IF(ISNUMBER(AV8),AV8,0)+IF(ISNUMBER(AW8),AW8,0)+IF(ISNUMBER(AX8),AX8,0)+IF(ISNUMBER(AY8),AY8,0))</f>
        <v/>
      </c>
      <c r="BA8" s="58">
        <f>IF(OR(E8="",AZ8=""),"",AZ8-AR8)</f>
        <v/>
      </c>
      <c r="BB8" s="59">
        <f>IF(OR(E8="",AZ8=0),"",BA8/AZ8)</f>
        <v/>
      </c>
      <c r="BC8" s="60" t="n"/>
    </row>
    <row r="9" ht="16" customHeight="1">
      <c r="A9" s="45" t="inlineStr">
        <is>
          <t>1/15/2026</t>
        </is>
      </c>
      <c r="B9" s="46" t="inlineStr">
        <is>
          <t>SK0930</t>
        </is>
      </c>
      <c r="C9" s="46" t="inlineStr">
        <is>
          <t>3333</t>
        </is>
      </c>
      <c r="D9" s="46" t="inlineStr">
        <is>
          <t>C1</t>
        </is>
      </c>
      <c r="E9" s="47" t="n">
        <v>32</v>
      </c>
      <c r="F9" s="47" t="n">
        <v>42</v>
      </c>
      <c r="G9" s="47" t="n">
        <v>165</v>
      </c>
      <c r="H9" s="47" t="n">
        <v>6</v>
      </c>
      <c r="I9" s="47" t="n">
        <v>2</v>
      </c>
      <c r="J9" s="48" t="n"/>
      <c r="K9" s="48" t="n"/>
      <c r="L9" s="48" t="n"/>
      <c r="M9" s="48" t="n"/>
      <c r="N9" s="48" t="n"/>
      <c r="O9" s="48" t="n"/>
      <c r="P9" s="48" t="n"/>
      <c r="Q9" s="48" t="n"/>
      <c r="R9" s="48" t="n"/>
      <c r="S9" s="48" t="n"/>
      <c r="T9" s="49" t="n"/>
      <c r="U9" s="49" t="n"/>
      <c r="V9" s="49" t="n"/>
      <c r="W9" s="49" t="n"/>
      <c r="X9" s="49" t="n"/>
      <c r="Y9" s="47" t="n"/>
      <c r="Z9" s="47" t="n"/>
      <c r="AA9" s="47" t="n"/>
      <c r="AB9" s="47" t="n"/>
      <c r="AC9" s="47" t="n"/>
      <c r="AD9" s="47" t="n"/>
      <c r="AE9" s="47" t="n"/>
      <c r="AF9" s="47" t="n"/>
      <c r="AG9" s="47" t="n"/>
      <c r="AH9" s="50" t="n"/>
      <c r="AI9" s="50" t="n"/>
      <c r="AJ9" s="50" t="n"/>
      <c r="AK9" s="51" t="inlineStr"/>
      <c r="AL9" s="52" t="n"/>
      <c r="AM9" s="53">
        <f>IF(E9="","",E9*29.72)</f>
        <v/>
      </c>
      <c r="AN9" s="53">
        <f>IF(F9="","",F9*17.11)</f>
        <v/>
      </c>
      <c r="AO9" s="53">
        <f>IF(G9="","",G9*8.37)</f>
        <v/>
      </c>
      <c r="AP9" s="53">
        <f>IF(AND(H9="",I9=""),"",IF(ISNUMBER(H9),H9*19.11,0)+IF(ISNUMBER(I9),I9*16.67,0))</f>
        <v/>
      </c>
      <c r="AQ9" s="53">
        <f>IF(E9="","",667.1)</f>
        <v/>
      </c>
      <c r="AR9" s="54">
        <f>IF(E9="","",IF(ISNUMBER(AM9),AM9,0)+IF(ISNUMBER(AN9),AN9,0)+IF(ISNUMBER(AO9),AO9,0)+IF(ISNUMBER(AP9),AP9,0)+IF(ISNUMBER(AQ9),AQ9,0))</f>
        <v/>
      </c>
      <c r="AS9" s="55">
        <f>IF(E9="","",MAX(E9-SUM(J9:S9),0)*41.5)</f>
        <v/>
      </c>
      <c r="AT9" s="55">
        <f>IF(E9="","",IF(ISNUMBER(J9),J9*39.14,0)+IF(ISNUMBER(K9),K9*12.23,0)+IF(ISNUMBER(L9),L9*12.15,0)+IF(ISNUMBER(M9),M9*7.62,0)+IF(ISNUMBER(N9),N9*10.21,0)+IF(ISNUMBER(O9),O9*6.15,0)+IF(ISNUMBER(P9),P9*12.24,0)+IF(ISNUMBER(Q9),Q9*39.14,0)+IF(ISNUMBER(R9),R9*39.14,0)+IF(ISNUMBER(S9),S9*40.31,0))</f>
        <v/>
      </c>
      <c r="AU9" s="56">
        <f>IF(E9="","",IF(ISNUMBER(AS9),AS9,0)+IF(ISNUMBER(AT9),AT9,0))</f>
        <v/>
      </c>
      <c r="AV9" s="55">
        <f>IF(F9="","",MAX(F9-SUM(T9:X9),0)*22.0+IF(ISNUMBER(T9),T9*19.69,0)+IF(ISNUMBER(U9),U9*16.74,0)+IF(ISNUMBER(V9),V9*20.28,0)+IF(ISNUMBER(W9),W9*19.69,0)+IF(ISNUMBER(X9),X9*19.69,0))</f>
        <v/>
      </c>
      <c r="AW9" s="55">
        <f>IF(G9="","",MAX(G9-SUM(Y9:AG9),0)*11.85+IF(ISNUMBER(Y9),Y9*11.84,0)+IF(ISNUMBER(Z9),Z9*14.34,0)+IF(ISNUMBER(AA9),AA9*16.93,0)+IF(ISNUMBER(AB9),AB9*19.52,0)+IF(ISNUMBER(AC9),AC9*22.35,0)+IF(ISNUMBER(AD9),AD9*13.92,0)+IF(ISNUMBER(AE9),AE9*21.55,0)+IF(ISNUMBER(AF9),AF9*13.92,0)+IF(ISNUMBER(AG9),AG9*13.92,0))</f>
        <v/>
      </c>
      <c r="AX9" s="55">
        <f>IF(AND(H9="",I9=""),"",65.0+IF(ISNUMBER(AH9),AH9*30.23,0)+IF(ISNUMBER(AI9),AI9*30.23,0)+IF(ISNUMBER(AJ9),AJ9*28.0,0))</f>
        <v/>
      </c>
      <c r="AY9" s="55">
        <f>IF(E9="","",953.0)</f>
        <v/>
      </c>
      <c r="AZ9" s="57">
        <f>IF(E9="","",IF(ISNUMBER(AU9),AU9,0)+IF(ISNUMBER(AV9),AV9,0)+IF(ISNUMBER(AW9),AW9,0)+IF(ISNUMBER(AX9),AX9,0)+IF(ISNUMBER(AY9),AY9,0))</f>
        <v/>
      </c>
      <c r="BA9" s="58">
        <f>IF(OR(E9="",AZ9=""),"",AZ9-AR9)</f>
        <v/>
      </c>
      <c r="BB9" s="59">
        <f>IF(OR(E9="",AZ9=0),"",BA9/AZ9)</f>
        <v/>
      </c>
      <c r="BC9" s="60" t="n"/>
    </row>
    <row r="10" ht="16" customHeight="1">
      <c r="A10" s="45" t="inlineStr">
        <is>
          <t>1/15/2026</t>
        </is>
      </c>
      <c r="B10" s="46" t="inlineStr">
        <is>
          <t>SK0930</t>
        </is>
      </c>
      <c r="C10" s="46" t="inlineStr">
        <is>
          <t>3333</t>
        </is>
      </c>
      <c r="D10" s="46" t="inlineStr">
        <is>
          <t>C1</t>
        </is>
      </c>
      <c r="E10" s="47" t="n">
        <v>32</v>
      </c>
      <c r="F10" s="47" t="n">
        <v>56</v>
      </c>
      <c r="G10" s="47" t="n">
        <v>168</v>
      </c>
      <c r="H10" s="47" t="n">
        <v>6</v>
      </c>
      <c r="I10" s="47" t="n">
        <v>2</v>
      </c>
      <c r="J10" s="48" t="n"/>
      <c r="K10" s="48" t="n"/>
      <c r="L10" s="48" t="n"/>
      <c r="M10" s="48" t="n"/>
      <c r="N10" s="48" t="n"/>
      <c r="O10" s="48" t="n"/>
      <c r="P10" s="48" t="n"/>
      <c r="Q10" s="48" t="n"/>
      <c r="R10" s="48" t="n"/>
      <c r="S10" s="48" t="n"/>
      <c r="T10" s="49" t="n"/>
      <c r="U10" s="49" t="n"/>
      <c r="V10" s="49" t="n"/>
      <c r="W10" s="49" t="n"/>
      <c r="X10" s="49" t="n"/>
      <c r="Y10" s="47" t="n"/>
      <c r="Z10" s="47" t="n"/>
      <c r="AA10" s="47" t="n"/>
      <c r="AB10" s="47" t="n"/>
      <c r="AC10" s="47" t="n"/>
      <c r="AD10" s="47" t="n"/>
      <c r="AE10" s="47" t="n"/>
      <c r="AF10" s="47" t="n"/>
      <c r="AG10" s="47" t="n"/>
      <c r="AH10" s="50" t="n"/>
      <c r="AI10" s="50" t="n"/>
      <c r="AJ10" s="50" t="n"/>
      <c r="AK10" s="51" t="inlineStr"/>
      <c r="AL10" s="52" t="n"/>
      <c r="AM10" s="53">
        <f>IF(E10="","",E10*29.72)</f>
        <v/>
      </c>
      <c r="AN10" s="53">
        <f>IF(F10="","",F10*17.11)</f>
        <v/>
      </c>
      <c r="AO10" s="53">
        <f>IF(G10="","",G10*8.37)</f>
        <v/>
      </c>
      <c r="AP10" s="53">
        <f>IF(AND(H10="",I10=""),"",IF(ISNUMBER(H10),H10*19.11,0)+IF(ISNUMBER(I10),I10*16.67,0))</f>
        <v/>
      </c>
      <c r="AQ10" s="53">
        <f>IF(E10="","",667.1)</f>
        <v/>
      </c>
      <c r="AR10" s="54">
        <f>IF(E10="","",IF(ISNUMBER(AM10),AM10,0)+IF(ISNUMBER(AN10),AN10,0)+IF(ISNUMBER(AO10),AO10,0)+IF(ISNUMBER(AP10),AP10,0)+IF(ISNUMBER(AQ10),AQ10,0))</f>
        <v/>
      </c>
      <c r="AS10" s="55">
        <f>IF(E10="","",MAX(E10-SUM(J10:S10),0)*41.5)</f>
        <v/>
      </c>
      <c r="AT10" s="55">
        <f>IF(E10="","",IF(ISNUMBER(J10),J10*39.14,0)+IF(ISNUMBER(K10),K10*12.23,0)+IF(ISNUMBER(L10),L10*12.15,0)+IF(ISNUMBER(M10),M10*7.62,0)+IF(ISNUMBER(N10),N10*10.21,0)+IF(ISNUMBER(O10),O10*6.15,0)+IF(ISNUMBER(P10),P10*12.24,0)+IF(ISNUMBER(Q10),Q10*39.14,0)+IF(ISNUMBER(R10),R10*39.14,0)+IF(ISNUMBER(S10),S10*40.31,0))</f>
        <v/>
      </c>
      <c r="AU10" s="56">
        <f>IF(E10="","",IF(ISNUMBER(AS10),AS10,0)+IF(ISNUMBER(AT10),AT10,0))</f>
        <v/>
      </c>
      <c r="AV10" s="55">
        <f>IF(F10="","",MAX(F10-SUM(T10:X10),0)*22.0+IF(ISNUMBER(T10),T10*19.69,0)+IF(ISNUMBER(U10),U10*16.74,0)+IF(ISNUMBER(V10),V10*20.28,0)+IF(ISNUMBER(W10),W10*19.69,0)+IF(ISNUMBER(X10),X10*19.69,0))</f>
        <v/>
      </c>
      <c r="AW10" s="55">
        <f>IF(G10="","",MAX(G10-SUM(Y10:AG10),0)*11.85+IF(ISNUMBER(Y10),Y10*11.84,0)+IF(ISNUMBER(Z10),Z10*14.34,0)+IF(ISNUMBER(AA10),AA10*16.93,0)+IF(ISNUMBER(AB10),AB10*19.52,0)+IF(ISNUMBER(AC10),AC10*22.35,0)+IF(ISNUMBER(AD10),AD10*13.92,0)+IF(ISNUMBER(AE10),AE10*21.55,0)+IF(ISNUMBER(AF10),AF10*13.92,0)+IF(ISNUMBER(AG10),AG10*13.92,0))</f>
        <v/>
      </c>
      <c r="AX10" s="55">
        <f>IF(AND(H10="",I10=""),"",65.0+IF(ISNUMBER(AH10),AH10*30.23,0)+IF(ISNUMBER(AI10),AI10*30.23,0)+IF(ISNUMBER(AJ10),AJ10*28.0,0))</f>
        <v/>
      </c>
      <c r="AY10" s="55">
        <f>IF(E10="","",953.0)</f>
        <v/>
      </c>
      <c r="AZ10" s="57">
        <f>IF(E10="","",IF(ISNUMBER(AU10),AU10,0)+IF(ISNUMBER(AV10),AV10,0)+IF(ISNUMBER(AW10),AW10,0)+IF(ISNUMBER(AX10),AX10,0)+IF(ISNUMBER(AY10),AY10,0))</f>
        <v/>
      </c>
      <c r="BA10" s="58">
        <f>IF(OR(E10="",AZ10=""),"",AZ10-AR10)</f>
        <v/>
      </c>
      <c r="BB10" s="59">
        <f>IF(OR(E10="",AZ10=0),"",BA10/AZ10)</f>
        <v/>
      </c>
      <c r="BC10" s="60" t="n"/>
    </row>
    <row r="11" ht="16" customHeight="1">
      <c r="A11" s="45" t="inlineStr">
        <is>
          <t>1/17/2026</t>
        </is>
      </c>
      <c r="B11" s="46" t="inlineStr">
        <is>
          <t>SK0930</t>
        </is>
      </c>
      <c r="C11" s="46" t="inlineStr">
        <is>
          <t>3333</t>
        </is>
      </c>
      <c r="D11" s="46" t="inlineStr">
        <is>
          <t>C1</t>
        </is>
      </c>
      <c r="E11" s="47" t="n">
        <v>32</v>
      </c>
      <c r="F11" s="47" t="n">
        <v>42</v>
      </c>
      <c r="G11" s="47" t="n">
        <v>168</v>
      </c>
      <c r="H11" s="47" t="n">
        <v>6</v>
      </c>
      <c r="I11" s="47" t="n">
        <v>2</v>
      </c>
      <c r="J11" s="48" t="n"/>
      <c r="K11" s="48" t="n"/>
      <c r="L11" s="48" t="n"/>
      <c r="M11" s="48" t="n"/>
      <c r="N11" s="48" t="n"/>
      <c r="O11" s="48" t="n"/>
      <c r="P11" s="48" t="n"/>
      <c r="Q11" s="48" t="n"/>
      <c r="R11" s="48" t="n"/>
      <c r="S11" s="48" t="n"/>
      <c r="T11" s="49" t="n"/>
      <c r="U11" s="49" t="n"/>
      <c r="V11" s="49" t="n"/>
      <c r="W11" s="49" t="n"/>
      <c r="X11" s="49" t="n"/>
      <c r="Y11" s="47" t="n"/>
      <c r="Z11" s="47" t="n"/>
      <c r="AA11" s="47" t="n"/>
      <c r="AB11" s="47" t="n"/>
      <c r="AC11" s="47" t="n"/>
      <c r="AD11" s="47" t="n"/>
      <c r="AE11" s="47" t="n"/>
      <c r="AF11" s="47" t="n"/>
      <c r="AG11" s="47" t="n"/>
      <c r="AH11" s="50" t="n"/>
      <c r="AI11" s="50" t="n"/>
      <c r="AJ11" s="50" t="n"/>
      <c r="AK11" s="51" t="inlineStr"/>
      <c r="AL11" s="52" t="n"/>
      <c r="AM11" s="53">
        <f>IF(E11="","",E11*29.72)</f>
        <v/>
      </c>
      <c r="AN11" s="53">
        <f>IF(F11="","",F11*17.11)</f>
        <v/>
      </c>
      <c r="AO11" s="53">
        <f>IF(G11="","",G11*8.37)</f>
        <v/>
      </c>
      <c r="AP11" s="53">
        <f>IF(AND(H11="",I11=""),"",IF(ISNUMBER(H11),H11*19.11,0)+IF(ISNUMBER(I11),I11*16.67,0))</f>
        <v/>
      </c>
      <c r="AQ11" s="53">
        <f>IF(E11="","",667.1)</f>
        <v/>
      </c>
      <c r="AR11" s="54">
        <f>IF(E11="","",IF(ISNUMBER(AM11),AM11,0)+IF(ISNUMBER(AN11),AN11,0)+IF(ISNUMBER(AO11),AO11,0)+IF(ISNUMBER(AP11),AP11,0)+IF(ISNUMBER(AQ11),AQ11,0))</f>
        <v/>
      </c>
      <c r="AS11" s="55">
        <f>IF(E11="","",MAX(E11-SUM(J11:S11),0)*41.5)</f>
        <v/>
      </c>
      <c r="AT11" s="55">
        <f>IF(E11="","",IF(ISNUMBER(J11),J11*39.14,0)+IF(ISNUMBER(K11),K11*12.23,0)+IF(ISNUMBER(L11),L11*12.15,0)+IF(ISNUMBER(M11),M11*7.62,0)+IF(ISNUMBER(N11),N11*10.21,0)+IF(ISNUMBER(O11),O11*6.15,0)+IF(ISNUMBER(P11),P11*12.24,0)+IF(ISNUMBER(Q11),Q11*39.14,0)+IF(ISNUMBER(R11),R11*39.14,0)+IF(ISNUMBER(S11),S11*40.31,0))</f>
        <v/>
      </c>
      <c r="AU11" s="56">
        <f>IF(E11="","",IF(ISNUMBER(AS11),AS11,0)+IF(ISNUMBER(AT11),AT11,0))</f>
        <v/>
      </c>
      <c r="AV11" s="55">
        <f>IF(F11="","",MAX(F11-SUM(T11:X11),0)*22.0+IF(ISNUMBER(T11),T11*19.69,0)+IF(ISNUMBER(U11),U11*16.74,0)+IF(ISNUMBER(V11),V11*20.28,0)+IF(ISNUMBER(W11),W11*19.69,0)+IF(ISNUMBER(X11),X11*19.69,0))</f>
        <v/>
      </c>
      <c r="AW11" s="55">
        <f>IF(G11="","",MAX(G11-SUM(Y11:AG11),0)*11.85+IF(ISNUMBER(Y11),Y11*11.84,0)+IF(ISNUMBER(Z11),Z11*14.34,0)+IF(ISNUMBER(AA11),AA11*16.93,0)+IF(ISNUMBER(AB11),AB11*19.52,0)+IF(ISNUMBER(AC11),AC11*22.35,0)+IF(ISNUMBER(AD11),AD11*13.92,0)+IF(ISNUMBER(AE11),AE11*21.55,0)+IF(ISNUMBER(AF11),AF11*13.92,0)+IF(ISNUMBER(AG11),AG11*13.92,0))</f>
        <v/>
      </c>
      <c r="AX11" s="55">
        <f>IF(AND(H11="",I11=""),"",65.0+IF(ISNUMBER(AH11),AH11*30.23,0)+IF(ISNUMBER(AI11),AI11*30.23,0)+IF(ISNUMBER(AJ11),AJ11*28.0,0))</f>
        <v/>
      </c>
      <c r="AY11" s="55">
        <f>IF(E11="","",953.0)</f>
        <v/>
      </c>
      <c r="AZ11" s="57">
        <f>IF(E11="","",IF(ISNUMBER(AU11),AU11,0)+IF(ISNUMBER(AV11),AV11,0)+IF(ISNUMBER(AW11),AW11,0)+IF(ISNUMBER(AX11),AX11,0)+IF(ISNUMBER(AY11),AY11,0))</f>
        <v/>
      </c>
      <c r="BA11" s="58">
        <f>IF(OR(E11="",AZ11=""),"",AZ11-AR11)</f>
        <v/>
      </c>
      <c r="BB11" s="59">
        <f>IF(OR(E11="",AZ11=0),"",BA11/AZ11)</f>
        <v/>
      </c>
      <c r="BC11" s="60" t="n"/>
    </row>
    <row r="12" ht="16" customHeight="1">
      <c r="A12" s="45" t="inlineStr">
        <is>
          <t>1/23/2026</t>
        </is>
      </c>
      <c r="B12" s="46" t="inlineStr">
        <is>
          <t>SK0930</t>
        </is>
      </c>
      <c r="C12" s="46" t="inlineStr">
        <is>
          <t>3333</t>
        </is>
      </c>
      <c r="D12" s="46" t="inlineStr">
        <is>
          <t>C1</t>
        </is>
      </c>
      <c r="E12" s="47" t="n">
        <v>32</v>
      </c>
      <c r="F12" s="47" t="n">
        <v>40</v>
      </c>
      <c r="G12" s="47" t="n">
        <v>100</v>
      </c>
      <c r="H12" s="47" t="n">
        <v>6</v>
      </c>
      <c r="I12" s="47" t="n">
        <v>2</v>
      </c>
      <c r="J12" s="48" t="n"/>
      <c r="K12" s="48" t="n"/>
      <c r="L12" s="48" t="n"/>
      <c r="M12" s="48" t="n"/>
      <c r="N12" s="48" t="n"/>
      <c r="O12" s="48" t="n"/>
      <c r="P12" s="48" t="n"/>
      <c r="Q12" s="48" t="n"/>
      <c r="R12" s="48" t="n"/>
      <c r="S12" s="48" t="n"/>
      <c r="T12" s="49" t="n"/>
      <c r="U12" s="49" t="n"/>
      <c r="V12" s="49" t="n"/>
      <c r="W12" s="49" t="n"/>
      <c r="X12" s="49" t="n"/>
      <c r="Y12" s="47" t="n"/>
      <c r="Z12" s="47" t="n"/>
      <c r="AA12" s="47" t="n"/>
      <c r="AB12" s="47" t="n"/>
      <c r="AC12" s="47" t="n"/>
      <c r="AD12" s="47" t="n"/>
      <c r="AE12" s="47" t="n"/>
      <c r="AF12" s="47" t="n"/>
      <c r="AG12" s="47" t="n"/>
      <c r="AH12" s="50" t="n"/>
      <c r="AI12" s="50" t="n"/>
      <c r="AJ12" s="50" t="n"/>
      <c r="AK12" s="51" t="inlineStr"/>
      <c r="AL12" s="52" t="n"/>
      <c r="AM12" s="53">
        <f>IF(E12="","",E12*29.72)</f>
        <v/>
      </c>
      <c r="AN12" s="53">
        <f>IF(F12="","",F12*17.11)</f>
        <v/>
      </c>
      <c r="AO12" s="53">
        <f>IF(G12="","",G12*8.37)</f>
        <v/>
      </c>
      <c r="AP12" s="53">
        <f>IF(AND(H12="",I12=""),"",IF(ISNUMBER(H12),H12*19.11,0)+IF(ISNUMBER(I12),I12*16.67,0))</f>
        <v/>
      </c>
      <c r="AQ12" s="53">
        <f>IF(E12="","",667.1)</f>
        <v/>
      </c>
      <c r="AR12" s="54">
        <f>IF(E12="","",IF(ISNUMBER(AM12),AM12,0)+IF(ISNUMBER(AN12),AN12,0)+IF(ISNUMBER(AO12),AO12,0)+IF(ISNUMBER(AP12),AP12,0)+IF(ISNUMBER(AQ12),AQ12,0))</f>
        <v/>
      </c>
      <c r="AS12" s="55">
        <f>IF(E12="","",MAX(E12-SUM(J12:S12),0)*41.5)</f>
        <v/>
      </c>
      <c r="AT12" s="55">
        <f>IF(E12="","",IF(ISNUMBER(J12),J12*39.14,0)+IF(ISNUMBER(K12),K12*12.23,0)+IF(ISNUMBER(L12),L12*12.15,0)+IF(ISNUMBER(M12),M12*7.62,0)+IF(ISNUMBER(N12),N12*10.21,0)+IF(ISNUMBER(O12),O12*6.15,0)+IF(ISNUMBER(P12),P12*12.24,0)+IF(ISNUMBER(Q12),Q12*39.14,0)+IF(ISNUMBER(R12),R12*39.14,0)+IF(ISNUMBER(S12),S12*40.31,0))</f>
        <v/>
      </c>
      <c r="AU12" s="56">
        <f>IF(E12="","",IF(ISNUMBER(AS12),AS12,0)+IF(ISNUMBER(AT12),AT12,0))</f>
        <v/>
      </c>
      <c r="AV12" s="55">
        <f>IF(F12="","",MAX(F12-SUM(T12:X12),0)*22.0+IF(ISNUMBER(T12),T12*19.69,0)+IF(ISNUMBER(U12),U12*16.74,0)+IF(ISNUMBER(V12),V12*20.28,0)+IF(ISNUMBER(W12),W12*19.69,0)+IF(ISNUMBER(X12),X12*19.69,0))</f>
        <v/>
      </c>
      <c r="AW12" s="55">
        <f>IF(G12="","",MAX(G12-SUM(Y12:AG12),0)*11.85+IF(ISNUMBER(Y12),Y12*11.84,0)+IF(ISNUMBER(Z12),Z12*14.34,0)+IF(ISNUMBER(AA12),AA12*16.93,0)+IF(ISNUMBER(AB12),AB12*19.52,0)+IF(ISNUMBER(AC12),AC12*22.35,0)+IF(ISNUMBER(AD12),AD12*13.92,0)+IF(ISNUMBER(AE12),AE12*21.55,0)+IF(ISNUMBER(AF12),AF12*13.92,0)+IF(ISNUMBER(AG12),AG12*13.92,0))</f>
        <v/>
      </c>
      <c r="AX12" s="55">
        <f>IF(AND(H12="",I12=""),"",65.0+IF(ISNUMBER(AH12),AH12*30.23,0)+IF(ISNUMBER(AI12),AI12*30.23,0)+IF(ISNUMBER(AJ12),AJ12*28.0,0))</f>
        <v/>
      </c>
      <c r="AY12" s="55">
        <f>IF(E12="","",953.0)</f>
        <v/>
      </c>
      <c r="AZ12" s="57">
        <f>IF(E12="","",IF(ISNUMBER(AU12),AU12,0)+IF(ISNUMBER(AV12),AV12,0)+IF(ISNUMBER(AW12),AW12,0)+IF(ISNUMBER(AX12),AX12,0)+IF(ISNUMBER(AY12),AY12,0))</f>
        <v/>
      </c>
      <c r="BA12" s="58">
        <f>IF(OR(E12="",AZ12=""),"",AZ12-AR12)</f>
        <v/>
      </c>
      <c r="BB12" s="59">
        <f>IF(OR(E12="",AZ12=0),"",BA12/AZ12)</f>
        <v/>
      </c>
      <c r="BC12" s="60" t="n"/>
    </row>
    <row r="13" ht="16" customHeight="1">
      <c r="A13" s="45" t="inlineStr">
        <is>
          <t>2/2/2026</t>
        </is>
      </c>
      <c r="B13" s="46" t="inlineStr">
        <is>
          <t>SK0930</t>
        </is>
      </c>
      <c r="C13" s="46" t="inlineStr">
        <is>
          <t>3333</t>
        </is>
      </c>
      <c r="D13" s="46" t="inlineStr">
        <is>
          <t>C2</t>
        </is>
      </c>
      <c r="E13" s="47" t="n">
        <v>32</v>
      </c>
      <c r="F13" s="47" t="n">
        <v>17</v>
      </c>
      <c r="G13" s="47" t="n">
        <v>53</v>
      </c>
      <c r="H13" s="47" t="n">
        <v>6</v>
      </c>
      <c r="I13" s="47" t="n">
        <v>2</v>
      </c>
      <c r="J13" s="48" t="n"/>
      <c r="K13" s="48" t="n"/>
      <c r="L13" s="48" t="n"/>
      <c r="M13" s="48" t="n"/>
      <c r="N13" s="48" t="n"/>
      <c r="O13" s="48" t="n"/>
      <c r="P13" s="48" t="n"/>
      <c r="Q13" s="48" t="n"/>
      <c r="R13" s="48" t="n"/>
      <c r="S13" s="48" t="n"/>
      <c r="T13" s="49" t="n"/>
      <c r="U13" s="49" t="n"/>
      <c r="V13" s="49" t="n"/>
      <c r="W13" s="49" t="n"/>
      <c r="X13" s="49" t="n"/>
      <c r="Y13" s="47" t="n"/>
      <c r="Z13" s="47" t="n"/>
      <c r="AA13" s="47" t="n"/>
      <c r="AB13" s="47" t="n"/>
      <c r="AC13" s="47" t="n"/>
      <c r="AD13" s="47" t="n"/>
      <c r="AE13" s="47" t="n"/>
      <c r="AF13" s="47" t="n"/>
      <c r="AG13" s="47" t="n"/>
      <c r="AH13" s="50" t="n"/>
      <c r="AI13" s="50" t="n"/>
      <c r="AJ13" s="50" t="n"/>
      <c r="AK13" s="51" t="inlineStr"/>
      <c r="AL13" s="52" t="n"/>
      <c r="AM13" s="53">
        <f>IF(E13="","",E13*28.11)</f>
        <v/>
      </c>
      <c r="AN13" s="53">
        <f>IF(F13="","",F13*17.08)</f>
        <v/>
      </c>
      <c r="AO13" s="53">
        <f>IF(G13="","",G13*8.25)</f>
        <v/>
      </c>
      <c r="AP13" s="53">
        <f>IF(AND(H13="",I13=""),"",IF(ISNUMBER(H13),H13*18.0,0)+IF(ISNUMBER(I13),I13*16.0,0))</f>
        <v/>
      </c>
      <c r="AQ13" s="53">
        <f>IF(E13="","",667.1)</f>
        <v/>
      </c>
      <c r="AR13" s="54">
        <f>IF(E13="","",IF(ISNUMBER(AM13),AM13,0)+IF(ISNUMBER(AN13),AN13,0)+IF(ISNUMBER(AO13),AO13,0)+IF(ISNUMBER(AP13),AP13,0)+IF(ISNUMBER(AQ13),AQ13,0))</f>
        <v/>
      </c>
      <c r="AS13" s="55">
        <f>IF(E13="","",MAX(E13-SUM(J13:S13),0)*42.5)</f>
        <v/>
      </c>
      <c r="AT13" s="55">
        <f>IF(E13="","",IF(ISNUMBER(J13),J13*39.14,0)+IF(ISNUMBER(K13),K13*12.23,0)+IF(ISNUMBER(L13),L13*12.15,0)+IF(ISNUMBER(M13),M13*7.62,0)+IF(ISNUMBER(N13),N13*10.21,0)+IF(ISNUMBER(O13),O13*6.15,0)+IF(ISNUMBER(P13),P13*12.24,0)+IF(ISNUMBER(Q13),Q13*39.14,0)+IF(ISNUMBER(R13),R13*39.14,0)+IF(ISNUMBER(S13),S13*40.31,0))</f>
        <v/>
      </c>
      <c r="AU13" s="56">
        <f>IF(E13="","",IF(ISNUMBER(AS13),AS13,0)+IF(ISNUMBER(AT13),AT13,0))</f>
        <v/>
      </c>
      <c r="AV13" s="55">
        <f>IF(F13="","",MAX(F13-SUM(T13:X13),0)*23.0+IF(ISNUMBER(T13),T13*19.69,0)+IF(ISNUMBER(U13),U13*16.74,0)+IF(ISNUMBER(V13),V13*20.28,0)+IF(ISNUMBER(W13),W13*19.69,0)+IF(ISNUMBER(X13),X13*19.69,0))</f>
        <v/>
      </c>
      <c r="AW13" s="55">
        <f>IF(G13="","",MAX(G13-SUM(Y13:AG13),0)*12.5+IF(ISNUMBER(Y13),Y13*11.84,0)+IF(ISNUMBER(Z13),Z13*14.34,0)+IF(ISNUMBER(AA13),AA13*16.93,0)+IF(ISNUMBER(AB13),AB13*19.52,0)+IF(ISNUMBER(AC13),AC13*22.35,0)+IF(ISNUMBER(AD13),AD13*13.92,0)+IF(ISNUMBER(AE13),AE13*21.55,0)+IF(ISNUMBER(AF13),AF13*13.92,0)+IF(ISNUMBER(AG13),AG13*13.92,0))</f>
        <v/>
      </c>
      <c r="AX13" s="55">
        <f>IF(AND(H13="",I13=""),"",65.0+IF(ISNUMBER(AH13),AH13*30.23,0)+IF(ISNUMBER(AI13),AI13*30.23,0)+IF(ISNUMBER(AJ13),AJ13*28.0,0))</f>
        <v/>
      </c>
      <c r="AY13" s="55">
        <f>IF(E13="","",953.0)</f>
        <v/>
      </c>
      <c r="AZ13" s="57">
        <f>IF(E13="","",IF(ISNUMBER(AU13),AU13,0)+IF(ISNUMBER(AV13),AV13,0)+IF(ISNUMBER(AW13),AW13,0)+IF(ISNUMBER(AX13),AX13,0)+IF(ISNUMBER(AY13),AY13,0))</f>
        <v/>
      </c>
      <c r="BA13" s="58">
        <f>IF(OR(E13="",AZ13=""),"",AZ13-AR13)</f>
        <v/>
      </c>
      <c r="BB13" s="59">
        <f>IF(OR(E13="",AZ13=0),"",BA13/AZ13)</f>
        <v/>
      </c>
      <c r="BC13" s="60" t="n"/>
    </row>
    <row r="14" ht="16" customHeight="1">
      <c r="A14" s="45" t="inlineStr">
        <is>
          <t>2/5/2026</t>
        </is>
      </c>
      <c r="B14" s="46" t="inlineStr">
        <is>
          <t>SK0930</t>
        </is>
      </c>
      <c r="C14" s="46" t="inlineStr">
        <is>
          <t>3333</t>
        </is>
      </c>
      <c r="D14" s="46" t="inlineStr">
        <is>
          <t>C2</t>
        </is>
      </c>
      <c r="E14" s="47" t="n">
        <v>31</v>
      </c>
      <c r="F14" s="47" t="n">
        <v>56</v>
      </c>
      <c r="G14" s="47" t="n">
        <v>101</v>
      </c>
      <c r="H14" s="47" t="n">
        <v>6</v>
      </c>
      <c r="I14" s="47" t="n">
        <v>2</v>
      </c>
      <c r="J14" s="48" t="n"/>
      <c r="K14" s="48" t="n"/>
      <c r="L14" s="48" t="n"/>
      <c r="M14" s="48" t="n"/>
      <c r="N14" s="48" t="n"/>
      <c r="O14" s="48" t="n"/>
      <c r="P14" s="48" t="n"/>
      <c r="Q14" s="48" t="n"/>
      <c r="R14" s="48" t="n"/>
      <c r="S14" s="48" t="n"/>
      <c r="T14" s="49" t="n"/>
      <c r="U14" s="49" t="n"/>
      <c r="V14" s="49" t="n"/>
      <c r="W14" s="49" t="n"/>
      <c r="X14" s="49" t="n"/>
      <c r="Y14" s="47" t="n"/>
      <c r="Z14" s="47" t="n"/>
      <c r="AA14" s="47" t="n"/>
      <c r="AB14" s="47" t="n"/>
      <c r="AC14" s="47" t="n"/>
      <c r="AD14" s="47" t="n"/>
      <c r="AE14" s="47" t="n"/>
      <c r="AF14" s="47" t="n"/>
      <c r="AG14" s="47" t="n"/>
      <c r="AH14" s="50" t="n"/>
      <c r="AI14" s="50" t="n"/>
      <c r="AJ14" s="50" t="n"/>
      <c r="AK14" s="51" t="inlineStr"/>
      <c r="AL14" s="52" t="n"/>
      <c r="AM14" s="53">
        <f>IF(E14="","",E14*28.11)</f>
        <v/>
      </c>
      <c r="AN14" s="53">
        <f>IF(F14="","",F14*17.08)</f>
        <v/>
      </c>
      <c r="AO14" s="53">
        <f>IF(G14="","",G14*8.25)</f>
        <v/>
      </c>
      <c r="AP14" s="53">
        <f>IF(AND(H14="",I14=""),"",IF(ISNUMBER(H14),H14*18.0,0)+IF(ISNUMBER(I14),I14*16.0,0))</f>
        <v/>
      </c>
      <c r="AQ14" s="53">
        <f>IF(E14="","",667.1)</f>
        <v/>
      </c>
      <c r="AR14" s="54">
        <f>IF(E14="","",IF(ISNUMBER(AM14),AM14,0)+IF(ISNUMBER(AN14),AN14,0)+IF(ISNUMBER(AO14),AO14,0)+IF(ISNUMBER(AP14),AP14,0)+IF(ISNUMBER(AQ14),AQ14,0))</f>
        <v/>
      </c>
      <c r="AS14" s="55">
        <f>IF(E14="","",MAX(E14-SUM(J14:S14),0)*42.5)</f>
        <v/>
      </c>
      <c r="AT14" s="55">
        <f>IF(E14="","",IF(ISNUMBER(J14),J14*39.14,0)+IF(ISNUMBER(K14),K14*12.23,0)+IF(ISNUMBER(L14),L14*12.15,0)+IF(ISNUMBER(M14),M14*7.62,0)+IF(ISNUMBER(N14),N14*10.21,0)+IF(ISNUMBER(O14),O14*6.15,0)+IF(ISNUMBER(P14),P14*12.24,0)+IF(ISNUMBER(Q14),Q14*39.14,0)+IF(ISNUMBER(R14),R14*39.14,0)+IF(ISNUMBER(S14),S14*40.31,0))</f>
        <v/>
      </c>
      <c r="AU14" s="56">
        <f>IF(E14="","",IF(ISNUMBER(AS14),AS14,0)+IF(ISNUMBER(AT14),AT14,0))</f>
        <v/>
      </c>
      <c r="AV14" s="55">
        <f>IF(F14="","",MAX(F14-SUM(T14:X14),0)*23.0+IF(ISNUMBER(T14),T14*19.69,0)+IF(ISNUMBER(U14),U14*16.74,0)+IF(ISNUMBER(V14),V14*20.28,0)+IF(ISNUMBER(W14),W14*19.69,0)+IF(ISNUMBER(X14),X14*19.69,0))</f>
        <v/>
      </c>
      <c r="AW14" s="55">
        <f>IF(G14="","",MAX(G14-SUM(Y14:AG14),0)*12.5+IF(ISNUMBER(Y14),Y14*11.84,0)+IF(ISNUMBER(Z14),Z14*14.34,0)+IF(ISNUMBER(AA14),AA14*16.93,0)+IF(ISNUMBER(AB14),AB14*19.52,0)+IF(ISNUMBER(AC14),AC14*22.35,0)+IF(ISNUMBER(AD14),AD14*13.92,0)+IF(ISNUMBER(AE14),AE14*21.55,0)+IF(ISNUMBER(AF14),AF14*13.92,0)+IF(ISNUMBER(AG14),AG14*13.92,0))</f>
        <v/>
      </c>
      <c r="AX14" s="55">
        <f>IF(AND(H14="",I14=""),"",65.0+IF(ISNUMBER(AH14),AH14*30.23,0)+IF(ISNUMBER(AI14),AI14*30.23,0)+IF(ISNUMBER(AJ14),AJ14*28.0,0))</f>
        <v/>
      </c>
      <c r="AY14" s="55">
        <f>IF(E14="","",953.0)</f>
        <v/>
      </c>
      <c r="AZ14" s="57">
        <f>IF(E14="","",IF(ISNUMBER(AU14),AU14,0)+IF(ISNUMBER(AV14),AV14,0)+IF(ISNUMBER(AW14),AW14,0)+IF(ISNUMBER(AX14),AX14,0)+IF(ISNUMBER(AY14),AY14,0))</f>
        <v/>
      </c>
      <c r="BA14" s="58">
        <f>IF(OR(E14="",AZ14=""),"",AZ14-AR14)</f>
        <v/>
      </c>
      <c r="BB14" s="59">
        <f>IF(OR(E14="",AZ14=0),"",BA14/AZ14)</f>
        <v/>
      </c>
      <c r="BC14" s="60" t="n"/>
    </row>
    <row r="15" ht="16" customHeight="1">
      <c r="A15" s="45" t="inlineStr">
        <is>
          <t>2/5/2026</t>
        </is>
      </c>
      <c r="B15" s="46" t="inlineStr">
        <is>
          <t>SK0930</t>
        </is>
      </c>
      <c r="C15" s="46" t="inlineStr">
        <is>
          <t>3333</t>
        </is>
      </c>
      <c r="D15" s="46" t="inlineStr">
        <is>
          <t>C2</t>
        </is>
      </c>
      <c r="E15" s="50" t="n"/>
      <c r="F15" s="50" t="n"/>
      <c r="G15" s="50" t="n"/>
      <c r="H15" s="50" t="n">
        <v>6</v>
      </c>
      <c r="I15" s="50" t="n">
        <v>2</v>
      </c>
      <c r="J15" s="48" t="n"/>
      <c r="K15" s="48" t="n"/>
      <c r="L15" s="48" t="n"/>
      <c r="M15" s="48" t="n"/>
      <c r="N15" s="48" t="n"/>
      <c r="O15" s="48" t="n"/>
      <c r="P15" s="48" t="n"/>
      <c r="Q15" s="48" t="n"/>
      <c r="R15" s="48" t="n"/>
      <c r="S15" s="48" t="n"/>
      <c r="T15" s="49" t="n"/>
      <c r="U15" s="49" t="n"/>
      <c r="V15" s="49" t="n"/>
      <c r="W15" s="49" t="n"/>
      <c r="X15" s="49" t="n"/>
      <c r="Y15" s="47" t="n"/>
      <c r="Z15" s="47" t="n"/>
      <c r="AA15" s="47" t="n"/>
      <c r="AB15" s="47" t="n"/>
      <c r="AC15" s="47" t="n"/>
      <c r="AD15" s="47" t="n"/>
      <c r="AE15" s="47" t="n"/>
      <c r="AF15" s="47" t="n"/>
      <c r="AG15" s="47" t="n"/>
      <c r="AH15" s="50" t="n"/>
      <c r="AI15" s="50" t="n"/>
      <c r="AJ15" s="50" t="n"/>
      <c r="AK15" s="51" t="inlineStr"/>
      <c r="AL15" s="52" t="n"/>
      <c r="AM15" s="53">
        <f>IF(E15="","",E15*28.11)</f>
        <v/>
      </c>
      <c r="AN15" s="53">
        <f>IF(F15="","",F15*17.08)</f>
        <v/>
      </c>
      <c r="AO15" s="53">
        <f>IF(G15="","",G15*8.25)</f>
        <v/>
      </c>
      <c r="AP15" s="53">
        <f>IF(AND(H15="",I15=""),"",IF(ISNUMBER(H15),H15*18.0,0)+IF(ISNUMBER(I15),I15*16.0,0))</f>
        <v/>
      </c>
      <c r="AQ15" s="53">
        <f>IF(E15="","",667.1)</f>
        <v/>
      </c>
      <c r="AR15" s="54">
        <f>IF(E15="","",IF(ISNUMBER(AM15),AM15,0)+IF(ISNUMBER(AN15),AN15,0)+IF(ISNUMBER(AO15),AO15,0)+IF(ISNUMBER(AP15),AP15,0)+IF(ISNUMBER(AQ15),AQ15,0))</f>
        <v/>
      </c>
      <c r="AS15" s="55">
        <f>IF(E15="","",MAX(E15-SUM(J15:S15),0)*42.5)</f>
        <v/>
      </c>
      <c r="AT15" s="55">
        <f>IF(E15="","",IF(ISNUMBER(J15),J15*39.14,0)+IF(ISNUMBER(K15),K15*12.23,0)+IF(ISNUMBER(L15),L15*12.15,0)+IF(ISNUMBER(M15),M15*7.62,0)+IF(ISNUMBER(N15),N15*10.21,0)+IF(ISNUMBER(O15),O15*6.15,0)+IF(ISNUMBER(P15),P15*12.24,0)+IF(ISNUMBER(Q15),Q15*39.14,0)+IF(ISNUMBER(R15),R15*39.14,0)+IF(ISNUMBER(S15),S15*40.31,0))</f>
        <v/>
      </c>
      <c r="AU15" s="56">
        <f>IF(E15="","",IF(ISNUMBER(AS15),AS15,0)+IF(ISNUMBER(AT15),AT15,0))</f>
        <v/>
      </c>
      <c r="AV15" s="55">
        <f>IF(F15="","",MAX(F15-SUM(T15:X15),0)*23.0+IF(ISNUMBER(T15),T15*19.69,0)+IF(ISNUMBER(U15),U15*16.74,0)+IF(ISNUMBER(V15),V15*20.28,0)+IF(ISNUMBER(W15),W15*19.69,0)+IF(ISNUMBER(X15),X15*19.69,0))</f>
        <v/>
      </c>
      <c r="AW15" s="55">
        <f>IF(G15="","",MAX(G15-SUM(Y15:AG15),0)*12.5+IF(ISNUMBER(Y15),Y15*11.84,0)+IF(ISNUMBER(Z15),Z15*14.34,0)+IF(ISNUMBER(AA15),AA15*16.93,0)+IF(ISNUMBER(AB15),AB15*19.52,0)+IF(ISNUMBER(AC15),AC15*22.35,0)+IF(ISNUMBER(AD15),AD15*13.92,0)+IF(ISNUMBER(AE15),AE15*21.55,0)+IF(ISNUMBER(AF15),AF15*13.92,0)+IF(ISNUMBER(AG15),AG15*13.92,0))</f>
        <v/>
      </c>
      <c r="AX15" s="55">
        <f>IF(AND(H15="",I15=""),"",65.0+IF(ISNUMBER(AH15),AH15*30.23,0)+IF(ISNUMBER(AI15),AI15*30.23,0)+IF(ISNUMBER(AJ15),AJ15*28.0,0))</f>
        <v/>
      </c>
      <c r="AY15" s="55">
        <f>IF(E15="","",953.0)</f>
        <v/>
      </c>
      <c r="AZ15" s="57">
        <f>IF(E15="","",IF(ISNUMBER(AU15),AU15,0)+IF(ISNUMBER(AV15),AV15,0)+IF(ISNUMBER(AW15),AW15,0)+IF(ISNUMBER(AX15),AX15,0)+IF(ISNUMBER(AY15),AY15,0))</f>
        <v/>
      </c>
      <c r="BA15" s="58">
        <f>IF(OR(E15="",AZ15=""),"",AZ15-AR15)</f>
        <v/>
      </c>
      <c r="BB15" s="59">
        <f>IF(OR(E15="",AZ15=0),"",BA15/AZ15)</f>
        <v/>
      </c>
      <c r="BC15" s="60" t="n"/>
    </row>
    <row r="16" ht="16" customHeight="1">
      <c r="A16" s="45" t="inlineStr">
        <is>
          <t>2/7/2026</t>
        </is>
      </c>
      <c r="B16" s="46" t="inlineStr">
        <is>
          <t>SK0930</t>
        </is>
      </c>
      <c r="C16" s="46" t="inlineStr">
        <is>
          <t>3333</t>
        </is>
      </c>
      <c r="D16" s="46" t="inlineStr">
        <is>
          <t>C2</t>
        </is>
      </c>
      <c r="E16" s="50" t="n"/>
      <c r="F16" s="50" t="n"/>
      <c r="G16" s="50" t="n"/>
      <c r="H16" s="50" t="n">
        <v>6</v>
      </c>
      <c r="I16" s="50" t="n">
        <v>2</v>
      </c>
      <c r="J16" s="48" t="n"/>
      <c r="K16" s="48" t="n"/>
      <c r="L16" s="48" t="n"/>
      <c r="M16" s="48" t="n"/>
      <c r="N16" s="48" t="n"/>
      <c r="O16" s="48" t="n"/>
      <c r="P16" s="48" t="n"/>
      <c r="Q16" s="48" t="n"/>
      <c r="R16" s="48" t="n"/>
      <c r="S16" s="48" t="n"/>
      <c r="T16" s="49" t="n"/>
      <c r="U16" s="49" t="n"/>
      <c r="V16" s="49" t="n"/>
      <c r="W16" s="49" t="n"/>
      <c r="X16" s="49" t="n"/>
      <c r="Y16" s="47" t="n"/>
      <c r="Z16" s="47" t="n"/>
      <c r="AA16" s="47" t="n"/>
      <c r="AB16" s="47" t="n"/>
      <c r="AC16" s="47" t="n"/>
      <c r="AD16" s="47" t="n"/>
      <c r="AE16" s="47" t="n"/>
      <c r="AF16" s="47" t="n"/>
      <c r="AG16" s="47" t="n"/>
      <c r="AH16" s="50" t="n"/>
      <c r="AI16" s="50" t="n"/>
      <c r="AJ16" s="50" t="n"/>
      <c r="AK16" s="51" t="inlineStr"/>
      <c r="AL16" s="52" t="n"/>
      <c r="AM16" s="53">
        <f>IF(E16="","",E16*28.11)</f>
        <v/>
      </c>
      <c r="AN16" s="53">
        <f>IF(F16="","",F16*17.08)</f>
        <v/>
      </c>
      <c r="AO16" s="53">
        <f>IF(G16="","",G16*8.25)</f>
        <v/>
      </c>
      <c r="AP16" s="53">
        <f>IF(AND(H16="",I16=""),"",IF(ISNUMBER(H16),H16*18.0,0)+IF(ISNUMBER(I16),I16*16.0,0))</f>
        <v/>
      </c>
      <c r="AQ16" s="53">
        <f>IF(E16="","",667.1)</f>
        <v/>
      </c>
      <c r="AR16" s="54">
        <f>IF(E16="","",IF(ISNUMBER(AM16),AM16,0)+IF(ISNUMBER(AN16),AN16,0)+IF(ISNUMBER(AO16),AO16,0)+IF(ISNUMBER(AP16),AP16,0)+IF(ISNUMBER(AQ16),AQ16,0))</f>
        <v/>
      </c>
      <c r="AS16" s="55">
        <f>IF(E16="","",MAX(E16-SUM(J16:S16),0)*42.5)</f>
        <v/>
      </c>
      <c r="AT16" s="55">
        <f>IF(E16="","",IF(ISNUMBER(J16),J16*39.14,0)+IF(ISNUMBER(K16),K16*12.23,0)+IF(ISNUMBER(L16),L16*12.15,0)+IF(ISNUMBER(M16),M16*7.62,0)+IF(ISNUMBER(N16),N16*10.21,0)+IF(ISNUMBER(O16),O16*6.15,0)+IF(ISNUMBER(P16),P16*12.24,0)+IF(ISNUMBER(Q16),Q16*39.14,0)+IF(ISNUMBER(R16),R16*39.14,0)+IF(ISNUMBER(S16),S16*40.31,0))</f>
        <v/>
      </c>
      <c r="AU16" s="56">
        <f>IF(E16="","",IF(ISNUMBER(AS16),AS16,0)+IF(ISNUMBER(AT16),AT16,0))</f>
        <v/>
      </c>
      <c r="AV16" s="55">
        <f>IF(F16="","",MAX(F16-SUM(T16:X16),0)*23.0+IF(ISNUMBER(T16),T16*19.69,0)+IF(ISNUMBER(U16),U16*16.74,0)+IF(ISNUMBER(V16),V16*20.28,0)+IF(ISNUMBER(W16),W16*19.69,0)+IF(ISNUMBER(X16),X16*19.69,0))</f>
        <v/>
      </c>
      <c r="AW16" s="55">
        <f>IF(G16="","",MAX(G16-SUM(Y16:AG16),0)*12.5+IF(ISNUMBER(Y16),Y16*11.84,0)+IF(ISNUMBER(Z16),Z16*14.34,0)+IF(ISNUMBER(AA16),AA16*16.93,0)+IF(ISNUMBER(AB16),AB16*19.52,0)+IF(ISNUMBER(AC16),AC16*22.35,0)+IF(ISNUMBER(AD16),AD16*13.92,0)+IF(ISNUMBER(AE16),AE16*21.55,0)+IF(ISNUMBER(AF16),AF16*13.92,0)+IF(ISNUMBER(AG16),AG16*13.92,0))</f>
        <v/>
      </c>
      <c r="AX16" s="55">
        <f>IF(AND(H16="",I16=""),"",65.0+IF(ISNUMBER(AH16),AH16*30.23,0)+IF(ISNUMBER(AI16),AI16*30.23,0)+IF(ISNUMBER(AJ16),AJ16*28.0,0))</f>
        <v/>
      </c>
      <c r="AY16" s="55">
        <f>IF(E16="","",953.0)</f>
        <v/>
      </c>
      <c r="AZ16" s="57">
        <f>IF(E16="","",IF(ISNUMBER(AU16),AU16,0)+IF(ISNUMBER(AV16),AV16,0)+IF(ISNUMBER(AW16),AW16,0)+IF(ISNUMBER(AX16),AX16,0)+IF(ISNUMBER(AY16),AY16,0))</f>
        <v/>
      </c>
      <c r="BA16" s="58">
        <f>IF(OR(E16="",AZ16=""),"",AZ16-AR16)</f>
        <v/>
      </c>
      <c r="BB16" s="59">
        <f>IF(OR(E16="",AZ16=0),"",BA16/AZ16)</f>
        <v/>
      </c>
      <c r="BC16" s="60" t="n"/>
    </row>
    <row r="17" ht="16" customHeight="1">
      <c r="A17" s="45" t="inlineStr">
        <is>
          <t>2/9/2026</t>
        </is>
      </c>
      <c r="B17" s="46" t="inlineStr">
        <is>
          <t>SK0930</t>
        </is>
      </c>
      <c r="C17" s="46" t="inlineStr">
        <is>
          <t>3333</t>
        </is>
      </c>
      <c r="D17" s="46" t="inlineStr">
        <is>
          <t>C2</t>
        </is>
      </c>
      <c r="E17" s="47" t="n">
        <v>32</v>
      </c>
      <c r="F17" s="47" t="n">
        <v>22</v>
      </c>
      <c r="G17" s="47" t="n">
        <v>121</v>
      </c>
      <c r="H17" s="47" t="n">
        <v>6</v>
      </c>
      <c r="I17" s="47" t="n">
        <v>2</v>
      </c>
      <c r="J17" s="48" t="n"/>
      <c r="K17" s="48" t="n"/>
      <c r="L17" s="48" t="n"/>
      <c r="M17" s="48" t="n"/>
      <c r="N17" s="48" t="n"/>
      <c r="O17" s="48" t="n"/>
      <c r="P17" s="48" t="n"/>
      <c r="Q17" s="48" t="n"/>
      <c r="R17" s="48" t="n"/>
      <c r="S17" s="48" t="n"/>
      <c r="T17" s="49" t="n"/>
      <c r="U17" s="49" t="n"/>
      <c r="V17" s="49" t="n"/>
      <c r="W17" s="49" t="n"/>
      <c r="X17" s="49" t="n"/>
      <c r="Y17" s="47" t="n"/>
      <c r="Z17" s="47" t="n"/>
      <c r="AA17" s="47" t="n"/>
      <c r="AB17" s="47" t="n"/>
      <c r="AC17" s="47" t="n"/>
      <c r="AD17" s="47" t="n"/>
      <c r="AE17" s="47" t="n"/>
      <c r="AF17" s="47" t="n"/>
      <c r="AG17" s="47" t="n"/>
      <c r="AH17" s="50" t="n"/>
      <c r="AI17" s="50" t="n"/>
      <c r="AJ17" s="50" t="n"/>
      <c r="AK17" s="51" t="inlineStr"/>
      <c r="AL17" s="52" t="n"/>
      <c r="AM17" s="53">
        <f>IF(E17="","",E17*28.11)</f>
        <v/>
      </c>
      <c r="AN17" s="53">
        <f>IF(F17="","",F17*17.08)</f>
        <v/>
      </c>
      <c r="AO17" s="53">
        <f>IF(G17="","",G17*8.25)</f>
        <v/>
      </c>
      <c r="AP17" s="53">
        <f>IF(AND(H17="",I17=""),"",IF(ISNUMBER(H17),H17*18.0,0)+IF(ISNUMBER(I17),I17*16.0,0))</f>
        <v/>
      </c>
      <c r="AQ17" s="53">
        <f>IF(E17="","",667.1)</f>
        <v/>
      </c>
      <c r="AR17" s="54">
        <f>IF(E17="","",IF(ISNUMBER(AM17),AM17,0)+IF(ISNUMBER(AN17),AN17,0)+IF(ISNUMBER(AO17),AO17,0)+IF(ISNUMBER(AP17),AP17,0)+IF(ISNUMBER(AQ17),AQ17,0))</f>
        <v/>
      </c>
      <c r="AS17" s="55">
        <f>IF(E17="","",MAX(E17-SUM(J17:S17),0)*42.5)</f>
        <v/>
      </c>
      <c r="AT17" s="55">
        <f>IF(E17="","",IF(ISNUMBER(J17),J17*39.14,0)+IF(ISNUMBER(K17),K17*12.23,0)+IF(ISNUMBER(L17),L17*12.15,0)+IF(ISNUMBER(M17),M17*7.62,0)+IF(ISNUMBER(N17),N17*10.21,0)+IF(ISNUMBER(O17),O17*6.15,0)+IF(ISNUMBER(P17),P17*12.24,0)+IF(ISNUMBER(Q17),Q17*39.14,0)+IF(ISNUMBER(R17),R17*39.14,0)+IF(ISNUMBER(S17),S17*40.31,0))</f>
        <v/>
      </c>
      <c r="AU17" s="56">
        <f>IF(E17="","",IF(ISNUMBER(AS17),AS17,0)+IF(ISNUMBER(AT17),AT17,0))</f>
        <v/>
      </c>
      <c r="AV17" s="55">
        <f>IF(F17="","",MAX(F17-SUM(T17:X17),0)*23.0+IF(ISNUMBER(T17),T17*19.69,0)+IF(ISNUMBER(U17),U17*16.74,0)+IF(ISNUMBER(V17),V17*20.28,0)+IF(ISNUMBER(W17),W17*19.69,0)+IF(ISNUMBER(X17),X17*19.69,0))</f>
        <v/>
      </c>
      <c r="AW17" s="55">
        <f>IF(G17="","",MAX(G17-SUM(Y17:AG17),0)*12.5+IF(ISNUMBER(Y17),Y17*11.84,0)+IF(ISNUMBER(Z17),Z17*14.34,0)+IF(ISNUMBER(AA17),AA17*16.93,0)+IF(ISNUMBER(AB17),AB17*19.52,0)+IF(ISNUMBER(AC17),AC17*22.35,0)+IF(ISNUMBER(AD17),AD17*13.92,0)+IF(ISNUMBER(AE17),AE17*21.55,0)+IF(ISNUMBER(AF17),AF17*13.92,0)+IF(ISNUMBER(AG17),AG17*13.92,0))</f>
        <v/>
      </c>
      <c r="AX17" s="55">
        <f>IF(AND(H17="",I17=""),"",65.0+IF(ISNUMBER(AH17),AH17*30.23,0)+IF(ISNUMBER(AI17),AI17*30.23,0)+IF(ISNUMBER(AJ17),AJ17*28.0,0))</f>
        <v/>
      </c>
      <c r="AY17" s="55">
        <f>IF(E17="","",953.0)</f>
        <v/>
      </c>
      <c r="AZ17" s="57">
        <f>IF(E17="","",IF(ISNUMBER(AU17),AU17,0)+IF(ISNUMBER(AV17),AV17,0)+IF(ISNUMBER(AW17),AW17,0)+IF(ISNUMBER(AX17),AX17,0)+IF(ISNUMBER(AY17),AY17,0))</f>
        <v/>
      </c>
      <c r="BA17" s="58">
        <f>IF(OR(E17="",AZ17=""),"",AZ17-AR17)</f>
        <v/>
      </c>
      <c r="BB17" s="59">
        <f>IF(OR(E17="",AZ17=0),"",BA17/AZ17)</f>
        <v/>
      </c>
      <c r="BC17" s="60" t="n"/>
    </row>
    <row r="18" ht="16" customHeight="1">
      <c r="A18" s="45" t="inlineStr">
        <is>
          <t>2/12/2026</t>
        </is>
      </c>
      <c r="B18" s="46" t="inlineStr">
        <is>
          <t>SK0930</t>
        </is>
      </c>
      <c r="C18" s="46" t="inlineStr">
        <is>
          <t>3333</t>
        </is>
      </c>
      <c r="D18" s="46" t="inlineStr">
        <is>
          <t>C2</t>
        </is>
      </c>
      <c r="E18" s="47" t="n">
        <v>32</v>
      </c>
      <c r="F18" s="47" t="n">
        <v>56</v>
      </c>
      <c r="G18" s="47" t="n">
        <v>171</v>
      </c>
      <c r="H18" s="47" t="n">
        <v>6</v>
      </c>
      <c r="I18" s="47" t="n">
        <v>2</v>
      </c>
      <c r="J18" s="48" t="n"/>
      <c r="K18" s="48" t="n"/>
      <c r="L18" s="48" t="n"/>
      <c r="M18" s="48" t="n"/>
      <c r="N18" s="48" t="n"/>
      <c r="O18" s="48" t="n"/>
      <c r="P18" s="48" t="n"/>
      <c r="Q18" s="48" t="n"/>
      <c r="R18" s="48" t="n"/>
      <c r="S18" s="48" t="n"/>
      <c r="T18" s="49" t="n"/>
      <c r="U18" s="49" t="n"/>
      <c r="V18" s="49" t="n"/>
      <c r="W18" s="49" t="n"/>
      <c r="X18" s="49" t="n"/>
      <c r="Y18" s="47" t="n"/>
      <c r="Z18" s="47" t="n"/>
      <c r="AA18" s="47" t="n"/>
      <c r="AB18" s="47" t="n"/>
      <c r="AC18" s="47" t="n"/>
      <c r="AD18" s="47" t="n"/>
      <c r="AE18" s="47" t="n"/>
      <c r="AF18" s="47" t="n"/>
      <c r="AG18" s="47" t="n"/>
      <c r="AH18" s="50" t="n"/>
      <c r="AI18" s="50" t="n"/>
      <c r="AJ18" s="50" t="n"/>
      <c r="AK18" s="51" t="inlineStr"/>
      <c r="AL18" s="52" t="n"/>
      <c r="AM18" s="53">
        <f>IF(E18="","",E18*28.11)</f>
        <v/>
      </c>
      <c r="AN18" s="53">
        <f>IF(F18="","",F18*17.08)</f>
        <v/>
      </c>
      <c r="AO18" s="53">
        <f>IF(G18="","",G18*8.25)</f>
        <v/>
      </c>
      <c r="AP18" s="53">
        <f>IF(AND(H18="",I18=""),"",IF(ISNUMBER(H18),H18*18.0,0)+IF(ISNUMBER(I18),I18*16.0,0))</f>
        <v/>
      </c>
      <c r="AQ18" s="53">
        <f>IF(E18="","",667.1)</f>
        <v/>
      </c>
      <c r="AR18" s="54">
        <f>IF(E18="","",IF(ISNUMBER(AM18),AM18,0)+IF(ISNUMBER(AN18),AN18,0)+IF(ISNUMBER(AO18),AO18,0)+IF(ISNUMBER(AP18),AP18,0)+IF(ISNUMBER(AQ18),AQ18,0))</f>
        <v/>
      </c>
      <c r="AS18" s="55">
        <f>IF(E18="","",MAX(E18-SUM(J18:S18),0)*42.5)</f>
        <v/>
      </c>
      <c r="AT18" s="55">
        <f>IF(E18="","",IF(ISNUMBER(J18),J18*39.14,0)+IF(ISNUMBER(K18),K18*12.23,0)+IF(ISNUMBER(L18),L18*12.15,0)+IF(ISNUMBER(M18),M18*7.62,0)+IF(ISNUMBER(N18),N18*10.21,0)+IF(ISNUMBER(O18),O18*6.15,0)+IF(ISNUMBER(P18),P18*12.24,0)+IF(ISNUMBER(Q18),Q18*39.14,0)+IF(ISNUMBER(R18),R18*39.14,0)+IF(ISNUMBER(S18),S18*40.31,0))</f>
        <v/>
      </c>
      <c r="AU18" s="56">
        <f>IF(E18="","",IF(ISNUMBER(AS18),AS18,0)+IF(ISNUMBER(AT18),AT18,0))</f>
        <v/>
      </c>
      <c r="AV18" s="55">
        <f>IF(F18="","",MAX(F18-SUM(T18:X18),0)*23.0+IF(ISNUMBER(T18),T18*19.69,0)+IF(ISNUMBER(U18),U18*16.74,0)+IF(ISNUMBER(V18),V18*20.28,0)+IF(ISNUMBER(W18),W18*19.69,0)+IF(ISNUMBER(X18),X18*19.69,0))</f>
        <v/>
      </c>
      <c r="AW18" s="55">
        <f>IF(G18="","",MAX(G18-SUM(Y18:AG18),0)*12.5+IF(ISNUMBER(Y18),Y18*11.84,0)+IF(ISNUMBER(Z18),Z18*14.34,0)+IF(ISNUMBER(AA18),AA18*16.93,0)+IF(ISNUMBER(AB18),AB18*19.52,0)+IF(ISNUMBER(AC18),AC18*22.35,0)+IF(ISNUMBER(AD18),AD18*13.92,0)+IF(ISNUMBER(AE18),AE18*21.55,0)+IF(ISNUMBER(AF18),AF18*13.92,0)+IF(ISNUMBER(AG18),AG18*13.92,0))</f>
        <v/>
      </c>
      <c r="AX18" s="55">
        <f>IF(AND(H18="",I18=""),"",65.0+IF(ISNUMBER(AH18),AH18*30.23,0)+IF(ISNUMBER(AI18),AI18*30.23,0)+IF(ISNUMBER(AJ18),AJ18*28.0,0))</f>
        <v/>
      </c>
      <c r="AY18" s="55">
        <f>IF(E18="","",953.0)</f>
        <v/>
      </c>
      <c r="AZ18" s="57">
        <f>IF(E18="","",IF(ISNUMBER(AU18),AU18,0)+IF(ISNUMBER(AV18),AV18,0)+IF(ISNUMBER(AW18),AW18,0)+IF(ISNUMBER(AX18),AX18,0)+IF(ISNUMBER(AY18),AY18,0))</f>
        <v/>
      </c>
      <c r="BA18" s="58">
        <f>IF(OR(E18="",AZ18=""),"",AZ18-AR18)</f>
        <v/>
      </c>
      <c r="BB18" s="59">
        <f>IF(OR(E18="",AZ18=0),"",BA18/AZ18)</f>
        <v/>
      </c>
      <c r="BC18" s="60" t="n"/>
    </row>
    <row r="19" ht="16" customHeight="1">
      <c r="A19" s="45" t="inlineStr">
        <is>
          <t>2/13/2026</t>
        </is>
      </c>
      <c r="B19" s="46" t="inlineStr">
        <is>
          <t>SK0930</t>
        </is>
      </c>
      <c r="C19" s="46" t="inlineStr">
        <is>
          <t>3333</t>
        </is>
      </c>
      <c r="D19" s="46" t="inlineStr">
        <is>
          <t>C2</t>
        </is>
      </c>
      <c r="E19" s="47" t="n">
        <v>32</v>
      </c>
      <c r="F19" s="47" t="n">
        <v>56</v>
      </c>
      <c r="G19" s="47" t="n">
        <v>174</v>
      </c>
      <c r="H19" s="47" t="n">
        <v>6</v>
      </c>
      <c r="I19" s="47" t="n">
        <v>2</v>
      </c>
      <c r="J19" s="48" t="n"/>
      <c r="K19" s="48" t="n"/>
      <c r="L19" s="48" t="n"/>
      <c r="M19" s="48" t="n"/>
      <c r="N19" s="48" t="n"/>
      <c r="O19" s="48" t="n"/>
      <c r="P19" s="48" t="n"/>
      <c r="Q19" s="48" t="n"/>
      <c r="R19" s="48" t="n"/>
      <c r="S19" s="48" t="n"/>
      <c r="T19" s="49" t="n"/>
      <c r="U19" s="49" t="n"/>
      <c r="V19" s="49" t="n"/>
      <c r="W19" s="49" t="n"/>
      <c r="X19" s="49" t="n"/>
      <c r="Y19" s="47" t="n"/>
      <c r="Z19" s="47" t="n"/>
      <c r="AA19" s="47" t="n"/>
      <c r="AB19" s="47" t="n"/>
      <c r="AC19" s="47" t="n"/>
      <c r="AD19" s="47" t="n"/>
      <c r="AE19" s="47" t="n"/>
      <c r="AF19" s="47" t="n"/>
      <c r="AG19" s="47" t="n"/>
      <c r="AH19" s="50" t="n"/>
      <c r="AI19" s="50" t="n"/>
      <c r="AJ19" s="50" t="n"/>
      <c r="AK19" s="51" t="inlineStr"/>
      <c r="AL19" s="52" t="n"/>
      <c r="AM19" s="53">
        <f>IF(E19="","",E19*28.11)</f>
        <v/>
      </c>
      <c r="AN19" s="53">
        <f>IF(F19="","",F19*17.08)</f>
        <v/>
      </c>
      <c r="AO19" s="53">
        <f>IF(G19="","",G19*8.25)</f>
        <v/>
      </c>
      <c r="AP19" s="53">
        <f>IF(AND(H19="",I19=""),"",IF(ISNUMBER(H19),H19*18.0,0)+IF(ISNUMBER(I19),I19*16.0,0))</f>
        <v/>
      </c>
      <c r="AQ19" s="53">
        <f>IF(E19="","",667.1)</f>
        <v/>
      </c>
      <c r="AR19" s="54">
        <f>IF(E19="","",IF(ISNUMBER(AM19),AM19,0)+IF(ISNUMBER(AN19),AN19,0)+IF(ISNUMBER(AO19),AO19,0)+IF(ISNUMBER(AP19),AP19,0)+IF(ISNUMBER(AQ19),AQ19,0))</f>
        <v/>
      </c>
      <c r="AS19" s="55">
        <f>IF(E19="","",MAX(E19-SUM(J19:S19),0)*42.5)</f>
        <v/>
      </c>
      <c r="AT19" s="55">
        <f>IF(E19="","",IF(ISNUMBER(J19),J19*39.14,0)+IF(ISNUMBER(K19),K19*12.23,0)+IF(ISNUMBER(L19),L19*12.15,0)+IF(ISNUMBER(M19),M19*7.62,0)+IF(ISNUMBER(N19),N19*10.21,0)+IF(ISNUMBER(O19),O19*6.15,0)+IF(ISNUMBER(P19),P19*12.24,0)+IF(ISNUMBER(Q19),Q19*39.14,0)+IF(ISNUMBER(R19),R19*39.14,0)+IF(ISNUMBER(S19),S19*40.31,0))</f>
        <v/>
      </c>
      <c r="AU19" s="56">
        <f>IF(E19="","",IF(ISNUMBER(AS19),AS19,0)+IF(ISNUMBER(AT19),AT19,0))</f>
        <v/>
      </c>
      <c r="AV19" s="55">
        <f>IF(F19="","",MAX(F19-SUM(T19:X19),0)*23.0+IF(ISNUMBER(T19),T19*19.69,0)+IF(ISNUMBER(U19),U19*16.74,0)+IF(ISNUMBER(V19),V19*20.28,0)+IF(ISNUMBER(W19),W19*19.69,0)+IF(ISNUMBER(X19),X19*19.69,0))</f>
        <v/>
      </c>
      <c r="AW19" s="55">
        <f>IF(G19="","",MAX(G19-SUM(Y19:AG19),0)*12.5+IF(ISNUMBER(Y19),Y19*11.84,0)+IF(ISNUMBER(Z19),Z19*14.34,0)+IF(ISNUMBER(AA19),AA19*16.93,0)+IF(ISNUMBER(AB19),AB19*19.52,0)+IF(ISNUMBER(AC19),AC19*22.35,0)+IF(ISNUMBER(AD19),AD19*13.92,0)+IF(ISNUMBER(AE19),AE19*21.55,0)+IF(ISNUMBER(AF19),AF19*13.92,0)+IF(ISNUMBER(AG19),AG19*13.92,0))</f>
        <v/>
      </c>
      <c r="AX19" s="55">
        <f>IF(AND(H19="",I19=""),"",65.0+IF(ISNUMBER(AH19),AH19*30.23,0)+IF(ISNUMBER(AI19),AI19*30.23,0)+IF(ISNUMBER(AJ19),AJ19*28.0,0))</f>
        <v/>
      </c>
      <c r="AY19" s="55">
        <f>IF(E19="","",953.0)</f>
        <v/>
      </c>
      <c r="AZ19" s="57">
        <f>IF(E19="","",IF(ISNUMBER(AU19),AU19,0)+IF(ISNUMBER(AV19),AV19,0)+IF(ISNUMBER(AW19),AW19,0)+IF(ISNUMBER(AX19),AX19,0)+IF(ISNUMBER(AY19),AY19,0))</f>
        <v/>
      </c>
      <c r="BA19" s="58">
        <f>IF(OR(E19="",AZ19=""),"",AZ19-AR19)</f>
        <v/>
      </c>
      <c r="BB19" s="59">
        <f>IF(OR(E19="",AZ19=0),"",BA19/AZ19)</f>
        <v/>
      </c>
      <c r="BC19" s="60" t="n"/>
    </row>
    <row r="20" ht="16" customHeight="1">
      <c r="A20" s="45" t="inlineStr">
        <is>
          <t>2/13/2026</t>
        </is>
      </c>
      <c r="B20" s="46" t="inlineStr">
        <is>
          <t>SK0930</t>
        </is>
      </c>
      <c r="C20" s="46" t="inlineStr">
        <is>
          <t>3333</t>
        </is>
      </c>
      <c r="D20" s="46" t="inlineStr">
        <is>
          <t>C2</t>
        </is>
      </c>
      <c r="E20" s="50" t="n"/>
      <c r="F20" s="50" t="n"/>
      <c r="G20" s="50" t="n"/>
      <c r="H20" s="50" t="n">
        <v>6</v>
      </c>
      <c r="I20" s="50" t="n">
        <v>2</v>
      </c>
      <c r="J20" s="48" t="n"/>
      <c r="K20" s="48" t="n"/>
      <c r="L20" s="48" t="n"/>
      <c r="M20" s="48" t="n"/>
      <c r="N20" s="48" t="n"/>
      <c r="O20" s="48" t="n"/>
      <c r="P20" s="48" t="n"/>
      <c r="Q20" s="48" t="n"/>
      <c r="R20" s="48" t="n"/>
      <c r="S20" s="48" t="n"/>
      <c r="T20" s="49" t="n"/>
      <c r="U20" s="49" t="n"/>
      <c r="V20" s="49" t="n"/>
      <c r="W20" s="49" t="n"/>
      <c r="X20" s="49" t="n"/>
      <c r="Y20" s="47" t="n"/>
      <c r="Z20" s="47" t="n"/>
      <c r="AA20" s="47" t="n"/>
      <c r="AB20" s="47" t="n"/>
      <c r="AC20" s="47" t="n"/>
      <c r="AD20" s="47" t="n"/>
      <c r="AE20" s="47" t="n"/>
      <c r="AF20" s="47" t="n"/>
      <c r="AG20" s="47" t="n"/>
      <c r="AH20" s="50" t="n"/>
      <c r="AI20" s="50" t="n"/>
      <c r="AJ20" s="50" t="n"/>
      <c r="AK20" s="51" t="inlineStr"/>
      <c r="AL20" s="52" t="n"/>
      <c r="AM20" s="53">
        <f>IF(E20="","",E20*28.11)</f>
        <v/>
      </c>
      <c r="AN20" s="53">
        <f>IF(F20="","",F20*17.08)</f>
        <v/>
      </c>
      <c r="AO20" s="53">
        <f>IF(G20="","",G20*8.25)</f>
        <v/>
      </c>
      <c r="AP20" s="53">
        <f>IF(AND(H20="",I20=""),"",IF(ISNUMBER(H20),H20*18.0,0)+IF(ISNUMBER(I20),I20*16.0,0))</f>
        <v/>
      </c>
      <c r="AQ20" s="53">
        <f>IF(E20="","",667.1)</f>
        <v/>
      </c>
      <c r="AR20" s="54">
        <f>IF(E20="","",IF(ISNUMBER(AM20),AM20,0)+IF(ISNUMBER(AN20),AN20,0)+IF(ISNUMBER(AO20),AO20,0)+IF(ISNUMBER(AP20),AP20,0)+IF(ISNUMBER(AQ20),AQ20,0))</f>
        <v/>
      </c>
      <c r="AS20" s="55">
        <f>IF(E20="","",MAX(E20-SUM(J20:S20),0)*42.5)</f>
        <v/>
      </c>
      <c r="AT20" s="55">
        <f>IF(E20="","",IF(ISNUMBER(J20),J20*39.14,0)+IF(ISNUMBER(K20),K20*12.23,0)+IF(ISNUMBER(L20),L20*12.15,0)+IF(ISNUMBER(M20),M20*7.62,0)+IF(ISNUMBER(N20),N20*10.21,0)+IF(ISNUMBER(O20),O20*6.15,0)+IF(ISNUMBER(P20),P20*12.24,0)+IF(ISNUMBER(Q20),Q20*39.14,0)+IF(ISNUMBER(R20),R20*39.14,0)+IF(ISNUMBER(S20),S20*40.31,0))</f>
        <v/>
      </c>
      <c r="AU20" s="56">
        <f>IF(E20="","",IF(ISNUMBER(AS20),AS20,0)+IF(ISNUMBER(AT20),AT20,0))</f>
        <v/>
      </c>
      <c r="AV20" s="55">
        <f>IF(F20="","",MAX(F20-SUM(T20:X20),0)*23.0+IF(ISNUMBER(T20),T20*19.69,0)+IF(ISNUMBER(U20),U20*16.74,0)+IF(ISNUMBER(V20),V20*20.28,0)+IF(ISNUMBER(W20),W20*19.69,0)+IF(ISNUMBER(X20),X20*19.69,0))</f>
        <v/>
      </c>
      <c r="AW20" s="55">
        <f>IF(G20="","",MAX(G20-SUM(Y20:AG20),0)*12.5+IF(ISNUMBER(Y20),Y20*11.84,0)+IF(ISNUMBER(Z20),Z20*14.34,0)+IF(ISNUMBER(AA20),AA20*16.93,0)+IF(ISNUMBER(AB20),AB20*19.52,0)+IF(ISNUMBER(AC20),AC20*22.35,0)+IF(ISNUMBER(AD20),AD20*13.92,0)+IF(ISNUMBER(AE20),AE20*21.55,0)+IF(ISNUMBER(AF20),AF20*13.92,0)+IF(ISNUMBER(AG20),AG20*13.92,0))</f>
        <v/>
      </c>
      <c r="AX20" s="55">
        <f>IF(AND(H20="",I20=""),"",65.0+IF(ISNUMBER(AH20),AH20*30.23,0)+IF(ISNUMBER(AI20),AI20*30.23,0)+IF(ISNUMBER(AJ20),AJ20*28.0,0))</f>
        <v/>
      </c>
      <c r="AY20" s="55">
        <f>IF(E20="","",953.0)</f>
        <v/>
      </c>
      <c r="AZ20" s="57">
        <f>IF(E20="","",IF(ISNUMBER(AU20),AU20,0)+IF(ISNUMBER(AV20),AV20,0)+IF(ISNUMBER(AW20),AW20,0)+IF(ISNUMBER(AX20),AX20,0)+IF(ISNUMBER(AY20),AY20,0))</f>
        <v/>
      </c>
      <c r="BA20" s="58">
        <f>IF(OR(E20="",AZ20=""),"",AZ20-AR20)</f>
        <v/>
      </c>
      <c r="BB20" s="59">
        <f>IF(OR(E20="",AZ20=0),"",BA20/AZ20)</f>
        <v/>
      </c>
      <c r="BC20" s="60" t="n"/>
    </row>
    <row r="21" ht="16" customHeight="1">
      <c r="A21" s="45" t="inlineStr">
        <is>
          <t>2/16/2026</t>
        </is>
      </c>
      <c r="B21" s="46" t="inlineStr">
        <is>
          <t>SK0930</t>
        </is>
      </c>
      <c r="C21" s="46" t="inlineStr">
        <is>
          <t>3333</t>
        </is>
      </c>
      <c r="D21" s="46" t="inlineStr">
        <is>
          <t>C2</t>
        </is>
      </c>
      <c r="E21" s="47" t="n">
        <v>32</v>
      </c>
      <c r="F21" s="47" t="n">
        <v>46</v>
      </c>
      <c r="G21" s="47" t="n">
        <v>116</v>
      </c>
      <c r="H21" s="47" t="n">
        <v>6</v>
      </c>
      <c r="I21" s="47" t="n">
        <v>2</v>
      </c>
      <c r="J21" s="48" t="n"/>
      <c r="K21" s="48" t="n"/>
      <c r="L21" s="48" t="n"/>
      <c r="M21" s="48" t="n"/>
      <c r="N21" s="48" t="n"/>
      <c r="O21" s="48" t="n"/>
      <c r="P21" s="48" t="n"/>
      <c r="Q21" s="48" t="n"/>
      <c r="R21" s="48" t="n"/>
      <c r="S21" s="48" t="n"/>
      <c r="T21" s="49" t="n"/>
      <c r="U21" s="49" t="n"/>
      <c r="V21" s="49" t="n"/>
      <c r="W21" s="49" t="n"/>
      <c r="X21" s="49" t="n"/>
      <c r="Y21" s="47" t="n"/>
      <c r="Z21" s="47" t="n"/>
      <c r="AA21" s="47" t="n"/>
      <c r="AB21" s="47" t="n"/>
      <c r="AC21" s="47" t="n"/>
      <c r="AD21" s="47" t="n"/>
      <c r="AE21" s="47" t="n"/>
      <c r="AF21" s="47" t="n"/>
      <c r="AG21" s="47" t="n"/>
      <c r="AH21" s="50" t="n"/>
      <c r="AI21" s="50" t="n"/>
      <c r="AJ21" s="50" t="n"/>
      <c r="AK21" s="51" t="inlineStr"/>
      <c r="AL21" s="52" t="n"/>
      <c r="AM21" s="53">
        <f>IF(E21="","",E21*28.11)</f>
        <v/>
      </c>
      <c r="AN21" s="53">
        <f>IF(F21="","",F21*17.08)</f>
        <v/>
      </c>
      <c r="AO21" s="53">
        <f>IF(G21="","",G21*8.25)</f>
        <v/>
      </c>
      <c r="AP21" s="53">
        <f>IF(AND(H21="",I21=""),"",IF(ISNUMBER(H21),H21*18.0,0)+IF(ISNUMBER(I21),I21*16.0,0))</f>
        <v/>
      </c>
      <c r="AQ21" s="53">
        <f>IF(E21="","",667.1)</f>
        <v/>
      </c>
      <c r="AR21" s="54">
        <f>IF(E21="","",IF(ISNUMBER(AM21),AM21,0)+IF(ISNUMBER(AN21),AN21,0)+IF(ISNUMBER(AO21),AO21,0)+IF(ISNUMBER(AP21),AP21,0)+IF(ISNUMBER(AQ21),AQ21,0))</f>
        <v/>
      </c>
      <c r="AS21" s="55">
        <f>IF(E21="","",MAX(E21-SUM(J21:S21),0)*42.5)</f>
        <v/>
      </c>
      <c r="AT21" s="55">
        <f>IF(E21="","",IF(ISNUMBER(J21),J21*39.14,0)+IF(ISNUMBER(K21),K21*12.23,0)+IF(ISNUMBER(L21),L21*12.15,0)+IF(ISNUMBER(M21),M21*7.62,0)+IF(ISNUMBER(N21),N21*10.21,0)+IF(ISNUMBER(O21),O21*6.15,0)+IF(ISNUMBER(P21),P21*12.24,0)+IF(ISNUMBER(Q21),Q21*39.14,0)+IF(ISNUMBER(R21),R21*39.14,0)+IF(ISNUMBER(S21),S21*40.31,0))</f>
        <v/>
      </c>
      <c r="AU21" s="56">
        <f>IF(E21="","",IF(ISNUMBER(AS21),AS21,0)+IF(ISNUMBER(AT21),AT21,0))</f>
        <v/>
      </c>
      <c r="AV21" s="55">
        <f>IF(F21="","",MAX(F21-SUM(T21:X21),0)*23.0+IF(ISNUMBER(T21),T21*19.69,0)+IF(ISNUMBER(U21),U21*16.74,0)+IF(ISNUMBER(V21),V21*20.28,0)+IF(ISNUMBER(W21),W21*19.69,0)+IF(ISNUMBER(X21),X21*19.69,0))</f>
        <v/>
      </c>
      <c r="AW21" s="55">
        <f>IF(G21="","",MAX(G21-SUM(Y21:AG21),0)*12.5+IF(ISNUMBER(Y21),Y21*11.84,0)+IF(ISNUMBER(Z21),Z21*14.34,0)+IF(ISNUMBER(AA21),AA21*16.93,0)+IF(ISNUMBER(AB21),AB21*19.52,0)+IF(ISNUMBER(AC21),AC21*22.35,0)+IF(ISNUMBER(AD21),AD21*13.92,0)+IF(ISNUMBER(AE21),AE21*21.55,0)+IF(ISNUMBER(AF21),AF21*13.92,0)+IF(ISNUMBER(AG21),AG21*13.92,0))</f>
        <v/>
      </c>
      <c r="AX21" s="55">
        <f>IF(AND(H21="",I21=""),"",65.0+IF(ISNUMBER(AH21),AH21*30.23,0)+IF(ISNUMBER(AI21),AI21*30.23,0)+IF(ISNUMBER(AJ21),AJ21*28.0,0))</f>
        <v/>
      </c>
      <c r="AY21" s="55">
        <f>IF(E21="","",953.0)</f>
        <v/>
      </c>
      <c r="AZ21" s="57">
        <f>IF(E21="","",IF(ISNUMBER(AU21),AU21,0)+IF(ISNUMBER(AV21),AV21,0)+IF(ISNUMBER(AW21),AW21,0)+IF(ISNUMBER(AX21),AX21,0)+IF(ISNUMBER(AY21),AY21,0))</f>
        <v/>
      </c>
      <c r="BA21" s="58">
        <f>IF(OR(E21="",AZ21=""),"",AZ21-AR21)</f>
        <v/>
      </c>
      <c r="BB21" s="59">
        <f>IF(OR(E21="",AZ21=0),"",BA21/AZ21)</f>
        <v/>
      </c>
      <c r="BC21" s="60" t="n"/>
    </row>
    <row r="22" ht="16" customHeight="1">
      <c r="A22" s="45" t="inlineStr">
        <is>
          <t>2/19/2026</t>
        </is>
      </c>
      <c r="B22" s="46" t="inlineStr">
        <is>
          <t>SK0930</t>
        </is>
      </c>
      <c r="C22" s="46" t="inlineStr">
        <is>
          <t>3333</t>
        </is>
      </c>
      <c r="D22" s="46" t="inlineStr">
        <is>
          <t>C2</t>
        </is>
      </c>
      <c r="E22" s="47" t="n">
        <v>32</v>
      </c>
      <c r="F22" s="47" t="n">
        <v>52</v>
      </c>
      <c r="G22" s="47" t="n">
        <v>136</v>
      </c>
      <c r="H22" s="47" t="n">
        <v>6</v>
      </c>
      <c r="I22" s="47" t="n">
        <v>2</v>
      </c>
      <c r="J22" s="48" t="n"/>
      <c r="K22" s="48" t="n"/>
      <c r="L22" s="48" t="n"/>
      <c r="M22" s="48" t="n"/>
      <c r="N22" s="48" t="n"/>
      <c r="O22" s="48" t="n"/>
      <c r="P22" s="48" t="n"/>
      <c r="Q22" s="48" t="n"/>
      <c r="R22" s="48" t="n"/>
      <c r="S22" s="48" t="n"/>
      <c r="T22" s="49" t="n"/>
      <c r="U22" s="49" t="n"/>
      <c r="V22" s="49" t="n"/>
      <c r="W22" s="49" t="n"/>
      <c r="X22" s="49" t="n"/>
      <c r="Y22" s="47" t="n"/>
      <c r="Z22" s="47" t="n"/>
      <c r="AA22" s="47" t="n"/>
      <c r="AB22" s="47" t="n"/>
      <c r="AC22" s="47" t="n"/>
      <c r="AD22" s="47" t="n"/>
      <c r="AE22" s="47" t="n"/>
      <c r="AF22" s="47" t="n"/>
      <c r="AG22" s="47" t="n"/>
      <c r="AH22" s="50" t="n"/>
      <c r="AI22" s="50" t="n"/>
      <c r="AJ22" s="50" t="n"/>
      <c r="AK22" s="51" t="inlineStr"/>
      <c r="AL22" s="52" t="n"/>
      <c r="AM22" s="53">
        <f>IF(E22="","",E22*28.11)</f>
        <v/>
      </c>
      <c r="AN22" s="53">
        <f>IF(F22="","",F22*17.08)</f>
        <v/>
      </c>
      <c r="AO22" s="53">
        <f>IF(G22="","",G22*8.25)</f>
        <v/>
      </c>
      <c r="AP22" s="53">
        <f>IF(AND(H22="",I22=""),"",IF(ISNUMBER(H22),H22*18.0,0)+IF(ISNUMBER(I22),I22*16.0,0))</f>
        <v/>
      </c>
      <c r="AQ22" s="53">
        <f>IF(E22="","",667.1)</f>
        <v/>
      </c>
      <c r="AR22" s="54">
        <f>IF(E22="","",IF(ISNUMBER(AM22),AM22,0)+IF(ISNUMBER(AN22),AN22,0)+IF(ISNUMBER(AO22),AO22,0)+IF(ISNUMBER(AP22),AP22,0)+IF(ISNUMBER(AQ22),AQ22,0))</f>
        <v/>
      </c>
      <c r="AS22" s="55">
        <f>IF(E22="","",MAX(E22-SUM(J22:S22),0)*42.5)</f>
        <v/>
      </c>
      <c r="AT22" s="55">
        <f>IF(E22="","",IF(ISNUMBER(J22),J22*39.14,0)+IF(ISNUMBER(K22),K22*12.23,0)+IF(ISNUMBER(L22),L22*12.15,0)+IF(ISNUMBER(M22),M22*7.62,0)+IF(ISNUMBER(N22),N22*10.21,0)+IF(ISNUMBER(O22),O22*6.15,0)+IF(ISNUMBER(P22),P22*12.24,0)+IF(ISNUMBER(Q22),Q22*39.14,0)+IF(ISNUMBER(R22),R22*39.14,0)+IF(ISNUMBER(S22),S22*40.31,0))</f>
        <v/>
      </c>
      <c r="AU22" s="56">
        <f>IF(E22="","",IF(ISNUMBER(AS22),AS22,0)+IF(ISNUMBER(AT22),AT22,0))</f>
        <v/>
      </c>
      <c r="AV22" s="55">
        <f>IF(F22="","",MAX(F22-SUM(T22:X22),0)*23.0+IF(ISNUMBER(T22),T22*19.69,0)+IF(ISNUMBER(U22),U22*16.74,0)+IF(ISNUMBER(V22),V22*20.28,0)+IF(ISNUMBER(W22),W22*19.69,0)+IF(ISNUMBER(X22),X22*19.69,0))</f>
        <v/>
      </c>
      <c r="AW22" s="55">
        <f>IF(G22="","",MAX(G22-SUM(Y22:AG22),0)*12.5+IF(ISNUMBER(Y22),Y22*11.84,0)+IF(ISNUMBER(Z22),Z22*14.34,0)+IF(ISNUMBER(AA22),AA22*16.93,0)+IF(ISNUMBER(AB22),AB22*19.52,0)+IF(ISNUMBER(AC22),AC22*22.35,0)+IF(ISNUMBER(AD22),AD22*13.92,0)+IF(ISNUMBER(AE22),AE22*21.55,0)+IF(ISNUMBER(AF22),AF22*13.92,0)+IF(ISNUMBER(AG22),AG22*13.92,0))</f>
        <v/>
      </c>
      <c r="AX22" s="55">
        <f>IF(AND(H22="",I22=""),"",65.0+IF(ISNUMBER(AH22),AH22*30.23,0)+IF(ISNUMBER(AI22),AI22*30.23,0)+IF(ISNUMBER(AJ22),AJ22*28.0,0))</f>
        <v/>
      </c>
      <c r="AY22" s="55">
        <f>IF(E22="","",953.0)</f>
        <v/>
      </c>
      <c r="AZ22" s="57">
        <f>IF(E22="","",IF(ISNUMBER(AU22),AU22,0)+IF(ISNUMBER(AV22),AV22,0)+IF(ISNUMBER(AW22),AW22,0)+IF(ISNUMBER(AX22),AX22,0)+IF(ISNUMBER(AY22),AY22,0))</f>
        <v/>
      </c>
      <c r="BA22" s="58">
        <f>IF(OR(E22="",AZ22=""),"",AZ22-AR22)</f>
        <v/>
      </c>
      <c r="BB22" s="59">
        <f>IF(OR(E22="",AZ22=0),"",BA22/AZ22)</f>
        <v/>
      </c>
      <c r="BC22" s="60" t="n"/>
    </row>
    <row r="23" ht="16" customHeight="1">
      <c r="A23" s="45" t="inlineStr">
        <is>
          <t>2/20/2026</t>
        </is>
      </c>
      <c r="B23" s="46" t="inlineStr">
        <is>
          <t>SK0930</t>
        </is>
      </c>
      <c r="C23" s="46" t="inlineStr">
        <is>
          <t>3333</t>
        </is>
      </c>
      <c r="D23" s="46" t="inlineStr">
        <is>
          <t>C2</t>
        </is>
      </c>
      <c r="E23" s="47" t="n">
        <v>32</v>
      </c>
      <c r="F23" s="47" t="n">
        <v>52</v>
      </c>
      <c r="G23" s="47" t="n">
        <v>136</v>
      </c>
      <c r="H23" s="47" t="n">
        <v>6</v>
      </c>
      <c r="I23" s="47" t="n">
        <v>2</v>
      </c>
      <c r="J23" s="48" t="n"/>
      <c r="K23" s="48" t="n"/>
      <c r="L23" s="48" t="n"/>
      <c r="M23" s="48" t="n"/>
      <c r="N23" s="48" t="n"/>
      <c r="O23" s="48" t="n"/>
      <c r="P23" s="48" t="n"/>
      <c r="Q23" s="48" t="n"/>
      <c r="R23" s="48" t="n"/>
      <c r="S23" s="48" t="n"/>
      <c r="T23" s="49" t="n"/>
      <c r="U23" s="49" t="n"/>
      <c r="V23" s="49" t="n"/>
      <c r="W23" s="49" t="n"/>
      <c r="X23" s="49" t="n"/>
      <c r="Y23" s="47" t="n"/>
      <c r="Z23" s="47" t="n"/>
      <c r="AA23" s="47" t="n"/>
      <c r="AB23" s="47" t="n"/>
      <c r="AC23" s="47" t="n"/>
      <c r="AD23" s="47" t="n"/>
      <c r="AE23" s="47" t="n"/>
      <c r="AF23" s="47" t="n"/>
      <c r="AG23" s="47" t="n"/>
      <c r="AH23" s="50" t="n"/>
      <c r="AI23" s="50" t="n"/>
      <c r="AJ23" s="50" t="n"/>
      <c r="AK23" s="51" t="inlineStr"/>
      <c r="AL23" s="52" t="n"/>
      <c r="AM23" s="53">
        <f>IF(E23="","",E23*28.11)</f>
        <v/>
      </c>
      <c r="AN23" s="53">
        <f>IF(F23="","",F23*17.08)</f>
        <v/>
      </c>
      <c r="AO23" s="53">
        <f>IF(G23="","",G23*8.25)</f>
        <v/>
      </c>
      <c r="AP23" s="53">
        <f>IF(AND(H23="",I23=""),"",IF(ISNUMBER(H23),H23*18.0,0)+IF(ISNUMBER(I23),I23*16.0,0))</f>
        <v/>
      </c>
      <c r="AQ23" s="53">
        <f>IF(E23="","",667.1)</f>
        <v/>
      </c>
      <c r="AR23" s="54">
        <f>IF(E23="","",IF(ISNUMBER(AM23),AM23,0)+IF(ISNUMBER(AN23),AN23,0)+IF(ISNUMBER(AO23),AO23,0)+IF(ISNUMBER(AP23),AP23,0)+IF(ISNUMBER(AQ23),AQ23,0))</f>
        <v/>
      </c>
      <c r="AS23" s="55">
        <f>IF(E23="","",MAX(E23-SUM(J23:S23),0)*42.5)</f>
        <v/>
      </c>
      <c r="AT23" s="55">
        <f>IF(E23="","",IF(ISNUMBER(J23),J23*39.14,0)+IF(ISNUMBER(K23),K23*12.23,0)+IF(ISNUMBER(L23),L23*12.15,0)+IF(ISNUMBER(M23),M23*7.62,0)+IF(ISNUMBER(N23),N23*10.21,0)+IF(ISNUMBER(O23),O23*6.15,0)+IF(ISNUMBER(P23),P23*12.24,0)+IF(ISNUMBER(Q23),Q23*39.14,0)+IF(ISNUMBER(R23),R23*39.14,0)+IF(ISNUMBER(S23),S23*40.31,0))</f>
        <v/>
      </c>
      <c r="AU23" s="56">
        <f>IF(E23="","",IF(ISNUMBER(AS23),AS23,0)+IF(ISNUMBER(AT23),AT23,0))</f>
        <v/>
      </c>
      <c r="AV23" s="55">
        <f>IF(F23="","",MAX(F23-SUM(T23:X23),0)*23.0+IF(ISNUMBER(T23),T23*19.69,0)+IF(ISNUMBER(U23),U23*16.74,0)+IF(ISNUMBER(V23),V23*20.28,0)+IF(ISNUMBER(W23),W23*19.69,0)+IF(ISNUMBER(X23),X23*19.69,0))</f>
        <v/>
      </c>
      <c r="AW23" s="55">
        <f>IF(G23="","",MAX(G23-SUM(Y23:AG23),0)*12.5+IF(ISNUMBER(Y23),Y23*11.84,0)+IF(ISNUMBER(Z23),Z23*14.34,0)+IF(ISNUMBER(AA23),AA23*16.93,0)+IF(ISNUMBER(AB23),AB23*19.52,0)+IF(ISNUMBER(AC23),AC23*22.35,0)+IF(ISNUMBER(AD23),AD23*13.92,0)+IF(ISNUMBER(AE23),AE23*21.55,0)+IF(ISNUMBER(AF23),AF23*13.92,0)+IF(ISNUMBER(AG23),AG23*13.92,0))</f>
        <v/>
      </c>
      <c r="AX23" s="55">
        <f>IF(AND(H23="",I23=""),"",65.0+IF(ISNUMBER(AH23),AH23*30.23,0)+IF(ISNUMBER(AI23),AI23*30.23,0)+IF(ISNUMBER(AJ23),AJ23*28.0,0))</f>
        <v/>
      </c>
      <c r="AY23" s="55">
        <f>IF(E23="","",953.0)</f>
        <v/>
      </c>
      <c r="AZ23" s="57">
        <f>IF(E23="","",IF(ISNUMBER(AU23),AU23,0)+IF(ISNUMBER(AV23),AV23,0)+IF(ISNUMBER(AW23),AW23,0)+IF(ISNUMBER(AX23),AX23,0)+IF(ISNUMBER(AY23),AY23,0))</f>
        <v/>
      </c>
      <c r="BA23" s="58">
        <f>IF(OR(E23="",AZ23=""),"",AZ23-AR23)</f>
        <v/>
      </c>
      <c r="BB23" s="59">
        <f>IF(OR(E23="",AZ23=0),"",BA23/AZ23)</f>
        <v/>
      </c>
      <c r="BC23" s="60" t="n"/>
    </row>
    <row r="24" ht="16" customHeight="1">
      <c r="A24" s="45" t="inlineStr">
        <is>
          <t>2/23/2026</t>
        </is>
      </c>
      <c r="B24" s="46" t="inlineStr">
        <is>
          <t>SK0930</t>
        </is>
      </c>
      <c r="C24" s="46" t="inlineStr">
        <is>
          <t>3333</t>
        </is>
      </c>
      <c r="D24" s="46" t="inlineStr">
        <is>
          <t>C2</t>
        </is>
      </c>
      <c r="E24" s="47" t="n">
        <v>32</v>
      </c>
      <c r="F24" s="47" t="n">
        <v>52</v>
      </c>
      <c r="G24" s="47" t="n">
        <v>158</v>
      </c>
      <c r="H24" s="47" t="n">
        <v>6</v>
      </c>
      <c r="I24" s="47" t="n">
        <v>2</v>
      </c>
      <c r="J24" s="48" t="n"/>
      <c r="K24" s="48" t="n"/>
      <c r="L24" s="48" t="n"/>
      <c r="M24" s="48" t="n"/>
      <c r="N24" s="48" t="n"/>
      <c r="O24" s="48" t="n"/>
      <c r="P24" s="48" t="n"/>
      <c r="Q24" s="48" t="n"/>
      <c r="R24" s="48" t="n"/>
      <c r="S24" s="48" t="n"/>
      <c r="T24" s="49" t="n"/>
      <c r="U24" s="49" t="n"/>
      <c r="V24" s="49" t="n"/>
      <c r="W24" s="49" t="n"/>
      <c r="X24" s="49" t="n"/>
      <c r="Y24" s="47" t="n"/>
      <c r="Z24" s="47" t="n"/>
      <c r="AA24" s="47" t="n"/>
      <c r="AB24" s="47" t="n"/>
      <c r="AC24" s="47" t="n"/>
      <c r="AD24" s="47" t="n"/>
      <c r="AE24" s="47" t="n"/>
      <c r="AF24" s="47" t="n"/>
      <c r="AG24" s="47" t="n"/>
      <c r="AH24" s="50" t="n"/>
      <c r="AI24" s="50" t="n"/>
      <c r="AJ24" s="50" t="n"/>
      <c r="AK24" s="51" t="inlineStr"/>
      <c r="AL24" s="52" t="n"/>
      <c r="AM24" s="53">
        <f>IF(E24="","",E24*28.11)</f>
        <v/>
      </c>
      <c r="AN24" s="53">
        <f>IF(F24="","",F24*17.08)</f>
        <v/>
      </c>
      <c r="AO24" s="53">
        <f>IF(G24="","",G24*8.25)</f>
        <v/>
      </c>
      <c r="AP24" s="53">
        <f>IF(AND(H24="",I24=""),"",IF(ISNUMBER(H24),H24*18.0,0)+IF(ISNUMBER(I24),I24*16.0,0))</f>
        <v/>
      </c>
      <c r="AQ24" s="53">
        <f>IF(E24="","",667.1)</f>
        <v/>
      </c>
      <c r="AR24" s="54">
        <f>IF(E24="","",IF(ISNUMBER(AM24),AM24,0)+IF(ISNUMBER(AN24),AN24,0)+IF(ISNUMBER(AO24),AO24,0)+IF(ISNUMBER(AP24),AP24,0)+IF(ISNUMBER(AQ24),AQ24,0))</f>
        <v/>
      </c>
      <c r="AS24" s="55">
        <f>IF(E24="","",MAX(E24-SUM(J24:S24),0)*42.5)</f>
        <v/>
      </c>
      <c r="AT24" s="55">
        <f>IF(E24="","",IF(ISNUMBER(J24),J24*39.14,0)+IF(ISNUMBER(K24),K24*12.23,0)+IF(ISNUMBER(L24),L24*12.15,0)+IF(ISNUMBER(M24),M24*7.62,0)+IF(ISNUMBER(N24),N24*10.21,0)+IF(ISNUMBER(O24),O24*6.15,0)+IF(ISNUMBER(P24),P24*12.24,0)+IF(ISNUMBER(Q24),Q24*39.14,0)+IF(ISNUMBER(R24),R24*39.14,0)+IF(ISNUMBER(S24),S24*40.31,0))</f>
        <v/>
      </c>
      <c r="AU24" s="56">
        <f>IF(E24="","",IF(ISNUMBER(AS24),AS24,0)+IF(ISNUMBER(AT24),AT24,0))</f>
        <v/>
      </c>
      <c r="AV24" s="55">
        <f>IF(F24="","",MAX(F24-SUM(T24:X24),0)*23.0+IF(ISNUMBER(T24),T24*19.69,0)+IF(ISNUMBER(U24),U24*16.74,0)+IF(ISNUMBER(V24),V24*20.28,0)+IF(ISNUMBER(W24),W24*19.69,0)+IF(ISNUMBER(X24),X24*19.69,0))</f>
        <v/>
      </c>
      <c r="AW24" s="55">
        <f>IF(G24="","",MAX(G24-SUM(Y24:AG24),0)*12.5+IF(ISNUMBER(Y24),Y24*11.84,0)+IF(ISNUMBER(Z24),Z24*14.34,0)+IF(ISNUMBER(AA24),AA24*16.93,0)+IF(ISNUMBER(AB24),AB24*19.52,0)+IF(ISNUMBER(AC24),AC24*22.35,0)+IF(ISNUMBER(AD24),AD24*13.92,0)+IF(ISNUMBER(AE24),AE24*21.55,0)+IF(ISNUMBER(AF24),AF24*13.92,0)+IF(ISNUMBER(AG24),AG24*13.92,0))</f>
        <v/>
      </c>
      <c r="AX24" s="55">
        <f>IF(AND(H24="",I24=""),"",65.0+IF(ISNUMBER(AH24),AH24*30.23,0)+IF(ISNUMBER(AI24),AI24*30.23,0)+IF(ISNUMBER(AJ24),AJ24*28.0,0))</f>
        <v/>
      </c>
      <c r="AY24" s="55">
        <f>IF(E24="","",953.0)</f>
        <v/>
      </c>
      <c r="AZ24" s="57">
        <f>IF(E24="","",IF(ISNUMBER(AU24),AU24,0)+IF(ISNUMBER(AV24),AV24,0)+IF(ISNUMBER(AW24),AW24,0)+IF(ISNUMBER(AX24),AX24,0)+IF(ISNUMBER(AY24),AY24,0))</f>
        <v/>
      </c>
      <c r="BA24" s="58">
        <f>IF(OR(E24="",AZ24=""),"",AZ24-AR24)</f>
        <v/>
      </c>
      <c r="BB24" s="59">
        <f>IF(OR(E24="",AZ24=0),"",BA24/AZ24)</f>
        <v/>
      </c>
      <c r="BC24" s="60" t="n"/>
    </row>
    <row r="25" ht="16" customHeight="1">
      <c r="A25" s="45" t="inlineStr">
        <is>
          <t>2/24/2026</t>
        </is>
      </c>
      <c r="B25" s="46" t="inlineStr">
        <is>
          <t>SK0930</t>
        </is>
      </c>
      <c r="C25" s="46" t="inlineStr">
        <is>
          <t>3333</t>
        </is>
      </c>
      <c r="D25" s="46" t="inlineStr">
        <is>
          <t>C2</t>
        </is>
      </c>
      <c r="E25" s="47" t="n">
        <v>32</v>
      </c>
      <c r="F25" s="47" t="n">
        <v>56</v>
      </c>
      <c r="G25" s="47" t="n">
        <v>169</v>
      </c>
      <c r="H25" s="47" t="n">
        <v>6</v>
      </c>
      <c r="I25" s="47" t="n">
        <v>2</v>
      </c>
      <c r="J25" s="48" t="n"/>
      <c r="K25" s="48" t="n"/>
      <c r="L25" s="48" t="n"/>
      <c r="M25" s="48" t="n"/>
      <c r="N25" s="48" t="n"/>
      <c r="O25" s="48" t="n"/>
      <c r="P25" s="48" t="n"/>
      <c r="Q25" s="48" t="n"/>
      <c r="R25" s="48" t="n"/>
      <c r="S25" s="48" t="n"/>
      <c r="T25" s="49" t="n"/>
      <c r="U25" s="49" t="n"/>
      <c r="V25" s="49" t="n"/>
      <c r="W25" s="49" t="n"/>
      <c r="X25" s="49" t="n"/>
      <c r="Y25" s="47" t="n"/>
      <c r="Z25" s="47" t="n"/>
      <c r="AA25" s="47" t="n"/>
      <c r="AB25" s="47" t="n"/>
      <c r="AC25" s="47" t="n"/>
      <c r="AD25" s="47" t="n"/>
      <c r="AE25" s="47" t="n"/>
      <c r="AF25" s="47" t="n"/>
      <c r="AG25" s="47" t="n"/>
      <c r="AH25" s="50" t="n"/>
      <c r="AI25" s="50" t="n"/>
      <c r="AJ25" s="50" t="n"/>
      <c r="AK25" s="51" t="inlineStr"/>
      <c r="AL25" s="52" t="n"/>
      <c r="AM25" s="53">
        <f>IF(E25="","",E25*28.11)</f>
        <v/>
      </c>
      <c r="AN25" s="53">
        <f>IF(F25="","",F25*17.08)</f>
        <v/>
      </c>
      <c r="AO25" s="53">
        <f>IF(G25="","",G25*8.25)</f>
        <v/>
      </c>
      <c r="AP25" s="53">
        <f>IF(AND(H25="",I25=""),"",IF(ISNUMBER(H25),H25*18.0,0)+IF(ISNUMBER(I25),I25*16.0,0))</f>
        <v/>
      </c>
      <c r="AQ25" s="53">
        <f>IF(E25="","",667.1)</f>
        <v/>
      </c>
      <c r="AR25" s="54">
        <f>IF(E25="","",IF(ISNUMBER(AM25),AM25,0)+IF(ISNUMBER(AN25),AN25,0)+IF(ISNUMBER(AO25),AO25,0)+IF(ISNUMBER(AP25),AP25,0)+IF(ISNUMBER(AQ25),AQ25,0))</f>
        <v/>
      </c>
      <c r="AS25" s="55">
        <f>IF(E25="","",MAX(E25-SUM(J25:S25),0)*42.5)</f>
        <v/>
      </c>
      <c r="AT25" s="55">
        <f>IF(E25="","",IF(ISNUMBER(J25),J25*39.14,0)+IF(ISNUMBER(K25),K25*12.23,0)+IF(ISNUMBER(L25),L25*12.15,0)+IF(ISNUMBER(M25),M25*7.62,0)+IF(ISNUMBER(N25),N25*10.21,0)+IF(ISNUMBER(O25),O25*6.15,0)+IF(ISNUMBER(P25),P25*12.24,0)+IF(ISNUMBER(Q25),Q25*39.14,0)+IF(ISNUMBER(R25),R25*39.14,0)+IF(ISNUMBER(S25),S25*40.31,0))</f>
        <v/>
      </c>
      <c r="AU25" s="56">
        <f>IF(E25="","",IF(ISNUMBER(AS25),AS25,0)+IF(ISNUMBER(AT25),AT25,0))</f>
        <v/>
      </c>
      <c r="AV25" s="55">
        <f>IF(F25="","",MAX(F25-SUM(T25:X25),0)*23.0+IF(ISNUMBER(T25),T25*19.69,0)+IF(ISNUMBER(U25),U25*16.74,0)+IF(ISNUMBER(V25),V25*20.28,0)+IF(ISNUMBER(W25),W25*19.69,0)+IF(ISNUMBER(X25),X25*19.69,0))</f>
        <v/>
      </c>
      <c r="AW25" s="55">
        <f>IF(G25="","",MAX(G25-SUM(Y25:AG25),0)*12.5+IF(ISNUMBER(Y25),Y25*11.84,0)+IF(ISNUMBER(Z25),Z25*14.34,0)+IF(ISNUMBER(AA25),AA25*16.93,0)+IF(ISNUMBER(AB25),AB25*19.52,0)+IF(ISNUMBER(AC25),AC25*22.35,0)+IF(ISNUMBER(AD25),AD25*13.92,0)+IF(ISNUMBER(AE25),AE25*21.55,0)+IF(ISNUMBER(AF25),AF25*13.92,0)+IF(ISNUMBER(AG25),AG25*13.92,0))</f>
        <v/>
      </c>
      <c r="AX25" s="55">
        <f>IF(AND(H25="",I25=""),"",65.0+IF(ISNUMBER(AH25),AH25*30.23,0)+IF(ISNUMBER(AI25),AI25*30.23,0)+IF(ISNUMBER(AJ25),AJ25*28.0,0))</f>
        <v/>
      </c>
      <c r="AY25" s="55">
        <f>IF(E25="","",953.0)</f>
        <v/>
      </c>
      <c r="AZ25" s="57">
        <f>IF(E25="","",IF(ISNUMBER(AU25),AU25,0)+IF(ISNUMBER(AV25),AV25,0)+IF(ISNUMBER(AW25),AW25,0)+IF(ISNUMBER(AX25),AX25,0)+IF(ISNUMBER(AY25),AY25,0))</f>
        <v/>
      </c>
      <c r="BA25" s="58">
        <f>IF(OR(E25="",AZ25=""),"",AZ25-AR25)</f>
        <v/>
      </c>
      <c r="BB25" s="59">
        <f>IF(OR(E25="",AZ25=0),"",BA25/AZ25)</f>
        <v/>
      </c>
      <c r="BC25" s="60" t="n"/>
    </row>
    <row r="26" ht="16" customHeight="1">
      <c r="A26" s="45" t="inlineStr">
        <is>
          <t>2/26/2026</t>
        </is>
      </c>
      <c r="B26" s="46" t="inlineStr">
        <is>
          <t>SK0930</t>
        </is>
      </c>
      <c r="C26" s="46" t="inlineStr">
        <is>
          <t>3333</t>
        </is>
      </c>
      <c r="D26" s="46" t="inlineStr">
        <is>
          <t>C2</t>
        </is>
      </c>
      <c r="E26" s="47" t="n">
        <v>32</v>
      </c>
      <c r="F26" s="47" t="n">
        <v>53</v>
      </c>
      <c r="G26" s="47" t="n">
        <v>173</v>
      </c>
      <c r="H26" s="47" t="n">
        <v>6</v>
      </c>
      <c r="I26" s="47" t="n">
        <v>2</v>
      </c>
      <c r="J26" s="48" t="n"/>
      <c r="K26" s="48" t="n"/>
      <c r="L26" s="48" t="n"/>
      <c r="M26" s="48" t="n"/>
      <c r="N26" s="48" t="n"/>
      <c r="O26" s="48" t="n"/>
      <c r="P26" s="48" t="n"/>
      <c r="Q26" s="48" t="n"/>
      <c r="R26" s="48" t="n"/>
      <c r="S26" s="48" t="n"/>
      <c r="T26" s="49" t="n"/>
      <c r="U26" s="49" t="n"/>
      <c r="V26" s="49" t="n"/>
      <c r="W26" s="49" t="n"/>
      <c r="X26" s="49" t="n"/>
      <c r="Y26" s="47" t="n"/>
      <c r="Z26" s="47" t="n"/>
      <c r="AA26" s="47" t="n"/>
      <c r="AB26" s="47" t="n"/>
      <c r="AC26" s="47" t="n"/>
      <c r="AD26" s="47" t="n"/>
      <c r="AE26" s="47" t="n"/>
      <c r="AF26" s="47" t="n"/>
      <c r="AG26" s="47" t="n"/>
      <c r="AH26" s="50" t="n"/>
      <c r="AI26" s="50" t="n"/>
      <c r="AJ26" s="50" t="n"/>
      <c r="AK26" s="51" t="inlineStr"/>
      <c r="AL26" s="52" t="n"/>
      <c r="AM26" s="53">
        <f>IF(E26="","",E26*28.11)</f>
        <v/>
      </c>
      <c r="AN26" s="53">
        <f>IF(F26="","",F26*17.08)</f>
        <v/>
      </c>
      <c r="AO26" s="53">
        <f>IF(G26="","",G26*8.25)</f>
        <v/>
      </c>
      <c r="AP26" s="53">
        <f>IF(AND(H26="",I26=""),"",IF(ISNUMBER(H26),H26*18.0,0)+IF(ISNUMBER(I26),I26*16.0,0))</f>
        <v/>
      </c>
      <c r="AQ26" s="53">
        <f>IF(E26="","",667.1)</f>
        <v/>
      </c>
      <c r="AR26" s="54">
        <f>IF(E26="","",IF(ISNUMBER(AM26),AM26,0)+IF(ISNUMBER(AN26),AN26,0)+IF(ISNUMBER(AO26),AO26,0)+IF(ISNUMBER(AP26),AP26,0)+IF(ISNUMBER(AQ26),AQ26,0))</f>
        <v/>
      </c>
      <c r="AS26" s="55">
        <f>IF(E26="","",MAX(E26-SUM(J26:S26),0)*42.5)</f>
        <v/>
      </c>
      <c r="AT26" s="55">
        <f>IF(E26="","",IF(ISNUMBER(J26),J26*39.14,0)+IF(ISNUMBER(K26),K26*12.23,0)+IF(ISNUMBER(L26),L26*12.15,0)+IF(ISNUMBER(M26),M26*7.62,0)+IF(ISNUMBER(N26),N26*10.21,0)+IF(ISNUMBER(O26),O26*6.15,0)+IF(ISNUMBER(P26),P26*12.24,0)+IF(ISNUMBER(Q26),Q26*39.14,0)+IF(ISNUMBER(R26),R26*39.14,0)+IF(ISNUMBER(S26),S26*40.31,0))</f>
        <v/>
      </c>
      <c r="AU26" s="56">
        <f>IF(E26="","",IF(ISNUMBER(AS26),AS26,0)+IF(ISNUMBER(AT26),AT26,0))</f>
        <v/>
      </c>
      <c r="AV26" s="55">
        <f>IF(F26="","",MAX(F26-SUM(T26:X26),0)*23.0+IF(ISNUMBER(T26),T26*19.69,0)+IF(ISNUMBER(U26),U26*16.74,0)+IF(ISNUMBER(V26),V26*20.28,0)+IF(ISNUMBER(W26),W26*19.69,0)+IF(ISNUMBER(X26),X26*19.69,0))</f>
        <v/>
      </c>
      <c r="AW26" s="55">
        <f>IF(G26="","",MAX(G26-SUM(Y26:AG26),0)*12.5+IF(ISNUMBER(Y26),Y26*11.84,0)+IF(ISNUMBER(Z26),Z26*14.34,0)+IF(ISNUMBER(AA26),AA26*16.93,0)+IF(ISNUMBER(AB26),AB26*19.52,0)+IF(ISNUMBER(AC26),AC26*22.35,0)+IF(ISNUMBER(AD26),AD26*13.92,0)+IF(ISNUMBER(AE26),AE26*21.55,0)+IF(ISNUMBER(AF26),AF26*13.92,0)+IF(ISNUMBER(AG26),AG26*13.92,0))</f>
        <v/>
      </c>
      <c r="AX26" s="55">
        <f>IF(AND(H26="",I26=""),"",65.0+IF(ISNUMBER(AH26),AH26*30.23,0)+IF(ISNUMBER(AI26),AI26*30.23,0)+IF(ISNUMBER(AJ26),AJ26*28.0,0))</f>
        <v/>
      </c>
      <c r="AY26" s="55">
        <f>IF(E26="","",953.0)</f>
        <v/>
      </c>
      <c r="AZ26" s="57">
        <f>IF(E26="","",IF(ISNUMBER(AU26),AU26,0)+IF(ISNUMBER(AV26),AV26,0)+IF(ISNUMBER(AW26),AW26,0)+IF(ISNUMBER(AX26),AX26,0)+IF(ISNUMBER(AY26),AY26,0))</f>
        <v/>
      </c>
      <c r="BA26" s="58">
        <f>IF(OR(E26="",AZ26=""),"",AZ26-AR26)</f>
        <v/>
      </c>
      <c r="BB26" s="59">
        <f>IF(OR(E26="",AZ26=0),"",BA26/AZ26)</f>
        <v/>
      </c>
      <c r="BC26" s="60" t="n"/>
    </row>
    <row r="27" ht="16" customHeight="1">
      <c r="A27" s="45" t="inlineStr">
        <is>
          <t>2/28/2026</t>
        </is>
      </c>
      <c r="B27" s="46" t="inlineStr">
        <is>
          <t>SK0930</t>
        </is>
      </c>
      <c r="C27" s="46" t="inlineStr">
        <is>
          <t>3333</t>
        </is>
      </c>
      <c r="D27" s="46" t="inlineStr">
        <is>
          <t>C2</t>
        </is>
      </c>
      <c r="E27" s="47" t="n">
        <v>32</v>
      </c>
      <c r="F27" s="47" t="n">
        <v>56</v>
      </c>
      <c r="G27" s="47" t="n">
        <v>174</v>
      </c>
      <c r="H27" s="47" t="n">
        <v>6</v>
      </c>
      <c r="I27" s="47" t="n">
        <v>2</v>
      </c>
      <c r="J27" s="48" t="n"/>
      <c r="K27" s="48" t="n"/>
      <c r="L27" s="48" t="n"/>
      <c r="M27" s="48" t="n"/>
      <c r="N27" s="48" t="n"/>
      <c r="O27" s="48" t="n"/>
      <c r="P27" s="48" t="n"/>
      <c r="Q27" s="48" t="n"/>
      <c r="R27" s="48" t="n"/>
      <c r="S27" s="48" t="n"/>
      <c r="T27" s="49" t="n"/>
      <c r="U27" s="49" t="n"/>
      <c r="V27" s="49" t="n"/>
      <c r="W27" s="49" t="n"/>
      <c r="X27" s="49" t="n"/>
      <c r="Y27" s="47" t="n"/>
      <c r="Z27" s="47" t="n"/>
      <c r="AA27" s="47" t="n"/>
      <c r="AB27" s="47" t="n"/>
      <c r="AC27" s="47" t="n"/>
      <c r="AD27" s="47" t="n"/>
      <c r="AE27" s="47" t="n"/>
      <c r="AF27" s="47" t="n"/>
      <c r="AG27" s="47" t="n"/>
      <c r="AH27" s="50" t="n"/>
      <c r="AI27" s="50" t="n"/>
      <c r="AJ27" s="50" t="n"/>
      <c r="AK27" s="51" t="inlineStr"/>
      <c r="AL27" s="52" t="n"/>
      <c r="AM27" s="53">
        <f>IF(E27="","",E27*28.11)</f>
        <v/>
      </c>
      <c r="AN27" s="53">
        <f>IF(F27="","",F27*17.08)</f>
        <v/>
      </c>
      <c r="AO27" s="53">
        <f>IF(G27="","",G27*8.25)</f>
        <v/>
      </c>
      <c r="AP27" s="53">
        <f>IF(AND(H27="",I27=""),"",IF(ISNUMBER(H27),H27*18.0,0)+IF(ISNUMBER(I27),I27*16.0,0))</f>
        <v/>
      </c>
      <c r="AQ27" s="53">
        <f>IF(E27="","",667.1)</f>
        <v/>
      </c>
      <c r="AR27" s="54">
        <f>IF(E27="","",IF(ISNUMBER(AM27),AM27,0)+IF(ISNUMBER(AN27),AN27,0)+IF(ISNUMBER(AO27),AO27,0)+IF(ISNUMBER(AP27),AP27,0)+IF(ISNUMBER(AQ27),AQ27,0))</f>
        <v/>
      </c>
      <c r="AS27" s="55">
        <f>IF(E27="","",MAX(E27-SUM(J27:S27),0)*42.5)</f>
        <v/>
      </c>
      <c r="AT27" s="55">
        <f>IF(E27="","",IF(ISNUMBER(J27),J27*39.14,0)+IF(ISNUMBER(K27),K27*12.23,0)+IF(ISNUMBER(L27),L27*12.15,0)+IF(ISNUMBER(M27),M27*7.62,0)+IF(ISNUMBER(N27),N27*10.21,0)+IF(ISNUMBER(O27),O27*6.15,0)+IF(ISNUMBER(P27),P27*12.24,0)+IF(ISNUMBER(Q27),Q27*39.14,0)+IF(ISNUMBER(R27),R27*39.14,0)+IF(ISNUMBER(S27),S27*40.31,0))</f>
        <v/>
      </c>
      <c r="AU27" s="56">
        <f>IF(E27="","",IF(ISNUMBER(AS27),AS27,0)+IF(ISNUMBER(AT27),AT27,0))</f>
        <v/>
      </c>
      <c r="AV27" s="55">
        <f>IF(F27="","",MAX(F27-SUM(T27:X27),0)*23.0+IF(ISNUMBER(T27),T27*19.69,0)+IF(ISNUMBER(U27),U27*16.74,0)+IF(ISNUMBER(V27),V27*20.28,0)+IF(ISNUMBER(W27),W27*19.69,0)+IF(ISNUMBER(X27),X27*19.69,0))</f>
        <v/>
      </c>
      <c r="AW27" s="55">
        <f>IF(G27="","",MAX(G27-SUM(Y27:AG27),0)*12.5+IF(ISNUMBER(Y27),Y27*11.84,0)+IF(ISNUMBER(Z27),Z27*14.34,0)+IF(ISNUMBER(AA27),AA27*16.93,0)+IF(ISNUMBER(AB27),AB27*19.52,0)+IF(ISNUMBER(AC27),AC27*22.35,0)+IF(ISNUMBER(AD27),AD27*13.92,0)+IF(ISNUMBER(AE27),AE27*21.55,0)+IF(ISNUMBER(AF27),AF27*13.92,0)+IF(ISNUMBER(AG27),AG27*13.92,0))</f>
        <v/>
      </c>
      <c r="AX27" s="55">
        <f>IF(AND(H27="",I27=""),"",65.0+IF(ISNUMBER(AH27),AH27*30.23,0)+IF(ISNUMBER(AI27),AI27*30.23,0)+IF(ISNUMBER(AJ27),AJ27*28.0,0))</f>
        <v/>
      </c>
      <c r="AY27" s="55">
        <f>IF(E27="","",953.0)</f>
        <v/>
      </c>
      <c r="AZ27" s="57">
        <f>IF(E27="","",IF(ISNUMBER(AU27),AU27,0)+IF(ISNUMBER(AV27),AV27,0)+IF(ISNUMBER(AW27),AW27,0)+IF(ISNUMBER(AX27),AX27,0)+IF(ISNUMBER(AY27),AY27,0))</f>
        <v/>
      </c>
      <c r="BA27" s="58">
        <f>IF(OR(E27="",AZ27=""),"",AZ27-AR27)</f>
        <v/>
      </c>
      <c r="BB27" s="59">
        <f>IF(OR(E27="",AZ27=0),"",BA27/AZ27)</f>
        <v/>
      </c>
      <c r="BC27" s="60" t="n"/>
    </row>
    <row r="28" ht="16" customHeight="1">
      <c r="A28" s="45" t="inlineStr">
        <is>
          <t>3/2/2026</t>
        </is>
      </c>
      <c r="B28" s="46" t="inlineStr">
        <is>
          <t>SK0930</t>
        </is>
      </c>
      <c r="C28" s="46" t="inlineStr">
        <is>
          <t>3333</t>
        </is>
      </c>
      <c r="D28" s="46" t="inlineStr">
        <is>
          <t>C2</t>
        </is>
      </c>
      <c r="E28" s="47" t="n">
        <v>32</v>
      </c>
      <c r="F28" s="47" t="n">
        <v>49</v>
      </c>
      <c r="G28" s="47" t="n">
        <v>130</v>
      </c>
      <c r="H28" s="47" t="n">
        <v>6</v>
      </c>
      <c r="I28" s="47" t="n">
        <v>2</v>
      </c>
      <c r="J28" s="48" t="n"/>
      <c r="K28" s="48" t="n"/>
      <c r="L28" s="48" t="n"/>
      <c r="M28" s="48" t="n"/>
      <c r="N28" s="48" t="n"/>
      <c r="O28" s="48" t="n"/>
      <c r="P28" s="48" t="n"/>
      <c r="Q28" s="48" t="n"/>
      <c r="R28" s="48" t="n"/>
      <c r="S28" s="48" t="n"/>
      <c r="T28" s="49" t="n"/>
      <c r="U28" s="49" t="n"/>
      <c r="V28" s="49" t="n"/>
      <c r="W28" s="49" t="n"/>
      <c r="X28" s="49" t="n"/>
      <c r="Y28" s="47" t="n"/>
      <c r="Z28" s="47" t="n"/>
      <c r="AA28" s="47" t="n"/>
      <c r="AB28" s="47" t="n"/>
      <c r="AC28" s="47" t="n"/>
      <c r="AD28" s="47" t="n"/>
      <c r="AE28" s="47" t="n"/>
      <c r="AF28" s="47" t="n"/>
      <c r="AG28" s="47" t="n"/>
      <c r="AH28" s="50" t="n"/>
      <c r="AI28" s="50" t="n"/>
      <c r="AJ28" s="50" t="n"/>
      <c r="AK28" s="51" t="inlineStr">
        <is>
          <t>OCR-EY_suspect</t>
        </is>
      </c>
      <c r="AL28" s="52" t="n"/>
      <c r="AM28" s="53">
        <f>IF(E28="","",E28*28.11)</f>
        <v/>
      </c>
      <c r="AN28" s="53">
        <f>IF(F28="","",F28*17.08)</f>
        <v/>
      </c>
      <c r="AO28" s="53">
        <f>IF(G28="","",G28*8.25)</f>
        <v/>
      </c>
      <c r="AP28" s="53">
        <f>IF(AND(H28="",I28=""),"",IF(ISNUMBER(H28),H28*18.0,0)+IF(ISNUMBER(I28),I28*16.0,0))</f>
        <v/>
      </c>
      <c r="AQ28" s="53">
        <f>IF(E28="","",667.1)</f>
        <v/>
      </c>
      <c r="AR28" s="54">
        <f>IF(E28="","",IF(ISNUMBER(AM28),AM28,0)+IF(ISNUMBER(AN28),AN28,0)+IF(ISNUMBER(AO28),AO28,0)+IF(ISNUMBER(AP28),AP28,0)+IF(ISNUMBER(AQ28),AQ28,0))</f>
        <v/>
      </c>
      <c r="AS28" s="55">
        <f>IF(E28="","",MAX(E28-SUM(J28:S28),0)*42.5)</f>
        <v/>
      </c>
      <c r="AT28" s="55">
        <f>IF(E28="","",IF(ISNUMBER(J28),J28*39.14,0)+IF(ISNUMBER(K28),K28*12.23,0)+IF(ISNUMBER(L28),L28*12.15,0)+IF(ISNUMBER(M28),M28*7.62,0)+IF(ISNUMBER(N28),N28*10.21,0)+IF(ISNUMBER(O28),O28*6.15,0)+IF(ISNUMBER(P28),P28*12.24,0)+IF(ISNUMBER(Q28),Q28*39.14,0)+IF(ISNUMBER(R28),R28*39.14,0)+IF(ISNUMBER(S28),S28*40.31,0))</f>
        <v/>
      </c>
      <c r="AU28" s="56">
        <f>IF(E28="","",IF(ISNUMBER(AS28),AS28,0)+IF(ISNUMBER(AT28),AT28,0))</f>
        <v/>
      </c>
      <c r="AV28" s="55">
        <f>IF(F28="","",MAX(F28-SUM(T28:X28),0)*23.0+IF(ISNUMBER(T28),T28*19.69,0)+IF(ISNUMBER(U28),U28*16.74,0)+IF(ISNUMBER(V28),V28*20.28,0)+IF(ISNUMBER(W28),W28*19.69,0)+IF(ISNUMBER(X28),X28*19.69,0))</f>
        <v/>
      </c>
      <c r="AW28" s="55">
        <f>IF(G28="","",MAX(G28-SUM(Y28:AG28),0)*12.5+IF(ISNUMBER(Y28),Y28*11.84,0)+IF(ISNUMBER(Z28),Z28*14.34,0)+IF(ISNUMBER(AA28),AA28*16.93,0)+IF(ISNUMBER(AB28),AB28*19.52,0)+IF(ISNUMBER(AC28),AC28*22.35,0)+IF(ISNUMBER(AD28),AD28*13.92,0)+IF(ISNUMBER(AE28),AE28*21.55,0)+IF(ISNUMBER(AF28),AF28*13.92,0)+IF(ISNUMBER(AG28),AG28*13.92,0))</f>
        <v/>
      </c>
      <c r="AX28" s="55">
        <f>IF(AND(H28="",I28=""),"",65.0+IF(ISNUMBER(AH28),AH28*30.23,0)+IF(ISNUMBER(AI28),AI28*30.23,0)+IF(ISNUMBER(AJ28),AJ28*28.0,0))</f>
        <v/>
      </c>
      <c r="AY28" s="55">
        <f>IF(E28="","",953.0)</f>
        <v/>
      </c>
      <c r="AZ28" s="57">
        <f>IF(E28="","",IF(ISNUMBER(AU28),AU28,0)+IF(ISNUMBER(AV28),AV28,0)+IF(ISNUMBER(AW28),AW28,0)+IF(ISNUMBER(AX28),AX28,0)+IF(ISNUMBER(AY28),AY28,0))</f>
        <v/>
      </c>
      <c r="BA28" s="58">
        <f>IF(OR(E28="",AZ28=""),"",AZ28-AR28)</f>
        <v/>
      </c>
      <c r="BB28" s="59">
        <f>IF(OR(E28="",AZ28=0),"",BA28/AZ28)</f>
        <v/>
      </c>
      <c r="BC28" s="60" t="n"/>
    </row>
    <row r="29" ht="16" customHeight="1">
      <c r="A29" s="45" t="inlineStr">
        <is>
          <t>3/5/2026</t>
        </is>
      </c>
      <c r="B29" s="46" t="inlineStr">
        <is>
          <t>SK0930</t>
        </is>
      </c>
      <c r="C29" s="46" t="inlineStr">
        <is>
          <t>3333</t>
        </is>
      </c>
      <c r="D29" s="46" t="inlineStr">
        <is>
          <t>C2</t>
        </is>
      </c>
      <c r="E29" s="47" t="n">
        <v>32</v>
      </c>
      <c r="F29" s="47" t="n">
        <v>56</v>
      </c>
      <c r="G29" s="47" t="n">
        <v>174</v>
      </c>
      <c r="H29" s="47" t="n">
        <v>6</v>
      </c>
      <c r="I29" s="47" t="n">
        <v>2</v>
      </c>
      <c r="J29" s="48" t="n"/>
      <c r="K29" s="48" t="n"/>
      <c r="L29" s="48" t="n"/>
      <c r="M29" s="48" t="n"/>
      <c r="N29" s="48" t="n"/>
      <c r="O29" s="48" t="n"/>
      <c r="P29" s="48" t="n"/>
      <c r="Q29" s="48" t="n"/>
      <c r="R29" s="48" t="n"/>
      <c r="S29" s="48" t="n"/>
      <c r="T29" s="49" t="n"/>
      <c r="U29" s="49" t="n"/>
      <c r="V29" s="49" t="n"/>
      <c r="W29" s="49" t="n"/>
      <c r="X29" s="49" t="n"/>
      <c r="Y29" s="47" t="n"/>
      <c r="Z29" s="47" t="n"/>
      <c r="AA29" s="47" t="n"/>
      <c r="AB29" s="47" t="n"/>
      <c r="AC29" s="47" t="n"/>
      <c r="AD29" s="47" t="n"/>
      <c r="AE29" s="47" t="n"/>
      <c r="AF29" s="47" t="n"/>
      <c r="AG29" s="47" t="n"/>
      <c r="AH29" s="50" t="n"/>
      <c r="AI29" s="50" t="n"/>
      <c r="AJ29" s="50" t="n"/>
      <c r="AK29" s="51" t="inlineStr"/>
      <c r="AL29" s="52" t="n"/>
      <c r="AM29" s="53">
        <f>IF(E29="","",E29*28.11)</f>
        <v/>
      </c>
      <c r="AN29" s="53">
        <f>IF(F29="","",F29*17.08)</f>
        <v/>
      </c>
      <c r="AO29" s="53">
        <f>IF(G29="","",G29*8.25)</f>
        <v/>
      </c>
      <c r="AP29" s="53">
        <f>IF(AND(H29="",I29=""),"",IF(ISNUMBER(H29),H29*18.0,0)+IF(ISNUMBER(I29),I29*16.0,0))</f>
        <v/>
      </c>
      <c r="AQ29" s="53">
        <f>IF(E29="","",667.1)</f>
        <v/>
      </c>
      <c r="AR29" s="54">
        <f>IF(E29="","",IF(ISNUMBER(AM29),AM29,0)+IF(ISNUMBER(AN29),AN29,0)+IF(ISNUMBER(AO29),AO29,0)+IF(ISNUMBER(AP29),AP29,0)+IF(ISNUMBER(AQ29),AQ29,0))</f>
        <v/>
      </c>
      <c r="AS29" s="55">
        <f>IF(E29="","",MAX(E29-SUM(J29:S29),0)*42.5)</f>
        <v/>
      </c>
      <c r="AT29" s="55">
        <f>IF(E29="","",IF(ISNUMBER(J29),J29*39.14,0)+IF(ISNUMBER(K29),K29*12.23,0)+IF(ISNUMBER(L29),L29*12.15,0)+IF(ISNUMBER(M29),M29*7.62,0)+IF(ISNUMBER(N29),N29*10.21,0)+IF(ISNUMBER(O29),O29*6.15,0)+IF(ISNUMBER(P29),P29*12.24,0)+IF(ISNUMBER(Q29),Q29*39.14,0)+IF(ISNUMBER(R29),R29*39.14,0)+IF(ISNUMBER(S29),S29*40.31,0))</f>
        <v/>
      </c>
      <c r="AU29" s="56">
        <f>IF(E29="","",IF(ISNUMBER(AS29),AS29,0)+IF(ISNUMBER(AT29),AT29,0))</f>
        <v/>
      </c>
      <c r="AV29" s="55">
        <f>IF(F29="","",MAX(F29-SUM(T29:X29),0)*23.0+IF(ISNUMBER(T29),T29*19.69,0)+IF(ISNUMBER(U29),U29*16.74,0)+IF(ISNUMBER(V29),V29*20.28,0)+IF(ISNUMBER(W29),W29*19.69,0)+IF(ISNUMBER(X29),X29*19.69,0))</f>
        <v/>
      </c>
      <c r="AW29" s="55">
        <f>IF(G29="","",MAX(G29-SUM(Y29:AG29),0)*12.5+IF(ISNUMBER(Y29),Y29*11.84,0)+IF(ISNUMBER(Z29),Z29*14.34,0)+IF(ISNUMBER(AA29),AA29*16.93,0)+IF(ISNUMBER(AB29),AB29*19.52,0)+IF(ISNUMBER(AC29),AC29*22.35,0)+IF(ISNUMBER(AD29),AD29*13.92,0)+IF(ISNUMBER(AE29),AE29*21.55,0)+IF(ISNUMBER(AF29),AF29*13.92,0)+IF(ISNUMBER(AG29),AG29*13.92,0))</f>
        <v/>
      </c>
      <c r="AX29" s="55">
        <f>IF(AND(H29="",I29=""),"",65.0+IF(ISNUMBER(AH29),AH29*30.23,0)+IF(ISNUMBER(AI29),AI29*30.23,0)+IF(ISNUMBER(AJ29),AJ29*28.0,0))</f>
        <v/>
      </c>
      <c r="AY29" s="55">
        <f>IF(E29="","",953.0)</f>
        <v/>
      </c>
      <c r="AZ29" s="57">
        <f>IF(E29="","",IF(ISNUMBER(AU29),AU29,0)+IF(ISNUMBER(AV29),AV29,0)+IF(ISNUMBER(AW29),AW29,0)+IF(ISNUMBER(AX29),AX29,0)+IF(ISNUMBER(AY29),AY29,0))</f>
        <v/>
      </c>
      <c r="BA29" s="58">
        <f>IF(OR(E29="",AZ29=""),"",AZ29-AR29)</f>
        <v/>
      </c>
      <c r="BB29" s="59">
        <f>IF(OR(E29="",AZ29=0),"",BA29/AZ29)</f>
        <v/>
      </c>
      <c r="BC29" s="60" t="n"/>
    </row>
    <row r="30" ht="16" customHeight="1">
      <c r="A30" s="45" t="inlineStr">
        <is>
          <t>3/9/2026</t>
        </is>
      </c>
      <c r="B30" s="46" t="inlineStr">
        <is>
          <t>SK0930</t>
        </is>
      </c>
      <c r="C30" s="46" t="inlineStr">
        <is>
          <t>3333</t>
        </is>
      </c>
      <c r="D30" s="46" t="inlineStr">
        <is>
          <t>C2</t>
        </is>
      </c>
      <c r="E30" s="47" t="n">
        <v>32</v>
      </c>
      <c r="F30" s="47" t="n">
        <v>26</v>
      </c>
      <c r="G30" s="47" t="n">
        <v>170</v>
      </c>
      <c r="H30" s="47" t="n">
        <v>6</v>
      </c>
      <c r="I30" s="47" t="n">
        <v>2</v>
      </c>
      <c r="J30" s="48" t="n"/>
      <c r="K30" s="48" t="n"/>
      <c r="L30" s="48" t="n"/>
      <c r="M30" s="48" t="n"/>
      <c r="N30" s="48" t="n"/>
      <c r="O30" s="48" t="n"/>
      <c r="P30" s="48" t="n"/>
      <c r="Q30" s="48" t="n"/>
      <c r="R30" s="48" t="n"/>
      <c r="S30" s="48" t="n"/>
      <c r="T30" s="49" t="n"/>
      <c r="U30" s="49" t="n"/>
      <c r="V30" s="49" t="n"/>
      <c r="W30" s="49" t="n"/>
      <c r="X30" s="49" t="n"/>
      <c r="Y30" s="47" t="n"/>
      <c r="Z30" s="47" t="n"/>
      <c r="AA30" s="47" t="n"/>
      <c r="AB30" s="47" t="n"/>
      <c r="AC30" s="47" t="n"/>
      <c r="AD30" s="47" t="n"/>
      <c r="AE30" s="47" t="n"/>
      <c r="AF30" s="47" t="n"/>
      <c r="AG30" s="47" t="n"/>
      <c r="AH30" s="50" t="n"/>
      <c r="AI30" s="50" t="n"/>
      <c r="AJ30" s="50" t="n"/>
      <c r="AK30" s="51" t="inlineStr">
        <is>
          <t>OCR-EY_suspect</t>
        </is>
      </c>
      <c r="AL30" s="52" t="n"/>
      <c r="AM30" s="53">
        <f>IF(E30="","",E30*28.11)</f>
        <v/>
      </c>
      <c r="AN30" s="53">
        <f>IF(F30="","",F30*17.08)</f>
        <v/>
      </c>
      <c r="AO30" s="53">
        <f>IF(G30="","",G30*8.25)</f>
        <v/>
      </c>
      <c r="AP30" s="53">
        <f>IF(AND(H30="",I30=""),"",IF(ISNUMBER(H30),H30*18.0,0)+IF(ISNUMBER(I30),I30*16.0,0))</f>
        <v/>
      </c>
      <c r="AQ30" s="53">
        <f>IF(E30="","",667.1)</f>
        <v/>
      </c>
      <c r="AR30" s="54">
        <f>IF(E30="","",IF(ISNUMBER(AM30),AM30,0)+IF(ISNUMBER(AN30),AN30,0)+IF(ISNUMBER(AO30),AO30,0)+IF(ISNUMBER(AP30),AP30,0)+IF(ISNUMBER(AQ30),AQ30,0))</f>
        <v/>
      </c>
      <c r="AS30" s="55">
        <f>IF(E30="","",MAX(E30-SUM(J30:S30),0)*42.5)</f>
        <v/>
      </c>
      <c r="AT30" s="55">
        <f>IF(E30="","",IF(ISNUMBER(J30),J30*39.14,0)+IF(ISNUMBER(K30),K30*12.23,0)+IF(ISNUMBER(L30),L30*12.15,0)+IF(ISNUMBER(M30),M30*7.62,0)+IF(ISNUMBER(N30),N30*10.21,0)+IF(ISNUMBER(O30),O30*6.15,0)+IF(ISNUMBER(P30),P30*12.24,0)+IF(ISNUMBER(Q30),Q30*39.14,0)+IF(ISNUMBER(R30),R30*39.14,0)+IF(ISNUMBER(S30),S30*40.31,0))</f>
        <v/>
      </c>
      <c r="AU30" s="56">
        <f>IF(E30="","",IF(ISNUMBER(AS30),AS30,0)+IF(ISNUMBER(AT30),AT30,0))</f>
        <v/>
      </c>
      <c r="AV30" s="55">
        <f>IF(F30="","",MAX(F30-SUM(T30:X30),0)*23.0+IF(ISNUMBER(T30),T30*19.69,0)+IF(ISNUMBER(U30),U30*16.74,0)+IF(ISNUMBER(V30),V30*20.28,0)+IF(ISNUMBER(W30),W30*19.69,0)+IF(ISNUMBER(X30),X30*19.69,0))</f>
        <v/>
      </c>
      <c r="AW30" s="55">
        <f>IF(G30="","",MAX(G30-SUM(Y30:AG30),0)*12.5+IF(ISNUMBER(Y30),Y30*11.84,0)+IF(ISNUMBER(Z30),Z30*14.34,0)+IF(ISNUMBER(AA30),AA30*16.93,0)+IF(ISNUMBER(AB30),AB30*19.52,0)+IF(ISNUMBER(AC30),AC30*22.35,0)+IF(ISNUMBER(AD30),AD30*13.92,0)+IF(ISNUMBER(AE30),AE30*21.55,0)+IF(ISNUMBER(AF30),AF30*13.92,0)+IF(ISNUMBER(AG30),AG30*13.92,0))</f>
        <v/>
      </c>
      <c r="AX30" s="55">
        <f>IF(AND(H30="",I30=""),"",65.0+IF(ISNUMBER(AH30),AH30*30.23,0)+IF(ISNUMBER(AI30),AI30*30.23,0)+IF(ISNUMBER(AJ30),AJ30*28.0,0))</f>
        <v/>
      </c>
      <c r="AY30" s="55">
        <f>IF(E30="","",953.0)</f>
        <v/>
      </c>
      <c r="AZ30" s="57">
        <f>IF(E30="","",IF(ISNUMBER(AU30),AU30,0)+IF(ISNUMBER(AV30),AV30,0)+IF(ISNUMBER(AW30),AW30,0)+IF(ISNUMBER(AX30),AX30,0)+IF(ISNUMBER(AY30),AY30,0))</f>
        <v/>
      </c>
      <c r="BA30" s="58">
        <f>IF(OR(E30="",AZ30=""),"",AZ30-AR30)</f>
        <v/>
      </c>
      <c r="BB30" s="59">
        <f>IF(OR(E30="",AZ30=0),"",BA30/AZ30)</f>
        <v/>
      </c>
      <c r="BC30" s="60" t="n"/>
    </row>
    <row r="31" ht="16" customHeight="1">
      <c r="A31" s="45" t="inlineStr">
        <is>
          <t>3/12/2026</t>
        </is>
      </c>
      <c r="B31" s="46" t="inlineStr">
        <is>
          <t>SK0930</t>
        </is>
      </c>
      <c r="C31" s="46" t="inlineStr">
        <is>
          <t>3333</t>
        </is>
      </c>
      <c r="D31" s="46" t="inlineStr">
        <is>
          <t>C2</t>
        </is>
      </c>
      <c r="E31" s="47" t="n">
        <v>32</v>
      </c>
      <c r="F31" s="47" t="n">
        <v>56</v>
      </c>
      <c r="G31" s="47" t="n">
        <v>173</v>
      </c>
      <c r="H31" s="47" t="n">
        <v>6</v>
      </c>
      <c r="I31" s="47" t="n">
        <v>2</v>
      </c>
      <c r="J31" s="48" t="n"/>
      <c r="K31" s="48" t="n"/>
      <c r="L31" s="48" t="n"/>
      <c r="M31" s="48" t="n"/>
      <c r="N31" s="48" t="n"/>
      <c r="O31" s="48" t="n"/>
      <c r="P31" s="48" t="n"/>
      <c r="Q31" s="48" t="n"/>
      <c r="R31" s="48" t="n"/>
      <c r="S31" s="48" t="n"/>
      <c r="T31" s="49" t="n"/>
      <c r="U31" s="49" t="n"/>
      <c r="V31" s="49" t="n"/>
      <c r="W31" s="49" t="n"/>
      <c r="X31" s="49" t="n"/>
      <c r="Y31" s="47" t="n"/>
      <c r="Z31" s="47" t="n"/>
      <c r="AA31" s="47" t="n"/>
      <c r="AB31" s="47" t="n"/>
      <c r="AC31" s="47" t="n"/>
      <c r="AD31" s="47" t="n"/>
      <c r="AE31" s="47" t="n"/>
      <c r="AF31" s="47" t="n"/>
      <c r="AG31" s="47" t="n"/>
      <c r="AH31" s="50" t="n"/>
      <c r="AI31" s="50" t="n"/>
      <c r="AJ31" s="50" t="n"/>
      <c r="AK31" s="51" t="inlineStr"/>
      <c r="AL31" s="52" t="n"/>
      <c r="AM31" s="53">
        <f>IF(E31="","",E31*28.11)</f>
        <v/>
      </c>
      <c r="AN31" s="53">
        <f>IF(F31="","",F31*17.08)</f>
        <v/>
      </c>
      <c r="AO31" s="53">
        <f>IF(G31="","",G31*8.25)</f>
        <v/>
      </c>
      <c r="AP31" s="53">
        <f>IF(AND(H31="",I31=""),"",IF(ISNUMBER(H31),H31*18.0,0)+IF(ISNUMBER(I31),I31*16.0,0))</f>
        <v/>
      </c>
      <c r="AQ31" s="53">
        <f>IF(E31="","",667.1)</f>
        <v/>
      </c>
      <c r="AR31" s="54">
        <f>IF(E31="","",IF(ISNUMBER(AM31),AM31,0)+IF(ISNUMBER(AN31),AN31,0)+IF(ISNUMBER(AO31),AO31,0)+IF(ISNUMBER(AP31),AP31,0)+IF(ISNUMBER(AQ31),AQ31,0))</f>
        <v/>
      </c>
      <c r="AS31" s="55">
        <f>IF(E31="","",MAX(E31-SUM(J31:S31),0)*42.5)</f>
        <v/>
      </c>
      <c r="AT31" s="55">
        <f>IF(E31="","",IF(ISNUMBER(J31),J31*39.14,0)+IF(ISNUMBER(K31),K31*12.23,0)+IF(ISNUMBER(L31),L31*12.15,0)+IF(ISNUMBER(M31),M31*7.62,0)+IF(ISNUMBER(N31),N31*10.21,0)+IF(ISNUMBER(O31),O31*6.15,0)+IF(ISNUMBER(P31),P31*12.24,0)+IF(ISNUMBER(Q31),Q31*39.14,0)+IF(ISNUMBER(R31),R31*39.14,0)+IF(ISNUMBER(S31),S31*40.31,0))</f>
        <v/>
      </c>
      <c r="AU31" s="56">
        <f>IF(E31="","",IF(ISNUMBER(AS31),AS31,0)+IF(ISNUMBER(AT31),AT31,0))</f>
        <v/>
      </c>
      <c r="AV31" s="55">
        <f>IF(F31="","",MAX(F31-SUM(T31:X31),0)*23.0+IF(ISNUMBER(T31),T31*19.69,0)+IF(ISNUMBER(U31),U31*16.74,0)+IF(ISNUMBER(V31),V31*20.28,0)+IF(ISNUMBER(W31),W31*19.69,0)+IF(ISNUMBER(X31),X31*19.69,0))</f>
        <v/>
      </c>
      <c r="AW31" s="55">
        <f>IF(G31="","",MAX(G31-SUM(Y31:AG31),0)*12.5+IF(ISNUMBER(Y31),Y31*11.84,0)+IF(ISNUMBER(Z31),Z31*14.34,0)+IF(ISNUMBER(AA31),AA31*16.93,0)+IF(ISNUMBER(AB31),AB31*19.52,0)+IF(ISNUMBER(AC31),AC31*22.35,0)+IF(ISNUMBER(AD31),AD31*13.92,0)+IF(ISNUMBER(AE31),AE31*21.55,0)+IF(ISNUMBER(AF31),AF31*13.92,0)+IF(ISNUMBER(AG31),AG31*13.92,0))</f>
        <v/>
      </c>
      <c r="AX31" s="55">
        <f>IF(AND(H31="",I31=""),"",65.0+IF(ISNUMBER(AH31),AH31*30.23,0)+IF(ISNUMBER(AI31),AI31*30.23,0)+IF(ISNUMBER(AJ31),AJ31*28.0,0))</f>
        <v/>
      </c>
      <c r="AY31" s="55">
        <f>IF(E31="","",953.0)</f>
        <v/>
      </c>
      <c r="AZ31" s="57">
        <f>IF(E31="","",IF(ISNUMBER(AU31),AU31,0)+IF(ISNUMBER(AV31),AV31,0)+IF(ISNUMBER(AW31),AW31,0)+IF(ISNUMBER(AX31),AX31,0)+IF(ISNUMBER(AY31),AY31,0))</f>
        <v/>
      </c>
      <c r="BA31" s="58">
        <f>IF(OR(E31="",AZ31=""),"",AZ31-AR31)</f>
        <v/>
      </c>
      <c r="BB31" s="59">
        <f>IF(OR(E31="",AZ31=0),"",BA31/AZ31)</f>
        <v/>
      </c>
      <c r="BC31" s="60" t="n"/>
    </row>
    <row r="32" ht="16" customHeight="1">
      <c r="A32" s="45" t="inlineStr">
        <is>
          <t>3/14/2026</t>
        </is>
      </c>
      <c r="B32" s="46" t="inlineStr">
        <is>
          <t>SK0930</t>
        </is>
      </c>
      <c r="C32" s="46" t="inlineStr">
        <is>
          <t>3333</t>
        </is>
      </c>
      <c r="D32" s="46" t="inlineStr">
        <is>
          <t>C2</t>
        </is>
      </c>
      <c r="E32" s="47" t="n">
        <v>32</v>
      </c>
      <c r="F32" s="47" t="n">
        <v>56</v>
      </c>
      <c r="G32" s="47" t="n">
        <v>174</v>
      </c>
      <c r="H32" s="47" t="n">
        <v>6</v>
      </c>
      <c r="I32" s="47" t="n">
        <v>2</v>
      </c>
      <c r="J32" s="48" t="n"/>
      <c r="K32" s="48" t="n"/>
      <c r="L32" s="48" t="n"/>
      <c r="M32" s="48" t="n"/>
      <c r="N32" s="48" t="n"/>
      <c r="O32" s="48" t="n"/>
      <c r="P32" s="48" t="n"/>
      <c r="Q32" s="48" t="n"/>
      <c r="R32" s="48" t="n"/>
      <c r="S32" s="48" t="n"/>
      <c r="T32" s="49" t="n"/>
      <c r="U32" s="49" t="n"/>
      <c r="V32" s="49" t="n"/>
      <c r="W32" s="49" t="n"/>
      <c r="X32" s="49" t="n"/>
      <c r="Y32" s="47" t="n"/>
      <c r="Z32" s="47" t="n"/>
      <c r="AA32" s="47" t="n"/>
      <c r="AB32" s="47" t="n"/>
      <c r="AC32" s="47" t="n"/>
      <c r="AD32" s="47" t="n"/>
      <c r="AE32" s="47" t="n"/>
      <c r="AF32" s="47" t="n"/>
      <c r="AG32" s="47" t="n"/>
      <c r="AH32" s="50" t="n"/>
      <c r="AI32" s="50" t="n"/>
      <c r="AJ32" s="50" t="n"/>
      <c r="AK32" s="51" t="inlineStr"/>
      <c r="AL32" s="52" t="n"/>
      <c r="AM32" s="53">
        <f>IF(E32="","",E32*28.11)</f>
        <v/>
      </c>
      <c r="AN32" s="53">
        <f>IF(F32="","",F32*17.08)</f>
        <v/>
      </c>
      <c r="AO32" s="53">
        <f>IF(G32="","",G32*8.25)</f>
        <v/>
      </c>
      <c r="AP32" s="53">
        <f>IF(AND(H32="",I32=""),"",IF(ISNUMBER(H32),H32*18.0,0)+IF(ISNUMBER(I32),I32*16.0,0))</f>
        <v/>
      </c>
      <c r="AQ32" s="53">
        <f>IF(E32="","",667.1)</f>
        <v/>
      </c>
      <c r="AR32" s="54">
        <f>IF(E32="","",IF(ISNUMBER(AM32),AM32,0)+IF(ISNUMBER(AN32),AN32,0)+IF(ISNUMBER(AO32),AO32,0)+IF(ISNUMBER(AP32),AP32,0)+IF(ISNUMBER(AQ32),AQ32,0))</f>
        <v/>
      </c>
      <c r="AS32" s="55">
        <f>IF(E32="","",MAX(E32-SUM(J32:S32),0)*42.5)</f>
        <v/>
      </c>
      <c r="AT32" s="55">
        <f>IF(E32="","",IF(ISNUMBER(J32),J32*39.14,0)+IF(ISNUMBER(K32),K32*12.23,0)+IF(ISNUMBER(L32),L32*12.15,0)+IF(ISNUMBER(M32),M32*7.62,0)+IF(ISNUMBER(N32),N32*10.21,0)+IF(ISNUMBER(O32),O32*6.15,0)+IF(ISNUMBER(P32),P32*12.24,0)+IF(ISNUMBER(Q32),Q32*39.14,0)+IF(ISNUMBER(R32),R32*39.14,0)+IF(ISNUMBER(S32),S32*40.31,0))</f>
        <v/>
      </c>
      <c r="AU32" s="56">
        <f>IF(E32="","",IF(ISNUMBER(AS32),AS32,0)+IF(ISNUMBER(AT32),AT32,0))</f>
        <v/>
      </c>
      <c r="AV32" s="55">
        <f>IF(F32="","",MAX(F32-SUM(T32:X32),0)*23.0+IF(ISNUMBER(T32),T32*19.69,0)+IF(ISNUMBER(U32),U32*16.74,0)+IF(ISNUMBER(V32),V32*20.28,0)+IF(ISNUMBER(W32),W32*19.69,0)+IF(ISNUMBER(X32),X32*19.69,0))</f>
        <v/>
      </c>
      <c r="AW32" s="55">
        <f>IF(G32="","",MAX(G32-SUM(Y32:AG32),0)*12.5+IF(ISNUMBER(Y32),Y32*11.84,0)+IF(ISNUMBER(Z32),Z32*14.34,0)+IF(ISNUMBER(AA32),AA32*16.93,0)+IF(ISNUMBER(AB32),AB32*19.52,0)+IF(ISNUMBER(AC32),AC32*22.35,0)+IF(ISNUMBER(AD32),AD32*13.92,0)+IF(ISNUMBER(AE32),AE32*21.55,0)+IF(ISNUMBER(AF32),AF32*13.92,0)+IF(ISNUMBER(AG32),AG32*13.92,0))</f>
        <v/>
      </c>
      <c r="AX32" s="55">
        <f>IF(AND(H32="",I32=""),"",65.0+IF(ISNUMBER(AH32),AH32*30.23,0)+IF(ISNUMBER(AI32),AI32*30.23,0)+IF(ISNUMBER(AJ32),AJ32*28.0,0))</f>
        <v/>
      </c>
      <c r="AY32" s="55">
        <f>IF(E32="","",953.0)</f>
        <v/>
      </c>
      <c r="AZ32" s="57">
        <f>IF(E32="","",IF(ISNUMBER(AU32),AU32,0)+IF(ISNUMBER(AV32),AV32,0)+IF(ISNUMBER(AW32),AW32,0)+IF(ISNUMBER(AX32),AX32,0)+IF(ISNUMBER(AY32),AY32,0))</f>
        <v/>
      </c>
      <c r="BA32" s="58">
        <f>IF(OR(E32="",AZ32=""),"",AZ32-AR32)</f>
        <v/>
      </c>
      <c r="BB32" s="59">
        <f>IF(OR(E32="",AZ32=0),"",BA32/AZ32)</f>
        <v/>
      </c>
      <c r="BC32" s="60" t="n"/>
    </row>
    <row r="33" ht="16" customHeight="1">
      <c r="A33" s="45" t="inlineStr">
        <is>
          <t>3/15/2026</t>
        </is>
      </c>
      <c r="B33" s="46" t="inlineStr">
        <is>
          <t>SK0930</t>
        </is>
      </c>
      <c r="C33" s="46" t="inlineStr">
        <is>
          <t>3333</t>
        </is>
      </c>
      <c r="D33" s="46" t="inlineStr">
        <is>
          <t>C2</t>
        </is>
      </c>
      <c r="E33" s="47" t="n">
        <v>32</v>
      </c>
      <c r="F33" s="47" t="n">
        <v>54</v>
      </c>
      <c r="G33" s="47" t="n">
        <v>172</v>
      </c>
      <c r="H33" s="47" t="n">
        <v>6</v>
      </c>
      <c r="I33" s="47" t="n">
        <v>2</v>
      </c>
      <c r="J33" s="48" t="n"/>
      <c r="K33" s="48" t="n"/>
      <c r="L33" s="48" t="n"/>
      <c r="M33" s="48" t="n"/>
      <c r="N33" s="48" t="n"/>
      <c r="O33" s="48" t="n"/>
      <c r="P33" s="48" t="n"/>
      <c r="Q33" s="48" t="n"/>
      <c r="R33" s="48" t="n"/>
      <c r="S33" s="48" t="n"/>
      <c r="T33" s="49" t="n"/>
      <c r="U33" s="49" t="n"/>
      <c r="V33" s="49" t="n"/>
      <c r="W33" s="49" t="n"/>
      <c r="X33" s="49" t="n"/>
      <c r="Y33" s="47" t="n"/>
      <c r="Z33" s="47" t="n"/>
      <c r="AA33" s="47" t="n"/>
      <c r="AB33" s="47" t="n"/>
      <c r="AC33" s="47" t="n"/>
      <c r="AD33" s="47" t="n"/>
      <c r="AE33" s="47" t="n"/>
      <c r="AF33" s="47" t="n"/>
      <c r="AG33" s="47" t="n"/>
      <c r="AH33" s="50" t="n"/>
      <c r="AI33" s="50" t="n"/>
      <c r="AJ33" s="50" t="n"/>
      <c r="AK33" s="51" t="inlineStr"/>
      <c r="AL33" s="52" t="n"/>
      <c r="AM33" s="53">
        <f>IF(E33="","",E33*28.11)</f>
        <v/>
      </c>
      <c r="AN33" s="53">
        <f>IF(F33="","",F33*17.08)</f>
        <v/>
      </c>
      <c r="AO33" s="53">
        <f>IF(G33="","",G33*8.25)</f>
        <v/>
      </c>
      <c r="AP33" s="53">
        <f>IF(AND(H33="",I33=""),"",IF(ISNUMBER(H33),H33*18.0,0)+IF(ISNUMBER(I33),I33*16.0,0))</f>
        <v/>
      </c>
      <c r="AQ33" s="53">
        <f>IF(E33="","",667.1)</f>
        <v/>
      </c>
      <c r="AR33" s="54">
        <f>IF(E33="","",IF(ISNUMBER(AM33),AM33,0)+IF(ISNUMBER(AN33),AN33,0)+IF(ISNUMBER(AO33),AO33,0)+IF(ISNUMBER(AP33),AP33,0)+IF(ISNUMBER(AQ33),AQ33,0))</f>
        <v/>
      </c>
      <c r="AS33" s="55">
        <f>IF(E33="","",MAX(E33-SUM(J33:S33),0)*42.5)</f>
        <v/>
      </c>
      <c r="AT33" s="55">
        <f>IF(E33="","",IF(ISNUMBER(J33),J33*39.14,0)+IF(ISNUMBER(K33),K33*12.23,0)+IF(ISNUMBER(L33),L33*12.15,0)+IF(ISNUMBER(M33),M33*7.62,0)+IF(ISNUMBER(N33),N33*10.21,0)+IF(ISNUMBER(O33),O33*6.15,0)+IF(ISNUMBER(P33),P33*12.24,0)+IF(ISNUMBER(Q33),Q33*39.14,0)+IF(ISNUMBER(R33),R33*39.14,0)+IF(ISNUMBER(S33),S33*40.31,0))</f>
        <v/>
      </c>
      <c r="AU33" s="56">
        <f>IF(E33="","",IF(ISNUMBER(AS33),AS33,0)+IF(ISNUMBER(AT33),AT33,0))</f>
        <v/>
      </c>
      <c r="AV33" s="55">
        <f>IF(F33="","",MAX(F33-SUM(T33:X33),0)*23.0+IF(ISNUMBER(T33),T33*19.69,0)+IF(ISNUMBER(U33),U33*16.74,0)+IF(ISNUMBER(V33),V33*20.28,0)+IF(ISNUMBER(W33),W33*19.69,0)+IF(ISNUMBER(X33),X33*19.69,0))</f>
        <v/>
      </c>
      <c r="AW33" s="55">
        <f>IF(G33="","",MAX(G33-SUM(Y33:AG33),0)*12.5+IF(ISNUMBER(Y33),Y33*11.84,0)+IF(ISNUMBER(Z33),Z33*14.34,0)+IF(ISNUMBER(AA33),AA33*16.93,0)+IF(ISNUMBER(AB33),AB33*19.52,0)+IF(ISNUMBER(AC33),AC33*22.35,0)+IF(ISNUMBER(AD33),AD33*13.92,0)+IF(ISNUMBER(AE33),AE33*21.55,0)+IF(ISNUMBER(AF33),AF33*13.92,0)+IF(ISNUMBER(AG33),AG33*13.92,0))</f>
        <v/>
      </c>
      <c r="AX33" s="55">
        <f>IF(AND(H33="",I33=""),"",65.0+IF(ISNUMBER(AH33),AH33*30.23,0)+IF(ISNUMBER(AI33),AI33*30.23,0)+IF(ISNUMBER(AJ33),AJ33*28.0,0))</f>
        <v/>
      </c>
      <c r="AY33" s="55">
        <f>IF(E33="","",953.0)</f>
        <v/>
      </c>
      <c r="AZ33" s="57">
        <f>IF(E33="","",IF(ISNUMBER(AU33),AU33,0)+IF(ISNUMBER(AV33),AV33,0)+IF(ISNUMBER(AW33),AW33,0)+IF(ISNUMBER(AX33),AX33,0)+IF(ISNUMBER(AY33),AY33,0))</f>
        <v/>
      </c>
      <c r="BA33" s="58">
        <f>IF(OR(E33="",AZ33=""),"",AZ33-AR33)</f>
        <v/>
      </c>
      <c r="BB33" s="59">
        <f>IF(OR(E33="",AZ33=0),"",BA33/AZ33)</f>
        <v/>
      </c>
      <c r="BC33" s="60" t="n"/>
    </row>
    <row r="34" ht="16" customHeight="1">
      <c r="A34" s="45" t="inlineStr">
        <is>
          <t>3/16/2026</t>
        </is>
      </c>
      <c r="B34" s="46" t="inlineStr">
        <is>
          <t>SK0930</t>
        </is>
      </c>
      <c r="C34" s="46" t="inlineStr">
        <is>
          <t>3333</t>
        </is>
      </c>
      <c r="D34" s="46" t="inlineStr">
        <is>
          <t>C2</t>
        </is>
      </c>
      <c r="E34" s="47" t="n">
        <v>32</v>
      </c>
      <c r="F34" s="47" t="n">
        <v>56</v>
      </c>
      <c r="G34" s="47" t="n">
        <v>157</v>
      </c>
      <c r="H34" s="47" t="n">
        <v>6</v>
      </c>
      <c r="I34" s="47" t="n">
        <v>2</v>
      </c>
      <c r="J34" s="48" t="n"/>
      <c r="K34" s="48" t="n"/>
      <c r="L34" s="48" t="n"/>
      <c r="M34" s="48" t="n"/>
      <c r="N34" s="48" t="n"/>
      <c r="O34" s="48" t="n"/>
      <c r="P34" s="48" t="n"/>
      <c r="Q34" s="48" t="n"/>
      <c r="R34" s="48" t="n"/>
      <c r="S34" s="48" t="n"/>
      <c r="T34" s="49" t="n"/>
      <c r="U34" s="49" t="n"/>
      <c r="V34" s="49" t="n"/>
      <c r="W34" s="49" t="n"/>
      <c r="X34" s="49" t="n"/>
      <c r="Y34" s="47" t="n"/>
      <c r="Z34" s="47" t="n"/>
      <c r="AA34" s="47" t="n"/>
      <c r="AB34" s="47" t="n"/>
      <c r="AC34" s="47" t="n"/>
      <c r="AD34" s="47" t="n"/>
      <c r="AE34" s="47" t="n"/>
      <c r="AF34" s="47" t="n"/>
      <c r="AG34" s="47" t="n"/>
      <c r="AH34" s="50" t="n"/>
      <c r="AI34" s="50" t="n"/>
      <c r="AJ34" s="50" t="n"/>
      <c r="AK34" s="51" t="inlineStr"/>
      <c r="AL34" s="52" t="n"/>
      <c r="AM34" s="53">
        <f>IF(E34="","",E34*28.11)</f>
        <v/>
      </c>
      <c r="AN34" s="53">
        <f>IF(F34="","",F34*17.08)</f>
        <v/>
      </c>
      <c r="AO34" s="53">
        <f>IF(G34="","",G34*8.25)</f>
        <v/>
      </c>
      <c r="AP34" s="53">
        <f>IF(AND(H34="",I34=""),"",IF(ISNUMBER(H34),H34*18.0,0)+IF(ISNUMBER(I34),I34*16.0,0))</f>
        <v/>
      </c>
      <c r="AQ34" s="53">
        <f>IF(E34="","",667.1)</f>
        <v/>
      </c>
      <c r="AR34" s="54">
        <f>IF(E34="","",IF(ISNUMBER(AM34),AM34,0)+IF(ISNUMBER(AN34),AN34,0)+IF(ISNUMBER(AO34),AO34,0)+IF(ISNUMBER(AP34),AP34,0)+IF(ISNUMBER(AQ34),AQ34,0))</f>
        <v/>
      </c>
      <c r="AS34" s="55">
        <f>IF(E34="","",MAX(E34-SUM(J34:S34),0)*42.5)</f>
        <v/>
      </c>
      <c r="AT34" s="55">
        <f>IF(E34="","",IF(ISNUMBER(J34),J34*39.14,0)+IF(ISNUMBER(K34),K34*12.23,0)+IF(ISNUMBER(L34),L34*12.15,0)+IF(ISNUMBER(M34),M34*7.62,0)+IF(ISNUMBER(N34),N34*10.21,0)+IF(ISNUMBER(O34),O34*6.15,0)+IF(ISNUMBER(P34),P34*12.24,0)+IF(ISNUMBER(Q34),Q34*39.14,0)+IF(ISNUMBER(R34),R34*39.14,0)+IF(ISNUMBER(S34),S34*40.31,0))</f>
        <v/>
      </c>
      <c r="AU34" s="56">
        <f>IF(E34="","",IF(ISNUMBER(AS34),AS34,0)+IF(ISNUMBER(AT34),AT34,0))</f>
        <v/>
      </c>
      <c r="AV34" s="55">
        <f>IF(F34="","",MAX(F34-SUM(T34:X34),0)*23.0+IF(ISNUMBER(T34),T34*19.69,0)+IF(ISNUMBER(U34),U34*16.74,0)+IF(ISNUMBER(V34),V34*20.28,0)+IF(ISNUMBER(W34),W34*19.69,0)+IF(ISNUMBER(X34),X34*19.69,0))</f>
        <v/>
      </c>
      <c r="AW34" s="55">
        <f>IF(G34="","",MAX(G34-SUM(Y34:AG34),0)*12.5+IF(ISNUMBER(Y34),Y34*11.84,0)+IF(ISNUMBER(Z34),Z34*14.34,0)+IF(ISNUMBER(AA34),AA34*16.93,0)+IF(ISNUMBER(AB34),AB34*19.52,0)+IF(ISNUMBER(AC34),AC34*22.35,0)+IF(ISNUMBER(AD34),AD34*13.92,0)+IF(ISNUMBER(AE34),AE34*21.55,0)+IF(ISNUMBER(AF34),AF34*13.92,0)+IF(ISNUMBER(AG34),AG34*13.92,0))</f>
        <v/>
      </c>
      <c r="AX34" s="55">
        <f>IF(AND(H34="",I34=""),"",65.0+IF(ISNUMBER(AH34),AH34*30.23,0)+IF(ISNUMBER(AI34),AI34*30.23,0)+IF(ISNUMBER(AJ34),AJ34*28.0,0))</f>
        <v/>
      </c>
      <c r="AY34" s="55">
        <f>IF(E34="","",953.0)</f>
        <v/>
      </c>
      <c r="AZ34" s="57">
        <f>IF(E34="","",IF(ISNUMBER(AU34),AU34,0)+IF(ISNUMBER(AV34),AV34,0)+IF(ISNUMBER(AW34),AW34,0)+IF(ISNUMBER(AX34),AX34,0)+IF(ISNUMBER(AY34),AY34,0))</f>
        <v/>
      </c>
      <c r="BA34" s="58">
        <f>IF(OR(E34="",AZ34=""),"",AZ34-AR34)</f>
        <v/>
      </c>
      <c r="BB34" s="59">
        <f>IF(OR(E34="",AZ34=0),"",BA34/AZ34)</f>
        <v/>
      </c>
      <c r="BC34" s="60" t="n"/>
    </row>
    <row r="35" ht="16" customHeight="1">
      <c r="A35" s="45" t="inlineStr">
        <is>
          <t>3/19/2026</t>
        </is>
      </c>
      <c r="B35" s="46" t="inlineStr">
        <is>
          <t>SK0930</t>
        </is>
      </c>
      <c r="C35" s="46" t="inlineStr">
        <is>
          <t>3333</t>
        </is>
      </c>
      <c r="D35" s="46" t="inlineStr">
        <is>
          <t>C2</t>
        </is>
      </c>
      <c r="E35" s="47" t="n">
        <v>32</v>
      </c>
      <c r="F35" s="47" t="n">
        <v>46</v>
      </c>
      <c r="G35" s="47" t="n">
        <v>174</v>
      </c>
      <c r="H35" s="47" t="n">
        <v>6</v>
      </c>
      <c r="I35" s="47" t="n">
        <v>2</v>
      </c>
      <c r="J35" s="48" t="n"/>
      <c r="K35" s="48" t="n"/>
      <c r="L35" s="48" t="n"/>
      <c r="M35" s="48" t="n"/>
      <c r="N35" s="48" t="n"/>
      <c r="O35" s="48" t="n"/>
      <c r="P35" s="48" t="n"/>
      <c r="Q35" s="48" t="n"/>
      <c r="R35" s="48" t="n"/>
      <c r="S35" s="48" t="n"/>
      <c r="T35" s="49" t="n"/>
      <c r="U35" s="49" t="n"/>
      <c r="V35" s="49" t="n"/>
      <c r="W35" s="49" t="n"/>
      <c r="X35" s="49" t="n"/>
      <c r="Y35" s="47" t="n"/>
      <c r="Z35" s="47" t="n"/>
      <c r="AA35" s="47" t="n"/>
      <c r="AB35" s="47" t="n"/>
      <c r="AC35" s="47" t="n"/>
      <c r="AD35" s="47" t="n"/>
      <c r="AE35" s="47" t="n"/>
      <c r="AF35" s="47" t="n"/>
      <c r="AG35" s="47" t="n"/>
      <c r="AH35" s="50" t="n"/>
      <c r="AI35" s="50" t="n"/>
      <c r="AJ35" s="50" t="n"/>
      <c r="AK35" s="51" t="inlineStr"/>
      <c r="AL35" s="52" t="n"/>
      <c r="AM35" s="53">
        <f>IF(E35="","",E35*28.11)</f>
        <v/>
      </c>
      <c r="AN35" s="53">
        <f>IF(F35="","",F35*17.08)</f>
        <v/>
      </c>
      <c r="AO35" s="53">
        <f>IF(G35="","",G35*8.25)</f>
        <v/>
      </c>
      <c r="AP35" s="53">
        <f>IF(AND(H35="",I35=""),"",IF(ISNUMBER(H35),H35*18.0,0)+IF(ISNUMBER(I35),I35*16.0,0))</f>
        <v/>
      </c>
      <c r="AQ35" s="53">
        <f>IF(E35="","",667.1)</f>
        <v/>
      </c>
      <c r="AR35" s="54">
        <f>IF(E35="","",IF(ISNUMBER(AM35),AM35,0)+IF(ISNUMBER(AN35),AN35,0)+IF(ISNUMBER(AO35),AO35,0)+IF(ISNUMBER(AP35),AP35,0)+IF(ISNUMBER(AQ35),AQ35,0))</f>
        <v/>
      </c>
      <c r="AS35" s="55">
        <f>IF(E35="","",MAX(E35-SUM(J35:S35),0)*42.5)</f>
        <v/>
      </c>
      <c r="AT35" s="55">
        <f>IF(E35="","",IF(ISNUMBER(J35),J35*39.14,0)+IF(ISNUMBER(K35),K35*12.23,0)+IF(ISNUMBER(L35),L35*12.15,0)+IF(ISNUMBER(M35),M35*7.62,0)+IF(ISNUMBER(N35),N35*10.21,0)+IF(ISNUMBER(O35),O35*6.15,0)+IF(ISNUMBER(P35),P35*12.24,0)+IF(ISNUMBER(Q35),Q35*39.14,0)+IF(ISNUMBER(R35),R35*39.14,0)+IF(ISNUMBER(S35),S35*40.31,0))</f>
        <v/>
      </c>
      <c r="AU35" s="56">
        <f>IF(E35="","",IF(ISNUMBER(AS35),AS35,0)+IF(ISNUMBER(AT35),AT35,0))</f>
        <v/>
      </c>
      <c r="AV35" s="55">
        <f>IF(F35="","",MAX(F35-SUM(T35:X35),0)*23.0+IF(ISNUMBER(T35),T35*19.69,0)+IF(ISNUMBER(U35),U35*16.74,0)+IF(ISNUMBER(V35),V35*20.28,0)+IF(ISNUMBER(W35),W35*19.69,0)+IF(ISNUMBER(X35),X35*19.69,0))</f>
        <v/>
      </c>
      <c r="AW35" s="55">
        <f>IF(G35="","",MAX(G35-SUM(Y35:AG35),0)*12.5+IF(ISNUMBER(Y35),Y35*11.84,0)+IF(ISNUMBER(Z35),Z35*14.34,0)+IF(ISNUMBER(AA35),AA35*16.93,0)+IF(ISNUMBER(AB35),AB35*19.52,0)+IF(ISNUMBER(AC35),AC35*22.35,0)+IF(ISNUMBER(AD35),AD35*13.92,0)+IF(ISNUMBER(AE35),AE35*21.55,0)+IF(ISNUMBER(AF35),AF35*13.92,0)+IF(ISNUMBER(AG35),AG35*13.92,0))</f>
        <v/>
      </c>
      <c r="AX35" s="55">
        <f>IF(AND(H35="",I35=""),"",65.0+IF(ISNUMBER(AH35),AH35*30.23,0)+IF(ISNUMBER(AI35),AI35*30.23,0)+IF(ISNUMBER(AJ35),AJ35*28.0,0))</f>
        <v/>
      </c>
      <c r="AY35" s="55">
        <f>IF(E35="","",953.0)</f>
        <v/>
      </c>
      <c r="AZ35" s="57">
        <f>IF(E35="","",IF(ISNUMBER(AU35),AU35,0)+IF(ISNUMBER(AV35),AV35,0)+IF(ISNUMBER(AW35),AW35,0)+IF(ISNUMBER(AX35),AX35,0)+IF(ISNUMBER(AY35),AY35,0))</f>
        <v/>
      </c>
      <c r="BA35" s="58">
        <f>IF(OR(E35="",AZ35=""),"",AZ35-AR35)</f>
        <v/>
      </c>
      <c r="BB35" s="59">
        <f>IF(OR(E35="",AZ35=0),"",BA35/AZ35)</f>
        <v/>
      </c>
      <c r="BC35" s="60" t="n"/>
    </row>
    <row r="36" ht="16" customHeight="1">
      <c r="A36" s="45" t="inlineStr">
        <is>
          <t>3/20/2026</t>
        </is>
      </c>
      <c r="B36" s="46" t="inlineStr">
        <is>
          <t>SK0930</t>
        </is>
      </c>
      <c r="C36" s="46" t="inlineStr">
        <is>
          <t>3333</t>
        </is>
      </c>
      <c r="D36" s="46" t="inlineStr">
        <is>
          <t>C2</t>
        </is>
      </c>
      <c r="E36" s="47" t="n">
        <v>32</v>
      </c>
      <c r="F36" s="47" t="n">
        <v>56</v>
      </c>
      <c r="G36" s="47" t="n">
        <v>172</v>
      </c>
      <c r="H36" s="47" t="n">
        <v>6</v>
      </c>
      <c r="I36" s="47" t="n">
        <v>2</v>
      </c>
      <c r="J36" s="48" t="n"/>
      <c r="K36" s="48" t="n"/>
      <c r="L36" s="48" t="n"/>
      <c r="M36" s="48" t="n"/>
      <c r="N36" s="48" t="n"/>
      <c r="O36" s="48" t="n"/>
      <c r="P36" s="48" t="n"/>
      <c r="Q36" s="48" t="n"/>
      <c r="R36" s="48" t="n"/>
      <c r="S36" s="48" t="n"/>
      <c r="T36" s="49" t="n"/>
      <c r="U36" s="49" t="n"/>
      <c r="V36" s="49" t="n"/>
      <c r="W36" s="49" t="n"/>
      <c r="X36" s="49" t="n"/>
      <c r="Y36" s="47" t="n"/>
      <c r="Z36" s="47" t="n"/>
      <c r="AA36" s="47" t="n"/>
      <c r="AB36" s="47" t="n"/>
      <c r="AC36" s="47" t="n"/>
      <c r="AD36" s="47" t="n"/>
      <c r="AE36" s="47" t="n"/>
      <c r="AF36" s="47" t="n"/>
      <c r="AG36" s="47" t="n"/>
      <c r="AH36" s="50" t="n"/>
      <c r="AI36" s="50" t="n"/>
      <c r="AJ36" s="50" t="n"/>
      <c r="AK36" s="51" t="inlineStr"/>
      <c r="AL36" s="52" t="n"/>
      <c r="AM36" s="53">
        <f>IF(E36="","",E36*28.11)</f>
        <v/>
      </c>
      <c r="AN36" s="53">
        <f>IF(F36="","",F36*17.08)</f>
        <v/>
      </c>
      <c r="AO36" s="53">
        <f>IF(G36="","",G36*8.25)</f>
        <v/>
      </c>
      <c r="AP36" s="53">
        <f>IF(AND(H36="",I36=""),"",IF(ISNUMBER(H36),H36*18.0,0)+IF(ISNUMBER(I36),I36*16.0,0))</f>
        <v/>
      </c>
      <c r="AQ36" s="53">
        <f>IF(E36="","",667.1)</f>
        <v/>
      </c>
      <c r="AR36" s="54">
        <f>IF(E36="","",IF(ISNUMBER(AM36),AM36,0)+IF(ISNUMBER(AN36),AN36,0)+IF(ISNUMBER(AO36),AO36,0)+IF(ISNUMBER(AP36),AP36,0)+IF(ISNUMBER(AQ36),AQ36,0))</f>
        <v/>
      </c>
      <c r="AS36" s="55">
        <f>IF(E36="","",MAX(E36-SUM(J36:S36),0)*42.5)</f>
        <v/>
      </c>
      <c r="AT36" s="55">
        <f>IF(E36="","",IF(ISNUMBER(J36),J36*39.14,0)+IF(ISNUMBER(K36),K36*12.23,0)+IF(ISNUMBER(L36),L36*12.15,0)+IF(ISNUMBER(M36),M36*7.62,0)+IF(ISNUMBER(N36),N36*10.21,0)+IF(ISNUMBER(O36),O36*6.15,0)+IF(ISNUMBER(P36),P36*12.24,0)+IF(ISNUMBER(Q36),Q36*39.14,0)+IF(ISNUMBER(R36),R36*39.14,0)+IF(ISNUMBER(S36),S36*40.31,0))</f>
        <v/>
      </c>
      <c r="AU36" s="56">
        <f>IF(E36="","",IF(ISNUMBER(AS36),AS36,0)+IF(ISNUMBER(AT36),AT36,0))</f>
        <v/>
      </c>
      <c r="AV36" s="55">
        <f>IF(F36="","",MAX(F36-SUM(T36:X36),0)*23.0+IF(ISNUMBER(T36),T36*19.69,0)+IF(ISNUMBER(U36),U36*16.74,0)+IF(ISNUMBER(V36),V36*20.28,0)+IF(ISNUMBER(W36),W36*19.69,0)+IF(ISNUMBER(X36),X36*19.69,0))</f>
        <v/>
      </c>
      <c r="AW36" s="55">
        <f>IF(G36="","",MAX(G36-SUM(Y36:AG36),0)*12.5+IF(ISNUMBER(Y36),Y36*11.84,0)+IF(ISNUMBER(Z36),Z36*14.34,0)+IF(ISNUMBER(AA36),AA36*16.93,0)+IF(ISNUMBER(AB36),AB36*19.52,0)+IF(ISNUMBER(AC36),AC36*22.35,0)+IF(ISNUMBER(AD36),AD36*13.92,0)+IF(ISNUMBER(AE36),AE36*21.55,0)+IF(ISNUMBER(AF36),AF36*13.92,0)+IF(ISNUMBER(AG36),AG36*13.92,0))</f>
        <v/>
      </c>
      <c r="AX36" s="55">
        <f>IF(AND(H36="",I36=""),"",65.0+IF(ISNUMBER(AH36),AH36*30.23,0)+IF(ISNUMBER(AI36),AI36*30.23,0)+IF(ISNUMBER(AJ36),AJ36*28.0,0))</f>
        <v/>
      </c>
      <c r="AY36" s="55">
        <f>IF(E36="","",953.0)</f>
        <v/>
      </c>
      <c r="AZ36" s="57">
        <f>IF(E36="","",IF(ISNUMBER(AU36),AU36,0)+IF(ISNUMBER(AV36),AV36,0)+IF(ISNUMBER(AW36),AW36,0)+IF(ISNUMBER(AX36),AX36,0)+IF(ISNUMBER(AY36),AY36,0))</f>
        <v/>
      </c>
      <c r="BA36" s="58">
        <f>IF(OR(E36="",AZ36=""),"",AZ36-AR36)</f>
        <v/>
      </c>
      <c r="BB36" s="59">
        <f>IF(OR(E36="",AZ36=0),"",BA36/AZ36)</f>
        <v/>
      </c>
      <c r="BC36" s="60" t="n"/>
    </row>
    <row r="37" ht="16" customHeight="1">
      <c r="A37" s="45" t="inlineStr">
        <is>
          <t>3/20/2026</t>
        </is>
      </c>
      <c r="B37" s="46" t="inlineStr">
        <is>
          <t>SK0930</t>
        </is>
      </c>
      <c r="C37" s="46" t="inlineStr">
        <is>
          <t>3333</t>
        </is>
      </c>
      <c r="D37" s="46" t="inlineStr">
        <is>
          <t>C2</t>
        </is>
      </c>
      <c r="E37" s="47" t="n">
        <v>32</v>
      </c>
      <c r="F37" s="47" t="n">
        <v>56</v>
      </c>
      <c r="G37" s="47" t="n">
        <v>167</v>
      </c>
      <c r="H37" s="47" t="n">
        <v>6</v>
      </c>
      <c r="I37" s="47" t="n">
        <v>2</v>
      </c>
      <c r="J37" s="48" t="n"/>
      <c r="K37" s="48" t="n"/>
      <c r="L37" s="48" t="n"/>
      <c r="M37" s="48" t="n"/>
      <c r="N37" s="48" t="n"/>
      <c r="O37" s="48" t="n"/>
      <c r="P37" s="48" t="n"/>
      <c r="Q37" s="48" t="n"/>
      <c r="R37" s="48" t="n"/>
      <c r="S37" s="48" t="n"/>
      <c r="T37" s="49" t="n"/>
      <c r="U37" s="49" t="n"/>
      <c r="V37" s="49" t="n"/>
      <c r="W37" s="49" t="n"/>
      <c r="X37" s="49" t="n"/>
      <c r="Y37" s="47" t="n"/>
      <c r="Z37" s="47" t="n"/>
      <c r="AA37" s="47" t="n"/>
      <c r="AB37" s="47" t="n"/>
      <c r="AC37" s="47" t="n"/>
      <c r="AD37" s="47" t="n"/>
      <c r="AE37" s="47" t="n"/>
      <c r="AF37" s="47" t="n"/>
      <c r="AG37" s="47" t="n"/>
      <c r="AH37" s="50" t="n"/>
      <c r="AI37" s="50" t="n"/>
      <c r="AJ37" s="50" t="n"/>
      <c r="AK37" s="51" t="inlineStr"/>
      <c r="AL37" s="52" t="n"/>
      <c r="AM37" s="53">
        <f>IF(E37="","",E37*28.11)</f>
        <v/>
      </c>
      <c r="AN37" s="53">
        <f>IF(F37="","",F37*17.08)</f>
        <v/>
      </c>
      <c r="AO37" s="53">
        <f>IF(G37="","",G37*8.25)</f>
        <v/>
      </c>
      <c r="AP37" s="53">
        <f>IF(AND(H37="",I37=""),"",IF(ISNUMBER(H37),H37*18.0,0)+IF(ISNUMBER(I37),I37*16.0,0))</f>
        <v/>
      </c>
      <c r="AQ37" s="53">
        <f>IF(E37="","",667.1)</f>
        <v/>
      </c>
      <c r="AR37" s="54">
        <f>IF(E37="","",IF(ISNUMBER(AM37),AM37,0)+IF(ISNUMBER(AN37),AN37,0)+IF(ISNUMBER(AO37),AO37,0)+IF(ISNUMBER(AP37),AP37,0)+IF(ISNUMBER(AQ37),AQ37,0))</f>
        <v/>
      </c>
      <c r="AS37" s="55">
        <f>IF(E37="","",MAX(E37-SUM(J37:S37),0)*42.5)</f>
        <v/>
      </c>
      <c r="AT37" s="55">
        <f>IF(E37="","",IF(ISNUMBER(J37),J37*39.14,0)+IF(ISNUMBER(K37),K37*12.23,0)+IF(ISNUMBER(L37),L37*12.15,0)+IF(ISNUMBER(M37),M37*7.62,0)+IF(ISNUMBER(N37),N37*10.21,0)+IF(ISNUMBER(O37),O37*6.15,0)+IF(ISNUMBER(P37),P37*12.24,0)+IF(ISNUMBER(Q37),Q37*39.14,0)+IF(ISNUMBER(R37),R37*39.14,0)+IF(ISNUMBER(S37),S37*40.31,0))</f>
        <v/>
      </c>
      <c r="AU37" s="56">
        <f>IF(E37="","",IF(ISNUMBER(AS37),AS37,0)+IF(ISNUMBER(AT37),AT37,0))</f>
        <v/>
      </c>
      <c r="AV37" s="55">
        <f>IF(F37="","",MAX(F37-SUM(T37:X37),0)*23.0+IF(ISNUMBER(T37),T37*19.69,0)+IF(ISNUMBER(U37),U37*16.74,0)+IF(ISNUMBER(V37),V37*20.28,0)+IF(ISNUMBER(W37),W37*19.69,0)+IF(ISNUMBER(X37),X37*19.69,0))</f>
        <v/>
      </c>
      <c r="AW37" s="55">
        <f>IF(G37="","",MAX(G37-SUM(Y37:AG37),0)*12.5+IF(ISNUMBER(Y37),Y37*11.84,0)+IF(ISNUMBER(Z37),Z37*14.34,0)+IF(ISNUMBER(AA37),AA37*16.93,0)+IF(ISNUMBER(AB37),AB37*19.52,0)+IF(ISNUMBER(AC37),AC37*22.35,0)+IF(ISNUMBER(AD37),AD37*13.92,0)+IF(ISNUMBER(AE37),AE37*21.55,0)+IF(ISNUMBER(AF37),AF37*13.92,0)+IF(ISNUMBER(AG37),AG37*13.92,0))</f>
        <v/>
      </c>
      <c r="AX37" s="55">
        <f>IF(AND(H37="",I37=""),"",65.0+IF(ISNUMBER(AH37),AH37*30.23,0)+IF(ISNUMBER(AI37),AI37*30.23,0)+IF(ISNUMBER(AJ37),AJ37*28.0,0))</f>
        <v/>
      </c>
      <c r="AY37" s="55">
        <f>IF(E37="","",953.0)</f>
        <v/>
      </c>
      <c r="AZ37" s="57">
        <f>IF(E37="","",IF(ISNUMBER(AU37),AU37,0)+IF(ISNUMBER(AV37),AV37,0)+IF(ISNUMBER(AW37),AW37,0)+IF(ISNUMBER(AX37),AX37,0)+IF(ISNUMBER(AY37),AY37,0))</f>
        <v/>
      </c>
      <c r="BA37" s="58">
        <f>IF(OR(E37="",AZ37=""),"",AZ37-AR37)</f>
        <v/>
      </c>
      <c r="BB37" s="59">
        <f>IF(OR(E37="",AZ37=0),"",BA37/AZ37)</f>
        <v/>
      </c>
      <c r="BC37" s="60" t="n"/>
    </row>
    <row r="38" ht="16" customHeight="1">
      <c r="A38" s="45" t="inlineStr">
        <is>
          <t>3/22/2026</t>
        </is>
      </c>
      <c r="B38" s="46" t="inlineStr">
        <is>
          <t>SK0930</t>
        </is>
      </c>
      <c r="C38" s="46" t="inlineStr">
        <is>
          <t>3333</t>
        </is>
      </c>
      <c r="D38" s="46" t="inlineStr">
        <is>
          <t>C2</t>
        </is>
      </c>
      <c r="E38" s="47" t="n">
        <v>32</v>
      </c>
      <c r="F38" s="47" t="n">
        <v>56</v>
      </c>
      <c r="G38" s="47" t="n">
        <v>166</v>
      </c>
      <c r="H38" s="47" t="n">
        <v>6</v>
      </c>
      <c r="I38" s="47" t="n">
        <v>2</v>
      </c>
      <c r="J38" s="48" t="n"/>
      <c r="K38" s="48" t="n"/>
      <c r="L38" s="48" t="n"/>
      <c r="M38" s="48" t="n"/>
      <c r="N38" s="48" t="n"/>
      <c r="O38" s="48" t="n"/>
      <c r="P38" s="48" t="n"/>
      <c r="Q38" s="48" t="n"/>
      <c r="R38" s="48" t="n"/>
      <c r="S38" s="48" t="n"/>
      <c r="T38" s="49" t="n"/>
      <c r="U38" s="49" t="n"/>
      <c r="V38" s="49" t="n"/>
      <c r="W38" s="49" t="n"/>
      <c r="X38" s="49" t="n"/>
      <c r="Y38" s="47" t="n"/>
      <c r="Z38" s="47" t="n"/>
      <c r="AA38" s="47" t="n"/>
      <c r="AB38" s="47" t="n"/>
      <c r="AC38" s="47" t="n"/>
      <c r="AD38" s="47" t="n"/>
      <c r="AE38" s="47" t="n"/>
      <c r="AF38" s="47" t="n"/>
      <c r="AG38" s="47" t="n"/>
      <c r="AH38" s="50" t="n"/>
      <c r="AI38" s="50" t="n"/>
      <c r="AJ38" s="50" t="n"/>
      <c r="AK38" s="51" t="inlineStr"/>
      <c r="AL38" s="52" t="n"/>
      <c r="AM38" s="53">
        <f>IF(E38="","",E38*28.11)</f>
        <v/>
      </c>
      <c r="AN38" s="53">
        <f>IF(F38="","",F38*17.08)</f>
        <v/>
      </c>
      <c r="AO38" s="53">
        <f>IF(G38="","",G38*8.25)</f>
        <v/>
      </c>
      <c r="AP38" s="53">
        <f>IF(AND(H38="",I38=""),"",IF(ISNUMBER(H38),H38*18.0,0)+IF(ISNUMBER(I38),I38*16.0,0))</f>
        <v/>
      </c>
      <c r="AQ38" s="53">
        <f>IF(E38="","",667.1)</f>
        <v/>
      </c>
      <c r="AR38" s="54">
        <f>IF(E38="","",IF(ISNUMBER(AM38),AM38,0)+IF(ISNUMBER(AN38),AN38,0)+IF(ISNUMBER(AO38),AO38,0)+IF(ISNUMBER(AP38),AP38,0)+IF(ISNUMBER(AQ38),AQ38,0))</f>
        <v/>
      </c>
      <c r="AS38" s="55">
        <f>IF(E38="","",MAX(E38-SUM(J38:S38),0)*42.5)</f>
        <v/>
      </c>
      <c r="AT38" s="55">
        <f>IF(E38="","",IF(ISNUMBER(J38),J38*39.14,0)+IF(ISNUMBER(K38),K38*12.23,0)+IF(ISNUMBER(L38),L38*12.15,0)+IF(ISNUMBER(M38),M38*7.62,0)+IF(ISNUMBER(N38),N38*10.21,0)+IF(ISNUMBER(O38),O38*6.15,0)+IF(ISNUMBER(P38),P38*12.24,0)+IF(ISNUMBER(Q38),Q38*39.14,0)+IF(ISNUMBER(R38),R38*39.14,0)+IF(ISNUMBER(S38),S38*40.31,0))</f>
        <v/>
      </c>
      <c r="AU38" s="56">
        <f>IF(E38="","",IF(ISNUMBER(AS38),AS38,0)+IF(ISNUMBER(AT38),AT38,0))</f>
        <v/>
      </c>
      <c r="AV38" s="55">
        <f>IF(F38="","",MAX(F38-SUM(T38:X38),0)*23.0+IF(ISNUMBER(T38),T38*19.69,0)+IF(ISNUMBER(U38),U38*16.74,0)+IF(ISNUMBER(V38),V38*20.28,0)+IF(ISNUMBER(W38),W38*19.69,0)+IF(ISNUMBER(X38),X38*19.69,0))</f>
        <v/>
      </c>
      <c r="AW38" s="55">
        <f>IF(G38="","",MAX(G38-SUM(Y38:AG38),0)*12.5+IF(ISNUMBER(Y38),Y38*11.84,0)+IF(ISNUMBER(Z38),Z38*14.34,0)+IF(ISNUMBER(AA38),AA38*16.93,0)+IF(ISNUMBER(AB38),AB38*19.52,0)+IF(ISNUMBER(AC38),AC38*22.35,0)+IF(ISNUMBER(AD38),AD38*13.92,0)+IF(ISNUMBER(AE38),AE38*21.55,0)+IF(ISNUMBER(AF38),AF38*13.92,0)+IF(ISNUMBER(AG38),AG38*13.92,0))</f>
        <v/>
      </c>
      <c r="AX38" s="55">
        <f>IF(AND(H38="",I38=""),"",65.0+IF(ISNUMBER(AH38),AH38*30.23,0)+IF(ISNUMBER(AI38),AI38*30.23,0)+IF(ISNUMBER(AJ38),AJ38*28.0,0))</f>
        <v/>
      </c>
      <c r="AY38" s="55">
        <f>IF(E38="","",953.0)</f>
        <v/>
      </c>
      <c r="AZ38" s="57">
        <f>IF(E38="","",IF(ISNUMBER(AU38),AU38,0)+IF(ISNUMBER(AV38),AV38,0)+IF(ISNUMBER(AW38),AW38,0)+IF(ISNUMBER(AX38),AX38,0)+IF(ISNUMBER(AY38),AY38,0))</f>
        <v/>
      </c>
      <c r="BA38" s="58">
        <f>IF(OR(E38="",AZ38=""),"",AZ38-AR38)</f>
        <v/>
      </c>
      <c r="BB38" s="59">
        <f>IF(OR(E38="",AZ38=0),"",BA38/AZ38)</f>
        <v/>
      </c>
      <c r="BC38" s="60" t="n"/>
    </row>
    <row r="39" ht="16" customHeight="1">
      <c r="A39" s="45" t="inlineStr">
        <is>
          <t>3/23/2026</t>
        </is>
      </c>
      <c r="B39" s="46" t="inlineStr">
        <is>
          <t>SK0930</t>
        </is>
      </c>
      <c r="C39" s="46" t="inlineStr">
        <is>
          <t>3333</t>
        </is>
      </c>
      <c r="D39" s="46" t="inlineStr">
        <is>
          <t>C2</t>
        </is>
      </c>
      <c r="E39" s="50" t="n"/>
      <c r="F39" s="50" t="n"/>
      <c r="G39" s="50" t="n"/>
      <c r="H39" s="50" t="n">
        <v>6</v>
      </c>
      <c r="I39" s="50" t="n">
        <v>2</v>
      </c>
      <c r="J39" s="48" t="n"/>
      <c r="K39" s="48" t="n"/>
      <c r="L39" s="48" t="n"/>
      <c r="M39" s="48" t="n"/>
      <c r="N39" s="48" t="n"/>
      <c r="O39" s="48" t="n"/>
      <c r="P39" s="48" t="n"/>
      <c r="Q39" s="48" t="n"/>
      <c r="R39" s="48" t="n"/>
      <c r="S39" s="48" t="n"/>
      <c r="T39" s="49" t="n"/>
      <c r="U39" s="49" t="n"/>
      <c r="V39" s="49" t="n"/>
      <c r="W39" s="49" t="n"/>
      <c r="X39" s="49" t="n"/>
      <c r="Y39" s="47" t="n"/>
      <c r="Z39" s="47" t="n"/>
      <c r="AA39" s="47" t="n"/>
      <c r="AB39" s="47" t="n"/>
      <c r="AC39" s="47" t="n"/>
      <c r="AD39" s="47" t="n"/>
      <c r="AE39" s="47" t="n"/>
      <c r="AF39" s="47" t="n"/>
      <c r="AG39" s="47" t="n"/>
      <c r="AH39" s="50" t="n"/>
      <c r="AI39" s="50" t="n"/>
      <c r="AJ39" s="50" t="n"/>
      <c r="AK39" s="51" t="inlineStr"/>
      <c r="AL39" s="52" t="n"/>
      <c r="AM39" s="53">
        <f>IF(E39="","",E39*28.11)</f>
        <v/>
      </c>
      <c r="AN39" s="53">
        <f>IF(F39="","",F39*17.08)</f>
        <v/>
      </c>
      <c r="AO39" s="53">
        <f>IF(G39="","",G39*8.25)</f>
        <v/>
      </c>
      <c r="AP39" s="53">
        <f>IF(AND(H39="",I39=""),"",IF(ISNUMBER(H39),H39*18.0,0)+IF(ISNUMBER(I39),I39*16.0,0))</f>
        <v/>
      </c>
      <c r="AQ39" s="53">
        <f>IF(E39="","",667.1)</f>
        <v/>
      </c>
      <c r="AR39" s="54">
        <f>IF(E39="","",IF(ISNUMBER(AM39),AM39,0)+IF(ISNUMBER(AN39),AN39,0)+IF(ISNUMBER(AO39),AO39,0)+IF(ISNUMBER(AP39),AP39,0)+IF(ISNUMBER(AQ39),AQ39,0))</f>
        <v/>
      </c>
      <c r="AS39" s="55">
        <f>IF(E39="","",MAX(E39-SUM(J39:S39),0)*42.5)</f>
        <v/>
      </c>
      <c r="AT39" s="55">
        <f>IF(E39="","",IF(ISNUMBER(J39),J39*39.14,0)+IF(ISNUMBER(K39),K39*12.23,0)+IF(ISNUMBER(L39),L39*12.15,0)+IF(ISNUMBER(M39),M39*7.62,0)+IF(ISNUMBER(N39),N39*10.21,0)+IF(ISNUMBER(O39),O39*6.15,0)+IF(ISNUMBER(P39),P39*12.24,0)+IF(ISNUMBER(Q39),Q39*39.14,0)+IF(ISNUMBER(R39),R39*39.14,0)+IF(ISNUMBER(S39),S39*40.31,0))</f>
        <v/>
      </c>
      <c r="AU39" s="56">
        <f>IF(E39="","",IF(ISNUMBER(AS39),AS39,0)+IF(ISNUMBER(AT39),AT39,0))</f>
        <v/>
      </c>
      <c r="AV39" s="55">
        <f>IF(F39="","",MAX(F39-SUM(T39:X39),0)*23.0+IF(ISNUMBER(T39),T39*19.69,0)+IF(ISNUMBER(U39),U39*16.74,0)+IF(ISNUMBER(V39),V39*20.28,0)+IF(ISNUMBER(W39),W39*19.69,0)+IF(ISNUMBER(X39),X39*19.69,0))</f>
        <v/>
      </c>
      <c r="AW39" s="55">
        <f>IF(G39="","",MAX(G39-SUM(Y39:AG39),0)*12.5+IF(ISNUMBER(Y39),Y39*11.84,0)+IF(ISNUMBER(Z39),Z39*14.34,0)+IF(ISNUMBER(AA39),AA39*16.93,0)+IF(ISNUMBER(AB39),AB39*19.52,0)+IF(ISNUMBER(AC39),AC39*22.35,0)+IF(ISNUMBER(AD39),AD39*13.92,0)+IF(ISNUMBER(AE39),AE39*21.55,0)+IF(ISNUMBER(AF39),AF39*13.92,0)+IF(ISNUMBER(AG39),AG39*13.92,0))</f>
        <v/>
      </c>
      <c r="AX39" s="55">
        <f>IF(AND(H39="",I39=""),"",65.0+IF(ISNUMBER(AH39),AH39*30.23,0)+IF(ISNUMBER(AI39),AI39*30.23,0)+IF(ISNUMBER(AJ39),AJ39*28.0,0))</f>
        <v/>
      </c>
      <c r="AY39" s="55">
        <f>IF(E39="","",953.0)</f>
        <v/>
      </c>
      <c r="AZ39" s="57">
        <f>IF(E39="","",IF(ISNUMBER(AU39),AU39,0)+IF(ISNUMBER(AV39),AV39,0)+IF(ISNUMBER(AW39),AW39,0)+IF(ISNUMBER(AX39),AX39,0)+IF(ISNUMBER(AY39),AY39,0))</f>
        <v/>
      </c>
      <c r="BA39" s="58">
        <f>IF(OR(E39="",AZ39=""),"",AZ39-AR39)</f>
        <v/>
      </c>
      <c r="BB39" s="59">
        <f>IF(OR(E39="",AZ39=0),"",BA39/AZ39)</f>
        <v/>
      </c>
      <c r="BC39" s="60" t="n"/>
    </row>
    <row r="40" ht="16" customHeight="1">
      <c r="A40" s="45" t="inlineStr">
        <is>
          <t>3/26/2026</t>
        </is>
      </c>
      <c r="B40" s="46" t="inlineStr">
        <is>
          <t>SK0930</t>
        </is>
      </c>
      <c r="C40" s="46" t="inlineStr">
        <is>
          <t>3333</t>
        </is>
      </c>
      <c r="D40" s="46" t="inlineStr">
        <is>
          <t>C2</t>
        </is>
      </c>
      <c r="E40" s="47" t="n">
        <v>31</v>
      </c>
      <c r="F40" s="47" t="n">
        <v>56</v>
      </c>
      <c r="G40" s="47" t="n">
        <v>163</v>
      </c>
      <c r="H40" s="47" t="n">
        <v>6</v>
      </c>
      <c r="I40" s="47" t="n">
        <v>2</v>
      </c>
      <c r="J40" s="48" t="n"/>
      <c r="K40" s="48" t="n"/>
      <c r="L40" s="48" t="n"/>
      <c r="M40" s="48" t="n"/>
      <c r="N40" s="48" t="n"/>
      <c r="O40" s="48" t="n"/>
      <c r="P40" s="48" t="n"/>
      <c r="Q40" s="48" t="n"/>
      <c r="R40" s="48" t="n"/>
      <c r="S40" s="48" t="n"/>
      <c r="T40" s="49" t="n"/>
      <c r="U40" s="49" t="n"/>
      <c r="V40" s="49" t="n"/>
      <c r="W40" s="49" t="n"/>
      <c r="X40" s="49" t="n"/>
      <c r="Y40" s="47" t="n"/>
      <c r="Z40" s="47" t="n"/>
      <c r="AA40" s="47" t="n"/>
      <c r="AB40" s="47" t="n"/>
      <c r="AC40" s="47" t="n"/>
      <c r="AD40" s="47" t="n"/>
      <c r="AE40" s="47" t="n"/>
      <c r="AF40" s="47" t="n"/>
      <c r="AG40" s="47" t="n"/>
      <c r="AH40" s="50" t="n"/>
      <c r="AI40" s="50" t="n"/>
      <c r="AJ40" s="50" t="n"/>
      <c r="AK40" s="51" t="inlineStr"/>
      <c r="AL40" s="52" t="n"/>
      <c r="AM40" s="53">
        <f>IF(E40="","",E40*28.11)</f>
        <v/>
      </c>
      <c r="AN40" s="53">
        <f>IF(F40="","",F40*17.08)</f>
        <v/>
      </c>
      <c r="AO40" s="53">
        <f>IF(G40="","",G40*8.25)</f>
        <v/>
      </c>
      <c r="AP40" s="53">
        <f>IF(AND(H40="",I40=""),"",IF(ISNUMBER(H40),H40*18.0,0)+IF(ISNUMBER(I40),I40*16.0,0))</f>
        <v/>
      </c>
      <c r="AQ40" s="53">
        <f>IF(E40="","",667.1)</f>
        <v/>
      </c>
      <c r="AR40" s="54">
        <f>IF(E40="","",IF(ISNUMBER(AM40),AM40,0)+IF(ISNUMBER(AN40),AN40,0)+IF(ISNUMBER(AO40),AO40,0)+IF(ISNUMBER(AP40),AP40,0)+IF(ISNUMBER(AQ40),AQ40,0))</f>
        <v/>
      </c>
      <c r="AS40" s="55">
        <f>IF(E40="","",MAX(E40-SUM(J40:S40),0)*42.5)</f>
        <v/>
      </c>
      <c r="AT40" s="55">
        <f>IF(E40="","",IF(ISNUMBER(J40),J40*39.14,0)+IF(ISNUMBER(K40),K40*12.23,0)+IF(ISNUMBER(L40),L40*12.15,0)+IF(ISNUMBER(M40),M40*7.62,0)+IF(ISNUMBER(N40),N40*10.21,0)+IF(ISNUMBER(O40),O40*6.15,0)+IF(ISNUMBER(P40),P40*12.24,0)+IF(ISNUMBER(Q40),Q40*39.14,0)+IF(ISNUMBER(R40),R40*39.14,0)+IF(ISNUMBER(S40),S40*40.31,0))</f>
        <v/>
      </c>
      <c r="AU40" s="56">
        <f>IF(E40="","",IF(ISNUMBER(AS40),AS40,0)+IF(ISNUMBER(AT40),AT40,0))</f>
        <v/>
      </c>
      <c r="AV40" s="55">
        <f>IF(F40="","",MAX(F40-SUM(T40:X40),0)*23.0+IF(ISNUMBER(T40),T40*19.69,0)+IF(ISNUMBER(U40),U40*16.74,0)+IF(ISNUMBER(V40),V40*20.28,0)+IF(ISNUMBER(W40),W40*19.69,0)+IF(ISNUMBER(X40),X40*19.69,0))</f>
        <v/>
      </c>
      <c r="AW40" s="55">
        <f>IF(G40="","",MAX(G40-SUM(Y40:AG40),0)*12.5+IF(ISNUMBER(Y40),Y40*11.84,0)+IF(ISNUMBER(Z40),Z40*14.34,0)+IF(ISNUMBER(AA40),AA40*16.93,0)+IF(ISNUMBER(AB40),AB40*19.52,0)+IF(ISNUMBER(AC40),AC40*22.35,0)+IF(ISNUMBER(AD40),AD40*13.92,0)+IF(ISNUMBER(AE40),AE40*21.55,0)+IF(ISNUMBER(AF40),AF40*13.92,0)+IF(ISNUMBER(AG40),AG40*13.92,0))</f>
        <v/>
      </c>
      <c r="AX40" s="55">
        <f>IF(AND(H40="",I40=""),"",65.0+IF(ISNUMBER(AH40),AH40*30.23,0)+IF(ISNUMBER(AI40),AI40*30.23,0)+IF(ISNUMBER(AJ40),AJ40*28.0,0))</f>
        <v/>
      </c>
      <c r="AY40" s="55">
        <f>IF(E40="","",953.0)</f>
        <v/>
      </c>
      <c r="AZ40" s="57">
        <f>IF(E40="","",IF(ISNUMBER(AU40),AU40,0)+IF(ISNUMBER(AV40),AV40,0)+IF(ISNUMBER(AW40),AW40,0)+IF(ISNUMBER(AX40),AX40,0)+IF(ISNUMBER(AY40),AY40,0))</f>
        <v/>
      </c>
      <c r="BA40" s="58">
        <f>IF(OR(E40="",AZ40=""),"",AZ40-AR40)</f>
        <v/>
      </c>
      <c r="BB40" s="59">
        <f>IF(OR(E40="",AZ40=0),"",BA40/AZ40)</f>
        <v/>
      </c>
      <c r="BC40" s="60" t="n"/>
    </row>
    <row r="41" ht="16" customHeight="1">
      <c r="A41" s="45" t="inlineStr">
        <is>
          <t>3/28/2026</t>
        </is>
      </c>
      <c r="B41" s="46" t="inlineStr">
        <is>
          <t>SK0930</t>
        </is>
      </c>
      <c r="C41" s="46" t="inlineStr">
        <is>
          <t>3333</t>
        </is>
      </c>
      <c r="D41" s="46" t="inlineStr">
        <is>
          <t>C2</t>
        </is>
      </c>
      <c r="E41" s="50" t="n"/>
      <c r="F41" s="50" t="n"/>
      <c r="G41" s="50" t="n"/>
      <c r="H41" s="50" t="n">
        <v>6</v>
      </c>
      <c r="I41" s="50" t="n">
        <v>2</v>
      </c>
      <c r="J41" s="48" t="n"/>
      <c r="K41" s="48" t="n"/>
      <c r="L41" s="48" t="n"/>
      <c r="M41" s="48" t="n"/>
      <c r="N41" s="48" t="n"/>
      <c r="O41" s="48" t="n"/>
      <c r="P41" s="48" t="n"/>
      <c r="Q41" s="48" t="n"/>
      <c r="R41" s="48" t="n"/>
      <c r="S41" s="48" t="n"/>
      <c r="T41" s="49" t="n"/>
      <c r="U41" s="49" t="n"/>
      <c r="V41" s="49" t="n"/>
      <c r="W41" s="49" t="n"/>
      <c r="X41" s="49" t="n"/>
      <c r="Y41" s="47" t="n"/>
      <c r="Z41" s="47" t="n"/>
      <c r="AA41" s="47" t="n"/>
      <c r="AB41" s="47" t="n"/>
      <c r="AC41" s="47" t="n"/>
      <c r="AD41" s="47" t="n"/>
      <c r="AE41" s="47" t="n"/>
      <c r="AF41" s="47" t="n"/>
      <c r="AG41" s="47" t="n"/>
      <c r="AH41" s="50" t="n"/>
      <c r="AI41" s="50" t="n"/>
      <c r="AJ41" s="50" t="n"/>
      <c r="AK41" s="51" t="inlineStr"/>
      <c r="AL41" s="52" t="n"/>
      <c r="AM41" s="53">
        <f>IF(E41="","",E41*28.11)</f>
        <v/>
      </c>
      <c r="AN41" s="53">
        <f>IF(F41="","",F41*17.08)</f>
        <v/>
      </c>
      <c r="AO41" s="53">
        <f>IF(G41="","",G41*8.25)</f>
        <v/>
      </c>
      <c r="AP41" s="53">
        <f>IF(AND(H41="",I41=""),"",IF(ISNUMBER(H41),H41*18.0,0)+IF(ISNUMBER(I41),I41*16.0,0))</f>
        <v/>
      </c>
      <c r="AQ41" s="53">
        <f>IF(E41="","",667.1)</f>
        <v/>
      </c>
      <c r="AR41" s="54">
        <f>IF(E41="","",IF(ISNUMBER(AM41),AM41,0)+IF(ISNUMBER(AN41),AN41,0)+IF(ISNUMBER(AO41),AO41,0)+IF(ISNUMBER(AP41),AP41,0)+IF(ISNUMBER(AQ41),AQ41,0))</f>
        <v/>
      </c>
      <c r="AS41" s="55">
        <f>IF(E41="","",MAX(E41-SUM(J41:S41),0)*42.5)</f>
        <v/>
      </c>
      <c r="AT41" s="55">
        <f>IF(E41="","",IF(ISNUMBER(J41),J41*39.14,0)+IF(ISNUMBER(K41),K41*12.23,0)+IF(ISNUMBER(L41),L41*12.15,0)+IF(ISNUMBER(M41),M41*7.62,0)+IF(ISNUMBER(N41),N41*10.21,0)+IF(ISNUMBER(O41),O41*6.15,0)+IF(ISNUMBER(P41),P41*12.24,0)+IF(ISNUMBER(Q41),Q41*39.14,0)+IF(ISNUMBER(R41),R41*39.14,0)+IF(ISNUMBER(S41),S41*40.31,0))</f>
        <v/>
      </c>
      <c r="AU41" s="56">
        <f>IF(E41="","",IF(ISNUMBER(AS41),AS41,0)+IF(ISNUMBER(AT41),AT41,0))</f>
        <v/>
      </c>
      <c r="AV41" s="55">
        <f>IF(F41="","",MAX(F41-SUM(T41:X41),0)*23.0+IF(ISNUMBER(T41),T41*19.69,0)+IF(ISNUMBER(U41),U41*16.74,0)+IF(ISNUMBER(V41),V41*20.28,0)+IF(ISNUMBER(W41),W41*19.69,0)+IF(ISNUMBER(X41),X41*19.69,0))</f>
        <v/>
      </c>
      <c r="AW41" s="55">
        <f>IF(G41="","",MAX(G41-SUM(Y41:AG41),0)*12.5+IF(ISNUMBER(Y41),Y41*11.84,0)+IF(ISNUMBER(Z41),Z41*14.34,0)+IF(ISNUMBER(AA41),AA41*16.93,0)+IF(ISNUMBER(AB41),AB41*19.52,0)+IF(ISNUMBER(AC41),AC41*22.35,0)+IF(ISNUMBER(AD41),AD41*13.92,0)+IF(ISNUMBER(AE41),AE41*21.55,0)+IF(ISNUMBER(AF41),AF41*13.92,0)+IF(ISNUMBER(AG41),AG41*13.92,0))</f>
        <v/>
      </c>
      <c r="AX41" s="55">
        <f>IF(AND(H41="",I41=""),"",65.0+IF(ISNUMBER(AH41),AH41*30.23,0)+IF(ISNUMBER(AI41),AI41*30.23,0)+IF(ISNUMBER(AJ41),AJ41*28.0,0))</f>
        <v/>
      </c>
      <c r="AY41" s="55">
        <f>IF(E41="","",953.0)</f>
        <v/>
      </c>
      <c r="AZ41" s="57">
        <f>IF(E41="","",IF(ISNUMBER(AU41),AU41,0)+IF(ISNUMBER(AV41),AV41,0)+IF(ISNUMBER(AW41),AW41,0)+IF(ISNUMBER(AX41),AX41,0)+IF(ISNUMBER(AY41),AY41,0))</f>
        <v/>
      </c>
      <c r="BA41" s="58">
        <f>IF(OR(E41="",AZ41=""),"",AZ41-AR41)</f>
        <v/>
      </c>
      <c r="BB41" s="59">
        <f>IF(OR(E41="",AZ41=0),"",BA41/AZ41)</f>
        <v/>
      </c>
      <c r="BC41" s="60" t="n"/>
    </row>
    <row r="42" ht="16" customHeight="1">
      <c r="A42" s="45" t="inlineStr">
        <is>
          <t>4/4/2026</t>
        </is>
      </c>
      <c r="B42" s="46" t="inlineStr">
        <is>
          <t>SK0930</t>
        </is>
      </c>
      <c r="C42" s="46" t="inlineStr">
        <is>
          <t>3333</t>
        </is>
      </c>
      <c r="D42" s="46" t="inlineStr">
        <is>
          <t>C3</t>
        </is>
      </c>
      <c r="E42" s="47" t="n">
        <v>32</v>
      </c>
      <c r="F42" s="47" t="n">
        <v>44</v>
      </c>
      <c r="G42" s="47" t="n">
        <v>174</v>
      </c>
      <c r="H42" s="47" t="n">
        <v>6</v>
      </c>
      <c r="I42" s="47" t="n">
        <v>2</v>
      </c>
      <c r="J42" s="48" t="n"/>
      <c r="K42" s="48" t="n"/>
      <c r="L42" s="48" t="n"/>
      <c r="M42" s="48" t="n"/>
      <c r="N42" s="48" t="n"/>
      <c r="O42" s="48" t="n"/>
      <c r="P42" s="48" t="n"/>
      <c r="Q42" s="48" t="n"/>
      <c r="R42" s="48" t="n"/>
      <c r="S42" s="48" t="n"/>
      <c r="T42" s="49" t="n"/>
      <c r="U42" s="49" t="n"/>
      <c r="V42" s="49" t="n"/>
      <c r="W42" s="49" t="n"/>
      <c r="X42" s="49" t="n"/>
      <c r="Y42" s="47" t="n"/>
      <c r="Z42" s="47" t="n"/>
      <c r="AA42" s="47" t="n"/>
      <c r="AB42" s="47" t="n"/>
      <c r="AC42" s="47" t="n"/>
      <c r="AD42" s="47" t="n"/>
      <c r="AE42" s="47" t="n"/>
      <c r="AF42" s="47" t="n"/>
      <c r="AG42" s="47" t="n"/>
      <c r="AH42" s="50" t="n"/>
      <c r="AI42" s="50" t="n"/>
      <c r="AJ42" s="50" t="n"/>
      <c r="AK42" s="51" t="inlineStr"/>
      <c r="AL42" s="52" t="n"/>
      <c r="AM42" s="53">
        <f>IF(E42="","",E42*28.99)</f>
        <v/>
      </c>
      <c r="AN42" s="53">
        <f>IF(F42="","",F42*19.44)</f>
        <v/>
      </c>
      <c r="AO42" s="53">
        <f>IF(G42="","",G42*9.49)</f>
        <v/>
      </c>
      <c r="AP42" s="53">
        <f>IF(AND(H42="",I42=""),"",IF(ISNUMBER(H42),H42*18.5,0)+IF(ISNUMBER(I42),I42*16.5,0))</f>
        <v/>
      </c>
      <c r="AQ42" s="53">
        <f>IF(E42="","",667.1)</f>
        <v/>
      </c>
      <c r="AR42" s="54">
        <f>IF(E42="","",IF(ISNUMBER(AM42),AM42,0)+IF(ISNUMBER(AN42),AN42,0)+IF(ISNUMBER(AO42),AO42,0)+IF(ISNUMBER(AP42),AP42,0)+IF(ISNUMBER(AQ42),AQ42,0))</f>
        <v/>
      </c>
      <c r="AS42" s="55">
        <f>IF(E42="","",MAX(E42-SUM(J42:S42),0)*43.0)</f>
        <v/>
      </c>
      <c r="AT42" s="55">
        <f>IF(E42="","",IF(ISNUMBER(J42),J42*39.14,0)+IF(ISNUMBER(K42),K42*12.23,0)+IF(ISNUMBER(L42),L42*12.15,0)+IF(ISNUMBER(M42),M42*7.62,0)+IF(ISNUMBER(N42),N42*10.21,0)+IF(ISNUMBER(O42),O42*6.15,0)+IF(ISNUMBER(P42),P42*12.24,0)+IF(ISNUMBER(Q42),Q42*39.14,0)+IF(ISNUMBER(R42),R42*39.14,0)+IF(ISNUMBER(S42),S42*40.31,0))</f>
        <v/>
      </c>
      <c r="AU42" s="56">
        <f>IF(E42="","",IF(ISNUMBER(AS42),AS42,0)+IF(ISNUMBER(AT42),AT42,0))</f>
        <v/>
      </c>
      <c r="AV42" s="55">
        <f>IF(F42="","",MAX(F42-SUM(T42:X42),0)*25.0+IF(ISNUMBER(T42),T42*19.69,0)+IF(ISNUMBER(U42),U42*16.74,0)+IF(ISNUMBER(V42),V42*20.28,0)+IF(ISNUMBER(W42),W42*19.69,0)+IF(ISNUMBER(X42),X42*19.69,0))</f>
        <v/>
      </c>
      <c r="AW42" s="55">
        <f>IF(G42="","",MAX(G42-SUM(Y42:AG42),0)*13.44+IF(ISNUMBER(Y42),Y42*11.84,0)+IF(ISNUMBER(Z42),Z42*14.34,0)+IF(ISNUMBER(AA42),AA42*16.93,0)+IF(ISNUMBER(AB42),AB42*19.52,0)+IF(ISNUMBER(AC42),AC42*22.35,0)+IF(ISNUMBER(AD42),AD42*13.92,0)+IF(ISNUMBER(AE42),AE42*21.55,0)+IF(ISNUMBER(AF42),AF42*13.92,0)+IF(ISNUMBER(AG42),AG42*13.92,0))</f>
        <v/>
      </c>
      <c r="AX42" s="55">
        <f>IF(AND(H42="",I42=""),"",65.0+IF(ISNUMBER(AH42),AH42*30.23,0)+IF(ISNUMBER(AI42),AI42*30.23,0)+IF(ISNUMBER(AJ42),AJ42*28.0,0))</f>
        <v/>
      </c>
      <c r="AY42" s="55">
        <f>IF(E42="","",953.0)</f>
        <v/>
      </c>
      <c r="AZ42" s="57">
        <f>IF(E42="","",IF(ISNUMBER(AU42),AU42,0)+IF(ISNUMBER(AV42),AV42,0)+IF(ISNUMBER(AW42),AW42,0)+IF(ISNUMBER(AX42),AX42,0)+IF(ISNUMBER(AY42),AY42,0))</f>
        <v/>
      </c>
      <c r="BA42" s="58">
        <f>IF(OR(E42="",AZ42=""),"",AZ42-AR42)</f>
        <v/>
      </c>
      <c r="BB42" s="59">
        <f>IF(OR(E42="",AZ42=0),"",BA42/AZ42)</f>
        <v/>
      </c>
      <c r="BC42" s="60" t="n"/>
    </row>
    <row r="43" ht="16" customHeight="1">
      <c r="A43" s="45" t="inlineStr">
        <is>
          <t>4/4/2026</t>
        </is>
      </c>
      <c r="B43" s="46" t="inlineStr">
        <is>
          <t>SK0930</t>
        </is>
      </c>
      <c r="C43" s="46" t="inlineStr">
        <is>
          <t>3333</t>
        </is>
      </c>
      <c r="D43" s="46" t="inlineStr">
        <is>
          <t>C3</t>
        </is>
      </c>
      <c r="E43" s="47" t="n">
        <v>32</v>
      </c>
      <c r="F43" s="47" t="n">
        <v>44</v>
      </c>
      <c r="G43" s="47" t="n">
        <v>174</v>
      </c>
      <c r="H43" s="47" t="n">
        <v>6</v>
      </c>
      <c r="I43" s="47" t="n">
        <v>2</v>
      </c>
      <c r="J43" s="48" t="n"/>
      <c r="K43" s="48" t="n"/>
      <c r="L43" s="48" t="n"/>
      <c r="M43" s="48" t="n"/>
      <c r="N43" s="48" t="n"/>
      <c r="O43" s="48" t="n"/>
      <c r="P43" s="48" t="n"/>
      <c r="Q43" s="48" t="n"/>
      <c r="R43" s="48" t="n"/>
      <c r="S43" s="48" t="n"/>
      <c r="T43" s="49" t="n"/>
      <c r="U43" s="49" t="n"/>
      <c r="V43" s="49" t="n"/>
      <c r="W43" s="49" t="n"/>
      <c r="X43" s="49" t="n"/>
      <c r="Y43" s="47" t="n"/>
      <c r="Z43" s="47" t="n"/>
      <c r="AA43" s="47" t="n"/>
      <c r="AB43" s="47" t="n"/>
      <c r="AC43" s="47" t="n"/>
      <c r="AD43" s="47" t="n"/>
      <c r="AE43" s="47" t="n"/>
      <c r="AF43" s="47" t="n"/>
      <c r="AG43" s="47" t="n"/>
      <c r="AH43" s="50" t="n"/>
      <c r="AI43" s="50" t="n"/>
      <c r="AJ43" s="50" t="n"/>
      <c r="AK43" s="51" t="inlineStr"/>
      <c r="AL43" s="52" t="n"/>
      <c r="AM43" s="53">
        <f>IF(E43="","",E43*28.99)</f>
        <v/>
      </c>
      <c r="AN43" s="53">
        <f>IF(F43="","",F43*19.44)</f>
        <v/>
      </c>
      <c r="AO43" s="53">
        <f>IF(G43="","",G43*9.49)</f>
        <v/>
      </c>
      <c r="AP43" s="53">
        <f>IF(AND(H43="",I43=""),"",IF(ISNUMBER(H43),H43*18.5,0)+IF(ISNUMBER(I43),I43*16.5,0))</f>
        <v/>
      </c>
      <c r="AQ43" s="53">
        <f>IF(E43="","",667.1)</f>
        <v/>
      </c>
      <c r="AR43" s="54">
        <f>IF(E43="","",IF(ISNUMBER(AM43),AM43,0)+IF(ISNUMBER(AN43),AN43,0)+IF(ISNUMBER(AO43),AO43,0)+IF(ISNUMBER(AP43),AP43,0)+IF(ISNUMBER(AQ43),AQ43,0))</f>
        <v/>
      </c>
      <c r="AS43" s="55">
        <f>IF(E43="","",MAX(E43-SUM(J43:S43),0)*43.0)</f>
        <v/>
      </c>
      <c r="AT43" s="55">
        <f>IF(E43="","",IF(ISNUMBER(J43),J43*39.14,0)+IF(ISNUMBER(K43),K43*12.23,0)+IF(ISNUMBER(L43),L43*12.15,0)+IF(ISNUMBER(M43),M43*7.62,0)+IF(ISNUMBER(N43),N43*10.21,0)+IF(ISNUMBER(O43),O43*6.15,0)+IF(ISNUMBER(P43),P43*12.24,0)+IF(ISNUMBER(Q43),Q43*39.14,0)+IF(ISNUMBER(R43),R43*39.14,0)+IF(ISNUMBER(S43),S43*40.31,0))</f>
        <v/>
      </c>
      <c r="AU43" s="56">
        <f>IF(E43="","",IF(ISNUMBER(AS43),AS43,0)+IF(ISNUMBER(AT43),AT43,0))</f>
        <v/>
      </c>
      <c r="AV43" s="55">
        <f>IF(F43="","",MAX(F43-SUM(T43:X43),0)*25.0+IF(ISNUMBER(T43),T43*19.69,0)+IF(ISNUMBER(U43),U43*16.74,0)+IF(ISNUMBER(V43),V43*20.28,0)+IF(ISNUMBER(W43),W43*19.69,0)+IF(ISNUMBER(X43),X43*19.69,0))</f>
        <v/>
      </c>
      <c r="AW43" s="55">
        <f>IF(G43="","",MAX(G43-SUM(Y43:AG43),0)*13.44+IF(ISNUMBER(Y43),Y43*11.84,0)+IF(ISNUMBER(Z43),Z43*14.34,0)+IF(ISNUMBER(AA43),AA43*16.93,0)+IF(ISNUMBER(AB43),AB43*19.52,0)+IF(ISNUMBER(AC43),AC43*22.35,0)+IF(ISNUMBER(AD43),AD43*13.92,0)+IF(ISNUMBER(AE43),AE43*21.55,0)+IF(ISNUMBER(AF43),AF43*13.92,0)+IF(ISNUMBER(AG43),AG43*13.92,0))</f>
        <v/>
      </c>
      <c r="AX43" s="55">
        <f>IF(AND(H43="",I43=""),"",65.0+IF(ISNUMBER(AH43),AH43*30.23,0)+IF(ISNUMBER(AI43),AI43*30.23,0)+IF(ISNUMBER(AJ43),AJ43*28.0,0))</f>
        <v/>
      </c>
      <c r="AY43" s="55">
        <f>IF(E43="","",953.0)</f>
        <v/>
      </c>
      <c r="AZ43" s="57">
        <f>IF(E43="","",IF(ISNUMBER(AU43),AU43,0)+IF(ISNUMBER(AV43),AV43,0)+IF(ISNUMBER(AW43),AW43,0)+IF(ISNUMBER(AX43),AX43,0)+IF(ISNUMBER(AY43),AY43,0))</f>
        <v/>
      </c>
      <c r="BA43" s="58">
        <f>IF(OR(E43="",AZ43=""),"",AZ43-AR43)</f>
        <v/>
      </c>
      <c r="BB43" s="59">
        <f>IF(OR(E43="",AZ43=0),"",BA43/AZ43)</f>
        <v/>
      </c>
      <c r="BC43" s="60" t="n"/>
    </row>
    <row r="44" ht="16" customHeight="1">
      <c r="A44" s="45" t="inlineStr">
        <is>
          <t>4/5/2026</t>
        </is>
      </c>
      <c r="B44" s="46" t="inlineStr">
        <is>
          <t>SK0930</t>
        </is>
      </c>
      <c r="C44" s="46" t="inlineStr">
        <is>
          <t>3333</t>
        </is>
      </c>
      <c r="D44" s="46" t="inlineStr">
        <is>
          <t>C3</t>
        </is>
      </c>
      <c r="E44" s="50" t="n"/>
      <c r="F44" s="50" t="n"/>
      <c r="G44" s="50" t="n"/>
      <c r="H44" s="50" t="n">
        <v>6</v>
      </c>
      <c r="I44" s="50" t="n">
        <v>2</v>
      </c>
      <c r="J44" s="48" t="n"/>
      <c r="K44" s="48" t="n"/>
      <c r="L44" s="48" t="n"/>
      <c r="M44" s="48" t="n"/>
      <c r="N44" s="48" t="n"/>
      <c r="O44" s="48" t="n"/>
      <c r="P44" s="48" t="n"/>
      <c r="Q44" s="48" t="n"/>
      <c r="R44" s="48" t="n"/>
      <c r="S44" s="48" t="n"/>
      <c r="T44" s="49" t="n"/>
      <c r="U44" s="49" t="n"/>
      <c r="V44" s="49" t="n"/>
      <c r="W44" s="49" t="n"/>
      <c r="X44" s="49" t="n"/>
      <c r="Y44" s="47" t="n"/>
      <c r="Z44" s="47" t="n"/>
      <c r="AA44" s="47" t="n"/>
      <c r="AB44" s="47" t="n"/>
      <c r="AC44" s="47" t="n"/>
      <c r="AD44" s="47" t="n"/>
      <c r="AE44" s="47" t="n"/>
      <c r="AF44" s="47" t="n"/>
      <c r="AG44" s="47" t="n"/>
      <c r="AH44" s="50" t="n"/>
      <c r="AI44" s="50" t="n"/>
      <c r="AJ44" s="50" t="n"/>
      <c r="AK44" s="51" t="inlineStr"/>
      <c r="AL44" s="52" t="n"/>
      <c r="AM44" s="53">
        <f>IF(E44="","",E44*28.99)</f>
        <v/>
      </c>
      <c r="AN44" s="53">
        <f>IF(F44="","",F44*19.44)</f>
        <v/>
      </c>
      <c r="AO44" s="53">
        <f>IF(G44="","",G44*9.49)</f>
        <v/>
      </c>
      <c r="AP44" s="53">
        <f>IF(AND(H44="",I44=""),"",IF(ISNUMBER(H44),H44*18.5,0)+IF(ISNUMBER(I44),I44*16.5,0))</f>
        <v/>
      </c>
      <c r="AQ44" s="53">
        <f>IF(E44="","",667.1)</f>
        <v/>
      </c>
      <c r="AR44" s="54">
        <f>IF(E44="","",IF(ISNUMBER(AM44),AM44,0)+IF(ISNUMBER(AN44),AN44,0)+IF(ISNUMBER(AO44),AO44,0)+IF(ISNUMBER(AP44),AP44,0)+IF(ISNUMBER(AQ44),AQ44,0))</f>
        <v/>
      </c>
      <c r="AS44" s="55">
        <f>IF(E44="","",MAX(E44-SUM(J44:S44),0)*43.0)</f>
        <v/>
      </c>
      <c r="AT44" s="55">
        <f>IF(E44="","",IF(ISNUMBER(J44),J44*39.14,0)+IF(ISNUMBER(K44),K44*12.23,0)+IF(ISNUMBER(L44),L44*12.15,0)+IF(ISNUMBER(M44),M44*7.62,0)+IF(ISNUMBER(N44),N44*10.21,0)+IF(ISNUMBER(O44),O44*6.15,0)+IF(ISNUMBER(P44),P44*12.24,0)+IF(ISNUMBER(Q44),Q44*39.14,0)+IF(ISNUMBER(R44),R44*39.14,0)+IF(ISNUMBER(S44),S44*40.31,0))</f>
        <v/>
      </c>
      <c r="AU44" s="56">
        <f>IF(E44="","",IF(ISNUMBER(AS44),AS44,0)+IF(ISNUMBER(AT44),AT44,0))</f>
        <v/>
      </c>
      <c r="AV44" s="55">
        <f>IF(F44="","",MAX(F44-SUM(T44:X44),0)*25.0+IF(ISNUMBER(T44),T44*19.69,0)+IF(ISNUMBER(U44),U44*16.74,0)+IF(ISNUMBER(V44),V44*20.28,0)+IF(ISNUMBER(W44),W44*19.69,0)+IF(ISNUMBER(X44),X44*19.69,0))</f>
        <v/>
      </c>
      <c r="AW44" s="55">
        <f>IF(G44="","",MAX(G44-SUM(Y44:AG44),0)*13.44+IF(ISNUMBER(Y44),Y44*11.84,0)+IF(ISNUMBER(Z44),Z44*14.34,0)+IF(ISNUMBER(AA44),AA44*16.93,0)+IF(ISNUMBER(AB44),AB44*19.52,0)+IF(ISNUMBER(AC44),AC44*22.35,0)+IF(ISNUMBER(AD44),AD44*13.92,0)+IF(ISNUMBER(AE44),AE44*21.55,0)+IF(ISNUMBER(AF44),AF44*13.92,0)+IF(ISNUMBER(AG44),AG44*13.92,0))</f>
        <v/>
      </c>
      <c r="AX44" s="55">
        <f>IF(AND(H44="",I44=""),"",65.0+IF(ISNUMBER(AH44),AH44*30.23,0)+IF(ISNUMBER(AI44),AI44*30.23,0)+IF(ISNUMBER(AJ44),AJ44*28.0,0))</f>
        <v/>
      </c>
      <c r="AY44" s="55">
        <f>IF(E44="","",953.0)</f>
        <v/>
      </c>
      <c r="AZ44" s="57">
        <f>IF(E44="","",IF(ISNUMBER(AU44),AU44,0)+IF(ISNUMBER(AV44),AV44,0)+IF(ISNUMBER(AW44),AW44,0)+IF(ISNUMBER(AX44),AX44,0)+IF(ISNUMBER(AY44),AY44,0))</f>
        <v/>
      </c>
      <c r="BA44" s="58">
        <f>IF(OR(E44="",AZ44=""),"",AZ44-AR44)</f>
        <v/>
      </c>
      <c r="BB44" s="59">
        <f>IF(OR(E44="",AZ44=0),"",BA44/AZ44)</f>
        <v/>
      </c>
      <c r="BC44" s="60" t="n"/>
    </row>
    <row r="45" ht="16" customHeight="1">
      <c r="A45" s="45" t="inlineStr">
        <is>
          <t>4/7/2026</t>
        </is>
      </c>
      <c r="B45" s="46" t="inlineStr">
        <is>
          <t>SK0930</t>
        </is>
      </c>
      <c r="C45" s="46" t="inlineStr">
        <is>
          <t>3333</t>
        </is>
      </c>
      <c r="D45" s="46" t="inlineStr">
        <is>
          <t>C3</t>
        </is>
      </c>
      <c r="E45" s="50" t="n"/>
      <c r="F45" s="50" t="n"/>
      <c r="G45" s="50" t="n"/>
      <c r="H45" s="50" t="n">
        <v>6</v>
      </c>
      <c r="I45" s="50" t="n">
        <v>2</v>
      </c>
      <c r="J45" s="48" t="n"/>
      <c r="K45" s="48" t="n"/>
      <c r="L45" s="48" t="n"/>
      <c r="M45" s="48" t="n"/>
      <c r="N45" s="48" t="n"/>
      <c r="O45" s="48" t="n"/>
      <c r="P45" s="48" t="n"/>
      <c r="Q45" s="48" t="n"/>
      <c r="R45" s="48" t="n"/>
      <c r="S45" s="48" t="n"/>
      <c r="T45" s="49" t="n"/>
      <c r="U45" s="49" t="n"/>
      <c r="V45" s="49" t="n"/>
      <c r="W45" s="49" t="n"/>
      <c r="X45" s="49" t="n"/>
      <c r="Y45" s="47" t="n"/>
      <c r="Z45" s="47" t="n"/>
      <c r="AA45" s="47" t="n"/>
      <c r="AB45" s="47" t="n"/>
      <c r="AC45" s="47" t="n"/>
      <c r="AD45" s="47" t="n"/>
      <c r="AE45" s="47" t="n"/>
      <c r="AF45" s="47" t="n"/>
      <c r="AG45" s="47" t="n"/>
      <c r="AH45" s="50" t="n"/>
      <c r="AI45" s="50" t="n"/>
      <c r="AJ45" s="50" t="n"/>
      <c r="AK45" s="51" t="inlineStr"/>
      <c r="AL45" s="52" t="n"/>
      <c r="AM45" s="53">
        <f>IF(E45="","",E45*28.99)</f>
        <v/>
      </c>
      <c r="AN45" s="53">
        <f>IF(F45="","",F45*19.44)</f>
        <v/>
      </c>
      <c r="AO45" s="53">
        <f>IF(G45="","",G45*9.49)</f>
        <v/>
      </c>
      <c r="AP45" s="53">
        <f>IF(AND(H45="",I45=""),"",IF(ISNUMBER(H45),H45*18.5,0)+IF(ISNUMBER(I45),I45*16.5,0))</f>
        <v/>
      </c>
      <c r="AQ45" s="53">
        <f>IF(E45="","",667.1)</f>
        <v/>
      </c>
      <c r="AR45" s="54">
        <f>IF(E45="","",IF(ISNUMBER(AM45),AM45,0)+IF(ISNUMBER(AN45),AN45,0)+IF(ISNUMBER(AO45),AO45,0)+IF(ISNUMBER(AP45),AP45,0)+IF(ISNUMBER(AQ45),AQ45,0))</f>
        <v/>
      </c>
      <c r="AS45" s="55">
        <f>IF(E45="","",MAX(E45-SUM(J45:S45),0)*43.0)</f>
        <v/>
      </c>
      <c r="AT45" s="55">
        <f>IF(E45="","",IF(ISNUMBER(J45),J45*39.14,0)+IF(ISNUMBER(K45),K45*12.23,0)+IF(ISNUMBER(L45),L45*12.15,0)+IF(ISNUMBER(M45),M45*7.62,0)+IF(ISNUMBER(N45),N45*10.21,0)+IF(ISNUMBER(O45),O45*6.15,0)+IF(ISNUMBER(P45),P45*12.24,0)+IF(ISNUMBER(Q45),Q45*39.14,0)+IF(ISNUMBER(R45),R45*39.14,0)+IF(ISNUMBER(S45),S45*40.31,0))</f>
        <v/>
      </c>
      <c r="AU45" s="56">
        <f>IF(E45="","",IF(ISNUMBER(AS45),AS45,0)+IF(ISNUMBER(AT45),AT45,0))</f>
        <v/>
      </c>
      <c r="AV45" s="55">
        <f>IF(F45="","",MAX(F45-SUM(T45:X45),0)*25.0+IF(ISNUMBER(T45),T45*19.69,0)+IF(ISNUMBER(U45),U45*16.74,0)+IF(ISNUMBER(V45),V45*20.28,0)+IF(ISNUMBER(W45),W45*19.69,0)+IF(ISNUMBER(X45),X45*19.69,0))</f>
        <v/>
      </c>
      <c r="AW45" s="55">
        <f>IF(G45="","",MAX(G45-SUM(Y45:AG45),0)*13.44+IF(ISNUMBER(Y45),Y45*11.84,0)+IF(ISNUMBER(Z45),Z45*14.34,0)+IF(ISNUMBER(AA45),AA45*16.93,0)+IF(ISNUMBER(AB45),AB45*19.52,0)+IF(ISNUMBER(AC45),AC45*22.35,0)+IF(ISNUMBER(AD45),AD45*13.92,0)+IF(ISNUMBER(AE45),AE45*21.55,0)+IF(ISNUMBER(AF45),AF45*13.92,0)+IF(ISNUMBER(AG45),AG45*13.92,0))</f>
        <v/>
      </c>
      <c r="AX45" s="55">
        <f>IF(AND(H45="",I45=""),"",65.0+IF(ISNUMBER(AH45),AH45*30.23,0)+IF(ISNUMBER(AI45),AI45*30.23,0)+IF(ISNUMBER(AJ45),AJ45*28.0,0))</f>
        <v/>
      </c>
      <c r="AY45" s="55">
        <f>IF(E45="","",953.0)</f>
        <v/>
      </c>
      <c r="AZ45" s="57">
        <f>IF(E45="","",IF(ISNUMBER(AU45),AU45,0)+IF(ISNUMBER(AV45),AV45,0)+IF(ISNUMBER(AW45),AW45,0)+IF(ISNUMBER(AX45),AX45,0)+IF(ISNUMBER(AY45),AY45,0))</f>
        <v/>
      </c>
      <c r="BA45" s="58">
        <f>IF(OR(E45="",AZ45=""),"",AZ45-AR45)</f>
        <v/>
      </c>
      <c r="BB45" s="59">
        <f>IF(OR(E45="",AZ45=0),"",BA45/AZ45)</f>
        <v/>
      </c>
      <c r="BC45" s="60" t="n"/>
    </row>
    <row r="46" ht="16" customHeight="1">
      <c r="A46" s="45" t="inlineStr">
        <is>
          <t>4/11/2026</t>
        </is>
      </c>
      <c r="B46" s="46" t="inlineStr">
        <is>
          <t>SK0930</t>
        </is>
      </c>
      <c r="C46" s="46" t="inlineStr">
        <is>
          <t>3333</t>
        </is>
      </c>
      <c r="D46" s="46" t="inlineStr">
        <is>
          <t>C3</t>
        </is>
      </c>
      <c r="E46" s="47" t="n">
        <v>32</v>
      </c>
      <c r="F46" s="47" t="n">
        <v>56</v>
      </c>
      <c r="G46" s="47" t="n">
        <v>167</v>
      </c>
      <c r="H46" s="47" t="n">
        <v>6</v>
      </c>
      <c r="I46" s="47" t="n">
        <v>2</v>
      </c>
      <c r="J46" s="48" t="n"/>
      <c r="K46" s="48" t="n"/>
      <c r="L46" s="48" t="n"/>
      <c r="M46" s="48" t="n"/>
      <c r="N46" s="48" t="n"/>
      <c r="O46" s="48" t="n"/>
      <c r="P46" s="48" t="n"/>
      <c r="Q46" s="48" t="n"/>
      <c r="R46" s="48" t="n"/>
      <c r="S46" s="48" t="n"/>
      <c r="T46" s="49" t="n"/>
      <c r="U46" s="49" t="n"/>
      <c r="V46" s="49" t="n"/>
      <c r="W46" s="49" t="n"/>
      <c r="X46" s="49" t="n"/>
      <c r="Y46" s="47" t="n"/>
      <c r="Z46" s="47" t="n"/>
      <c r="AA46" s="47" t="n"/>
      <c r="AB46" s="47" t="n"/>
      <c r="AC46" s="47" t="n"/>
      <c r="AD46" s="47" t="n"/>
      <c r="AE46" s="47" t="n"/>
      <c r="AF46" s="47" t="n"/>
      <c r="AG46" s="47" t="n"/>
      <c r="AH46" s="50" t="n"/>
      <c r="AI46" s="50" t="n"/>
      <c r="AJ46" s="50" t="n"/>
      <c r="AK46" s="51" t="inlineStr"/>
      <c r="AL46" s="52" t="n"/>
      <c r="AM46" s="53">
        <f>IF(E46="","",E46*28.99)</f>
        <v/>
      </c>
      <c r="AN46" s="53">
        <f>IF(F46="","",F46*19.44)</f>
        <v/>
      </c>
      <c r="AO46" s="53">
        <f>IF(G46="","",G46*9.49)</f>
        <v/>
      </c>
      <c r="AP46" s="53">
        <f>IF(AND(H46="",I46=""),"",IF(ISNUMBER(H46),H46*18.5,0)+IF(ISNUMBER(I46),I46*16.5,0))</f>
        <v/>
      </c>
      <c r="AQ46" s="53">
        <f>IF(E46="","",667.1)</f>
        <v/>
      </c>
      <c r="AR46" s="54">
        <f>IF(E46="","",IF(ISNUMBER(AM46),AM46,0)+IF(ISNUMBER(AN46),AN46,0)+IF(ISNUMBER(AO46),AO46,0)+IF(ISNUMBER(AP46),AP46,0)+IF(ISNUMBER(AQ46),AQ46,0))</f>
        <v/>
      </c>
      <c r="AS46" s="55">
        <f>IF(E46="","",MAX(E46-SUM(J46:S46),0)*43.0)</f>
        <v/>
      </c>
      <c r="AT46" s="55">
        <f>IF(E46="","",IF(ISNUMBER(J46),J46*39.14,0)+IF(ISNUMBER(K46),K46*12.23,0)+IF(ISNUMBER(L46),L46*12.15,0)+IF(ISNUMBER(M46),M46*7.62,0)+IF(ISNUMBER(N46),N46*10.21,0)+IF(ISNUMBER(O46),O46*6.15,0)+IF(ISNUMBER(P46),P46*12.24,0)+IF(ISNUMBER(Q46),Q46*39.14,0)+IF(ISNUMBER(R46),R46*39.14,0)+IF(ISNUMBER(S46),S46*40.31,0))</f>
        <v/>
      </c>
      <c r="AU46" s="56">
        <f>IF(E46="","",IF(ISNUMBER(AS46),AS46,0)+IF(ISNUMBER(AT46),AT46,0))</f>
        <v/>
      </c>
      <c r="AV46" s="55">
        <f>IF(F46="","",MAX(F46-SUM(T46:X46),0)*25.0+IF(ISNUMBER(T46),T46*19.69,0)+IF(ISNUMBER(U46),U46*16.74,0)+IF(ISNUMBER(V46),V46*20.28,0)+IF(ISNUMBER(W46),W46*19.69,0)+IF(ISNUMBER(X46),X46*19.69,0))</f>
        <v/>
      </c>
      <c r="AW46" s="55">
        <f>IF(G46="","",MAX(G46-SUM(Y46:AG46),0)*13.44+IF(ISNUMBER(Y46),Y46*11.84,0)+IF(ISNUMBER(Z46),Z46*14.34,0)+IF(ISNUMBER(AA46),AA46*16.93,0)+IF(ISNUMBER(AB46),AB46*19.52,0)+IF(ISNUMBER(AC46),AC46*22.35,0)+IF(ISNUMBER(AD46),AD46*13.92,0)+IF(ISNUMBER(AE46),AE46*21.55,0)+IF(ISNUMBER(AF46),AF46*13.92,0)+IF(ISNUMBER(AG46),AG46*13.92,0))</f>
        <v/>
      </c>
      <c r="AX46" s="55">
        <f>IF(AND(H46="",I46=""),"",65.0+IF(ISNUMBER(AH46),AH46*30.23,0)+IF(ISNUMBER(AI46),AI46*30.23,0)+IF(ISNUMBER(AJ46),AJ46*28.0,0))</f>
        <v/>
      </c>
      <c r="AY46" s="55">
        <f>IF(E46="","",953.0)</f>
        <v/>
      </c>
      <c r="AZ46" s="57">
        <f>IF(E46="","",IF(ISNUMBER(AU46),AU46,0)+IF(ISNUMBER(AV46),AV46,0)+IF(ISNUMBER(AW46),AW46,0)+IF(ISNUMBER(AX46),AX46,0)+IF(ISNUMBER(AY46),AY46,0))</f>
        <v/>
      </c>
      <c r="BA46" s="58">
        <f>IF(OR(E46="",AZ46=""),"",AZ46-AR46)</f>
        <v/>
      </c>
      <c r="BB46" s="59">
        <f>IF(OR(E46="",AZ46=0),"",BA46/AZ46)</f>
        <v/>
      </c>
      <c r="BC46" s="60" t="n"/>
    </row>
    <row r="47" ht="16" customHeight="1">
      <c r="A47" s="45" t="inlineStr">
        <is>
          <t>4/12/2026</t>
        </is>
      </c>
      <c r="B47" s="46" t="inlineStr">
        <is>
          <t>SK0930</t>
        </is>
      </c>
      <c r="C47" s="46" t="inlineStr">
        <is>
          <t>3333</t>
        </is>
      </c>
      <c r="D47" s="46" t="inlineStr">
        <is>
          <t>C3</t>
        </is>
      </c>
      <c r="E47" s="47" t="n">
        <v>31</v>
      </c>
      <c r="F47" s="47" t="n">
        <v>49</v>
      </c>
      <c r="G47" s="47" t="n">
        <v>141</v>
      </c>
      <c r="H47" s="47" t="n">
        <v>6</v>
      </c>
      <c r="I47" s="47" t="n">
        <v>2</v>
      </c>
      <c r="J47" s="48" t="n"/>
      <c r="K47" s="48" t="n"/>
      <c r="L47" s="48" t="n"/>
      <c r="M47" s="48" t="n"/>
      <c r="N47" s="48" t="n"/>
      <c r="O47" s="48" t="n"/>
      <c r="P47" s="48" t="n"/>
      <c r="Q47" s="48" t="n"/>
      <c r="R47" s="48" t="n"/>
      <c r="S47" s="48" t="n"/>
      <c r="T47" s="49" t="n"/>
      <c r="U47" s="49" t="n"/>
      <c r="V47" s="49" t="n"/>
      <c r="W47" s="49" t="n"/>
      <c r="X47" s="49" t="n"/>
      <c r="Y47" s="47" t="n"/>
      <c r="Z47" s="47" t="n"/>
      <c r="AA47" s="47" t="n"/>
      <c r="AB47" s="47" t="n"/>
      <c r="AC47" s="47" t="n"/>
      <c r="AD47" s="47" t="n"/>
      <c r="AE47" s="47" t="n"/>
      <c r="AF47" s="47" t="n"/>
      <c r="AG47" s="47" t="n"/>
      <c r="AH47" s="50" t="n"/>
      <c r="AI47" s="50" t="n"/>
      <c r="AJ47" s="50" t="n"/>
      <c r="AK47" s="51" t="inlineStr"/>
      <c r="AL47" s="52" t="n"/>
      <c r="AM47" s="53">
        <f>IF(E47="","",E47*28.99)</f>
        <v/>
      </c>
      <c r="AN47" s="53">
        <f>IF(F47="","",F47*19.44)</f>
        <v/>
      </c>
      <c r="AO47" s="53">
        <f>IF(G47="","",G47*9.49)</f>
        <v/>
      </c>
      <c r="AP47" s="53">
        <f>IF(AND(H47="",I47=""),"",IF(ISNUMBER(H47),H47*18.5,0)+IF(ISNUMBER(I47),I47*16.5,0))</f>
        <v/>
      </c>
      <c r="AQ47" s="53">
        <f>IF(E47="","",667.1)</f>
        <v/>
      </c>
      <c r="AR47" s="54">
        <f>IF(E47="","",IF(ISNUMBER(AM47),AM47,0)+IF(ISNUMBER(AN47),AN47,0)+IF(ISNUMBER(AO47),AO47,0)+IF(ISNUMBER(AP47),AP47,0)+IF(ISNUMBER(AQ47),AQ47,0))</f>
        <v/>
      </c>
      <c r="AS47" s="55">
        <f>IF(E47="","",MAX(E47-SUM(J47:S47),0)*43.0)</f>
        <v/>
      </c>
      <c r="AT47" s="55">
        <f>IF(E47="","",IF(ISNUMBER(J47),J47*39.14,0)+IF(ISNUMBER(K47),K47*12.23,0)+IF(ISNUMBER(L47),L47*12.15,0)+IF(ISNUMBER(M47),M47*7.62,0)+IF(ISNUMBER(N47),N47*10.21,0)+IF(ISNUMBER(O47),O47*6.15,0)+IF(ISNUMBER(P47),P47*12.24,0)+IF(ISNUMBER(Q47),Q47*39.14,0)+IF(ISNUMBER(R47),R47*39.14,0)+IF(ISNUMBER(S47),S47*40.31,0))</f>
        <v/>
      </c>
      <c r="AU47" s="56">
        <f>IF(E47="","",IF(ISNUMBER(AS47),AS47,0)+IF(ISNUMBER(AT47),AT47,0))</f>
        <v/>
      </c>
      <c r="AV47" s="55">
        <f>IF(F47="","",MAX(F47-SUM(T47:X47),0)*25.0+IF(ISNUMBER(T47),T47*19.69,0)+IF(ISNUMBER(U47),U47*16.74,0)+IF(ISNUMBER(V47),V47*20.28,0)+IF(ISNUMBER(W47),W47*19.69,0)+IF(ISNUMBER(X47),X47*19.69,0))</f>
        <v/>
      </c>
      <c r="AW47" s="55">
        <f>IF(G47="","",MAX(G47-SUM(Y47:AG47),0)*13.44+IF(ISNUMBER(Y47),Y47*11.84,0)+IF(ISNUMBER(Z47),Z47*14.34,0)+IF(ISNUMBER(AA47),AA47*16.93,0)+IF(ISNUMBER(AB47),AB47*19.52,0)+IF(ISNUMBER(AC47),AC47*22.35,0)+IF(ISNUMBER(AD47),AD47*13.92,0)+IF(ISNUMBER(AE47),AE47*21.55,0)+IF(ISNUMBER(AF47),AF47*13.92,0)+IF(ISNUMBER(AG47),AG47*13.92,0))</f>
        <v/>
      </c>
      <c r="AX47" s="55">
        <f>IF(AND(H47="",I47=""),"",65.0+IF(ISNUMBER(AH47),AH47*30.23,0)+IF(ISNUMBER(AI47),AI47*30.23,0)+IF(ISNUMBER(AJ47),AJ47*28.0,0))</f>
        <v/>
      </c>
      <c r="AY47" s="55">
        <f>IF(E47="","",953.0)</f>
        <v/>
      </c>
      <c r="AZ47" s="57">
        <f>IF(E47="","",IF(ISNUMBER(AU47),AU47,0)+IF(ISNUMBER(AV47),AV47,0)+IF(ISNUMBER(AW47),AW47,0)+IF(ISNUMBER(AX47),AX47,0)+IF(ISNUMBER(AY47),AY47,0))</f>
        <v/>
      </c>
      <c r="BA47" s="58">
        <f>IF(OR(E47="",AZ47=""),"",AZ47-AR47)</f>
        <v/>
      </c>
      <c r="BB47" s="59">
        <f>IF(OR(E47="",AZ47=0),"",BA47/AZ47)</f>
        <v/>
      </c>
      <c r="BC47" s="60" t="n"/>
    </row>
    <row r="48" ht="16" customHeight="1">
      <c r="A48" s="45" t="inlineStr">
        <is>
          <t>4/14/2026</t>
        </is>
      </c>
      <c r="B48" s="46" t="inlineStr">
        <is>
          <t>SK0930</t>
        </is>
      </c>
      <c r="C48" s="46" t="inlineStr">
        <is>
          <t>3333</t>
        </is>
      </c>
      <c r="D48" s="46" t="inlineStr">
        <is>
          <t>C3</t>
        </is>
      </c>
      <c r="E48" s="50" t="n"/>
      <c r="F48" s="50" t="n"/>
      <c r="G48" s="50" t="n"/>
      <c r="H48" s="50" t="n">
        <v>6</v>
      </c>
      <c r="I48" s="50" t="n">
        <v>2</v>
      </c>
      <c r="J48" s="48" t="n"/>
      <c r="K48" s="48" t="n"/>
      <c r="L48" s="48" t="n"/>
      <c r="M48" s="48" t="n"/>
      <c r="N48" s="48" t="n"/>
      <c r="O48" s="48" t="n"/>
      <c r="P48" s="48" t="n"/>
      <c r="Q48" s="48" t="n"/>
      <c r="R48" s="48" t="n"/>
      <c r="S48" s="48" t="n"/>
      <c r="T48" s="49" t="n"/>
      <c r="U48" s="49" t="n"/>
      <c r="V48" s="49" t="n"/>
      <c r="W48" s="49" t="n"/>
      <c r="X48" s="49" t="n"/>
      <c r="Y48" s="47" t="n"/>
      <c r="Z48" s="47" t="n"/>
      <c r="AA48" s="47" t="n"/>
      <c r="AB48" s="47" t="n"/>
      <c r="AC48" s="47" t="n"/>
      <c r="AD48" s="47" t="n"/>
      <c r="AE48" s="47" t="n"/>
      <c r="AF48" s="47" t="n"/>
      <c r="AG48" s="47" t="n"/>
      <c r="AH48" s="50" t="n"/>
      <c r="AI48" s="50" t="n"/>
      <c r="AJ48" s="50" t="n"/>
      <c r="AK48" s="51" t="inlineStr"/>
      <c r="AL48" s="52" t="n"/>
      <c r="AM48" s="53">
        <f>IF(E48="","",E48*28.99)</f>
        <v/>
      </c>
      <c r="AN48" s="53">
        <f>IF(F48="","",F48*19.44)</f>
        <v/>
      </c>
      <c r="AO48" s="53">
        <f>IF(G48="","",G48*9.49)</f>
        <v/>
      </c>
      <c r="AP48" s="53">
        <f>IF(AND(H48="",I48=""),"",IF(ISNUMBER(H48),H48*18.5,0)+IF(ISNUMBER(I48),I48*16.5,0))</f>
        <v/>
      </c>
      <c r="AQ48" s="53">
        <f>IF(E48="","",667.1)</f>
        <v/>
      </c>
      <c r="AR48" s="54">
        <f>IF(E48="","",IF(ISNUMBER(AM48),AM48,0)+IF(ISNUMBER(AN48),AN48,0)+IF(ISNUMBER(AO48),AO48,0)+IF(ISNUMBER(AP48),AP48,0)+IF(ISNUMBER(AQ48),AQ48,0))</f>
        <v/>
      </c>
      <c r="AS48" s="55">
        <f>IF(E48="","",MAX(E48-SUM(J48:S48),0)*43.0)</f>
        <v/>
      </c>
      <c r="AT48" s="55">
        <f>IF(E48="","",IF(ISNUMBER(J48),J48*39.14,0)+IF(ISNUMBER(K48),K48*12.23,0)+IF(ISNUMBER(L48),L48*12.15,0)+IF(ISNUMBER(M48),M48*7.62,0)+IF(ISNUMBER(N48),N48*10.21,0)+IF(ISNUMBER(O48),O48*6.15,0)+IF(ISNUMBER(P48),P48*12.24,0)+IF(ISNUMBER(Q48),Q48*39.14,0)+IF(ISNUMBER(R48),R48*39.14,0)+IF(ISNUMBER(S48),S48*40.31,0))</f>
        <v/>
      </c>
      <c r="AU48" s="56">
        <f>IF(E48="","",IF(ISNUMBER(AS48),AS48,0)+IF(ISNUMBER(AT48),AT48,0))</f>
        <v/>
      </c>
      <c r="AV48" s="55">
        <f>IF(F48="","",MAX(F48-SUM(T48:X48),0)*25.0+IF(ISNUMBER(T48),T48*19.69,0)+IF(ISNUMBER(U48),U48*16.74,0)+IF(ISNUMBER(V48),V48*20.28,0)+IF(ISNUMBER(W48),W48*19.69,0)+IF(ISNUMBER(X48),X48*19.69,0))</f>
        <v/>
      </c>
      <c r="AW48" s="55">
        <f>IF(G48="","",MAX(G48-SUM(Y48:AG48),0)*13.44+IF(ISNUMBER(Y48),Y48*11.84,0)+IF(ISNUMBER(Z48),Z48*14.34,0)+IF(ISNUMBER(AA48),AA48*16.93,0)+IF(ISNUMBER(AB48),AB48*19.52,0)+IF(ISNUMBER(AC48),AC48*22.35,0)+IF(ISNUMBER(AD48),AD48*13.92,0)+IF(ISNUMBER(AE48),AE48*21.55,0)+IF(ISNUMBER(AF48),AF48*13.92,0)+IF(ISNUMBER(AG48),AG48*13.92,0))</f>
        <v/>
      </c>
      <c r="AX48" s="55">
        <f>IF(AND(H48="",I48=""),"",65.0+IF(ISNUMBER(AH48),AH48*30.23,0)+IF(ISNUMBER(AI48),AI48*30.23,0)+IF(ISNUMBER(AJ48),AJ48*28.0,0))</f>
        <v/>
      </c>
      <c r="AY48" s="55">
        <f>IF(E48="","",953.0)</f>
        <v/>
      </c>
      <c r="AZ48" s="57">
        <f>IF(E48="","",IF(ISNUMBER(AU48),AU48,0)+IF(ISNUMBER(AV48),AV48,0)+IF(ISNUMBER(AW48),AW48,0)+IF(ISNUMBER(AX48),AX48,0)+IF(ISNUMBER(AY48),AY48,0))</f>
        <v/>
      </c>
      <c r="BA48" s="58">
        <f>IF(OR(E48="",AZ48=""),"",AZ48-AR48)</f>
        <v/>
      </c>
      <c r="BB48" s="59">
        <f>IF(OR(E48="",AZ48=0),"",BA48/AZ48)</f>
        <v/>
      </c>
      <c r="BC48" s="60" t="n"/>
    </row>
    <row r="49" ht="16" customHeight="1">
      <c r="A49" s="45" t="inlineStr">
        <is>
          <t>4/16/2026</t>
        </is>
      </c>
      <c r="B49" s="46" t="inlineStr">
        <is>
          <t>SK0930</t>
        </is>
      </c>
      <c r="C49" s="46" t="inlineStr">
        <is>
          <t>3333</t>
        </is>
      </c>
      <c r="D49" s="46" t="inlineStr">
        <is>
          <t>C3</t>
        </is>
      </c>
      <c r="E49" s="47" t="n">
        <v>32</v>
      </c>
      <c r="F49" s="47" t="n">
        <v>56</v>
      </c>
      <c r="G49" s="47" t="n">
        <v>174</v>
      </c>
      <c r="H49" s="47" t="n">
        <v>6</v>
      </c>
      <c r="I49" s="47" t="n">
        <v>2</v>
      </c>
      <c r="J49" s="48" t="n"/>
      <c r="K49" s="48" t="n"/>
      <c r="L49" s="48" t="n"/>
      <c r="M49" s="48" t="n"/>
      <c r="N49" s="48" t="n"/>
      <c r="O49" s="48" t="n"/>
      <c r="P49" s="48" t="n"/>
      <c r="Q49" s="48" t="n"/>
      <c r="R49" s="48" t="n"/>
      <c r="S49" s="48" t="n"/>
      <c r="T49" s="49" t="n"/>
      <c r="U49" s="49" t="n"/>
      <c r="V49" s="49" t="n"/>
      <c r="W49" s="49" t="n"/>
      <c r="X49" s="49" t="n"/>
      <c r="Y49" s="47" t="n"/>
      <c r="Z49" s="47" t="n"/>
      <c r="AA49" s="47" t="n"/>
      <c r="AB49" s="47" t="n"/>
      <c r="AC49" s="47" t="n"/>
      <c r="AD49" s="47" t="n"/>
      <c r="AE49" s="47" t="n"/>
      <c r="AF49" s="47" t="n"/>
      <c r="AG49" s="47" t="n"/>
      <c r="AH49" s="50" t="n"/>
      <c r="AI49" s="50" t="n"/>
      <c r="AJ49" s="50" t="n"/>
      <c r="AK49" s="51" t="inlineStr"/>
      <c r="AL49" s="52" t="n"/>
      <c r="AM49" s="53">
        <f>IF(E49="","",E49*28.99)</f>
        <v/>
      </c>
      <c r="AN49" s="53">
        <f>IF(F49="","",F49*19.44)</f>
        <v/>
      </c>
      <c r="AO49" s="53">
        <f>IF(G49="","",G49*9.49)</f>
        <v/>
      </c>
      <c r="AP49" s="53">
        <f>IF(AND(H49="",I49=""),"",IF(ISNUMBER(H49),H49*18.5,0)+IF(ISNUMBER(I49),I49*16.5,0))</f>
        <v/>
      </c>
      <c r="AQ49" s="53">
        <f>IF(E49="","",667.1)</f>
        <v/>
      </c>
      <c r="AR49" s="54">
        <f>IF(E49="","",IF(ISNUMBER(AM49),AM49,0)+IF(ISNUMBER(AN49),AN49,0)+IF(ISNUMBER(AO49),AO49,0)+IF(ISNUMBER(AP49),AP49,0)+IF(ISNUMBER(AQ49),AQ49,0))</f>
        <v/>
      </c>
      <c r="AS49" s="55">
        <f>IF(E49="","",MAX(E49-SUM(J49:S49),0)*43.0)</f>
        <v/>
      </c>
      <c r="AT49" s="55">
        <f>IF(E49="","",IF(ISNUMBER(J49),J49*39.14,0)+IF(ISNUMBER(K49),K49*12.23,0)+IF(ISNUMBER(L49),L49*12.15,0)+IF(ISNUMBER(M49),M49*7.62,0)+IF(ISNUMBER(N49),N49*10.21,0)+IF(ISNUMBER(O49),O49*6.15,0)+IF(ISNUMBER(P49),P49*12.24,0)+IF(ISNUMBER(Q49),Q49*39.14,0)+IF(ISNUMBER(R49),R49*39.14,0)+IF(ISNUMBER(S49),S49*40.31,0))</f>
        <v/>
      </c>
      <c r="AU49" s="56">
        <f>IF(E49="","",IF(ISNUMBER(AS49),AS49,0)+IF(ISNUMBER(AT49),AT49,0))</f>
        <v/>
      </c>
      <c r="AV49" s="55">
        <f>IF(F49="","",MAX(F49-SUM(T49:X49),0)*25.0+IF(ISNUMBER(T49),T49*19.69,0)+IF(ISNUMBER(U49),U49*16.74,0)+IF(ISNUMBER(V49),V49*20.28,0)+IF(ISNUMBER(W49),W49*19.69,0)+IF(ISNUMBER(X49),X49*19.69,0))</f>
        <v/>
      </c>
      <c r="AW49" s="55">
        <f>IF(G49="","",MAX(G49-SUM(Y49:AG49),0)*13.44+IF(ISNUMBER(Y49),Y49*11.84,0)+IF(ISNUMBER(Z49),Z49*14.34,0)+IF(ISNUMBER(AA49),AA49*16.93,0)+IF(ISNUMBER(AB49),AB49*19.52,0)+IF(ISNUMBER(AC49),AC49*22.35,0)+IF(ISNUMBER(AD49),AD49*13.92,0)+IF(ISNUMBER(AE49),AE49*21.55,0)+IF(ISNUMBER(AF49),AF49*13.92,0)+IF(ISNUMBER(AG49),AG49*13.92,0))</f>
        <v/>
      </c>
      <c r="AX49" s="55">
        <f>IF(AND(H49="",I49=""),"",65.0+IF(ISNUMBER(AH49),AH49*30.23,0)+IF(ISNUMBER(AI49),AI49*30.23,0)+IF(ISNUMBER(AJ49),AJ49*28.0,0))</f>
        <v/>
      </c>
      <c r="AY49" s="55">
        <f>IF(E49="","",953.0)</f>
        <v/>
      </c>
      <c r="AZ49" s="57">
        <f>IF(E49="","",IF(ISNUMBER(AU49),AU49,0)+IF(ISNUMBER(AV49),AV49,0)+IF(ISNUMBER(AW49),AW49,0)+IF(ISNUMBER(AX49),AX49,0)+IF(ISNUMBER(AY49),AY49,0))</f>
        <v/>
      </c>
      <c r="BA49" s="58">
        <f>IF(OR(E49="",AZ49=""),"",AZ49-AR49)</f>
        <v/>
      </c>
      <c r="BB49" s="59">
        <f>IF(OR(E49="",AZ49=0),"",BA49/AZ49)</f>
        <v/>
      </c>
      <c r="BC49" s="60" t="n"/>
    </row>
    <row r="50" ht="16" customHeight="1">
      <c r="A50" s="45" t="inlineStr">
        <is>
          <t>4/26/2026</t>
        </is>
      </c>
      <c r="B50" s="46" t="inlineStr">
        <is>
          <t>SK0930</t>
        </is>
      </c>
      <c r="C50" s="46" t="inlineStr">
        <is>
          <t>3333</t>
        </is>
      </c>
      <c r="D50" s="46" t="inlineStr">
        <is>
          <t>C3</t>
        </is>
      </c>
      <c r="E50" s="50" t="n"/>
      <c r="F50" s="50" t="n"/>
      <c r="G50" s="50" t="n"/>
      <c r="H50" s="50" t="n">
        <v>6</v>
      </c>
      <c r="I50" s="50" t="n">
        <v>2</v>
      </c>
      <c r="J50" s="48" t="n"/>
      <c r="K50" s="48" t="n"/>
      <c r="L50" s="48" t="n"/>
      <c r="M50" s="48" t="n"/>
      <c r="N50" s="48" t="n"/>
      <c r="O50" s="48" t="n"/>
      <c r="P50" s="48" t="n"/>
      <c r="Q50" s="48" t="n"/>
      <c r="R50" s="48" t="n"/>
      <c r="S50" s="48" t="n"/>
      <c r="T50" s="49" t="n"/>
      <c r="U50" s="49" t="n"/>
      <c r="V50" s="49" t="n"/>
      <c r="W50" s="49" t="n"/>
      <c r="X50" s="49" t="n"/>
      <c r="Y50" s="47" t="n"/>
      <c r="Z50" s="47" t="n"/>
      <c r="AA50" s="47" t="n"/>
      <c r="AB50" s="47" t="n"/>
      <c r="AC50" s="47" t="n"/>
      <c r="AD50" s="47" t="n"/>
      <c r="AE50" s="47" t="n"/>
      <c r="AF50" s="47" t="n"/>
      <c r="AG50" s="47" t="n"/>
      <c r="AH50" s="50" t="n"/>
      <c r="AI50" s="50" t="n"/>
      <c r="AJ50" s="50" t="n"/>
      <c r="AK50" s="51" t="inlineStr"/>
      <c r="AL50" s="52" t="n"/>
      <c r="AM50" s="53">
        <f>IF(E50="","",E50*28.99)</f>
        <v/>
      </c>
      <c r="AN50" s="53">
        <f>IF(F50="","",F50*19.44)</f>
        <v/>
      </c>
      <c r="AO50" s="53">
        <f>IF(G50="","",G50*9.49)</f>
        <v/>
      </c>
      <c r="AP50" s="53">
        <f>IF(AND(H50="",I50=""),"",IF(ISNUMBER(H50),H50*18.5,0)+IF(ISNUMBER(I50),I50*16.5,0))</f>
        <v/>
      </c>
      <c r="AQ50" s="53">
        <f>IF(E50="","",667.1)</f>
        <v/>
      </c>
      <c r="AR50" s="54">
        <f>IF(E50="","",IF(ISNUMBER(AM50),AM50,0)+IF(ISNUMBER(AN50),AN50,0)+IF(ISNUMBER(AO50),AO50,0)+IF(ISNUMBER(AP50),AP50,0)+IF(ISNUMBER(AQ50),AQ50,0))</f>
        <v/>
      </c>
      <c r="AS50" s="55">
        <f>IF(E50="","",MAX(E50-SUM(J50:S50),0)*43.0)</f>
        <v/>
      </c>
      <c r="AT50" s="55">
        <f>IF(E50="","",IF(ISNUMBER(J50),J50*39.14,0)+IF(ISNUMBER(K50),K50*12.23,0)+IF(ISNUMBER(L50),L50*12.15,0)+IF(ISNUMBER(M50),M50*7.62,0)+IF(ISNUMBER(N50),N50*10.21,0)+IF(ISNUMBER(O50),O50*6.15,0)+IF(ISNUMBER(P50),P50*12.24,0)+IF(ISNUMBER(Q50),Q50*39.14,0)+IF(ISNUMBER(R50),R50*39.14,0)+IF(ISNUMBER(S50),S50*40.31,0))</f>
        <v/>
      </c>
      <c r="AU50" s="56">
        <f>IF(E50="","",IF(ISNUMBER(AS50),AS50,0)+IF(ISNUMBER(AT50),AT50,0))</f>
        <v/>
      </c>
      <c r="AV50" s="55">
        <f>IF(F50="","",MAX(F50-SUM(T50:X50),0)*25.0+IF(ISNUMBER(T50),T50*19.69,0)+IF(ISNUMBER(U50),U50*16.74,0)+IF(ISNUMBER(V50),V50*20.28,0)+IF(ISNUMBER(W50),W50*19.69,0)+IF(ISNUMBER(X50),X50*19.69,0))</f>
        <v/>
      </c>
      <c r="AW50" s="55">
        <f>IF(G50="","",MAX(G50-SUM(Y50:AG50),0)*13.44+IF(ISNUMBER(Y50),Y50*11.84,0)+IF(ISNUMBER(Z50),Z50*14.34,0)+IF(ISNUMBER(AA50),AA50*16.93,0)+IF(ISNUMBER(AB50),AB50*19.52,0)+IF(ISNUMBER(AC50),AC50*22.35,0)+IF(ISNUMBER(AD50),AD50*13.92,0)+IF(ISNUMBER(AE50),AE50*21.55,0)+IF(ISNUMBER(AF50),AF50*13.92,0)+IF(ISNUMBER(AG50),AG50*13.92,0))</f>
        <v/>
      </c>
      <c r="AX50" s="55">
        <f>IF(AND(H50="",I50=""),"",65.0+IF(ISNUMBER(AH50),AH50*30.23,0)+IF(ISNUMBER(AI50),AI50*30.23,0)+IF(ISNUMBER(AJ50),AJ50*28.0,0))</f>
        <v/>
      </c>
      <c r="AY50" s="55">
        <f>IF(E50="","",953.0)</f>
        <v/>
      </c>
      <c r="AZ50" s="57">
        <f>IF(E50="","",IF(ISNUMBER(AU50),AU50,0)+IF(ISNUMBER(AV50),AV50,0)+IF(ISNUMBER(AW50),AW50,0)+IF(ISNUMBER(AX50),AX50,0)+IF(ISNUMBER(AY50),AY50,0))</f>
        <v/>
      </c>
      <c r="BA50" s="58">
        <f>IF(OR(E50="",AZ50=""),"",AZ50-AR50)</f>
        <v/>
      </c>
      <c r="BB50" s="59">
        <f>IF(OR(E50="",AZ50=0),"",BA50/AZ50)</f>
        <v/>
      </c>
      <c r="BC50" s="60" t="n"/>
    </row>
    <row r="51" ht="16" customHeight="1">
      <c r="A51" s="45" t="inlineStr">
        <is>
          <t>4/28/2026</t>
        </is>
      </c>
      <c r="B51" s="46" t="inlineStr">
        <is>
          <t>SK0930</t>
        </is>
      </c>
      <c r="C51" s="46" t="inlineStr">
        <is>
          <t>3333</t>
        </is>
      </c>
      <c r="D51" s="46" t="inlineStr">
        <is>
          <t>C3</t>
        </is>
      </c>
      <c r="E51" s="47" t="n">
        <v>32</v>
      </c>
      <c r="F51" s="47" t="n">
        <v>52</v>
      </c>
      <c r="G51" s="47" t="n">
        <v>171</v>
      </c>
      <c r="H51" s="47" t="n">
        <v>6</v>
      </c>
      <c r="I51" s="47" t="n">
        <v>2</v>
      </c>
      <c r="J51" s="48" t="n"/>
      <c r="K51" s="48" t="n"/>
      <c r="L51" s="48" t="n"/>
      <c r="M51" s="48" t="n"/>
      <c r="N51" s="48" t="n"/>
      <c r="O51" s="48" t="n"/>
      <c r="P51" s="48" t="n"/>
      <c r="Q51" s="48" t="n"/>
      <c r="R51" s="48" t="n"/>
      <c r="S51" s="48" t="n"/>
      <c r="T51" s="49" t="n"/>
      <c r="U51" s="49" t="n"/>
      <c r="V51" s="49" t="n"/>
      <c r="W51" s="49" t="n"/>
      <c r="X51" s="49" t="n"/>
      <c r="Y51" s="47" t="n"/>
      <c r="Z51" s="47" t="n"/>
      <c r="AA51" s="47" t="n"/>
      <c r="AB51" s="47" t="n"/>
      <c r="AC51" s="47" t="n"/>
      <c r="AD51" s="47" t="n"/>
      <c r="AE51" s="47" t="n"/>
      <c r="AF51" s="47" t="n"/>
      <c r="AG51" s="47" t="n"/>
      <c r="AH51" s="50" t="n"/>
      <c r="AI51" s="50" t="n"/>
      <c r="AJ51" s="50" t="n"/>
      <c r="AK51" s="51" t="inlineStr"/>
      <c r="AL51" s="52" t="n"/>
      <c r="AM51" s="53">
        <f>IF(E51="","",E51*28.99)</f>
        <v/>
      </c>
      <c r="AN51" s="53">
        <f>IF(F51="","",F51*19.44)</f>
        <v/>
      </c>
      <c r="AO51" s="53">
        <f>IF(G51="","",G51*9.49)</f>
        <v/>
      </c>
      <c r="AP51" s="53">
        <f>IF(AND(H51="",I51=""),"",IF(ISNUMBER(H51),H51*18.5,0)+IF(ISNUMBER(I51),I51*16.5,0))</f>
        <v/>
      </c>
      <c r="AQ51" s="53">
        <f>IF(E51="","",667.1)</f>
        <v/>
      </c>
      <c r="AR51" s="54">
        <f>IF(E51="","",IF(ISNUMBER(AM51),AM51,0)+IF(ISNUMBER(AN51),AN51,0)+IF(ISNUMBER(AO51),AO51,0)+IF(ISNUMBER(AP51),AP51,0)+IF(ISNUMBER(AQ51),AQ51,0))</f>
        <v/>
      </c>
      <c r="AS51" s="55">
        <f>IF(E51="","",MAX(E51-SUM(J51:S51),0)*43.0)</f>
        <v/>
      </c>
      <c r="AT51" s="55">
        <f>IF(E51="","",IF(ISNUMBER(J51),J51*39.14,0)+IF(ISNUMBER(K51),K51*12.23,0)+IF(ISNUMBER(L51),L51*12.15,0)+IF(ISNUMBER(M51),M51*7.62,0)+IF(ISNUMBER(N51),N51*10.21,0)+IF(ISNUMBER(O51),O51*6.15,0)+IF(ISNUMBER(P51),P51*12.24,0)+IF(ISNUMBER(Q51),Q51*39.14,0)+IF(ISNUMBER(R51),R51*39.14,0)+IF(ISNUMBER(S51),S51*40.31,0))</f>
        <v/>
      </c>
      <c r="AU51" s="56">
        <f>IF(E51="","",IF(ISNUMBER(AS51),AS51,0)+IF(ISNUMBER(AT51),AT51,0))</f>
        <v/>
      </c>
      <c r="AV51" s="55">
        <f>IF(F51="","",MAX(F51-SUM(T51:X51),0)*25.0+IF(ISNUMBER(T51),T51*19.69,0)+IF(ISNUMBER(U51),U51*16.74,0)+IF(ISNUMBER(V51),V51*20.28,0)+IF(ISNUMBER(W51),W51*19.69,0)+IF(ISNUMBER(X51),X51*19.69,0))</f>
        <v/>
      </c>
      <c r="AW51" s="55">
        <f>IF(G51="","",MAX(G51-SUM(Y51:AG51),0)*13.44+IF(ISNUMBER(Y51),Y51*11.84,0)+IF(ISNUMBER(Z51),Z51*14.34,0)+IF(ISNUMBER(AA51),AA51*16.93,0)+IF(ISNUMBER(AB51),AB51*19.52,0)+IF(ISNUMBER(AC51),AC51*22.35,0)+IF(ISNUMBER(AD51),AD51*13.92,0)+IF(ISNUMBER(AE51),AE51*21.55,0)+IF(ISNUMBER(AF51),AF51*13.92,0)+IF(ISNUMBER(AG51),AG51*13.92,0))</f>
        <v/>
      </c>
      <c r="AX51" s="55">
        <f>IF(AND(H51="",I51=""),"",65.0+IF(ISNUMBER(AH51),AH51*30.23,0)+IF(ISNUMBER(AI51),AI51*30.23,0)+IF(ISNUMBER(AJ51),AJ51*28.0,0))</f>
        <v/>
      </c>
      <c r="AY51" s="55">
        <f>IF(E51="","",953.0)</f>
        <v/>
      </c>
      <c r="AZ51" s="57">
        <f>IF(E51="","",IF(ISNUMBER(AU51),AU51,0)+IF(ISNUMBER(AV51),AV51,0)+IF(ISNUMBER(AW51),AW51,0)+IF(ISNUMBER(AX51),AX51,0)+IF(ISNUMBER(AY51),AY51,0))</f>
        <v/>
      </c>
      <c r="BA51" s="58">
        <f>IF(OR(E51="",AZ51=""),"",AZ51-AR51)</f>
        <v/>
      </c>
      <c r="BB51" s="59">
        <f>IF(OR(E51="",AZ51=0),"",BA51/AZ51)</f>
        <v/>
      </c>
      <c r="BC51" s="60" t="n"/>
    </row>
    <row r="52" ht="16" customHeight="1">
      <c r="A52" s="45" t="inlineStr">
        <is>
          <t>4/30/2026</t>
        </is>
      </c>
      <c r="B52" s="46" t="inlineStr">
        <is>
          <t>SK0930</t>
        </is>
      </c>
      <c r="C52" s="46" t="inlineStr">
        <is>
          <t>3333</t>
        </is>
      </c>
      <c r="D52" s="46" t="inlineStr">
        <is>
          <t>C3</t>
        </is>
      </c>
      <c r="E52" s="50" t="n"/>
      <c r="F52" s="50" t="n"/>
      <c r="G52" s="50" t="n"/>
      <c r="H52" s="50" t="n">
        <v>6</v>
      </c>
      <c r="I52" s="50" t="n">
        <v>2</v>
      </c>
      <c r="J52" s="48" t="n"/>
      <c r="K52" s="48" t="n"/>
      <c r="L52" s="48" t="n"/>
      <c r="M52" s="48" t="n"/>
      <c r="N52" s="48" t="n"/>
      <c r="O52" s="48" t="n"/>
      <c r="P52" s="48" t="n"/>
      <c r="Q52" s="48" t="n"/>
      <c r="R52" s="48" t="n"/>
      <c r="S52" s="48" t="n"/>
      <c r="T52" s="49" t="n"/>
      <c r="U52" s="49" t="n"/>
      <c r="V52" s="49" t="n"/>
      <c r="W52" s="49" t="n"/>
      <c r="X52" s="49" t="n"/>
      <c r="Y52" s="47" t="n"/>
      <c r="Z52" s="47" t="n"/>
      <c r="AA52" s="47" t="n"/>
      <c r="AB52" s="47" t="n"/>
      <c r="AC52" s="47" t="n"/>
      <c r="AD52" s="47" t="n"/>
      <c r="AE52" s="47" t="n"/>
      <c r="AF52" s="47" t="n"/>
      <c r="AG52" s="47" t="n"/>
      <c r="AH52" s="50" t="n"/>
      <c r="AI52" s="50" t="n"/>
      <c r="AJ52" s="50" t="n"/>
      <c r="AK52" s="51" t="inlineStr"/>
      <c r="AL52" s="52" t="n"/>
      <c r="AM52" s="53">
        <f>IF(E52="","",E52*28.99)</f>
        <v/>
      </c>
      <c r="AN52" s="53">
        <f>IF(F52="","",F52*19.44)</f>
        <v/>
      </c>
      <c r="AO52" s="53">
        <f>IF(G52="","",G52*9.49)</f>
        <v/>
      </c>
      <c r="AP52" s="53">
        <f>IF(AND(H52="",I52=""),"",IF(ISNUMBER(H52),H52*18.5,0)+IF(ISNUMBER(I52),I52*16.5,0))</f>
        <v/>
      </c>
      <c r="AQ52" s="53">
        <f>IF(E52="","",667.1)</f>
        <v/>
      </c>
      <c r="AR52" s="54">
        <f>IF(E52="","",IF(ISNUMBER(AM52),AM52,0)+IF(ISNUMBER(AN52),AN52,0)+IF(ISNUMBER(AO52),AO52,0)+IF(ISNUMBER(AP52),AP52,0)+IF(ISNUMBER(AQ52),AQ52,0))</f>
        <v/>
      </c>
      <c r="AS52" s="55">
        <f>IF(E52="","",MAX(E52-SUM(J52:S52),0)*43.0)</f>
        <v/>
      </c>
      <c r="AT52" s="55">
        <f>IF(E52="","",IF(ISNUMBER(J52),J52*39.14,0)+IF(ISNUMBER(K52),K52*12.23,0)+IF(ISNUMBER(L52),L52*12.15,0)+IF(ISNUMBER(M52),M52*7.62,0)+IF(ISNUMBER(N52),N52*10.21,0)+IF(ISNUMBER(O52),O52*6.15,0)+IF(ISNUMBER(P52),P52*12.24,0)+IF(ISNUMBER(Q52),Q52*39.14,0)+IF(ISNUMBER(R52),R52*39.14,0)+IF(ISNUMBER(S52),S52*40.31,0))</f>
        <v/>
      </c>
      <c r="AU52" s="56">
        <f>IF(E52="","",IF(ISNUMBER(AS52),AS52,0)+IF(ISNUMBER(AT52),AT52,0))</f>
        <v/>
      </c>
      <c r="AV52" s="55">
        <f>IF(F52="","",MAX(F52-SUM(T52:X52),0)*25.0+IF(ISNUMBER(T52),T52*19.69,0)+IF(ISNUMBER(U52),U52*16.74,0)+IF(ISNUMBER(V52),V52*20.28,0)+IF(ISNUMBER(W52),W52*19.69,0)+IF(ISNUMBER(X52),X52*19.69,0))</f>
        <v/>
      </c>
      <c r="AW52" s="55">
        <f>IF(G52="","",MAX(G52-SUM(Y52:AG52),0)*13.44+IF(ISNUMBER(Y52),Y52*11.84,0)+IF(ISNUMBER(Z52),Z52*14.34,0)+IF(ISNUMBER(AA52),AA52*16.93,0)+IF(ISNUMBER(AB52),AB52*19.52,0)+IF(ISNUMBER(AC52),AC52*22.35,0)+IF(ISNUMBER(AD52),AD52*13.92,0)+IF(ISNUMBER(AE52),AE52*21.55,0)+IF(ISNUMBER(AF52),AF52*13.92,0)+IF(ISNUMBER(AG52),AG52*13.92,0))</f>
        <v/>
      </c>
      <c r="AX52" s="55">
        <f>IF(AND(H52="",I52=""),"",65.0+IF(ISNUMBER(AH52),AH52*30.23,0)+IF(ISNUMBER(AI52),AI52*30.23,0)+IF(ISNUMBER(AJ52),AJ52*28.0,0))</f>
        <v/>
      </c>
      <c r="AY52" s="55">
        <f>IF(E52="","",953.0)</f>
        <v/>
      </c>
      <c r="AZ52" s="57">
        <f>IF(E52="","",IF(ISNUMBER(AU52),AU52,0)+IF(ISNUMBER(AV52),AV52,0)+IF(ISNUMBER(AW52),AW52,0)+IF(ISNUMBER(AX52),AX52,0)+IF(ISNUMBER(AY52),AY52,0))</f>
        <v/>
      </c>
      <c r="BA52" s="58">
        <f>IF(OR(E52="",AZ52=""),"",AZ52-AR52)</f>
        <v/>
      </c>
      <c r="BB52" s="59">
        <f>IF(OR(E52="",AZ52=0),"",BA52/AZ52)</f>
        <v/>
      </c>
      <c r="BC52" s="60" t="n"/>
    </row>
    <row r="53" ht="16" customHeight="1">
      <c r="A53" s="45" t="n"/>
      <c r="B53" s="46" t="inlineStr">
        <is>
          <t>SK0930</t>
        </is>
      </c>
      <c r="C53" s="46" t="inlineStr">
        <is>
          <t>3333</t>
        </is>
      </c>
      <c r="D53" s="46" t="inlineStr">
        <is>
          <t>C4</t>
        </is>
      </c>
      <c r="E53" s="47" t="n">
        <v>32</v>
      </c>
      <c r="F53" s="47" t="n">
        <v>56</v>
      </c>
      <c r="G53" s="47" t="n">
        <v>167</v>
      </c>
      <c r="H53" s="47" t="n">
        <v>6</v>
      </c>
      <c r="I53" s="47" t="n">
        <v>2</v>
      </c>
      <c r="J53" s="48" t="n"/>
      <c r="K53" s="48" t="n"/>
      <c r="L53" s="48" t="n"/>
      <c r="M53" s="48" t="n"/>
      <c r="N53" s="48" t="n"/>
      <c r="O53" s="48" t="n"/>
      <c r="P53" s="48" t="n"/>
      <c r="Q53" s="48" t="n"/>
      <c r="R53" s="48" t="n"/>
      <c r="S53" s="48" t="n"/>
      <c r="T53" s="49" t="n"/>
      <c r="U53" s="49" t="n"/>
      <c r="V53" s="49" t="n"/>
      <c r="W53" s="49" t="n"/>
      <c r="X53" s="49" t="n"/>
      <c r="Y53" s="47" t="n"/>
      <c r="Z53" s="47" t="n"/>
      <c r="AA53" s="47" t="n"/>
      <c r="AB53" s="47" t="n"/>
      <c r="AC53" s="47" t="n"/>
      <c r="AD53" s="47" t="n"/>
      <c r="AE53" s="47" t="n"/>
      <c r="AF53" s="47" t="n"/>
      <c r="AG53" s="47" t="n"/>
      <c r="AH53" s="50" t="n"/>
      <c r="AI53" s="50" t="n"/>
      <c r="AJ53" s="50" t="n"/>
      <c r="AK53" s="51" t="inlineStr"/>
      <c r="AL53" s="52" t="n"/>
      <c r="AM53" s="53">
        <f>IF(E53="","",E53*30.96)</f>
        <v/>
      </c>
      <c r="AN53" s="53">
        <f>IF(F53="","",F53*18.3)</f>
        <v/>
      </c>
      <c r="AO53" s="53">
        <f>IF(G53="","",G53*10.45)</f>
        <v/>
      </c>
      <c r="AP53" s="53">
        <f>IF(AND(H53="",I53=""),"",IF(ISNUMBER(H53),H53*18.43,0)+IF(ISNUMBER(I53),I53*20.28,0))</f>
        <v/>
      </c>
      <c r="AQ53" s="53">
        <f>IF(E53="","",667.1)</f>
        <v/>
      </c>
      <c r="AR53" s="54">
        <f>IF(E53="","",IF(ISNUMBER(AM53),AM53,0)+IF(ISNUMBER(AN53),AN53,0)+IF(ISNUMBER(AO53),AO53,0)+IF(ISNUMBER(AP53),AP53,0)+IF(ISNUMBER(AQ53),AQ53,0))</f>
        <v/>
      </c>
      <c r="AS53" s="55">
        <f>IF(E53="","",MAX(E53-SUM(J53:S53),0)*43.5)</f>
        <v/>
      </c>
      <c r="AT53" s="55">
        <f>IF(E53="","",IF(ISNUMBER(J53),J53*39.14,0)+IF(ISNUMBER(K53),K53*12.23,0)+IF(ISNUMBER(L53),L53*12.15,0)+IF(ISNUMBER(M53),M53*7.62,0)+IF(ISNUMBER(N53),N53*10.21,0)+IF(ISNUMBER(O53),O53*6.15,0)+IF(ISNUMBER(P53),P53*12.24,0)+IF(ISNUMBER(Q53),Q53*39.14,0)+IF(ISNUMBER(R53),R53*39.14,0)+IF(ISNUMBER(S53),S53*40.31,0))</f>
        <v/>
      </c>
      <c r="AU53" s="56">
        <f>IF(E53="","",IF(ISNUMBER(AS53),AS53,0)+IF(ISNUMBER(AT53),AT53,0))</f>
        <v/>
      </c>
      <c r="AV53" s="55">
        <f>IF(F53="","",MAX(F53-SUM(T53:X53),0)*23.5+IF(ISNUMBER(T53),T53*19.69,0)+IF(ISNUMBER(U53),U53*16.74,0)+IF(ISNUMBER(V53),V53*20.28,0)+IF(ISNUMBER(W53),W53*19.69,0)+IF(ISNUMBER(X53),X53*19.69,0))</f>
        <v/>
      </c>
      <c r="AW53" s="55">
        <f>IF(G53="","",MAX(G53-SUM(Y53:AG53),0)*14.5+IF(ISNUMBER(Y53),Y53*11.84,0)+IF(ISNUMBER(Z53),Z53*14.34,0)+IF(ISNUMBER(AA53),AA53*16.93,0)+IF(ISNUMBER(AB53),AB53*19.52,0)+IF(ISNUMBER(AC53),AC53*22.35,0)+IF(ISNUMBER(AD53),AD53*13.92,0)+IF(ISNUMBER(AE53),AE53*21.55,0)+IF(ISNUMBER(AF53),AF53*13.92,0)+IF(ISNUMBER(AG53),AG53*13.92,0))</f>
        <v/>
      </c>
      <c r="AX53" s="55">
        <f>IF(AND(H53="",I53=""),"",65.0+IF(ISNUMBER(AH53),AH53*30.23,0)+IF(ISNUMBER(AI53),AI53*30.23,0)+IF(ISNUMBER(AJ53),AJ53*28.0,0))</f>
        <v/>
      </c>
      <c r="AY53" s="55">
        <f>IF(E53="","",953.0)</f>
        <v/>
      </c>
      <c r="AZ53" s="57">
        <f>IF(E53="","",IF(ISNUMBER(AU53),AU53,0)+IF(ISNUMBER(AV53),AV53,0)+IF(ISNUMBER(AW53),AW53,0)+IF(ISNUMBER(AX53),AX53,0)+IF(ISNUMBER(AY53),AY53,0))</f>
        <v/>
      </c>
      <c r="BA53" s="58">
        <f>IF(OR(E53="",AZ53=""),"",AZ53-AR53)</f>
        <v/>
      </c>
      <c r="BB53" s="59">
        <f>IF(OR(E53="",AZ53=0),"",BA53/AZ53)</f>
        <v/>
      </c>
      <c r="BC53" s="60" t="n"/>
    </row>
    <row r="54" ht="16" customHeight="1">
      <c r="A54" s="45" t="n"/>
      <c r="B54" s="46" t="inlineStr">
        <is>
          <t>SK0930</t>
        </is>
      </c>
      <c r="C54" s="46" t="inlineStr">
        <is>
          <t>3333</t>
        </is>
      </c>
      <c r="D54" s="46" t="inlineStr">
        <is>
          <t>C4</t>
        </is>
      </c>
      <c r="E54" s="50" t="n"/>
      <c r="F54" s="50" t="n"/>
      <c r="G54" s="50" t="n"/>
      <c r="H54" s="50" t="n">
        <v>6</v>
      </c>
      <c r="I54" s="50" t="n">
        <v>2</v>
      </c>
      <c r="J54" s="48" t="n"/>
      <c r="K54" s="48" t="n"/>
      <c r="L54" s="48" t="n"/>
      <c r="M54" s="48" t="n"/>
      <c r="N54" s="48" t="n"/>
      <c r="O54" s="48" t="n"/>
      <c r="P54" s="48" t="n"/>
      <c r="Q54" s="48" t="n"/>
      <c r="R54" s="48" t="n"/>
      <c r="S54" s="48" t="n"/>
      <c r="T54" s="49" t="n"/>
      <c r="U54" s="49" t="n"/>
      <c r="V54" s="49" t="n"/>
      <c r="W54" s="49" t="n"/>
      <c r="X54" s="49" t="n"/>
      <c r="Y54" s="47" t="n"/>
      <c r="Z54" s="47" t="n"/>
      <c r="AA54" s="47" t="n"/>
      <c r="AB54" s="47" t="n"/>
      <c r="AC54" s="47" t="n"/>
      <c r="AD54" s="47" t="n"/>
      <c r="AE54" s="47" t="n"/>
      <c r="AF54" s="47" t="n"/>
      <c r="AG54" s="47" t="n"/>
      <c r="AH54" s="50" t="n"/>
      <c r="AI54" s="50" t="n"/>
      <c r="AJ54" s="50" t="n"/>
      <c r="AK54" s="51" t="inlineStr"/>
      <c r="AL54" s="52" t="n"/>
      <c r="AM54" s="53">
        <f>IF(E54="","",E54*30.96)</f>
        <v/>
      </c>
      <c r="AN54" s="53">
        <f>IF(F54="","",F54*18.3)</f>
        <v/>
      </c>
      <c r="AO54" s="53">
        <f>IF(G54="","",G54*10.45)</f>
        <v/>
      </c>
      <c r="AP54" s="53">
        <f>IF(AND(H54="",I54=""),"",IF(ISNUMBER(H54),H54*18.43,0)+IF(ISNUMBER(I54),I54*20.28,0))</f>
        <v/>
      </c>
      <c r="AQ54" s="53">
        <f>IF(E54="","",667.1)</f>
        <v/>
      </c>
      <c r="AR54" s="54">
        <f>IF(E54="","",IF(ISNUMBER(AM54),AM54,0)+IF(ISNUMBER(AN54),AN54,0)+IF(ISNUMBER(AO54),AO54,0)+IF(ISNUMBER(AP54),AP54,0)+IF(ISNUMBER(AQ54),AQ54,0))</f>
        <v/>
      </c>
      <c r="AS54" s="55">
        <f>IF(E54="","",MAX(E54-SUM(J54:S54),0)*43.5)</f>
        <v/>
      </c>
      <c r="AT54" s="55">
        <f>IF(E54="","",IF(ISNUMBER(J54),J54*39.14,0)+IF(ISNUMBER(K54),K54*12.23,0)+IF(ISNUMBER(L54),L54*12.15,0)+IF(ISNUMBER(M54),M54*7.62,0)+IF(ISNUMBER(N54),N54*10.21,0)+IF(ISNUMBER(O54),O54*6.15,0)+IF(ISNUMBER(P54),P54*12.24,0)+IF(ISNUMBER(Q54),Q54*39.14,0)+IF(ISNUMBER(R54),R54*39.14,0)+IF(ISNUMBER(S54),S54*40.31,0))</f>
        <v/>
      </c>
      <c r="AU54" s="56">
        <f>IF(E54="","",IF(ISNUMBER(AS54),AS54,0)+IF(ISNUMBER(AT54),AT54,0))</f>
        <v/>
      </c>
      <c r="AV54" s="55">
        <f>IF(F54="","",MAX(F54-SUM(T54:X54),0)*23.5+IF(ISNUMBER(T54),T54*19.69,0)+IF(ISNUMBER(U54),U54*16.74,0)+IF(ISNUMBER(V54),V54*20.28,0)+IF(ISNUMBER(W54),W54*19.69,0)+IF(ISNUMBER(X54),X54*19.69,0))</f>
        <v/>
      </c>
      <c r="AW54" s="55">
        <f>IF(G54="","",MAX(G54-SUM(Y54:AG54),0)*14.5+IF(ISNUMBER(Y54),Y54*11.84,0)+IF(ISNUMBER(Z54),Z54*14.34,0)+IF(ISNUMBER(AA54),AA54*16.93,0)+IF(ISNUMBER(AB54),AB54*19.52,0)+IF(ISNUMBER(AC54),AC54*22.35,0)+IF(ISNUMBER(AD54),AD54*13.92,0)+IF(ISNUMBER(AE54),AE54*21.55,0)+IF(ISNUMBER(AF54),AF54*13.92,0)+IF(ISNUMBER(AG54),AG54*13.92,0))</f>
        <v/>
      </c>
      <c r="AX54" s="55">
        <f>IF(AND(H54="",I54=""),"",65.0+IF(ISNUMBER(AH54),AH54*30.23,0)+IF(ISNUMBER(AI54),AI54*30.23,0)+IF(ISNUMBER(AJ54),AJ54*28.0,0))</f>
        <v/>
      </c>
      <c r="AY54" s="55">
        <f>IF(E54="","",953.0)</f>
        <v/>
      </c>
      <c r="AZ54" s="57">
        <f>IF(E54="","",IF(ISNUMBER(AU54),AU54,0)+IF(ISNUMBER(AV54),AV54,0)+IF(ISNUMBER(AW54),AW54,0)+IF(ISNUMBER(AX54),AX54,0)+IF(ISNUMBER(AY54),AY54,0))</f>
        <v/>
      </c>
      <c r="BA54" s="58">
        <f>IF(OR(E54="",AZ54=""),"",AZ54-AR54)</f>
        <v/>
      </c>
      <c r="BB54" s="59">
        <f>IF(OR(E54="",AZ54=0),"",BA54/AZ54)</f>
        <v/>
      </c>
      <c r="BC54" s="60" t="n"/>
    </row>
    <row r="55" ht="16" customHeight="1">
      <c r="A55" s="45" t="n"/>
      <c r="B55" s="46" t="inlineStr">
        <is>
          <t>SK0930</t>
        </is>
      </c>
      <c r="C55" s="46" t="inlineStr">
        <is>
          <t>3333</t>
        </is>
      </c>
      <c r="D55" s="46" t="inlineStr">
        <is>
          <t>C4</t>
        </is>
      </c>
      <c r="E55" s="50" t="n"/>
      <c r="F55" s="50" t="n"/>
      <c r="G55" s="50" t="n"/>
      <c r="H55" s="50" t="n">
        <v>6</v>
      </c>
      <c r="I55" s="50" t="n">
        <v>2</v>
      </c>
      <c r="J55" s="48" t="n"/>
      <c r="K55" s="48" t="n"/>
      <c r="L55" s="48" t="n"/>
      <c r="M55" s="48" t="n"/>
      <c r="N55" s="48" t="n"/>
      <c r="O55" s="48" t="n"/>
      <c r="P55" s="48" t="n"/>
      <c r="Q55" s="48" t="n"/>
      <c r="R55" s="48" t="n"/>
      <c r="S55" s="48" t="n"/>
      <c r="T55" s="49" t="n"/>
      <c r="U55" s="49" t="n"/>
      <c r="V55" s="49" t="n"/>
      <c r="W55" s="49" t="n"/>
      <c r="X55" s="49" t="n"/>
      <c r="Y55" s="47" t="n"/>
      <c r="Z55" s="47" t="n"/>
      <c r="AA55" s="47" t="n"/>
      <c r="AB55" s="47" t="n"/>
      <c r="AC55" s="47" t="n"/>
      <c r="AD55" s="47" t="n"/>
      <c r="AE55" s="47" t="n"/>
      <c r="AF55" s="47" t="n"/>
      <c r="AG55" s="47" t="n"/>
      <c r="AH55" s="50" t="n"/>
      <c r="AI55" s="50" t="n"/>
      <c r="AJ55" s="50" t="n"/>
      <c r="AK55" s="51" t="inlineStr"/>
      <c r="AL55" s="52" t="n"/>
      <c r="AM55" s="53">
        <f>IF(E55="","",E55*30.96)</f>
        <v/>
      </c>
      <c r="AN55" s="53">
        <f>IF(F55="","",F55*18.3)</f>
        <v/>
      </c>
      <c r="AO55" s="53">
        <f>IF(G55="","",G55*10.45)</f>
        <v/>
      </c>
      <c r="AP55" s="53">
        <f>IF(AND(H55="",I55=""),"",IF(ISNUMBER(H55),H55*18.43,0)+IF(ISNUMBER(I55),I55*20.28,0))</f>
        <v/>
      </c>
      <c r="AQ55" s="53">
        <f>IF(E55="","",667.1)</f>
        <v/>
      </c>
      <c r="AR55" s="54">
        <f>IF(E55="","",IF(ISNUMBER(AM55),AM55,0)+IF(ISNUMBER(AN55),AN55,0)+IF(ISNUMBER(AO55),AO55,0)+IF(ISNUMBER(AP55),AP55,0)+IF(ISNUMBER(AQ55),AQ55,0))</f>
        <v/>
      </c>
      <c r="AS55" s="55">
        <f>IF(E55="","",MAX(E55-SUM(J55:S55),0)*43.5)</f>
        <v/>
      </c>
      <c r="AT55" s="55">
        <f>IF(E55="","",IF(ISNUMBER(J55),J55*39.14,0)+IF(ISNUMBER(K55),K55*12.23,0)+IF(ISNUMBER(L55),L55*12.15,0)+IF(ISNUMBER(M55),M55*7.62,0)+IF(ISNUMBER(N55),N55*10.21,0)+IF(ISNUMBER(O55),O55*6.15,0)+IF(ISNUMBER(P55),P55*12.24,0)+IF(ISNUMBER(Q55),Q55*39.14,0)+IF(ISNUMBER(R55),R55*39.14,0)+IF(ISNUMBER(S55),S55*40.31,0))</f>
        <v/>
      </c>
      <c r="AU55" s="56">
        <f>IF(E55="","",IF(ISNUMBER(AS55),AS55,0)+IF(ISNUMBER(AT55),AT55,0))</f>
        <v/>
      </c>
      <c r="AV55" s="55">
        <f>IF(F55="","",MAX(F55-SUM(T55:X55),0)*23.5+IF(ISNUMBER(T55),T55*19.69,0)+IF(ISNUMBER(U55),U55*16.74,0)+IF(ISNUMBER(V55),V55*20.28,0)+IF(ISNUMBER(W55),W55*19.69,0)+IF(ISNUMBER(X55),X55*19.69,0))</f>
        <v/>
      </c>
      <c r="AW55" s="55">
        <f>IF(G55="","",MAX(G55-SUM(Y55:AG55),0)*14.5+IF(ISNUMBER(Y55),Y55*11.84,0)+IF(ISNUMBER(Z55),Z55*14.34,0)+IF(ISNUMBER(AA55),AA55*16.93,0)+IF(ISNUMBER(AB55),AB55*19.52,0)+IF(ISNUMBER(AC55),AC55*22.35,0)+IF(ISNUMBER(AD55),AD55*13.92,0)+IF(ISNUMBER(AE55),AE55*21.55,0)+IF(ISNUMBER(AF55),AF55*13.92,0)+IF(ISNUMBER(AG55),AG55*13.92,0))</f>
        <v/>
      </c>
      <c r="AX55" s="55">
        <f>IF(AND(H55="",I55=""),"",65.0+IF(ISNUMBER(AH55),AH55*30.23,0)+IF(ISNUMBER(AI55),AI55*30.23,0)+IF(ISNUMBER(AJ55),AJ55*28.0,0))</f>
        <v/>
      </c>
      <c r="AY55" s="55">
        <f>IF(E55="","",953.0)</f>
        <v/>
      </c>
      <c r="AZ55" s="57">
        <f>IF(E55="","",IF(ISNUMBER(AU55),AU55,0)+IF(ISNUMBER(AV55),AV55,0)+IF(ISNUMBER(AW55),AW55,0)+IF(ISNUMBER(AX55),AX55,0)+IF(ISNUMBER(AY55),AY55,0))</f>
        <v/>
      </c>
      <c r="BA55" s="58">
        <f>IF(OR(E55="",AZ55=""),"",AZ55-AR55)</f>
        <v/>
      </c>
      <c r="BB55" s="59">
        <f>IF(OR(E55="",AZ55=0),"",BA55/AZ55)</f>
        <v/>
      </c>
      <c r="BC55" s="60" t="n"/>
    </row>
    <row r="56" ht="16" customHeight="1">
      <c r="A56" s="45" t="n"/>
      <c r="B56" s="46" t="inlineStr">
        <is>
          <t>SK0930</t>
        </is>
      </c>
      <c r="C56" s="46" t="inlineStr">
        <is>
          <t>3333</t>
        </is>
      </c>
      <c r="D56" s="46" t="inlineStr">
        <is>
          <t>C4</t>
        </is>
      </c>
      <c r="E56" s="50" t="n"/>
      <c r="F56" s="50" t="n"/>
      <c r="G56" s="50" t="n"/>
      <c r="H56" s="50" t="n">
        <v>6</v>
      </c>
      <c r="I56" s="50" t="n">
        <v>2</v>
      </c>
      <c r="J56" s="48" t="n"/>
      <c r="K56" s="48" t="n"/>
      <c r="L56" s="48" t="n"/>
      <c r="M56" s="48" t="n"/>
      <c r="N56" s="48" t="n"/>
      <c r="O56" s="48" t="n"/>
      <c r="P56" s="48" t="n"/>
      <c r="Q56" s="48" t="n"/>
      <c r="R56" s="48" t="n"/>
      <c r="S56" s="48" t="n"/>
      <c r="T56" s="49" t="n"/>
      <c r="U56" s="49" t="n"/>
      <c r="V56" s="49" t="n"/>
      <c r="W56" s="49" t="n"/>
      <c r="X56" s="49" t="n"/>
      <c r="Y56" s="47" t="n"/>
      <c r="Z56" s="47" t="n"/>
      <c r="AA56" s="47" t="n"/>
      <c r="AB56" s="47" t="n"/>
      <c r="AC56" s="47" t="n"/>
      <c r="AD56" s="47" t="n"/>
      <c r="AE56" s="47" t="n"/>
      <c r="AF56" s="47" t="n"/>
      <c r="AG56" s="47" t="n"/>
      <c r="AH56" s="50" t="n"/>
      <c r="AI56" s="50" t="n"/>
      <c r="AJ56" s="50" t="n"/>
      <c r="AK56" s="51" t="inlineStr"/>
      <c r="AL56" s="52" t="n"/>
      <c r="AM56" s="53">
        <f>IF(E56="","",E56*30.96)</f>
        <v/>
      </c>
      <c r="AN56" s="53">
        <f>IF(F56="","",F56*18.3)</f>
        <v/>
      </c>
      <c r="AO56" s="53">
        <f>IF(G56="","",G56*10.45)</f>
        <v/>
      </c>
      <c r="AP56" s="53">
        <f>IF(AND(H56="",I56=""),"",IF(ISNUMBER(H56),H56*18.43,0)+IF(ISNUMBER(I56),I56*20.28,0))</f>
        <v/>
      </c>
      <c r="AQ56" s="53">
        <f>IF(E56="","",667.1)</f>
        <v/>
      </c>
      <c r="AR56" s="54">
        <f>IF(E56="","",IF(ISNUMBER(AM56),AM56,0)+IF(ISNUMBER(AN56),AN56,0)+IF(ISNUMBER(AO56),AO56,0)+IF(ISNUMBER(AP56),AP56,0)+IF(ISNUMBER(AQ56),AQ56,0))</f>
        <v/>
      </c>
      <c r="AS56" s="55">
        <f>IF(E56="","",MAX(E56-SUM(J56:S56),0)*43.5)</f>
        <v/>
      </c>
      <c r="AT56" s="55">
        <f>IF(E56="","",IF(ISNUMBER(J56),J56*39.14,0)+IF(ISNUMBER(K56),K56*12.23,0)+IF(ISNUMBER(L56),L56*12.15,0)+IF(ISNUMBER(M56),M56*7.62,0)+IF(ISNUMBER(N56),N56*10.21,0)+IF(ISNUMBER(O56),O56*6.15,0)+IF(ISNUMBER(P56),P56*12.24,0)+IF(ISNUMBER(Q56),Q56*39.14,0)+IF(ISNUMBER(R56),R56*39.14,0)+IF(ISNUMBER(S56),S56*40.31,0))</f>
        <v/>
      </c>
      <c r="AU56" s="56">
        <f>IF(E56="","",IF(ISNUMBER(AS56),AS56,0)+IF(ISNUMBER(AT56),AT56,0))</f>
        <v/>
      </c>
      <c r="AV56" s="55">
        <f>IF(F56="","",MAX(F56-SUM(T56:X56),0)*23.5+IF(ISNUMBER(T56),T56*19.69,0)+IF(ISNUMBER(U56),U56*16.74,0)+IF(ISNUMBER(V56),V56*20.28,0)+IF(ISNUMBER(W56),W56*19.69,0)+IF(ISNUMBER(X56),X56*19.69,0))</f>
        <v/>
      </c>
      <c r="AW56" s="55">
        <f>IF(G56="","",MAX(G56-SUM(Y56:AG56),0)*14.5+IF(ISNUMBER(Y56),Y56*11.84,0)+IF(ISNUMBER(Z56),Z56*14.34,0)+IF(ISNUMBER(AA56),AA56*16.93,0)+IF(ISNUMBER(AB56),AB56*19.52,0)+IF(ISNUMBER(AC56),AC56*22.35,0)+IF(ISNUMBER(AD56),AD56*13.92,0)+IF(ISNUMBER(AE56),AE56*21.55,0)+IF(ISNUMBER(AF56),AF56*13.92,0)+IF(ISNUMBER(AG56),AG56*13.92,0))</f>
        <v/>
      </c>
      <c r="AX56" s="55">
        <f>IF(AND(H56="",I56=""),"",65.0+IF(ISNUMBER(AH56),AH56*30.23,0)+IF(ISNUMBER(AI56),AI56*30.23,0)+IF(ISNUMBER(AJ56),AJ56*28.0,0))</f>
        <v/>
      </c>
      <c r="AY56" s="55">
        <f>IF(E56="","",953.0)</f>
        <v/>
      </c>
      <c r="AZ56" s="57">
        <f>IF(E56="","",IF(ISNUMBER(AU56),AU56,0)+IF(ISNUMBER(AV56),AV56,0)+IF(ISNUMBER(AW56),AW56,0)+IF(ISNUMBER(AX56),AX56,0)+IF(ISNUMBER(AY56),AY56,0))</f>
        <v/>
      </c>
      <c r="BA56" s="58">
        <f>IF(OR(E56="",AZ56=""),"",AZ56-AR56)</f>
        <v/>
      </c>
      <c r="BB56" s="59">
        <f>IF(OR(E56="",AZ56=0),"",BA56/AZ56)</f>
        <v/>
      </c>
      <c r="BC56" s="60" t="n"/>
    </row>
    <row r="57" ht="16" customHeight="1">
      <c r="A57" s="45" t="n"/>
      <c r="B57" s="46" t="inlineStr">
        <is>
          <t>SK0930</t>
        </is>
      </c>
      <c r="C57" s="46" t="inlineStr">
        <is>
          <t>3333</t>
        </is>
      </c>
      <c r="D57" s="46" t="inlineStr">
        <is>
          <t>C4</t>
        </is>
      </c>
      <c r="E57" s="50" t="n"/>
      <c r="F57" s="50" t="n"/>
      <c r="G57" s="50" t="n"/>
      <c r="H57" s="50" t="n">
        <v>6</v>
      </c>
      <c r="I57" s="50" t="n">
        <v>2</v>
      </c>
      <c r="J57" s="48" t="n"/>
      <c r="K57" s="48" t="n"/>
      <c r="L57" s="48" t="n"/>
      <c r="M57" s="48" t="n"/>
      <c r="N57" s="48" t="n"/>
      <c r="O57" s="48" t="n"/>
      <c r="P57" s="48" t="n"/>
      <c r="Q57" s="48" t="n"/>
      <c r="R57" s="48" t="n"/>
      <c r="S57" s="48" t="n"/>
      <c r="T57" s="49" t="n"/>
      <c r="U57" s="49" t="n"/>
      <c r="V57" s="49" t="n"/>
      <c r="W57" s="49" t="n"/>
      <c r="X57" s="49" t="n"/>
      <c r="Y57" s="47" t="n"/>
      <c r="Z57" s="47" t="n"/>
      <c r="AA57" s="47" t="n"/>
      <c r="AB57" s="47" t="n"/>
      <c r="AC57" s="47" t="n"/>
      <c r="AD57" s="47" t="n"/>
      <c r="AE57" s="47" t="n"/>
      <c r="AF57" s="47" t="n"/>
      <c r="AG57" s="47" t="n"/>
      <c r="AH57" s="50" t="n"/>
      <c r="AI57" s="50" t="n"/>
      <c r="AJ57" s="50" t="n"/>
      <c r="AK57" s="51" t="inlineStr"/>
      <c r="AL57" s="52" t="n"/>
      <c r="AM57" s="53">
        <f>IF(E57="","",E57*30.96)</f>
        <v/>
      </c>
      <c r="AN57" s="53">
        <f>IF(F57="","",F57*18.3)</f>
        <v/>
      </c>
      <c r="AO57" s="53">
        <f>IF(G57="","",G57*10.45)</f>
        <v/>
      </c>
      <c r="AP57" s="53">
        <f>IF(AND(H57="",I57=""),"",IF(ISNUMBER(H57),H57*18.43,0)+IF(ISNUMBER(I57),I57*20.28,0))</f>
        <v/>
      </c>
      <c r="AQ57" s="53">
        <f>IF(E57="","",667.1)</f>
        <v/>
      </c>
      <c r="AR57" s="54">
        <f>IF(E57="","",IF(ISNUMBER(AM57),AM57,0)+IF(ISNUMBER(AN57),AN57,0)+IF(ISNUMBER(AO57),AO57,0)+IF(ISNUMBER(AP57),AP57,0)+IF(ISNUMBER(AQ57),AQ57,0))</f>
        <v/>
      </c>
      <c r="AS57" s="55">
        <f>IF(E57="","",MAX(E57-SUM(J57:S57),0)*43.5)</f>
        <v/>
      </c>
      <c r="AT57" s="55">
        <f>IF(E57="","",IF(ISNUMBER(J57),J57*39.14,0)+IF(ISNUMBER(K57),K57*12.23,0)+IF(ISNUMBER(L57),L57*12.15,0)+IF(ISNUMBER(M57),M57*7.62,0)+IF(ISNUMBER(N57),N57*10.21,0)+IF(ISNUMBER(O57),O57*6.15,0)+IF(ISNUMBER(P57),P57*12.24,0)+IF(ISNUMBER(Q57),Q57*39.14,0)+IF(ISNUMBER(R57),R57*39.14,0)+IF(ISNUMBER(S57),S57*40.31,0))</f>
        <v/>
      </c>
      <c r="AU57" s="56">
        <f>IF(E57="","",IF(ISNUMBER(AS57),AS57,0)+IF(ISNUMBER(AT57),AT57,0))</f>
        <v/>
      </c>
      <c r="AV57" s="55">
        <f>IF(F57="","",MAX(F57-SUM(T57:X57),0)*23.5+IF(ISNUMBER(T57),T57*19.69,0)+IF(ISNUMBER(U57),U57*16.74,0)+IF(ISNUMBER(V57),V57*20.28,0)+IF(ISNUMBER(W57),W57*19.69,0)+IF(ISNUMBER(X57),X57*19.69,0))</f>
        <v/>
      </c>
      <c r="AW57" s="55">
        <f>IF(G57="","",MAX(G57-SUM(Y57:AG57),0)*14.5+IF(ISNUMBER(Y57),Y57*11.84,0)+IF(ISNUMBER(Z57),Z57*14.34,0)+IF(ISNUMBER(AA57),AA57*16.93,0)+IF(ISNUMBER(AB57),AB57*19.52,0)+IF(ISNUMBER(AC57),AC57*22.35,0)+IF(ISNUMBER(AD57),AD57*13.92,0)+IF(ISNUMBER(AE57),AE57*21.55,0)+IF(ISNUMBER(AF57),AF57*13.92,0)+IF(ISNUMBER(AG57),AG57*13.92,0))</f>
        <v/>
      </c>
      <c r="AX57" s="55">
        <f>IF(AND(H57="",I57=""),"",65.0+IF(ISNUMBER(AH57),AH57*30.23,0)+IF(ISNUMBER(AI57),AI57*30.23,0)+IF(ISNUMBER(AJ57),AJ57*28.0,0))</f>
        <v/>
      </c>
      <c r="AY57" s="55">
        <f>IF(E57="","",953.0)</f>
        <v/>
      </c>
      <c r="AZ57" s="57">
        <f>IF(E57="","",IF(ISNUMBER(AU57),AU57,0)+IF(ISNUMBER(AV57),AV57,0)+IF(ISNUMBER(AW57),AW57,0)+IF(ISNUMBER(AX57),AX57,0)+IF(ISNUMBER(AY57),AY57,0))</f>
        <v/>
      </c>
      <c r="BA57" s="58">
        <f>IF(OR(E57="",AZ57=""),"",AZ57-AR57)</f>
        <v/>
      </c>
      <c r="BB57" s="59">
        <f>IF(OR(E57="",AZ57=0),"",BA57/AZ57)</f>
        <v/>
      </c>
      <c r="BC57" s="60" t="n"/>
    </row>
    <row r="58" ht="16" customHeight="1">
      <c r="A58" s="45" t="n"/>
      <c r="B58" s="46" t="inlineStr">
        <is>
          <t>SK0930</t>
        </is>
      </c>
      <c r="C58" s="46" t="inlineStr">
        <is>
          <t>3333</t>
        </is>
      </c>
      <c r="D58" s="46" t="inlineStr">
        <is>
          <t>C4</t>
        </is>
      </c>
      <c r="E58" s="50" t="n"/>
      <c r="F58" s="50" t="n"/>
      <c r="G58" s="50" t="n"/>
      <c r="H58" s="50" t="n">
        <v>6</v>
      </c>
      <c r="I58" s="50" t="n">
        <v>2</v>
      </c>
      <c r="J58" s="48" t="n"/>
      <c r="K58" s="48" t="n"/>
      <c r="L58" s="48" t="n"/>
      <c r="M58" s="48" t="n"/>
      <c r="N58" s="48" t="n"/>
      <c r="O58" s="48" t="n"/>
      <c r="P58" s="48" t="n"/>
      <c r="Q58" s="48" t="n"/>
      <c r="R58" s="48" t="n"/>
      <c r="S58" s="48" t="n"/>
      <c r="T58" s="49" t="n"/>
      <c r="U58" s="49" t="n"/>
      <c r="V58" s="49" t="n"/>
      <c r="W58" s="49" t="n"/>
      <c r="X58" s="49" t="n"/>
      <c r="Y58" s="47" t="n"/>
      <c r="Z58" s="47" t="n"/>
      <c r="AA58" s="47" t="n"/>
      <c r="AB58" s="47" t="n"/>
      <c r="AC58" s="47" t="n"/>
      <c r="AD58" s="47" t="n"/>
      <c r="AE58" s="47" t="n"/>
      <c r="AF58" s="47" t="n"/>
      <c r="AG58" s="47" t="n"/>
      <c r="AH58" s="50" t="n"/>
      <c r="AI58" s="50" t="n"/>
      <c r="AJ58" s="50" t="n"/>
      <c r="AK58" s="51" t="inlineStr"/>
      <c r="AL58" s="52" t="n"/>
      <c r="AM58" s="53">
        <f>IF(E58="","",E58*30.96)</f>
        <v/>
      </c>
      <c r="AN58" s="53">
        <f>IF(F58="","",F58*18.3)</f>
        <v/>
      </c>
      <c r="AO58" s="53">
        <f>IF(G58="","",G58*10.45)</f>
        <v/>
      </c>
      <c r="AP58" s="53">
        <f>IF(AND(H58="",I58=""),"",IF(ISNUMBER(H58),H58*18.43,0)+IF(ISNUMBER(I58),I58*20.28,0))</f>
        <v/>
      </c>
      <c r="AQ58" s="53">
        <f>IF(E58="","",667.1)</f>
        <v/>
      </c>
      <c r="AR58" s="54">
        <f>IF(E58="","",IF(ISNUMBER(AM58),AM58,0)+IF(ISNUMBER(AN58),AN58,0)+IF(ISNUMBER(AO58),AO58,0)+IF(ISNUMBER(AP58),AP58,0)+IF(ISNUMBER(AQ58),AQ58,0))</f>
        <v/>
      </c>
      <c r="AS58" s="55">
        <f>IF(E58="","",MAX(E58-SUM(J58:S58),0)*43.5)</f>
        <v/>
      </c>
      <c r="AT58" s="55">
        <f>IF(E58="","",IF(ISNUMBER(J58),J58*39.14,0)+IF(ISNUMBER(K58),K58*12.23,0)+IF(ISNUMBER(L58),L58*12.15,0)+IF(ISNUMBER(M58),M58*7.62,0)+IF(ISNUMBER(N58),N58*10.21,0)+IF(ISNUMBER(O58),O58*6.15,0)+IF(ISNUMBER(P58),P58*12.24,0)+IF(ISNUMBER(Q58),Q58*39.14,0)+IF(ISNUMBER(R58),R58*39.14,0)+IF(ISNUMBER(S58),S58*40.31,0))</f>
        <v/>
      </c>
      <c r="AU58" s="56">
        <f>IF(E58="","",IF(ISNUMBER(AS58),AS58,0)+IF(ISNUMBER(AT58),AT58,0))</f>
        <v/>
      </c>
      <c r="AV58" s="55">
        <f>IF(F58="","",MAX(F58-SUM(T58:X58),0)*23.5+IF(ISNUMBER(T58),T58*19.69,0)+IF(ISNUMBER(U58),U58*16.74,0)+IF(ISNUMBER(V58),V58*20.28,0)+IF(ISNUMBER(W58),W58*19.69,0)+IF(ISNUMBER(X58),X58*19.69,0))</f>
        <v/>
      </c>
      <c r="AW58" s="55">
        <f>IF(G58="","",MAX(G58-SUM(Y58:AG58),0)*14.5+IF(ISNUMBER(Y58),Y58*11.84,0)+IF(ISNUMBER(Z58),Z58*14.34,0)+IF(ISNUMBER(AA58),AA58*16.93,0)+IF(ISNUMBER(AB58),AB58*19.52,0)+IF(ISNUMBER(AC58),AC58*22.35,0)+IF(ISNUMBER(AD58),AD58*13.92,0)+IF(ISNUMBER(AE58),AE58*21.55,0)+IF(ISNUMBER(AF58),AF58*13.92,0)+IF(ISNUMBER(AG58),AG58*13.92,0))</f>
        <v/>
      </c>
      <c r="AX58" s="55">
        <f>IF(AND(H58="",I58=""),"",65.0+IF(ISNUMBER(AH58),AH58*30.23,0)+IF(ISNUMBER(AI58),AI58*30.23,0)+IF(ISNUMBER(AJ58),AJ58*28.0,0))</f>
        <v/>
      </c>
      <c r="AY58" s="55">
        <f>IF(E58="","",953.0)</f>
        <v/>
      </c>
      <c r="AZ58" s="57">
        <f>IF(E58="","",IF(ISNUMBER(AU58),AU58,0)+IF(ISNUMBER(AV58),AV58,0)+IF(ISNUMBER(AW58),AW58,0)+IF(ISNUMBER(AX58),AX58,0)+IF(ISNUMBER(AY58),AY58,0))</f>
        <v/>
      </c>
      <c r="BA58" s="58">
        <f>IF(OR(E58="",AZ58=""),"",AZ58-AR58)</f>
        <v/>
      </c>
      <c r="BB58" s="59">
        <f>IF(OR(E58="",AZ58=0),"",BA58/AZ58)</f>
        <v/>
      </c>
      <c r="BC58" s="60" t="n"/>
    </row>
    <row r="59" ht="16" customHeight="1">
      <c r="A59" s="45" t="n"/>
      <c r="B59" s="46" t="inlineStr">
        <is>
          <t>SK0930</t>
        </is>
      </c>
      <c r="C59" s="46" t="inlineStr">
        <is>
          <t>3333</t>
        </is>
      </c>
      <c r="D59" s="46" t="inlineStr">
        <is>
          <t>C4</t>
        </is>
      </c>
      <c r="E59" s="47" t="n">
        <v>32</v>
      </c>
      <c r="F59" s="47" t="n">
        <v>56</v>
      </c>
      <c r="G59" s="47" t="n">
        <v>170</v>
      </c>
      <c r="H59" s="47" t="n">
        <v>6</v>
      </c>
      <c r="I59" s="47" t="n">
        <v>2</v>
      </c>
      <c r="J59" s="48" t="n"/>
      <c r="K59" s="48" t="n"/>
      <c r="L59" s="48" t="n"/>
      <c r="M59" s="48" t="n"/>
      <c r="N59" s="48" t="n"/>
      <c r="O59" s="48" t="n"/>
      <c r="P59" s="48" t="n"/>
      <c r="Q59" s="48" t="n"/>
      <c r="R59" s="48" t="n"/>
      <c r="S59" s="48" t="n"/>
      <c r="T59" s="49" t="n"/>
      <c r="U59" s="49" t="n"/>
      <c r="V59" s="49" t="n"/>
      <c r="W59" s="49" t="n"/>
      <c r="X59" s="49" t="n"/>
      <c r="Y59" s="47" t="n"/>
      <c r="Z59" s="47" t="n"/>
      <c r="AA59" s="47" t="n"/>
      <c r="AB59" s="47" t="n"/>
      <c r="AC59" s="47" t="n"/>
      <c r="AD59" s="47" t="n"/>
      <c r="AE59" s="47" t="n"/>
      <c r="AF59" s="47" t="n"/>
      <c r="AG59" s="47" t="n"/>
      <c r="AH59" s="50" t="n"/>
      <c r="AI59" s="50" t="n"/>
      <c r="AJ59" s="50" t="n"/>
      <c r="AK59" s="51" t="inlineStr"/>
      <c r="AL59" s="52" t="n"/>
      <c r="AM59" s="53">
        <f>IF(E59="","",E59*30.96)</f>
        <v/>
      </c>
      <c r="AN59" s="53">
        <f>IF(F59="","",F59*18.3)</f>
        <v/>
      </c>
      <c r="AO59" s="53">
        <f>IF(G59="","",G59*10.45)</f>
        <v/>
      </c>
      <c r="AP59" s="53">
        <f>IF(AND(H59="",I59=""),"",IF(ISNUMBER(H59),H59*18.43,0)+IF(ISNUMBER(I59),I59*20.28,0))</f>
        <v/>
      </c>
      <c r="AQ59" s="53">
        <f>IF(E59="","",667.1)</f>
        <v/>
      </c>
      <c r="AR59" s="54">
        <f>IF(E59="","",IF(ISNUMBER(AM59),AM59,0)+IF(ISNUMBER(AN59),AN59,0)+IF(ISNUMBER(AO59),AO59,0)+IF(ISNUMBER(AP59),AP59,0)+IF(ISNUMBER(AQ59),AQ59,0))</f>
        <v/>
      </c>
      <c r="AS59" s="55">
        <f>IF(E59="","",MAX(E59-SUM(J59:S59),0)*43.5)</f>
        <v/>
      </c>
      <c r="AT59" s="55">
        <f>IF(E59="","",IF(ISNUMBER(J59),J59*39.14,0)+IF(ISNUMBER(K59),K59*12.23,0)+IF(ISNUMBER(L59),L59*12.15,0)+IF(ISNUMBER(M59),M59*7.62,0)+IF(ISNUMBER(N59),N59*10.21,0)+IF(ISNUMBER(O59),O59*6.15,0)+IF(ISNUMBER(P59),P59*12.24,0)+IF(ISNUMBER(Q59),Q59*39.14,0)+IF(ISNUMBER(R59),R59*39.14,0)+IF(ISNUMBER(S59),S59*40.31,0))</f>
        <v/>
      </c>
      <c r="AU59" s="56">
        <f>IF(E59="","",IF(ISNUMBER(AS59),AS59,0)+IF(ISNUMBER(AT59),AT59,0))</f>
        <v/>
      </c>
      <c r="AV59" s="55">
        <f>IF(F59="","",MAX(F59-SUM(T59:X59),0)*23.5+IF(ISNUMBER(T59),T59*19.69,0)+IF(ISNUMBER(U59),U59*16.74,0)+IF(ISNUMBER(V59),V59*20.28,0)+IF(ISNUMBER(W59),W59*19.69,0)+IF(ISNUMBER(X59),X59*19.69,0))</f>
        <v/>
      </c>
      <c r="AW59" s="55">
        <f>IF(G59="","",MAX(G59-SUM(Y59:AG59),0)*14.5+IF(ISNUMBER(Y59),Y59*11.84,0)+IF(ISNUMBER(Z59),Z59*14.34,0)+IF(ISNUMBER(AA59),AA59*16.93,0)+IF(ISNUMBER(AB59),AB59*19.52,0)+IF(ISNUMBER(AC59),AC59*22.35,0)+IF(ISNUMBER(AD59),AD59*13.92,0)+IF(ISNUMBER(AE59),AE59*21.55,0)+IF(ISNUMBER(AF59),AF59*13.92,0)+IF(ISNUMBER(AG59),AG59*13.92,0))</f>
        <v/>
      </c>
      <c r="AX59" s="55">
        <f>IF(AND(H59="",I59=""),"",65.0+IF(ISNUMBER(AH59),AH59*30.23,0)+IF(ISNUMBER(AI59),AI59*30.23,0)+IF(ISNUMBER(AJ59),AJ59*28.0,0))</f>
        <v/>
      </c>
      <c r="AY59" s="55">
        <f>IF(E59="","",953.0)</f>
        <v/>
      </c>
      <c r="AZ59" s="57">
        <f>IF(E59="","",IF(ISNUMBER(AU59),AU59,0)+IF(ISNUMBER(AV59),AV59,0)+IF(ISNUMBER(AW59),AW59,0)+IF(ISNUMBER(AX59),AX59,0)+IF(ISNUMBER(AY59),AY59,0))</f>
        <v/>
      </c>
      <c r="BA59" s="58">
        <f>IF(OR(E59="",AZ59=""),"",AZ59-AR59)</f>
        <v/>
      </c>
      <c r="BB59" s="59">
        <f>IF(OR(E59="",AZ59=0),"",BA59/AZ59)</f>
        <v/>
      </c>
      <c r="BC59" s="60" t="n"/>
    </row>
    <row r="60" ht="16" customHeight="1">
      <c r="A60" s="45" t="n"/>
      <c r="B60" s="46" t="inlineStr">
        <is>
          <t>SK0930</t>
        </is>
      </c>
      <c r="C60" s="46" t="inlineStr">
        <is>
          <t>3333</t>
        </is>
      </c>
      <c r="D60" s="46" t="inlineStr">
        <is>
          <t>C4</t>
        </is>
      </c>
      <c r="E60" s="50" t="n"/>
      <c r="F60" s="50" t="n"/>
      <c r="G60" s="50" t="n"/>
      <c r="H60" s="50" t="n">
        <v>6</v>
      </c>
      <c r="I60" s="50" t="n">
        <v>2</v>
      </c>
      <c r="J60" s="48" t="n"/>
      <c r="K60" s="48" t="n"/>
      <c r="L60" s="48" t="n"/>
      <c r="M60" s="48" t="n"/>
      <c r="N60" s="48" t="n"/>
      <c r="O60" s="48" t="n"/>
      <c r="P60" s="48" t="n"/>
      <c r="Q60" s="48" t="n"/>
      <c r="R60" s="48" t="n"/>
      <c r="S60" s="48" t="n"/>
      <c r="T60" s="49" t="n"/>
      <c r="U60" s="49" t="n"/>
      <c r="V60" s="49" t="n"/>
      <c r="W60" s="49" t="n"/>
      <c r="X60" s="49" t="n"/>
      <c r="Y60" s="47" t="n"/>
      <c r="Z60" s="47" t="n"/>
      <c r="AA60" s="47" t="n"/>
      <c r="AB60" s="47" t="n"/>
      <c r="AC60" s="47" t="n"/>
      <c r="AD60" s="47" t="n"/>
      <c r="AE60" s="47" t="n"/>
      <c r="AF60" s="47" t="n"/>
      <c r="AG60" s="47" t="n"/>
      <c r="AH60" s="50" t="n"/>
      <c r="AI60" s="50" t="n"/>
      <c r="AJ60" s="50" t="n"/>
      <c r="AK60" s="51" t="inlineStr"/>
      <c r="AL60" s="52" t="n"/>
      <c r="AM60" s="53">
        <f>IF(E60="","",E60*30.96)</f>
        <v/>
      </c>
      <c r="AN60" s="53">
        <f>IF(F60="","",F60*18.3)</f>
        <v/>
      </c>
      <c r="AO60" s="53">
        <f>IF(G60="","",G60*10.45)</f>
        <v/>
      </c>
      <c r="AP60" s="53">
        <f>IF(AND(H60="",I60=""),"",IF(ISNUMBER(H60),H60*18.43,0)+IF(ISNUMBER(I60),I60*20.28,0))</f>
        <v/>
      </c>
      <c r="AQ60" s="53">
        <f>IF(E60="","",667.1)</f>
        <v/>
      </c>
      <c r="AR60" s="54">
        <f>IF(E60="","",IF(ISNUMBER(AM60),AM60,0)+IF(ISNUMBER(AN60),AN60,0)+IF(ISNUMBER(AO60),AO60,0)+IF(ISNUMBER(AP60),AP60,0)+IF(ISNUMBER(AQ60),AQ60,0))</f>
        <v/>
      </c>
      <c r="AS60" s="55">
        <f>IF(E60="","",MAX(E60-SUM(J60:S60),0)*43.5)</f>
        <v/>
      </c>
      <c r="AT60" s="55">
        <f>IF(E60="","",IF(ISNUMBER(J60),J60*39.14,0)+IF(ISNUMBER(K60),K60*12.23,0)+IF(ISNUMBER(L60),L60*12.15,0)+IF(ISNUMBER(M60),M60*7.62,0)+IF(ISNUMBER(N60),N60*10.21,0)+IF(ISNUMBER(O60),O60*6.15,0)+IF(ISNUMBER(P60),P60*12.24,0)+IF(ISNUMBER(Q60),Q60*39.14,0)+IF(ISNUMBER(R60),R60*39.14,0)+IF(ISNUMBER(S60),S60*40.31,0))</f>
        <v/>
      </c>
      <c r="AU60" s="56">
        <f>IF(E60="","",IF(ISNUMBER(AS60),AS60,0)+IF(ISNUMBER(AT60),AT60,0))</f>
        <v/>
      </c>
      <c r="AV60" s="55">
        <f>IF(F60="","",MAX(F60-SUM(T60:X60),0)*23.5+IF(ISNUMBER(T60),T60*19.69,0)+IF(ISNUMBER(U60),U60*16.74,0)+IF(ISNUMBER(V60),V60*20.28,0)+IF(ISNUMBER(W60),W60*19.69,0)+IF(ISNUMBER(X60),X60*19.69,0))</f>
        <v/>
      </c>
      <c r="AW60" s="55">
        <f>IF(G60="","",MAX(G60-SUM(Y60:AG60),0)*14.5+IF(ISNUMBER(Y60),Y60*11.84,0)+IF(ISNUMBER(Z60),Z60*14.34,0)+IF(ISNUMBER(AA60),AA60*16.93,0)+IF(ISNUMBER(AB60),AB60*19.52,0)+IF(ISNUMBER(AC60),AC60*22.35,0)+IF(ISNUMBER(AD60),AD60*13.92,0)+IF(ISNUMBER(AE60),AE60*21.55,0)+IF(ISNUMBER(AF60),AF60*13.92,0)+IF(ISNUMBER(AG60),AG60*13.92,0))</f>
        <v/>
      </c>
      <c r="AX60" s="55">
        <f>IF(AND(H60="",I60=""),"",65.0+IF(ISNUMBER(AH60),AH60*30.23,0)+IF(ISNUMBER(AI60),AI60*30.23,0)+IF(ISNUMBER(AJ60),AJ60*28.0,0))</f>
        <v/>
      </c>
      <c r="AY60" s="55">
        <f>IF(E60="","",953.0)</f>
        <v/>
      </c>
      <c r="AZ60" s="57">
        <f>IF(E60="","",IF(ISNUMBER(AU60),AU60,0)+IF(ISNUMBER(AV60),AV60,0)+IF(ISNUMBER(AW60),AW60,0)+IF(ISNUMBER(AX60),AX60,0)+IF(ISNUMBER(AY60),AY60,0))</f>
        <v/>
      </c>
      <c r="BA60" s="58">
        <f>IF(OR(E60="",AZ60=""),"",AZ60-AR60)</f>
        <v/>
      </c>
      <c r="BB60" s="59">
        <f>IF(OR(E60="",AZ60=0),"",BA60/AZ60)</f>
        <v/>
      </c>
      <c r="BC60" s="60" t="n"/>
    </row>
    <row r="61" ht="16" customHeight="1">
      <c r="A61" s="45" t="n"/>
      <c r="B61" s="46" t="inlineStr">
        <is>
          <t>SK0930</t>
        </is>
      </c>
      <c r="C61" s="46" t="inlineStr">
        <is>
          <t>3333</t>
        </is>
      </c>
      <c r="D61" s="46" t="inlineStr">
        <is>
          <t>C4</t>
        </is>
      </c>
      <c r="E61" s="47" t="n">
        <v>32</v>
      </c>
      <c r="F61" s="47" t="n">
        <v>44</v>
      </c>
      <c r="G61" s="47" t="n">
        <v>173</v>
      </c>
      <c r="H61" s="47" t="n">
        <v>6</v>
      </c>
      <c r="I61" s="47" t="n">
        <v>2</v>
      </c>
      <c r="J61" s="48" t="n"/>
      <c r="K61" s="48" t="n"/>
      <c r="L61" s="48" t="n"/>
      <c r="M61" s="48" t="n"/>
      <c r="N61" s="48" t="n"/>
      <c r="O61" s="48" t="n"/>
      <c r="P61" s="48" t="n"/>
      <c r="Q61" s="48" t="n"/>
      <c r="R61" s="48" t="n"/>
      <c r="S61" s="48" t="n"/>
      <c r="T61" s="49" t="n"/>
      <c r="U61" s="49" t="n"/>
      <c r="V61" s="49" t="n"/>
      <c r="W61" s="49" t="n"/>
      <c r="X61" s="49" t="n"/>
      <c r="Y61" s="47" t="n"/>
      <c r="Z61" s="47" t="n"/>
      <c r="AA61" s="47" t="n"/>
      <c r="AB61" s="47" t="n"/>
      <c r="AC61" s="47" t="n"/>
      <c r="AD61" s="47" t="n"/>
      <c r="AE61" s="47" t="n"/>
      <c r="AF61" s="47" t="n"/>
      <c r="AG61" s="47" t="n"/>
      <c r="AH61" s="50" t="n"/>
      <c r="AI61" s="50" t="n"/>
      <c r="AJ61" s="50" t="n"/>
      <c r="AK61" s="51" t="inlineStr"/>
      <c r="AL61" s="52" t="n"/>
      <c r="AM61" s="53">
        <f>IF(E61="","",E61*30.96)</f>
        <v/>
      </c>
      <c r="AN61" s="53">
        <f>IF(F61="","",F61*18.3)</f>
        <v/>
      </c>
      <c r="AO61" s="53">
        <f>IF(G61="","",G61*10.45)</f>
        <v/>
      </c>
      <c r="AP61" s="53">
        <f>IF(AND(H61="",I61=""),"",IF(ISNUMBER(H61),H61*18.43,0)+IF(ISNUMBER(I61),I61*20.28,0))</f>
        <v/>
      </c>
      <c r="AQ61" s="53">
        <f>IF(E61="","",667.1)</f>
        <v/>
      </c>
      <c r="AR61" s="54">
        <f>IF(E61="","",IF(ISNUMBER(AM61),AM61,0)+IF(ISNUMBER(AN61),AN61,0)+IF(ISNUMBER(AO61),AO61,0)+IF(ISNUMBER(AP61),AP61,0)+IF(ISNUMBER(AQ61),AQ61,0))</f>
        <v/>
      </c>
      <c r="AS61" s="55">
        <f>IF(E61="","",MAX(E61-SUM(J61:S61),0)*43.5)</f>
        <v/>
      </c>
      <c r="AT61" s="55">
        <f>IF(E61="","",IF(ISNUMBER(J61),J61*39.14,0)+IF(ISNUMBER(K61),K61*12.23,0)+IF(ISNUMBER(L61),L61*12.15,0)+IF(ISNUMBER(M61),M61*7.62,0)+IF(ISNUMBER(N61),N61*10.21,0)+IF(ISNUMBER(O61),O61*6.15,0)+IF(ISNUMBER(P61),P61*12.24,0)+IF(ISNUMBER(Q61),Q61*39.14,0)+IF(ISNUMBER(R61),R61*39.14,0)+IF(ISNUMBER(S61),S61*40.31,0))</f>
        <v/>
      </c>
      <c r="AU61" s="56">
        <f>IF(E61="","",IF(ISNUMBER(AS61),AS61,0)+IF(ISNUMBER(AT61),AT61,0))</f>
        <v/>
      </c>
      <c r="AV61" s="55">
        <f>IF(F61="","",MAX(F61-SUM(T61:X61),0)*23.5+IF(ISNUMBER(T61),T61*19.69,0)+IF(ISNUMBER(U61),U61*16.74,0)+IF(ISNUMBER(V61),V61*20.28,0)+IF(ISNUMBER(W61),W61*19.69,0)+IF(ISNUMBER(X61),X61*19.69,0))</f>
        <v/>
      </c>
      <c r="AW61" s="55">
        <f>IF(G61="","",MAX(G61-SUM(Y61:AG61),0)*14.5+IF(ISNUMBER(Y61),Y61*11.84,0)+IF(ISNUMBER(Z61),Z61*14.34,0)+IF(ISNUMBER(AA61),AA61*16.93,0)+IF(ISNUMBER(AB61),AB61*19.52,0)+IF(ISNUMBER(AC61),AC61*22.35,0)+IF(ISNUMBER(AD61),AD61*13.92,0)+IF(ISNUMBER(AE61),AE61*21.55,0)+IF(ISNUMBER(AF61),AF61*13.92,0)+IF(ISNUMBER(AG61),AG61*13.92,0))</f>
        <v/>
      </c>
      <c r="AX61" s="55">
        <f>IF(AND(H61="",I61=""),"",65.0+IF(ISNUMBER(AH61),AH61*30.23,0)+IF(ISNUMBER(AI61),AI61*30.23,0)+IF(ISNUMBER(AJ61),AJ61*28.0,0))</f>
        <v/>
      </c>
      <c r="AY61" s="55">
        <f>IF(E61="","",953.0)</f>
        <v/>
      </c>
      <c r="AZ61" s="57">
        <f>IF(E61="","",IF(ISNUMBER(AU61),AU61,0)+IF(ISNUMBER(AV61),AV61,0)+IF(ISNUMBER(AW61),AW61,0)+IF(ISNUMBER(AX61),AX61,0)+IF(ISNUMBER(AY61),AY61,0))</f>
        <v/>
      </c>
      <c r="BA61" s="58">
        <f>IF(OR(E61="",AZ61=""),"",AZ61-AR61)</f>
        <v/>
      </c>
      <c r="BB61" s="59">
        <f>IF(OR(E61="",AZ61=0),"",BA61/AZ61)</f>
        <v/>
      </c>
      <c r="BC61" s="60" t="n"/>
    </row>
    <row r="62" ht="16" customHeight="1">
      <c r="A62" s="45" t="n"/>
      <c r="B62" s="46" t="inlineStr">
        <is>
          <t>SK0930</t>
        </is>
      </c>
      <c r="C62" s="46" t="inlineStr">
        <is>
          <t>3333</t>
        </is>
      </c>
      <c r="D62" s="46" t="inlineStr">
        <is>
          <t>C4</t>
        </is>
      </c>
      <c r="E62" s="50" t="n"/>
      <c r="F62" s="50" t="n"/>
      <c r="G62" s="50" t="n"/>
      <c r="H62" s="50" t="n">
        <v>6</v>
      </c>
      <c r="I62" s="50" t="n">
        <v>2</v>
      </c>
      <c r="J62" s="48" t="n"/>
      <c r="K62" s="48" t="n"/>
      <c r="L62" s="48" t="n"/>
      <c r="M62" s="48" t="n"/>
      <c r="N62" s="48" t="n"/>
      <c r="O62" s="48" t="n"/>
      <c r="P62" s="48" t="n"/>
      <c r="Q62" s="48" t="n"/>
      <c r="R62" s="48" t="n"/>
      <c r="S62" s="48" t="n"/>
      <c r="T62" s="49" t="n"/>
      <c r="U62" s="49" t="n"/>
      <c r="V62" s="49" t="n"/>
      <c r="W62" s="49" t="n"/>
      <c r="X62" s="49" t="n"/>
      <c r="Y62" s="47" t="n"/>
      <c r="Z62" s="47" t="n"/>
      <c r="AA62" s="47" t="n"/>
      <c r="AB62" s="47" t="n"/>
      <c r="AC62" s="47" t="n"/>
      <c r="AD62" s="47" t="n"/>
      <c r="AE62" s="47" t="n"/>
      <c r="AF62" s="47" t="n"/>
      <c r="AG62" s="47" t="n"/>
      <c r="AH62" s="50" t="n"/>
      <c r="AI62" s="50" t="n"/>
      <c r="AJ62" s="50" t="n"/>
      <c r="AK62" s="51" t="inlineStr"/>
      <c r="AL62" s="52" t="n"/>
      <c r="AM62" s="53">
        <f>IF(E62="","",E62*30.96)</f>
        <v/>
      </c>
      <c r="AN62" s="53">
        <f>IF(F62="","",F62*18.3)</f>
        <v/>
      </c>
      <c r="AO62" s="53">
        <f>IF(G62="","",G62*10.45)</f>
        <v/>
      </c>
      <c r="AP62" s="53">
        <f>IF(AND(H62="",I62=""),"",IF(ISNUMBER(H62),H62*18.43,0)+IF(ISNUMBER(I62),I62*20.28,0))</f>
        <v/>
      </c>
      <c r="AQ62" s="53">
        <f>IF(E62="","",667.1)</f>
        <v/>
      </c>
      <c r="AR62" s="54">
        <f>IF(E62="","",IF(ISNUMBER(AM62),AM62,0)+IF(ISNUMBER(AN62),AN62,0)+IF(ISNUMBER(AO62),AO62,0)+IF(ISNUMBER(AP62),AP62,0)+IF(ISNUMBER(AQ62),AQ62,0))</f>
        <v/>
      </c>
      <c r="AS62" s="55">
        <f>IF(E62="","",MAX(E62-SUM(J62:S62),0)*43.5)</f>
        <v/>
      </c>
      <c r="AT62" s="55">
        <f>IF(E62="","",IF(ISNUMBER(J62),J62*39.14,0)+IF(ISNUMBER(K62),K62*12.23,0)+IF(ISNUMBER(L62),L62*12.15,0)+IF(ISNUMBER(M62),M62*7.62,0)+IF(ISNUMBER(N62),N62*10.21,0)+IF(ISNUMBER(O62),O62*6.15,0)+IF(ISNUMBER(P62),P62*12.24,0)+IF(ISNUMBER(Q62),Q62*39.14,0)+IF(ISNUMBER(R62),R62*39.14,0)+IF(ISNUMBER(S62),S62*40.31,0))</f>
        <v/>
      </c>
      <c r="AU62" s="56">
        <f>IF(E62="","",IF(ISNUMBER(AS62),AS62,0)+IF(ISNUMBER(AT62),AT62,0))</f>
        <v/>
      </c>
      <c r="AV62" s="55">
        <f>IF(F62="","",MAX(F62-SUM(T62:X62),0)*23.5+IF(ISNUMBER(T62),T62*19.69,0)+IF(ISNUMBER(U62),U62*16.74,0)+IF(ISNUMBER(V62),V62*20.28,0)+IF(ISNUMBER(W62),W62*19.69,0)+IF(ISNUMBER(X62),X62*19.69,0))</f>
        <v/>
      </c>
      <c r="AW62" s="55">
        <f>IF(G62="","",MAX(G62-SUM(Y62:AG62),0)*14.5+IF(ISNUMBER(Y62),Y62*11.84,0)+IF(ISNUMBER(Z62),Z62*14.34,0)+IF(ISNUMBER(AA62),AA62*16.93,0)+IF(ISNUMBER(AB62),AB62*19.52,0)+IF(ISNUMBER(AC62),AC62*22.35,0)+IF(ISNUMBER(AD62),AD62*13.92,0)+IF(ISNUMBER(AE62),AE62*21.55,0)+IF(ISNUMBER(AF62),AF62*13.92,0)+IF(ISNUMBER(AG62),AG62*13.92,0))</f>
        <v/>
      </c>
      <c r="AX62" s="55">
        <f>IF(AND(H62="",I62=""),"",65.0+IF(ISNUMBER(AH62),AH62*30.23,0)+IF(ISNUMBER(AI62),AI62*30.23,0)+IF(ISNUMBER(AJ62),AJ62*28.0,0))</f>
        <v/>
      </c>
      <c r="AY62" s="55">
        <f>IF(E62="","",953.0)</f>
        <v/>
      </c>
      <c r="AZ62" s="57">
        <f>IF(E62="","",IF(ISNUMBER(AU62),AU62,0)+IF(ISNUMBER(AV62),AV62,0)+IF(ISNUMBER(AW62),AW62,0)+IF(ISNUMBER(AX62),AX62,0)+IF(ISNUMBER(AY62),AY62,0))</f>
        <v/>
      </c>
      <c r="BA62" s="58">
        <f>IF(OR(E62="",AZ62=""),"",AZ62-AR62)</f>
        <v/>
      </c>
      <c r="BB62" s="59">
        <f>IF(OR(E62="",AZ62=0),"",BA62/AZ62)</f>
        <v/>
      </c>
      <c r="BC62" s="60" t="n"/>
    </row>
    <row r="63" ht="16" customHeight="1">
      <c r="A63" s="45" t="n"/>
      <c r="B63" s="46" t="inlineStr">
        <is>
          <t>SK0930</t>
        </is>
      </c>
      <c r="C63" s="46" t="inlineStr">
        <is>
          <t>3333</t>
        </is>
      </c>
      <c r="D63" s="46" t="inlineStr">
        <is>
          <t>C4</t>
        </is>
      </c>
      <c r="E63" s="47" t="n">
        <v>20</v>
      </c>
      <c r="F63" s="47" t="n">
        <v>21</v>
      </c>
      <c r="G63" s="47" t="n">
        <v>60</v>
      </c>
      <c r="H63" s="47" t="n">
        <v>6</v>
      </c>
      <c r="I63" s="47" t="n">
        <v>2</v>
      </c>
      <c r="J63" s="48" t="n"/>
      <c r="K63" s="48" t="n"/>
      <c r="L63" s="48" t="n"/>
      <c r="M63" s="48" t="n"/>
      <c r="N63" s="48" t="n"/>
      <c r="O63" s="48" t="n"/>
      <c r="P63" s="48" t="n"/>
      <c r="Q63" s="48" t="n"/>
      <c r="R63" s="48" t="n"/>
      <c r="S63" s="48" t="n"/>
      <c r="T63" s="49" t="n"/>
      <c r="U63" s="49" t="n"/>
      <c r="V63" s="49" t="n"/>
      <c r="W63" s="49" t="n"/>
      <c r="X63" s="49" t="n"/>
      <c r="Y63" s="47" t="n"/>
      <c r="Z63" s="47" t="n"/>
      <c r="AA63" s="47" t="n"/>
      <c r="AB63" s="47" t="n"/>
      <c r="AC63" s="47" t="n"/>
      <c r="AD63" s="47" t="n"/>
      <c r="AE63" s="47" t="n"/>
      <c r="AF63" s="47" t="n"/>
      <c r="AG63" s="47" t="n"/>
      <c r="AH63" s="50" t="n"/>
      <c r="AI63" s="50" t="n"/>
      <c r="AJ63" s="50" t="n"/>
      <c r="AK63" s="51" t="inlineStr"/>
      <c r="AL63" s="52" t="n"/>
      <c r="AM63" s="53">
        <f>IF(E63="","",E63*30.96)</f>
        <v/>
      </c>
      <c r="AN63" s="53">
        <f>IF(F63="","",F63*18.3)</f>
        <v/>
      </c>
      <c r="AO63" s="53">
        <f>IF(G63="","",G63*10.45)</f>
        <v/>
      </c>
      <c r="AP63" s="53">
        <f>IF(AND(H63="",I63=""),"",IF(ISNUMBER(H63),H63*18.43,0)+IF(ISNUMBER(I63),I63*20.28,0))</f>
        <v/>
      </c>
      <c r="AQ63" s="53">
        <f>IF(E63="","",667.1)</f>
        <v/>
      </c>
      <c r="AR63" s="54">
        <f>IF(E63="","",IF(ISNUMBER(AM63),AM63,0)+IF(ISNUMBER(AN63),AN63,0)+IF(ISNUMBER(AO63),AO63,0)+IF(ISNUMBER(AP63),AP63,0)+IF(ISNUMBER(AQ63),AQ63,0))</f>
        <v/>
      </c>
      <c r="AS63" s="55">
        <f>IF(E63="","",MAX(E63-SUM(J63:S63),0)*43.5)</f>
        <v/>
      </c>
      <c r="AT63" s="55">
        <f>IF(E63="","",IF(ISNUMBER(J63),J63*39.14,0)+IF(ISNUMBER(K63),K63*12.23,0)+IF(ISNUMBER(L63),L63*12.15,0)+IF(ISNUMBER(M63),M63*7.62,0)+IF(ISNUMBER(N63),N63*10.21,0)+IF(ISNUMBER(O63),O63*6.15,0)+IF(ISNUMBER(P63),P63*12.24,0)+IF(ISNUMBER(Q63),Q63*39.14,0)+IF(ISNUMBER(R63),R63*39.14,0)+IF(ISNUMBER(S63),S63*40.31,0))</f>
        <v/>
      </c>
      <c r="AU63" s="56">
        <f>IF(E63="","",IF(ISNUMBER(AS63),AS63,0)+IF(ISNUMBER(AT63),AT63,0))</f>
        <v/>
      </c>
      <c r="AV63" s="55">
        <f>IF(F63="","",MAX(F63-SUM(T63:X63),0)*23.5+IF(ISNUMBER(T63),T63*19.69,0)+IF(ISNUMBER(U63),U63*16.74,0)+IF(ISNUMBER(V63),V63*20.28,0)+IF(ISNUMBER(W63),W63*19.69,0)+IF(ISNUMBER(X63),X63*19.69,0))</f>
        <v/>
      </c>
      <c r="AW63" s="55">
        <f>IF(G63="","",MAX(G63-SUM(Y63:AG63),0)*14.5+IF(ISNUMBER(Y63),Y63*11.84,0)+IF(ISNUMBER(Z63),Z63*14.34,0)+IF(ISNUMBER(AA63),AA63*16.93,0)+IF(ISNUMBER(AB63),AB63*19.52,0)+IF(ISNUMBER(AC63),AC63*22.35,0)+IF(ISNUMBER(AD63),AD63*13.92,0)+IF(ISNUMBER(AE63),AE63*21.55,0)+IF(ISNUMBER(AF63),AF63*13.92,0)+IF(ISNUMBER(AG63),AG63*13.92,0))</f>
        <v/>
      </c>
      <c r="AX63" s="55">
        <f>IF(AND(H63="",I63=""),"",65.0+IF(ISNUMBER(AH63),AH63*30.23,0)+IF(ISNUMBER(AI63),AI63*30.23,0)+IF(ISNUMBER(AJ63),AJ63*28.0,0))</f>
        <v/>
      </c>
      <c r="AY63" s="55">
        <f>IF(E63="","",953.0)</f>
        <v/>
      </c>
      <c r="AZ63" s="57">
        <f>IF(E63="","",IF(ISNUMBER(AU63),AU63,0)+IF(ISNUMBER(AV63),AV63,0)+IF(ISNUMBER(AW63),AW63,0)+IF(ISNUMBER(AX63),AX63,0)+IF(ISNUMBER(AY63),AY63,0))</f>
        <v/>
      </c>
      <c r="BA63" s="58">
        <f>IF(OR(E63="",AZ63=""),"",AZ63-AR63)</f>
        <v/>
      </c>
      <c r="BB63" s="59">
        <f>IF(OR(E63="",AZ63=0),"",BA63/AZ63)</f>
        <v/>
      </c>
      <c r="BC63" s="60" t="n"/>
    </row>
    <row r="64" ht="16" customHeight="1">
      <c r="A64" s="45" t="n"/>
      <c r="B64" s="46" t="inlineStr">
        <is>
          <t>SK0930</t>
        </is>
      </c>
      <c r="C64" s="46" t="inlineStr">
        <is>
          <t>3333</t>
        </is>
      </c>
      <c r="D64" s="46" t="inlineStr">
        <is>
          <t>C4</t>
        </is>
      </c>
      <c r="E64" s="47" t="n">
        <v>31</v>
      </c>
      <c r="F64" s="47" t="n">
        <v>56</v>
      </c>
      <c r="G64" s="47" t="n">
        <v>115</v>
      </c>
      <c r="H64" s="47" t="n">
        <v>6</v>
      </c>
      <c r="I64" s="47" t="n">
        <v>2</v>
      </c>
      <c r="J64" s="48" t="n"/>
      <c r="K64" s="48" t="n"/>
      <c r="L64" s="48" t="n"/>
      <c r="M64" s="48" t="n"/>
      <c r="N64" s="48" t="n"/>
      <c r="O64" s="48" t="n"/>
      <c r="P64" s="48" t="n"/>
      <c r="Q64" s="48" t="n"/>
      <c r="R64" s="48" t="n"/>
      <c r="S64" s="48" t="n"/>
      <c r="T64" s="49" t="n"/>
      <c r="U64" s="49" t="n"/>
      <c r="V64" s="49" t="n"/>
      <c r="W64" s="49" t="n"/>
      <c r="X64" s="49" t="n"/>
      <c r="Y64" s="47" t="n"/>
      <c r="Z64" s="47" t="n"/>
      <c r="AA64" s="47" t="n"/>
      <c r="AB64" s="47" t="n"/>
      <c r="AC64" s="47" t="n"/>
      <c r="AD64" s="47" t="n"/>
      <c r="AE64" s="47" t="n"/>
      <c r="AF64" s="47" t="n"/>
      <c r="AG64" s="47" t="n"/>
      <c r="AH64" s="50" t="n"/>
      <c r="AI64" s="50" t="n"/>
      <c r="AJ64" s="50" t="n"/>
      <c r="AK64" s="51" t="inlineStr">
        <is>
          <t>OCR-PY_suspect</t>
        </is>
      </c>
      <c r="AL64" s="52" t="n"/>
      <c r="AM64" s="53">
        <f>IF(E64="","",E64*30.96)</f>
        <v/>
      </c>
      <c r="AN64" s="53">
        <f>IF(F64="","",F64*18.3)</f>
        <v/>
      </c>
      <c r="AO64" s="53">
        <f>IF(G64="","",G64*10.45)</f>
        <v/>
      </c>
      <c r="AP64" s="53">
        <f>IF(AND(H64="",I64=""),"",IF(ISNUMBER(H64),H64*18.43,0)+IF(ISNUMBER(I64),I64*20.28,0))</f>
        <v/>
      </c>
      <c r="AQ64" s="53">
        <f>IF(E64="","",667.1)</f>
        <v/>
      </c>
      <c r="AR64" s="54">
        <f>IF(E64="","",IF(ISNUMBER(AM64),AM64,0)+IF(ISNUMBER(AN64),AN64,0)+IF(ISNUMBER(AO64),AO64,0)+IF(ISNUMBER(AP64),AP64,0)+IF(ISNUMBER(AQ64),AQ64,0))</f>
        <v/>
      </c>
      <c r="AS64" s="55">
        <f>IF(E64="","",MAX(E64-SUM(J64:S64),0)*43.5)</f>
        <v/>
      </c>
      <c r="AT64" s="55">
        <f>IF(E64="","",IF(ISNUMBER(J64),J64*39.14,0)+IF(ISNUMBER(K64),K64*12.23,0)+IF(ISNUMBER(L64),L64*12.15,0)+IF(ISNUMBER(M64),M64*7.62,0)+IF(ISNUMBER(N64),N64*10.21,0)+IF(ISNUMBER(O64),O64*6.15,0)+IF(ISNUMBER(P64),P64*12.24,0)+IF(ISNUMBER(Q64),Q64*39.14,0)+IF(ISNUMBER(R64),R64*39.14,0)+IF(ISNUMBER(S64),S64*40.31,0))</f>
        <v/>
      </c>
      <c r="AU64" s="56">
        <f>IF(E64="","",IF(ISNUMBER(AS64),AS64,0)+IF(ISNUMBER(AT64),AT64,0))</f>
        <v/>
      </c>
      <c r="AV64" s="55">
        <f>IF(F64="","",MAX(F64-SUM(T64:X64),0)*23.5+IF(ISNUMBER(T64),T64*19.69,0)+IF(ISNUMBER(U64),U64*16.74,0)+IF(ISNUMBER(V64),V64*20.28,0)+IF(ISNUMBER(W64),W64*19.69,0)+IF(ISNUMBER(X64),X64*19.69,0))</f>
        <v/>
      </c>
      <c r="AW64" s="55">
        <f>IF(G64="","",MAX(G64-SUM(Y64:AG64),0)*14.5+IF(ISNUMBER(Y64),Y64*11.84,0)+IF(ISNUMBER(Z64),Z64*14.34,0)+IF(ISNUMBER(AA64),AA64*16.93,0)+IF(ISNUMBER(AB64),AB64*19.52,0)+IF(ISNUMBER(AC64),AC64*22.35,0)+IF(ISNUMBER(AD64),AD64*13.92,0)+IF(ISNUMBER(AE64),AE64*21.55,0)+IF(ISNUMBER(AF64),AF64*13.92,0)+IF(ISNUMBER(AG64),AG64*13.92,0))</f>
        <v/>
      </c>
      <c r="AX64" s="55">
        <f>IF(AND(H64="",I64=""),"",65.0+IF(ISNUMBER(AH64),AH64*30.23,0)+IF(ISNUMBER(AI64),AI64*30.23,0)+IF(ISNUMBER(AJ64),AJ64*28.0,0))</f>
        <v/>
      </c>
      <c r="AY64" s="55">
        <f>IF(E64="","",953.0)</f>
        <v/>
      </c>
      <c r="AZ64" s="57">
        <f>IF(E64="","",IF(ISNUMBER(AU64),AU64,0)+IF(ISNUMBER(AV64),AV64,0)+IF(ISNUMBER(AW64),AW64,0)+IF(ISNUMBER(AX64),AX64,0)+IF(ISNUMBER(AY64),AY64,0))</f>
        <v/>
      </c>
      <c r="BA64" s="58">
        <f>IF(OR(E64="",AZ64=""),"",AZ64-AR64)</f>
        <v/>
      </c>
      <c r="BB64" s="59">
        <f>IF(OR(E64="",AZ64=0),"",BA64/AZ64)</f>
        <v/>
      </c>
      <c r="BC64" s="60" t="n"/>
    </row>
    <row r="65" ht="16" customHeight="1">
      <c r="A65" s="45" t="n"/>
      <c r="B65" s="46" t="inlineStr">
        <is>
          <t>SK0930</t>
        </is>
      </c>
      <c r="C65" s="46" t="inlineStr">
        <is>
          <t>3333</t>
        </is>
      </c>
      <c r="D65" s="46" t="inlineStr">
        <is>
          <t>C4</t>
        </is>
      </c>
      <c r="E65" s="47" t="n">
        <v>32</v>
      </c>
      <c r="F65" s="47" t="n">
        <v>52</v>
      </c>
      <c r="G65" s="47" t="n">
        <v>123</v>
      </c>
      <c r="H65" s="47" t="n">
        <v>6</v>
      </c>
      <c r="I65" s="47" t="n">
        <v>2</v>
      </c>
      <c r="J65" s="48" t="n"/>
      <c r="K65" s="48" t="n"/>
      <c r="L65" s="48" t="n"/>
      <c r="M65" s="48" t="n"/>
      <c r="N65" s="48" t="n"/>
      <c r="O65" s="48" t="n"/>
      <c r="P65" s="48" t="n"/>
      <c r="Q65" s="48" t="n"/>
      <c r="R65" s="48" t="n"/>
      <c r="S65" s="48" t="n"/>
      <c r="T65" s="49" t="n"/>
      <c r="U65" s="49" t="n"/>
      <c r="V65" s="49" t="n"/>
      <c r="W65" s="49" t="n"/>
      <c r="X65" s="49" t="n"/>
      <c r="Y65" s="47" t="n"/>
      <c r="Z65" s="47" t="n"/>
      <c r="AA65" s="47" t="n"/>
      <c r="AB65" s="47" t="n"/>
      <c r="AC65" s="47" t="n"/>
      <c r="AD65" s="47" t="n"/>
      <c r="AE65" s="47" t="n"/>
      <c r="AF65" s="47" t="n"/>
      <c r="AG65" s="47" t="n"/>
      <c r="AH65" s="50" t="n"/>
      <c r="AI65" s="50" t="n"/>
      <c r="AJ65" s="50" t="n"/>
      <c r="AK65" s="51" t="inlineStr"/>
      <c r="AL65" s="52" t="n"/>
      <c r="AM65" s="53">
        <f>IF(E65="","",E65*30.96)</f>
        <v/>
      </c>
      <c r="AN65" s="53">
        <f>IF(F65="","",F65*18.3)</f>
        <v/>
      </c>
      <c r="AO65" s="53">
        <f>IF(G65="","",G65*10.45)</f>
        <v/>
      </c>
      <c r="AP65" s="53">
        <f>IF(AND(H65="",I65=""),"",IF(ISNUMBER(H65),H65*18.43,0)+IF(ISNUMBER(I65),I65*20.28,0))</f>
        <v/>
      </c>
      <c r="AQ65" s="53">
        <f>IF(E65="","",667.1)</f>
        <v/>
      </c>
      <c r="AR65" s="54">
        <f>IF(E65="","",IF(ISNUMBER(AM65),AM65,0)+IF(ISNUMBER(AN65),AN65,0)+IF(ISNUMBER(AO65),AO65,0)+IF(ISNUMBER(AP65),AP65,0)+IF(ISNUMBER(AQ65),AQ65,0))</f>
        <v/>
      </c>
      <c r="AS65" s="55">
        <f>IF(E65="","",MAX(E65-SUM(J65:S65),0)*43.5)</f>
        <v/>
      </c>
      <c r="AT65" s="55">
        <f>IF(E65="","",IF(ISNUMBER(J65),J65*39.14,0)+IF(ISNUMBER(K65),K65*12.23,0)+IF(ISNUMBER(L65),L65*12.15,0)+IF(ISNUMBER(M65),M65*7.62,0)+IF(ISNUMBER(N65),N65*10.21,0)+IF(ISNUMBER(O65),O65*6.15,0)+IF(ISNUMBER(P65),P65*12.24,0)+IF(ISNUMBER(Q65),Q65*39.14,0)+IF(ISNUMBER(R65),R65*39.14,0)+IF(ISNUMBER(S65),S65*40.31,0))</f>
        <v/>
      </c>
      <c r="AU65" s="56">
        <f>IF(E65="","",IF(ISNUMBER(AS65),AS65,0)+IF(ISNUMBER(AT65),AT65,0))</f>
        <v/>
      </c>
      <c r="AV65" s="55">
        <f>IF(F65="","",MAX(F65-SUM(T65:X65),0)*23.5+IF(ISNUMBER(T65),T65*19.69,0)+IF(ISNUMBER(U65),U65*16.74,0)+IF(ISNUMBER(V65),V65*20.28,0)+IF(ISNUMBER(W65),W65*19.69,0)+IF(ISNUMBER(X65),X65*19.69,0))</f>
        <v/>
      </c>
      <c r="AW65" s="55">
        <f>IF(G65="","",MAX(G65-SUM(Y65:AG65),0)*14.5+IF(ISNUMBER(Y65),Y65*11.84,0)+IF(ISNUMBER(Z65),Z65*14.34,0)+IF(ISNUMBER(AA65),AA65*16.93,0)+IF(ISNUMBER(AB65),AB65*19.52,0)+IF(ISNUMBER(AC65),AC65*22.35,0)+IF(ISNUMBER(AD65),AD65*13.92,0)+IF(ISNUMBER(AE65),AE65*21.55,0)+IF(ISNUMBER(AF65),AF65*13.92,0)+IF(ISNUMBER(AG65),AG65*13.92,0))</f>
        <v/>
      </c>
      <c r="AX65" s="55">
        <f>IF(AND(H65="",I65=""),"",65.0+IF(ISNUMBER(AH65),AH65*30.23,0)+IF(ISNUMBER(AI65),AI65*30.23,0)+IF(ISNUMBER(AJ65),AJ65*28.0,0))</f>
        <v/>
      </c>
      <c r="AY65" s="55">
        <f>IF(E65="","",953.0)</f>
        <v/>
      </c>
      <c r="AZ65" s="57">
        <f>IF(E65="","",IF(ISNUMBER(AU65),AU65,0)+IF(ISNUMBER(AV65),AV65,0)+IF(ISNUMBER(AW65),AW65,0)+IF(ISNUMBER(AX65),AX65,0)+IF(ISNUMBER(AY65),AY65,0))</f>
        <v/>
      </c>
      <c r="BA65" s="58">
        <f>IF(OR(E65="",AZ65=""),"",AZ65-AR65)</f>
        <v/>
      </c>
      <c r="BB65" s="59">
        <f>IF(OR(E65="",AZ65=0),"",BA65/AZ65)</f>
        <v/>
      </c>
      <c r="BC65" s="60" t="n"/>
    </row>
    <row r="66" ht="16" customHeight="1">
      <c r="A66" s="45" t="n"/>
      <c r="B66" s="46" t="inlineStr">
        <is>
          <t>SK0930</t>
        </is>
      </c>
      <c r="C66" s="46" t="inlineStr">
        <is>
          <t>3333</t>
        </is>
      </c>
      <c r="D66" s="46" t="inlineStr">
        <is>
          <t>C4</t>
        </is>
      </c>
      <c r="E66" s="47" t="n">
        <v>32</v>
      </c>
      <c r="F66" s="47" t="n">
        <v>52</v>
      </c>
      <c r="G66" s="47" t="n">
        <v>123</v>
      </c>
      <c r="H66" s="47" t="n">
        <v>6</v>
      </c>
      <c r="I66" s="47" t="n">
        <v>2</v>
      </c>
      <c r="J66" s="48" t="n"/>
      <c r="K66" s="48" t="n"/>
      <c r="L66" s="48" t="n"/>
      <c r="M66" s="48" t="n"/>
      <c r="N66" s="48" t="n"/>
      <c r="O66" s="48" t="n"/>
      <c r="P66" s="48" t="n"/>
      <c r="Q66" s="48" t="n"/>
      <c r="R66" s="48" t="n"/>
      <c r="S66" s="48" t="n"/>
      <c r="T66" s="49" t="n"/>
      <c r="U66" s="49" t="n"/>
      <c r="V66" s="49" t="n"/>
      <c r="W66" s="49" t="n"/>
      <c r="X66" s="49" t="n"/>
      <c r="Y66" s="47" t="n"/>
      <c r="Z66" s="47" t="n"/>
      <c r="AA66" s="47" t="n"/>
      <c r="AB66" s="47" t="n"/>
      <c r="AC66" s="47" t="n"/>
      <c r="AD66" s="47" t="n"/>
      <c r="AE66" s="47" t="n"/>
      <c r="AF66" s="47" t="n"/>
      <c r="AG66" s="47" t="n"/>
      <c r="AH66" s="50" t="n"/>
      <c r="AI66" s="50" t="n"/>
      <c r="AJ66" s="50" t="n"/>
      <c r="AK66" s="51" t="inlineStr"/>
      <c r="AL66" s="52" t="n"/>
      <c r="AM66" s="53">
        <f>IF(E66="","",E66*30.96)</f>
        <v/>
      </c>
      <c r="AN66" s="53">
        <f>IF(F66="","",F66*18.3)</f>
        <v/>
      </c>
      <c r="AO66" s="53">
        <f>IF(G66="","",G66*10.45)</f>
        <v/>
      </c>
      <c r="AP66" s="53">
        <f>IF(AND(H66="",I66=""),"",IF(ISNUMBER(H66),H66*18.43,0)+IF(ISNUMBER(I66),I66*20.28,0))</f>
        <v/>
      </c>
      <c r="AQ66" s="53">
        <f>IF(E66="","",667.1)</f>
        <v/>
      </c>
      <c r="AR66" s="54">
        <f>IF(E66="","",IF(ISNUMBER(AM66),AM66,0)+IF(ISNUMBER(AN66),AN66,0)+IF(ISNUMBER(AO66),AO66,0)+IF(ISNUMBER(AP66),AP66,0)+IF(ISNUMBER(AQ66),AQ66,0))</f>
        <v/>
      </c>
      <c r="AS66" s="55">
        <f>IF(E66="","",MAX(E66-SUM(J66:S66),0)*43.5)</f>
        <v/>
      </c>
      <c r="AT66" s="55">
        <f>IF(E66="","",IF(ISNUMBER(J66),J66*39.14,0)+IF(ISNUMBER(K66),K66*12.23,0)+IF(ISNUMBER(L66),L66*12.15,0)+IF(ISNUMBER(M66),M66*7.62,0)+IF(ISNUMBER(N66),N66*10.21,0)+IF(ISNUMBER(O66),O66*6.15,0)+IF(ISNUMBER(P66),P66*12.24,0)+IF(ISNUMBER(Q66),Q66*39.14,0)+IF(ISNUMBER(R66),R66*39.14,0)+IF(ISNUMBER(S66),S66*40.31,0))</f>
        <v/>
      </c>
      <c r="AU66" s="56">
        <f>IF(E66="","",IF(ISNUMBER(AS66),AS66,0)+IF(ISNUMBER(AT66),AT66,0))</f>
        <v/>
      </c>
      <c r="AV66" s="55">
        <f>IF(F66="","",MAX(F66-SUM(T66:X66),0)*23.5+IF(ISNUMBER(T66),T66*19.69,0)+IF(ISNUMBER(U66),U66*16.74,0)+IF(ISNUMBER(V66),V66*20.28,0)+IF(ISNUMBER(W66),W66*19.69,0)+IF(ISNUMBER(X66),X66*19.69,0))</f>
        <v/>
      </c>
      <c r="AW66" s="55">
        <f>IF(G66="","",MAX(G66-SUM(Y66:AG66),0)*14.5+IF(ISNUMBER(Y66),Y66*11.84,0)+IF(ISNUMBER(Z66),Z66*14.34,0)+IF(ISNUMBER(AA66),AA66*16.93,0)+IF(ISNUMBER(AB66),AB66*19.52,0)+IF(ISNUMBER(AC66),AC66*22.35,0)+IF(ISNUMBER(AD66),AD66*13.92,0)+IF(ISNUMBER(AE66),AE66*21.55,0)+IF(ISNUMBER(AF66),AF66*13.92,0)+IF(ISNUMBER(AG66),AG66*13.92,0))</f>
        <v/>
      </c>
      <c r="AX66" s="55">
        <f>IF(AND(H66="",I66=""),"",65.0+IF(ISNUMBER(AH66),AH66*30.23,0)+IF(ISNUMBER(AI66),AI66*30.23,0)+IF(ISNUMBER(AJ66),AJ66*28.0,0))</f>
        <v/>
      </c>
      <c r="AY66" s="55">
        <f>IF(E66="","",953.0)</f>
        <v/>
      </c>
      <c r="AZ66" s="57">
        <f>IF(E66="","",IF(ISNUMBER(AU66),AU66,0)+IF(ISNUMBER(AV66),AV66,0)+IF(ISNUMBER(AW66),AW66,0)+IF(ISNUMBER(AX66),AX66,0)+IF(ISNUMBER(AY66),AY66,0))</f>
        <v/>
      </c>
      <c r="BA66" s="58">
        <f>IF(OR(E66="",AZ66=""),"",AZ66-AR66)</f>
        <v/>
      </c>
      <c r="BB66" s="59">
        <f>IF(OR(E66="",AZ66=0),"",BA66/AZ66)</f>
        <v/>
      </c>
      <c r="BC66" s="60" t="n"/>
    </row>
    <row r="67" ht="16" customHeight="1">
      <c r="A67" s="45" t="n"/>
      <c r="B67" s="46" t="inlineStr">
        <is>
          <t>SK0930</t>
        </is>
      </c>
      <c r="C67" s="46" t="inlineStr">
        <is>
          <t>3333</t>
        </is>
      </c>
      <c r="D67" s="46" t="inlineStr">
        <is>
          <t>C4</t>
        </is>
      </c>
      <c r="E67" s="47" t="n">
        <v>31</v>
      </c>
      <c r="F67" s="47" t="n">
        <v>47</v>
      </c>
      <c r="G67" s="47" t="n">
        <v>94</v>
      </c>
      <c r="H67" s="47" t="n">
        <v>6</v>
      </c>
      <c r="I67" s="47" t="n">
        <v>2</v>
      </c>
      <c r="J67" s="48" t="n"/>
      <c r="K67" s="48" t="n"/>
      <c r="L67" s="48" t="n"/>
      <c r="M67" s="48" t="n"/>
      <c r="N67" s="48" t="n"/>
      <c r="O67" s="48" t="n"/>
      <c r="P67" s="48" t="n"/>
      <c r="Q67" s="48" t="n"/>
      <c r="R67" s="48" t="n"/>
      <c r="S67" s="48" t="n"/>
      <c r="T67" s="49" t="n"/>
      <c r="U67" s="49" t="n"/>
      <c r="V67" s="49" t="n"/>
      <c r="W67" s="49" t="n"/>
      <c r="X67" s="49" t="n"/>
      <c r="Y67" s="47" t="n"/>
      <c r="Z67" s="47" t="n"/>
      <c r="AA67" s="47" t="n"/>
      <c r="AB67" s="47" t="n"/>
      <c r="AC67" s="47" t="n"/>
      <c r="AD67" s="47" t="n"/>
      <c r="AE67" s="47" t="n"/>
      <c r="AF67" s="47" t="n"/>
      <c r="AG67" s="47" t="n"/>
      <c r="AH67" s="50" t="n"/>
      <c r="AI67" s="50" t="n"/>
      <c r="AJ67" s="50" t="n"/>
      <c r="AK67" s="51" t="inlineStr"/>
      <c r="AL67" s="52" t="n"/>
      <c r="AM67" s="53">
        <f>IF(E67="","",E67*30.96)</f>
        <v/>
      </c>
      <c r="AN67" s="53">
        <f>IF(F67="","",F67*18.3)</f>
        <v/>
      </c>
      <c r="AO67" s="53">
        <f>IF(G67="","",G67*10.45)</f>
        <v/>
      </c>
      <c r="AP67" s="53">
        <f>IF(AND(H67="",I67=""),"",IF(ISNUMBER(H67),H67*18.43,0)+IF(ISNUMBER(I67),I67*20.28,0))</f>
        <v/>
      </c>
      <c r="AQ67" s="53">
        <f>IF(E67="","",667.1)</f>
        <v/>
      </c>
      <c r="AR67" s="54">
        <f>IF(E67="","",IF(ISNUMBER(AM67),AM67,0)+IF(ISNUMBER(AN67),AN67,0)+IF(ISNUMBER(AO67),AO67,0)+IF(ISNUMBER(AP67),AP67,0)+IF(ISNUMBER(AQ67),AQ67,0))</f>
        <v/>
      </c>
      <c r="AS67" s="55">
        <f>IF(E67="","",MAX(E67-SUM(J67:S67),0)*43.5)</f>
        <v/>
      </c>
      <c r="AT67" s="55">
        <f>IF(E67="","",IF(ISNUMBER(J67),J67*39.14,0)+IF(ISNUMBER(K67),K67*12.23,0)+IF(ISNUMBER(L67),L67*12.15,0)+IF(ISNUMBER(M67),M67*7.62,0)+IF(ISNUMBER(N67),N67*10.21,0)+IF(ISNUMBER(O67),O67*6.15,0)+IF(ISNUMBER(P67),P67*12.24,0)+IF(ISNUMBER(Q67),Q67*39.14,0)+IF(ISNUMBER(R67),R67*39.14,0)+IF(ISNUMBER(S67),S67*40.31,0))</f>
        <v/>
      </c>
      <c r="AU67" s="56">
        <f>IF(E67="","",IF(ISNUMBER(AS67),AS67,0)+IF(ISNUMBER(AT67),AT67,0))</f>
        <v/>
      </c>
      <c r="AV67" s="55">
        <f>IF(F67="","",MAX(F67-SUM(T67:X67),0)*23.5+IF(ISNUMBER(T67),T67*19.69,0)+IF(ISNUMBER(U67),U67*16.74,0)+IF(ISNUMBER(V67),V67*20.28,0)+IF(ISNUMBER(W67),W67*19.69,0)+IF(ISNUMBER(X67),X67*19.69,0))</f>
        <v/>
      </c>
      <c r="AW67" s="55">
        <f>IF(G67="","",MAX(G67-SUM(Y67:AG67),0)*14.5+IF(ISNUMBER(Y67),Y67*11.84,0)+IF(ISNUMBER(Z67),Z67*14.34,0)+IF(ISNUMBER(AA67),AA67*16.93,0)+IF(ISNUMBER(AB67),AB67*19.52,0)+IF(ISNUMBER(AC67),AC67*22.35,0)+IF(ISNUMBER(AD67),AD67*13.92,0)+IF(ISNUMBER(AE67),AE67*21.55,0)+IF(ISNUMBER(AF67),AF67*13.92,0)+IF(ISNUMBER(AG67),AG67*13.92,0))</f>
        <v/>
      </c>
      <c r="AX67" s="55">
        <f>IF(AND(H67="",I67=""),"",65.0+IF(ISNUMBER(AH67),AH67*30.23,0)+IF(ISNUMBER(AI67),AI67*30.23,0)+IF(ISNUMBER(AJ67),AJ67*28.0,0))</f>
        <v/>
      </c>
      <c r="AY67" s="55">
        <f>IF(E67="","",953.0)</f>
        <v/>
      </c>
      <c r="AZ67" s="57">
        <f>IF(E67="","",IF(ISNUMBER(AU67),AU67,0)+IF(ISNUMBER(AV67),AV67,0)+IF(ISNUMBER(AW67),AW67,0)+IF(ISNUMBER(AX67),AX67,0)+IF(ISNUMBER(AY67),AY67,0))</f>
        <v/>
      </c>
      <c r="BA67" s="58">
        <f>IF(OR(E67="",AZ67=""),"",AZ67-AR67)</f>
        <v/>
      </c>
      <c r="BB67" s="59">
        <f>IF(OR(E67="",AZ67=0),"",BA67/AZ67)</f>
        <v/>
      </c>
      <c r="BC67" s="60" t="n"/>
    </row>
    <row r="68" ht="16" customHeight="1">
      <c r="A68" s="45" t="n"/>
      <c r="B68" s="46" t="inlineStr">
        <is>
          <t>SK0930</t>
        </is>
      </c>
      <c r="C68" s="46" t="inlineStr">
        <is>
          <t>3333</t>
        </is>
      </c>
      <c r="D68" s="46" t="inlineStr">
        <is>
          <t>C4</t>
        </is>
      </c>
      <c r="E68" s="47" t="n">
        <v>30</v>
      </c>
      <c r="F68" s="47" t="n">
        <v>22</v>
      </c>
      <c r="G68" s="47" t="n"/>
      <c r="H68" s="47" t="n">
        <v>6</v>
      </c>
      <c r="I68" s="47" t="n">
        <v>2</v>
      </c>
      <c r="J68" s="48" t="n"/>
      <c r="K68" s="48" t="n"/>
      <c r="L68" s="48" t="n"/>
      <c r="M68" s="48" t="n"/>
      <c r="N68" s="48" t="n"/>
      <c r="O68" s="48" t="n"/>
      <c r="P68" s="48" t="n"/>
      <c r="Q68" s="48" t="n"/>
      <c r="R68" s="48" t="n"/>
      <c r="S68" s="48" t="n"/>
      <c r="T68" s="49" t="n"/>
      <c r="U68" s="49" t="n"/>
      <c r="V68" s="49" t="n"/>
      <c r="W68" s="49" t="n"/>
      <c r="X68" s="49" t="n"/>
      <c r="Y68" s="47" t="n"/>
      <c r="Z68" s="47" t="n"/>
      <c r="AA68" s="47" t="n"/>
      <c r="AB68" s="47" t="n"/>
      <c r="AC68" s="47" t="n"/>
      <c r="AD68" s="47" t="n"/>
      <c r="AE68" s="47" t="n"/>
      <c r="AF68" s="47" t="n"/>
      <c r="AG68" s="47" t="n"/>
      <c r="AH68" s="50" t="n"/>
      <c r="AI68" s="50" t="n"/>
      <c r="AJ68" s="50" t="n"/>
      <c r="AK68" s="51" t="inlineStr">
        <is>
          <t>OCR-EY_unreadable</t>
        </is>
      </c>
      <c r="AL68" s="52" t="n"/>
      <c r="AM68" s="53">
        <f>IF(E68="","",E68*30.96)</f>
        <v/>
      </c>
      <c r="AN68" s="53">
        <f>IF(F68="","",F68*18.3)</f>
        <v/>
      </c>
      <c r="AO68" s="53">
        <f>IF(G68="","",G68*10.45)</f>
        <v/>
      </c>
      <c r="AP68" s="53">
        <f>IF(AND(H68="",I68=""),"",IF(ISNUMBER(H68),H68*18.43,0)+IF(ISNUMBER(I68),I68*20.28,0))</f>
        <v/>
      </c>
      <c r="AQ68" s="53">
        <f>IF(E68="","",667.1)</f>
        <v/>
      </c>
      <c r="AR68" s="54">
        <f>IF(E68="","",IF(ISNUMBER(AM68),AM68,0)+IF(ISNUMBER(AN68),AN68,0)+IF(ISNUMBER(AO68),AO68,0)+IF(ISNUMBER(AP68),AP68,0)+IF(ISNUMBER(AQ68),AQ68,0))</f>
        <v/>
      </c>
      <c r="AS68" s="55">
        <f>IF(E68="","",MAX(E68-SUM(J68:S68),0)*43.5)</f>
        <v/>
      </c>
      <c r="AT68" s="55">
        <f>IF(E68="","",IF(ISNUMBER(J68),J68*39.14,0)+IF(ISNUMBER(K68),K68*12.23,0)+IF(ISNUMBER(L68),L68*12.15,0)+IF(ISNUMBER(M68),M68*7.62,0)+IF(ISNUMBER(N68),N68*10.21,0)+IF(ISNUMBER(O68),O68*6.15,0)+IF(ISNUMBER(P68),P68*12.24,0)+IF(ISNUMBER(Q68),Q68*39.14,0)+IF(ISNUMBER(R68),R68*39.14,0)+IF(ISNUMBER(S68),S68*40.31,0))</f>
        <v/>
      </c>
      <c r="AU68" s="56">
        <f>IF(E68="","",IF(ISNUMBER(AS68),AS68,0)+IF(ISNUMBER(AT68),AT68,0))</f>
        <v/>
      </c>
      <c r="AV68" s="55">
        <f>IF(F68="","",MAX(F68-SUM(T68:X68),0)*23.5+IF(ISNUMBER(T68),T68*19.69,0)+IF(ISNUMBER(U68),U68*16.74,0)+IF(ISNUMBER(V68),V68*20.28,0)+IF(ISNUMBER(W68),W68*19.69,0)+IF(ISNUMBER(X68),X68*19.69,0))</f>
        <v/>
      </c>
      <c r="AW68" s="55">
        <f>IF(G68="","",MAX(G68-SUM(Y68:AG68),0)*14.5+IF(ISNUMBER(Y68),Y68*11.84,0)+IF(ISNUMBER(Z68),Z68*14.34,0)+IF(ISNUMBER(AA68),AA68*16.93,0)+IF(ISNUMBER(AB68),AB68*19.52,0)+IF(ISNUMBER(AC68),AC68*22.35,0)+IF(ISNUMBER(AD68),AD68*13.92,0)+IF(ISNUMBER(AE68),AE68*21.55,0)+IF(ISNUMBER(AF68),AF68*13.92,0)+IF(ISNUMBER(AG68),AG68*13.92,0))</f>
        <v/>
      </c>
      <c r="AX68" s="55">
        <f>IF(AND(H68="",I68=""),"",65.0+IF(ISNUMBER(AH68),AH68*30.23,0)+IF(ISNUMBER(AI68),AI68*30.23,0)+IF(ISNUMBER(AJ68),AJ68*28.0,0))</f>
        <v/>
      </c>
      <c r="AY68" s="55">
        <f>IF(E68="","",953.0)</f>
        <v/>
      </c>
      <c r="AZ68" s="57">
        <f>IF(E68="","",IF(ISNUMBER(AU68),AU68,0)+IF(ISNUMBER(AV68),AV68,0)+IF(ISNUMBER(AW68),AW68,0)+IF(ISNUMBER(AX68),AX68,0)+IF(ISNUMBER(AY68),AY68,0))</f>
        <v/>
      </c>
      <c r="BA68" s="58">
        <f>IF(OR(E68="",AZ68=""),"",AZ68-AR68)</f>
        <v/>
      </c>
      <c r="BB68" s="59">
        <f>IF(OR(E68="",AZ68=0),"",BA68/AZ68)</f>
        <v/>
      </c>
      <c r="BC68" s="60" t="n"/>
    </row>
    <row r="69" ht="16" customHeight="1">
      <c r="A69" s="45" t="n"/>
      <c r="B69" s="46" t="inlineStr">
        <is>
          <t>SK0930</t>
        </is>
      </c>
      <c r="C69" s="46" t="inlineStr">
        <is>
          <t>3333</t>
        </is>
      </c>
      <c r="D69" s="46" t="inlineStr">
        <is>
          <t>C4</t>
        </is>
      </c>
      <c r="E69" s="47" t="n">
        <v>32</v>
      </c>
      <c r="F69" s="47" t="n">
        <v>39</v>
      </c>
      <c r="G69" s="47" t="n">
        <v>174</v>
      </c>
      <c r="H69" s="47" t="n">
        <v>6</v>
      </c>
      <c r="I69" s="47" t="n">
        <v>2</v>
      </c>
      <c r="J69" s="48" t="n"/>
      <c r="K69" s="48" t="n"/>
      <c r="L69" s="48" t="n"/>
      <c r="M69" s="48" t="n"/>
      <c r="N69" s="48" t="n"/>
      <c r="O69" s="48" t="n"/>
      <c r="P69" s="48" t="n"/>
      <c r="Q69" s="48" t="n"/>
      <c r="R69" s="48" t="n"/>
      <c r="S69" s="48" t="n"/>
      <c r="T69" s="49" t="n"/>
      <c r="U69" s="49" t="n"/>
      <c r="V69" s="49" t="n"/>
      <c r="W69" s="49" t="n"/>
      <c r="X69" s="49" t="n"/>
      <c r="Y69" s="47" t="n"/>
      <c r="Z69" s="47" t="n"/>
      <c r="AA69" s="47" t="n"/>
      <c r="AB69" s="47" t="n"/>
      <c r="AC69" s="47" t="n"/>
      <c r="AD69" s="47" t="n"/>
      <c r="AE69" s="47" t="n"/>
      <c r="AF69" s="47" t="n"/>
      <c r="AG69" s="47" t="n"/>
      <c r="AH69" s="50" t="n"/>
      <c r="AI69" s="50" t="n"/>
      <c r="AJ69" s="50" t="n"/>
      <c r="AK69" s="51" t="inlineStr"/>
      <c r="AL69" s="52" t="n"/>
      <c r="AM69" s="53">
        <f>IF(E69="","",E69*30.96)</f>
        <v/>
      </c>
      <c r="AN69" s="53">
        <f>IF(F69="","",F69*18.3)</f>
        <v/>
      </c>
      <c r="AO69" s="53">
        <f>IF(G69="","",G69*10.45)</f>
        <v/>
      </c>
      <c r="AP69" s="53">
        <f>IF(AND(H69="",I69=""),"",IF(ISNUMBER(H69),H69*18.43,0)+IF(ISNUMBER(I69),I69*20.28,0))</f>
        <v/>
      </c>
      <c r="AQ69" s="53">
        <f>IF(E69="","",667.1)</f>
        <v/>
      </c>
      <c r="AR69" s="54">
        <f>IF(E69="","",IF(ISNUMBER(AM69),AM69,0)+IF(ISNUMBER(AN69),AN69,0)+IF(ISNUMBER(AO69),AO69,0)+IF(ISNUMBER(AP69),AP69,0)+IF(ISNUMBER(AQ69),AQ69,0))</f>
        <v/>
      </c>
      <c r="AS69" s="55">
        <f>IF(E69="","",MAX(E69-SUM(J69:S69),0)*43.5)</f>
        <v/>
      </c>
      <c r="AT69" s="55">
        <f>IF(E69="","",IF(ISNUMBER(J69),J69*39.14,0)+IF(ISNUMBER(K69),K69*12.23,0)+IF(ISNUMBER(L69),L69*12.15,0)+IF(ISNUMBER(M69),M69*7.62,0)+IF(ISNUMBER(N69),N69*10.21,0)+IF(ISNUMBER(O69),O69*6.15,0)+IF(ISNUMBER(P69),P69*12.24,0)+IF(ISNUMBER(Q69),Q69*39.14,0)+IF(ISNUMBER(R69),R69*39.14,0)+IF(ISNUMBER(S69),S69*40.31,0))</f>
        <v/>
      </c>
      <c r="AU69" s="56">
        <f>IF(E69="","",IF(ISNUMBER(AS69),AS69,0)+IF(ISNUMBER(AT69),AT69,0))</f>
        <v/>
      </c>
      <c r="AV69" s="55">
        <f>IF(F69="","",MAX(F69-SUM(T69:X69),0)*23.5+IF(ISNUMBER(T69),T69*19.69,0)+IF(ISNUMBER(U69),U69*16.74,0)+IF(ISNUMBER(V69),V69*20.28,0)+IF(ISNUMBER(W69),W69*19.69,0)+IF(ISNUMBER(X69),X69*19.69,0))</f>
        <v/>
      </c>
      <c r="AW69" s="55">
        <f>IF(G69="","",MAX(G69-SUM(Y69:AG69),0)*14.5+IF(ISNUMBER(Y69),Y69*11.84,0)+IF(ISNUMBER(Z69),Z69*14.34,0)+IF(ISNUMBER(AA69),AA69*16.93,0)+IF(ISNUMBER(AB69),AB69*19.52,0)+IF(ISNUMBER(AC69),AC69*22.35,0)+IF(ISNUMBER(AD69),AD69*13.92,0)+IF(ISNUMBER(AE69),AE69*21.55,0)+IF(ISNUMBER(AF69),AF69*13.92,0)+IF(ISNUMBER(AG69),AG69*13.92,0))</f>
        <v/>
      </c>
      <c r="AX69" s="55">
        <f>IF(AND(H69="",I69=""),"",65.0+IF(ISNUMBER(AH69),AH69*30.23,0)+IF(ISNUMBER(AI69),AI69*30.23,0)+IF(ISNUMBER(AJ69),AJ69*28.0,0))</f>
        <v/>
      </c>
      <c r="AY69" s="55">
        <f>IF(E69="","",953.0)</f>
        <v/>
      </c>
      <c r="AZ69" s="57">
        <f>IF(E69="","",IF(ISNUMBER(AU69),AU69,0)+IF(ISNUMBER(AV69),AV69,0)+IF(ISNUMBER(AW69),AW69,0)+IF(ISNUMBER(AX69),AX69,0)+IF(ISNUMBER(AY69),AY69,0))</f>
        <v/>
      </c>
      <c r="BA69" s="58">
        <f>IF(OR(E69="",AZ69=""),"",AZ69-AR69)</f>
        <v/>
      </c>
      <c r="BB69" s="59">
        <f>IF(OR(E69="",AZ69=0),"",BA69/AZ69)</f>
        <v/>
      </c>
      <c r="BC69" s="60" t="n"/>
    </row>
    <row r="70" ht="16" customHeight="1">
      <c r="A70" s="45" t="inlineStr">
        <is>
          <t>5/2/2026</t>
        </is>
      </c>
      <c r="B70" s="46" t="inlineStr">
        <is>
          <t>SK0930</t>
        </is>
      </c>
      <c r="C70" s="46" t="inlineStr">
        <is>
          <t>3333</t>
        </is>
      </c>
      <c r="D70" s="46" t="inlineStr">
        <is>
          <t>C4</t>
        </is>
      </c>
      <c r="E70" s="47" t="n">
        <v>22</v>
      </c>
      <c r="F70" s="47" t="n">
        <v>30</v>
      </c>
      <c r="G70" s="47" t="n">
        <v>152</v>
      </c>
      <c r="H70" s="47" t="n">
        <v>7</v>
      </c>
      <c r="I70" s="47" t="n">
        <v>2</v>
      </c>
      <c r="J70" s="48" t="n"/>
      <c r="K70" s="48" t="n"/>
      <c r="L70" s="48" t="n"/>
      <c r="M70" s="48" t="n"/>
      <c r="N70" s="48" t="n"/>
      <c r="O70" s="48" t="n"/>
      <c r="P70" s="48" t="n"/>
      <c r="Q70" s="48" t="n"/>
      <c r="R70" s="48" t="n"/>
      <c r="S70" s="48" t="n"/>
      <c r="T70" s="49" t="n"/>
      <c r="U70" s="49" t="n"/>
      <c r="V70" s="49" t="n"/>
      <c r="W70" s="49" t="n"/>
      <c r="X70" s="49" t="n"/>
      <c r="Y70" s="47" t="n"/>
      <c r="Z70" s="47" t="n"/>
      <c r="AA70" s="47" t="n"/>
      <c r="AB70" s="47" t="n"/>
      <c r="AC70" s="47" t="n"/>
      <c r="AD70" s="47" t="n"/>
      <c r="AE70" s="47" t="n"/>
      <c r="AF70" s="47" t="n"/>
      <c r="AG70" s="47" t="n"/>
      <c r="AH70" s="50" t="n"/>
      <c r="AI70" s="50" t="n"/>
      <c r="AJ70" s="50" t="n"/>
      <c r="AK70" s="51" t="inlineStr"/>
      <c r="AL70" s="52" t="n"/>
      <c r="AM70" s="53">
        <f>IF(E70="","",E70*30.96)</f>
        <v/>
      </c>
      <c r="AN70" s="53">
        <f>IF(F70="","",F70*18.3)</f>
        <v/>
      </c>
      <c r="AO70" s="53">
        <f>IF(G70="","",G70*10.45)</f>
        <v/>
      </c>
      <c r="AP70" s="53">
        <f>IF(AND(H70="",I70=""),"",IF(ISNUMBER(H70),H70*18.43,0)+IF(ISNUMBER(I70),I70*20.28,0))</f>
        <v/>
      </c>
      <c r="AQ70" s="53">
        <f>IF(E70="","",667.1)</f>
        <v/>
      </c>
      <c r="AR70" s="54">
        <f>IF(E70="","",IF(ISNUMBER(AM70),AM70,0)+IF(ISNUMBER(AN70),AN70,0)+IF(ISNUMBER(AO70),AO70,0)+IF(ISNUMBER(AP70),AP70,0)+IF(ISNUMBER(AQ70),AQ70,0))</f>
        <v/>
      </c>
      <c r="AS70" s="55">
        <f>IF(E70="","",MAX(E70-SUM(J70:S70),0)*43.5)</f>
        <v/>
      </c>
      <c r="AT70" s="55">
        <f>IF(E70="","",IF(ISNUMBER(J70),J70*39.14,0)+IF(ISNUMBER(K70),K70*12.23,0)+IF(ISNUMBER(L70),L70*12.15,0)+IF(ISNUMBER(M70),M70*7.62,0)+IF(ISNUMBER(N70),N70*10.21,0)+IF(ISNUMBER(O70),O70*6.15,0)+IF(ISNUMBER(P70),P70*12.24,0)+IF(ISNUMBER(Q70),Q70*39.14,0)+IF(ISNUMBER(R70),R70*39.14,0)+IF(ISNUMBER(S70),S70*40.31,0))</f>
        <v/>
      </c>
      <c r="AU70" s="56">
        <f>IF(E70="","",IF(ISNUMBER(AS70),AS70,0)+IF(ISNUMBER(AT70),AT70,0))</f>
        <v/>
      </c>
      <c r="AV70" s="55">
        <f>IF(F70="","",MAX(F70-SUM(T70:X70),0)*23.5+IF(ISNUMBER(T70),T70*19.69,0)+IF(ISNUMBER(U70),U70*16.74,0)+IF(ISNUMBER(V70),V70*20.28,0)+IF(ISNUMBER(W70),W70*19.69,0)+IF(ISNUMBER(X70),X70*19.69,0))</f>
        <v/>
      </c>
      <c r="AW70" s="55">
        <f>IF(G70="","",MAX(G70-SUM(Y70:AG70),0)*14.5+IF(ISNUMBER(Y70),Y70*11.84,0)+IF(ISNUMBER(Z70),Z70*14.34,0)+IF(ISNUMBER(AA70),AA70*16.93,0)+IF(ISNUMBER(AB70),AB70*19.52,0)+IF(ISNUMBER(AC70),AC70*22.35,0)+IF(ISNUMBER(AD70),AD70*13.92,0)+IF(ISNUMBER(AE70),AE70*21.55,0)+IF(ISNUMBER(AF70),AF70*13.92,0)+IF(ISNUMBER(AG70),AG70*13.92,0))</f>
        <v/>
      </c>
      <c r="AX70" s="55">
        <f>IF(AND(H70="",I70=""),"",65.0+IF(ISNUMBER(AH70),AH70*30.23,0)+IF(ISNUMBER(AI70),AI70*30.23,0)+IF(ISNUMBER(AJ70),AJ70*28.0,0))</f>
        <v/>
      </c>
      <c r="AY70" s="55">
        <f>IF(E70="","",953.0)</f>
        <v/>
      </c>
      <c r="AZ70" s="57">
        <f>IF(E70="","",IF(ISNUMBER(AU70),AU70,0)+IF(ISNUMBER(AV70),AV70,0)+IF(ISNUMBER(AW70),AW70,0)+IF(ISNUMBER(AX70),AX70,0)+IF(ISNUMBER(AY70),AY70,0))</f>
        <v/>
      </c>
      <c r="BA70" s="58">
        <f>IF(OR(E70="",AZ70=""),"",AZ70-AR70)</f>
        <v/>
      </c>
      <c r="BB70" s="59">
        <f>IF(OR(E70="",AZ70=0),"",BA70/AZ70)</f>
        <v/>
      </c>
      <c r="BC70" s="60" t="n">
        <v>6236.62</v>
      </c>
    </row>
    <row r="71" ht="16" customHeight="1">
      <c r="A71" s="45" t="inlineStr">
        <is>
          <t>5/4/2026</t>
        </is>
      </c>
      <c r="B71" s="46" t="inlineStr">
        <is>
          <t>SK0930</t>
        </is>
      </c>
      <c r="C71" s="46" t="inlineStr">
        <is>
          <t>3333</t>
        </is>
      </c>
      <c r="D71" s="46" t="inlineStr">
        <is>
          <t>C4</t>
        </is>
      </c>
      <c r="E71" s="47" t="n">
        <v>25</v>
      </c>
      <c r="F71" s="47" t="n">
        <v>32</v>
      </c>
      <c r="G71" s="47" t="n">
        <v>160</v>
      </c>
      <c r="H71" s="47" t="n">
        <v>7</v>
      </c>
      <c r="I71" s="47" t="n">
        <v>2</v>
      </c>
      <c r="J71" s="48" t="n"/>
      <c r="K71" s="48" t="n"/>
      <c r="L71" s="48" t="n"/>
      <c r="M71" s="48" t="n"/>
      <c r="N71" s="48" t="n"/>
      <c r="O71" s="48" t="n"/>
      <c r="P71" s="48" t="n"/>
      <c r="Q71" s="48" t="n"/>
      <c r="R71" s="48" t="n"/>
      <c r="S71" s="48" t="n"/>
      <c r="T71" s="49" t="n"/>
      <c r="U71" s="49" t="n"/>
      <c r="V71" s="49" t="n"/>
      <c r="W71" s="49" t="n"/>
      <c r="X71" s="49" t="n"/>
      <c r="Y71" s="47" t="n"/>
      <c r="Z71" s="47" t="n"/>
      <c r="AA71" s="47" t="n"/>
      <c r="AB71" s="47" t="n"/>
      <c r="AC71" s="47" t="n"/>
      <c r="AD71" s="47" t="n"/>
      <c r="AE71" s="47" t="n"/>
      <c r="AF71" s="47" t="n"/>
      <c r="AG71" s="47" t="n"/>
      <c r="AH71" s="50" t="n"/>
      <c r="AI71" s="50" t="n"/>
      <c r="AJ71" s="50" t="n"/>
      <c r="AK71" s="51" t="inlineStr"/>
      <c r="AL71" s="52" t="n"/>
      <c r="AM71" s="53">
        <f>IF(E71="","",E71*30.96)</f>
        <v/>
      </c>
      <c r="AN71" s="53">
        <f>IF(F71="","",F71*18.3)</f>
        <v/>
      </c>
      <c r="AO71" s="53">
        <f>IF(G71="","",G71*10.45)</f>
        <v/>
      </c>
      <c r="AP71" s="53">
        <f>IF(AND(H71="",I71=""),"",IF(ISNUMBER(H71),H71*18.43,0)+IF(ISNUMBER(I71),I71*20.28,0))</f>
        <v/>
      </c>
      <c r="AQ71" s="53">
        <f>IF(E71="","",667.1)</f>
        <v/>
      </c>
      <c r="AR71" s="54">
        <f>IF(E71="","",IF(ISNUMBER(AM71),AM71,0)+IF(ISNUMBER(AN71),AN71,0)+IF(ISNUMBER(AO71),AO71,0)+IF(ISNUMBER(AP71),AP71,0)+IF(ISNUMBER(AQ71),AQ71,0))</f>
        <v/>
      </c>
      <c r="AS71" s="55">
        <f>IF(E71="","",MAX(E71-SUM(J71:S71),0)*43.5)</f>
        <v/>
      </c>
      <c r="AT71" s="55">
        <f>IF(E71="","",IF(ISNUMBER(J71),J71*39.14,0)+IF(ISNUMBER(K71),K71*12.23,0)+IF(ISNUMBER(L71),L71*12.15,0)+IF(ISNUMBER(M71),M71*7.62,0)+IF(ISNUMBER(N71),N71*10.21,0)+IF(ISNUMBER(O71),O71*6.15,0)+IF(ISNUMBER(P71),P71*12.24,0)+IF(ISNUMBER(Q71),Q71*39.14,0)+IF(ISNUMBER(R71),R71*39.14,0)+IF(ISNUMBER(S71),S71*40.31,0))</f>
        <v/>
      </c>
      <c r="AU71" s="56">
        <f>IF(E71="","",IF(ISNUMBER(AS71),AS71,0)+IF(ISNUMBER(AT71),AT71,0))</f>
        <v/>
      </c>
      <c r="AV71" s="55">
        <f>IF(F71="","",MAX(F71-SUM(T71:X71),0)*23.5+IF(ISNUMBER(T71),T71*19.69,0)+IF(ISNUMBER(U71),U71*16.74,0)+IF(ISNUMBER(V71),V71*20.28,0)+IF(ISNUMBER(W71),W71*19.69,0)+IF(ISNUMBER(X71),X71*19.69,0))</f>
        <v/>
      </c>
      <c r="AW71" s="55">
        <f>IF(G71="","",MAX(G71-SUM(Y71:AG71),0)*14.5+IF(ISNUMBER(Y71),Y71*11.84,0)+IF(ISNUMBER(Z71),Z71*14.34,0)+IF(ISNUMBER(AA71),AA71*16.93,0)+IF(ISNUMBER(AB71),AB71*19.52,0)+IF(ISNUMBER(AC71),AC71*22.35,0)+IF(ISNUMBER(AD71),AD71*13.92,0)+IF(ISNUMBER(AE71),AE71*21.55,0)+IF(ISNUMBER(AF71),AF71*13.92,0)+IF(ISNUMBER(AG71),AG71*13.92,0))</f>
        <v/>
      </c>
      <c r="AX71" s="55">
        <f>IF(AND(H71="",I71=""),"",65.0+IF(ISNUMBER(AH71),AH71*30.23,0)+IF(ISNUMBER(AI71),AI71*30.23,0)+IF(ISNUMBER(AJ71),AJ71*28.0,0))</f>
        <v/>
      </c>
      <c r="AY71" s="55">
        <f>IF(E71="","",953.0)</f>
        <v/>
      </c>
      <c r="AZ71" s="57">
        <f>IF(E71="","",IF(ISNUMBER(AU71),AU71,0)+IF(ISNUMBER(AV71),AV71,0)+IF(ISNUMBER(AW71),AW71,0)+IF(ISNUMBER(AX71),AX71,0)+IF(ISNUMBER(AY71),AY71,0))</f>
        <v/>
      </c>
      <c r="BA71" s="58">
        <f>IF(OR(E71="",AZ71=""),"",AZ71-AR71)</f>
        <v/>
      </c>
      <c r="BB71" s="59">
        <f>IF(OR(E71="",AZ71=0),"",BA71/AZ71)</f>
        <v/>
      </c>
      <c r="BC71" s="60" t="n"/>
    </row>
    <row r="72" ht="16" customHeight="1">
      <c r="A72" s="45" t="inlineStr">
        <is>
          <t>5/5/2026</t>
        </is>
      </c>
      <c r="B72" s="46" t="inlineStr">
        <is>
          <t>SK0930</t>
        </is>
      </c>
      <c r="C72" s="46" t="inlineStr">
        <is>
          <t>3333</t>
        </is>
      </c>
      <c r="D72" s="46" t="inlineStr">
        <is>
          <t>C4</t>
        </is>
      </c>
      <c r="E72" s="47" t="n">
        <v>23</v>
      </c>
      <c r="F72" s="47" t="n">
        <v>31</v>
      </c>
      <c r="G72" s="47" t="n">
        <v>155</v>
      </c>
      <c r="H72" s="47" t="n">
        <v>7</v>
      </c>
      <c r="I72" s="47" t="n">
        <v>2</v>
      </c>
      <c r="J72" s="48" t="n"/>
      <c r="K72" s="48" t="n"/>
      <c r="L72" s="48" t="n"/>
      <c r="M72" s="48" t="n"/>
      <c r="N72" s="48" t="n"/>
      <c r="O72" s="48" t="n"/>
      <c r="P72" s="48" t="n"/>
      <c r="Q72" s="48" t="n"/>
      <c r="R72" s="48" t="n"/>
      <c r="S72" s="48" t="n"/>
      <c r="T72" s="49" t="n"/>
      <c r="U72" s="49" t="n"/>
      <c r="V72" s="49" t="n"/>
      <c r="W72" s="49" t="n"/>
      <c r="X72" s="49" t="n"/>
      <c r="Y72" s="47" t="n"/>
      <c r="Z72" s="47" t="n"/>
      <c r="AA72" s="47" t="n"/>
      <c r="AB72" s="47" t="n"/>
      <c r="AC72" s="47" t="n"/>
      <c r="AD72" s="47" t="n"/>
      <c r="AE72" s="47" t="n"/>
      <c r="AF72" s="47" t="n"/>
      <c r="AG72" s="47" t="n"/>
      <c r="AH72" s="50" t="n"/>
      <c r="AI72" s="50" t="n"/>
      <c r="AJ72" s="50" t="n"/>
      <c r="AK72" s="51" t="inlineStr"/>
      <c r="AL72" s="52" t="n"/>
      <c r="AM72" s="53">
        <f>IF(E72="","",E72*30.96)</f>
        <v/>
      </c>
      <c r="AN72" s="53">
        <f>IF(F72="","",F72*18.3)</f>
        <v/>
      </c>
      <c r="AO72" s="53">
        <f>IF(G72="","",G72*10.45)</f>
        <v/>
      </c>
      <c r="AP72" s="53">
        <f>IF(AND(H72="",I72=""),"",IF(ISNUMBER(H72),H72*18.43,0)+IF(ISNUMBER(I72),I72*20.28,0))</f>
        <v/>
      </c>
      <c r="AQ72" s="53">
        <f>IF(E72="","",667.1)</f>
        <v/>
      </c>
      <c r="AR72" s="54">
        <f>IF(E72="","",IF(ISNUMBER(AM72),AM72,0)+IF(ISNUMBER(AN72),AN72,0)+IF(ISNUMBER(AO72),AO72,0)+IF(ISNUMBER(AP72),AP72,0)+IF(ISNUMBER(AQ72),AQ72,0))</f>
        <v/>
      </c>
      <c r="AS72" s="55">
        <f>IF(E72="","",MAX(E72-SUM(J72:S72),0)*43.5)</f>
        <v/>
      </c>
      <c r="AT72" s="55">
        <f>IF(E72="","",IF(ISNUMBER(J72),J72*39.14,0)+IF(ISNUMBER(K72),K72*12.23,0)+IF(ISNUMBER(L72),L72*12.15,0)+IF(ISNUMBER(M72),M72*7.62,0)+IF(ISNUMBER(N72),N72*10.21,0)+IF(ISNUMBER(O72),O72*6.15,0)+IF(ISNUMBER(P72),P72*12.24,0)+IF(ISNUMBER(Q72),Q72*39.14,0)+IF(ISNUMBER(R72),R72*39.14,0)+IF(ISNUMBER(S72),S72*40.31,0))</f>
        <v/>
      </c>
      <c r="AU72" s="56">
        <f>IF(E72="","",IF(ISNUMBER(AS72),AS72,0)+IF(ISNUMBER(AT72),AT72,0))</f>
        <v/>
      </c>
      <c r="AV72" s="55">
        <f>IF(F72="","",MAX(F72-SUM(T72:X72),0)*23.5+IF(ISNUMBER(T72),T72*19.69,0)+IF(ISNUMBER(U72),U72*16.74,0)+IF(ISNUMBER(V72),V72*20.28,0)+IF(ISNUMBER(W72),W72*19.69,0)+IF(ISNUMBER(X72),X72*19.69,0))</f>
        <v/>
      </c>
      <c r="AW72" s="55">
        <f>IF(G72="","",MAX(G72-SUM(Y72:AG72),0)*14.5+IF(ISNUMBER(Y72),Y72*11.84,0)+IF(ISNUMBER(Z72),Z72*14.34,0)+IF(ISNUMBER(AA72),AA72*16.93,0)+IF(ISNUMBER(AB72),AB72*19.52,0)+IF(ISNUMBER(AC72),AC72*22.35,0)+IF(ISNUMBER(AD72),AD72*13.92,0)+IF(ISNUMBER(AE72),AE72*21.55,0)+IF(ISNUMBER(AF72),AF72*13.92,0)+IF(ISNUMBER(AG72),AG72*13.92,0))</f>
        <v/>
      </c>
      <c r="AX72" s="55">
        <f>IF(AND(H72="",I72=""),"",65.0+IF(ISNUMBER(AH72),AH72*30.23,0)+IF(ISNUMBER(AI72),AI72*30.23,0)+IF(ISNUMBER(AJ72),AJ72*28.0,0))</f>
        <v/>
      </c>
      <c r="AY72" s="55">
        <f>IF(E72="","",953.0)</f>
        <v/>
      </c>
      <c r="AZ72" s="57">
        <f>IF(E72="","",IF(ISNUMBER(AU72),AU72,0)+IF(ISNUMBER(AV72),AV72,0)+IF(ISNUMBER(AW72),AW72,0)+IF(ISNUMBER(AX72),AX72,0)+IF(ISNUMBER(AY72),AY72,0))</f>
        <v/>
      </c>
      <c r="BA72" s="58">
        <f>IF(OR(E72="",AZ72=""),"",AZ72-AR72)</f>
        <v/>
      </c>
      <c r="BB72" s="59">
        <f>IF(OR(E72="",AZ72=0),"",BA72/AZ72)</f>
        <v/>
      </c>
      <c r="BC72" s="60" t="n">
        <v>6376.98</v>
      </c>
    </row>
    <row r="73" ht="16" customHeight="1">
      <c r="A73" s="45" t="inlineStr">
        <is>
          <t>5/7/2026</t>
        </is>
      </c>
      <c r="B73" s="46" t="inlineStr">
        <is>
          <t>SK0930</t>
        </is>
      </c>
      <c r="C73" s="46" t="inlineStr">
        <is>
          <t>3333</t>
        </is>
      </c>
      <c r="D73" s="46" t="inlineStr">
        <is>
          <t>C4</t>
        </is>
      </c>
      <c r="E73" s="47" t="n">
        <v>24</v>
      </c>
      <c r="F73" s="47" t="n">
        <v>29</v>
      </c>
      <c r="G73" s="47" t="n">
        <v>158</v>
      </c>
      <c r="H73" s="47" t="n">
        <v>7</v>
      </c>
      <c r="I73" s="47" t="n">
        <v>2</v>
      </c>
      <c r="J73" s="48" t="n"/>
      <c r="K73" s="48" t="n"/>
      <c r="L73" s="48" t="n"/>
      <c r="M73" s="48" t="n"/>
      <c r="N73" s="48" t="n"/>
      <c r="O73" s="48" t="n"/>
      <c r="P73" s="48" t="n"/>
      <c r="Q73" s="48" t="n"/>
      <c r="R73" s="48" t="n"/>
      <c r="S73" s="48" t="n"/>
      <c r="T73" s="49" t="n"/>
      <c r="U73" s="49" t="n"/>
      <c r="V73" s="49" t="n"/>
      <c r="W73" s="49" t="n"/>
      <c r="X73" s="49" t="n"/>
      <c r="Y73" s="47" t="n"/>
      <c r="Z73" s="47" t="n"/>
      <c r="AA73" s="47" t="n"/>
      <c r="AB73" s="47" t="n"/>
      <c r="AC73" s="47" t="n"/>
      <c r="AD73" s="47" t="n"/>
      <c r="AE73" s="47" t="n"/>
      <c r="AF73" s="47" t="n"/>
      <c r="AG73" s="47" t="n"/>
      <c r="AH73" s="50" t="n"/>
      <c r="AI73" s="50" t="n"/>
      <c r="AJ73" s="50" t="n"/>
      <c r="AK73" s="51" t="inlineStr"/>
      <c r="AL73" s="52" t="n"/>
      <c r="AM73" s="53">
        <f>IF(E73="","",E73*30.96)</f>
        <v/>
      </c>
      <c r="AN73" s="53">
        <f>IF(F73="","",F73*18.3)</f>
        <v/>
      </c>
      <c r="AO73" s="53">
        <f>IF(G73="","",G73*10.45)</f>
        <v/>
      </c>
      <c r="AP73" s="53">
        <f>IF(AND(H73="",I73=""),"",IF(ISNUMBER(H73),H73*18.43,0)+IF(ISNUMBER(I73),I73*20.28,0))</f>
        <v/>
      </c>
      <c r="AQ73" s="53">
        <f>IF(E73="","",667.1)</f>
        <v/>
      </c>
      <c r="AR73" s="54">
        <f>IF(E73="","",IF(ISNUMBER(AM73),AM73,0)+IF(ISNUMBER(AN73),AN73,0)+IF(ISNUMBER(AO73),AO73,0)+IF(ISNUMBER(AP73),AP73,0)+IF(ISNUMBER(AQ73),AQ73,0))</f>
        <v/>
      </c>
      <c r="AS73" s="55">
        <f>IF(E73="","",MAX(E73-SUM(J73:S73),0)*43.5)</f>
        <v/>
      </c>
      <c r="AT73" s="55">
        <f>IF(E73="","",IF(ISNUMBER(J73),J73*39.14,0)+IF(ISNUMBER(K73),K73*12.23,0)+IF(ISNUMBER(L73),L73*12.15,0)+IF(ISNUMBER(M73),M73*7.62,0)+IF(ISNUMBER(N73),N73*10.21,0)+IF(ISNUMBER(O73),O73*6.15,0)+IF(ISNUMBER(P73),P73*12.24,0)+IF(ISNUMBER(Q73),Q73*39.14,0)+IF(ISNUMBER(R73),R73*39.14,0)+IF(ISNUMBER(S73),S73*40.31,0))</f>
        <v/>
      </c>
      <c r="AU73" s="56">
        <f>IF(E73="","",IF(ISNUMBER(AS73),AS73,0)+IF(ISNUMBER(AT73),AT73,0))</f>
        <v/>
      </c>
      <c r="AV73" s="55">
        <f>IF(F73="","",MAX(F73-SUM(T73:X73),0)*23.5+IF(ISNUMBER(T73),T73*19.69,0)+IF(ISNUMBER(U73),U73*16.74,0)+IF(ISNUMBER(V73),V73*20.28,0)+IF(ISNUMBER(W73),W73*19.69,0)+IF(ISNUMBER(X73),X73*19.69,0))</f>
        <v/>
      </c>
      <c r="AW73" s="55">
        <f>IF(G73="","",MAX(G73-SUM(Y73:AG73),0)*14.5+IF(ISNUMBER(Y73),Y73*11.84,0)+IF(ISNUMBER(Z73),Z73*14.34,0)+IF(ISNUMBER(AA73),AA73*16.93,0)+IF(ISNUMBER(AB73),AB73*19.52,0)+IF(ISNUMBER(AC73),AC73*22.35,0)+IF(ISNUMBER(AD73),AD73*13.92,0)+IF(ISNUMBER(AE73),AE73*21.55,0)+IF(ISNUMBER(AF73),AF73*13.92,0)+IF(ISNUMBER(AG73),AG73*13.92,0))</f>
        <v/>
      </c>
      <c r="AX73" s="55">
        <f>IF(AND(H73="",I73=""),"",65.0+IF(ISNUMBER(AH73),AH73*30.23,0)+IF(ISNUMBER(AI73),AI73*30.23,0)+IF(ISNUMBER(AJ73),AJ73*28.0,0))</f>
        <v/>
      </c>
      <c r="AY73" s="55">
        <f>IF(E73="","",953.0)</f>
        <v/>
      </c>
      <c r="AZ73" s="57">
        <f>IF(E73="","",IF(ISNUMBER(AU73),AU73,0)+IF(ISNUMBER(AV73),AV73,0)+IF(ISNUMBER(AW73),AW73,0)+IF(ISNUMBER(AX73),AX73,0)+IF(ISNUMBER(AY73),AY73,0))</f>
        <v/>
      </c>
      <c r="BA73" s="58">
        <f>IF(OR(E73="",AZ73=""),"",AZ73-AR73)</f>
        <v/>
      </c>
      <c r="BB73" s="59">
        <f>IF(OR(E73="",AZ73=0),"",BA73/AZ73)</f>
        <v/>
      </c>
      <c r="BC73" s="60" t="n">
        <v>6362.49</v>
      </c>
    </row>
    <row r="74" ht="16" customHeight="1">
      <c r="A74" s="45" t="inlineStr">
        <is>
          <t>5/8/2026</t>
        </is>
      </c>
      <c r="B74" s="46" t="inlineStr">
        <is>
          <t>SK0930</t>
        </is>
      </c>
      <c r="C74" s="46" t="inlineStr">
        <is>
          <t>3333</t>
        </is>
      </c>
      <c r="D74" s="46" t="inlineStr">
        <is>
          <t>C4</t>
        </is>
      </c>
      <c r="E74" s="47" t="n">
        <v>21</v>
      </c>
      <c r="F74" s="47" t="n">
        <v>33</v>
      </c>
      <c r="G74" s="47" t="n">
        <v>149</v>
      </c>
      <c r="H74" s="47" t="n">
        <v>7</v>
      </c>
      <c r="I74" s="47" t="n">
        <v>2</v>
      </c>
      <c r="J74" s="48" t="n"/>
      <c r="K74" s="48" t="n"/>
      <c r="L74" s="48" t="n"/>
      <c r="M74" s="48" t="n"/>
      <c r="N74" s="48" t="n"/>
      <c r="O74" s="48" t="n"/>
      <c r="P74" s="48" t="n"/>
      <c r="Q74" s="48" t="n"/>
      <c r="R74" s="48" t="n"/>
      <c r="S74" s="48" t="n"/>
      <c r="T74" s="49" t="n"/>
      <c r="U74" s="49" t="n"/>
      <c r="V74" s="49" t="n"/>
      <c r="W74" s="49" t="n"/>
      <c r="X74" s="49" t="n"/>
      <c r="Y74" s="47" t="n"/>
      <c r="Z74" s="47" t="n"/>
      <c r="AA74" s="47" t="n"/>
      <c r="AB74" s="47" t="n"/>
      <c r="AC74" s="47" t="n"/>
      <c r="AD74" s="47" t="n"/>
      <c r="AE74" s="47" t="n"/>
      <c r="AF74" s="47" t="n"/>
      <c r="AG74" s="47" t="n"/>
      <c r="AH74" s="50" t="n"/>
      <c r="AI74" s="50" t="n"/>
      <c r="AJ74" s="50" t="n"/>
      <c r="AK74" s="51" t="inlineStr"/>
      <c r="AL74" s="52" t="n"/>
      <c r="AM74" s="53">
        <f>IF(E74="","",E74*30.96)</f>
        <v/>
      </c>
      <c r="AN74" s="53">
        <f>IF(F74="","",F74*18.3)</f>
        <v/>
      </c>
      <c r="AO74" s="53">
        <f>IF(G74="","",G74*10.45)</f>
        <v/>
      </c>
      <c r="AP74" s="53">
        <f>IF(AND(H74="",I74=""),"",IF(ISNUMBER(H74),H74*18.43,0)+IF(ISNUMBER(I74),I74*20.28,0))</f>
        <v/>
      </c>
      <c r="AQ74" s="53">
        <f>IF(E74="","",667.1)</f>
        <v/>
      </c>
      <c r="AR74" s="54">
        <f>IF(E74="","",IF(ISNUMBER(AM74),AM74,0)+IF(ISNUMBER(AN74),AN74,0)+IF(ISNUMBER(AO74),AO74,0)+IF(ISNUMBER(AP74),AP74,0)+IF(ISNUMBER(AQ74),AQ74,0))</f>
        <v/>
      </c>
      <c r="AS74" s="55">
        <f>IF(E74="","",MAX(E74-SUM(J74:S74),0)*43.5)</f>
        <v/>
      </c>
      <c r="AT74" s="55">
        <f>IF(E74="","",IF(ISNUMBER(J74),J74*39.14,0)+IF(ISNUMBER(K74),K74*12.23,0)+IF(ISNUMBER(L74),L74*12.15,0)+IF(ISNUMBER(M74),M74*7.62,0)+IF(ISNUMBER(N74),N74*10.21,0)+IF(ISNUMBER(O74),O74*6.15,0)+IF(ISNUMBER(P74),P74*12.24,0)+IF(ISNUMBER(Q74),Q74*39.14,0)+IF(ISNUMBER(R74),R74*39.14,0)+IF(ISNUMBER(S74),S74*40.31,0))</f>
        <v/>
      </c>
      <c r="AU74" s="56">
        <f>IF(E74="","",IF(ISNUMBER(AS74),AS74,0)+IF(ISNUMBER(AT74),AT74,0))</f>
        <v/>
      </c>
      <c r="AV74" s="55">
        <f>IF(F74="","",MAX(F74-SUM(T74:X74),0)*23.5+IF(ISNUMBER(T74),T74*19.69,0)+IF(ISNUMBER(U74),U74*16.74,0)+IF(ISNUMBER(V74),V74*20.28,0)+IF(ISNUMBER(W74),W74*19.69,0)+IF(ISNUMBER(X74),X74*19.69,0))</f>
        <v/>
      </c>
      <c r="AW74" s="55">
        <f>IF(G74="","",MAX(G74-SUM(Y74:AG74),0)*14.5+IF(ISNUMBER(Y74),Y74*11.84,0)+IF(ISNUMBER(Z74),Z74*14.34,0)+IF(ISNUMBER(AA74),AA74*16.93,0)+IF(ISNUMBER(AB74),AB74*19.52,0)+IF(ISNUMBER(AC74),AC74*22.35,0)+IF(ISNUMBER(AD74),AD74*13.92,0)+IF(ISNUMBER(AE74),AE74*21.55,0)+IF(ISNUMBER(AF74),AF74*13.92,0)+IF(ISNUMBER(AG74),AG74*13.92,0))</f>
        <v/>
      </c>
      <c r="AX74" s="55">
        <f>IF(AND(H74="",I74=""),"",65.0+IF(ISNUMBER(AH74),AH74*30.23,0)+IF(ISNUMBER(AI74),AI74*30.23,0)+IF(ISNUMBER(AJ74),AJ74*28.0,0))</f>
        <v/>
      </c>
      <c r="AY74" s="55">
        <f>IF(E74="","",953.0)</f>
        <v/>
      </c>
      <c r="AZ74" s="57">
        <f>IF(E74="","",IF(ISNUMBER(AU74),AU74,0)+IF(ISNUMBER(AV74),AV74,0)+IF(ISNUMBER(AW74),AW74,0)+IF(ISNUMBER(AX74),AX74,0)+IF(ISNUMBER(AY74),AY74,0))</f>
        <v/>
      </c>
      <c r="BA74" s="58">
        <f>IF(OR(E74="",AZ74=""),"",AZ74-AR74)</f>
        <v/>
      </c>
      <c r="BB74" s="59">
        <f>IF(OR(E74="",AZ74=0),"",BA74/AZ74)</f>
        <v/>
      </c>
      <c r="BC74" s="60" t="n"/>
    </row>
    <row r="75" ht="16" customHeight="1">
      <c r="A75" s="45" t="inlineStr">
        <is>
          <t>5/11/2026</t>
        </is>
      </c>
      <c r="B75" s="46" t="inlineStr">
        <is>
          <t>SK0930</t>
        </is>
      </c>
      <c r="C75" s="46" t="inlineStr">
        <is>
          <t>3333</t>
        </is>
      </c>
      <c r="D75" s="46" t="inlineStr">
        <is>
          <t>C4</t>
        </is>
      </c>
      <c r="E75" s="47" t="n">
        <v>26</v>
      </c>
      <c r="F75" s="47" t="n">
        <v>28</v>
      </c>
      <c r="G75" s="47" t="n">
        <v>162</v>
      </c>
      <c r="H75" s="47" t="n">
        <v>7</v>
      </c>
      <c r="I75" s="47" t="n">
        <v>2</v>
      </c>
      <c r="J75" s="48" t="n"/>
      <c r="K75" s="48" t="n"/>
      <c r="L75" s="48" t="n"/>
      <c r="M75" s="48" t="n"/>
      <c r="N75" s="48" t="n"/>
      <c r="O75" s="48" t="n"/>
      <c r="P75" s="48" t="n"/>
      <c r="Q75" s="48" t="n"/>
      <c r="R75" s="48" t="n"/>
      <c r="S75" s="48" t="n"/>
      <c r="T75" s="49" t="n"/>
      <c r="U75" s="49" t="n"/>
      <c r="V75" s="49" t="n"/>
      <c r="W75" s="49" t="n"/>
      <c r="X75" s="49" t="n"/>
      <c r="Y75" s="47" t="n"/>
      <c r="Z75" s="47" t="n"/>
      <c r="AA75" s="47" t="n"/>
      <c r="AB75" s="47" t="n"/>
      <c r="AC75" s="47" t="n"/>
      <c r="AD75" s="47" t="n"/>
      <c r="AE75" s="47" t="n"/>
      <c r="AF75" s="47" t="n"/>
      <c r="AG75" s="47" t="n"/>
      <c r="AH75" s="50" t="n"/>
      <c r="AI75" s="50" t="n"/>
      <c r="AJ75" s="50" t="n"/>
      <c r="AK75" s="51" t="inlineStr"/>
      <c r="AL75" s="52" t="n"/>
      <c r="AM75" s="53">
        <f>IF(E75="","",E75*30.96)</f>
        <v/>
      </c>
      <c r="AN75" s="53">
        <f>IF(F75="","",F75*18.3)</f>
        <v/>
      </c>
      <c r="AO75" s="53">
        <f>IF(G75="","",G75*10.45)</f>
        <v/>
      </c>
      <c r="AP75" s="53">
        <f>IF(AND(H75="",I75=""),"",IF(ISNUMBER(H75),H75*18.43,0)+IF(ISNUMBER(I75),I75*20.28,0))</f>
        <v/>
      </c>
      <c r="AQ75" s="53">
        <f>IF(E75="","",667.1)</f>
        <v/>
      </c>
      <c r="AR75" s="54">
        <f>IF(E75="","",IF(ISNUMBER(AM75),AM75,0)+IF(ISNUMBER(AN75),AN75,0)+IF(ISNUMBER(AO75),AO75,0)+IF(ISNUMBER(AP75),AP75,0)+IF(ISNUMBER(AQ75),AQ75,0))</f>
        <v/>
      </c>
      <c r="AS75" s="55">
        <f>IF(E75="","",MAX(E75-SUM(J75:S75),0)*43.5)</f>
        <v/>
      </c>
      <c r="AT75" s="55">
        <f>IF(E75="","",IF(ISNUMBER(J75),J75*39.14,0)+IF(ISNUMBER(K75),K75*12.23,0)+IF(ISNUMBER(L75),L75*12.15,0)+IF(ISNUMBER(M75),M75*7.62,0)+IF(ISNUMBER(N75),N75*10.21,0)+IF(ISNUMBER(O75),O75*6.15,0)+IF(ISNUMBER(P75),P75*12.24,0)+IF(ISNUMBER(Q75),Q75*39.14,0)+IF(ISNUMBER(R75),R75*39.14,0)+IF(ISNUMBER(S75),S75*40.31,0))</f>
        <v/>
      </c>
      <c r="AU75" s="56">
        <f>IF(E75="","",IF(ISNUMBER(AS75),AS75,0)+IF(ISNUMBER(AT75),AT75,0))</f>
        <v/>
      </c>
      <c r="AV75" s="55">
        <f>IF(F75="","",MAX(F75-SUM(T75:X75),0)*23.5+IF(ISNUMBER(T75),T75*19.69,0)+IF(ISNUMBER(U75),U75*16.74,0)+IF(ISNUMBER(V75),V75*20.28,0)+IF(ISNUMBER(W75),W75*19.69,0)+IF(ISNUMBER(X75),X75*19.69,0))</f>
        <v/>
      </c>
      <c r="AW75" s="55">
        <f>IF(G75="","",MAX(G75-SUM(Y75:AG75),0)*14.5+IF(ISNUMBER(Y75),Y75*11.84,0)+IF(ISNUMBER(Z75),Z75*14.34,0)+IF(ISNUMBER(AA75),AA75*16.93,0)+IF(ISNUMBER(AB75),AB75*19.52,0)+IF(ISNUMBER(AC75),AC75*22.35,0)+IF(ISNUMBER(AD75),AD75*13.92,0)+IF(ISNUMBER(AE75),AE75*21.55,0)+IF(ISNUMBER(AF75),AF75*13.92,0)+IF(ISNUMBER(AG75),AG75*13.92,0))</f>
        <v/>
      </c>
      <c r="AX75" s="55">
        <f>IF(AND(H75="",I75=""),"",65.0+IF(ISNUMBER(AH75),AH75*30.23,0)+IF(ISNUMBER(AI75),AI75*30.23,0)+IF(ISNUMBER(AJ75),AJ75*28.0,0))</f>
        <v/>
      </c>
      <c r="AY75" s="55">
        <f>IF(E75="","",953.0)</f>
        <v/>
      </c>
      <c r="AZ75" s="57">
        <f>IF(E75="","",IF(ISNUMBER(AU75),AU75,0)+IF(ISNUMBER(AV75),AV75,0)+IF(ISNUMBER(AW75),AW75,0)+IF(ISNUMBER(AX75),AX75,0)+IF(ISNUMBER(AY75),AY75,0))</f>
        <v/>
      </c>
      <c r="BA75" s="58">
        <f>IF(OR(E75="",AZ75=""),"",AZ75-AR75)</f>
        <v/>
      </c>
      <c r="BB75" s="59">
        <f>IF(OR(E75="",AZ75=0),"",BA75/AZ75)</f>
        <v/>
      </c>
      <c r="BC75" s="60" t="n"/>
    </row>
    <row r="76" ht="16" customHeight="1">
      <c r="A76" s="45" t="inlineStr">
        <is>
          <t>5/12/2026</t>
        </is>
      </c>
      <c r="B76" s="46" t="inlineStr">
        <is>
          <t>SK0930</t>
        </is>
      </c>
      <c r="C76" s="46" t="inlineStr">
        <is>
          <t>3333</t>
        </is>
      </c>
      <c r="D76" s="46" t="inlineStr">
        <is>
          <t>C4</t>
        </is>
      </c>
      <c r="E76" s="47" t="n">
        <v>20</v>
      </c>
      <c r="F76" s="47" t="n">
        <v>34</v>
      </c>
      <c r="G76" s="47" t="n">
        <v>145</v>
      </c>
      <c r="H76" s="47" t="n">
        <v>7</v>
      </c>
      <c r="I76" s="47" t="n">
        <v>2</v>
      </c>
      <c r="J76" s="48" t="n"/>
      <c r="K76" s="48" t="n"/>
      <c r="L76" s="48" t="n"/>
      <c r="M76" s="48" t="n"/>
      <c r="N76" s="48" t="n"/>
      <c r="O76" s="48" t="n"/>
      <c r="P76" s="48" t="n"/>
      <c r="Q76" s="48" t="n"/>
      <c r="R76" s="48" t="n"/>
      <c r="S76" s="48" t="n"/>
      <c r="T76" s="49" t="n"/>
      <c r="U76" s="49" t="n"/>
      <c r="V76" s="49" t="n"/>
      <c r="W76" s="49" t="n"/>
      <c r="X76" s="49" t="n"/>
      <c r="Y76" s="47" t="n"/>
      <c r="Z76" s="47" t="n"/>
      <c r="AA76" s="47" t="n"/>
      <c r="AB76" s="47" t="n"/>
      <c r="AC76" s="47" t="n"/>
      <c r="AD76" s="47" t="n"/>
      <c r="AE76" s="47" t="n"/>
      <c r="AF76" s="47" t="n"/>
      <c r="AG76" s="47" t="n"/>
      <c r="AH76" s="50" t="n"/>
      <c r="AI76" s="50" t="n"/>
      <c r="AJ76" s="50" t="n"/>
      <c r="AK76" s="51" t="inlineStr"/>
      <c r="AL76" s="52" t="n"/>
      <c r="AM76" s="53">
        <f>IF(E76="","",E76*30.96)</f>
        <v/>
      </c>
      <c r="AN76" s="53">
        <f>IF(F76="","",F76*18.3)</f>
        <v/>
      </c>
      <c r="AO76" s="53">
        <f>IF(G76="","",G76*10.45)</f>
        <v/>
      </c>
      <c r="AP76" s="53">
        <f>IF(AND(H76="",I76=""),"",IF(ISNUMBER(H76),H76*18.43,0)+IF(ISNUMBER(I76),I76*20.28,0))</f>
        <v/>
      </c>
      <c r="AQ76" s="53">
        <f>IF(E76="","",667.1)</f>
        <v/>
      </c>
      <c r="AR76" s="54">
        <f>IF(E76="","",IF(ISNUMBER(AM76),AM76,0)+IF(ISNUMBER(AN76),AN76,0)+IF(ISNUMBER(AO76),AO76,0)+IF(ISNUMBER(AP76),AP76,0)+IF(ISNUMBER(AQ76),AQ76,0))</f>
        <v/>
      </c>
      <c r="AS76" s="55">
        <f>IF(E76="","",MAX(E76-SUM(J76:S76),0)*43.5)</f>
        <v/>
      </c>
      <c r="AT76" s="55">
        <f>IF(E76="","",IF(ISNUMBER(J76),J76*39.14,0)+IF(ISNUMBER(K76),K76*12.23,0)+IF(ISNUMBER(L76),L76*12.15,0)+IF(ISNUMBER(M76),M76*7.62,0)+IF(ISNUMBER(N76),N76*10.21,0)+IF(ISNUMBER(O76),O76*6.15,0)+IF(ISNUMBER(P76),P76*12.24,0)+IF(ISNUMBER(Q76),Q76*39.14,0)+IF(ISNUMBER(R76),R76*39.14,0)+IF(ISNUMBER(S76),S76*40.31,0))</f>
        <v/>
      </c>
      <c r="AU76" s="56">
        <f>IF(E76="","",IF(ISNUMBER(AS76),AS76,0)+IF(ISNUMBER(AT76),AT76,0))</f>
        <v/>
      </c>
      <c r="AV76" s="55">
        <f>IF(F76="","",MAX(F76-SUM(T76:X76),0)*23.5+IF(ISNUMBER(T76),T76*19.69,0)+IF(ISNUMBER(U76),U76*16.74,0)+IF(ISNUMBER(V76),V76*20.28,0)+IF(ISNUMBER(W76),W76*19.69,0)+IF(ISNUMBER(X76),X76*19.69,0))</f>
        <v/>
      </c>
      <c r="AW76" s="55">
        <f>IF(G76="","",MAX(G76-SUM(Y76:AG76),0)*14.5+IF(ISNUMBER(Y76),Y76*11.84,0)+IF(ISNUMBER(Z76),Z76*14.34,0)+IF(ISNUMBER(AA76),AA76*16.93,0)+IF(ISNUMBER(AB76),AB76*19.52,0)+IF(ISNUMBER(AC76),AC76*22.35,0)+IF(ISNUMBER(AD76),AD76*13.92,0)+IF(ISNUMBER(AE76),AE76*21.55,0)+IF(ISNUMBER(AF76),AF76*13.92,0)+IF(ISNUMBER(AG76),AG76*13.92,0))</f>
        <v/>
      </c>
      <c r="AX76" s="55">
        <f>IF(AND(H76="",I76=""),"",65.0+IF(ISNUMBER(AH76),AH76*30.23,0)+IF(ISNUMBER(AI76),AI76*30.23,0)+IF(ISNUMBER(AJ76),AJ76*28.0,0))</f>
        <v/>
      </c>
      <c r="AY76" s="55">
        <f>IF(E76="","",953.0)</f>
        <v/>
      </c>
      <c r="AZ76" s="57">
        <f>IF(E76="","",IF(ISNUMBER(AU76),AU76,0)+IF(ISNUMBER(AV76),AV76,0)+IF(ISNUMBER(AW76),AW76,0)+IF(ISNUMBER(AX76),AX76,0)+IF(ISNUMBER(AY76),AY76,0))</f>
        <v/>
      </c>
      <c r="BA76" s="58">
        <f>IF(OR(E76="",AZ76=""),"",AZ76-AR76)</f>
        <v/>
      </c>
      <c r="BB76" s="59">
        <f>IF(OR(E76="",AZ76=0),"",BA76/AZ76)</f>
        <v/>
      </c>
      <c r="BC76" s="60" t="n">
        <v>6195.27</v>
      </c>
    </row>
    <row r="77" ht="16" customHeight="1">
      <c r="A77" s="45" t="inlineStr">
        <is>
          <t>5/14/2026</t>
        </is>
      </c>
      <c r="B77" s="46" t="inlineStr">
        <is>
          <t>SK0930</t>
        </is>
      </c>
      <c r="C77" s="46" t="inlineStr">
        <is>
          <t>3333</t>
        </is>
      </c>
      <c r="D77" s="46" t="inlineStr">
        <is>
          <t>C4</t>
        </is>
      </c>
      <c r="E77" s="47" t="n">
        <v>23</v>
      </c>
      <c r="F77" s="47" t="n">
        <v>30</v>
      </c>
      <c r="G77" s="47" t="n">
        <v>157</v>
      </c>
      <c r="H77" s="47" t="n">
        <v>7</v>
      </c>
      <c r="I77" s="47" t="n">
        <v>2</v>
      </c>
      <c r="J77" s="48" t="n"/>
      <c r="K77" s="48" t="n"/>
      <c r="L77" s="48" t="n"/>
      <c r="M77" s="48" t="n"/>
      <c r="N77" s="48" t="n"/>
      <c r="O77" s="48" t="n"/>
      <c r="P77" s="48" t="n"/>
      <c r="Q77" s="48" t="n"/>
      <c r="R77" s="48" t="n"/>
      <c r="S77" s="48" t="n"/>
      <c r="T77" s="49" t="n"/>
      <c r="U77" s="49" t="n"/>
      <c r="V77" s="49" t="n"/>
      <c r="W77" s="49" t="n"/>
      <c r="X77" s="49" t="n"/>
      <c r="Y77" s="47" t="n"/>
      <c r="Z77" s="47" t="n"/>
      <c r="AA77" s="47" t="n"/>
      <c r="AB77" s="47" t="n"/>
      <c r="AC77" s="47" t="n"/>
      <c r="AD77" s="47" t="n"/>
      <c r="AE77" s="47" t="n"/>
      <c r="AF77" s="47" t="n"/>
      <c r="AG77" s="47" t="n"/>
      <c r="AH77" s="50" t="n"/>
      <c r="AI77" s="50" t="n"/>
      <c r="AJ77" s="50" t="n"/>
      <c r="AK77" s="51" t="inlineStr"/>
      <c r="AL77" s="52" t="n"/>
      <c r="AM77" s="53">
        <f>IF(E77="","",E77*30.96)</f>
        <v/>
      </c>
      <c r="AN77" s="53">
        <f>IF(F77="","",F77*18.3)</f>
        <v/>
      </c>
      <c r="AO77" s="53">
        <f>IF(G77="","",G77*10.45)</f>
        <v/>
      </c>
      <c r="AP77" s="53">
        <f>IF(AND(H77="",I77=""),"",IF(ISNUMBER(H77),H77*18.43,0)+IF(ISNUMBER(I77),I77*20.28,0))</f>
        <v/>
      </c>
      <c r="AQ77" s="53">
        <f>IF(E77="","",667.1)</f>
        <v/>
      </c>
      <c r="AR77" s="54">
        <f>IF(E77="","",IF(ISNUMBER(AM77),AM77,0)+IF(ISNUMBER(AN77),AN77,0)+IF(ISNUMBER(AO77),AO77,0)+IF(ISNUMBER(AP77),AP77,0)+IF(ISNUMBER(AQ77),AQ77,0))</f>
        <v/>
      </c>
      <c r="AS77" s="55">
        <f>IF(E77="","",MAX(E77-SUM(J77:S77),0)*43.5)</f>
        <v/>
      </c>
      <c r="AT77" s="55">
        <f>IF(E77="","",IF(ISNUMBER(J77),J77*39.14,0)+IF(ISNUMBER(K77),K77*12.23,0)+IF(ISNUMBER(L77),L77*12.15,0)+IF(ISNUMBER(M77),M77*7.62,0)+IF(ISNUMBER(N77),N77*10.21,0)+IF(ISNUMBER(O77),O77*6.15,0)+IF(ISNUMBER(P77),P77*12.24,0)+IF(ISNUMBER(Q77),Q77*39.14,0)+IF(ISNUMBER(R77),R77*39.14,0)+IF(ISNUMBER(S77),S77*40.31,0))</f>
        <v/>
      </c>
      <c r="AU77" s="56">
        <f>IF(E77="","",IF(ISNUMBER(AS77),AS77,0)+IF(ISNUMBER(AT77),AT77,0))</f>
        <v/>
      </c>
      <c r="AV77" s="55">
        <f>IF(F77="","",MAX(F77-SUM(T77:X77),0)*23.5+IF(ISNUMBER(T77),T77*19.69,0)+IF(ISNUMBER(U77),U77*16.74,0)+IF(ISNUMBER(V77),V77*20.28,0)+IF(ISNUMBER(W77),W77*19.69,0)+IF(ISNUMBER(X77),X77*19.69,0))</f>
        <v/>
      </c>
      <c r="AW77" s="55">
        <f>IF(G77="","",MAX(G77-SUM(Y77:AG77),0)*14.5+IF(ISNUMBER(Y77),Y77*11.84,0)+IF(ISNUMBER(Z77),Z77*14.34,0)+IF(ISNUMBER(AA77),AA77*16.93,0)+IF(ISNUMBER(AB77),AB77*19.52,0)+IF(ISNUMBER(AC77),AC77*22.35,0)+IF(ISNUMBER(AD77),AD77*13.92,0)+IF(ISNUMBER(AE77),AE77*21.55,0)+IF(ISNUMBER(AF77),AF77*13.92,0)+IF(ISNUMBER(AG77),AG77*13.92,0))</f>
        <v/>
      </c>
      <c r="AX77" s="55">
        <f>IF(AND(H77="",I77=""),"",65.0+IF(ISNUMBER(AH77),AH77*30.23,0)+IF(ISNUMBER(AI77),AI77*30.23,0)+IF(ISNUMBER(AJ77),AJ77*28.0,0))</f>
        <v/>
      </c>
      <c r="AY77" s="55">
        <f>IF(E77="","",953.0)</f>
        <v/>
      </c>
      <c r="AZ77" s="57">
        <f>IF(E77="","",IF(ISNUMBER(AU77),AU77,0)+IF(ISNUMBER(AV77),AV77,0)+IF(ISNUMBER(AW77),AW77,0)+IF(ISNUMBER(AX77),AX77,0)+IF(ISNUMBER(AY77),AY77,0))</f>
        <v/>
      </c>
      <c r="BA77" s="58">
        <f>IF(OR(E77="",AZ77=""),"",AZ77-AR77)</f>
        <v/>
      </c>
      <c r="BB77" s="59">
        <f>IF(OR(E77="",AZ77=0),"",BA77/AZ77)</f>
        <v/>
      </c>
      <c r="BC77" s="60" t="n">
        <v>6525.48</v>
      </c>
    </row>
    <row r="78" ht="16" customHeight="1">
      <c r="A78" s="45" t="inlineStr">
        <is>
          <t>5/15/2026</t>
        </is>
      </c>
      <c r="B78" s="46" t="inlineStr">
        <is>
          <t>SK0930</t>
        </is>
      </c>
      <c r="C78" s="46" t="inlineStr">
        <is>
          <t>3333</t>
        </is>
      </c>
      <c r="D78" s="46" t="inlineStr">
        <is>
          <t>C4</t>
        </is>
      </c>
      <c r="E78" s="47" t="n">
        <v>27</v>
      </c>
      <c r="F78" s="47" t="n">
        <v>31</v>
      </c>
      <c r="G78" s="47" t="n">
        <v>163</v>
      </c>
      <c r="H78" s="47" t="n">
        <v>7</v>
      </c>
      <c r="I78" s="47" t="n">
        <v>2</v>
      </c>
      <c r="J78" s="48" t="n"/>
      <c r="K78" s="48" t="n"/>
      <c r="L78" s="48" t="n"/>
      <c r="M78" s="48" t="n"/>
      <c r="N78" s="48" t="n"/>
      <c r="O78" s="48" t="n"/>
      <c r="P78" s="48" t="n"/>
      <c r="Q78" s="48" t="n"/>
      <c r="R78" s="48" t="n"/>
      <c r="S78" s="48" t="n"/>
      <c r="T78" s="49" t="n"/>
      <c r="U78" s="49" t="n"/>
      <c r="V78" s="49" t="n"/>
      <c r="W78" s="49" t="n"/>
      <c r="X78" s="49" t="n"/>
      <c r="Y78" s="47" t="n"/>
      <c r="Z78" s="47" t="n"/>
      <c r="AA78" s="47" t="n"/>
      <c r="AB78" s="47" t="n"/>
      <c r="AC78" s="47" t="n"/>
      <c r="AD78" s="47" t="n"/>
      <c r="AE78" s="47" t="n"/>
      <c r="AF78" s="47" t="n"/>
      <c r="AG78" s="47" t="n"/>
      <c r="AH78" s="50" t="n"/>
      <c r="AI78" s="50" t="n"/>
      <c r="AJ78" s="50" t="n"/>
      <c r="AK78" s="51" t="inlineStr"/>
      <c r="AL78" s="52" t="n"/>
      <c r="AM78" s="53">
        <f>IF(E78="","",E78*30.96)</f>
        <v/>
      </c>
      <c r="AN78" s="53">
        <f>IF(F78="","",F78*18.3)</f>
        <v/>
      </c>
      <c r="AO78" s="53">
        <f>IF(G78="","",G78*10.45)</f>
        <v/>
      </c>
      <c r="AP78" s="53">
        <f>IF(AND(H78="",I78=""),"",IF(ISNUMBER(H78),H78*18.43,0)+IF(ISNUMBER(I78),I78*20.28,0))</f>
        <v/>
      </c>
      <c r="AQ78" s="53">
        <f>IF(E78="","",667.1)</f>
        <v/>
      </c>
      <c r="AR78" s="54">
        <f>IF(E78="","",IF(ISNUMBER(AM78),AM78,0)+IF(ISNUMBER(AN78),AN78,0)+IF(ISNUMBER(AO78),AO78,0)+IF(ISNUMBER(AP78),AP78,0)+IF(ISNUMBER(AQ78),AQ78,0))</f>
        <v/>
      </c>
      <c r="AS78" s="55">
        <f>IF(E78="","",MAX(E78-SUM(J78:S78),0)*43.5)</f>
        <v/>
      </c>
      <c r="AT78" s="55">
        <f>IF(E78="","",IF(ISNUMBER(J78),J78*39.14,0)+IF(ISNUMBER(K78),K78*12.23,0)+IF(ISNUMBER(L78),L78*12.15,0)+IF(ISNUMBER(M78),M78*7.62,0)+IF(ISNUMBER(N78),N78*10.21,0)+IF(ISNUMBER(O78),O78*6.15,0)+IF(ISNUMBER(P78),P78*12.24,0)+IF(ISNUMBER(Q78),Q78*39.14,0)+IF(ISNUMBER(R78),R78*39.14,0)+IF(ISNUMBER(S78),S78*40.31,0))</f>
        <v/>
      </c>
      <c r="AU78" s="56">
        <f>IF(E78="","",IF(ISNUMBER(AS78),AS78,0)+IF(ISNUMBER(AT78),AT78,0))</f>
        <v/>
      </c>
      <c r="AV78" s="55">
        <f>IF(F78="","",MAX(F78-SUM(T78:X78),0)*23.5+IF(ISNUMBER(T78),T78*19.69,0)+IF(ISNUMBER(U78),U78*16.74,0)+IF(ISNUMBER(V78),V78*20.28,0)+IF(ISNUMBER(W78),W78*19.69,0)+IF(ISNUMBER(X78),X78*19.69,0))</f>
        <v/>
      </c>
      <c r="AW78" s="55">
        <f>IF(G78="","",MAX(G78-SUM(Y78:AG78),0)*14.5+IF(ISNUMBER(Y78),Y78*11.84,0)+IF(ISNUMBER(Z78),Z78*14.34,0)+IF(ISNUMBER(AA78),AA78*16.93,0)+IF(ISNUMBER(AB78),AB78*19.52,0)+IF(ISNUMBER(AC78),AC78*22.35,0)+IF(ISNUMBER(AD78),AD78*13.92,0)+IF(ISNUMBER(AE78),AE78*21.55,0)+IF(ISNUMBER(AF78),AF78*13.92,0)+IF(ISNUMBER(AG78),AG78*13.92,0))</f>
        <v/>
      </c>
      <c r="AX78" s="55">
        <f>IF(AND(H78="",I78=""),"",65.0+IF(ISNUMBER(AH78),AH78*30.23,0)+IF(ISNUMBER(AI78),AI78*30.23,0)+IF(ISNUMBER(AJ78),AJ78*28.0,0))</f>
        <v/>
      </c>
      <c r="AY78" s="55">
        <f>IF(E78="","",953.0)</f>
        <v/>
      </c>
      <c r="AZ78" s="57">
        <f>IF(E78="","",IF(ISNUMBER(AU78),AU78,0)+IF(ISNUMBER(AV78),AV78,0)+IF(ISNUMBER(AW78),AW78,0)+IF(ISNUMBER(AX78),AX78,0)+IF(ISNUMBER(AY78),AY78,0))</f>
        <v/>
      </c>
      <c r="BA78" s="58">
        <f>IF(OR(E78="",AZ78=""),"",AZ78-AR78)</f>
        <v/>
      </c>
      <c r="BB78" s="59">
        <f>IF(OR(E78="",AZ78=0),"",BA78/AZ78)</f>
        <v/>
      </c>
      <c r="BC78" s="60" t="n"/>
    </row>
    <row r="79" ht="16" customHeight="1">
      <c r="A79" s="45" t="inlineStr">
        <is>
          <t>5/18/2026</t>
        </is>
      </c>
      <c r="B79" s="46" t="inlineStr">
        <is>
          <t>SK0930</t>
        </is>
      </c>
      <c r="C79" s="46" t="inlineStr">
        <is>
          <t>3333</t>
        </is>
      </c>
      <c r="D79" s="46" t="inlineStr">
        <is>
          <t>C4</t>
        </is>
      </c>
      <c r="E79" s="47" t="n">
        <v>25</v>
      </c>
      <c r="F79" s="47" t="n">
        <v>29</v>
      </c>
      <c r="G79" s="47" t="n">
        <v>159</v>
      </c>
      <c r="H79" s="47" t="n">
        <v>7</v>
      </c>
      <c r="I79" s="47" t="n">
        <v>2</v>
      </c>
      <c r="J79" s="48" t="n"/>
      <c r="K79" s="48" t="n"/>
      <c r="L79" s="48" t="n"/>
      <c r="M79" s="48" t="n"/>
      <c r="N79" s="48" t="n"/>
      <c r="O79" s="48" t="n"/>
      <c r="P79" s="48" t="n"/>
      <c r="Q79" s="48" t="n"/>
      <c r="R79" s="48" t="n"/>
      <c r="S79" s="48" t="n"/>
      <c r="T79" s="49" t="n"/>
      <c r="U79" s="49" t="n"/>
      <c r="V79" s="49" t="n"/>
      <c r="W79" s="49" t="n"/>
      <c r="X79" s="49" t="n"/>
      <c r="Y79" s="47" t="n"/>
      <c r="Z79" s="47" t="n"/>
      <c r="AA79" s="47" t="n"/>
      <c r="AB79" s="47" t="n"/>
      <c r="AC79" s="47" t="n"/>
      <c r="AD79" s="47" t="n"/>
      <c r="AE79" s="47" t="n"/>
      <c r="AF79" s="47" t="n"/>
      <c r="AG79" s="47" t="n"/>
      <c r="AH79" s="50" t="n"/>
      <c r="AI79" s="50" t="n"/>
      <c r="AJ79" s="50" t="n"/>
      <c r="AK79" s="51" t="inlineStr"/>
      <c r="AL79" s="52" t="n"/>
      <c r="AM79" s="53">
        <f>IF(E79="","",E79*30.96)</f>
        <v/>
      </c>
      <c r="AN79" s="53">
        <f>IF(F79="","",F79*18.3)</f>
        <v/>
      </c>
      <c r="AO79" s="53">
        <f>IF(G79="","",G79*10.45)</f>
        <v/>
      </c>
      <c r="AP79" s="53">
        <f>IF(AND(H79="",I79=""),"",IF(ISNUMBER(H79),H79*18.43,0)+IF(ISNUMBER(I79),I79*20.28,0))</f>
        <v/>
      </c>
      <c r="AQ79" s="53">
        <f>IF(E79="","",667.1)</f>
        <v/>
      </c>
      <c r="AR79" s="54">
        <f>IF(E79="","",IF(ISNUMBER(AM79),AM79,0)+IF(ISNUMBER(AN79),AN79,0)+IF(ISNUMBER(AO79),AO79,0)+IF(ISNUMBER(AP79),AP79,0)+IF(ISNUMBER(AQ79),AQ79,0))</f>
        <v/>
      </c>
      <c r="AS79" s="55">
        <f>IF(E79="","",MAX(E79-SUM(J79:S79),0)*43.5)</f>
        <v/>
      </c>
      <c r="AT79" s="55">
        <f>IF(E79="","",IF(ISNUMBER(J79),J79*39.14,0)+IF(ISNUMBER(K79),K79*12.23,0)+IF(ISNUMBER(L79),L79*12.15,0)+IF(ISNUMBER(M79),M79*7.62,0)+IF(ISNUMBER(N79),N79*10.21,0)+IF(ISNUMBER(O79),O79*6.15,0)+IF(ISNUMBER(P79),P79*12.24,0)+IF(ISNUMBER(Q79),Q79*39.14,0)+IF(ISNUMBER(R79),R79*39.14,0)+IF(ISNUMBER(S79),S79*40.31,0))</f>
        <v/>
      </c>
      <c r="AU79" s="56">
        <f>IF(E79="","",IF(ISNUMBER(AS79),AS79,0)+IF(ISNUMBER(AT79),AT79,0))</f>
        <v/>
      </c>
      <c r="AV79" s="55">
        <f>IF(F79="","",MAX(F79-SUM(T79:X79),0)*23.5+IF(ISNUMBER(T79),T79*19.69,0)+IF(ISNUMBER(U79),U79*16.74,0)+IF(ISNUMBER(V79),V79*20.28,0)+IF(ISNUMBER(W79),W79*19.69,0)+IF(ISNUMBER(X79),X79*19.69,0))</f>
        <v/>
      </c>
      <c r="AW79" s="55">
        <f>IF(G79="","",MAX(G79-SUM(Y79:AG79),0)*14.5+IF(ISNUMBER(Y79),Y79*11.84,0)+IF(ISNUMBER(Z79),Z79*14.34,0)+IF(ISNUMBER(AA79),AA79*16.93,0)+IF(ISNUMBER(AB79),AB79*19.52,0)+IF(ISNUMBER(AC79),AC79*22.35,0)+IF(ISNUMBER(AD79),AD79*13.92,0)+IF(ISNUMBER(AE79),AE79*21.55,0)+IF(ISNUMBER(AF79),AF79*13.92,0)+IF(ISNUMBER(AG79),AG79*13.92,0))</f>
        <v/>
      </c>
      <c r="AX79" s="55">
        <f>IF(AND(H79="",I79=""),"",65.0+IF(ISNUMBER(AH79),AH79*30.23,0)+IF(ISNUMBER(AI79),AI79*30.23,0)+IF(ISNUMBER(AJ79),AJ79*28.0,0))</f>
        <v/>
      </c>
      <c r="AY79" s="55">
        <f>IF(E79="","",953.0)</f>
        <v/>
      </c>
      <c r="AZ79" s="57">
        <f>IF(E79="","",IF(ISNUMBER(AU79),AU79,0)+IF(ISNUMBER(AV79),AV79,0)+IF(ISNUMBER(AW79),AW79,0)+IF(ISNUMBER(AX79),AX79,0)+IF(ISNUMBER(AY79),AY79,0))</f>
        <v/>
      </c>
      <c r="BA79" s="58">
        <f>IF(OR(E79="",AZ79=""),"",AZ79-AR79)</f>
        <v/>
      </c>
      <c r="BB79" s="59">
        <f>IF(OR(E79="",AZ79=0),"",BA79/AZ79)</f>
        <v/>
      </c>
      <c r="BC79" s="60" t="n">
        <v>6388.81</v>
      </c>
    </row>
    <row r="80" ht="16" customHeight="1">
      <c r="A80" s="45" t="inlineStr">
        <is>
          <t>5/19/2026</t>
        </is>
      </c>
      <c r="B80" s="46" t="inlineStr">
        <is>
          <t>SK0930</t>
        </is>
      </c>
      <c r="C80" s="46" t="inlineStr">
        <is>
          <t>3333</t>
        </is>
      </c>
      <c r="D80" s="46" t="inlineStr">
        <is>
          <t>C4</t>
        </is>
      </c>
      <c r="E80" s="47" t="n">
        <v>22</v>
      </c>
      <c r="F80" s="47" t="n">
        <v>32</v>
      </c>
      <c r="G80" s="47" t="n">
        <v>151</v>
      </c>
      <c r="H80" s="47" t="n">
        <v>7</v>
      </c>
      <c r="I80" s="47" t="n">
        <v>2</v>
      </c>
      <c r="J80" s="48" t="n"/>
      <c r="K80" s="48" t="n"/>
      <c r="L80" s="48" t="n"/>
      <c r="M80" s="48" t="n"/>
      <c r="N80" s="48" t="n"/>
      <c r="O80" s="48" t="n"/>
      <c r="P80" s="48" t="n"/>
      <c r="Q80" s="48" t="n"/>
      <c r="R80" s="48" t="n"/>
      <c r="S80" s="48" t="n"/>
      <c r="T80" s="49" t="n"/>
      <c r="U80" s="49" t="n"/>
      <c r="V80" s="49" t="n"/>
      <c r="W80" s="49" t="n"/>
      <c r="X80" s="49" t="n"/>
      <c r="Y80" s="47" t="n"/>
      <c r="Z80" s="47" t="n"/>
      <c r="AA80" s="47" t="n"/>
      <c r="AB80" s="47" t="n"/>
      <c r="AC80" s="47" t="n"/>
      <c r="AD80" s="47" t="n"/>
      <c r="AE80" s="47" t="n"/>
      <c r="AF80" s="47" t="n"/>
      <c r="AG80" s="47" t="n"/>
      <c r="AH80" s="50" t="n"/>
      <c r="AI80" s="50" t="n"/>
      <c r="AJ80" s="50" t="n"/>
      <c r="AK80" s="51" t="inlineStr"/>
      <c r="AL80" s="52" t="n"/>
      <c r="AM80" s="53">
        <f>IF(E80="","",E80*30.96)</f>
        <v/>
      </c>
      <c r="AN80" s="53">
        <f>IF(F80="","",F80*18.3)</f>
        <v/>
      </c>
      <c r="AO80" s="53">
        <f>IF(G80="","",G80*10.45)</f>
        <v/>
      </c>
      <c r="AP80" s="53">
        <f>IF(AND(H80="",I80=""),"",IF(ISNUMBER(H80),H80*18.43,0)+IF(ISNUMBER(I80),I80*20.28,0))</f>
        <v/>
      </c>
      <c r="AQ80" s="53">
        <f>IF(E80="","",667.1)</f>
        <v/>
      </c>
      <c r="AR80" s="54">
        <f>IF(E80="","",IF(ISNUMBER(AM80),AM80,0)+IF(ISNUMBER(AN80),AN80,0)+IF(ISNUMBER(AO80),AO80,0)+IF(ISNUMBER(AP80),AP80,0)+IF(ISNUMBER(AQ80),AQ80,0))</f>
        <v/>
      </c>
      <c r="AS80" s="55">
        <f>IF(E80="","",MAX(E80-SUM(J80:S80),0)*43.5)</f>
        <v/>
      </c>
      <c r="AT80" s="55">
        <f>IF(E80="","",IF(ISNUMBER(J80),J80*39.14,0)+IF(ISNUMBER(K80),K80*12.23,0)+IF(ISNUMBER(L80),L80*12.15,0)+IF(ISNUMBER(M80),M80*7.62,0)+IF(ISNUMBER(N80),N80*10.21,0)+IF(ISNUMBER(O80),O80*6.15,0)+IF(ISNUMBER(P80),P80*12.24,0)+IF(ISNUMBER(Q80),Q80*39.14,0)+IF(ISNUMBER(R80),R80*39.14,0)+IF(ISNUMBER(S80),S80*40.31,0))</f>
        <v/>
      </c>
      <c r="AU80" s="56">
        <f>IF(E80="","",IF(ISNUMBER(AS80),AS80,0)+IF(ISNUMBER(AT80),AT80,0))</f>
        <v/>
      </c>
      <c r="AV80" s="55">
        <f>IF(F80="","",MAX(F80-SUM(T80:X80),0)*23.5+IF(ISNUMBER(T80),T80*19.69,0)+IF(ISNUMBER(U80),U80*16.74,0)+IF(ISNUMBER(V80),V80*20.28,0)+IF(ISNUMBER(W80),W80*19.69,0)+IF(ISNUMBER(X80),X80*19.69,0))</f>
        <v/>
      </c>
      <c r="AW80" s="55">
        <f>IF(G80="","",MAX(G80-SUM(Y80:AG80),0)*14.5+IF(ISNUMBER(Y80),Y80*11.84,0)+IF(ISNUMBER(Z80),Z80*14.34,0)+IF(ISNUMBER(AA80),AA80*16.93,0)+IF(ISNUMBER(AB80),AB80*19.52,0)+IF(ISNUMBER(AC80),AC80*22.35,0)+IF(ISNUMBER(AD80),AD80*13.92,0)+IF(ISNUMBER(AE80),AE80*21.55,0)+IF(ISNUMBER(AF80),AF80*13.92,0)+IF(ISNUMBER(AG80),AG80*13.92,0))</f>
        <v/>
      </c>
      <c r="AX80" s="55">
        <f>IF(AND(H80="",I80=""),"",65.0+IF(ISNUMBER(AH80),AH80*30.23,0)+IF(ISNUMBER(AI80),AI80*30.23,0)+IF(ISNUMBER(AJ80),AJ80*28.0,0))</f>
        <v/>
      </c>
      <c r="AY80" s="55">
        <f>IF(E80="","",953.0)</f>
        <v/>
      </c>
      <c r="AZ80" s="57">
        <f>IF(E80="","",IF(ISNUMBER(AU80),AU80,0)+IF(ISNUMBER(AV80),AV80,0)+IF(ISNUMBER(AW80),AW80,0)+IF(ISNUMBER(AX80),AX80,0)+IF(ISNUMBER(AY80),AY80,0))</f>
        <v/>
      </c>
      <c r="BA80" s="58">
        <f>IF(OR(E80="",AZ80=""),"",AZ80-AR80)</f>
        <v/>
      </c>
      <c r="BB80" s="59">
        <f>IF(OR(E80="",AZ80=0),"",BA80/AZ80)</f>
        <v/>
      </c>
      <c r="BC80" s="60" t="n"/>
    </row>
    <row r="81" ht="16" customHeight="1">
      <c r="A81" s="45" t="inlineStr">
        <is>
          <t>5/21/2026</t>
        </is>
      </c>
      <c r="B81" s="46" t="inlineStr">
        <is>
          <t>SK0930</t>
        </is>
      </c>
      <c r="C81" s="46" t="inlineStr">
        <is>
          <t>3333</t>
        </is>
      </c>
      <c r="D81" s="46" t="inlineStr">
        <is>
          <t>C4</t>
        </is>
      </c>
      <c r="E81" s="47" t="n">
        <v>24</v>
      </c>
      <c r="F81" s="47" t="n">
        <v>30</v>
      </c>
      <c r="G81" s="47" t="n">
        <v>156</v>
      </c>
      <c r="H81" s="47" t="n">
        <v>7</v>
      </c>
      <c r="I81" s="47" t="n">
        <v>2</v>
      </c>
      <c r="J81" s="48" t="n"/>
      <c r="K81" s="48" t="n"/>
      <c r="L81" s="48" t="n"/>
      <c r="M81" s="48" t="n"/>
      <c r="N81" s="48" t="n"/>
      <c r="O81" s="48" t="n"/>
      <c r="P81" s="48" t="n"/>
      <c r="Q81" s="48" t="n"/>
      <c r="R81" s="48" t="n"/>
      <c r="S81" s="48" t="n"/>
      <c r="T81" s="49" t="n"/>
      <c r="U81" s="49" t="n"/>
      <c r="V81" s="49" t="n"/>
      <c r="W81" s="49" t="n"/>
      <c r="X81" s="49" t="n"/>
      <c r="Y81" s="47" t="n"/>
      <c r="Z81" s="47" t="n"/>
      <c r="AA81" s="47" t="n"/>
      <c r="AB81" s="47" t="n"/>
      <c r="AC81" s="47" t="n"/>
      <c r="AD81" s="47" t="n"/>
      <c r="AE81" s="47" t="n"/>
      <c r="AF81" s="47" t="n"/>
      <c r="AG81" s="47" t="n"/>
      <c r="AH81" s="50" t="n"/>
      <c r="AI81" s="50" t="n"/>
      <c r="AJ81" s="50" t="n"/>
      <c r="AK81" s="51" t="inlineStr"/>
      <c r="AL81" s="52" t="n"/>
      <c r="AM81" s="53">
        <f>IF(E81="","",E81*30.96)</f>
        <v/>
      </c>
      <c r="AN81" s="53">
        <f>IF(F81="","",F81*18.3)</f>
        <v/>
      </c>
      <c r="AO81" s="53">
        <f>IF(G81="","",G81*10.45)</f>
        <v/>
      </c>
      <c r="AP81" s="53">
        <f>IF(AND(H81="",I81=""),"",IF(ISNUMBER(H81),H81*18.43,0)+IF(ISNUMBER(I81),I81*20.28,0))</f>
        <v/>
      </c>
      <c r="AQ81" s="53">
        <f>IF(E81="","",667.1)</f>
        <v/>
      </c>
      <c r="AR81" s="54">
        <f>IF(E81="","",IF(ISNUMBER(AM81),AM81,0)+IF(ISNUMBER(AN81),AN81,0)+IF(ISNUMBER(AO81),AO81,0)+IF(ISNUMBER(AP81),AP81,0)+IF(ISNUMBER(AQ81),AQ81,0))</f>
        <v/>
      </c>
      <c r="AS81" s="55">
        <f>IF(E81="","",MAX(E81-SUM(J81:S81),0)*43.5)</f>
        <v/>
      </c>
      <c r="AT81" s="55">
        <f>IF(E81="","",IF(ISNUMBER(J81),J81*39.14,0)+IF(ISNUMBER(K81),K81*12.23,0)+IF(ISNUMBER(L81),L81*12.15,0)+IF(ISNUMBER(M81),M81*7.62,0)+IF(ISNUMBER(N81),N81*10.21,0)+IF(ISNUMBER(O81),O81*6.15,0)+IF(ISNUMBER(P81),P81*12.24,0)+IF(ISNUMBER(Q81),Q81*39.14,0)+IF(ISNUMBER(R81),R81*39.14,0)+IF(ISNUMBER(S81),S81*40.31,0))</f>
        <v/>
      </c>
      <c r="AU81" s="56">
        <f>IF(E81="","",IF(ISNUMBER(AS81),AS81,0)+IF(ISNUMBER(AT81),AT81,0))</f>
        <v/>
      </c>
      <c r="AV81" s="55">
        <f>IF(F81="","",MAX(F81-SUM(T81:X81),0)*23.5+IF(ISNUMBER(T81),T81*19.69,0)+IF(ISNUMBER(U81),U81*16.74,0)+IF(ISNUMBER(V81),V81*20.28,0)+IF(ISNUMBER(W81),W81*19.69,0)+IF(ISNUMBER(X81),X81*19.69,0))</f>
        <v/>
      </c>
      <c r="AW81" s="55">
        <f>IF(G81="","",MAX(G81-SUM(Y81:AG81),0)*14.5+IF(ISNUMBER(Y81),Y81*11.84,0)+IF(ISNUMBER(Z81),Z81*14.34,0)+IF(ISNUMBER(AA81),AA81*16.93,0)+IF(ISNUMBER(AB81),AB81*19.52,0)+IF(ISNUMBER(AC81),AC81*22.35,0)+IF(ISNUMBER(AD81),AD81*13.92,0)+IF(ISNUMBER(AE81),AE81*21.55,0)+IF(ISNUMBER(AF81),AF81*13.92,0)+IF(ISNUMBER(AG81),AG81*13.92,0))</f>
        <v/>
      </c>
      <c r="AX81" s="55">
        <f>IF(AND(H81="",I81=""),"",65.0+IF(ISNUMBER(AH81),AH81*30.23,0)+IF(ISNUMBER(AI81),AI81*30.23,0)+IF(ISNUMBER(AJ81),AJ81*28.0,0))</f>
        <v/>
      </c>
      <c r="AY81" s="55">
        <f>IF(E81="","",953.0)</f>
        <v/>
      </c>
      <c r="AZ81" s="57">
        <f>IF(E81="","",IF(ISNUMBER(AU81),AU81,0)+IF(ISNUMBER(AV81),AV81,0)+IF(ISNUMBER(AW81),AW81,0)+IF(ISNUMBER(AX81),AX81,0)+IF(ISNUMBER(AY81),AY81,0))</f>
        <v/>
      </c>
      <c r="BA81" s="58">
        <f>IF(OR(E81="",AZ81=""),"",AZ81-AR81)</f>
        <v/>
      </c>
      <c r="BB81" s="59">
        <f>IF(OR(E81="",AZ81=0),"",BA81/AZ81)</f>
        <v/>
      </c>
      <c r="BC81" s="60" t="n">
        <v>6360.1</v>
      </c>
    </row>
    <row r="82" ht="16" customHeight="1">
      <c r="A82" s="45" t="inlineStr">
        <is>
          <t>5/22/2026</t>
        </is>
      </c>
      <c r="B82" s="46" t="inlineStr">
        <is>
          <t>SK0930</t>
        </is>
      </c>
      <c r="C82" s="46" t="inlineStr">
        <is>
          <t>3333</t>
        </is>
      </c>
      <c r="D82" s="46" t="inlineStr">
        <is>
          <t>C4</t>
        </is>
      </c>
      <c r="E82" s="47" t="n">
        <v>26</v>
      </c>
      <c r="F82" s="47" t="n">
        <v>28</v>
      </c>
      <c r="G82" s="47" t="n">
        <v>161</v>
      </c>
      <c r="H82" s="47" t="n">
        <v>7</v>
      </c>
      <c r="I82" s="47" t="n">
        <v>2</v>
      </c>
      <c r="J82" s="48" t="n"/>
      <c r="K82" s="48" t="n"/>
      <c r="L82" s="48" t="n"/>
      <c r="M82" s="48" t="n"/>
      <c r="N82" s="48" t="n"/>
      <c r="O82" s="48" t="n"/>
      <c r="P82" s="48" t="n"/>
      <c r="Q82" s="48" t="n"/>
      <c r="R82" s="48" t="n"/>
      <c r="S82" s="48" t="n"/>
      <c r="T82" s="49" t="n"/>
      <c r="U82" s="49" t="n"/>
      <c r="V82" s="49" t="n"/>
      <c r="W82" s="49" t="n"/>
      <c r="X82" s="49" t="n"/>
      <c r="Y82" s="47" t="n"/>
      <c r="Z82" s="47" t="n"/>
      <c r="AA82" s="47" t="n"/>
      <c r="AB82" s="47" t="n"/>
      <c r="AC82" s="47" t="n"/>
      <c r="AD82" s="47" t="n"/>
      <c r="AE82" s="47" t="n"/>
      <c r="AF82" s="47" t="n"/>
      <c r="AG82" s="47" t="n"/>
      <c r="AH82" s="50" t="n"/>
      <c r="AI82" s="50" t="n"/>
      <c r="AJ82" s="50" t="n"/>
      <c r="AK82" s="51" t="inlineStr"/>
      <c r="AL82" s="52" t="n"/>
      <c r="AM82" s="53">
        <f>IF(E82="","",E82*30.96)</f>
        <v/>
      </c>
      <c r="AN82" s="53">
        <f>IF(F82="","",F82*18.3)</f>
        <v/>
      </c>
      <c r="AO82" s="53">
        <f>IF(G82="","",G82*10.45)</f>
        <v/>
      </c>
      <c r="AP82" s="53">
        <f>IF(AND(H82="",I82=""),"",IF(ISNUMBER(H82),H82*18.43,0)+IF(ISNUMBER(I82),I82*20.28,0))</f>
        <v/>
      </c>
      <c r="AQ82" s="53">
        <f>IF(E82="","",667.1)</f>
        <v/>
      </c>
      <c r="AR82" s="54">
        <f>IF(E82="","",IF(ISNUMBER(AM82),AM82,0)+IF(ISNUMBER(AN82),AN82,0)+IF(ISNUMBER(AO82),AO82,0)+IF(ISNUMBER(AP82),AP82,0)+IF(ISNUMBER(AQ82),AQ82,0))</f>
        <v/>
      </c>
      <c r="AS82" s="55">
        <f>IF(E82="","",MAX(E82-SUM(J82:S82),0)*43.5)</f>
        <v/>
      </c>
      <c r="AT82" s="55">
        <f>IF(E82="","",IF(ISNUMBER(J82),J82*39.14,0)+IF(ISNUMBER(K82),K82*12.23,0)+IF(ISNUMBER(L82),L82*12.15,0)+IF(ISNUMBER(M82),M82*7.62,0)+IF(ISNUMBER(N82),N82*10.21,0)+IF(ISNUMBER(O82),O82*6.15,0)+IF(ISNUMBER(P82),P82*12.24,0)+IF(ISNUMBER(Q82),Q82*39.14,0)+IF(ISNUMBER(R82),R82*39.14,0)+IF(ISNUMBER(S82),S82*40.31,0))</f>
        <v/>
      </c>
      <c r="AU82" s="56">
        <f>IF(E82="","",IF(ISNUMBER(AS82),AS82,0)+IF(ISNUMBER(AT82),AT82,0))</f>
        <v/>
      </c>
      <c r="AV82" s="55">
        <f>IF(F82="","",MAX(F82-SUM(T82:X82),0)*23.5+IF(ISNUMBER(T82),T82*19.69,0)+IF(ISNUMBER(U82),U82*16.74,0)+IF(ISNUMBER(V82),V82*20.28,0)+IF(ISNUMBER(W82),W82*19.69,0)+IF(ISNUMBER(X82),X82*19.69,0))</f>
        <v/>
      </c>
      <c r="AW82" s="55">
        <f>IF(G82="","",MAX(G82-SUM(Y82:AG82),0)*14.5+IF(ISNUMBER(Y82),Y82*11.84,0)+IF(ISNUMBER(Z82),Z82*14.34,0)+IF(ISNUMBER(AA82),AA82*16.93,0)+IF(ISNUMBER(AB82),AB82*19.52,0)+IF(ISNUMBER(AC82),AC82*22.35,0)+IF(ISNUMBER(AD82),AD82*13.92,0)+IF(ISNUMBER(AE82),AE82*21.55,0)+IF(ISNUMBER(AF82),AF82*13.92,0)+IF(ISNUMBER(AG82),AG82*13.92,0))</f>
        <v/>
      </c>
      <c r="AX82" s="55">
        <f>IF(AND(H82="",I82=""),"",65.0+IF(ISNUMBER(AH82),AH82*30.23,0)+IF(ISNUMBER(AI82),AI82*30.23,0)+IF(ISNUMBER(AJ82),AJ82*28.0,0))</f>
        <v/>
      </c>
      <c r="AY82" s="55">
        <f>IF(E82="","",953.0)</f>
        <v/>
      </c>
      <c r="AZ82" s="57">
        <f>IF(E82="","",IF(ISNUMBER(AU82),AU82,0)+IF(ISNUMBER(AV82),AV82,0)+IF(ISNUMBER(AW82),AW82,0)+IF(ISNUMBER(AX82),AX82,0)+IF(ISNUMBER(AY82),AY82,0))</f>
        <v/>
      </c>
      <c r="BA82" s="58">
        <f>IF(OR(E82="",AZ82=""),"",AZ82-AR82)</f>
        <v/>
      </c>
      <c r="BB82" s="59">
        <f>IF(OR(E82="",AZ82=0),"",BA82/AZ82)</f>
        <v/>
      </c>
      <c r="BC82" s="60" t="n">
        <v>6400.46</v>
      </c>
    </row>
    <row r="83" ht="16" customHeight="1">
      <c r="A83" s="45" t="inlineStr">
        <is>
          <t>5/25/2026</t>
        </is>
      </c>
      <c r="B83" s="46" t="inlineStr">
        <is>
          <t>SK0930</t>
        </is>
      </c>
      <c r="C83" s="46" t="inlineStr">
        <is>
          <t>3333</t>
        </is>
      </c>
      <c r="D83" s="46" t="inlineStr">
        <is>
          <t>C4</t>
        </is>
      </c>
      <c r="E83" s="47" t="n">
        <v>23</v>
      </c>
      <c r="F83" s="47" t="n">
        <v>31</v>
      </c>
      <c r="G83" s="47" t="n">
        <v>154</v>
      </c>
      <c r="H83" s="47" t="n">
        <v>7</v>
      </c>
      <c r="I83" s="47" t="n">
        <v>2</v>
      </c>
      <c r="J83" s="48" t="n"/>
      <c r="K83" s="48" t="n"/>
      <c r="L83" s="48" t="n"/>
      <c r="M83" s="48" t="n"/>
      <c r="N83" s="48" t="n"/>
      <c r="O83" s="48" t="n"/>
      <c r="P83" s="48" t="n"/>
      <c r="Q83" s="48" t="n"/>
      <c r="R83" s="48" t="n"/>
      <c r="S83" s="48" t="n"/>
      <c r="T83" s="49" t="n"/>
      <c r="U83" s="49" t="n"/>
      <c r="V83" s="49" t="n"/>
      <c r="W83" s="49" t="n"/>
      <c r="X83" s="49" t="n"/>
      <c r="Y83" s="47" t="n"/>
      <c r="Z83" s="47" t="n"/>
      <c r="AA83" s="47" t="n"/>
      <c r="AB83" s="47" t="n"/>
      <c r="AC83" s="47" t="n"/>
      <c r="AD83" s="47" t="n"/>
      <c r="AE83" s="47" t="n"/>
      <c r="AF83" s="47" t="n"/>
      <c r="AG83" s="47" t="n"/>
      <c r="AH83" s="50" t="n"/>
      <c r="AI83" s="50" t="n"/>
      <c r="AJ83" s="50" t="n"/>
      <c r="AK83" s="51" t="inlineStr"/>
      <c r="AL83" s="52" t="n"/>
      <c r="AM83" s="53">
        <f>IF(E83="","",E83*30.96)</f>
        <v/>
      </c>
      <c r="AN83" s="53">
        <f>IF(F83="","",F83*18.3)</f>
        <v/>
      </c>
      <c r="AO83" s="53">
        <f>IF(G83="","",G83*10.45)</f>
        <v/>
      </c>
      <c r="AP83" s="53">
        <f>IF(AND(H83="",I83=""),"",IF(ISNUMBER(H83),H83*18.43,0)+IF(ISNUMBER(I83),I83*20.28,0))</f>
        <v/>
      </c>
      <c r="AQ83" s="53">
        <f>IF(E83="","",667.1)</f>
        <v/>
      </c>
      <c r="AR83" s="54">
        <f>IF(E83="","",IF(ISNUMBER(AM83),AM83,0)+IF(ISNUMBER(AN83),AN83,0)+IF(ISNUMBER(AO83),AO83,0)+IF(ISNUMBER(AP83),AP83,0)+IF(ISNUMBER(AQ83),AQ83,0))</f>
        <v/>
      </c>
      <c r="AS83" s="55">
        <f>IF(E83="","",MAX(E83-SUM(J83:S83),0)*43.5)</f>
        <v/>
      </c>
      <c r="AT83" s="55">
        <f>IF(E83="","",IF(ISNUMBER(J83),J83*39.14,0)+IF(ISNUMBER(K83),K83*12.23,0)+IF(ISNUMBER(L83),L83*12.15,0)+IF(ISNUMBER(M83),M83*7.62,0)+IF(ISNUMBER(N83),N83*10.21,0)+IF(ISNUMBER(O83),O83*6.15,0)+IF(ISNUMBER(P83),P83*12.24,0)+IF(ISNUMBER(Q83),Q83*39.14,0)+IF(ISNUMBER(R83),R83*39.14,0)+IF(ISNUMBER(S83),S83*40.31,0))</f>
        <v/>
      </c>
      <c r="AU83" s="56">
        <f>IF(E83="","",IF(ISNUMBER(AS83),AS83,0)+IF(ISNUMBER(AT83),AT83,0))</f>
        <v/>
      </c>
      <c r="AV83" s="55">
        <f>IF(F83="","",MAX(F83-SUM(T83:X83),0)*23.5+IF(ISNUMBER(T83),T83*19.69,0)+IF(ISNUMBER(U83),U83*16.74,0)+IF(ISNUMBER(V83),V83*20.28,0)+IF(ISNUMBER(W83),W83*19.69,0)+IF(ISNUMBER(X83),X83*19.69,0))</f>
        <v/>
      </c>
      <c r="AW83" s="55">
        <f>IF(G83="","",MAX(G83-SUM(Y83:AG83),0)*14.5+IF(ISNUMBER(Y83),Y83*11.84,0)+IF(ISNUMBER(Z83),Z83*14.34,0)+IF(ISNUMBER(AA83),AA83*16.93,0)+IF(ISNUMBER(AB83),AB83*19.52,0)+IF(ISNUMBER(AC83),AC83*22.35,0)+IF(ISNUMBER(AD83),AD83*13.92,0)+IF(ISNUMBER(AE83),AE83*21.55,0)+IF(ISNUMBER(AF83),AF83*13.92,0)+IF(ISNUMBER(AG83),AG83*13.92,0))</f>
        <v/>
      </c>
      <c r="AX83" s="55">
        <f>IF(AND(H83="",I83=""),"",65.0+IF(ISNUMBER(AH83),AH83*30.23,0)+IF(ISNUMBER(AI83),AI83*30.23,0)+IF(ISNUMBER(AJ83),AJ83*28.0,0))</f>
        <v/>
      </c>
      <c r="AY83" s="55">
        <f>IF(E83="","",953.0)</f>
        <v/>
      </c>
      <c r="AZ83" s="57">
        <f>IF(E83="","",IF(ISNUMBER(AU83),AU83,0)+IF(ISNUMBER(AV83),AV83,0)+IF(ISNUMBER(AW83),AW83,0)+IF(ISNUMBER(AX83),AX83,0)+IF(ISNUMBER(AY83),AY83,0))</f>
        <v/>
      </c>
      <c r="BA83" s="58">
        <f>IF(OR(E83="",AZ83=""),"",AZ83-AR83)</f>
        <v/>
      </c>
      <c r="BB83" s="59">
        <f>IF(OR(E83="",AZ83=0),"",BA83/AZ83)</f>
        <v/>
      </c>
      <c r="BC83" s="60" t="n">
        <v>6187.34</v>
      </c>
    </row>
    <row r="84" ht="16" customHeight="1">
      <c r="A84" s="45" t="inlineStr">
        <is>
          <t>5/26/2026</t>
        </is>
      </c>
      <c r="B84" s="46" t="inlineStr">
        <is>
          <t>SK0930</t>
        </is>
      </c>
      <c r="C84" s="46" t="inlineStr">
        <is>
          <t>3333</t>
        </is>
      </c>
      <c r="D84" s="46" t="inlineStr">
        <is>
          <t>C4</t>
        </is>
      </c>
      <c r="E84" s="47" t="n">
        <v>21</v>
      </c>
      <c r="F84" s="47" t="n">
        <v>33</v>
      </c>
      <c r="G84" s="47" t="n">
        <v>148</v>
      </c>
      <c r="H84" s="47" t="n">
        <v>7</v>
      </c>
      <c r="I84" s="47" t="n">
        <v>2</v>
      </c>
      <c r="J84" s="48" t="n"/>
      <c r="K84" s="48" t="n"/>
      <c r="L84" s="48" t="n"/>
      <c r="M84" s="48" t="n"/>
      <c r="N84" s="48" t="n"/>
      <c r="O84" s="48" t="n"/>
      <c r="P84" s="48" t="n"/>
      <c r="Q84" s="48" t="n"/>
      <c r="R84" s="48" t="n"/>
      <c r="S84" s="48" t="n"/>
      <c r="T84" s="49" t="n"/>
      <c r="U84" s="49" t="n"/>
      <c r="V84" s="49" t="n"/>
      <c r="W84" s="49" t="n"/>
      <c r="X84" s="49" t="n"/>
      <c r="Y84" s="47" t="n"/>
      <c r="Z84" s="47" t="n"/>
      <c r="AA84" s="47" t="n"/>
      <c r="AB84" s="47" t="n"/>
      <c r="AC84" s="47" t="n"/>
      <c r="AD84" s="47" t="n"/>
      <c r="AE84" s="47" t="n"/>
      <c r="AF84" s="47" t="n"/>
      <c r="AG84" s="47" t="n"/>
      <c r="AH84" s="50" t="n"/>
      <c r="AI84" s="50" t="n"/>
      <c r="AJ84" s="50" t="n"/>
      <c r="AK84" s="51" t="inlineStr"/>
      <c r="AL84" s="52" t="n"/>
      <c r="AM84" s="53">
        <f>IF(E84="","",E84*30.96)</f>
        <v/>
      </c>
      <c r="AN84" s="53">
        <f>IF(F84="","",F84*18.3)</f>
        <v/>
      </c>
      <c r="AO84" s="53">
        <f>IF(G84="","",G84*10.45)</f>
        <v/>
      </c>
      <c r="AP84" s="53">
        <f>IF(AND(H84="",I84=""),"",IF(ISNUMBER(H84),H84*18.43,0)+IF(ISNUMBER(I84),I84*20.28,0))</f>
        <v/>
      </c>
      <c r="AQ84" s="53">
        <f>IF(E84="","",667.1)</f>
        <v/>
      </c>
      <c r="AR84" s="54">
        <f>IF(E84="","",IF(ISNUMBER(AM84),AM84,0)+IF(ISNUMBER(AN84),AN84,0)+IF(ISNUMBER(AO84),AO84,0)+IF(ISNUMBER(AP84),AP84,0)+IF(ISNUMBER(AQ84),AQ84,0))</f>
        <v/>
      </c>
      <c r="AS84" s="55">
        <f>IF(E84="","",MAX(E84-SUM(J84:S84),0)*43.5)</f>
        <v/>
      </c>
      <c r="AT84" s="55">
        <f>IF(E84="","",IF(ISNUMBER(J84),J84*39.14,0)+IF(ISNUMBER(K84),K84*12.23,0)+IF(ISNUMBER(L84),L84*12.15,0)+IF(ISNUMBER(M84),M84*7.62,0)+IF(ISNUMBER(N84),N84*10.21,0)+IF(ISNUMBER(O84),O84*6.15,0)+IF(ISNUMBER(P84),P84*12.24,0)+IF(ISNUMBER(Q84),Q84*39.14,0)+IF(ISNUMBER(R84),R84*39.14,0)+IF(ISNUMBER(S84),S84*40.31,0))</f>
        <v/>
      </c>
      <c r="AU84" s="56">
        <f>IF(E84="","",IF(ISNUMBER(AS84),AS84,0)+IF(ISNUMBER(AT84),AT84,0))</f>
        <v/>
      </c>
      <c r="AV84" s="55">
        <f>IF(F84="","",MAX(F84-SUM(T84:X84),0)*23.5+IF(ISNUMBER(T84),T84*19.69,0)+IF(ISNUMBER(U84),U84*16.74,0)+IF(ISNUMBER(V84),V84*20.28,0)+IF(ISNUMBER(W84),W84*19.69,0)+IF(ISNUMBER(X84),X84*19.69,0))</f>
        <v/>
      </c>
      <c r="AW84" s="55">
        <f>IF(G84="","",MAX(G84-SUM(Y84:AG84),0)*14.5+IF(ISNUMBER(Y84),Y84*11.84,0)+IF(ISNUMBER(Z84),Z84*14.34,0)+IF(ISNUMBER(AA84),AA84*16.93,0)+IF(ISNUMBER(AB84),AB84*19.52,0)+IF(ISNUMBER(AC84),AC84*22.35,0)+IF(ISNUMBER(AD84),AD84*13.92,0)+IF(ISNUMBER(AE84),AE84*21.55,0)+IF(ISNUMBER(AF84),AF84*13.92,0)+IF(ISNUMBER(AG84),AG84*13.92,0))</f>
        <v/>
      </c>
      <c r="AX84" s="55">
        <f>IF(AND(H84="",I84=""),"",65.0+IF(ISNUMBER(AH84),AH84*30.23,0)+IF(ISNUMBER(AI84),AI84*30.23,0)+IF(ISNUMBER(AJ84),AJ84*28.0,0))</f>
        <v/>
      </c>
      <c r="AY84" s="55">
        <f>IF(E84="","",953.0)</f>
        <v/>
      </c>
      <c r="AZ84" s="57">
        <f>IF(E84="","",IF(ISNUMBER(AU84),AU84,0)+IF(ISNUMBER(AV84),AV84,0)+IF(ISNUMBER(AW84),AW84,0)+IF(ISNUMBER(AX84),AX84,0)+IF(ISNUMBER(AY84),AY84,0))</f>
        <v/>
      </c>
      <c r="BA84" s="58">
        <f>IF(OR(E84="",AZ84=""),"",AZ84-AR84)</f>
        <v/>
      </c>
      <c r="BB84" s="59">
        <f>IF(OR(E84="",AZ84=0),"",BA84/AZ84)</f>
        <v/>
      </c>
      <c r="BC84" s="60" t="n"/>
    </row>
    <row r="85" ht="16" customHeight="1">
      <c r="A85" s="45" t="inlineStr">
        <is>
          <t>5/28/2026</t>
        </is>
      </c>
      <c r="B85" s="46" t="inlineStr">
        <is>
          <t>SK0930</t>
        </is>
      </c>
      <c r="C85" s="46" t="inlineStr">
        <is>
          <t>3591</t>
        </is>
      </c>
      <c r="D85" s="46" t="inlineStr">
        <is>
          <t>C4</t>
        </is>
      </c>
      <c r="E85" s="47" t="n">
        <v>28</v>
      </c>
      <c r="F85" s="47" t="n">
        <v>36</v>
      </c>
      <c r="G85" s="47" t="n">
        <v>168</v>
      </c>
      <c r="H85" s="47" t="n">
        <v>7</v>
      </c>
      <c r="I85" s="47" t="n">
        <v>2</v>
      </c>
      <c r="J85" s="48" t="n"/>
      <c r="K85" s="48" t="n"/>
      <c r="L85" s="48" t="n"/>
      <c r="M85" s="48" t="n"/>
      <c r="N85" s="48" t="n"/>
      <c r="O85" s="48" t="n"/>
      <c r="P85" s="48" t="n"/>
      <c r="Q85" s="48" t="n"/>
      <c r="R85" s="48" t="n"/>
      <c r="S85" s="48" t="n"/>
      <c r="T85" s="49" t="n"/>
      <c r="U85" s="49" t="n"/>
      <c r="V85" s="49" t="n"/>
      <c r="W85" s="49" t="n"/>
      <c r="X85" s="49" t="n"/>
      <c r="Y85" s="47" t="n"/>
      <c r="Z85" s="47" t="n"/>
      <c r="AA85" s="47" t="n"/>
      <c r="AB85" s="47" t="n"/>
      <c r="AC85" s="47" t="n"/>
      <c r="AD85" s="47" t="n"/>
      <c r="AE85" s="47" t="n"/>
      <c r="AF85" s="47" t="n"/>
      <c r="AG85" s="47" t="n"/>
      <c r="AH85" s="50" t="n"/>
      <c r="AI85" s="50" t="n"/>
      <c r="AJ85" s="50" t="n"/>
      <c r="AK85" s="51" t="inlineStr"/>
      <c r="AL85" s="52" t="n"/>
      <c r="AM85" s="53">
        <f>IF(E85="","",E85*30.96)</f>
        <v/>
      </c>
      <c r="AN85" s="53">
        <f>IF(F85="","",F85*18.3)</f>
        <v/>
      </c>
      <c r="AO85" s="53">
        <f>IF(G85="","",G85*10.45)</f>
        <v/>
      </c>
      <c r="AP85" s="53">
        <f>IF(AND(H85="",I85=""),"",IF(ISNUMBER(H85),H85*18.43,0)+IF(ISNUMBER(I85),I85*20.28,0))</f>
        <v/>
      </c>
      <c r="AQ85" s="53">
        <f>IF(E85="","",701.4)</f>
        <v/>
      </c>
      <c r="AR85" s="54">
        <f>IF(E85="","",IF(ISNUMBER(AM85),AM85,0)+IF(ISNUMBER(AN85),AN85,0)+IF(ISNUMBER(AO85),AO85,0)+IF(ISNUMBER(AP85),AP85,0)+IF(ISNUMBER(AQ85),AQ85,0))</f>
        <v/>
      </c>
      <c r="AS85" s="55">
        <f>IF(E85="","",MAX(E85-SUM(J85:S85),0)*43.5)</f>
        <v/>
      </c>
      <c r="AT85" s="55">
        <f>IF(E85="","",IF(ISNUMBER(J85),J85*39.14,0)+IF(ISNUMBER(K85),K85*12.23,0)+IF(ISNUMBER(L85),L85*12.15,0)+IF(ISNUMBER(M85),M85*7.62,0)+IF(ISNUMBER(N85),N85*10.21,0)+IF(ISNUMBER(O85),O85*6.15,0)+IF(ISNUMBER(P85),P85*12.24,0)+IF(ISNUMBER(Q85),Q85*39.14,0)+IF(ISNUMBER(R85),R85*39.14,0)+IF(ISNUMBER(S85),S85*40.31,0))</f>
        <v/>
      </c>
      <c r="AU85" s="56">
        <f>IF(E85="","",IF(ISNUMBER(AS85),AS85,0)+IF(ISNUMBER(AT85),AT85,0))</f>
        <v/>
      </c>
      <c r="AV85" s="55">
        <f>IF(F85="","",MAX(F85-SUM(T85:X85),0)*23.5+IF(ISNUMBER(T85),T85*19.69,0)+IF(ISNUMBER(U85),U85*16.74,0)+IF(ISNUMBER(V85),V85*20.28,0)+IF(ISNUMBER(W85),W85*19.69,0)+IF(ISNUMBER(X85),X85*19.69,0))</f>
        <v/>
      </c>
      <c r="AW85" s="55">
        <f>IF(G85="","",MAX(G85-SUM(Y85:AG85),0)*14.5+IF(ISNUMBER(Y85),Y85*11.84,0)+IF(ISNUMBER(Z85),Z85*14.34,0)+IF(ISNUMBER(AA85),AA85*16.93,0)+IF(ISNUMBER(AB85),AB85*19.52,0)+IF(ISNUMBER(AC85),AC85*22.35,0)+IF(ISNUMBER(AD85),AD85*13.92,0)+IF(ISNUMBER(AE85),AE85*21.55,0)+IF(ISNUMBER(AF85),AF85*13.92,0)+IF(ISNUMBER(AG85),AG85*13.92,0))</f>
        <v/>
      </c>
      <c r="AX85" s="55">
        <f>IF(AND(H85="",I85=""),"",65.0+IF(ISNUMBER(AH85),AH85*30.23,0)+IF(ISNUMBER(AI85),AI85*30.23,0)+IF(ISNUMBER(AJ85),AJ85*28.0,0))</f>
        <v/>
      </c>
      <c r="AY85" s="55">
        <f>IF(E85="","",1002.0)</f>
        <v/>
      </c>
      <c r="AZ85" s="57">
        <f>IF(E85="","",IF(ISNUMBER(AU85),AU85,0)+IF(ISNUMBER(AV85),AV85,0)+IF(ISNUMBER(AW85),AW85,0)+IF(ISNUMBER(AX85),AX85,0)+IF(ISNUMBER(AY85),AY85,0))</f>
        <v/>
      </c>
      <c r="BA85" s="58">
        <f>IF(OR(E85="",AZ85=""),"",AZ85-AR85)</f>
        <v/>
      </c>
      <c r="BB85" s="59">
        <f>IF(OR(E85="",AZ85=0),"",BA85/AZ85)</f>
        <v/>
      </c>
      <c r="BC85" s="60" t="n">
        <v>6789.27</v>
      </c>
    </row>
    <row r="86" ht="16" customHeight="1">
      <c r="A86" s="45" t="inlineStr">
        <is>
          <t>5/29/2026</t>
        </is>
      </c>
      <c r="B86" s="46" t="inlineStr">
        <is>
          <t>SK0930</t>
        </is>
      </c>
      <c r="C86" s="46" t="inlineStr">
        <is>
          <t>3591</t>
        </is>
      </c>
      <c r="D86" s="46" t="inlineStr">
        <is>
          <t>C4</t>
        </is>
      </c>
      <c r="E86" s="47" t="n">
        <v>30</v>
      </c>
      <c r="F86" s="47" t="n">
        <v>38</v>
      </c>
      <c r="G86" s="47" t="n">
        <v>172</v>
      </c>
      <c r="H86" s="47" t="n">
        <v>7</v>
      </c>
      <c r="I86" s="47" t="n">
        <v>2</v>
      </c>
      <c r="J86" s="48" t="n"/>
      <c r="K86" s="48" t="n"/>
      <c r="L86" s="48" t="n"/>
      <c r="M86" s="48" t="n"/>
      <c r="N86" s="48" t="n"/>
      <c r="O86" s="48" t="n"/>
      <c r="P86" s="48" t="n"/>
      <c r="Q86" s="48" t="n"/>
      <c r="R86" s="48" t="n"/>
      <c r="S86" s="48" t="n"/>
      <c r="T86" s="49" t="n"/>
      <c r="U86" s="49" t="n"/>
      <c r="V86" s="49" t="n"/>
      <c r="W86" s="49" t="n"/>
      <c r="X86" s="49" t="n"/>
      <c r="Y86" s="47" t="n"/>
      <c r="Z86" s="47" t="n"/>
      <c r="AA86" s="47" t="n"/>
      <c r="AB86" s="47" t="n"/>
      <c r="AC86" s="47" t="n"/>
      <c r="AD86" s="47" t="n"/>
      <c r="AE86" s="47" t="n"/>
      <c r="AF86" s="47" t="n"/>
      <c r="AG86" s="47" t="n"/>
      <c r="AH86" s="50" t="n"/>
      <c r="AI86" s="50" t="n"/>
      <c r="AJ86" s="50" t="n"/>
      <c r="AK86" s="51" t="inlineStr"/>
      <c r="AL86" s="52" t="n"/>
      <c r="AM86" s="53">
        <f>IF(E86="","",E86*30.96)</f>
        <v/>
      </c>
      <c r="AN86" s="53">
        <f>IF(F86="","",F86*18.3)</f>
        <v/>
      </c>
      <c r="AO86" s="53">
        <f>IF(G86="","",G86*10.45)</f>
        <v/>
      </c>
      <c r="AP86" s="53">
        <f>IF(AND(H86="",I86=""),"",IF(ISNUMBER(H86),H86*18.43,0)+IF(ISNUMBER(I86),I86*20.28,0))</f>
        <v/>
      </c>
      <c r="AQ86" s="53">
        <f>IF(E86="","",701.4)</f>
        <v/>
      </c>
      <c r="AR86" s="54">
        <f>IF(E86="","",IF(ISNUMBER(AM86),AM86,0)+IF(ISNUMBER(AN86),AN86,0)+IF(ISNUMBER(AO86),AO86,0)+IF(ISNUMBER(AP86),AP86,0)+IF(ISNUMBER(AQ86),AQ86,0))</f>
        <v/>
      </c>
      <c r="AS86" s="55">
        <f>IF(E86="","",MAX(E86-SUM(J86:S86),0)*43.5)</f>
        <v/>
      </c>
      <c r="AT86" s="55">
        <f>IF(E86="","",IF(ISNUMBER(J86),J86*39.14,0)+IF(ISNUMBER(K86),K86*12.23,0)+IF(ISNUMBER(L86),L86*12.15,0)+IF(ISNUMBER(M86),M86*7.62,0)+IF(ISNUMBER(N86),N86*10.21,0)+IF(ISNUMBER(O86),O86*6.15,0)+IF(ISNUMBER(P86),P86*12.24,0)+IF(ISNUMBER(Q86),Q86*39.14,0)+IF(ISNUMBER(R86),R86*39.14,0)+IF(ISNUMBER(S86),S86*40.31,0))</f>
        <v/>
      </c>
      <c r="AU86" s="56">
        <f>IF(E86="","",IF(ISNUMBER(AS86),AS86,0)+IF(ISNUMBER(AT86),AT86,0))</f>
        <v/>
      </c>
      <c r="AV86" s="55">
        <f>IF(F86="","",MAX(F86-SUM(T86:X86),0)*23.5+IF(ISNUMBER(T86),T86*19.69,0)+IF(ISNUMBER(U86),U86*16.74,0)+IF(ISNUMBER(V86),V86*20.28,0)+IF(ISNUMBER(W86),W86*19.69,0)+IF(ISNUMBER(X86),X86*19.69,0))</f>
        <v/>
      </c>
      <c r="AW86" s="55">
        <f>IF(G86="","",MAX(G86-SUM(Y86:AG86),0)*14.5+IF(ISNUMBER(Y86),Y86*11.84,0)+IF(ISNUMBER(Z86),Z86*14.34,0)+IF(ISNUMBER(AA86),AA86*16.93,0)+IF(ISNUMBER(AB86),AB86*19.52,0)+IF(ISNUMBER(AC86),AC86*22.35,0)+IF(ISNUMBER(AD86),AD86*13.92,0)+IF(ISNUMBER(AE86),AE86*21.55,0)+IF(ISNUMBER(AF86),AF86*13.92,0)+IF(ISNUMBER(AG86),AG86*13.92,0))</f>
        <v/>
      </c>
      <c r="AX86" s="55">
        <f>IF(AND(H86="",I86=""),"",65.0+IF(ISNUMBER(AH86),AH86*30.23,0)+IF(ISNUMBER(AI86),AI86*30.23,0)+IF(ISNUMBER(AJ86),AJ86*28.0,0))</f>
        <v/>
      </c>
      <c r="AY86" s="55">
        <f>IF(E86="","",1002.0)</f>
        <v/>
      </c>
      <c r="AZ86" s="57">
        <f>IF(E86="","",IF(ISNUMBER(AU86),AU86,0)+IF(ISNUMBER(AV86),AV86,0)+IF(ISNUMBER(AW86),AW86,0)+IF(ISNUMBER(AX86),AX86,0)+IF(ISNUMBER(AY86),AY86,0))</f>
        <v/>
      </c>
      <c r="BA86" s="58">
        <f>IF(OR(E86="",AZ86=""),"",AZ86-AR86)</f>
        <v/>
      </c>
      <c r="BB86" s="59">
        <f>IF(OR(E86="",AZ86=0),"",BA86/AZ86)</f>
        <v/>
      </c>
      <c r="BC86" s="60" t="n">
        <v>6942.58</v>
      </c>
    </row>
    <row r="87" ht="16" customHeight="1">
      <c r="A87" s="45" t="inlineStr">
        <is>
          <t>5/30/2026</t>
        </is>
      </c>
      <c r="B87" s="46" t="inlineStr">
        <is>
          <t>SK0930</t>
        </is>
      </c>
      <c r="C87" s="46" t="inlineStr">
        <is>
          <t>3333</t>
        </is>
      </c>
      <c r="D87" s="46" t="inlineStr">
        <is>
          <t>C4</t>
        </is>
      </c>
      <c r="E87" s="47" t="n">
        <v>29</v>
      </c>
      <c r="F87" s="47" t="n">
        <v>37</v>
      </c>
      <c r="G87" s="47" t="n">
        <v>170</v>
      </c>
      <c r="H87" s="47" t="n">
        <v>7</v>
      </c>
      <c r="I87" s="47" t="n">
        <v>2</v>
      </c>
      <c r="J87" s="48" t="n"/>
      <c r="K87" s="48" t="n"/>
      <c r="L87" s="48" t="n"/>
      <c r="M87" s="48" t="n"/>
      <c r="N87" s="48" t="n"/>
      <c r="O87" s="48" t="n"/>
      <c r="P87" s="48" t="n"/>
      <c r="Q87" s="48" t="n"/>
      <c r="R87" s="48" t="n"/>
      <c r="S87" s="48" t="n"/>
      <c r="T87" s="49" t="n"/>
      <c r="U87" s="49" t="n"/>
      <c r="V87" s="49" t="n"/>
      <c r="W87" s="49" t="n"/>
      <c r="X87" s="49" t="n"/>
      <c r="Y87" s="47" t="n"/>
      <c r="Z87" s="47" t="n"/>
      <c r="AA87" s="47" t="n"/>
      <c r="AB87" s="47" t="n"/>
      <c r="AC87" s="47" t="n"/>
      <c r="AD87" s="47" t="n"/>
      <c r="AE87" s="47" t="n"/>
      <c r="AF87" s="47" t="n"/>
      <c r="AG87" s="47" t="n"/>
      <c r="AH87" s="50" t="n"/>
      <c r="AI87" s="50" t="n"/>
      <c r="AJ87" s="50" t="n"/>
      <c r="AK87" s="51" t="inlineStr"/>
      <c r="AL87" s="52" t="n"/>
      <c r="AM87" s="53">
        <f>IF(E87="","",E87*30.96)</f>
        <v/>
      </c>
      <c r="AN87" s="53">
        <f>IF(F87="","",F87*18.3)</f>
        <v/>
      </c>
      <c r="AO87" s="53">
        <f>IF(G87="","",G87*10.45)</f>
        <v/>
      </c>
      <c r="AP87" s="53">
        <f>IF(AND(H87="",I87=""),"",IF(ISNUMBER(H87),H87*18.43,0)+IF(ISNUMBER(I87),I87*20.28,0))</f>
        <v/>
      </c>
      <c r="AQ87" s="53">
        <f>IF(E87="","",667.1)</f>
        <v/>
      </c>
      <c r="AR87" s="54">
        <f>IF(E87="","",IF(ISNUMBER(AM87),AM87,0)+IF(ISNUMBER(AN87),AN87,0)+IF(ISNUMBER(AO87),AO87,0)+IF(ISNUMBER(AP87),AP87,0)+IF(ISNUMBER(AQ87),AQ87,0))</f>
        <v/>
      </c>
      <c r="AS87" s="55">
        <f>IF(E87="","",MAX(E87-SUM(J87:S87),0)*43.5)</f>
        <v/>
      </c>
      <c r="AT87" s="55">
        <f>IF(E87="","",IF(ISNUMBER(J87),J87*39.14,0)+IF(ISNUMBER(K87),K87*12.23,0)+IF(ISNUMBER(L87),L87*12.15,0)+IF(ISNUMBER(M87),M87*7.62,0)+IF(ISNUMBER(N87),N87*10.21,0)+IF(ISNUMBER(O87),O87*6.15,0)+IF(ISNUMBER(P87),P87*12.24,0)+IF(ISNUMBER(Q87),Q87*39.14,0)+IF(ISNUMBER(R87),R87*39.14,0)+IF(ISNUMBER(S87),S87*40.31,0))</f>
        <v/>
      </c>
      <c r="AU87" s="56">
        <f>IF(E87="","",IF(ISNUMBER(AS87),AS87,0)+IF(ISNUMBER(AT87),AT87,0))</f>
        <v/>
      </c>
      <c r="AV87" s="55">
        <f>IF(F87="","",MAX(F87-SUM(T87:X87),0)*23.5+IF(ISNUMBER(T87),T87*19.69,0)+IF(ISNUMBER(U87),U87*16.74,0)+IF(ISNUMBER(V87),V87*20.28,0)+IF(ISNUMBER(W87),W87*19.69,0)+IF(ISNUMBER(X87),X87*19.69,0))</f>
        <v/>
      </c>
      <c r="AW87" s="55">
        <f>IF(G87="","",MAX(G87-SUM(Y87:AG87),0)*14.5+IF(ISNUMBER(Y87),Y87*11.84,0)+IF(ISNUMBER(Z87),Z87*14.34,0)+IF(ISNUMBER(AA87),AA87*16.93,0)+IF(ISNUMBER(AB87),AB87*19.52,0)+IF(ISNUMBER(AC87),AC87*22.35,0)+IF(ISNUMBER(AD87),AD87*13.92,0)+IF(ISNUMBER(AE87),AE87*21.55,0)+IF(ISNUMBER(AF87),AF87*13.92,0)+IF(ISNUMBER(AG87),AG87*13.92,0))</f>
        <v/>
      </c>
      <c r="AX87" s="55">
        <f>IF(AND(H87="",I87=""),"",65.0+IF(ISNUMBER(AH87),AH87*30.23,0)+IF(ISNUMBER(AI87),AI87*30.23,0)+IF(ISNUMBER(AJ87),AJ87*28.0,0))</f>
        <v/>
      </c>
      <c r="AY87" s="55">
        <f>IF(E87="","",953.0)</f>
        <v/>
      </c>
      <c r="AZ87" s="57">
        <f>IF(E87="","",IF(ISNUMBER(AU87),AU87,0)+IF(ISNUMBER(AV87),AV87,0)+IF(ISNUMBER(AW87),AW87,0)+IF(ISNUMBER(AX87),AX87,0)+IF(ISNUMBER(AY87),AY87,0))</f>
        <v/>
      </c>
      <c r="BA87" s="58">
        <f>IF(OR(E87="",AZ87=""),"",AZ87-AR87)</f>
        <v/>
      </c>
      <c r="BB87" s="59">
        <f>IF(OR(E87="",AZ87=0),"",BA87/AZ87)</f>
        <v/>
      </c>
      <c r="BC87" s="60" t="n">
        <v>6805.19</v>
      </c>
    </row>
    <row r="88" ht="16" customHeight="1">
      <c r="A88" s="45" t="inlineStr">
        <is>
          <t>5/31/2026</t>
        </is>
      </c>
      <c r="B88" s="46" t="inlineStr">
        <is>
          <t>SK0930</t>
        </is>
      </c>
      <c r="C88" s="46" t="inlineStr">
        <is>
          <t>3333</t>
        </is>
      </c>
      <c r="D88" s="46" t="inlineStr">
        <is>
          <t>C4</t>
        </is>
      </c>
      <c r="E88" s="47" t="n">
        <v>31</v>
      </c>
      <c r="F88" s="47" t="n">
        <v>39</v>
      </c>
      <c r="G88" s="47" t="n">
        <v>174</v>
      </c>
      <c r="H88" s="47" t="n">
        <v>7</v>
      </c>
      <c r="I88" s="47" t="n">
        <v>2</v>
      </c>
      <c r="J88" s="48" t="n"/>
      <c r="K88" s="48" t="n"/>
      <c r="L88" s="48" t="n"/>
      <c r="M88" s="48" t="n"/>
      <c r="N88" s="48" t="n"/>
      <c r="O88" s="48" t="n"/>
      <c r="P88" s="48" t="n"/>
      <c r="Q88" s="48" t="n"/>
      <c r="R88" s="48" t="n"/>
      <c r="S88" s="48" t="n"/>
      <c r="T88" s="49" t="n"/>
      <c r="U88" s="49" t="n"/>
      <c r="V88" s="49" t="n"/>
      <c r="W88" s="49" t="n"/>
      <c r="X88" s="49" t="n"/>
      <c r="Y88" s="47" t="n"/>
      <c r="Z88" s="47" t="n"/>
      <c r="AA88" s="47" t="n"/>
      <c r="AB88" s="47" t="n"/>
      <c r="AC88" s="47" t="n"/>
      <c r="AD88" s="47" t="n"/>
      <c r="AE88" s="47" t="n"/>
      <c r="AF88" s="47" t="n"/>
      <c r="AG88" s="47" t="n"/>
      <c r="AH88" s="50" t="n"/>
      <c r="AI88" s="50" t="n"/>
      <c r="AJ88" s="50" t="n"/>
      <c r="AK88" s="51" t="inlineStr"/>
      <c r="AL88" s="52" t="n"/>
      <c r="AM88" s="53">
        <f>IF(E88="","",E88*30.96)</f>
        <v/>
      </c>
      <c r="AN88" s="53">
        <f>IF(F88="","",F88*18.3)</f>
        <v/>
      </c>
      <c r="AO88" s="53">
        <f>IF(G88="","",G88*10.45)</f>
        <v/>
      </c>
      <c r="AP88" s="53">
        <f>IF(AND(H88="",I88=""),"",IF(ISNUMBER(H88),H88*18.43,0)+IF(ISNUMBER(I88),I88*20.28,0))</f>
        <v/>
      </c>
      <c r="AQ88" s="53">
        <f>IF(E88="","",667.1)</f>
        <v/>
      </c>
      <c r="AR88" s="54">
        <f>IF(E88="","",IF(ISNUMBER(AM88),AM88,0)+IF(ISNUMBER(AN88),AN88,0)+IF(ISNUMBER(AO88),AO88,0)+IF(ISNUMBER(AP88),AP88,0)+IF(ISNUMBER(AQ88),AQ88,0))</f>
        <v/>
      </c>
      <c r="AS88" s="55">
        <f>IF(E88="","",MAX(E88-SUM(J88:S88),0)*43.5)</f>
        <v/>
      </c>
      <c r="AT88" s="55">
        <f>IF(E88="","",IF(ISNUMBER(J88),J88*39.14,0)+IF(ISNUMBER(K88),K88*12.23,0)+IF(ISNUMBER(L88),L88*12.15,0)+IF(ISNUMBER(M88),M88*7.62,0)+IF(ISNUMBER(N88),N88*10.21,0)+IF(ISNUMBER(O88),O88*6.15,0)+IF(ISNUMBER(P88),P88*12.24,0)+IF(ISNUMBER(Q88),Q88*39.14,0)+IF(ISNUMBER(R88),R88*39.14,0)+IF(ISNUMBER(S88),S88*40.31,0))</f>
        <v/>
      </c>
      <c r="AU88" s="56">
        <f>IF(E88="","",IF(ISNUMBER(AS88),AS88,0)+IF(ISNUMBER(AT88),AT88,0))</f>
        <v/>
      </c>
      <c r="AV88" s="55">
        <f>IF(F88="","",MAX(F88-SUM(T88:X88),0)*23.5+IF(ISNUMBER(T88),T88*19.69,0)+IF(ISNUMBER(U88),U88*16.74,0)+IF(ISNUMBER(V88),V88*20.28,0)+IF(ISNUMBER(W88),W88*19.69,0)+IF(ISNUMBER(X88),X88*19.69,0))</f>
        <v/>
      </c>
      <c r="AW88" s="55">
        <f>IF(G88="","",MAX(G88-SUM(Y88:AG88),0)*14.5+IF(ISNUMBER(Y88),Y88*11.84,0)+IF(ISNUMBER(Z88),Z88*14.34,0)+IF(ISNUMBER(AA88),AA88*16.93,0)+IF(ISNUMBER(AB88),AB88*19.52,0)+IF(ISNUMBER(AC88),AC88*22.35,0)+IF(ISNUMBER(AD88),AD88*13.92,0)+IF(ISNUMBER(AE88),AE88*21.55,0)+IF(ISNUMBER(AF88),AF88*13.92,0)+IF(ISNUMBER(AG88),AG88*13.92,0))</f>
        <v/>
      </c>
      <c r="AX88" s="55">
        <f>IF(AND(H88="",I88=""),"",65.0+IF(ISNUMBER(AH88),AH88*30.23,0)+IF(ISNUMBER(AI88),AI88*30.23,0)+IF(ISNUMBER(AJ88),AJ88*28.0,0))</f>
        <v/>
      </c>
      <c r="AY88" s="55">
        <f>IF(E88="","",953.0)</f>
        <v/>
      </c>
      <c r="AZ88" s="57">
        <f>IF(E88="","",IF(ISNUMBER(AU88),AU88,0)+IF(ISNUMBER(AV88),AV88,0)+IF(ISNUMBER(AW88),AW88,0)+IF(ISNUMBER(AX88),AX88,0)+IF(ISNUMBER(AY88),AY88,0))</f>
        <v/>
      </c>
      <c r="BA88" s="58">
        <f>IF(OR(E88="",AZ88=""),"",AZ88-AR88)</f>
        <v/>
      </c>
      <c r="BB88" s="59">
        <f>IF(OR(E88="",AZ88=0),"",BA88/AZ88)</f>
        <v/>
      </c>
      <c r="BC88" s="60" t="n">
        <v>7001.79</v>
      </c>
    </row>
    <row r="89" ht="18" customHeight="1">
      <c r="A89" s="61" t="inlineStr">
        <is>
          <t>TOTALS</t>
        </is>
      </c>
      <c r="B89" s="62" t="n"/>
      <c r="C89" s="62" t="n"/>
      <c r="D89" s="62" t="n"/>
      <c r="E89" s="63">
        <f>SUMIF(E3:E88,"&lt;&gt;")</f>
        <v/>
      </c>
      <c r="F89" s="63">
        <f>SUMIF(F3:F88,"&lt;&gt;")</f>
        <v/>
      </c>
      <c r="G89" s="63">
        <f>SUMIF(G3:G88,"&lt;&gt;")</f>
        <v/>
      </c>
      <c r="H89" s="62" t="n"/>
      <c r="I89" s="62" t="n"/>
      <c r="J89" s="62" t="n"/>
      <c r="K89" s="62" t="n"/>
      <c r="L89" s="62" t="n"/>
      <c r="M89" s="62" t="n"/>
      <c r="N89" s="62" t="n"/>
      <c r="O89" s="62" t="n"/>
      <c r="P89" s="62" t="n"/>
      <c r="Q89" s="62" t="n"/>
      <c r="R89" s="62" t="n"/>
      <c r="S89" s="62" t="n"/>
      <c r="T89" s="62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  <c r="AE89" s="62" t="n"/>
      <c r="AF89" s="62" t="n"/>
      <c r="AG89" s="62" t="n"/>
      <c r="AH89" s="62" t="n"/>
      <c r="AI89" s="62" t="n"/>
      <c r="AJ89" s="62" t="n"/>
      <c r="AK89" s="62" t="n"/>
      <c r="AL89" s="62" t="n"/>
      <c r="AM89" s="64">
        <f>SUMIF(AM3:AM88,"&lt;&gt;")</f>
        <v/>
      </c>
      <c r="AN89" s="64">
        <f>SUMIF(AN3:AN88,"&lt;&gt;")</f>
        <v/>
      </c>
      <c r="AO89" s="64">
        <f>SUMIF(AO3:AO88,"&lt;&gt;")</f>
        <v/>
      </c>
      <c r="AP89" s="64">
        <f>SUMIF(AP3:AP88,"&lt;&gt;")</f>
        <v/>
      </c>
      <c r="AQ89" s="64">
        <f>SUMIF(AQ3:AQ88,"&lt;&gt;")</f>
        <v/>
      </c>
      <c r="AR89" s="64">
        <f>SUMIF(AR3:AR88,"&lt;&gt;")</f>
        <v/>
      </c>
      <c r="AS89" s="64">
        <f>SUMIF(AS3:AS88,"&lt;&gt;")</f>
        <v/>
      </c>
      <c r="AT89" s="64">
        <f>SUMIF(AT3:AT88,"&lt;&gt;")</f>
        <v/>
      </c>
      <c r="AU89" s="64">
        <f>SUMIF(AU3:AU88,"&lt;&gt;")</f>
        <v/>
      </c>
      <c r="AV89" s="64">
        <f>SUMIF(AV3:AV88,"&lt;&gt;")</f>
        <v/>
      </c>
      <c r="AW89" s="64">
        <f>SUMIF(AW3:AW88,"&lt;&gt;")</f>
        <v/>
      </c>
      <c r="AX89" s="64">
        <f>SUMIF(AX3:AX88,"&lt;&gt;")</f>
        <v/>
      </c>
      <c r="AY89" s="64">
        <f>SUMIF(AY3:AY88,"&lt;&gt;")</f>
        <v/>
      </c>
      <c r="AZ89" s="64">
        <f>SUMIF(AZ3:AZ88,"&lt;&gt;")</f>
        <v/>
      </c>
      <c r="BA89" s="64">
        <f>SUMIF(BA3:BA88,"&lt;&gt;")</f>
        <v/>
      </c>
      <c r="BB89" s="65">
        <f>IFERROR((AZ89-AR89)/AZ89,"")</f>
        <v/>
      </c>
      <c r="BC89" s="64">
        <f>SUMIF(BC3:BC88,"&lt;&gt;")</f>
        <v/>
      </c>
    </row>
  </sheetData>
  <mergeCells count="12">
    <mergeCell ref="A1:D1"/>
    <mergeCell ref="AH1:AJ1"/>
    <mergeCell ref="BC1"/>
    <mergeCell ref="Y1:AG1"/>
    <mergeCell ref="BA1:BB1"/>
    <mergeCell ref="E1:I1"/>
    <mergeCell ref="T1:X1"/>
    <mergeCell ref="AM1:AR1"/>
    <mergeCell ref="AK1"/>
    <mergeCell ref="AS1:AZ1"/>
    <mergeCell ref="J1:S1"/>
    <mergeCell ref="A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66573"/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2" customWidth="1" min="3" max="3"/>
  </cols>
  <sheetData>
    <row r="1" ht="22" customHeight="1">
      <c r="A1" s="66" t="inlineStr">
        <is>
          <t>SAS SERVICE CODE GUIDE</t>
        </is>
      </c>
    </row>
    <row r="2">
      <c r="A2" s="29" t="inlineStr">
        <is>
          <t>Code</t>
        </is>
      </c>
      <c r="B2" s="29" t="inlineStr">
        <is>
          <t>Description</t>
        </is>
      </c>
      <c r="C2" s="29" t="inlineStr">
        <is>
          <t>Cabin</t>
        </is>
      </c>
    </row>
    <row r="3">
      <c r="A3" s="67" t="inlineStr">
        <is>
          <t>AVML</t>
        </is>
      </c>
      <c r="B3" s="68" t="inlineStr">
        <is>
          <t>Asian Vegetarian Meal</t>
        </is>
      </c>
      <c r="C3" s="69" t="inlineStr">
        <is>
          <t>C,Y,M</t>
        </is>
      </c>
    </row>
    <row r="4">
      <c r="A4" s="70" t="inlineStr">
        <is>
          <t>BXML</t>
        </is>
      </c>
      <c r="B4" s="71" t="inlineStr">
        <is>
          <t>Baby Meal</t>
        </is>
      </c>
      <c r="C4" s="72" t="inlineStr">
        <is>
          <t>C</t>
        </is>
      </c>
    </row>
    <row r="5">
      <c r="A5" s="67" t="inlineStr">
        <is>
          <t>BYML</t>
        </is>
      </c>
      <c r="B5" s="68" t="inlineStr">
        <is>
          <t>Baby Meal (alt)</t>
        </is>
      </c>
      <c r="C5" s="69" t="inlineStr">
        <is>
          <t>C</t>
        </is>
      </c>
    </row>
    <row r="6">
      <c r="A6" s="70" t="inlineStr">
        <is>
          <t>BPML</t>
        </is>
      </c>
      <c r="B6" s="71" t="inlineStr">
        <is>
          <t>Bland/Soft Meal</t>
        </is>
      </c>
      <c r="C6" s="72" t="inlineStr">
        <is>
          <t>C</t>
        </is>
      </c>
    </row>
    <row r="7">
      <c r="A7" s="67" t="inlineStr">
        <is>
          <t>BFML</t>
        </is>
      </c>
      <c r="B7" s="68" t="inlineStr">
        <is>
          <t>Bland/Fat-restricted</t>
        </is>
      </c>
      <c r="C7" s="69" t="inlineStr">
        <is>
          <t>C</t>
        </is>
      </c>
    </row>
    <row r="8">
      <c r="A8" s="70" t="inlineStr">
        <is>
          <t>BVML</t>
        </is>
      </c>
      <c r="B8" s="71" t="inlineStr">
        <is>
          <t>Bland/Vegetarian</t>
        </is>
      </c>
      <c r="C8" s="72" t="inlineStr">
        <is>
          <t>C</t>
        </is>
      </c>
    </row>
    <row r="9">
      <c r="A9" s="67" t="inlineStr">
        <is>
          <t>BMML</t>
        </is>
      </c>
      <c r="B9" s="68" t="inlineStr">
        <is>
          <t>Bland/Muslim Meal</t>
        </is>
      </c>
      <c r="C9" s="69" t="inlineStr">
        <is>
          <t>C</t>
        </is>
      </c>
    </row>
    <row r="10">
      <c r="A10" s="70" t="inlineStr">
        <is>
          <t>VLML</t>
        </is>
      </c>
      <c r="B10" s="71" t="inlineStr">
        <is>
          <t>Lacto-Ovo Vegetarian</t>
        </is>
      </c>
      <c r="C10" s="72" t="inlineStr">
        <is>
          <t>C,K</t>
        </is>
      </c>
    </row>
    <row r="11">
      <c r="A11" s="67" t="inlineStr">
        <is>
          <t>VGML</t>
        </is>
      </c>
      <c r="B11" s="68" t="inlineStr">
        <is>
          <t>Vegan Meal</t>
        </is>
      </c>
      <c r="C11" s="69" t="inlineStr">
        <is>
          <t>C,K</t>
        </is>
      </c>
    </row>
    <row r="12">
      <c r="A12" s="70" t="inlineStr">
        <is>
          <t>LGML</t>
        </is>
      </c>
      <c r="B12" s="71" t="inlineStr">
        <is>
          <t>Low Gluten Meal</t>
        </is>
      </c>
      <c r="C12" s="72" t="inlineStr">
        <is>
          <t>C,Y,K</t>
        </is>
      </c>
    </row>
    <row r="13">
      <c r="A13" s="67" t="inlineStr">
        <is>
          <t>CHML</t>
        </is>
      </c>
      <c r="B13" s="68" t="inlineStr">
        <is>
          <t>Child Meal</t>
        </is>
      </c>
      <c r="C13" s="69" t="inlineStr">
        <is>
          <t>Y,M</t>
        </is>
      </c>
    </row>
    <row r="14">
      <c r="A14" s="70" t="inlineStr">
        <is>
          <t>CKML</t>
        </is>
      </c>
      <c r="B14" s="71" t="inlineStr">
        <is>
          <t>Chicken Meal (Eco Prem)</t>
        </is>
      </c>
      <c r="C14" s="72" t="inlineStr">
        <is>
          <t>M</t>
        </is>
      </c>
    </row>
    <row r="15">
      <c r="A15" s="67" t="inlineStr">
        <is>
          <t>FIML</t>
        </is>
      </c>
      <c r="B15" s="68" t="inlineStr">
        <is>
          <t>Fish Meal (Eco Prem)</t>
        </is>
      </c>
      <c r="C15" s="69" t="inlineStr">
        <is>
          <t>M</t>
        </is>
      </c>
    </row>
    <row r="16">
      <c r="A16" s="70" t="inlineStr">
        <is>
          <t>GHML</t>
        </is>
      </c>
      <c r="B16" s="71" t="inlineStr">
        <is>
          <t>Green Meal / Veg</t>
        </is>
      </c>
      <c r="C16" s="72" t="inlineStr">
        <is>
          <t>M</t>
        </is>
      </c>
    </row>
    <row r="17">
      <c r="A17" s="67" t="inlineStr">
        <is>
          <t>MEML</t>
        </is>
      </c>
      <c r="B17" s="68" t="inlineStr">
        <is>
          <t>Premium Meat Meal</t>
        </is>
      </c>
      <c r="C17" s="69" t="inlineStr">
        <is>
          <t>M</t>
        </is>
      </c>
    </row>
  </sheetData>
  <mergeCells count="1">
    <mergeCell ref="A1:D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60CDE7020FBE4F987D5680CBA97CD3" ma:contentTypeVersion="10" ma:contentTypeDescription="Create a new document." ma:contentTypeScope="" ma:versionID="4fbed0173a2ebcc74ba7d005722587c6">
  <xsd:schema xmlns:xsd="http://www.w3.org/2001/XMLSchema" xmlns:xs="http://www.w3.org/2001/XMLSchema" xmlns:p="http://schemas.microsoft.com/office/2006/metadata/properties" xmlns:ns2="042478ca-ca2d-4d01-83eb-90396d5625e9" xmlns:ns3="70b03f2f-74c7-4926-a36d-d4bdb9e02d45" targetNamespace="http://schemas.microsoft.com/office/2006/metadata/properties" ma:root="true" ma:fieldsID="1e47617018f8bf8a4d157a39e72236d1" ns2:_="" ns3:_="">
    <xsd:import namespace="042478ca-ca2d-4d01-83eb-90396d5625e9"/>
    <xsd:import namespace="70b03f2f-74c7-4926-a36d-d4bdb9e02d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EventHashCode" minOccurs="0"/>
                <xsd:element ref="ns2:MediaServiceOCR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2478ca-ca2d-4d01-83eb-90396d5625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b03f2f-74c7-4926-a36d-d4bdb9e02d4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7cd25fd-8387-47a0-a3a2-f48b21d35c24}" ma:internalName="TaxCatchAll" ma:showField="CatchAllData" ma:web="70b03f2f-74c7-4926-a36d-d4bdb9e02d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42478ca-ca2d-4d01-83eb-90396d5625e9">
      <Terms xmlns="http://schemas.microsoft.com/office/infopath/2007/PartnerControls"/>
    </lcf76f155ced4ddcb4097134ff3c332f>
    <TaxCatchAll xmlns="70b03f2f-74c7-4926-a36d-d4bdb9e02d45" xsi:nil="true"/>
  </documentManagement>
</p:properties>
</file>

<file path=customXml/itemProps1.xml><?xml version="1.0" encoding="utf-8"?>
<ds:datastoreItem xmlns:ds="http://schemas.openxmlformats.org/officeDocument/2006/customXml" ds:itemID="{1AF08E5B-40CB-45F6-9EA3-05D4AFC570BE}"/>
</file>

<file path=customXml/itemProps2.xml><?xml version="1.0" encoding="utf-8"?>
<ds:datastoreItem xmlns:ds="http://schemas.openxmlformats.org/officeDocument/2006/customXml" ds:itemID="{0337FEC1-60CF-4AB9-AD94-FFC2B9092412}"/>
</file>

<file path=customXml/itemProps3.xml><?xml version="1.0" encoding="utf-8"?>
<ds:datastoreItem xmlns:ds="http://schemas.openxmlformats.org/officeDocument/2006/customXml" ds:itemID="{FD5A9EF8-13AB-4AEF-83FA-B2D29072452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2026-06-24T17:43:11Z</dcterms:created>
  <dcterms:modified xsi:type="dcterms:W3CDTF">2026-06-24T17:43:12Z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0x0101000560CDE7020FBE4F987D5680CBA97CD3</vt:lpwstr>
  </property>
</Properties>
</file>