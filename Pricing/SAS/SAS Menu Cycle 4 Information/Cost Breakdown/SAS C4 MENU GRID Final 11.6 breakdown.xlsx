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4 Information/Cost Breakdown/"/>
    </mc:Choice>
  </mc:AlternateContent>
  <xr:revisionPtr revIDLastSave="578" documentId="8_{A99C2D4A-BF24-4EB1-982A-7A037C09673D}" xr6:coauthVersionLast="47" xr6:coauthVersionMax="47" xr10:uidLastSave="{0A5E3968-9DBD-4910-8CE9-6DC006521F7A}"/>
  <bookViews>
    <workbookView xWindow="67080" yWindow="-240" windowWidth="38640" windowHeight="21120" xr2:uid="{AACAC2DE-DE14-48E2-BB41-7EEDE298DE98}"/>
  </bookViews>
  <sheets>
    <sheet name="CS C C1-3" sheetId="1" r:id="rId1"/>
    <sheet name="Express Tray Set up" sheetId="11" r:id="rId2"/>
    <sheet name="CS Y C1-3" sheetId="3" r:id="rId3"/>
    <sheet name="CS M C1-3" sheetId="4" r:id="rId4"/>
    <sheet name="CS P K C3" sheetId="5" r:id="rId5"/>
    <sheet name="BC - Special Meals" sheetId="7" r:id="rId6"/>
    <sheet name="PLUS SPECIAL MEALS" sheetId="8" r:id="rId7"/>
    <sheet name="ECONOMY GO SPML" sheetId="10" r:id="rId8"/>
    <sheet name="CREW SPML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44" i="1" l="1"/>
  <c r="F60" i="5"/>
  <c r="F59" i="5"/>
  <c r="F58" i="5"/>
  <c r="F57" i="5"/>
  <c r="F54" i="5"/>
  <c r="F53" i="5"/>
  <c r="F52" i="5"/>
  <c r="F51" i="5"/>
  <c r="F30" i="5"/>
  <c r="E20" i="3"/>
  <c r="F67" i="1"/>
  <c r="F68" i="1"/>
  <c r="E43" i="4" l="1"/>
  <c r="F43" i="4"/>
  <c r="E42" i="4"/>
  <c r="F42" i="4" s="1"/>
  <c r="E41" i="4"/>
  <c r="F41" i="4"/>
  <c r="E31" i="4"/>
  <c r="F31" i="4" s="1"/>
  <c r="E39" i="3"/>
  <c r="F39" i="3" s="1"/>
  <c r="E26" i="4"/>
  <c r="E34" i="3"/>
  <c r="F34" i="3" s="1"/>
  <c r="F71" i="1"/>
  <c r="F84" i="5"/>
  <c r="F83" i="5"/>
  <c r="G83" i="5" s="1"/>
  <c r="F78" i="5"/>
  <c r="G78" i="5" s="1"/>
  <c r="F77" i="5"/>
  <c r="G77" i="5"/>
  <c r="F79" i="5"/>
  <c r="F80" i="5"/>
  <c r="G80" i="5" s="1"/>
  <c r="F59" i="1"/>
  <c r="F58" i="1"/>
  <c r="F51" i="1"/>
  <c r="F47" i="1"/>
  <c r="F40" i="1"/>
  <c r="E25" i="3"/>
  <c r="F25" i="3"/>
  <c r="E32" i="3"/>
  <c r="F32" i="3" s="1"/>
  <c r="E24" i="4"/>
  <c r="F24" i="4" s="1"/>
  <c r="F23" i="5"/>
  <c r="G23" i="5" s="1"/>
  <c r="F31" i="5"/>
  <c r="E60" i="3"/>
  <c r="F60" i="3"/>
  <c r="I68" i="1"/>
  <c r="I67" i="1"/>
  <c r="F86" i="5"/>
  <c r="G86" i="5" s="1"/>
  <c r="F85" i="5"/>
  <c r="G85" i="5" s="1"/>
  <c r="G79" i="5"/>
  <c r="G65" i="5"/>
  <c r="G64" i="5"/>
  <c r="E18" i="4"/>
  <c r="F18" i="4" s="1"/>
  <c r="E21" i="4"/>
  <c r="E20" i="4"/>
  <c r="E19" i="4"/>
  <c r="F19" i="4" s="1"/>
  <c r="F103" i="5"/>
  <c r="G103" i="5" s="1"/>
  <c r="F102" i="5"/>
  <c r="F97" i="5"/>
  <c r="G97" i="5" s="1"/>
  <c r="F96" i="5"/>
  <c r="G96" i="5" s="1"/>
  <c r="F22" i="5"/>
  <c r="G22" i="5" s="1"/>
  <c r="G31" i="5"/>
  <c r="F24" i="5"/>
  <c r="F18" i="5"/>
  <c r="G18" i="5" s="1"/>
  <c r="F17" i="5"/>
  <c r="G17" i="5" s="1"/>
  <c r="F16" i="5"/>
  <c r="G16" i="5"/>
  <c r="F35" i="5"/>
  <c r="F27" i="5"/>
  <c r="G59" i="5"/>
  <c r="G52" i="5"/>
  <c r="G39" i="5"/>
  <c r="F32" i="5"/>
  <c r="G32" i="5" s="1"/>
  <c r="F12" i="5"/>
  <c r="F11" i="5"/>
  <c r="G11" i="5" s="1"/>
  <c r="G105" i="5"/>
  <c r="G104" i="5"/>
  <c r="G102" i="5"/>
  <c r="G99" i="5"/>
  <c r="G98" i="5"/>
  <c r="G84" i="5"/>
  <c r="G74" i="5"/>
  <c r="G73" i="5"/>
  <c r="G72" i="5"/>
  <c r="G71" i="5"/>
  <c r="G70" i="5"/>
  <c r="G67" i="5"/>
  <c r="G66" i="5"/>
  <c r="G63" i="5"/>
  <c r="G60" i="5"/>
  <c r="G58" i="5"/>
  <c r="G57" i="5"/>
  <c r="G54" i="5"/>
  <c r="G53" i="5"/>
  <c r="G51" i="5"/>
  <c r="G48" i="5"/>
  <c r="G47" i="5"/>
  <c r="G46" i="5"/>
  <c r="G45" i="5"/>
  <c r="G42" i="5"/>
  <c r="G41" i="5"/>
  <c r="G40" i="5"/>
  <c r="G35" i="5"/>
  <c r="G34" i="5"/>
  <c r="G33" i="5"/>
  <c r="G30" i="5"/>
  <c r="G27" i="5"/>
  <c r="G26" i="5"/>
  <c r="G25" i="5"/>
  <c r="G24" i="5"/>
  <c r="G19" i="5"/>
  <c r="G13" i="5"/>
  <c r="G12" i="5"/>
  <c r="G10" i="5"/>
  <c r="F10" i="5"/>
  <c r="E28" i="4"/>
  <c r="E27" i="4"/>
  <c r="E25" i="4"/>
  <c r="F111" i="1"/>
  <c r="E59" i="3"/>
  <c r="F59" i="3" s="1"/>
  <c r="E66" i="3"/>
  <c r="F66" i="3" s="1"/>
  <c r="E65" i="3"/>
  <c r="F65" i="3"/>
  <c r="E64" i="3"/>
  <c r="F64" i="3" s="1"/>
  <c r="E36" i="3"/>
  <c r="E35" i="3"/>
  <c r="E33" i="3"/>
  <c r="F33" i="3" s="1"/>
  <c r="E29" i="3"/>
  <c r="E28" i="3"/>
  <c r="E27" i="3"/>
  <c r="F27" i="3" s="1"/>
  <c r="E26" i="3"/>
  <c r="E22" i="3"/>
  <c r="F22" i="3" s="1"/>
  <c r="F20" i="3"/>
  <c r="E21" i="3"/>
  <c r="F21" i="3" s="1"/>
  <c r="F70" i="3"/>
  <c r="F67" i="3"/>
  <c r="F63" i="3"/>
  <c r="F62" i="3"/>
  <c r="F61" i="3"/>
  <c r="F43" i="3"/>
  <c r="F40" i="3"/>
  <c r="F36" i="3"/>
  <c r="F35" i="3"/>
  <c r="F29" i="3"/>
  <c r="F28" i="3"/>
  <c r="F26" i="3"/>
  <c r="F15" i="3"/>
  <c r="F44" i="4"/>
  <c r="F38" i="4"/>
  <c r="F35" i="4"/>
  <c r="F32" i="4"/>
  <c r="F28" i="4"/>
  <c r="F27" i="4"/>
  <c r="F26" i="4"/>
  <c r="F25" i="4"/>
  <c r="F21" i="4"/>
  <c r="F20" i="4"/>
  <c r="F120" i="1" l="1"/>
  <c r="F119" i="1"/>
  <c r="F118" i="1"/>
  <c r="F115" i="1"/>
  <c r="F112" i="1"/>
  <c r="F125" i="1"/>
  <c r="F88" i="1"/>
  <c r="F110" i="1"/>
  <c r="F109" i="1"/>
  <c r="F113" i="1"/>
  <c r="F75" i="1"/>
  <c r="G75" i="1"/>
  <c r="G72" i="1"/>
  <c r="G71" i="1"/>
  <c r="F64" i="1" l="1"/>
  <c r="F61" i="1"/>
  <c r="F60" i="1"/>
  <c r="F55" i="1"/>
  <c r="F54" i="1"/>
  <c r="F53" i="1"/>
  <c r="F52" i="1"/>
  <c r="H52" i="1" l="1"/>
  <c r="F45" i="1"/>
  <c r="F46" i="1"/>
  <c r="F41" i="1"/>
  <c r="F39" i="1"/>
  <c r="F38" i="1"/>
  <c r="F37" i="1"/>
  <c r="F34" i="1"/>
  <c r="G34" i="1" s="1"/>
  <c r="F31" i="1"/>
  <c r="F30" i="1"/>
  <c r="G30" i="1" s="1"/>
  <c r="F29" i="1"/>
  <c r="F28" i="1"/>
  <c r="F14" i="1"/>
  <c r="F22" i="1"/>
  <c r="G18" i="1" l="1"/>
  <c r="G17" i="1"/>
  <c r="G14" i="1" l="1"/>
  <c r="G125" i="1"/>
  <c r="G124" i="1"/>
  <c r="G123" i="1"/>
  <c r="G120" i="1"/>
  <c r="G119" i="1"/>
  <c r="G118" i="1"/>
  <c r="G115" i="1"/>
  <c r="G114" i="1"/>
  <c r="G113" i="1"/>
  <c r="G112" i="1"/>
  <c r="G111" i="1"/>
  <c r="G110" i="1"/>
  <c r="G109" i="1"/>
  <c r="G94" i="1"/>
  <c r="G93" i="1"/>
  <c r="G92" i="1"/>
  <c r="G91" i="1"/>
  <c r="G88" i="1"/>
  <c r="G85" i="1"/>
  <c r="G84" i="1"/>
  <c r="G81" i="1"/>
  <c r="G80" i="1"/>
  <c r="G79" i="1"/>
  <c r="G78" i="1"/>
  <c r="G68" i="1"/>
  <c r="G67" i="1"/>
  <c r="G64" i="1"/>
  <c r="G65" i="1" s="1"/>
  <c r="G61" i="1"/>
  <c r="G60" i="1"/>
  <c r="G59" i="1"/>
  <c r="G58" i="1"/>
  <c r="G55" i="1"/>
  <c r="G54" i="1"/>
  <c r="G53" i="1"/>
  <c r="G52" i="1"/>
  <c r="G51" i="1"/>
  <c r="G41" i="1"/>
  <c r="G40" i="1"/>
  <c r="G39" i="1"/>
  <c r="G38" i="1"/>
  <c r="G37" i="1"/>
  <c r="G48" i="1"/>
  <c r="G47" i="1"/>
  <c r="G46" i="1"/>
  <c r="G45" i="1"/>
  <c r="G44" i="1"/>
  <c r="G31" i="1"/>
  <c r="G29" i="1"/>
  <c r="G28" i="1"/>
  <c r="G25" i="1"/>
  <c r="G24" i="1"/>
  <c r="G23" i="1"/>
  <c r="G22" i="1"/>
  <c r="G21" i="1"/>
  <c r="G26" i="1" s="1"/>
  <c r="G32" i="1" l="1"/>
  <c r="G11" i="1" l="1"/>
  <c r="G12" i="1" s="1"/>
  <c r="G106" i="5"/>
  <c r="G100" i="5"/>
  <c r="G94" i="5"/>
  <c r="G87" i="5"/>
  <c r="G81" i="5"/>
  <c r="G75" i="5"/>
  <c r="G68" i="5"/>
  <c r="G61" i="5"/>
  <c r="G55" i="5"/>
  <c r="G49" i="5"/>
  <c r="G43" i="5"/>
  <c r="G36" i="5"/>
  <c r="G28" i="5"/>
  <c r="G20" i="5"/>
  <c r="G14" i="5"/>
  <c r="G8" i="5"/>
  <c r="F45" i="4"/>
  <c r="F39" i="4"/>
  <c r="F36" i="4"/>
  <c r="F33" i="4"/>
  <c r="F29" i="4"/>
  <c r="F22" i="4"/>
  <c r="F71" i="3"/>
  <c r="F68" i="3"/>
  <c r="F44" i="3"/>
  <c r="F41" i="3"/>
  <c r="F37" i="3"/>
  <c r="F30" i="3"/>
  <c r="F23" i="3"/>
  <c r="F17" i="3"/>
  <c r="F18" i="3" s="1"/>
  <c r="F16" i="3"/>
  <c r="G126" i="1"/>
  <c r="G121" i="1"/>
  <c r="G116" i="1"/>
  <c r="G82" i="1"/>
  <c r="G69" i="1"/>
  <c r="G62" i="1"/>
  <c r="G49" i="1"/>
  <c r="G56" i="1"/>
  <c r="G42" i="1"/>
  <c r="G35" i="1"/>
  <c r="G107" i="1"/>
  <c r="G95" i="1"/>
  <c r="G89" i="1"/>
  <c r="G86" i="1"/>
  <c r="G76" i="1"/>
  <c r="G73" i="1"/>
  <c r="G19" i="1"/>
  <c r="G15" i="1"/>
</calcChain>
</file>

<file path=xl/sharedStrings.xml><?xml version="1.0" encoding="utf-8"?>
<sst xmlns="http://schemas.openxmlformats.org/spreadsheetml/2006/main" count="2594" uniqueCount="454">
  <si>
    <t>SAS IFX Description</t>
  </si>
  <si>
    <t>Weight / Pc</t>
  </si>
  <si>
    <t>Unit of M</t>
  </si>
  <si>
    <t>Load Ratio</t>
  </si>
  <si>
    <t>Quality, brand, supplier, origin, comments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</si>
  <si>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</si>
  <si>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</si>
  <si>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</si>
  <si>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</si>
  <si>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</si>
  <si>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</si>
  <si>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</si>
  <si>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</si>
  <si>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gm</t>
  </si>
  <si>
    <t>2 Min</t>
  </si>
  <si>
    <t>250 gm bag-10 pax  1 bag per 10 pax -2 Bag minimum 2 Cabins</t>
  </si>
  <si>
    <t xml:space="preserve"> *PAX  Bulk Packed 2 min Wrapped Bowl with salad</t>
  </si>
  <si>
    <t xml:space="preserve">Premium Whipped Butter </t>
  </si>
  <si>
    <t>Maldon Flaky Salt</t>
  </si>
  <si>
    <t>Made in House</t>
  </si>
  <si>
    <t>Bulk Pack Bowl</t>
  </si>
  <si>
    <t>MADE IN HOUSE / cetified angus Beef</t>
  </si>
  <si>
    <t>MADE IN HOUSE</t>
  </si>
  <si>
    <t>Bell and Evans Organic /PRODUCED IN HOUSE</t>
  </si>
  <si>
    <t xml:space="preserve">MADE IN HOUSE </t>
  </si>
  <si>
    <t>4 x 25</t>
  </si>
  <si>
    <t>PASTA MAMI LOCAL PREMIUM</t>
  </si>
  <si>
    <t>PREMIUM</t>
  </si>
  <si>
    <t>Shredded Parmesan</t>
  </si>
  <si>
    <t>Bulk Load Rimmed Garnish Bowl</t>
  </si>
  <si>
    <t>8x20</t>
  </si>
  <si>
    <t xml:space="preserve">Bulk Load LOCAL </t>
  </si>
  <si>
    <t xml:space="preserve">LOCAL </t>
  </si>
  <si>
    <t>2 tray min</t>
  </si>
  <si>
    <t>8 dessert per tray - square platter china</t>
  </si>
  <si>
    <t>Blueberries</t>
  </si>
  <si>
    <t>Bulk Load Rimmed Garnish Bowl  10gm per pax</t>
  </si>
  <si>
    <t>Grapes</t>
  </si>
  <si>
    <t>Bulk Load square platter china</t>
  </si>
  <si>
    <t>Honeydew (0,75 inch cubes)</t>
  </si>
  <si>
    <t>3-4 Variety Seasonal</t>
  </si>
  <si>
    <t>Cantaloupe (0,75 inch cubes)</t>
  </si>
  <si>
    <t>WATERMELON (0,75 inch cubes)</t>
  </si>
  <si>
    <t>BAKED IN HOUSE</t>
  </si>
  <si>
    <t>Sourdough</t>
  </si>
  <si>
    <t>10 roll per bag 50/50 light/dark</t>
  </si>
  <si>
    <t>Multi Grain Beer and Cheese Roll</t>
  </si>
  <si>
    <t>Artisan Baguette Sliced</t>
  </si>
  <si>
    <t>2 FIXED</t>
  </si>
  <si>
    <t xml:space="preserve">Pre-Sliced - Oven Bag </t>
  </si>
  <si>
    <t>Bar Bulk Load</t>
  </si>
  <si>
    <t xml:space="preserve">Celery Stick </t>
  </si>
  <si>
    <t>Sliced Lemon Half Moon</t>
  </si>
  <si>
    <t>Lemon Wedges</t>
  </si>
  <si>
    <t>Lime Wedges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</si>
  <si>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</si>
  <si>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</si>
  <si>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</si>
  <si>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</si>
  <si>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</si>
  <si>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</si>
  <si>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</si>
  <si>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</si>
  <si>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</si>
  <si>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</si>
  <si>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Gm</t>
  </si>
  <si>
    <t>2 X 12</t>
  </si>
  <si>
    <t xml:space="preserve"> WHOLE MUSCLE PREMIUM LOCAL</t>
  </si>
  <si>
    <t>Leaf Lettuce</t>
  </si>
  <si>
    <t>2x 5</t>
  </si>
  <si>
    <t xml:space="preserve"> </t>
  </si>
  <si>
    <t>2 x 10</t>
  </si>
  <si>
    <t xml:space="preserve">IC C S2 BRD </t>
  </si>
  <si>
    <t>Mini Croissant</t>
  </si>
  <si>
    <t>pastry box</t>
  </si>
  <si>
    <t>Six Grain Roll</t>
  </si>
  <si>
    <t>Mini Bagel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</si>
  <si>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</si>
  <si>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</si>
  <si>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</si>
  <si>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</si>
  <si>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</si>
  <si>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</si>
  <si>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</si>
  <si>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</si>
  <si>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</si>
  <si>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</si>
  <si>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</si>
  <si>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</si>
  <si>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</si>
  <si>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C2</t>
  </si>
  <si>
    <t>IC Y/M S1 HM-B C2</t>
  </si>
  <si>
    <t>Bell and Evans Organic</t>
  </si>
  <si>
    <t>IC Y/M S1+S2 BRD Type 1 C2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</si>
  <si>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</si>
  <si>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</si>
  <si>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</si>
  <si>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</si>
  <si>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</si>
  <si>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</si>
  <si>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</si>
  <si>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</si>
  <si>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</si>
  <si>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</si>
  <si>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Hard boiled egg half</t>
  </si>
  <si>
    <t xml:space="preserve">Cherry tomato </t>
  </si>
  <si>
    <t>2x 10</t>
  </si>
  <si>
    <t>Cantaloupe Wedge</t>
  </si>
  <si>
    <t>pc</t>
  </si>
  <si>
    <t>GO (ECONOMY) MAX - 174 PAX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</si>
  <si>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</si>
  <si>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</si>
  <si>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</si>
  <si>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</si>
  <si>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</si>
  <si>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</si>
  <si>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</si>
  <si>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</si>
  <si>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</si>
  <si>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IC M S1 SALAD C2</t>
  </si>
  <si>
    <t>Mesclun Mixed Green Mix</t>
  </si>
  <si>
    <t>English Cucumber Slice</t>
  </si>
  <si>
    <t>Honey Wheat Roll</t>
  </si>
  <si>
    <t>IC M S2 JUICE C2</t>
  </si>
  <si>
    <t>PP Juice</t>
  </si>
  <si>
    <t xml:space="preserve">IC M S2 SW </t>
  </si>
  <si>
    <t>Crew Meals  - 8 CREW - 2 PILOT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</si>
  <si>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</si>
  <si>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</si>
  <si>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</si>
  <si>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</si>
  <si>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</si>
  <si>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</si>
  <si>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</si>
  <si>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HEY WOOD HAM</t>
  </si>
  <si>
    <t>Mayo (top and bottom)</t>
  </si>
  <si>
    <t>50-60</t>
  </si>
  <si>
    <t>Baked in house</t>
  </si>
  <si>
    <t>CRW K CM B</t>
  </si>
  <si>
    <t>WHEAT Roll  (50-60gr)</t>
  </si>
  <si>
    <t>Baked  in House</t>
  </si>
  <si>
    <t xml:space="preserve">CRW P CM - Poultry or Salmon A </t>
  </si>
  <si>
    <t>GM</t>
  </si>
  <si>
    <t xml:space="preserve">CRW P CM - Meat B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</si>
  <si>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</si>
  <si>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</si>
  <si>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</si>
  <si>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</si>
  <si>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</si>
  <si>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</si>
  <si>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</si>
  <si>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</si>
  <si>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 xml:space="preserve">CRW K HM Salad </t>
  </si>
  <si>
    <t xml:space="preserve">CRW P HM A </t>
  </si>
  <si>
    <t xml:space="preserve"> Bell and Evans Organic </t>
  </si>
  <si>
    <t xml:space="preserve">CRW K HM A 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</si>
  <si>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</si>
  <si>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</si>
  <si>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</si>
  <si>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</si>
  <si>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CHIBANI YOGURT 4OZ </t>
  </si>
  <si>
    <t>Portion packed local cheese</t>
  </si>
  <si>
    <t xml:space="preserve"> MINI BRIE WEDGE INVD WRAP, ILE DE GRANCE CHEESE  </t>
  </si>
  <si>
    <t xml:space="preserve">CRW P HB </t>
  </si>
  <si>
    <t>BLANCH MARINATED KALE</t>
  </si>
  <si>
    <t>BREAKFAST POTATOES</t>
  </si>
  <si>
    <t>TURKEY SAUSAGE LINK</t>
  </si>
  <si>
    <t xml:space="preserve">CRW K HB </t>
  </si>
  <si>
    <t>AVML</t>
  </si>
  <si>
    <t>CHML</t>
  </si>
  <si>
    <t>LGML</t>
  </si>
  <si>
    <t>VGML</t>
  </si>
  <si>
    <t>VLML</t>
  </si>
  <si>
    <t xml:space="preserve">Mesclun Mixed Greens </t>
  </si>
  <si>
    <t>VEG MARGARINE CUP</t>
  </si>
  <si>
    <t>SPML - STARTER</t>
  </si>
  <si>
    <t>Grilled Eggplant</t>
  </si>
  <si>
    <t>Grilled Zuchinii</t>
  </si>
  <si>
    <t>Grilled Yellow Squash</t>
  </si>
  <si>
    <t>Cherry/Grape Tomato</t>
  </si>
  <si>
    <t>1 x 10</t>
  </si>
  <si>
    <t>Hummus</t>
  </si>
  <si>
    <t>HOT MEAL</t>
  </si>
  <si>
    <t>Grilled Tofu</t>
  </si>
  <si>
    <t>Fried Chicken Cutlet</t>
  </si>
  <si>
    <t>Marinara</t>
  </si>
  <si>
    <t>Mash Potatoes</t>
  </si>
  <si>
    <t>Buttered Spring Peas</t>
  </si>
  <si>
    <t>Parmesan Cheeese Shreds</t>
  </si>
  <si>
    <t>GLUTEN FREE ROLL</t>
  </si>
  <si>
    <t>Six Grain Bread</t>
  </si>
  <si>
    <t>Portioned packed MARGARINE10-15 gm</t>
  </si>
  <si>
    <t>Portioned packed MARGARINE 10-15 gm</t>
  </si>
  <si>
    <t>Poritoned Packed Chocolate</t>
  </si>
  <si>
    <t>Gluten FreeRoll</t>
  </si>
  <si>
    <t>Portioned packed MARGIRINE 10-15 g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</si>
  <si>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</si>
  <si>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</si>
  <si>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</si>
  <si>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</si>
  <si>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</si>
  <si>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Portioned packed milk jigger</t>
  </si>
  <si>
    <t>Portioned packed JUICE</t>
  </si>
  <si>
    <t>Portioned packed MILK</t>
  </si>
  <si>
    <t>MEAT MEAL</t>
  </si>
  <si>
    <t>CHICKEN MEAL</t>
  </si>
  <si>
    <t>VEG LACTO MEAL</t>
  </si>
  <si>
    <t>FISH MEAL</t>
  </si>
  <si>
    <t>COLD MEAL STARTER 1ST SERVICE</t>
  </si>
  <si>
    <t>CRW P CM - STARTER</t>
  </si>
  <si>
    <t>CRW P CM -  STARTER</t>
  </si>
  <si>
    <t>HOT MEAL 2ND SERVICE</t>
  </si>
  <si>
    <t>MARGARINE</t>
  </si>
  <si>
    <t>GF Bread</t>
  </si>
  <si>
    <t>Portion packed local MARGAINE</t>
  </si>
  <si>
    <t>Bulk Packed Both Services</t>
  </si>
  <si>
    <t>Pre-Select</t>
  </si>
  <si>
    <t>Plastic Cup</t>
  </si>
  <si>
    <t>BUSINESS CLASS - 1st service express tray 4 TSU per flight</t>
  </si>
  <si>
    <t>TOFU SCRAMBLE</t>
  </si>
  <si>
    <t>BLISTERED TOMATO</t>
  </si>
  <si>
    <t>IC Y S1 HM-A C3</t>
  </si>
  <si>
    <t>Slices</t>
  </si>
  <si>
    <t xml:space="preserve"> GF Roll</t>
  </si>
  <si>
    <t>Chocolate</t>
  </si>
  <si>
    <t>2  min</t>
  </si>
  <si>
    <t>aCup</t>
  </si>
  <si>
    <t>Cherry Tomato</t>
  </si>
  <si>
    <t>Bercher Muesli</t>
  </si>
  <si>
    <t>IQF Georgia Peaches</t>
  </si>
  <si>
    <t>IC Y S1 ST C3</t>
  </si>
  <si>
    <t>SECOND SERVICE</t>
  </si>
  <si>
    <t>Sourdough Roll</t>
  </si>
  <si>
    <t>Halved Heirloom Cherry Tomato</t>
  </si>
  <si>
    <t>Jam</t>
  </si>
  <si>
    <t>Each</t>
  </si>
  <si>
    <t>PC</t>
  </si>
  <si>
    <t>FRITTATTA</t>
  </si>
  <si>
    <t>2 x 30</t>
  </si>
  <si>
    <t xml:space="preserve"> wheat roll, Baked in house </t>
  </si>
  <si>
    <t>Green Leaf Lettuce</t>
  </si>
  <si>
    <t>Ranch Cup</t>
  </si>
  <si>
    <t>Gluten Free Roll</t>
  </si>
  <si>
    <t>Mixed Fruit</t>
  </si>
  <si>
    <t>VEGAN Cream Cheese</t>
  </si>
  <si>
    <t>Mixed Berries</t>
  </si>
  <si>
    <t>Vegan Sliced Cheese</t>
  </si>
  <si>
    <t>Shredded Carrot</t>
  </si>
  <si>
    <t>Portioned Packed Dressing</t>
  </si>
  <si>
    <t>CARROT STICK</t>
  </si>
  <si>
    <t>CELERY STICKS</t>
  </si>
  <si>
    <t>3 X10</t>
  </si>
  <si>
    <t>3 X 10</t>
  </si>
  <si>
    <t>3X 10</t>
  </si>
  <si>
    <t>Red Pepper Frittatta</t>
  </si>
  <si>
    <t xml:space="preserve">Red Pepper Fritatta </t>
  </si>
  <si>
    <t>Pickled Red Onions</t>
  </si>
  <si>
    <t>Cucumber Slices</t>
  </si>
  <si>
    <t>Vegan Cream Cheese</t>
  </si>
  <si>
    <t>Fresh Strawberry  Quarters</t>
  </si>
  <si>
    <t>Fresh Blueberries</t>
  </si>
  <si>
    <t>Celery Stick</t>
  </si>
  <si>
    <t>Cage Free Boiled Egg Half</t>
  </si>
  <si>
    <t>Melon</t>
  </si>
  <si>
    <t>BUSINESS CLASS - Max 32 +  6 buffer pax</t>
  </si>
  <si>
    <t>PLUS (PREMIUM ECO) MAX - 57 PAX + 6 buffer</t>
  </si>
  <si>
    <t>Portion packed FRUIT CUP</t>
  </si>
  <si>
    <t>Portioned packed MARGERINE 10-15 g</t>
  </si>
  <si>
    <t xml:space="preserve">MARGARINE </t>
  </si>
  <si>
    <t>Spiced Pepitas</t>
  </si>
  <si>
    <t>Truffle Pate Mousse</t>
  </si>
  <si>
    <t>Orange Cranberry Chutney</t>
  </si>
  <si>
    <t>Cornichon</t>
  </si>
  <si>
    <t>Endive</t>
  </si>
  <si>
    <t>Avocado Mousse</t>
  </si>
  <si>
    <t>Mango Relish</t>
  </si>
  <si>
    <t>Crushed Pistachios</t>
  </si>
  <si>
    <t>Pastrami Crusted Short Rib</t>
  </si>
  <si>
    <t>Au Poivre Sauce</t>
  </si>
  <si>
    <t>Pickled Mustard Seed</t>
  </si>
  <si>
    <t xml:space="preserve">Creamy Herbed Farrotto </t>
  </si>
  <si>
    <t>Roasted Butternut Squash</t>
  </si>
  <si>
    <t>Duck Confit</t>
  </si>
  <si>
    <t>Roasted Grape Demi Glace</t>
  </si>
  <si>
    <t>Wild Mushroom Ravioli</t>
  </si>
  <si>
    <t>Sage Brown Butter Sauce</t>
  </si>
  <si>
    <t>Kale Pesto</t>
  </si>
  <si>
    <t>Marinated Broccolini</t>
  </si>
  <si>
    <t>Root Veg Hash</t>
  </si>
  <si>
    <t>Marinated Kale</t>
  </si>
  <si>
    <t>Maryland Style Crab Cakes</t>
  </si>
  <si>
    <t>Artichoke Risotto</t>
  </si>
  <si>
    <t>Lemon Dill Beurre Blanc</t>
  </si>
  <si>
    <t>Sweet Grass Dairy Georgia Gouda</t>
  </si>
  <si>
    <t>Sweet Grass Pimento Cheese</t>
  </si>
  <si>
    <t>Sticky Toffee Pudding</t>
  </si>
  <si>
    <t>Toffee Sauce</t>
  </si>
  <si>
    <t>Everything Cream Cheese</t>
  </si>
  <si>
    <t>Sweet Grass Dairy Thomasville Tomme</t>
  </si>
  <si>
    <t>Shaved Radish</t>
  </si>
  <si>
    <t>Fresh Cucumber Rounds</t>
  </si>
  <si>
    <t>Black Forest Ham</t>
  </si>
  <si>
    <t>Greek Yogurt</t>
  </si>
  <si>
    <t>Poached Pears</t>
  </si>
  <si>
    <t>Toasted Coconut</t>
  </si>
  <si>
    <t>Grilled Georgia Prawn</t>
  </si>
  <si>
    <t>Ricotta Salata</t>
  </si>
  <si>
    <t>Sauteed Shitake</t>
  </si>
  <si>
    <t>Corned Beef Slice</t>
  </si>
  <si>
    <t>Southern Potato Salad</t>
  </si>
  <si>
    <t>Meditteranean Grilled Chicken</t>
  </si>
  <si>
    <t>Honey Harissa Glaze</t>
  </si>
  <si>
    <t>Lemon Herb Rice</t>
  </si>
  <si>
    <t>Feta Cheese</t>
  </si>
  <si>
    <t>Roasted Red/Green Peppers</t>
  </si>
  <si>
    <t>Apple Cranberry Tart</t>
  </si>
  <si>
    <t>Apple Spiced Crème Fraiche</t>
  </si>
  <si>
    <t>Finlandia Swiss Cheese</t>
  </si>
  <si>
    <t>Cucumber Rounds</t>
  </si>
  <si>
    <t>Asiago Cheese</t>
  </si>
  <si>
    <t>Spiced Apple Ginger Cheesecake Bar</t>
  </si>
  <si>
    <t>Potato Salad</t>
  </si>
  <si>
    <t>Georgia Prawn</t>
  </si>
  <si>
    <t xml:space="preserve">Crouquant </t>
  </si>
  <si>
    <t>Sliced Red Onion</t>
  </si>
  <si>
    <t xml:space="preserve">Sliced English Cucumber </t>
  </si>
  <si>
    <t>Tuscan Cheese Tortellini</t>
  </si>
  <si>
    <t>Brown Butter Cream Sauce</t>
  </si>
  <si>
    <t>Roated Crimini Mushrooms</t>
  </si>
  <si>
    <t>Green Peas</t>
  </si>
  <si>
    <t>Parmesan</t>
  </si>
  <si>
    <t>IC M S2 SW C4</t>
  </si>
  <si>
    <t>English Muffin</t>
  </si>
  <si>
    <t>Cage Free Egg Patty</t>
  </si>
  <si>
    <t>Cheddar Cheese</t>
  </si>
  <si>
    <t>IC Y S1 TSU C4</t>
  </si>
  <si>
    <t>IC Y S1 ST C4</t>
  </si>
  <si>
    <t>Green Leaf Liner</t>
  </si>
  <si>
    <t>IC Y S1 HM-A C4</t>
  </si>
  <si>
    <t>IC Y/M S1 HM-B C4</t>
  </si>
  <si>
    <t>IC Y S1 DE C4</t>
  </si>
  <si>
    <t>BRD Y S1  C4</t>
  </si>
  <si>
    <t>IC Y S2 TSU C4</t>
  </si>
  <si>
    <t>IC Y S2 BREAKFAST PLATE C4</t>
  </si>
  <si>
    <t>Orange Slice</t>
  </si>
  <si>
    <t>Bresaola</t>
  </si>
  <si>
    <t>Corned Beef</t>
  </si>
  <si>
    <t>Swiss Cheese</t>
  </si>
  <si>
    <t>EggPlant</t>
  </si>
  <si>
    <t>Red Pepper Strips</t>
  </si>
  <si>
    <t>Wheat Bread</t>
  </si>
  <si>
    <t>Wheat Bread (50-60gr)</t>
  </si>
  <si>
    <t>Smoked Salmon</t>
  </si>
  <si>
    <t>Sweet Chili Sauce</t>
  </si>
  <si>
    <t>IC C S3 BRD C4</t>
  </si>
  <si>
    <t>IC C S2 FRUIT C4</t>
  </si>
  <si>
    <t>IC C S2 COLD CUTS C4</t>
  </si>
  <si>
    <t>IC C S2 TSU C4</t>
  </si>
  <si>
    <t>IC C S1 BRD Type 2 C4</t>
  </si>
  <si>
    <t>IC C S1 BRD Type 1 C4</t>
  </si>
  <si>
    <t>IC C S1 DE FRUIT C4</t>
  </si>
  <si>
    <t>IC C S1 DE CAKE GARNISH C4</t>
  </si>
  <si>
    <t>IC C S1 DE CAKE C4</t>
  </si>
  <si>
    <t>IC C S1 DE CHEESE C4</t>
  </si>
  <si>
    <t>IC C S1 HM GARNISH C4</t>
  </si>
  <si>
    <t>IC C S1 HM-D VEG C4</t>
  </si>
  <si>
    <t>IC C S1 HM-Pre Select ONLY -FISH</t>
  </si>
  <si>
    <t>IC C S1 HM-C POULTRY C4</t>
  </si>
  <si>
    <t>IC C S1 HM-A MEAT C4</t>
  </si>
  <si>
    <t>IC C S1 ST GARNISH C4</t>
  </si>
  <si>
    <t>IC C S1 ST-B FISH C4</t>
  </si>
  <si>
    <t>IC C S1 ST-A MEAT C4</t>
  </si>
  <si>
    <t>IC C S1+S2 BUTTER C4</t>
  </si>
  <si>
    <t>IC C S1 SA GARNISH C4</t>
  </si>
  <si>
    <t>IC C S1 SALAD C4</t>
  </si>
  <si>
    <t>IC C S1 CUTLERY C4</t>
  </si>
  <si>
    <t>IC M S1 SALAD C4</t>
  </si>
  <si>
    <t>IC M S1 HM C4</t>
  </si>
  <si>
    <t>IC M S1 DE C4</t>
  </si>
  <si>
    <t>IC Y/M S1+S2 BRD Type 1 C4</t>
  </si>
  <si>
    <t>IC M S2 JUICE C4</t>
  </si>
  <si>
    <t xml:space="preserve">IC C S1+S2 BUTTER </t>
  </si>
  <si>
    <t xml:space="preserve">IC C S1 CUTLERY </t>
  </si>
  <si>
    <t xml:space="preserve">IC C S1 DE CHEESE </t>
  </si>
  <si>
    <t xml:space="preserve">IC C S1 DE CAKE </t>
  </si>
  <si>
    <t xml:space="preserve">IC C S1 DE CAKE GARNISH </t>
  </si>
  <si>
    <t xml:space="preserve">IC C S1 BRD Type 2 </t>
  </si>
  <si>
    <t xml:space="preserve">IC C S2 TSU </t>
  </si>
  <si>
    <t xml:space="preserve">IC C S1 BRD Type 1 </t>
  </si>
  <si>
    <t xml:space="preserve">IC C S2 COLD CUTS </t>
  </si>
  <si>
    <t xml:space="preserve">IC C S2 FRUIT </t>
  </si>
  <si>
    <t>Black Forest Ham  (Heywoods)</t>
  </si>
  <si>
    <t>IC C S1 BRD Type 1</t>
  </si>
  <si>
    <t>Dark Forest Ham</t>
  </si>
  <si>
    <t>Dark Forest Haam</t>
  </si>
  <si>
    <t>IC C S2 TSU</t>
  </si>
  <si>
    <t>Vegan Pepperoni</t>
  </si>
  <si>
    <t>Ranch Cup (on TSU)</t>
  </si>
  <si>
    <t>Carrot Sticks</t>
  </si>
  <si>
    <t>Celery sticks</t>
  </si>
  <si>
    <t xml:space="preserve">IC Y S1 TSU </t>
  </si>
  <si>
    <t xml:space="preserve">IC Y S1 ST </t>
  </si>
  <si>
    <t>Roasted Crimini Mushrooms</t>
  </si>
  <si>
    <t>Butternut Squash with Parsley</t>
  </si>
  <si>
    <t>Roasted Shitake</t>
  </si>
  <si>
    <t>ea</t>
  </si>
  <si>
    <t>Pasta Mami Ravioli -(Cheese/Veg)</t>
  </si>
  <si>
    <t xml:space="preserve">IC Y S1 HM-A </t>
  </si>
  <si>
    <t xml:space="preserve">IC Y S1 DE </t>
  </si>
  <si>
    <t xml:space="preserve">IC Y/M S1+S2 BRD Type 1 </t>
  </si>
  <si>
    <t xml:space="preserve">IC Y S2 TSU </t>
  </si>
  <si>
    <t>Vegan  Pepperoni</t>
  </si>
  <si>
    <t xml:space="preserve">IC Y S2 BREAKFAST PLATE </t>
  </si>
  <si>
    <t xml:space="preserve">IC M S1 TSU </t>
  </si>
  <si>
    <t>MEML- PREMIUM MEAT MEAL</t>
  </si>
  <si>
    <t>CKML- PREMIUM CHICKEN MEAL</t>
  </si>
  <si>
    <t>GHML- PREMIUM GREENMEAL- VEG LACTO MEAL</t>
  </si>
  <si>
    <t>FIML- PREMIUM MEAT MEAL</t>
  </si>
  <si>
    <t>Portioned Packed Ranch Sticks</t>
  </si>
  <si>
    <t>Ravioli -(Cheese)</t>
  </si>
  <si>
    <t>Vegan Cheese Slice</t>
  </si>
  <si>
    <t>Just Egg Vegan Patty</t>
  </si>
  <si>
    <t>Whole Wheat Roll</t>
  </si>
  <si>
    <t>3x35gm</t>
  </si>
  <si>
    <t>Vegan Cheese</t>
  </si>
  <si>
    <t>PP Margarine</t>
  </si>
  <si>
    <t>Portion packed Margarine</t>
  </si>
  <si>
    <t>Portion packed margine</t>
  </si>
  <si>
    <t>Fruit cup</t>
  </si>
  <si>
    <t>Fruit Cup</t>
  </si>
  <si>
    <t xml:space="preserve">Food Cost </t>
  </si>
  <si>
    <t>Food Waste</t>
  </si>
  <si>
    <t xml:space="preserve">bell pepper slaw </t>
  </si>
  <si>
    <t>????</t>
  </si>
  <si>
    <t>sr263</t>
  </si>
  <si>
    <t>c021</t>
  </si>
  <si>
    <t xml:space="preserve">SYSCO, 2.25 PER LB WITH JUICE </t>
  </si>
  <si>
    <t>SYSCO, 4.095 PER LB</t>
  </si>
  <si>
    <t>SR185</t>
  </si>
  <si>
    <t>C018</t>
  </si>
  <si>
    <t>F706</t>
  </si>
  <si>
    <t>C164</t>
  </si>
  <si>
    <t>CONSIDER 20G, EACH ORANGE CONSIDER 5 SLICE</t>
  </si>
  <si>
    <t>sr234</t>
  </si>
  <si>
    <t>c059</t>
  </si>
  <si>
    <t>88.16 for 16/5oz</t>
  </si>
  <si>
    <t>45.3 for 8/6oz</t>
  </si>
  <si>
    <t xml:space="preserve">64.2 per 12lb. 0.3 extra consider labor </t>
  </si>
  <si>
    <t>50% buffer</t>
  </si>
  <si>
    <t xml:space="preserve">66 for 120ea, 30% labor and 10% profit </t>
  </si>
  <si>
    <t>C016</t>
  </si>
  <si>
    <t>24.29 for 72 ea (2oz each)</t>
  </si>
  <si>
    <t>94.99 for 168 ea (1.5oz each)</t>
  </si>
  <si>
    <t>44.37 for 8/5.5oz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</si>
</sst>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ptos Narrow"/>
      <family val="2"/>
    </font>
    <font>
      <sz val="6"/>
      <name val="Yu Gothic"/>
      <family val="2"/>
      <charset val="128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</cellStyleXfs>
  <cellXfs count="163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1" applyNumberFormat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left"/>
    </xf>
    <xf numFmtId="43" fontId="6" fillId="5" borderId="2" xfId="1" applyFont="1" applyFill="1" applyBorder="1" applyAlignment="1">
      <alignment horizontal="center"/>
    </xf>
    <xf numFmtId="8" fontId="2" fillId="0" borderId="0" xfId="0" applyNumberFormat="1" applyFont="1"/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5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3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0" fillId="5" borderId="3" xfId="0" applyFill="1" applyBorder="1"/>
    <xf numFmtId="0" fontId="6" fillId="5" borderId="4" xfId="0" applyFont="1" applyFill="1" applyBorder="1" applyAlignment="1" applyProtection="1">
      <alignment horizontal="center" vertical="top"/>
      <protection locked="0"/>
    </xf>
    <xf numFmtId="43" fontId="6" fillId="5" borderId="4" xfId="1" applyFont="1" applyFill="1" applyBorder="1" applyAlignment="1" applyProtection="1">
      <alignment horizontal="center" vertical="top"/>
      <protection locked="0"/>
    </xf>
    <xf numFmtId="0" fontId="0" fillId="5" borderId="3" xfId="0" applyFill="1" applyBorder="1" applyAlignment="1">
      <alignment horizontal="center" vertical="top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3" fontId="6" fillId="2" borderId="2" xfId="1" applyFont="1" applyFill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left"/>
      <protection locked="0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43" fontId="6" fillId="3" borderId="2" xfId="1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0" fontId="16" fillId="0" borderId="0" xfId="0" applyFont="1"/>
    <xf numFmtId="9" fontId="17" fillId="0" borderId="0" xfId="0" applyNumberFormat="1" applyFont="1"/>
    <xf numFmtId="0" fontId="18" fillId="8" borderId="10" xfId="0" applyFont="1" applyFill="1" applyBorder="1"/>
    <xf numFmtId="0" fontId="19" fillId="8" borderId="11" xfId="0" applyFont="1" applyFill="1" applyBorder="1"/>
    <xf numFmtId="0" fontId="20" fillId="0" borderId="2" xfId="0" applyFont="1" applyBorder="1"/>
    <xf numFmtId="0" fontId="0" fillId="0" borderId="2" xfId="0" applyBorder="1"/>
    <xf numFmtId="0" fontId="0" fillId="0" borderId="3" xfId="0" applyBorder="1"/>
    <xf numFmtId="0" fontId="20" fillId="9" borderId="3" xfId="0" applyFont="1" applyFill="1" applyBorder="1"/>
    <xf numFmtId="0" fontId="15" fillId="9" borderId="3" xfId="0" applyFont="1" applyFill="1" applyBorder="1"/>
    <xf numFmtId="8" fontId="20" fillId="0" borderId="2" xfId="0" applyNumberFormat="1" applyFont="1" applyBorder="1"/>
    <xf numFmtId="0" fontId="20" fillId="0" borderId="2" xfId="0" applyFont="1" applyBorder="1" applyAlignment="1">
      <alignment horizontal="right"/>
    </xf>
    <xf numFmtId="0" fontId="20" fillId="2" borderId="2" xfId="0" applyFont="1" applyFill="1" applyBorder="1"/>
    <xf numFmtId="0" fontId="20" fillId="0" borderId="3" xfId="0" applyFont="1" applyBorder="1"/>
    <xf numFmtId="0" fontId="4" fillId="0" borderId="8" xfId="0" applyFont="1" applyBorder="1" applyAlignment="1">
      <alignment horizontal="left" vertical="top" wrapText="1"/>
    </xf>
    <xf numFmtId="0" fontId="5" fillId="3" borderId="8" xfId="0" applyFont="1" applyFill="1" applyBorder="1" applyAlignment="1">
      <alignment horizontal="left"/>
    </xf>
    <xf numFmtId="43" fontId="6" fillId="0" borderId="8" xfId="1" applyFont="1" applyFill="1" applyBorder="1" applyAlignment="1" applyProtection="1">
      <alignment horizontal="left"/>
    </xf>
    <xf numFmtId="43" fontId="6" fillId="5" borderId="8" xfId="1" applyFont="1" applyFill="1" applyBorder="1" applyAlignment="1" applyProtection="1">
      <alignment horizontal="left"/>
      <protection locked="0"/>
    </xf>
    <xf numFmtId="43" fontId="6" fillId="0" borderId="8" xfId="1" applyFont="1" applyFill="1" applyBorder="1" applyAlignment="1" applyProtection="1">
      <alignment horizontal="left"/>
      <protection locked="0"/>
    </xf>
    <xf numFmtId="9" fontId="6" fillId="5" borderId="8" xfId="1" applyNumberFormat="1" applyFont="1" applyFill="1" applyBorder="1" applyAlignment="1" applyProtection="1">
      <alignment horizontal="left"/>
      <protection locked="0"/>
    </xf>
    <xf numFmtId="43" fontId="6" fillId="2" borderId="8" xfId="1" applyFont="1" applyFill="1" applyBorder="1" applyAlignment="1" applyProtection="1">
      <alignment horizontal="left"/>
    </xf>
    <xf numFmtId="0" fontId="5" fillId="3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</xf>
    <xf numFmtId="43" fontId="6" fillId="0" borderId="8" xfId="1" applyFont="1" applyFill="1" applyBorder="1" applyAlignment="1" applyProtection="1">
      <alignment horizontal="center" vertical="center"/>
    </xf>
    <xf numFmtId="9" fontId="6" fillId="5" borderId="8" xfId="1" applyNumberFormat="1" applyFont="1" applyFill="1" applyBorder="1" applyAlignment="1" applyProtection="1">
      <alignment horizontal="center" vertical="center"/>
      <protection locked="0"/>
    </xf>
    <xf numFmtId="0" fontId="16" fillId="0" borderId="2" xfId="0" applyFont="1" applyBorder="1"/>
    <xf numFmtId="9" fontId="17" fillId="0" borderId="2" xfId="0" applyNumberFormat="1" applyFont="1" applyBorder="1"/>
    <xf numFmtId="0" fontId="18" fillId="8" borderId="2" xfId="0" applyFont="1" applyFill="1" applyBorder="1"/>
    <xf numFmtId="0" fontId="19" fillId="8" borderId="2" xfId="0" applyFont="1" applyFill="1" applyBorder="1"/>
    <xf numFmtId="43" fontId="6" fillId="0" borderId="14" xfId="1" applyFont="1" applyFill="1" applyBorder="1" applyAlignment="1" applyProtection="1">
      <alignment horizontal="center" vertical="center"/>
    </xf>
    <xf numFmtId="0" fontId="5" fillId="4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/>
    <xf numFmtId="0" fontId="11" fillId="2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4" borderId="8" xfId="0" applyFont="1" applyFill="1" applyBorder="1" applyAlignment="1">
      <alignment horizontal="left" vertical="center"/>
    </xf>
    <xf numFmtId="43" fontId="6" fillId="2" borderId="8" xfId="1" applyFont="1" applyFill="1" applyBorder="1" applyAlignment="1" applyProtection="1">
      <alignment horizontal="left" vertical="center"/>
      <protection locked="0"/>
    </xf>
    <xf numFmtId="43" fontId="6" fillId="0" borderId="8" xfId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left" vertical="center"/>
      <protection locked="0"/>
    </xf>
    <xf numFmtId="0" fontId="20" fillId="0" borderId="0" xfId="0" applyFont="1"/>
    <xf numFmtId="0" fontId="0" fillId="0" borderId="15" xfId="0" applyBorder="1"/>
    <xf numFmtId="0" fontId="20" fillId="9" borderId="16" xfId="0" applyFont="1" applyFill="1" applyBorder="1"/>
    <xf numFmtId="44" fontId="0" fillId="0" borderId="2" xfId="3" applyFont="1" applyBorder="1"/>
    <xf numFmtId="0" fontId="21" fillId="0" borderId="3" xfId="0" applyFont="1" applyBorder="1"/>
    <xf numFmtId="0" fontId="0" fillId="2" borderId="2" xfId="0" applyFill="1" applyBorder="1"/>
    <xf numFmtId="9" fontId="21" fillId="0" borderId="0" xfId="0" applyNumberFormat="1" applyFont="1"/>
    <xf numFmtId="0" fontId="22" fillId="8" borderId="10" xfId="0" applyFont="1" applyFill="1" applyBorder="1"/>
    <xf numFmtId="0" fontId="23" fillId="8" borderId="10" xfId="0" applyFont="1" applyFill="1" applyBorder="1"/>
    <xf numFmtId="9" fontId="6" fillId="5" borderId="4" xfId="1" applyNumberFormat="1" applyFont="1" applyFill="1" applyBorder="1" applyAlignment="1" applyProtection="1">
      <alignment horizontal="center" vertical="center"/>
      <protection locked="0"/>
    </xf>
    <xf numFmtId="43" fontId="6" fillId="5" borderId="6" xfId="1" applyFont="1" applyFill="1" applyBorder="1" applyAlignment="1" applyProtection="1">
      <alignment horizontal="center" vertical="center"/>
      <protection locked="0"/>
    </xf>
    <xf numFmtId="43" fontId="6" fillId="5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5" borderId="3" xfId="1" applyNumberFormat="1" applyFont="1" applyFill="1" applyBorder="1" applyAlignment="1" applyProtection="1">
      <alignment horizontal="center" vertical="center"/>
      <protection locked="0"/>
    </xf>
    <xf numFmtId="43" fontId="6" fillId="5" borderId="3" xfId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6" fillId="5" borderId="7" xfId="1" applyFont="1" applyFill="1" applyBorder="1" applyAlignment="1">
      <alignment horizontal="center" vertical="center"/>
    </xf>
    <xf numFmtId="43" fontId="6" fillId="5" borderId="4" xfId="1" applyFont="1" applyFill="1" applyBorder="1" applyAlignment="1" applyProtection="1">
      <alignment horizontal="center" vertical="center"/>
      <protection locked="0"/>
    </xf>
    <xf numFmtId="16" fontId="6" fillId="5" borderId="4" xfId="1" applyNumberFormat="1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6" fillId="5" borderId="12" xfId="1" applyNumberFormat="1" applyFont="1" applyFill="1" applyBorder="1" applyAlignment="1" applyProtection="1">
      <alignment horizontal="center" vertical="center"/>
      <protection locked="0"/>
    </xf>
    <xf numFmtId="43" fontId="6" fillId="5" borderId="14" xfId="1" applyFont="1" applyFill="1" applyBorder="1" applyAlignment="1" applyProtection="1">
      <alignment horizontal="center" vertical="center"/>
      <protection locked="0"/>
    </xf>
    <xf numFmtId="43" fontId="6" fillId="5" borderId="13" xfId="1" applyFont="1" applyFill="1" applyBorder="1" applyAlignment="1" applyProtection="1">
      <alignment horizontal="center" vertical="center"/>
      <protection locked="0"/>
    </xf>
    <xf numFmtId="9" fontId="6" fillId="5" borderId="13" xfId="1" applyNumberFormat="1" applyFont="1" applyFill="1" applyBorder="1" applyAlignment="1" applyProtection="1">
      <alignment horizontal="center" vertical="center"/>
      <protection locked="0"/>
    </xf>
    <xf numFmtId="9" fontId="6" fillId="0" borderId="12" xfId="1" applyNumberFormat="1" applyFont="1" applyFill="1" applyBorder="1" applyAlignment="1" applyProtection="1">
      <alignment horizontal="center" vertical="center"/>
    </xf>
    <xf numFmtId="43" fontId="6" fillId="0" borderId="13" xfId="1" applyFont="1" applyFill="1" applyBorder="1" applyAlignment="1" applyProtection="1">
      <alignment horizontal="center" vertical="center"/>
    </xf>
    <xf numFmtId="43" fontId="6" fillId="0" borderId="14" xfId="1" applyFont="1" applyFill="1" applyBorder="1" applyAlignment="1" applyProtection="1">
      <alignment horizontal="center" vertical="center"/>
    </xf>
    <xf numFmtId="9" fontId="6" fillId="5" borderId="12" xfId="1" applyNumberFormat="1" applyFont="1" applyFill="1" applyBorder="1" applyAlignment="1" applyProtection="1">
      <alignment horizontal="center"/>
      <protection locked="0"/>
    </xf>
    <xf numFmtId="43" fontId="6" fillId="5" borderId="13" xfId="1" applyFont="1" applyFill="1" applyBorder="1" applyAlignment="1" applyProtection="1">
      <alignment horizontal="center"/>
      <protection locked="0"/>
    </xf>
    <xf numFmtId="43" fontId="6" fillId="5" borderId="14" xfId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</cellXfs>
  <cellStyles count="4">
    <cellStyle name="Comma" xfId="1" builtinId="3"/>
    <cellStyle name="Currency" xfId="3" builtinId="4"/>
    <cellStyle name="Normal" xfId="0" builtinId="0"/>
    <cellStyle name="Normal 2" xfId="2" xr:uid="{6DC56921-D6EA-47A3-B1C3-91544455CCD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26"/>
  <sheetViews>
    <sheetView tabSelected="1" topLeftCell="A5" zoomScaleNormal="100" workbookViewId="0">
      <selection activeCell="G26" sqref="G26"/>
    </sheetView>
  </sheetViews>
  <sheetFormatPr defaultRowHeight="15"/>
  <cols>
    <col min="1" max="1" width="37.140625" customWidth="1"/>
    <col min="2" max="4" width="10.7109375" style="41" customWidth="1"/>
    <col min="5" max="5" width="53.140625" customWidth="1"/>
    <col min="6" max="6" width="15.28515625" style="126" bestFit="1" customWidth="1"/>
    <col min="7" max="7" width="15.85546875" customWidth="1"/>
  </cols>
  <sheetData>
    <row r="1" spans="1:7" ht="34.5">
      <c r="A1" s="1" t="s">
        <v>264</v>
      </c>
      <c r="B1" s="2"/>
      <c r="C1" s="2"/>
      <c r="D1" s="2"/>
      <c r="E1" s="3"/>
      <c r="F1" s="92"/>
      <c r="G1" s="93"/>
    </row>
    <row r="2" spans="1:7">
      <c r="A2" s="4" t="s">
        <v>0</v>
      </c>
      <c r="B2" s="39" t="s">
        <v>1</v>
      </c>
      <c r="C2" s="39" t="s">
        <v>2</v>
      </c>
      <c r="D2" s="39" t="s">
        <v>3</v>
      </c>
      <c r="E2" s="101" t="s">
        <v>4</v>
      </c>
      <c r="F2" s="88"/>
      <c r="G2" s="89">
        <v>0.05</v>
      </c>
    </row>
    <row r="3" spans="1:7">
      <c r="A3" s="5" t="s">
        <v>375</v>
      </c>
      <c r="B3" s="40"/>
      <c r="C3" s="40"/>
      <c r="D3" s="40"/>
      <c r="E3" s="102"/>
      <c r="F3" s="90" t="s">
        <v>430</v>
      </c>
      <c r="G3" s="91" t="s">
        <v>431</v>
      </c>
    </row>
    <row r="4" spans="1:7">
      <c r="A4" s="6" t="s">
        <v>5</v>
      </c>
      <c r="B4" s="37">
        <v>1</v>
      </c>
      <c r="C4" s="7" t="s">
        <v>6</v>
      </c>
      <c r="D4" s="138">
        <v>1</v>
      </c>
      <c r="E4" s="103" t="s">
        <v>7</v>
      </c>
      <c r="F4" s="92"/>
      <c r="G4" s="93"/>
    </row>
    <row r="5" spans="1:7">
      <c r="A5" s="8" t="s">
        <v>8</v>
      </c>
      <c r="B5" s="37">
        <v>3</v>
      </c>
      <c r="C5" s="7" t="s">
        <v>6</v>
      </c>
      <c r="D5" s="139"/>
      <c r="E5" s="103"/>
      <c r="F5" s="92"/>
      <c r="G5" s="93"/>
    </row>
    <row r="6" spans="1:7">
      <c r="A6" s="8" t="s">
        <v>9</v>
      </c>
      <c r="B6" s="37">
        <v>3</v>
      </c>
      <c r="C6" s="7" t="s">
        <v>6</v>
      </c>
      <c r="D6" s="139"/>
      <c r="E6" s="103"/>
      <c r="F6" s="92"/>
      <c r="G6" s="93"/>
    </row>
    <row r="7" spans="1:7">
      <c r="A7" s="8" t="s">
        <v>10</v>
      </c>
      <c r="B7" s="37">
        <v>1</v>
      </c>
      <c r="C7" s="7" t="s">
        <v>6</v>
      </c>
      <c r="D7" s="139"/>
      <c r="E7" s="103"/>
      <c r="F7" s="92"/>
      <c r="G7" s="93"/>
    </row>
    <row r="8" spans="1:7">
      <c r="A8" s="8" t="s">
        <v>11</v>
      </c>
      <c r="B8" s="37">
        <v>1</v>
      </c>
      <c r="C8" s="7" t="s">
        <v>6</v>
      </c>
      <c r="D8" s="139"/>
      <c r="E8" s="103"/>
      <c r="F8" s="92"/>
      <c r="G8" s="93"/>
    </row>
    <row r="9" spans="1:7">
      <c r="A9" s="8" t="s">
        <v>12</v>
      </c>
      <c r="B9" s="37">
        <v>1</v>
      </c>
      <c r="C9" s="7" t="s">
        <v>6</v>
      </c>
      <c r="D9" s="140"/>
      <c r="E9" s="103"/>
      <c r="F9" s="92"/>
      <c r="G9" s="93"/>
    </row>
    <row r="10" spans="1:7">
      <c r="A10" s="5" t="s">
        <v>374</v>
      </c>
      <c r="B10" s="40"/>
      <c r="C10" s="40"/>
      <c r="D10" s="40"/>
      <c r="E10" s="102"/>
      <c r="F10" s="92"/>
      <c r="G10" s="93"/>
    </row>
    <row r="11" spans="1:7">
      <c r="A11" s="9" t="s">
        <v>173</v>
      </c>
      <c r="B11" s="10">
        <v>250</v>
      </c>
      <c r="C11" s="11" t="s">
        <v>13</v>
      </c>
      <c r="D11" s="11">
        <v>2</v>
      </c>
      <c r="E11" s="104" t="s">
        <v>15</v>
      </c>
      <c r="F11" s="92">
        <v>1.4491000000000001</v>
      </c>
      <c r="G11" s="94">
        <f>F11*(1+$G$2)</f>
        <v>1.5215550000000002</v>
      </c>
    </row>
    <row r="12" spans="1:7">
      <c r="A12" s="85"/>
      <c r="B12" s="86"/>
      <c r="C12" s="87"/>
      <c r="D12" s="87"/>
      <c r="E12" s="105"/>
      <c r="F12" s="95"/>
      <c r="G12" s="96">
        <f>SUM(G11)</f>
        <v>1.5215550000000002</v>
      </c>
    </row>
    <row r="13" spans="1:7">
      <c r="A13" s="5" t="s">
        <v>373</v>
      </c>
      <c r="B13" s="40"/>
      <c r="C13" s="40"/>
      <c r="D13" s="40"/>
      <c r="E13" s="102"/>
      <c r="F13" s="92"/>
      <c r="G13" s="93"/>
    </row>
    <row r="14" spans="1:7">
      <c r="A14" s="9" t="s">
        <v>269</v>
      </c>
      <c r="B14" s="78">
        <v>200</v>
      </c>
      <c r="C14" s="11" t="s">
        <v>13</v>
      </c>
      <c r="D14" s="11">
        <v>2</v>
      </c>
      <c r="E14" s="104" t="s">
        <v>16</v>
      </c>
      <c r="F14" s="92">
        <f>30.95/5/450*B14</f>
        <v>2.7511111111111108</v>
      </c>
      <c r="G14" s="94">
        <f>F14*(1+$G$2)</f>
        <v>2.8886666666666665</v>
      </c>
    </row>
    <row r="15" spans="1:7">
      <c r="A15" s="85"/>
      <c r="B15" s="86"/>
      <c r="C15" s="87"/>
      <c r="D15" s="87"/>
      <c r="E15" s="105"/>
      <c r="F15" s="95"/>
      <c r="G15" s="96">
        <f>SUM(G14)</f>
        <v>2.8886666666666665</v>
      </c>
    </row>
    <row r="16" spans="1:7">
      <c r="A16" s="60" t="s">
        <v>372</v>
      </c>
      <c r="B16" s="40"/>
      <c r="C16" s="40"/>
      <c r="D16" s="63"/>
      <c r="E16" s="102"/>
      <c r="F16" s="92"/>
      <c r="G16" s="93"/>
    </row>
    <row r="17" spans="1:8">
      <c r="A17" s="58" t="s">
        <v>17</v>
      </c>
      <c r="B17" s="59">
        <v>14</v>
      </c>
      <c r="C17" s="62" t="s">
        <v>13</v>
      </c>
      <c r="D17" s="141">
        <v>1</v>
      </c>
      <c r="E17" s="13" t="s">
        <v>215</v>
      </c>
      <c r="F17" s="92">
        <v>7.46E-2</v>
      </c>
      <c r="G17" s="94">
        <f t="shared" ref="G17:G18" si="0">F17*(1+$G$2)</f>
        <v>7.8329999999999997E-2</v>
      </c>
    </row>
    <row r="18" spans="1:8">
      <c r="A18" s="58" t="s">
        <v>18</v>
      </c>
      <c r="B18" s="59">
        <v>1</v>
      </c>
      <c r="C18" s="62" t="s">
        <v>13</v>
      </c>
      <c r="D18" s="142"/>
      <c r="E18" s="13"/>
      <c r="F18" s="92">
        <v>2.3E-3</v>
      </c>
      <c r="G18" s="94">
        <f t="shared" si="0"/>
        <v>2.415E-3</v>
      </c>
    </row>
    <row r="19" spans="1:8">
      <c r="A19" s="85"/>
      <c r="B19" s="86"/>
      <c r="C19" s="87"/>
      <c r="D19" s="87"/>
      <c r="E19" s="105"/>
      <c r="F19" s="95"/>
      <c r="G19" s="96">
        <f>SUM(G17:G18)</f>
        <v>8.0744999999999997E-2</v>
      </c>
    </row>
    <row r="20" spans="1:8">
      <c r="A20" s="61" t="s">
        <v>371</v>
      </c>
      <c r="B20" s="40"/>
      <c r="C20" s="40"/>
      <c r="D20" s="64"/>
      <c r="E20" s="102"/>
      <c r="F20" s="92"/>
      <c r="G20" s="93"/>
    </row>
    <row r="21" spans="1:8">
      <c r="A21" s="9" t="s">
        <v>270</v>
      </c>
      <c r="B21" s="12">
        <v>40</v>
      </c>
      <c r="C21" s="11" t="s">
        <v>13</v>
      </c>
      <c r="D21" s="135">
        <v>0.6</v>
      </c>
      <c r="E21" s="106" t="s">
        <v>19</v>
      </c>
      <c r="F21" s="97">
        <f>44.37*1.2/8/5.5/28*B21</f>
        <v>1.7287012987012984</v>
      </c>
      <c r="G21" s="94">
        <f t="shared" ref="G21:G25" si="1">F21*(1+$G$2)</f>
        <v>1.8151363636363633</v>
      </c>
      <c r="H21" t="s">
        <v>453</v>
      </c>
    </row>
    <row r="22" spans="1:8">
      <c r="A22" s="9" t="s">
        <v>271</v>
      </c>
      <c r="B22" s="12">
        <v>30</v>
      </c>
      <c r="C22" s="11" t="s">
        <v>13</v>
      </c>
      <c r="D22" s="136"/>
      <c r="E22" s="104"/>
      <c r="F22" s="97">
        <f>6.74*1.1/2/450*B22</f>
        <v>0.24713333333333334</v>
      </c>
      <c r="G22" s="94">
        <f t="shared" si="1"/>
        <v>0.25949</v>
      </c>
      <c r="H22">
        <v>554</v>
      </c>
    </row>
    <row r="23" spans="1:8">
      <c r="A23" s="9" t="s">
        <v>272</v>
      </c>
      <c r="B23" s="12">
        <v>10</v>
      </c>
      <c r="C23" s="11" t="s">
        <v>13</v>
      </c>
      <c r="D23" s="136"/>
      <c r="E23" s="104"/>
      <c r="F23" s="97">
        <v>0.2</v>
      </c>
      <c r="G23" s="94">
        <f t="shared" si="1"/>
        <v>0.21000000000000002</v>
      </c>
    </row>
    <row r="24" spans="1:8">
      <c r="A24" s="9"/>
      <c r="B24" s="12"/>
      <c r="C24" s="11"/>
      <c r="D24" s="136"/>
      <c r="E24" s="104"/>
      <c r="F24" s="98"/>
      <c r="G24" s="94">
        <f t="shared" si="1"/>
        <v>0</v>
      </c>
    </row>
    <row r="25" spans="1:8">
      <c r="A25" s="9"/>
      <c r="B25" s="12"/>
      <c r="C25" s="11"/>
      <c r="D25" s="137"/>
      <c r="E25" s="104"/>
      <c r="F25" s="92"/>
      <c r="G25" s="94">
        <f t="shared" si="1"/>
        <v>0</v>
      </c>
    </row>
    <row r="26" spans="1:8">
      <c r="A26" s="85"/>
      <c r="B26" s="86"/>
      <c r="C26" s="87"/>
      <c r="D26" s="87"/>
      <c r="E26" s="105"/>
      <c r="F26" s="95"/>
      <c r="G26" s="96">
        <f>SUM(G21:G25)</f>
        <v>2.2846263636363631</v>
      </c>
    </row>
    <row r="27" spans="1:8">
      <c r="A27" s="5" t="s">
        <v>370</v>
      </c>
      <c r="B27" s="40"/>
      <c r="C27" s="40"/>
      <c r="D27" s="40"/>
      <c r="E27" s="102"/>
      <c r="F27" s="92"/>
      <c r="G27" s="93"/>
    </row>
    <row r="28" spans="1:8">
      <c r="A28" s="9" t="s">
        <v>322</v>
      </c>
      <c r="B28" s="12">
        <v>40</v>
      </c>
      <c r="C28" s="11" t="s">
        <v>13</v>
      </c>
      <c r="D28" s="135">
        <v>0.6</v>
      </c>
      <c r="E28" s="106" t="s">
        <v>19</v>
      </c>
      <c r="F28" s="92">
        <f>84.66*1.3*1.1/10/450*B28</f>
        <v>1.0761226666666666</v>
      </c>
      <c r="G28" s="94">
        <f t="shared" ref="G28:G31" si="2">F28*(1+$G$2)</f>
        <v>1.1299287999999998</v>
      </c>
      <c r="H28">
        <v>378</v>
      </c>
    </row>
    <row r="29" spans="1:8">
      <c r="A29" s="9" t="s">
        <v>274</v>
      </c>
      <c r="B29" s="12">
        <v>10</v>
      </c>
      <c r="C29" s="11" t="s">
        <v>13</v>
      </c>
      <c r="D29" s="136"/>
      <c r="E29" s="104" t="s">
        <v>19</v>
      </c>
      <c r="F29" s="92">
        <f>11.3097*1.1/2/450*B29</f>
        <v>0.13822966666666667</v>
      </c>
      <c r="G29" s="94">
        <f t="shared" si="2"/>
        <v>0.14514115</v>
      </c>
      <c r="H29">
        <v>555</v>
      </c>
    </row>
    <row r="30" spans="1:8">
      <c r="A30" s="9" t="s">
        <v>432</v>
      </c>
      <c r="B30" s="12">
        <v>5</v>
      </c>
      <c r="C30" s="11" t="s">
        <v>13</v>
      </c>
      <c r="D30" s="136"/>
      <c r="E30" s="104" t="s">
        <v>19</v>
      </c>
      <c r="F30" s="92">
        <f>4.22*1.1/2.2/450*B30</f>
        <v>2.3444444444444441E-2</v>
      </c>
      <c r="G30" s="94">
        <f>F30*(1+$G$2)</f>
        <v>2.4616666666666665E-2</v>
      </c>
      <c r="H30">
        <v>556</v>
      </c>
    </row>
    <row r="31" spans="1:8">
      <c r="A31" s="9" t="s">
        <v>275</v>
      </c>
      <c r="B31" s="12">
        <v>20</v>
      </c>
      <c r="C31" s="11" t="s">
        <v>13</v>
      </c>
      <c r="D31" s="137"/>
      <c r="E31" s="104"/>
      <c r="F31" s="92">
        <f>22.7766*1.1/5/450*B31</f>
        <v>0.22270453333333332</v>
      </c>
      <c r="G31" s="94">
        <f t="shared" si="2"/>
        <v>0.23383975999999998</v>
      </c>
      <c r="H31">
        <v>197</v>
      </c>
    </row>
    <row r="32" spans="1:8">
      <c r="A32" s="85"/>
      <c r="B32" s="86"/>
      <c r="C32" s="87"/>
      <c r="D32" s="87"/>
      <c r="E32" s="105"/>
      <c r="F32" s="95"/>
      <c r="G32" s="96">
        <f>SUM(G28:G31)</f>
        <v>1.5335263766666665</v>
      </c>
    </row>
    <row r="33" spans="1:8">
      <c r="A33" s="5" t="s">
        <v>369</v>
      </c>
      <c r="B33" s="40"/>
      <c r="C33" s="40"/>
      <c r="D33" s="40"/>
      <c r="E33" s="102"/>
      <c r="F33" s="92"/>
      <c r="G33" s="93"/>
    </row>
    <row r="34" spans="1:8">
      <c r="A34" s="9" t="s">
        <v>276</v>
      </c>
      <c r="B34" s="78">
        <v>200</v>
      </c>
      <c r="C34" s="11" t="s">
        <v>13</v>
      </c>
      <c r="D34" s="56">
        <v>2</v>
      </c>
      <c r="E34" s="104" t="s">
        <v>20</v>
      </c>
      <c r="F34" s="92">
        <f>77.25/5/450*B34</f>
        <v>6.8666666666666671</v>
      </c>
      <c r="G34" s="94">
        <f t="shared" ref="G34" si="3">F34*(1+$G$2)</f>
        <v>7.2100000000000009</v>
      </c>
      <c r="H34" t="s">
        <v>433</v>
      </c>
    </row>
    <row r="35" spans="1:8">
      <c r="A35" s="85"/>
      <c r="B35" s="86"/>
      <c r="C35" s="87"/>
      <c r="D35" s="87"/>
      <c r="E35" s="105"/>
      <c r="F35" s="95"/>
      <c r="G35" s="96">
        <f>SUM(G33:G34)</f>
        <v>7.2100000000000009</v>
      </c>
    </row>
    <row r="36" spans="1:8">
      <c r="A36" s="5" t="s">
        <v>368</v>
      </c>
      <c r="B36" s="40"/>
      <c r="C36" s="40"/>
      <c r="D36" s="40"/>
      <c r="E36" s="102"/>
      <c r="F36" s="92"/>
      <c r="G36" s="93"/>
    </row>
    <row r="37" spans="1:8">
      <c r="A37" s="9" t="s">
        <v>277</v>
      </c>
      <c r="B37" s="12">
        <v>90</v>
      </c>
      <c r="C37" s="11" t="s">
        <v>13</v>
      </c>
      <c r="D37" s="135">
        <v>0.5</v>
      </c>
      <c r="E37" s="104" t="s">
        <v>21</v>
      </c>
      <c r="F37" s="92">
        <f>14.5082*1.3*1.3*1.1/16/28*B37</f>
        <v>5.4182297812500018</v>
      </c>
      <c r="G37" s="94">
        <f t="shared" ref="G37:G41" si="4">F37*(1+$G$2)</f>
        <v>5.6891412703125024</v>
      </c>
      <c r="H37">
        <v>366</v>
      </c>
    </row>
    <row r="38" spans="1:8">
      <c r="A38" s="9" t="s">
        <v>278</v>
      </c>
      <c r="B38" s="12">
        <v>30</v>
      </c>
      <c r="C38" s="11" t="s">
        <v>13</v>
      </c>
      <c r="D38" s="136"/>
      <c r="E38" s="104"/>
      <c r="F38" s="92">
        <f>4.3986*1.3*1.1/2/450*B38</f>
        <v>0.20966660000000004</v>
      </c>
      <c r="G38" s="94">
        <f t="shared" si="4"/>
        <v>0.22014993000000005</v>
      </c>
      <c r="H38">
        <v>558</v>
      </c>
    </row>
    <row r="39" spans="1:8">
      <c r="A39" s="9" t="s">
        <v>279</v>
      </c>
      <c r="B39" s="12">
        <v>10</v>
      </c>
      <c r="C39" s="11" t="s">
        <v>13</v>
      </c>
      <c r="D39" s="136"/>
      <c r="E39" s="104"/>
      <c r="F39" s="92">
        <f>98.65/8/450*1.3*1.1*B39</f>
        <v>0.39185972222222226</v>
      </c>
      <c r="G39" s="94">
        <f t="shared" si="4"/>
        <v>0.41145270833333342</v>
      </c>
    </row>
    <row r="40" spans="1:8">
      <c r="A40" s="9" t="s">
        <v>280</v>
      </c>
      <c r="B40" s="12">
        <v>60</v>
      </c>
      <c r="C40" s="11" t="s">
        <v>13</v>
      </c>
      <c r="D40" s="136"/>
      <c r="E40" s="104" t="s">
        <v>22</v>
      </c>
      <c r="F40" s="92">
        <f>8.2212*1.3*1.1/2.5/450*B40</f>
        <v>0.62700351999999993</v>
      </c>
      <c r="G40" s="94">
        <f t="shared" si="4"/>
        <v>0.65835369599999993</v>
      </c>
      <c r="H40">
        <v>559</v>
      </c>
    </row>
    <row r="41" spans="1:8">
      <c r="A41" s="9" t="s">
        <v>281</v>
      </c>
      <c r="B41" s="12">
        <v>45</v>
      </c>
      <c r="C41" s="11" t="s">
        <v>13</v>
      </c>
      <c r="D41" s="137"/>
      <c r="E41" s="104" t="s">
        <v>22</v>
      </c>
      <c r="F41" s="92">
        <f>16.8142*1.1*1.3/5/450*B41</f>
        <v>0.48088612000000003</v>
      </c>
      <c r="G41" s="94">
        <f t="shared" si="4"/>
        <v>0.50493042600000004</v>
      </c>
      <c r="H41">
        <v>351</v>
      </c>
    </row>
    <row r="42" spans="1:8">
      <c r="A42" s="85"/>
      <c r="B42" s="86"/>
      <c r="C42" s="87"/>
      <c r="D42" s="87"/>
      <c r="E42" s="105"/>
      <c r="F42" s="95"/>
      <c r="G42" s="96">
        <f>SUM(G37:G41)</f>
        <v>7.4840280306458347</v>
      </c>
    </row>
    <row r="43" spans="1:8">
      <c r="A43" s="5" t="s">
        <v>367</v>
      </c>
      <c r="B43" s="40"/>
      <c r="C43" s="40"/>
      <c r="D43" s="40"/>
      <c r="E43" s="102"/>
      <c r="F43" s="92"/>
      <c r="G43" s="93"/>
    </row>
    <row r="44" spans="1:8">
      <c r="A44" s="9" t="s">
        <v>282</v>
      </c>
      <c r="B44" s="12">
        <v>90</v>
      </c>
      <c r="C44" s="11" t="s">
        <v>13</v>
      </c>
      <c r="D44" s="135">
        <v>0.5</v>
      </c>
      <c r="E44" s="104" t="s">
        <v>23</v>
      </c>
      <c r="F44" s="92">
        <f>244.7535*1.2/9.2/450*B44</f>
        <v>6.3848739130434797</v>
      </c>
      <c r="G44" s="94">
        <f t="shared" ref="G44:G48" si="5">F44*(1+$G$2)</f>
        <v>6.704117608695654</v>
      </c>
      <c r="H44">
        <v>566</v>
      </c>
    </row>
    <row r="45" spans="1:8">
      <c r="A45" s="9" t="s">
        <v>287</v>
      </c>
      <c r="B45" s="12">
        <v>45</v>
      </c>
      <c r="C45" s="11" t="s">
        <v>13</v>
      </c>
      <c r="D45" s="136"/>
      <c r="E45" s="104" t="s">
        <v>22</v>
      </c>
      <c r="F45" s="92">
        <f>54.4318*1.3*1.1*1.1/10/450*B45</f>
        <v>0.85621221400000036</v>
      </c>
      <c r="G45" s="94">
        <f t="shared" si="5"/>
        <v>0.89902282470000039</v>
      </c>
      <c r="H45" t="s">
        <v>434</v>
      </c>
    </row>
    <row r="46" spans="1:8">
      <c r="A46" s="9" t="s">
        <v>283</v>
      </c>
      <c r="B46" s="12">
        <v>15</v>
      </c>
      <c r="C46" s="11" t="s">
        <v>13</v>
      </c>
      <c r="D46" s="136"/>
      <c r="E46" s="104" t="s">
        <v>22</v>
      </c>
      <c r="F46" s="92">
        <f>5.5661*1.3*1.1/2/450*B46</f>
        <v>0.1326587166666667</v>
      </c>
      <c r="G46" s="94">
        <f t="shared" si="5"/>
        <v>0.13929165250000006</v>
      </c>
      <c r="H46">
        <v>561</v>
      </c>
    </row>
    <row r="47" spans="1:8">
      <c r="A47" s="9" t="s">
        <v>288</v>
      </c>
      <c r="B47" s="12">
        <v>75</v>
      </c>
      <c r="C47" s="11" t="s">
        <v>13</v>
      </c>
      <c r="D47" s="136"/>
      <c r="E47" s="104" t="s">
        <v>22</v>
      </c>
      <c r="F47" s="92">
        <f>34.0888*1.2/4/450*B47</f>
        <v>1.70444</v>
      </c>
      <c r="G47" s="94">
        <f t="shared" si="5"/>
        <v>1.7896620000000001</v>
      </c>
      <c r="H47">
        <v>562</v>
      </c>
    </row>
    <row r="48" spans="1:8">
      <c r="A48" s="9"/>
      <c r="B48" s="26"/>
      <c r="C48" s="27"/>
      <c r="D48" s="137"/>
      <c r="E48" s="104" t="s">
        <v>24</v>
      </c>
      <c r="F48" s="92"/>
      <c r="G48" s="94">
        <f t="shared" si="5"/>
        <v>0</v>
      </c>
    </row>
    <row r="49" spans="1:8">
      <c r="A49" s="85"/>
      <c r="B49" s="86"/>
      <c r="C49" s="87"/>
      <c r="D49" s="87"/>
      <c r="E49" s="105"/>
      <c r="F49" s="95"/>
      <c r="G49" s="96">
        <f>SUM(G44:G48)</f>
        <v>9.532094085895654</v>
      </c>
    </row>
    <row r="50" spans="1:8">
      <c r="A50" s="5" t="s">
        <v>365</v>
      </c>
      <c r="B50" s="40"/>
      <c r="C50" s="40"/>
      <c r="D50" s="40"/>
      <c r="E50" s="102"/>
      <c r="F50" s="92"/>
      <c r="G50" s="93"/>
    </row>
    <row r="51" spans="1:8">
      <c r="A51" s="9" t="s">
        <v>284</v>
      </c>
      <c r="B51" s="12">
        <v>3</v>
      </c>
      <c r="C51" s="11" t="s">
        <v>108</v>
      </c>
      <c r="D51" s="135">
        <v>0.2</v>
      </c>
      <c r="E51" s="104" t="s">
        <v>26</v>
      </c>
      <c r="F51" s="99">
        <f>66/120*1.3*1.1*B51</f>
        <v>2.3595000000000006</v>
      </c>
      <c r="G51" s="94">
        <f>F51*(1+$G$2)</f>
        <v>2.4774750000000005</v>
      </c>
      <c r="H51" t="s">
        <v>449</v>
      </c>
    </row>
    <row r="52" spans="1:8">
      <c r="A52" s="9" t="s">
        <v>285</v>
      </c>
      <c r="B52" s="12">
        <v>75</v>
      </c>
      <c r="C52" s="11" t="s">
        <v>13</v>
      </c>
      <c r="D52" s="136"/>
      <c r="E52" s="104" t="s">
        <v>22</v>
      </c>
      <c r="F52" s="92">
        <f>4.679*1.3*1.1/2/450*B52</f>
        <v>0.55758083333333353</v>
      </c>
      <c r="G52" s="94">
        <f t="shared" ref="G52:G55" si="6">F52*(1+$G$2)</f>
        <v>0.58545987500000018</v>
      </c>
      <c r="H52">
        <f>563</f>
        <v>563</v>
      </c>
    </row>
    <row r="53" spans="1:8">
      <c r="A53" s="9" t="s">
        <v>306</v>
      </c>
      <c r="B53" s="12">
        <v>15</v>
      </c>
      <c r="C53" s="11" t="s">
        <v>13</v>
      </c>
      <c r="D53" s="136"/>
      <c r="E53" s="104" t="s">
        <v>27</v>
      </c>
      <c r="F53" s="92">
        <f>37.79/18/450*2*B53</f>
        <v>0.13996296296296296</v>
      </c>
      <c r="G53" s="94">
        <f t="shared" si="6"/>
        <v>0.1469611111111111</v>
      </c>
      <c r="H53" t="s">
        <v>435</v>
      </c>
    </row>
    <row r="54" spans="1:8">
      <c r="A54" s="9" t="s">
        <v>289</v>
      </c>
      <c r="B54" s="12">
        <v>20</v>
      </c>
      <c r="C54" s="11" t="s">
        <v>13</v>
      </c>
      <c r="D54" s="136"/>
      <c r="E54" s="104" t="s">
        <v>22</v>
      </c>
      <c r="F54" s="92">
        <f>17.1098*1.3*1.1/5/450*B54</f>
        <v>0.21748456888888892</v>
      </c>
      <c r="G54" s="94">
        <f t="shared" si="6"/>
        <v>0.22835879733333339</v>
      </c>
      <c r="H54">
        <v>462</v>
      </c>
    </row>
    <row r="55" spans="1:8">
      <c r="A55" s="9" t="s">
        <v>307</v>
      </c>
      <c r="B55" s="12">
        <v>40</v>
      </c>
      <c r="C55" s="11" t="s">
        <v>13</v>
      </c>
      <c r="D55" s="137"/>
      <c r="E55" s="104" t="s">
        <v>22</v>
      </c>
      <c r="F55" s="99">
        <f>30.0812*1.3*1.3*1.1/5/450*B55</f>
        <v>0.99415023644444445</v>
      </c>
      <c r="G55" s="94">
        <f t="shared" si="6"/>
        <v>1.0438577482666667</v>
      </c>
    </row>
    <row r="56" spans="1:8">
      <c r="A56" s="85"/>
      <c r="B56" s="86"/>
      <c r="C56" s="87"/>
      <c r="D56" s="87"/>
      <c r="E56" s="105"/>
      <c r="F56" s="95"/>
      <c r="G56" s="96">
        <f>SUM(G51:G55)</f>
        <v>4.4821125317111115</v>
      </c>
    </row>
    <row r="57" spans="1:8">
      <c r="A57" s="5" t="s">
        <v>366</v>
      </c>
      <c r="B57" s="40"/>
      <c r="C57" s="40"/>
      <c r="D57" s="40"/>
      <c r="E57" s="102"/>
      <c r="F57" s="92"/>
      <c r="G57" s="93"/>
    </row>
    <row r="58" spans="1:8">
      <c r="A58" s="9" t="s">
        <v>290</v>
      </c>
      <c r="B58" s="12">
        <v>90</v>
      </c>
      <c r="C58" s="11" t="s">
        <v>13</v>
      </c>
      <c r="D58" s="146" t="s">
        <v>216</v>
      </c>
      <c r="E58" s="104" t="s">
        <v>24</v>
      </c>
      <c r="F58" s="99">
        <f>66.1823*1.2/2.5/450*B58</f>
        <v>6.3535007999999991</v>
      </c>
      <c r="G58" s="94">
        <f t="shared" ref="G58:G61" si="7">F58*(1+$G$2)</f>
        <v>6.6711758399999992</v>
      </c>
      <c r="H58">
        <v>568</v>
      </c>
    </row>
    <row r="59" spans="1:8">
      <c r="A59" s="9" t="s">
        <v>291</v>
      </c>
      <c r="B59" s="12">
        <v>75</v>
      </c>
      <c r="C59" s="11" t="s">
        <v>13</v>
      </c>
      <c r="D59" s="136"/>
      <c r="E59" s="104" t="s">
        <v>24</v>
      </c>
      <c r="F59" s="99">
        <f>7.1796*1.2/2.5/450*B59</f>
        <v>0.57436799999999999</v>
      </c>
      <c r="G59" s="94">
        <f t="shared" si="7"/>
        <v>0.60308640000000002</v>
      </c>
      <c r="H59">
        <v>569</v>
      </c>
    </row>
    <row r="60" spans="1:8">
      <c r="A60" s="9" t="s">
        <v>287</v>
      </c>
      <c r="B60" s="12">
        <v>45</v>
      </c>
      <c r="C60" s="11" t="s">
        <v>13</v>
      </c>
      <c r="D60" s="136"/>
      <c r="E60" s="104" t="s">
        <v>22</v>
      </c>
      <c r="F60" s="92">
        <f>54.4318*1.3*1.1*1.1/10/450*B60</f>
        <v>0.85621221400000036</v>
      </c>
      <c r="G60" s="94">
        <f t="shared" si="7"/>
        <v>0.89902282470000039</v>
      </c>
    </row>
    <row r="61" spans="1:8">
      <c r="A61" s="9" t="s">
        <v>292</v>
      </c>
      <c r="B61" s="12">
        <v>30</v>
      </c>
      <c r="C61" s="11" t="s">
        <v>13</v>
      </c>
      <c r="D61" s="137"/>
      <c r="E61" s="104" t="s">
        <v>22</v>
      </c>
      <c r="F61" s="92">
        <f>8.5472*1.3*1.1/5/450*B61</f>
        <v>0.16296661333333337</v>
      </c>
      <c r="G61" s="94">
        <f t="shared" si="7"/>
        <v>0.17111494400000005</v>
      </c>
      <c r="H61">
        <v>550</v>
      </c>
    </row>
    <row r="62" spans="1:8">
      <c r="A62" s="85"/>
      <c r="B62" s="86"/>
      <c r="C62" s="87"/>
      <c r="D62" s="87"/>
      <c r="E62" s="105"/>
      <c r="F62" s="95"/>
      <c r="G62" s="96">
        <f>SUM(G58:G61)</f>
        <v>8.3444000086999992</v>
      </c>
    </row>
    <row r="63" spans="1:8">
      <c r="A63" s="5" t="s">
        <v>364</v>
      </c>
      <c r="B63" s="40"/>
      <c r="C63" s="40"/>
      <c r="D63" s="40"/>
      <c r="E63" s="102"/>
      <c r="F63" s="92"/>
      <c r="G63" s="93"/>
    </row>
    <row r="64" spans="1:8">
      <c r="A64" s="9" t="s">
        <v>286</v>
      </c>
      <c r="B64" s="12">
        <v>90</v>
      </c>
      <c r="C64" s="11" t="s">
        <v>13</v>
      </c>
      <c r="D64" s="11">
        <v>2</v>
      </c>
      <c r="E64" s="104" t="s">
        <v>29</v>
      </c>
      <c r="F64" s="92">
        <f>7.5263*1.3*1.1/2/450*B64</f>
        <v>1.0762609000000001</v>
      </c>
      <c r="G64" s="94">
        <f>F64*(1+$G$2)</f>
        <v>1.1300739450000001</v>
      </c>
      <c r="H64">
        <v>465</v>
      </c>
    </row>
    <row r="65" spans="1:9">
      <c r="A65" s="85"/>
      <c r="B65" s="86"/>
      <c r="C65" s="87"/>
      <c r="D65" s="87"/>
      <c r="E65" s="105"/>
      <c r="F65" s="95"/>
      <c r="G65" s="96">
        <f>SUM(G63:G64)</f>
        <v>1.1300739450000001</v>
      </c>
    </row>
    <row r="66" spans="1:9">
      <c r="A66" s="5" t="s">
        <v>363</v>
      </c>
      <c r="B66" s="40"/>
      <c r="C66" s="40"/>
      <c r="D66" s="40"/>
      <c r="E66" s="102"/>
      <c r="F66" s="92"/>
      <c r="G66" s="93"/>
    </row>
    <row r="67" spans="1:9">
      <c r="A67" s="9" t="s">
        <v>293</v>
      </c>
      <c r="B67" s="12" t="s">
        <v>30</v>
      </c>
      <c r="C67" s="11" t="s">
        <v>13</v>
      </c>
      <c r="D67" s="147" t="s">
        <v>225</v>
      </c>
      <c r="E67" s="104" t="s">
        <v>31</v>
      </c>
      <c r="F67" s="92">
        <f>88.16/16/5/28*20*1.1</f>
        <v>0.86585714285714288</v>
      </c>
      <c r="G67" s="94">
        <f t="shared" ref="G67:G68" si="8">F67*(1+$G$2)</f>
        <v>0.90915000000000001</v>
      </c>
      <c r="H67" t="s">
        <v>445</v>
      </c>
      <c r="I67">
        <f>88.16/16/5/28*20</f>
        <v>0.78714285714285714</v>
      </c>
    </row>
    <row r="68" spans="1:9">
      <c r="A68" s="9" t="s">
        <v>294</v>
      </c>
      <c r="B68" s="12" t="s">
        <v>30</v>
      </c>
      <c r="C68" s="11" t="s">
        <v>13</v>
      </c>
      <c r="D68" s="137"/>
      <c r="E68" s="104" t="s">
        <v>32</v>
      </c>
      <c r="F68" s="92">
        <f>45.3/8/6/28*20*1.1</f>
        <v>0.74151785714285712</v>
      </c>
      <c r="G68" s="94">
        <f t="shared" si="8"/>
        <v>0.77859374999999997</v>
      </c>
      <c r="H68" t="s">
        <v>446</v>
      </c>
      <c r="I68">
        <f>45.3/8/6/28*20</f>
        <v>0.67410714285714279</v>
      </c>
    </row>
    <row r="69" spans="1:9">
      <c r="A69" s="85"/>
      <c r="B69" s="86"/>
      <c r="C69" s="87"/>
      <c r="D69" s="87"/>
      <c r="E69" s="105"/>
      <c r="F69" s="95"/>
      <c r="G69" s="96">
        <f>SUM(G67:G68)</f>
        <v>1.6877437500000001</v>
      </c>
    </row>
    <row r="70" spans="1:9">
      <c r="A70" s="5" t="s">
        <v>362</v>
      </c>
      <c r="B70" s="40"/>
      <c r="C70" s="40"/>
      <c r="D70" s="57"/>
      <c r="E70" s="102" t="s">
        <v>22</v>
      </c>
      <c r="F70" s="92"/>
      <c r="G70" s="93"/>
    </row>
    <row r="71" spans="1:9">
      <c r="A71" s="9" t="s">
        <v>295</v>
      </c>
      <c r="B71" s="12">
        <v>45</v>
      </c>
      <c r="C71" s="11" t="s">
        <v>13</v>
      </c>
      <c r="D71" s="146" t="s">
        <v>33</v>
      </c>
      <c r="E71" s="104" t="s">
        <v>34</v>
      </c>
      <c r="F71" s="129">
        <f>10.8788*1.8/3.75/450*B71</f>
        <v>0.52218239999999994</v>
      </c>
      <c r="G71" s="127">
        <f t="shared" ref="G71:G72" si="9">F71*(1+$G$2)</f>
        <v>0.54829151999999992</v>
      </c>
      <c r="H71">
        <v>571</v>
      </c>
    </row>
    <row r="72" spans="1:9">
      <c r="A72" s="9" t="s">
        <v>323</v>
      </c>
      <c r="B72" s="12">
        <v>3</v>
      </c>
      <c r="C72" s="11" t="s">
        <v>13</v>
      </c>
      <c r="D72" s="137"/>
      <c r="E72" s="104"/>
      <c r="F72" s="129">
        <v>0.15</v>
      </c>
      <c r="G72" s="127">
        <f t="shared" si="9"/>
        <v>0.1575</v>
      </c>
    </row>
    <row r="73" spans="1:9">
      <c r="A73" s="85"/>
      <c r="B73" s="86"/>
      <c r="C73" s="87"/>
      <c r="D73" s="87"/>
      <c r="E73" s="105"/>
      <c r="F73" s="128"/>
      <c r="G73" s="96">
        <f>SUM(G71:G72)</f>
        <v>0.70579151999999989</v>
      </c>
    </row>
    <row r="74" spans="1:9">
      <c r="A74" s="5" t="s">
        <v>361</v>
      </c>
      <c r="B74" s="40"/>
      <c r="C74" s="40"/>
      <c r="D74" s="57"/>
      <c r="E74" s="102" t="s">
        <v>22</v>
      </c>
      <c r="F74" s="92"/>
      <c r="G74" s="93"/>
    </row>
    <row r="75" spans="1:9">
      <c r="A75" s="9" t="s">
        <v>296</v>
      </c>
      <c r="B75" s="12">
        <v>200</v>
      </c>
      <c r="C75" s="11" t="s">
        <v>13</v>
      </c>
      <c r="D75" s="27">
        <v>2</v>
      </c>
      <c r="E75" s="104" t="s">
        <v>36</v>
      </c>
      <c r="F75" s="92">
        <f>2.74*1.1/450*B75</f>
        <v>1.3395555555555558</v>
      </c>
      <c r="G75" s="94">
        <f t="shared" ref="G75" si="10">F75*(1+$G$2)</f>
        <v>1.4065333333333336</v>
      </c>
    </row>
    <row r="76" spans="1:9">
      <c r="A76" s="85"/>
      <c r="B76" s="86"/>
      <c r="C76" s="87"/>
      <c r="D76" s="87"/>
      <c r="E76" s="105"/>
      <c r="F76" s="95"/>
      <c r="G76" s="96">
        <f>SUM(G74:G75)</f>
        <v>1.4065333333333336</v>
      </c>
    </row>
    <row r="77" spans="1:9">
      <c r="A77" s="5" t="s">
        <v>360</v>
      </c>
      <c r="B77" s="40"/>
      <c r="C77" s="40"/>
      <c r="D77" s="57"/>
      <c r="E77" s="102"/>
      <c r="F77" s="92"/>
      <c r="G77" s="93"/>
    </row>
    <row r="78" spans="1:9">
      <c r="A78" s="9" t="s">
        <v>37</v>
      </c>
      <c r="B78" s="12">
        <v>150</v>
      </c>
      <c r="C78" s="11" t="s">
        <v>13</v>
      </c>
      <c r="D78" s="146" t="s">
        <v>14</v>
      </c>
      <c r="E78" s="104" t="s">
        <v>38</v>
      </c>
      <c r="F78" s="100">
        <v>0.85029999999999994</v>
      </c>
      <c r="G78" s="94">
        <f t="shared" ref="G78:G81" si="11">F78*(1+$G$2)</f>
        <v>0.89281500000000003</v>
      </c>
    </row>
    <row r="79" spans="1:9">
      <c r="A79" s="9" t="s">
        <v>39</v>
      </c>
      <c r="B79" s="12">
        <v>150</v>
      </c>
      <c r="C79" s="11" t="s">
        <v>13</v>
      </c>
      <c r="D79" s="136"/>
      <c r="E79" s="104" t="s">
        <v>40</v>
      </c>
      <c r="F79" s="100">
        <v>0.85129999999999995</v>
      </c>
      <c r="G79" s="94">
        <f t="shared" si="11"/>
        <v>0.89386500000000002</v>
      </c>
    </row>
    <row r="80" spans="1:9">
      <c r="A80" s="9" t="s">
        <v>41</v>
      </c>
      <c r="B80" s="12">
        <v>150</v>
      </c>
      <c r="C80" s="11" t="s">
        <v>13</v>
      </c>
      <c r="D80" s="136"/>
      <c r="E80" s="104"/>
      <c r="F80" s="100">
        <v>0.35049999999999998</v>
      </c>
      <c r="G80" s="94">
        <f t="shared" si="11"/>
        <v>0.36802499999999999</v>
      </c>
    </row>
    <row r="81" spans="1:7">
      <c r="A81" s="9" t="s">
        <v>42</v>
      </c>
      <c r="B81" s="12">
        <v>150</v>
      </c>
      <c r="C81" s="11" t="s">
        <v>13</v>
      </c>
      <c r="D81" s="137"/>
      <c r="E81" s="104"/>
      <c r="F81" s="100">
        <v>1.2765</v>
      </c>
      <c r="G81" s="94">
        <f t="shared" si="11"/>
        <v>1.340325</v>
      </c>
    </row>
    <row r="82" spans="1:7">
      <c r="A82" s="85"/>
      <c r="B82" s="86"/>
      <c r="C82" s="87"/>
      <c r="D82" s="87"/>
      <c r="E82" s="105"/>
      <c r="F82" s="95"/>
      <c r="G82" s="96">
        <f>SUM(G78:G81)</f>
        <v>3.4950299999999999</v>
      </c>
    </row>
    <row r="83" spans="1:7">
      <c r="A83" s="5" t="s">
        <v>359</v>
      </c>
      <c r="B83" s="40"/>
      <c r="C83" s="40"/>
      <c r="D83" s="40"/>
      <c r="E83" s="102" t="s">
        <v>43</v>
      </c>
      <c r="F83" s="92"/>
      <c r="G83" s="93"/>
    </row>
    <row r="84" spans="1:7">
      <c r="A84" s="9" t="s">
        <v>44</v>
      </c>
      <c r="B84" s="12">
        <v>30</v>
      </c>
      <c r="C84" s="11" t="s">
        <v>13</v>
      </c>
      <c r="D84" s="56">
        <v>0.75</v>
      </c>
      <c r="E84" s="104" t="s">
        <v>45</v>
      </c>
      <c r="F84" s="100">
        <v>0.49</v>
      </c>
      <c r="G84" s="94">
        <f t="shared" ref="G84:G85" si="12">F84*(1+$G$2)</f>
        <v>0.51449999999999996</v>
      </c>
    </row>
    <row r="85" spans="1:7">
      <c r="A85" s="9" t="s">
        <v>46</v>
      </c>
      <c r="B85" s="12">
        <v>40</v>
      </c>
      <c r="C85" s="11" t="s">
        <v>13</v>
      </c>
      <c r="D85" s="56">
        <v>0.75</v>
      </c>
      <c r="E85" s="104"/>
      <c r="F85" s="100">
        <v>0.51</v>
      </c>
      <c r="G85" s="94">
        <f t="shared" si="12"/>
        <v>0.53550000000000009</v>
      </c>
    </row>
    <row r="86" spans="1:7">
      <c r="A86" s="85"/>
      <c r="B86" s="86"/>
      <c r="C86" s="87"/>
      <c r="D86" s="87"/>
      <c r="E86" s="105"/>
      <c r="F86" s="95"/>
      <c r="G86" s="96">
        <f>SUM(G84:G85)</f>
        <v>1.05</v>
      </c>
    </row>
    <row r="87" spans="1:7">
      <c r="A87" s="5" t="s">
        <v>358</v>
      </c>
      <c r="B87" s="40"/>
      <c r="C87" s="40"/>
      <c r="D87" s="40"/>
      <c r="E87" s="102"/>
      <c r="F87" s="92"/>
      <c r="G87" s="93"/>
    </row>
    <row r="88" spans="1:7">
      <c r="A88" s="9" t="s">
        <v>47</v>
      </c>
      <c r="B88" s="12">
        <v>10</v>
      </c>
      <c r="C88" s="11" t="s">
        <v>222</v>
      </c>
      <c r="D88" s="11" t="s">
        <v>48</v>
      </c>
      <c r="E88" s="104" t="s">
        <v>49</v>
      </c>
      <c r="F88" s="100">
        <f>31.45/24/10*16</f>
        <v>2.0966666666666667</v>
      </c>
      <c r="G88" s="94">
        <f>F88*(1+$G$2)</f>
        <v>2.2015000000000002</v>
      </c>
    </row>
    <row r="89" spans="1:7">
      <c r="A89" s="85"/>
      <c r="B89" s="86"/>
      <c r="C89" s="87"/>
      <c r="D89" s="87"/>
      <c r="E89" s="105"/>
      <c r="F89" s="95"/>
      <c r="G89" s="96">
        <f>SUM(G87:G88)</f>
        <v>2.2015000000000002</v>
      </c>
    </row>
    <row r="90" spans="1:7">
      <c r="A90" s="5" t="s">
        <v>50</v>
      </c>
      <c r="B90" s="40"/>
      <c r="C90" s="40"/>
      <c r="D90" s="40"/>
      <c r="E90" s="102"/>
      <c r="F90" s="92"/>
      <c r="G90" s="93"/>
    </row>
    <row r="91" spans="1:7">
      <c r="A91" s="6" t="s">
        <v>51</v>
      </c>
      <c r="B91" s="37">
        <v>1</v>
      </c>
      <c r="C91" s="7" t="s">
        <v>226</v>
      </c>
      <c r="D91" s="138"/>
      <c r="E91" s="103" t="s">
        <v>217</v>
      </c>
      <c r="F91" s="100">
        <v>0.33900000000000002</v>
      </c>
      <c r="G91" s="94">
        <f t="shared" ref="G91:G94" si="13">F91*(1+$G$2)</f>
        <v>0.35595000000000004</v>
      </c>
    </row>
    <row r="92" spans="1:7">
      <c r="A92" s="8" t="s">
        <v>52</v>
      </c>
      <c r="B92" s="37">
        <v>6</v>
      </c>
      <c r="C92" s="7" t="s">
        <v>226</v>
      </c>
      <c r="D92" s="139"/>
      <c r="E92" s="103"/>
      <c r="F92" s="100">
        <v>0.2019</v>
      </c>
      <c r="G92" s="94">
        <f t="shared" si="13"/>
        <v>0.21199500000000002</v>
      </c>
    </row>
    <row r="93" spans="1:7">
      <c r="A93" s="8" t="s">
        <v>53</v>
      </c>
      <c r="B93" s="37">
        <v>1</v>
      </c>
      <c r="C93" s="7" t="s">
        <v>226</v>
      </c>
      <c r="D93" s="139"/>
      <c r="E93" s="103"/>
      <c r="F93" s="100">
        <v>0.40379999999999999</v>
      </c>
      <c r="G93" s="94">
        <f t="shared" si="13"/>
        <v>0.42399000000000003</v>
      </c>
    </row>
    <row r="94" spans="1:7">
      <c r="A94" s="8" t="s">
        <v>54</v>
      </c>
      <c r="B94" s="37">
        <v>1</v>
      </c>
      <c r="C94" s="7" t="s">
        <v>226</v>
      </c>
      <c r="D94" s="139"/>
      <c r="E94" s="103"/>
      <c r="F94" s="100">
        <v>0.4824</v>
      </c>
      <c r="G94" s="94">
        <f t="shared" si="13"/>
        <v>0.50651999999999997</v>
      </c>
    </row>
    <row r="95" spans="1:7">
      <c r="A95" s="85"/>
      <c r="B95" s="86"/>
      <c r="C95" s="87"/>
      <c r="D95" s="87"/>
      <c r="E95" s="105"/>
      <c r="F95" s="95"/>
      <c r="G95" s="96">
        <f>SUM(G93:G94)</f>
        <v>0.93050999999999995</v>
      </c>
    </row>
    <row r="96" spans="1:7">
      <c r="A96" s="5" t="s">
        <v>357</v>
      </c>
      <c r="B96" s="40"/>
      <c r="C96" s="40"/>
      <c r="D96" s="40"/>
      <c r="E96" s="102"/>
      <c r="F96" s="92"/>
      <c r="G96" s="93"/>
    </row>
    <row r="97" spans="1:8">
      <c r="A97" s="42" t="s">
        <v>55</v>
      </c>
      <c r="B97" s="43">
        <v>1</v>
      </c>
      <c r="C97" s="44" t="s">
        <v>6</v>
      </c>
      <c r="D97" s="44"/>
      <c r="E97" s="107"/>
      <c r="F97" s="92"/>
      <c r="G97" s="93"/>
    </row>
    <row r="98" spans="1:8">
      <c r="A98" s="42" t="s">
        <v>56</v>
      </c>
      <c r="B98" s="43">
        <v>1</v>
      </c>
      <c r="C98" s="44" t="s">
        <v>6</v>
      </c>
      <c r="D98" s="44"/>
      <c r="E98" s="107"/>
      <c r="F98" s="92"/>
      <c r="G98" s="93"/>
    </row>
    <row r="99" spans="1:8">
      <c r="A99" s="42" t="s">
        <v>57</v>
      </c>
      <c r="B99" s="43">
        <v>1</v>
      </c>
      <c r="C99" s="44" t="s">
        <v>6</v>
      </c>
      <c r="D99" s="44"/>
      <c r="E99" s="107"/>
      <c r="F99" s="92"/>
      <c r="G99" s="93"/>
    </row>
    <row r="100" spans="1:8">
      <c r="A100" s="42" t="s">
        <v>58</v>
      </c>
      <c r="B100" s="43">
        <v>1</v>
      </c>
      <c r="C100" s="44" t="s">
        <v>6</v>
      </c>
      <c r="D100" s="44"/>
      <c r="E100" s="107"/>
      <c r="F100" s="92"/>
      <c r="G100" s="93"/>
    </row>
    <row r="101" spans="1:8">
      <c r="A101" s="42" t="s">
        <v>59</v>
      </c>
      <c r="B101" s="43">
        <v>1</v>
      </c>
      <c r="C101" s="44" t="s">
        <v>6</v>
      </c>
      <c r="D101" s="44"/>
      <c r="E101" s="107"/>
      <c r="F101" s="92"/>
      <c r="G101" s="93"/>
    </row>
    <row r="102" spans="1:8">
      <c r="A102" s="42" t="s">
        <v>60</v>
      </c>
      <c r="B102" s="43">
        <v>1</v>
      </c>
      <c r="C102" s="44" t="s">
        <v>6</v>
      </c>
      <c r="D102" s="44"/>
      <c r="E102" s="107"/>
      <c r="F102" s="92"/>
      <c r="G102" s="93"/>
    </row>
    <row r="103" spans="1:8">
      <c r="A103" s="42" t="s">
        <v>61</v>
      </c>
      <c r="B103" s="43">
        <v>1</v>
      </c>
      <c r="C103" s="44" t="s">
        <v>6</v>
      </c>
      <c r="D103" s="44"/>
      <c r="E103" s="107"/>
      <c r="F103" s="92"/>
      <c r="G103" s="93"/>
    </row>
    <row r="104" spans="1:8">
      <c r="A104" s="42" t="s">
        <v>62</v>
      </c>
      <c r="B104" s="43">
        <v>1</v>
      </c>
      <c r="C104" s="44" t="s">
        <v>6</v>
      </c>
      <c r="D104" s="44"/>
      <c r="E104" s="107"/>
      <c r="F104" s="92"/>
      <c r="G104" s="93"/>
    </row>
    <row r="105" spans="1:8">
      <c r="A105" s="45" t="s">
        <v>63</v>
      </c>
      <c r="B105" s="43">
        <v>1</v>
      </c>
      <c r="C105" s="44" t="s">
        <v>6</v>
      </c>
      <c r="D105" s="44"/>
      <c r="E105" s="107"/>
      <c r="F105" s="92"/>
      <c r="G105" s="93"/>
    </row>
    <row r="106" spans="1:8">
      <c r="A106" s="46" t="s">
        <v>64</v>
      </c>
      <c r="B106" s="47">
        <v>1</v>
      </c>
      <c r="C106" s="44" t="s">
        <v>6</v>
      </c>
      <c r="D106" s="44"/>
      <c r="E106" s="107"/>
      <c r="F106" s="92"/>
      <c r="G106" s="93"/>
    </row>
    <row r="107" spans="1:8">
      <c r="A107" s="85"/>
      <c r="B107" s="86"/>
      <c r="C107" s="87"/>
      <c r="D107" s="87"/>
      <c r="E107" s="105"/>
      <c r="F107" s="95"/>
      <c r="G107" s="96">
        <f>SUM(G105:G106)</f>
        <v>0</v>
      </c>
    </row>
    <row r="108" spans="1:8">
      <c r="A108" s="5" t="s">
        <v>356</v>
      </c>
      <c r="B108" s="40"/>
      <c r="C108" s="40"/>
      <c r="D108" s="40"/>
      <c r="E108" s="102"/>
      <c r="F108" s="92"/>
      <c r="G108" s="93"/>
    </row>
    <row r="109" spans="1:8">
      <c r="A109" s="34" t="s">
        <v>297</v>
      </c>
      <c r="B109" s="38">
        <v>30</v>
      </c>
      <c r="C109" s="35" t="s">
        <v>65</v>
      </c>
      <c r="D109" s="143">
        <v>1</v>
      </c>
      <c r="E109" s="104" t="s">
        <v>24</v>
      </c>
      <c r="F109" s="92">
        <f>18.7517*1.3*1.1/5/450*B109</f>
        <v>0.35753241333333341</v>
      </c>
      <c r="G109" s="94">
        <f t="shared" ref="G109:G115" si="14">F109*(1+$G$2)</f>
        <v>0.37540903400000009</v>
      </c>
      <c r="H109">
        <v>502</v>
      </c>
    </row>
    <row r="110" spans="1:8">
      <c r="A110" s="9" t="s">
        <v>298</v>
      </c>
      <c r="B110" s="12" t="s">
        <v>66</v>
      </c>
      <c r="C110" s="11" t="s">
        <v>65</v>
      </c>
      <c r="D110" s="144"/>
      <c r="E110" s="104" t="s">
        <v>32</v>
      </c>
      <c r="F110" s="92">
        <f>33.6/450*24</f>
        <v>1.7920000000000003</v>
      </c>
      <c r="G110" s="94">
        <f t="shared" si="14"/>
        <v>1.8816000000000004</v>
      </c>
    </row>
    <row r="111" spans="1:8">
      <c r="A111" s="9" t="s">
        <v>301</v>
      </c>
      <c r="B111" s="12">
        <v>15</v>
      </c>
      <c r="C111" s="11" t="s">
        <v>65</v>
      </c>
      <c r="D111" s="144"/>
      <c r="E111" s="104" t="s">
        <v>67</v>
      </c>
      <c r="F111" s="92">
        <f>9.75/450*B111</f>
        <v>0.32500000000000001</v>
      </c>
      <c r="G111" s="94">
        <f t="shared" si="14"/>
        <v>0.34125000000000005</v>
      </c>
    </row>
    <row r="112" spans="1:8">
      <c r="A112" s="9" t="s">
        <v>345</v>
      </c>
      <c r="B112" s="12">
        <v>10</v>
      </c>
      <c r="C112" s="11" t="s">
        <v>65</v>
      </c>
      <c r="D112" s="144"/>
      <c r="E112" s="104"/>
      <c r="F112" s="92">
        <f>19.85/450*B112</f>
        <v>0.44111111111111112</v>
      </c>
      <c r="G112" s="94">
        <f t="shared" si="14"/>
        <v>0.46316666666666667</v>
      </c>
    </row>
    <row r="113" spans="1:9">
      <c r="A113" s="9" t="s">
        <v>68</v>
      </c>
      <c r="B113" s="12">
        <v>8</v>
      </c>
      <c r="C113" s="11" t="s">
        <v>65</v>
      </c>
      <c r="D113" s="144"/>
      <c r="E113" s="104"/>
      <c r="F113" s="92">
        <f>30.2/0.8*1.1/10/450*B113</f>
        <v>7.3822222222222234E-2</v>
      </c>
      <c r="G113" s="94">
        <f t="shared" si="14"/>
        <v>7.7513333333333351E-2</v>
      </c>
    </row>
    <row r="114" spans="1:9">
      <c r="A114" s="9" t="s">
        <v>300</v>
      </c>
      <c r="B114" s="12" t="s">
        <v>69</v>
      </c>
      <c r="C114" s="11" t="s">
        <v>65</v>
      </c>
      <c r="D114" s="144"/>
      <c r="E114" s="104"/>
      <c r="F114" s="100">
        <v>8.6E-3</v>
      </c>
      <c r="G114" s="94">
        <f t="shared" si="14"/>
        <v>9.0299999999999998E-3</v>
      </c>
      <c r="I114" t="s">
        <v>70</v>
      </c>
    </row>
    <row r="115" spans="1:9">
      <c r="A115" s="34" t="s">
        <v>299</v>
      </c>
      <c r="B115" s="38" t="s">
        <v>71</v>
      </c>
      <c r="C115" s="35" t="s">
        <v>13</v>
      </c>
      <c r="D115" s="145"/>
      <c r="E115" s="104"/>
      <c r="F115" s="92">
        <f>1.06/0.7/450*20</f>
        <v>6.7301587301587307E-2</v>
      </c>
      <c r="G115" s="94">
        <f t="shared" si="14"/>
        <v>7.0666666666666669E-2</v>
      </c>
    </row>
    <row r="116" spans="1:9">
      <c r="A116" s="85"/>
      <c r="B116" s="86"/>
      <c r="C116" s="87"/>
      <c r="D116" s="87"/>
      <c r="E116" s="105"/>
      <c r="F116" s="95"/>
      <c r="G116" s="96">
        <f>SUM(G109:G115)</f>
        <v>3.2186357006666677</v>
      </c>
    </row>
    <row r="117" spans="1:9">
      <c r="A117" s="5" t="s">
        <v>355</v>
      </c>
      <c r="B117" s="40"/>
      <c r="C117" s="40"/>
      <c r="D117" s="40"/>
      <c r="E117" s="102"/>
      <c r="F117" s="92"/>
      <c r="G117" s="93"/>
    </row>
    <row r="118" spans="1:9">
      <c r="A118" s="9" t="s">
        <v>302</v>
      </c>
      <c r="B118" s="12">
        <v>60</v>
      </c>
      <c r="C118" s="11" t="s">
        <v>13</v>
      </c>
      <c r="D118" s="135">
        <v>1</v>
      </c>
      <c r="E118" s="104" t="s">
        <v>22</v>
      </c>
      <c r="F118" s="92">
        <f>32.59/12/450*B118</f>
        <v>0.36211111111111116</v>
      </c>
      <c r="G118" s="94">
        <f t="shared" ref="G118:G120" si="15">F118*(1+$G$2)</f>
        <v>0.38021666666666676</v>
      </c>
    </row>
    <row r="119" spans="1:9">
      <c r="A119" s="9" t="s">
        <v>303</v>
      </c>
      <c r="B119" s="12">
        <v>30</v>
      </c>
      <c r="C119" s="11" t="s">
        <v>13</v>
      </c>
      <c r="D119" s="136"/>
      <c r="E119" s="104"/>
      <c r="F119" s="92">
        <f>2.25/0.6/450*B119</f>
        <v>0.25</v>
      </c>
      <c r="G119" s="94">
        <f t="shared" si="15"/>
        <v>0.26250000000000001</v>
      </c>
      <c r="H119" t="s">
        <v>436</v>
      </c>
    </row>
    <row r="120" spans="1:9">
      <c r="A120" s="9" t="s">
        <v>304</v>
      </c>
      <c r="B120" s="12">
        <v>3</v>
      </c>
      <c r="C120" s="11" t="s">
        <v>13</v>
      </c>
      <c r="D120" s="137"/>
      <c r="E120" s="104"/>
      <c r="F120" s="92">
        <f>4.095/450*B120</f>
        <v>2.7299999999999998E-2</v>
      </c>
      <c r="G120" s="94">
        <f t="shared" si="15"/>
        <v>2.8665E-2</v>
      </c>
      <c r="H120" t="s">
        <v>437</v>
      </c>
    </row>
    <row r="121" spans="1:9">
      <c r="A121" s="85"/>
      <c r="B121" s="86"/>
      <c r="C121" s="87"/>
      <c r="D121" s="87"/>
      <c r="E121" s="105"/>
      <c r="F121" s="95"/>
      <c r="G121" s="96">
        <f>SUM(G118:G120)</f>
        <v>0.67138166666666688</v>
      </c>
    </row>
    <row r="122" spans="1:9">
      <c r="A122" s="5" t="s">
        <v>354</v>
      </c>
      <c r="B122" s="40"/>
      <c r="C122" s="40"/>
      <c r="D122" s="40"/>
      <c r="E122" s="102" t="s">
        <v>43</v>
      </c>
      <c r="F122" s="92"/>
      <c r="G122" s="93"/>
    </row>
    <row r="123" spans="1:9">
      <c r="A123" s="9" t="s">
        <v>73</v>
      </c>
      <c r="B123" s="12">
        <v>30</v>
      </c>
      <c r="C123" s="11" t="s">
        <v>13</v>
      </c>
      <c r="D123" s="56">
        <v>1</v>
      </c>
      <c r="E123" s="104" t="s">
        <v>74</v>
      </c>
      <c r="F123" s="100">
        <v>0.69</v>
      </c>
      <c r="G123" s="94">
        <f t="shared" ref="G123:G125" si="16">F123*(1+$G$2)</f>
        <v>0.72449999999999992</v>
      </c>
    </row>
    <row r="124" spans="1:9">
      <c r="A124" s="9" t="s">
        <v>232</v>
      </c>
      <c r="B124" s="12">
        <v>40</v>
      </c>
      <c r="C124" s="11" t="s">
        <v>13</v>
      </c>
      <c r="D124" s="56">
        <v>0.6</v>
      </c>
      <c r="E124" s="104"/>
      <c r="F124" s="100">
        <v>0.45</v>
      </c>
      <c r="G124" s="94">
        <f t="shared" si="16"/>
        <v>0.47250000000000003</v>
      </c>
    </row>
    <row r="125" spans="1:9">
      <c r="A125" s="9" t="s">
        <v>76</v>
      </c>
      <c r="B125" s="12">
        <v>40</v>
      </c>
      <c r="C125" s="11" t="s">
        <v>13</v>
      </c>
      <c r="D125" s="56">
        <v>0.6</v>
      </c>
      <c r="E125" s="104"/>
      <c r="F125" s="100">
        <f>0.185*1.3*1.1</f>
        <v>0.26455000000000001</v>
      </c>
      <c r="G125" s="94">
        <f t="shared" si="16"/>
        <v>0.27777750000000001</v>
      </c>
    </row>
    <row r="126" spans="1:9">
      <c r="F126" s="95"/>
      <c r="G126" s="96">
        <f>SUM(G123:G125)</f>
        <v>1.4747775000000001</v>
      </c>
    </row>
  </sheetData>
  <mergeCells count="14">
    <mergeCell ref="D118:D120"/>
    <mergeCell ref="D44:D48"/>
    <mergeCell ref="D4:D9"/>
    <mergeCell ref="D17:D18"/>
    <mergeCell ref="D21:D25"/>
    <mergeCell ref="D28:D31"/>
    <mergeCell ref="D37:D41"/>
    <mergeCell ref="D109:D115"/>
    <mergeCell ref="D51:D55"/>
    <mergeCell ref="D58:D61"/>
    <mergeCell ref="D67:D68"/>
    <mergeCell ref="D78:D81"/>
    <mergeCell ref="D71:D72"/>
    <mergeCell ref="D91:D94"/>
  </mergeCells>
  <conditionalFormatting sqref="F71:F72">
    <cfRule type="cellIs" dxfId="0" priority="1" operator="equal">
      <formula>0</formula>
    </cfRule>
  </conditionalFormatting>
  <printOptions gridLines="1"/>
  <pageMargins left="0.25" right="0.25" top="0.75" bottom="0.75" header="0.3" footer="0.3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26-0A75-4934-AE0C-B9BDC700C742}">
  <sheetPr>
    <pageSetUpPr fitToPage="1"/>
  </sheetPr>
  <dimension ref="A1:H26"/>
  <sheetViews>
    <sheetView zoomScaleNormal="100" workbookViewId="0">
      <selection activeCell="A3" sqref="A3"/>
    </sheetView>
  </sheetViews>
  <sheetFormatPr defaultRowHeight="15"/>
  <cols>
    <col min="1" max="1" width="46" customWidth="1"/>
    <col min="2" max="4" width="10.7109375" style="41" customWidth="1"/>
    <col min="5" max="5" width="15.28515625" style="14" bestFit="1" customWidth="1"/>
  </cols>
  <sheetData>
    <row r="1" spans="1:8" ht="34.5">
      <c r="A1" s="1" t="s">
        <v>218</v>
      </c>
      <c r="B1" s="2"/>
      <c r="C1" s="2"/>
      <c r="D1" s="2"/>
    </row>
    <row r="2" spans="1:8">
      <c r="A2" s="4" t="s">
        <v>0</v>
      </c>
      <c r="B2" s="39" t="s">
        <v>1</v>
      </c>
      <c r="C2" s="39" t="s">
        <v>2</v>
      </c>
      <c r="D2" s="39" t="s">
        <v>3</v>
      </c>
    </row>
    <row r="3" spans="1:8">
      <c r="A3" s="5" t="s">
        <v>375</v>
      </c>
      <c r="B3" s="40"/>
      <c r="C3" s="40"/>
      <c r="D3" s="40"/>
    </row>
    <row r="4" spans="1:8">
      <c r="A4" s="6" t="s">
        <v>5</v>
      </c>
      <c r="B4" s="37">
        <v>1</v>
      </c>
      <c r="C4" s="7" t="s">
        <v>6</v>
      </c>
      <c r="D4" s="138">
        <v>1</v>
      </c>
    </row>
    <row r="5" spans="1:8">
      <c r="A5" s="8" t="s">
        <v>8</v>
      </c>
      <c r="B5" s="37">
        <v>3</v>
      </c>
      <c r="C5" s="7" t="s">
        <v>6</v>
      </c>
      <c r="D5" s="139"/>
    </row>
    <row r="6" spans="1:8">
      <c r="A6" s="8" t="s">
        <v>9</v>
      </c>
      <c r="B6" s="37">
        <v>3</v>
      </c>
      <c r="C6" s="7" t="s">
        <v>6</v>
      </c>
      <c r="D6" s="139"/>
    </row>
    <row r="7" spans="1:8">
      <c r="A7" s="8" t="s">
        <v>10</v>
      </c>
      <c r="B7" s="37">
        <v>1</v>
      </c>
      <c r="C7" s="7" t="s">
        <v>6</v>
      </c>
      <c r="D7" s="139"/>
    </row>
    <row r="8" spans="1:8">
      <c r="A8" s="8" t="s">
        <v>11</v>
      </c>
      <c r="B8" s="37">
        <v>1</v>
      </c>
      <c r="C8" s="7" t="s">
        <v>6</v>
      </c>
      <c r="D8" s="139"/>
    </row>
    <row r="9" spans="1:8">
      <c r="A9" s="8" t="s">
        <v>12</v>
      </c>
      <c r="B9" s="37">
        <v>1</v>
      </c>
      <c r="C9" s="7" t="s">
        <v>6</v>
      </c>
      <c r="D9" s="140"/>
    </row>
    <row r="10" spans="1:8">
      <c r="A10" s="5" t="s">
        <v>374</v>
      </c>
      <c r="B10" s="40"/>
      <c r="C10" s="40"/>
      <c r="D10" s="40"/>
    </row>
    <row r="11" spans="1:8">
      <c r="A11" s="9" t="s">
        <v>173</v>
      </c>
      <c r="B11" s="10">
        <v>30</v>
      </c>
      <c r="C11" s="11" t="s">
        <v>13</v>
      </c>
      <c r="D11" s="135">
        <v>1</v>
      </c>
    </row>
    <row r="12" spans="1:8" s="14" customFormat="1">
      <c r="A12" s="9" t="s">
        <v>269</v>
      </c>
      <c r="B12" s="12">
        <v>5</v>
      </c>
      <c r="C12" s="11" t="s">
        <v>13</v>
      </c>
      <c r="D12" s="137"/>
      <c r="F12"/>
      <c r="G12"/>
      <c r="H12"/>
    </row>
    <row r="13" spans="1:8">
      <c r="A13" s="61" t="s">
        <v>371</v>
      </c>
      <c r="B13" s="40"/>
      <c r="C13" s="40"/>
      <c r="D13" s="64"/>
    </row>
    <row r="14" spans="1:8">
      <c r="A14" s="9" t="s">
        <v>270</v>
      </c>
      <c r="B14" s="12">
        <v>40</v>
      </c>
      <c r="C14" s="11" t="s">
        <v>13</v>
      </c>
      <c r="D14" s="135">
        <v>0.5</v>
      </c>
      <c r="E14" s="36"/>
    </row>
    <row r="15" spans="1:8">
      <c r="A15" s="9" t="s">
        <v>271</v>
      </c>
      <c r="B15" s="12">
        <v>30</v>
      </c>
      <c r="C15" s="11" t="s">
        <v>13</v>
      </c>
      <c r="D15" s="136"/>
      <c r="E15" s="36"/>
    </row>
    <row r="16" spans="1:8">
      <c r="A16" s="9" t="s">
        <v>272</v>
      </c>
      <c r="B16" s="12">
        <v>10</v>
      </c>
      <c r="C16" s="11" t="s">
        <v>13</v>
      </c>
      <c r="D16" s="136"/>
      <c r="E16" s="36"/>
    </row>
    <row r="17" spans="1:4">
      <c r="A17" s="9"/>
      <c r="B17" s="12"/>
      <c r="C17" s="11"/>
      <c r="D17" s="137"/>
    </row>
    <row r="18" spans="1:4">
      <c r="A18" s="5" t="s">
        <v>370</v>
      </c>
      <c r="B18" s="40"/>
      <c r="C18" s="40"/>
      <c r="D18" s="40"/>
    </row>
    <row r="19" spans="1:4">
      <c r="A19" s="9" t="s">
        <v>305</v>
      </c>
      <c r="B19" s="12">
        <v>40</v>
      </c>
      <c r="C19" s="11" t="s">
        <v>13</v>
      </c>
      <c r="D19" s="135">
        <v>0.5</v>
      </c>
    </row>
    <row r="20" spans="1:4">
      <c r="A20" s="9" t="s">
        <v>274</v>
      </c>
      <c r="B20" s="12">
        <v>10</v>
      </c>
      <c r="C20" s="11" t="s">
        <v>13</v>
      </c>
      <c r="D20" s="136"/>
    </row>
    <row r="21" spans="1:4">
      <c r="A21" s="9" t="s">
        <v>273</v>
      </c>
      <c r="B21" s="12">
        <v>10</v>
      </c>
      <c r="C21" s="11" t="s">
        <v>13</v>
      </c>
      <c r="D21" s="136"/>
    </row>
    <row r="22" spans="1:4">
      <c r="A22" s="9" t="s">
        <v>275</v>
      </c>
      <c r="B22" s="12">
        <v>20</v>
      </c>
      <c r="C22" s="11" t="s">
        <v>13</v>
      </c>
      <c r="D22" s="137"/>
    </row>
    <row r="23" spans="1:4">
      <c r="A23" s="5" t="s">
        <v>363</v>
      </c>
      <c r="B23" s="40"/>
      <c r="C23" s="40"/>
      <c r="D23" s="40"/>
    </row>
    <row r="24" spans="1:4">
      <c r="A24" s="9" t="s">
        <v>293</v>
      </c>
      <c r="B24" s="12">
        <v>20</v>
      </c>
      <c r="C24" s="11" t="s">
        <v>13</v>
      </c>
      <c r="D24" s="135">
        <v>1</v>
      </c>
    </row>
    <row r="25" spans="1:4">
      <c r="A25" s="9" t="s">
        <v>294</v>
      </c>
      <c r="B25" s="12">
        <v>20</v>
      </c>
      <c r="C25" s="11" t="s">
        <v>13</v>
      </c>
      <c r="D25" s="136"/>
    </row>
    <row r="26" spans="1:4">
      <c r="A26" s="9" t="s">
        <v>234</v>
      </c>
      <c r="B26" s="12">
        <v>10</v>
      </c>
      <c r="C26" s="11" t="s">
        <v>13</v>
      </c>
      <c r="D26" s="137"/>
    </row>
  </sheetData>
  <mergeCells count="5">
    <mergeCell ref="D11:D12"/>
    <mergeCell ref="D24:D26"/>
    <mergeCell ref="D4:D9"/>
    <mergeCell ref="D14:D17"/>
    <mergeCell ref="D19:D22"/>
  </mergeCells>
  <printOptions gridLines="1"/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H71"/>
  <sheetViews>
    <sheetView topLeftCell="A27" zoomScaleNormal="100" zoomScaleSheetLayoutView="100" workbookViewId="0">
      <selection activeCell="F68" sqref="F68"/>
    </sheetView>
  </sheetViews>
  <sheetFormatPr defaultRowHeight="15"/>
  <cols>
    <col min="1" max="1" width="59.140625" style="15" customWidth="1"/>
    <col min="2" max="4" width="10.7109375" style="16" customWidth="1"/>
    <col min="5" max="5" width="19.7109375" customWidth="1"/>
    <col min="6" max="6" width="19.140625" customWidth="1"/>
  </cols>
  <sheetData>
    <row r="1" spans="1:6" ht="17.25">
      <c r="A1" s="17" t="s">
        <v>265</v>
      </c>
      <c r="B1" s="18"/>
      <c r="C1" s="18"/>
      <c r="D1" s="18"/>
    </row>
    <row r="2" spans="1:6">
      <c r="A2" s="4" t="s">
        <v>0</v>
      </c>
      <c r="B2" s="4" t="s">
        <v>1</v>
      </c>
      <c r="C2" s="4" t="s">
        <v>2</v>
      </c>
      <c r="D2" s="101" t="s">
        <v>3</v>
      </c>
      <c r="E2" s="112"/>
      <c r="F2" s="113">
        <v>0.05</v>
      </c>
    </row>
    <row r="3" spans="1:6">
      <c r="A3" s="19" t="s">
        <v>335</v>
      </c>
      <c r="B3" s="20"/>
      <c r="C3" s="20"/>
      <c r="D3" s="108"/>
      <c r="E3" s="114" t="s">
        <v>430</v>
      </c>
      <c r="F3" s="115" t="s">
        <v>431</v>
      </c>
    </row>
    <row r="4" spans="1:6">
      <c r="A4" s="48" t="s">
        <v>55</v>
      </c>
      <c r="B4" s="49">
        <v>1</v>
      </c>
      <c r="C4" s="50" t="s">
        <v>6</v>
      </c>
      <c r="D4" s="109"/>
      <c r="E4" s="93"/>
      <c r="F4" s="93"/>
    </row>
    <row r="5" spans="1:6">
      <c r="A5" s="48" t="s">
        <v>56</v>
      </c>
      <c r="B5" s="49">
        <v>1</v>
      </c>
      <c r="C5" s="50" t="s">
        <v>6</v>
      </c>
      <c r="D5" s="109"/>
      <c r="E5" s="93"/>
      <c r="F5" s="93"/>
    </row>
    <row r="6" spans="1:6">
      <c r="A6" s="48" t="s">
        <v>78</v>
      </c>
      <c r="B6" s="49">
        <v>1</v>
      </c>
      <c r="C6" s="50" t="s">
        <v>6</v>
      </c>
      <c r="D6" s="109"/>
      <c r="E6" s="93"/>
      <c r="F6" s="93"/>
    </row>
    <row r="7" spans="1:6">
      <c r="A7" s="48" t="s">
        <v>79</v>
      </c>
      <c r="B7" s="49">
        <v>1</v>
      </c>
      <c r="C7" s="50" t="s">
        <v>6</v>
      </c>
      <c r="D7" s="109"/>
      <c r="E7" s="93"/>
      <c r="F7" s="93"/>
    </row>
    <row r="8" spans="1:6">
      <c r="A8" s="48" t="s">
        <v>80</v>
      </c>
      <c r="B8" s="49">
        <v>1</v>
      </c>
      <c r="C8" s="50" t="s">
        <v>6</v>
      </c>
      <c r="D8" s="109"/>
      <c r="E8" s="93"/>
      <c r="F8" s="93"/>
    </row>
    <row r="9" spans="1:6">
      <c r="A9" s="48" t="s">
        <v>81</v>
      </c>
      <c r="B9" s="49">
        <v>1</v>
      </c>
      <c r="C9" s="50" t="s">
        <v>6</v>
      </c>
      <c r="D9" s="109"/>
      <c r="E9" s="93"/>
      <c r="F9" s="93"/>
    </row>
    <row r="10" spans="1:6">
      <c r="A10" s="48" t="s">
        <v>82</v>
      </c>
      <c r="B10" s="49">
        <v>1</v>
      </c>
      <c r="C10" s="50" t="s">
        <v>6</v>
      </c>
      <c r="D10" s="109"/>
      <c r="E10" s="93"/>
      <c r="F10" s="93"/>
    </row>
    <row r="11" spans="1:6">
      <c r="A11" s="48" t="s">
        <v>83</v>
      </c>
      <c r="B11" s="49">
        <v>1</v>
      </c>
      <c r="C11" s="50" t="s">
        <v>6</v>
      </c>
      <c r="D11" s="109"/>
      <c r="E11" s="93"/>
      <c r="F11" s="93"/>
    </row>
    <row r="12" spans="1:6">
      <c r="A12" s="48" t="s">
        <v>84</v>
      </c>
      <c r="B12" s="49">
        <v>1</v>
      </c>
      <c r="C12" s="50" t="s">
        <v>6</v>
      </c>
      <c r="D12" s="109"/>
      <c r="E12" s="93"/>
      <c r="F12" s="93"/>
    </row>
    <row r="13" spans="1:6">
      <c r="A13" s="48" t="s">
        <v>85</v>
      </c>
      <c r="B13" s="49">
        <v>1</v>
      </c>
      <c r="C13" s="50" t="s">
        <v>6</v>
      </c>
      <c r="D13" s="109"/>
      <c r="E13" s="93"/>
      <c r="F13" s="93"/>
    </row>
    <row r="14" spans="1:6">
      <c r="A14" s="48" t="s">
        <v>86</v>
      </c>
      <c r="B14" s="49">
        <v>1</v>
      </c>
      <c r="C14" s="50" t="s">
        <v>6</v>
      </c>
      <c r="D14" s="109"/>
      <c r="E14" s="93"/>
      <c r="F14" s="93"/>
    </row>
    <row r="15" spans="1:6">
      <c r="A15" s="48" t="s">
        <v>87</v>
      </c>
      <c r="B15" s="49">
        <v>1</v>
      </c>
      <c r="C15" s="50" t="s">
        <v>6</v>
      </c>
      <c r="D15" s="109"/>
      <c r="E15" s="93">
        <v>0.11</v>
      </c>
      <c r="F15" s="93">
        <f>E15*1.065</f>
        <v>0.11714999999999999</v>
      </c>
    </row>
    <row r="16" spans="1:6">
      <c r="A16" s="48" t="s">
        <v>88</v>
      </c>
      <c r="B16" s="49">
        <v>1</v>
      </c>
      <c r="C16" s="50" t="s">
        <v>6</v>
      </c>
      <c r="D16" s="109"/>
      <c r="E16" s="93">
        <v>0.05</v>
      </c>
      <c r="F16" s="93">
        <f>E16*1.065</f>
        <v>5.3249999999999999E-2</v>
      </c>
    </row>
    <row r="17" spans="1:8">
      <c r="A17" s="48" t="s">
        <v>89</v>
      </c>
      <c r="B17" s="49">
        <v>1</v>
      </c>
      <c r="C17" s="50" t="s">
        <v>6</v>
      </c>
      <c r="D17" s="109"/>
      <c r="E17" s="93">
        <v>0.86499999999999999</v>
      </c>
      <c r="F17" s="93">
        <f>E17*1.065</f>
        <v>0.92122499999999996</v>
      </c>
    </row>
    <row r="18" spans="1:8">
      <c r="A18" s="21"/>
      <c r="B18" s="22"/>
      <c r="C18" s="23"/>
      <c r="D18" s="110"/>
      <c r="E18" s="95"/>
      <c r="F18" s="96">
        <f>SUM(F4:F17)</f>
        <v>1.0916250000000001</v>
      </c>
    </row>
    <row r="19" spans="1:8">
      <c r="A19" s="19" t="s">
        <v>336</v>
      </c>
      <c r="B19" s="20"/>
      <c r="C19" s="20"/>
      <c r="D19" s="108"/>
      <c r="E19" s="93"/>
      <c r="F19" s="93"/>
    </row>
    <row r="20" spans="1:8">
      <c r="A20" s="25" t="s">
        <v>346</v>
      </c>
      <c r="B20" s="26">
        <v>20</v>
      </c>
      <c r="C20" s="27" t="s">
        <v>13</v>
      </c>
      <c r="D20" s="150">
        <v>1</v>
      </c>
      <c r="E20" s="93">
        <f>31.8608*1.2/45/28*B20</f>
        <v>0.60687238095238094</v>
      </c>
      <c r="F20" s="93">
        <f>E20*(1+$F$2)</f>
        <v>0.637216</v>
      </c>
      <c r="G20">
        <v>175</v>
      </c>
    </row>
    <row r="21" spans="1:8">
      <c r="A21" s="25" t="s">
        <v>337</v>
      </c>
      <c r="B21" s="26">
        <v>8</v>
      </c>
      <c r="C21" s="27" t="s">
        <v>13</v>
      </c>
      <c r="D21" s="153"/>
      <c r="E21" s="92">
        <f>30.2/0.8*1.1/10/450*B21</f>
        <v>7.3822222222222234E-2</v>
      </c>
      <c r="F21" s="93">
        <f t="shared" ref="F21:F22" si="0">E21*(1+$F$2)</f>
        <v>7.7513333333333351E-2</v>
      </c>
    </row>
    <row r="22" spans="1:8">
      <c r="A22" s="25" t="s">
        <v>309</v>
      </c>
      <c r="B22" s="26">
        <v>45</v>
      </c>
      <c r="C22" s="27" t="s">
        <v>13</v>
      </c>
      <c r="D22" s="151"/>
      <c r="E22" s="93">
        <f>12.4378*1.3*1.1/5/450*B22</f>
        <v>0.35572108000000002</v>
      </c>
      <c r="F22" s="93">
        <f t="shared" si="0"/>
        <v>0.37350713400000002</v>
      </c>
      <c r="G22">
        <v>127</v>
      </c>
    </row>
    <row r="23" spans="1:8">
      <c r="A23" s="21"/>
      <c r="B23" s="22"/>
      <c r="C23" s="23"/>
      <c r="D23" s="110"/>
      <c r="E23" s="95"/>
      <c r="F23" s="96">
        <f>SUM(F20:F22)</f>
        <v>1.0882364673333333</v>
      </c>
    </row>
    <row r="24" spans="1:8">
      <c r="A24" s="19" t="s">
        <v>338</v>
      </c>
      <c r="B24" s="20"/>
      <c r="C24" s="20"/>
      <c r="D24" s="108"/>
      <c r="E24" s="93"/>
      <c r="F24" s="93"/>
    </row>
    <row r="25" spans="1:8">
      <c r="A25" s="25" t="s">
        <v>310</v>
      </c>
      <c r="B25" s="26">
        <v>90</v>
      </c>
      <c r="C25" s="27" t="s">
        <v>13</v>
      </c>
      <c r="D25" s="150">
        <v>0.6</v>
      </c>
      <c r="E25" s="93">
        <f>15.46*1.3*1.1/5/450*B25*1.5</f>
        <v>1.3264680000000004</v>
      </c>
      <c r="F25" s="93">
        <f t="shared" ref="F25:F29" si="1">E25*(1+$F$2)</f>
        <v>1.3927914000000006</v>
      </c>
      <c r="G25">
        <v>551</v>
      </c>
      <c r="H25" t="s">
        <v>448</v>
      </c>
    </row>
    <row r="26" spans="1:8">
      <c r="A26" s="25" t="s">
        <v>311</v>
      </c>
      <c r="B26" s="26">
        <v>30</v>
      </c>
      <c r="C26" s="27" t="s">
        <v>13</v>
      </c>
      <c r="D26" s="152"/>
      <c r="E26" s="93">
        <f>46.2473*1.3*1.3/10/450*B26</f>
        <v>0.52105291333333348</v>
      </c>
      <c r="F26" s="93">
        <f t="shared" si="1"/>
        <v>0.54710555900000013</v>
      </c>
      <c r="G26" t="s">
        <v>438</v>
      </c>
    </row>
    <row r="27" spans="1:8">
      <c r="A27" s="25" t="s">
        <v>314</v>
      </c>
      <c r="B27" s="26">
        <v>30</v>
      </c>
      <c r="C27" s="27" t="s">
        <v>13</v>
      </c>
      <c r="D27" s="152"/>
      <c r="E27" s="93">
        <f>26.516*1.3*1.1/10/450*B27</f>
        <v>0.25278586666666664</v>
      </c>
      <c r="F27" s="93">
        <f t="shared" si="1"/>
        <v>0.26542515999999999</v>
      </c>
      <c r="G27">
        <v>207</v>
      </c>
    </row>
    <row r="28" spans="1:8">
      <c r="A28" s="25" t="s">
        <v>312</v>
      </c>
      <c r="B28" s="26">
        <v>60</v>
      </c>
      <c r="C28" s="27" t="s">
        <v>13</v>
      </c>
      <c r="D28" s="152"/>
      <c r="E28" s="93">
        <f>5.3767*1.3*1.1/5/450*B28</f>
        <v>0.20503149333333331</v>
      </c>
      <c r="F28" s="93">
        <f t="shared" si="1"/>
        <v>0.21528306799999999</v>
      </c>
      <c r="G28">
        <v>549</v>
      </c>
    </row>
    <row r="29" spans="1:8">
      <c r="A29" s="25" t="s">
        <v>313</v>
      </c>
      <c r="B29" s="26">
        <v>15</v>
      </c>
      <c r="C29" s="27" t="s">
        <v>13</v>
      </c>
      <c r="D29" s="151"/>
      <c r="E29" s="93">
        <f>34.5/10/450*B29</f>
        <v>0.115</v>
      </c>
      <c r="F29" s="93">
        <f t="shared" si="1"/>
        <v>0.12075000000000001</v>
      </c>
      <c r="G29" t="s">
        <v>439</v>
      </c>
    </row>
    <row r="30" spans="1:8">
      <c r="A30" s="21"/>
      <c r="B30" s="22"/>
      <c r="C30" s="23"/>
      <c r="D30" s="110"/>
      <c r="E30" s="95"/>
      <c r="F30" s="96">
        <f>SUM(F24:F29)</f>
        <v>2.5413551870000011</v>
      </c>
    </row>
    <row r="31" spans="1:8">
      <c r="A31" s="19" t="s">
        <v>339</v>
      </c>
      <c r="B31" s="20"/>
      <c r="C31" s="20"/>
      <c r="D31" s="108"/>
      <c r="E31" s="93"/>
      <c r="F31" s="93"/>
    </row>
    <row r="32" spans="1:8">
      <c r="A32" s="9" t="s">
        <v>326</v>
      </c>
      <c r="B32" s="12" t="s">
        <v>25</v>
      </c>
      <c r="C32" s="11" t="s">
        <v>13</v>
      </c>
      <c r="D32" s="150">
        <v>0.4</v>
      </c>
      <c r="E32" s="93">
        <f>64.2/0.95/12/450*100*1.3</f>
        <v>1.6269005847953217</v>
      </c>
      <c r="F32" s="93">
        <f t="shared" ref="F32:F36" si="2">E32*(1+$F$2)</f>
        <v>1.7082456140350879</v>
      </c>
      <c r="G32" t="s">
        <v>447</v>
      </c>
    </row>
    <row r="33" spans="1:7">
      <c r="A33" s="9" t="s">
        <v>327</v>
      </c>
      <c r="B33" s="12">
        <v>56</v>
      </c>
      <c r="C33" s="11" t="s">
        <v>13</v>
      </c>
      <c r="D33" s="152"/>
      <c r="E33" s="92">
        <f>4.679*1.3*1.1/2/450*B33</f>
        <v>0.41632702222222234</v>
      </c>
      <c r="F33" s="93">
        <f t="shared" si="2"/>
        <v>0.43714337333333347</v>
      </c>
    </row>
    <row r="34" spans="1:7">
      <c r="A34" s="9" t="s">
        <v>402</v>
      </c>
      <c r="B34" s="12">
        <v>42</v>
      </c>
      <c r="C34" s="11" t="s">
        <v>13</v>
      </c>
      <c r="D34" s="152"/>
      <c r="E34" s="93">
        <f>10.2009*1.3*1.1/2/450*B34</f>
        <v>0.6807400600000002</v>
      </c>
      <c r="F34" s="93">
        <f t="shared" si="2"/>
        <v>0.71477706300000021</v>
      </c>
      <c r="G34">
        <v>206</v>
      </c>
    </row>
    <row r="35" spans="1:7">
      <c r="A35" s="9" t="s">
        <v>329</v>
      </c>
      <c r="B35" s="12">
        <v>14</v>
      </c>
      <c r="C35" s="11" t="s">
        <v>13</v>
      </c>
      <c r="D35" s="152"/>
      <c r="E35" s="93">
        <f>20.8/20/450*B35</f>
        <v>3.2355555555555554E-2</v>
      </c>
      <c r="F35" s="93">
        <f t="shared" si="2"/>
        <v>3.3973333333333335E-2</v>
      </c>
      <c r="G35" t="s">
        <v>440</v>
      </c>
    </row>
    <row r="36" spans="1:7">
      <c r="A36" s="9" t="s">
        <v>330</v>
      </c>
      <c r="B36" s="26">
        <v>8</v>
      </c>
      <c r="C36" s="11" t="s">
        <v>13</v>
      </c>
      <c r="D36" s="151"/>
      <c r="E36" s="93">
        <f>70.19/20/450*B36</f>
        <v>6.2391111111111112E-2</v>
      </c>
      <c r="F36" s="93">
        <f t="shared" si="2"/>
        <v>6.5510666666666675E-2</v>
      </c>
      <c r="G36" t="s">
        <v>441</v>
      </c>
    </row>
    <row r="37" spans="1:7">
      <c r="A37" s="21"/>
      <c r="B37" s="22"/>
      <c r="C37" s="23"/>
      <c r="D37" s="110"/>
      <c r="E37" s="95"/>
      <c r="F37" s="96">
        <f>SUM(F32:F36)</f>
        <v>2.9596500503684213</v>
      </c>
    </row>
    <row r="38" spans="1:7">
      <c r="A38" s="19" t="s">
        <v>340</v>
      </c>
      <c r="B38" s="20"/>
      <c r="C38" s="20"/>
      <c r="D38" s="108"/>
      <c r="E38" s="93"/>
      <c r="F38" s="93"/>
    </row>
    <row r="39" spans="1:7">
      <c r="A39" s="25" t="s">
        <v>315</v>
      </c>
      <c r="B39" s="26">
        <v>60</v>
      </c>
      <c r="C39" s="27" t="s">
        <v>13</v>
      </c>
      <c r="D39" s="150">
        <v>1</v>
      </c>
      <c r="E39" s="131">
        <f>8.468*1.3*1.1/1/450*B39</f>
        <v>1.6145653333333336</v>
      </c>
      <c r="F39" s="93">
        <f t="shared" ref="F39:F40" si="3">E39*(1+$F$2)</f>
        <v>1.6952936000000003</v>
      </c>
      <c r="G39">
        <v>573</v>
      </c>
    </row>
    <row r="40" spans="1:7">
      <c r="A40" s="25" t="s">
        <v>316</v>
      </c>
      <c r="B40" s="26">
        <v>10</v>
      </c>
      <c r="C40" s="27" t="s">
        <v>13</v>
      </c>
      <c r="D40" s="151"/>
      <c r="E40" s="100">
        <v>5.96E-2</v>
      </c>
      <c r="F40" s="93">
        <f t="shared" si="3"/>
        <v>6.2579999999999997E-2</v>
      </c>
    </row>
    <row r="41" spans="1:7">
      <c r="A41" s="21"/>
      <c r="B41" s="22"/>
      <c r="C41" s="23"/>
      <c r="D41" s="110"/>
      <c r="E41" s="95"/>
      <c r="F41" s="96">
        <f>SUM(F38:F40)</f>
        <v>1.7578736000000004</v>
      </c>
    </row>
    <row r="42" spans="1:7">
      <c r="A42" s="19" t="s">
        <v>341</v>
      </c>
      <c r="B42" s="20"/>
      <c r="C42" s="20"/>
      <c r="D42" s="108"/>
      <c r="E42" s="93"/>
      <c r="F42" s="93"/>
    </row>
    <row r="43" spans="1:7">
      <c r="A43" s="25" t="s">
        <v>75</v>
      </c>
      <c r="B43" s="26">
        <v>40</v>
      </c>
      <c r="C43" s="27" t="s">
        <v>13</v>
      </c>
      <c r="D43" s="111">
        <v>1.2</v>
      </c>
      <c r="E43" s="100">
        <v>0.45</v>
      </c>
      <c r="F43" s="93">
        <f>E43*(1+$F$2)</f>
        <v>0.47250000000000003</v>
      </c>
    </row>
    <row r="44" spans="1:7">
      <c r="A44" s="21"/>
      <c r="B44" s="22"/>
      <c r="C44" s="23"/>
      <c r="D44" s="110"/>
      <c r="E44" s="95"/>
      <c r="F44" s="96">
        <f>F43</f>
        <v>0.47250000000000003</v>
      </c>
    </row>
    <row r="45" spans="1:7">
      <c r="A45" s="148" t="s">
        <v>231</v>
      </c>
      <c r="B45" s="149"/>
      <c r="C45" s="149"/>
      <c r="D45" s="108"/>
      <c r="E45" s="93"/>
      <c r="F45" s="93"/>
    </row>
    <row r="46" spans="1:7">
      <c r="A46" s="19" t="s">
        <v>342</v>
      </c>
      <c r="B46" s="20"/>
      <c r="C46" s="20"/>
      <c r="D46" s="110"/>
      <c r="E46" s="93"/>
      <c r="F46" s="93"/>
    </row>
    <row r="47" spans="1:7">
      <c r="A47" s="21" t="s">
        <v>94</v>
      </c>
      <c r="B47" s="22">
        <v>1</v>
      </c>
      <c r="C47" s="23" t="s">
        <v>6</v>
      </c>
      <c r="D47" s="110"/>
      <c r="E47" s="93"/>
      <c r="F47" s="93"/>
    </row>
    <row r="48" spans="1:7">
      <c r="A48" s="21" t="s">
        <v>95</v>
      </c>
      <c r="B48" s="22">
        <v>1</v>
      </c>
      <c r="C48" s="23" t="s">
        <v>6</v>
      </c>
      <c r="D48" s="110"/>
      <c r="E48" s="93"/>
      <c r="F48" s="93"/>
    </row>
    <row r="49" spans="1:6">
      <c r="A49" s="21" t="s">
        <v>96</v>
      </c>
      <c r="B49" s="22">
        <v>1</v>
      </c>
      <c r="C49" s="23" t="s">
        <v>6</v>
      </c>
      <c r="D49" s="110"/>
      <c r="E49" s="93"/>
      <c r="F49" s="93"/>
    </row>
    <row r="50" spans="1:6">
      <c r="A50" s="21" t="s">
        <v>97</v>
      </c>
      <c r="B50" s="22">
        <v>1</v>
      </c>
      <c r="C50" s="23" t="s">
        <v>6</v>
      </c>
      <c r="D50" s="110"/>
      <c r="E50" s="93"/>
      <c r="F50" s="93"/>
    </row>
    <row r="51" spans="1:6">
      <c r="A51" s="21" t="s">
        <v>98</v>
      </c>
      <c r="B51" s="22">
        <v>1</v>
      </c>
      <c r="C51" s="23" t="s">
        <v>6</v>
      </c>
      <c r="D51" s="110"/>
      <c r="E51" s="93"/>
      <c r="F51" s="93"/>
    </row>
    <row r="52" spans="1:6">
      <c r="A52" s="21" t="s">
        <v>99</v>
      </c>
      <c r="B52" s="22">
        <v>1</v>
      </c>
      <c r="C52" s="23" t="s">
        <v>6</v>
      </c>
      <c r="D52" s="110"/>
      <c r="E52" s="93"/>
      <c r="F52" s="93"/>
    </row>
    <row r="53" spans="1:6">
      <c r="A53" s="21" t="s">
        <v>100</v>
      </c>
      <c r="B53" s="22">
        <v>1</v>
      </c>
      <c r="C53" s="23" t="s">
        <v>6</v>
      </c>
      <c r="D53" s="110"/>
      <c r="E53" s="93"/>
      <c r="F53" s="93"/>
    </row>
    <row r="54" spans="1:6">
      <c r="A54" s="21" t="s">
        <v>101</v>
      </c>
      <c r="B54" s="22">
        <v>1</v>
      </c>
      <c r="C54" s="23" t="s">
        <v>6</v>
      </c>
      <c r="D54" s="110"/>
      <c r="E54" s="93"/>
      <c r="F54" s="93"/>
    </row>
    <row r="55" spans="1:6">
      <c r="A55" s="21" t="s">
        <v>102</v>
      </c>
      <c r="B55" s="22">
        <v>1</v>
      </c>
      <c r="C55" s="23" t="s">
        <v>6</v>
      </c>
      <c r="D55" s="110"/>
      <c r="E55" s="93"/>
      <c r="F55" s="93"/>
    </row>
    <row r="56" spans="1:6">
      <c r="A56" s="21" t="s">
        <v>103</v>
      </c>
      <c r="B56" s="22">
        <v>1</v>
      </c>
      <c r="C56" s="23" t="s">
        <v>6</v>
      </c>
      <c r="D56" s="108"/>
      <c r="E56" s="93"/>
      <c r="F56" s="93"/>
    </row>
    <row r="57" spans="1:6">
      <c r="A57" s="21"/>
      <c r="B57" s="22"/>
      <c r="C57" s="23"/>
      <c r="D57" s="110"/>
      <c r="E57" s="95"/>
      <c r="F57" s="96"/>
    </row>
    <row r="58" spans="1:6">
      <c r="A58" s="19" t="s">
        <v>343</v>
      </c>
      <c r="B58" s="20"/>
      <c r="C58" s="20"/>
      <c r="D58" s="150">
        <v>1</v>
      </c>
      <c r="E58" s="93"/>
      <c r="F58" s="93"/>
    </row>
    <row r="59" spans="1:6">
      <c r="A59" s="9" t="s">
        <v>301</v>
      </c>
      <c r="B59" s="26">
        <v>30</v>
      </c>
      <c r="C59" s="27" t="s">
        <v>65</v>
      </c>
      <c r="D59" s="152"/>
      <c r="E59" s="92">
        <f>9.75/450*B59</f>
        <v>0.65</v>
      </c>
      <c r="F59" s="93">
        <f t="shared" ref="F59:F67" si="4">E59*(1+$F$2)</f>
        <v>0.68250000000000011</v>
      </c>
    </row>
    <row r="60" spans="1:6">
      <c r="A60" s="9" t="s">
        <v>317</v>
      </c>
      <c r="B60" s="26">
        <v>30</v>
      </c>
      <c r="C60" s="27" t="s">
        <v>65</v>
      </c>
      <c r="D60" s="152"/>
      <c r="E60" s="93">
        <f>69/0.9/6/1.5/450*B60</f>
        <v>0.56790123456790131</v>
      </c>
      <c r="F60" s="93">
        <f t="shared" si="4"/>
        <v>0.59629629629629644</v>
      </c>
    </row>
    <row r="61" spans="1:6">
      <c r="A61" s="25" t="s">
        <v>104</v>
      </c>
      <c r="B61" s="26">
        <v>1</v>
      </c>
      <c r="C61" s="27" t="s">
        <v>6</v>
      </c>
      <c r="D61" s="152"/>
      <c r="E61" s="100">
        <v>8.4900000000000003E-2</v>
      </c>
      <c r="F61" s="93">
        <f t="shared" si="4"/>
        <v>8.9145000000000002E-2</v>
      </c>
    </row>
    <row r="62" spans="1:6">
      <c r="A62" s="25" t="s">
        <v>105</v>
      </c>
      <c r="B62" s="26">
        <v>1</v>
      </c>
      <c r="C62" s="27" t="s">
        <v>6</v>
      </c>
      <c r="D62" s="152"/>
      <c r="E62" s="100">
        <v>9.5200000000000007E-2</v>
      </c>
      <c r="F62" s="93">
        <f t="shared" si="4"/>
        <v>9.9960000000000007E-2</v>
      </c>
    </row>
    <row r="63" spans="1:6">
      <c r="A63" s="25" t="s">
        <v>318</v>
      </c>
      <c r="B63" s="26" t="s">
        <v>106</v>
      </c>
      <c r="C63" s="27" t="s">
        <v>13</v>
      </c>
      <c r="D63" s="152"/>
      <c r="E63" s="100">
        <v>1.72E-2</v>
      </c>
      <c r="F63" s="93">
        <f t="shared" si="4"/>
        <v>1.806E-2</v>
      </c>
    </row>
    <row r="64" spans="1:6">
      <c r="A64" s="25" t="s">
        <v>68</v>
      </c>
      <c r="B64" s="26">
        <v>10</v>
      </c>
      <c r="C64" s="27" t="s">
        <v>13</v>
      </c>
      <c r="D64" s="152"/>
      <c r="E64" s="92">
        <f>30.2/0.8*1.1/10/450*B64</f>
        <v>9.2277777777777792E-2</v>
      </c>
      <c r="F64" s="93">
        <f t="shared" si="4"/>
        <v>9.6891666666666681E-2</v>
      </c>
    </row>
    <row r="65" spans="1:7">
      <c r="A65" s="25" t="s">
        <v>107</v>
      </c>
      <c r="B65" s="26">
        <v>30</v>
      </c>
      <c r="C65" s="27" t="s">
        <v>13</v>
      </c>
      <c r="D65" s="152"/>
      <c r="E65" s="93">
        <f>26.3/8/0.9/450*B65</f>
        <v>0.24351851851851852</v>
      </c>
      <c r="F65" s="93">
        <f t="shared" si="4"/>
        <v>0.25569444444444445</v>
      </c>
    </row>
    <row r="66" spans="1:7">
      <c r="A66" s="25" t="s">
        <v>344</v>
      </c>
      <c r="B66" s="26">
        <v>1</v>
      </c>
      <c r="C66" s="27" t="s">
        <v>108</v>
      </c>
      <c r="D66" s="152"/>
      <c r="E66" s="93">
        <f>40.96/125/5</f>
        <v>6.5536000000000011E-2</v>
      </c>
      <c r="F66" s="93">
        <f t="shared" si="4"/>
        <v>6.8812800000000021E-2</v>
      </c>
      <c r="G66" t="s">
        <v>442</v>
      </c>
    </row>
    <row r="67" spans="1:7">
      <c r="A67" s="25"/>
      <c r="B67" s="26"/>
      <c r="C67" s="27"/>
      <c r="D67" s="151"/>
      <c r="E67" s="93"/>
      <c r="F67" s="93">
        <f t="shared" si="4"/>
        <v>0</v>
      </c>
    </row>
    <row r="68" spans="1:7">
      <c r="A68" s="21"/>
      <c r="B68" s="22"/>
      <c r="C68" s="23"/>
      <c r="D68" s="110"/>
      <c r="E68" s="95"/>
      <c r="F68" s="96">
        <f>SUM(F59:F67)</f>
        <v>1.9073602074074079</v>
      </c>
    </row>
    <row r="69" spans="1:7">
      <c r="A69" s="19" t="s">
        <v>341</v>
      </c>
      <c r="B69" s="20"/>
      <c r="C69" s="20"/>
      <c r="D69" s="108"/>
      <c r="E69" s="93"/>
      <c r="F69" s="93"/>
    </row>
    <row r="70" spans="1:7">
      <c r="A70" s="25" t="s">
        <v>232</v>
      </c>
      <c r="B70" s="26">
        <v>40</v>
      </c>
      <c r="C70" s="27" t="s">
        <v>13</v>
      </c>
      <c r="D70" s="111">
        <v>1.2</v>
      </c>
      <c r="E70" s="93">
        <v>0.42</v>
      </c>
      <c r="F70" s="93">
        <f>E70*(1+$F$2)</f>
        <v>0.441</v>
      </c>
    </row>
    <row r="71" spans="1:7">
      <c r="E71" s="95"/>
      <c r="F71" s="96">
        <f>SUM(F70)</f>
        <v>0.441</v>
      </c>
    </row>
  </sheetData>
  <mergeCells count="6">
    <mergeCell ref="A45:C45"/>
    <mergeCell ref="D39:D40"/>
    <mergeCell ref="D58:D67"/>
    <mergeCell ref="D20:D22"/>
    <mergeCell ref="D25:D29"/>
    <mergeCell ref="D32:D36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G45"/>
  <sheetViews>
    <sheetView topLeftCell="A9" zoomScale="130" zoomScaleNormal="130" workbookViewId="0">
      <selection activeCell="E18" sqref="E18:E21"/>
    </sheetView>
  </sheetViews>
  <sheetFormatPr defaultRowHeight="15"/>
  <cols>
    <col min="1" max="1" width="45.7109375" style="15" customWidth="1"/>
    <col min="2" max="4" width="10.7109375" style="16" customWidth="1"/>
    <col min="5" max="5" width="19.28515625" customWidth="1"/>
    <col min="6" max="6" width="16" customWidth="1"/>
  </cols>
  <sheetData>
    <row r="1" spans="1:6">
      <c r="A1" s="15" t="s">
        <v>77</v>
      </c>
    </row>
    <row r="2" spans="1:6" ht="17.25">
      <c r="A2" s="17" t="s">
        <v>109</v>
      </c>
      <c r="B2" s="18"/>
      <c r="C2" s="18"/>
      <c r="D2" s="18"/>
    </row>
    <row r="3" spans="1:6">
      <c r="A3" s="4" t="s">
        <v>0</v>
      </c>
      <c r="B3" s="4" t="s">
        <v>1</v>
      </c>
      <c r="C3" s="4" t="s">
        <v>2</v>
      </c>
      <c r="D3" s="101" t="s">
        <v>3</v>
      </c>
      <c r="E3" s="112"/>
      <c r="F3" s="113">
        <v>0.05</v>
      </c>
    </row>
    <row r="4" spans="1:6">
      <c r="A4" s="19" t="s">
        <v>110</v>
      </c>
      <c r="B4" s="20"/>
      <c r="C4" s="20"/>
      <c r="D4" s="108"/>
      <c r="E4" s="114" t="s">
        <v>430</v>
      </c>
      <c r="F4" s="115" t="s">
        <v>431</v>
      </c>
    </row>
    <row r="5" spans="1:6">
      <c r="A5" s="21" t="s">
        <v>94</v>
      </c>
      <c r="B5" s="22">
        <v>1</v>
      </c>
      <c r="C5" s="23" t="s">
        <v>6</v>
      </c>
      <c r="D5" s="154">
        <v>1</v>
      </c>
      <c r="E5" s="93"/>
      <c r="F5" s="93"/>
    </row>
    <row r="6" spans="1:6">
      <c r="A6" s="21" t="s">
        <v>111</v>
      </c>
      <c r="B6" s="22">
        <v>1</v>
      </c>
      <c r="C6" s="23" t="s">
        <v>6</v>
      </c>
      <c r="D6" s="155"/>
      <c r="E6" s="93"/>
      <c r="F6" s="93"/>
    </row>
    <row r="7" spans="1:6">
      <c r="A7" s="21" t="s">
        <v>112</v>
      </c>
      <c r="B7" s="22">
        <v>1</v>
      </c>
      <c r="C7" s="23" t="s">
        <v>6</v>
      </c>
      <c r="D7" s="155"/>
      <c r="E7" s="93"/>
      <c r="F7" s="93"/>
    </row>
    <row r="8" spans="1:6">
      <c r="A8" s="21" t="s">
        <v>113</v>
      </c>
      <c r="B8" s="22">
        <v>1</v>
      </c>
      <c r="C8" s="23" t="s">
        <v>6</v>
      </c>
      <c r="D8" s="155"/>
      <c r="E8" s="93"/>
      <c r="F8" s="93"/>
    </row>
    <row r="9" spans="1:6">
      <c r="A9" s="21" t="s">
        <v>114</v>
      </c>
      <c r="B9" s="22">
        <v>1</v>
      </c>
      <c r="C9" s="23" t="s">
        <v>6</v>
      </c>
      <c r="D9" s="155"/>
      <c r="E9" s="93"/>
      <c r="F9" s="93"/>
    </row>
    <row r="10" spans="1:6">
      <c r="A10" s="21" t="s">
        <v>115</v>
      </c>
      <c r="B10" s="22">
        <v>1</v>
      </c>
      <c r="C10" s="23" t="s">
        <v>6</v>
      </c>
      <c r="D10" s="155"/>
      <c r="E10" s="93"/>
      <c r="F10" s="93"/>
    </row>
    <row r="11" spans="1:6">
      <c r="A11" s="21" t="s">
        <v>116</v>
      </c>
      <c r="B11" s="22">
        <v>1</v>
      </c>
      <c r="C11" s="23" t="s">
        <v>6</v>
      </c>
      <c r="D11" s="155"/>
      <c r="E11" s="93"/>
      <c r="F11" s="93"/>
    </row>
    <row r="12" spans="1:6">
      <c r="A12" s="21" t="s">
        <v>117</v>
      </c>
      <c r="B12" s="22">
        <v>1</v>
      </c>
      <c r="C12" s="23" t="s">
        <v>6</v>
      </c>
      <c r="D12" s="155"/>
      <c r="E12" s="93"/>
      <c r="F12" s="93"/>
    </row>
    <row r="13" spans="1:6">
      <c r="A13" s="21" t="s">
        <v>118</v>
      </c>
      <c r="B13" s="22">
        <v>1</v>
      </c>
      <c r="C13" s="23" t="s">
        <v>6</v>
      </c>
      <c r="D13" s="155"/>
      <c r="E13" s="94">
        <v>0.12</v>
      </c>
      <c r="F13" s="93"/>
    </row>
    <row r="14" spans="1:6">
      <c r="A14" s="21" t="s">
        <v>100</v>
      </c>
      <c r="B14" s="22">
        <v>1</v>
      </c>
      <c r="C14" s="23" t="s">
        <v>6</v>
      </c>
      <c r="D14" s="155"/>
      <c r="E14" s="93">
        <v>0.11</v>
      </c>
      <c r="F14" s="93"/>
    </row>
    <row r="15" spans="1:6">
      <c r="A15" s="21"/>
      <c r="B15" s="22">
        <v>1</v>
      </c>
      <c r="C15" s="23" t="s">
        <v>6</v>
      </c>
      <c r="D15" s="156"/>
      <c r="E15" s="93"/>
      <c r="F15" s="93"/>
    </row>
    <row r="16" spans="1:6">
      <c r="A16" s="21"/>
      <c r="B16" s="22"/>
      <c r="C16" s="23"/>
      <c r="D16" s="116"/>
      <c r="E16" s="93"/>
      <c r="F16" s="93"/>
    </row>
    <row r="17" spans="1:7">
      <c r="A17" s="19" t="s">
        <v>376</v>
      </c>
      <c r="B17" s="20"/>
      <c r="C17" s="20"/>
      <c r="D17" s="108"/>
      <c r="E17" s="93"/>
      <c r="F17" s="93"/>
    </row>
    <row r="18" spans="1:7">
      <c r="A18" s="25" t="s">
        <v>120</v>
      </c>
      <c r="B18" s="26">
        <v>10</v>
      </c>
      <c r="C18" s="27" t="s">
        <v>13</v>
      </c>
      <c r="D18" s="150">
        <v>1</v>
      </c>
      <c r="E18" s="130">
        <f>46.75/0.9/12/450*B18</f>
        <v>9.6193415637860075E-2</v>
      </c>
      <c r="F18" s="93">
        <f>E18*(1+$F$3)</f>
        <v>0.10100308641975309</v>
      </c>
    </row>
    <row r="19" spans="1:7">
      <c r="A19" s="25" t="s">
        <v>324</v>
      </c>
      <c r="B19" s="26">
        <v>15</v>
      </c>
      <c r="C19" s="27" t="s">
        <v>13</v>
      </c>
      <c r="D19" s="152"/>
      <c r="E19" s="93">
        <f>21.59/0.8/25/450*B19</f>
        <v>3.5983333333333332E-2</v>
      </c>
      <c r="F19" s="93">
        <f t="shared" ref="F19:F21" si="0">E19*(1+$F$3)</f>
        <v>3.7782500000000004E-2</v>
      </c>
    </row>
    <row r="20" spans="1:7">
      <c r="A20" s="25" t="s">
        <v>325</v>
      </c>
      <c r="B20" s="26">
        <v>15</v>
      </c>
      <c r="C20" s="27" t="s">
        <v>13</v>
      </c>
      <c r="D20" s="152"/>
      <c r="E20" s="93">
        <f>12/10/0.8/450*B20</f>
        <v>4.9999999999999989E-2</v>
      </c>
      <c r="F20" s="93">
        <f t="shared" si="0"/>
        <v>5.2499999999999991E-2</v>
      </c>
    </row>
    <row r="21" spans="1:7">
      <c r="A21" s="25" t="s">
        <v>319</v>
      </c>
      <c r="B21" s="26">
        <v>15</v>
      </c>
      <c r="C21" s="27" t="s">
        <v>13</v>
      </c>
      <c r="D21" s="151"/>
      <c r="E21" s="93">
        <f>37.34/0.9/10/450*B21</f>
        <v>0.13829629629629631</v>
      </c>
      <c r="F21" s="93">
        <f t="shared" si="0"/>
        <v>0.14521111111111112</v>
      </c>
    </row>
    <row r="22" spans="1:7">
      <c r="A22" s="21"/>
      <c r="B22" s="22"/>
      <c r="C22" s="23"/>
      <c r="D22" s="116"/>
      <c r="E22" s="95"/>
      <c r="F22" s="96">
        <f>SUM(F18:F21)</f>
        <v>0.3364966975308642</v>
      </c>
    </row>
    <row r="23" spans="1:7">
      <c r="A23" s="19" t="s">
        <v>377</v>
      </c>
      <c r="B23" s="20"/>
      <c r="C23" s="20"/>
      <c r="D23" s="108"/>
      <c r="E23" s="93"/>
      <c r="F23" s="93"/>
    </row>
    <row r="24" spans="1:7">
      <c r="A24" s="9" t="s">
        <v>326</v>
      </c>
      <c r="B24" s="12" t="s">
        <v>25</v>
      </c>
      <c r="C24" s="11" t="s">
        <v>13</v>
      </c>
      <c r="D24" s="157">
        <v>1</v>
      </c>
      <c r="E24" s="93">
        <f>64.2/0.95/12/450*100*1.3</f>
        <v>1.6269005847953217</v>
      </c>
      <c r="F24" s="93">
        <f t="shared" ref="F24:F28" si="1">E24*(1+$F$3)</f>
        <v>1.7082456140350879</v>
      </c>
      <c r="G24" t="s">
        <v>447</v>
      </c>
    </row>
    <row r="25" spans="1:7">
      <c r="A25" s="9" t="s">
        <v>327</v>
      </c>
      <c r="B25" s="12">
        <v>56</v>
      </c>
      <c r="C25" s="11" t="s">
        <v>13</v>
      </c>
      <c r="D25" s="158"/>
      <c r="E25" s="92">
        <f>4.679*1.3*1.1/2/450*B25</f>
        <v>0.41632702222222234</v>
      </c>
      <c r="F25" s="93">
        <f t="shared" si="1"/>
        <v>0.43714337333333347</v>
      </c>
    </row>
    <row r="26" spans="1:7">
      <c r="A26" s="9" t="s">
        <v>328</v>
      </c>
      <c r="B26" s="12">
        <v>42</v>
      </c>
      <c r="C26" s="11" t="s">
        <v>13</v>
      </c>
      <c r="D26" s="158"/>
      <c r="E26" s="93">
        <f>10.2009*1.3*1.1/2/450*B26</f>
        <v>0.6807400600000002</v>
      </c>
      <c r="F26" s="93">
        <f t="shared" si="1"/>
        <v>0.71477706300000021</v>
      </c>
      <c r="G26">
        <v>206</v>
      </c>
    </row>
    <row r="27" spans="1:7">
      <c r="A27" s="9" t="s">
        <v>329</v>
      </c>
      <c r="B27" s="12">
        <v>14</v>
      </c>
      <c r="C27" s="11" t="s">
        <v>13</v>
      </c>
      <c r="D27" s="158"/>
      <c r="E27" s="93">
        <f>20.8/20/450*B27</f>
        <v>3.2355555555555554E-2</v>
      </c>
      <c r="F27" s="93">
        <f t="shared" si="1"/>
        <v>3.3973333333333335E-2</v>
      </c>
    </row>
    <row r="28" spans="1:7">
      <c r="A28" s="9" t="s">
        <v>330</v>
      </c>
      <c r="B28" s="26">
        <v>8</v>
      </c>
      <c r="C28" s="27" t="s">
        <v>13</v>
      </c>
      <c r="D28" s="159"/>
      <c r="E28" s="93">
        <f>70.19/20/450*B28</f>
        <v>6.2391111111111112E-2</v>
      </c>
      <c r="F28" s="93">
        <f t="shared" si="1"/>
        <v>6.5510666666666675E-2</v>
      </c>
    </row>
    <row r="29" spans="1:7">
      <c r="A29" s="21"/>
      <c r="B29" s="22"/>
      <c r="C29" s="23"/>
      <c r="D29" s="116"/>
      <c r="E29" s="95"/>
      <c r="F29" s="96">
        <f>SUM(F24:F28)</f>
        <v>2.9596500503684213</v>
      </c>
    </row>
    <row r="30" spans="1:7">
      <c r="A30" s="19" t="s">
        <v>378</v>
      </c>
      <c r="B30" s="20"/>
      <c r="C30" s="20"/>
      <c r="D30" s="108"/>
      <c r="E30" s="93"/>
      <c r="F30" s="93"/>
    </row>
    <row r="31" spans="1:7" ht="14.45" customHeight="1">
      <c r="A31" s="25" t="s">
        <v>320</v>
      </c>
      <c r="B31" s="26">
        <v>45</v>
      </c>
      <c r="C31" s="27" t="s">
        <v>13</v>
      </c>
      <c r="D31" s="150">
        <v>1</v>
      </c>
      <c r="E31" s="131">
        <f>158.3302*7/250/450*B31</f>
        <v>0.44332456000000003</v>
      </c>
      <c r="F31" s="93">
        <f t="shared" ref="F31:F32" si="2">E31*(1+$F$3)</f>
        <v>0.46549078800000004</v>
      </c>
      <c r="G31">
        <v>574</v>
      </c>
    </row>
    <row r="32" spans="1:7" ht="14.45" customHeight="1">
      <c r="A32" s="25"/>
      <c r="B32" s="26"/>
      <c r="C32" s="27"/>
      <c r="D32" s="151"/>
      <c r="E32" s="93"/>
      <c r="F32" s="93">
        <f t="shared" si="2"/>
        <v>0</v>
      </c>
    </row>
    <row r="33" spans="1:7">
      <c r="A33" s="21"/>
      <c r="B33" s="22"/>
      <c r="C33" s="23"/>
      <c r="D33" s="116"/>
      <c r="E33" s="95"/>
      <c r="F33" s="96">
        <f>SUM(F31:F32)</f>
        <v>0.46549078800000004</v>
      </c>
    </row>
    <row r="34" spans="1:7">
      <c r="A34" s="19" t="s">
        <v>379</v>
      </c>
      <c r="B34" s="20"/>
      <c r="C34" s="20"/>
      <c r="D34" s="108"/>
      <c r="E34" s="93"/>
      <c r="F34" s="93"/>
    </row>
    <row r="35" spans="1:7">
      <c r="A35" s="25" t="s">
        <v>122</v>
      </c>
      <c r="B35" s="26">
        <v>40</v>
      </c>
      <c r="C35" s="27" t="s">
        <v>13</v>
      </c>
      <c r="D35" s="111">
        <v>1.2</v>
      </c>
      <c r="E35" s="93">
        <v>0.14000000000000001</v>
      </c>
      <c r="F35" s="93">
        <f>E35*(1+$F$3)</f>
        <v>0.14700000000000002</v>
      </c>
    </row>
    <row r="36" spans="1:7">
      <c r="A36" s="21"/>
      <c r="B36" s="22"/>
      <c r="C36" s="23"/>
      <c r="D36" s="116"/>
      <c r="E36" s="95"/>
      <c r="F36" s="96">
        <f>SUM(F35)</f>
        <v>0.14700000000000002</v>
      </c>
    </row>
    <row r="37" spans="1:7">
      <c r="A37" s="19" t="s">
        <v>380</v>
      </c>
      <c r="B37" s="20"/>
      <c r="C37" s="20"/>
      <c r="D37" s="108"/>
      <c r="E37" s="93"/>
      <c r="F37" s="93"/>
    </row>
    <row r="38" spans="1:7">
      <c r="A38" s="25" t="s">
        <v>124</v>
      </c>
      <c r="B38" s="26">
        <v>1</v>
      </c>
      <c r="C38" s="27" t="s">
        <v>108</v>
      </c>
      <c r="D38" s="111">
        <v>1</v>
      </c>
      <c r="E38" s="93"/>
      <c r="F38" s="93">
        <f>E38*(1+$F$3)</f>
        <v>0</v>
      </c>
    </row>
    <row r="39" spans="1:7">
      <c r="A39" s="21"/>
      <c r="B39" s="22"/>
      <c r="C39" s="23"/>
      <c r="D39" s="116"/>
      <c r="E39" s="95"/>
      <c r="F39" s="96">
        <f>SUM(F38)</f>
        <v>0</v>
      </c>
    </row>
    <row r="40" spans="1:7">
      <c r="A40" s="19" t="s">
        <v>331</v>
      </c>
      <c r="B40" s="20"/>
      <c r="C40" s="20"/>
      <c r="D40" s="108"/>
      <c r="E40" s="93"/>
      <c r="F40" s="93"/>
    </row>
    <row r="41" spans="1:7">
      <c r="A41" s="25" t="s">
        <v>332</v>
      </c>
      <c r="B41" s="26">
        <v>60</v>
      </c>
      <c r="C41" s="27" t="s">
        <v>13</v>
      </c>
      <c r="D41" s="150">
        <v>1</v>
      </c>
      <c r="E41" s="93">
        <f>24.29/72*1.2</f>
        <v>0.40483333333333332</v>
      </c>
      <c r="F41" s="93">
        <f t="shared" ref="F41:F44" si="3">E41*(1+$F$3)</f>
        <v>0.42507499999999998</v>
      </c>
      <c r="G41" t="s">
        <v>451</v>
      </c>
    </row>
    <row r="42" spans="1:7">
      <c r="A42" s="25" t="s">
        <v>333</v>
      </c>
      <c r="B42" s="26">
        <v>45</v>
      </c>
      <c r="C42" s="27" t="s">
        <v>13</v>
      </c>
      <c r="D42" s="152"/>
      <c r="E42" s="93">
        <f>94.99/168*1.2</f>
        <v>0.67849999999999999</v>
      </c>
      <c r="F42" s="93">
        <f t="shared" si="3"/>
        <v>0.71242499999999997</v>
      </c>
      <c r="G42" t="s">
        <v>452</v>
      </c>
    </row>
    <row r="43" spans="1:7">
      <c r="A43" s="25" t="s">
        <v>334</v>
      </c>
      <c r="B43" s="26">
        <v>14</v>
      </c>
      <c r="C43" s="27" t="s">
        <v>13</v>
      </c>
      <c r="D43" s="152"/>
      <c r="E43" s="93">
        <f>32.16/10/24*1.1</f>
        <v>0.1474</v>
      </c>
      <c r="F43" s="93">
        <f t="shared" si="3"/>
        <v>0.15477000000000002</v>
      </c>
      <c r="G43" t="s">
        <v>450</v>
      </c>
    </row>
    <row r="44" spans="1:7">
      <c r="A44" s="25"/>
      <c r="B44" s="26"/>
      <c r="C44" s="27"/>
      <c r="D44" s="151"/>
      <c r="E44" s="93"/>
      <c r="F44" s="93">
        <f t="shared" si="3"/>
        <v>0</v>
      </c>
    </row>
    <row r="45" spans="1:7">
      <c r="E45" s="95"/>
      <c r="F45" s="96">
        <f>SUM(F41:F44)</f>
        <v>1.29227</v>
      </c>
    </row>
  </sheetData>
  <mergeCells count="5">
    <mergeCell ref="D5:D15"/>
    <mergeCell ref="D18:D21"/>
    <mergeCell ref="D24:D28"/>
    <mergeCell ref="D31:D32"/>
    <mergeCell ref="D41:D44"/>
  </mergeCells>
  <pageMargins left="0.7" right="0.7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H106"/>
  <sheetViews>
    <sheetView topLeftCell="A24" zoomScale="115" zoomScaleNormal="115" workbookViewId="0">
      <selection activeCell="G55" sqref="G55"/>
    </sheetView>
  </sheetViews>
  <sheetFormatPr defaultRowHeight="15"/>
  <cols>
    <col min="2" max="2" width="45.7109375" style="15" customWidth="1"/>
    <col min="3" max="3" width="17.42578125" style="16" customWidth="1"/>
    <col min="4" max="4" width="20.5703125" style="16" customWidth="1"/>
    <col min="5" max="5" width="32.5703125" style="16" customWidth="1"/>
    <col min="6" max="6" width="14.28515625" customWidth="1"/>
    <col min="7" max="7" width="13.85546875" customWidth="1"/>
    <col min="10" max="10" width="44.5703125" bestFit="1" customWidth="1"/>
  </cols>
  <sheetData>
    <row r="1" spans="2:7">
      <c r="B1" s="15" t="s">
        <v>77</v>
      </c>
    </row>
    <row r="2" spans="2:7" ht="17.25">
      <c r="B2" s="17" t="s">
        <v>126</v>
      </c>
      <c r="C2" s="18"/>
      <c r="D2" s="18"/>
      <c r="E2" s="18"/>
      <c r="F2" s="93"/>
      <c r="G2" s="93"/>
    </row>
    <row r="3" spans="2:7" ht="27">
      <c r="B3" s="4" t="s">
        <v>0</v>
      </c>
      <c r="C3" s="4" t="s">
        <v>1</v>
      </c>
      <c r="D3" s="4" t="s">
        <v>2</v>
      </c>
      <c r="E3" s="101" t="s">
        <v>4</v>
      </c>
      <c r="F3" s="126"/>
      <c r="G3" s="132">
        <v>0.05</v>
      </c>
    </row>
    <row r="4" spans="2:7">
      <c r="B4" s="28" t="s">
        <v>127</v>
      </c>
      <c r="C4" s="29"/>
      <c r="D4" s="24"/>
      <c r="E4" s="117"/>
      <c r="F4" s="133" t="s">
        <v>430</v>
      </c>
      <c r="G4" s="134" t="s">
        <v>431</v>
      </c>
    </row>
    <row r="5" spans="2:7">
      <c r="B5" s="51" t="s">
        <v>128</v>
      </c>
      <c r="C5" s="52">
        <v>1</v>
      </c>
      <c r="D5" s="53" t="s">
        <v>6</v>
      </c>
      <c r="E5" s="118"/>
      <c r="F5" s="93"/>
      <c r="G5" s="93"/>
    </row>
    <row r="6" spans="2:7">
      <c r="B6" s="51" t="s">
        <v>129</v>
      </c>
      <c r="C6" s="52">
        <v>1</v>
      </c>
      <c r="D6" s="53" t="s">
        <v>6</v>
      </c>
      <c r="E6" s="119" t="s">
        <v>130</v>
      </c>
      <c r="F6" s="93"/>
      <c r="G6" s="93"/>
    </row>
    <row r="7" spans="2:7">
      <c r="B7" s="51" t="s">
        <v>131</v>
      </c>
      <c r="C7" s="52">
        <v>1</v>
      </c>
      <c r="D7" s="53" t="s">
        <v>6</v>
      </c>
      <c r="E7" s="120" t="s">
        <v>132</v>
      </c>
      <c r="F7" s="93"/>
      <c r="G7" s="93"/>
    </row>
    <row r="8" spans="2:7">
      <c r="B8" s="31"/>
      <c r="C8" s="32"/>
      <c r="D8" s="33"/>
      <c r="E8" s="121"/>
      <c r="F8" s="95"/>
      <c r="G8" s="96">
        <f>SUM(G4:G7)</f>
        <v>0</v>
      </c>
    </row>
    <row r="9" spans="2:7">
      <c r="B9" s="28" t="s">
        <v>133</v>
      </c>
      <c r="C9" s="24"/>
      <c r="D9" s="24"/>
      <c r="E9" s="122"/>
      <c r="F9" s="93"/>
      <c r="G9" s="93"/>
    </row>
    <row r="10" spans="2:7">
      <c r="B10" s="51" t="s">
        <v>345</v>
      </c>
      <c r="C10" s="52">
        <v>30</v>
      </c>
      <c r="D10" s="53" t="s">
        <v>65</v>
      </c>
      <c r="E10" s="123" t="s">
        <v>134</v>
      </c>
      <c r="F10" s="99">
        <f>19.85/450*C10</f>
        <v>1.3233333333333335</v>
      </c>
      <c r="G10" s="94">
        <f>F10*(1+$G$3)</f>
        <v>1.3895000000000002</v>
      </c>
    </row>
    <row r="11" spans="2:7">
      <c r="B11" s="51" t="s">
        <v>135</v>
      </c>
      <c r="C11" s="52">
        <v>10</v>
      </c>
      <c r="D11" s="53" t="s">
        <v>65</v>
      </c>
      <c r="E11" s="123"/>
      <c r="F11" s="93">
        <f>37.3/30/450*C11</f>
        <v>2.7629629629629629E-2</v>
      </c>
      <c r="G11" s="94">
        <f t="shared" ref="G11:G13" si="0">F11*(1+$G$3)</f>
        <v>2.9011111111111113E-2</v>
      </c>
    </row>
    <row r="12" spans="2:7">
      <c r="B12" s="51" t="s">
        <v>68</v>
      </c>
      <c r="C12" s="52">
        <v>3</v>
      </c>
      <c r="D12" s="53" t="s">
        <v>65</v>
      </c>
      <c r="E12" s="123"/>
      <c r="F12" s="92">
        <f>30.2/0.8*1.1/10/450*C12</f>
        <v>2.7683333333333338E-2</v>
      </c>
      <c r="G12" s="94">
        <f t="shared" si="0"/>
        <v>2.9067500000000007E-2</v>
      </c>
    </row>
    <row r="13" spans="2:7">
      <c r="B13" s="51" t="s">
        <v>350</v>
      </c>
      <c r="C13" s="52" t="s">
        <v>136</v>
      </c>
      <c r="D13" s="53" t="s">
        <v>65</v>
      </c>
      <c r="E13" s="123" t="s">
        <v>137</v>
      </c>
      <c r="F13" s="93">
        <v>0.50560000000000005</v>
      </c>
      <c r="G13" s="94">
        <f t="shared" si="0"/>
        <v>0.53088000000000013</v>
      </c>
    </row>
    <row r="14" spans="2:7">
      <c r="B14" s="31"/>
      <c r="C14" s="32"/>
      <c r="D14" s="33"/>
      <c r="E14" s="121"/>
      <c r="F14" s="95"/>
      <c r="G14" s="96">
        <f>SUM(G9:G13)</f>
        <v>1.9784586111111113</v>
      </c>
    </row>
    <row r="15" spans="2:7">
      <c r="B15" s="28" t="s">
        <v>138</v>
      </c>
      <c r="C15" s="24"/>
      <c r="D15" s="24"/>
      <c r="E15" s="122"/>
      <c r="F15" s="93"/>
      <c r="G15" s="93"/>
    </row>
    <row r="16" spans="2:7">
      <c r="B16" s="51" t="s">
        <v>347</v>
      </c>
      <c r="C16" s="52">
        <v>30</v>
      </c>
      <c r="D16" s="53" t="s">
        <v>65</v>
      </c>
      <c r="E16" s="123"/>
      <c r="F16" s="93">
        <f>138.81/17/450*C16</f>
        <v>0.54435294117647059</v>
      </c>
      <c r="G16" s="94">
        <f t="shared" ref="G16:G19" si="1">F16*(1+$G$3)</f>
        <v>0.57157058823529416</v>
      </c>
    </row>
    <row r="17" spans="2:8">
      <c r="B17" s="51" t="s">
        <v>348</v>
      </c>
      <c r="C17" s="52">
        <v>30</v>
      </c>
      <c r="D17" s="53" t="s">
        <v>65</v>
      </c>
      <c r="E17" s="123"/>
      <c r="F17" s="93">
        <f>7.742*1.3*1.1/4.5/450*C17</f>
        <v>0.16401570370370372</v>
      </c>
      <c r="G17" s="94">
        <f t="shared" si="1"/>
        <v>0.17221648888888891</v>
      </c>
      <c r="H17" t="s">
        <v>443</v>
      </c>
    </row>
    <row r="18" spans="2:8">
      <c r="B18" s="51" t="s">
        <v>349</v>
      </c>
      <c r="C18" s="52">
        <v>10</v>
      </c>
      <c r="D18" s="53" t="s">
        <v>65</v>
      </c>
      <c r="E18" s="123"/>
      <c r="F18" s="93">
        <f>20/8/0.9/450*C18</f>
        <v>6.1728395061728392E-2</v>
      </c>
      <c r="G18" s="94">
        <f t="shared" si="1"/>
        <v>6.4814814814814811E-2</v>
      </c>
      <c r="H18" t="s">
        <v>444</v>
      </c>
    </row>
    <row r="19" spans="2:8">
      <c r="B19" s="51" t="s">
        <v>351</v>
      </c>
      <c r="C19" s="52" t="s">
        <v>136</v>
      </c>
      <c r="D19" s="53" t="s">
        <v>65</v>
      </c>
      <c r="E19" s="123" t="s">
        <v>140</v>
      </c>
      <c r="F19" s="93">
        <v>0.50560000000000005</v>
      </c>
      <c r="G19" s="94">
        <f t="shared" si="1"/>
        <v>0.53088000000000013</v>
      </c>
    </row>
    <row r="20" spans="2:8">
      <c r="B20" s="31"/>
      <c r="C20" s="32"/>
      <c r="D20" s="33"/>
      <c r="E20" s="121"/>
      <c r="F20" s="95"/>
      <c r="G20" s="96">
        <f>SUM(G15:G19)</f>
        <v>1.3394818919389979</v>
      </c>
    </row>
    <row r="21" spans="2:8">
      <c r="B21" s="28" t="s">
        <v>141</v>
      </c>
      <c r="C21" s="24"/>
      <c r="D21" s="24"/>
      <c r="E21" s="122"/>
      <c r="F21" s="93"/>
      <c r="G21" s="93"/>
    </row>
    <row r="22" spans="2:8">
      <c r="B22" s="51" t="s">
        <v>352</v>
      </c>
      <c r="C22" s="52">
        <v>40</v>
      </c>
      <c r="D22" s="53" t="s">
        <v>65</v>
      </c>
      <c r="E22" s="123"/>
      <c r="F22" s="94">
        <f>17.65/450*C22</f>
        <v>1.5688888888888888</v>
      </c>
      <c r="G22" s="94">
        <f t="shared" ref="G22:G27" si="2">F22*(1+$G$3)</f>
        <v>1.6473333333333333</v>
      </c>
    </row>
    <row r="23" spans="2:8">
      <c r="B23" s="51" t="s">
        <v>317</v>
      </c>
      <c r="C23" s="52">
        <v>30</v>
      </c>
      <c r="D23" s="53" t="s">
        <v>65</v>
      </c>
      <c r="E23" s="123"/>
      <c r="F23" s="93">
        <f>69/0.9/6/1.5/450*C23</f>
        <v>0.56790123456790131</v>
      </c>
      <c r="G23" s="94">
        <f t="shared" si="2"/>
        <v>0.59629629629629644</v>
      </c>
    </row>
    <row r="24" spans="2:8">
      <c r="B24" s="51" t="s">
        <v>68</v>
      </c>
      <c r="C24" s="52">
        <v>4</v>
      </c>
      <c r="D24" s="53" t="s">
        <v>65</v>
      </c>
      <c r="E24" s="123"/>
      <c r="F24" s="92">
        <f>30.2/0.8*1.1/10/450*C24</f>
        <v>3.6911111111111117E-2</v>
      </c>
      <c r="G24" s="94">
        <f t="shared" si="2"/>
        <v>3.8756666666666675E-2</v>
      </c>
    </row>
    <row r="25" spans="2:8">
      <c r="B25" s="51" t="s">
        <v>257</v>
      </c>
      <c r="C25" s="52">
        <v>2</v>
      </c>
      <c r="D25" s="53" t="s">
        <v>235</v>
      </c>
      <c r="E25" s="123"/>
      <c r="F25" s="100">
        <v>8.6E-3</v>
      </c>
      <c r="G25" s="94">
        <f t="shared" si="2"/>
        <v>9.0299999999999998E-3</v>
      </c>
    </row>
    <row r="26" spans="2:8">
      <c r="B26" s="51" t="s">
        <v>179</v>
      </c>
      <c r="C26" s="52">
        <v>2</v>
      </c>
      <c r="D26" s="53" t="s">
        <v>6</v>
      </c>
      <c r="E26" s="118"/>
      <c r="F26" s="130">
        <v>0.15870000000000001</v>
      </c>
      <c r="G26" s="94">
        <f t="shared" si="2"/>
        <v>0.16663500000000001</v>
      </c>
    </row>
    <row r="27" spans="2:8">
      <c r="B27" s="51" t="s">
        <v>321</v>
      </c>
      <c r="C27" s="52">
        <v>100</v>
      </c>
      <c r="D27" s="53" t="s">
        <v>65</v>
      </c>
      <c r="E27" s="118"/>
      <c r="F27" s="93">
        <f>12.4378*1.3*1.1/5/450*C27</f>
        <v>0.79049128888888898</v>
      </c>
      <c r="G27" s="94">
        <f t="shared" si="2"/>
        <v>0.8300158533333335</v>
      </c>
    </row>
    <row r="28" spans="2:8">
      <c r="B28" s="31"/>
      <c r="C28" s="32"/>
      <c r="D28" s="33"/>
      <c r="E28" s="121"/>
      <c r="F28" s="95"/>
      <c r="G28" s="96">
        <f>SUM(G22:G27)</f>
        <v>3.2880671496296294</v>
      </c>
    </row>
    <row r="29" spans="2:8">
      <c r="B29" s="28" t="s">
        <v>143</v>
      </c>
      <c r="C29" s="24"/>
      <c r="D29" s="24"/>
      <c r="E29" s="117"/>
      <c r="F29" s="93"/>
      <c r="G29" s="93"/>
    </row>
    <row r="30" spans="2:8">
      <c r="B30" s="51" t="s">
        <v>308</v>
      </c>
      <c r="C30" s="52">
        <v>30</v>
      </c>
      <c r="D30" s="53" t="s">
        <v>65</v>
      </c>
      <c r="E30" s="119"/>
      <c r="F30" s="93">
        <f>31.8608*1.2/45/28*C30</f>
        <v>0.91030857142857136</v>
      </c>
      <c r="G30" s="94">
        <f t="shared" ref="G30:G35" si="3">F30*(1+$G$3)</f>
        <v>0.95582400000000001</v>
      </c>
    </row>
    <row r="31" spans="2:8">
      <c r="B31" s="51" t="s">
        <v>317</v>
      </c>
      <c r="C31" s="52">
        <v>30</v>
      </c>
      <c r="D31" s="53" t="s">
        <v>65</v>
      </c>
      <c r="E31" s="118"/>
      <c r="F31" s="93">
        <f>69/0.9/6/1.5/450*C31</f>
        <v>0.56790123456790131</v>
      </c>
      <c r="G31" s="94">
        <f t="shared" si="3"/>
        <v>0.59629629629629644</v>
      </c>
    </row>
    <row r="32" spans="2:8">
      <c r="B32" s="51" t="s">
        <v>68</v>
      </c>
      <c r="C32" s="52">
        <v>4</v>
      </c>
      <c r="D32" s="53" t="s">
        <v>65</v>
      </c>
      <c r="E32" s="118"/>
      <c r="F32" s="92">
        <f>30.2/0.8*1.1/10/450*C32</f>
        <v>3.6911111111111117E-2</v>
      </c>
      <c r="G32" s="94">
        <f t="shared" si="3"/>
        <v>3.8756666666666675E-2</v>
      </c>
    </row>
    <row r="33" spans="2:7">
      <c r="B33" s="51" t="s">
        <v>179</v>
      </c>
      <c r="C33" s="52">
        <v>2</v>
      </c>
      <c r="D33" s="53" t="s">
        <v>6</v>
      </c>
      <c r="E33" s="118"/>
      <c r="F33" s="130">
        <v>0.15870000000000001</v>
      </c>
      <c r="G33" s="94">
        <f t="shared" si="3"/>
        <v>0.16663500000000001</v>
      </c>
    </row>
    <row r="34" spans="2:7">
      <c r="B34" s="51" t="s">
        <v>144</v>
      </c>
      <c r="C34" s="52">
        <v>30</v>
      </c>
      <c r="D34" s="53" t="s">
        <v>65</v>
      </c>
      <c r="E34" s="118"/>
      <c r="F34" s="130">
        <v>0.1701</v>
      </c>
      <c r="G34" s="94">
        <f t="shared" si="3"/>
        <v>0.17860500000000001</v>
      </c>
    </row>
    <row r="35" spans="2:7">
      <c r="B35" s="51" t="s">
        <v>321</v>
      </c>
      <c r="C35" s="52">
        <v>100</v>
      </c>
      <c r="D35" s="53" t="s">
        <v>65</v>
      </c>
      <c r="E35" s="118"/>
      <c r="F35" s="93">
        <f>12.4378*1.3*1.1/5/450*C35</f>
        <v>0.79049128888888898</v>
      </c>
      <c r="G35" s="94">
        <f t="shared" si="3"/>
        <v>0.8300158533333335</v>
      </c>
    </row>
    <row r="36" spans="2:7">
      <c r="B36" s="31"/>
      <c r="C36" s="32"/>
      <c r="D36" s="33"/>
      <c r="E36" s="121"/>
      <c r="F36" s="95"/>
      <c r="G36" s="96">
        <f>SUM(G30:G35)</f>
        <v>2.766132816296297</v>
      </c>
    </row>
    <row r="37" spans="2:7">
      <c r="C37" s="15"/>
      <c r="D37" s="15"/>
      <c r="E37" s="15"/>
      <c r="F37" s="93"/>
      <c r="G37" s="93"/>
    </row>
    <row r="38" spans="2:7">
      <c r="B38" s="28" t="s">
        <v>145</v>
      </c>
      <c r="C38" s="24"/>
      <c r="D38" s="24"/>
      <c r="E38" s="117"/>
      <c r="F38" s="93"/>
      <c r="G38" s="93"/>
    </row>
    <row r="39" spans="2:7">
      <c r="B39" s="51" t="s">
        <v>146</v>
      </c>
      <c r="C39" s="52">
        <v>1</v>
      </c>
      <c r="D39" s="53" t="s">
        <v>6</v>
      </c>
      <c r="E39" s="118"/>
      <c r="F39" s="130">
        <v>0.15</v>
      </c>
      <c r="G39" s="94">
        <f t="shared" ref="G39:G42" si="4">F39*(1+$G$3)</f>
        <v>0.1575</v>
      </c>
    </row>
    <row r="40" spans="2:7">
      <c r="B40" s="51" t="s">
        <v>147</v>
      </c>
      <c r="C40" s="52">
        <v>1</v>
      </c>
      <c r="D40" s="53" t="s">
        <v>6</v>
      </c>
      <c r="E40" s="119" t="s">
        <v>130</v>
      </c>
      <c r="F40" s="93"/>
      <c r="G40" s="94">
        <f t="shared" si="4"/>
        <v>0</v>
      </c>
    </row>
    <row r="41" spans="2:7">
      <c r="B41" s="51" t="s">
        <v>148</v>
      </c>
      <c r="C41" s="52">
        <v>1</v>
      </c>
      <c r="D41" s="53" t="s">
        <v>6</v>
      </c>
      <c r="E41" s="119" t="s">
        <v>132</v>
      </c>
      <c r="F41" s="93"/>
      <c r="G41" s="94">
        <f t="shared" si="4"/>
        <v>0</v>
      </c>
    </row>
    <row r="42" spans="2:7">
      <c r="B42" s="51" t="s">
        <v>149</v>
      </c>
      <c r="C42" s="52">
        <v>1</v>
      </c>
      <c r="D42" s="53" t="s">
        <v>6</v>
      </c>
      <c r="E42" s="118"/>
      <c r="F42" s="93"/>
      <c r="G42" s="94">
        <f t="shared" si="4"/>
        <v>0</v>
      </c>
    </row>
    <row r="43" spans="2:7">
      <c r="B43" s="31"/>
      <c r="C43" s="32"/>
      <c r="D43" s="33"/>
      <c r="E43" s="121"/>
      <c r="F43" s="95"/>
      <c r="G43" s="96">
        <f>SUM(G38:G42)</f>
        <v>0.1575</v>
      </c>
    </row>
    <row r="44" spans="2:7">
      <c r="B44" s="28" t="s">
        <v>150</v>
      </c>
      <c r="C44" s="24"/>
      <c r="D44" s="24"/>
      <c r="E44" s="117"/>
      <c r="F44" s="93"/>
      <c r="G44" s="93"/>
    </row>
    <row r="45" spans="2:7">
      <c r="B45" s="51" t="s">
        <v>146</v>
      </c>
      <c r="C45" s="52">
        <v>1</v>
      </c>
      <c r="D45" s="53" t="s">
        <v>6</v>
      </c>
      <c r="E45" s="118"/>
      <c r="F45" s="130">
        <v>0.15</v>
      </c>
      <c r="G45" s="94">
        <f t="shared" ref="G45:G48" si="5">F45*(1+$G$3)</f>
        <v>0.1575</v>
      </c>
    </row>
    <row r="46" spans="2:7">
      <c r="B46" s="51" t="s">
        <v>147</v>
      </c>
      <c r="C46" s="52">
        <v>1</v>
      </c>
      <c r="D46" s="53" t="s">
        <v>6</v>
      </c>
      <c r="E46" s="119" t="s">
        <v>130</v>
      </c>
      <c r="F46" s="93"/>
      <c r="G46" s="94">
        <f t="shared" si="5"/>
        <v>0</v>
      </c>
    </row>
    <row r="47" spans="2:7">
      <c r="B47" s="51" t="s">
        <v>148</v>
      </c>
      <c r="C47" s="52">
        <v>1</v>
      </c>
      <c r="D47" s="53" t="s">
        <v>6</v>
      </c>
      <c r="E47" s="119" t="s">
        <v>132</v>
      </c>
      <c r="F47" s="93"/>
      <c r="G47" s="94">
        <f t="shared" si="5"/>
        <v>0</v>
      </c>
    </row>
    <row r="48" spans="2:7">
      <c r="B48" s="51" t="s">
        <v>149</v>
      </c>
      <c r="C48" s="54">
        <v>1</v>
      </c>
      <c r="D48" s="55" t="s">
        <v>6</v>
      </c>
      <c r="E48" s="118"/>
      <c r="F48" s="93"/>
      <c r="G48" s="94">
        <f t="shared" si="5"/>
        <v>0</v>
      </c>
    </row>
    <row r="49" spans="2:7">
      <c r="B49" s="31"/>
      <c r="C49" s="32"/>
      <c r="D49" s="33"/>
      <c r="E49" s="121"/>
      <c r="F49" s="95"/>
      <c r="G49" s="96">
        <f>SUM(G44:G48)</f>
        <v>0.1575</v>
      </c>
    </row>
    <row r="50" spans="2:7">
      <c r="B50" s="28" t="s">
        <v>151</v>
      </c>
      <c r="C50" s="24"/>
      <c r="D50" s="24"/>
      <c r="E50" s="117"/>
      <c r="F50" s="93"/>
      <c r="G50" s="93"/>
    </row>
    <row r="51" spans="2:7">
      <c r="B51" s="51" t="s">
        <v>120</v>
      </c>
      <c r="C51" s="52">
        <v>10</v>
      </c>
      <c r="D51" s="53" t="s">
        <v>13</v>
      </c>
      <c r="E51" s="118"/>
      <c r="F51" s="130">
        <f>46.75/0.9/12/450*C51</f>
        <v>9.6193415637860075E-2</v>
      </c>
      <c r="G51" s="94">
        <f t="shared" ref="G51:G54" si="6">F51*(1+$G$3)</f>
        <v>0.10100308641975309</v>
      </c>
    </row>
    <row r="52" spans="2:7">
      <c r="B52" s="51" t="s">
        <v>324</v>
      </c>
      <c r="C52" s="52">
        <v>15</v>
      </c>
      <c r="D52" s="53" t="s">
        <v>13</v>
      </c>
      <c r="E52" s="118"/>
      <c r="F52" s="93">
        <f>21.59/0.8/25/450*C52</f>
        <v>3.5983333333333332E-2</v>
      </c>
      <c r="G52" s="94">
        <f t="shared" si="6"/>
        <v>3.7782500000000004E-2</v>
      </c>
    </row>
    <row r="53" spans="2:7">
      <c r="B53" s="51" t="s">
        <v>325</v>
      </c>
      <c r="C53" s="52">
        <v>15</v>
      </c>
      <c r="D53" s="53" t="s">
        <v>13</v>
      </c>
      <c r="E53" s="118"/>
      <c r="F53" s="93">
        <f>12/10/0.8/450*C53</f>
        <v>4.9999999999999989E-2</v>
      </c>
      <c r="G53" s="94">
        <f t="shared" si="6"/>
        <v>5.2499999999999991E-2</v>
      </c>
    </row>
    <row r="54" spans="2:7">
      <c r="B54" s="51" t="s">
        <v>319</v>
      </c>
      <c r="C54" s="52">
        <v>15</v>
      </c>
      <c r="D54" s="53" t="s">
        <v>13</v>
      </c>
      <c r="E54" s="118"/>
      <c r="F54" s="93">
        <f>37.34/0.9/10/450*C54</f>
        <v>0.13829629629629631</v>
      </c>
      <c r="G54" s="94">
        <f t="shared" si="6"/>
        <v>0.14521111111111112</v>
      </c>
    </row>
    <row r="55" spans="2:7">
      <c r="B55" s="31"/>
      <c r="C55" s="32"/>
      <c r="D55" s="33"/>
      <c r="E55" s="121"/>
      <c r="F55" s="95"/>
      <c r="G55" s="96">
        <f>SUM(G50:G54)</f>
        <v>0.3364966975308642</v>
      </c>
    </row>
    <row r="56" spans="2:7">
      <c r="B56" s="28" t="s">
        <v>152</v>
      </c>
      <c r="C56" s="24"/>
      <c r="D56" s="24"/>
      <c r="E56" s="117"/>
      <c r="F56" s="93"/>
      <c r="G56" s="93"/>
    </row>
    <row r="57" spans="2:7">
      <c r="B57" s="51" t="s">
        <v>120</v>
      </c>
      <c r="C57" s="52">
        <v>10</v>
      </c>
      <c r="D57" s="53" t="s">
        <v>13</v>
      </c>
      <c r="E57" s="118"/>
      <c r="F57" s="130">
        <f>46.75/0.9/12/450*C57</f>
        <v>9.6193415637860075E-2</v>
      </c>
      <c r="G57" s="94">
        <f t="shared" ref="G57:G60" si="7">F57*(1+$G$3)</f>
        <v>0.10100308641975309</v>
      </c>
    </row>
    <row r="58" spans="2:7">
      <c r="B58" s="51" t="s">
        <v>324</v>
      </c>
      <c r="C58" s="52">
        <v>15</v>
      </c>
      <c r="D58" s="53" t="s">
        <v>13</v>
      </c>
      <c r="E58" s="118"/>
      <c r="F58" s="93">
        <f>21.59/0.8/25/450*C58</f>
        <v>3.5983333333333332E-2</v>
      </c>
      <c r="G58" s="94">
        <f t="shared" si="7"/>
        <v>3.7782500000000004E-2</v>
      </c>
    </row>
    <row r="59" spans="2:7">
      <c r="B59" s="51" t="s">
        <v>325</v>
      </c>
      <c r="C59" s="52">
        <v>15</v>
      </c>
      <c r="D59" s="53" t="s">
        <v>13</v>
      </c>
      <c r="E59" s="118"/>
      <c r="F59" s="93">
        <f>12/10/0.8/450*C59</f>
        <v>4.9999999999999989E-2</v>
      </c>
      <c r="G59" s="94">
        <f t="shared" si="7"/>
        <v>5.2499999999999991E-2</v>
      </c>
    </row>
    <row r="60" spans="2:7">
      <c r="B60" s="51" t="s">
        <v>319</v>
      </c>
      <c r="C60" s="52">
        <v>15</v>
      </c>
      <c r="D60" s="53" t="s">
        <v>13</v>
      </c>
      <c r="E60" s="118"/>
      <c r="F60" s="93">
        <f>37.34/0.9/10/450*C60</f>
        <v>0.13829629629629631</v>
      </c>
      <c r="G60" s="94">
        <f t="shared" si="7"/>
        <v>0.14521111111111112</v>
      </c>
    </row>
    <row r="61" spans="2:7">
      <c r="B61" s="31"/>
      <c r="C61" s="32"/>
      <c r="D61" s="33"/>
      <c r="E61" s="121"/>
      <c r="F61" s="95"/>
      <c r="G61" s="96">
        <f>SUM(G56:G60)</f>
        <v>0.3364966975308642</v>
      </c>
    </row>
    <row r="62" spans="2:7">
      <c r="B62" s="28" t="s">
        <v>153</v>
      </c>
      <c r="C62" s="24"/>
      <c r="D62" s="24"/>
      <c r="E62" s="117"/>
      <c r="F62" s="93"/>
      <c r="G62" s="93"/>
    </row>
    <row r="63" spans="2:7">
      <c r="B63" s="9" t="s">
        <v>282</v>
      </c>
      <c r="C63" s="12">
        <v>90</v>
      </c>
      <c r="D63" s="11" t="s">
        <v>13</v>
      </c>
      <c r="E63" s="104" t="s">
        <v>154</v>
      </c>
      <c r="F63" s="131">
        <v>7.2286382608695661</v>
      </c>
      <c r="G63" s="94">
        <f t="shared" ref="G63:G67" si="8">F63*(1+$G$3)</f>
        <v>7.5900701739130447</v>
      </c>
    </row>
    <row r="64" spans="2:7">
      <c r="B64" s="9" t="s">
        <v>287</v>
      </c>
      <c r="C64" s="12">
        <v>45</v>
      </c>
      <c r="D64" s="11" t="s">
        <v>13</v>
      </c>
      <c r="E64" s="104"/>
      <c r="F64" s="92">
        <v>0.85621221400000036</v>
      </c>
      <c r="G64" s="94">
        <f t="shared" si="8"/>
        <v>0.89902282470000039</v>
      </c>
    </row>
    <row r="65" spans="2:7">
      <c r="B65" s="9" t="s">
        <v>283</v>
      </c>
      <c r="C65" s="12">
        <v>15</v>
      </c>
      <c r="D65" s="11" t="s">
        <v>13</v>
      </c>
      <c r="E65" s="104"/>
      <c r="F65" s="92">
        <v>0.1326587166666667</v>
      </c>
      <c r="G65" s="94">
        <f t="shared" si="8"/>
        <v>0.13929165250000006</v>
      </c>
    </row>
    <row r="66" spans="2:7">
      <c r="B66" s="9" t="s">
        <v>288</v>
      </c>
      <c r="C66" s="12">
        <v>75</v>
      </c>
      <c r="D66" s="11" t="s">
        <v>13</v>
      </c>
      <c r="E66" s="104"/>
      <c r="F66" s="131">
        <v>1.70444</v>
      </c>
      <c r="G66" s="94">
        <f t="shared" si="8"/>
        <v>1.7896620000000001</v>
      </c>
    </row>
    <row r="67" spans="2:7">
      <c r="B67" s="9"/>
      <c r="C67" s="26"/>
      <c r="D67" s="27"/>
      <c r="E67" s="104"/>
      <c r="F67" s="93"/>
      <c r="G67" s="94">
        <f t="shared" si="8"/>
        <v>0</v>
      </c>
    </row>
    <row r="68" spans="2:7">
      <c r="B68" s="31"/>
      <c r="C68" s="32"/>
      <c r="D68" s="33"/>
      <c r="E68" s="121"/>
      <c r="F68" s="95"/>
      <c r="G68" s="96">
        <f>SUM(G62:G67)</f>
        <v>10.418046651113047</v>
      </c>
    </row>
    <row r="69" spans="2:7">
      <c r="B69" s="28" t="s">
        <v>155</v>
      </c>
      <c r="C69" s="24"/>
      <c r="D69" s="24"/>
      <c r="E69" s="117"/>
      <c r="F69" s="93"/>
      <c r="G69" s="93"/>
    </row>
    <row r="70" spans="2:7">
      <c r="B70" s="9" t="s">
        <v>282</v>
      </c>
      <c r="C70" s="12">
        <v>90</v>
      </c>
      <c r="D70" s="11" t="s">
        <v>13</v>
      </c>
      <c r="E70" s="104" t="s">
        <v>92</v>
      </c>
      <c r="F70" s="131">
        <v>7.2286382608695661</v>
      </c>
      <c r="G70" s="94">
        <f t="shared" ref="G70:G74" si="9">F70*(1+$G$3)</f>
        <v>7.5900701739130447</v>
      </c>
    </row>
    <row r="71" spans="2:7">
      <c r="B71" s="9" t="s">
        <v>287</v>
      </c>
      <c r="C71" s="12">
        <v>45</v>
      </c>
      <c r="D71" s="11" t="s">
        <v>13</v>
      </c>
      <c r="E71" s="104"/>
      <c r="F71" s="92">
        <v>0.85621221400000036</v>
      </c>
      <c r="G71" s="94">
        <f t="shared" si="9"/>
        <v>0.89902282470000039</v>
      </c>
    </row>
    <row r="72" spans="2:7">
      <c r="B72" s="9" t="s">
        <v>283</v>
      </c>
      <c r="C72" s="12">
        <v>15</v>
      </c>
      <c r="D72" s="11" t="s">
        <v>13</v>
      </c>
      <c r="E72" s="104"/>
      <c r="F72" s="92">
        <v>0.1326587166666667</v>
      </c>
      <c r="G72" s="94">
        <f t="shared" si="9"/>
        <v>0.13929165250000006</v>
      </c>
    </row>
    <row r="73" spans="2:7">
      <c r="B73" s="9" t="s">
        <v>288</v>
      </c>
      <c r="C73" s="12">
        <v>75</v>
      </c>
      <c r="D73" s="11" t="s">
        <v>13</v>
      </c>
      <c r="E73" s="104"/>
      <c r="F73" s="131">
        <v>1.70444</v>
      </c>
      <c r="G73" s="94">
        <f t="shared" si="9"/>
        <v>1.7896620000000001</v>
      </c>
    </row>
    <row r="74" spans="2:7">
      <c r="B74" s="9"/>
      <c r="C74" s="26"/>
      <c r="D74" s="27"/>
      <c r="E74" s="104"/>
      <c r="F74" s="93"/>
      <c r="G74" s="94">
        <f t="shared" si="9"/>
        <v>0</v>
      </c>
    </row>
    <row r="75" spans="2:7">
      <c r="B75" s="31"/>
      <c r="C75" s="32"/>
      <c r="D75" s="33"/>
      <c r="E75" s="121"/>
      <c r="F75" s="95"/>
      <c r="G75" s="96">
        <f>SUM(G69:G74)</f>
        <v>10.418046651113047</v>
      </c>
    </row>
    <row r="76" spans="2:7">
      <c r="B76" s="28" t="s">
        <v>156</v>
      </c>
      <c r="C76" s="24"/>
      <c r="D76" s="24"/>
      <c r="E76" s="117"/>
      <c r="F76" s="93"/>
      <c r="G76" s="93"/>
    </row>
    <row r="77" spans="2:7">
      <c r="B77" s="9" t="s">
        <v>290</v>
      </c>
      <c r="C77" s="12">
        <v>90</v>
      </c>
      <c r="D77" s="11" t="s">
        <v>13</v>
      </c>
      <c r="E77" s="104"/>
      <c r="F77" s="99">
        <f>66.1823*1.2/2.5/450*C77</f>
        <v>6.3535007999999991</v>
      </c>
      <c r="G77" s="94">
        <f t="shared" ref="G77:G80" si="10">F77*(1+$G$3)</f>
        <v>6.6711758399999992</v>
      </c>
    </row>
    <row r="78" spans="2:7">
      <c r="B78" s="9" t="s">
        <v>291</v>
      </c>
      <c r="C78" s="12">
        <v>75</v>
      </c>
      <c r="D78" s="11" t="s">
        <v>13</v>
      </c>
      <c r="E78" s="104"/>
      <c r="F78" s="99">
        <f>7.1796*1.2/2.5/450*C78</f>
        <v>0.57436799999999999</v>
      </c>
      <c r="G78" s="94">
        <f t="shared" si="10"/>
        <v>0.60308640000000002</v>
      </c>
    </row>
    <row r="79" spans="2:7">
      <c r="B79" s="9" t="s">
        <v>287</v>
      </c>
      <c r="C79" s="12">
        <v>45</v>
      </c>
      <c r="D79" s="11" t="s">
        <v>13</v>
      </c>
      <c r="E79" s="104"/>
      <c r="F79" s="92">
        <f>54.4318*1.3*1.1*1.1/10/450*C79</f>
        <v>0.85621221400000036</v>
      </c>
      <c r="G79" s="94">
        <f t="shared" si="10"/>
        <v>0.89902282470000039</v>
      </c>
    </row>
    <row r="80" spans="2:7">
      <c r="B80" s="9" t="s">
        <v>292</v>
      </c>
      <c r="C80" s="12">
        <v>30</v>
      </c>
      <c r="D80" s="11" t="s">
        <v>13</v>
      </c>
      <c r="E80" s="104"/>
      <c r="F80" s="92">
        <f>8.5472*1.3*1.1/5/450*C80</f>
        <v>0.16296661333333337</v>
      </c>
      <c r="G80" s="94">
        <f t="shared" si="10"/>
        <v>0.17111494400000005</v>
      </c>
    </row>
    <row r="81" spans="2:7">
      <c r="B81" s="31"/>
      <c r="C81" s="32"/>
      <c r="D81" s="33"/>
      <c r="E81" s="121"/>
      <c r="F81" s="95"/>
      <c r="G81" s="96">
        <f>SUM(G76:G80)</f>
        <v>8.3444000086999992</v>
      </c>
    </row>
    <row r="82" spans="2:7">
      <c r="B82" s="28" t="s">
        <v>157</v>
      </c>
      <c r="C82" s="24"/>
      <c r="D82" s="24"/>
      <c r="E82" s="117"/>
      <c r="F82" s="93"/>
      <c r="G82" s="93"/>
    </row>
    <row r="83" spans="2:7">
      <c r="B83" s="9" t="s">
        <v>290</v>
      </c>
      <c r="C83" s="12">
        <v>90</v>
      </c>
      <c r="D83" s="11" t="s">
        <v>13</v>
      </c>
      <c r="E83" s="104"/>
      <c r="F83" s="99">
        <f>66.1823*1.2/2.5/450*C83</f>
        <v>6.3535007999999991</v>
      </c>
      <c r="G83" s="94">
        <f t="shared" ref="G83:G86" si="11">F83*(1+$G$3)</f>
        <v>6.6711758399999992</v>
      </c>
    </row>
    <row r="84" spans="2:7">
      <c r="B84" s="9" t="s">
        <v>291</v>
      </c>
      <c r="C84" s="12">
        <v>75</v>
      </c>
      <c r="D84" s="11" t="s">
        <v>13</v>
      </c>
      <c r="E84" s="104"/>
      <c r="F84" s="99">
        <f>7.1796*1.2/2.5/450*C84</f>
        <v>0.57436799999999999</v>
      </c>
      <c r="G84" s="94">
        <f t="shared" si="11"/>
        <v>0.60308640000000002</v>
      </c>
    </row>
    <row r="85" spans="2:7">
      <c r="B85" s="9" t="s">
        <v>287</v>
      </c>
      <c r="C85" s="12">
        <v>45</v>
      </c>
      <c r="D85" s="11" t="s">
        <v>13</v>
      </c>
      <c r="E85" s="104"/>
      <c r="F85" s="92">
        <f>54.4318*1.3*1.1*1.1/10/450*C85</f>
        <v>0.85621221400000036</v>
      </c>
      <c r="G85" s="94">
        <f t="shared" si="11"/>
        <v>0.89902282470000039</v>
      </c>
    </row>
    <row r="86" spans="2:7">
      <c r="B86" s="9" t="s">
        <v>292</v>
      </c>
      <c r="C86" s="12">
        <v>30</v>
      </c>
      <c r="D86" s="11" t="s">
        <v>13</v>
      </c>
      <c r="E86" s="104"/>
      <c r="F86" s="92">
        <f>8.5472*1.3*1.1/5/450*C86</f>
        <v>0.16296661333333337</v>
      </c>
      <c r="G86" s="94">
        <f t="shared" si="11"/>
        <v>0.17111494400000005</v>
      </c>
    </row>
    <row r="87" spans="2:7">
      <c r="B87" s="31"/>
      <c r="C87" s="32"/>
      <c r="D87" s="33"/>
      <c r="E87" s="121"/>
      <c r="F87" s="95"/>
      <c r="G87" s="96">
        <f>SUM(G82:G86)</f>
        <v>8.3444000086999992</v>
      </c>
    </row>
    <row r="88" spans="2:7">
      <c r="B88" s="28" t="s">
        <v>158</v>
      </c>
      <c r="C88" s="24"/>
      <c r="D88" s="24"/>
      <c r="E88" s="117"/>
      <c r="F88" s="93"/>
      <c r="G88" s="93"/>
    </row>
    <row r="89" spans="2:7">
      <c r="B89" s="31" t="s">
        <v>128</v>
      </c>
      <c r="C89" s="32">
        <v>1</v>
      </c>
      <c r="D89" s="33" t="s">
        <v>6</v>
      </c>
      <c r="E89" s="124"/>
      <c r="F89" s="93"/>
      <c r="G89" s="93"/>
    </row>
    <row r="90" spans="2:7">
      <c r="B90" s="31" t="s">
        <v>159</v>
      </c>
      <c r="C90" s="32">
        <v>1</v>
      </c>
      <c r="D90" s="33" t="s">
        <v>6</v>
      </c>
      <c r="E90" s="125" t="s">
        <v>160</v>
      </c>
      <c r="F90" s="93"/>
      <c r="G90" s="93"/>
    </row>
    <row r="91" spans="2:7">
      <c r="B91" s="31" t="s">
        <v>161</v>
      </c>
      <c r="C91" s="32">
        <v>1</v>
      </c>
      <c r="D91" s="33" t="s">
        <v>6</v>
      </c>
      <c r="E91" s="125" t="s">
        <v>162</v>
      </c>
      <c r="F91" s="93"/>
      <c r="G91" s="93"/>
    </row>
    <row r="92" spans="2:7">
      <c r="B92" s="31" t="s">
        <v>148</v>
      </c>
      <c r="C92" s="32">
        <v>2</v>
      </c>
      <c r="D92" s="33" t="s">
        <v>6</v>
      </c>
      <c r="E92" s="125" t="s">
        <v>239</v>
      </c>
      <c r="F92" s="93"/>
      <c r="G92" s="93"/>
    </row>
    <row r="93" spans="2:7">
      <c r="B93" s="31" t="s">
        <v>129</v>
      </c>
      <c r="C93" s="32">
        <v>1</v>
      </c>
      <c r="D93" s="33" t="s">
        <v>6</v>
      </c>
      <c r="E93" s="125" t="s">
        <v>130</v>
      </c>
      <c r="F93" s="93"/>
      <c r="G93" s="93"/>
    </row>
    <row r="94" spans="2:7">
      <c r="B94" s="31"/>
      <c r="C94" s="32"/>
      <c r="D94" s="33"/>
      <c r="E94" s="121"/>
      <c r="F94" s="95"/>
      <c r="G94" s="96">
        <f>SUM(G88:G93)</f>
        <v>0</v>
      </c>
    </row>
    <row r="95" spans="2:7">
      <c r="B95" s="28" t="s">
        <v>163</v>
      </c>
      <c r="C95" s="24"/>
      <c r="D95" s="24"/>
      <c r="E95" s="122"/>
      <c r="F95" s="93"/>
      <c r="G95" s="93"/>
    </row>
    <row r="96" spans="2:7">
      <c r="B96" s="31" t="s">
        <v>237</v>
      </c>
      <c r="C96" s="32">
        <v>100</v>
      </c>
      <c r="D96" s="33" t="s">
        <v>13</v>
      </c>
      <c r="E96" s="125"/>
      <c r="F96" s="93">
        <f>65.0556*1.1*1.1/36</f>
        <v>2.1865910000000004</v>
      </c>
      <c r="G96" s="94">
        <f t="shared" ref="G96:G99" si="12">F96*(1+$G$3)</f>
        <v>2.2959205500000004</v>
      </c>
    </row>
    <row r="97" spans="2:7">
      <c r="B97" s="31" t="s">
        <v>164</v>
      </c>
      <c r="C97" s="32">
        <v>30</v>
      </c>
      <c r="D97" s="33" t="s">
        <v>13</v>
      </c>
      <c r="E97" s="125"/>
      <c r="F97" s="92">
        <f>16.34*1.1/4.8/450*C97</f>
        <v>0.24963888888888891</v>
      </c>
      <c r="G97" s="94">
        <f t="shared" si="12"/>
        <v>0.26212083333333336</v>
      </c>
    </row>
    <row r="98" spans="2:7">
      <c r="B98" s="31" t="s">
        <v>165</v>
      </c>
      <c r="C98" s="32">
        <v>90</v>
      </c>
      <c r="D98" s="33" t="s">
        <v>13</v>
      </c>
      <c r="E98" s="125"/>
      <c r="F98" s="130">
        <v>0.350493</v>
      </c>
      <c r="G98" s="94">
        <f t="shared" si="12"/>
        <v>0.36801765000000003</v>
      </c>
    </row>
    <row r="99" spans="2:7">
      <c r="B99" s="31" t="s">
        <v>166</v>
      </c>
      <c r="C99" s="32" t="s">
        <v>238</v>
      </c>
      <c r="D99" s="33" t="s">
        <v>13</v>
      </c>
      <c r="E99" s="125"/>
      <c r="F99" s="130">
        <v>0.23980000000000001</v>
      </c>
      <c r="G99" s="94">
        <f t="shared" si="12"/>
        <v>0.25179000000000001</v>
      </c>
    </row>
    <row r="100" spans="2:7">
      <c r="B100" s="31"/>
      <c r="C100" s="32"/>
      <c r="D100" s="33"/>
      <c r="E100" s="125"/>
      <c r="F100" s="95"/>
      <c r="G100" s="96">
        <f>SUM(G95:G99)</f>
        <v>3.177849033333334</v>
      </c>
    </row>
    <row r="101" spans="2:7">
      <c r="B101" s="30" t="s">
        <v>167</v>
      </c>
      <c r="C101" s="24"/>
      <c r="D101" s="24"/>
      <c r="E101" s="122"/>
      <c r="F101" s="93"/>
      <c r="G101" s="93"/>
    </row>
    <row r="102" spans="2:7">
      <c r="B102" s="31" t="s">
        <v>237</v>
      </c>
      <c r="C102" s="32">
        <v>100</v>
      </c>
      <c r="D102" s="33" t="s">
        <v>13</v>
      </c>
      <c r="E102" s="125"/>
      <c r="F102" s="93">
        <f>65.0556*1.1*1.1/36</f>
        <v>2.1865910000000004</v>
      </c>
      <c r="G102" s="94">
        <f t="shared" ref="G102:G105" si="13">F102*(1+$G$3)</f>
        <v>2.2959205500000004</v>
      </c>
    </row>
    <row r="103" spans="2:7">
      <c r="B103" s="31" t="s">
        <v>164</v>
      </c>
      <c r="C103" s="32">
        <v>30</v>
      </c>
      <c r="D103" s="33" t="s">
        <v>13</v>
      </c>
      <c r="E103" s="124"/>
      <c r="F103" s="92">
        <f>16.34*1.1/4.8/450*C103</f>
        <v>0.24963888888888891</v>
      </c>
      <c r="G103" s="94">
        <f t="shared" si="13"/>
        <v>0.26212083333333336</v>
      </c>
    </row>
    <row r="104" spans="2:7">
      <c r="B104" s="31" t="s">
        <v>165</v>
      </c>
      <c r="C104" s="32">
        <v>90</v>
      </c>
      <c r="D104" s="33" t="s">
        <v>13</v>
      </c>
      <c r="E104" s="124"/>
      <c r="F104" s="130">
        <v>0.350493</v>
      </c>
      <c r="G104" s="94">
        <f t="shared" si="13"/>
        <v>0.36801765000000003</v>
      </c>
    </row>
    <row r="105" spans="2:7">
      <c r="B105" s="31" t="s">
        <v>166</v>
      </c>
      <c r="C105" s="32" t="s">
        <v>238</v>
      </c>
      <c r="D105" s="33" t="s">
        <v>13</v>
      </c>
      <c r="E105" s="124"/>
      <c r="F105" s="130">
        <v>0.23980000000000001</v>
      </c>
      <c r="G105" s="94">
        <f t="shared" si="13"/>
        <v>0.25179000000000001</v>
      </c>
    </row>
    <row r="106" spans="2:7">
      <c r="B106" s="31"/>
      <c r="C106" s="32"/>
      <c r="D106" s="33"/>
      <c r="E106" s="124"/>
      <c r="F106" s="95"/>
      <c r="G106" s="96">
        <f>SUM(G101:G105)</f>
        <v>3.177849033333334</v>
      </c>
    </row>
  </sheetData>
  <pageMargins left="0.7" right="0.7" top="0.75" bottom="0.75" header="0.3" footer="0.3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EBAD-045D-4230-9F9C-02016997AFC6}">
  <sheetPr>
    <pageSetUpPr fitToPage="1"/>
  </sheetPr>
  <dimension ref="A1:O72"/>
  <sheetViews>
    <sheetView zoomScaleNormal="100" workbookViewId="0">
      <selection activeCell="D28" sqref="D28"/>
    </sheetView>
  </sheetViews>
  <sheetFormatPr defaultRowHeight="15"/>
  <cols>
    <col min="1" max="1" width="32" customWidth="1"/>
    <col min="2" max="3" width="10.7109375" style="41" customWidth="1"/>
    <col min="4" max="4" width="43.140625" customWidth="1"/>
    <col min="7" max="7" width="32.5703125" customWidth="1"/>
    <col min="10" max="10" width="31.5703125" customWidth="1"/>
    <col min="13" max="13" width="32.5703125" customWidth="1"/>
  </cols>
  <sheetData>
    <row r="1" spans="1:15" ht="17.25">
      <c r="A1" s="1" t="s">
        <v>168</v>
      </c>
      <c r="B1" s="2"/>
      <c r="C1" s="2"/>
      <c r="D1" s="1" t="s">
        <v>169</v>
      </c>
      <c r="E1" s="2"/>
      <c r="F1" s="2"/>
      <c r="G1" s="1" t="s">
        <v>170</v>
      </c>
      <c r="H1" s="2"/>
      <c r="I1" s="2"/>
      <c r="J1" s="1" t="s">
        <v>171</v>
      </c>
      <c r="K1" s="2"/>
      <c r="L1" s="2"/>
      <c r="M1" s="1" t="s">
        <v>172</v>
      </c>
      <c r="N1" s="2"/>
      <c r="O1" s="2"/>
    </row>
    <row r="2" spans="1:15" ht="27">
      <c r="A2" s="4" t="s">
        <v>0</v>
      </c>
      <c r="B2" s="39" t="s">
        <v>1</v>
      </c>
      <c r="C2" s="39" t="s">
        <v>2</v>
      </c>
      <c r="D2" s="4" t="s">
        <v>0</v>
      </c>
      <c r="E2" s="39" t="s">
        <v>1</v>
      </c>
      <c r="F2" s="39" t="s">
        <v>2</v>
      </c>
      <c r="G2" s="4" t="s">
        <v>0</v>
      </c>
      <c r="H2" s="39" t="s">
        <v>1</v>
      </c>
      <c r="I2" s="39" t="s">
        <v>2</v>
      </c>
      <c r="J2" s="4" t="s">
        <v>0</v>
      </c>
      <c r="K2" s="39" t="s">
        <v>1</v>
      </c>
      <c r="L2" s="39" t="s">
        <v>2</v>
      </c>
      <c r="M2" s="4" t="s">
        <v>0</v>
      </c>
      <c r="N2" s="39" t="s">
        <v>1</v>
      </c>
      <c r="O2" s="39" t="s">
        <v>2</v>
      </c>
    </row>
    <row r="3" spans="1:15">
      <c r="A3" s="5" t="s">
        <v>382</v>
      </c>
      <c r="B3" s="40"/>
      <c r="C3" s="40"/>
      <c r="D3" s="5" t="s">
        <v>382</v>
      </c>
      <c r="E3" s="40"/>
      <c r="F3" s="40"/>
      <c r="G3" s="5" t="s">
        <v>382</v>
      </c>
      <c r="H3" s="40"/>
      <c r="I3" s="40"/>
      <c r="J3" s="5" t="s">
        <v>382</v>
      </c>
      <c r="K3" s="40"/>
      <c r="L3" s="40"/>
      <c r="M3" s="5" t="s">
        <v>382</v>
      </c>
      <c r="N3" s="40"/>
      <c r="O3" s="40"/>
    </row>
    <row r="4" spans="1:15">
      <c r="A4" s="6" t="s">
        <v>5</v>
      </c>
      <c r="B4" s="37">
        <v>1</v>
      </c>
      <c r="C4" s="7" t="s">
        <v>6</v>
      </c>
      <c r="D4" s="6" t="s">
        <v>5</v>
      </c>
      <c r="E4" s="37">
        <v>1</v>
      </c>
      <c r="F4" s="7" t="s">
        <v>6</v>
      </c>
      <c r="G4" s="6" t="s">
        <v>5</v>
      </c>
      <c r="H4" s="37">
        <v>1</v>
      </c>
      <c r="I4" s="7" t="s">
        <v>6</v>
      </c>
      <c r="J4" s="6" t="s">
        <v>5</v>
      </c>
      <c r="K4" s="37">
        <v>1</v>
      </c>
      <c r="L4" s="7" t="s">
        <v>6</v>
      </c>
      <c r="M4" s="6" t="s">
        <v>5</v>
      </c>
      <c r="N4" s="37">
        <v>1</v>
      </c>
      <c r="O4" s="7" t="s">
        <v>6</v>
      </c>
    </row>
    <row r="5" spans="1:15">
      <c r="A5" s="8" t="s">
        <v>8</v>
      </c>
      <c r="B5" s="37">
        <v>3</v>
      </c>
      <c r="C5" s="7" t="s">
        <v>6</v>
      </c>
      <c r="D5" s="8" t="s">
        <v>8</v>
      </c>
      <c r="E5" s="37">
        <v>3</v>
      </c>
      <c r="F5" s="7" t="s">
        <v>6</v>
      </c>
      <c r="G5" s="8" t="s">
        <v>8</v>
      </c>
      <c r="H5" s="37">
        <v>3</v>
      </c>
      <c r="I5" s="7" t="s">
        <v>6</v>
      </c>
      <c r="J5" s="8" t="s">
        <v>8</v>
      </c>
      <c r="K5" s="37">
        <v>3</v>
      </c>
      <c r="L5" s="7" t="s">
        <v>6</v>
      </c>
      <c r="M5" s="8" t="s">
        <v>8</v>
      </c>
      <c r="N5" s="37">
        <v>3</v>
      </c>
      <c r="O5" s="7" t="s">
        <v>6</v>
      </c>
    </row>
    <row r="6" spans="1:15">
      <c r="A6" s="8" t="s">
        <v>9</v>
      </c>
      <c r="B6" s="37">
        <v>3</v>
      </c>
      <c r="C6" s="7" t="s">
        <v>6</v>
      </c>
      <c r="D6" s="8" t="s">
        <v>9</v>
      </c>
      <c r="E6" s="37">
        <v>3</v>
      </c>
      <c r="F6" s="7" t="s">
        <v>6</v>
      </c>
      <c r="G6" s="8" t="s">
        <v>9</v>
      </c>
      <c r="H6" s="37">
        <v>3</v>
      </c>
      <c r="I6" s="7" t="s">
        <v>6</v>
      </c>
      <c r="J6" s="8" t="s">
        <v>9</v>
      </c>
      <c r="K6" s="37">
        <v>3</v>
      </c>
      <c r="L6" s="7" t="s">
        <v>6</v>
      </c>
      <c r="M6" s="8" t="s">
        <v>9</v>
      </c>
      <c r="N6" s="37">
        <v>3</v>
      </c>
      <c r="O6" s="7" t="s">
        <v>6</v>
      </c>
    </row>
    <row r="7" spans="1:15">
      <c r="A7" s="8" t="s">
        <v>10</v>
      </c>
      <c r="B7" s="37">
        <v>1</v>
      </c>
      <c r="C7" s="7" t="s">
        <v>6</v>
      </c>
      <c r="D7" s="8" t="s">
        <v>10</v>
      </c>
      <c r="E7" s="37">
        <v>1</v>
      </c>
      <c r="F7" s="7" t="s">
        <v>6</v>
      </c>
      <c r="G7" s="8" t="s">
        <v>10</v>
      </c>
      <c r="H7" s="37">
        <v>1</v>
      </c>
      <c r="I7" s="7" t="s">
        <v>6</v>
      </c>
      <c r="J7" s="8" t="s">
        <v>10</v>
      </c>
      <c r="K7" s="37">
        <v>1</v>
      </c>
      <c r="L7" s="7" t="s">
        <v>6</v>
      </c>
      <c r="M7" s="8" t="s">
        <v>10</v>
      </c>
      <c r="N7" s="37">
        <v>1</v>
      </c>
      <c r="O7" s="7" t="s">
        <v>6</v>
      </c>
    </row>
    <row r="8" spans="1:15">
      <c r="A8" s="8" t="s">
        <v>11</v>
      </c>
      <c r="B8" s="37">
        <v>1</v>
      </c>
      <c r="C8" s="7" t="s">
        <v>6</v>
      </c>
      <c r="D8" s="8" t="s">
        <v>11</v>
      </c>
      <c r="E8" s="37">
        <v>1</v>
      </c>
      <c r="F8" s="7" t="s">
        <v>6</v>
      </c>
      <c r="G8" s="8" t="s">
        <v>11</v>
      </c>
      <c r="H8" s="37">
        <v>1</v>
      </c>
      <c r="I8" s="7" t="s">
        <v>6</v>
      </c>
      <c r="J8" s="8" t="s">
        <v>11</v>
      </c>
      <c r="K8" s="37">
        <v>1</v>
      </c>
      <c r="L8" s="7" t="s">
        <v>6</v>
      </c>
      <c r="M8" s="8" t="s">
        <v>11</v>
      </c>
      <c r="N8" s="37">
        <v>1</v>
      </c>
      <c r="O8" s="7" t="s">
        <v>6</v>
      </c>
    </row>
    <row r="9" spans="1:15">
      <c r="A9" s="8" t="s">
        <v>12</v>
      </c>
      <c r="B9" s="37">
        <v>1</v>
      </c>
      <c r="C9" s="7" t="s">
        <v>6</v>
      </c>
      <c r="D9" s="8" t="s">
        <v>12</v>
      </c>
      <c r="E9" s="37">
        <v>1</v>
      </c>
      <c r="F9" s="7" t="s">
        <v>6</v>
      </c>
      <c r="G9" s="8" t="s">
        <v>12</v>
      </c>
      <c r="H9" s="37">
        <v>1</v>
      </c>
      <c r="I9" s="7" t="s">
        <v>6</v>
      </c>
      <c r="J9" s="8" t="s">
        <v>12</v>
      </c>
      <c r="K9" s="37">
        <v>1</v>
      </c>
      <c r="L9" s="7" t="s">
        <v>6</v>
      </c>
      <c r="M9" s="8" t="s">
        <v>12</v>
      </c>
      <c r="N9" s="37">
        <v>1</v>
      </c>
      <c r="O9" s="7" t="s">
        <v>6</v>
      </c>
    </row>
    <row r="10" spans="1:15">
      <c r="A10" s="60" t="s">
        <v>381</v>
      </c>
      <c r="B10" s="40"/>
      <c r="C10" s="40"/>
      <c r="D10" s="60" t="s">
        <v>381</v>
      </c>
      <c r="E10" s="40"/>
      <c r="F10" s="40"/>
      <c r="G10" s="60" t="s">
        <v>381</v>
      </c>
      <c r="H10" s="40"/>
      <c r="I10" s="40"/>
      <c r="J10" s="60" t="s">
        <v>381</v>
      </c>
      <c r="K10" s="40"/>
      <c r="L10" s="40"/>
      <c r="M10" s="60" t="s">
        <v>381</v>
      </c>
      <c r="N10" s="40"/>
      <c r="O10" s="40"/>
    </row>
    <row r="11" spans="1:15">
      <c r="A11" s="58" t="s">
        <v>17</v>
      </c>
      <c r="B11" s="59">
        <v>14</v>
      </c>
      <c r="C11" s="62" t="s">
        <v>13</v>
      </c>
      <c r="D11" s="58" t="s">
        <v>17</v>
      </c>
      <c r="E11" s="59">
        <v>14</v>
      </c>
      <c r="F11" s="62" t="s">
        <v>13</v>
      </c>
      <c r="G11" s="58" t="s">
        <v>174</v>
      </c>
      <c r="H11" s="59">
        <v>14</v>
      </c>
      <c r="I11" s="62" t="s">
        <v>13</v>
      </c>
      <c r="J11" s="58" t="s">
        <v>174</v>
      </c>
      <c r="K11" s="59">
        <v>14</v>
      </c>
      <c r="L11" s="62" t="s">
        <v>13</v>
      </c>
      <c r="M11" s="58" t="s">
        <v>17</v>
      </c>
      <c r="N11" s="59">
        <v>14</v>
      </c>
      <c r="O11" s="62" t="s">
        <v>13</v>
      </c>
    </row>
    <row r="12" spans="1:15">
      <c r="A12" s="58" t="s">
        <v>18</v>
      </c>
      <c r="B12" s="59">
        <v>1</v>
      </c>
      <c r="C12" s="62" t="s">
        <v>13</v>
      </c>
      <c r="D12" s="58" t="s">
        <v>18</v>
      </c>
      <c r="E12" s="59">
        <v>1</v>
      </c>
      <c r="F12" s="62" t="s">
        <v>13</v>
      </c>
      <c r="G12" s="58"/>
      <c r="H12" s="59"/>
      <c r="I12" s="62" t="s">
        <v>13</v>
      </c>
      <c r="J12" s="58"/>
      <c r="K12" s="59"/>
      <c r="L12" s="62" t="s">
        <v>13</v>
      </c>
      <c r="M12" s="58" t="s">
        <v>18</v>
      </c>
      <c r="N12" s="59">
        <v>1</v>
      </c>
      <c r="O12" s="62" t="s">
        <v>13</v>
      </c>
    </row>
    <row r="13" spans="1:15">
      <c r="A13" s="61" t="s">
        <v>175</v>
      </c>
      <c r="B13" s="40"/>
      <c r="C13" s="40"/>
      <c r="D13" s="61" t="s">
        <v>175</v>
      </c>
      <c r="E13" s="40"/>
      <c r="F13" s="40"/>
      <c r="G13" s="61" t="s">
        <v>175</v>
      </c>
      <c r="H13" s="40"/>
      <c r="I13" s="40"/>
      <c r="J13" s="61" t="s">
        <v>175</v>
      </c>
      <c r="K13" s="40"/>
      <c r="L13" s="40"/>
      <c r="M13" s="61" t="s">
        <v>175</v>
      </c>
      <c r="N13" s="40"/>
      <c r="O13" s="40"/>
    </row>
    <row r="14" spans="1:15">
      <c r="A14" s="9" t="s">
        <v>240</v>
      </c>
      <c r="B14" s="12">
        <v>8</v>
      </c>
      <c r="C14" s="11" t="s">
        <v>13</v>
      </c>
      <c r="D14" s="9" t="s">
        <v>393</v>
      </c>
      <c r="E14" s="12">
        <v>20</v>
      </c>
      <c r="F14" s="11" t="s">
        <v>65</v>
      </c>
      <c r="G14" s="9" t="s">
        <v>270</v>
      </c>
      <c r="H14" s="12">
        <v>40</v>
      </c>
      <c r="I14" s="11" t="s">
        <v>13</v>
      </c>
      <c r="J14" s="9" t="s">
        <v>240</v>
      </c>
      <c r="K14" s="12">
        <v>8</v>
      </c>
      <c r="L14" s="11" t="s">
        <v>13</v>
      </c>
      <c r="M14" s="9" t="s">
        <v>240</v>
      </c>
      <c r="N14" s="12">
        <v>8</v>
      </c>
      <c r="O14" s="11" t="s">
        <v>13</v>
      </c>
    </row>
    <row r="15" spans="1:15">
      <c r="A15" s="9" t="s">
        <v>176</v>
      </c>
      <c r="B15" s="12">
        <v>20</v>
      </c>
      <c r="C15" s="11" t="s">
        <v>13</v>
      </c>
      <c r="D15" s="9" t="s">
        <v>227</v>
      </c>
      <c r="E15" s="12">
        <v>1</v>
      </c>
      <c r="F15" s="11" t="s">
        <v>236</v>
      </c>
      <c r="G15" s="9" t="s">
        <v>271</v>
      </c>
      <c r="H15" s="12">
        <v>30</v>
      </c>
      <c r="I15" s="11" t="s">
        <v>13</v>
      </c>
      <c r="J15" s="9" t="s">
        <v>176</v>
      </c>
      <c r="K15" s="12">
        <v>20</v>
      </c>
      <c r="L15" s="11" t="s">
        <v>13</v>
      </c>
      <c r="M15" s="9" t="s">
        <v>176</v>
      </c>
      <c r="N15" s="12">
        <v>20</v>
      </c>
      <c r="O15" s="11" t="s">
        <v>13</v>
      </c>
    </row>
    <row r="16" spans="1:15">
      <c r="A16" s="9" t="s">
        <v>177</v>
      </c>
      <c r="B16" s="12">
        <v>20</v>
      </c>
      <c r="C16" s="11" t="s">
        <v>13</v>
      </c>
      <c r="D16" s="9" t="s">
        <v>240</v>
      </c>
      <c r="E16" s="12">
        <v>1</v>
      </c>
      <c r="F16" s="11" t="s">
        <v>6</v>
      </c>
      <c r="G16" s="9" t="s">
        <v>272</v>
      </c>
      <c r="H16" s="12">
        <v>10</v>
      </c>
      <c r="I16" s="11" t="s">
        <v>13</v>
      </c>
      <c r="J16" s="9" t="s">
        <v>177</v>
      </c>
      <c r="K16" s="12">
        <v>20</v>
      </c>
      <c r="L16" s="11" t="s">
        <v>13</v>
      </c>
      <c r="M16" s="9" t="s">
        <v>177</v>
      </c>
      <c r="N16" s="12">
        <v>20</v>
      </c>
      <c r="O16" s="11" t="s">
        <v>13</v>
      </c>
    </row>
    <row r="17" spans="1:15">
      <c r="A17" s="9" t="s">
        <v>178</v>
      </c>
      <c r="B17" s="12">
        <v>20</v>
      </c>
      <c r="C17" s="11" t="s">
        <v>13</v>
      </c>
      <c r="D17" s="9" t="s">
        <v>261</v>
      </c>
      <c r="E17" s="12">
        <v>3</v>
      </c>
      <c r="F17" s="11" t="s">
        <v>6</v>
      </c>
      <c r="G17" s="9"/>
      <c r="H17" s="12"/>
      <c r="I17" s="11"/>
      <c r="J17" s="9" t="s">
        <v>178</v>
      </c>
      <c r="K17" s="12">
        <v>20</v>
      </c>
      <c r="L17" s="11" t="s">
        <v>13</v>
      </c>
      <c r="M17" s="9" t="s">
        <v>178</v>
      </c>
      <c r="N17" s="12">
        <v>20</v>
      </c>
      <c r="O17" s="11" t="s">
        <v>13</v>
      </c>
    </row>
    <row r="18" spans="1:15">
      <c r="A18" s="9" t="s">
        <v>179</v>
      </c>
      <c r="B18" s="12" t="s">
        <v>180</v>
      </c>
      <c r="C18" s="11" t="s">
        <v>13</v>
      </c>
      <c r="D18" s="9" t="s">
        <v>37</v>
      </c>
      <c r="E18" s="12">
        <v>30</v>
      </c>
      <c r="F18" s="11" t="s">
        <v>13</v>
      </c>
      <c r="G18" s="9"/>
      <c r="H18" s="12"/>
      <c r="I18" s="11"/>
      <c r="J18" s="9" t="s">
        <v>179</v>
      </c>
      <c r="K18" s="12" t="s">
        <v>180</v>
      </c>
      <c r="L18" s="11" t="s">
        <v>13</v>
      </c>
      <c r="M18" s="9" t="s">
        <v>179</v>
      </c>
      <c r="N18" s="12" t="s">
        <v>180</v>
      </c>
      <c r="O18" s="11" t="s">
        <v>13</v>
      </c>
    </row>
    <row r="19" spans="1:15">
      <c r="A19" s="9" t="s">
        <v>181</v>
      </c>
      <c r="B19" s="12">
        <v>45</v>
      </c>
      <c r="C19" s="11" t="s">
        <v>13</v>
      </c>
      <c r="D19" s="9" t="s">
        <v>241</v>
      </c>
      <c r="E19" s="12">
        <v>1</v>
      </c>
      <c r="F19" s="11" t="s">
        <v>6</v>
      </c>
      <c r="G19" s="9"/>
      <c r="H19" s="12"/>
      <c r="I19" s="11"/>
      <c r="J19" s="9" t="s">
        <v>181</v>
      </c>
      <c r="K19" s="12">
        <v>45</v>
      </c>
      <c r="L19" s="11" t="s">
        <v>13</v>
      </c>
      <c r="M19" s="9" t="s">
        <v>181</v>
      </c>
      <c r="N19" s="12">
        <v>45</v>
      </c>
      <c r="O19" s="11" t="s">
        <v>13</v>
      </c>
    </row>
    <row r="20" spans="1:15">
      <c r="A20" s="12"/>
      <c r="B20" s="12"/>
      <c r="C20" s="11"/>
      <c r="D20" s="9"/>
      <c r="E20" s="12"/>
      <c r="F20" s="11"/>
      <c r="G20" s="9"/>
      <c r="H20" s="12"/>
      <c r="I20" s="11"/>
      <c r="J20" s="9"/>
      <c r="K20" s="12"/>
      <c r="L20" s="11"/>
      <c r="M20" s="9"/>
      <c r="N20" s="12"/>
      <c r="O20" s="11"/>
    </row>
    <row r="21" spans="1:15">
      <c r="A21" s="12"/>
      <c r="B21" s="12"/>
      <c r="C21" s="11"/>
      <c r="D21" s="9"/>
      <c r="E21" s="12"/>
      <c r="F21" s="11"/>
      <c r="G21" s="9"/>
      <c r="H21" s="12"/>
      <c r="I21" s="11"/>
      <c r="J21" s="9"/>
      <c r="K21" s="12"/>
      <c r="L21" s="11"/>
      <c r="M21" s="9"/>
      <c r="N21" s="12"/>
      <c r="O21" s="11"/>
    </row>
    <row r="22" spans="1:15">
      <c r="A22" s="12"/>
      <c r="B22" s="12"/>
      <c r="C22" s="11"/>
      <c r="D22" s="9"/>
      <c r="E22" s="12"/>
      <c r="F22" s="11"/>
      <c r="G22" s="9"/>
      <c r="H22" s="12"/>
      <c r="I22" s="11"/>
      <c r="J22" s="9"/>
      <c r="K22" s="12"/>
      <c r="L22" s="11"/>
      <c r="M22" s="9"/>
      <c r="N22" s="12"/>
      <c r="O22" s="11"/>
    </row>
    <row r="23" spans="1:15">
      <c r="A23" s="5" t="s">
        <v>182</v>
      </c>
      <c r="B23" s="40"/>
      <c r="C23" s="40"/>
      <c r="D23" s="5" t="s">
        <v>182</v>
      </c>
      <c r="E23" s="40"/>
      <c r="F23" s="40"/>
      <c r="G23" s="5" t="s">
        <v>182</v>
      </c>
      <c r="H23" s="40"/>
      <c r="I23" s="40"/>
      <c r="J23" s="5" t="s">
        <v>182</v>
      </c>
      <c r="K23" s="40"/>
      <c r="L23" s="40"/>
      <c r="M23" s="5" t="s">
        <v>182</v>
      </c>
      <c r="N23" s="40"/>
      <c r="O23" s="40"/>
    </row>
    <row r="24" spans="1:15">
      <c r="A24" s="9" t="s">
        <v>183</v>
      </c>
      <c r="B24" s="12">
        <v>90</v>
      </c>
      <c r="C24" s="11" t="s">
        <v>13</v>
      </c>
      <c r="D24" s="9" t="s">
        <v>184</v>
      </c>
      <c r="E24" s="12">
        <v>90</v>
      </c>
      <c r="F24" s="11" t="s">
        <v>13</v>
      </c>
      <c r="G24" s="9" t="s">
        <v>282</v>
      </c>
      <c r="H24" s="12">
        <v>90</v>
      </c>
      <c r="I24" s="11" t="s">
        <v>13</v>
      </c>
      <c r="J24" s="9" t="s">
        <v>183</v>
      </c>
      <c r="K24" s="12">
        <v>90</v>
      </c>
      <c r="L24" s="11" t="s">
        <v>13</v>
      </c>
      <c r="M24" s="9" t="s">
        <v>284</v>
      </c>
      <c r="N24" s="12" t="s">
        <v>423</v>
      </c>
      <c r="O24" s="11" t="s">
        <v>108</v>
      </c>
    </row>
    <row r="25" spans="1:15">
      <c r="A25" s="9" t="s">
        <v>312</v>
      </c>
      <c r="B25" s="12">
        <v>60</v>
      </c>
      <c r="C25" s="11" t="s">
        <v>13</v>
      </c>
      <c r="D25" s="9" t="s">
        <v>185</v>
      </c>
      <c r="E25" s="12">
        <v>20</v>
      </c>
      <c r="F25" s="11" t="s">
        <v>13</v>
      </c>
      <c r="G25" s="9" t="s">
        <v>287</v>
      </c>
      <c r="H25" s="12">
        <v>45</v>
      </c>
      <c r="I25" s="11" t="s">
        <v>13</v>
      </c>
      <c r="J25" s="9" t="s">
        <v>312</v>
      </c>
      <c r="K25" s="12">
        <v>60</v>
      </c>
      <c r="L25" s="11" t="s">
        <v>13</v>
      </c>
      <c r="M25" s="9" t="s">
        <v>285</v>
      </c>
      <c r="N25" s="12">
        <v>75</v>
      </c>
      <c r="O25" s="11" t="s">
        <v>13</v>
      </c>
    </row>
    <row r="26" spans="1:15">
      <c r="A26" s="9" t="s">
        <v>287</v>
      </c>
      <c r="B26" s="12">
        <v>60</v>
      </c>
      <c r="C26" s="11" t="s">
        <v>13</v>
      </c>
      <c r="D26" s="9" t="s">
        <v>186</v>
      </c>
      <c r="E26" s="12">
        <v>60</v>
      </c>
      <c r="F26" s="11" t="s">
        <v>13</v>
      </c>
      <c r="G26" s="9" t="s">
        <v>283</v>
      </c>
      <c r="H26" s="12">
        <v>15</v>
      </c>
      <c r="I26" s="11" t="s">
        <v>13</v>
      </c>
      <c r="J26" s="9" t="s">
        <v>287</v>
      </c>
      <c r="K26" s="12">
        <v>60</v>
      </c>
      <c r="L26" s="11" t="s">
        <v>13</v>
      </c>
      <c r="M26" s="9" t="s">
        <v>306</v>
      </c>
      <c r="N26" s="12">
        <v>15</v>
      </c>
      <c r="O26" s="11" t="s">
        <v>13</v>
      </c>
    </row>
    <row r="27" spans="1:15">
      <c r="A27" s="9" t="s">
        <v>353</v>
      </c>
      <c r="B27" s="12">
        <v>30</v>
      </c>
      <c r="C27" s="11" t="s">
        <v>13</v>
      </c>
      <c r="D27" s="9" t="s">
        <v>187</v>
      </c>
      <c r="E27" s="12">
        <v>30</v>
      </c>
      <c r="F27" s="11" t="s">
        <v>13</v>
      </c>
      <c r="G27" s="9" t="s">
        <v>288</v>
      </c>
      <c r="H27" s="12">
        <v>75</v>
      </c>
      <c r="I27" s="11" t="s">
        <v>13</v>
      </c>
      <c r="J27" s="9" t="s">
        <v>353</v>
      </c>
      <c r="K27" s="12">
        <v>30</v>
      </c>
      <c r="L27" s="11" t="s">
        <v>13</v>
      </c>
      <c r="M27" s="9" t="s">
        <v>289</v>
      </c>
      <c r="N27" s="12">
        <v>20</v>
      </c>
      <c r="O27" s="11" t="s">
        <v>13</v>
      </c>
    </row>
    <row r="28" spans="1:15">
      <c r="A28" s="9"/>
      <c r="B28" s="12"/>
      <c r="C28" s="11"/>
      <c r="D28" s="9" t="s">
        <v>188</v>
      </c>
      <c r="E28" s="12">
        <v>10</v>
      </c>
      <c r="F28" s="11" t="s">
        <v>13</v>
      </c>
      <c r="G28" s="9"/>
      <c r="H28" s="26"/>
      <c r="I28" s="27"/>
      <c r="J28" s="9"/>
      <c r="K28" s="12"/>
      <c r="L28" s="11"/>
      <c r="M28" s="9" t="s">
        <v>307</v>
      </c>
      <c r="N28" s="12">
        <v>40</v>
      </c>
      <c r="O28" s="11" t="s">
        <v>13</v>
      </c>
    </row>
    <row r="29" spans="1:15" ht="17.25" customHeight="1">
      <c r="A29" s="9"/>
      <c r="B29" s="12"/>
      <c r="C29" s="11"/>
      <c r="D29" s="9"/>
      <c r="E29" s="12"/>
      <c r="F29" s="11"/>
      <c r="G29" s="9"/>
      <c r="H29" s="26"/>
      <c r="I29" s="27"/>
      <c r="J29" s="9"/>
      <c r="K29" s="12"/>
      <c r="L29" s="11"/>
      <c r="M29" s="9"/>
      <c r="N29" s="12"/>
      <c r="O29" s="11"/>
    </row>
    <row r="30" spans="1:15">
      <c r="A30" s="5" t="s">
        <v>383</v>
      </c>
      <c r="B30" s="40"/>
      <c r="C30" s="40"/>
      <c r="D30" s="5" t="s">
        <v>383</v>
      </c>
      <c r="E30" s="40"/>
      <c r="F30" s="40"/>
      <c r="G30" s="5" t="s">
        <v>383</v>
      </c>
      <c r="H30" s="40"/>
      <c r="I30" s="40"/>
      <c r="J30" s="5" t="s">
        <v>383</v>
      </c>
      <c r="K30" s="40"/>
      <c r="L30" s="40"/>
      <c r="M30" s="5" t="s">
        <v>383</v>
      </c>
      <c r="N30" s="40"/>
      <c r="O30" s="40"/>
    </row>
    <row r="31" spans="1:15">
      <c r="A31" s="80" t="s">
        <v>293</v>
      </c>
      <c r="B31" s="12">
        <v>20</v>
      </c>
      <c r="C31" s="11" t="s">
        <v>13</v>
      </c>
      <c r="D31" s="9" t="s">
        <v>293</v>
      </c>
      <c r="E31" s="12">
        <v>20</v>
      </c>
      <c r="F31" s="11" t="s">
        <v>13</v>
      </c>
      <c r="G31" s="9"/>
      <c r="H31" s="12"/>
      <c r="I31" s="11"/>
      <c r="J31" s="9"/>
      <c r="K31" s="12"/>
      <c r="L31" s="11"/>
      <c r="M31" s="9" t="s">
        <v>293</v>
      </c>
      <c r="N31" s="12">
        <v>20</v>
      </c>
      <c r="O31" s="11" t="s">
        <v>13</v>
      </c>
    </row>
    <row r="32" spans="1:15">
      <c r="A32" s="80" t="s">
        <v>294</v>
      </c>
      <c r="B32" s="12">
        <v>20</v>
      </c>
      <c r="C32" s="11" t="s">
        <v>13</v>
      </c>
      <c r="D32" s="9" t="s">
        <v>294</v>
      </c>
      <c r="E32" s="12">
        <v>20</v>
      </c>
      <c r="F32" s="11" t="s">
        <v>13</v>
      </c>
      <c r="G32" s="9"/>
      <c r="H32" s="12"/>
      <c r="I32" s="11"/>
      <c r="J32" s="9"/>
      <c r="K32" s="12"/>
      <c r="L32" s="11"/>
      <c r="M32" s="9" t="s">
        <v>294</v>
      </c>
      <c r="N32" s="12">
        <v>20</v>
      </c>
      <c r="O32" s="11" t="s">
        <v>13</v>
      </c>
    </row>
    <row r="33" spans="1:15">
      <c r="A33" s="5" t="s">
        <v>384</v>
      </c>
      <c r="B33" s="40"/>
      <c r="C33" s="40"/>
      <c r="D33" s="5" t="s">
        <v>384</v>
      </c>
      <c r="E33" s="40"/>
      <c r="F33" s="40"/>
      <c r="G33" s="5" t="s">
        <v>384</v>
      </c>
      <c r="H33" s="40"/>
      <c r="I33" s="40"/>
      <c r="J33" s="5" t="s">
        <v>384</v>
      </c>
      <c r="K33" s="40"/>
      <c r="L33" s="40"/>
      <c r="M33" s="5" t="s">
        <v>384</v>
      </c>
      <c r="N33" s="40"/>
      <c r="O33" s="40"/>
    </row>
    <row r="34" spans="1:15">
      <c r="A34" s="9" t="s">
        <v>295</v>
      </c>
      <c r="B34" s="12">
        <v>45</v>
      </c>
      <c r="C34" s="11" t="s">
        <v>13</v>
      </c>
      <c r="D34" s="9" t="s">
        <v>295</v>
      </c>
      <c r="E34" s="12">
        <v>45</v>
      </c>
      <c r="F34" s="11" t="s">
        <v>13</v>
      </c>
      <c r="G34" s="9" t="s">
        <v>260</v>
      </c>
      <c r="H34" s="12">
        <v>15</v>
      </c>
      <c r="I34" s="11" t="s">
        <v>13</v>
      </c>
      <c r="J34" s="9" t="s">
        <v>260</v>
      </c>
      <c r="K34" s="12">
        <v>15</v>
      </c>
      <c r="L34" s="11" t="s">
        <v>13</v>
      </c>
      <c r="M34" s="9" t="s">
        <v>295</v>
      </c>
      <c r="N34" s="12">
        <v>45</v>
      </c>
      <c r="O34" s="11" t="s">
        <v>13</v>
      </c>
    </row>
    <row r="35" spans="1:15">
      <c r="A35" s="9" t="s">
        <v>323</v>
      </c>
      <c r="B35" s="12">
        <v>3</v>
      </c>
      <c r="C35" s="11" t="s">
        <v>13</v>
      </c>
      <c r="D35" s="9" t="s">
        <v>323</v>
      </c>
      <c r="E35" s="12">
        <v>3</v>
      </c>
      <c r="F35" s="11" t="s">
        <v>13</v>
      </c>
      <c r="G35" s="9" t="s">
        <v>259</v>
      </c>
      <c r="H35" s="12">
        <v>30</v>
      </c>
      <c r="I35" s="11" t="s">
        <v>13</v>
      </c>
      <c r="J35" s="9" t="s">
        <v>259</v>
      </c>
      <c r="K35" s="12">
        <v>30</v>
      </c>
      <c r="L35" s="11" t="s">
        <v>13</v>
      </c>
      <c r="M35" s="9" t="s">
        <v>323</v>
      </c>
      <c r="N35" s="12">
        <v>3</v>
      </c>
      <c r="O35" s="11" t="s">
        <v>13</v>
      </c>
    </row>
    <row r="36" spans="1:15">
      <c r="A36" s="9"/>
      <c r="B36" s="12"/>
      <c r="C36" s="11"/>
      <c r="D36" s="9"/>
      <c r="E36" s="12"/>
      <c r="F36" s="11"/>
      <c r="G36" s="9" t="s">
        <v>258</v>
      </c>
      <c r="H36" s="12">
        <v>20</v>
      </c>
      <c r="I36" s="11" t="s">
        <v>13</v>
      </c>
      <c r="J36" s="9" t="s">
        <v>258</v>
      </c>
      <c r="K36" s="12">
        <v>20</v>
      </c>
      <c r="L36" s="11" t="s">
        <v>13</v>
      </c>
      <c r="M36" s="9"/>
      <c r="N36" s="12"/>
      <c r="O36" s="11"/>
    </row>
    <row r="37" spans="1:15">
      <c r="A37" s="5" t="s">
        <v>385</v>
      </c>
      <c r="B37" s="40"/>
      <c r="C37" s="40"/>
      <c r="D37" s="5" t="s">
        <v>385</v>
      </c>
      <c r="E37" s="40"/>
      <c r="F37" s="40"/>
      <c r="G37" s="5" t="s">
        <v>385</v>
      </c>
      <c r="H37" s="40"/>
      <c r="I37" s="40"/>
      <c r="J37" s="5" t="s">
        <v>385</v>
      </c>
      <c r="K37" s="40"/>
      <c r="L37" s="40"/>
      <c r="M37" s="5" t="s">
        <v>385</v>
      </c>
      <c r="N37" s="40"/>
      <c r="O37" s="40"/>
    </row>
    <row r="38" spans="1:15">
      <c r="A38" s="9" t="s">
        <v>296</v>
      </c>
      <c r="B38" s="12">
        <v>200</v>
      </c>
      <c r="C38" s="11" t="s">
        <v>13</v>
      </c>
      <c r="D38" s="9" t="s">
        <v>296</v>
      </c>
      <c r="E38" s="12">
        <v>200</v>
      </c>
      <c r="F38" s="11" t="s">
        <v>13</v>
      </c>
      <c r="G38" s="9" t="s">
        <v>296</v>
      </c>
      <c r="H38" s="12">
        <v>200</v>
      </c>
      <c r="I38" s="11" t="s">
        <v>13</v>
      </c>
      <c r="J38" s="9" t="s">
        <v>296</v>
      </c>
      <c r="K38" s="12">
        <v>200</v>
      </c>
      <c r="L38" s="11" t="s">
        <v>13</v>
      </c>
      <c r="M38" s="9" t="s">
        <v>296</v>
      </c>
      <c r="N38" s="12">
        <v>200</v>
      </c>
      <c r="O38" s="11" t="s">
        <v>13</v>
      </c>
    </row>
    <row r="39" spans="1:15">
      <c r="A39" s="5" t="s">
        <v>388</v>
      </c>
      <c r="B39" s="40"/>
      <c r="C39" s="40"/>
      <c r="D39" s="5" t="s">
        <v>392</v>
      </c>
      <c r="E39" s="40"/>
      <c r="F39" s="40"/>
      <c r="G39" s="5" t="s">
        <v>392</v>
      </c>
      <c r="H39" s="40"/>
      <c r="I39" s="40"/>
      <c r="J39" s="5" t="s">
        <v>388</v>
      </c>
      <c r="K39" s="40"/>
      <c r="L39" s="40"/>
      <c r="M39" s="5" t="s">
        <v>388</v>
      </c>
      <c r="N39" s="40"/>
      <c r="O39" s="40"/>
    </row>
    <row r="40" spans="1:15">
      <c r="A40" s="9" t="s">
        <v>44</v>
      </c>
      <c r="B40" s="12">
        <v>30</v>
      </c>
      <c r="C40" s="11" t="s">
        <v>13</v>
      </c>
      <c r="D40" s="9" t="s">
        <v>44</v>
      </c>
      <c r="E40" s="12">
        <v>30</v>
      </c>
      <c r="F40" s="11" t="s">
        <v>13</v>
      </c>
      <c r="G40" s="9" t="s">
        <v>189</v>
      </c>
      <c r="H40" s="12">
        <v>30</v>
      </c>
      <c r="I40" s="11" t="s">
        <v>142</v>
      </c>
      <c r="J40" s="9" t="s">
        <v>242</v>
      </c>
      <c r="K40" s="12">
        <v>30</v>
      </c>
      <c r="L40" s="11" t="s">
        <v>13</v>
      </c>
      <c r="M40" s="9" t="s">
        <v>44</v>
      </c>
      <c r="N40" s="12">
        <v>30</v>
      </c>
      <c r="O40" s="11" t="s">
        <v>13</v>
      </c>
    </row>
    <row r="41" spans="1:15">
      <c r="A41" s="9" t="s">
        <v>46</v>
      </c>
      <c r="B41" s="12">
        <v>40</v>
      </c>
      <c r="C41" s="11" t="s">
        <v>13</v>
      </c>
      <c r="D41" s="9" t="s">
        <v>46</v>
      </c>
      <c r="E41" s="12">
        <v>40</v>
      </c>
      <c r="F41" s="11" t="s">
        <v>13</v>
      </c>
      <c r="G41" s="9"/>
      <c r="H41" s="12"/>
      <c r="I41" s="11"/>
      <c r="J41" s="9" t="s">
        <v>46</v>
      </c>
      <c r="K41" s="12">
        <v>40</v>
      </c>
      <c r="L41" s="11" t="s">
        <v>13</v>
      </c>
      <c r="M41" s="9" t="s">
        <v>46</v>
      </c>
      <c r="N41" s="12">
        <v>40</v>
      </c>
      <c r="O41" s="11" t="s">
        <v>13</v>
      </c>
    </row>
    <row r="42" spans="1:15">
      <c r="A42" s="5" t="s">
        <v>386</v>
      </c>
      <c r="B42" s="40"/>
      <c r="C42" s="40"/>
      <c r="D42" s="5" t="s">
        <v>386</v>
      </c>
      <c r="E42" s="40"/>
      <c r="F42" s="40"/>
      <c r="G42" s="5" t="s">
        <v>386</v>
      </c>
      <c r="H42" s="40"/>
      <c r="I42" s="40"/>
      <c r="J42" s="5" t="s">
        <v>386</v>
      </c>
      <c r="K42" s="40"/>
      <c r="L42" s="40"/>
      <c r="M42" s="5" t="s">
        <v>386</v>
      </c>
      <c r="N42" s="40"/>
      <c r="O42" s="40"/>
    </row>
    <row r="43" spans="1:15">
      <c r="A43" s="9" t="s">
        <v>47</v>
      </c>
      <c r="B43" s="12">
        <v>500</v>
      </c>
      <c r="C43" s="11" t="s">
        <v>13</v>
      </c>
      <c r="D43" s="9" t="s">
        <v>47</v>
      </c>
      <c r="E43" s="12">
        <v>500</v>
      </c>
      <c r="F43" s="11" t="s">
        <v>13</v>
      </c>
      <c r="G43" s="9"/>
      <c r="H43" s="12"/>
      <c r="I43" s="11"/>
      <c r="J43" s="9" t="s">
        <v>47</v>
      </c>
      <c r="K43" s="12">
        <v>500</v>
      </c>
      <c r="L43" s="11" t="s">
        <v>13</v>
      </c>
      <c r="M43" s="9" t="s">
        <v>47</v>
      </c>
      <c r="N43" s="12">
        <v>500</v>
      </c>
      <c r="O43" s="11" t="s">
        <v>13</v>
      </c>
    </row>
    <row r="44" spans="1:15">
      <c r="A44" s="5" t="s">
        <v>387</v>
      </c>
      <c r="B44" s="40"/>
      <c r="C44" s="40"/>
      <c r="D44" s="5" t="s">
        <v>395</v>
      </c>
      <c r="E44" s="40"/>
      <c r="F44" s="40"/>
      <c r="G44" s="5" t="s">
        <v>387</v>
      </c>
      <c r="H44" s="40"/>
      <c r="I44" s="40"/>
      <c r="J44" s="5" t="s">
        <v>387</v>
      </c>
      <c r="K44" s="40"/>
      <c r="L44" s="40"/>
      <c r="M44" s="5" t="s">
        <v>387</v>
      </c>
      <c r="N44" s="40"/>
      <c r="O44" s="40"/>
    </row>
    <row r="45" spans="1:15">
      <c r="A45" s="42" t="s">
        <v>55</v>
      </c>
      <c r="B45" s="43">
        <v>1</v>
      </c>
      <c r="C45" s="44" t="s">
        <v>6</v>
      </c>
      <c r="D45" s="42" t="s">
        <v>55</v>
      </c>
      <c r="E45" s="43">
        <v>1</v>
      </c>
      <c r="F45" s="44" t="s">
        <v>6</v>
      </c>
      <c r="G45" s="42" t="s">
        <v>55</v>
      </c>
      <c r="H45" s="43">
        <v>1</v>
      </c>
      <c r="I45" s="44" t="s">
        <v>6</v>
      </c>
      <c r="J45" s="42" t="s">
        <v>55</v>
      </c>
      <c r="K45" s="43">
        <v>1</v>
      </c>
      <c r="L45" s="44" t="s">
        <v>6</v>
      </c>
      <c r="M45" s="42" t="s">
        <v>55</v>
      </c>
      <c r="N45" s="43">
        <v>1</v>
      </c>
      <c r="O45" s="44" t="s">
        <v>6</v>
      </c>
    </row>
    <row r="46" spans="1:15">
      <c r="A46" s="42" t="s">
        <v>56</v>
      </c>
      <c r="B46" s="43">
        <v>1</v>
      </c>
      <c r="C46" s="44" t="s">
        <v>6</v>
      </c>
      <c r="D46" s="42" t="s">
        <v>56</v>
      </c>
      <c r="E46" s="43">
        <v>1</v>
      </c>
      <c r="F46" s="44" t="s">
        <v>6</v>
      </c>
      <c r="G46" s="42" t="s">
        <v>56</v>
      </c>
      <c r="H46" s="43">
        <v>1</v>
      </c>
      <c r="I46" s="44" t="s">
        <v>6</v>
      </c>
      <c r="J46" s="42" t="s">
        <v>56</v>
      </c>
      <c r="K46" s="43">
        <v>1</v>
      </c>
      <c r="L46" s="44" t="s">
        <v>6</v>
      </c>
      <c r="M46" s="42" t="s">
        <v>56</v>
      </c>
      <c r="N46" s="43">
        <v>1</v>
      </c>
      <c r="O46" s="44" t="s">
        <v>6</v>
      </c>
    </row>
    <row r="47" spans="1:15">
      <c r="A47" s="42" t="s">
        <v>57</v>
      </c>
      <c r="B47" s="43">
        <v>1</v>
      </c>
      <c r="C47" s="44" t="s">
        <v>6</v>
      </c>
      <c r="D47" s="42" t="s">
        <v>57</v>
      </c>
      <c r="E47" s="43">
        <v>1</v>
      </c>
      <c r="F47" s="44" t="s">
        <v>6</v>
      </c>
      <c r="G47" s="42" t="s">
        <v>57</v>
      </c>
      <c r="H47" s="43">
        <v>1</v>
      </c>
      <c r="I47" s="44" t="s">
        <v>6</v>
      </c>
      <c r="J47" s="42" t="s">
        <v>57</v>
      </c>
      <c r="K47" s="43">
        <v>1</v>
      </c>
      <c r="L47" s="44" t="s">
        <v>6</v>
      </c>
      <c r="M47" s="42" t="s">
        <v>57</v>
      </c>
      <c r="N47" s="43">
        <v>1</v>
      </c>
      <c r="O47" s="44" t="s">
        <v>6</v>
      </c>
    </row>
    <row r="48" spans="1:15">
      <c r="A48" s="42" t="s">
        <v>58</v>
      </c>
      <c r="B48" s="43">
        <v>1</v>
      </c>
      <c r="C48" s="44" t="s">
        <v>6</v>
      </c>
      <c r="D48" s="42" t="s">
        <v>58</v>
      </c>
      <c r="E48" s="43">
        <v>1</v>
      </c>
      <c r="F48" s="44" t="s">
        <v>6</v>
      </c>
      <c r="G48" s="42" t="s">
        <v>58</v>
      </c>
      <c r="H48" s="43">
        <v>1</v>
      </c>
      <c r="I48" s="44" t="s">
        <v>6</v>
      </c>
      <c r="J48" s="42" t="s">
        <v>58</v>
      </c>
      <c r="K48" s="43">
        <v>1</v>
      </c>
      <c r="L48" s="44" t="s">
        <v>6</v>
      </c>
      <c r="M48" s="42" t="s">
        <v>58</v>
      </c>
      <c r="N48" s="43">
        <v>1</v>
      </c>
      <c r="O48" s="44" t="s">
        <v>6</v>
      </c>
    </row>
    <row r="49" spans="1:15">
      <c r="A49" s="42" t="s">
        <v>59</v>
      </c>
      <c r="B49" s="43">
        <v>1</v>
      </c>
      <c r="C49" s="44" t="s">
        <v>6</v>
      </c>
      <c r="D49" s="42" t="s">
        <v>59</v>
      </c>
      <c r="E49" s="43">
        <v>1</v>
      </c>
      <c r="F49" s="44" t="s">
        <v>6</v>
      </c>
      <c r="G49" s="42" t="s">
        <v>59</v>
      </c>
      <c r="H49" s="43">
        <v>1</v>
      </c>
      <c r="I49" s="44" t="s">
        <v>6</v>
      </c>
      <c r="J49" s="42" t="s">
        <v>59</v>
      </c>
      <c r="K49" s="43">
        <v>1</v>
      </c>
      <c r="L49" s="44" t="s">
        <v>6</v>
      </c>
      <c r="M49" s="42" t="s">
        <v>59</v>
      </c>
      <c r="N49" s="43">
        <v>1</v>
      </c>
      <c r="O49" s="44" t="s">
        <v>6</v>
      </c>
    </row>
    <row r="50" spans="1:15">
      <c r="A50" s="42" t="s">
        <v>60</v>
      </c>
      <c r="B50" s="43">
        <v>1</v>
      </c>
      <c r="C50" s="44" t="s">
        <v>6</v>
      </c>
      <c r="D50" s="42" t="s">
        <v>60</v>
      </c>
      <c r="E50" s="43">
        <v>1</v>
      </c>
      <c r="F50" s="44" t="s">
        <v>6</v>
      </c>
      <c r="G50" s="42" t="s">
        <v>60</v>
      </c>
      <c r="H50" s="43">
        <v>1</v>
      </c>
      <c r="I50" s="44" t="s">
        <v>6</v>
      </c>
      <c r="J50" s="42" t="s">
        <v>60</v>
      </c>
      <c r="K50" s="43">
        <v>1</v>
      </c>
      <c r="L50" s="44" t="s">
        <v>6</v>
      </c>
      <c r="M50" s="42" t="s">
        <v>60</v>
      </c>
      <c r="N50" s="43">
        <v>1</v>
      </c>
      <c r="O50" s="44" t="s">
        <v>6</v>
      </c>
    </row>
    <row r="51" spans="1:15">
      <c r="A51" s="42" t="s">
        <v>61</v>
      </c>
      <c r="B51" s="43">
        <v>1</v>
      </c>
      <c r="C51" s="44" t="s">
        <v>6</v>
      </c>
      <c r="D51" s="42" t="s">
        <v>61</v>
      </c>
      <c r="E51" s="43">
        <v>1</v>
      </c>
      <c r="F51" s="44" t="s">
        <v>6</v>
      </c>
      <c r="G51" s="42" t="s">
        <v>61</v>
      </c>
      <c r="H51" s="43">
        <v>1</v>
      </c>
      <c r="I51" s="44" t="s">
        <v>6</v>
      </c>
      <c r="J51" s="42" t="s">
        <v>61</v>
      </c>
      <c r="K51" s="43">
        <v>1</v>
      </c>
      <c r="L51" s="44" t="s">
        <v>6</v>
      </c>
      <c r="M51" s="42" t="s">
        <v>61</v>
      </c>
      <c r="N51" s="43">
        <v>1</v>
      </c>
      <c r="O51" s="44" t="s">
        <v>6</v>
      </c>
    </row>
    <row r="52" spans="1:15">
      <c r="A52" s="42" t="s">
        <v>62</v>
      </c>
      <c r="B52" s="43">
        <v>1</v>
      </c>
      <c r="C52" s="44" t="s">
        <v>6</v>
      </c>
      <c r="D52" s="42" t="s">
        <v>62</v>
      </c>
      <c r="E52" s="43">
        <v>1</v>
      </c>
      <c r="F52" s="44" t="s">
        <v>6</v>
      </c>
      <c r="G52" s="42" t="s">
        <v>62</v>
      </c>
      <c r="H52" s="43">
        <v>1</v>
      </c>
      <c r="I52" s="44" t="s">
        <v>6</v>
      </c>
      <c r="J52" s="42" t="s">
        <v>62</v>
      </c>
      <c r="K52" s="43">
        <v>1</v>
      </c>
      <c r="L52" s="44" t="s">
        <v>6</v>
      </c>
      <c r="M52" s="42" t="s">
        <v>62</v>
      </c>
      <c r="N52" s="43">
        <v>1</v>
      </c>
      <c r="O52" s="44" t="s">
        <v>6</v>
      </c>
    </row>
    <row r="53" spans="1:15">
      <c r="A53" s="45" t="s">
        <v>63</v>
      </c>
      <c r="B53" s="43">
        <v>1</v>
      </c>
      <c r="C53" s="44" t="s">
        <v>6</v>
      </c>
      <c r="D53" s="45" t="s">
        <v>63</v>
      </c>
      <c r="E53" s="43">
        <v>1</v>
      </c>
      <c r="F53" s="44" t="s">
        <v>6</v>
      </c>
      <c r="G53" s="45" t="s">
        <v>63</v>
      </c>
      <c r="H53" s="43">
        <v>1</v>
      </c>
      <c r="I53" s="44" t="s">
        <v>6</v>
      </c>
      <c r="J53" s="45" t="s">
        <v>63</v>
      </c>
      <c r="K53" s="43">
        <v>1</v>
      </c>
      <c r="L53" s="44" t="s">
        <v>6</v>
      </c>
      <c r="M53" s="45" t="s">
        <v>63</v>
      </c>
      <c r="N53" s="43">
        <v>1</v>
      </c>
      <c r="O53" s="44" t="s">
        <v>6</v>
      </c>
    </row>
    <row r="54" spans="1:15">
      <c r="A54" s="46" t="s">
        <v>64</v>
      </c>
      <c r="B54" s="47">
        <v>1</v>
      </c>
      <c r="C54" s="44" t="s">
        <v>6</v>
      </c>
      <c r="D54" s="46" t="s">
        <v>64</v>
      </c>
      <c r="E54" s="47">
        <v>1</v>
      </c>
      <c r="F54" s="44" t="s">
        <v>6</v>
      </c>
      <c r="G54" s="46" t="s">
        <v>64</v>
      </c>
      <c r="H54" s="47">
        <v>1</v>
      </c>
      <c r="I54" s="44" t="s">
        <v>6</v>
      </c>
      <c r="J54" s="46" t="s">
        <v>64</v>
      </c>
      <c r="K54" s="47">
        <v>1</v>
      </c>
      <c r="L54" s="44" t="s">
        <v>6</v>
      </c>
      <c r="M54" s="46" t="s">
        <v>64</v>
      </c>
      <c r="N54" s="47">
        <v>1</v>
      </c>
      <c r="O54" s="44" t="s">
        <v>6</v>
      </c>
    </row>
    <row r="55" spans="1:15">
      <c r="A55" s="5" t="s">
        <v>389</v>
      </c>
      <c r="B55" s="40"/>
      <c r="C55" s="40"/>
      <c r="D55" s="5" t="s">
        <v>389</v>
      </c>
      <c r="E55" s="40"/>
      <c r="F55" s="40"/>
      <c r="G55" s="5" t="s">
        <v>389</v>
      </c>
      <c r="H55" s="40"/>
      <c r="I55" s="40"/>
      <c r="J55" s="5" t="s">
        <v>389</v>
      </c>
      <c r="K55" s="40"/>
      <c r="L55" s="40"/>
      <c r="M55" s="5" t="s">
        <v>389</v>
      </c>
      <c r="N55" s="40"/>
      <c r="O55" s="40"/>
    </row>
    <row r="56" spans="1:15">
      <c r="A56" s="9" t="s">
        <v>297</v>
      </c>
      <c r="B56" s="12">
        <v>30</v>
      </c>
      <c r="C56" s="35" t="s">
        <v>65</v>
      </c>
      <c r="D56" s="34" t="s">
        <v>262</v>
      </c>
      <c r="E56" s="38">
        <v>30</v>
      </c>
      <c r="F56" s="35" t="s">
        <v>65</v>
      </c>
      <c r="G56" s="34" t="s">
        <v>244</v>
      </c>
      <c r="H56" s="38">
        <v>30</v>
      </c>
      <c r="I56" s="35" t="s">
        <v>65</v>
      </c>
      <c r="J56" s="9" t="s">
        <v>244</v>
      </c>
      <c r="K56" s="12">
        <v>30</v>
      </c>
      <c r="L56" s="11" t="s">
        <v>65</v>
      </c>
      <c r="M56" s="9" t="s">
        <v>297</v>
      </c>
      <c r="N56" s="12">
        <v>30</v>
      </c>
      <c r="O56" s="11" t="s">
        <v>65</v>
      </c>
    </row>
    <row r="57" spans="1:15">
      <c r="A57" s="9" t="s">
        <v>298</v>
      </c>
      <c r="B57" s="12" t="s">
        <v>66</v>
      </c>
      <c r="C57" s="35" t="s">
        <v>65</v>
      </c>
      <c r="D57" s="9" t="s">
        <v>347</v>
      </c>
      <c r="E57" s="12">
        <v>25</v>
      </c>
      <c r="F57" s="11" t="s">
        <v>65</v>
      </c>
      <c r="G57" s="9" t="s">
        <v>246</v>
      </c>
      <c r="H57" s="12">
        <v>25</v>
      </c>
      <c r="I57" s="11" t="s">
        <v>65</v>
      </c>
      <c r="J57" s="9" t="s">
        <v>246</v>
      </c>
      <c r="K57" s="12">
        <v>25</v>
      </c>
      <c r="L57" s="11" t="s">
        <v>65</v>
      </c>
      <c r="M57" s="9" t="s">
        <v>298</v>
      </c>
      <c r="N57" s="12">
        <v>25</v>
      </c>
      <c r="O57" s="11" t="s">
        <v>65</v>
      </c>
    </row>
    <row r="58" spans="1:15">
      <c r="A58" s="9" t="s">
        <v>396</v>
      </c>
      <c r="B58" s="12">
        <v>15</v>
      </c>
      <c r="C58" s="35" t="s">
        <v>65</v>
      </c>
      <c r="D58" s="9" t="s">
        <v>391</v>
      </c>
      <c r="E58" s="12">
        <v>20</v>
      </c>
      <c r="F58" s="11" t="s">
        <v>65</v>
      </c>
      <c r="G58" s="9" t="s">
        <v>394</v>
      </c>
      <c r="H58" s="12">
        <v>15</v>
      </c>
      <c r="I58" s="11" t="s">
        <v>65</v>
      </c>
      <c r="J58" s="9" t="s">
        <v>396</v>
      </c>
      <c r="K58" s="12">
        <v>15</v>
      </c>
      <c r="L58" s="11" t="s">
        <v>65</v>
      </c>
      <c r="M58" s="9" t="s">
        <v>396</v>
      </c>
      <c r="N58" s="12">
        <v>15</v>
      </c>
      <c r="O58" s="11" t="s">
        <v>65</v>
      </c>
    </row>
    <row r="59" spans="1:15">
      <c r="A59" s="9" t="s">
        <v>272</v>
      </c>
      <c r="B59" s="12">
        <v>10</v>
      </c>
      <c r="C59" s="35" t="s">
        <v>65</v>
      </c>
      <c r="D59" s="9" t="s">
        <v>263</v>
      </c>
      <c r="E59" s="12">
        <v>30</v>
      </c>
      <c r="F59" s="11" t="s">
        <v>65</v>
      </c>
      <c r="G59" s="9" t="s">
        <v>345</v>
      </c>
      <c r="H59" s="12">
        <v>10</v>
      </c>
      <c r="I59" s="11" t="s">
        <v>65</v>
      </c>
      <c r="J59" s="9" t="s">
        <v>272</v>
      </c>
      <c r="K59" s="12">
        <v>10</v>
      </c>
      <c r="L59" s="11" t="s">
        <v>65</v>
      </c>
      <c r="M59" s="9" t="s">
        <v>272</v>
      </c>
      <c r="N59" s="12">
        <v>10</v>
      </c>
      <c r="O59" s="11" t="s">
        <v>65</v>
      </c>
    </row>
    <row r="60" spans="1:15">
      <c r="A60" s="9" t="s">
        <v>68</v>
      </c>
      <c r="B60" s="12">
        <v>8</v>
      </c>
      <c r="C60" s="35" t="s">
        <v>65</v>
      </c>
      <c r="D60" s="9" t="s">
        <v>68</v>
      </c>
      <c r="E60" s="12">
        <v>8</v>
      </c>
      <c r="F60" s="11" t="s">
        <v>65</v>
      </c>
      <c r="G60" s="9" t="s">
        <v>68</v>
      </c>
      <c r="H60" s="12">
        <v>8</v>
      </c>
      <c r="I60" s="11" t="s">
        <v>65</v>
      </c>
      <c r="J60" s="9" t="s">
        <v>68</v>
      </c>
      <c r="K60" s="12">
        <v>8</v>
      </c>
      <c r="L60" s="11" t="s">
        <v>65</v>
      </c>
      <c r="M60" s="9" t="s">
        <v>68</v>
      </c>
      <c r="N60" s="12">
        <v>8</v>
      </c>
      <c r="O60" s="11" t="s">
        <v>65</v>
      </c>
    </row>
    <row r="61" spans="1:15">
      <c r="A61" s="34" t="s">
        <v>300</v>
      </c>
      <c r="B61" s="38" t="s">
        <v>69</v>
      </c>
      <c r="C61" s="35" t="s">
        <v>65</v>
      </c>
      <c r="D61" s="34"/>
      <c r="E61" s="38"/>
      <c r="F61" s="35"/>
      <c r="G61" s="34" t="s">
        <v>300</v>
      </c>
      <c r="H61" s="38" t="s">
        <v>69</v>
      </c>
      <c r="I61" s="35" t="s">
        <v>65</v>
      </c>
      <c r="J61" s="34" t="s">
        <v>300</v>
      </c>
      <c r="K61" s="38" t="s">
        <v>69</v>
      </c>
      <c r="L61" s="35" t="s">
        <v>65</v>
      </c>
      <c r="M61" s="34" t="s">
        <v>300</v>
      </c>
      <c r="N61" s="38" t="s">
        <v>69</v>
      </c>
      <c r="O61" s="35" t="s">
        <v>65</v>
      </c>
    </row>
    <row r="62" spans="1:15">
      <c r="A62" s="34" t="s">
        <v>299</v>
      </c>
      <c r="B62" s="38" t="s">
        <v>71</v>
      </c>
      <c r="C62" s="35" t="s">
        <v>13</v>
      </c>
      <c r="D62" s="34"/>
      <c r="E62" s="38"/>
      <c r="F62" s="35"/>
      <c r="G62" s="34" t="s">
        <v>299</v>
      </c>
      <c r="H62" s="38" t="s">
        <v>71</v>
      </c>
      <c r="I62" s="35" t="s">
        <v>13</v>
      </c>
      <c r="J62" s="34" t="s">
        <v>299</v>
      </c>
      <c r="K62" s="38" t="s">
        <v>71</v>
      </c>
      <c r="L62" s="35" t="s">
        <v>13</v>
      </c>
      <c r="M62" s="34" t="s">
        <v>299</v>
      </c>
      <c r="N62" s="38" t="s">
        <v>71</v>
      </c>
      <c r="O62" s="35" t="s">
        <v>13</v>
      </c>
    </row>
    <row r="63" spans="1:15">
      <c r="A63" s="34"/>
      <c r="B63" s="38"/>
      <c r="C63" s="35"/>
      <c r="D63" s="34"/>
      <c r="E63" s="38"/>
      <c r="F63" s="35"/>
      <c r="G63" s="34"/>
      <c r="H63" s="38"/>
      <c r="I63" s="35"/>
      <c r="J63" s="34"/>
      <c r="K63" s="38"/>
      <c r="L63" s="35"/>
      <c r="M63" s="34"/>
      <c r="N63" s="38"/>
      <c r="O63" s="35"/>
    </row>
    <row r="64" spans="1:15">
      <c r="A64" s="34"/>
      <c r="B64" s="38"/>
      <c r="C64" s="35"/>
      <c r="D64" s="34"/>
      <c r="E64" s="38"/>
      <c r="F64" s="35"/>
      <c r="G64" s="34"/>
      <c r="H64" s="38"/>
      <c r="I64" s="35"/>
      <c r="J64" s="34"/>
      <c r="K64" s="38"/>
      <c r="L64" s="35"/>
      <c r="M64" s="34"/>
      <c r="N64" s="38"/>
      <c r="O64" s="35"/>
    </row>
    <row r="65" spans="1:15">
      <c r="A65" s="5" t="s">
        <v>390</v>
      </c>
      <c r="B65" s="40"/>
      <c r="C65" s="40"/>
      <c r="D65" s="5" t="s">
        <v>390</v>
      </c>
      <c r="E65" s="40"/>
      <c r="F65" s="40"/>
      <c r="G65" s="5" t="s">
        <v>390</v>
      </c>
      <c r="H65" s="40"/>
      <c r="I65" s="40"/>
      <c r="J65" s="5" t="s">
        <v>390</v>
      </c>
      <c r="K65" s="40"/>
      <c r="L65" s="40"/>
      <c r="M65" s="5" t="s">
        <v>390</v>
      </c>
      <c r="N65" s="40"/>
      <c r="O65" s="40"/>
    </row>
    <row r="66" spans="1:15">
      <c r="A66" s="9" t="s">
        <v>302</v>
      </c>
      <c r="B66" s="12">
        <v>60</v>
      </c>
      <c r="C66" s="11" t="s">
        <v>13</v>
      </c>
      <c r="D66" s="9" t="s">
        <v>302</v>
      </c>
      <c r="E66" s="12">
        <v>60</v>
      </c>
      <c r="F66" s="11" t="s">
        <v>13</v>
      </c>
      <c r="G66" s="9" t="s">
        <v>243</v>
      </c>
      <c r="H66" s="12">
        <v>60</v>
      </c>
      <c r="I66" s="11" t="s">
        <v>13</v>
      </c>
      <c r="J66" s="9" t="s">
        <v>243</v>
      </c>
      <c r="K66" s="12">
        <v>60</v>
      </c>
      <c r="L66" s="11" t="s">
        <v>13</v>
      </c>
      <c r="M66" s="9" t="s">
        <v>228</v>
      </c>
      <c r="N66" s="12">
        <v>60</v>
      </c>
      <c r="O66" s="11" t="s">
        <v>13</v>
      </c>
    </row>
    <row r="67" spans="1:15">
      <c r="A67" s="9" t="s">
        <v>303</v>
      </c>
      <c r="B67" s="12">
        <v>30</v>
      </c>
      <c r="C67" s="11" t="s">
        <v>13</v>
      </c>
      <c r="D67" s="9" t="s">
        <v>303</v>
      </c>
      <c r="E67" s="12">
        <v>30</v>
      </c>
      <c r="F67" s="11" t="s">
        <v>13</v>
      </c>
      <c r="G67" s="9"/>
      <c r="H67" s="12"/>
      <c r="I67" s="11"/>
      <c r="J67" s="9"/>
      <c r="K67" s="12"/>
      <c r="L67" s="11"/>
      <c r="M67" s="9" t="s">
        <v>229</v>
      </c>
      <c r="N67" s="12">
        <v>15</v>
      </c>
      <c r="O67" s="11" t="s">
        <v>13</v>
      </c>
    </row>
    <row r="68" spans="1:15">
      <c r="A68" s="9" t="s">
        <v>304</v>
      </c>
      <c r="B68" s="12">
        <v>3</v>
      </c>
      <c r="C68" s="11" t="s">
        <v>13</v>
      </c>
      <c r="D68" s="9" t="s">
        <v>304</v>
      </c>
      <c r="E68" s="12">
        <v>3</v>
      </c>
      <c r="F68" s="11" t="s">
        <v>13</v>
      </c>
      <c r="G68" s="9"/>
      <c r="H68" s="12"/>
      <c r="I68" s="11"/>
      <c r="J68" s="9"/>
      <c r="K68" s="12"/>
      <c r="L68" s="11"/>
      <c r="M68" s="9" t="s">
        <v>35</v>
      </c>
      <c r="N68" s="12">
        <v>3</v>
      </c>
      <c r="O68" s="11" t="s">
        <v>13</v>
      </c>
    </row>
    <row r="69" spans="1:15">
      <c r="A69" s="5" t="s">
        <v>72</v>
      </c>
      <c r="B69" s="40"/>
      <c r="C69" s="40"/>
      <c r="D69" s="5" t="s">
        <v>72</v>
      </c>
      <c r="E69" s="40"/>
      <c r="F69" s="40"/>
      <c r="G69" s="5" t="s">
        <v>72</v>
      </c>
      <c r="H69" s="40"/>
      <c r="I69" s="40"/>
      <c r="J69" s="5" t="s">
        <v>72</v>
      </c>
      <c r="K69" s="40"/>
      <c r="L69" s="40"/>
      <c r="M69" s="5" t="s">
        <v>72</v>
      </c>
      <c r="N69" s="40"/>
      <c r="O69" s="40"/>
    </row>
    <row r="70" spans="1:15">
      <c r="A70" s="9" t="s">
        <v>73</v>
      </c>
      <c r="B70" s="12">
        <v>30</v>
      </c>
      <c r="C70" s="11" t="s">
        <v>13</v>
      </c>
      <c r="D70" s="9" t="s">
        <v>73</v>
      </c>
      <c r="E70" s="12">
        <v>30</v>
      </c>
      <c r="F70" s="11" t="s">
        <v>13</v>
      </c>
      <c r="G70" s="9" t="s">
        <v>189</v>
      </c>
      <c r="H70" s="12">
        <v>30</v>
      </c>
      <c r="I70" s="11" t="s">
        <v>142</v>
      </c>
      <c r="J70" s="9"/>
      <c r="K70" s="12"/>
      <c r="L70" s="11"/>
      <c r="M70" s="9" t="s">
        <v>73</v>
      </c>
      <c r="N70" s="12">
        <v>30</v>
      </c>
      <c r="O70" s="11" t="s">
        <v>13</v>
      </c>
    </row>
    <row r="71" spans="1:15">
      <c r="A71" s="9" t="s">
        <v>190</v>
      </c>
      <c r="B71" s="12">
        <v>40</v>
      </c>
      <c r="C71" s="11" t="s">
        <v>13</v>
      </c>
      <c r="D71" s="9" t="s">
        <v>190</v>
      </c>
      <c r="E71" s="12">
        <v>40</v>
      </c>
      <c r="F71" s="11" t="s">
        <v>13</v>
      </c>
      <c r="G71" s="9"/>
      <c r="H71" s="12"/>
      <c r="I71" s="11"/>
      <c r="J71" s="9" t="s">
        <v>190</v>
      </c>
      <c r="K71" s="12">
        <v>40</v>
      </c>
      <c r="L71" s="11" t="s">
        <v>13</v>
      </c>
      <c r="M71" s="9" t="s">
        <v>190</v>
      </c>
      <c r="N71" s="12">
        <v>40</v>
      </c>
      <c r="O71" s="11" t="s">
        <v>13</v>
      </c>
    </row>
    <row r="72" spans="1:15">
      <c r="A72" s="9" t="s">
        <v>76</v>
      </c>
      <c r="B72" s="12">
        <v>40</v>
      </c>
      <c r="C72" s="11" t="s">
        <v>13</v>
      </c>
      <c r="D72" s="9" t="s">
        <v>76</v>
      </c>
      <c r="E72" s="12">
        <v>40</v>
      </c>
      <c r="F72" s="11" t="s">
        <v>13</v>
      </c>
      <c r="G72" s="9"/>
      <c r="H72" s="12"/>
      <c r="I72" s="11"/>
      <c r="J72" s="9" t="s">
        <v>76</v>
      </c>
      <c r="K72" s="12">
        <v>40</v>
      </c>
      <c r="L72" s="11" t="s">
        <v>13</v>
      </c>
      <c r="M72" s="9" t="s">
        <v>76</v>
      </c>
      <c r="N72" s="12">
        <v>40</v>
      </c>
      <c r="O72" s="11" t="s">
        <v>13</v>
      </c>
    </row>
  </sheetData>
  <phoneticPr fontId="14" type="noConversion"/>
  <printOptions gridLines="1"/>
  <pageMargins left="0.25" right="0.25" top="0.75" bottom="0.75" header="0.3" footer="0.3"/>
  <pageSetup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621-3AB1-49FD-A941-7F96DE40D542}">
  <sheetPr>
    <pageSetUpPr fitToPage="1"/>
  </sheetPr>
  <dimension ref="A1:O68"/>
  <sheetViews>
    <sheetView topLeftCell="A18" zoomScaleNormal="100" workbookViewId="0">
      <selection activeCell="G20" sqref="G20:I22"/>
    </sheetView>
  </sheetViews>
  <sheetFormatPr defaultRowHeight="15"/>
  <cols>
    <col min="1" max="1" width="37.28515625" style="15" customWidth="1"/>
    <col min="2" max="3" width="10.7109375" style="16" customWidth="1"/>
    <col min="4" max="4" width="46.5703125" customWidth="1"/>
    <col min="7" max="7" width="38.28515625" customWidth="1"/>
    <col min="10" max="10" width="41.7109375" customWidth="1"/>
    <col min="13" max="13" width="32.5703125" customWidth="1"/>
  </cols>
  <sheetData>
    <row r="1" spans="1:15" ht="17.25">
      <c r="A1" s="17" t="s">
        <v>168</v>
      </c>
      <c r="B1" s="18"/>
      <c r="C1" s="18"/>
      <c r="D1" s="17" t="s">
        <v>169</v>
      </c>
      <c r="E1" s="18"/>
      <c r="F1" s="18"/>
      <c r="G1" s="17" t="s">
        <v>170</v>
      </c>
      <c r="H1" s="18"/>
      <c r="I1" s="18"/>
      <c r="J1" s="17" t="s">
        <v>171</v>
      </c>
      <c r="K1" s="18"/>
      <c r="L1" s="18"/>
      <c r="M1" s="17" t="s">
        <v>172</v>
      </c>
      <c r="N1" s="18"/>
      <c r="O1" s="18"/>
    </row>
    <row r="2" spans="1:15" ht="27">
      <c r="A2" s="4" t="s">
        <v>0</v>
      </c>
      <c r="B2" s="4" t="s">
        <v>1</v>
      </c>
      <c r="C2" s="4" t="s">
        <v>2</v>
      </c>
      <c r="D2" s="4" t="s">
        <v>0</v>
      </c>
      <c r="E2" s="4" t="s">
        <v>1</v>
      </c>
      <c r="F2" s="4" t="s">
        <v>2</v>
      </c>
      <c r="G2" s="4" t="s">
        <v>0</v>
      </c>
      <c r="H2" s="4" t="s">
        <v>1</v>
      </c>
      <c r="I2" s="4" t="s">
        <v>2</v>
      </c>
      <c r="J2" s="4" t="s">
        <v>0</v>
      </c>
      <c r="K2" s="4" t="s">
        <v>1</v>
      </c>
      <c r="L2" s="4" t="s">
        <v>2</v>
      </c>
      <c r="M2" s="4" t="s">
        <v>0</v>
      </c>
      <c r="N2" s="4" t="s">
        <v>1</v>
      </c>
      <c r="O2" s="4" t="s">
        <v>2</v>
      </c>
    </row>
    <row r="3" spans="1:15">
      <c r="A3" s="19" t="s">
        <v>400</v>
      </c>
      <c r="B3" s="20"/>
      <c r="C3" s="20"/>
      <c r="D3" s="19" t="s">
        <v>400</v>
      </c>
      <c r="E3" s="20"/>
      <c r="F3" s="20"/>
      <c r="G3" s="19" t="s">
        <v>400</v>
      </c>
      <c r="H3" s="20"/>
      <c r="I3" s="20"/>
      <c r="J3" s="19" t="s">
        <v>400</v>
      </c>
      <c r="K3" s="20"/>
      <c r="L3" s="20"/>
      <c r="M3" s="19" t="s">
        <v>400</v>
      </c>
      <c r="N3" s="20"/>
      <c r="O3" s="20"/>
    </row>
    <row r="4" spans="1:15">
      <c r="A4" s="48" t="s">
        <v>55</v>
      </c>
      <c r="B4" s="49">
        <v>1</v>
      </c>
      <c r="C4" s="50" t="s">
        <v>6</v>
      </c>
      <c r="D4" s="48" t="s">
        <v>55</v>
      </c>
      <c r="E4" s="49">
        <v>1</v>
      </c>
      <c r="F4" s="50" t="s">
        <v>6</v>
      </c>
      <c r="G4" s="48" t="s">
        <v>55</v>
      </c>
      <c r="H4" s="49">
        <v>1</v>
      </c>
      <c r="I4" s="50" t="s">
        <v>6</v>
      </c>
      <c r="J4" s="48" t="s">
        <v>55</v>
      </c>
      <c r="K4" s="49">
        <v>1</v>
      </c>
      <c r="L4" s="50" t="s">
        <v>6</v>
      </c>
      <c r="M4" s="48" t="s">
        <v>55</v>
      </c>
      <c r="N4" s="49">
        <v>1</v>
      </c>
      <c r="O4" s="50" t="s">
        <v>6</v>
      </c>
    </row>
    <row r="5" spans="1:15">
      <c r="A5" s="48" t="s">
        <v>56</v>
      </c>
      <c r="B5" s="49">
        <v>1</v>
      </c>
      <c r="C5" s="50" t="s">
        <v>6</v>
      </c>
      <c r="D5" s="48" t="s">
        <v>56</v>
      </c>
      <c r="E5" s="49">
        <v>1</v>
      </c>
      <c r="F5" s="50" t="s">
        <v>6</v>
      </c>
      <c r="G5" s="48" t="s">
        <v>56</v>
      </c>
      <c r="H5" s="49">
        <v>1</v>
      </c>
      <c r="I5" s="50" t="s">
        <v>6</v>
      </c>
      <c r="J5" s="48" t="s">
        <v>56</v>
      </c>
      <c r="K5" s="49">
        <v>1</v>
      </c>
      <c r="L5" s="50" t="s">
        <v>6</v>
      </c>
      <c r="M5" s="48" t="s">
        <v>56</v>
      </c>
      <c r="N5" s="49">
        <v>1</v>
      </c>
      <c r="O5" s="50" t="s">
        <v>6</v>
      </c>
    </row>
    <row r="6" spans="1:15">
      <c r="A6" s="48" t="s">
        <v>78</v>
      </c>
      <c r="B6" s="49">
        <v>1</v>
      </c>
      <c r="C6" s="50" t="s">
        <v>6</v>
      </c>
      <c r="D6" s="48" t="s">
        <v>78</v>
      </c>
      <c r="E6" s="49">
        <v>1</v>
      </c>
      <c r="F6" s="50" t="s">
        <v>6</v>
      </c>
      <c r="G6" s="48" t="s">
        <v>78</v>
      </c>
      <c r="H6" s="49">
        <v>1</v>
      </c>
      <c r="I6" s="50" t="s">
        <v>6</v>
      </c>
      <c r="J6" s="48" t="s">
        <v>78</v>
      </c>
      <c r="K6" s="49">
        <v>1</v>
      </c>
      <c r="L6" s="50" t="s">
        <v>6</v>
      </c>
      <c r="M6" s="48" t="s">
        <v>78</v>
      </c>
      <c r="N6" s="49">
        <v>1</v>
      </c>
      <c r="O6" s="50" t="s">
        <v>6</v>
      </c>
    </row>
    <row r="7" spans="1:15">
      <c r="A7" s="48" t="s">
        <v>79</v>
      </c>
      <c r="B7" s="49">
        <v>1</v>
      </c>
      <c r="C7" s="50" t="s">
        <v>6</v>
      </c>
      <c r="D7" s="48" t="s">
        <v>79</v>
      </c>
      <c r="E7" s="49">
        <v>1</v>
      </c>
      <c r="F7" s="50" t="s">
        <v>6</v>
      </c>
      <c r="G7" s="48" t="s">
        <v>79</v>
      </c>
      <c r="H7" s="49">
        <v>1</v>
      </c>
      <c r="I7" s="50" t="s">
        <v>6</v>
      </c>
      <c r="J7" s="48" t="s">
        <v>79</v>
      </c>
      <c r="K7" s="49">
        <v>1</v>
      </c>
      <c r="L7" s="50" t="s">
        <v>6</v>
      </c>
      <c r="M7" s="48" t="s">
        <v>79</v>
      </c>
      <c r="N7" s="49">
        <v>1</v>
      </c>
      <c r="O7" s="50" t="s">
        <v>6</v>
      </c>
    </row>
    <row r="8" spans="1:15">
      <c r="A8" s="48" t="s">
        <v>80</v>
      </c>
      <c r="B8" s="49">
        <v>1</v>
      </c>
      <c r="C8" s="50" t="s">
        <v>6</v>
      </c>
      <c r="D8" s="48" t="s">
        <v>80</v>
      </c>
      <c r="E8" s="49">
        <v>1</v>
      </c>
      <c r="F8" s="50" t="s">
        <v>6</v>
      </c>
      <c r="G8" s="48" t="s">
        <v>80</v>
      </c>
      <c r="H8" s="49">
        <v>1</v>
      </c>
      <c r="I8" s="50" t="s">
        <v>6</v>
      </c>
      <c r="J8" s="48" t="s">
        <v>80</v>
      </c>
      <c r="K8" s="49">
        <v>1</v>
      </c>
      <c r="L8" s="50" t="s">
        <v>6</v>
      </c>
      <c r="M8" s="48" t="s">
        <v>80</v>
      </c>
      <c r="N8" s="49">
        <v>1</v>
      </c>
      <c r="O8" s="50" t="s">
        <v>6</v>
      </c>
    </row>
    <row r="9" spans="1:15">
      <c r="A9" s="48" t="s">
        <v>81</v>
      </c>
      <c r="B9" s="49">
        <v>1</v>
      </c>
      <c r="C9" s="50" t="s">
        <v>6</v>
      </c>
      <c r="D9" s="48" t="s">
        <v>81</v>
      </c>
      <c r="E9" s="49">
        <v>1</v>
      </c>
      <c r="F9" s="50" t="s">
        <v>6</v>
      </c>
      <c r="G9" s="48" t="s">
        <v>81</v>
      </c>
      <c r="H9" s="49">
        <v>1</v>
      </c>
      <c r="I9" s="50" t="s">
        <v>6</v>
      </c>
      <c r="J9" s="48" t="s">
        <v>81</v>
      </c>
      <c r="K9" s="49">
        <v>1</v>
      </c>
      <c r="L9" s="50" t="s">
        <v>6</v>
      </c>
      <c r="M9" s="48" t="s">
        <v>81</v>
      </c>
      <c r="N9" s="49">
        <v>1</v>
      </c>
      <c r="O9" s="50" t="s">
        <v>6</v>
      </c>
    </row>
    <row r="10" spans="1:15">
      <c r="A10" s="48" t="s">
        <v>82</v>
      </c>
      <c r="B10" s="49">
        <v>1</v>
      </c>
      <c r="C10" s="50" t="s">
        <v>6</v>
      </c>
      <c r="D10" s="48" t="s">
        <v>82</v>
      </c>
      <c r="E10" s="49">
        <v>1</v>
      </c>
      <c r="F10" s="50" t="s">
        <v>6</v>
      </c>
      <c r="G10" s="48" t="s">
        <v>82</v>
      </c>
      <c r="H10" s="49">
        <v>1</v>
      </c>
      <c r="I10" s="50" t="s">
        <v>6</v>
      </c>
      <c r="J10" s="48" t="s">
        <v>82</v>
      </c>
      <c r="K10" s="49">
        <v>1</v>
      </c>
      <c r="L10" s="50" t="s">
        <v>6</v>
      </c>
      <c r="M10" s="48" t="s">
        <v>82</v>
      </c>
      <c r="N10" s="49">
        <v>1</v>
      </c>
      <c r="O10" s="50" t="s">
        <v>6</v>
      </c>
    </row>
    <row r="11" spans="1:15">
      <c r="A11" s="48" t="s">
        <v>83</v>
      </c>
      <c r="B11" s="49">
        <v>1</v>
      </c>
      <c r="C11" s="50" t="s">
        <v>6</v>
      </c>
      <c r="D11" s="48" t="s">
        <v>83</v>
      </c>
      <c r="E11" s="49">
        <v>1</v>
      </c>
      <c r="F11" s="50" t="s">
        <v>6</v>
      </c>
      <c r="G11" s="48" t="s">
        <v>83</v>
      </c>
      <c r="H11" s="49">
        <v>1</v>
      </c>
      <c r="I11" s="50" t="s">
        <v>6</v>
      </c>
      <c r="J11" s="48" t="s">
        <v>83</v>
      </c>
      <c r="K11" s="49">
        <v>1</v>
      </c>
      <c r="L11" s="50" t="s">
        <v>6</v>
      </c>
      <c r="M11" s="48" t="s">
        <v>83</v>
      </c>
      <c r="N11" s="49">
        <v>1</v>
      </c>
      <c r="O11" s="50" t="s">
        <v>6</v>
      </c>
    </row>
    <row r="12" spans="1:15">
      <c r="A12" s="48" t="s">
        <v>84</v>
      </c>
      <c r="B12" s="49">
        <v>1</v>
      </c>
      <c r="C12" s="50" t="s">
        <v>6</v>
      </c>
      <c r="D12" s="48" t="s">
        <v>84</v>
      </c>
      <c r="E12" s="49">
        <v>1</v>
      </c>
      <c r="F12" s="50" t="s">
        <v>6</v>
      </c>
      <c r="G12" s="48" t="s">
        <v>84</v>
      </c>
      <c r="H12" s="49">
        <v>1</v>
      </c>
      <c r="I12" s="50" t="s">
        <v>6</v>
      </c>
      <c r="J12" s="48" t="s">
        <v>84</v>
      </c>
      <c r="K12" s="49">
        <v>1</v>
      </c>
      <c r="L12" s="50" t="s">
        <v>6</v>
      </c>
      <c r="M12" s="48" t="s">
        <v>84</v>
      </c>
      <c r="N12" s="49">
        <v>1</v>
      </c>
      <c r="O12" s="50" t="s">
        <v>6</v>
      </c>
    </row>
    <row r="13" spans="1:15">
      <c r="A13" s="48" t="s">
        <v>85</v>
      </c>
      <c r="B13" s="49">
        <v>1</v>
      </c>
      <c r="C13" s="50" t="s">
        <v>6</v>
      </c>
      <c r="D13" s="48" t="s">
        <v>85</v>
      </c>
      <c r="E13" s="49">
        <v>1</v>
      </c>
      <c r="F13" s="50" t="s">
        <v>6</v>
      </c>
      <c r="G13" s="48" t="s">
        <v>85</v>
      </c>
      <c r="H13" s="49">
        <v>1</v>
      </c>
      <c r="I13" s="50" t="s">
        <v>6</v>
      </c>
      <c r="J13" s="48" t="s">
        <v>85</v>
      </c>
      <c r="K13" s="49">
        <v>1</v>
      </c>
      <c r="L13" s="50" t="s">
        <v>6</v>
      </c>
      <c r="M13" s="48" t="s">
        <v>85</v>
      </c>
      <c r="N13" s="49">
        <v>1</v>
      </c>
      <c r="O13" s="50" t="s">
        <v>6</v>
      </c>
    </row>
    <row r="14" spans="1:15">
      <c r="A14" s="48" t="s">
        <v>86</v>
      </c>
      <c r="B14" s="49">
        <v>1</v>
      </c>
      <c r="C14" s="50" t="s">
        <v>6</v>
      </c>
      <c r="D14" s="48" t="s">
        <v>86</v>
      </c>
      <c r="E14" s="49">
        <v>1</v>
      </c>
      <c r="F14" s="50" t="s">
        <v>6</v>
      </c>
      <c r="G14" s="48" t="s">
        <v>86</v>
      </c>
      <c r="H14" s="49">
        <v>1</v>
      </c>
      <c r="I14" s="50" t="s">
        <v>6</v>
      </c>
      <c r="J14" s="48" t="s">
        <v>86</v>
      </c>
      <c r="K14" s="49">
        <v>1</v>
      </c>
      <c r="L14" s="50" t="s">
        <v>6</v>
      </c>
      <c r="M14" s="48" t="s">
        <v>86</v>
      </c>
      <c r="N14" s="49">
        <v>1</v>
      </c>
      <c r="O14" s="50" t="s">
        <v>6</v>
      </c>
    </row>
    <row r="15" spans="1:15">
      <c r="A15" s="48" t="s">
        <v>87</v>
      </c>
      <c r="B15" s="49">
        <v>1</v>
      </c>
      <c r="C15" s="50" t="s">
        <v>6</v>
      </c>
      <c r="D15" s="48" t="s">
        <v>87</v>
      </c>
      <c r="E15" s="49">
        <v>1</v>
      </c>
      <c r="F15" s="50" t="s">
        <v>6</v>
      </c>
      <c r="G15" s="48" t="s">
        <v>191</v>
      </c>
      <c r="H15" s="49">
        <v>1</v>
      </c>
      <c r="I15" s="50" t="s">
        <v>6</v>
      </c>
      <c r="J15" s="48" t="s">
        <v>192</v>
      </c>
      <c r="K15" s="49">
        <v>1</v>
      </c>
      <c r="L15" s="50" t="s">
        <v>6</v>
      </c>
      <c r="M15" s="48" t="s">
        <v>87</v>
      </c>
      <c r="N15" s="49">
        <v>1</v>
      </c>
      <c r="O15" s="50" t="s">
        <v>6</v>
      </c>
    </row>
    <row r="16" spans="1:15">
      <c r="A16" s="48" t="s">
        <v>88</v>
      </c>
      <c r="B16" s="49">
        <v>1</v>
      </c>
      <c r="C16" s="50" t="s">
        <v>6</v>
      </c>
      <c r="D16" s="48" t="s">
        <v>88</v>
      </c>
      <c r="E16" s="49">
        <v>1</v>
      </c>
      <c r="F16" s="50" t="s">
        <v>6</v>
      </c>
      <c r="G16" s="48"/>
      <c r="H16" s="49">
        <v>1</v>
      </c>
      <c r="I16" s="50" t="s">
        <v>6</v>
      </c>
      <c r="J16" s="48" t="s">
        <v>88</v>
      </c>
      <c r="K16" s="49">
        <v>1</v>
      </c>
      <c r="L16" s="50" t="s">
        <v>6</v>
      </c>
      <c r="M16" s="48" t="s">
        <v>88</v>
      </c>
      <c r="N16" s="49">
        <v>1</v>
      </c>
      <c r="O16" s="50" t="s">
        <v>6</v>
      </c>
    </row>
    <row r="17" spans="1:15">
      <c r="A17" s="48" t="s">
        <v>89</v>
      </c>
      <c r="B17" s="49">
        <v>1</v>
      </c>
      <c r="C17" s="50" t="s">
        <v>6</v>
      </c>
      <c r="D17" s="48" t="s">
        <v>89</v>
      </c>
      <c r="E17" s="49">
        <v>1</v>
      </c>
      <c r="F17" s="50" t="s">
        <v>6</v>
      </c>
      <c r="G17" s="48"/>
      <c r="H17" s="49">
        <v>1</v>
      </c>
      <c r="I17" s="50" t="s">
        <v>6</v>
      </c>
      <c r="J17" s="48"/>
      <c r="K17" s="49">
        <v>1</v>
      </c>
      <c r="L17" s="50" t="s">
        <v>6</v>
      </c>
      <c r="M17" s="48" t="s">
        <v>89</v>
      </c>
      <c r="N17" s="49">
        <v>1</v>
      </c>
      <c r="O17" s="50" t="s">
        <v>6</v>
      </c>
    </row>
    <row r="18" spans="1:15">
      <c r="A18" s="48"/>
      <c r="B18" s="49"/>
      <c r="C18" s="50"/>
      <c r="D18" s="48" t="s">
        <v>193</v>
      </c>
      <c r="E18" s="49">
        <v>1</v>
      </c>
      <c r="F18" s="50" t="s">
        <v>6</v>
      </c>
      <c r="G18" s="48"/>
      <c r="H18" s="49">
        <v>1</v>
      </c>
      <c r="I18" s="50" t="s">
        <v>6</v>
      </c>
      <c r="J18" s="48"/>
      <c r="K18" s="49"/>
      <c r="L18" s="50"/>
      <c r="M18" s="48"/>
      <c r="N18" s="49"/>
      <c r="O18" s="50"/>
    </row>
    <row r="19" spans="1:15">
      <c r="A19" s="19" t="s">
        <v>401</v>
      </c>
      <c r="B19" s="20"/>
      <c r="C19" s="20"/>
      <c r="D19" s="19" t="s">
        <v>401</v>
      </c>
      <c r="E19" s="20"/>
      <c r="F19" s="20"/>
      <c r="G19" s="19" t="s">
        <v>401</v>
      </c>
      <c r="H19" s="20"/>
      <c r="I19" s="20"/>
      <c r="J19" s="19" t="s">
        <v>401</v>
      </c>
      <c r="K19" s="20"/>
      <c r="L19" s="20"/>
      <c r="M19" s="19" t="s">
        <v>401</v>
      </c>
      <c r="N19" s="20"/>
      <c r="O19" s="20"/>
    </row>
    <row r="20" spans="1:15">
      <c r="A20" s="25" t="s">
        <v>183</v>
      </c>
      <c r="B20" s="26">
        <v>20</v>
      </c>
      <c r="C20" s="27" t="s">
        <v>13</v>
      </c>
      <c r="D20" s="25" t="s">
        <v>399</v>
      </c>
      <c r="E20" s="26" t="s">
        <v>253</v>
      </c>
      <c r="F20" s="27" t="s">
        <v>13</v>
      </c>
      <c r="G20" s="25" t="s">
        <v>346</v>
      </c>
      <c r="H20" s="26">
        <v>20</v>
      </c>
      <c r="I20" s="27" t="s">
        <v>13</v>
      </c>
      <c r="J20" s="25" t="s">
        <v>183</v>
      </c>
      <c r="K20" s="26">
        <v>20</v>
      </c>
      <c r="L20" s="27" t="s">
        <v>13</v>
      </c>
      <c r="M20" s="25" t="s">
        <v>183</v>
      </c>
      <c r="N20" s="26">
        <v>20</v>
      </c>
      <c r="O20" s="27" t="s">
        <v>13</v>
      </c>
    </row>
    <row r="21" spans="1:15">
      <c r="A21" s="25" t="s">
        <v>337</v>
      </c>
      <c r="B21" s="26">
        <v>8</v>
      </c>
      <c r="C21" s="27" t="s">
        <v>13</v>
      </c>
      <c r="D21" s="25" t="s">
        <v>398</v>
      </c>
      <c r="E21" s="26" t="s">
        <v>252</v>
      </c>
      <c r="F21" s="27" t="s">
        <v>13</v>
      </c>
      <c r="G21" s="25" t="s">
        <v>337</v>
      </c>
      <c r="H21" s="26">
        <v>8</v>
      </c>
      <c r="I21" s="27" t="s">
        <v>13</v>
      </c>
      <c r="J21" s="25" t="s">
        <v>337</v>
      </c>
      <c r="K21" s="26">
        <v>8</v>
      </c>
      <c r="L21" s="27" t="s">
        <v>13</v>
      </c>
      <c r="M21" s="25" t="s">
        <v>337</v>
      </c>
      <c r="N21" s="26">
        <v>8</v>
      </c>
      <c r="O21" s="27" t="s">
        <v>13</v>
      </c>
    </row>
    <row r="22" spans="1:15">
      <c r="A22" s="25" t="s">
        <v>309</v>
      </c>
      <c r="B22" s="26">
        <v>45</v>
      </c>
      <c r="C22" s="27" t="s">
        <v>13</v>
      </c>
      <c r="D22" s="25"/>
      <c r="E22" s="26"/>
      <c r="F22" s="27"/>
      <c r="G22" s="25" t="s">
        <v>309</v>
      </c>
      <c r="H22" s="26">
        <v>45</v>
      </c>
      <c r="I22" s="27" t="s">
        <v>13</v>
      </c>
      <c r="J22" s="25" t="s">
        <v>403</v>
      </c>
      <c r="K22" s="26">
        <v>45</v>
      </c>
      <c r="L22" s="27" t="s">
        <v>13</v>
      </c>
      <c r="M22" s="25" t="s">
        <v>309</v>
      </c>
      <c r="N22" s="26">
        <v>45</v>
      </c>
      <c r="O22" s="27" t="s">
        <v>13</v>
      </c>
    </row>
    <row r="23" spans="1:15">
      <c r="A23" s="25"/>
      <c r="B23" s="26"/>
      <c r="C23" s="27"/>
      <c r="D23" s="25" t="s">
        <v>397</v>
      </c>
      <c r="E23" s="26">
        <v>1</v>
      </c>
      <c r="F23" s="27" t="s">
        <v>108</v>
      </c>
      <c r="G23" s="25"/>
      <c r="H23" s="26"/>
      <c r="I23" s="27"/>
      <c r="J23" s="25"/>
      <c r="K23" s="26"/>
      <c r="L23" s="27"/>
      <c r="M23" s="25"/>
      <c r="N23" s="26"/>
      <c r="O23" s="27"/>
    </row>
    <row r="24" spans="1:15">
      <c r="A24" s="19" t="s">
        <v>407</v>
      </c>
      <c r="B24" s="20"/>
      <c r="C24" s="20"/>
      <c r="D24" s="19" t="s">
        <v>407</v>
      </c>
      <c r="E24" s="20"/>
      <c r="F24" s="20"/>
      <c r="G24" s="19" t="s">
        <v>407</v>
      </c>
      <c r="H24" s="20"/>
      <c r="I24" s="20"/>
      <c r="J24" s="19" t="s">
        <v>407</v>
      </c>
      <c r="K24" s="20"/>
      <c r="L24" s="20"/>
      <c r="M24" s="19" t="s">
        <v>407</v>
      </c>
      <c r="N24" s="20"/>
      <c r="O24" s="20"/>
    </row>
    <row r="25" spans="1:15">
      <c r="A25" s="25" t="s">
        <v>183</v>
      </c>
      <c r="B25" s="26">
        <v>90</v>
      </c>
      <c r="C25" s="27" t="s">
        <v>13</v>
      </c>
      <c r="D25" s="25" t="s">
        <v>419</v>
      </c>
      <c r="E25" s="26">
        <v>4</v>
      </c>
      <c r="F25" s="27" t="s">
        <v>405</v>
      </c>
      <c r="G25" s="25" t="s">
        <v>310</v>
      </c>
      <c r="H25" s="26">
        <v>90</v>
      </c>
      <c r="I25" s="27" t="s">
        <v>13</v>
      </c>
      <c r="J25" s="25" t="s">
        <v>183</v>
      </c>
      <c r="K25" s="26">
        <v>90</v>
      </c>
      <c r="L25" s="27" t="s">
        <v>13</v>
      </c>
      <c r="M25" s="9" t="s">
        <v>406</v>
      </c>
      <c r="N25" s="12">
        <v>4</v>
      </c>
      <c r="O25" s="11" t="s">
        <v>405</v>
      </c>
    </row>
    <row r="26" spans="1:15">
      <c r="A26" s="25" t="s">
        <v>353</v>
      </c>
      <c r="B26" s="26">
        <v>15</v>
      </c>
      <c r="C26" s="27" t="s">
        <v>13</v>
      </c>
      <c r="D26" s="25" t="s">
        <v>185</v>
      </c>
      <c r="E26" s="26">
        <v>30</v>
      </c>
      <c r="F26" s="27" t="s">
        <v>13</v>
      </c>
      <c r="G26" s="25" t="s">
        <v>311</v>
      </c>
      <c r="H26" s="26">
        <v>30</v>
      </c>
      <c r="I26" s="27" t="s">
        <v>13</v>
      </c>
      <c r="J26" s="25" t="s">
        <v>353</v>
      </c>
      <c r="K26" s="26">
        <v>15</v>
      </c>
      <c r="L26" s="27" t="s">
        <v>13</v>
      </c>
      <c r="M26" s="9" t="s">
        <v>185</v>
      </c>
      <c r="N26" s="12">
        <v>30</v>
      </c>
      <c r="O26" s="11" t="s">
        <v>13</v>
      </c>
    </row>
    <row r="27" spans="1:15">
      <c r="A27" s="25" t="s">
        <v>312</v>
      </c>
      <c r="B27" s="26">
        <v>60</v>
      </c>
      <c r="C27" s="27" t="s">
        <v>13</v>
      </c>
      <c r="D27" s="25" t="s">
        <v>329</v>
      </c>
      <c r="E27" s="26">
        <v>15</v>
      </c>
      <c r="F27" s="27" t="s">
        <v>13</v>
      </c>
      <c r="G27" s="25" t="s">
        <v>314</v>
      </c>
      <c r="H27" s="26">
        <v>30</v>
      </c>
      <c r="I27" s="27" t="s">
        <v>13</v>
      </c>
      <c r="J27" s="25" t="s">
        <v>312</v>
      </c>
      <c r="K27" s="26">
        <v>60</v>
      </c>
      <c r="L27" s="27" t="s">
        <v>13</v>
      </c>
      <c r="M27" s="9" t="s">
        <v>329</v>
      </c>
      <c r="N27" s="12">
        <v>15</v>
      </c>
      <c r="O27" s="11" t="s">
        <v>13</v>
      </c>
    </row>
    <row r="28" spans="1:15">
      <c r="A28" s="25" t="s">
        <v>404</v>
      </c>
      <c r="B28" s="26">
        <v>45</v>
      </c>
      <c r="C28" s="27" t="s">
        <v>13</v>
      </c>
      <c r="D28" s="25" t="s">
        <v>28</v>
      </c>
      <c r="E28" s="26">
        <v>8</v>
      </c>
      <c r="F28" s="27" t="s">
        <v>13</v>
      </c>
      <c r="G28" s="25" t="s">
        <v>312</v>
      </c>
      <c r="H28" s="26">
        <v>60</v>
      </c>
      <c r="I28" s="27" t="s">
        <v>13</v>
      </c>
      <c r="J28" s="25" t="s">
        <v>404</v>
      </c>
      <c r="K28" s="26">
        <v>45</v>
      </c>
      <c r="L28" s="27" t="s">
        <v>13</v>
      </c>
      <c r="M28" s="9" t="s">
        <v>28</v>
      </c>
      <c r="N28" s="12">
        <v>8</v>
      </c>
      <c r="O28" s="11" t="s">
        <v>13</v>
      </c>
    </row>
    <row r="29" spans="1:15">
      <c r="A29" s="25"/>
      <c r="B29" s="26"/>
      <c r="C29" s="27"/>
      <c r="D29" s="25"/>
      <c r="E29" s="26"/>
      <c r="F29" s="27"/>
      <c r="G29" s="25"/>
      <c r="H29" s="26"/>
      <c r="I29" s="27"/>
      <c r="J29" s="25"/>
      <c r="K29" s="26"/>
      <c r="L29" s="27"/>
      <c r="M29" s="25"/>
      <c r="N29" s="26"/>
      <c r="O29" s="27"/>
    </row>
    <row r="30" spans="1:15">
      <c r="A30" s="19" t="s">
        <v>408</v>
      </c>
      <c r="B30" s="20"/>
      <c r="C30" s="20"/>
      <c r="D30" s="19" t="s">
        <v>408</v>
      </c>
      <c r="E30" s="20"/>
      <c r="F30" s="20"/>
      <c r="G30" s="19" t="s">
        <v>408</v>
      </c>
      <c r="H30" s="20"/>
      <c r="I30" s="20"/>
      <c r="J30" s="19" t="s">
        <v>408</v>
      </c>
      <c r="K30" s="20"/>
      <c r="L30" s="20"/>
      <c r="M30" s="19" t="s">
        <v>408</v>
      </c>
      <c r="N30" s="20"/>
      <c r="O30" s="20"/>
    </row>
    <row r="31" spans="1:15">
      <c r="A31" s="25" t="s">
        <v>315</v>
      </c>
      <c r="B31" s="26">
        <v>60</v>
      </c>
      <c r="C31" s="27" t="s">
        <v>13</v>
      </c>
      <c r="D31" s="25" t="s">
        <v>315</v>
      </c>
      <c r="E31" s="26">
        <v>60</v>
      </c>
      <c r="F31" s="27" t="s">
        <v>13</v>
      </c>
      <c r="G31" s="25" t="s">
        <v>245</v>
      </c>
      <c r="H31" s="26">
        <v>60</v>
      </c>
      <c r="I31" s="27" t="s">
        <v>13</v>
      </c>
      <c r="J31" s="25" t="s">
        <v>245</v>
      </c>
      <c r="K31" s="26">
        <v>60</v>
      </c>
      <c r="L31" s="27" t="s">
        <v>65</v>
      </c>
      <c r="M31" s="25" t="s">
        <v>315</v>
      </c>
      <c r="N31" s="26">
        <v>60</v>
      </c>
      <c r="O31" s="27" t="s">
        <v>13</v>
      </c>
    </row>
    <row r="32" spans="1:15">
      <c r="A32" s="25" t="s">
        <v>316</v>
      </c>
      <c r="B32" s="26">
        <v>10</v>
      </c>
      <c r="C32" s="27" t="s">
        <v>13</v>
      </c>
      <c r="D32" s="25" t="s">
        <v>316</v>
      </c>
      <c r="E32" s="26">
        <v>10</v>
      </c>
      <c r="F32" s="27" t="s">
        <v>13</v>
      </c>
      <c r="G32" s="25" t="s">
        <v>258</v>
      </c>
      <c r="H32" s="26">
        <v>20</v>
      </c>
      <c r="I32" s="27" t="s">
        <v>13</v>
      </c>
      <c r="J32" s="25"/>
      <c r="K32" s="26"/>
      <c r="L32" s="27" t="s">
        <v>65</v>
      </c>
      <c r="M32" s="25" t="s">
        <v>316</v>
      </c>
      <c r="N32" s="26">
        <v>10</v>
      </c>
      <c r="O32" s="27" t="s">
        <v>13</v>
      </c>
    </row>
    <row r="33" spans="1:15">
      <c r="A33" s="19" t="s">
        <v>409</v>
      </c>
      <c r="B33" s="20"/>
      <c r="C33" s="20"/>
      <c r="D33" s="19" t="s">
        <v>409</v>
      </c>
      <c r="E33" s="20"/>
      <c r="F33" s="20"/>
      <c r="G33" s="19" t="s">
        <v>409</v>
      </c>
      <c r="H33" s="20"/>
      <c r="I33" s="20"/>
      <c r="J33" s="19" t="s">
        <v>409</v>
      </c>
      <c r="K33" s="20"/>
      <c r="L33" s="20"/>
      <c r="M33" s="19" t="s">
        <v>409</v>
      </c>
      <c r="N33" s="20"/>
      <c r="O33" s="20"/>
    </row>
    <row r="34" spans="1:15">
      <c r="A34" s="9" t="s">
        <v>75</v>
      </c>
      <c r="B34" s="26">
        <v>40</v>
      </c>
      <c r="C34" s="27" t="s">
        <v>13</v>
      </c>
      <c r="D34" s="9" t="s">
        <v>75</v>
      </c>
      <c r="E34" s="26">
        <v>40</v>
      </c>
      <c r="F34" s="27" t="s">
        <v>13</v>
      </c>
      <c r="G34" s="9" t="s">
        <v>194</v>
      </c>
      <c r="H34" s="26">
        <v>40</v>
      </c>
      <c r="I34" s="27" t="s">
        <v>13</v>
      </c>
      <c r="J34" s="9" t="s">
        <v>75</v>
      </c>
      <c r="K34" s="26">
        <v>40</v>
      </c>
      <c r="L34" s="27" t="s">
        <v>13</v>
      </c>
      <c r="M34" s="9" t="s">
        <v>75</v>
      </c>
      <c r="N34" s="26">
        <v>40</v>
      </c>
      <c r="O34" s="27" t="s">
        <v>13</v>
      </c>
    </row>
    <row r="35" spans="1:15">
      <c r="A35" s="19" t="s">
        <v>410</v>
      </c>
      <c r="B35" s="20"/>
      <c r="C35" s="20"/>
      <c r="D35" s="19" t="s">
        <v>410</v>
      </c>
      <c r="E35" s="20"/>
      <c r="F35" s="20"/>
      <c r="G35" s="19" t="s">
        <v>410</v>
      </c>
      <c r="H35" s="20"/>
      <c r="I35" s="20"/>
      <c r="J35" s="19" t="s">
        <v>410</v>
      </c>
      <c r="K35" s="20"/>
      <c r="L35" s="20"/>
      <c r="M35" s="19" t="s">
        <v>410</v>
      </c>
      <c r="N35" s="20"/>
      <c r="O35" s="20"/>
    </row>
    <row r="36" spans="1:15">
      <c r="A36" s="21" t="s">
        <v>94</v>
      </c>
      <c r="B36" s="22">
        <v>1</v>
      </c>
      <c r="C36" s="23" t="s">
        <v>6</v>
      </c>
      <c r="D36" s="21" t="s">
        <v>94</v>
      </c>
      <c r="E36" s="22">
        <v>1</v>
      </c>
      <c r="F36" s="23" t="s">
        <v>6</v>
      </c>
      <c r="G36" s="21" t="s">
        <v>94</v>
      </c>
      <c r="H36" s="22">
        <v>1</v>
      </c>
      <c r="I36" s="23" t="s">
        <v>6</v>
      </c>
      <c r="J36" s="21" t="s">
        <v>94</v>
      </c>
      <c r="K36" s="22">
        <v>1</v>
      </c>
      <c r="L36" s="23" t="s">
        <v>6</v>
      </c>
      <c r="M36" s="21" t="s">
        <v>94</v>
      </c>
      <c r="N36" s="22">
        <v>1</v>
      </c>
      <c r="O36" s="23" t="s">
        <v>6</v>
      </c>
    </row>
    <row r="37" spans="1:15">
      <c r="A37" s="21" t="s">
        <v>95</v>
      </c>
      <c r="B37" s="22">
        <v>1</v>
      </c>
      <c r="C37" s="23" t="s">
        <v>6</v>
      </c>
      <c r="D37" s="21" t="s">
        <v>95</v>
      </c>
      <c r="E37" s="22">
        <v>1</v>
      </c>
      <c r="F37" s="23" t="s">
        <v>6</v>
      </c>
      <c r="G37" s="21" t="s">
        <v>95</v>
      </c>
      <c r="H37" s="22">
        <v>1</v>
      </c>
      <c r="I37" s="23" t="s">
        <v>6</v>
      </c>
      <c r="J37" s="21" t="s">
        <v>95</v>
      </c>
      <c r="K37" s="22">
        <v>1</v>
      </c>
      <c r="L37" s="23" t="s">
        <v>6</v>
      </c>
      <c r="M37" s="21" t="s">
        <v>95</v>
      </c>
      <c r="N37" s="22">
        <v>1</v>
      </c>
      <c r="O37" s="23" t="s">
        <v>6</v>
      </c>
    </row>
    <row r="38" spans="1:15">
      <c r="A38" s="21" t="s">
        <v>96</v>
      </c>
      <c r="B38" s="22">
        <v>1</v>
      </c>
      <c r="C38" s="23" t="s">
        <v>6</v>
      </c>
      <c r="D38" s="21" t="s">
        <v>96</v>
      </c>
      <c r="E38" s="22">
        <v>1</v>
      </c>
      <c r="F38" s="23" t="s">
        <v>6</v>
      </c>
      <c r="G38" s="21" t="s">
        <v>96</v>
      </c>
      <c r="H38" s="22">
        <v>1</v>
      </c>
      <c r="I38" s="23" t="s">
        <v>6</v>
      </c>
      <c r="J38" s="21" t="s">
        <v>96</v>
      </c>
      <c r="K38" s="22">
        <v>1</v>
      </c>
      <c r="L38" s="23" t="s">
        <v>6</v>
      </c>
      <c r="M38" s="21" t="s">
        <v>96</v>
      </c>
      <c r="N38" s="22">
        <v>1</v>
      </c>
      <c r="O38" s="23" t="s">
        <v>6</v>
      </c>
    </row>
    <row r="39" spans="1:15">
      <c r="A39" s="21" t="s">
        <v>97</v>
      </c>
      <c r="B39" s="22">
        <v>1</v>
      </c>
      <c r="C39" s="23" t="s">
        <v>6</v>
      </c>
      <c r="D39" s="21" t="s">
        <v>97</v>
      </c>
      <c r="E39" s="22">
        <v>1</v>
      </c>
      <c r="F39" s="23" t="s">
        <v>6</v>
      </c>
      <c r="G39" s="21" t="s">
        <v>97</v>
      </c>
      <c r="H39" s="22">
        <v>1</v>
      </c>
      <c r="I39" s="23" t="s">
        <v>6</v>
      </c>
      <c r="J39" s="21" t="s">
        <v>97</v>
      </c>
      <c r="K39" s="22">
        <v>1</v>
      </c>
      <c r="L39" s="23" t="s">
        <v>6</v>
      </c>
      <c r="M39" s="21" t="s">
        <v>97</v>
      </c>
      <c r="N39" s="22">
        <v>1</v>
      </c>
      <c r="O39" s="23" t="s">
        <v>6</v>
      </c>
    </row>
    <row r="40" spans="1:15">
      <c r="A40" s="21" t="s">
        <v>98</v>
      </c>
      <c r="B40" s="22">
        <v>1</v>
      </c>
      <c r="C40" s="23" t="s">
        <v>6</v>
      </c>
      <c r="D40" s="21" t="s">
        <v>98</v>
      </c>
      <c r="E40" s="22">
        <v>1</v>
      </c>
      <c r="F40" s="23" t="s">
        <v>6</v>
      </c>
      <c r="G40" s="21" t="s">
        <v>98</v>
      </c>
      <c r="H40" s="22">
        <v>1</v>
      </c>
      <c r="I40" s="23" t="s">
        <v>6</v>
      </c>
      <c r="J40" s="21" t="s">
        <v>98</v>
      </c>
      <c r="K40" s="22">
        <v>1</v>
      </c>
      <c r="L40" s="23" t="s">
        <v>6</v>
      </c>
      <c r="M40" s="21" t="s">
        <v>98</v>
      </c>
      <c r="N40" s="22">
        <v>1</v>
      </c>
      <c r="O40" s="23" t="s">
        <v>6</v>
      </c>
    </row>
    <row r="41" spans="1:15">
      <c r="A41" s="21" t="s">
        <v>99</v>
      </c>
      <c r="B41" s="22">
        <v>1</v>
      </c>
      <c r="C41" s="23" t="s">
        <v>6</v>
      </c>
      <c r="D41" s="21" t="s">
        <v>99</v>
      </c>
      <c r="E41" s="22">
        <v>1</v>
      </c>
      <c r="F41" s="23" t="s">
        <v>6</v>
      </c>
      <c r="G41" s="21" t="s">
        <v>99</v>
      </c>
      <c r="H41" s="22">
        <v>1</v>
      </c>
      <c r="I41" s="23" t="s">
        <v>6</v>
      </c>
      <c r="J41" s="21" t="s">
        <v>99</v>
      </c>
      <c r="K41" s="22">
        <v>1</v>
      </c>
      <c r="L41" s="23" t="s">
        <v>6</v>
      </c>
      <c r="M41" s="21" t="s">
        <v>99</v>
      </c>
      <c r="N41" s="22">
        <v>1</v>
      </c>
      <c r="O41" s="23" t="s">
        <v>6</v>
      </c>
    </row>
    <row r="42" spans="1:15">
      <c r="A42" s="21" t="s">
        <v>100</v>
      </c>
      <c r="B42" s="22">
        <v>1</v>
      </c>
      <c r="C42" s="23" t="s">
        <v>6</v>
      </c>
      <c r="D42" s="21" t="s">
        <v>100</v>
      </c>
      <c r="E42" s="22">
        <v>1</v>
      </c>
      <c r="F42" s="23" t="s">
        <v>6</v>
      </c>
      <c r="G42" s="21" t="s">
        <v>195</v>
      </c>
      <c r="H42" s="22">
        <v>1</v>
      </c>
      <c r="I42" s="23" t="s">
        <v>6</v>
      </c>
      <c r="J42" s="21" t="s">
        <v>267</v>
      </c>
      <c r="K42" s="22">
        <v>1</v>
      </c>
      <c r="L42" s="23" t="s">
        <v>6</v>
      </c>
      <c r="M42" s="21" t="s">
        <v>100</v>
      </c>
      <c r="N42" s="22">
        <v>1</v>
      </c>
      <c r="O42" s="23" t="s">
        <v>6</v>
      </c>
    </row>
    <row r="43" spans="1:15">
      <c r="A43" s="21" t="s">
        <v>101</v>
      </c>
      <c r="B43" s="22">
        <v>1</v>
      </c>
      <c r="C43" s="23" t="s">
        <v>6</v>
      </c>
      <c r="D43" s="21" t="s">
        <v>101</v>
      </c>
      <c r="E43" s="22">
        <v>1</v>
      </c>
      <c r="F43" s="23" t="s">
        <v>6</v>
      </c>
      <c r="G43" s="21"/>
      <c r="H43" s="22">
        <v>1</v>
      </c>
      <c r="I43" s="23" t="s">
        <v>6</v>
      </c>
      <c r="J43" s="21" t="s">
        <v>101</v>
      </c>
      <c r="K43" s="22">
        <v>1</v>
      </c>
      <c r="L43" s="23" t="s">
        <v>6</v>
      </c>
      <c r="M43" s="21" t="s">
        <v>101</v>
      </c>
      <c r="N43" s="22">
        <v>1</v>
      </c>
      <c r="O43" s="23" t="s">
        <v>6</v>
      </c>
    </row>
    <row r="44" spans="1:15">
      <c r="A44" s="21" t="s">
        <v>102</v>
      </c>
      <c r="B44" s="22">
        <v>1</v>
      </c>
      <c r="C44" s="23" t="s">
        <v>6</v>
      </c>
      <c r="D44" s="21" t="s">
        <v>102</v>
      </c>
      <c r="E44" s="22">
        <v>1</v>
      </c>
      <c r="F44" s="23" t="s">
        <v>6</v>
      </c>
      <c r="G44" s="48" t="s">
        <v>266</v>
      </c>
      <c r="H44" s="22">
        <v>1</v>
      </c>
      <c r="I44" s="23" t="s">
        <v>6</v>
      </c>
      <c r="J44" s="48" t="s">
        <v>266</v>
      </c>
      <c r="K44" s="22">
        <v>1</v>
      </c>
      <c r="L44" s="23" t="s">
        <v>6</v>
      </c>
      <c r="M44" s="21" t="s">
        <v>102</v>
      </c>
      <c r="N44" s="22">
        <v>1</v>
      </c>
      <c r="O44" s="23" t="s">
        <v>6</v>
      </c>
    </row>
    <row r="45" spans="1:15">
      <c r="A45" s="21" t="s">
        <v>103</v>
      </c>
      <c r="B45" s="22">
        <v>1</v>
      </c>
      <c r="C45" s="23" t="s">
        <v>6</v>
      </c>
      <c r="D45" s="21" t="s">
        <v>103</v>
      </c>
      <c r="E45" s="22">
        <v>1</v>
      </c>
      <c r="F45" s="23" t="s">
        <v>6</v>
      </c>
      <c r="G45" s="21" t="s">
        <v>103</v>
      </c>
      <c r="H45" s="22">
        <v>1</v>
      </c>
      <c r="I45" s="23" t="s">
        <v>6</v>
      </c>
      <c r="J45" s="21" t="s">
        <v>103</v>
      </c>
      <c r="K45" s="22">
        <v>1</v>
      </c>
      <c r="L45" s="23" t="s">
        <v>6</v>
      </c>
      <c r="M45" s="21" t="s">
        <v>103</v>
      </c>
      <c r="N45" s="22">
        <v>1</v>
      </c>
      <c r="O45" s="23" t="s">
        <v>6</v>
      </c>
    </row>
    <row r="46" spans="1:15">
      <c r="A46" s="19" t="s">
        <v>412</v>
      </c>
      <c r="B46" s="20"/>
      <c r="C46" s="20"/>
      <c r="D46" s="19" t="s">
        <v>412</v>
      </c>
      <c r="E46" s="20"/>
      <c r="F46" s="20"/>
      <c r="G46" s="19" t="s">
        <v>412</v>
      </c>
      <c r="H46" s="20"/>
      <c r="I46" s="20"/>
      <c r="J46" s="19" t="s">
        <v>412</v>
      </c>
      <c r="K46" s="20"/>
      <c r="L46" s="20"/>
      <c r="M46" s="19" t="s">
        <v>412</v>
      </c>
      <c r="N46" s="20"/>
      <c r="O46" s="20"/>
    </row>
    <row r="47" spans="1:15">
      <c r="A47" s="25" t="s">
        <v>396</v>
      </c>
      <c r="B47" s="26">
        <v>15</v>
      </c>
      <c r="C47" s="27" t="s">
        <v>65</v>
      </c>
      <c r="D47" s="25" t="s">
        <v>301</v>
      </c>
      <c r="E47" s="26">
        <v>30</v>
      </c>
      <c r="F47" s="27" t="s">
        <v>65</v>
      </c>
      <c r="G47" s="25" t="s">
        <v>301</v>
      </c>
      <c r="H47" s="26">
        <v>30</v>
      </c>
      <c r="I47" s="27" t="s">
        <v>65</v>
      </c>
      <c r="J47" s="25" t="s">
        <v>411</v>
      </c>
      <c r="K47" s="26">
        <v>30</v>
      </c>
      <c r="L47" s="27" t="s">
        <v>65</v>
      </c>
      <c r="M47" s="25" t="s">
        <v>396</v>
      </c>
      <c r="N47" s="26">
        <v>15</v>
      </c>
      <c r="O47" s="27" t="s">
        <v>65</v>
      </c>
    </row>
    <row r="48" spans="1:15">
      <c r="A48" s="25" t="s">
        <v>317</v>
      </c>
      <c r="B48" s="26">
        <v>30</v>
      </c>
      <c r="C48" s="27" t="s">
        <v>65</v>
      </c>
      <c r="D48" s="9" t="s">
        <v>317</v>
      </c>
      <c r="E48" s="26">
        <v>30</v>
      </c>
      <c r="F48" s="27" t="s">
        <v>65</v>
      </c>
      <c r="G48" s="9" t="s">
        <v>246</v>
      </c>
      <c r="H48" s="26">
        <v>20</v>
      </c>
      <c r="I48" s="27" t="s">
        <v>65</v>
      </c>
      <c r="J48" s="25" t="s">
        <v>246</v>
      </c>
      <c r="K48" s="26">
        <v>20</v>
      </c>
      <c r="L48" s="27" t="s">
        <v>65</v>
      </c>
      <c r="M48" s="25" t="s">
        <v>317</v>
      </c>
      <c r="N48" s="26">
        <v>30</v>
      </c>
      <c r="O48" s="27" t="s">
        <v>65</v>
      </c>
    </row>
    <row r="49" spans="1:15">
      <c r="A49" s="25" t="s">
        <v>104</v>
      </c>
      <c r="B49" s="26">
        <v>1</v>
      </c>
      <c r="C49" s="27" t="s">
        <v>6</v>
      </c>
      <c r="D49" s="25" t="s">
        <v>104</v>
      </c>
      <c r="E49" s="26">
        <v>1</v>
      </c>
      <c r="F49" s="27" t="s">
        <v>6</v>
      </c>
      <c r="G49" s="25" t="s">
        <v>104</v>
      </c>
      <c r="H49" s="26">
        <v>1</v>
      </c>
      <c r="I49" s="27" t="s">
        <v>6</v>
      </c>
      <c r="J49" s="25" t="s">
        <v>272</v>
      </c>
      <c r="K49" s="26">
        <v>1</v>
      </c>
      <c r="L49" s="27" t="s">
        <v>6</v>
      </c>
      <c r="M49" s="25" t="s">
        <v>104</v>
      </c>
      <c r="N49" s="26">
        <v>1</v>
      </c>
      <c r="O49" s="27" t="s">
        <v>6</v>
      </c>
    </row>
    <row r="50" spans="1:15">
      <c r="A50" s="25" t="s">
        <v>105</v>
      </c>
      <c r="B50" s="26">
        <v>1</v>
      </c>
      <c r="C50" s="27" t="s">
        <v>6</v>
      </c>
      <c r="D50" s="25" t="s">
        <v>105</v>
      </c>
      <c r="E50" s="26">
        <v>1</v>
      </c>
      <c r="F50" s="27" t="s">
        <v>6</v>
      </c>
      <c r="G50" s="25" t="s">
        <v>105</v>
      </c>
      <c r="H50" s="26">
        <v>1</v>
      </c>
      <c r="I50" s="27" t="s">
        <v>6</v>
      </c>
      <c r="J50" s="25" t="s">
        <v>105</v>
      </c>
      <c r="K50" s="26">
        <v>1</v>
      </c>
      <c r="L50" s="27" t="s">
        <v>6</v>
      </c>
      <c r="M50" s="25" t="s">
        <v>105</v>
      </c>
      <c r="N50" s="26">
        <v>1</v>
      </c>
      <c r="O50" s="27" t="s">
        <v>6</v>
      </c>
    </row>
    <row r="51" spans="1:15">
      <c r="A51" s="25" t="s">
        <v>318</v>
      </c>
      <c r="B51" s="26" t="s">
        <v>106</v>
      </c>
      <c r="C51" s="27" t="s">
        <v>13</v>
      </c>
      <c r="D51" s="25" t="s">
        <v>318</v>
      </c>
      <c r="E51" s="26" t="s">
        <v>106</v>
      </c>
      <c r="F51" s="27" t="s">
        <v>13</v>
      </c>
      <c r="G51" s="25" t="s">
        <v>257</v>
      </c>
      <c r="H51" s="26" t="s">
        <v>106</v>
      </c>
      <c r="I51" s="27" t="s">
        <v>13</v>
      </c>
      <c r="J51" s="25" t="s">
        <v>257</v>
      </c>
      <c r="K51" s="26" t="s">
        <v>106</v>
      </c>
      <c r="L51" s="27" t="s">
        <v>13</v>
      </c>
      <c r="M51" s="25" t="s">
        <v>318</v>
      </c>
      <c r="N51" s="26" t="s">
        <v>106</v>
      </c>
      <c r="O51" s="27" t="s">
        <v>13</v>
      </c>
    </row>
    <row r="52" spans="1:15">
      <c r="A52" s="25" t="s">
        <v>68</v>
      </c>
      <c r="B52" s="26">
        <v>10</v>
      </c>
      <c r="C52" s="27" t="s">
        <v>13</v>
      </c>
      <c r="D52" s="25" t="s">
        <v>68</v>
      </c>
      <c r="E52" s="26">
        <v>10</v>
      </c>
      <c r="F52" s="27" t="s">
        <v>13</v>
      </c>
      <c r="G52" s="25" t="s">
        <v>68</v>
      </c>
      <c r="H52" s="26">
        <v>10</v>
      </c>
      <c r="I52" s="27" t="s">
        <v>13</v>
      </c>
      <c r="J52" s="25" t="s">
        <v>68</v>
      </c>
      <c r="K52" s="26">
        <v>10</v>
      </c>
      <c r="L52" s="27" t="s">
        <v>13</v>
      </c>
      <c r="M52" s="25" t="s">
        <v>68</v>
      </c>
      <c r="N52" s="26">
        <v>10</v>
      </c>
      <c r="O52" s="27" t="s">
        <v>13</v>
      </c>
    </row>
    <row r="53" spans="1:15">
      <c r="A53" s="25" t="s">
        <v>107</v>
      </c>
      <c r="B53" s="26">
        <v>30</v>
      </c>
      <c r="C53" s="27" t="s">
        <v>13</v>
      </c>
      <c r="D53" s="25" t="s">
        <v>107</v>
      </c>
      <c r="E53" s="26">
        <v>30</v>
      </c>
      <c r="F53" s="27" t="s">
        <v>13</v>
      </c>
      <c r="G53" s="25" t="s">
        <v>107</v>
      </c>
      <c r="H53" s="26">
        <v>30</v>
      </c>
      <c r="I53" s="27" t="s">
        <v>13</v>
      </c>
      <c r="J53" s="25" t="s">
        <v>107</v>
      </c>
      <c r="K53" s="26">
        <v>30</v>
      </c>
      <c r="L53" s="27" t="s">
        <v>13</v>
      </c>
      <c r="M53" s="25" t="s">
        <v>107</v>
      </c>
      <c r="N53" s="26">
        <v>30</v>
      </c>
      <c r="O53" s="27" t="s">
        <v>13</v>
      </c>
    </row>
    <row r="54" spans="1:15">
      <c r="A54" s="25" t="s">
        <v>344</v>
      </c>
      <c r="B54" s="26">
        <v>1</v>
      </c>
      <c r="C54" s="27" t="s">
        <v>108</v>
      </c>
      <c r="D54" s="25" t="s">
        <v>344</v>
      </c>
      <c r="E54" s="26">
        <v>1</v>
      </c>
      <c r="F54" s="27" t="s">
        <v>108</v>
      </c>
      <c r="G54" s="25" t="s">
        <v>344</v>
      </c>
      <c r="H54" s="26">
        <v>1</v>
      </c>
      <c r="I54" s="27" t="s">
        <v>108</v>
      </c>
      <c r="J54" s="25" t="s">
        <v>344</v>
      </c>
      <c r="K54" s="26">
        <v>1</v>
      </c>
      <c r="L54" s="27" t="s">
        <v>108</v>
      </c>
      <c r="M54" s="25" t="s">
        <v>344</v>
      </c>
      <c r="N54" s="26">
        <v>1</v>
      </c>
      <c r="O54" s="27" t="s">
        <v>108</v>
      </c>
    </row>
    <row r="55" spans="1:15">
      <c r="A55" s="25"/>
      <c r="B55" s="26"/>
      <c r="C55" s="27"/>
      <c r="D55" s="25"/>
      <c r="E55" s="26"/>
      <c r="F55" s="27"/>
      <c r="G55" s="25"/>
      <c r="H55" s="26"/>
      <c r="I55" s="27"/>
      <c r="J55" s="25"/>
      <c r="K55" s="26"/>
      <c r="L55" s="27"/>
      <c r="M55" s="25"/>
      <c r="N55" s="26"/>
      <c r="O55" s="27"/>
    </row>
    <row r="56" spans="1:15">
      <c r="D56" s="15"/>
      <c r="E56" s="16"/>
      <c r="F56" s="16"/>
      <c r="G56" s="15"/>
      <c r="H56" s="16"/>
      <c r="I56" s="16"/>
    </row>
    <row r="57" spans="1:15">
      <c r="D57" s="15"/>
      <c r="E57" s="16"/>
      <c r="F57" s="16"/>
      <c r="G57" s="15"/>
      <c r="H57" s="16"/>
      <c r="I57" s="16"/>
    </row>
    <row r="58" spans="1:15">
      <c r="D58" s="15"/>
      <c r="E58" s="16"/>
      <c r="F58" s="16"/>
      <c r="G58" s="15"/>
      <c r="H58" s="16"/>
      <c r="I58" s="16"/>
    </row>
    <row r="59" spans="1:15">
      <c r="D59" s="15"/>
      <c r="E59" s="16"/>
      <c r="F59" s="16"/>
      <c r="G59" s="15"/>
      <c r="H59" s="16"/>
      <c r="I59" s="16"/>
    </row>
    <row r="60" spans="1:15">
      <c r="D60" s="15"/>
      <c r="E60" s="16"/>
      <c r="F60" s="16"/>
      <c r="G60" s="15"/>
      <c r="H60" s="16"/>
      <c r="I60" s="16"/>
    </row>
    <row r="61" spans="1:15">
      <c r="D61" s="15"/>
      <c r="E61" s="16"/>
      <c r="F61" s="16"/>
      <c r="G61" s="15"/>
      <c r="H61" s="16"/>
      <c r="I61" s="16"/>
    </row>
    <row r="62" spans="1:15">
      <c r="D62" s="15"/>
      <c r="E62" s="16"/>
      <c r="F62" s="16"/>
      <c r="G62" s="15"/>
      <c r="H62" s="16"/>
      <c r="I62" s="16"/>
    </row>
    <row r="63" spans="1:15">
      <c r="D63" s="15"/>
      <c r="E63" s="16"/>
      <c r="F63" s="16"/>
      <c r="G63" s="15"/>
      <c r="H63" s="16"/>
      <c r="I63" s="16"/>
    </row>
    <row r="64" spans="1:15">
      <c r="D64" s="15"/>
      <c r="E64" s="16"/>
      <c r="F64" s="16"/>
      <c r="G64" s="15"/>
      <c r="H64" s="16"/>
      <c r="I64" s="16"/>
    </row>
    <row r="65" spans="4:9">
      <c r="D65" s="15"/>
      <c r="E65" s="16"/>
      <c r="F65" s="16"/>
      <c r="G65" s="15"/>
      <c r="H65" s="16"/>
      <c r="I65" s="16"/>
    </row>
    <row r="66" spans="4:9">
      <c r="D66" s="15"/>
      <c r="E66" s="16"/>
      <c r="F66" s="16"/>
      <c r="G66" s="15"/>
      <c r="H66" s="16"/>
      <c r="I66" s="16"/>
    </row>
    <row r="67" spans="4:9">
      <c r="D67" s="15"/>
      <c r="E67" s="16"/>
      <c r="F67" s="16"/>
      <c r="G67" s="15"/>
      <c r="H67" s="16"/>
      <c r="I67" s="16"/>
    </row>
    <row r="68" spans="4:9">
      <c r="D68" s="15"/>
      <c r="E68" s="16"/>
      <c r="F68" s="16"/>
      <c r="G68" s="15"/>
      <c r="H68" s="16"/>
      <c r="I68" s="16"/>
    </row>
  </sheetData>
  <pageMargins left="0.7" right="0.7" top="0.75" bottom="0.75" header="0.3" footer="0.3"/>
  <pageSetup scale="4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9A7-05CD-4415-A821-28085CDD6465}">
  <sheetPr>
    <pageSetUpPr fitToPage="1"/>
  </sheetPr>
  <dimension ref="A1:AA51"/>
  <sheetViews>
    <sheetView topLeftCell="A12" zoomScale="80" zoomScaleNormal="80" workbookViewId="0">
      <selection activeCell="G41" sqref="G41"/>
    </sheetView>
  </sheetViews>
  <sheetFormatPr defaultRowHeight="15"/>
  <cols>
    <col min="1" max="1" width="32.7109375" style="15" customWidth="1"/>
    <col min="2" max="3" width="10.7109375" style="16" customWidth="1"/>
    <col min="4" max="4" width="38.85546875" customWidth="1"/>
    <col min="7" max="7" width="28.42578125" customWidth="1"/>
    <col min="10" max="10" width="33" customWidth="1"/>
    <col min="13" max="13" width="29.85546875" customWidth="1"/>
    <col min="16" max="16" width="38.140625" customWidth="1"/>
    <col min="19" max="19" width="33.5703125" customWidth="1"/>
    <col min="22" max="22" width="32.85546875" customWidth="1"/>
    <col min="25" max="25" width="38.140625" customWidth="1"/>
  </cols>
  <sheetData>
    <row r="1" spans="1:27" ht="34.5">
      <c r="A1" s="17" t="s">
        <v>196</v>
      </c>
      <c r="B1" s="18"/>
      <c r="C1" s="18"/>
      <c r="D1" s="17" t="s">
        <v>197</v>
      </c>
      <c r="E1" s="18"/>
      <c r="F1" s="18"/>
      <c r="G1" s="17" t="s">
        <v>198</v>
      </c>
      <c r="H1" s="18"/>
      <c r="I1" s="18"/>
      <c r="J1" s="17" t="s">
        <v>199</v>
      </c>
      <c r="K1" s="18"/>
      <c r="L1" s="18"/>
      <c r="M1" s="17" t="s">
        <v>200</v>
      </c>
      <c r="N1" s="18"/>
      <c r="O1" s="18"/>
      <c r="P1" s="17" t="s">
        <v>414</v>
      </c>
      <c r="Q1" s="18"/>
      <c r="R1" s="18"/>
      <c r="S1" s="17" t="s">
        <v>415</v>
      </c>
      <c r="T1" s="18"/>
      <c r="U1" s="18"/>
      <c r="V1" s="17" t="s">
        <v>416</v>
      </c>
      <c r="W1" s="18"/>
      <c r="X1" s="18"/>
      <c r="Y1" s="17" t="s">
        <v>417</v>
      </c>
      <c r="Z1" s="18"/>
      <c r="AA1" s="18"/>
    </row>
    <row r="2" spans="1:27" ht="20.25" customHeight="1">
      <c r="A2" s="4" t="s">
        <v>0</v>
      </c>
      <c r="B2" s="4" t="s">
        <v>1</v>
      </c>
      <c r="C2" s="4" t="s">
        <v>2</v>
      </c>
      <c r="D2" s="4" t="s">
        <v>0</v>
      </c>
      <c r="E2" s="4" t="s">
        <v>1</v>
      </c>
      <c r="F2" s="4" t="s">
        <v>2</v>
      </c>
      <c r="G2" s="4" t="s">
        <v>0</v>
      </c>
      <c r="H2" s="4" t="s">
        <v>1</v>
      </c>
      <c r="I2" s="4" t="s">
        <v>2</v>
      </c>
      <c r="J2" s="4" t="s">
        <v>0</v>
      </c>
      <c r="K2" s="4" t="s">
        <v>1</v>
      </c>
      <c r="L2" s="4" t="s">
        <v>2</v>
      </c>
      <c r="M2" s="4" t="s">
        <v>0</v>
      </c>
      <c r="N2" s="4" t="s">
        <v>1</v>
      </c>
      <c r="O2" s="4" t="s">
        <v>2</v>
      </c>
      <c r="P2" s="4" t="s">
        <v>0</v>
      </c>
      <c r="Q2" s="4" t="s">
        <v>1</v>
      </c>
      <c r="R2" s="4" t="s">
        <v>2</v>
      </c>
      <c r="S2" s="4" t="s">
        <v>0</v>
      </c>
      <c r="T2" s="4" t="s">
        <v>1</v>
      </c>
      <c r="U2" s="4" t="s">
        <v>2</v>
      </c>
      <c r="V2" s="4" t="s">
        <v>0</v>
      </c>
      <c r="W2" s="4" t="s">
        <v>1</v>
      </c>
      <c r="X2" s="4" t="s">
        <v>2</v>
      </c>
      <c r="Y2" s="4" t="s">
        <v>0</v>
      </c>
      <c r="Z2" s="4" t="s">
        <v>1</v>
      </c>
      <c r="AA2" s="4" t="s">
        <v>2</v>
      </c>
    </row>
    <row r="3" spans="1:27" ht="20.25" customHeight="1">
      <c r="A3" s="19" t="s">
        <v>413</v>
      </c>
      <c r="B3" s="20"/>
      <c r="C3" s="20"/>
      <c r="D3" s="19" t="s">
        <v>413</v>
      </c>
      <c r="E3" s="20"/>
      <c r="F3" s="20"/>
      <c r="G3" s="19" t="s">
        <v>413</v>
      </c>
      <c r="H3" s="20"/>
      <c r="I3" s="20"/>
      <c r="J3" s="19" t="s">
        <v>413</v>
      </c>
      <c r="K3" s="20"/>
      <c r="L3" s="20"/>
      <c r="M3" s="19" t="s">
        <v>413</v>
      </c>
      <c r="N3" s="20"/>
      <c r="O3" s="20"/>
      <c r="P3" s="19" t="s">
        <v>413</v>
      </c>
      <c r="Q3" s="20"/>
      <c r="R3" s="20"/>
      <c r="S3" s="19" t="s">
        <v>413</v>
      </c>
      <c r="T3" s="20"/>
      <c r="U3" s="20"/>
      <c r="V3" s="19" t="s">
        <v>413</v>
      </c>
      <c r="W3" s="20"/>
      <c r="X3" s="20"/>
      <c r="Y3" s="19" t="s">
        <v>413</v>
      </c>
      <c r="Z3" s="20"/>
      <c r="AA3" s="20"/>
    </row>
    <row r="4" spans="1:27" ht="20.25" customHeight="1">
      <c r="A4" s="21" t="s">
        <v>94</v>
      </c>
      <c r="B4" s="22">
        <v>1</v>
      </c>
      <c r="C4" s="23" t="s">
        <v>6</v>
      </c>
      <c r="D4" s="21" t="s">
        <v>94</v>
      </c>
      <c r="E4" s="22">
        <v>1</v>
      </c>
      <c r="F4" s="23" t="s">
        <v>6</v>
      </c>
      <c r="G4" s="21" t="s">
        <v>94</v>
      </c>
      <c r="H4" s="22">
        <v>1</v>
      </c>
      <c r="I4" s="23" t="s">
        <v>6</v>
      </c>
      <c r="J4" s="21" t="s">
        <v>94</v>
      </c>
      <c r="K4" s="22">
        <v>1</v>
      </c>
      <c r="L4" s="23" t="s">
        <v>6</v>
      </c>
      <c r="M4" s="21" t="s">
        <v>94</v>
      </c>
      <c r="N4" s="22">
        <v>1</v>
      </c>
      <c r="O4" s="23" t="s">
        <v>6</v>
      </c>
      <c r="P4" s="81" t="s">
        <v>55</v>
      </c>
      <c r="Q4" s="82">
        <v>1</v>
      </c>
      <c r="R4" s="83" t="s">
        <v>6</v>
      </c>
      <c r="S4" s="81" t="s">
        <v>55</v>
      </c>
      <c r="T4" s="82">
        <v>1</v>
      </c>
      <c r="U4" s="83" t="s">
        <v>6</v>
      </c>
      <c r="V4" s="81" t="s">
        <v>55</v>
      </c>
      <c r="W4" s="82">
        <v>1</v>
      </c>
      <c r="X4" s="83" t="s">
        <v>6</v>
      </c>
      <c r="Y4" s="81" t="s">
        <v>55</v>
      </c>
      <c r="Z4" s="82">
        <v>1</v>
      </c>
      <c r="AA4" s="83" t="s">
        <v>6</v>
      </c>
    </row>
    <row r="5" spans="1:27" ht="20.25" customHeight="1">
      <c r="A5" s="21" t="s">
        <v>111</v>
      </c>
      <c r="B5" s="22">
        <v>1</v>
      </c>
      <c r="C5" s="23" t="s">
        <v>6</v>
      </c>
      <c r="D5" s="21" t="s">
        <v>111</v>
      </c>
      <c r="E5" s="22">
        <v>1</v>
      </c>
      <c r="F5" s="23" t="s">
        <v>6</v>
      </c>
      <c r="G5" s="21" t="s">
        <v>111</v>
      </c>
      <c r="H5" s="22">
        <v>1</v>
      </c>
      <c r="I5" s="23" t="s">
        <v>6</v>
      </c>
      <c r="J5" s="21" t="s">
        <v>111</v>
      </c>
      <c r="K5" s="22">
        <v>1</v>
      </c>
      <c r="L5" s="23" t="s">
        <v>6</v>
      </c>
      <c r="M5" s="21" t="s">
        <v>111</v>
      </c>
      <c r="N5" s="22">
        <v>1</v>
      </c>
      <c r="O5" s="23" t="s">
        <v>6</v>
      </c>
      <c r="P5" s="81" t="s">
        <v>56</v>
      </c>
      <c r="Q5" s="82">
        <v>1</v>
      </c>
      <c r="R5" s="83" t="s">
        <v>6</v>
      </c>
      <c r="S5" s="81" t="s">
        <v>56</v>
      </c>
      <c r="T5" s="82">
        <v>1</v>
      </c>
      <c r="U5" s="83" t="s">
        <v>6</v>
      </c>
      <c r="V5" s="81" t="s">
        <v>56</v>
      </c>
      <c r="W5" s="82">
        <v>1</v>
      </c>
      <c r="X5" s="83" t="s">
        <v>6</v>
      </c>
      <c r="Y5" s="81" t="s">
        <v>56</v>
      </c>
      <c r="Z5" s="82">
        <v>1</v>
      </c>
      <c r="AA5" s="83" t="s">
        <v>6</v>
      </c>
    </row>
    <row r="6" spans="1:27" ht="20.25" customHeight="1">
      <c r="A6" s="21" t="s">
        <v>112</v>
      </c>
      <c r="B6" s="22">
        <v>1</v>
      </c>
      <c r="C6" s="23" t="s">
        <v>6</v>
      </c>
      <c r="D6" s="21" t="s">
        <v>112</v>
      </c>
      <c r="E6" s="22">
        <v>1</v>
      </c>
      <c r="F6" s="23" t="s">
        <v>6</v>
      </c>
      <c r="G6" s="21" t="s">
        <v>112</v>
      </c>
      <c r="H6" s="22">
        <v>1</v>
      </c>
      <c r="I6" s="23" t="s">
        <v>6</v>
      </c>
      <c r="J6" s="21" t="s">
        <v>112</v>
      </c>
      <c r="K6" s="22">
        <v>1</v>
      </c>
      <c r="L6" s="23" t="s">
        <v>6</v>
      </c>
      <c r="M6" s="21" t="s">
        <v>112</v>
      </c>
      <c r="N6" s="22">
        <v>1</v>
      </c>
      <c r="O6" s="23" t="s">
        <v>6</v>
      </c>
      <c r="P6" s="81" t="s">
        <v>78</v>
      </c>
      <c r="Q6" s="82">
        <v>1</v>
      </c>
      <c r="R6" s="83" t="s">
        <v>6</v>
      </c>
      <c r="S6" s="81" t="s">
        <v>78</v>
      </c>
      <c r="T6" s="82">
        <v>1</v>
      </c>
      <c r="U6" s="83" t="s">
        <v>6</v>
      </c>
      <c r="V6" s="81" t="s">
        <v>78</v>
      </c>
      <c r="W6" s="82">
        <v>1</v>
      </c>
      <c r="X6" s="83" t="s">
        <v>6</v>
      </c>
      <c r="Y6" s="81" t="s">
        <v>78</v>
      </c>
      <c r="Z6" s="82">
        <v>1</v>
      </c>
      <c r="AA6" s="83" t="s">
        <v>6</v>
      </c>
    </row>
    <row r="7" spans="1:27" ht="20.25" customHeight="1">
      <c r="A7" s="21" t="s">
        <v>113</v>
      </c>
      <c r="B7" s="22">
        <v>1</v>
      </c>
      <c r="C7" s="23" t="s">
        <v>6</v>
      </c>
      <c r="D7" s="21" t="s">
        <v>113</v>
      </c>
      <c r="E7" s="22">
        <v>1</v>
      </c>
      <c r="F7" s="23" t="s">
        <v>6</v>
      </c>
      <c r="G7" s="21" t="s">
        <v>113</v>
      </c>
      <c r="H7" s="22">
        <v>1</v>
      </c>
      <c r="I7" s="23" t="s">
        <v>6</v>
      </c>
      <c r="J7" s="21" t="s">
        <v>113</v>
      </c>
      <c r="K7" s="22">
        <v>1</v>
      </c>
      <c r="L7" s="23" t="s">
        <v>6</v>
      </c>
      <c r="M7" s="21" t="s">
        <v>113</v>
      </c>
      <c r="N7" s="22">
        <v>1</v>
      </c>
      <c r="O7" s="23" t="s">
        <v>6</v>
      </c>
      <c r="P7" s="81" t="s">
        <v>79</v>
      </c>
      <c r="Q7" s="82">
        <v>1</v>
      </c>
      <c r="R7" s="83" t="s">
        <v>6</v>
      </c>
      <c r="S7" s="81" t="s">
        <v>79</v>
      </c>
      <c r="T7" s="82">
        <v>1</v>
      </c>
      <c r="U7" s="83" t="s">
        <v>6</v>
      </c>
      <c r="V7" s="81" t="s">
        <v>79</v>
      </c>
      <c r="W7" s="82">
        <v>1</v>
      </c>
      <c r="X7" s="83" t="s">
        <v>6</v>
      </c>
      <c r="Y7" s="81" t="s">
        <v>79</v>
      </c>
      <c r="Z7" s="82">
        <v>1</v>
      </c>
      <c r="AA7" s="83" t="s">
        <v>6</v>
      </c>
    </row>
    <row r="8" spans="1:27" ht="20.25" customHeight="1">
      <c r="A8" s="21" t="s">
        <v>114</v>
      </c>
      <c r="B8" s="22">
        <v>1</v>
      </c>
      <c r="C8" s="23" t="s">
        <v>6</v>
      </c>
      <c r="D8" s="21" t="s">
        <v>114</v>
      </c>
      <c r="E8" s="22">
        <v>1</v>
      </c>
      <c r="F8" s="23" t="s">
        <v>6</v>
      </c>
      <c r="G8" s="21" t="s">
        <v>114</v>
      </c>
      <c r="H8" s="22">
        <v>1</v>
      </c>
      <c r="I8" s="23" t="s">
        <v>6</v>
      </c>
      <c r="J8" s="21" t="s">
        <v>114</v>
      </c>
      <c r="K8" s="22">
        <v>1</v>
      </c>
      <c r="L8" s="23" t="s">
        <v>6</v>
      </c>
      <c r="M8" s="21" t="s">
        <v>114</v>
      </c>
      <c r="N8" s="22">
        <v>1</v>
      </c>
      <c r="O8" s="23" t="s">
        <v>6</v>
      </c>
      <c r="P8" s="81" t="s">
        <v>80</v>
      </c>
      <c r="Q8" s="82">
        <v>1</v>
      </c>
      <c r="R8" s="83" t="s">
        <v>6</v>
      </c>
      <c r="S8" s="81" t="s">
        <v>80</v>
      </c>
      <c r="T8" s="82">
        <v>1</v>
      </c>
      <c r="U8" s="83" t="s">
        <v>6</v>
      </c>
      <c r="V8" s="81" t="s">
        <v>80</v>
      </c>
      <c r="W8" s="82">
        <v>1</v>
      </c>
      <c r="X8" s="83" t="s">
        <v>6</v>
      </c>
      <c r="Y8" s="81" t="s">
        <v>80</v>
      </c>
      <c r="Z8" s="82">
        <v>1</v>
      </c>
      <c r="AA8" s="83" t="s">
        <v>6</v>
      </c>
    </row>
    <row r="9" spans="1:27" ht="20.25" customHeight="1">
      <c r="A9" s="21" t="s">
        <v>115</v>
      </c>
      <c r="B9" s="22">
        <v>1</v>
      </c>
      <c r="C9" s="23" t="s">
        <v>6</v>
      </c>
      <c r="D9" s="21" t="s">
        <v>115</v>
      </c>
      <c r="E9" s="22">
        <v>1</v>
      </c>
      <c r="F9" s="23" t="s">
        <v>6</v>
      </c>
      <c r="G9" s="21" t="s">
        <v>115</v>
      </c>
      <c r="H9" s="22">
        <v>1</v>
      </c>
      <c r="I9" s="23" t="s">
        <v>6</v>
      </c>
      <c r="J9" s="21" t="s">
        <v>115</v>
      </c>
      <c r="K9" s="22">
        <v>1</v>
      </c>
      <c r="L9" s="23" t="s">
        <v>6</v>
      </c>
      <c r="M9" s="21" t="s">
        <v>115</v>
      </c>
      <c r="N9" s="22">
        <v>1</v>
      </c>
      <c r="O9" s="23" t="s">
        <v>6</v>
      </c>
      <c r="P9" s="81" t="s">
        <v>81</v>
      </c>
      <c r="Q9" s="82">
        <v>1</v>
      </c>
      <c r="R9" s="83" t="s">
        <v>6</v>
      </c>
      <c r="S9" s="81" t="s">
        <v>81</v>
      </c>
      <c r="T9" s="82">
        <v>1</v>
      </c>
      <c r="U9" s="83" t="s">
        <v>6</v>
      </c>
      <c r="V9" s="81" t="s">
        <v>81</v>
      </c>
      <c r="W9" s="82">
        <v>1</v>
      </c>
      <c r="X9" s="83" t="s">
        <v>6</v>
      </c>
      <c r="Y9" s="81" t="s">
        <v>81</v>
      </c>
      <c r="Z9" s="82">
        <v>1</v>
      </c>
      <c r="AA9" s="83" t="s">
        <v>6</v>
      </c>
    </row>
    <row r="10" spans="1:27" ht="20.25" customHeight="1">
      <c r="A10" s="21" t="s">
        <v>116</v>
      </c>
      <c r="B10" s="22">
        <v>1</v>
      </c>
      <c r="C10" s="23" t="s">
        <v>6</v>
      </c>
      <c r="D10" s="21" t="s">
        <v>116</v>
      </c>
      <c r="E10" s="22">
        <v>1</v>
      </c>
      <c r="F10" s="23" t="s">
        <v>6</v>
      </c>
      <c r="G10" s="21" t="s">
        <v>116</v>
      </c>
      <c r="H10" s="22">
        <v>1</v>
      </c>
      <c r="I10" s="23" t="s">
        <v>6</v>
      </c>
      <c r="J10" s="21" t="s">
        <v>116</v>
      </c>
      <c r="K10" s="22">
        <v>1</v>
      </c>
      <c r="L10" s="23" t="s">
        <v>6</v>
      </c>
      <c r="M10" s="21" t="s">
        <v>116</v>
      </c>
      <c r="N10" s="22">
        <v>1</v>
      </c>
      <c r="O10" s="23" t="s">
        <v>6</v>
      </c>
      <c r="P10" s="81" t="s">
        <v>82</v>
      </c>
      <c r="Q10" s="82">
        <v>1</v>
      </c>
      <c r="R10" s="83" t="s">
        <v>6</v>
      </c>
      <c r="S10" s="81" t="s">
        <v>82</v>
      </c>
      <c r="T10" s="82">
        <v>1</v>
      </c>
      <c r="U10" s="83" t="s">
        <v>6</v>
      </c>
      <c r="V10" s="81" t="s">
        <v>82</v>
      </c>
      <c r="W10" s="82">
        <v>1</v>
      </c>
      <c r="X10" s="83" t="s">
        <v>6</v>
      </c>
      <c r="Y10" s="81" t="s">
        <v>82</v>
      </c>
      <c r="Z10" s="82">
        <v>1</v>
      </c>
      <c r="AA10" s="83" t="s">
        <v>6</v>
      </c>
    </row>
    <row r="11" spans="1:27" ht="20.25" customHeight="1">
      <c r="A11" s="21" t="s">
        <v>117</v>
      </c>
      <c r="B11" s="22">
        <v>1</v>
      </c>
      <c r="C11" s="23" t="s">
        <v>6</v>
      </c>
      <c r="D11" s="21" t="s">
        <v>117</v>
      </c>
      <c r="E11" s="22">
        <v>1</v>
      </c>
      <c r="F11" s="23" t="s">
        <v>6</v>
      </c>
      <c r="G11" s="21" t="s">
        <v>117</v>
      </c>
      <c r="H11" s="22">
        <v>1</v>
      </c>
      <c r="I11" s="23" t="s">
        <v>6</v>
      </c>
      <c r="J11" s="21" t="s">
        <v>117</v>
      </c>
      <c r="K11" s="22">
        <v>1</v>
      </c>
      <c r="L11" s="23" t="s">
        <v>6</v>
      </c>
      <c r="M11" s="21" t="s">
        <v>117</v>
      </c>
      <c r="N11" s="22">
        <v>1</v>
      </c>
      <c r="O11" s="23" t="s">
        <v>6</v>
      </c>
      <c r="P11" s="81" t="s">
        <v>83</v>
      </c>
      <c r="Q11" s="82">
        <v>1</v>
      </c>
      <c r="R11" s="83" t="s">
        <v>6</v>
      </c>
      <c r="S11" s="81" t="s">
        <v>83</v>
      </c>
      <c r="T11" s="82">
        <v>1</v>
      </c>
      <c r="U11" s="83" t="s">
        <v>6</v>
      </c>
      <c r="V11" s="81" t="s">
        <v>83</v>
      </c>
      <c r="W11" s="82">
        <v>1</v>
      </c>
      <c r="X11" s="83" t="s">
        <v>6</v>
      </c>
      <c r="Y11" s="81" t="s">
        <v>83</v>
      </c>
      <c r="Z11" s="82">
        <v>1</v>
      </c>
      <c r="AA11" s="83" t="s">
        <v>6</v>
      </c>
    </row>
    <row r="12" spans="1:27">
      <c r="A12" s="21" t="s">
        <v>100</v>
      </c>
      <c r="B12" s="22">
        <v>1</v>
      </c>
      <c r="C12" s="23" t="s">
        <v>6</v>
      </c>
      <c r="D12" s="21" t="s">
        <v>100</v>
      </c>
      <c r="E12" s="22">
        <v>1</v>
      </c>
      <c r="F12" s="23" t="s">
        <v>6</v>
      </c>
      <c r="G12" s="48" t="s">
        <v>268</v>
      </c>
      <c r="H12" s="22">
        <v>1</v>
      </c>
      <c r="I12" s="23" t="s">
        <v>6</v>
      </c>
      <c r="J12" s="48" t="s">
        <v>212</v>
      </c>
      <c r="K12" s="22">
        <v>1</v>
      </c>
      <c r="L12" s="23" t="s">
        <v>6</v>
      </c>
      <c r="M12" s="21" t="s">
        <v>100</v>
      </c>
      <c r="N12" s="22">
        <v>1</v>
      </c>
      <c r="O12" s="23" t="s">
        <v>6</v>
      </c>
      <c r="P12" s="81" t="s">
        <v>84</v>
      </c>
      <c r="Q12" s="82">
        <v>1</v>
      </c>
      <c r="R12" s="83" t="s">
        <v>6</v>
      </c>
      <c r="S12" s="81" t="s">
        <v>84</v>
      </c>
      <c r="T12" s="82">
        <v>1</v>
      </c>
      <c r="U12" s="83" t="s">
        <v>6</v>
      </c>
      <c r="V12" s="81" t="s">
        <v>84</v>
      </c>
      <c r="W12" s="82">
        <v>1</v>
      </c>
      <c r="X12" s="83" t="s">
        <v>6</v>
      </c>
      <c r="Y12" s="81" t="s">
        <v>84</v>
      </c>
      <c r="Z12" s="82">
        <v>1</v>
      </c>
      <c r="AA12" s="83" t="s">
        <v>6</v>
      </c>
    </row>
    <row r="13" spans="1:27">
      <c r="A13" s="21" t="s">
        <v>201</v>
      </c>
      <c r="B13" s="22">
        <v>1</v>
      </c>
      <c r="C13" s="23" t="s">
        <v>6</v>
      </c>
      <c r="D13" s="21" t="s">
        <v>201</v>
      </c>
      <c r="E13" s="22">
        <v>1</v>
      </c>
      <c r="F13" s="23" t="s">
        <v>6</v>
      </c>
      <c r="G13" s="21" t="s">
        <v>202</v>
      </c>
      <c r="H13" s="22">
        <v>1</v>
      </c>
      <c r="I13" s="23" t="s">
        <v>6</v>
      </c>
      <c r="J13" s="21" t="s">
        <v>202</v>
      </c>
      <c r="K13" s="22">
        <v>1</v>
      </c>
      <c r="L13" s="23" t="s">
        <v>6</v>
      </c>
      <c r="M13" s="21" t="s">
        <v>203</v>
      </c>
      <c r="N13" s="22">
        <v>1</v>
      </c>
      <c r="O13" s="23" t="s">
        <v>6</v>
      </c>
      <c r="P13" s="81" t="s">
        <v>85</v>
      </c>
      <c r="Q13" s="82">
        <v>1</v>
      </c>
      <c r="R13" s="83" t="s">
        <v>6</v>
      </c>
      <c r="S13" s="81" t="s">
        <v>85</v>
      </c>
      <c r="T13" s="82">
        <v>1</v>
      </c>
      <c r="U13" s="83" t="s">
        <v>6</v>
      </c>
      <c r="V13" s="81" t="s">
        <v>85</v>
      </c>
      <c r="W13" s="82">
        <v>1</v>
      </c>
      <c r="X13" s="83" t="s">
        <v>6</v>
      </c>
      <c r="Y13" s="81" t="s">
        <v>85</v>
      </c>
      <c r="Z13" s="82">
        <v>1</v>
      </c>
      <c r="AA13" s="83" t="s">
        <v>6</v>
      </c>
    </row>
    <row r="14" spans="1:27">
      <c r="A14" s="21" t="s">
        <v>248</v>
      </c>
      <c r="B14" s="22">
        <v>1</v>
      </c>
      <c r="C14" s="23" t="s">
        <v>236</v>
      </c>
      <c r="D14" s="21" t="s">
        <v>418</v>
      </c>
      <c r="E14" s="22">
        <v>1</v>
      </c>
      <c r="F14" s="23" t="s">
        <v>236</v>
      </c>
      <c r="G14" s="21" t="s">
        <v>248</v>
      </c>
      <c r="H14" s="22">
        <v>1</v>
      </c>
      <c r="I14" s="23" t="s">
        <v>236</v>
      </c>
      <c r="J14" s="21" t="s">
        <v>248</v>
      </c>
      <c r="K14" s="22">
        <v>1</v>
      </c>
      <c r="L14" s="23" t="s">
        <v>236</v>
      </c>
      <c r="M14" s="21" t="s">
        <v>248</v>
      </c>
      <c r="N14" s="22">
        <v>1</v>
      </c>
      <c r="O14" s="23" t="s">
        <v>236</v>
      </c>
      <c r="P14" s="81"/>
      <c r="Q14" s="82"/>
      <c r="R14" s="83"/>
      <c r="S14" s="81"/>
      <c r="T14" s="82"/>
      <c r="U14" s="83"/>
      <c r="V14" s="81"/>
      <c r="W14" s="82"/>
      <c r="X14" s="83"/>
      <c r="Y14" s="81"/>
      <c r="Z14" s="82"/>
      <c r="AA14" s="83"/>
    </row>
    <row r="15" spans="1:27">
      <c r="A15" s="19" t="s">
        <v>119</v>
      </c>
      <c r="B15" s="20"/>
      <c r="C15" s="20"/>
      <c r="D15" s="19" t="s">
        <v>119</v>
      </c>
      <c r="E15" s="20"/>
      <c r="F15" s="20"/>
      <c r="G15" s="19" t="s">
        <v>119</v>
      </c>
      <c r="H15" s="20"/>
      <c r="I15" s="20"/>
      <c r="J15" s="19" t="s">
        <v>119</v>
      </c>
      <c r="K15" s="20"/>
      <c r="L15" s="20"/>
      <c r="M15" s="19" t="s">
        <v>119</v>
      </c>
      <c r="N15" s="20"/>
      <c r="O15" s="20"/>
      <c r="P15" s="81" t="s">
        <v>86</v>
      </c>
      <c r="Q15" s="82">
        <v>1</v>
      </c>
      <c r="R15" s="83" t="s">
        <v>6</v>
      </c>
      <c r="S15" s="81" t="s">
        <v>86</v>
      </c>
      <c r="T15" s="82">
        <v>1</v>
      </c>
      <c r="U15" s="83" t="s">
        <v>6</v>
      </c>
      <c r="V15" s="81" t="s">
        <v>86</v>
      </c>
      <c r="W15" s="82">
        <v>1</v>
      </c>
      <c r="X15" s="83" t="s">
        <v>6</v>
      </c>
      <c r="Y15" s="81" t="s">
        <v>86</v>
      </c>
      <c r="Z15" s="82">
        <v>1</v>
      </c>
      <c r="AA15" s="83" t="s">
        <v>6</v>
      </c>
    </row>
    <row r="16" spans="1:27">
      <c r="A16" s="25" t="s">
        <v>120</v>
      </c>
      <c r="B16" s="26">
        <v>10</v>
      </c>
      <c r="C16" s="27" t="s">
        <v>13</v>
      </c>
      <c r="D16" s="25" t="s">
        <v>249</v>
      </c>
      <c r="E16" s="26" t="s">
        <v>252</v>
      </c>
      <c r="F16" s="27" t="s">
        <v>13</v>
      </c>
      <c r="G16" s="25" t="s">
        <v>120</v>
      </c>
      <c r="H16" s="26">
        <v>10</v>
      </c>
      <c r="I16" s="27" t="s">
        <v>13</v>
      </c>
      <c r="J16" s="25" t="s">
        <v>120</v>
      </c>
      <c r="K16" s="26">
        <v>10</v>
      </c>
      <c r="L16" s="27" t="s">
        <v>13</v>
      </c>
      <c r="M16" s="25" t="s">
        <v>120</v>
      </c>
      <c r="N16" s="26">
        <v>10</v>
      </c>
      <c r="O16" s="27" t="s">
        <v>13</v>
      </c>
      <c r="P16" s="81" t="s">
        <v>87</v>
      </c>
      <c r="Q16" s="82">
        <v>1</v>
      </c>
      <c r="R16" s="83" t="s">
        <v>6</v>
      </c>
      <c r="S16" s="81" t="s">
        <v>87</v>
      </c>
      <c r="T16" s="82">
        <v>1</v>
      </c>
      <c r="U16" s="83" t="s">
        <v>6</v>
      </c>
      <c r="V16" s="81" t="s">
        <v>87</v>
      </c>
      <c r="W16" s="82">
        <v>1</v>
      </c>
      <c r="X16" s="83" t="s">
        <v>6</v>
      </c>
      <c r="Y16" s="81" t="s">
        <v>87</v>
      </c>
      <c r="Z16" s="82">
        <v>1</v>
      </c>
      <c r="AA16" s="83" t="s">
        <v>6</v>
      </c>
    </row>
    <row r="17" spans="1:27">
      <c r="A17" s="25" t="s">
        <v>324</v>
      </c>
      <c r="B17" s="26">
        <v>15</v>
      </c>
      <c r="C17" s="27" t="s">
        <v>13</v>
      </c>
      <c r="D17" s="25" t="s">
        <v>250</v>
      </c>
      <c r="E17" s="26" t="s">
        <v>251</v>
      </c>
      <c r="F17" s="27" t="s">
        <v>65</v>
      </c>
      <c r="G17" s="25" t="s">
        <v>247</v>
      </c>
      <c r="H17" s="26">
        <v>15</v>
      </c>
      <c r="I17" s="27" t="s">
        <v>65</v>
      </c>
      <c r="J17" s="25" t="s">
        <v>121</v>
      </c>
      <c r="K17" s="26">
        <v>15</v>
      </c>
      <c r="L17" s="27" t="s">
        <v>65</v>
      </c>
      <c r="M17" s="25" t="s">
        <v>324</v>
      </c>
      <c r="N17" s="26">
        <v>15</v>
      </c>
      <c r="O17" s="27" t="s">
        <v>13</v>
      </c>
      <c r="P17" s="81" t="s">
        <v>88</v>
      </c>
      <c r="Q17" s="82">
        <v>1</v>
      </c>
      <c r="R17" s="83" t="s">
        <v>6</v>
      </c>
      <c r="S17" s="81" t="s">
        <v>88</v>
      </c>
      <c r="T17" s="82">
        <v>1</v>
      </c>
      <c r="U17" s="83" t="s">
        <v>6</v>
      </c>
      <c r="V17" s="81" t="s">
        <v>88</v>
      </c>
      <c r="W17" s="82">
        <v>1</v>
      </c>
      <c r="X17" s="83" t="s">
        <v>6</v>
      </c>
      <c r="Y17" s="81" t="s">
        <v>88</v>
      </c>
      <c r="Z17" s="82">
        <v>1</v>
      </c>
      <c r="AA17" s="83" t="s">
        <v>6</v>
      </c>
    </row>
    <row r="18" spans="1:27">
      <c r="A18" s="25" t="s">
        <v>325</v>
      </c>
      <c r="B18" s="26">
        <v>15</v>
      </c>
      <c r="C18" s="27" t="s">
        <v>13</v>
      </c>
      <c r="D18" s="25"/>
      <c r="E18" s="26"/>
      <c r="F18" s="27"/>
      <c r="G18" s="25" t="s">
        <v>233</v>
      </c>
      <c r="H18" s="26">
        <v>2</v>
      </c>
      <c r="I18" s="27" t="s">
        <v>236</v>
      </c>
      <c r="J18" s="25" t="s">
        <v>227</v>
      </c>
      <c r="K18" s="26">
        <v>10</v>
      </c>
      <c r="L18" s="27" t="s">
        <v>13</v>
      </c>
      <c r="M18" s="25" t="s">
        <v>325</v>
      </c>
      <c r="N18" s="26">
        <v>15</v>
      </c>
      <c r="O18" s="27" t="s">
        <v>13</v>
      </c>
      <c r="P18" s="81" t="s">
        <v>89</v>
      </c>
      <c r="Q18" s="82">
        <v>1</v>
      </c>
      <c r="R18" s="83" t="s">
        <v>6</v>
      </c>
      <c r="S18" s="81" t="s">
        <v>89</v>
      </c>
      <c r="T18" s="82">
        <v>1</v>
      </c>
      <c r="U18" s="83" t="s">
        <v>6</v>
      </c>
      <c r="V18" s="81" t="s">
        <v>89</v>
      </c>
      <c r="W18" s="82">
        <v>1</v>
      </c>
      <c r="X18" s="83" t="s">
        <v>6</v>
      </c>
      <c r="Y18" s="81" t="s">
        <v>89</v>
      </c>
      <c r="Z18" s="82">
        <v>1</v>
      </c>
      <c r="AA18" s="83" t="s">
        <v>6</v>
      </c>
    </row>
    <row r="19" spans="1:27">
      <c r="A19" s="25" t="s">
        <v>319</v>
      </c>
      <c r="B19" s="26">
        <v>15</v>
      </c>
      <c r="C19" s="27" t="s">
        <v>13</v>
      </c>
      <c r="D19" s="25"/>
      <c r="E19" s="26"/>
      <c r="F19" s="27"/>
      <c r="G19" s="25"/>
      <c r="H19" s="26"/>
      <c r="I19" s="27" t="s">
        <v>13</v>
      </c>
      <c r="J19" s="25"/>
      <c r="K19" s="26"/>
      <c r="L19" s="27" t="s">
        <v>13</v>
      </c>
      <c r="M19" s="25" t="s">
        <v>319</v>
      </c>
      <c r="N19" s="26">
        <v>15</v>
      </c>
      <c r="O19" s="27" t="s">
        <v>13</v>
      </c>
      <c r="P19" s="81" t="s">
        <v>224</v>
      </c>
      <c r="Q19" s="82"/>
      <c r="R19" s="83"/>
      <c r="S19" s="81" t="s">
        <v>224</v>
      </c>
      <c r="T19" s="82"/>
      <c r="U19" s="83"/>
      <c r="V19" s="81" t="s">
        <v>224</v>
      </c>
      <c r="W19" s="82"/>
      <c r="X19" s="83"/>
      <c r="Y19" s="81" t="s">
        <v>224</v>
      </c>
      <c r="Z19" s="82"/>
      <c r="AA19" s="83"/>
    </row>
    <row r="20" spans="1:27">
      <c r="A20" s="19" t="s">
        <v>221</v>
      </c>
      <c r="B20" s="20"/>
      <c r="C20" s="20"/>
      <c r="D20" s="19" t="s">
        <v>91</v>
      </c>
      <c r="E20" s="20"/>
      <c r="F20" s="20"/>
      <c r="G20" s="19" t="s">
        <v>221</v>
      </c>
      <c r="H20" s="20"/>
      <c r="I20" s="20"/>
      <c r="J20" s="19" t="s">
        <v>221</v>
      </c>
      <c r="K20" s="20"/>
      <c r="L20" s="20"/>
      <c r="M20" s="19" t="s">
        <v>91</v>
      </c>
      <c r="N20" s="20"/>
      <c r="O20" s="20"/>
      <c r="P20" s="19" t="s">
        <v>230</v>
      </c>
      <c r="Q20" s="20"/>
      <c r="R20" s="20"/>
      <c r="S20" s="19" t="s">
        <v>230</v>
      </c>
      <c r="T20" s="20"/>
      <c r="U20" s="20"/>
      <c r="V20" s="19" t="s">
        <v>90</v>
      </c>
      <c r="W20" s="20"/>
      <c r="X20" s="20"/>
      <c r="Y20" s="19" t="s">
        <v>230</v>
      </c>
      <c r="Z20" s="20"/>
      <c r="AA20" s="20"/>
    </row>
    <row r="21" spans="1:27">
      <c r="A21" s="25" t="s">
        <v>183</v>
      </c>
      <c r="B21" s="26">
        <v>90</v>
      </c>
      <c r="C21" s="27" t="s">
        <v>13</v>
      </c>
      <c r="D21" s="25" t="s">
        <v>419</v>
      </c>
      <c r="E21" s="26">
        <v>4</v>
      </c>
      <c r="F21" s="27" t="s">
        <v>405</v>
      </c>
      <c r="G21" s="25" t="s">
        <v>183</v>
      </c>
      <c r="H21" s="26">
        <v>90</v>
      </c>
      <c r="I21" s="27" t="s">
        <v>13</v>
      </c>
      <c r="J21" s="25" t="s">
        <v>183</v>
      </c>
      <c r="K21" s="26">
        <v>90</v>
      </c>
      <c r="L21" s="27" t="s">
        <v>13</v>
      </c>
      <c r="M21" s="9" t="s">
        <v>419</v>
      </c>
      <c r="N21" s="12">
        <v>4</v>
      </c>
      <c r="O21" s="11" t="s">
        <v>405</v>
      </c>
      <c r="P21" s="25" t="s">
        <v>346</v>
      </c>
      <c r="Q21" s="26">
        <v>20</v>
      </c>
      <c r="R21" s="27" t="s">
        <v>13</v>
      </c>
      <c r="S21" s="25" t="s">
        <v>346</v>
      </c>
      <c r="T21" s="26">
        <v>20</v>
      </c>
      <c r="U21" s="27" t="s">
        <v>13</v>
      </c>
      <c r="V21" s="25" t="s">
        <v>183</v>
      </c>
      <c r="W21" s="26">
        <v>20</v>
      </c>
      <c r="X21" s="27" t="s">
        <v>13</v>
      </c>
      <c r="Y21" s="25" t="s">
        <v>346</v>
      </c>
      <c r="Z21" s="26">
        <v>20</v>
      </c>
      <c r="AA21" s="27" t="s">
        <v>13</v>
      </c>
    </row>
    <row r="22" spans="1:27">
      <c r="A22" s="25" t="s">
        <v>353</v>
      </c>
      <c r="B22" s="26">
        <v>15</v>
      </c>
      <c r="C22" s="27" t="s">
        <v>13</v>
      </c>
      <c r="D22" s="25" t="s">
        <v>185</v>
      </c>
      <c r="E22" s="26">
        <v>30</v>
      </c>
      <c r="F22" s="27" t="s">
        <v>13</v>
      </c>
      <c r="G22" s="25" t="s">
        <v>353</v>
      </c>
      <c r="H22" s="26">
        <v>15</v>
      </c>
      <c r="I22" s="27" t="s">
        <v>13</v>
      </c>
      <c r="J22" s="25" t="s">
        <v>353</v>
      </c>
      <c r="K22" s="26">
        <v>15</v>
      </c>
      <c r="L22" s="27" t="s">
        <v>13</v>
      </c>
      <c r="M22" s="9" t="s">
        <v>185</v>
      </c>
      <c r="N22" s="12">
        <v>30</v>
      </c>
      <c r="O22" s="11" t="s">
        <v>13</v>
      </c>
      <c r="P22" s="25" t="s">
        <v>337</v>
      </c>
      <c r="Q22" s="26">
        <v>8</v>
      </c>
      <c r="R22" s="27" t="s">
        <v>13</v>
      </c>
      <c r="S22" s="25" t="s">
        <v>337</v>
      </c>
      <c r="T22" s="26">
        <v>8</v>
      </c>
      <c r="U22" s="27" t="s">
        <v>13</v>
      </c>
      <c r="V22" s="25" t="s">
        <v>337</v>
      </c>
      <c r="W22" s="26">
        <v>8</v>
      </c>
      <c r="X22" s="27" t="s">
        <v>13</v>
      </c>
      <c r="Y22" s="25" t="s">
        <v>337</v>
      </c>
      <c r="Z22" s="26">
        <v>8</v>
      </c>
      <c r="AA22" s="27" t="s">
        <v>13</v>
      </c>
    </row>
    <row r="23" spans="1:27">
      <c r="A23" s="25" t="s">
        <v>312</v>
      </c>
      <c r="B23" s="26">
        <v>60</v>
      </c>
      <c r="C23" s="27" t="s">
        <v>13</v>
      </c>
      <c r="D23" s="25" t="s">
        <v>329</v>
      </c>
      <c r="E23" s="26">
        <v>15</v>
      </c>
      <c r="F23" s="27" t="s">
        <v>13</v>
      </c>
      <c r="G23" s="25" t="s">
        <v>312</v>
      </c>
      <c r="H23" s="26">
        <v>60</v>
      </c>
      <c r="I23" s="27" t="s">
        <v>13</v>
      </c>
      <c r="J23" s="25" t="s">
        <v>312</v>
      </c>
      <c r="K23" s="26">
        <v>60</v>
      </c>
      <c r="L23" s="27" t="s">
        <v>13</v>
      </c>
      <c r="M23" s="9" t="s">
        <v>329</v>
      </c>
      <c r="N23" s="12">
        <v>15</v>
      </c>
      <c r="O23" s="11" t="s">
        <v>13</v>
      </c>
      <c r="P23" s="25" t="s">
        <v>309</v>
      </c>
      <c r="Q23" s="26">
        <v>45</v>
      </c>
      <c r="R23" s="27" t="s">
        <v>13</v>
      </c>
      <c r="S23" s="25" t="s">
        <v>309</v>
      </c>
      <c r="T23" s="26">
        <v>45</v>
      </c>
      <c r="U23" s="27" t="s">
        <v>13</v>
      </c>
      <c r="V23" s="25" t="s">
        <v>309</v>
      </c>
      <c r="W23" s="26">
        <v>45</v>
      </c>
      <c r="X23" s="27" t="s">
        <v>13</v>
      </c>
      <c r="Y23" s="25" t="s">
        <v>309</v>
      </c>
      <c r="Z23" s="26">
        <v>45</v>
      </c>
      <c r="AA23" s="27" t="s">
        <v>13</v>
      </c>
    </row>
    <row r="24" spans="1:27">
      <c r="A24" s="25" t="s">
        <v>404</v>
      </c>
      <c r="B24" s="26">
        <v>45</v>
      </c>
      <c r="C24" s="27" t="s">
        <v>13</v>
      </c>
      <c r="D24" s="25" t="s">
        <v>28</v>
      </c>
      <c r="E24" s="26">
        <v>8</v>
      </c>
      <c r="F24" s="27" t="s">
        <v>13</v>
      </c>
      <c r="G24" s="25" t="s">
        <v>404</v>
      </c>
      <c r="H24" s="26">
        <v>45</v>
      </c>
      <c r="I24" s="27" t="s">
        <v>13</v>
      </c>
      <c r="J24" s="25" t="s">
        <v>404</v>
      </c>
      <c r="K24" s="26">
        <v>45</v>
      </c>
      <c r="L24" s="27" t="s">
        <v>13</v>
      </c>
      <c r="M24" s="9" t="s">
        <v>28</v>
      </c>
      <c r="N24" s="12">
        <v>8</v>
      </c>
      <c r="O24" s="11" t="s">
        <v>13</v>
      </c>
      <c r="P24" s="25"/>
      <c r="Q24" s="26"/>
      <c r="R24" s="27"/>
      <c r="S24" s="25"/>
      <c r="T24" s="26"/>
      <c r="U24" s="27"/>
      <c r="V24" s="25"/>
      <c r="W24" s="26"/>
      <c r="X24" s="27"/>
      <c r="Y24" s="25"/>
      <c r="Z24" s="26"/>
      <c r="AA24" s="27"/>
    </row>
    <row r="25" spans="1:27">
      <c r="A25" s="19" t="s">
        <v>93</v>
      </c>
      <c r="B25" s="20"/>
      <c r="C25" s="20"/>
      <c r="D25" s="19" t="s">
        <v>93</v>
      </c>
      <c r="E25" s="20"/>
      <c r="F25" s="20"/>
      <c r="G25" s="19" t="s">
        <v>93</v>
      </c>
      <c r="H25" s="20"/>
      <c r="I25" s="20"/>
      <c r="J25" s="19" t="s">
        <v>93</v>
      </c>
      <c r="K25" s="20"/>
      <c r="L25" s="20"/>
      <c r="M25" s="19" t="s">
        <v>93</v>
      </c>
      <c r="N25" s="20"/>
      <c r="O25" s="20"/>
      <c r="P25" s="19" t="s">
        <v>204</v>
      </c>
      <c r="Q25" s="20"/>
      <c r="R25" s="20"/>
      <c r="S25" s="19" t="s">
        <v>205</v>
      </c>
      <c r="T25" s="20"/>
      <c r="U25" s="20"/>
      <c r="V25" s="19" t="s">
        <v>206</v>
      </c>
      <c r="W25" s="20"/>
      <c r="X25" s="20"/>
      <c r="Y25" s="19" t="s">
        <v>207</v>
      </c>
      <c r="Z25" s="20"/>
      <c r="AA25" s="20"/>
    </row>
    <row r="26" spans="1:27">
      <c r="A26" s="25" t="s">
        <v>75</v>
      </c>
      <c r="B26" s="26">
        <v>40</v>
      </c>
      <c r="C26" s="27" t="s">
        <v>13</v>
      </c>
      <c r="D26" s="25" t="s">
        <v>75</v>
      </c>
      <c r="E26" s="26">
        <v>40</v>
      </c>
      <c r="F26" s="27" t="s">
        <v>13</v>
      </c>
      <c r="G26" s="25" t="s">
        <v>223</v>
      </c>
      <c r="H26" s="26">
        <v>40</v>
      </c>
      <c r="I26" s="27" t="s">
        <v>13</v>
      </c>
      <c r="J26" s="25" t="s">
        <v>75</v>
      </c>
      <c r="K26" s="26">
        <v>40</v>
      </c>
      <c r="L26" s="27" t="s">
        <v>13</v>
      </c>
      <c r="M26" s="25" t="s">
        <v>75</v>
      </c>
      <c r="N26" s="26">
        <v>40</v>
      </c>
      <c r="O26" s="27" t="s">
        <v>13</v>
      </c>
      <c r="P26" s="9" t="s">
        <v>277</v>
      </c>
      <c r="Q26" s="12">
        <v>90</v>
      </c>
      <c r="R26" s="11" t="s">
        <v>13</v>
      </c>
      <c r="S26" s="9" t="s">
        <v>282</v>
      </c>
      <c r="T26" s="12">
        <v>90</v>
      </c>
      <c r="U26" s="11" t="s">
        <v>13</v>
      </c>
      <c r="V26" s="9" t="s">
        <v>284</v>
      </c>
      <c r="W26" s="12" t="s">
        <v>423</v>
      </c>
      <c r="X26" s="11" t="s">
        <v>108</v>
      </c>
      <c r="Y26" s="9" t="s">
        <v>290</v>
      </c>
      <c r="Z26" s="12">
        <v>90</v>
      </c>
      <c r="AA26" s="11" t="s">
        <v>13</v>
      </c>
    </row>
    <row r="27" spans="1:27">
      <c r="A27" s="19" t="s">
        <v>123</v>
      </c>
      <c r="B27" s="20"/>
      <c r="C27" s="20"/>
      <c r="D27" s="19" t="s">
        <v>123</v>
      </c>
      <c r="E27" s="20"/>
      <c r="F27" s="20"/>
      <c r="G27" s="19" t="s">
        <v>123</v>
      </c>
      <c r="H27" s="20"/>
      <c r="I27" s="20"/>
      <c r="J27" s="19" t="s">
        <v>123</v>
      </c>
      <c r="K27" s="20"/>
      <c r="L27" s="20"/>
      <c r="M27" s="19" t="s">
        <v>123</v>
      </c>
      <c r="N27" s="20"/>
      <c r="O27" s="20"/>
      <c r="P27" s="9" t="s">
        <v>278</v>
      </c>
      <c r="Q27" s="12">
        <v>30</v>
      </c>
      <c r="R27" s="11" t="s">
        <v>13</v>
      </c>
      <c r="S27" s="9" t="s">
        <v>287</v>
      </c>
      <c r="T27" s="12">
        <v>45</v>
      </c>
      <c r="U27" s="11" t="s">
        <v>13</v>
      </c>
      <c r="V27" s="9" t="s">
        <v>285</v>
      </c>
      <c r="W27" s="12">
        <v>75</v>
      </c>
      <c r="X27" s="11" t="s">
        <v>13</v>
      </c>
      <c r="Y27" s="9" t="s">
        <v>291</v>
      </c>
      <c r="Z27" s="12">
        <v>75</v>
      </c>
      <c r="AA27" s="11" t="s">
        <v>13</v>
      </c>
    </row>
    <row r="28" spans="1:27">
      <c r="A28" s="25" t="s">
        <v>124</v>
      </c>
      <c r="B28" s="26">
        <v>1</v>
      </c>
      <c r="C28" s="27" t="s">
        <v>108</v>
      </c>
      <c r="D28" s="25" t="s">
        <v>124</v>
      </c>
      <c r="E28" s="26">
        <v>1</v>
      </c>
      <c r="F28" s="27" t="s">
        <v>108</v>
      </c>
      <c r="G28" s="25" t="s">
        <v>124</v>
      </c>
      <c r="H28" s="26">
        <v>1</v>
      </c>
      <c r="I28" s="27" t="s">
        <v>108</v>
      </c>
      <c r="J28" s="25" t="s">
        <v>124</v>
      </c>
      <c r="K28" s="26">
        <v>1</v>
      </c>
      <c r="L28" s="27" t="s">
        <v>108</v>
      </c>
      <c r="M28" s="25" t="s">
        <v>124</v>
      </c>
      <c r="N28" s="26">
        <v>1</v>
      </c>
      <c r="O28" s="27" t="s">
        <v>108</v>
      </c>
      <c r="P28" s="9" t="s">
        <v>279</v>
      </c>
      <c r="Q28" s="12">
        <v>10</v>
      </c>
      <c r="R28" s="11" t="s">
        <v>13</v>
      </c>
      <c r="S28" s="9" t="s">
        <v>283</v>
      </c>
      <c r="T28" s="12">
        <v>15</v>
      </c>
      <c r="U28" s="11" t="s">
        <v>13</v>
      </c>
      <c r="V28" s="9" t="s">
        <v>306</v>
      </c>
      <c r="W28" s="12">
        <v>15</v>
      </c>
      <c r="X28" s="11" t="s">
        <v>13</v>
      </c>
      <c r="Y28" s="9" t="s">
        <v>287</v>
      </c>
      <c r="Z28" s="12">
        <v>45</v>
      </c>
      <c r="AA28" s="11" t="s">
        <v>13</v>
      </c>
    </row>
    <row r="29" spans="1:27">
      <c r="A29" s="19" t="s">
        <v>125</v>
      </c>
      <c r="B29" s="20"/>
      <c r="C29" s="20"/>
      <c r="D29" s="19" t="s">
        <v>125</v>
      </c>
      <c r="E29" s="20"/>
      <c r="F29" s="20"/>
      <c r="G29" s="19" t="s">
        <v>125</v>
      </c>
      <c r="H29" s="20"/>
      <c r="I29" s="20"/>
      <c r="J29" s="19" t="s">
        <v>125</v>
      </c>
      <c r="K29" s="20"/>
      <c r="L29" s="20"/>
      <c r="M29" s="19" t="s">
        <v>125</v>
      </c>
      <c r="N29" s="20"/>
      <c r="O29" s="20"/>
      <c r="P29" s="9" t="s">
        <v>280</v>
      </c>
      <c r="Q29" s="12">
        <v>60</v>
      </c>
      <c r="R29" s="11" t="s">
        <v>13</v>
      </c>
      <c r="S29" s="9" t="s">
        <v>288</v>
      </c>
      <c r="T29" s="12">
        <v>75</v>
      </c>
      <c r="U29" s="11" t="s">
        <v>13</v>
      </c>
      <c r="V29" s="9" t="s">
        <v>289</v>
      </c>
      <c r="W29" s="12">
        <v>20</v>
      </c>
      <c r="X29" s="11" t="s">
        <v>13</v>
      </c>
      <c r="Y29" s="9" t="s">
        <v>292</v>
      </c>
      <c r="Z29" s="12">
        <v>30</v>
      </c>
      <c r="AA29" s="11" t="s">
        <v>13</v>
      </c>
    </row>
    <row r="30" spans="1:27">
      <c r="A30" s="25" t="s">
        <v>332</v>
      </c>
      <c r="B30" s="26">
        <v>60</v>
      </c>
      <c r="C30" s="27" t="s">
        <v>13</v>
      </c>
      <c r="D30" s="25" t="s">
        <v>332</v>
      </c>
      <c r="E30" s="26">
        <v>60</v>
      </c>
      <c r="F30" s="27" t="s">
        <v>13</v>
      </c>
      <c r="G30" s="25" t="s">
        <v>189</v>
      </c>
      <c r="H30" s="26">
        <v>60</v>
      </c>
      <c r="I30" s="27" t="s">
        <v>142</v>
      </c>
      <c r="J30" s="72" t="s">
        <v>422</v>
      </c>
      <c r="K30" s="74">
        <v>60</v>
      </c>
      <c r="L30" s="75" t="s">
        <v>13</v>
      </c>
      <c r="M30" s="72" t="s">
        <v>332</v>
      </c>
      <c r="N30" s="74">
        <v>60</v>
      </c>
      <c r="O30" s="75" t="s">
        <v>13</v>
      </c>
      <c r="P30" s="9" t="s">
        <v>281</v>
      </c>
      <c r="Q30" s="12">
        <v>45</v>
      </c>
      <c r="R30" s="11" t="s">
        <v>13</v>
      </c>
      <c r="S30" s="9"/>
      <c r="T30" s="26"/>
      <c r="U30" s="27"/>
      <c r="V30" s="9" t="s">
        <v>307</v>
      </c>
      <c r="W30" s="12">
        <v>40</v>
      </c>
      <c r="X30" s="11" t="s">
        <v>13</v>
      </c>
      <c r="Y30" s="9"/>
      <c r="Z30" s="12"/>
      <c r="AA30" s="11"/>
    </row>
    <row r="31" spans="1:27">
      <c r="A31" s="25" t="s">
        <v>333</v>
      </c>
      <c r="B31" s="26">
        <v>45</v>
      </c>
      <c r="C31" s="27" t="s">
        <v>13</v>
      </c>
      <c r="D31" s="25" t="s">
        <v>333</v>
      </c>
      <c r="E31" s="26">
        <v>45</v>
      </c>
      <c r="F31" s="27" t="s">
        <v>13</v>
      </c>
      <c r="G31" s="72" t="s">
        <v>333</v>
      </c>
      <c r="H31" s="74">
        <v>45</v>
      </c>
      <c r="I31" s="75" t="s">
        <v>13</v>
      </c>
      <c r="J31" s="73" t="s">
        <v>421</v>
      </c>
      <c r="K31" s="76">
        <v>45</v>
      </c>
      <c r="L31" s="76" t="s">
        <v>13</v>
      </c>
      <c r="M31" s="73" t="s">
        <v>333</v>
      </c>
      <c r="N31" s="76">
        <v>45</v>
      </c>
      <c r="O31" s="76" t="s">
        <v>13</v>
      </c>
      <c r="P31" s="19" t="s">
        <v>93</v>
      </c>
      <c r="Q31" s="20"/>
      <c r="R31" s="20"/>
      <c r="S31" s="19" t="s">
        <v>93</v>
      </c>
      <c r="T31" s="20"/>
      <c r="U31" s="20"/>
      <c r="V31" s="19" t="s">
        <v>93</v>
      </c>
      <c r="W31" s="20"/>
      <c r="X31" s="20"/>
      <c r="Y31" s="19" t="s">
        <v>93</v>
      </c>
      <c r="Z31" s="20"/>
      <c r="AA31" s="20"/>
    </row>
    <row r="32" spans="1:27">
      <c r="A32" s="25" t="s">
        <v>334</v>
      </c>
      <c r="B32" s="26">
        <v>14</v>
      </c>
      <c r="C32" s="27" t="s">
        <v>13</v>
      </c>
      <c r="D32" s="25" t="s">
        <v>334</v>
      </c>
      <c r="E32" s="26">
        <v>14</v>
      </c>
      <c r="F32" s="27" t="s">
        <v>13</v>
      </c>
      <c r="G32" s="73" t="s">
        <v>420</v>
      </c>
      <c r="H32" s="76">
        <v>14</v>
      </c>
      <c r="I32" s="76" t="s">
        <v>13</v>
      </c>
      <c r="J32" s="73" t="s">
        <v>420</v>
      </c>
      <c r="K32" s="76">
        <v>14</v>
      </c>
      <c r="L32" s="76" t="s">
        <v>13</v>
      </c>
      <c r="M32" s="73" t="s">
        <v>334</v>
      </c>
      <c r="N32" s="76">
        <v>14</v>
      </c>
      <c r="O32" s="76" t="s">
        <v>13</v>
      </c>
      <c r="P32" s="9" t="s">
        <v>75</v>
      </c>
      <c r="Q32" s="26">
        <v>40</v>
      </c>
      <c r="R32" s="27" t="s">
        <v>13</v>
      </c>
      <c r="S32" s="9" t="s">
        <v>75</v>
      </c>
      <c r="T32" s="26">
        <v>40</v>
      </c>
      <c r="U32" s="27" t="s">
        <v>13</v>
      </c>
      <c r="V32" s="9" t="s">
        <v>75</v>
      </c>
      <c r="W32" s="26">
        <v>40</v>
      </c>
      <c r="X32" s="27" t="s">
        <v>13</v>
      </c>
      <c r="Y32" s="9" t="s">
        <v>75</v>
      </c>
      <c r="Z32" s="26">
        <v>40</v>
      </c>
      <c r="AA32" s="27" t="s">
        <v>13</v>
      </c>
    </row>
    <row r="33" spans="1:27">
      <c r="A33"/>
      <c r="B33"/>
      <c r="C33"/>
      <c r="P33" s="19" t="s">
        <v>125</v>
      </c>
      <c r="Q33" s="20"/>
      <c r="R33" s="20"/>
      <c r="S33" s="19" t="s">
        <v>125</v>
      </c>
      <c r="T33" s="20"/>
      <c r="U33" s="20"/>
      <c r="V33" s="19" t="s">
        <v>125</v>
      </c>
      <c r="W33" s="20"/>
      <c r="X33" s="20"/>
      <c r="Y33" s="19" t="s">
        <v>125</v>
      </c>
      <c r="Z33" s="20"/>
      <c r="AA33" s="20"/>
    </row>
    <row r="34" spans="1:27">
      <c r="A34"/>
      <c r="B34"/>
      <c r="C34"/>
      <c r="P34" s="72" t="s">
        <v>332</v>
      </c>
      <c r="Q34" s="74">
        <v>60</v>
      </c>
      <c r="R34" s="75" t="s">
        <v>13</v>
      </c>
      <c r="S34" s="72" t="s">
        <v>332</v>
      </c>
      <c r="T34" s="74">
        <v>60</v>
      </c>
      <c r="U34" s="75" t="s">
        <v>13</v>
      </c>
      <c r="V34" s="72" t="s">
        <v>332</v>
      </c>
      <c r="W34" s="74">
        <v>60</v>
      </c>
      <c r="X34" s="75" t="s">
        <v>13</v>
      </c>
      <c r="Y34" s="72" t="s">
        <v>332</v>
      </c>
      <c r="Z34" s="74">
        <v>60</v>
      </c>
      <c r="AA34" s="75" t="s">
        <v>13</v>
      </c>
    </row>
    <row r="35" spans="1:27">
      <c r="A35"/>
      <c r="B35"/>
      <c r="C35"/>
      <c r="P35" s="73" t="s">
        <v>333</v>
      </c>
      <c r="Q35" s="76">
        <v>45</v>
      </c>
      <c r="R35" s="76" t="s">
        <v>13</v>
      </c>
      <c r="S35" s="73" t="s">
        <v>333</v>
      </c>
      <c r="T35" s="76">
        <v>45</v>
      </c>
      <c r="U35" s="76" t="s">
        <v>13</v>
      </c>
      <c r="V35" s="73" t="s">
        <v>333</v>
      </c>
      <c r="W35" s="76">
        <v>45</v>
      </c>
      <c r="X35" s="76" t="s">
        <v>13</v>
      </c>
      <c r="Y35" s="73" t="s">
        <v>333</v>
      </c>
      <c r="Z35" s="76">
        <v>45</v>
      </c>
      <c r="AA35" s="76" t="s">
        <v>13</v>
      </c>
    </row>
    <row r="36" spans="1:27">
      <c r="A36"/>
      <c r="B36"/>
      <c r="C36"/>
      <c r="P36" s="73" t="s">
        <v>334</v>
      </c>
      <c r="Q36" s="76">
        <v>14</v>
      </c>
      <c r="R36" s="76" t="s">
        <v>13</v>
      </c>
      <c r="S36" s="73" t="s">
        <v>334</v>
      </c>
      <c r="T36" s="76">
        <v>14</v>
      </c>
      <c r="U36" s="76" t="s">
        <v>13</v>
      </c>
      <c r="V36" s="73" t="s">
        <v>334</v>
      </c>
      <c r="W36" s="76">
        <v>14</v>
      </c>
      <c r="X36" s="76" t="s">
        <v>13</v>
      </c>
      <c r="Y36" s="73" t="s">
        <v>334</v>
      </c>
      <c r="Z36" s="76">
        <v>14</v>
      </c>
      <c r="AA36" s="76" t="s">
        <v>13</v>
      </c>
    </row>
    <row r="37" spans="1:27">
      <c r="A37"/>
      <c r="B37"/>
      <c r="C37"/>
    </row>
    <row r="38" spans="1:27">
      <c r="A38"/>
      <c r="B38"/>
      <c r="C38"/>
    </row>
    <row r="39" spans="1:27">
      <c r="A39"/>
      <c r="B39"/>
      <c r="C39"/>
    </row>
    <row r="40" spans="1:27">
      <c r="A40"/>
      <c r="B40"/>
      <c r="C40"/>
    </row>
    <row r="41" spans="1:27">
      <c r="A41"/>
      <c r="B41"/>
      <c r="C41"/>
    </row>
    <row r="42" spans="1:27">
      <c r="A42"/>
      <c r="B42"/>
      <c r="C42"/>
    </row>
    <row r="43" spans="1:27">
      <c r="A43"/>
      <c r="B43"/>
      <c r="C43"/>
    </row>
    <row r="44" spans="1:27">
      <c r="A44"/>
      <c r="B44"/>
      <c r="C44"/>
    </row>
    <row r="45" spans="1:27">
      <c r="A45"/>
      <c r="B45"/>
      <c r="C45"/>
    </row>
    <row r="46" spans="1:27">
      <c r="A46"/>
      <c r="B46"/>
      <c r="C46"/>
    </row>
    <row r="47" spans="1:27">
      <c r="A47"/>
      <c r="B47"/>
      <c r="C47"/>
    </row>
    <row r="48" spans="1:27">
      <c r="A48"/>
      <c r="B48"/>
      <c r="C48"/>
    </row>
    <row r="49" customFormat="1"/>
    <row r="50" customFormat="1"/>
    <row r="51" customFormat="1"/>
  </sheetData>
  <phoneticPr fontId="12" alignment="center"/>
  <pageMargins left="0.7" right="0.7" top="0.75" bottom="0.75" header="0.3" footer="0.3"/>
  <pageSetup scale="2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227-90AD-43F8-8EC3-9E0598BF0F60}">
  <sheetPr>
    <pageSetUpPr fitToPage="1"/>
  </sheetPr>
  <dimension ref="B1:J73"/>
  <sheetViews>
    <sheetView topLeftCell="A14" zoomScale="90" zoomScaleNormal="90" workbookViewId="0">
      <selection activeCell="H68" sqref="H68"/>
    </sheetView>
  </sheetViews>
  <sheetFormatPr defaultRowHeight="15"/>
  <cols>
    <col min="2" max="2" width="45.7109375" style="15" customWidth="1"/>
    <col min="3" max="3" width="17.42578125" style="16" customWidth="1"/>
    <col min="4" max="4" width="20.5703125" style="16" customWidth="1"/>
    <col min="5" max="5" width="34" customWidth="1"/>
    <col min="8" max="8" width="27.7109375" customWidth="1"/>
  </cols>
  <sheetData>
    <row r="1" spans="2:10" ht="17.25">
      <c r="B1" s="17" t="s">
        <v>171</v>
      </c>
      <c r="C1" s="18"/>
      <c r="D1" s="18"/>
      <c r="E1" s="17" t="s">
        <v>172</v>
      </c>
      <c r="F1" s="18"/>
      <c r="G1" s="18"/>
      <c r="H1" s="17" t="s">
        <v>170</v>
      </c>
      <c r="I1" s="18"/>
      <c r="J1" s="18"/>
    </row>
    <row r="2" spans="2:10" ht="17.25">
      <c r="B2" s="160" t="s">
        <v>208</v>
      </c>
      <c r="C2" s="160"/>
      <c r="D2" s="160"/>
      <c r="E2" s="160" t="s">
        <v>208</v>
      </c>
      <c r="F2" s="160"/>
      <c r="G2" s="160"/>
      <c r="H2" s="160" t="s">
        <v>208</v>
      </c>
      <c r="I2" s="160"/>
      <c r="J2" s="160"/>
    </row>
    <row r="3" spans="2:10" ht="27">
      <c r="B3" s="4" t="s">
        <v>0</v>
      </c>
      <c r="C3" s="4" t="s">
        <v>1</v>
      </c>
      <c r="D3" s="4" t="s">
        <v>2</v>
      </c>
      <c r="E3" s="4" t="s">
        <v>0</v>
      </c>
      <c r="F3" s="4" t="s">
        <v>1</v>
      </c>
      <c r="G3" s="4" t="s">
        <v>2</v>
      </c>
      <c r="H3" s="4" t="s">
        <v>0</v>
      </c>
      <c r="I3" s="4" t="s">
        <v>1</v>
      </c>
      <c r="J3" s="4" t="s">
        <v>2</v>
      </c>
    </row>
    <row r="4" spans="2:10">
      <c r="B4" s="28" t="s">
        <v>127</v>
      </c>
      <c r="C4" s="29"/>
      <c r="D4" s="24"/>
      <c r="E4" s="28" t="s">
        <v>127</v>
      </c>
      <c r="F4" s="29"/>
      <c r="G4" s="24"/>
      <c r="H4" s="28" t="s">
        <v>127</v>
      </c>
      <c r="I4" s="29"/>
      <c r="J4" s="24"/>
    </row>
    <row r="5" spans="2:10">
      <c r="B5" s="51" t="s">
        <v>128</v>
      </c>
      <c r="C5" s="52">
        <v>1</v>
      </c>
      <c r="D5" s="53" t="s">
        <v>6</v>
      </c>
      <c r="E5" s="51" t="s">
        <v>128</v>
      </c>
      <c r="F5" s="52">
        <v>1</v>
      </c>
      <c r="G5" s="53" t="s">
        <v>6</v>
      </c>
      <c r="H5" s="51" t="s">
        <v>128</v>
      </c>
      <c r="I5" s="52">
        <v>1</v>
      </c>
      <c r="J5" s="53" t="s">
        <v>6</v>
      </c>
    </row>
    <row r="6" spans="2:10">
      <c r="B6" s="84" t="s">
        <v>427</v>
      </c>
      <c r="C6" s="52">
        <v>1</v>
      </c>
      <c r="D6" s="53" t="s">
        <v>6</v>
      </c>
      <c r="E6" s="51" t="s">
        <v>129</v>
      </c>
      <c r="F6" s="52">
        <v>1</v>
      </c>
      <c r="G6" s="53" t="s">
        <v>6</v>
      </c>
      <c r="H6" s="84" t="s">
        <v>426</v>
      </c>
      <c r="I6" s="52">
        <v>1</v>
      </c>
      <c r="J6" s="53" t="s">
        <v>6</v>
      </c>
    </row>
    <row r="7" spans="2:10">
      <c r="B7" s="51" t="s">
        <v>131</v>
      </c>
      <c r="C7" s="52">
        <v>1</v>
      </c>
      <c r="D7" s="53" t="s">
        <v>6</v>
      </c>
      <c r="E7" s="51" t="s">
        <v>131</v>
      </c>
      <c r="F7" s="52">
        <v>1</v>
      </c>
      <c r="G7" s="53" t="s">
        <v>6</v>
      </c>
      <c r="H7" s="84" t="s">
        <v>189</v>
      </c>
      <c r="I7" s="52">
        <v>1</v>
      </c>
      <c r="J7" s="53" t="s">
        <v>6</v>
      </c>
    </row>
    <row r="8" spans="2:10">
      <c r="B8" s="28" t="s">
        <v>133</v>
      </c>
      <c r="C8" s="24"/>
      <c r="D8" s="24"/>
      <c r="E8" s="28" t="s">
        <v>138</v>
      </c>
      <c r="F8" s="24"/>
      <c r="G8" s="24"/>
      <c r="H8" s="28" t="s">
        <v>133</v>
      </c>
      <c r="I8" s="24"/>
      <c r="J8" s="24"/>
    </row>
    <row r="9" spans="2:10">
      <c r="B9" s="51" t="s">
        <v>258</v>
      </c>
      <c r="C9" s="52">
        <v>30</v>
      </c>
      <c r="D9" s="53" t="s">
        <v>65</v>
      </c>
      <c r="E9" s="51" t="s">
        <v>347</v>
      </c>
      <c r="F9" s="52">
        <v>30</v>
      </c>
      <c r="G9" s="53" t="s">
        <v>65</v>
      </c>
      <c r="H9" s="51" t="s">
        <v>345</v>
      </c>
      <c r="I9" s="52">
        <v>30</v>
      </c>
      <c r="J9" s="53" t="s">
        <v>65</v>
      </c>
    </row>
    <row r="10" spans="2:10">
      <c r="B10" s="51" t="s">
        <v>257</v>
      </c>
      <c r="C10" s="52">
        <v>30</v>
      </c>
      <c r="D10" s="53" t="s">
        <v>65</v>
      </c>
      <c r="E10" s="51" t="s">
        <v>348</v>
      </c>
      <c r="F10" s="52">
        <v>30</v>
      </c>
      <c r="G10" s="53" t="s">
        <v>65</v>
      </c>
      <c r="H10" s="51" t="s">
        <v>135</v>
      </c>
      <c r="I10" s="52">
        <v>10</v>
      </c>
      <c r="J10" s="53" t="s">
        <v>65</v>
      </c>
    </row>
    <row r="11" spans="2:10">
      <c r="B11" s="51" t="s">
        <v>256</v>
      </c>
      <c r="C11" s="52">
        <v>3</v>
      </c>
      <c r="D11" s="53" t="s">
        <v>65</v>
      </c>
      <c r="E11" s="51" t="s">
        <v>349</v>
      </c>
      <c r="F11" s="52">
        <v>10</v>
      </c>
      <c r="G11" s="53" t="s">
        <v>65</v>
      </c>
      <c r="H11" s="51" t="s">
        <v>68</v>
      </c>
      <c r="I11" s="52">
        <v>3</v>
      </c>
      <c r="J11" s="53" t="s">
        <v>65</v>
      </c>
    </row>
    <row r="12" spans="2:10">
      <c r="B12" s="51" t="s">
        <v>139</v>
      </c>
      <c r="C12" s="52" t="s">
        <v>136</v>
      </c>
      <c r="D12" s="53" t="s">
        <v>65</v>
      </c>
      <c r="E12" s="51" t="s">
        <v>351</v>
      </c>
      <c r="F12" s="52" t="s">
        <v>136</v>
      </c>
      <c r="G12" s="53" t="s">
        <v>65</v>
      </c>
      <c r="H12" s="51" t="s">
        <v>213</v>
      </c>
      <c r="I12" s="52" t="s">
        <v>136</v>
      </c>
      <c r="J12" s="53" t="s">
        <v>65</v>
      </c>
    </row>
    <row r="13" spans="2:10">
      <c r="B13" s="51"/>
      <c r="C13" s="52"/>
      <c r="D13" s="53"/>
      <c r="E13" s="51"/>
      <c r="F13" s="52"/>
      <c r="G13" s="53"/>
      <c r="H13" s="51"/>
      <c r="I13" s="52"/>
      <c r="J13" s="53"/>
    </row>
    <row r="14" spans="2:10">
      <c r="B14" s="28" t="s">
        <v>209</v>
      </c>
      <c r="C14" s="24"/>
      <c r="D14" s="24"/>
      <c r="E14" s="28" t="s">
        <v>210</v>
      </c>
      <c r="F14" s="24"/>
      <c r="G14" s="24"/>
      <c r="H14" s="28" t="s">
        <v>141</v>
      </c>
      <c r="I14" s="24"/>
      <c r="J14" s="24"/>
    </row>
    <row r="15" spans="2:10">
      <c r="B15" s="77" t="s">
        <v>240</v>
      </c>
      <c r="C15" s="78">
        <v>8</v>
      </c>
      <c r="D15" s="79" t="s">
        <v>13</v>
      </c>
      <c r="E15" s="77" t="s">
        <v>240</v>
      </c>
      <c r="F15" s="78">
        <v>8</v>
      </c>
      <c r="G15" s="79" t="s">
        <v>13</v>
      </c>
      <c r="H15" s="51" t="s">
        <v>352</v>
      </c>
      <c r="I15" s="52">
        <v>40</v>
      </c>
      <c r="J15" s="53" t="s">
        <v>65</v>
      </c>
    </row>
    <row r="16" spans="2:10">
      <c r="B16" s="77" t="s">
        <v>176</v>
      </c>
      <c r="C16" s="78">
        <v>20</v>
      </c>
      <c r="D16" s="79" t="s">
        <v>13</v>
      </c>
      <c r="E16" s="77" t="s">
        <v>176</v>
      </c>
      <c r="F16" s="78">
        <v>20</v>
      </c>
      <c r="G16" s="79" t="s">
        <v>13</v>
      </c>
      <c r="H16" s="51" t="s">
        <v>424</v>
      </c>
      <c r="I16" s="52">
        <v>30</v>
      </c>
      <c r="J16" s="53" t="s">
        <v>65</v>
      </c>
    </row>
    <row r="17" spans="2:10">
      <c r="B17" s="77" t="s">
        <v>177</v>
      </c>
      <c r="C17" s="78">
        <v>20</v>
      </c>
      <c r="D17" s="79" t="s">
        <v>13</v>
      </c>
      <c r="E17" s="77" t="s">
        <v>177</v>
      </c>
      <c r="F17" s="78">
        <v>20</v>
      </c>
      <c r="G17" s="79" t="s">
        <v>13</v>
      </c>
      <c r="H17" s="51" t="s">
        <v>68</v>
      </c>
      <c r="I17" s="52">
        <v>4</v>
      </c>
      <c r="J17" s="53" t="s">
        <v>65</v>
      </c>
    </row>
    <row r="18" spans="2:10">
      <c r="B18" s="77" t="s">
        <v>178</v>
      </c>
      <c r="C18" s="78">
        <v>20</v>
      </c>
      <c r="D18" s="79" t="s">
        <v>13</v>
      </c>
      <c r="E18" s="77" t="s">
        <v>178</v>
      </c>
      <c r="F18" s="78">
        <v>20</v>
      </c>
      <c r="G18" s="79" t="s">
        <v>13</v>
      </c>
      <c r="H18" s="51" t="s">
        <v>257</v>
      </c>
      <c r="I18" s="52">
        <v>2</v>
      </c>
      <c r="J18" s="53" t="s">
        <v>235</v>
      </c>
    </row>
    <row r="19" spans="2:10">
      <c r="B19" s="77" t="s">
        <v>179</v>
      </c>
      <c r="C19" s="78" t="s">
        <v>180</v>
      </c>
      <c r="D19" s="79" t="s">
        <v>13</v>
      </c>
      <c r="E19" s="77" t="s">
        <v>179</v>
      </c>
      <c r="F19" s="78" t="s">
        <v>180</v>
      </c>
      <c r="G19" s="79" t="s">
        <v>13</v>
      </c>
      <c r="H19" s="71" t="s">
        <v>179</v>
      </c>
      <c r="I19" s="52">
        <v>2</v>
      </c>
      <c r="J19" s="53" t="s">
        <v>6</v>
      </c>
    </row>
    <row r="20" spans="2:10">
      <c r="B20" s="77" t="s">
        <v>181</v>
      </c>
      <c r="C20" s="78">
        <v>45</v>
      </c>
      <c r="D20" s="79" t="s">
        <v>13</v>
      </c>
      <c r="E20" s="77" t="s">
        <v>181</v>
      </c>
      <c r="F20" s="78">
        <v>45</v>
      </c>
      <c r="G20" s="79" t="s">
        <v>13</v>
      </c>
      <c r="H20" s="65" t="s">
        <v>321</v>
      </c>
      <c r="I20" s="66">
        <v>100</v>
      </c>
      <c r="J20" s="67" t="s">
        <v>65</v>
      </c>
    </row>
    <row r="21" spans="2:10">
      <c r="B21" s="65"/>
      <c r="C21" s="66"/>
      <c r="D21" s="67"/>
      <c r="E21" s="68"/>
      <c r="F21" s="69"/>
      <c r="G21" s="70"/>
      <c r="H21" s="65"/>
      <c r="I21" s="66"/>
      <c r="J21" s="67"/>
    </row>
    <row r="22" spans="2:10">
      <c r="B22" s="65"/>
      <c r="C22" s="66"/>
      <c r="D22" s="67"/>
      <c r="E22" s="68"/>
      <c r="F22" s="69"/>
      <c r="G22" s="70"/>
      <c r="H22" s="65"/>
      <c r="I22" s="66"/>
      <c r="J22" s="67"/>
    </row>
    <row r="23" spans="2:10">
      <c r="B23" s="161" t="s">
        <v>211</v>
      </c>
      <c r="C23" s="161"/>
      <c r="D23" s="161"/>
      <c r="E23" s="162" t="s">
        <v>211</v>
      </c>
      <c r="F23" s="162"/>
      <c r="G23" s="162"/>
      <c r="H23" s="161" t="s">
        <v>211</v>
      </c>
      <c r="I23" s="161"/>
      <c r="J23" s="161"/>
    </row>
    <row r="24" spans="2:10">
      <c r="B24" s="28" t="s">
        <v>145</v>
      </c>
      <c r="C24" s="24"/>
      <c r="D24" s="24"/>
      <c r="E24" s="28" t="s">
        <v>145</v>
      </c>
      <c r="F24" s="24"/>
      <c r="G24" s="24"/>
      <c r="H24" s="28" t="s">
        <v>145</v>
      </c>
      <c r="I24" s="24"/>
      <c r="J24" s="24"/>
    </row>
    <row r="25" spans="2:10">
      <c r="B25" s="51" t="s">
        <v>146</v>
      </c>
      <c r="C25" s="52">
        <v>1</v>
      </c>
      <c r="D25" s="53" t="s">
        <v>6</v>
      </c>
      <c r="E25" s="51" t="s">
        <v>146</v>
      </c>
      <c r="F25" s="52">
        <v>1</v>
      </c>
      <c r="G25" s="53" t="s">
        <v>6</v>
      </c>
      <c r="H25" s="51" t="s">
        <v>146</v>
      </c>
      <c r="I25" s="52">
        <v>1</v>
      </c>
      <c r="J25" s="53" t="s">
        <v>6</v>
      </c>
    </row>
    <row r="26" spans="2:10">
      <c r="B26" s="84" t="s">
        <v>212</v>
      </c>
      <c r="C26" s="52">
        <v>1</v>
      </c>
      <c r="D26" s="53" t="s">
        <v>6</v>
      </c>
      <c r="E26" s="51" t="s">
        <v>147</v>
      </c>
      <c r="F26" s="52">
        <v>1</v>
      </c>
      <c r="G26" s="53" t="s">
        <v>6</v>
      </c>
      <c r="H26" s="84" t="s">
        <v>425</v>
      </c>
      <c r="I26" s="52">
        <v>1</v>
      </c>
      <c r="J26" s="53" t="s">
        <v>6</v>
      </c>
    </row>
    <row r="27" spans="2:10">
      <c r="B27" s="51" t="s">
        <v>148</v>
      </c>
      <c r="C27" s="52">
        <v>1</v>
      </c>
      <c r="D27" s="53" t="s">
        <v>6</v>
      </c>
      <c r="E27" s="51" t="s">
        <v>148</v>
      </c>
      <c r="F27" s="52">
        <v>1</v>
      </c>
      <c r="G27" s="53" t="s">
        <v>6</v>
      </c>
      <c r="H27" s="84" t="s">
        <v>213</v>
      </c>
      <c r="I27" s="52">
        <v>1</v>
      </c>
      <c r="J27" s="53" t="s">
        <v>6</v>
      </c>
    </row>
    <row r="28" spans="2:10">
      <c r="B28" s="51" t="s">
        <v>149</v>
      </c>
      <c r="C28" s="52">
        <v>1</v>
      </c>
      <c r="D28" s="53" t="s">
        <v>6</v>
      </c>
      <c r="E28" s="51" t="s">
        <v>149</v>
      </c>
      <c r="F28" s="52">
        <v>1</v>
      </c>
      <c r="G28" s="53" t="s">
        <v>6</v>
      </c>
      <c r="H28" s="51" t="s">
        <v>149</v>
      </c>
      <c r="I28" s="52">
        <v>1</v>
      </c>
      <c r="J28" s="53" t="s">
        <v>6</v>
      </c>
    </row>
    <row r="29" spans="2:10">
      <c r="B29" s="28" t="s">
        <v>150</v>
      </c>
      <c r="C29" s="24"/>
      <c r="D29" s="24"/>
      <c r="E29" s="28" t="s">
        <v>150</v>
      </c>
      <c r="F29" s="24"/>
      <c r="G29" s="24"/>
      <c r="H29" s="28" t="s">
        <v>150</v>
      </c>
      <c r="I29" s="24"/>
      <c r="J29" s="24"/>
    </row>
    <row r="30" spans="2:10">
      <c r="B30" s="51" t="s">
        <v>146</v>
      </c>
      <c r="C30" s="52">
        <v>1</v>
      </c>
      <c r="D30" s="53" t="s">
        <v>6</v>
      </c>
      <c r="E30" s="51" t="s">
        <v>146</v>
      </c>
      <c r="F30" s="52">
        <v>1</v>
      </c>
      <c r="G30" s="53" t="s">
        <v>6</v>
      </c>
      <c r="H30" s="51" t="s">
        <v>146</v>
      </c>
      <c r="I30" s="52">
        <v>1</v>
      </c>
      <c r="J30" s="53" t="s">
        <v>6</v>
      </c>
    </row>
    <row r="31" spans="2:10">
      <c r="B31" s="84" t="s">
        <v>212</v>
      </c>
      <c r="C31" s="52">
        <v>1</v>
      </c>
      <c r="D31" s="53" t="s">
        <v>6</v>
      </c>
      <c r="E31" s="51" t="s">
        <v>147</v>
      </c>
      <c r="F31" s="52">
        <v>1</v>
      </c>
      <c r="G31" s="53" t="s">
        <v>6</v>
      </c>
      <c r="H31" s="84" t="s">
        <v>425</v>
      </c>
      <c r="I31" s="52">
        <v>1</v>
      </c>
      <c r="J31" s="53" t="s">
        <v>6</v>
      </c>
    </row>
    <row r="32" spans="2:10">
      <c r="B32" s="51" t="s">
        <v>148</v>
      </c>
      <c r="C32" s="52">
        <v>1</v>
      </c>
      <c r="D32" s="53" t="s">
        <v>6</v>
      </c>
      <c r="E32" s="51" t="s">
        <v>148</v>
      </c>
      <c r="F32" s="52">
        <v>1</v>
      </c>
      <c r="G32" s="53" t="s">
        <v>6</v>
      </c>
      <c r="H32" s="84" t="s">
        <v>213</v>
      </c>
      <c r="I32" s="52">
        <v>1</v>
      </c>
      <c r="J32" s="53" t="s">
        <v>6</v>
      </c>
    </row>
    <row r="33" spans="2:10">
      <c r="B33" s="51" t="s">
        <v>149</v>
      </c>
      <c r="C33" s="54">
        <v>1</v>
      </c>
      <c r="D33" s="55" t="s">
        <v>6</v>
      </c>
      <c r="E33" s="51" t="s">
        <v>149</v>
      </c>
      <c r="F33" s="54">
        <v>1</v>
      </c>
      <c r="G33" s="55" t="s">
        <v>6</v>
      </c>
      <c r="H33" s="51" t="s">
        <v>149</v>
      </c>
      <c r="I33" s="54">
        <v>1</v>
      </c>
      <c r="J33" s="55" t="s">
        <v>6</v>
      </c>
    </row>
    <row r="34" spans="2:10">
      <c r="B34" s="28" t="s">
        <v>151</v>
      </c>
      <c r="C34" s="24"/>
      <c r="D34" s="24"/>
      <c r="E34" s="28" t="s">
        <v>151</v>
      </c>
      <c r="F34" s="24"/>
      <c r="G34" s="24"/>
      <c r="H34" s="28" t="s">
        <v>151</v>
      </c>
      <c r="I34" s="24"/>
      <c r="J34" s="24"/>
    </row>
    <row r="35" spans="2:10">
      <c r="B35" s="51" t="s">
        <v>120</v>
      </c>
      <c r="C35" s="52">
        <v>10</v>
      </c>
      <c r="D35" s="53" t="s">
        <v>13</v>
      </c>
      <c r="E35" s="51" t="s">
        <v>120</v>
      </c>
      <c r="F35" s="52">
        <v>10</v>
      </c>
      <c r="G35" s="53" t="s">
        <v>13</v>
      </c>
      <c r="H35" s="51" t="s">
        <v>120</v>
      </c>
      <c r="I35" s="52">
        <v>10</v>
      </c>
      <c r="J35" s="53" t="s">
        <v>13</v>
      </c>
    </row>
    <row r="36" spans="2:10">
      <c r="B36" s="51" t="s">
        <v>324</v>
      </c>
      <c r="C36" s="52">
        <v>15</v>
      </c>
      <c r="D36" s="53" t="s">
        <v>13</v>
      </c>
      <c r="E36" s="51" t="s">
        <v>324</v>
      </c>
      <c r="F36" s="52">
        <v>15</v>
      </c>
      <c r="G36" s="53" t="s">
        <v>13</v>
      </c>
      <c r="H36" s="51" t="s">
        <v>324</v>
      </c>
      <c r="I36" s="52">
        <v>15</v>
      </c>
      <c r="J36" s="53" t="s">
        <v>13</v>
      </c>
    </row>
    <row r="37" spans="2:10">
      <c r="B37" s="51" t="s">
        <v>325</v>
      </c>
      <c r="C37" s="52">
        <v>15</v>
      </c>
      <c r="D37" s="53" t="s">
        <v>13</v>
      </c>
      <c r="E37" s="51" t="s">
        <v>325</v>
      </c>
      <c r="F37" s="52">
        <v>15</v>
      </c>
      <c r="G37" s="53" t="s">
        <v>13</v>
      </c>
      <c r="H37" s="51" t="s">
        <v>325</v>
      </c>
      <c r="I37" s="52">
        <v>15</v>
      </c>
      <c r="J37" s="53" t="s">
        <v>13</v>
      </c>
    </row>
    <row r="38" spans="2:10">
      <c r="B38" s="51"/>
      <c r="C38" s="52"/>
      <c r="D38" s="53"/>
      <c r="E38" s="51" t="s">
        <v>319</v>
      </c>
      <c r="F38" s="52">
        <v>15</v>
      </c>
      <c r="G38" s="53" t="s">
        <v>13</v>
      </c>
      <c r="H38" s="51"/>
      <c r="I38" s="52"/>
      <c r="J38" s="53"/>
    </row>
    <row r="39" spans="2:10">
      <c r="B39" s="28" t="s">
        <v>152</v>
      </c>
      <c r="C39" s="24"/>
      <c r="D39" s="24"/>
      <c r="E39" s="28" t="s">
        <v>152</v>
      </c>
      <c r="F39" s="24"/>
      <c r="G39" s="24"/>
      <c r="H39" s="28" t="s">
        <v>152</v>
      </c>
      <c r="I39" s="24"/>
      <c r="J39" s="24"/>
    </row>
    <row r="40" spans="2:10">
      <c r="B40" s="51" t="s">
        <v>120</v>
      </c>
      <c r="C40" s="52">
        <v>10</v>
      </c>
      <c r="D40" s="53" t="s">
        <v>13</v>
      </c>
      <c r="E40" s="51" t="s">
        <v>120</v>
      </c>
      <c r="F40" s="52">
        <v>10</v>
      </c>
      <c r="G40" s="53" t="s">
        <v>13</v>
      </c>
      <c r="H40" s="51" t="s">
        <v>120</v>
      </c>
      <c r="I40" s="52">
        <v>10</v>
      </c>
      <c r="J40" s="53" t="s">
        <v>13</v>
      </c>
    </row>
    <row r="41" spans="2:10">
      <c r="B41" s="51" t="s">
        <v>324</v>
      </c>
      <c r="C41" s="52">
        <v>15</v>
      </c>
      <c r="D41" s="53" t="s">
        <v>13</v>
      </c>
      <c r="E41" s="51" t="s">
        <v>324</v>
      </c>
      <c r="F41" s="52">
        <v>15</v>
      </c>
      <c r="G41" s="53" t="s">
        <v>13</v>
      </c>
      <c r="H41" s="51" t="s">
        <v>324</v>
      </c>
      <c r="I41" s="52">
        <v>15</v>
      </c>
      <c r="J41" s="53" t="s">
        <v>13</v>
      </c>
    </row>
    <row r="42" spans="2:10">
      <c r="B42" s="51" t="s">
        <v>325</v>
      </c>
      <c r="C42" s="52">
        <v>15</v>
      </c>
      <c r="D42" s="53" t="s">
        <v>13</v>
      </c>
      <c r="E42" s="51" t="s">
        <v>325</v>
      </c>
      <c r="F42" s="52">
        <v>15</v>
      </c>
      <c r="G42" s="53" t="s">
        <v>13</v>
      </c>
      <c r="H42" s="51" t="s">
        <v>325</v>
      </c>
      <c r="I42" s="52">
        <v>15</v>
      </c>
      <c r="J42" s="53" t="s">
        <v>13</v>
      </c>
    </row>
    <row r="43" spans="2:10">
      <c r="B43" s="51"/>
      <c r="C43" s="52"/>
      <c r="D43" s="53"/>
      <c r="E43" s="51" t="s">
        <v>319</v>
      </c>
      <c r="F43" s="52">
        <v>15</v>
      </c>
      <c r="G43" s="53" t="s">
        <v>13</v>
      </c>
      <c r="H43" s="51"/>
      <c r="I43" s="52"/>
      <c r="J43" s="53"/>
    </row>
    <row r="44" spans="2:10">
      <c r="B44" s="28" t="s">
        <v>153</v>
      </c>
      <c r="C44" s="24"/>
      <c r="D44" s="24"/>
      <c r="E44" s="28" t="s">
        <v>153</v>
      </c>
      <c r="F44" s="24"/>
      <c r="G44" s="24"/>
      <c r="H44" s="28" t="s">
        <v>153</v>
      </c>
      <c r="I44" s="24"/>
      <c r="J44" s="24"/>
    </row>
    <row r="45" spans="2:10">
      <c r="B45" s="9" t="s">
        <v>183</v>
      </c>
      <c r="C45" s="12">
        <v>90</v>
      </c>
      <c r="D45" s="11" t="s">
        <v>13</v>
      </c>
      <c r="E45" s="9" t="s">
        <v>284</v>
      </c>
      <c r="F45" s="12" t="s">
        <v>423</v>
      </c>
      <c r="G45" s="11" t="s">
        <v>108</v>
      </c>
      <c r="H45" s="9" t="s">
        <v>282</v>
      </c>
      <c r="I45" s="12">
        <v>90</v>
      </c>
      <c r="J45" s="11" t="s">
        <v>13</v>
      </c>
    </row>
    <row r="46" spans="2:10">
      <c r="B46" s="9" t="s">
        <v>312</v>
      </c>
      <c r="C46" s="12">
        <v>60</v>
      </c>
      <c r="D46" s="11" t="s">
        <v>13</v>
      </c>
      <c r="E46" s="9" t="s">
        <v>285</v>
      </c>
      <c r="F46" s="12">
        <v>75</v>
      </c>
      <c r="G46" s="11" t="s">
        <v>13</v>
      </c>
      <c r="H46" s="9" t="s">
        <v>287</v>
      </c>
      <c r="I46" s="12">
        <v>45</v>
      </c>
      <c r="J46" s="11" t="s">
        <v>13</v>
      </c>
    </row>
    <row r="47" spans="2:10">
      <c r="B47" s="9" t="s">
        <v>287</v>
      </c>
      <c r="C47" s="12">
        <v>60</v>
      </c>
      <c r="D47" s="11" t="s">
        <v>13</v>
      </c>
      <c r="E47" s="9" t="s">
        <v>306</v>
      </c>
      <c r="F47" s="12">
        <v>15</v>
      </c>
      <c r="G47" s="11" t="s">
        <v>13</v>
      </c>
      <c r="H47" s="9" t="s">
        <v>283</v>
      </c>
      <c r="I47" s="12">
        <v>15</v>
      </c>
      <c r="J47" s="11" t="s">
        <v>13</v>
      </c>
    </row>
    <row r="48" spans="2:10">
      <c r="B48" s="9" t="s">
        <v>353</v>
      </c>
      <c r="C48" s="12">
        <v>30</v>
      </c>
      <c r="D48" s="11" t="s">
        <v>13</v>
      </c>
      <c r="E48" s="9" t="s">
        <v>289</v>
      </c>
      <c r="F48" s="12">
        <v>20</v>
      </c>
      <c r="G48" s="11" t="s">
        <v>13</v>
      </c>
      <c r="H48" s="9" t="s">
        <v>288</v>
      </c>
      <c r="I48" s="12">
        <v>75</v>
      </c>
      <c r="J48" s="11" t="s">
        <v>13</v>
      </c>
    </row>
    <row r="49" spans="2:10">
      <c r="B49" s="9"/>
      <c r="C49" s="26"/>
      <c r="D49" s="27"/>
      <c r="E49" s="9" t="s">
        <v>307</v>
      </c>
      <c r="F49" s="12">
        <v>40</v>
      </c>
      <c r="G49" s="11" t="s">
        <v>13</v>
      </c>
      <c r="H49" s="9"/>
      <c r="I49" s="26"/>
      <c r="J49" s="27"/>
    </row>
    <row r="50" spans="2:10">
      <c r="B50" s="28" t="s">
        <v>155</v>
      </c>
      <c r="C50" s="24"/>
      <c r="D50" s="24"/>
      <c r="E50" s="28" t="s">
        <v>155</v>
      </c>
      <c r="F50" s="24"/>
      <c r="G50" s="24"/>
      <c r="H50" s="28" t="s">
        <v>155</v>
      </c>
      <c r="I50" s="24"/>
      <c r="J50" s="24"/>
    </row>
    <row r="51" spans="2:10">
      <c r="B51" s="9" t="s">
        <v>183</v>
      </c>
      <c r="C51" s="12">
        <v>90</v>
      </c>
      <c r="D51" s="11" t="s">
        <v>13</v>
      </c>
      <c r="E51" s="9" t="s">
        <v>284</v>
      </c>
      <c r="F51" s="12" t="s">
        <v>423</v>
      </c>
      <c r="G51" s="11" t="s">
        <v>108</v>
      </c>
      <c r="H51" s="9" t="s">
        <v>282</v>
      </c>
      <c r="I51" s="12">
        <v>90</v>
      </c>
      <c r="J51" s="11" t="s">
        <v>13</v>
      </c>
    </row>
    <row r="52" spans="2:10">
      <c r="B52" s="9" t="s">
        <v>312</v>
      </c>
      <c r="C52" s="12">
        <v>60</v>
      </c>
      <c r="D52" s="11" t="s">
        <v>13</v>
      </c>
      <c r="E52" s="9" t="s">
        <v>285</v>
      </c>
      <c r="F52" s="12">
        <v>75</v>
      </c>
      <c r="G52" s="11" t="s">
        <v>13</v>
      </c>
      <c r="H52" s="9" t="s">
        <v>287</v>
      </c>
      <c r="I52" s="12">
        <v>45</v>
      </c>
      <c r="J52" s="11" t="s">
        <v>13</v>
      </c>
    </row>
    <row r="53" spans="2:10">
      <c r="B53" s="9" t="s">
        <v>287</v>
      </c>
      <c r="C53" s="12">
        <v>60</v>
      </c>
      <c r="D53" s="11" t="s">
        <v>13</v>
      </c>
      <c r="E53" s="9" t="s">
        <v>306</v>
      </c>
      <c r="F53" s="12">
        <v>15</v>
      </c>
      <c r="G53" s="11" t="s">
        <v>13</v>
      </c>
      <c r="H53" s="9" t="s">
        <v>283</v>
      </c>
      <c r="I53" s="12">
        <v>15</v>
      </c>
      <c r="J53" s="11" t="s">
        <v>13</v>
      </c>
    </row>
    <row r="54" spans="2:10">
      <c r="B54" s="9" t="s">
        <v>353</v>
      </c>
      <c r="C54" s="12">
        <v>30</v>
      </c>
      <c r="D54" s="11" t="s">
        <v>13</v>
      </c>
      <c r="E54" s="9" t="s">
        <v>289</v>
      </c>
      <c r="F54" s="12">
        <v>20</v>
      </c>
      <c r="G54" s="11" t="s">
        <v>13</v>
      </c>
      <c r="H54" s="9" t="s">
        <v>288</v>
      </c>
      <c r="I54" s="12">
        <v>75</v>
      </c>
      <c r="J54" s="11" t="s">
        <v>13</v>
      </c>
    </row>
    <row r="55" spans="2:10">
      <c r="B55" s="9"/>
      <c r="C55" s="26"/>
      <c r="D55" s="27"/>
      <c r="E55" s="9" t="s">
        <v>307</v>
      </c>
      <c r="F55" s="12">
        <v>40</v>
      </c>
      <c r="G55" s="11" t="s">
        <v>13</v>
      </c>
      <c r="H55" s="9"/>
      <c r="I55" s="26"/>
      <c r="J55" s="27"/>
    </row>
    <row r="56" spans="2:10">
      <c r="B56" s="28" t="s">
        <v>158</v>
      </c>
      <c r="C56" s="24"/>
      <c r="D56" s="24"/>
      <c r="E56" s="28" t="s">
        <v>158</v>
      </c>
      <c r="F56" s="24"/>
      <c r="G56" s="24"/>
      <c r="H56" s="28" t="s">
        <v>158</v>
      </c>
      <c r="I56" s="24"/>
      <c r="J56" s="24"/>
    </row>
    <row r="57" spans="2:10">
      <c r="B57" s="31" t="s">
        <v>128</v>
      </c>
      <c r="C57" s="32">
        <v>1</v>
      </c>
      <c r="D57" s="33" t="s">
        <v>6</v>
      </c>
      <c r="E57" s="31" t="s">
        <v>128</v>
      </c>
      <c r="F57" s="32">
        <v>1</v>
      </c>
      <c r="G57" s="33" t="s">
        <v>6</v>
      </c>
      <c r="H57" s="31" t="s">
        <v>128</v>
      </c>
      <c r="I57" s="32">
        <v>1</v>
      </c>
      <c r="J57" s="33" t="s">
        <v>6</v>
      </c>
    </row>
    <row r="58" spans="2:10">
      <c r="B58" s="84" t="s">
        <v>429</v>
      </c>
      <c r="C58" s="32">
        <v>1</v>
      </c>
      <c r="D58" s="33" t="s">
        <v>6</v>
      </c>
      <c r="E58" s="31" t="s">
        <v>159</v>
      </c>
      <c r="F58" s="32">
        <v>1</v>
      </c>
      <c r="G58" s="33" t="s">
        <v>6</v>
      </c>
      <c r="H58" s="84" t="s">
        <v>428</v>
      </c>
      <c r="I58" s="32">
        <v>1</v>
      </c>
      <c r="J58" s="33" t="s">
        <v>6</v>
      </c>
    </row>
    <row r="59" spans="2:10">
      <c r="B59" s="84"/>
      <c r="C59" s="32">
        <v>1</v>
      </c>
      <c r="D59" s="33" t="s">
        <v>6</v>
      </c>
      <c r="E59" s="31" t="s">
        <v>161</v>
      </c>
      <c r="F59" s="32">
        <v>1</v>
      </c>
      <c r="G59" s="33" t="s">
        <v>6</v>
      </c>
      <c r="H59" s="84"/>
      <c r="I59" s="32">
        <v>1</v>
      </c>
      <c r="J59" s="33" t="s">
        <v>6</v>
      </c>
    </row>
    <row r="60" spans="2:10">
      <c r="B60" s="31" t="s">
        <v>148</v>
      </c>
      <c r="C60" s="32">
        <v>2</v>
      </c>
      <c r="D60" s="33" t="s">
        <v>6</v>
      </c>
      <c r="E60" s="31" t="s">
        <v>148</v>
      </c>
      <c r="F60" s="32">
        <v>2</v>
      </c>
      <c r="G60" s="33" t="s">
        <v>6</v>
      </c>
      <c r="H60" s="31" t="s">
        <v>213</v>
      </c>
      <c r="I60" s="32">
        <v>2</v>
      </c>
      <c r="J60" s="33" t="s">
        <v>6</v>
      </c>
    </row>
    <row r="61" spans="2:10">
      <c r="B61" s="31" t="s">
        <v>129</v>
      </c>
      <c r="C61" s="32">
        <v>1</v>
      </c>
      <c r="D61" s="33" t="s">
        <v>6</v>
      </c>
      <c r="E61" s="31" t="s">
        <v>129</v>
      </c>
      <c r="F61" s="32">
        <v>1</v>
      </c>
      <c r="G61" s="33" t="s">
        <v>6</v>
      </c>
      <c r="H61" s="31" t="s">
        <v>214</v>
      </c>
      <c r="I61" s="32">
        <v>1</v>
      </c>
      <c r="J61" s="33" t="s">
        <v>6</v>
      </c>
    </row>
    <row r="62" spans="2:10">
      <c r="B62" s="28" t="s">
        <v>163</v>
      </c>
      <c r="C62" s="24"/>
      <c r="D62" s="24"/>
      <c r="E62" s="28" t="s">
        <v>163</v>
      </c>
      <c r="F62" s="24"/>
      <c r="G62" s="24"/>
      <c r="H62" s="28" t="s">
        <v>163</v>
      </c>
      <c r="I62" s="24"/>
      <c r="J62" s="24"/>
    </row>
    <row r="63" spans="2:10">
      <c r="B63" s="31" t="s">
        <v>219</v>
      </c>
      <c r="C63" s="32">
        <v>90</v>
      </c>
      <c r="D63" s="33" t="s">
        <v>65</v>
      </c>
      <c r="E63" s="31" t="s">
        <v>254</v>
      </c>
      <c r="F63" s="32">
        <v>90</v>
      </c>
      <c r="G63" s="33" t="s">
        <v>65</v>
      </c>
      <c r="H63" s="31" t="s">
        <v>219</v>
      </c>
      <c r="I63" s="32">
        <v>90</v>
      </c>
      <c r="J63" s="33" t="s">
        <v>65</v>
      </c>
    </row>
    <row r="64" spans="2:10">
      <c r="B64" s="31" t="s">
        <v>164</v>
      </c>
      <c r="C64" s="32">
        <v>30</v>
      </c>
      <c r="D64" s="33" t="s">
        <v>65</v>
      </c>
      <c r="E64" s="31" t="s">
        <v>164</v>
      </c>
      <c r="F64" s="32">
        <v>30</v>
      </c>
      <c r="G64" s="33" t="s">
        <v>65</v>
      </c>
      <c r="H64" s="31" t="s">
        <v>164</v>
      </c>
      <c r="I64" s="32">
        <v>30</v>
      </c>
      <c r="J64" s="33" t="s">
        <v>65</v>
      </c>
    </row>
    <row r="65" spans="2:10">
      <c r="B65" s="31" t="s">
        <v>165</v>
      </c>
      <c r="C65" s="32">
        <v>90</v>
      </c>
      <c r="D65" s="33" t="s">
        <v>142</v>
      </c>
      <c r="E65" s="31" t="s">
        <v>165</v>
      </c>
      <c r="F65" s="32">
        <v>90</v>
      </c>
      <c r="G65" s="33" t="s">
        <v>142</v>
      </c>
      <c r="H65" s="31" t="s">
        <v>165</v>
      </c>
      <c r="I65" s="32">
        <v>90</v>
      </c>
      <c r="J65" s="33" t="s">
        <v>142</v>
      </c>
    </row>
    <row r="66" spans="2:10">
      <c r="B66" s="31" t="s">
        <v>220</v>
      </c>
      <c r="C66" s="32">
        <v>60</v>
      </c>
      <c r="D66" s="33" t="s">
        <v>142</v>
      </c>
      <c r="E66" s="31" t="s">
        <v>220</v>
      </c>
      <c r="F66" s="32">
        <v>60</v>
      </c>
      <c r="G66" s="33" t="s">
        <v>142</v>
      </c>
      <c r="H66" s="31" t="s">
        <v>220</v>
      </c>
      <c r="I66" s="32">
        <v>60</v>
      </c>
      <c r="J66" s="33" t="s">
        <v>142</v>
      </c>
    </row>
    <row r="67" spans="2:10">
      <c r="B67" s="31"/>
      <c r="C67" s="32"/>
      <c r="D67" s="33"/>
      <c r="E67" s="31"/>
      <c r="F67" s="32"/>
      <c r="G67" s="33"/>
      <c r="H67" s="31"/>
      <c r="I67" s="32"/>
      <c r="J67" s="33"/>
    </row>
    <row r="68" spans="2:10">
      <c r="B68" s="30" t="s">
        <v>167</v>
      </c>
      <c r="C68" s="24"/>
      <c r="D68" s="24"/>
      <c r="E68" s="30" t="s">
        <v>167</v>
      </c>
      <c r="F68" s="24"/>
      <c r="G68" s="24"/>
      <c r="H68" s="30" t="s">
        <v>167</v>
      </c>
      <c r="I68" s="24"/>
      <c r="J68" s="24"/>
    </row>
    <row r="69" spans="2:10">
      <c r="B69" s="31" t="s">
        <v>219</v>
      </c>
      <c r="C69" s="32">
        <v>90</v>
      </c>
      <c r="D69" s="33" t="s">
        <v>65</v>
      </c>
      <c r="E69" s="31" t="s">
        <v>255</v>
      </c>
      <c r="F69" s="32">
        <v>90</v>
      </c>
      <c r="G69" s="33" t="s">
        <v>65</v>
      </c>
      <c r="H69" s="31" t="s">
        <v>219</v>
      </c>
      <c r="I69" s="32">
        <v>90</v>
      </c>
      <c r="J69" s="33" t="s">
        <v>65</v>
      </c>
    </row>
    <row r="70" spans="2:10">
      <c r="B70" s="31" t="s">
        <v>164</v>
      </c>
      <c r="C70" s="32">
        <v>30</v>
      </c>
      <c r="D70" s="33" t="s">
        <v>65</v>
      </c>
      <c r="E70" s="31" t="s">
        <v>164</v>
      </c>
      <c r="F70" s="32">
        <v>30</v>
      </c>
      <c r="G70" s="33" t="s">
        <v>65</v>
      </c>
      <c r="H70" s="31" t="s">
        <v>164</v>
      </c>
      <c r="I70" s="32">
        <v>30</v>
      </c>
      <c r="J70" s="33" t="s">
        <v>65</v>
      </c>
    </row>
    <row r="71" spans="2:10">
      <c r="B71" s="31" t="s">
        <v>165</v>
      </c>
      <c r="C71" s="32">
        <v>90</v>
      </c>
      <c r="D71" s="33" t="s">
        <v>142</v>
      </c>
      <c r="E71" s="31" t="s">
        <v>165</v>
      </c>
      <c r="F71" s="32">
        <v>90</v>
      </c>
      <c r="G71" s="33" t="s">
        <v>142</v>
      </c>
      <c r="H71" s="31" t="s">
        <v>165</v>
      </c>
      <c r="I71" s="32">
        <v>90</v>
      </c>
      <c r="J71" s="33" t="s">
        <v>142</v>
      </c>
    </row>
    <row r="72" spans="2:10">
      <c r="B72" s="31" t="s">
        <v>220</v>
      </c>
      <c r="C72" s="32">
        <v>60</v>
      </c>
      <c r="D72" s="33" t="s">
        <v>142</v>
      </c>
      <c r="E72" s="31" t="s">
        <v>220</v>
      </c>
      <c r="F72" s="32">
        <v>60</v>
      </c>
      <c r="G72" s="33" t="s">
        <v>142</v>
      </c>
      <c r="H72" s="31" t="s">
        <v>220</v>
      </c>
      <c r="I72" s="32">
        <v>60</v>
      </c>
      <c r="J72" s="33" t="s">
        <v>142</v>
      </c>
    </row>
    <row r="73" spans="2:10">
      <c r="B73" s="31"/>
      <c r="C73" s="32"/>
      <c r="D73" s="33"/>
      <c r="E73" s="31"/>
      <c r="F73" s="32"/>
      <c r="G73" s="33"/>
      <c r="H73" s="31"/>
      <c r="I73" s="32"/>
      <c r="J73" s="33"/>
    </row>
  </sheetData>
  <mergeCells count="6">
    <mergeCell ref="B2:D2"/>
    <mergeCell ref="B23:D23"/>
    <mergeCell ref="E2:G2"/>
    <mergeCell ref="E23:G23"/>
    <mergeCell ref="H2:J2"/>
    <mergeCell ref="H23:J23"/>
  </mergeCells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B75F5-14F9-4A9E-AEF8-F5F89DA3F0E3}"/>
</file>

<file path=customXml/itemProps2.xml><?xml version="1.0" encoding="utf-8"?>
<ds:datastoreItem xmlns:ds="http://schemas.openxmlformats.org/officeDocument/2006/customXml" ds:itemID="{1B321509-F9E0-4889-B1CD-7994E04532AC}">
  <ds:schemaRefs>
    <ds:schemaRef ds:uri="http://schemas.microsoft.com/office/2006/metadata/properties"/>
    <ds:schemaRef ds:uri="http://www.w3.org/2000/xmlns/"/>
    <ds:schemaRef ds:uri="1cca795c-b702-4d9c-a00f-4ea8e3fb1866"/>
    <ds:schemaRef ds:uri="8be24d1f-f08e-46a7-9c6b-0452813a2a77"/>
    <ds:schemaRef ds:uri="http://schemas.microsoft.com/office/infopath/2007/PartnerControl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 C C1-3</vt:lpstr>
      <vt:lpstr>Express Tray Set up</vt:lpstr>
      <vt:lpstr>CS Y C1-3</vt:lpstr>
      <vt:lpstr>CS M C1-3</vt:lpstr>
      <vt:lpstr>CS P K C3</vt:lpstr>
      <vt:lpstr>BC - Special Meals</vt:lpstr>
      <vt:lpstr>PLUS SPECIAL MEALS</vt:lpstr>
      <vt:lpstr>ECONOMY GO SPML</vt:lpstr>
      <vt:lpstr>CREW SPML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cp:lastPrinted>2024-11-06T17:35:52Z</cp:lastPrinted>
  <dcterms:created xsi:type="dcterms:W3CDTF">2024-02-23T19:31:22Z</dcterms:created>
  <dcterms:modified xsi:type="dcterms:W3CDTF">2024-12-02T15:58:43Z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