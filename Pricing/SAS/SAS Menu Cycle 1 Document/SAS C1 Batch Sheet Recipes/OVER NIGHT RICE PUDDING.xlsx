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optimum Recipes 1.20.25/"/>
    </mc:Choice>
  </mc:AlternateContent>
  <xr:revisionPtr revIDLastSave="23" documentId="8_{7EE3757A-C85E-482D-BED8-B14037A363C8}" xr6:coauthVersionLast="47" xr6:coauthVersionMax="47" xr10:uidLastSave="{0A8E98AD-7C0F-4EA6-A025-94C3B9111CE6}"/>
  <bookViews>
    <workbookView xWindow="-105" yWindow="0" windowWidth="10455" windowHeight="10905" xr2:uid="{9D773142-25FF-402D-A059-87F5C56EFE7F}"/>
  </bookViews>
  <sheets>
    <sheet name="Templat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F21" i="5" s="1"/>
  <c r="G21" i="5" s="1"/>
  <c r="F9" i="5" l="1"/>
  <c r="G9" i="5" s="1"/>
  <c r="F12" i="5"/>
  <c r="G12" i="5" s="1"/>
  <c r="F19" i="5"/>
  <c r="G19" i="5" s="1"/>
  <c r="F10" i="5"/>
  <c r="G10" i="5" s="1"/>
  <c r="F13" i="5"/>
  <c r="G13" i="5" s="1"/>
  <c r="F16" i="5"/>
  <c r="G16" i="5" s="1"/>
  <c r="F8" i="5"/>
  <c r="G8" i="5" s="1"/>
  <c r="F15" i="5"/>
  <c r="G15" i="5" s="1"/>
  <c r="F18" i="5"/>
  <c r="G18" i="5" s="1"/>
  <c r="F7" i="5"/>
  <c r="G7" i="5" s="1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24" i="5" l="1"/>
  <c r="G25" i="5" s="1"/>
  <c r="F24" i="5"/>
</calcChain>
</file>

<file path=xl/sharedStrings.xml><?xml version="1.0" encoding="utf-8"?>
<sst xmlns="http://schemas.openxmlformats.org/spreadsheetml/2006/main" count="55" uniqueCount="37">
  <si>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</si>
  <si>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</si>
  <si>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</si>
  <si>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</si>
  <si>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</si>
  <si>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</si>
  <si>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</si>
  <si>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</si>
  <si>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</si>
  <si>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</si>
  <si>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</si>
  <si>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</si>
  <si>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</si>
  <si>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</si>
  <si>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</si>
  <si>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</si>
  <si>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</si>
  <si>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</si>
  <si>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</si>
  <si>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</si>
  <si>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</si>
  <si>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</si>
  <si>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Yield Loss:</t>
  </si>
  <si>
    <t>lb</t>
  </si>
  <si>
    <t>Weight After Yield Loss</t>
  </si>
  <si>
    <t>OVER NIGHT RICE PUDDING</t>
  </si>
  <si>
    <t>RICE CRISPY CEREAL FLAKES</t>
  </si>
  <si>
    <t>COCONUT MILK</t>
  </si>
  <si>
    <t>WATER</t>
  </si>
  <si>
    <t>DRIED APRICOTS</t>
  </si>
  <si>
    <t>D160</t>
  </si>
  <si>
    <t>SUGAR GRANULATED</t>
  </si>
  <si>
    <t>C202</t>
  </si>
  <si>
    <t>D338</t>
  </si>
  <si>
    <t>SEED CHIA</t>
  </si>
  <si>
    <t>D210</t>
  </si>
  <si>
    <t>SPICE CARDAMON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</si>
</sst>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4" xfId="0" applyBorder="1"/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tabSelected="1" workbookViewId="0">
      <selection activeCell="C10" sqref="C10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25</v>
      </c>
      <c r="D2" s="5" t="s">
        <v>1</v>
      </c>
      <c r="E2" s="29"/>
      <c r="F2" s="2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5</v>
      </c>
      <c r="D4" s="9"/>
      <c r="F4" s="2" t="s">
        <v>22</v>
      </c>
      <c r="G4" s="25" t="s">
        <v>8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0" t="s">
        <v>10</v>
      </c>
      <c r="I6" s="31"/>
      <c r="J6" s="11" t="s">
        <v>11</v>
      </c>
    </row>
    <row r="7" spans="1:10" x14ac:dyDescent="0.25">
      <c r="A7" s="1">
        <v>1</v>
      </c>
      <c r="B7" s="12" t="s">
        <v>32</v>
      </c>
      <c r="C7" s="12" t="s">
        <v>27</v>
      </c>
      <c r="D7" s="13">
        <v>200</v>
      </c>
      <c r="E7" s="13" t="s">
        <v>23</v>
      </c>
      <c r="F7" s="14">
        <f t="shared" ref="F7:F23" si="0">D7/D$24</f>
        <v>0.37735849056603776</v>
      </c>
      <c r="G7" s="15">
        <f>C4*F7</f>
        <v>1.8867924528301887</v>
      </c>
      <c r="H7" s="27"/>
      <c r="I7" s="28"/>
      <c r="J7" s="16"/>
    </row>
    <row r="8" spans="1:10" x14ac:dyDescent="0.25">
      <c r="A8" s="1">
        <v>2</v>
      </c>
      <c r="B8" s="12"/>
      <c r="C8" s="12" t="s">
        <v>28</v>
      </c>
      <c r="D8" s="13">
        <v>225</v>
      </c>
      <c r="E8" s="13" t="s">
        <v>23</v>
      </c>
      <c r="F8" s="14">
        <f t="shared" si="0"/>
        <v>0.42452830188679247</v>
      </c>
      <c r="G8" s="15">
        <f>C4*F8</f>
        <v>2.1226415094339623</v>
      </c>
      <c r="H8" s="27"/>
      <c r="I8" s="28"/>
      <c r="J8" s="16"/>
    </row>
    <row r="9" spans="1:10" x14ac:dyDescent="0.25">
      <c r="A9" s="1">
        <v>3</v>
      </c>
      <c r="B9" s="12"/>
      <c r="C9" s="12" t="s">
        <v>26</v>
      </c>
      <c r="D9" s="13">
        <v>35</v>
      </c>
      <c r="E9" s="13" t="s">
        <v>23</v>
      </c>
      <c r="F9" s="14">
        <f t="shared" si="0"/>
        <v>6.6037735849056603E-2</v>
      </c>
      <c r="G9" s="15">
        <f>C4*F9</f>
        <v>0.330188679245283</v>
      </c>
      <c r="H9" s="27"/>
      <c r="I9" s="28"/>
      <c r="J9" s="16"/>
    </row>
    <row r="10" spans="1:10" x14ac:dyDescent="0.25">
      <c r="A10" s="1">
        <v>4</v>
      </c>
      <c r="B10" s="12" t="s">
        <v>33</v>
      </c>
      <c r="C10" s="12" t="s">
        <v>34</v>
      </c>
      <c r="D10" s="13">
        <v>8</v>
      </c>
      <c r="E10" s="13" t="s">
        <v>23</v>
      </c>
      <c r="F10" s="14">
        <f t="shared" si="0"/>
        <v>1.509433962264151E-2</v>
      </c>
      <c r="G10" s="15">
        <f>C4*F10</f>
        <v>7.5471698113207544E-2</v>
      </c>
      <c r="H10" s="27"/>
      <c r="I10" s="28"/>
      <c r="J10" s="16"/>
    </row>
    <row r="11" spans="1:10" x14ac:dyDescent="0.25">
      <c r="A11" s="1">
        <v>5</v>
      </c>
      <c r="B11" s="12" t="s">
        <v>30</v>
      </c>
      <c r="C11" s="12" t="s">
        <v>31</v>
      </c>
      <c r="D11" s="13">
        <v>10</v>
      </c>
      <c r="E11" s="13" t="s">
        <v>23</v>
      </c>
      <c r="F11" s="14">
        <f t="shared" si="0"/>
        <v>1.8867924528301886E-2</v>
      </c>
      <c r="G11" s="15">
        <f>C4*F11</f>
        <v>9.4339622641509427E-2</v>
      </c>
      <c r="H11" s="27"/>
      <c r="I11" s="28"/>
      <c r="J11" s="16"/>
    </row>
    <row r="12" spans="1:10" x14ac:dyDescent="0.25">
      <c r="A12" s="1">
        <v>6</v>
      </c>
      <c r="B12" s="12" t="s">
        <v>35</v>
      </c>
      <c r="C12" s="12" t="s">
        <v>36</v>
      </c>
      <c r="D12" s="13">
        <v>2</v>
      </c>
      <c r="E12" s="13" t="s">
        <v>23</v>
      </c>
      <c r="F12" s="14">
        <f t="shared" si="0"/>
        <v>3.7735849056603774E-3</v>
      </c>
      <c r="G12" s="15">
        <f>C4*F12</f>
        <v>1.8867924528301886E-2</v>
      </c>
      <c r="H12" s="27"/>
      <c r="I12" s="28"/>
      <c r="J12" s="16"/>
    </row>
    <row r="13" spans="1:10" x14ac:dyDescent="0.25">
      <c r="A13" s="1">
        <v>7</v>
      </c>
      <c r="B13" s="12"/>
      <c r="C13" s="12" t="s">
        <v>29</v>
      </c>
      <c r="D13" s="13">
        <v>50</v>
      </c>
      <c r="E13" s="13" t="s">
        <v>23</v>
      </c>
      <c r="F13" s="14">
        <f t="shared" si="0"/>
        <v>9.4339622641509441E-2</v>
      </c>
      <c r="G13" s="15">
        <f>C4*F13</f>
        <v>0.47169811320754718</v>
      </c>
      <c r="H13" s="27"/>
      <c r="I13" s="28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27"/>
      <c r="I14" s="28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27"/>
      <c r="I15" s="28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27"/>
      <c r="I16" s="28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27"/>
      <c r="I17" s="28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27"/>
      <c r="I18" s="28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27"/>
      <c r="I19" s="28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27"/>
      <c r="I20" s="28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27"/>
      <c r="I21" s="28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27"/>
      <c r="I22" s="28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27"/>
      <c r="I23" s="28"/>
      <c r="J23" s="16"/>
    </row>
    <row r="24" spans="1:10" x14ac:dyDescent="0.25">
      <c r="C24" s="17" t="s">
        <v>12</v>
      </c>
      <c r="D24" s="1">
        <f>SUM(D7:D23)</f>
        <v>530</v>
      </c>
      <c r="E24" s="1" t="s">
        <v>23</v>
      </c>
      <c r="F24" s="18">
        <f>SUM(F7:F23)</f>
        <v>1</v>
      </c>
      <c r="G24" s="26">
        <f>SUM(G7:G23)</f>
        <v>5</v>
      </c>
      <c r="H24" s="19" t="s">
        <v>13</v>
      </c>
    </row>
    <row r="25" spans="1:10" x14ac:dyDescent="0.25">
      <c r="F25" s="25" t="s">
        <v>24</v>
      </c>
      <c r="G25" s="20" t="e">
        <f>-G24*G4+C4</f>
        <v>#VALUE!</v>
      </c>
    </row>
    <row r="26" spans="1:10" ht="15.75" x14ac:dyDescent="0.25">
      <c r="A26"/>
      <c r="B26" s="33" t="s">
        <v>14</v>
      </c>
      <c r="C26" s="33"/>
      <c r="D26" s="33"/>
      <c r="E26" s="33"/>
      <c r="F26" s="33"/>
      <c r="G26" s="33"/>
      <c r="H26" s="33"/>
      <c r="I26" s="33"/>
      <c r="J26" s="33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4"/>
      <c r="C28" s="35"/>
      <c r="D28" s="35"/>
      <c r="E28" s="35"/>
      <c r="F28" s="35"/>
      <c r="G28" s="35"/>
      <c r="H28" s="35"/>
      <c r="I28" s="35"/>
      <c r="J28" s="36"/>
    </row>
    <row r="29" spans="1:10" x14ac:dyDescent="0.25">
      <c r="A29" s="1">
        <v>2</v>
      </c>
      <c r="B29" s="34"/>
      <c r="C29" s="35"/>
      <c r="D29" s="35"/>
      <c r="E29" s="35"/>
      <c r="F29" s="35"/>
      <c r="G29" s="35"/>
      <c r="H29" s="35"/>
      <c r="I29" s="35"/>
      <c r="J29" s="36"/>
    </row>
    <row r="30" spans="1:10" x14ac:dyDescent="0.25">
      <c r="A30" s="1">
        <v>3</v>
      </c>
      <c r="B30" s="37"/>
      <c r="C30" s="38"/>
      <c r="D30" s="38"/>
      <c r="E30" s="38"/>
      <c r="F30" s="38"/>
      <c r="G30" s="38"/>
      <c r="H30" s="38"/>
      <c r="I30" s="38"/>
      <c r="J30" s="39"/>
    </row>
    <row r="31" spans="1:10" x14ac:dyDescent="0.25">
      <c r="A31" s="1">
        <v>4</v>
      </c>
      <c r="B31" s="32"/>
      <c r="C31" s="32"/>
      <c r="D31" s="32"/>
      <c r="E31" s="32"/>
      <c r="F31" s="32"/>
      <c r="G31" s="32"/>
      <c r="H31" s="32"/>
      <c r="I31" s="32"/>
      <c r="J31" s="32"/>
    </row>
    <row r="32" spans="1:10" x14ac:dyDescent="0.25">
      <c r="A32" s="1">
        <v>5</v>
      </c>
      <c r="B32" s="32"/>
      <c r="C32" s="32"/>
      <c r="D32" s="32"/>
      <c r="E32" s="32"/>
      <c r="F32" s="32"/>
      <c r="G32" s="32"/>
      <c r="H32" s="32"/>
      <c r="I32" s="32"/>
      <c r="J32" s="32"/>
    </row>
    <row r="33" spans="1:10" x14ac:dyDescent="0.25">
      <c r="A33" s="1">
        <v>6</v>
      </c>
      <c r="B33" s="32"/>
      <c r="C33" s="32"/>
      <c r="D33" s="32"/>
      <c r="E33" s="32"/>
      <c r="F33" s="32"/>
      <c r="G33" s="32"/>
      <c r="H33" s="32"/>
      <c r="I33" s="32"/>
      <c r="J33" s="32"/>
    </row>
    <row r="34" spans="1:10" x14ac:dyDescent="0.25">
      <c r="A34" s="1">
        <v>7</v>
      </c>
      <c r="B34" s="32"/>
      <c r="C34" s="32"/>
      <c r="D34" s="32"/>
      <c r="E34" s="32"/>
      <c r="F34" s="32"/>
      <c r="G34" s="32"/>
      <c r="H34" s="32"/>
      <c r="I34" s="32"/>
      <c r="J34" s="32"/>
    </row>
    <row r="35" spans="1:10" x14ac:dyDescent="0.25">
      <c r="A35" s="1">
        <v>8</v>
      </c>
      <c r="B35" s="32"/>
      <c r="C35" s="32"/>
      <c r="D35" s="32"/>
      <c r="E35" s="32"/>
      <c r="F35" s="32"/>
      <c r="G35" s="32"/>
      <c r="H35" s="32"/>
      <c r="I35" s="32"/>
      <c r="J35" s="32"/>
    </row>
    <row r="36" spans="1:10" x14ac:dyDescent="0.25">
      <c r="A36" s="1">
        <v>9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 x14ac:dyDescent="0.25">
      <c r="A37" s="1">
        <v>10</v>
      </c>
      <c r="B37" s="32"/>
      <c r="C37" s="32"/>
      <c r="D37" s="32"/>
      <c r="E37" s="32"/>
      <c r="F37" s="32"/>
      <c r="G37" s="32"/>
      <c r="H37" s="32"/>
      <c r="I37" s="32"/>
      <c r="J37" s="32"/>
    </row>
    <row r="38" spans="1:10" x14ac:dyDescent="0.25">
      <c r="A38" s="1">
        <v>11</v>
      </c>
      <c r="B38" s="32"/>
      <c r="C38" s="32"/>
      <c r="D38" s="32"/>
      <c r="E38" s="32"/>
      <c r="F38" s="32"/>
      <c r="G38" s="32"/>
      <c r="H38" s="32"/>
      <c r="I38" s="32"/>
      <c r="J38" s="32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0" t="s">
        <v>17</v>
      </c>
      <c r="C43" s="40"/>
      <c r="E43" s="40" t="s">
        <v>18</v>
      </c>
      <c r="F43" s="40"/>
      <c r="H43" s="41" t="s">
        <v>19</v>
      </c>
      <c r="I43" s="41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4CEC817B-80CA-491B-AD9B-16278705D8C2}"/>
</file>

<file path=customXml/itemProps2.xml><?xml version="1.0" encoding="utf-8"?>
<ds:datastoreItem xmlns:ds="http://schemas.openxmlformats.org/officeDocument/2006/customXml" ds:itemID="{CDA54650-7FCB-4AD4-8F83-214437DB0998}"/>
</file>

<file path=customXml/itemProps3.xml><?xml version="1.0" encoding="utf-8"?>
<ds:datastoreItem xmlns:ds="http://schemas.openxmlformats.org/officeDocument/2006/customXml" ds:itemID="{BD8EAC67-A1DC-4400-A8A2-24CA5D46DF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dcterms:created xsi:type="dcterms:W3CDTF">2023-08-17T15:10:54Z</dcterms:created>
  <dcterms:modified xsi:type="dcterms:W3CDTF">2025-01-22T21:06:40Z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