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VA Batch Sheets/"/>
    </mc:Choice>
  </mc:AlternateContent>
  <xr:revisionPtr revIDLastSave="11" documentId="8_{FE2A510E-B273-4AF1-9E48-89444BBC0760}" xr6:coauthVersionLast="47" xr6:coauthVersionMax="47" xr10:uidLastSave="{3D988316-15C7-46DE-888F-E28CBB803281}"/>
  <bookViews>
    <workbookView xWindow="10200" yWindow="30" windowWidth="10290" windowHeight="10770" xr2:uid="{9D773142-25FF-402D-A059-87F5C56EFE7F}"/>
  </bookViews>
  <sheets>
    <sheet name="Rice Sauce Mix" sheetId="8" r:id="rId1"/>
    <sheet name="Al Dente Arborio" sheetId="7" r:id="rId2"/>
    <sheet name="Plain Rissotto Sauce (2)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9" l="1"/>
  <c r="F23" i="9" s="1"/>
  <c r="G23" i="9" s="1"/>
  <c r="F22" i="9"/>
  <c r="G22" i="9" s="1"/>
  <c r="F20" i="9"/>
  <c r="G20" i="9" s="1"/>
  <c r="F18" i="9"/>
  <c r="G18" i="9" s="1"/>
  <c r="F16" i="9"/>
  <c r="G16" i="9" s="1"/>
  <c r="F14" i="9"/>
  <c r="G14" i="9" s="1"/>
  <c r="F12" i="9"/>
  <c r="G12" i="9" s="1"/>
  <c r="F10" i="9"/>
  <c r="G10" i="9" s="1"/>
  <c r="F8" i="9"/>
  <c r="G8" i="9" s="1"/>
  <c r="F7" i="9" l="1"/>
  <c r="F9" i="9"/>
  <c r="G9" i="9" s="1"/>
  <c r="F11" i="9"/>
  <c r="G11" i="9" s="1"/>
  <c r="F13" i="9"/>
  <c r="G13" i="9" s="1"/>
  <c r="F15" i="9"/>
  <c r="G15" i="9" s="1"/>
  <c r="F17" i="9"/>
  <c r="G17" i="9" s="1"/>
  <c r="F19" i="9"/>
  <c r="G19" i="9" s="1"/>
  <c r="F21" i="9"/>
  <c r="G21" i="9" s="1"/>
  <c r="G7" i="9" l="1"/>
  <c r="G24" i="9" s="1"/>
  <c r="G25" i="9" s="1"/>
  <c r="F24" i="9"/>
  <c r="D24" i="8" l="1"/>
  <c r="F22" i="8" s="1"/>
  <c r="G22" i="8" s="1"/>
  <c r="D24" i="7"/>
  <c r="F23" i="7" s="1"/>
  <c r="G23" i="7" s="1"/>
  <c r="F10" i="7" l="1"/>
  <c r="G10" i="7" s="1"/>
  <c r="F7" i="7"/>
  <c r="G7" i="7" s="1"/>
  <c r="F8" i="7"/>
  <c r="G8" i="7" s="1"/>
  <c r="F15" i="7"/>
  <c r="G15" i="7" s="1"/>
  <c r="F11" i="7"/>
  <c r="G11" i="7" s="1"/>
  <c r="F9" i="7"/>
  <c r="G9" i="7" s="1"/>
  <c r="F16" i="7"/>
  <c r="G16" i="7" s="1"/>
  <c r="F8" i="8"/>
  <c r="G8" i="8" s="1"/>
  <c r="F10" i="8"/>
  <c r="G10" i="8" s="1"/>
  <c r="F14" i="8"/>
  <c r="G14" i="8" s="1"/>
  <c r="F16" i="8"/>
  <c r="G16" i="8" s="1"/>
  <c r="F18" i="8"/>
  <c r="G18" i="8" s="1"/>
  <c r="F20" i="8"/>
  <c r="G20" i="8" s="1"/>
  <c r="F7" i="8"/>
  <c r="F9" i="8"/>
  <c r="G9" i="8" s="1"/>
  <c r="F11" i="8"/>
  <c r="G11" i="8" s="1"/>
  <c r="F13" i="8"/>
  <c r="G13" i="8" s="1"/>
  <c r="F15" i="8"/>
  <c r="G15" i="8" s="1"/>
  <c r="F17" i="8"/>
  <c r="G17" i="8" s="1"/>
  <c r="F19" i="8"/>
  <c r="G19" i="8" s="1"/>
  <c r="F21" i="8"/>
  <c r="G21" i="8" s="1"/>
  <c r="F23" i="8"/>
  <c r="G23" i="8" s="1"/>
  <c r="F12" i="8"/>
  <c r="G12" i="8" s="1"/>
  <c r="F12" i="7"/>
  <c r="G12" i="7" s="1"/>
  <c r="F18" i="7"/>
  <c r="G18" i="7" s="1"/>
  <c r="F13" i="7"/>
  <c r="G13" i="7" s="1"/>
  <c r="F19" i="7"/>
  <c r="G19" i="7" s="1"/>
  <c r="F20" i="7"/>
  <c r="G20" i="7" s="1"/>
  <c r="F14" i="7"/>
  <c r="G14" i="7" s="1"/>
  <c r="F17" i="7"/>
  <c r="G17" i="7" s="1"/>
  <c r="F21" i="7"/>
  <c r="G21" i="7" s="1"/>
  <c r="F22" i="7"/>
  <c r="G22" i="7" s="1"/>
  <c r="G7" i="8" l="1"/>
  <c r="G24" i="8" s="1"/>
  <c r="G25" i="8" s="1"/>
  <c r="F24" i="8"/>
  <c r="G24" i="7"/>
  <c r="G25" i="7" s="1"/>
  <c r="F24" i="7"/>
</calcChain>
</file>

<file path=xl/sharedStrings.xml><?xml version="1.0" encoding="utf-8"?>
<sst xmlns="http://schemas.openxmlformats.org/spreadsheetml/2006/main" count="164" uniqueCount="61">
  <si>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</si>
  <si>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</si>
  <si>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</si>
  <si>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</si>
  <si>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</si>
  <si>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</si>
  <si>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</si>
  <si>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</si>
  <si>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</si>
  <si>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</si>
  <si>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</si>
  <si>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</si>
  <si>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</si>
  <si>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</si>
  <si>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</si>
  <si>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</si>
  <si>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</si>
  <si>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</si>
  <si>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</si>
  <si>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</si>
  <si>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</si>
  <si>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</si>
  <si>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</si>
  <si>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</si>
  <si>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</si>
  <si>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Al Dente Arborio</t>
  </si>
  <si>
    <t>Water</t>
  </si>
  <si>
    <t>Combine all Ingredients into Rice Cooker</t>
  </si>
  <si>
    <t>Set to Cook</t>
  </si>
  <si>
    <t>Once Rice Cooker cycle finishes Fluff up rice onto sheet pan to cool</t>
  </si>
  <si>
    <t>Cool below 40F until ready for use</t>
  </si>
  <si>
    <t xml:space="preserve">Water </t>
  </si>
  <si>
    <t>Chicken Base</t>
  </si>
  <si>
    <t>Al Dente Arborio Rice</t>
  </si>
  <si>
    <t>C110</t>
  </si>
  <si>
    <t>HEAVY WHIPPING CREAM 36%</t>
  </si>
  <si>
    <t>C057</t>
  </si>
  <si>
    <t>ONION WHOLE YELLOW</t>
  </si>
  <si>
    <t>D257</t>
  </si>
  <si>
    <t>OIL BLENDED 75%/25%</t>
  </si>
  <si>
    <t>D218</t>
  </si>
  <si>
    <t>STARCH THERM FLOR</t>
  </si>
  <si>
    <t>D051</t>
  </si>
  <si>
    <t>SPICE GARLIC DEHYDRATED MINCED</t>
  </si>
  <si>
    <t>D089</t>
  </si>
  <si>
    <t>SALT EVAPORATED</t>
  </si>
  <si>
    <t>D491</t>
  </si>
  <si>
    <t>RICE ARBORIO</t>
  </si>
  <si>
    <t>Artichoke Rissotto Mix</t>
  </si>
  <si>
    <t>Rissotto Sauce</t>
  </si>
  <si>
    <t>Add All ingredients highlighted in green to a pot</t>
  </si>
  <si>
    <t>Reserve some of the water and mix with thermflo to make slurry and set aside</t>
  </si>
  <si>
    <t>Bring the ingredients in pot to a boil over high heat</t>
  </si>
  <si>
    <t xml:space="preserve">Once at a rolling boil add slurry of thermflo and water </t>
  </si>
  <si>
    <t>Allow sauce to come back to a boil temped at 180F</t>
  </si>
  <si>
    <t>Once correctly temped remove from heat</t>
  </si>
  <si>
    <t>Rapid Chill and Store Below 40F</t>
  </si>
  <si>
    <t>Cooked Diced Mushroom</t>
  </si>
  <si>
    <t>Truffle Oil</t>
  </si>
  <si>
    <t>Rissotto Base Sauce - VEGETARIAN</t>
  </si>
  <si>
    <t xml:space="preserve">BELGIOSOS BABY ASIAGO - VEGETARIAN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</si>
</sst>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10" fontId="0" fillId="7" borderId="4" xfId="2" applyNumberFormat="1" applyFont="1" applyFill="1" applyBorder="1" applyAlignment="1">
      <alignment horizontal="center"/>
    </xf>
    <xf numFmtId="2" fontId="0" fillId="7" borderId="4" xfId="1" applyNumberFormat="1" applyFont="1" applyFill="1" applyBorder="1" applyAlignment="1">
      <alignment horizontal="center"/>
    </xf>
    <xf numFmtId="0" fontId="0" fillId="8" borderId="4" xfId="0" applyFill="1" applyBorder="1"/>
    <xf numFmtId="0" fontId="0" fillId="8" borderId="4" xfId="0" applyFill="1" applyBorder="1" applyAlignment="1">
      <alignment horizontal="center"/>
    </xf>
    <xf numFmtId="10" fontId="0" fillId="8" borderId="4" xfId="2" applyNumberFormat="1" applyFont="1" applyFill="1" applyBorder="1" applyAlignment="1">
      <alignment horizontal="center"/>
    </xf>
    <xf numFmtId="2" fontId="0" fillId="8" borderId="4" xfId="1" applyNumberFormat="1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B64D-B2FB-4631-8DF6-5821C4E2D42A}">
  <sheetPr>
    <pageSetUpPr fitToPage="1"/>
  </sheetPr>
  <dimension ref="A1:J43"/>
  <sheetViews>
    <sheetView tabSelected="1" topLeftCell="A4" zoomScale="70" zoomScaleNormal="70" workbookViewId="0">
      <selection activeCell="B13" sqref="B1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48</v>
      </c>
      <c r="D2" s="5" t="s">
        <v>1</v>
      </c>
      <c r="E2" s="47"/>
      <c r="F2" s="4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10</v>
      </c>
      <c r="D4" s="9"/>
      <c r="F4" s="2" t="s">
        <v>22</v>
      </c>
      <c r="G4" s="25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8" t="s">
        <v>10</v>
      </c>
      <c r="I6" s="49"/>
      <c r="J6" s="11" t="s">
        <v>11</v>
      </c>
    </row>
    <row r="7" spans="1:10" x14ac:dyDescent="0.25">
      <c r="A7" s="1">
        <v>1</v>
      </c>
      <c r="B7" s="12"/>
      <c r="C7" s="12" t="s">
        <v>33</v>
      </c>
      <c r="D7" s="13">
        <v>300</v>
      </c>
      <c r="E7" s="13" t="s">
        <v>23</v>
      </c>
      <c r="F7" s="14">
        <f t="shared" ref="F7:F23" si="0">D7/D$24</f>
        <v>0.36144578313253012</v>
      </c>
      <c r="G7" s="15">
        <f>C4*F7</f>
        <v>3.6144578313253013</v>
      </c>
      <c r="H7" s="38"/>
      <c r="I7" s="39"/>
      <c r="J7" s="16"/>
    </row>
    <row r="8" spans="1:10" x14ac:dyDescent="0.25">
      <c r="A8" s="1">
        <v>2</v>
      </c>
      <c r="B8" s="12"/>
      <c r="C8" s="12" t="s">
        <v>49</v>
      </c>
      <c r="D8" s="13">
        <v>450</v>
      </c>
      <c r="E8" s="13" t="s">
        <v>23</v>
      </c>
      <c r="F8" s="14">
        <f t="shared" si="0"/>
        <v>0.54216867469879515</v>
      </c>
      <c r="G8" s="15">
        <f>C4*F8</f>
        <v>5.4216867469879517</v>
      </c>
      <c r="H8" s="38"/>
      <c r="I8" s="39"/>
      <c r="J8" s="16"/>
    </row>
    <row r="9" spans="1:10" x14ac:dyDescent="0.25">
      <c r="A9" s="1">
        <v>3</v>
      </c>
      <c r="B9" s="12"/>
      <c r="C9" s="12" t="s">
        <v>57</v>
      </c>
      <c r="D9" s="13">
        <v>60</v>
      </c>
      <c r="E9" s="13" t="s">
        <v>23</v>
      </c>
      <c r="F9" s="14">
        <f t="shared" si="0"/>
        <v>7.2289156626506021E-2</v>
      </c>
      <c r="G9" s="15">
        <f>C4*F9</f>
        <v>0.72289156626506024</v>
      </c>
      <c r="H9" s="38"/>
      <c r="I9" s="39"/>
      <c r="J9" s="16"/>
    </row>
    <row r="10" spans="1:10" x14ac:dyDescent="0.25">
      <c r="A10" s="1">
        <v>4</v>
      </c>
      <c r="B10" s="12"/>
      <c r="C10" s="12" t="s">
        <v>58</v>
      </c>
      <c r="D10" s="13">
        <v>20</v>
      </c>
      <c r="E10" s="13" t="s">
        <v>23</v>
      </c>
      <c r="F10" s="14">
        <f t="shared" si="0"/>
        <v>2.4096385542168676E-2</v>
      </c>
      <c r="G10" s="15">
        <f>C4*F10</f>
        <v>0.24096385542168675</v>
      </c>
      <c r="H10" s="38"/>
      <c r="I10" s="39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8"/>
      <c r="I11" s="39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8"/>
      <c r="I12" s="39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8"/>
      <c r="I13" s="39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8"/>
      <c r="I14" s="39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8"/>
      <c r="I15" s="39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8"/>
      <c r="I16" s="39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8"/>
      <c r="I17" s="39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8"/>
      <c r="I18" s="39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8"/>
      <c r="I19" s="39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8"/>
      <c r="I20" s="39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8"/>
      <c r="I21" s="39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8"/>
      <c r="I22" s="39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8"/>
      <c r="I23" s="39"/>
      <c r="J23" s="16"/>
    </row>
    <row r="24" spans="1:10" x14ac:dyDescent="0.25">
      <c r="C24" s="17" t="s">
        <v>12</v>
      </c>
      <c r="D24" s="1">
        <f>SUM(D7:D23)</f>
        <v>830</v>
      </c>
      <c r="E24" s="1" t="s">
        <v>23</v>
      </c>
      <c r="F24" s="18">
        <f>SUM(F7:F23)</f>
        <v>0.99999999999999989</v>
      </c>
      <c r="G24" s="26">
        <f>SUM(G7:G23)</f>
        <v>10</v>
      </c>
      <c r="H24" s="19" t="s">
        <v>13</v>
      </c>
    </row>
    <row r="25" spans="1:10" x14ac:dyDescent="0.25">
      <c r="F25" s="25" t="s">
        <v>24</v>
      </c>
      <c r="G25" s="20">
        <f>-G24*G4+C4</f>
        <v>10</v>
      </c>
    </row>
    <row r="26" spans="1:10" ht="15.75" x14ac:dyDescent="0.25">
      <c r="A26"/>
      <c r="B26" s="40" t="s">
        <v>14</v>
      </c>
      <c r="C26" s="40"/>
      <c r="D26" s="40"/>
      <c r="E26" s="40"/>
      <c r="F26" s="40"/>
      <c r="G26" s="40"/>
      <c r="H26" s="40"/>
      <c r="I26" s="40"/>
      <c r="J26" s="40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1"/>
      <c r="C28" s="42"/>
      <c r="D28" s="42"/>
      <c r="E28" s="42"/>
      <c r="F28" s="42"/>
      <c r="G28" s="42"/>
      <c r="H28" s="42"/>
      <c r="I28" s="42"/>
      <c r="J28" s="43"/>
    </row>
    <row r="29" spans="1:10" x14ac:dyDescent="0.25">
      <c r="A29" s="1">
        <v>2</v>
      </c>
      <c r="B29" s="41"/>
      <c r="C29" s="42"/>
      <c r="D29" s="42"/>
      <c r="E29" s="42"/>
      <c r="F29" s="42"/>
      <c r="G29" s="42"/>
      <c r="H29" s="42"/>
      <c r="I29" s="42"/>
      <c r="J29" s="43"/>
    </row>
    <row r="30" spans="1:10" x14ac:dyDescent="0.25">
      <c r="A30" s="1">
        <v>3</v>
      </c>
      <c r="B30" s="44"/>
      <c r="C30" s="45"/>
      <c r="D30" s="45"/>
      <c r="E30" s="45"/>
      <c r="F30" s="45"/>
      <c r="G30" s="45"/>
      <c r="H30" s="45"/>
      <c r="I30" s="45"/>
      <c r="J30" s="46"/>
    </row>
    <row r="31" spans="1:10" x14ac:dyDescent="0.25">
      <c r="A31" s="1">
        <v>4</v>
      </c>
      <c r="B31" s="35"/>
      <c r="C31" s="35"/>
      <c r="D31" s="35"/>
      <c r="E31" s="35"/>
      <c r="F31" s="35"/>
      <c r="G31" s="35"/>
      <c r="H31" s="35"/>
      <c r="I31" s="35"/>
      <c r="J31" s="35"/>
    </row>
    <row r="32" spans="1:10" x14ac:dyDescent="0.25">
      <c r="A32" s="1">
        <v>5</v>
      </c>
      <c r="B32" s="35"/>
      <c r="C32" s="35"/>
      <c r="D32" s="35"/>
      <c r="E32" s="35"/>
      <c r="F32" s="35"/>
      <c r="G32" s="35"/>
      <c r="H32" s="35"/>
      <c r="I32" s="35"/>
      <c r="J32" s="35"/>
    </row>
    <row r="33" spans="1:10" x14ac:dyDescent="0.25">
      <c r="A33" s="1">
        <v>6</v>
      </c>
      <c r="B33" s="35"/>
      <c r="C33" s="35"/>
      <c r="D33" s="35"/>
      <c r="E33" s="35"/>
      <c r="F33" s="35"/>
      <c r="G33" s="35"/>
      <c r="H33" s="35"/>
      <c r="I33" s="35"/>
      <c r="J33" s="35"/>
    </row>
    <row r="34" spans="1:10" x14ac:dyDescent="0.25">
      <c r="A34" s="1">
        <v>7</v>
      </c>
      <c r="B34" s="35"/>
      <c r="C34" s="35"/>
      <c r="D34" s="35"/>
      <c r="E34" s="35"/>
      <c r="F34" s="35"/>
      <c r="G34" s="35"/>
      <c r="H34" s="35"/>
      <c r="I34" s="35"/>
      <c r="J34" s="35"/>
    </row>
    <row r="35" spans="1:10" x14ac:dyDescent="0.25">
      <c r="A35" s="1">
        <v>8</v>
      </c>
      <c r="B35" s="35"/>
      <c r="C35" s="35"/>
      <c r="D35" s="35"/>
      <c r="E35" s="35"/>
      <c r="F35" s="35"/>
      <c r="G35" s="35"/>
      <c r="H35" s="35"/>
      <c r="I35" s="35"/>
      <c r="J35" s="35"/>
    </row>
    <row r="36" spans="1:10" x14ac:dyDescent="0.25">
      <c r="A36" s="1">
        <v>9</v>
      </c>
      <c r="B36" s="35"/>
      <c r="C36" s="35"/>
      <c r="D36" s="35"/>
      <c r="E36" s="35"/>
      <c r="F36" s="35"/>
      <c r="G36" s="35"/>
      <c r="H36" s="35"/>
      <c r="I36" s="35"/>
      <c r="J36" s="35"/>
    </row>
    <row r="37" spans="1:10" x14ac:dyDescent="0.25">
      <c r="A37" s="1">
        <v>10</v>
      </c>
      <c r="B37" s="35"/>
      <c r="C37" s="35"/>
      <c r="D37" s="35"/>
      <c r="E37" s="35"/>
      <c r="F37" s="35"/>
      <c r="G37" s="35"/>
      <c r="H37" s="35"/>
      <c r="I37" s="35"/>
      <c r="J37" s="35"/>
    </row>
    <row r="38" spans="1:10" x14ac:dyDescent="0.25">
      <c r="A38" s="1">
        <v>11</v>
      </c>
      <c r="B38" s="35"/>
      <c r="C38" s="35"/>
      <c r="D38" s="35"/>
      <c r="E38" s="35"/>
      <c r="F38" s="35"/>
      <c r="G38" s="35"/>
      <c r="H38" s="35"/>
      <c r="I38" s="35"/>
      <c r="J38" s="35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6" t="s">
        <v>17</v>
      </c>
      <c r="C43" s="36"/>
      <c r="E43" s="36" t="s">
        <v>18</v>
      </c>
      <c r="F43" s="36"/>
      <c r="H43" s="37" t="s">
        <v>19</v>
      </c>
      <c r="I43" s="37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616E-2100-4F45-8A2F-1A261911ED3A}">
  <sheetPr>
    <pageSetUpPr fitToPage="1"/>
  </sheetPr>
  <dimension ref="A1:J43"/>
  <sheetViews>
    <sheetView zoomScale="70" zoomScaleNormal="70" workbookViewId="0">
      <selection activeCell="G7" sqref="G7:G9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47"/>
      <c r="F2" s="4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4</v>
      </c>
      <c r="D4" s="9"/>
      <c r="F4" s="2" t="s">
        <v>22</v>
      </c>
      <c r="G4" s="25">
        <v>0.05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8" t="s">
        <v>10</v>
      </c>
      <c r="I6" s="49"/>
      <c r="J6" s="11" t="s">
        <v>11</v>
      </c>
    </row>
    <row r="7" spans="1:10" x14ac:dyDescent="0.25">
      <c r="A7" s="1">
        <v>1</v>
      </c>
      <c r="B7" s="12" t="s">
        <v>46</v>
      </c>
      <c r="C7" s="12" t="s">
        <v>47</v>
      </c>
      <c r="D7" s="13">
        <v>300</v>
      </c>
      <c r="E7" s="13" t="s">
        <v>23</v>
      </c>
      <c r="F7" s="14">
        <f t="shared" ref="F7:F23" si="0">D7/D$24</f>
        <v>0.49751243781094528</v>
      </c>
      <c r="G7" s="15">
        <f>C4*F7</f>
        <v>1.9900497512437811</v>
      </c>
      <c r="H7" s="38"/>
      <c r="I7" s="39"/>
      <c r="J7" s="16"/>
    </row>
    <row r="8" spans="1:10" x14ac:dyDescent="0.25">
      <c r="A8" s="1">
        <v>2</v>
      </c>
      <c r="B8" s="12"/>
      <c r="C8" s="12" t="s">
        <v>26</v>
      </c>
      <c r="D8" s="13">
        <v>300</v>
      </c>
      <c r="E8" s="13" t="s">
        <v>23</v>
      </c>
      <c r="F8" s="14">
        <f t="shared" si="0"/>
        <v>0.49751243781094528</v>
      </c>
      <c r="G8" s="15">
        <f>C4*F8</f>
        <v>1.9900497512437811</v>
      </c>
      <c r="H8" s="38"/>
      <c r="I8" s="39"/>
      <c r="J8" s="16"/>
    </row>
    <row r="9" spans="1:10" x14ac:dyDescent="0.25">
      <c r="A9" s="1">
        <v>3</v>
      </c>
      <c r="B9" s="12" t="s">
        <v>44</v>
      </c>
      <c r="C9" s="12" t="s">
        <v>45</v>
      </c>
      <c r="D9" s="13">
        <v>3</v>
      </c>
      <c r="E9" s="13" t="s">
        <v>23</v>
      </c>
      <c r="F9" s="14">
        <f t="shared" si="0"/>
        <v>4.9751243781094526E-3</v>
      </c>
      <c r="G9" s="15">
        <f>C4*F9</f>
        <v>1.9900497512437811E-2</v>
      </c>
      <c r="H9" s="38"/>
      <c r="I9" s="39"/>
      <c r="J9" s="16"/>
    </row>
    <row r="10" spans="1:10" x14ac:dyDescent="0.25">
      <c r="A10" s="1">
        <v>4</v>
      </c>
      <c r="B10" s="12"/>
      <c r="C10" s="12"/>
      <c r="D10" s="13"/>
      <c r="E10" s="13" t="s">
        <v>23</v>
      </c>
      <c r="F10" s="14">
        <f t="shared" si="0"/>
        <v>0</v>
      </c>
      <c r="G10" s="15">
        <f>C4*F10</f>
        <v>0</v>
      </c>
      <c r="H10" s="38"/>
      <c r="I10" s="39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8"/>
      <c r="I11" s="39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8"/>
      <c r="I12" s="39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8"/>
      <c r="I13" s="39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8"/>
      <c r="I14" s="39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8"/>
      <c r="I15" s="39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8"/>
      <c r="I16" s="39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8"/>
      <c r="I17" s="39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8"/>
      <c r="I18" s="39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8"/>
      <c r="I19" s="39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8"/>
      <c r="I20" s="39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8"/>
      <c r="I21" s="39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8"/>
      <c r="I22" s="39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8"/>
      <c r="I23" s="39"/>
      <c r="J23" s="16"/>
    </row>
    <row r="24" spans="1:10" x14ac:dyDescent="0.25">
      <c r="C24" s="17" t="s">
        <v>12</v>
      </c>
      <c r="D24" s="1">
        <f>SUM(D7:D23)</f>
        <v>603</v>
      </c>
      <c r="E24" s="1" t="s">
        <v>23</v>
      </c>
      <c r="F24" s="18">
        <f>SUM(F7:F23)</f>
        <v>1</v>
      </c>
      <c r="G24" s="26">
        <f>SUM(G7:G23)</f>
        <v>4</v>
      </c>
      <c r="H24" s="19" t="s">
        <v>13</v>
      </c>
    </row>
    <row r="25" spans="1:10" x14ac:dyDescent="0.25">
      <c r="F25" s="25" t="s">
        <v>24</v>
      </c>
      <c r="G25" s="20">
        <f>-G24*G4+C4</f>
        <v>3.8</v>
      </c>
    </row>
    <row r="26" spans="1:10" ht="15.75" x14ac:dyDescent="0.25">
      <c r="A26"/>
      <c r="B26" s="40" t="s">
        <v>14</v>
      </c>
      <c r="C26" s="40"/>
      <c r="D26" s="40"/>
      <c r="E26" s="40"/>
      <c r="F26" s="40"/>
      <c r="G26" s="40"/>
      <c r="H26" s="40"/>
      <c r="I26" s="40"/>
      <c r="J26" s="40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1" t="s">
        <v>27</v>
      </c>
      <c r="C28" s="42"/>
      <c r="D28" s="42"/>
      <c r="E28" s="42"/>
      <c r="F28" s="42"/>
      <c r="G28" s="42"/>
      <c r="H28" s="42"/>
      <c r="I28" s="42"/>
      <c r="J28" s="43"/>
    </row>
    <row r="29" spans="1:10" x14ac:dyDescent="0.25">
      <c r="A29" s="1">
        <v>2</v>
      </c>
      <c r="B29" s="41" t="s">
        <v>28</v>
      </c>
      <c r="C29" s="42"/>
      <c r="D29" s="42"/>
      <c r="E29" s="42"/>
      <c r="F29" s="42"/>
      <c r="G29" s="42"/>
      <c r="H29" s="42"/>
      <c r="I29" s="42"/>
      <c r="J29" s="43"/>
    </row>
    <row r="30" spans="1:10" x14ac:dyDescent="0.25">
      <c r="A30" s="1">
        <v>3</v>
      </c>
      <c r="B30" s="44" t="s">
        <v>29</v>
      </c>
      <c r="C30" s="45"/>
      <c r="D30" s="45"/>
      <c r="E30" s="45"/>
      <c r="F30" s="45"/>
      <c r="G30" s="45"/>
      <c r="H30" s="45"/>
      <c r="I30" s="45"/>
      <c r="J30" s="46"/>
    </row>
    <row r="31" spans="1:10" x14ac:dyDescent="0.25">
      <c r="A31" s="1">
        <v>4</v>
      </c>
      <c r="B31" s="35" t="s">
        <v>30</v>
      </c>
      <c r="C31" s="35"/>
      <c r="D31" s="35"/>
      <c r="E31" s="35"/>
      <c r="F31" s="35"/>
      <c r="G31" s="35"/>
      <c r="H31" s="35"/>
      <c r="I31" s="35"/>
      <c r="J31" s="35"/>
    </row>
    <row r="32" spans="1:10" x14ac:dyDescent="0.25">
      <c r="A32" s="1">
        <v>5</v>
      </c>
      <c r="B32" s="35"/>
      <c r="C32" s="35"/>
      <c r="D32" s="35"/>
      <c r="E32" s="35"/>
      <c r="F32" s="35"/>
      <c r="G32" s="35"/>
      <c r="H32" s="35"/>
      <c r="I32" s="35"/>
      <c r="J32" s="35"/>
    </row>
    <row r="33" spans="1:10" x14ac:dyDescent="0.25">
      <c r="A33" s="1">
        <v>6</v>
      </c>
      <c r="B33" s="35"/>
      <c r="C33" s="35"/>
      <c r="D33" s="35"/>
      <c r="E33" s="35"/>
      <c r="F33" s="35"/>
      <c r="G33" s="35"/>
      <c r="H33" s="35"/>
      <c r="I33" s="35"/>
      <c r="J33" s="35"/>
    </row>
    <row r="34" spans="1:10" x14ac:dyDescent="0.25">
      <c r="A34" s="1">
        <v>7</v>
      </c>
      <c r="B34" s="35"/>
      <c r="C34" s="35"/>
      <c r="D34" s="35"/>
      <c r="E34" s="35"/>
      <c r="F34" s="35"/>
      <c r="G34" s="35"/>
      <c r="H34" s="35"/>
      <c r="I34" s="35"/>
      <c r="J34" s="35"/>
    </row>
    <row r="35" spans="1:10" x14ac:dyDescent="0.25">
      <c r="A35" s="1">
        <v>8</v>
      </c>
      <c r="B35" s="35"/>
      <c r="C35" s="35"/>
      <c r="D35" s="35"/>
      <c r="E35" s="35"/>
      <c r="F35" s="35"/>
      <c r="G35" s="35"/>
      <c r="H35" s="35"/>
      <c r="I35" s="35"/>
      <c r="J35" s="35"/>
    </row>
    <row r="36" spans="1:10" x14ac:dyDescent="0.25">
      <c r="A36" s="1">
        <v>9</v>
      </c>
      <c r="B36" s="35"/>
      <c r="C36" s="35"/>
      <c r="D36" s="35"/>
      <c r="E36" s="35"/>
      <c r="F36" s="35"/>
      <c r="G36" s="35"/>
      <c r="H36" s="35"/>
      <c r="I36" s="35"/>
      <c r="J36" s="35"/>
    </row>
    <row r="37" spans="1:10" x14ac:dyDescent="0.25">
      <c r="A37" s="1">
        <v>10</v>
      </c>
      <c r="B37" s="35"/>
      <c r="C37" s="35"/>
      <c r="D37" s="35"/>
      <c r="E37" s="35"/>
      <c r="F37" s="35"/>
      <c r="G37" s="35"/>
      <c r="H37" s="35"/>
      <c r="I37" s="35"/>
      <c r="J37" s="35"/>
    </row>
    <row r="38" spans="1:10" x14ac:dyDescent="0.25">
      <c r="A38" s="1">
        <v>11</v>
      </c>
      <c r="B38" s="35"/>
      <c r="C38" s="35"/>
      <c r="D38" s="35"/>
      <c r="E38" s="35"/>
      <c r="F38" s="35"/>
      <c r="G38" s="35"/>
      <c r="H38" s="35"/>
      <c r="I38" s="35"/>
      <c r="J38" s="35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6" t="s">
        <v>17</v>
      </c>
      <c r="C43" s="36"/>
      <c r="E43" s="36" t="s">
        <v>18</v>
      </c>
      <c r="F43" s="36"/>
      <c r="H43" s="37" t="s">
        <v>19</v>
      </c>
      <c r="I43" s="37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0916-9444-4117-9A05-51779D9D999A}">
  <sheetPr>
    <pageSetUpPr fitToPage="1"/>
  </sheetPr>
  <dimension ref="A1:J43"/>
  <sheetViews>
    <sheetView zoomScale="70" zoomScaleNormal="70" workbookViewId="0">
      <selection activeCell="C13" sqref="C13"/>
    </sheetView>
  </sheetViews>
  <sheetFormatPr defaultRowHeight="15" x14ac:dyDescent="0.25"/>
  <cols>
    <col min="1" max="1" width="3.5703125" style="1" customWidth="1"/>
    <col min="2" max="2" width="21.42578125" customWidth="1"/>
    <col min="3" max="3" width="42.85546875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59</v>
      </c>
      <c r="D2" s="5" t="s">
        <v>1</v>
      </c>
      <c r="E2" s="47"/>
      <c r="F2" s="4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8" t="s">
        <v>10</v>
      </c>
      <c r="I6" s="49"/>
      <c r="J6" s="11" t="s">
        <v>11</v>
      </c>
    </row>
    <row r="7" spans="1:10" x14ac:dyDescent="0.25">
      <c r="A7" s="1">
        <v>1</v>
      </c>
      <c r="B7" s="12"/>
      <c r="C7" s="27" t="s">
        <v>31</v>
      </c>
      <c r="D7" s="28">
        <v>400</v>
      </c>
      <c r="E7" s="28" t="s">
        <v>23</v>
      </c>
      <c r="F7" s="29">
        <f t="shared" ref="F7:F23" si="0">D7/D$24</f>
        <v>0.47393364928909953</v>
      </c>
      <c r="G7" s="30">
        <f>C4*F7</f>
        <v>2.3696682464454977</v>
      </c>
      <c r="H7" s="38"/>
      <c r="I7" s="39"/>
      <c r="J7" s="16"/>
    </row>
    <row r="8" spans="1:10" x14ac:dyDescent="0.25">
      <c r="A8" s="1">
        <v>2</v>
      </c>
      <c r="B8" s="12" t="s">
        <v>34</v>
      </c>
      <c r="C8" s="27" t="s">
        <v>35</v>
      </c>
      <c r="D8" s="28">
        <v>250</v>
      </c>
      <c r="E8" s="28" t="s">
        <v>23</v>
      </c>
      <c r="F8" s="29">
        <f t="shared" si="0"/>
        <v>0.29620853080568721</v>
      </c>
      <c r="G8" s="30">
        <f>C4*F8</f>
        <v>1.481042654028436</v>
      </c>
      <c r="H8" s="38"/>
      <c r="I8" s="39"/>
      <c r="J8" s="16"/>
    </row>
    <row r="9" spans="1:10" x14ac:dyDescent="0.25">
      <c r="A9" s="1">
        <v>3</v>
      </c>
      <c r="B9" s="12"/>
      <c r="C9" s="27" t="s">
        <v>60</v>
      </c>
      <c r="D9" s="28">
        <v>75</v>
      </c>
      <c r="E9" s="28" t="s">
        <v>23</v>
      </c>
      <c r="F9" s="29">
        <f t="shared" si="0"/>
        <v>8.8862559241706163E-2</v>
      </c>
      <c r="G9" s="30">
        <f>C4*F9</f>
        <v>0.44431279620853081</v>
      </c>
      <c r="H9" s="38"/>
      <c r="I9" s="39"/>
      <c r="J9" s="16"/>
    </row>
    <row r="10" spans="1:10" x14ac:dyDescent="0.25">
      <c r="A10" s="1">
        <v>4</v>
      </c>
      <c r="B10" s="12" t="s">
        <v>36</v>
      </c>
      <c r="C10" s="27" t="s">
        <v>37</v>
      </c>
      <c r="D10" s="28">
        <v>60</v>
      </c>
      <c r="E10" s="28" t="s">
        <v>23</v>
      </c>
      <c r="F10" s="29">
        <f t="shared" si="0"/>
        <v>7.1090047393364927E-2</v>
      </c>
      <c r="G10" s="30">
        <f>C4*F10</f>
        <v>0.35545023696682465</v>
      </c>
      <c r="H10" s="38"/>
      <c r="I10" s="39"/>
      <c r="J10" s="16"/>
    </row>
    <row r="11" spans="1:10" x14ac:dyDescent="0.25">
      <c r="A11" s="1">
        <v>5</v>
      </c>
      <c r="B11" s="12" t="s">
        <v>38</v>
      </c>
      <c r="C11" s="27" t="s">
        <v>39</v>
      </c>
      <c r="D11" s="28">
        <v>20</v>
      </c>
      <c r="E11" s="28" t="s">
        <v>23</v>
      </c>
      <c r="F11" s="29">
        <f t="shared" si="0"/>
        <v>2.3696682464454975E-2</v>
      </c>
      <c r="G11" s="30">
        <f>C4*F11</f>
        <v>0.11848341232227487</v>
      </c>
      <c r="H11" s="38"/>
      <c r="I11" s="39"/>
      <c r="J11" s="16"/>
    </row>
    <row r="12" spans="1:10" x14ac:dyDescent="0.25">
      <c r="A12" s="1">
        <v>6</v>
      </c>
      <c r="B12" s="12"/>
      <c r="C12" s="27" t="s">
        <v>32</v>
      </c>
      <c r="D12" s="28">
        <v>16</v>
      </c>
      <c r="E12" s="28" t="s">
        <v>23</v>
      </c>
      <c r="F12" s="29">
        <f t="shared" si="0"/>
        <v>1.8957345971563982E-2</v>
      </c>
      <c r="G12" s="30">
        <f>C4*F12</f>
        <v>9.4786729857819912E-2</v>
      </c>
      <c r="H12" s="38"/>
      <c r="I12" s="39"/>
      <c r="J12" s="16"/>
    </row>
    <row r="13" spans="1:10" x14ac:dyDescent="0.25">
      <c r="A13" s="1">
        <v>7</v>
      </c>
      <c r="B13" s="12" t="s">
        <v>40</v>
      </c>
      <c r="C13" s="31" t="s">
        <v>41</v>
      </c>
      <c r="D13" s="32">
        <v>13</v>
      </c>
      <c r="E13" s="32" t="s">
        <v>23</v>
      </c>
      <c r="F13" s="33">
        <f t="shared" si="0"/>
        <v>1.5402843601895734E-2</v>
      </c>
      <c r="G13" s="34">
        <f>C4*F13</f>
        <v>7.7014218009478663E-2</v>
      </c>
      <c r="H13" s="38"/>
      <c r="I13" s="39"/>
      <c r="J13" s="16"/>
    </row>
    <row r="14" spans="1:10" x14ac:dyDescent="0.25">
      <c r="A14" s="1">
        <v>8</v>
      </c>
      <c r="B14" s="12" t="s">
        <v>42</v>
      </c>
      <c r="C14" s="27" t="s">
        <v>43</v>
      </c>
      <c r="D14" s="28">
        <v>6</v>
      </c>
      <c r="E14" s="28" t="s">
        <v>23</v>
      </c>
      <c r="F14" s="29">
        <f t="shared" si="0"/>
        <v>7.1090047393364926E-3</v>
      </c>
      <c r="G14" s="30">
        <f>C4*F14</f>
        <v>3.5545023696682464E-2</v>
      </c>
      <c r="H14" s="38"/>
      <c r="I14" s="39"/>
      <c r="J14" s="16"/>
    </row>
    <row r="15" spans="1:10" x14ac:dyDescent="0.25">
      <c r="A15" s="1">
        <v>9</v>
      </c>
      <c r="B15" s="12" t="s">
        <v>44</v>
      </c>
      <c r="C15" s="27" t="s">
        <v>45</v>
      </c>
      <c r="D15" s="28">
        <v>4</v>
      </c>
      <c r="E15" s="28" t="s">
        <v>23</v>
      </c>
      <c r="F15" s="29">
        <f t="shared" si="0"/>
        <v>4.7393364928909956E-3</v>
      </c>
      <c r="G15" s="30">
        <f>C4*F15</f>
        <v>2.3696682464454978E-2</v>
      </c>
      <c r="H15" s="38"/>
      <c r="I15" s="39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8"/>
      <c r="I16" s="39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8"/>
      <c r="I17" s="39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8"/>
      <c r="I18" s="39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8"/>
      <c r="I19" s="39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8"/>
      <c r="I20" s="39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8"/>
      <c r="I21" s="39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8"/>
      <c r="I22" s="39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8"/>
      <c r="I23" s="39"/>
      <c r="J23" s="16"/>
    </row>
    <row r="24" spans="1:10" x14ac:dyDescent="0.25">
      <c r="C24" s="17" t="s">
        <v>12</v>
      </c>
      <c r="D24" s="1">
        <f>SUM(D7:D23)</f>
        <v>844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>
        <f>-G24*G4+C4</f>
        <v>4.5</v>
      </c>
    </row>
    <row r="26" spans="1:10" ht="15.75" x14ac:dyDescent="0.25">
      <c r="A26"/>
      <c r="B26" s="40" t="s">
        <v>14</v>
      </c>
      <c r="C26" s="40"/>
      <c r="D26" s="40"/>
      <c r="E26" s="40"/>
      <c r="F26" s="40"/>
      <c r="G26" s="40"/>
      <c r="H26" s="40"/>
      <c r="I26" s="40"/>
      <c r="J26" s="40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1" t="s">
        <v>50</v>
      </c>
      <c r="C28" s="42"/>
      <c r="D28" s="42"/>
      <c r="E28" s="42"/>
      <c r="F28" s="42"/>
      <c r="G28" s="42"/>
      <c r="H28" s="42"/>
      <c r="I28" s="42"/>
      <c r="J28" s="43"/>
    </row>
    <row r="29" spans="1:10" x14ac:dyDescent="0.25">
      <c r="A29" s="1">
        <v>2</v>
      </c>
      <c r="B29" s="41" t="s">
        <v>51</v>
      </c>
      <c r="C29" s="42"/>
      <c r="D29" s="42"/>
      <c r="E29" s="42"/>
      <c r="F29" s="42"/>
      <c r="G29" s="42"/>
      <c r="H29" s="42"/>
      <c r="I29" s="42"/>
      <c r="J29" s="43"/>
    </row>
    <row r="30" spans="1:10" x14ac:dyDescent="0.25">
      <c r="A30" s="1">
        <v>3</v>
      </c>
      <c r="B30" s="44" t="s">
        <v>52</v>
      </c>
      <c r="C30" s="45"/>
      <c r="D30" s="45"/>
      <c r="E30" s="45"/>
      <c r="F30" s="45"/>
      <c r="G30" s="45"/>
      <c r="H30" s="45"/>
      <c r="I30" s="45"/>
      <c r="J30" s="46"/>
    </row>
    <row r="31" spans="1:10" x14ac:dyDescent="0.25">
      <c r="A31" s="1">
        <v>4</v>
      </c>
      <c r="B31" s="35" t="s">
        <v>53</v>
      </c>
      <c r="C31" s="35"/>
      <c r="D31" s="35"/>
      <c r="E31" s="35"/>
      <c r="F31" s="35"/>
      <c r="G31" s="35"/>
      <c r="H31" s="35"/>
      <c r="I31" s="35"/>
      <c r="J31" s="35"/>
    </row>
    <row r="32" spans="1:10" x14ac:dyDescent="0.25">
      <c r="A32" s="1">
        <v>5</v>
      </c>
      <c r="B32" s="35" t="s">
        <v>54</v>
      </c>
      <c r="C32" s="35"/>
      <c r="D32" s="35"/>
      <c r="E32" s="35"/>
      <c r="F32" s="35"/>
      <c r="G32" s="35"/>
      <c r="H32" s="35"/>
      <c r="I32" s="35"/>
      <c r="J32" s="35"/>
    </row>
    <row r="33" spans="1:10" x14ac:dyDescent="0.25">
      <c r="A33" s="1">
        <v>6</v>
      </c>
      <c r="B33" s="35" t="s">
        <v>55</v>
      </c>
      <c r="C33" s="35"/>
      <c r="D33" s="35"/>
      <c r="E33" s="35"/>
      <c r="F33" s="35"/>
      <c r="G33" s="35"/>
      <c r="H33" s="35"/>
      <c r="I33" s="35"/>
      <c r="J33" s="35"/>
    </row>
    <row r="34" spans="1:10" x14ac:dyDescent="0.25">
      <c r="A34" s="1">
        <v>7</v>
      </c>
      <c r="B34" s="35" t="s">
        <v>56</v>
      </c>
      <c r="C34" s="35"/>
      <c r="D34" s="35"/>
      <c r="E34" s="35"/>
      <c r="F34" s="35"/>
      <c r="G34" s="35"/>
      <c r="H34" s="35"/>
      <c r="I34" s="35"/>
      <c r="J34" s="35"/>
    </row>
    <row r="35" spans="1:10" x14ac:dyDescent="0.25">
      <c r="A35" s="1">
        <v>8</v>
      </c>
      <c r="B35" s="35"/>
      <c r="C35" s="35"/>
      <c r="D35" s="35"/>
      <c r="E35" s="35"/>
      <c r="F35" s="35"/>
      <c r="G35" s="35"/>
      <c r="H35" s="35"/>
      <c r="I35" s="35"/>
      <c r="J35" s="35"/>
    </row>
    <row r="36" spans="1:10" x14ac:dyDescent="0.25">
      <c r="A36" s="1">
        <v>9</v>
      </c>
      <c r="B36" s="35"/>
      <c r="C36" s="35"/>
      <c r="D36" s="35"/>
      <c r="E36" s="35"/>
      <c r="F36" s="35"/>
      <c r="G36" s="35"/>
      <c r="H36" s="35"/>
      <c r="I36" s="35"/>
      <c r="J36" s="35"/>
    </row>
    <row r="37" spans="1:10" x14ac:dyDescent="0.25">
      <c r="A37" s="1">
        <v>10</v>
      </c>
      <c r="B37" s="35"/>
      <c r="C37" s="35"/>
      <c r="D37" s="35"/>
      <c r="E37" s="35"/>
      <c r="F37" s="35"/>
      <c r="G37" s="35"/>
      <c r="H37" s="35"/>
      <c r="I37" s="35"/>
      <c r="J37" s="35"/>
    </row>
    <row r="38" spans="1:10" x14ac:dyDescent="0.25">
      <c r="A38" s="1">
        <v>11</v>
      </c>
      <c r="B38" s="35"/>
      <c r="C38" s="35"/>
      <c r="D38" s="35"/>
      <c r="E38" s="35"/>
      <c r="F38" s="35"/>
      <c r="G38" s="35"/>
      <c r="H38" s="35"/>
      <c r="I38" s="35"/>
      <c r="J38" s="35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6" t="s">
        <v>17</v>
      </c>
      <c r="C43" s="36"/>
      <c r="E43" s="36" t="s">
        <v>18</v>
      </c>
      <c r="F43" s="36"/>
      <c r="H43" s="37" t="s">
        <v>19</v>
      </c>
      <c r="I43" s="37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74841F18-7772-4C2D-A594-524CB9B1C1F6}"/>
</file>

<file path=customXml/itemProps2.xml><?xml version="1.0" encoding="utf-8"?>
<ds:datastoreItem xmlns:ds="http://schemas.openxmlformats.org/officeDocument/2006/customXml" ds:itemID="{6CF781AB-754F-4738-AD5B-A19D7F4ABCC2}"/>
</file>

<file path=customXml/itemProps3.xml><?xml version="1.0" encoding="utf-8"?>
<ds:datastoreItem xmlns:ds="http://schemas.openxmlformats.org/officeDocument/2006/customXml" ds:itemID="{9509FCA5-6EB0-4805-8808-E531E5FFB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Rice Sauce Mix</vt:lpstr>
      <vt:lpstr>Al Dente Arborio</vt:lpstr>
      <vt:lpstr>Plain Rissotto Sauce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2024-11-13T17:46:47Z</cp:lastPrinted>
  <dcterms:created xsi:type="dcterms:W3CDTF">2023-08-17T15:10:54Z</dcterms:created>
  <dcterms:modified xsi:type="dcterms:W3CDTF">2025-01-13T13:52:40Z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