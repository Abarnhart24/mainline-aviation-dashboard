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filterPrivacy="1"/>
  <xr:revisionPtr revIDLastSave="57" documentId="13_ncr:1_{CDD16B69-476D-4CE9-9B22-05CE9CD3EFC2}" xr6:coauthVersionLast="47" xr6:coauthVersionMax="47" xr10:uidLastSave="{E60DF1E5-6605-436F-92EC-91295A4FEB2F}"/>
  <bookViews>
    <workbookView xWindow="-120" yWindow="-120" windowWidth="20730" windowHeight="11040" xr2:uid="{00000000-000D-0000-FFFF-FFFF00000000}"/>
  </bookViews>
  <sheets>
    <sheet name="Black Bean Glaze" sheetId="11" r:id="rId1"/>
    <sheet name="Black Bean Glazed Short Rib" sheetId="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1" l="1"/>
  <c r="F22" i="11" s="1"/>
  <c r="G22" i="11" s="1"/>
  <c r="F7" i="11" l="1"/>
  <c r="F11" i="11"/>
  <c r="G11" i="11" s="1"/>
  <c r="F15" i="11"/>
  <c r="G15" i="11" s="1"/>
  <c r="F19" i="11"/>
  <c r="G19" i="11" s="1"/>
  <c r="F23" i="11"/>
  <c r="G23" i="11" s="1"/>
  <c r="F8" i="11"/>
  <c r="G8" i="11" s="1"/>
  <c r="F12" i="11"/>
  <c r="G12" i="11" s="1"/>
  <c r="F16" i="11"/>
  <c r="G16" i="11" s="1"/>
  <c r="F20" i="11"/>
  <c r="G20" i="11" s="1"/>
  <c r="F9" i="11"/>
  <c r="G9" i="11" s="1"/>
  <c r="F13" i="11"/>
  <c r="G13" i="11" s="1"/>
  <c r="F17" i="11"/>
  <c r="G17" i="11" s="1"/>
  <c r="F21" i="11"/>
  <c r="G21" i="11" s="1"/>
  <c r="F10" i="11"/>
  <c r="G10" i="11" s="1"/>
  <c r="F14" i="11"/>
  <c r="G14" i="11" s="1"/>
  <c r="F18" i="11"/>
  <c r="G18" i="11" s="1"/>
  <c r="G7" i="11"/>
  <c r="D24" i="7"/>
  <c r="F23" i="7" s="1"/>
  <c r="G23" i="7" s="1"/>
  <c r="G24" i="11" l="1"/>
  <c r="G25" i="11" s="1"/>
  <c r="F24" i="11"/>
  <c r="F19" i="7"/>
  <c r="G19" i="7" s="1"/>
  <c r="F13" i="7"/>
  <c r="G13" i="7" s="1"/>
  <c r="F21" i="7"/>
  <c r="G21" i="7" s="1"/>
  <c r="F9" i="7"/>
  <c r="G9" i="7" s="1"/>
  <c r="F20" i="7"/>
  <c r="G20" i="7" s="1"/>
  <c r="F16" i="7"/>
  <c r="G16" i="7" s="1"/>
  <c r="F12" i="7"/>
  <c r="G12" i="7" s="1"/>
  <c r="F10" i="7"/>
  <c r="G10" i="7" s="1"/>
  <c r="F17" i="7"/>
  <c r="G17" i="7" s="1"/>
  <c r="F11" i="7"/>
  <c r="G11" i="7" s="1"/>
  <c r="F7" i="7"/>
  <c r="G7" i="7" s="1"/>
  <c r="F15" i="7"/>
  <c r="G15" i="7" s="1"/>
  <c r="F22" i="7"/>
  <c r="G22" i="7" s="1"/>
  <c r="F18" i="7"/>
  <c r="G18" i="7" s="1"/>
  <c r="F14" i="7"/>
  <c r="G14" i="7" s="1"/>
  <c r="F8" i="7"/>
  <c r="G8" i="7" s="1"/>
  <c r="F24" i="7" l="1"/>
  <c r="G24" i="7"/>
  <c r="G25" i="7" s="1"/>
</calcChain>
</file>

<file path=xl/sharedStrings.xml><?xml version="1.0" encoding="utf-8"?>
<sst xmlns="http://schemas.openxmlformats.org/spreadsheetml/2006/main" count="113" uniqueCount="53">
  <si>
    <t>Formula Name:</t>
  </si>
  <si>
    <t xml:space="preserve">Black Bean Glaze </t>
  </si>
  <si>
    <t>R&amp;D ID Number:</t>
  </si>
  <si>
    <t>Version #:</t>
  </si>
  <si>
    <t>Batch Number:</t>
  </si>
  <si>
    <t>Desired QTY (lb):</t>
  </si>
  <si>
    <t>Yield Loss:</t>
  </si>
  <si>
    <t>Item Number</t>
  </si>
  <si>
    <t>Description</t>
  </si>
  <si>
    <t>Original Fromula</t>
  </si>
  <si>
    <t>UOM</t>
  </si>
  <si>
    <t>%</t>
  </si>
  <si>
    <t>Desired (lb)</t>
  </si>
  <si>
    <t>Lot Code</t>
  </si>
  <si>
    <t>Notes</t>
  </si>
  <si>
    <t>lb</t>
  </si>
  <si>
    <t xml:space="preserve">Aji-Mirin, Kikkoman </t>
  </si>
  <si>
    <t xml:space="preserve">Ginger, Minced </t>
  </si>
  <si>
    <t>Garlic, Fresh, Peeled</t>
  </si>
  <si>
    <t>Water</t>
  </si>
  <si>
    <t xml:space="preserve">Sugar, Granulated </t>
  </si>
  <si>
    <t xml:space="preserve">Black Bean Paste, Choonjang </t>
  </si>
  <si>
    <t>Total Sample Formula Weight:</t>
  </si>
  <si>
    <t>Total Weight</t>
  </si>
  <si>
    <t>Weight After Yield Loss</t>
  </si>
  <si>
    <t>Procedure</t>
  </si>
  <si>
    <t>Batch Formula Instructions</t>
  </si>
  <si>
    <t xml:space="preserve">QA to sign off on Batch Sheet to make sure all measurements are correct. </t>
  </si>
  <si>
    <t xml:space="preserve">Chill the sauce to 70 degrees in 2 or less hours and then to 41 degrees in 4 or less hours. </t>
  </si>
  <si>
    <t xml:space="preserve">By signing this sheet the operator is confirming that all information recorded is accurate and that all steps and procedures have been followed as listed. </t>
  </si>
  <si>
    <t>Operator Signature</t>
  </si>
  <si>
    <t>Date</t>
  </si>
  <si>
    <t xml:space="preserve">                    Reviewed By</t>
  </si>
  <si>
    <t xml:space="preserve">                                          Date</t>
  </si>
  <si>
    <t xml:space="preserve">Black Bean Glazed Short Rib </t>
  </si>
  <si>
    <t xml:space="preserve">Sub Recipe </t>
  </si>
  <si>
    <t xml:space="preserve">Short Ribs, Calvetti </t>
  </si>
  <si>
    <t xml:space="preserve">MLCO, Nominated </t>
  </si>
  <si>
    <t xml:space="preserve">QA to sign off on Batch Sheet to make sure all measurements are correct and ensure short ribs are 41 degrees or less. </t>
  </si>
  <si>
    <t xml:space="preserve">Remove short ribs from packaging and drain off any excess liquid. </t>
  </si>
  <si>
    <t xml:space="preserve">Lay out on sheet pans and bake in the oven at 425F for 6-8 minutes. Glaze should be caramelized onto the short ribs. </t>
  </si>
  <si>
    <t xml:space="preserve">Remove from oven and place in the blast chiller. Cool to 41 degrees in 2 hours or less. </t>
  </si>
  <si>
    <t xml:space="preserve">Pack into alluminum pans, label and reserve until pack out making sure it is kept at 41 degrees or less. </t>
  </si>
  <si>
    <t xml:space="preserve">Soy Sauce </t>
  </si>
  <si>
    <t>Granulated Onion</t>
  </si>
  <si>
    <t>ThermFlo</t>
  </si>
  <si>
    <t>Sesame Seeds</t>
  </si>
  <si>
    <t xml:space="preserve">Rub Short ribs with black bean glaze and Sesame Seeds until fully coated. Short ribs must be dry for the glaze to stick. </t>
  </si>
  <si>
    <t>Reserve some water for therm flo slurry</t>
  </si>
  <si>
    <t>Once at a simmer whisk in Thermflo slurry</t>
  </si>
  <si>
    <t xml:space="preserve">Temp at 180F to activate thermflo, once thickened remove from heat </t>
  </si>
  <si>
    <t>Blend all ingredients highlighted in green until smooth</t>
  </si>
  <si>
    <t>Bring Blended mixture to a simmer over medium high 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</si>
</sst>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4">
    <xf numFmtId="0" fontId="0" fillId="0" borderId="0" xfId="0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9" fontId="0" fillId="3" borderId="0" xfId="1" applyFont="1" applyFill="1" applyAlignment="1">
      <alignment horizontal="center"/>
    </xf>
    <xf numFmtId="0" fontId="0" fillId="4" borderId="0" xfId="0" applyFill="1"/>
    <xf numFmtId="2" fontId="0" fillId="4" borderId="0" xfId="0" applyNumberFormat="1" applyFill="1" applyAlignment="1">
      <alignment horizontal="center"/>
    </xf>
    <xf numFmtId="1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0" fontId="0" fillId="0" borderId="1" xfId="0" applyBorder="1" applyProtection="1">
      <protection locked="0"/>
    </xf>
    <xf numFmtId="2" fontId="0" fillId="5" borderId="1" xfId="2" applyNumberFormat="1" applyFont="1" applyFill="1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0" fillId="5" borderId="0" xfId="0" applyFill="1" applyAlignment="1" applyProtection="1">
      <alignment horizontal="center"/>
      <protection locked="0"/>
    </xf>
    <xf numFmtId="0" fontId="2" fillId="2" borderId="6" xfId="0" applyFont="1" applyFill="1" applyBorder="1" applyAlignment="1" applyProtection="1">
      <alignment horizontal="left"/>
      <protection locked="0"/>
    </xf>
    <xf numFmtId="0" fontId="2" fillId="2" borderId="7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2" fillId="2" borderId="7" xfId="0" applyFont="1" applyFill="1" applyBorder="1"/>
    <xf numFmtId="0" fontId="2" fillId="2" borderId="8" xfId="0" applyFont="1" applyFill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44" fontId="0" fillId="0" borderId="2" xfId="2" applyFont="1" applyBorder="1" applyAlignment="1" applyProtection="1">
      <alignment horizontal="center"/>
      <protection locked="0"/>
    </xf>
    <xf numFmtId="44" fontId="0" fillId="0" borderId="3" xfId="2" applyFont="1" applyBorder="1" applyAlignment="1" applyProtection="1">
      <alignment horizontal="center"/>
      <protection locked="0"/>
    </xf>
    <xf numFmtId="0" fontId="3" fillId="2" borderId="1" xfId="0" applyFont="1" applyFill="1" applyBorder="1" applyAlignment="1">
      <alignment horizontal="center"/>
    </xf>
    <xf numFmtId="0" fontId="0" fillId="2" borderId="7" xfId="0" applyFill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2" xfId="0" applyFont="1" applyBorder="1"/>
    <xf numFmtId="0" fontId="4" fillId="0" borderId="10" xfId="0" applyFont="1" applyBorder="1"/>
    <xf numFmtId="0" fontId="4" fillId="0" borderId="3" xfId="0" applyFont="1" applyBorder="1"/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6" borderId="9" xfId="0" applyFill="1" applyBorder="1"/>
    <xf numFmtId="0" fontId="0" fillId="7" borderId="1" xfId="0" applyFill="1" applyBorder="1"/>
    <xf numFmtId="0" fontId="0" fillId="7" borderId="1" xfId="0" applyFill="1" applyBorder="1" applyAlignment="1">
      <alignment horizontal="center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B047A-0653-44B9-A7FC-08C2070C7410}">
  <sheetPr>
    <pageSetUpPr fitToPage="1"/>
  </sheetPr>
  <dimension ref="A1:J43"/>
  <sheetViews>
    <sheetView tabSelected="1" topLeftCell="A2" zoomScale="110" zoomScaleNormal="110" workbookViewId="0">
      <selection activeCell="B30" sqref="B30:J30"/>
    </sheetView>
  </sheetViews>
  <sheetFormatPr defaultRowHeight="15" x14ac:dyDescent="0.25"/>
  <cols>
    <col min="1" max="1" width="3.5703125" style="3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26" t="s">
        <v>0</v>
      </c>
      <c r="C2" s="24" t="s">
        <v>1</v>
      </c>
      <c r="D2" s="25" t="s">
        <v>2</v>
      </c>
      <c r="E2" s="33"/>
      <c r="F2" s="33"/>
      <c r="G2" s="24"/>
      <c r="H2" s="23" t="s">
        <v>3</v>
      </c>
      <c r="I2" s="22">
        <v>1</v>
      </c>
      <c r="J2" s="21" t="s">
        <v>4</v>
      </c>
    </row>
    <row r="3" spans="1:10" ht="5.25" customHeight="1" x14ac:dyDescent="0.25">
      <c r="B3" s="3"/>
      <c r="D3" s="19"/>
      <c r="F3" s="2"/>
      <c r="H3" s="3"/>
      <c r="I3" s="3"/>
      <c r="J3" s="2"/>
    </row>
    <row r="4" spans="1:10" x14ac:dyDescent="0.25">
      <c r="B4" s="2" t="s">
        <v>5</v>
      </c>
      <c r="C4" s="20">
        <v>500</v>
      </c>
      <c r="D4" s="19"/>
      <c r="F4" s="2" t="s">
        <v>6</v>
      </c>
      <c r="G4" s="9">
        <v>0.32</v>
      </c>
      <c r="I4" s="3"/>
      <c r="J4" s="2"/>
    </row>
    <row r="5" spans="1:10" ht="5.25" customHeight="1" x14ac:dyDescent="0.25">
      <c r="B5" s="3"/>
      <c r="D5" s="19"/>
      <c r="F5" s="2"/>
      <c r="H5" s="3"/>
      <c r="I5" s="3"/>
      <c r="J5" s="2"/>
    </row>
    <row r="6" spans="1:10" x14ac:dyDescent="0.25">
      <c r="B6" s="18" t="s">
        <v>7</v>
      </c>
      <c r="C6" s="18" t="s">
        <v>8</v>
      </c>
      <c r="D6" s="18" t="s">
        <v>9</v>
      </c>
      <c r="E6" s="18" t="s">
        <v>10</v>
      </c>
      <c r="F6" s="18" t="s">
        <v>11</v>
      </c>
      <c r="G6" s="18" t="s">
        <v>12</v>
      </c>
      <c r="H6" s="34" t="s">
        <v>13</v>
      </c>
      <c r="I6" s="35"/>
      <c r="J6" s="18" t="s">
        <v>14</v>
      </c>
    </row>
    <row r="7" spans="1:10" x14ac:dyDescent="0.25">
      <c r="A7" s="3">
        <v>1</v>
      </c>
      <c r="B7" s="6"/>
      <c r="C7" s="39" t="s">
        <v>43</v>
      </c>
      <c r="D7" s="40">
        <v>0.89507700000000001</v>
      </c>
      <c r="E7" s="17" t="s">
        <v>15</v>
      </c>
      <c r="F7" s="16">
        <f>D7/D$24</f>
        <v>0.17819401823681777</v>
      </c>
      <c r="G7" s="15">
        <f>C4*F7</f>
        <v>89.097009118408891</v>
      </c>
      <c r="H7" s="30"/>
      <c r="I7" s="31"/>
      <c r="J7" s="14"/>
    </row>
    <row r="8" spans="1:10" x14ac:dyDescent="0.25">
      <c r="A8" s="3">
        <v>2</v>
      </c>
      <c r="B8" s="6"/>
      <c r="C8" s="39" t="s">
        <v>16</v>
      </c>
      <c r="D8" s="40">
        <v>0.26896399999999998</v>
      </c>
      <c r="E8" s="17" t="s">
        <v>15</v>
      </c>
      <c r="F8" s="16">
        <f t="shared" ref="F8:F23" si="0">D8/D$24</f>
        <v>5.354598087208972E-2</v>
      </c>
      <c r="G8" s="15">
        <f>C4*F8</f>
        <v>26.772990436044861</v>
      </c>
      <c r="H8" s="30"/>
      <c r="I8" s="31"/>
      <c r="J8" s="14"/>
    </row>
    <row r="9" spans="1:10" x14ac:dyDescent="0.25">
      <c r="A9" s="3">
        <v>3</v>
      </c>
      <c r="B9" s="6"/>
      <c r="C9" s="39" t="s">
        <v>20</v>
      </c>
      <c r="D9" s="40">
        <v>0.95</v>
      </c>
      <c r="E9" s="17" t="s">
        <v>15</v>
      </c>
      <c r="F9" s="16">
        <f t="shared" si="0"/>
        <v>0.18912821726508097</v>
      </c>
      <c r="G9" s="15">
        <f>C4*F9</f>
        <v>94.564108632540481</v>
      </c>
      <c r="H9" s="30"/>
      <c r="I9" s="31"/>
      <c r="J9" s="14"/>
    </row>
    <row r="10" spans="1:10" x14ac:dyDescent="0.25">
      <c r="A10" s="3">
        <v>4</v>
      </c>
      <c r="B10" s="6"/>
      <c r="C10" s="39" t="s">
        <v>17</v>
      </c>
      <c r="D10" s="40">
        <v>3.0864699999999998E-2</v>
      </c>
      <c r="E10" s="17" t="s">
        <v>15</v>
      </c>
      <c r="F10" s="16">
        <f t="shared" si="0"/>
        <v>6.14461651307531E-3</v>
      </c>
      <c r="G10" s="15">
        <f>C4*F10</f>
        <v>3.0723082565376552</v>
      </c>
      <c r="H10" s="30"/>
      <c r="I10" s="31"/>
      <c r="J10" s="14"/>
    </row>
    <row r="11" spans="1:10" x14ac:dyDescent="0.25">
      <c r="A11" s="3">
        <v>5</v>
      </c>
      <c r="B11" s="6"/>
      <c r="C11" s="41" t="s">
        <v>18</v>
      </c>
      <c r="D11" s="40">
        <v>4.8501700000000002E-2</v>
      </c>
      <c r="E11" s="17" t="s">
        <v>15</v>
      </c>
      <c r="F11" s="16">
        <f t="shared" si="0"/>
        <v>9.6558316371850306E-3</v>
      </c>
      <c r="G11" s="15">
        <f>C4*F11</f>
        <v>4.8279158185925155</v>
      </c>
      <c r="H11" s="30"/>
      <c r="I11" s="31"/>
      <c r="J11" s="14"/>
    </row>
    <row r="12" spans="1:10" x14ac:dyDescent="0.25">
      <c r="A12" s="3">
        <v>6</v>
      </c>
      <c r="B12" s="6"/>
      <c r="C12" s="39" t="s">
        <v>44</v>
      </c>
      <c r="D12" s="40">
        <v>0.05</v>
      </c>
      <c r="E12" s="17" t="s">
        <v>15</v>
      </c>
      <c r="F12" s="16">
        <f t="shared" si="0"/>
        <v>9.9541166981621573E-3</v>
      </c>
      <c r="G12" s="15">
        <f>C4*F12</f>
        <v>4.9770583490810782</v>
      </c>
      <c r="H12" s="30"/>
      <c r="I12" s="31"/>
      <c r="J12" s="14"/>
    </row>
    <row r="13" spans="1:10" x14ac:dyDescent="0.25">
      <c r="A13" s="3">
        <v>7</v>
      </c>
      <c r="B13" s="6"/>
      <c r="C13" s="39" t="s">
        <v>19</v>
      </c>
      <c r="D13" s="40">
        <v>0.44092500000000001</v>
      </c>
      <c r="E13" s="17" t="s">
        <v>15</v>
      </c>
      <c r="F13" s="16">
        <f t="shared" si="0"/>
        <v>8.7780378102742987E-2</v>
      </c>
      <c r="G13" s="15">
        <f>C4*F13</f>
        <v>43.890189051371493</v>
      </c>
      <c r="H13" s="30"/>
      <c r="I13" s="31"/>
      <c r="J13" s="14"/>
    </row>
    <row r="14" spans="1:10" x14ac:dyDescent="0.25">
      <c r="A14" s="3">
        <v>8</v>
      </c>
      <c r="B14" s="6"/>
      <c r="C14" s="39" t="s">
        <v>21</v>
      </c>
      <c r="D14" s="40">
        <v>2.2487149999999998</v>
      </c>
      <c r="E14" s="17" t="s">
        <v>15</v>
      </c>
      <c r="F14" s="16">
        <f t="shared" si="0"/>
        <v>0.44767943061815424</v>
      </c>
      <c r="G14" s="15">
        <f>C4*F14</f>
        <v>223.83971530907712</v>
      </c>
      <c r="H14" s="30"/>
      <c r="I14" s="31"/>
      <c r="J14" s="14"/>
    </row>
    <row r="15" spans="1:10" x14ac:dyDescent="0.25">
      <c r="A15" s="3">
        <v>9</v>
      </c>
      <c r="B15" s="6"/>
      <c r="C15" s="42" t="s">
        <v>45</v>
      </c>
      <c r="D15" s="43">
        <v>0.09</v>
      </c>
      <c r="E15" s="17" t="s">
        <v>15</v>
      </c>
      <c r="F15" s="16">
        <f t="shared" si="0"/>
        <v>1.7917410056691882E-2</v>
      </c>
      <c r="G15" s="15">
        <f>C4*F15</f>
        <v>8.9587050283459408</v>
      </c>
      <c r="H15" s="30"/>
      <c r="I15" s="31"/>
      <c r="J15" s="14"/>
    </row>
    <row r="16" spans="1:10" x14ac:dyDescent="0.25">
      <c r="A16" s="3">
        <v>10</v>
      </c>
      <c r="B16" s="6"/>
      <c r="C16" s="6"/>
      <c r="D16" s="17"/>
      <c r="E16" s="17" t="s">
        <v>15</v>
      </c>
      <c r="F16" s="16">
        <f t="shared" si="0"/>
        <v>0</v>
      </c>
      <c r="G16" s="15">
        <f>C4*F16</f>
        <v>0</v>
      </c>
      <c r="H16" s="30"/>
      <c r="I16" s="31"/>
      <c r="J16" s="14"/>
    </row>
    <row r="17" spans="1:10" x14ac:dyDescent="0.25">
      <c r="A17" s="3">
        <v>11</v>
      </c>
      <c r="B17" s="6"/>
      <c r="C17" s="6"/>
      <c r="D17" s="17"/>
      <c r="E17" s="17" t="s">
        <v>15</v>
      </c>
      <c r="F17" s="16">
        <f t="shared" si="0"/>
        <v>0</v>
      </c>
      <c r="G17" s="15">
        <f>C4*F17</f>
        <v>0</v>
      </c>
      <c r="H17" s="30"/>
      <c r="I17" s="31"/>
      <c r="J17" s="14"/>
    </row>
    <row r="18" spans="1:10" x14ac:dyDescent="0.25">
      <c r="A18" s="3">
        <v>12</v>
      </c>
      <c r="B18" s="6"/>
      <c r="C18" s="6"/>
      <c r="D18" s="17"/>
      <c r="E18" s="17" t="s">
        <v>15</v>
      </c>
      <c r="F18" s="16">
        <f t="shared" si="0"/>
        <v>0</v>
      </c>
      <c r="G18" s="15">
        <f>C4*F18</f>
        <v>0</v>
      </c>
      <c r="H18" s="30"/>
      <c r="I18" s="31"/>
      <c r="J18" s="14"/>
    </row>
    <row r="19" spans="1:10" x14ac:dyDescent="0.25">
      <c r="A19" s="3">
        <v>13</v>
      </c>
      <c r="B19" s="6"/>
      <c r="C19" s="6"/>
      <c r="D19" s="17"/>
      <c r="E19" s="17" t="s">
        <v>15</v>
      </c>
      <c r="F19" s="16">
        <f t="shared" si="0"/>
        <v>0</v>
      </c>
      <c r="G19" s="15">
        <f>C4*F19</f>
        <v>0</v>
      </c>
      <c r="H19" s="30"/>
      <c r="I19" s="31"/>
      <c r="J19" s="14"/>
    </row>
    <row r="20" spans="1:10" x14ac:dyDescent="0.25">
      <c r="A20" s="3">
        <v>14</v>
      </c>
      <c r="B20" s="6"/>
      <c r="C20" s="6"/>
      <c r="D20" s="17"/>
      <c r="E20" s="17" t="s">
        <v>15</v>
      </c>
      <c r="F20" s="16">
        <f t="shared" si="0"/>
        <v>0</v>
      </c>
      <c r="G20" s="15">
        <f>C4*F20</f>
        <v>0</v>
      </c>
      <c r="H20" s="30"/>
      <c r="I20" s="31"/>
      <c r="J20" s="14"/>
    </row>
    <row r="21" spans="1:10" x14ac:dyDescent="0.25">
      <c r="A21" s="3">
        <v>15</v>
      </c>
      <c r="B21" s="6"/>
      <c r="C21" s="6"/>
      <c r="D21" s="17"/>
      <c r="E21" s="17" t="s">
        <v>15</v>
      </c>
      <c r="F21" s="16">
        <f>D21/D$24</f>
        <v>0</v>
      </c>
      <c r="G21" s="15">
        <f>C4*F21</f>
        <v>0</v>
      </c>
      <c r="H21" s="30"/>
      <c r="I21" s="31"/>
      <c r="J21" s="14"/>
    </row>
    <row r="22" spans="1:10" x14ac:dyDescent="0.25">
      <c r="A22" s="3">
        <v>16</v>
      </c>
      <c r="B22" s="6"/>
      <c r="C22" s="6"/>
      <c r="D22" s="17"/>
      <c r="E22" s="17" t="s">
        <v>15</v>
      </c>
      <c r="F22" s="16">
        <f t="shared" si="0"/>
        <v>0</v>
      </c>
      <c r="G22" s="15">
        <f>C4*F22</f>
        <v>0</v>
      </c>
      <c r="H22" s="30"/>
      <c r="I22" s="31"/>
      <c r="J22" s="14"/>
    </row>
    <row r="23" spans="1:10" x14ac:dyDescent="0.25">
      <c r="A23" s="3">
        <v>17</v>
      </c>
      <c r="B23" s="6"/>
      <c r="C23" s="6"/>
      <c r="D23" s="17"/>
      <c r="E23" s="17" t="s">
        <v>15</v>
      </c>
      <c r="F23" s="16">
        <f t="shared" si="0"/>
        <v>0</v>
      </c>
      <c r="G23" s="15">
        <f>C4*F23</f>
        <v>0</v>
      </c>
      <c r="H23" s="30"/>
      <c r="I23" s="31"/>
      <c r="J23" s="14"/>
    </row>
    <row r="24" spans="1:10" x14ac:dyDescent="0.25">
      <c r="C24" s="13" t="s">
        <v>22</v>
      </c>
      <c r="D24" s="3">
        <f>SUM(D7:D23)</f>
        <v>5.0230473999999994</v>
      </c>
      <c r="E24" s="3" t="s">
        <v>15</v>
      </c>
      <c r="F24" s="12">
        <f>SUM(F7:F23)</f>
        <v>1</v>
      </c>
      <c r="G24" s="11">
        <f>SUM(G7:G23)</f>
        <v>500.00000000000011</v>
      </c>
      <c r="H24" s="10" t="s">
        <v>23</v>
      </c>
    </row>
    <row r="25" spans="1:10" x14ac:dyDescent="0.25">
      <c r="F25" s="9" t="s">
        <v>24</v>
      </c>
      <c r="G25" s="1">
        <f>-G24*G4+C4</f>
        <v>340</v>
      </c>
    </row>
    <row r="26" spans="1:10" ht="15.75" x14ac:dyDescent="0.25">
      <c r="A26"/>
      <c r="B26" s="32" t="s">
        <v>25</v>
      </c>
      <c r="C26" s="32"/>
      <c r="D26" s="32"/>
      <c r="E26" s="32"/>
      <c r="F26" s="32"/>
      <c r="G26" s="32"/>
      <c r="H26" s="32"/>
      <c r="I26" s="32"/>
      <c r="J26" s="32"/>
    </row>
    <row r="27" spans="1:10" ht="15.75" x14ac:dyDescent="0.25">
      <c r="A27"/>
      <c r="B27" s="8" t="s">
        <v>26</v>
      </c>
      <c r="C27" s="7"/>
      <c r="D27" s="7"/>
      <c r="E27" s="7"/>
      <c r="F27" s="7"/>
      <c r="G27" s="7"/>
      <c r="H27" s="7"/>
      <c r="I27" s="7"/>
      <c r="J27" s="7"/>
    </row>
    <row r="28" spans="1:10" x14ac:dyDescent="0.25">
      <c r="A28" s="3">
        <v>1</v>
      </c>
      <c r="B28" s="27" t="s">
        <v>27</v>
      </c>
      <c r="C28" s="27"/>
      <c r="D28" s="27"/>
      <c r="E28" s="27"/>
      <c r="F28" s="27"/>
      <c r="G28" s="27"/>
      <c r="H28" s="27"/>
      <c r="I28" s="27"/>
      <c r="J28" s="27"/>
    </row>
    <row r="29" spans="1:10" x14ac:dyDescent="0.25">
      <c r="A29" s="3">
        <v>2</v>
      </c>
      <c r="B29" s="27" t="s">
        <v>51</v>
      </c>
      <c r="C29" s="27"/>
      <c r="D29" s="27"/>
      <c r="E29" s="27"/>
      <c r="F29" s="27"/>
      <c r="G29" s="27"/>
      <c r="H29" s="27"/>
      <c r="I29" s="27"/>
      <c r="J29" s="27"/>
    </row>
    <row r="30" spans="1:10" x14ac:dyDescent="0.25">
      <c r="A30" s="3">
        <v>3</v>
      </c>
      <c r="B30" s="27" t="s">
        <v>48</v>
      </c>
      <c r="C30" s="27"/>
      <c r="D30" s="27"/>
      <c r="E30" s="27"/>
      <c r="F30" s="27"/>
      <c r="G30" s="27"/>
      <c r="H30" s="27"/>
      <c r="I30" s="27"/>
      <c r="J30" s="27"/>
    </row>
    <row r="31" spans="1:10" x14ac:dyDescent="0.25">
      <c r="A31" s="3">
        <v>4</v>
      </c>
      <c r="B31" s="27" t="s">
        <v>52</v>
      </c>
      <c r="C31" s="27"/>
      <c r="D31" s="27"/>
      <c r="E31" s="27"/>
      <c r="F31" s="27"/>
      <c r="G31" s="27"/>
      <c r="H31" s="27"/>
      <c r="I31" s="27"/>
      <c r="J31" s="27"/>
    </row>
    <row r="32" spans="1:10" x14ac:dyDescent="0.25">
      <c r="A32" s="3">
        <v>5</v>
      </c>
      <c r="B32" s="27" t="s">
        <v>49</v>
      </c>
      <c r="C32" s="27"/>
      <c r="D32" s="27"/>
      <c r="E32" s="27"/>
      <c r="F32" s="27"/>
      <c r="G32" s="27"/>
      <c r="H32" s="27"/>
      <c r="I32" s="27"/>
      <c r="J32" s="27"/>
    </row>
    <row r="33" spans="1:10" x14ac:dyDescent="0.25">
      <c r="A33" s="3">
        <v>6</v>
      </c>
      <c r="B33" s="27" t="s">
        <v>50</v>
      </c>
      <c r="C33" s="27"/>
      <c r="D33" s="27"/>
      <c r="E33" s="27"/>
      <c r="F33" s="27"/>
      <c r="G33" s="27"/>
      <c r="H33" s="27"/>
      <c r="I33" s="27"/>
      <c r="J33" s="27"/>
    </row>
    <row r="34" spans="1:10" x14ac:dyDescent="0.25">
      <c r="A34" s="3">
        <v>7</v>
      </c>
      <c r="B34" s="27" t="s">
        <v>28</v>
      </c>
      <c r="C34" s="27"/>
      <c r="D34" s="27"/>
      <c r="E34" s="27"/>
      <c r="F34" s="27"/>
      <c r="G34" s="27"/>
      <c r="H34" s="27"/>
      <c r="I34" s="27"/>
      <c r="J34" s="27"/>
    </row>
    <row r="35" spans="1:10" x14ac:dyDescent="0.25">
      <c r="A35" s="3">
        <v>8</v>
      </c>
      <c r="B35" s="27"/>
      <c r="C35" s="27"/>
      <c r="D35" s="27"/>
      <c r="E35" s="27"/>
      <c r="F35" s="27"/>
      <c r="G35" s="27"/>
      <c r="H35" s="27"/>
      <c r="I35" s="27"/>
      <c r="J35" s="27"/>
    </row>
    <row r="36" spans="1:10" x14ac:dyDescent="0.25">
      <c r="A36" s="3">
        <v>9</v>
      </c>
      <c r="B36" s="27"/>
      <c r="C36" s="27"/>
      <c r="D36" s="27"/>
      <c r="E36" s="27"/>
      <c r="F36" s="27"/>
      <c r="G36" s="27"/>
      <c r="H36" s="27"/>
      <c r="I36" s="27"/>
      <c r="J36" s="27"/>
    </row>
    <row r="37" spans="1:10" x14ac:dyDescent="0.25">
      <c r="A37" s="3">
        <v>10</v>
      </c>
      <c r="B37" s="27"/>
      <c r="C37" s="27"/>
      <c r="D37" s="27"/>
      <c r="E37" s="27"/>
      <c r="F37" s="27"/>
      <c r="G37" s="27"/>
      <c r="H37" s="27"/>
      <c r="I37" s="27"/>
      <c r="J37" s="27"/>
    </row>
    <row r="38" spans="1:10" x14ac:dyDescent="0.25">
      <c r="A38" s="3">
        <v>11</v>
      </c>
      <c r="B38" s="27"/>
      <c r="C38" s="27"/>
      <c r="D38" s="27"/>
      <c r="E38" s="27"/>
      <c r="F38" s="27"/>
      <c r="G38" s="27"/>
      <c r="H38" s="27"/>
      <c r="I38" s="27"/>
      <c r="J38" s="27"/>
    </row>
    <row r="40" spans="1:10" x14ac:dyDescent="0.25">
      <c r="B40" t="s">
        <v>29</v>
      </c>
    </row>
    <row r="42" spans="1:10" x14ac:dyDescent="0.25">
      <c r="B42" s="4"/>
      <c r="C42" s="4"/>
      <c r="D42" s="5"/>
      <c r="E42" s="5"/>
      <c r="F42" s="4"/>
      <c r="H42" s="4"/>
      <c r="I42" s="4"/>
      <c r="J42" s="4"/>
    </row>
    <row r="43" spans="1:10" x14ac:dyDescent="0.25">
      <c r="B43" s="28" t="s">
        <v>30</v>
      </c>
      <c r="C43" s="28"/>
      <c r="E43" s="28" t="s">
        <v>31</v>
      </c>
      <c r="F43" s="28"/>
      <c r="H43" s="29" t="s">
        <v>32</v>
      </c>
      <c r="I43" s="29"/>
      <c r="J43" s="2" t="s">
        <v>33</v>
      </c>
    </row>
  </sheetData>
  <mergeCells count="34"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B31:J31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B30:J30"/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</mergeCells>
  <pageMargins left="0.7" right="0.7" top="0.75" bottom="0.75" header="0.3" footer="0.3"/>
  <pageSetup scale="6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C6942-3314-48C5-B6D8-0D39CC6AE1FD}">
  <sheetPr>
    <pageSetUpPr fitToPage="1"/>
  </sheetPr>
  <dimension ref="A1:J43"/>
  <sheetViews>
    <sheetView topLeftCell="A21" zoomScale="110" zoomScaleNormal="110" workbookViewId="0">
      <selection activeCell="B32" sqref="B32:J32"/>
    </sheetView>
  </sheetViews>
  <sheetFormatPr defaultRowHeight="15" x14ac:dyDescent="0.25"/>
  <cols>
    <col min="1" max="1" width="3.5703125" style="3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26" t="s">
        <v>0</v>
      </c>
      <c r="C2" s="24" t="s">
        <v>34</v>
      </c>
      <c r="D2" s="25" t="s">
        <v>2</v>
      </c>
      <c r="E2" s="33"/>
      <c r="F2" s="33"/>
      <c r="G2" s="24"/>
      <c r="H2" s="23" t="s">
        <v>3</v>
      </c>
      <c r="I2" s="22"/>
      <c r="J2" s="21" t="s">
        <v>4</v>
      </c>
    </row>
    <row r="3" spans="1:10" ht="5.25" customHeight="1" x14ac:dyDescent="0.25">
      <c r="B3" s="3"/>
      <c r="D3" s="19"/>
      <c r="F3" s="2"/>
      <c r="H3" s="3"/>
      <c r="I3" s="3"/>
      <c r="J3" s="2"/>
    </row>
    <row r="4" spans="1:10" x14ac:dyDescent="0.25">
      <c r="B4" s="2" t="s">
        <v>5</v>
      </c>
      <c r="C4" s="20">
        <v>5</v>
      </c>
      <c r="D4" s="19"/>
      <c r="F4" s="2" t="s">
        <v>6</v>
      </c>
      <c r="G4" s="9">
        <v>0.08</v>
      </c>
      <c r="I4" s="3"/>
      <c r="J4" s="2"/>
    </row>
    <row r="5" spans="1:10" ht="5.25" customHeight="1" x14ac:dyDescent="0.25">
      <c r="B5" s="3"/>
      <c r="D5" s="19"/>
      <c r="F5" s="2"/>
      <c r="H5" s="3"/>
      <c r="I5" s="3"/>
      <c r="J5" s="2"/>
    </row>
    <row r="6" spans="1:10" x14ac:dyDescent="0.25">
      <c r="B6" s="18" t="s">
        <v>7</v>
      </c>
      <c r="C6" s="18" t="s">
        <v>8</v>
      </c>
      <c r="D6" s="18" t="s">
        <v>9</v>
      </c>
      <c r="E6" s="18" t="s">
        <v>10</v>
      </c>
      <c r="F6" s="18" t="s">
        <v>11</v>
      </c>
      <c r="G6" s="18" t="s">
        <v>12</v>
      </c>
      <c r="H6" s="34" t="s">
        <v>13</v>
      </c>
      <c r="I6" s="35"/>
      <c r="J6" s="18" t="s">
        <v>14</v>
      </c>
    </row>
    <row r="7" spans="1:10" x14ac:dyDescent="0.25">
      <c r="A7" s="3">
        <v>1</v>
      </c>
      <c r="B7" s="6"/>
      <c r="C7" s="6" t="s">
        <v>1</v>
      </c>
      <c r="D7" s="17">
        <v>6.25E-2</v>
      </c>
      <c r="E7" s="17" t="s">
        <v>15</v>
      </c>
      <c r="F7" s="16">
        <f>D7/D$24</f>
        <v>0.19936204146730463</v>
      </c>
      <c r="G7" s="15">
        <f>C4*F7</f>
        <v>0.99681020733652315</v>
      </c>
      <c r="H7" s="30"/>
      <c r="I7" s="31"/>
      <c r="J7" s="14" t="s">
        <v>35</v>
      </c>
    </row>
    <row r="8" spans="1:10" x14ac:dyDescent="0.25">
      <c r="A8" s="3">
        <v>2</v>
      </c>
      <c r="B8" s="6"/>
      <c r="C8" s="6" t="s">
        <v>36</v>
      </c>
      <c r="D8" s="17">
        <v>0.25</v>
      </c>
      <c r="E8" s="17" t="s">
        <v>15</v>
      </c>
      <c r="F8" s="16">
        <f t="shared" ref="F8:F23" si="0">D8/D$24</f>
        <v>0.79744816586921852</v>
      </c>
      <c r="G8" s="15">
        <f>C4*F8</f>
        <v>3.9872408293460926</v>
      </c>
      <c r="H8" s="30"/>
      <c r="I8" s="31"/>
      <c r="J8" s="14" t="s">
        <v>37</v>
      </c>
    </row>
    <row r="9" spans="1:10" x14ac:dyDescent="0.25">
      <c r="A9" s="3">
        <v>3</v>
      </c>
      <c r="B9" s="6"/>
      <c r="C9" s="6" t="s">
        <v>46</v>
      </c>
      <c r="D9" s="17">
        <v>1E-3</v>
      </c>
      <c r="E9" s="17" t="s">
        <v>15</v>
      </c>
      <c r="F9" s="16">
        <f t="shared" si="0"/>
        <v>3.189792663476874E-3</v>
      </c>
      <c r="G9" s="15">
        <f>C4*F9</f>
        <v>1.5948963317384369E-2</v>
      </c>
      <c r="H9" s="30"/>
      <c r="I9" s="31"/>
      <c r="J9" s="14"/>
    </row>
    <row r="10" spans="1:10" x14ac:dyDescent="0.25">
      <c r="A10" s="3">
        <v>4</v>
      </c>
      <c r="B10" s="6"/>
      <c r="C10" s="6"/>
      <c r="D10" s="17"/>
      <c r="E10" s="17" t="s">
        <v>15</v>
      </c>
      <c r="F10" s="16">
        <f t="shared" si="0"/>
        <v>0</v>
      </c>
      <c r="G10" s="15">
        <f>C4*F10</f>
        <v>0</v>
      </c>
      <c r="H10" s="30"/>
      <c r="I10" s="31"/>
      <c r="J10" s="14"/>
    </row>
    <row r="11" spans="1:10" x14ac:dyDescent="0.25">
      <c r="A11" s="3">
        <v>5</v>
      </c>
      <c r="B11" s="6"/>
      <c r="C11" s="6"/>
      <c r="D11" s="17"/>
      <c r="E11" s="17" t="s">
        <v>15</v>
      </c>
      <c r="F11" s="16">
        <f t="shared" si="0"/>
        <v>0</v>
      </c>
      <c r="G11" s="15">
        <f>C4*F11</f>
        <v>0</v>
      </c>
      <c r="H11" s="30"/>
      <c r="I11" s="31"/>
      <c r="J11" s="14"/>
    </row>
    <row r="12" spans="1:10" x14ac:dyDescent="0.25">
      <c r="A12" s="3">
        <v>6</v>
      </c>
      <c r="B12" s="6"/>
      <c r="C12" s="6"/>
      <c r="D12" s="17"/>
      <c r="E12" s="17" t="s">
        <v>15</v>
      </c>
      <c r="F12" s="16">
        <f t="shared" si="0"/>
        <v>0</v>
      </c>
      <c r="G12" s="15">
        <f>C4*F12</f>
        <v>0</v>
      </c>
      <c r="H12" s="30"/>
      <c r="I12" s="31"/>
      <c r="J12" s="14"/>
    </row>
    <row r="13" spans="1:10" x14ac:dyDescent="0.25">
      <c r="A13" s="3">
        <v>7</v>
      </c>
      <c r="B13" s="6"/>
      <c r="C13" s="6"/>
      <c r="D13" s="17"/>
      <c r="E13" s="17" t="s">
        <v>15</v>
      </c>
      <c r="F13" s="16">
        <f t="shared" si="0"/>
        <v>0</v>
      </c>
      <c r="G13" s="15">
        <f>C4*F13</f>
        <v>0</v>
      </c>
      <c r="H13" s="30"/>
      <c r="I13" s="31"/>
      <c r="J13" s="14"/>
    </row>
    <row r="14" spans="1:10" x14ac:dyDescent="0.25">
      <c r="A14" s="3">
        <v>8</v>
      </c>
      <c r="B14" s="6"/>
      <c r="C14" s="6"/>
      <c r="D14" s="17"/>
      <c r="E14" s="17" t="s">
        <v>15</v>
      </c>
      <c r="F14" s="16">
        <f t="shared" si="0"/>
        <v>0</v>
      </c>
      <c r="G14" s="15">
        <f>C4*F14</f>
        <v>0</v>
      </c>
      <c r="H14" s="30"/>
      <c r="I14" s="31"/>
      <c r="J14" s="14"/>
    </row>
    <row r="15" spans="1:10" x14ac:dyDescent="0.25">
      <c r="A15" s="3">
        <v>9</v>
      </c>
      <c r="B15" s="6"/>
      <c r="C15" s="6"/>
      <c r="D15" s="17"/>
      <c r="E15" s="17" t="s">
        <v>15</v>
      </c>
      <c r="F15" s="16">
        <f t="shared" si="0"/>
        <v>0</v>
      </c>
      <c r="G15" s="15">
        <f>C4*F15</f>
        <v>0</v>
      </c>
      <c r="H15" s="30"/>
      <c r="I15" s="31"/>
      <c r="J15" s="14"/>
    </row>
    <row r="16" spans="1:10" x14ac:dyDescent="0.25">
      <c r="A16" s="3">
        <v>10</v>
      </c>
      <c r="B16" s="6"/>
      <c r="C16" s="6"/>
      <c r="D16" s="17"/>
      <c r="E16" s="17" t="s">
        <v>15</v>
      </c>
      <c r="F16" s="16">
        <f t="shared" si="0"/>
        <v>0</v>
      </c>
      <c r="G16" s="15">
        <f>C4*F16</f>
        <v>0</v>
      </c>
      <c r="H16" s="30"/>
      <c r="I16" s="31"/>
      <c r="J16" s="14"/>
    </row>
    <row r="17" spans="1:10" x14ac:dyDescent="0.25">
      <c r="A17" s="3">
        <v>11</v>
      </c>
      <c r="B17" s="6"/>
      <c r="C17" s="6"/>
      <c r="D17" s="17"/>
      <c r="E17" s="17" t="s">
        <v>15</v>
      </c>
      <c r="F17" s="16">
        <f t="shared" si="0"/>
        <v>0</v>
      </c>
      <c r="G17" s="15">
        <f>C4*F17</f>
        <v>0</v>
      </c>
      <c r="H17" s="30"/>
      <c r="I17" s="31"/>
      <c r="J17" s="14"/>
    </row>
    <row r="18" spans="1:10" x14ac:dyDescent="0.25">
      <c r="A18" s="3">
        <v>12</v>
      </c>
      <c r="B18" s="6"/>
      <c r="C18" s="6"/>
      <c r="D18" s="17"/>
      <c r="E18" s="17" t="s">
        <v>15</v>
      </c>
      <c r="F18" s="16">
        <f t="shared" si="0"/>
        <v>0</v>
      </c>
      <c r="G18" s="15">
        <f>C4*F18</f>
        <v>0</v>
      </c>
      <c r="H18" s="30"/>
      <c r="I18" s="31"/>
      <c r="J18" s="14"/>
    </row>
    <row r="19" spans="1:10" x14ac:dyDescent="0.25">
      <c r="A19" s="3">
        <v>13</v>
      </c>
      <c r="B19" s="6"/>
      <c r="C19" s="6"/>
      <c r="D19" s="17"/>
      <c r="E19" s="17" t="s">
        <v>15</v>
      </c>
      <c r="F19" s="16">
        <f t="shared" si="0"/>
        <v>0</v>
      </c>
      <c r="G19" s="15">
        <f>C4*F19</f>
        <v>0</v>
      </c>
      <c r="H19" s="30"/>
      <c r="I19" s="31"/>
      <c r="J19" s="14"/>
    </row>
    <row r="20" spans="1:10" x14ac:dyDescent="0.25">
      <c r="A20" s="3">
        <v>14</v>
      </c>
      <c r="B20" s="6"/>
      <c r="C20" s="6"/>
      <c r="D20" s="17"/>
      <c r="E20" s="17" t="s">
        <v>15</v>
      </c>
      <c r="F20" s="16">
        <f t="shared" si="0"/>
        <v>0</v>
      </c>
      <c r="G20" s="15">
        <f>C4*F20</f>
        <v>0</v>
      </c>
      <c r="H20" s="30"/>
      <c r="I20" s="31"/>
      <c r="J20" s="14"/>
    </row>
    <row r="21" spans="1:10" x14ac:dyDescent="0.25">
      <c r="A21" s="3">
        <v>15</v>
      </c>
      <c r="B21" s="6"/>
      <c r="C21" s="6"/>
      <c r="D21" s="17"/>
      <c r="E21" s="17" t="s">
        <v>15</v>
      </c>
      <c r="F21" s="16">
        <f>D21/D$24</f>
        <v>0</v>
      </c>
      <c r="G21" s="15">
        <f>C4*F21</f>
        <v>0</v>
      </c>
      <c r="H21" s="30"/>
      <c r="I21" s="31"/>
      <c r="J21" s="14"/>
    </row>
    <row r="22" spans="1:10" x14ac:dyDescent="0.25">
      <c r="A22" s="3">
        <v>16</v>
      </c>
      <c r="B22" s="6"/>
      <c r="C22" s="6"/>
      <c r="D22" s="17"/>
      <c r="E22" s="17" t="s">
        <v>15</v>
      </c>
      <c r="F22" s="16">
        <f t="shared" si="0"/>
        <v>0</v>
      </c>
      <c r="G22" s="15">
        <f>C4*F22</f>
        <v>0</v>
      </c>
      <c r="H22" s="30"/>
      <c r="I22" s="31"/>
      <c r="J22" s="14"/>
    </row>
    <row r="23" spans="1:10" x14ac:dyDescent="0.25">
      <c r="A23" s="3">
        <v>17</v>
      </c>
      <c r="B23" s="6"/>
      <c r="C23" s="6"/>
      <c r="D23" s="17"/>
      <c r="E23" s="17" t="s">
        <v>15</v>
      </c>
      <c r="F23" s="16">
        <f t="shared" si="0"/>
        <v>0</v>
      </c>
      <c r="G23" s="15">
        <f>C4*F23</f>
        <v>0</v>
      </c>
      <c r="H23" s="30"/>
      <c r="I23" s="31"/>
      <c r="J23" s="14"/>
    </row>
    <row r="24" spans="1:10" x14ac:dyDescent="0.25">
      <c r="C24" s="13" t="s">
        <v>22</v>
      </c>
      <c r="D24" s="3">
        <f>SUM(D7:D23)</f>
        <v>0.3135</v>
      </c>
      <c r="E24" s="3" t="s">
        <v>15</v>
      </c>
      <c r="F24" s="12">
        <f>SUM(F7:F23)</f>
        <v>1</v>
      </c>
      <c r="G24" s="11">
        <f>SUM(G7:G23)</f>
        <v>5</v>
      </c>
      <c r="H24" s="10" t="s">
        <v>23</v>
      </c>
    </row>
    <row r="25" spans="1:10" x14ac:dyDescent="0.25">
      <c r="F25" s="9" t="s">
        <v>24</v>
      </c>
      <c r="G25" s="1">
        <f>-G24*G4+C4</f>
        <v>4.5999999999999996</v>
      </c>
    </row>
    <row r="26" spans="1:10" ht="15.75" x14ac:dyDescent="0.25">
      <c r="A26"/>
      <c r="B26" s="32" t="s">
        <v>25</v>
      </c>
      <c r="C26" s="32"/>
      <c r="D26" s="32"/>
      <c r="E26" s="32"/>
      <c r="F26" s="32"/>
      <c r="G26" s="32"/>
      <c r="H26" s="32"/>
      <c r="I26" s="32"/>
      <c r="J26" s="32"/>
    </row>
    <row r="27" spans="1:10" ht="15.75" x14ac:dyDescent="0.25">
      <c r="A27"/>
      <c r="B27" s="8" t="s">
        <v>26</v>
      </c>
      <c r="C27" s="7"/>
      <c r="D27" s="7"/>
      <c r="E27" s="7"/>
      <c r="F27" s="7"/>
      <c r="G27" s="7"/>
      <c r="H27" s="7"/>
      <c r="I27" s="7"/>
      <c r="J27" s="7"/>
    </row>
    <row r="28" spans="1:10" x14ac:dyDescent="0.25">
      <c r="A28" s="3">
        <v>1</v>
      </c>
      <c r="B28" s="36" t="s">
        <v>38</v>
      </c>
      <c r="C28" s="37"/>
      <c r="D28" s="37"/>
      <c r="E28" s="37"/>
      <c r="F28" s="37"/>
      <c r="G28" s="37"/>
      <c r="H28" s="37"/>
      <c r="I28" s="37"/>
      <c r="J28" s="38"/>
    </row>
    <row r="29" spans="1:10" x14ac:dyDescent="0.25">
      <c r="A29" s="3">
        <v>2</v>
      </c>
      <c r="B29" s="27" t="s">
        <v>39</v>
      </c>
      <c r="C29" s="27"/>
      <c r="D29" s="27"/>
      <c r="E29" s="27"/>
      <c r="F29" s="27"/>
      <c r="G29" s="27"/>
      <c r="H29" s="27"/>
      <c r="I29" s="27"/>
      <c r="J29" s="27"/>
    </row>
    <row r="30" spans="1:10" x14ac:dyDescent="0.25">
      <c r="A30" s="3">
        <v>3</v>
      </c>
      <c r="B30" s="27" t="s">
        <v>47</v>
      </c>
      <c r="C30" s="27"/>
      <c r="D30" s="27"/>
      <c r="E30" s="27"/>
      <c r="F30" s="27"/>
      <c r="G30" s="27"/>
      <c r="H30" s="27"/>
      <c r="I30" s="27"/>
      <c r="J30" s="27"/>
    </row>
    <row r="31" spans="1:10" x14ac:dyDescent="0.25">
      <c r="A31" s="3">
        <v>4</v>
      </c>
      <c r="B31" s="27" t="s">
        <v>40</v>
      </c>
      <c r="C31" s="27"/>
      <c r="D31" s="27"/>
      <c r="E31" s="27"/>
      <c r="F31" s="27"/>
      <c r="G31" s="27"/>
      <c r="H31" s="27"/>
      <c r="I31" s="27"/>
      <c r="J31" s="27"/>
    </row>
    <row r="32" spans="1:10" x14ac:dyDescent="0.25">
      <c r="A32" s="3">
        <v>5</v>
      </c>
      <c r="B32" s="27" t="s">
        <v>41</v>
      </c>
      <c r="C32" s="27"/>
      <c r="D32" s="27"/>
      <c r="E32" s="27"/>
      <c r="F32" s="27"/>
      <c r="G32" s="27"/>
      <c r="H32" s="27"/>
      <c r="I32" s="27"/>
      <c r="J32" s="27"/>
    </row>
    <row r="33" spans="1:10" x14ac:dyDescent="0.25">
      <c r="A33" s="3">
        <v>6</v>
      </c>
      <c r="B33" s="27" t="s">
        <v>42</v>
      </c>
      <c r="C33" s="27"/>
      <c r="D33" s="27"/>
      <c r="E33" s="27"/>
      <c r="F33" s="27"/>
      <c r="G33" s="27"/>
      <c r="H33" s="27"/>
      <c r="I33" s="27"/>
      <c r="J33" s="27"/>
    </row>
    <row r="34" spans="1:10" x14ac:dyDescent="0.25">
      <c r="A34" s="3">
        <v>7</v>
      </c>
      <c r="B34" s="27"/>
      <c r="C34" s="27"/>
      <c r="D34" s="27"/>
      <c r="E34" s="27"/>
      <c r="F34" s="27"/>
      <c r="G34" s="27"/>
      <c r="H34" s="27"/>
      <c r="I34" s="27"/>
      <c r="J34" s="27"/>
    </row>
    <row r="35" spans="1:10" x14ac:dyDescent="0.25">
      <c r="A35" s="3">
        <v>8</v>
      </c>
      <c r="B35" s="27"/>
      <c r="C35" s="27"/>
      <c r="D35" s="27"/>
      <c r="E35" s="27"/>
      <c r="F35" s="27"/>
      <c r="G35" s="27"/>
      <c r="H35" s="27"/>
      <c r="I35" s="27"/>
      <c r="J35" s="27"/>
    </row>
    <row r="36" spans="1:10" x14ac:dyDescent="0.25">
      <c r="A36" s="3">
        <v>9</v>
      </c>
      <c r="B36" s="27"/>
      <c r="C36" s="27"/>
      <c r="D36" s="27"/>
      <c r="E36" s="27"/>
      <c r="F36" s="27"/>
      <c r="G36" s="27"/>
      <c r="H36" s="27"/>
      <c r="I36" s="27"/>
      <c r="J36" s="27"/>
    </row>
    <row r="37" spans="1:10" x14ac:dyDescent="0.25">
      <c r="A37" s="3">
        <v>10</v>
      </c>
      <c r="B37" s="27"/>
      <c r="C37" s="27"/>
      <c r="D37" s="27"/>
      <c r="E37" s="27"/>
      <c r="F37" s="27"/>
      <c r="G37" s="27"/>
      <c r="H37" s="27"/>
      <c r="I37" s="27"/>
      <c r="J37" s="27"/>
    </row>
    <row r="38" spans="1:10" x14ac:dyDescent="0.25">
      <c r="A38" s="3">
        <v>11</v>
      </c>
      <c r="B38" s="27"/>
      <c r="C38" s="27"/>
      <c r="D38" s="27"/>
      <c r="E38" s="27"/>
      <c r="F38" s="27"/>
      <c r="G38" s="27"/>
      <c r="H38" s="27"/>
      <c r="I38" s="27"/>
      <c r="J38" s="27"/>
    </row>
    <row r="40" spans="1:10" x14ac:dyDescent="0.25">
      <c r="B40" t="s">
        <v>29</v>
      </c>
    </row>
    <row r="42" spans="1:10" x14ac:dyDescent="0.25">
      <c r="B42" s="4"/>
      <c r="C42" s="4"/>
      <c r="D42" s="5"/>
      <c r="E42" s="5"/>
      <c r="F42" s="4"/>
      <c r="H42" s="4"/>
      <c r="I42" s="4"/>
      <c r="J42" s="4"/>
    </row>
    <row r="43" spans="1:10" x14ac:dyDescent="0.25">
      <c r="B43" s="28" t="s">
        <v>30</v>
      </c>
      <c r="C43" s="28"/>
      <c r="E43" s="28" t="s">
        <v>31</v>
      </c>
      <c r="F43" s="28"/>
      <c r="H43" s="29" t="s">
        <v>32</v>
      </c>
      <c r="I43" s="29"/>
      <c r="J43" s="2" t="s">
        <v>33</v>
      </c>
    </row>
  </sheetData>
  <mergeCells count="34"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  <mergeCell ref="B31:J31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B30:J30"/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</mergeCells>
  <pageMargins left="0.7" right="0.7" top="0.75" bottom="0.75" header="0.3" footer="0.3"/>
  <pageSetup scale="66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5DB4063CA6254CA7AE1C6AB1A0E203" ma:contentTypeVersion="14" ma:contentTypeDescription="Create a new document." ma:contentTypeScope="" ma:versionID="aa6a2207218d003a33197d42270b06a6">
  <xsd:schema xmlns:xsd="http://www.w3.org/2001/XMLSchema" xmlns:xs="http://www.w3.org/2001/XMLSchema" xmlns:p="http://schemas.microsoft.com/office/2006/metadata/properties" xmlns:ns2="8be24d1f-f08e-46a7-9c6b-0452813a2a77" xmlns:ns3="1cca795c-b702-4d9c-a00f-4ea8e3fb1866" targetNamespace="http://schemas.microsoft.com/office/2006/metadata/properties" ma:root="true" ma:fieldsID="36946071ae238f9df883a13be9ca226d" ns2:_="" ns3:_="">
    <xsd:import namespace="8be24d1f-f08e-46a7-9c6b-0452813a2a77"/>
    <xsd:import namespace="1cca795c-b702-4d9c-a00f-4ea8e3fb18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e24d1f-f08e-46a7-9c6b-0452813a2a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5be1fd7-7535-4a18-99f7-c6c8bb01b2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ca795c-b702-4d9c-a00f-4ea8e3fb186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3a427014-70be-4e72-952d-11e5995fb69d}" ma:internalName="TaxCatchAll" ma:showField="CatchAllData" ma:web="1cca795c-b702-4d9c-a00f-4ea8e3fb18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cca795c-b702-4d9c-a00f-4ea8e3fb1866" xsi:nil="true"/>
    <lcf76f155ced4ddcb4097134ff3c332f xmlns="8be24d1f-f08e-46a7-9c6b-0452813a2a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49627AD-B8D6-4FF5-B671-FF79DDB76CF0}"/>
</file>

<file path=customXml/itemProps2.xml><?xml version="1.0" encoding="utf-8"?>
<ds:datastoreItem xmlns:ds="http://schemas.openxmlformats.org/officeDocument/2006/customXml" ds:itemID="{39AA281B-37FE-4D33-8398-8F68DC440E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3FC750-6377-49BA-9441-804FAF7F6FA8}">
  <ds:schemaRefs>
    <ds:schemaRef ds:uri="http://schemas.microsoft.com/office/2006/metadata/properties"/>
    <ds:schemaRef ds:uri="http://schemas.microsoft.com/office/infopath/2007/PartnerControls"/>
    <ds:schemaRef ds:uri="374e9f3f-5602-4c64-9487-40f39f273410"/>
    <ds:schemaRef ds:uri="826e4ca9-683e-460e-9129-1a62b2e7bbb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Black Bean Glaze</vt:lpstr>
      <vt:lpstr>Black Bean Glazed Short Rib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2025-01-20T16:01:00Z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0x0101000B5DB4063CA6254CA7AE1C6AB1A0E203</vt:lpwstr>
  </property>
  <property fmtid="{D5CDD505-2E9C-101B-9397-08002B2CF9AE}" pid="3" name="MediaServiceImageTags">
    <vt:lpwstr/>
  </property>
</Properties>
</file>