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optimum Recipes 1.20.25/"/>
    </mc:Choice>
  </mc:AlternateContent>
  <xr:revisionPtr revIDLastSave="24" documentId="8_{15506D5A-1EC3-4402-886A-E978101ED296}" xr6:coauthVersionLast="47" xr6:coauthVersionMax="47" xr10:uidLastSave="{23E6D0BD-8487-48C2-8685-00A69031C73E}"/>
  <bookViews>
    <workbookView xWindow="-105" yWindow="0" windowWidth="10455" windowHeight="10905" xr2:uid="{9D773142-25FF-402D-A059-87F5C56EFE7F}"/>
  </bookViews>
  <sheets>
    <sheet name="HERBED ORZO SALAD" sheetId="6" r:id="rId1"/>
    <sheet name="COOKED ORZ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6" l="1"/>
  <c r="F20" i="6" s="1"/>
  <c r="G20" i="6" s="1"/>
  <c r="D24" i="5"/>
  <c r="F21" i="5" s="1"/>
  <c r="G21" i="5" s="1"/>
  <c r="F8" i="6" l="1"/>
  <c r="G8" i="6" s="1"/>
  <c r="F10" i="6"/>
  <c r="G10" i="6" s="1"/>
  <c r="F12" i="6"/>
  <c r="G12" i="6" s="1"/>
  <c r="F14" i="6"/>
  <c r="G14" i="6" s="1"/>
  <c r="F18" i="6"/>
  <c r="G18" i="6" s="1"/>
  <c r="F22" i="6"/>
  <c r="G22" i="6" s="1"/>
  <c r="F7" i="6"/>
  <c r="F9" i="6"/>
  <c r="G9" i="6" s="1"/>
  <c r="F11" i="6"/>
  <c r="G11" i="6" s="1"/>
  <c r="F13" i="6"/>
  <c r="G13" i="6" s="1"/>
  <c r="F15" i="6"/>
  <c r="G15" i="6" s="1"/>
  <c r="F17" i="6"/>
  <c r="G17" i="6" s="1"/>
  <c r="F19" i="6"/>
  <c r="G19" i="6" s="1"/>
  <c r="F21" i="6"/>
  <c r="G21" i="6" s="1"/>
  <c r="F23" i="6"/>
  <c r="G23" i="6" s="1"/>
  <c r="F16" i="6"/>
  <c r="G16" i="6" s="1"/>
  <c r="F9" i="5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7" i="6" l="1"/>
  <c r="G24" i="6" s="1"/>
  <c r="G25" i="6" s="1"/>
  <c r="F24" i="6"/>
  <c r="G24" i="5"/>
  <c r="G25" i="5" s="1"/>
  <c r="F24" i="5"/>
</calcChain>
</file>

<file path=xl/sharedStrings.xml><?xml version="1.0" encoding="utf-8"?>
<sst xmlns="http://schemas.openxmlformats.org/spreadsheetml/2006/main" count="98" uniqueCount="37">
  <si>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</si>
  <si>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</si>
  <si>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</si>
  <si>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</si>
  <si>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</si>
  <si>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</si>
  <si>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</si>
  <si>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</si>
  <si>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</si>
  <si>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</si>
  <si>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</si>
  <si>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</si>
  <si>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</si>
  <si>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</si>
  <si>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</si>
  <si>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</si>
  <si>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</si>
  <si>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</si>
  <si>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</si>
  <si>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</si>
  <si>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</si>
  <si>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</si>
  <si>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</si>
  <si>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</si>
  <si>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</si>
  <si>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WATER</t>
  </si>
  <si>
    <t>D089</t>
  </si>
  <si>
    <t>SALT EVAPORATED</t>
  </si>
  <si>
    <t>HERB ORZO SALAD</t>
  </si>
  <si>
    <t>ORZO PASTA</t>
  </si>
  <si>
    <t>COOKED ORZO</t>
  </si>
  <si>
    <t>D258</t>
  </si>
  <si>
    <t>OIL OLIVE EXTRA VIRGIN</t>
  </si>
  <si>
    <t>HERB PARSLEY</t>
  </si>
  <si>
    <t>C040</t>
  </si>
  <si>
    <t>D080</t>
  </si>
  <si>
    <t xml:space="preserve">PEPPER ROASTED RED DICED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</si>
</sst>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4CCA-C59C-4179-98A6-FC80C8B5A662}">
  <sheetPr>
    <pageSetUpPr fitToPage="1"/>
  </sheetPr>
  <dimension ref="A1:J43"/>
  <sheetViews>
    <sheetView tabSelected="1" zoomScaleNormal="100" zoomScaleSheetLayoutView="80" workbookViewId="0">
      <selection activeCell="D9" sqref="D9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28</v>
      </c>
      <c r="D2" s="5" t="s">
        <v>1</v>
      </c>
      <c r="E2" s="39"/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5</v>
      </c>
      <c r="D4" s="9"/>
      <c r="F4" s="2" t="s">
        <v>22</v>
      </c>
      <c r="G4" s="25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/>
      <c r="C7" s="12" t="s">
        <v>30</v>
      </c>
      <c r="D7" s="13">
        <v>400</v>
      </c>
      <c r="E7" s="13" t="s">
        <v>23</v>
      </c>
      <c r="F7" s="14">
        <f t="shared" ref="F7:F23" si="0">D7/D$24</f>
        <v>0.90702947845804993</v>
      </c>
      <c r="G7" s="15">
        <f>C4*F7</f>
        <v>4.5351473922902494</v>
      </c>
      <c r="H7" s="30"/>
      <c r="I7" s="31"/>
      <c r="J7" s="16"/>
    </row>
    <row r="8" spans="1:10" x14ac:dyDescent="0.25">
      <c r="A8" s="1">
        <v>2</v>
      </c>
      <c r="B8" s="12" t="s">
        <v>31</v>
      </c>
      <c r="C8" s="12" t="s">
        <v>32</v>
      </c>
      <c r="D8" s="13">
        <v>23</v>
      </c>
      <c r="E8" s="13" t="s">
        <v>23</v>
      </c>
      <c r="F8" s="14">
        <f t="shared" si="0"/>
        <v>5.2154195011337869E-2</v>
      </c>
      <c r="G8" s="15">
        <f>C4*F8</f>
        <v>0.26077097505668934</v>
      </c>
      <c r="H8" s="30"/>
      <c r="I8" s="31"/>
      <c r="J8" s="16"/>
    </row>
    <row r="9" spans="1:10" x14ac:dyDescent="0.25">
      <c r="A9" s="1">
        <v>3</v>
      </c>
      <c r="B9" s="12" t="s">
        <v>26</v>
      </c>
      <c r="C9" s="12" t="s">
        <v>27</v>
      </c>
      <c r="D9" s="13">
        <v>2</v>
      </c>
      <c r="E9" s="13" t="s">
        <v>23</v>
      </c>
      <c r="F9" s="14">
        <f t="shared" si="0"/>
        <v>4.5351473922902496E-3</v>
      </c>
      <c r="G9" s="15">
        <f>C4*F9</f>
        <v>2.2675736961451247E-2</v>
      </c>
      <c r="H9" s="30"/>
      <c r="I9" s="31"/>
      <c r="J9" s="16"/>
    </row>
    <row r="10" spans="1:10" x14ac:dyDescent="0.25">
      <c r="A10" s="1">
        <v>4</v>
      </c>
      <c r="B10" s="12" t="s">
        <v>34</v>
      </c>
      <c r="C10" s="12" t="s">
        <v>33</v>
      </c>
      <c r="D10" s="13">
        <v>6</v>
      </c>
      <c r="E10" s="13" t="s">
        <v>23</v>
      </c>
      <c r="F10" s="14">
        <f t="shared" si="0"/>
        <v>1.3605442176870748E-2</v>
      </c>
      <c r="G10" s="15">
        <f>C4*F10</f>
        <v>6.8027210884353734E-2</v>
      </c>
      <c r="H10" s="30"/>
      <c r="I10" s="31"/>
      <c r="J10" s="16"/>
    </row>
    <row r="11" spans="1:10" x14ac:dyDescent="0.25">
      <c r="A11" s="1">
        <v>5</v>
      </c>
      <c r="B11" s="12" t="s">
        <v>35</v>
      </c>
      <c r="C11" s="12" t="s">
        <v>36</v>
      </c>
      <c r="D11" s="13">
        <v>10</v>
      </c>
      <c r="E11" s="13" t="s">
        <v>23</v>
      </c>
      <c r="F11" s="14">
        <f t="shared" si="0"/>
        <v>2.2675736961451247E-2</v>
      </c>
      <c r="G11" s="15">
        <f>C4*F11</f>
        <v>0.11337868480725624</v>
      </c>
      <c r="H11" s="30"/>
      <c r="I11" s="31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30"/>
      <c r="I12" s="31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30"/>
      <c r="I13" s="31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0"/>
      <c r="I14" s="31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0"/>
      <c r="I15" s="31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0"/>
      <c r="I16" s="31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0"/>
      <c r="I17" s="31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0"/>
      <c r="I18" s="31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0"/>
      <c r="I19" s="31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0"/>
      <c r="I20" s="31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0"/>
      <c r="I21" s="31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0"/>
      <c r="I22" s="31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0"/>
      <c r="I23" s="31"/>
      <c r="J23" s="16"/>
    </row>
    <row r="24" spans="1:10" x14ac:dyDescent="0.25">
      <c r="C24" s="17" t="s">
        <v>12</v>
      </c>
      <c r="D24" s="1">
        <f>SUM(D7:D23)</f>
        <v>441</v>
      </c>
      <c r="E24" s="1" t="s">
        <v>23</v>
      </c>
      <c r="F24" s="18">
        <f>SUM(F7:F23)</f>
        <v>1</v>
      </c>
      <c r="G24" s="26">
        <f>SUM(G7:G23)</f>
        <v>5</v>
      </c>
      <c r="H24" s="19" t="s">
        <v>13</v>
      </c>
    </row>
    <row r="25" spans="1:10" x14ac:dyDescent="0.25">
      <c r="F25" s="25" t="s">
        <v>24</v>
      </c>
      <c r="G25" s="20" t="e">
        <f>-G24*G4+C4</f>
        <v>#VALUE!</v>
      </c>
    </row>
    <row r="26" spans="1:10" ht="15.75" x14ac:dyDescent="0.25">
      <c r="A26"/>
      <c r="B26" s="32" t="s">
        <v>14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3"/>
      <c r="C28" s="34"/>
      <c r="D28" s="34"/>
      <c r="E28" s="34"/>
      <c r="F28" s="34"/>
      <c r="G28" s="34"/>
      <c r="H28" s="34"/>
      <c r="I28" s="34"/>
      <c r="J28" s="35"/>
    </row>
    <row r="29" spans="1:10" x14ac:dyDescent="0.25">
      <c r="A29" s="1">
        <v>2</v>
      </c>
      <c r="B29" s="33"/>
      <c r="C29" s="34"/>
      <c r="D29" s="34"/>
      <c r="E29" s="34"/>
      <c r="F29" s="34"/>
      <c r="G29" s="34"/>
      <c r="H29" s="34"/>
      <c r="I29" s="34"/>
      <c r="J29" s="35"/>
    </row>
    <row r="30" spans="1:10" x14ac:dyDescent="0.25">
      <c r="A30" s="1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1">
        <v>4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28" t="s">
        <v>17</v>
      </c>
      <c r="C43" s="28"/>
      <c r="E43" s="28" t="s">
        <v>18</v>
      </c>
      <c r="F43" s="28"/>
      <c r="H43" s="29" t="s">
        <v>19</v>
      </c>
      <c r="I43" s="29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workbookViewId="0">
      <selection activeCell="D16" sqref="D16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30</v>
      </c>
      <c r="D2" s="5" t="s">
        <v>1</v>
      </c>
      <c r="E2" s="39"/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5</v>
      </c>
      <c r="D4" s="9"/>
      <c r="F4" s="2" t="s">
        <v>22</v>
      </c>
      <c r="G4" s="25">
        <v>0.4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/>
      <c r="C7" s="12" t="s">
        <v>29</v>
      </c>
      <c r="D7" s="13">
        <v>100</v>
      </c>
      <c r="E7" s="13" t="s">
        <v>23</v>
      </c>
      <c r="F7" s="14">
        <f t="shared" ref="F7:F23" si="0">D7/D$24</f>
        <v>0.2857142857142857</v>
      </c>
      <c r="G7" s="15">
        <f>C4*F7</f>
        <v>1.4285714285714284</v>
      </c>
      <c r="H7" s="30"/>
      <c r="I7" s="31"/>
      <c r="J7" s="16"/>
    </row>
    <row r="8" spans="1:10" x14ac:dyDescent="0.25">
      <c r="A8" s="1">
        <v>2</v>
      </c>
      <c r="B8" s="12"/>
      <c r="C8" s="12" t="s">
        <v>25</v>
      </c>
      <c r="D8" s="13">
        <v>250</v>
      </c>
      <c r="E8" s="13" t="s">
        <v>23</v>
      </c>
      <c r="F8" s="14">
        <f t="shared" si="0"/>
        <v>0.7142857142857143</v>
      </c>
      <c r="G8" s="15">
        <f>C4*F8</f>
        <v>3.5714285714285716</v>
      </c>
      <c r="H8" s="30"/>
      <c r="I8" s="31"/>
      <c r="J8" s="16"/>
    </row>
    <row r="9" spans="1:10" x14ac:dyDescent="0.25">
      <c r="A9" s="1">
        <v>3</v>
      </c>
      <c r="B9" s="12"/>
      <c r="C9" s="12"/>
      <c r="D9" s="13"/>
      <c r="E9" s="13" t="s">
        <v>23</v>
      </c>
      <c r="F9" s="14">
        <f t="shared" si="0"/>
        <v>0</v>
      </c>
      <c r="G9" s="15">
        <f>C4*F9</f>
        <v>0</v>
      </c>
      <c r="H9" s="30"/>
      <c r="I9" s="31"/>
      <c r="J9" s="16"/>
    </row>
    <row r="10" spans="1:10" x14ac:dyDescent="0.25">
      <c r="A10" s="1">
        <v>4</v>
      </c>
      <c r="B10" s="12"/>
      <c r="C10" s="12"/>
      <c r="D10" s="13"/>
      <c r="E10" s="13" t="s">
        <v>23</v>
      </c>
      <c r="F10" s="14">
        <f t="shared" si="0"/>
        <v>0</v>
      </c>
      <c r="G10" s="15">
        <f>C4*F10</f>
        <v>0</v>
      </c>
      <c r="H10" s="30"/>
      <c r="I10" s="31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30"/>
      <c r="I11" s="31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30"/>
      <c r="I12" s="31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30"/>
      <c r="I13" s="31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0"/>
      <c r="I14" s="31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0"/>
      <c r="I15" s="31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0"/>
      <c r="I16" s="31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0"/>
      <c r="I17" s="31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0"/>
      <c r="I18" s="31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0"/>
      <c r="I19" s="31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0"/>
      <c r="I20" s="31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0"/>
      <c r="I21" s="31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0"/>
      <c r="I22" s="31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0"/>
      <c r="I23" s="31"/>
      <c r="J23" s="16"/>
    </row>
    <row r="24" spans="1:10" x14ac:dyDescent="0.25">
      <c r="C24" s="17" t="s">
        <v>12</v>
      </c>
      <c r="D24" s="1">
        <f>SUM(D7:D23)</f>
        <v>350</v>
      </c>
      <c r="E24" s="1" t="s">
        <v>23</v>
      </c>
      <c r="F24" s="18">
        <f>SUM(F7:F23)</f>
        <v>1</v>
      </c>
      <c r="G24" s="26">
        <f>SUM(G7:G23)</f>
        <v>5</v>
      </c>
      <c r="H24" s="19" t="s">
        <v>13</v>
      </c>
    </row>
    <row r="25" spans="1:10" x14ac:dyDescent="0.25">
      <c r="F25" s="25" t="s">
        <v>24</v>
      </c>
      <c r="G25" s="20">
        <f>-G24*G4+C4</f>
        <v>3</v>
      </c>
    </row>
    <row r="26" spans="1:10" ht="15.75" x14ac:dyDescent="0.25">
      <c r="A26"/>
      <c r="B26" s="32" t="s">
        <v>14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3"/>
      <c r="C28" s="34"/>
      <c r="D28" s="34"/>
      <c r="E28" s="34"/>
      <c r="F28" s="34"/>
      <c r="G28" s="34"/>
      <c r="H28" s="34"/>
      <c r="I28" s="34"/>
      <c r="J28" s="35"/>
    </row>
    <row r="29" spans="1:10" x14ac:dyDescent="0.25">
      <c r="A29" s="1">
        <v>2</v>
      </c>
      <c r="B29" s="33"/>
      <c r="C29" s="34"/>
      <c r="D29" s="34"/>
      <c r="E29" s="34"/>
      <c r="F29" s="34"/>
      <c r="G29" s="34"/>
      <c r="H29" s="34"/>
      <c r="I29" s="34"/>
      <c r="J29" s="35"/>
    </row>
    <row r="30" spans="1:10" x14ac:dyDescent="0.25">
      <c r="A30" s="1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1">
        <v>4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28" t="s">
        <v>17</v>
      </c>
      <c r="C43" s="28"/>
      <c r="E43" s="28" t="s">
        <v>18</v>
      </c>
      <c r="F43" s="28"/>
      <c r="H43" s="29" t="s">
        <v>19</v>
      </c>
      <c r="I43" s="29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4A7C5C62-580F-4E9B-9840-EBE36F820E0C}"/>
</file>

<file path=customXml/itemProps2.xml><?xml version="1.0" encoding="utf-8"?>
<ds:datastoreItem xmlns:ds="http://schemas.openxmlformats.org/officeDocument/2006/customXml" ds:itemID="{28E913C5-0879-458D-9B98-36546F77714B}"/>
</file>

<file path=customXml/itemProps3.xml><?xml version="1.0" encoding="utf-8"?>
<ds:datastoreItem xmlns:ds="http://schemas.openxmlformats.org/officeDocument/2006/customXml" ds:itemID="{186E401B-50A7-4377-BF05-9CF993013E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HERBED ORZO SALAD</vt:lpstr>
      <vt:lpstr>COOKED ORZO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2023-08-17T15:10:54Z</dcterms:created>
  <dcterms:modified xsi:type="dcterms:W3CDTF">2025-01-22T21:16:11Z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