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 filterPrivacy="1"/>
  <xr:revisionPtr revIDLastSave="12" documentId="13_ncr:1_{BDAC4393-4FDC-4342-9F9D-AFF287062D41}" xr6:coauthVersionLast="47" xr6:coauthVersionMax="47" xr10:uidLastSave="{B117D755-4672-47A0-8B01-8E2604A13ADF}"/>
  <bookViews>
    <workbookView xWindow="-120" yWindow="-120" windowWidth="20730" windowHeight="11040" xr2:uid="{00000000-000D-0000-FFFF-FFFF00000000}"/>
  </bookViews>
  <sheets>
    <sheet name="Template" sheetId="2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24" i="2" l="1"/>
  <c r="F23" i="2" s="1"/>
  <c r="G23" i="2" s="1"/>
  <c r="F8" i="2" l="1"/>
  <c r="G8" i="2" s="1"/>
  <c r="F16" i="2"/>
  <c r="G16" i="2" s="1"/>
  <c r="F10" i="2"/>
  <c r="G10" i="2" s="1"/>
  <c r="F18" i="2"/>
  <c r="G18" i="2" s="1"/>
  <c r="F12" i="2"/>
  <c r="G12" i="2" s="1"/>
  <c r="F20" i="2"/>
  <c r="G20" i="2" s="1"/>
  <c r="F14" i="2"/>
  <c r="G14" i="2" s="1"/>
  <c r="F22" i="2"/>
  <c r="G22" i="2" s="1"/>
  <c r="F7" i="2"/>
  <c r="F9" i="2"/>
  <c r="G9" i="2" s="1"/>
  <c r="F11" i="2"/>
  <c r="G11" i="2" s="1"/>
  <c r="F13" i="2"/>
  <c r="G13" i="2" s="1"/>
  <c r="F15" i="2"/>
  <c r="G15" i="2" s="1"/>
  <c r="F17" i="2"/>
  <c r="G17" i="2" s="1"/>
  <c r="F19" i="2"/>
  <c r="G19" i="2" s="1"/>
  <c r="F21" i="2"/>
  <c r="G21" i="2" s="1"/>
  <c r="F24" i="2" l="1"/>
  <c r="G7" i="2"/>
  <c r="G24" i="2" s="1"/>
  <c r="G25" i="2" s="1"/>
  <c r="C9" i="1" l="1"/>
  <c r="C8" i="1"/>
  <c r="C7" i="1"/>
  <c r="C6" i="1"/>
  <c r="C5" i="1"/>
  <c r="C4" i="1"/>
  <c r="C3" i="1"/>
  <c r="C26" i="1"/>
  <c r="C25" i="1"/>
  <c r="B38" i="1"/>
  <c r="B37" i="1"/>
  <c r="B36" i="1"/>
  <c r="B35" i="1"/>
  <c r="B34" i="1"/>
  <c r="B33" i="1"/>
  <c r="B32" i="1"/>
  <c r="B31" i="1"/>
  <c r="B30" i="1"/>
</calcChain>
</file>

<file path=xl/sharedStrings.xml><?xml version="1.0" encoding="utf-8"?>
<sst xmlns="http://schemas.openxmlformats.org/spreadsheetml/2006/main" count="88" uniqueCount="69">
  <si>
    <t>Batch Sheet</t>
  </si>
  <si>
    <t xml:space="preserve">DATE: </t>
  </si>
  <si>
    <t>Morello Cherry Compote</t>
  </si>
  <si>
    <t>Batch Code:</t>
  </si>
  <si>
    <t>Employee Name:</t>
  </si>
  <si>
    <t xml:space="preserve">Ingredient: </t>
  </si>
  <si>
    <t>%</t>
  </si>
  <si>
    <t>Pounds</t>
  </si>
  <si>
    <t>Lot Code:</t>
  </si>
  <si>
    <t>Sour Cherries, IQF, Ravifruit, kg</t>
  </si>
  <si>
    <t>Corn Starch, oz</t>
  </si>
  <si>
    <t>Cinnamon, ground, gr</t>
  </si>
  <si>
    <t>Nutmeg, ground, gr</t>
  </si>
  <si>
    <t>Sugar, granulated, oz</t>
  </si>
  <si>
    <t>Salt, gr</t>
  </si>
  <si>
    <t>Orange Zest, Microplaned, gr</t>
  </si>
  <si>
    <t>Instructions</t>
  </si>
  <si>
    <t xml:space="preserve">Place cherries into pan and sprinkle with cornstarch and </t>
  </si>
  <si>
    <t>mix well.</t>
  </si>
  <si>
    <t>Stir in other ingredients and place over medium heat</t>
  </si>
  <si>
    <t>Bring mixture to a simmer and cook for 3 minutes or until</t>
  </si>
  <si>
    <t>mixture has thickened</t>
  </si>
  <si>
    <t>Pour mixture into separate pan and place in blast chiller</t>
  </si>
  <si>
    <t>until temp reaches 40°</t>
  </si>
  <si>
    <t>Pack into 5 lbs bags, seal, and label and refrigerate until</t>
  </si>
  <si>
    <t>needed</t>
  </si>
  <si>
    <t>Total Yield:</t>
  </si>
  <si>
    <t>Raw #</t>
  </si>
  <si>
    <t>Actual Yield:</t>
  </si>
  <si>
    <t>Cooked #</t>
  </si>
  <si>
    <t xml:space="preserve">Rework: </t>
  </si>
  <si>
    <t>Formula Name:</t>
  </si>
  <si>
    <t>R&amp;D ID Number:</t>
  </si>
  <si>
    <t>Version #:</t>
  </si>
  <si>
    <t>Batch Number:</t>
  </si>
  <si>
    <t>Desired QTY (lb):</t>
  </si>
  <si>
    <t>Yield Loss:</t>
  </si>
  <si>
    <t>Item Number</t>
  </si>
  <si>
    <t>Description</t>
  </si>
  <si>
    <t>Original Fromula</t>
  </si>
  <si>
    <t>UOM</t>
  </si>
  <si>
    <t>Desired (lb)</t>
  </si>
  <si>
    <t>Lot Code</t>
  </si>
  <si>
    <t>Notes</t>
  </si>
  <si>
    <t>lb</t>
  </si>
  <si>
    <t>Total Sample Formula Weight:</t>
  </si>
  <si>
    <t>Total Weight</t>
  </si>
  <si>
    <t>Weight After Yield Loss</t>
  </si>
  <si>
    <t>Procedure</t>
  </si>
  <si>
    <t>Batch Formula Instructions</t>
  </si>
  <si>
    <t xml:space="preserve">By signing this sheet the operator is confirming that all information recorded is accurate and that all steps and procedures have been followed as listed. </t>
  </si>
  <si>
    <t>Operator Signature</t>
  </si>
  <si>
    <t>Date</t>
  </si>
  <si>
    <t xml:space="preserve">                    Reviewed By</t>
  </si>
  <si>
    <t xml:space="preserve">                                          Date</t>
  </si>
  <si>
    <t>D025</t>
  </si>
  <si>
    <t>CORN STARCH</t>
  </si>
  <si>
    <t>D355</t>
  </si>
  <si>
    <t>SPICE CASSIA (CINNAMON) GROUND L</t>
  </si>
  <si>
    <t>D133</t>
  </si>
  <si>
    <t>SPICE NUTMEG GROUND</t>
  </si>
  <si>
    <t>D160</t>
  </si>
  <si>
    <t>SUGAR GRANULATED</t>
  </si>
  <si>
    <t>D089</t>
  </si>
  <si>
    <t>SALT EVAPORATED</t>
  </si>
  <si>
    <t>F057</t>
  </si>
  <si>
    <t>ZEST ORANGE PEEL GRATED</t>
  </si>
  <si>
    <t>IQF SOUR CHERRIES</t>
  </si>
  <si>
    <t>MORELLO CHERRY COMPOTE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</si>
</sst>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0.000"/>
    <numFmt numFmtId="165" formatCode="0.0%"/>
  </numFmts>
  <fonts count="8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9" fontId="4" fillId="0" borderId="0" applyFont="0" applyFill="0" applyBorder="0" applyAlignment="0" applyProtection="0"/>
    <xf numFmtId="44" fontId="4" fillId="0" borderId="0" applyFont="0" applyFill="0" applyBorder="0" applyAlignment="0" applyProtection="0"/>
  </cellStyleXfs>
  <cellXfs count="88">
    <xf numFmtId="0" fontId="0" fillId="0" borderId="0" xfId="0"/>
    <xf numFmtId="0" fontId="1" fillId="0" borderId="1" xfId="0" applyFont="1" applyBorder="1" applyAlignment="1">
      <alignment horizontal="left"/>
    </xf>
    <xf numFmtId="0" fontId="2" fillId="0" borderId="1" xfId="0" applyFont="1" applyBorder="1"/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horizontal="left" vertical="top"/>
    </xf>
    <xf numFmtId="0" fontId="3" fillId="0" borderId="1" xfId="0" applyFont="1" applyBorder="1"/>
    <xf numFmtId="0" fontId="1" fillId="0" borderId="1" xfId="0" applyFont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2" fontId="0" fillId="0" borderId="0" xfId="0" applyNumberFormat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1" fontId="3" fillId="2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/>
    <xf numFmtId="2" fontId="3" fillId="3" borderId="1" xfId="0" applyNumberFormat="1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top" wrapText="1"/>
    </xf>
    <xf numFmtId="165" fontId="2" fillId="0" borderId="1" xfId="1" applyNumberFormat="1" applyFont="1" applyBorder="1" applyAlignment="1">
      <alignment horizontal="center"/>
    </xf>
    <xf numFmtId="165" fontId="2" fillId="0" borderId="1" xfId="0" applyNumberFormat="1" applyFont="1" applyBorder="1"/>
    <xf numFmtId="0" fontId="3" fillId="0" borderId="0" xfId="0" applyFont="1"/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1" fontId="3" fillId="0" borderId="1" xfId="0" applyNumberFormat="1" applyFont="1" applyBorder="1" applyAlignment="1">
      <alignment horizontal="right"/>
    </xf>
    <xf numFmtId="10" fontId="2" fillId="0" borderId="1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wrapText="1"/>
    </xf>
    <xf numFmtId="0" fontId="3" fillId="0" borderId="2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2" xfId="0" applyFont="1" applyBorder="1" applyAlignment="1">
      <alignment horizontal="left" wrapText="1"/>
    </xf>
    <xf numFmtId="0" fontId="2" fillId="0" borderId="4" xfId="0" applyFont="1" applyBorder="1" applyAlignment="1">
      <alignment horizontal="left" wrapText="1"/>
    </xf>
    <xf numFmtId="0" fontId="2" fillId="0" borderId="3" xfId="0" applyFont="1" applyBorder="1" applyAlignment="1">
      <alignment horizontal="left"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4" borderId="5" xfId="0" applyFont="1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6" fillId="4" borderId="6" xfId="0" applyFont="1" applyFill="1" applyBorder="1"/>
    <xf numFmtId="0" fontId="0" fillId="4" borderId="6" xfId="0" applyFill="1" applyBorder="1" applyAlignment="1">
      <alignment horizontal="left"/>
    </xf>
    <xf numFmtId="0" fontId="6" fillId="4" borderId="6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left"/>
    </xf>
    <xf numFmtId="0" fontId="6" fillId="4" borderId="7" xfId="0" applyFont="1" applyFill="1" applyBorder="1" applyAlignment="1" applyProtection="1">
      <alignment horizontal="left"/>
      <protection locked="0"/>
    </xf>
    <xf numFmtId="0" fontId="6" fillId="0" borderId="0" xfId="0" applyFont="1"/>
    <xf numFmtId="0" fontId="0" fillId="5" borderId="0" xfId="0" applyFill="1" applyAlignment="1" applyProtection="1">
      <alignment horizontal="center"/>
      <protection locked="0"/>
    </xf>
    <xf numFmtId="9" fontId="0" fillId="6" borderId="0" xfId="1" applyFont="1" applyFill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10" fontId="0" fillId="0" borderId="1" xfId="1" applyNumberFormat="1" applyFont="1" applyBorder="1" applyAlignment="1">
      <alignment horizontal="center"/>
    </xf>
    <xf numFmtId="2" fontId="0" fillId="5" borderId="1" xfId="2" applyNumberFormat="1" applyFont="1" applyFill="1" applyBorder="1" applyAlignment="1">
      <alignment horizontal="center"/>
    </xf>
    <xf numFmtId="44" fontId="0" fillId="0" borderId="2" xfId="2" applyFont="1" applyBorder="1" applyAlignment="1" applyProtection="1">
      <alignment horizontal="center"/>
      <protection locked="0"/>
    </xf>
    <xf numFmtId="44" fontId="0" fillId="0" borderId="3" xfId="2" applyFont="1" applyBorder="1" applyAlignment="1" applyProtection="1">
      <alignment horizontal="center"/>
      <protection locked="0"/>
    </xf>
    <xf numFmtId="0" fontId="0" fillId="0" borderId="1" xfId="0" applyBorder="1" applyProtection="1">
      <protection locked="0"/>
    </xf>
    <xf numFmtId="0" fontId="6" fillId="0" borderId="0" xfId="0" applyFont="1" applyAlignment="1">
      <alignment horizontal="right"/>
    </xf>
    <xf numFmtId="10" fontId="6" fillId="0" borderId="0" xfId="0" applyNumberFormat="1" applyFont="1" applyAlignment="1">
      <alignment horizontal="center"/>
    </xf>
    <xf numFmtId="2" fontId="0" fillId="7" borderId="0" xfId="0" applyNumberFormat="1" applyFill="1" applyAlignment="1">
      <alignment horizontal="center"/>
    </xf>
    <xf numFmtId="0" fontId="0" fillId="7" borderId="0" xfId="0" applyFill="1"/>
    <xf numFmtId="0" fontId="7" fillId="4" borderId="1" xfId="0" applyFont="1" applyFill="1" applyBorder="1" applyAlignment="1">
      <alignment horizontal="center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0" fillId="8" borderId="2" xfId="0" applyFill="1" applyBorder="1"/>
    <xf numFmtId="0" fontId="0" fillId="8" borderId="4" xfId="0" applyFill="1" applyBorder="1"/>
    <xf numFmtId="0" fontId="0" fillId="8" borderId="3" xfId="0" applyFill="1" applyBorder="1"/>
    <xf numFmtId="0" fontId="0" fillId="0" borderId="1" xfId="0" applyBorder="1"/>
    <xf numFmtId="0" fontId="0" fillId="0" borderId="8" xfId="0" applyBorder="1"/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9" xfId="0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3">
    <cellStyle name="Currency" xfId="2" builtinId="4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AD1DC-E134-4FB9-89EB-1E3815B382A4}">
  <sheetPr>
    <pageSetUpPr fitToPage="1"/>
  </sheetPr>
  <dimension ref="A1:J43"/>
  <sheetViews>
    <sheetView tabSelected="1" workbookViewId="0">
      <selection activeCell="H13" sqref="H13:I13"/>
    </sheetView>
  </sheetViews>
  <sheetFormatPr defaultRowHeight="15" x14ac:dyDescent="0.25"/>
  <cols>
    <col min="1" max="1" width="3.5703125" style="47" customWidth="1"/>
    <col min="2" max="2" width="21.42578125" customWidth="1"/>
    <col min="3" max="3" width="38" customWidth="1"/>
    <col min="4" max="4" width="17.5703125" style="48" customWidth="1"/>
    <col min="5" max="5" width="6.5703125" style="48" customWidth="1"/>
    <col min="6" max="6" width="21.85546875" customWidth="1"/>
    <col min="7" max="7" width="12.5703125" style="48" customWidth="1"/>
    <col min="8" max="9" width="12.5703125" customWidth="1"/>
    <col min="10" max="10" width="37.42578125" customWidth="1"/>
  </cols>
  <sheetData>
    <row r="1" spans="1:10" ht="15.75" thickBot="1" x14ac:dyDescent="0.3"/>
    <row r="2" spans="1:10" ht="15.75" thickBot="1" x14ac:dyDescent="0.3">
      <c r="B2" s="49" t="s">
        <v>31</v>
      </c>
      <c r="C2" s="50" t="s">
        <v>68</v>
      </c>
      <c r="D2" s="51" t="s">
        <v>32</v>
      </c>
      <c r="E2" s="52"/>
      <c r="F2" s="52"/>
      <c r="G2" s="50"/>
      <c r="H2" s="53" t="s">
        <v>33</v>
      </c>
      <c r="I2" s="54"/>
      <c r="J2" s="55" t="s">
        <v>34</v>
      </c>
    </row>
    <row r="3" spans="1:10" ht="5.25" customHeight="1" x14ac:dyDescent="0.25">
      <c r="B3" s="47"/>
      <c r="D3" s="56"/>
      <c r="F3" s="48"/>
      <c r="H3" s="47"/>
      <c r="I3" s="47"/>
      <c r="J3" s="48"/>
    </row>
    <row r="4" spans="1:10" x14ac:dyDescent="0.25">
      <c r="B4" s="48" t="s">
        <v>35</v>
      </c>
      <c r="C4" s="57">
        <v>5</v>
      </c>
      <c r="D4" s="56"/>
      <c r="F4" s="48" t="s">
        <v>36</v>
      </c>
      <c r="G4" s="58" t="s">
        <v>6</v>
      </c>
      <c r="I4" s="47"/>
      <c r="J4" s="48"/>
    </row>
    <row r="5" spans="1:10" ht="5.25" customHeight="1" x14ac:dyDescent="0.25">
      <c r="B5" s="47"/>
      <c r="D5" s="56"/>
      <c r="F5" s="48"/>
      <c r="H5" s="47"/>
      <c r="I5" s="47"/>
      <c r="J5" s="48"/>
    </row>
    <row r="6" spans="1:10" x14ac:dyDescent="0.25">
      <c r="B6" s="59" t="s">
        <v>37</v>
      </c>
      <c r="C6" s="59" t="s">
        <v>38</v>
      </c>
      <c r="D6" s="59" t="s">
        <v>39</v>
      </c>
      <c r="E6" s="59" t="s">
        <v>40</v>
      </c>
      <c r="F6" s="59" t="s">
        <v>6</v>
      </c>
      <c r="G6" s="59" t="s">
        <v>41</v>
      </c>
      <c r="H6" s="60" t="s">
        <v>42</v>
      </c>
      <c r="I6" s="61"/>
      <c r="J6" s="59" t="s">
        <v>43</v>
      </c>
    </row>
    <row r="7" spans="1:10" x14ac:dyDescent="0.25">
      <c r="A7" s="47">
        <v>1</v>
      </c>
      <c r="B7" s="62"/>
      <c r="C7" s="62" t="s">
        <v>67</v>
      </c>
      <c r="D7" s="87">
        <v>361.84210526315792</v>
      </c>
      <c r="E7" s="63" t="s">
        <v>44</v>
      </c>
      <c r="F7" s="64">
        <f t="shared" ref="F7:F23" si="0">D7/D$24</f>
        <v>0.72480181200453009</v>
      </c>
      <c r="G7" s="65">
        <f>C4*F7</f>
        <v>3.6240090600226504</v>
      </c>
      <c r="H7" s="66"/>
      <c r="I7" s="67"/>
      <c r="J7" s="68"/>
    </row>
    <row r="8" spans="1:10" x14ac:dyDescent="0.25">
      <c r="A8" s="47">
        <v>2</v>
      </c>
      <c r="B8" s="62" t="s">
        <v>55</v>
      </c>
      <c r="C8" s="62" t="s">
        <v>56</v>
      </c>
      <c r="D8" s="87">
        <v>10.279605263157896</v>
      </c>
      <c r="E8" s="63" t="s">
        <v>44</v>
      </c>
      <c r="F8" s="64">
        <f t="shared" si="0"/>
        <v>2.0590960568310515E-2</v>
      </c>
      <c r="G8" s="65">
        <f>C4*F8</f>
        <v>0.10295480284155258</v>
      </c>
      <c r="H8" s="66"/>
      <c r="I8" s="67"/>
      <c r="J8" s="68"/>
    </row>
    <row r="9" spans="1:10" x14ac:dyDescent="0.25">
      <c r="A9" s="47">
        <v>3</v>
      </c>
      <c r="B9" s="62" t="s">
        <v>57</v>
      </c>
      <c r="C9" s="62" t="s">
        <v>58</v>
      </c>
      <c r="D9" s="87">
        <v>1.1307565789473684</v>
      </c>
      <c r="E9" s="63" t="s">
        <v>44</v>
      </c>
      <c r="F9" s="64">
        <f t="shared" si="0"/>
        <v>2.2650056625141564E-3</v>
      </c>
      <c r="G9" s="65">
        <f>C4*F9</f>
        <v>1.1325028312570783E-2</v>
      </c>
      <c r="H9" s="66"/>
      <c r="I9" s="67"/>
      <c r="J9" s="68"/>
    </row>
    <row r="10" spans="1:10" x14ac:dyDescent="0.25">
      <c r="A10" s="47">
        <v>4</v>
      </c>
      <c r="B10" s="62" t="s">
        <v>59</v>
      </c>
      <c r="C10" s="62" t="s">
        <v>60</v>
      </c>
      <c r="D10" s="87">
        <v>0.35978618421052633</v>
      </c>
      <c r="E10" s="63" t="s">
        <v>44</v>
      </c>
      <c r="F10" s="64">
        <f t="shared" si="0"/>
        <v>7.2068361989086798E-4</v>
      </c>
      <c r="G10" s="65">
        <f>C4*F10</f>
        <v>3.6034180994543399E-3</v>
      </c>
      <c r="H10" s="66"/>
      <c r="I10" s="67"/>
      <c r="J10" s="68"/>
    </row>
    <row r="11" spans="1:10" x14ac:dyDescent="0.25">
      <c r="A11" s="47">
        <v>5</v>
      </c>
      <c r="B11" s="62" t="s">
        <v>61</v>
      </c>
      <c r="C11" s="62" t="s">
        <v>62</v>
      </c>
      <c r="D11" s="87">
        <v>123.35526315789473</v>
      </c>
      <c r="E11" s="63" t="s">
        <v>44</v>
      </c>
      <c r="F11" s="64">
        <f t="shared" si="0"/>
        <v>0.24709152681972613</v>
      </c>
      <c r="G11" s="65">
        <f>C4*F11</f>
        <v>1.2354576340986307</v>
      </c>
      <c r="H11" s="66"/>
      <c r="I11" s="67"/>
      <c r="J11" s="68"/>
    </row>
    <row r="12" spans="1:10" x14ac:dyDescent="0.25">
      <c r="A12" s="47">
        <v>6</v>
      </c>
      <c r="B12" s="62" t="s">
        <v>63</v>
      </c>
      <c r="C12" s="62" t="s">
        <v>64</v>
      </c>
      <c r="D12" s="87">
        <v>1.1307565789473684</v>
      </c>
      <c r="E12" s="63" t="s">
        <v>44</v>
      </c>
      <c r="F12" s="64">
        <f t="shared" si="0"/>
        <v>2.2650056625141564E-3</v>
      </c>
      <c r="G12" s="65">
        <f>C4*F12</f>
        <v>1.1325028312570783E-2</v>
      </c>
      <c r="H12" s="66"/>
      <c r="I12" s="67"/>
      <c r="J12" s="68"/>
    </row>
    <row r="13" spans="1:10" x14ac:dyDescent="0.25">
      <c r="A13" s="47">
        <v>7</v>
      </c>
      <c r="B13" s="62" t="s">
        <v>65</v>
      </c>
      <c r="C13" s="62" t="s">
        <v>66</v>
      </c>
      <c r="D13" s="87">
        <v>1.1307565789473684</v>
      </c>
      <c r="E13" s="63" t="s">
        <v>44</v>
      </c>
      <c r="F13" s="64">
        <f t="shared" si="0"/>
        <v>2.2650056625141564E-3</v>
      </c>
      <c r="G13" s="65">
        <f>C4*F13</f>
        <v>1.1325028312570783E-2</v>
      </c>
      <c r="H13" s="66"/>
      <c r="I13" s="67"/>
      <c r="J13" s="68"/>
    </row>
    <row r="14" spans="1:10" x14ac:dyDescent="0.25">
      <c r="A14" s="47">
        <v>8</v>
      </c>
      <c r="B14" s="62"/>
      <c r="C14" s="62"/>
      <c r="D14" s="63"/>
      <c r="E14" s="63" t="s">
        <v>44</v>
      </c>
      <c r="F14" s="64">
        <f t="shared" si="0"/>
        <v>0</v>
      </c>
      <c r="G14" s="65">
        <f>C4*F14</f>
        <v>0</v>
      </c>
      <c r="H14" s="66"/>
      <c r="I14" s="67"/>
      <c r="J14" s="68"/>
    </row>
    <row r="15" spans="1:10" x14ac:dyDescent="0.25">
      <c r="A15" s="47">
        <v>9</v>
      </c>
      <c r="B15" s="62"/>
      <c r="C15" s="62"/>
      <c r="D15" s="63"/>
      <c r="E15" s="63" t="s">
        <v>44</v>
      </c>
      <c r="F15" s="64">
        <f t="shared" si="0"/>
        <v>0</v>
      </c>
      <c r="G15" s="65">
        <f>C4*F15</f>
        <v>0</v>
      </c>
      <c r="H15" s="66"/>
      <c r="I15" s="67"/>
      <c r="J15" s="68"/>
    </row>
    <row r="16" spans="1:10" x14ac:dyDescent="0.25">
      <c r="A16" s="47">
        <v>10</v>
      </c>
      <c r="B16" s="62"/>
      <c r="C16" s="62"/>
      <c r="D16" s="63"/>
      <c r="E16" s="63" t="s">
        <v>44</v>
      </c>
      <c r="F16" s="64">
        <f t="shared" si="0"/>
        <v>0</v>
      </c>
      <c r="G16" s="65">
        <f>C4*F16</f>
        <v>0</v>
      </c>
      <c r="H16" s="66"/>
      <c r="I16" s="67"/>
      <c r="J16" s="68"/>
    </row>
    <row r="17" spans="1:10" x14ac:dyDescent="0.25">
      <c r="A17" s="47">
        <v>11</v>
      </c>
      <c r="B17" s="62"/>
      <c r="C17" s="62"/>
      <c r="D17" s="63"/>
      <c r="E17" s="63" t="s">
        <v>44</v>
      </c>
      <c r="F17" s="64">
        <f t="shared" si="0"/>
        <v>0</v>
      </c>
      <c r="G17" s="65">
        <f>C4*F17</f>
        <v>0</v>
      </c>
      <c r="H17" s="66"/>
      <c r="I17" s="67"/>
      <c r="J17" s="68"/>
    </row>
    <row r="18" spans="1:10" x14ac:dyDescent="0.25">
      <c r="A18" s="47">
        <v>12</v>
      </c>
      <c r="B18" s="62"/>
      <c r="C18" s="62"/>
      <c r="D18" s="63"/>
      <c r="E18" s="63" t="s">
        <v>44</v>
      </c>
      <c r="F18" s="64">
        <f t="shared" si="0"/>
        <v>0</v>
      </c>
      <c r="G18" s="65">
        <f>C4*F18</f>
        <v>0</v>
      </c>
      <c r="H18" s="66"/>
      <c r="I18" s="67"/>
      <c r="J18" s="68"/>
    </row>
    <row r="19" spans="1:10" x14ac:dyDescent="0.25">
      <c r="A19" s="47">
        <v>13</v>
      </c>
      <c r="B19" s="62"/>
      <c r="C19" s="62"/>
      <c r="D19" s="63"/>
      <c r="E19" s="63" t="s">
        <v>44</v>
      </c>
      <c r="F19" s="64">
        <f t="shared" si="0"/>
        <v>0</v>
      </c>
      <c r="G19" s="65">
        <f>C4*F19</f>
        <v>0</v>
      </c>
      <c r="H19" s="66"/>
      <c r="I19" s="67"/>
      <c r="J19" s="68"/>
    </row>
    <row r="20" spans="1:10" x14ac:dyDescent="0.25">
      <c r="A20" s="47">
        <v>14</v>
      </c>
      <c r="B20" s="62"/>
      <c r="C20" s="62"/>
      <c r="D20" s="63"/>
      <c r="E20" s="63" t="s">
        <v>44</v>
      </c>
      <c r="F20" s="64">
        <f t="shared" si="0"/>
        <v>0</v>
      </c>
      <c r="G20" s="65">
        <f>C4*F20</f>
        <v>0</v>
      </c>
      <c r="H20" s="66"/>
      <c r="I20" s="67"/>
      <c r="J20" s="68"/>
    </row>
    <row r="21" spans="1:10" x14ac:dyDescent="0.25">
      <c r="A21" s="47">
        <v>15</v>
      </c>
      <c r="B21" s="62"/>
      <c r="C21" s="62"/>
      <c r="D21" s="63"/>
      <c r="E21" s="63" t="s">
        <v>44</v>
      </c>
      <c r="F21" s="64">
        <f t="shared" si="0"/>
        <v>0</v>
      </c>
      <c r="G21" s="65">
        <f>C4*F21</f>
        <v>0</v>
      </c>
      <c r="H21" s="66"/>
      <c r="I21" s="67"/>
      <c r="J21" s="68"/>
    </row>
    <row r="22" spans="1:10" x14ac:dyDescent="0.25">
      <c r="A22" s="47">
        <v>16</v>
      </c>
      <c r="B22" s="62"/>
      <c r="C22" s="62"/>
      <c r="D22" s="63"/>
      <c r="E22" s="63" t="s">
        <v>44</v>
      </c>
      <c r="F22" s="64">
        <f t="shared" si="0"/>
        <v>0</v>
      </c>
      <c r="G22" s="65">
        <f>C4*F22</f>
        <v>0</v>
      </c>
      <c r="H22" s="66"/>
      <c r="I22" s="67"/>
      <c r="J22" s="68"/>
    </row>
    <row r="23" spans="1:10" x14ac:dyDescent="0.25">
      <c r="A23" s="47">
        <v>17</v>
      </c>
      <c r="B23" s="62"/>
      <c r="C23" s="62"/>
      <c r="D23" s="63"/>
      <c r="E23" s="63" t="s">
        <v>44</v>
      </c>
      <c r="F23" s="64">
        <f t="shared" si="0"/>
        <v>0</v>
      </c>
      <c r="G23" s="65">
        <f>C4*F23</f>
        <v>0</v>
      </c>
      <c r="H23" s="66"/>
      <c r="I23" s="67"/>
      <c r="J23" s="68"/>
    </row>
    <row r="24" spans="1:10" x14ac:dyDescent="0.25">
      <c r="C24" s="69" t="s">
        <v>45</v>
      </c>
      <c r="D24" s="47">
        <f>SUM(D7:D23)</f>
        <v>499.22902960526312</v>
      </c>
      <c r="E24" s="47" t="s">
        <v>44</v>
      </c>
      <c r="F24" s="70">
        <f>SUM(F7:F23)</f>
        <v>1.0000000000000002</v>
      </c>
      <c r="G24" s="71">
        <f>SUM(G7:G23)</f>
        <v>5.0000000000000018</v>
      </c>
      <c r="H24" s="72" t="s">
        <v>46</v>
      </c>
    </row>
    <row r="25" spans="1:10" x14ac:dyDescent="0.25">
      <c r="F25" s="58" t="s">
        <v>47</v>
      </c>
      <c r="G25" s="12" t="e">
        <f>-G24*G4+C4</f>
        <v>#VALUE!</v>
      </c>
    </row>
    <row r="26" spans="1:10" ht="15.75" x14ac:dyDescent="0.25">
      <c r="A26"/>
      <c r="B26" s="73" t="s">
        <v>48</v>
      </c>
      <c r="C26" s="73"/>
      <c r="D26" s="73"/>
      <c r="E26" s="73"/>
      <c r="F26" s="73"/>
      <c r="G26" s="73"/>
      <c r="H26" s="73"/>
      <c r="I26" s="73"/>
      <c r="J26" s="73"/>
    </row>
    <row r="27" spans="1:10" ht="15.75" x14ac:dyDescent="0.25">
      <c r="A27"/>
      <c r="B27" s="74" t="s">
        <v>49</v>
      </c>
      <c r="C27" s="75"/>
      <c r="D27" s="75"/>
      <c r="E27" s="75"/>
      <c r="F27" s="75"/>
      <c r="G27" s="75"/>
      <c r="H27" s="75"/>
      <c r="I27" s="75"/>
      <c r="J27" s="75"/>
    </row>
    <row r="28" spans="1:10" x14ac:dyDescent="0.25">
      <c r="A28" s="47">
        <v>1</v>
      </c>
      <c r="B28" s="76"/>
      <c r="C28" s="77"/>
      <c r="D28" s="77"/>
      <c r="E28" s="77"/>
      <c r="F28" s="77"/>
      <c r="G28" s="77"/>
      <c r="H28" s="77"/>
      <c r="I28" s="77"/>
      <c r="J28" s="78"/>
    </row>
    <row r="29" spans="1:10" x14ac:dyDescent="0.25">
      <c r="A29" s="47">
        <v>2</v>
      </c>
      <c r="B29" s="76"/>
      <c r="C29" s="77"/>
      <c r="D29" s="77"/>
      <c r="E29" s="77"/>
      <c r="F29" s="77"/>
      <c r="G29" s="77"/>
      <c r="H29" s="77"/>
      <c r="I29" s="77"/>
      <c r="J29" s="78"/>
    </row>
    <row r="30" spans="1:10" x14ac:dyDescent="0.25">
      <c r="A30" s="47">
        <v>3</v>
      </c>
      <c r="B30" s="79"/>
      <c r="C30" s="80"/>
      <c r="D30" s="80"/>
      <c r="E30" s="80"/>
      <c r="F30" s="80"/>
      <c r="G30" s="80"/>
      <c r="H30" s="80"/>
      <c r="I30" s="80"/>
      <c r="J30" s="81"/>
    </row>
    <row r="31" spans="1:10" x14ac:dyDescent="0.25">
      <c r="A31" s="47">
        <v>4</v>
      </c>
      <c r="B31" s="82"/>
      <c r="C31" s="82"/>
      <c r="D31" s="82"/>
      <c r="E31" s="82"/>
      <c r="F31" s="82"/>
      <c r="G31" s="82"/>
      <c r="H31" s="82"/>
      <c r="I31" s="82"/>
      <c r="J31" s="82"/>
    </row>
    <row r="32" spans="1:10" x14ac:dyDescent="0.25">
      <c r="A32" s="47">
        <v>5</v>
      </c>
      <c r="B32" s="82"/>
      <c r="C32" s="82"/>
      <c r="D32" s="82"/>
      <c r="E32" s="82"/>
      <c r="F32" s="82"/>
      <c r="G32" s="82"/>
      <c r="H32" s="82"/>
      <c r="I32" s="82"/>
      <c r="J32" s="82"/>
    </row>
    <row r="33" spans="1:10" x14ac:dyDescent="0.25">
      <c r="A33" s="47">
        <v>6</v>
      </c>
      <c r="B33" s="82"/>
      <c r="C33" s="82"/>
      <c r="D33" s="82"/>
      <c r="E33" s="82"/>
      <c r="F33" s="82"/>
      <c r="G33" s="82"/>
      <c r="H33" s="82"/>
      <c r="I33" s="82"/>
      <c r="J33" s="82"/>
    </row>
    <row r="34" spans="1:10" x14ac:dyDescent="0.25">
      <c r="A34" s="47">
        <v>7</v>
      </c>
      <c r="B34" s="82"/>
      <c r="C34" s="82"/>
      <c r="D34" s="82"/>
      <c r="E34" s="82"/>
      <c r="F34" s="82"/>
      <c r="G34" s="82"/>
      <c r="H34" s="82"/>
      <c r="I34" s="82"/>
      <c r="J34" s="82"/>
    </row>
    <row r="35" spans="1:10" x14ac:dyDescent="0.25">
      <c r="A35" s="47">
        <v>8</v>
      </c>
      <c r="B35" s="82"/>
      <c r="C35" s="82"/>
      <c r="D35" s="82"/>
      <c r="E35" s="82"/>
      <c r="F35" s="82"/>
      <c r="G35" s="82"/>
      <c r="H35" s="82"/>
      <c r="I35" s="82"/>
      <c r="J35" s="82"/>
    </row>
    <row r="36" spans="1:10" x14ac:dyDescent="0.25">
      <c r="A36" s="47">
        <v>9</v>
      </c>
      <c r="B36" s="82"/>
      <c r="C36" s="82"/>
      <c r="D36" s="82"/>
      <c r="E36" s="82"/>
      <c r="F36" s="82"/>
      <c r="G36" s="82"/>
      <c r="H36" s="82"/>
      <c r="I36" s="82"/>
      <c r="J36" s="82"/>
    </row>
    <row r="37" spans="1:10" x14ac:dyDescent="0.25">
      <c r="A37" s="47">
        <v>10</v>
      </c>
      <c r="B37" s="82"/>
      <c r="C37" s="82"/>
      <c r="D37" s="82"/>
      <c r="E37" s="82"/>
      <c r="F37" s="82"/>
      <c r="G37" s="82"/>
      <c r="H37" s="82"/>
      <c r="I37" s="82"/>
      <c r="J37" s="82"/>
    </row>
    <row r="38" spans="1:10" x14ac:dyDescent="0.25">
      <c r="A38" s="47">
        <v>11</v>
      </c>
      <c r="B38" s="82"/>
      <c r="C38" s="82"/>
      <c r="D38" s="82"/>
      <c r="E38" s="82"/>
      <c r="F38" s="82"/>
      <c r="G38" s="82"/>
      <c r="H38" s="82"/>
      <c r="I38" s="82"/>
      <c r="J38" s="82"/>
    </row>
    <row r="40" spans="1:10" x14ac:dyDescent="0.25">
      <c r="B40" t="s">
        <v>50</v>
      </c>
    </row>
    <row r="42" spans="1:10" x14ac:dyDescent="0.25">
      <c r="B42" s="83"/>
      <c r="C42" s="83"/>
      <c r="D42" s="84"/>
      <c r="E42" s="84"/>
      <c r="F42" s="83"/>
      <c r="H42" s="83"/>
      <c r="I42" s="83"/>
      <c r="J42" s="83"/>
    </row>
    <row r="43" spans="1:10" x14ac:dyDescent="0.25">
      <c r="B43" s="85" t="s">
        <v>51</v>
      </c>
      <c r="C43" s="85"/>
      <c r="E43" s="85" t="s">
        <v>52</v>
      </c>
      <c r="F43" s="85"/>
      <c r="H43" s="86" t="s">
        <v>53</v>
      </c>
      <c r="I43" s="86"/>
      <c r="J43" s="48" t="s">
        <v>54</v>
      </c>
    </row>
  </sheetData>
  <mergeCells count="34">
    <mergeCell ref="B38:J38"/>
    <mergeCell ref="B43:C43"/>
    <mergeCell ref="E43:F43"/>
    <mergeCell ref="H43:I43"/>
    <mergeCell ref="B32:J32"/>
    <mergeCell ref="B33:J33"/>
    <mergeCell ref="B34:J34"/>
    <mergeCell ref="B35:J35"/>
    <mergeCell ref="B36:J36"/>
    <mergeCell ref="B37:J37"/>
    <mergeCell ref="H23:I23"/>
    <mergeCell ref="B26:J26"/>
    <mergeCell ref="B28:J28"/>
    <mergeCell ref="B29:J29"/>
    <mergeCell ref="B30:J30"/>
    <mergeCell ref="B31:J31"/>
    <mergeCell ref="H17:I17"/>
    <mergeCell ref="H18:I18"/>
    <mergeCell ref="H19:I19"/>
    <mergeCell ref="H20:I20"/>
    <mergeCell ref="H21:I21"/>
    <mergeCell ref="H22:I22"/>
    <mergeCell ref="H11:I11"/>
    <mergeCell ref="H12:I12"/>
    <mergeCell ref="H13:I13"/>
    <mergeCell ref="H14:I14"/>
    <mergeCell ref="H15:I15"/>
    <mergeCell ref="H16:I16"/>
    <mergeCell ref="E2:F2"/>
    <mergeCell ref="H6:I6"/>
    <mergeCell ref="H7:I7"/>
    <mergeCell ref="H8:I8"/>
    <mergeCell ref="H9:I9"/>
    <mergeCell ref="H10:I10"/>
  </mergeCells>
  <pageMargins left="0.7" right="0.7" top="0.75" bottom="0.75" header="0.3" footer="0.3"/>
  <pageSetup scale="66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40"/>
  <sheetViews>
    <sheetView zoomScale="55" zoomScaleNormal="55" workbookViewId="0">
      <selection activeCell="C3" sqref="C3:C9"/>
    </sheetView>
  </sheetViews>
  <sheetFormatPr defaultRowHeight="15" x14ac:dyDescent="0.25"/>
  <cols>
    <col min="1" max="1" width="90.28515625" customWidth="1"/>
    <col min="2" max="2" width="26.5703125" customWidth="1"/>
    <col min="3" max="3" width="39.42578125" style="12" customWidth="1"/>
    <col min="4" max="4" width="30.7109375" customWidth="1"/>
    <col min="5" max="5" width="32.28515625" customWidth="1"/>
    <col min="6" max="6" width="37.140625" customWidth="1"/>
  </cols>
  <sheetData>
    <row r="1" spans="1:6" ht="51.75" customHeight="1" x14ac:dyDescent="0.45">
      <c r="A1" s="3" t="s">
        <v>0</v>
      </c>
      <c r="B1" s="1" t="s">
        <v>1</v>
      </c>
      <c r="C1" s="8">
        <v>500</v>
      </c>
      <c r="D1" s="21" t="s">
        <v>2</v>
      </c>
      <c r="E1" s="5" t="s">
        <v>3</v>
      </c>
      <c r="F1" s="4" t="s">
        <v>4</v>
      </c>
    </row>
    <row r="2" spans="1:6" ht="23.25" x14ac:dyDescent="0.35">
      <c r="A2" s="1" t="s">
        <v>5</v>
      </c>
      <c r="B2" s="7" t="s">
        <v>6</v>
      </c>
      <c r="C2" s="9" t="s">
        <v>7</v>
      </c>
      <c r="D2" s="33" t="s">
        <v>8</v>
      </c>
      <c r="E2" s="34"/>
      <c r="F2" s="35"/>
    </row>
    <row r="3" spans="1:6" ht="28.5" x14ac:dyDescent="0.45">
      <c r="A3" s="6" t="s">
        <v>9</v>
      </c>
      <c r="B3" s="29">
        <v>0.72368421052631582</v>
      </c>
      <c r="C3" s="10">
        <f>B3*C1</f>
        <v>361.84210526315792</v>
      </c>
      <c r="D3" s="30"/>
      <c r="E3" s="31"/>
      <c r="F3" s="32"/>
    </row>
    <row r="4" spans="1:6" ht="28.5" x14ac:dyDescent="0.45">
      <c r="A4" s="6" t="s">
        <v>10</v>
      </c>
      <c r="B4" s="29">
        <v>2.0559210526315791E-2</v>
      </c>
      <c r="C4" s="10">
        <f>B4*C1</f>
        <v>10.279605263157896</v>
      </c>
      <c r="D4" s="25"/>
      <c r="E4" s="26"/>
      <c r="F4" s="27"/>
    </row>
    <row r="5" spans="1:6" ht="28.5" x14ac:dyDescent="0.45">
      <c r="A5" s="6" t="s">
        <v>11</v>
      </c>
      <c r="B5" s="29">
        <v>2.2615131578947369E-3</v>
      </c>
      <c r="C5" s="10">
        <f>B5*C1</f>
        <v>1.1307565789473684</v>
      </c>
      <c r="D5" s="25"/>
      <c r="E5" s="26"/>
      <c r="F5" s="27"/>
    </row>
    <row r="6" spans="1:6" ht="28.5" x14ac:dyDescent="0.45">
      <c r="A6" s="6" t="s">
        <v>12</v>
      </c>
      <c r="B6" s="29">
        <v>7.195723684210527E-4</v>
      </c>
      <c r="C6" s="10">
        <f>B6*C1</f>
        <v>0.35978618421052633</v>
      </c>
      <c r="D6" s="25"/>
      <c r="E6" s="26"/>
      <c r="F6" s="27"/>
    </row>
    <row r="7" spans="1:6" ht="28.5" x14ac:dyDescent="0.45">
      <c r="A7" s="6" t="s">
        <v>13</v>
      </c>
      <c r="B7" s="29">
        <v>0.24671052631578946</v>
      </c>
      <c r="C7" s="10">
        <f>B7*C1</f>
        <v>123.35526315789473</v>
      </c>
      <c r="D7" s="25"/>
      <c r="E7" s="26"/>
      <c r="F7" s="27"/>
    </row>
    <row r="8" spans="1:6" ht="28.5" x14ac:dyDescent="0.45">
      <c r="A8" s="6" t="s">
        <v>14</v>
      </c>
      <c r="B8" s="22">
        <v>2.2615131578947369E-3</v>
      </c>
      <c r="C8" s="10">
        <f>B8*C1</f>
        <v>1.1307565789473684</v>
      </c>
      <c r="D8" s="25"/>
      <c r="E8" s="26"/>
      <c r="F8" s="27"/>
    </row>
    <row r="9" spans="1:6" ht="28.5" x14ac:dyDescent="0.45">
      <c r="A9" s="6" t="s">
        <v>15</v>
      </c>
      <c r="B9" s="22">
        <v>2.2615131578947369E-3</v>
      </c>
      <c r="C9" s="10">
        <f>B9*C1</f>
        <v>1.1307565789473684</v>
      </c>
      <c r="D9" s="25"/>
      <c r="E9" s="26"/>
      <c r="F9" s="27"/>
    </row>
    <row r="10" spans="1:6" ht="28.5" x14ac:dyDescent="0.45">
      <c r="A10" s="6"/>
      <c r="B10" s="22"/>
      <c r="C10" s="10"/>
      <c r="D10" s="25"/>
      <c r="E10" s="26"/>
      <c r="F10" s="27"/>
    </row>
    <row r="11" spans="1:6" ht="28.5" x14ac:dyDescent="0.45">
      <c r="A11" s="6"/>
      <c r="B11" s="22"/>
      <c r="C11" s="10"/>
      <c r="D11" s="30"/>
      <c r="E11" s="31"/>
      <c r="F11" s="32"/>
    </row>
    <row r="12" spans="1:6" ht="28.5" x14ac:dyDescent="0.45">
      <c r="A12" s="6"/>
      <c r="B12" s="22"/>
      <c r="C12" s="13"/>
      <c r="D12" s="38" t="s">
        <v>16</v>
      </c>
      <c r="E12" s="39"/>
      <c r="F12" s="40"/>
    </row>
    <row r="13" spans="1:6" ht="30" customHeight="1" x14ac:dyDescent="0.45">
      <c r="A13" s="6"/>
      <c r="B13" s="22"/>
      <c r="C13" s="28">
        <v>1</v>
      </c>
      <c r="D13" s="41" t="s">
        <v>17</v>
      </c>
      <c r="E13" s="42"/>
      <c r="F13" s="43"/>
    </row>
    <row r="14" spans="1:6" ht="30" customHeight="1" x14ac:dyDescent="0.45">
      <c r="A14" s="6"/>
      <c r="B14" s="22"/>
      <c r="C14" s="28"/>
      <c r="D14" s="44" t="s">
        <v>18</v>
      </c>
      <c r="E14" s="45"/>
      <c r="F14" s="46"/>
    </row>
    <row r="15" spans="1:6" ht="30" customHeight="1" x14ac:dyDescent="0.45">
      <c r="A15" s="6"/>
      <c r="B15" s="22"/>
      <c r="C15" s="28">
        <v>2</v>
      </c>
      <c r="D15" s="44" t="s">
        <v>19</v>
      </c>
      <c r="E15" s="45"/>
      <c r="F15" s="46"/>
    </row>
    <row r="16" spans="1:6" ht="30" customHeight="1" x14ac:dyDescent="0.45">
      <c r="A16" s="6"/>
      <c r="B16" s="22"/>
      <c r="C16" s="28">
        <v>3</v>
      </c>
      <c r="D16" s="44" t="s">
        <v>20</v>
      </c>
      <c r="E16" s="45"/>
      <c r="F16" s="46"/>
    </row>
    <row r="17" spans="1:6" ht="30" customHeight="1" x14ac:dyDescent="0.45">
      <c r="A17" s="6"/>
      <c r="B17" s="23"/>
      <c r="C17" s="28"/>
      <c r="D17" s="37" t="s">
        <v>21</v>
      </c>
      <c r="E17" s="37"/>
      <c r="F17" s="37"/>
    </row>
    <row r="18" spans="1:6" ht="30" customHeight="1" x14ac:dyDescent="0.45">
      <c r="A18" s="6"/>
      <c r="B18" s="2"/>
      <c r="C18" s="28">
        <v>4</v>
      </c>
      <c r="D18" s="36" t="s">
        <v>22</v>
      </c>
      <c r="E18" s="36"/>
      <c r="F18" s="36"/>
    </row>
    <row r="19" spans="1:6" ht="30" customHeight="1" x14ac:dyDescent="0.45">
      <c r="A19" s="6"/>
      <c r="B19" s="2"/>
      <c r="C19" s="28"/>
      <c r="D19" s="37" t="s">
        <v>23</v>
      </c>
      <c r="E19" s="37"/>
      <c r="F19" s="37"/>
    </row>
    <row r="20" spans="1:6" ht="30" customHeight="1" x14ac:dyDescent="0.45">
      <c r="A20" s="6"/>
      <c r="B20" s="2"/>
      <c r="C20" s="28">
        <v>5</v>
      </c>
      <c r="D20" s="37" t="s">
        <v>24</v>
      </c>
      <c r="E20" s="37"/>
      <c r="F20" s="37"/>
    </row>
    <row r="21" spans="1:6" ht="30" customHeight="1" x14ac:dyDescent="0.45">
      <c r="A21" s="6"/>
      <c r="B21" s="2"/>
      <c r="C21" s="28"/>
      <c r="D21" s="37" t="s">
        <v>25</v>
      </c>
      <c r="E21" s="37"/>
      <c r="F21" s="37"/>
    </row>
    <row r="22" spans="1:6" ht="30" customHeight="1" x14ac:dyDescent="0.45">
      <c r="A22" s="6"/>
      <c r="B22" s="2"/>
      <c r="C22" s="28"/>
      <c r="D22" s="36"/>
      <c r="E22" s="36"/>
      <c r="F22" s="36"/>
    </row>
    <row r="23" spans="1:6" ht="30" customHeight="1" x14ac:dyDescent="0.45">
      <c r="A23" s="6"/>
      <c r="B23" s="2"/>
      <c r="C23" s="28"/>
      <c r="D23" s="36"/>
      <c r="E23" s="36"/>
      <c r="F23" s="36"/>
    </row>
    <row r="24" spans="1:6" ht="30" customHeight="1" x14ac:dyDescent="0.45">
      <c r="A24" s="6"/>
      <c r="B24" s="2"/>
      <c r="C24" s="28"/>
      <c r="D24" s="36"/>
      <c r="E24" s="36"/>
      <c r="F24" s="36"/>
    </row>
    <row r="25" spans="1:6" ht="28.5" x14ac:dyDescent="0.45">
      <c r="A25" s="18" t="s">
        <v>26</v>
      </c>
      <c r="B25" s="19" t="s">
        <v>27</v>
      </c>
      <c r="C25" s="20">
        <f>C1</f>
        <v>500</v>
      </c>
      <c r="D25" s="36"/>
      <c r="E25" s="36"/>
      <c r="F25" s="36"/>
    </row>
    <row r="26" spans="1:6" ht="28.5" x14ac:dyDescent="0.45">
      <c r="A26" s="15" t="s">
        <v>28</v>
      </c>
      <c r="B26" s="16" t="s">
        <v>29</v>
      </c>
      <c r="C26" s="17">
        <f>C1/1.1</f>
        <v>454.5454545454545</v>
      </c>
      <c r="D26" s="36"/>
      <c r="E26" s="36"/>
      <c r="F26" s="36"/>
    </row>
    <row r="27" spans="1:6" ht="61.5" customHeight="1" x14ac:dyDescent="0.45">
      <c r="A27" s="14" t="s">
        <v>30</v>
      </c>
      <c r="B27" s="6"/>
      <c r="C27" s="11"/>
      <c r="D27" s="37"/>
      <c r="E27" s="37"/>
      <c r="F27" s="37"/>
    </row>
    <row r="30" spans="1:6" ht="28.5" x14ac:dyDescent="0.45">
      <c r="B30">
        <f>C30/C1</f>
        <v>4.4000000000000003E-3</v>
      </c>
      <c r="C30" s="10">
        <v>2.2000000000000002</v>
      </c>
    </row>
    <row r="31" spans="1:6" ht="28.5" x14ac:dyDescent="0.45">
      <c r="B31">
        <f>C31/C1</f>
        <v>1.25E-4</v>
      </c>
      <c r="C31" s="10">
        <v>6.25E-2</v>
      </c>
    </row>
    <row r="32" spans="1:6" ht="28.5" x14ac:dyDescent="0.45">
      <c r="B32">
        <f>C32/C1</f>
        <v>1.375E-5</v>
      </c>
      <c r="C32" s="10">
        <v>6.875E-3</v>
      </c>
    </row>
    <row r="33" spans="2:3" ht="28.5" x14ac:dyDescent="0.45">
      <c r="B33">
        <f>C33/C1</f>
        <v>4.3750000000000005E-6</v>
      </c>
      <c r="C33" s="10">
        <v>2.1875000000000002E-3</v>
      </c>
    </row>
    <row r="34" spans="2:3" ht="28.5" x14ac:dyDescent="0.45">
      <c r="B34">
        <f>C34/C1</f>
        <v>1.5E-3</v>
      </c>
      <c r="C34" s="10">
        <v>0.75</v>
      </c>
    </row>
    <row r="35" spans="2:3" ht="28.5" x14ac:dyDescent="0.45">
      <c r="B35">
        <f>C35/C1</f>
        <v>1.375E-5</v>
      </c>
      <c r="C35" s="10">
        <v>6.875E-3</v>
      </c>
    </row>
    <row r="36" spans="2:3" ht="28.5" x14ac:dyDescent="0.45">
      <c r="B36">
        <f>C36/C1</f>
        <v>1.375E-5</v>
      </c>
      <c r="C36" s="24">
        <v>6.875E-3</v>
      </c>
    </row>
    <row r="37" spans="2:3" ht="28.5" x14ac:dyDescent="0.45">
      <c r="B37">
        <f>C37/C1</f>
        <v>0</v>
      </c>
      <c r="C37" s="24"/>
    </row>
    <row r="38" spans="2:3" ht="28.5" x14ac:dyDescent="0.45">
      <c r="B38">
        <f>C38/C1</f>
        <v>0</v>
      </c>
      <c r="C38" s="24"/>
    </row>
    <row r="39" spans="2:3" ht="28.5" x14ac:dyDescent="0.45">
      <c r="C39" s="24"/>
    </row>
    <row r="40" spans="2:3" ht="28.5" x14ac:dyDescent="0.45">
      <c r="C40" s="24"/>
    </row>
  </sheetData>
  <mergeCells count="19">
    <mergeCell ref="D26:F26"/>
    <mergeCell ref="D27:F27"/>
    <mergeCell ref="D12:F12"/>
    <mergeCell ref="D13:F13"/>
    <mergeCell ref="D14:F14"/>
    <mergeCell ref="D22:F22"/>
    <mergeCell ref="D23:F23"/>
    <mergeCell ref="D15:F15"/>
    <mergeCell ref="D18:F18"/>
    <mergeCell ref="D16:F16"/>
    <mergeCell ref="D17:F17"/>
    <mergeCell ref="D19:F19"/>
    <mergeCell ref="D20:F20"/>
    <mergeCell ref="D21:F21"/>
    <mergeCell ref="D3:F3"/>
    <mergeCell ref="D11:F11"/>
    <mergeCell ref="D2:F2"/>
    <mergeCell ref="D24:F24"/>
    <mergeCell ref="D25:F25"/>
  </mergeCells>
  <pageMargins left="0.7" right="0.7" top="0.75" bottom="0.75" header="0.3" footer="0.3"/>
  <pageSetup scale="57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cca795c-b702-4d9c-a00f-4ea8e3fb1866" xsi:nil="true"/>
    <lcf76f155ced4ddcb4097134ff3c332f xmlns="8be24d1f-f08e-46a7-9c6b-0452813a2a77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B5DB4063CA6254CA7AE1C6AB1A0E203" ma:contentTypeVersion="14" ma:contentTypeDescription="Create a new document." ma:contentTypeScope="" ma:versionID="aa6a2207218d003a33197d42270b06a6">
  <xsd:schema xmlns:xsd="http://www.w3.org/2001/XMLSchema" xmlns:xs="http://www.w3.org/2001/XMLSchema" xmlns:p="http://schemas.microsoft.com/office/2006/metadata/properties" xmlns:ns2="8be24d1f-f08e-46a7-9c6b-0452813a2a77" xmlns:ns3="1cca795c-b702-4d9c-a00f-4ea8e3fb1866" targetNamespace="http://schemas.microsoft.com/office/2006/metadata/properties" ma:root="true" ma:fieldsID="36946071ae238f9df883a13be9ca226d" ns2:_="" ns3:_="">
    <xsd:import namespace="8be24d1f-f08e-46a7-9c6b-0452813a2a77"/>
    <xsd:import namespace="1cca795c-b702-4d9c-a00f-4ea8e3fb18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e24d1f-f08e-46a7-9c6b-0452813a2a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5be1fd7-7535-4a18-99f7-c6c8bb01b25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ca795c-b702-4d9c-a00f-4ea8e3fb186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3a427014-70be-4e72-952d-11e5995fb69d}" ma:internalName="TaxCatchAll" ma:showField="CatchAllData" ma:web="1cca795c-b702-4d9c-a00f-4ea8e3fb18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6C680FC-FF55-4BD8-B1CC-88804121269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493FE55-03BF-4AF7-ADB4-BB37F11115EF}">
  <ds:schemaRefs>
    <ds:schemaRef ds:uri="http://schemas.microsoft.com/office/2006/metadata/properties"/>
    <ds:schemaRef ds:uri="http://schemas.microsoft.com/office/infopath/2007/PartnerControls"/>
    <ds:schemaRef ds:uri="374e9f3f-5602-4c64-9487-40f39f273410"/>
    <ds:schemaRef ds:uri="826e4ca9-683e-460e-9129-1a62b2e7bbb5"/>
  </ds:schemaRefs>
</ds:datastoreItem>
</file>

<file path=customXml/itemProps3.xml><?xml version="1.0" encoding="utf-8"?>
<ds:datastoreItem xmlns:ds="http://schemas.openxmlformats.org/officeDocument/2006/customXml" ds:itemID="{851DB6AD-3B9B-4FE3-9E2B-B84D1A3EA5A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2025-01-20T17:05:49Z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0x0101000B5DB4063CA6254CA7AE1C6AB1A0E203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