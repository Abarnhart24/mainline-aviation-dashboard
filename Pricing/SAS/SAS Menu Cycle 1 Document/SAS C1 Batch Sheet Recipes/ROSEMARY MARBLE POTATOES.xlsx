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optimum Recipes 1.20.25/"/>
    </mc:Choice>
  </mc:AlternateContent>
  <xr:revisionPtr revIDLastSave="11" documentId="8_{59C3C5FC-A54D-475D-9281-0BBBC69C6045}" xr6:coauthVersionLast="47" xr6:coauthVersionMax="47" xr10:uidLastSave="{8F11C136-A521-40F1-AB1B-307BE13AA0DB}"/>
  <bookViews>
    <workbookView xWindow="-105" yWindow="0" windowWidth="10455" windowHeight="10905" xr2:uid="{9D773142-25FF-402D-A059-87F5C56EFE7F}"/>
  </bookViews>
  <sheets>
    <sheet name="Templat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<sst xmlns="http://schemas.openxmlformats.org/spreadsheetml/2006/main" count="51" uniqueCount="33">
  <si>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</si>
  <si>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</si>
  <si>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</si>
  <si>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</si>
  <si>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</si>
  <si>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</si>
  <si>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</si>
  <si>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</si>
  <si>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</si>
  <si>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</si>
  <si>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</si>
  <si>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</si>
  <si>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</si>
  <si>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</si>
  <si>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</si>
  <si>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</si>
  <si>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</si>
  <si>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</si>
  <si>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</si>
  <si>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</si>
  <si>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</si>
  <si>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</si>
  <si>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</si>
  <si>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</si>
  <si>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</si>
  <si>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MARBLE POTATOES (RED &amp; YELLOW)</t>
  </si>
  <si>
    <t>D257</t>
  </si>
  <si>
    <t>OIL BLENDED 75%/25%</t>
  </si>
  <si>
    <t>D089</t>
  </si>
  <si>
    <t>SALT EVAPORATED</t>
  </si>
  <si>
    <t>C041</t>
  </si>
  <si>
    <t>HERB ROSEMARY</t>
  </si>
  <si>
    <t>ROSEMARY MARBLE POTATOES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</si>
</sst>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workbookViewId="0">
      <selection activeCell="C10" sqref="C10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32</v>
      </c>
      <c r="D2" s="5" t="s">
        <v>1</v>
      </c>
      <c r="E2" s="39"/>
      <c r="F2" s="3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5</v>
      </c>
      <c r="D4" s="9"/>
      <c r="F4" s="2" t="s">
        <v>22</v>
      </c>
      <c r="G4" s="25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0" t="s">
        <v>10</v>
      </c>
      <c r="I6" s="41"/>
      <c r="J6" s="11" t="s">
        <v>11</v>
      </c>
    </row>
    <row r="7" spans="1:10" x14ac:dyDescent="0.25">
      <c r="A7" s="1">
        <v>1</v>
      </c>
      <c r="B7" s="12"/>
      <c r="C7" s="12" t="s">
        <v>25</v>
      </c>
      <c r="D7" s="13">
        <v>420</v>
      </c>
      <c r="E7" s="13" t="s">
        <v>23</v>
      </c>
      <c r="F7" s="14">
        <f t="shared" ref="F7:F23" si="0">D7/D$24</f>
        <v>0.9470124013528749</v>
      </c>
      <c r="G7" s="15">
        <f>C4*F7</f>
        <v>4.7350620067643749</v>
      </c>
      <c r="H7" s="30"/>
      <c r="I7" s="31"/>
      <c r="J7" s="16"/>
    </row>
    <row r="8" spans="1:10" x14ac:dyDescent="0.25">
      <c r="A8" s="1">
        <v>2</v>
      </c>
      <c r="B8" s="12" t="s">
        <v>26</v>
      </c>
      <c r="C8" s="12" t="s">
        <v>27</v>
      </c>
      <c r="D8" s="13">
        <v>20</v>
      </c>
      <c r="E8" s="13" t="s">
        <v>23</v>
      </c>
      <c r="F8" s="14">
        <f t="shared" si="0"/>
        <v>4.5095828635851182E-2</v>
      </c>
      <c r="G8" s="15">
        <f>C4*F8</f>
        <v>0.22547914317925591</v>
      </c>
      <c r="H8" s="30"/>
      <c r="I8" s="31"/>
      <c r="J8" s="16"/>
    </row>
    <row r="9" spans="1:10" x14ac:dyDescent="0.25">
      <c r="A9" s="1">
        <v>3</v>
      </c>
      <c r="B9" s="12" t="s">
        <v>28</v>
      </c>
      <c r="C9" s="12" t="s">
        <v>29</v>
      </c>
      <c r="D9" s="13">
        <v>1.5</v>
      </c>
      <c r="E9" s="13" t="s">
        <v>23</v>
      </c>
      <c r="F9" s="14">
        <f t="shared" si="0"/>
        <v>3.3821871476888386E-3</v>
      </c>
      <c r="G9" s="15">
        <f>C4*F9</f>
        <v>1.6910935738444193E-2</v>
      </c>
      <c r="H9" s="30"/>
      <c r="I9" s="31"/>
      <c r="J9" s="16"/>
    </row>
    <row r="10" spans="1:10" x14ac:dyDescent="0.25">
      <c r="A10" s="1">
        <v>4</v>
      </c>
      <c r="B10" s="12" t="s">
        <v>30</v>
      </c>
      <c r="C10" s="12" t="s">
        <v>31</v>
      </c>
      <c r="D10" s="13">
        <v>2</v>
      </c>
      <c r="E10" s="13" t="s">
        <v>23</v>
      </c>
      <c r="F10" s="14">
        <f t="shared" si="0"/>
        <v>4.5095828635851182E-3</v>
      </c>
      <c r="G10" s="15">
        <f>C4*F10</f>
        <v>2.2547914317925591E-2</v>
      </c>
      <c r="H10" s="30"/>
      <c r="I10" s="31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30"/>
      <c r="I11" s="31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30"/>
      <c r="I12" s="31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30"/>
      <c r="I13" s="31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30"/>
      <c r="I14" s="31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30"/>
      <c r="I15" s="31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30"/>
      <c r="I16" s="31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30"/>
      <c r="I17" s="31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30"/>
      <c r="I18" s="31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30"/>
      <c r="I19" s="31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30"/>
      <c r="I20" s="31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30"/>
      <c r="I21" s="31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30"/>
      <c r="I22" s="31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30"/>
      <c r="I23" s="31"/>
      <c r="J23" s="16"/>
    </row>
    <row r="24" spans="1:10" x14ac:dyDescent="0.25">
      <c r="C24" s="17" t="s">
        <v>12</v>
      </c>
      <c r="D24" s="1">
        <f>SUM(D7:D23)</f>
        <v>443.5</v>
      </c>
      <c r="E24" s="1" t="s">
        <v>23</v>
      </c>
      <c r="F24" s="18">
        <f>SUM(F7:F23)</f>
        <v>1</v>
      </c>
      <c r="G24" s="26">
        <f>SUM(G7:G23)</f>
        <v>5.0000000000000009</v>
      </c>
      <c r="H24" s="19" t="s">
        <v>13</v>
      </c>
    </row>
    <row r="25" spans="1:10" x14ac:dyDescent="0.25">
      <c r="F25" s="25" t="s">
        <v>24</v>
      </c>
      <c r="G25" s="20" t="e">
        <f>-G24*G4+C4</f>
        <v>#VALUE!</v>
      </c>
    </row>
    <row r="26" spans="1:10" ht="15.75" x14ac:dyDescent="0.25">
      <c r="A26"/>
      <c r="B26" s="32" t="s">
        <v>14</v>
      </c>
      <c r="C26" s="32"/>
      <c r="D26" s="32"/>
      <c r="E26" s="32"/>
      <c r="F26" s="32"/>
      <c r="G26" s="32"/>
      <c r="H26" s="32"/>
      <c r="I26" s="32"/>
      <c r="J26" s="3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3"/>
      <c r="C28" s="34"/>
      <c r="D28" s="34"/>
      <c r="E28" s="34"/>
      <c r="F28" s="34"/>
      <c r="G28" s="34"/>
      <c r="H28" s="34"/>
      <c r="I28" s="34"/>
      <c r="J28" s="35"/>
    </row>
    <row r="29" spans="1:10" x14ac:dyDescent="0.25">
      <c r="A29" s="1">
        <v>2</v>
      </c>
      <c r="B29" s="33"/>
      <c r="C29" s="34"/>
      <c r="D29" s="34"/>
      <c r="E29" s="34"/>
      <c r="F29" s="34"/>
      <c r="G29" s="34"/>
      <c r="H29" s="34"/>
      <c r="I29" s="34"/>
      <c r="J29" s="35"/>
    </row>
    <row r="30" spans="1:10" x14ac:dyDescent="0.25">
      <c r="A30" s="1">
        <v>3</v>
      </c>
      <c r="B30" s="36"/>
      <c r="C30" s="37"/>
      <c r="D30" s="37"/>
      <c r="E30" s="37"/>
      <c r="F30" s="37"/>
      <c r="G30" s="37"/>
      <c r="H30" s="37"/>
      <c r="I30" s="37"/>
      <c r="J30" s="38"/>
    </row>
    <row r="31" spans="1:10" x14ac:dyDescent="0.25">
      <c r="A31" s="1">
        <v>4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x14ac:dyDescent="0.25">
      <c r="A32" s="1">
        <v>5</v>
      </c>
      <c r="B32" s="27"/>
      <c r="C32" s="27"/>
      <c r="D32" s="27"/>
      <c r="E32" s="27"/>
      <c r="F32" s="27"/>
      <c r="G32" s="27"/>
      <c r="H32" s="27"/>
      <c r="I32" s="27"/>
      <c r="J32" s="27"/>
    </row>
    <row r="33" spans="1:10" x14ac:dyDescent="0.25">
      <c r="A33" s="1">
        <v>6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25">
      <c r="A34" s="1">
        <v>7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x14ac:dyDescent="0.25">
      <c r="A35" s="1">
        <v>8</v>
      </c>
      <c r="B35" s="27"/>
      <c r="C35" s="27"/>
      <c r="D35" s="27"/>
      <c r="E35" s="27"/>
      <c r="F35" s="27"/>
      <c r="G35" s="27"/>
      <c r="H35" s="27"/>
      <c r="I35" s="27"/>
      <c r="J35" s="27"/>
    </row>
    <row r="36" spans="1:10" x14ac:dyDescent="0.25">
      <c r="A36" s="1">
        <v>9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x14ac:dyDescent="0.25">
      <c r="A37" s="1">
        <v>10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 x14ac:dyDescent="0.25">
      <c r="A38" s="1">
        <v>11</v>
      </c>
      <c r="B38" s="27"/>
      <c r="C38" s="27"/>
      <c r="D38" s="27"/>
      <c r="E38" s="27"/>
      <c r="F38" s="27"/>
      <c r="G38" s="27"/>
      <c r="H38" s="27"/>
      <c r="I38" s="27"/>
      <c r="J38" s="27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28" t="s">
        <v>17</v>
      </c>
      <c r="C43" s="28"/>
      <c r="E43" s="28" t="s">
        <v>18</v>
      </c>
      <c r="F43" s="28"/>
      <c r="H43" s="29" t="s">
        <v>19</v>
      </c>
      <c r="I43" s="29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2C0FDCB4-06F9-45D5-BCF6-8F7AFE26EF94}"/>
</file>

<file path=customXml/itemProps2.xml><?xml version="1.0" encoding="utf-8"?>
<ds:datastoreItem xmlns:ds="http://schemas.openxmlformats.org/officeDocument/2006/customXml" ds:itemID="{5C74DB27-9481-4DB5-B477-47F0F05D8F6A}"/>
</file>

<file path=customXml/itemProps3.xml><?xml version="1.0" encoding="utf-8"?>
<ds:datastoreItem xmlns:ds="http://schemas.openxmlformats.org/officeDocument/2006/customXml" ds:itemID="{FF4BF89B-082F-4FB6-851C-4627EDCC15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2023-08-17T15:10:54Z</dcterms:created>
  <dcterms:modified xsi:type="dcterms:W3CDTF">2025-01-22T21:10:24Z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