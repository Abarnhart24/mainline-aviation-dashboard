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goldberggroup-my.sharepoint.com/personal/chuynh_goldbergsgroup_com/Documents/Documents/optimum Recipes/"/>
    </mc:Choice>
  </mc:AlternateContent>
  <xr:revisionPtr revIDLastSave="5" documentId="8_{C62927B0-7975-4FE7-A4C2-E701DD3B5642}" xr6:coauthVersionLast="47" xr6:coauthVersionMax="47" xr10:uidLastSave="{DEA8C8F2-20AD-486A-BDDA-5410778862CE}"/>
  <bookViews>
    <workbookView xWindow="-120" yWindow="-120" windowWidth="20730" windowHeight="11040" xr2:uid="{95EFD82D-623E-440A-9439-1A555429D7DE}"/>
  </bookViews>
  <sheets>
    <sheet name="Grilled Zucchini Bias Cut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2" l="1"/>
  <c r="G7" i="2" s="1"/>
  <c r="F10" i="2"/>
  <c r="G10" i="2" s="1"/>
  <c r="F11" i="2"/>
  <c r="G11" i="2" s="1"/>
  <c r="F14" i="2"/>
  <c r="G14" i="2" s="1"/>
  <c r="F15" i="2"/>
  <c r="G15" i="2" s="1"/>
  <c r="F18" i="2"/>
  <c r="G18" i="2" s="1"/>
  <c r="F19" i="2"/>
  <c r="G19" i="2" s="1"/>
  <c r="D21" i="2"/>
  <c r="F8" i="2" s="1"/>
  <c r="G8" i="2" s="1"/>
  <c r="F17" i="2" l="1"/>
  <c r="G17" i="2" s="1"/>
  <c r="F13" i="2"/>
  <c r="G13" i="2" s="1"/>
  <c r="F9" i="2"/>
  <c r="G9" i="2" s="1"/>
  <c r="F20" i="2"/>
  <c r="G20" i="2" s="1"/>
  <c r="F16" i="2"/>
  <c r="G16" i="2" s="1"/>
  <c r="F12" i="2"/>
  <c r="G12" i="2" s="1"/>
  <c r="G21" i="2" s="1"/>
  <c r="G22" i="2" s="1"/>
  <c r="F21" i="2" l="1"/>
</calcChain>
</file>

<file path=xl/sharedStrings.xml><?xml version="1.0" encoding="utf-8"?>
<sst xmlns="http://schemas.openxmlformats.org/spreadsheetml/2006/main" count="50" uniqueCount="35">
  <si>
    <t>Formula Name:</t>
  </si>
  <si>
    <t>Grilled Zucchini Bias Cut</t>
  </si>
  <si>
    <t>R&amp;D ID Number:</t>
  </si>
  <si>
    <t>Version #:</t>
  </si>
  <si>
    <t>Batch Number:</t>
  </si>
  <si>
    <t>Desired QTY (lb):</t>
  </si>
  <si>
    <t>Yield Loss:</t>
  </si>
  <si>
    <t>Item Number</t>
  </si>
  <si>
    <t>Description</t>
  </si>
  <si>
    <t>Original Formula</t>
  </si>
  <si>
    <t>UOM</t>
  </si>
  <si>
    <t>%</t>
  </si>
  <si>
    <t>Desired (lb)</t>
  </si>
  <si>
    <t>Lot Code</t>
  </si>
  <si>
    <t>Notes</t>
  </si>
  <si>
    <t>lb</t>
  </si>
  <si>
    <t>D257</t>
  </si>
  <si>
    <t>OIL BLENDED 75%/25%</t>
  </si>
  <si>
    <t>D090</t>
  </si>
  <si>
    <t>SALT KOSHER</t>
  </si>
  <si>
    <t>Total Sample Formula Weight:</t>
  </si>
  <si>
    <t>Total Weight</t>
  </si>
  <si>
    <t>Weight After Yield Loss</t>
  </si>
  <si>
    <t>Procedure</t>
  </si>
  <si>
    <t>Batch Formula Instructions</t>
  </si>
  <si>
    <t xml:space="preserve">QA to sign off on Batch Sheet to make sure all measurements are correct. </t>
  </si>
  <si>
    <t>Toss with oil and salt.</t>
  </si>
  <si>
    <t>Chill to 70 degrees in 2 hours and to 41 degrees or lower in 4 or less hours.</t>
  </si>
  <si>
    <t xml:space="preserve">By signing this sheet the operator is confirming that all information recorded is accurate and that all steps and procedures have been followed as listed. </t>
  </si>
  <si>
    <t>Operator Signature</t>
  </si>
  <si>
    <t>Date</t>
  </si>
  <si>
    <t>Reviewed By</t>
  </si>
  <si>
    <t>BABY ZUCCHINI</t>
  </si>
  <si>
    <t>Slice zucchini in half</t>
  </si>
  <si>
    <t>Grill over high heat making clean clear marks on cut 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</si>
</sst>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0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0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2" fontId="0" fillId="3" borderId="0" xfId="0" applyNumberFormat="1" applyFill="1" applyAlignment="1">
      <alignment horizontal="center"/>
    </xf>
    <xf numFmtId="9" fontId="0" fillId="3" borderId="0" xfId="2" applyFont="1" applyFill="1" applyAlignment="1">
      <alignment horizontal="center"/>
    </xf>
    <xf numFmtId="0" fontId="0" fillId="4" borderId="0" xfId="0" applyFill="1"/>
    <xf numFmtId="2" fontId="0" fillId="4" borderId="0" xfId="0" applyNumberFormat="1" applyFill="1" applyAlignment="1">
      <alignment horizontal="center"/>
    </xf>
    <xf numFmtId="1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right"/>
    </xf>
    <xf numFmtId="0" fontId="0" fillId="0" borderId="3" xfId="0" applyBorder="1" applyProtection="1">
      <protection locked="0"/>
    </xf>
    <xf numFmtId="2" fontId="0" fillId="5" borderId="3" xfId="1" applyNumberFormat="1" applyFont="1" applyFill="1" applyBorder="1" applyAlignment="1">
      <alignment horizontal="center"/>
    </xf>
    <xf numFmtId="10" fontId="0" fillId="0" borderId="3" xfId="2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164" fontId="0" fillId="0" borderId="3" xfId="0" applyNumberForma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3" xfId="0" applyFont="1" applyBorder="1"/>
    <xf numFmtId="0" fontId="6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/>
    <xf numFmtId="9" fontId="0" fillId="6" borderId="0" xfId="2" applyFont="1" applyFill="1" applyAlignment="1">
      <alignment horizontal="center"/>
    </xf>
    <xf numFmtId="0" fontId="0" fillId="5" borderId="0" xfId="0" applyFill="1" applyAlignment="1" applyProtection="1">
      <alignment horizontal="center"/>
      <protection locked="0"/>
    </xf>
    <xf numFmtId="0" fontId="2" fillId="2" borderId="7" xfId="0" applyFont="1" applyFill="1" applyBorder="1" applyAlignment="1" applyProtection="1">
      <alignment horizontal="left"/>
      <protection locked="0"/>
    </xf>
    <xf numFmtId="0" fontId="2" fillId="2" borderId="8" xfId="0" applyFont="1" applyFill="1" applyBorder="1" applyAlignment="1">
      <alignment horizontal="left"/>
    </xf>
    <xf numFmtId="0" fontId="2" fillId="2" borderId="8" xfId="0" applyFon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2" fillId="2" borderId="8" xfId="0" applyFont="1" applyFill="1" applyBorder="1"/>
    <xf numFmtId="0" fontId="2" fillId="2" borderId="9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44" fontId="0" fillId="0" borderId="6" xfId="1" applyFont="1" applyBorder="1" applyAlignment="1" applyProtection="1">
      <alignment horizontal="center"/>
      <protection locked="0"/>
    </xf>
    <xf numFmtId="44" fontId="0" fillId="0" borderId="4" xfId="1" applyFont="1" applyBorder="1" applyAlignment="1" applyProtection="1">
      <alignment horizontal="center"/>
      <protection locked="0"/>
    </xf>
    <xf numFmtId="0" fontId="5" fillId="2" borderId="3" xfId="0" applyFont="1" applyFill="1" applyBorder="1" applyAlignment="1">
      <alignment horizontal="center"/>
    </xf>
    <xf numFmtId="0" fontId="3" fillId="0" borderId="3" xfId="0" applyFont="1" applyBorder="1"/>
    <xf numFmtId="0" fontId="3" fillId="0" borderId="3" xfId="0" applyFont="1" applyBorder="1" applyAlignment="1">
      <alignment wrapText="1"/>
    </xf>
    <xf numFmtId="0" fontId="0" fillId="2" borderId="8" xfId="0" applyFill="1" applyBorder="1" applyAlignment="1">
      <alignment horizontal="left"/>
    </xf>
    <xf numFmtId="0" fontId="2" fillId="0" borderId="6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4" fillId="0" borderId="6" xfId="0" applyFont="1" applyBorder="1"/>
    <xf numFmtId="0" fontId="4" fillId="0" borderId="5" xfId="0" applyFont="1" applyBorder="1"/>
    <xf numFmtId="0" fontId="4" fillId="0" borderId="4" xfId="0" applyFont="1" applyBorder="1"/>
    <xf numFmtId="0" fontId="3" fillId="0" borderId="6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4" xfId="0" applyFont="1" applyBorder="1" applyAlignment="1">
      <alignment horizontal="lef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8DE06-8547-409A-91D2-1BDD755A11CA}">
  <sheetPr>
    <pageSetUpPr fitToPage="1"/>
  </sheetPr>
  <dimension ref="A1:J35"/>
  <sheetViews>
    <sheetView tabSelected="1" topLeftCell="A17" zoomScale="120" zoomScaleNormal="120" workbookViewId="0">
      <selection activeCell="B27" sqref="B27:J27"/>
    </sheetView>
  </sheetViews>
  <sheetFormatPr defaultRowHeight="15" x14ac:dyDescent="0.25"/>
  <cols>
    <col min="1" max="1" width="3.5703125" style="2" customWidth="1"/>
    <col min="2" max="2" width="21.42578125" customWidth="1"/>
    <col min="3" max="3" width="38" customWidth="1"/>
    <col min="4" max="4" width="17.5703125" style="1" customWidth="1"/>
    <col min="5" max="5" width="6.5703125" style="1" customWidth="1"/>
    <col min="6" max="6" width="21.85546875" customWidth="1"/>
    <col min="7" max="7" width="12.5703125" style="1" customWidth="1"/>
    <col min="8" max="8" width="12.5703125" customWidth="1"/>
    <col min="9" max="9" width="5" customWidth="1"/>
    <col min="10" max="10" width="23.85546875" customWidth="1"/>
  </cols>
  <sheetData>
    <row r="1" spans="1:10" ht="15.75" thickBot="1" x14ac:dyDescent="0.3"/>
    <row r="2" spans="1:10" ht="15.75" thickBot="1" x14ac:dyDescent="0.3">
      <c r="B2" s="33" t="s">
        <v>0</v>
      </c>
      <c r="C2" s="31" t="s">
        <v>1</v>
      </c>
      <c r="D2" s="32" t="s">
        <v>2</v>
      </c>
      <c r="E2" s="41"/>
      <c r="F2" s="41"/>
      <c r="G2" s="31"/>
      <c r="H2" s="30" t="s">
        <v>3</v>
      </c>
      <c r="I2" s="29">
        <v>1</v>
      </c>
      <c r="J2" s="28" t="s">
        <v>4</v>
      </c>
    </row>
    <row r="3" spans="1:10" ht="5.25" customHeight="1" x14ac:dyDescent="0.25">
      <c r="B3" s="2"/>
      <c r="D3" s="25"/>
      <c r="F3" s="1"/>
      <c r="H3" s="2"/>
      <c r="I3" s="2"/>
      <c r="J3" s="1"/>
    </row>
    <row r="4" spans="1:10" x14ac:dyDescent="0.25">
      <c r="B4" s="1" t="s">
        <v>5</v>
      </c>
      <c r="C4" s="27">
        <v>10</v>
      </c>
      <c r="D4" s="25"/>
      <c r="F4" s="1" t="s">
        <v>6</v>
      </c>
      <c r="G4" s="26">
        <v>0.15</v>
      </c>
      <c r="I4" s="2"/>
      <c r="J4" s="1"/>
    </row>
    <row r="5" spans="1:10" ht="5.25" customHeight="1" x14ac:dyDescent="0.25">
      <c r="B5" s="2"/>
      <c r="D5" s="25"/>
      <c r="F5" s="1"/>
      <c r="H5" s="2"/>
      <c r="I5" s="2"/>
      <c r="J5" s="1"/>
    </row>
    <row r="6" spans="1:10" x14ac:dyDescent="0.25">
      <c r="B6" s="24" t="s">
        <v>7</v>
      </c>
      <c r="C6" s="24" t="s">
        <v>8</v>
      </c>
      <c r="D6" s="24" t="s">
        <v>9</v>
      </c>
      <c r="E6" s="24" t="s">
        <v>10</v>
      </c>
      <c r="F6" s="24" t="s">
        <v>11</v>
      </c>
      <c r="G6" s="24" t="s">
        <v>12</v>
      </c>
      <c r="H6" s="42" t="s">
        <v>13</v>
      </c>
      <c r="I6" s="43"/>
      <c r="J6" s="24" t="s">
        <v>14</v>
      </c>
    </row>
    <row r="7" spans="1:10" x14ac:dyDescent="0.25">
      <c r="A7" s="2">
        <v>1</v>
      </c>
      <c r="B7" s="22"/>
      <c r="C7" s="22" t="s">
        <v>32</v>
      </c>
      <c r="D7" s="21">
        <v>16</v>
      </c>
      <c r="E7" s="21" t="s">
        <v>15</v>
      </c>
      <c r="F7" s="17">
        <f t="shared" ref="F7:F20" si="0">D7/D$21</f>
        <v>0.94955489614243316</v>
      </c>
      <c r="G7" s="16">
        <f>$C$4*F7</f>
        <v>9.4955489614243316</v>
      </c>
      <c r="H7" s="36"/>
      <c r="I7" s="37"/>
      <c r="J7" s="15"/>
    </row>
    <row r="8" spans="1:10" x14ac:dyDescent="0.25">
      <c r="A8" s="2">
        <v>2</v>
      </c>
      <c r="B8" s="22" t="s">
        <v>16</v>
      </c>
      <c r="C8" s="22" t="s">
        <v>17</v>
      </c>
      <c r="D8" s="21">
        <v>0.75</v>
      </c>
      <c r="E8" s="21" t="s">
        <v>15</v>
      </c>
      <c r="F8" s="17">
        <f t="shared" si="0"/>
        <v>4.4510385756676554E-2</v>
      </c>
      <c r="G8" s="16">
        <f>C4*F8</f>
        <v>0.44510385756676552</v>
      </c>
      <c r="H8" s="36"/>
      <c r="I8" s="37"/>
      <c r="J8" s="15"/>
    </row>
    <row r="9" spans="1:10" x14ac:dyDescent="0.25">
      <c r="A9" s="2">
        <v>3</v>
      </c>
      <c r="B9" s="22" t="s">
        <v>18</v>
      </c>
      <c r="C9" s="22" t="s">
        <v>19</v>
      </c>
      <c r="D9" s="21">
        <v>0.1</v>
      </c>
      <c r="E9" s="21" t="s">
        <v>15</v>
      </c>
      <c r="F9" s="17">
        <f t="shared" si="0"/>
        <v>5.9347181008902079E-3</v>
      </c>
      <c r="G9" s="16">
        <f>C4*F9</f>
        <v>5.9347181008902079E-2</v>
      </c>
      <c r="H9" s="36"/>
      <c r="I9" s="37"/>
      <c r="J9" s="15"/>
    </row>
    <row r="10" spans="1:10" x14ac:dyDescent="0.25">
      <c r="A10" s="2">
        <v>4</v>
      </c>
      <c r="B10" s="22"/>
      <c r="C10" s="22"/>
      <c r="D10" s="23"/>
      <c r="E10" s="18" t="s">
        <v>15</v>
      </c>
      <c r="F10" s="17">
        <f t="shared" si="0"/>
        <v>0</v>
      </c>
      <c r="G10" s="16">
        <f>C4*F10</f>
        <v>0</v>
      </c>
      <c r="H10" s="36"/>
      <c r="I10" s="37"/>
      <c r="J10" s="15"/>
    </row>
    <row r="11" spans="1:10" x14ac:dyDescent="0.25">
      <c r="A11" s="2">
        <v>5</v>
      </c>
      <c r="B11" s="22"/>
      <c r="C11" s="22"/>
      <c r="D11" s="21"/>
      <c r="E11" s="18" t="s">
        <v>15</v>
      </c>
      <c r="F11" s="17">
        <f t="shared" si="0"/>
        <v>0</v>
      </c>
      <c r="G11" s="16">
        <f>C4*F11</f>
        <v>0</v>
      </c>
      <c r="H11" s="36"/>
      <c r="I11" s="37"/>
      <c r="J11" s="15"/>
    </row>
    <row r="12" spans="1:10" x14ac:dyDescent="0.25">
      <c r="A12" s="2">
        <v>6</v>
      </c>
      <c r="B12" s="22"/>
      <c r="C12" s="22"/>
      <c r="D12" s="21"/>
      <c r="E12" s="18" t="s">
        <v>15</v>
      </c>
      <c r="F12" s="17">
        <f t="shared" si="0"/>
        <v>0</v>
      </c>
      <c r="G12" s="16">
        <f>C4*F12</f>
        <v>0</v>
      </c>
      <c r="H12" s="36"/>
      <c r="I12" s="37"/>
      <c r="J12" s="15"/>
    </row>
    <row r="13" spans="1:10" x14ac:dyDescent="0.25">
      <c r="A13" s="2">
        <v>7</v>
      </c>
      <c r="B13" s="19"/>
      <c r="C13" s="19"/>
      <c r="D13" s="18"/>
      <c r="E13" s="18" t="s">
        <v>15</v>
      </c>
      <c r="F13" s="17">
        <f t="shared" si="0"/>
        <v>0</v>
      </c>
      <c r="G13" s="16">
        <f>C4*F13</f>
        <v>0</v>
      </c>
      <c r="H13" s="36"/>
      <c r="I13" s="37"/>
      <c r="J13" s="15"/>
    </row>
    <row r="14" spans="1:10" x14ac:dyDescent="0.25">
      <c r="A14" s="2">
        <v>8</v>
      </c>
      <c r="B14" s="19"/>
      <c r="C14" s="19"/>
      <c r="D14" s="20"/>
      <c r="E14" s="18" t="s">
        <v>15</v>
      </c>
      <c r="F14" s="17">
        <f t="shared" si="0"/>
        <v>0</v>
      </c>
      <c r="G14" s="16">
        <f>C4*F14</f>
        <v>0</v>
      </c>
      <c r="H14" s="36"/>
      <c r="I14" s="37"/>
      <c r="J14" s="15"/>
    </row>
    <row r="15" spans="1:10" x14ac:dyDescent="0.25">
      <c r="A15" s="2">
        <v>9</v>
      </c>
      <c r="B15" s="19"/>
      <c r="C15" s="19"/>
      <c r="D15" s="20"/>
      <c r="E15" s="18" t="s">
        <v>15</v>
      </c>
      <c r="F15" s="17">
        <f t="shared" si="0"/>
        <v>0</v>
      </c>
      <c r="G15" s="16">
        <f>C4*F15</f>
        <v>0</v>
      </c>
      <c r="H15" s="36"/>
      <c r="I15" s="37"/>
      <c r="J15" s="15"/>
    </row>
    <row r="16" spans="1:10" x14ac:dyDescent="0.25">
      <c r="A16" s="2">
        <v>10</v>
      </c>
      <c r="B16" s="19"/>
      <c r="C16" s="19"/>
      <c r="D16" s="20"/>
      <c r="E16" s="18" t="s">
        <v>15</v>
      </c>
      <c r="F16" s="17">
        <f t="shared" si="0"/>
        <v>0</v>
      </c>
      <c r="G16" s="16">
        <f>C4*F16</f>
        <v>0</v>
      </c>
      <c r="H16" s="36"/>
      <c r="I16" s="37"/>
      <c r="J16" s="15"/>
    </row>
    <row r="17" spans="1:10" x14ac:dyDescent="0.25">
      <c r="A17" s="2">
        <v>11</v>
      </c>
      <c r="B17" s="19"/>
      <c r="C17" s="19"/>
      <c r="D17" s="20"/>
      <c r="E17" s="18" t="s">
        <v>15</v>
      </c>
      <c r="F17" s="17">
        <f t="shared" si="0"/>
        <v>0</v>
      </c>
      <c r="G17" s="16">
        <f>C4*F17</f>
        <v>0</v>
      </c>
      <c r="H17" s="36"/>
      <c r="I17" s="37"/>
      <c r="J17" s="15"/>
    </row>
    <row r="18" spans="1:10" x14ac:dyDescent="0.25">
      <c r="A18" s="2">
        <v>12</v>
      </c>
      <c r="B18" s="19"/>
      <c r="C18" s="19"/>
      <c r="D18" s="18"/>
      <c r="E18" s="18" t="s">
        <v>15</v>
      </c>
      <c r="F18" s="17">
        <f t="shared" si="0"/>
        <v>0</v>
      </c>
      <c r="G18" s="16">
        <f>C4*F18</f>
        <v>0</v>
      </c>
      <c r="H18" s="36"/>
      <c r="I18" s="37"/>
      <c r="J18" s="15"/>
    </row>
    <row r="19" spans="1:10" x14ac:dyDescent="0.25">
      <c r="A19" s="2">
        <v>13</v>
      </c>
      <c r="B19" s="19"/>
      <c r="C19" s="19"/>
      <c r="D19" s="18"/>
      <c r="E19" s="18" t="s">
        <v>15</v>
      </c>
      <c r="F19" s="17">
        <f t="shared" si="0"/>
        <v>0</v>
      </c>
      <c r="G19" s="16">
        <f>C4*F19</f>
        <v>0</v>
      </c>
      <c r="H19" s="36"/>
      <c r="I19" s="37"/>
      <c r="J19" s="15"/>
    </row>
    <row r="20" spans="1:10" x14ac:dyDescent="0.25">
      <c r="A20" s="2">
        <v>14</v>
      </c>
      <c r="B20" s="19"/>
      <c r="C20" s="19"/>
      <c r="D20" s="18"/>
      <c r="E20" s="18" t="s">
        <v>15</v>
      </c>
      <c r="F20" s="17">
        <f t="shared" si="0"/>
        <v>0</v>
      </c>
      <c r="G20" s="16">
        <f>C4*F20</f>
        <v>0</v>
      </c>
      <c r="H20" s="36"/>
      <c r="I20" s="37"/>
      <c r="J20" s="15"/>
    </row>
    <row r="21" spans="1:10" x14ac:dyDescent="0.25">
      <c r="A21" s="2">
        <v>15</v>
      </c>
      <c r="C21" s="14" t="s">
        <v>20</v>
      </c>
      <c r="D21" s="2">
        <f>SUM(D7:D20)</f>
        <v>16.850000000000001</v>
      </c>
      <c r="E21" s="2" t="s">
        <v>15</v>
      </c>
      <c r="F21" s="13">
        <f>SUM(F7:F20)</f>
        <v>0.99999999999999989</v>
      </c>
      <c r="G21" s="12">
        <f>SUM(G7:G20)</f>
        <v>10</v>
      </c>
      <c r="H21" s="11" t="s">
        <v>21</v>
      </c>
    </row>
    <row r="22" spans="1:10" x14ac:dyDescent="0.25">
      <c r="A22" s="2">
        <v>16</v>
      </c>
      <c r="F22" s="10" t="s">
        <v>22</v>
      </c>
      <c r="G22" s="9">
        <f>-G21*G4+C4</f>
        <v>8.5</v>
      </c>
    </row>
    <row r="23" spans="1:10" ht="15.75" x14ac:dyDescent="0.25">
      <c r="A23" s="2">
        <v>17</v>
      </c>
      <c r="B23" s="38" t="s">
        <v>23</v>
      </c>
      <c r="C23" s="38"/>
      <c r="D23" s="38"/>
      <c r="E23" s="38"/>
      <c r="F23" s="38"/>
      <c r="G23" s="38"/>
      <c r="H23" s="38"/>
      <c r="I23" s="38"/>
      <c r="J23" s="38"/>
    </row>
    <row r="24" spans="1:10" ht="15.75" x14ac:dyDescent="0.25">
      <c r="B24" s="8" t="s">
        <v>24</v>
      </c>
      <c r="C24" s="7"/>
      <c r="D24" s="7"/>
      <c r="E24" s="7"/>
      <c r="F24" s="7"/>
      <c r="G24" s="7"/>
      <c r="H24" s="7"/>
      <c r="I24" s="7"/>
      <c r="J24" s="7"/>
    </row>
    <row r="25" spans="1:10" ht="18.75" x14ac:dyDescent="0.3">
      <c r="A25" s="2">
        <v>1</v>
      </c>
      <c r="B25" s="39" t="s">
        <v>25</v>
      </c>
      <c r="C25" s="39"/>
      <c r="D25" s="39"/>
      <c r="E25" s="39"/>
      <c r="F25" s="39"/>
      <c r="G25" s="39"/>
      <c r="H25" s="39"/>
      <c r="I25" s="39"/>
      <c r="J25" s="39"/>
    </row>
    <row r="26" spans="1:10" ht="18.75" x14ac:dyDescent="0.3">
      <c r="A26" s="2">
        <v>2</v>
      </c>
      <c r="B26" s="40" t="s">
        <v>33</v>
      </c>
      <c r="C26" s="39"/>
      <c r="D26" s="39"/>
      <c r="E26" s="39"/>
      <c r="F26" s="39"/>
      <c r="G26" s="39"/>
      <c r="H26" s="39"/>
      <c r="I26" s="39"/>
      <c r="J26" s="39"/>
    </row>
    <row r="27" spans="1:10" ht="18.75" x14ac:dyDescent="0.3">
      <c r="A27" s="2">
        <v>3</v>
      </c>
      <c r="B27" s="44" t="s">
        <v>26</v>
      </c>
      <c r="C27" s="45"/>
      <c r="D27" s="45"/>
      <c r="E27" s="45"/>
      <c r="F27" s="45"/>
      <c r="G27" s="45"/>
      <c r="H27" s="45"/>
      <c r="I27" s="45"/>
      <c r="J27" s="46"/>
    </row>
    <row r="28" spans="1:10" ht="18.75" x14ac:dyDescent="0.3">
      <c r="A28" s="2">
        <v>4</v>
      </c>
      <c r="B28" s="47" t="s">
        <v>34</v>
      </c>
      <c r="C28" s="48"/>
      <c r="D28" s="48"/>
      <c r="E28" s="48"/>
      <c r="F28" s="48"/>
      <c r="G28" s="48"/>
      <c r="H28" s="48"/>
      <c r="I28" s="48"/>
      <c r="J28" s="49"/>
    </row>
    <row r="29" spans="1:10" ht="18.75" x14ac:dyDescent="0.3">
      <c r="A29" s="2">
        <v>5</v>
      </c>
      <c r="B29" s="39" t="s">
        <v>27</v>
      </c>
      <c r="C29" s="39"/>
      <c r="D29" s="39"/>
      <c r="E29" s="39"/>
      <c r="F29" s="39"/>
      <c r="G29" s="39"/>
      <c r="H29" s="39"/>
      <c r="I29" s="39"/>
      <c r="J29" s="39"/>
    </row>
    <row r="30" spans="1:10" ht="18.75" x14ac:dyDescent="0.3">
      <c r="A30" s="2">
        <v>6</v>
      </c>
      <c r="B30" s="39"/>
      <c r="C30" s="39"/>
      <c r="D30" s="39"/>
      <c r="E30" s="39"/>
      <c r="F30" s="39"/>
      <c r="G30" s="39"/>
      <c r="H30" s="39"/>
      <c r="I30" s="39"/>
      <c r="J30" s="39"/>
    </row>
    <row r="31" spans="1:10" x14ac:dyDescent="0.25">
      <c r="A31" s="2">
        <v>7</v>
      </c>
    </row>
    <row r="32" spans="1:10" x14ac:dyDescent="0.25">
      <c r="A32" s="2">
        <v>8</v>
      </c>
      <c r="B32" t="s">
        <v>28</v>
      </c>
    </row>
    <row r="33" spans="1:10" x14ac:dyDescent="0.25">
      <c r="A33" s="2">
        <v>9</v>
      </c>
    </row>
    <row r="34" spans="1:10" x14ac:dyDescent="0.25">
      <c r="A34" s="2">
        <v>10</v>
      </c>
      <c r="B34" s="5"/>
      <c r="C34" s="5"/>
      <c r="D34" s="6"/>
      <c r="E34" s="6"/>
      <c r="F34" s="5"/>
      <c r="G34" s="6"/>
      <c r="H34" s="5"/>
      <c r="I34" s="5"/>
      <c r="J34" s="5"/>
    </row>
    <row r="35" spans="1:10" x14ac:dyDescent="0.25">
      <c r="A35" s="2">
        <v>11</v>
      </c>
      <c r="B35" s="34" t="s">
        <v>29</v>
      </c>
      <c r="C35" s="34"/>
      <c r="E35" s="34" t="s">
        <v>30</v>
      </c>
      <c r="F35" s="34"/>
      <c r="G35" s="35" t="s">
        <v>31</v>
      </c>
      <c r="H35" s="35"/>
      <c r="I35" s="4"/>
      <c r="J35" s="3" t="s">
        <v>30</v>
      </c>
    </row>
  </sheetData>
  <mergeCells count="26">
    <mergeCell ref="H10:I10"/>
    <mergeCell ref="H11:I11"/>
    <mergeCell ref="H12:I12"/>
    <mergeCell ref="H13:I13"/>
    <mergeCell ref="H14:I14"/>
    <mergeCell ref="H15:I15"/>
    <mergeCell ref="B27:J27"/>
    <mergeCell ref="B28:J28"/>
    <mergeCell ref="B29:J29"/>
    <mergeCell ref="B30:J30"/>
    <mergeCell ref="H16:I16"/>
    <mergeCell ref="E2:F2"/>
    <mergeCell ref="H6:I6"/>
    <mergeCell ref="H7:I7"/>
    <mergeCell ref="H8:I8"/>
    <mergeCell ref="H9:I9"/>
    <mergeCell ref="B35:C35"/>
    <mergeCell ref="E35:F35"/>
    <mergeCell ref="G35:H35"/>
    <mergeCell ref="H17:I17"/>
    <mergeCell ref="H18:I18"/>
    <mergeCell ref="H19:I19"/>
    <mergeCell ref="H20:I20"/>
    <mergeCell ref="B23:J23"/>
    <mergeCell ref="B25:J25"/>
    <mergeCell ref="B26:J26"/>
  </mergeCells>
  <pageMargins left="0.7" right="0.7" top="0.75" bottom="0.75" header="0.3" footer="0.3"/>
  <pageSetup scale="66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0CDE7020FBE4F987D5680CBA97CD3" ma:contentTypeVersion="10" ma:contentTypeDescription="Create a new document." ma:contentTypeScope="" ma:versionID="4fbed0173a2ebcc74ba7d005722587c6">
  <xsd:schema xmlns:xsd="http://www.w3.org/2001/XMLSchema" xmlns:xs="http://www.w3.org/2001/XMLSchema" xmlns:p="http://schemas.microsoft.com/office/2006/metadata/properties" xmlns:ns2="042478ca-ca2d-4d01-83eb-90396d5625e9" xmlns:ns3="70b03f2f-74c7-4926-a36d-d4bdb9e02d45" targetNamespace="http://schemas.microsoft.com/office/2006/metadata/properties" ma:root="true" ma:fieldsID="1e47617018f8bf8a4d157a39e72236d1" ns2:_="" ns3:_="">
    <xsd:import namespace="042478ca-ca2d-4d01-83eb-90396d5625e9"/>
    <xsd:import namespace="70b03f2f-74c7-4926-a36d-d4bdb9e02d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EventHashCode" minOccurs="0"/>
                <xsd:element ref="ns2:MediaServiceOCR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478ca-ca2d-4d01-83eb-90396d5625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03f2f-74c7-4926-a36d-d4bdb9e02d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d25fd-8387-47a0-a3a2-f48b21d35c24}" ma:internalName="TaxCatchAll" ma:showField="CatchAllData" ma:web="70b03f2f-74c7-4926-a36d-d4bdb9e02d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42478ca-ca2d-4d01-83eb-90396d5625e9">
      <Terms xmlns="http://schemas.microsoft.com/office/infopath/2007/PartnerControls"/>
    </lcf76f155ced4ddcb4097134ff3c332f>
    <TaxCatchAll xmlns="70b03f2f-74c7-4926-a36d-d4bdb9e02d45" xsi:nil="true"/>
  </documentManagement>
</p:properties>
</file>

<file path=customXml/itemProps1.xml><?xml version="1.0" encoding="utf-8"?>
<ds:datastoreItem xmlns:ds="http://schemas.openxmlformats.org/officeDocument/2006/customXml" ds:itemID="{79419B28-048F-4283-80E7-87CF54AF7341}"/>
</file>

<file path=customXml/itemProps2.xml><?xml version="1.0" encoding="utf-8"?>
<ds:datastoreItem xmlns:ds="http://schemas.openxmlformats.org/officeDocument/2006/customXml" ds:itemID="{ABE25F84-F00D-4FA5-8CE6-6ADB4E7675A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F34F1E3-6141-42C7-9890-6945352643F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Grilled Zucchini Bias Cut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Alan Chandonia</dc:creator>
  <cp:keywords/>
  <dc:description/>
  <cp:lastModifiedBy>Christian Huynh</cp:lastModifiedBy>
  <cp:revision/>
  <dcterms:created xsi:type="dcterms:W3CDTF">2024-11-26T17:20:38Z</dcterms:created>
  <dcterms:modified xsi:type="dcterms:W3CDTF">2025-01-20T16:08:18Z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0x0101000560CDE7020FBE4F987D5680CBA97CD3</vt:lpwstr>
  </property>
</Properties>
</file>