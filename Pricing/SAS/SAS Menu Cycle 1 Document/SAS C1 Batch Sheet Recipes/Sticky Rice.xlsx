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1" documentId="13_ncr:1_{1F0BED9F-471D-4F2E-B0EB-C5549BB758A5}" xr6:coauthVersionLast="47" xr6:coauthVersionMax="47" xr10:uidLastSave="{3318157C-7B9D-40BE-B7F2-EB3C7BC44A10}"/>
  <bookViews>
    <workbookView xWindow="1950" yWindow="750" windowWidth="10290" windowHeight="10770" xr2:uid="{00000000-000D-0000-FFFF-FFFF00000000}"/>
  </bookViews>
  <sheets>
    <sheet name="Tawara Rice 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F8" i="11" l="1"/>
  <c r="G8" i="11" s="1"/>
  <c r="F7" i="11"/>
  <c r="G7" i="11" s="1"/>
  <c r="F9" i="11"/>
  <c r="G9" i="11" s="1"/>
  <c r="F10" i="11" l="1"/>
  <c r="G10" i="11"/>
  <c r="G11" i="11" s="1"/>
</calcChain>
</file>

<file path=xl/sharedStrings.xml><?xml version="1.0" encoding="utf-8"?>
<sst xmlns="http://schemas.openxmlformats.org/spreadsheetml/2006/main" count="40" uniqueCount="37">
  <si>
    <t>Formula Name:</t>
  </si>
  <si>
    <t>R&amp;D ID Number:</t>
  </si>
  <si>
    <t>Version #:</t>
  </si>
  <si>
    <t>Batch Number:</t>
  </si>
  <si>
    <t>Yield Loss: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</si>
  <si>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</si>
  <si>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</si>
  <si>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</si>
  <si>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</si>
  <si>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</si>
  <si>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</si>
  <si>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</si>
  <si>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</si>
  <si>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</si>
  <si>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</si>
  <si>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</si>
  <si>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</si>
  <si>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</si>
  <si>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</si>
  <si>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</si>
  <si>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</si>
  <si>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</si>
  <si>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</si>
  <si>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</si>
  <si>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lb</t>
  </si>
  <si>
    <t>Water</t>
  </si>
  <si>
    <t xml:space="preserve">Japanese Short Grain Rice </t>
  </si>
  <si>
    <t xml:space="preserve">Yamasho - Tamaki Gold </t>
  </si>
  <si>
    <t xml:space="preserve">QA to sign off on Batch Sheet to make sure all measurements are correct. </t>
  </si>
  <si>
    <t xml:space="preserve">Place back on the scale and fill with remaining water to equal the total amount needed for the recipe. </t>
  </si>
  <si>
    <t xml:space="preserve">Tun on rice cooker. Once cooked, fluff rice and let sit for 10 minutes. </t>
  </si>
  <si>
    <t xml:space="preserve">Remove from cooker and lay out on sheet pans to cool. </t>
  </si>
  <si>
    <t>Chill to 70 degrees in 2 hours and to 41 degrees or lower in 4 or less hours.</t>
  </si>
  <si>
    <t xml:space="preserve">Label and pack into bags, making sure it is kept at 41 degrees or less. </t>
  </si>
  <si>
    <t xml:space="preserve">Place rice cooker on scale and weigh out rice. Tare scale to keep original weight of cooker and rice. </t>
  </si>
  <si>
    <t xml:space="preserve">Take to the sink and rinse rice thoroughly, until water runs clear. </t>
  </si>
  <si>
    <t>Sticky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</si>
</sst>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 applyAlignment="1" applyProtection="1">
      <alignment horizontal="center"/>
      <protection locked="0"/>
    </xf>
    <xf numFmtId="9" fontId="4" fillId="3" borderId="0" xfId="1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2" fontId="4" fillId="5" borderId="1" xfId="2" applyNumberFormat="1" applyFont="1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9" fontId="6" fillId="4" borderId="0" xfId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4" fontId="4" fillId="0" borderId="2" xfId="2" applyFont="1" applyBorder="1" applyAlignment="1" applyProtection="1">
      <alignment horizontal="center"/>
      <protection locked="0"/>
    </xf>
    <xf numFmtId="44" fontId="4" fillId="0" borderId="3" xfId="2" applyFont="1" applyBorder="1" applyAlignment="1" applyProtection="1">
      <alignment horizontal="center"/>
      <protection locked="0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047A-0653-44B9-A7FC-08C2070C7410}">
  <sheetPr>
    <pageSetUpPr fitToPage="1"/>
  </sheetPr>
  <dimension ref="A1:J26"/>
  <sheetViews>
    <sheetView tabSelected="1" zoomScaleNormal="100" workbookViewId="0">
      <selection activeCell="C7" sqref="C7"/>
    </sheetView>
  </sheetViews>
  <sheetFormatPr defaultRowHeight="15" x14ac:dyDescent="0.25"/>
  <cols>
    <col min="1" max="1" width="3.5703125" style="2" customWidth="1"/>
    <col min="2" max="2" width="21.42578125" customWidth="1"/>
    <col min="3" max="3" width="39.28515625" customWidth="1"/>
    <col min="4" max="4" width="20.85546875" style="1" customWidth="1"/>
    <col min="5" max="5" width="6.5703125" style="1" customWidth="1"/>
    <col min="6" max="6" width="21.85546875" customWidth="1"/>
    <col min="7" max="7" width="12.5703125" style="1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9.5" thickBot="1" x14ac:dyDescent="0.35">
      <c r="B2" s="5" t="s">
        <v>0</v>
      </c>
      <c r="C2" s="6" t="s">
        <v>36</v>
      </c>
      <c r="D2" s="7" t="s">
        <v>1</v>
      </c>
      <c r="E2" s="33"/>
      <c r="F2" s="33"/>
      <c r="G2" s="6"/>
      <c r="H2" s="8" t="s">
        <v>2</v>
      </c>
      <c r="I2" s="9"/>
      <c r="J2" s="10" t="s">
        <v>3</v>
      </c>
    </row>
    <row r="3" spans="1:10" ht="5.25" customHeight="1" x14ac:dyDescent="0.3">
      <c r="B3" s="11"/>
      <c r="C3" s="12"/>
      <c r="D3" s="13"/>
      <c r="E3" s="14"/>
      <c r="F3" s="14"/>
      <c r="G3" s="14"/>
      <c r="H3" s="11"/>
      <c r="I3" s="11"/>
      <c r="J3" s="14"/>
    </row>
    <row r="4" spans="1:10" ht="18.75" x14ac:dyDescent="0.3">
      <c r="B4" s="14" t="s">
        <v>23</v>
      </c>
      <c r="C4" s="15">
        <v>50</v>
      </c>
      <c r="D4" s="13"/>
      <c r="E4" s="14"/>
      <c r="F4" s="14" t="s">
        <v>4</v>
      </c>
      <c r="G4" s="16">
        <v>0.06</v>
      </c>
      <c r="H4" s="12"/>
      <c r="I4" s="11"/>
      <c r="J4" s="14"/>
    </row>
    <row r="5" spans="1:10" ht="5.25" customHeight="1" x14ac:dyDescent="0.3">
      <c r="B5" s="11"/>
      <c r="C5" s="12"/>
      <c r="D5" s="13"/>
      <c r="E5" s="14"/>
      <c r="F5" s="14"/>
      <c r="G5" s="14"/>
      <c r="H5" s="11"/>
      <c r="I5" s="11"/>
      <c r="J5" s="14"/>
    </row>
    <row r="6" spans="1:10" ht="15.75" x14ac:dyDescent="0.25">
      <c r="B6" s="27" t="s">
        <v>5</v>
      </c>
      <c r="C6" s="27" t="s">
        <v>6</v>
      </c>
      <c r="D6" s="27" t="s">
        <v>7</v>
      </c>
      <c r="E6" s="27" t="s">
        <v>8</v>
      </c>
      <c r="F6" s="27" t="s">
        <v>9</v>
      </c>
      <c r="G6" s="27" t="s">
        <v>10</v>
      </c>
      <c r="H6" s="34" t="s">
        <v>11</v>
      </c>
      <c r="I6" s="35"/>
      <c r="J6" s="27" t="s">
        <v>12</v>
      </c>
    </row>
    <row r="7" spans="1:10" ht="18.75" x14ac:dyDescent="0.3">
      <c r="A7" s="2">
        <v>1</v>
      </c>
      <c r="B7" s="17"/>
      <c r="C7" s="17" t="s">
        <v>26</v>
      </c>
      <c r="D7" s="18">
        <v>15</v>
      </c>
      <c r="E7" s="18" t="s">
        <v>24</v>
      </c>
      <c r="F7" s="19">
        <f>D7/D$10</f>
        <v>0.46554934823091249</v>
      </c>
      <c r="G7" s="20">
        <f>C4*F7</f>
        <v>23.277467411545626</v>
      </c>
      <c r="H7" s="36"/>
      <c r="I7" s="37"/>
      <c r="J7" s="21" t="s">
        <v>27</v>
      </c>
    </row>
    <row r="8" spans="1:10" ht="18.75" x14ac:dyDescent="0.3">
      <c r="A8" s="2">
        <v>2</v>
      </c>
      <c r="B8" s="17"/>
      <c r="C8" s="17" t="s">
        <v>25</v>
      </c>
      <c r="D8" s="18">
        <v>17.22</v>
      </c>
      <c r="E8" s="18" t="s">
        <v>24</v>
      </c>
      <c r="F8" s="19">
        <f>D8/D$10</f>
        <v>0.53445065176908746</v>
      </c>
      <c r="G8" s="20">
        <f>C4*F8</f>
        <v>26.722532588454374</v>
      </c>
      <c r="H8" s="36"/>
      <c r="I8" s="37"/>
      <c r="J8" s="21"/>
    </row>
    <row r="9" spans="1:10" ht="18.75" x14ac:dyDescent="0.3">
      <c r="A9" s="2">
        <v>3</v>
      </c>
      <c r="B9" s="17"/>
      <c r="C9" s="17"/>
      <c r="D9" s="18"/>
      <c r="E9" s="18" t="s">
        <v>24</v>
      </c>
      <c r="F9" s="19">
        <f>D9/D$10</f>
        <v>0</v>
      </c>
      <c r="G9" s="20">
        <f>C4*F9</f>
        <v>0</v>
      </c>
      <c r="H9" s="36"/>
      <c r="I9" s="37"/>
      <c r="J9" s="21"/>
    </row>
    <row r="10" spans="1:10" ht="18.75" x14ac:dyDescent="0.3">
      <c r="B10" s="12"/>
      <c r="C10" s="22" t="s">
        <v>13</v>
      </c>
      <c r="D10" s="11">
        <f>SUM(D7:D9)</f>
        <v>32.22</v>
      </c>
      <c r="E10" s="11" t="s">
        <v>24</v>
      </c>
      <c r="F10" s="23">
        <f>SUM(F7:F9)</f>
        <v>1</v>
      </c>
      <c r="G10" s="26">
        <f>SUM(G7:G9)</f>
        <v>50</v>
      </c>
      <c r="H10" s="12" t="s">
        <v>14</v>
      </c>
      <c r="I10" s="12"/>
      <c r="J10" s="12"/>
    </row>
    <row r="11" spans="1:10" ht="18.75" x14ac:dyDescent="0.3">
      <c r="B11" s="12"/>
      <c r="C11" s="12"/>
      <c r="D11" s="14"/>
      <c r="E11" s="14"/>
      <c r="F11" s="28" t="s">
        <v>15</v>
      </c>
      <c r="G11" s="24">
        <f>-G10*G4+C4</f>
        <v>47</v>
      </c>
      <c r="H11" s="12"/>
      <c r="I11" s="12"/>
      <c r="J11" s="12"/>
    </row>
    <row r="12" spans="1:10" ht="18.75" x14ac:dyDescent="0.3">
      <c r="A12"/>
      <c r="B12" s="29" t="s">
        <v>16</v>
      </c>
      <c r="C12" s="29"/>
      <c r="D12" s="29"/>
      <c r="E12" s="29"/>
      <c r="F12" s="29"/>
      <c r="G12" s="29"/>
      <c r="H12" s="29"/>
      <c r="I12" s="29"/>
      <c r="J12" s="29"/>
    </row>
    <row r="13" spans="1:10" ht="18.75" x14ac:dyDescent="0.3">
      <c r="A13"/>
      <c r="B13" s="25" t="s">
        <v>17</v>
      </c>
      <c r="C13" s="11"/>
      <c r="D13" s="11"/>
      <c r="E13" s="11"/>
      <c r="F13" s="11"/>
      <c r="G13" s="11"/>
      <c r="H13" s="11"/>
      <c r="I13" s="11"/>
      <c r="J13" s="11"/>
    </row>
    <row r="14" spans="1:10" ht="18.75" x14ac:dyDescent="0.3">
      <c r="A14" s="2">
        <v>1</v>
      </c>
      <c r="B14" s="30" t="s">
        <v>28</v>
      </c>
      <c r="C14" s="30"/>
      <c r="D14" s="30"/>
      <c r="E14" s="30"/>
      <c r="F14" s="30"/>
      <c r="G14" s="30"/>
      <c r="H14" s="30"/>
      <c r="I14" s="30"/>
      <c r="J14" s="30"/>
    </row>
    <row r="15" spans="1:10" ht="18.75" x14ac:dyDescent="0.3">
      <c r="A15" s="2">
        <v>2</v>
      </c>
      <c r="B15" s="30" t="s">
        <v>34</v>
      </c>
      <c r="C15" s="30"/>
      <c r="D15" s="30"/>
      <c r="E15" s="30"/>
      <c r="F15" s="30"/>
      <c r="G15" s="30"/>
      <c r="H15" s="30"/>
      <c r="I15" s="30"/>
      <c r="J15" s="30"/>
    </row>
    <row r="16" spans="1:10" ht="18.75" x14ac:dyDescent="0.3">
      <c r="A16" s="2">
        <v>3</v>
      </c>
      <c r="B16" s="30" t="s">
        <v>35</v>
      </c>
      <c r="C16" s="30"/>
      <c r="D16" s="30"/>
      <c r="E16" s="30"/>
      <c r="F16" s="30"/>
      <c r="G16" s="30"/>
      <c r="H16" s="30"/>
      <c r="I16" s="30"/>
      <c r="J16" s="30"/>
    </row>
    <row r="17" spans="1:10" ht="18.75" x14ac:dyDescent="0.3">
      <c r="A17" s="2">
        <v>4</v>
      </c>
      <c r="B17" s="30" t="s">
        <v>29</v>
      </c>
      <c r="C17" s="30"/>
      <c r="D17" s="30"/>
      <c r="E17" s="30"/>
      <c r="F17" s="30"/>
      <c r="G17" s="30"/>
      <c r="H17" s="30"/>
      <c r="I17" s="30"/>
      <c r="J17" s="30"/>
    </row>
    <row r="18" spans="1:10" ht="18.75" x14ac:dyDescent="0.3">
      <c r="A18" s="2">
        <v>5</v>
      </c>
      <c r="B18" s="30" t="s">
        <v>30</v>
      </c>
      <c r="C18" s="30"/>
      <c r="D18" s="30"/>
      <c r="E18" s="30"/>
      <c r="F18" s="30"/>
      <c r="G18" s="30"/>
      <c r="H18" s="30"/>
      <c r="I18" s="30"/>
      <c r="J18" s="30"/>
    </row>
    <row r="19" spans="1:10" ht="18.75" x14ac:dyDescent="0.3">
      <c r="B19" s="30" t="s">
        <v>31</v>
      </c>
      <c r="C19" s="30"/>
      <c r="D19" s="30"/>
      <c r="E19" s="30"/>
      <c r="F19" s="30"/>
      <c r="G19" s="30"/>
      <c r="H19" s="30"/>
      <c r="I19" s="30"/>
      <c r="J19" s="30"/>
    </row>
    <row r="20" spans="1:10" ht="18.75" x14ac:dyDescent="0.3">
      <c r="B20" s="30" t="s">
        <v>32</v>
      </c>
      <c r="C20" s="30"/>
      <c r="D20" s="30"/>
      <c r="E20" s="30"/>
      <c r="F20" s="30"/>
      <c r="G20" s="30"/>
      <c r="H20" s="30"/>
      <c r="I20" s="30"/>
      <c r="J20" s="30"/>
    </row>
    <row r="21" spans="1:10" ht="18.75" x14ac:dyDescent="0.3">
      <c r="A21" s="2">
        <v>6</v>
      </c>
      <c r="B21" s="30" t="s">
        <v>33</v>
      </c>
      <c r="C21" s="30"/>
      <c r="D21" s="30"/>
      <c r="E21" s="30"/>
      <c r="F21" s="30"/>
      <c r="G21" s="30"/>
      <c r="H21" s="30"/>
      <c r="I21" s="30"/>
      <c r="J21" s="30"/>
    </row>
    <row r="23" spans="1:10" x14ac:dyDescent="0.25">
      <c r="B23" t="s">
        <v>18</v>
      </c>
    </row>
    <row r="25" spans="1:10" x14ac:dyDescent="0.25">
      <c r="B25" s="3"/>
      <c r="C25" s="3"/>
      <c r="D25" s="4"/>
      <c r="E25" s="4"/>
      <c r="F25" s="3"/>
      <c r="H25" s="3"/>
      <c r="I25" s="3"/>
      <c r="J25" s="3"/>
    </row>
    <row r="26" spans="1:10" x14ac:dyDescent="0.25">
      <c r="B26" s="31" t="s">
        <v>19</v>
      </c>
      <c r="C26" s="31"/>
      <c r="E26" s="31" t="s">
        <v>20</v>
      </c>
      <c r="F26" s="31"/>
      <c r="H26" s="32" t="s">
        <v>21</v>
      </c>
      <c r="I26" s="32"/>
      <c r="J26" s="1" t="s">
        <v>22</v>
      </c>
    </row>
  </sheetData>
  <mergeCells count="17">
    <mergeCell ref="E2:F2"/>
    <mergeCell ref="H6:I6"/>
    <mergeCell ref="H7:I7"/>
    <mergeCell ref="H8:I8"/>
    <mergeCell ref="H9:I9"/>
    <mergeCell ref="B12:J12"/>
    <mergeCell ref="B14:J14"/>
    <mergeCell ref="B18:J18"/>
    <mergeCell ref="B21:J21"/>
    <mergeCell ref="B26:C26"/>
    <mergeCell ref="E26:F26"/>
    <mergeCell ref="H26:I26"/>
    <mergeCell ref="B15:J15"/>
    <mergeCell ref="B16:J16"/>
    <mergeCell ref="B17:J17"/>
    <mergeCell ref="B19:J19"/>
    <mergeCell ref="B20:J20"/>
  </mergeCells>
  <pageMargins left="0.7" right="0.7" top="0.75" bottom="0.75" header="0.3" footer="0.3"/>
  <pageSetup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0F1CE8-5547-4889-A386-E907D5241392}"/>
</file>

<file path=customXml/itemProps2.xml><?xml version="1.0" encoding="utf-8"?>
<ds:datastoreItem xmlns:ds="http://schemas.openxmlformats.org/officeDocument/2006/customXml" ds:itemID="{AD3A85E8-2827-465A-AEC8-8C8689EF85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5977A-AB0A-4C50-9493-018972805AC9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Tawara Rice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2025-01-20T16:08:48Z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