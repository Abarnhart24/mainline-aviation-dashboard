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optimum Recipes 1.20.25/"/>
    </mc:Choice>
  </mc:AlternateContent>
  <xr:revisionPtr revIDLastSave="81" documentId="8_{A1A4246B-18E4-4AA1-9EC0-B14DBEB10809}" xr6:coauthVersionLast="47" xr6:coauthVersionMax="47" xr10:uidLastSave="{D5F7A96B-9620-4C0A-9834-054055449703}"/>
  <bookViews>
    <workbookView xWindow="-120" yWindow="-120" windowWidth="20730" windowHeight="11040" xr2:uid="{9D773142-25FF-402D-A059-87F5C56EFE7F}"/>
  </bookViews>
  <sheets>
    <sheet name="PONZU GLAZE" sheetId="10" r:id="rId1"/>
    <sheet name="Ponzu LiquiD" sheetId="5" r:id="rId2"/>
    <sheet name="Ponzu Base (2)" sheetId="7" r:id="rId3"/>
    <sheet name="Blanched Jalapenos" sheetId="8" r:id="rId4"/>
    <sheet name="Marinated Jalapenos" sheetId="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0" l="1"/>
  <c r="F23" i="10" s="1"/>
  <c r="G23" i="10" s="1"/>
  <c r="F15" i="10"/>
  <c r="G15" i="10" s="1"/>
  <c r="F12" i="10"/>
  <c r="G12" i="10" s="1"/>
  <c r="F11" i="10"/>
  <c r="G11" i="10" s="1"/>
  <c r="F8" i="10"/>
  <c r="G8" i="10" s="1"/>
  <c r="F7" i="10"/>
  <c r="D24" i="9"/>
  <c r="F17" i="9" s="1"/>
  <c r="G17" i="9" s="1"/>
  <c r="F10" i="9"/>
  <c r="G10" i="9" s="1"/>
  <c r="D24" i="8"/>
  <c r="F22" i="8" s="1"/>
  <c r="G22" i="8" s="1"/>
  <c r="D24" i="7"/>
  <c r="F22" i="7" s="1"/>
  <c r="G22" i="7" s="1"/>
  <c r="F16" i="10" l="1"/>
  <c r="G16" i="10" s="1"/>
  <c r="F19" i="10"/>
  <c r="G19" i="10" s="1"/>
  <c r="F20" i="10"/>
  <c r="G20" i="10" s="1"/>
  <c r="F9" i="10"/>
  <c r="G9" i="10" s="1"/>
  <c r="F13" i="10"/>
  <c r="G13" i="10" s="1"/>
  <c r="F17" i="10"/>
  <c r="G17" i="10" s="1"/>
  <c r="F21" i="10"/>
  <c r="G21" i="10" s="1"/>
  <c r="F10" i="10"/>
  <c r="G10" i="10" s="1"/>
  <c r="F14" i="10"/>
  <c r="G14" i="10" s="1"/>
  <c r="F18" i="10"/>
  <c r="G18" i="10" s="1"/>
  <c r="F22" i="10"/>
  <c r="G22" i="10" s="1"/>
  <c r="G7" i="10"/>
  <c r="F12" i="9"/>
  <c r="G12" i="9" s="1"/>
  <c r="F14" i="9"/>
  <c r="G14" i="9" s="1"/>
  <c r="F8" i="9"/>
  <c r="G8" i="9" s="1"/>
  <c r="F18" i="9"/>
  <c r="G18" i="9" s="1"/>
  <c r="F16" i="9"/>
  <c r="G16" i="9" s="1"/>
  <c r="F7" i="9"/>
  <c r="F11" i="9"/>
  <c r="G11" i="9" s="1"/>
  <c r="F15" i="9"/>
  <c r="G15" i="9" s="1"/>
  <c r="F19" i="9"/>
  <c r="G19" i="9" s="1"/>
  <c r="F21" i="9"/>
  <c r="G21" i="9" s="1"/>
  <c r="F23" i="9"/>
  <c r="G23" i="9" s="1"/>
  <c r="F20" i="9"/>
  <c r="G20" i="9" s="1"/>
  <c r="F22" i="9"/>
  <c r="G22" i="9" s="1"/>
  <c r="F9" i="9"/>
  <c r="G9" i="9" s="1"/>
  <c r="F13" i="9"/>
  <c r="G13" i="9" s="1"/>
  <c r="F8" i="8"/>
  <c r="G8" i="8" s="1"/>
  <c r="F14" i="8"/>
  <c r="G14" i="8" s="1"/>
  <c r="F10" i="8"/>
  <c r="G10" i="8" s="1"/>
  <c r="F12" i="8"/>
  <c r="G12" i="8" s="1"/>
  <c r="F16" i="8"/>
  <c r="G16" i="8" s="1"/>
  <c r="F18" i="8"/>
  <c r="G18" i="8" s="1"/>
  <c r="F7" i="8"/>
  <c r="F9" i="8"/>
  <c r="G9" i="8" s="1"/>
  <c r="F11" i="8"/>
  <c r="G11" i="8" s="1"/>
  <c r="F13" i="8"/>
  <c r="G13" i="8" s="1"/>
  <c r="F15" i="8"/>
  <c r="G15" i="8" s="1"/>
  <c r="F17" i="8"/>
  <c r="G17" i="8" s="1"/>
  <c r="F19" i="8"/>
  <c r="G19" i="8" s="1"/>
  <c r="F21" i="8"/>
  <c r="G21" i="8" s="1"/>
  <c r="F23" i="8"/>
  <c r="G23" i="8" s="1"/>
  <c r="F20" i="8"/>
  <c r="G20" i="8" s="1"/>
  <c r="F10" i="7"/>
  <c r="G10" i="7" s="1"/>
  <c r="F8" i="7"/>
  <c r="G8" i="7" s="1"/>
  <c r="F12" i="7"/>
  <c r="G12" i="7" s="1"/>
  <c r="F7" i="7"/>
  <c r="F9" i="7"/>
  <c r="G9" i="7" s="1"/>
  <c r="F11" i="7"/>
  <c r="G11" i="7" s="1"/>
  <c r="F13" i="7"/>
  <c r="G13" i="7" s="1"/>
  <c r="F15" i="7"/>
  <c r="G15" i="7" s="1"/>
  <c r="F17" i="7"/>
  <c r="G17" i="7" s="1"/>
  <c r="F19" i="7"/>
  <c r="G19" i="7" s="1"/>
  <c r="F21" i="7"/>
  <c r="G21" i="7" s="1"/>
  <c r="F23" i="7"/>
  <c r="G23" i="7" s="1"/>
  <c r="F14" i="7"/>
  <c r="G14" i="7" s="1"/>
  <c r="F16" i="7"/>
  <c r="G16" i="7" s="1"/>
  <c r="F18" i="7"/>
  <c r="G18" i="7" s="1"/>
  <c r="F20" i="7"/>
  <c r="G20" i="7" s="1"/>
  <c r="D24" i="5"/>
  <c r="F21" i="5" s="1"/>
  <c r="G21" i="5" s="1"/>
  <c r="G24" i="10" l="1"/>
  <c r="G25" i="10" s="1"/>
  <c r="F24" i="10"/>
  <c r="G7" i="9"/>
  <c r="G24" i="9" s="1"/>
  <c r="G25" i="9" s="1"/>
  <c r="F24" i="9"/>
  <c r="G7" i="8"/>
  <c r="G24" i="8" s="1"/>
  <c r="G25" i="8" s="1"/>
  <c r="F24" i="8"/>
  <c r="G7" i="7"/>
  <c r="G24" i="7" s="1"/>
  <c r="G25" i="7" s="1"/>
  <c r="F24" i="7"/>
  <c r="F9" i="5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<sst xmlns="http://schemas.openxmlformats.org/spreadsheetml/2006/main" count="251" uniqueCount="58">
  <si>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</si>
  <si>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</si>
  <si>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</si>
  <si>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</si>
  <si>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</si>
  <si>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</si>
  <si>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</si>
  <si>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</si>
  <si>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</si>
  <si>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</si>
  <si>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</si>
  <si>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</si>
  <si>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</si>
  <si>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</si>
  <si>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</si>
  <si>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</si>
  <si>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</si>
  <si>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</si>
  <si>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</si>
  <si>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</si>
  <si>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</si>
  <si>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</si>
  <si>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</si>
  <si>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</si>
  <si>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</si>
  <si>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D326</t>
  </si>
  <si>
    <t>SAUCE SOY</t>
  </si>
  <si>
    <t>WATER</t>
  </si>
  <si>
    <t>RICE VINEGAR</t>
  </si>
  <si>
    <t>P268</t>
  </si>
  <si>
    <t>JUICE ORANGE FRESH</t>
  </si>
  <si>
    <t>C045</t>
  </si>
  <si>
    <t>JUICE LIME FRESH</t>
  </si>
  <si>
    <t>D160</t>
  </si>
  <si>
    <t>SUGAR GRANULATED</t>
  </si>
  <si>
    <t>PONZU LIQUID</t>
  </si>
  <si>
    <t>PONZU BASE</t>
  </si>
  <si>
    <t>BLANCHED JALAPENO</t>
  </si>
  <si>
    <t>PINEAPPLE PEEL</t>
  </si>
  <si>
    <t>GINGER SLICES</t>
  </si>
  <si>
    <t>Add all ingredients to a pot and bring to a boil</t>
  </si>
  <si>
    <t>Once brought up to a boil remove from heat and allow to steep for 15 minutes.</t>
  </si>
  <si>
    <t>Strain and reserve jalapeno slices. Discard Pineapple Peel and Ginger</t>
  </si>
  <si>
    <t>Store below 40F</t>
  </si>
  <si>
    <t>Blanched Jalapenos</t>
  </si>
  <si>
    <t>Jalapenos</t>
  </si>
  <si>
    <t xml:space="preserve">Water </t>
  </si>
  <si>
    <t>Bring water to a boil and add jalapeno slices</t>
  </si>
  <si>
    <t>Boil for 3 Minutes then strain and remove jalapenos from water</t>
  </si>
  <si>
    <t xml:space="preserve">Repeat process </t>
  </si>
  <si>
    <t>Cool and store below 40F</t>
  </si>
  <si>
    <t>Ponzu Base</t>
  </si>
  <si>
    <t>PONZU MARINATED JALAPENO</t>
  </si>
  <si>
    <t>Add jalapeno and ponzu base to vac pac bags</t>
  </si>
  <si>
    <t>PONZU GLAZE</t>
  </si>
  <si>
    <t>WATER (SLURRY)</t>
  </si>
  <si>
    <t>D218</t>
  </si>
  <si>
    <t>STARCH THERM FLOR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</si>
</sst>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73017-E8D6-4CDF-BF18-6304AD6D58F8}">
  <sheetPr>
    <pageSetUpPr fitToPage="1"/>
  </sheetPr>
  <dimension ref="A1:J43"/>
  <sheetViews>
    <sheetView tabSelected="1" workbookViewId="0">
      <selection activeCell="C16" sqref="C16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54</v>
      </c>
      <c r="D2" s="5" t="s">
        <v>1</v>
      </c>
      <c r="E2" s="39"/>
      <c r="F2" s="3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5</v>
      </c>
      <c r="D4" s="9"/>
      <c r="F4" s="2" t="s">
        <v>22</v>
      </c>
      <c r="G4" s="25" t="s">
        <v>8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0" t="s">
        <v>10</v>
      </c>
      <c r="I6" s="41"/>
      <c r="J6" s="11" t="s">
        <v>11</v>
      </c>
    </row>
    <row r="7" spans="1:10" x14ac:dyDescent="0.25">
      <c r="A7" s="1">
        <v>1</v>
      </c>
      <c r="B7" s="12"/>
      <c r="C7" s="12" t="s">
        <v>36</v>
      </c>
      <c r="D7" s="13">
        <v>400</v>
      </c>
      <c r="E7" s="13" t="s">
        <v>23</v>
      </c>
      <c r="F7" s="14">
        <f t="shared" ref="F7:F23" si="0">D7/D$24</f>
        <v>0.79681274900398402</v>
      </c>
      <c r="G7" s="15">
        <f>C4*F7</f>
        <v>3.9840637450199203</v>
      </c>
      <c r="H7" s="30"/>
      <c r="I7" s="31"/>
      <c r="J7" s="16"/>
    </row>
    <row r="8" spans="1:10" x14ac:dyDescent="0.25">
      <c r="A8" s="1">
        <v>2</v>
      </c>
      <c r="B8" s="12" t="s">
        <v>56</v>
      </c>
      <c r="C8" s="12" t="s">
        <v>57</v>
      </c>
      <c r="D8" s="13">
        <v>12</v>
      </c>
      <c r="E8" s="13" t="s">
        <v>23</v>
      </c>
      <c r="F8" s="14">
        <f t="shared" si="0"/>
        <v>2.3904382470119521E-2</v>
      </c>
      <c r="G8" s="15">
        <f>C4*F8</f>
        <v>0.11952191235059761</v>
      </c>
      <c r="H8" s="30"/>
      <c r="I8" s="31"/>
      <c r="J8" s="16"/>
    </row>
    <row r="9" spans="1:10" x14ac:dyDescent="0.25">
      <c r="A9" s="1">
        <v>3</v>
      </c>
      <c r="B9" s="12"/>
      <c r="C9" s="12" t="s">
        <v>55</v>
      </c>
      <c r="D9" s="13">
        <v>90</v>
      </c>
      <c r="E9" s="13" t="s">
        <v>23</v>
      </c>
      <c r="F9" s="14">
        <f t="shared" si="0"/>
        <v>0.17928286852589642</v>
      </c>
      <c r="G9" s="15">
        <f>C4*F9</f>
        <v>0.89641434262948216</v>
      </c>
      <c r="H9" s="30"/>
      <c r="I9" s="31"/>
      <c r="J9" s="16"/>
    </row>
    <row r="10" spans="1:10" x14ac:dyDescent="0.25">
      <c r="A10" s="1">
        <v>4</v>
      </c>
      <c r="B10" s="12"/>
      <c r="C10" s="12"/>
      <c r="D10" s="13"/>
      <c r="E10" s="13" t="s">
        <v>23</v>
      </c>
      <c r="F10" s="14">
        <f t="shared" si="0"/>
        <v>0</v>
      </c>
      <c r="G10" s="15">
        <f>C4*F10</f>
        <v>0</v>
      </c>
      <c r="H10" s="30"/>
      <c r="I10" s="31"/>
      <c r="J10" s="16"/>
    </row>
    <row r="11" spans="1:10" x14ac:dyDescent="0.25">
      <c r="A11" s="1">
        <v>5</v>
      </c>
      <c r="B11" s="12"/>
      <c r="C11" s="12"/>
      <c r="D11" s="13"/>
      <c r="E11" s="13" t="s">
        <v>23</v>
      </c>
      <c r="F11" s="14">
        <f t="shared" si="0"/>
        <v>0</v>
      </c>
      <c r="G11" s="15">
        <f>C4*F11</f>
        <v>0</v>
      </c>
      <c r="H11" s="30"/>
      <c r="I11" s="31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30"/>
      <c r="I12" s="31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30"/>
      <c r="I13" s="31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30"/>
      <c r="I14" s="31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30"/>
      <c r="I15" s="31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30"/>
      <c r="I16" s="31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30"/>
      <c r="I17" s="31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30"/>
      <c r="I18" s="31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30"/>
      <c r="I19" s="31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30"/>
      <c r="I20" s="31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30"/>
      <c r="I21" s="31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30"/>
      <c r="I22" s="31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30"/>
      <c r="I23" s="31"/>
      <c r="J23" s="16"/>
    </row>
    <row r="24" spans="1:10" x14ac:dyDescent="0.25">
      <c r="C24" s="17" t="s">
        <v>12</v>
      </c>
      <c r="D24" s="1">
        <f>SUM(D7:D23)</f>
        <v>502</v>
      </c>
      <c r="E24" s="1" t="s">
        <v>23</v>
      </c>
      <c r="F24" s="18">
        <f>SUM(F7:F23)</f>
        <v>1</v>
      </c>
      <c r="G24" s="26">
        <f>SUM(G7:G23)</f>
        <v>5</v>
      </c>
      <c r="H24" s="19" t="s">
        <v>13</v>
      </c>
    </row>
    <row r="25" spans="1:10" x14ac:dyDescent="0.25">
      <c r="F25" s="25" t="s">
        <v>24</v>
      </c>
      <c r="G25" s="20" t="e">
        <f>-G24*G4+C4</f>
        <v>#VALUE!</v>
      </c>
    </row>
    <row r="26" spans="1:10" ht="15.75" x14ac:dyDescent="0.25">
      <c r="A26"/>
      <c r="B26" s="32" t="s">
        <v>14</v>
      </c>
      <c r="C26" s="32"/>
      <c r="D26" s="32"/>
      <c r="E26" s="32"/>
      <c r="F26" s="32"/>
      <c r="G26" s="32"/>
      <c r="H26" s="32"/>
      <c r="I26" s="32"/>
      <c r="J26" s="3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3"/>
      <c r="C28" s="34"/>
      <c r="D28" s="34"/>
      <c r="E28" s="34"/>
      <c r="F28" s="34"/>
      <c r="G28" s="34"/>
      <c r="H28" s="34"/>
      <c r="I28" s="34"/>
      <c r="J28" s="35"/>
    </row>
    <row r="29" spans="1:10" x14ac:dyDescent="0.25">
      <c r="A29" s="1">
        <v>2</v>
      </c>
      <c r="B29" s="33"/>
      <c r="C29" s="34"/>
      <c r="D29" s="34"/>
      <c r="E29" s="34"/>
      <c r="F29" s="34"/>
      <c r="G29" s="34"/>
      <c r="H29" s="34"/>
      <c r="I29" s="34"/>
      <c r="J29" s="35"/>
    </row>
    <row r="30" spans="1:10" x14ac:dyDescent="0.25">
      <c r="A30" s="1">
        <v>3</v>
      </c>
      <c r="B30" s="36"/>
      <c r="C30" s="37"/>
      <c r="D30" s="37"/>
      <c r="E30" s="37"/>
      <c r="F30" s="37"/>
      <c r="G30" s="37"/>
      <c r="H30" s="37"/>
      <c r="I30" s="37"/>
      <c r="J30" s="38"/>
    </row>
    <row r="31" spans="1:10" x14ac:dyDescent="0.25">
      <c r="A31" s="1">
        <v>4</v>
      </c>
      <c r="B31" s="27"/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1">
        <v>5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1">
        <v>6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1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1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1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1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1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28" t="s">
        <v>17</v>
      </c>
      <c r="C43" s="28"/>
      <c r="E43" s="28" t="s">
        <v>18</v>
      </c>
      <c r="F43" s="28"/>
      <c r="H43" s="29" t="s">
        <v>19</v>
      </c>
      <c r="I43" s="29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workbookViewId="0">
      <selection activeCell="C5" sqref="C5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35</v>
      </c>
      <c r="D2" s="5" t="s">
        <v>1</v>
      </c>
      <c r="E2" s="39"/>
      <c r="F2" s="3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5</v>
      </c>
      <c r="D4" s="9"/>
      <c r="F4" s="2" t="s">
        <v>22</v>
      </c>
      <c r="G4" s="25" t="s">
        <v>8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0" t="s">
        <v>10</v>
      </c>
      <c r="I6" s="41"/>
      <c r="J6" s="11" t="s">
        <v>11</v>
      </c>
    </row>
    <row r="7" spans="1:10" x14ac:dyDescent="0.25">
      <c r="A7" s="1">
        <v>1</v>
      </c>
      <c r="B7" s="12" t="s">
        <v>25</v>
      </c>
      <c r="C7" s="12" t="s">
        <v>26</v>
      </c>
      <c r="D7" s="13">
        <v>250</v>
      </c>
      <c r="E7" s="13" t="s">
        <v>23</v>
      </c>
      <c r="F7" s="14">
        <f t="shared" ref="F7:F23" si="0">D7/D$24</f>
        <v>0.4826254826254826</v>
      </c>
      <c r="G7" s="15">
        <f>C4*F7</f>
        <v>2.413127413127413</v>
      </c>
      <c r="H7" s="30"/>
      <c r="I7" s="31"/>
      <c r="J7" s="16"/>
    </row>
    <row r="8" spans="1:10" x14ac:dyDescent="0.25">
      <c r="A8" s="1">
        <v>2</v>
      </c>
      <c r="B8" s="12"/>
      <c r="C8" s="12" t="s">
        <v>27</v>
      </c>
      <c r="D8" s="13">
        <v>100</v>
      </c>
      <c r="E8" s="13" t="s">
        <v>23</v>
      </c>
      <c r="F8" s="14">
        <f t="shared" si="0"/>
        <v>0.19305019305019305</v>
      </c>
      <c r="G8" s="15">
        <f>C4*F8</f>
        <v>0.96525096525096532</v>
      </c>
      <c r="H8" s="30"/>
      <c r="I8" s="31"/>
      <c r="J8" s="16"/>
    </row>
    <row r="9" spans="1:10" x14ac:dyDescent="0.25">
      <c r="A9" s="1">
        <v>3</v>
      </c>
      <c r="B9" s="12"/>
      <c r="C9" s="12" t="s">
        <v>28</v>
      </c>
      <c r="D9" s="13">
        <v>100</v>
      </c>
      <c r="E9" s="13" t="s">
        <v>23</v>
      </c>
      <c r="F9" s="14">
        <f t="shared" si="0"/>
        <v>0.19305019305019305</v>
      </c>
      <c r="G9" s="15">
        <f>C4*F9</f>
        <v>0.96525096525096532</v>
      </c>
      <c r="H9" s="30"/>
      <c r="I9" s="31"/>
      <c r="J9" s="16"/>
    </row>
    <row r="10" spans="1:10" x14ac:dyDescent="0.25">
      <c r="A10" s="1">
        <v>4</v>
      </c>
      <c r="B10" s="12" t="s">
        <v>29</v>
      </c>
      <c r="C10" s="12" t="s">
        <v>30</v>
      </c>
      <c r="D10" s="13">
        <v>50</v>
      </c>
      <c r="E10" s="13" t="s">
        <v>23</v>
      </c>
      <c r="F10" s="14">
        <f t="shared" si="0"/>
        <v>9.6525096525096526E-2</v>
      </c>
      <c r="G10" s="15">
        <f>C4*F10</f>
        <v>0.48262548262548266</v>
      </c>
      <c r="H10" s="30"/>
      <c r="I10" s="31"/>
      <c r="J10" s="16"/>
    </row>
    <row r="11" spans="1:10" x14ac:dyDescent="0.25">
      <c r="A11" s="1">
        <v>5</v>
      </c>
      <c r="B11" s="12" t="s">
        <v>31</v>
      </c>
      <c r="C11" s="12" t="s">
        <v>32</v>
      </c>
      <c r="D11" s="13">
        <v>10</v>
      </c>
      <c r="E11" s="13" t="s">
        <v>23</v>
      </c>
      <c r="F11" s="14">
        <f t="shared" si="0"/>
        <v>1.9305019305019305E-2</v>
      </c>
      <c r="G11" s="15">
        <f>C4*F11</f>
        <v>9.6525096525096526E-2</v>
      </c>
      <c r="H11" s="30"/>
      <c r="I11" s="31"/>
      <c r="J11" s="16"/>
    </row>
    <row r="12" spans="1:10" x14ac:dyDescent="0.25">
      <c r="A12" s="1">
        <v>6</v>
      </c>
      <c r="B12" s="12" t="s">
        <v>33</v>
      </c>
      <c r="C12" s="12" t="s">
        <v>34</v>
      </c>
      <c r="D12" s="13">
        <v>8</v>
      </c>
      <c r="E12" s="13" t="s">
        <v>23</v>
      </c>
      <c r="F12" s="14">
        <f t="shared" si="0"/>
        <v>1.5444015444015444E-2</v>
      </c>
      <c r="G12" s="15">
        <f>C4*F12</f>
        <v>7.7220077220077218E-2</v>
      </c>
      <c r="H12" s="30"/>
      <c r="I12" s="31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30"/>
      <c r="I13" s="31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30"/>
      <c r="I14" s="31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30"/>
      <c r="I15" s="31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30"/>
      <c r="I16" s="31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30"/>
      <c r="I17" s="31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30"/>
      <c r="I18" s="31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30"/>
      <c r="I19" s="31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30"/>
      <c r="I20" s="31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30"/>
      <c r="I21" s="31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30"/>
      <c r="I22" s="31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30"/>
      <c r="I23" s="31"/>
      <c r="J23" s="16"/>
    </row>
    <row r="24" spans="1:10" x14ac:dyDescent="0.25">
      <c r="C24" s="17" t="s">
        <v>12</v>
      </c>
      <c r="D24" s="1">
        <f>SUM(D7:D23)</f>
        <v>518</v>
      </c>
      <c r="E24" s="1" t="s">
        <v>23</v>
      </c>
      <c r="F24" s="18">
        <f>SUM(F7:F23)</f>
        <v>1</v>
      </c>
      <c r="G24" s="26">
        <f>SUM(G7:G23)</f>
        <v>4.9999999999999991</v>
      </c>
      <c r="H24" s="19" t="s">
        <v>13</v>
      </c>
    </row>
    <row r="25" spans="1:10" x14ac:dyDescent="0.25">
      <c r="F25" s="25" t="s">
        <v>24</v>
      </c>
      <c r="G25" s="20" t="e">
        <f>-G24*G4+C4</f>
        <v>#VALUE!</v>
      </c>
    </row>
    <row r="26" spans="1:10" ht="15.75" x14ac:dyDescent="0.25">
      <c r="A26"/>
      <c r="B26" s="32" t="s">
        <v>14</v>
      </c>
      <c r="C26" s="32"/>
      <c r="D26" s="32"/>
      <c r="E26" s="32"/>
      <c r="F26" s="32"/>
      <c r="G26" s="32"/>
      <c r="H26" s="32"/>
      <c r="I26" s="32"/>
      <c r="J26" s="3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3"/>
      <c r="C28" s="34"/>
      <c r="D28" s="34"/>
      <c r="E28" s="34"/>
      <c r="F28" s="34"/>
      <c r="G28" s="34"/>
      <c r="H28" s="34"/>
      <c r="I28" s="34"/>
      <c r="J28" s="35"/>
    </row>
    <row r="29" spans="1:10" x14ac:dyDescent="0.25">
      <c r="A29" s="1">
        <v>2</v>
      </c>
      <c r="B29" s="33"/>
      <c r="C29" s="34"/>
      <c r="D29" s="34"/>
      <c r="E29" s="34"/>
      <c r="F29" s="34"/>
      <c r="G29" s="34"/>
      <c r="H29" s="34"/>
      <c r="I29" s="34"/>
      <c r="J29" s="35"/>
    </row>
    <row r="30" spans="1:10" x14ac:dyDescent="0.25">
      <c r="A30" s="1">
        <v>3</v>
      </c>
      <c r="B30" s="36"/>
      <c r="C30" s="37"/>
      <c r="D30" s="37"/>
      <c r="E30" s="37"/>
      <c r="F30" s="37"/>
      <c r="G30" s="37"/>
      <c r="H30" s="37"/>
      <c r="I30" s="37"/>
      <c r="J30" s="38"/>
    </row>
    <row r="31" spans="1:10" x14ac:dyDescent="0.25">
      <c r="A31" s="1">
        <v>4</v>
      </c>
      <c r="B31" s="27"/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1">
        <v>5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1">
        <v>6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1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1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1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1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1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28" t="s">
        <v>17</v>
      </c>
      <c r="C43" s="28"/>
      <c r="E43" s="28" t="s">
        <v>18</v>
      </c>
      <c r="F43" s="28"/>
      <c r="H43" s="29" t="s">
        <v>19</v>
      </c>
      <c r="I43" s="29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9A04-349D-494E-A672-A561F23E1455}">
  <sheetPr>
    <pageSetUpPr fitToPage="1"/>
  </sheetPr>
  <dimension ref="A1:J43"/>
  <sheetViews>
    <sheetView workbookViewId="0">
      <selection activeCell="C5" sqref="C5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36</v>
      </c>
      <c r="D2" s="5" t="s">
        <v>1</v>
      </c>
      <c r="E2" s="39"/>
      <c r="F2" s="3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5</v>
      </c>
      <c r="D4" s="9"/>
      <c r="F4" s="2" t="s">
        <v>22</v>
      </c>
      <c r="G4" s="25" t="s">
        <v>8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0" t="s">
        <v>10</v>
      </c>
      <c r="I6" s="41"/>
      <c r="J6" s="11" t="s">
        <v>11</v>
      </c>
    </row>
    <row r="7" spans="1:10" x14ac:dyDescent="0.25">
      <c r="A7" s="1">
        <v>1</v>
      </c>
      <c r="B7" s="12"/>
      <c r="C7" s="12" t="s">
        <v>35</v>
      </c>
      <c r="D7" s="13">
        <v>500</v>
      </c>
      <c r="E7" s="13" t="s">
        <v>23</v>
      </c>
      <c r="F7" s="14">
        <f t="shared" ref="F7:F23" si="0">D7/D$24</f>
        <v>0.51282051282051277</v>
      </c>
      <c r="G7" s="15">
        <f>C4*F7</f>
        <v>2.5641025641025639</v>
      </c>
      <c r="H7" s="30"/>
      <c r="I7" s="31"/>
      <c r="J7" s="16"/>
    </row>
    <row r="8" spans="1:10" x14ac:dyDescent="0.25">
      <c r="A8" s="1">
        <v>2</v>
      </c>
      <c r="B8" s="12"/>
      <c r="C8" s="12" t="s">
        <v>37</v>
      </c>
      <c r="D8" s="13">
        <v>200</v>
      </c>
      <c r="E8" s="13" t="s">
        <v>23</v>
      </c>
      <c r="F8" s="14">
        <f t="shared" si="0"/>
        <v>0.20512820512820512</v>
      </c>
      <c r="G8" s="15">
        <f>C4*F8</f>
        <v>1.0256410256410255</v>
      </c>
      <c r="H8" s="30"/>
      <c r="I8" s="31"/>
      <c r="J8" s="16"/>
    </row>
    <row r="9" spans="1:10" x14ac:dyDescent="0.25">
      <c r="A9" s="1">
        <v>3</v>
      </c>
      <c r="B9" s="12"/>
      <c r="C9" s="12" t="s">
        <v>39</v>
      </c>
      <c r="D9" s="13">
        <v>75</v>
      </c>
      <c r="E9" s="13" t="s">
        <v>23</v>
      </c>
      <c r="F9" s="14">
        <f t="shared" si="0"/>
        <v>7.6923076923076927E-2</v>
      </c>
      <c r="G9" s="15">
        <f>C4*F9</f>
        <v>0.38461538461538464</v>
      </c>
      <c r="H9" s="30"/>
      <c r="I9" s="31"/>
      <c r="J9" s="16"/>
    </row>
    <row r="10" spans="1:10" x14ac:dyDescent="0.25">
      <c r="A10" s="1">
        <v>4</v>
      </c>
      <c r="B10" s="12"/>
      <c r="C10" s="12" t="s">
        <v>38</v>
      </c>
      <c r="D10" s="13">
        <v>200</v>
      </c>
      <c r="E10" s="13" t="s">
        <v>23</v>
      </c>
      <c r="F10" s="14">
        <f t="shared" si="0"/>
        <v>0.20512820512820512</v>
      </c>
      <c r="G10" s="15">
        <f>C4*F10</f>
        <v>1.0256410256410255</v>
      </c>
      <c r="H10" s="30"/>
      <c r="I10" s="31"/>
      <c r="J10" s="16"/>
    </row>
    <row r="11" spans="1:10" x14ac:dyDescent="0.25">
      <c r="A11" s="1">
        <v>5</v>
      </c>
      <c r="B11" s="12"/>
      <c r="C11" s="12"/>
      <c r="D11" s="13"/>
      <c r="E11" s="13" t="s">
        <v>23</v>
      </c>
      <c r="F11" s="14">
        <f t="shared" si="0"/>
        <v>0</v>
      </c>
      <c r="G11" s="15">
        <f>C4*F11</f>
        <v>0</v>
      </c>
      <c r="H11" s="30"/>
      <c r="I11" s="31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30"/>
      <c r="I12" s="31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30"/>
      <c r="I13" s="31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30"/>
      <c r="I14" s="31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30"/>
      <c r="I15" s="31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30"/>
      <c r="I16" s="31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30"/>
      <c r="I17" s="31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30"/>
      <c r="I18" s="31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30"/>
      <c r="I19" s="31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30"/>
      <c r="I20" s="31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30"/>
      <c r="I21" s="31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30"/>
      <c r="I22" s="31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30"/>
      <c r="I23" s="31"/>
      <c r="J23" s="16"/>
    </row>
    <row r="24" spans="1:10" x14ac:dyDescent="0.25">
      <c r="C24" s="17" t="s">
        <v>12</v>
      </c>
      <c r="D24" s="1">
        <f>SUM(D7:D23)</f>
        <v>975</v>
      </c>
      <c r="E24" s="1" t="s">
        <v>23</v>
      </c>
      <c r="F24" s="18">
        <f>SUM(F7:F23)</f>
        <v>0.99999999999999978</v>
      </c>
      <c r="G24" s="26">
        <f>SUM(G7:G23)</f>
        <v>5</v>
      </c>
      <c r="H24" s="19" t="s">
        <v>13</v>
      </c>
    </row>
    <row r="25" spans="1:10" x14ac:dyDescent="0.25">
      <c r="F25" s="25" t="s">
        <v>24</v>
      </c>
      <c r="G25" s="20" t="e">
        <f>-G24*G4+C4</f>
        <v>#VALUE!</v>
      </c>
    </row>
    <row r="26" spans="1:10" ht="15.75" x14ac:dyDescent="0.25">
      <c r="A26"/>
      <c r="B26" s="32" t="s">
        <v>14</v>
      </c>
      <c r="C26" s="32"/>
      <c r="D26" s="32"/>
      <c r="E26" s="32"/>
      <c r="F26" s="32"/>
      <c r="G26" s="32"/>
      <c r="H26" s="32"/>
      <c r="I26" s="32"/>
      <c r="J26" s="3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3" t="s">
        <v>40</v>
      </c>
      <c r="C28" s="34"/>
      <c r="D28" s="34"/>
      <c r="E28" s="34"/>
      <c r="F28" s="34"/>
      <c r="G28" s="34"/>
      <c r="H28" s="34"/>
      <c r="I28" s="34"/>
      <c r="J28" s="35"/>
    </row>
    <row r="29" spans="1:10" x14ac:dyDescent="0.25">
      <c r="A29" s="1">
        <v>2</v>
      </c>
      <c r="B29" s="33" t="s">
        <v>41</v>
      </c>
      <c r="C29" s="34"/>
      <c r="D29" s="34"/>
      <c r="E29" s="34"/>
      <c r="F29" s="34"/>
      <c r="G29" s="34"/>
      <c r="H29" s="34"/>
      <c r="I29" s="34"/>
      <c r="J29" s="35"/>
    </row>
    <row r="30" spans="1:10" x14ac:dyDescent="0.25">
      <c r="A30" s="1">
        <v>3</v>
      </c>
      <c r="B30" s="36" t="s">
        <v>42</v>
      </c>
      <c r="C30" s="37"/>
      <c r="D30" s="37"/>
      <c r="E30" s="37"/>
      <c r="F30" s="37"/>
      <c r="G30" s="37"/>
      <c r="H30" s="37"/>
      <c r="I30" s="37"/>
      <c r="J30" s="38"/>
    </row>
    <row r="31" spans="1:10" x14ac:dyDescent="0.25">
      <c r="A31" s="1">
        <v>4</v>
      </c>
      <c r="B31" s="27" t="s">
        <v>43</v>
      </c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1">
        <v>5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1">
        <v>6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1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1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1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1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1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28" t="s">
        <v>17</v>
      </c>
      <c r="C43" s="28"/>
      <c r="E43" s="28" t="s">
        <v>18</v>
      </c>
      <c r="F43" s="28"/>
      <c r="H43" s="29" t="s">
        <v>19</v>
      </c>
      <c r="I43" s="29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6A6E-31AE-40B9-94A0-FD89F00FCB6F}">
  <sheetPr>
    <pageSetUpPr fitToPage="1"/>
  </sheetPr>
  <dimension ref="A1:J43"/>
  <sheetViews>
    <sheetView workbookViewId="0">
      <selection activeCell="B31" sqref="B31:J31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44</v>
      </c>
      <c r="D2" s="5" t="s">
        <v>1</v>
      </c>
      <c r="E2" s="39"/>
      <c r="F2" s="3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5</v>
      </c>
      <c r="D4" s="9"/>
      <c r="F4" s="2" t="s">
        <v>22</v>
      </c>
      <c r="G4" s="25" t="s">
        <v>8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0" t="s">
        <v>10</v>
      </c>
      <c r="I6" s="41"/>
      <c r="J6" s="11" t="s">
        <v>11</v>
      </c>
    </row>
    <row r="7" spans="1:10" x14ac:dyDescent="0.25">
      <c r="A7" s="1">
        <v>1</v>
      </c>
      <c r="B7" s="12"/>
      <c r="C7" s="12" t="s">
        <v>45</v>
      </c>
      <c r="D7" s="13">
        <v>100</v>
      </c>
      <c r="E7" s="13" t="s">
        <v>23</v>
      </c>
      <c r="F7" s="14">
        <f t="shared" ref="F7:F23" si="0">D7/D$24</f>
        <v>0.25</v>
      </c>
      <c r="G7" s="15">
        <f>C4*F7</f>
        <v>1.25</v>
      </c>
      <c r="H7" s="30"/>
      <c r="I7" s="31"/>
      <c r="J7" s="16"/>
    </row>
    <row r="8" spans="1:10" x14ac:dyDescent="0.25">
      <c r="A8" s="1">
        <v>2</v>
      </c>
      <c r="B8" s="12"/>
      <c r="C8" s="12" t="s">
        <v>46</v>
      </c>
      <c r="D8" s="13">
        <v>300</v>
      </c>
      <c r="E8" s="13" t="s">
        <v>23</v>
      </c>
      <c r="F8" s="14">
        <f t="shared" si="0"/>
        <v>0.75</v>
      </c>
      <c r="G8" s="15">
        <f>C4*F8</f>
        <v>3.75</v>
      </c>
      <c r="H8" s="30"/>
      <c r="I8" s="31"/>
      <c r="J8" s="16"/>
    </row>
    <row r="9" spans="1:10" x14ac:dyDescent="0.25">
      <c r="A9" s="1">
        <v>3</v>
      </c>
      <c r="B9" s="12"/>
      <c r="C9" s="12"/>
      <c r="D9" s="13"/>
      <c r="E9" s="13" t="s">
        <v>23</v>
      </c>
      <c r="F9" s="14">
        <f t="shared" si="0"/>
        <v>0</v>
      </c>
      <c r="G9" s="15">
        <f>C4*F9</f>
        <v>0</v>
      </c>
      <c r="H9" s="30"/>
      <c r="I9" s="31"/>
      <c r="J9" s="16"/>
    </row>
    <row r="10" spans="1:10" x14ac:dyDescent="0.25">
      <c r="A10" s="1">
        <v>4</v>
      </c>
      <c r="B10" s="12"/>
      <c r="C10" s="12"/>
      <c r="D10" s="13"/>
      <c r="E10" s="13" t="s">
        <v>23</v>
      </c>
      <c r="F10" s="14">
        <f t="shared" si="0"/>
        <v>0</v>
      </c>
      <c r="G10" s="15">
        <f>C4*F10</f>
        <v>0</v>
      </c>
      <c r="H10" s="30"/>
      <c r="I10" s="31"/>
      <c r="J10" s="16"/>
    </row>
    <row r="11" spans="1:10" x14ac:dyDescent="0.25">
      <c r="A11" s="1">
        <v>5</v>
      </c>
      <c r="B11" s="12"/>
      <c r="C11" s="12"/>
      <c r="D11" s="13"/>
      <c r="E11" s="13" t="s">
        <v>23</v>
      </c>
      <c r="F11" s="14">
        <f t="shared" si="0"/>
        <v>0</v>
      </c>
      <c r="G11" s="15">
        <f>C4*F11</f>
        <v>0</v>
      </c>
      <c r="H11" s="30"/>
      <c r="I11" s="31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30"/>
      <c r="I12" s="31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30"/>
      <c r="I13" s="31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30"/>
      <c r="I14" s="31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30"/>
      <c r="I15" s="31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30"/>
      <c r="I16" s="31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30"/>
      <c r="I17" s="31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30"/>
      <c r="I18" s="31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30"/>
      <c r="I19" s="31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30"/>
      <c r="I20" s="31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30"/>
      <c r="I21" s="31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30"/>
      <c r="I22" s="31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30"/>
      <c r="I23" s="31"/>
      <c r="J23" s="16"/>
    </row>
    <row r="24" spans="1:10" x14ac:dyDescent="0.25">
      <c r="C24" s="17" t="s">
        <v>12</v>
      </c>
      <c r="D24" s="1">
        <f>SUM(D7:D23)</f>
        <v>400</v>
      </c>
      <c r="E24" s="1" t="s">
        <v>23</v>
      </c>
      <c r="F24" s="18">
        <f>SUM(F7:F23)</f>
        <v>1</v>
      </c>
      <c r="G24" s="26">
        <f>SUM(G7:G23)</f>
        <v>5</v>
      </c>
      <c r="H24" s="19" t="s">
        <v>13</v>
      </c>
    </row>
    <row r="25" spans="1:10" x14ac:dyDescent="0.25">
      <c r="F25" s="25" t="s">
        <v>24</v>
      </c>
      <c r="G25" s="20" t="e">
        <f>-G24*G4+C4</f>
        <v>#VALUE!</v>
      </c>
    </row>
    <row r="26" spans="1:10" ht="15.75" x14ac:dyDescent="0.25">
      <c r="A26"/>
      <c r="B26" s="32" t="s">
        <v>14</v>
      </c>
      <c r="C26" s="32"/>
      <c r="D26" s="32"/>
      <c r="E26" s="32"/>
      <c r="F26" s="32"/>
      <c r="G26" s="32"/>
      <c r="H26" s="32"/>
      <c r="I26" s="32"/>
      <c r="J26" s="3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3" t="s">
        <v>47</v>
      </c>
      <c r="C28" s="34"/>
      <c r="D28" s="34"/>
      <c r="E28" s="34"/>
      <c r="F28" s="34"/>
      <c r="G28" s="34"/>
      <c r="H28" s="34"/>
      <c r="I28" s="34"/>
      <c r="J28" s="35"/>
    </row>
    <row r="29" spans="1:10" x14ac:dyDescent="0.25">
      <c r="A29" s="1">
        <v>2</v>
      </c>
      <c r="B29" s="33" t="s">
        <v>48</v>
      </c>
      <c r="C29" s="34"/>
      <c r="D29" s="34"/>
      <c r="E29" s="34"/>
      <c r="F29" s="34"/>
      <c r="G29" s="34"/>
      <c r="H29" s="34"/>
      <c r="I29" s="34"/>
      <c r="J29" s="35"/>
    </row>
    <row r="30" spans="1:10" x14ac:dyDescent="0.25">
      <c r="A30" s="1">
        <v>3</v>
      </c>
      <c r="B30" s="36" t="s">
        <v>49</v>
      </c>
      <c r="C30" s="37"/>
      <c r="D30" s="37"/>
      <c r="E30" s="37"/>
      <c r="F30" s="37"/>
      <c r="G30" s="37"/>
      <c r="H30" s="37"/>
      <c r="I30" s="37"/>
      <c r="J30" s="38"/>
    </row>
    <row r="31" spans="1:10" x14ac:dyDescent="0.25">
      <c r="A31" s="1">
        <v>4</v>
      </c>
      <c r="B31" s="27" t="s">
        <v>50</v>
      </c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1">
        <v>5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1">
        <v>6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1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1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1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1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1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28" t="s">
        <v>17</v>
      </c>
      <c r="C43" s="28"/>
      <c r="E43" s="28" t="s">
        <v>18</v>
      </c>
      <c r="F43" s="28"/>
      <c r="H43" s="29" t="s">
        <v>19</v>
      </c>
      <c r="I43" s="29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C499-367A-47C8-AE0B-B05738CD1B9F}">
  <sheetPr>
    <pageSetUpPr fitToPage="1"/>
  </sheetPr>
  <dimension ref="A1:J43"/>
  <sheetViews>
    <sheetView workbookViewId="0">
      <selection activeCell="B29" sqref="B29:J29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52</v>
      </c>
      <c r="D2" s="5" t="s">
        <v>1</v>
      </c>
      <c r="E2" s="39"/>
      <c r="F2" s="3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5</v>
      </c>
      <c r="D4" s="9"/>
      <c r="F4" s="2" t="s">
        <v>22</v>
      </c>
      <c r="G4" s="25" t="s">
        <v>8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0" t="s">
        <v>10</v>
      </c>
      <c r="I6" s="41"/>
      <c r="J6" s="11" t="s">
        <v>11</v>
      </c>
    </row>
    <row r="7" spans="1:10" x14ac:dyDescent="0.25">
      <c r="A7" s="1">
        <v>1</v>
      </c>
      <c r="B7" s="12"/>
      <c r="C7" s="12" t="s">
        <v>44</v>
      </c>
      <c r="D7" s="13">
        <v>200</v>
      </c>
      <c r="E7" s="13" t="s">
        <v>23</v>
      </c>
      <c r="F7" s="14">
        <f t="shared" ref="F7:F23" si="0">D7/D$24</f>
        <v>0.8</v>
      </c>
      <c r="G7" s="15">
        <f>C4*F7</f>
        <v>4</v>
      </c>
      <c r="H7" s="30"/>
      <c r="I7" s="31"/>
      <c r="J7" s="16"/>
    </row>
    <row r="8" spans="1:10" x14ac:dyDescent="0.25">
      <c r="A8" s="1">
        <v>2</v>
      </c>
      <c r="B8" s="12"/>
      <c r="C8" s="12" t="s">
        <v>51</v>
      </c>
      <c r="D8" s="13">
        <v>50</v>
      </c>
      <c r="E8" s="13" t="s">
        <v>23</v>
      </c>
      <c r="F8" s="14">
        <f t="shared" si="0"/>
        <v>0.2</v>
      </c>
      <c r="G8" s="15">
        <f>C4*F8</f>
        <v>1</v>
      </c>
      <c r="H8" s="30"/>
      <c r="I8" s="31"/>
      <c r="J8" s="16"/>
    </row>
    <row r="9" spans="1:10" x14ac:dyDescent="0.25">
      <c r="A9" s="1">
        <v>3</v>
      </c>
      <c r="B9" s="12"/>
      <c r="C9" s="12"/>
      <c r="D9" s="13"/>
      <c r="E9" s="13" t="s">
        <v>23</v>
      </c>
      <c r="F9" s="14">
        <f t="shared" si="0"/>
        <v>0</v>
      </c>
      <c r="G9" s="15">
        <f>C4*F9</f>
        <v>0</v>
      </c>
      <c r="H9" s="30"/>
      <c r="I9" s="31"/>
      <c r="J9" s="16"/>
    </row>
    <row r="10" spans="1:10" x14ac:dyDescent="0.25">
      <c r="A10" s="1">
        <v>4</v>
      </c>
      <c r="B10" s="12"/>
      <c r="C10" s="12"/>
      <c r="D10" s="13"/>
      <c r="E10" s="13" t="s">
        <v>23</v>
      </c>
      <c r="F10" s="14">
        <f t="shared" si="0"/>
        <v>0</v>
      </c>
      <c r="G10" s="15">
        <f>C4*F10</f>
        <v>0</v>
      </c>
      <c r="H10" s="30"/>
      <c r="I10" s="31"/>
      <c r="J10" s="16"/>
    </row>
    <row r="11" spans="1:10" x14ac:dyDescent="0.25">
      <c r="A11" s="1">
        <v>5</v>
      </c>
      <c r="B11" s="12"/>
      <c r="C11" s="12"/>
      <c r="D11" s="13"/>
      <c r="E11" s="13" t="s">
        <v>23</v>
      </c>
      <c r="F11" s="14">
        <f t="shared" si="0"/>
        <v>0</v>
      </c>
      <c r="G11" s="15">
        <f>C4*F11</f>
        <v>0</v>
      </c>
      <c r="H11" s="30"/>
      <c r="I11" s="31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30"/>
      <c r="I12" s="31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30"/>
      <c r="I13" s="31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30"/>
      <c r="I14" s="31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30"/>
      <c r="I15" s="31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30"/>
      <c r="I16" s="31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30"/>
      <c r="I17" s="31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30"/>
      <c r="I18" s="31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30"/>
      <c r="I19" s="31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30"/>
      <c r="I20" s="31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30"/>
      <c r="I21" s="31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30"/>
      <c r="I22" s="31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30"/>
      <c r="I23" s="31"/>
      <c r="J23" s="16"/>
    </row>
    <row r="24" spans="1:10" x14ac:dyDescent="0.25">
      <c r="C24" s="17" t="s">
        <v>12</v>
      </c>
      <c r="D24" s="1">
        <f>SUM(D7:D23)</f>
        <v>250</v>
      </c>
      <c r="E24" s="1" t="s">
        <v>23</v>
      </c>
      <c r="F24" s="18">
        <f>SUM(F7:F23)</f>
        <v>1</v>
      </c>
      <c r="G24" s="26">
        <f>SUM(G7:G23)</f>
        <v>5</v>
      </c>
      <c r="H24" s="19" t="s">
        <v>13</v>
      </c>
    </row>
    <row r="25" spans="1:10" x14ac:dyDescent="0.25">
      <c r="F25" s="25" t="s">
        <v>24</v>
      </c>
      <c r="G25" s="20" t="e">
        <f>-G24*G4+C4</f>
        <v>#VALUE!</v>
      </c>
    </row>
    <row r="26" spans="1:10" ht="15.75" x14ac:dyDescent="0.25">
      <c r="A26"/>
      <c r="B26" s="32" t="s">
        <v>14</v>
      </c>
      <c r="C26" s="32"/>
      <c r="D26" s="32"/>
      <c r="E26" s="32"/>
      <c r="F26" s="32"/>
      <c r="G26" s="32"/>
      <c r="H26" s="32"/>
      <c r="I26" s="32"/>
      <c r="J26" s="3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3" t="s">
        <v>53</v>
      </c>
      <c r="C28" s="34"/>
      <c r="D28" s="34"/>
      <c r="E28" s="34"/>
      <c r="F28" s="34"/>
      <c r="G28" s="34"/>
      <c r="H28" s="34"/>
      <c r="I28" s="34"/>
      <c r="J28" s="35"/>
    </row>
    <row r="29" spans="1:10" x14ac:dyDescent="0.25">
      <c r="A29" s="1">
        <v>2</v>
      </c>
      <c r="B29" s="33"/>
      <c r="C29" s="34"/>
      <c r="D29" s="34"/>
      <c r="E29" s="34"/>
      <c r="F29" s="34"/>
      <c r="G29" s="34"/>
      <c r="H29" s="34"/>
      <c r="I29" s="34"/>
      <c r="J29" s="35"/>
    </row>
    <row r="30" spans="1:10" x14ac:dyDescent="0.25">
      <c r="A30" s="1">
        <v>3</v>
      </c>
      <c r="B30" s="36"/>
      <c r="C30" s="37"/>
      <c r="D30" s="37"/>
      <c r="E30" s="37"/>
      <c r="F30" s="37"/>
      <c r="G30" s="37"/>
      <c r="H30" s="37"/>
      <c r="I30" s="37"/>
      <c r="J30" s="38"/>
    </row>
    <row r="31" spans="1:10" x14ac:dyDescent="0.25">
      <c r="A31" s="1">
        <v>4</v>
      </c>
      <c r="B31" s="27"/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1">
        <v>5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1">
        <v>6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1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1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1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1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1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28" t="s">
        <v>17</v>
      </c>
      <c r="C43" s="28"/>
      <c r="E43" s="28" t="s">
        <v>18</v>
      </c>
      <c r="F43" s="28"/>
      <c r="H43" s="29" t="s">
        <v>19</v>
      </c>
      <c r="I43" s="29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FB113E03-6511-4219-8043-11D46B24BA0D}"/>
</file>

<file path=customXml/itemProps2.xml><?xml version="1.0" encoding="utf-8"?>
<ds:datastoreItem xmlns:ds="http://schemas.openxmlformats.org/officeDocument/2006/customXml" ds:itemID="{8A2BC77A-119F-4047-9118-666D2E9C2AEC}"/>
</file>

<file path=customXml/itemProps3.xml><?xml version="1.0" encoding="utf-8"?>
<ds:datastoreItem xmlns:ds="http://schemas.openxmlformats.org/officeDocument/2006/customXml" ds:itemID="{E60006F3-4BA1-4252-AF9B-FF94A04C4D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PONZU GLAZE</vt:lpstr>
      <vt:lpstr>Ponzu LiquiD</vt:lpstr>
      <vt:lpstr>Ponzu Base (2)</vt:lpstr>
      <vt:lpstr>Blanched Jalapenos</vt:lpstr>
      <vt:lpstr>Marinated Jalapenos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dcterms:created xsi:type="dcterms:W3CDTF">2023-08-17T15:10:54Z</dcterms:created>
  <dcterms:modified xsi:type="dcterms:W3CDTF">2025-01-22T20:55:57Z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</Properties>
</file>