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ldberggroup-my.sharepoint.com/personal/chuynh_goldbergsgroup_com/Documents/Documents/VA Batch Sheets/"/>
    </mc:Choice>
  </mc:AlternateContent>
  <xr:revisionPtr revIDLastSave="0" documentId="8_{5C224B5D-6569-4212-B16B-E1641EE0F4F8}" xr6:coauthVersionLast="47" xr6:coauthVersionMax="47" xr10:uidLastSave="{00000000-0000-0000-0000-000000000000}"/>
  <bookViews>
    <workbookView xWindow="-120" yWindow="-120" windowWidth="20730" windowHeight="11040" xr2:uid="{BCB32242-9649-4316-B0EB-98B153E7FE23}"/>
  </bookViews>
  <sheets>
    <sheet name="MIX" sheetId="2" r:id="rId1"/>
    <sheet name="COUSCOU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2" l="1"/>
  <c r="F23" i="2" s="1"/>
  <c r="G23" i="2" s="1"/>
  <c r="D24" i="1"/>
  <c r="F23" i="1" s="1"/>
  <c r="G23" i="1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G10" i="1"/>
  <c r="F10" i="1"/>
  <c r="F9" i="1"/>
  <c r="G9" i="1" s="1"/>
  <c r="F8" i="1"/>
  <c r="G8" i="1" s="1"/>
  <c r="F7" i="1"/>
  <c r="F10" i="2" l="1"/>
  <c r="G10" i="2" s="1"/>
  <c r="F12" i="2"/>
  <c r="G12" i="2" s="1"/>
  <c r="F8" i="2"/>
  <c r="G8" i="2" s="1"/>
  <c r="F14" i="2"/>
  <c r="G14" i="2" s="1"/>
  <c r="F16" i="2"/>
  <c r="G16" i="2" s="1"/>
  <c r="F18" i="2"/>
  <c r="G18" i="2" s="1"/>
  <c r="F20" i="2"/>
  <c r="G20" i="2" s="1"/>
  <c r="F22" i="2"/>
  <c r="G22" i="2" s="1"/>
  <c r="F7" i="2"/>
  <c r="F9" i="2"/>
  <c r="G9" i="2" s="1"/>
  <c r="F11" i="2"/>
  <c r="G11" i="2" s="1"/>
  <c r="F13" i="2"/>
  <c r="G13" i="2" s="1"/>
  <c r="F15" i="2"/>
  <c r="G15" i="2" s="1"/>
  <c r="F17" i="2"/>
  <c r="G17" i="2" s="1"/>
  <c r="F19" i="2"/>
  <c r="G19" i="2" s="1"/>
  <c r="F21" i="2"/>
  <c r="G21" i="2" s="1"/>
  <c r="F19" i="1"/>
  <c r="G19" i="1" s="1"/>
  <c r="F20" i="1"/>
  <c r="G20" i="1" s="1"/>
  <c r="F21" i="1"/>
  <c r="G21" i="1" s="1"/>
  <c r="F22" i="1"/>
  <c r="G22" i="1" s="1"/>
  <c r="G7" i="1"/>
  <c r="G7" i="2" l="1"/>
  <c r="G24" i="2" s="1"/>
  <c r="G25" i="2" s="1"/>
  <c r="F24" i="2"/>
  <c r="G24" i="1"/>
  <c r="G25" i="1" s="1"/>
  <c r="F24" i="1"/>
</calcChain>
</file>

<file path=xl/sharedStrings.xml><?xml version="1.0" encoding="utf-8"?>
<sst xmlns="http://schemas.openxmlformats.org/spreadsheetml/2006/main" count="103" uniqueCount="42">
  <si>
    <t>Formula Name:</t>
  </si>
  <si>
    <t>R&amp;D ID Number:</t>
  </si>
  <si>
    <t>Version #:</t>
  </si>
  <si>
    <t>Batch Number:</t>
  </si>
  <si>
    <t>Desired QTY (lb):</t>
  </si>
  <si>
    <t>Yield Loss:</t>
  </si>
  <si>
    <t>%</t>
  </si>
  <si>
    <t>Item Number</t>
  </si>
  <si>
    <t>Description</t>
  </si>
  <si>
    <t>Original Fromula</t>
  </si>
  <si>
    <t>UOM</t>
  </si>
  <si>
    <t>Desired (lb)</t>
  </si>
  <si>
    <t>Lot Code</t>
  </si>
  <si>
    <t>Notes</t>
  </si>
  <si>
    <t>lb</t>
  </si>
  <si>
    <t>Total Sample Formula Weight:</t>
  </si>
  <si>
    <t>Total Weight</t>
  </si>
  <si>
    <t>Weight After Yield Loss</t>
  </si>
  <si>
    <t>Procedure</t>
  </si>
  <si>
    <t>Batch Formula Instructions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</si>
  <si>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</si>
  <si>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</si>
  <si>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</si>
  <si>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 xml:space="preserve">                    Reviewed By</t>
  </si>
  <si>
    <t xml:space="preserve">                                          Date</t>
  </si>
  <si>
    <t>WATER</t>
  </si>
  <si>
    <t>SAFFRON</t>
  </si>
  <si>
    <t>SALT</t>
  </si>
  <si>
    <t>PEARL COUSCOUS</t>
  </si>
  <si>
    <t>Saffron Cous Cous Salad Mix</t>
  </si>
  <si>
    <t>Cooked Saffron Cous Cous</t>
  </si>
  <si>
    <t>COOKED SAFFRON COUSCOUS</t>
  </si>
  <si>
    <t>D258</t>
  </si>
  <si>
    <t>OIL OLIVE EXTRA VIRGIN</t>
  </si>
  <si>
    <t>D080</t>
  </si>
  <si>
    <t xml:space="preserve">PEPPER ROASTED RED DICED </t>
  </si>
  <si>
    <t>D089</t>
  </si>
  <si>
    <t>SALT EVAPORATED</t>
  </si>
  <si>
    <t>P284</t>
  </si>
  <si>
    <t>JUICE LEMON FRESH</t>
  </si>
  <si>
    <t>C047</t>
  </si>
  <si>
    <t>KALE GREEN CURLY CHOPPED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</si>
</sst>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 applyProtection="1">
      <alignment horizontal="left"/>
      <protection locked="0"/>
    </xf>
    <xf numFmtId="0" fontId="2" fillId="0" borderId="0" xfId="0" applyFont="1"/>
    <xf numFmtId="0" fontId="0" fillId="3" borderId="0" xfId="0" applyFill="1" applyAlignment="1" applyProtection="1">
      <alignment horizontal="center"/>
      <protection locked="0"/>
    </xf>
    <xf numFmtId="9" fontId="0" fillId="4" borderId="0" xfId="2" applyFont="1" applyFill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10" fontId="0" fillId="0" borderId="4" xfId="2" applyNumberFormat="1" applyFont="1" applyBorder="1" applyAlignment="1">
      <alignment horizontal="center"/>
    </xf>
    <xf numFmtId="2" fontId="0" fillId="3" borderId="4" xfId="1" applyNumberFormat="1" applyFont="1" applyFill="1" applyBorder="1" applyAlignment="1">
      <alignment horizontal="center"/>
    </xf>
    <xf numFmtId="0" fontId="0" fillId="0" borderId="4" xfId="0" applyBorder="1" applyProtection="1">
      <protection locked="0"/>
    </xf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/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4" xfId="0" applyBorder="1"/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44" fontId="0" fillId="0" borderId="5" xfId="1" applyFont="1" applyBorder="1" applyAlignment="1" applyProtection="1">
      <alignment horizontal="center"/>
      <protection locked="0"/>
    </xf>
    <xf numFmtId="44" fontId="0" fillId="0" borderId="6" xfId="1" applyFont="1" applyBorder="1" applyAlignment="1" applyProtection="1">
      <alignment horizontal="center"/>
      <protection locked="0"/>
    </xf>
    <xf numFmtId="0" fontId="3" fillId="2" borderId="4" xfId="0" applyFont="1" applyFill="1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6" xfId="0" applyBorder="1"/>
    <xf numFmtId="0" fontId="0" fillId="6" borderId="5" xfId="0" applyFill="1" applyBorder="1"/>
    <xf numFmtId="0" fontId="0" fillId="6" borderId="7" xfId="0" applyFill="1" applyBorder="1"/>
    <xf numFmtId="0" fontId="0" fillId="6" borderId="6" xfId="0" applyFill="1" applyBorder="1"/>
    <xf numFmtId="0" fontId="0" fillId="2" borderId="2" xfId="0" applyFill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6A423-8A78-4E6D-B99B-8E3E6B2D3A38}">
  <sheetPr>
    <pageSetUpPr fitToPage="1"/>
  </sheetPr>
  <dimension ref="A1:J43"/>
  <sheetViews>
    <sheetView tabSelected="1" workbookViewId="0">
      <selection activeCell="F13" sqref="F13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29</v>
      </c>
      <c r="D2" s="5" t="s">
        <v>1</v>
      </c>
      <c r="E2" s="39"/>
      <c r="F2" s="39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4</v>
      </c>
      <c r="C4" s="10"/>
      <c r="D4" s="9"/>
      <c r="F4" s="2" t="s">
        <v>5</v>
      </c>
      <c r="G4" s="11" t="s">
        <v>6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2" t="s">
        <v>7</v>
      </c>
      <c r="C6" s="12" t="s">
        <v>8</v>
      </c>
      <c r="D6" s="12" t="s">
        <v>9</v>
      </c>
      <c r="E6" s="12" t="s">
        <v>10</v>
      </c>
      <c r="F6" s="12" t="s">
        <v>6</v>
      </c>
      <c r="G6" s="12" t="s">
        <v>11</v>
      </c>
      <c r="H6" s="40" t="s">
        <v>12</v>
      </c>
      <c r="I6" s="41"/>
      <c r="J6" s="12" t="s">
        <v>13</v>
      </c>
    </row>
    <row r="7" spans="1:10" x14ac:dyDescent="0.25">
      <c r="A7" s="1">
        <v>1</v>
      </c>
      <c r="B7" s="13"/>
      <c r="C7" s="13" t="s">
        <v>31</v>
      </c>
      <c r="D7" s="14">
        <v>400</v>
      </c>
      <c r="E7" s="14" t="s">
        <v>14</v>
      </c>
      <c r="F7" s="15">
        <f t="shared" ref="F7:F23" si="0">D7/D$24</f>
        <v>0.81799591002044991</v>
      </c>
      <c r="G7" s="16">
        <f>C4*F7</f>
        <v>0</v>
      </c>
      <c r="H7" s="30"/>
      <c r="I7" s="31"/>
      <c r="J7" s="17"/>
    </row>
    <row r="8" spans="1:10" x14ac:dyDescent="0.25">
      <c r="A8" s="1">
        <v>2</v>
      </c>
      <c r="B8" s="13" t="s">
        <v>32</v>
      </c>
      <c r="C8" s="13" t="s">
        <v>33</v>
      </c>
      <c r="D8" s="14">
        <v>10</v>
      </c>
      <c r="E8" s="14" t="s">
        <v>14</v>
      </c>
      <c r="F8" s="15">
        <f t="shared" si="0"/>
        <v>2.0449897750511249E-2</v>
      </c>
      <c r="G8" s="16">
        <f>C4*F8</f>
        <v>0</v>
      </c>
      <c r="H8" s="30"/>
      <c r="I8" s="31"/>
      <c r="J8" s="17"/>
    </row>
    <row r="9" spans="1:10" x14ac:dyDescent="0.25">
      <c r="A9" s="1">
        <v>3</v>
      </c>
      <c r="B9" s="13" t="s">
        <v>34</v>
      </c>
      <c r="C9" s="13" t="s">
        <v>35</v>
      </c>
      <c r="D9" s="14">
        <v>25</v>
      </c>
      <c r="E9" s="14" t="s">
        <v>14</v>
      </c>
      <c r="F9" s="15">
        <f t="shared" si="0"/>
        <v>5.112474437627812E-2</v>
      </c>
      <c r="G9" s="16">
        <f>C4*F9</f>
        <v>0</v>
      </c>
      <c r="H9" s="30"/>
      <c r="I9" s="31"/>
      <c r="J9" s="17"/>
    </row>
    <row r="10" spans="1:10" x14ac:dyDescent="0.25">
      <c r="A10" s="1">
        <v>4</v>
      </c>
      <c r="B10" s="13" t="s">
        <v>36</v>
      </c>
      <c r="C10" s="13" t="s">
        <v>37</v>
      </c>
      <c r="D10" s="14">
        <v>2</v>
      </c>
      <c r="E10" s="14" t="s">
        <v>14</v>
      </c>
      <c r="F10" s="15">
        <f t="shared" si="0"/>
        <v>4.0899795501022499E-3</v>
      </c>
      <c r="G10" s="16">
        <f>C4*F10</f>
        <v>0</v>
      </c>
      <c r="H10" s="30"/>
      <c r="I10" s="31"/>
      <c r="J10" s="17"/>
    </row>
    <row r="11" spans="1:10" x14ac:dyDescent="0.25">
      <c r="A11" s="1">
        <v>5</v>
      </c>
      <c r="B11" s="13" t="s">
        <v>38</v>
      </c>
      <c r="C11" s="13" t="s">
        <v>39</v>
      </c>
      <c r="D11" s="14">
        <v>2</v>
      </c>
      <c r="E11" s="14" t="s">
        <v>14</v>
      </c>
      <c r="F11" s="15">
        <f t="shared" si="0"/>
        <v>4.0899795501022499E-3</v>
      </c>
      <c r="G11" s="16">
        <f>C4*F11</f>
        <v>0</v>
      </c>
      <c r="H11" s="30"/>
      <c r="I11" s="31"/>
      <c r="J11" s="17"/>
    </row>
    <row r="12" spans="1:10" x14ac:dyDescent="0.25">
      <c r="A12" s="1">
        <v>6</v>
      </c>
      <c r="B12" s="13" t="s">
        <v>40</v>
      </c>
      <c r="C12" s="13" t="s">
        <v>41</v>
      </c>
      <c r="D12" s="14">
        <v>50</v>
      </c>
      <c r="E12" s="14" t="s">
        <v>14</v>
      </c>
      <c r="F12" s="15">
        <f t="shared" si="0"/>
        <v>0.10224948875255624</v>
      </c>
      <c r="G12" s="16">
        <f>C4*F12</f>
        <v>0</v>
      </c>
      <c r="H12" s="30"/>
      <c r="I12" s="31"/>
      <c r="J12" s="17"/>
    </row>
    <row r="13" spans="1:10" x14ac:dyDescent="0.25">
      <c r="A13" s="1">
        <v>7</v>
      </c>
      <c r="B13" s="13"/>
      <c r="C13" s="13"/>
      <c r="D13" s="14"/>
      <c r="E13" s="14" t="s">
        <v>14</v>
      </c>
      <c r="F13" s="15">
        <f t="shared" si="0"/>
        <v>0</v>
      </c>
      <c r="G13" s="16">
        <f>C4*F13</f>
        <v>0</v>
      </c>
      <c r="H13" s="30"/>
      <c r="I13" s="31"/>
      <c r="J13" s="17"/>
    </row>
    <row r="14" spans="1:10" x14ac:dyDescent="0.25">
      <c r="A14" s="1">
        <v>8</v>
      </c>
      <c r="B14" s="13"/>
      <c r="C14" s="13"/>
      <c r="D14" s="14"/>
      <c r="E14" s="14" t="s">
        <v>14</v>
      </c>
      <c r="F14" s="15">
        <f t="shared" si="0"/>
        <v>0</v>
      </c>
      <c r="G14" s="16">
        <f>C4*F14</f>
        <v>0</v>
      </c>
      <c r="H14" s="30"/>
      <c r="I14" s="31"/>
      <c r="J14" s="17"/>
    </row>
    <row r="15" spans="1:10" x14ac:dyDescent="0.25">
      <c r="A15" s="1">
        <v>9</v>
      </c>
      <c r="B15" s="13"/>
      <c r="C15" s="13"/>
      <c r="D15" s="14"/>
      <c r="E15" s="14" t="s">
        <v>14</v>
      </c>
      <c r="F15" s="15">
        <f t="shared" si="0"/>
        <v>0</v>
      </c>
      <c r="G15" s="16">
        <f>C4*F15</f>
        <v>0</v>
      </c>
      <c r="H15" s="30"/>
      <c r="I15" s="31"/>
      <c r="J15" s="17"/>
    </row>
    <row r="16" spans="1:10" x14ac:dyDescent="0.25">
      <c r="A16" s="1">
        <v>10</v>
      </c>
      <c r="B16" s="13"/>
      <c r="C16" s="13"/>
      <c r="D16" s="14"/>
      <c r="E16" s="14" t="s">
        <v>14</v>
      </c>
      <c r="F16" s="15">
        <f t="shared" si="0"/>
        <v>0</v>
      </c>
      <c r="G16" s="16">
        <f>C4*F16</f>
        <v>0</v>
      </c>
      <c r="H16" s="30"/>
      <c r="I16" s="31"/>
      <c r="J16" s="17"/>
    </row>
    <row r="17" spans="1:10" x14ac:dyDescent="0.25">
      <c r="A17" s="1">
        <v>11</v>
      </c>
      <c r="B17" s="13"/>
      <c r="C17" s="13"/>
      <c r="D17" s="14"/>
      <c r="E17" s="14" t="s">
        <v>14</v>
      </c>
      <c r="F17" s="15">
        <f t="shared" si="0"/>
        <v>0</v>
      </c>
      <c r="G17" s="16">
        <f>C4*F17</f>
        <v>0</v>
      </c>
      <c r="H17" s="30"/>
      <c r="I17" s="31"/>
      <c r="J17" s="17"/>
    </row>
    <row r="18" spans="1:10" x14ac:dyDescent="0.25">
      <c r="A18" s="1">
        <v>12</v>
      </c>
      <c r="B18" s="13"/>
      <c r="C18" s="13"/>
      <c r="D18" s="14"/>
      <c r="E18" s="14" t="s">
        <v>14</v>
      </c>
      <c r="F18" s="15">
        <f t="shared" si="0"/>
        <v>0</v>
      </c>
      <c r="G18" s="16">
        <f>C4*F18</f>
        <v>0</v>
      </c>
      <c r="H18" s="30"/>
      <c r="I18" s="31"/>
      <c r="J18" s="17"/>
    </row>
    <row r="19" spans="1:10" x14ac:dyDescent="0.25">
      <c r="A19" s="1">
        <v>13</v>
      </c>
      <c r="B19" s="13"/>
      <c r="C19" s="13"/>
      <c r="D19" s="14"/>
      <c r="E19" s="14" t="s">
        <v>14</v>
      </c>
      <c r="F19" s="15">
        <f t="shared" si="0"/>
        <v>0</v>
      </c>
      <c r="G19" s="16">
        <f>C4*F19</f>
        <v>0</v>
      </c>
      <c r="H19" s="30"/>
      <c r="I19" s="31"/>
      <c r="J19" s="17"/>
    </row>
    <row r="20" spans="1:10" x14ac:dyDescent="0.25">
      <c r="A20" s="1">
        <v>14</v>
      </c>
      <c r="B20" s="13"/>
      <c r="C20" s="13"/>
      <c r="D20" s="14"/>
      <c r="E20" s="14" t="s">
        <v>14</v>
      </c>
      <c r="F20" s="15">
        <f t="shared" si="0"/>
        <v>0</v>
      </c>
      <c r="G20" s="16">
        <f>C4*F20</f>
        <v>0</v>
      </c>
      <c r="H20" s="30"/>
      <c r="I20" s="31"/>
      <c r="J20" s="17"/>
    </row>
    <row r="21" spans="1:10" x14ac:dyDescent="0.25">
      <c r="A21" s="1">
        <v>15</v>
      </c>
      <c r="B21" s="13"/>
      <c r="C21" s="13"/>
      <c r="D21" s="14"/>
      <c r="E21" s="14" t="s">
        <v>14</v>
      </c>
      <c r="F21" s="15">
        <f t="shared" si="0"/>
        <v>0</v>
      </c>
      <c r="G21" s="16">
        <f>C4*F21</f>
        <v>0</v>
      </c>
      <c r="H21" s="30"/>
      <c r="I21" s="31"/>
      <c r="J21" s="17"/>
    </row>
    <row r="22" spans="1:10" x14ac:dyDescent="0.25">
      <c r="A22" s="1">
        <v>16</v>
      </c>
      <c r="B22" s="13"/>
      <c r="C22" s="13"/>
      <c r="D22" s="14"/>
      <c r="E22" s="14" t="s">
        <v>14</v>
      </c>
      <c r="F22" s="15">
        <f t="shared" si="0"/>
        <v>0</v>
      </c>
      <c r="G22" s="16">
        <f>C4*F22</f>
        <v>0</v>
      </c>
      <c r="H22" s="30"/>
      <c r="I22" s="31"/>
      <c r="J22" s="17"/>
    </row>
    <row r="23" spans="1:10" x14ac:dyDescent="0.25">
      <c r="A23" s="1">
        <v>17</v>
      </c>
      <c r="B23" s="13"/>
      <c r="C23" s="13"/>
      <c r="D23" s="14"/>
      <c r="E23" s="14" t="s">
        <v>14</v>
      </c>
      <c r="F23" s="15">
        <f t="shared" si="0"/>
        <v>0</v>
      </c>
      <c r="G23" s="16">
        <f>C4*F23</f>
        <v>0</v>
      </c>
      <c r="H23" s="30"/>
      <c r="I23" s="31"/>
      <c r="J23" s="17"/>
    </row>
    <row r="24" spans="1:10" x14ac:dyDescent="0.25">
      <c r="C24" s="18" t="s">
        <v>15</v>
      </c>
      <c r="D24" s="1">
        <f>SUM(D7:D23)</f>
        <v>489</v>
      </c>
      <c r="E24" s="1" t="s">
        <v>14</v>
      </c>
      <c r="F24" s="19">
        <f>SUM(F7:F23)</f>
        <v>1</v>
      </c>
      <c r="G24" s="20">
        <f>SUM(G7:G23)</f>
        <v>0</v>
      </c>
      <c r="H24" s="21" t="s">
        <v>16</v>
      </c>
    </row>
    <row r="25" spans="1:10" x14ac:dyDescent="0.25">
      <c r="F25" s="11" t="s">
        <v>17</v>
      </c>
      <c r="G25" s="22" t="e">
        <f>-G24*G4+C4</f>
        <v>#VALUE!</v>
      </c>
    </row>
    <row r="26" spans="1:10" ht="15.75" x14ac:dyDescent="0.25">
      <c r="A26"/>
      <c r="B26" s="32" t="s">
        <v>18</v>
      </c>
      <c r="C26" s="32"/>
      <c r="D26" s="32"/>
      <c r="E26" s="32"/>
      <c r="F26" s="32"/>
      <c r="G26" s="32"/>
      <c r="H26" s="32"/>
      <c r="I26" s="32"/>
      <c r="J26" s="32"/>
    </row>
    <row r="27" spans="1:10" ht="15.75" x14ac:dyDescent="0.25">
      <c r="A27"/>
      <c r="B27" s="23" t="s">
        <v>19</v>
      </c>
      <c r="C27" s="24"/>
      <c r="D27" s="24"/>
      <c r="E27" s="24"/>
      <c r="F27" s="24"/>
      <c r="G27" s="24"/>
      <c r="H27" s="24"/>
      <c r="I27" s="24"/>
      <c r="J27" s="24"/>
    </row>
    <row r="28" spans="1:10" x14ac:dyDescent="0.25">
      <c r="A28" s="1">
        <v>1</v>
      </c>
      <c r="B28" s="33"/>
      <c r="C28" s="34"/>
      <c r="D28" s="34"/>
      <c r="E28" s="34"/>
      <c r="F28" s="34"/>
      <c r="G28" s="34"/>
      <c r="H28" s="34"/>
      <c r="I28" s="34"/>
      <c r="J28" s="35"/>
    </row>
    <row r="29" spans="1:10" x14ac:dyDescent="0.25">
      <c r="A29" s="1">
        <v>2</v>
      </c>
      <c r="B29" s="33"/>
      <c r="C29" s="34"/>
      <c r="D29" s="34"/>
      <c r="E29" s="34"/>
      <c r="F29" s="34"/>
      <c r="G29" s="34"/>
      <c r="H29" s="34"/>
      <c r="I29" s="34"/>
      <c r="J29" s="35"/>
    </row>
    <row r="30" spans="1:10" x14ac:dyDescent="0.25">
      <c r="A30" s="1">
        <v>3</v>
      </c>
      <c r="B30" s="36"/>
      <c r="C30" s="37"/>
      <c r="D30" s="37"/>
      <c r="E30" s="37"/>
      <c r="F30" s="37"/>
      <c r="G30" s="37"/>
      <c r="H30" s="37"/>
      <c r="I30" s="37"/>
      <c r="J30" s="38"/>
    </row>
    <row r="31" spans="1:10" x14ac:dyDescent="0.25">
      <c r="A31" s="1">
        <v>4</v>
      </c>
      <c r="B31" s="27"/>
      <c r="C31" s="27"/>
      <c r="D31" s="27"/>
      <c r="E31" s="27"/>
      <c r="F31" s="27"/>
      <c r="G31" s="27"/>
      <c r="H31" s="27"/>
      <c r="I31" s="27"/>
      <c r="J31" s="27"/>
    </row>
    <row r="32" spans="1:10" x14ac:dyDescent="0.25">
      <c r="A32" s="1">
        <v>5</v>
      </c>
      <c r="B32" s="27"/>
      <c r="C32" s="27"/>
      <c r="D32" s="27"/>
      <c r="E32" s="27"/>
      <c r="F32" s="27"/>
      <c r="G32" s="27"/>
      <c r="H32" s="27"/>
      <c r="I32" s="27"/>
      <c r="J32" s="27"/>
    </row>
    <row r="33" spans="1:10" x14ac:dyDescent="0.25">
      <c r="A33" s="1">
        <v>6</v>
      </c>
      <c r="B33" s="27"/>
      <c r="C33" s="27"/>
      <c r="D33" s="27"/>
      <c r="E33" s="27"/>
      <c r="F33" s="27"/>
      <c r="G33" s="27"/>
      <c r="H33" s="27"/>
      <c r="I33" s="27"/>
      <c r="J33" s="27"/>
    </row>
    <row r="34" spans="1:10" x14ac:dyDescent="0.25">
      <c r="A34" s="1">
        <v>7</v>
      </c>
      <c r="B34" s="27"/>
      <c r="C34" s="27"/>
      <c r="D34" s="27"/>
      <c r="E34" s="27"/>
      <c r="F34" s="27"/>
      <c r="G34" s="27"/>
      <c r="H34" s="27"/>
      <c r="I34" s="27"/>
      <c r="J34" s="27"/>
    </row>
    <row r="35" spans="1:10" x14ac:dyDescent="0.25">
      <c r="A35" s="1">
        <v>8</v>
      </c>
      <c r="B35" s="27"/>
      <c r="C35" s="27"/>
      <c r="D35" s="27"/>
      <c r="E35" s="27"/>
      <c r="F35" s="27"/>
      <c r="G35" s="27"/>
      <c r="H35" s="27"/>
      <c r="I35" s="27"/>
      <c r="J35" s="27"/>
    </row>
    <row r="36" spans="1:10" x14ac:dyDescent="0.25">
      <c r="A36" s="1">
        <v>9</v>
      </c>
      <c r="B36" s="27"/>
      <c r="C36" s="27"/>
      <c r="D36" s="27"/>
      <c r="E36" s="27"/>
      <c r="F36" s="27"/>
      <c r="G36" s="27"/>
      <c r="H36" s="27"/>
      <c r="I36" s="27"/>
      <c r="J36" s="27"/>
    </row>
    <row r="37" spans="1:10" x14ac:dyDescent="0.25">
      <c r="A37" s="1">
        <v>10</v>
      </c>
      <c r="B37" s="27"/>
      <c r="C37" s="27"/>
      <c r="D37" s="27"/>
      <c r="E37" s="27"/>
      <c r="F37" s="27"/>
      <c r="G37" s="27"/>
      <c r="H37" s="27"/>
      <c r="I37" s="27"/>
      <c r="J37" s="27"/>
    </row>
    <row r="38" spans="1:10" x14ac:dyDescent="0.25">
      <c r="A38" s="1">
        <v>11</v>
      </c>
      <c r="B38" s="27"/>
      <c r="C38" s="27"/>
      <c r="D38" s="27"/>
      <c r="E38" s="27"/>
      <c r="F38" s="27"/>
      <c r="G38" s="27"/>
      <c r="H38" s="27"/>
      <c r="I38" s="27"/>
      <c r="J38" s="27"/>
    </row>
    <row r="40" spans="1:10" x14ac:dyDescent="0.25">
      <c r="B40" t="s">
        <v>20</v>
      </c>
    </row>
    <row r="42" spans="1:10" x14ac:dyDescent="0.25">
      <c r="B42" s="25"/>
      <c r="C42" s="25"/>
      <c r="D42" s="26"/>
      <c r="E42" s="26"/>
      <c r="F42" s="25"/>
      <c r="H42" s="25"/>
      <c r="I42" s="25"/>
      <c r="J42" s="25"/>
    </row>
    <row r="43" spans="1:10" x14ac:dyDescent="0.25">
      <c r="B43" s="28" t="s">
        <v>21</v>
      </c>
      <c r="C43" s="28"/>
      <c r="E43" s="28" t="s">
        <v>22</v>
      </c>
      <c r="F43" s="28"/>
      <c r="H43" s="29" t="s">
        <v>23</v>
      </c>
      <c r="I43" s="29"/>
      <c r="J43" s="2" t="s">
        <v>24</v>
      </c>
    </row>
  </sheetData>
  <mergeCells count="34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</mergeCells>
  <pageMargins left="0.7" right="0.7" top="0.75" bottom="0.75" header="0.3" footer="0.3"/>
  <pageSetup scale="6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A72CA-25A4-4197-9E5B-3F65403717E2}">
  <sheetPr>
    <pageSetUpPr fitToPage="1"/>
  </sheetPr>
  <dimension ref="A1:J43"/>
  <sheetViews>
    <sheetView workbookViewId="0">
      <selection activeCell="C2" sqref="C2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30</v>
      </c>
      <c r="D2" s="5" t="s">
        <v>1</v>
      </c>
      <c r="E2" s="39"/>
      <c r="F2" s="39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4</v>
      </c>
      <c r="C4" s="10"/>
      <c r="D4" s="9"/>
      <c r="F4" s="2" t="s">
        <v>5</v>
      </c>
      <c r="G4" s="11" t="s">
        <v>6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2" t="s">
        <v>7</v>
      </c>
      <c r="C6" s="12" t="s">
        <v>8</v>
      </c>
      <c r="D6" s="12" t="s">
        <v>9</v>
      </c>
      <c r="E6" s="12" t="s">
        <v>10</v>
      </c>
      <c r="F6" s="12" t="s">
        <v>6</v>
      </c>
      <c r="G6" s="12" t="s">
        <v>11</v>
      </c>
      <c r="H6" s="40" t="s">
        <v>12</v>
      </c>
      <c r="I6" s="41"/>
      <c r="J6" s="12" t="s">
        <v>13</v>
      </c>
    </row>
    <row r="7" spans="1:10" x14ac:dyDescent="0.25">
      <c r="A7" s="1">
        <v>1</v>
      </c>
      <c r="B7" s="13"/>
      <c r="C7" s="13" t="s">
        <v>25</v>
      </c>
      <c r="D7" s="14">
        <v>500</v>
      </c>
      <c r="E7" s="14" t="s">
        <v>14</v>
      </c>
      <c r="F7" s="15">
        <f t="shared" ref="F7:F23" si="0">D7/D$24</f>
        <v>0.70619972740690529</v>
      </c>
      <c r="G7" s="16">
        <f>C4*F7</f>
        <v>0</v>
      </c>
      <c r="H7" s="30"/>
      <c r="I7" s="31"/>
      <c r="J7" s="17"/>
    </row>
    <row r="8" spans="1:10" x14ac:dyDescent="0.25">
      <c r="A8" s="1">
        <v>2</v>
      </c>
      <c r="B8" s="13"/>
      <c r="C8" s="13" t="s">
        <v>28</v>
      </c>
      <c r="D8" s="14">
        <v>200</v>
      </c>
      <c r="E8" s="14" t="s">
        <v>14</v>
      </c>
      <c r="F8" s="15">
        <f t="shared" si="0"/>
        <v>0.2824798909627621</v>
      </c>
      <c r="G8" s="16">
        <f>C4*F8</f>
        <v>0</v>
      </c>
      <c r="H8" s="30"/>
      <c r="I8" s="31"/>
      <c r="J8" s="17"/>
    </row>
    <row r="9" spans="1:10" x14ac:dyDescent="0.25">
      <c r="A9" s="1">
        <v>3</v>
      </c>
      <c r="B9" s="13"/>
      <c r="C9" s="13" t="s">
        <v>26</v>
      </c>
      <c r="D9" s="14">
        <v>1.4999999999999999E-2</v>
      </c>
      <c r="E9" s="14" t="s">
        <v>14</v>
      </c>
      <c r="F9" s="15">
        <f t="shared" si="0"/>
        <v>2.1185991822207156E-5</v>
      </c>
      <c r="G9" s="16">
        <f>C4*F9</f>
        <v>0</v>
      </c>
      <c r="H9" s="30"/>
      <c r="I9" s="31"/>
      <c r="J9" s="17"/>
    </row>
    <row r="10" spans="1:10" x14ac:dyDescent="0.25">
      <c r="A10" s="1">
        <v>4</v>
      </c>
      <c r="B10" s="13"/>
      <c r="C10" s="13" t="s">
        <v>27</v>
      </c>
      <c r="D10" s="14">
        <v>8</v>
      </c>
      <c r="E10" s="14" t="s">
        <v>14</v>
      </c>
      <c r="F10" s="15">
        <f t="shared" si="0"/>
        <v>1.1299195638510484E-2</v>
      </c>
      <c r="G10" s="16">
        <f>C4*F10</f>
        <v>0</v>
      </c>
      <c r="H10" s="30"/>
      <c r="I10" s="31"/>
      <c r="J10" s="17"/>
    </row>
    <row r="11" spans="1:10" x14ac:dyDescent="0.25">
      <c r="A11" s="1">
        <v>5</v>
      </c>
      <c r="B11" s="13"/>
      <c r="C11" s="13"/>
      <c r="D11" s="14"/>
      <c r="E11" s="14" t="s">
        <v>14</v>
      </c>
      <c r="F11" s="15">
        <f t="shared" si="0"/>
        <v>0</v>
      </c>
      <c r="G11" s="16">
        <f>C4*F11</f>
        <v>0</v>
      </c>
      <c r="H11" s="30"/>
      <c r="I11" s="31"/>
      <c r="J11" s="17"/>
    </row>
    <row r="12" spans="1:10" x14ac:dyDescent="0.25">
      <c r="A12" s="1">
        <v>6</v>
      </c>
      <c r="B12" s="13"/>
      <c r="C12" s="13"/>
      <c r="D12" s="14"/>
      <c r="E12" s="14" t="s">
        <v>14</v>
      </c>
      <c r="F12" s="15">
        <f t="shared" si="0"/>
        <v>0</v>
      </c>
      <c r="G12" s="16">
        <f>C4*F12</f>
        <v>0</v>
      </c>
      <c r="H12" s="30"/>
      <c r="I12" s="31"/>
      <c r="J12" s="17"/>
    </row>
    <row r="13" spans="1:10" x14ac:dyDescent="0.25">
      <c r="A13" s="1">
        <v>7</v>
      </c>
      <c r="B13" s="13"/>
      <c r="C13" s="13"/>
      <c r="D13" s="14"/>
      <c r="E13" s="14" t="s">
        <v>14</v>
      </c>
      <c r="F13" s="15">
        <f t="shared" si="0"/>
        <v>0</v>
      </c>
      <c r="G13" s="16">
        <f>C4*F13</f>
        <v>0</v>
      </c>
      <c r="H13" s="30"/>
      <c r="I13" s="31"/>
      <c r="J13" s="17"/>
    </row>
    <row r="14" spans="1:10" x14ac:dyDescent="0.25">
      <c r="A14" s="1">
        <v>8</v>
      </c>
      <c r="B14" s="13"/>
      <c r="C14" s="13"/>
      <c r="D14" s="14"/>
      <c r="E14" s="14" t="s">
        <v>14</v>
      </c>
      <c r="F14" s="15">
        <f t="shared" si="0"/>
        <v>0</v>
      </c>
      <c r="G14" s="16">
        <f>C4*F14</f>
        <v>0</v>
      </c>
      <c r="H14" s="30"/>
      <c r="I14" s="31"/>
      <c r="J14" s="17"/>
    </row>
    <row r="15" spans="1:10" x14ac:dyDescent="0.25">
      <c r="A15" s="1">
        <v>9</v>
      </c>
      <c r="B15" s="13"/>
      <c r="C15" s="13"/>
      <c r="D15" s="14"/>
      <c r="E15" s="14" t="s">
        <v>14</v>
      </c>
      <c r="F15" s="15">
        <f t="shared" si="0"/>
        <v>0</v>
      </c>
      <c r="G15" s="16">
        <f>C4*F15</f>
        <v>0</v>
      </c>
      <c r="H15" s="30"/>
      <c r="I15" s="31"/>
      <c r="J15" s="17"/>
    </row>
    <row r="16" spans="1:10" x14ac:dyDescent="0.25">
      <c r="A16" s="1">
        <v>10</v>
      </c>
      <c r="B16" s="13"/>
      <c r="C16" s="13"/>
      <c r="D16" s="14"/>
      <c r="E16" s="14" t="s">
        <v>14</v>
      </c>
      <c r="F16" s="15">
        <f t="shared" si="0"/>
        <v>0</v>
      </c>
      <c r="G16" s="16">
        <f>C4*F16</f>
        <v>0</v>
      </c>
      <c r="H16" s="30"/>
      <c r="I16" s="31"/>
      <c r="J16" s="17"/>
    </row>
    <row r="17" spans="1:10" x14ac:dyDescent="0.25">
      <c r="A17" s="1">
        <v>11</v>
      </c>
      <c r="B17" s="13"/>
      <c r="C17" s="13"/>
      <c r="D17" s="14"/>
      <c r="E17" s="14" t="s">
        <v>14</v>
      </c>
      <c r="F17" s="15">
        <f t="shared" si="0"/>
        <v>0</v>
      </c>
      <c r="G17" s="16">
        <f>C4*F17</f>
        <v>0</v>
      </c>
      <c r="H17" s="30"/>
      <c r="I17" s="31"/>
      <c r="J17" s="17"/>
    </row>
    <row r="18" spans="1:10" x14ac:dyDescent="0.25">
      <c r="A18" s="1">
        <v>12</v>
      </c>
      <c r="B18" s="13"/>
      <c r="C18" s="13"/>
      <c r="D18" s="14"/>
      <c r="E18" s="14" t="s">
        <v>14</v>
      </c>
      <c r="F18" s="15">
        <f t="shared" si="0"/>
        <v>0</v>
      </c>
      <c r="G18" s="16">
        <f>C4*F18</f>
        <v>0</v>
      </c>
      <c r="H18" s="30"/>
      <c r="I18" s="31"/>
      <c r="J18" s="17"/>
    </row>
    <row r="19" spans="1:10" x14ac:dyDescent="0.25">
      <c r="A19" s="1">
        <v>13</v>
      </c>
      <c r="B19" s="13"/>
      <c r="C19" s="13"/>
      <c r="D19" s="14"/>
      <c r="E19" s="14" t="s">
        <v>14</v>
      </c>
      <c r="F19" s="15">
        <f t="shared" si="0"/>
        <v>0</v>
      </c>
      <c r="G19" s="16">
        <f>C4*F19</f>
        <v>0</v>
      </c>
      <c r="H19" s="30"/>
      <c r="I19" s="31"/>
      <c r="J19" s="17"/>
    </row>
    <row r="20" spans="1:10" x14ac:dyDescent="0.25">
      <c r="A20" s="1">
        <v>14</v>
      </c>
      <c r="B20" s="13"/>
      <c r="C20" s="13"/>
      <c r="D20" s="14"/>
      <c r="E20" s="14" t="s">
        <v>14</v>
      </c>
      <c r="F20" s="15">
        <f t="shared" si="0"/>
        <v>0</v>
      </c>
      <c r="G20" s="16">
        <f>C4*F20</f>
        <v>0</v>
      </c>
      <c r="H20" s="30"/>
      <c r="I20" s="31"/>
      <c r="J20" s="17"/>
    </row>
    <row r="21" spans="1:10" x14ac:dyDescent="0.25">
      <c r="A21" s="1">
        <v>15</v>
      </c>
      <c r="B21" s="13"/>
      <c r="C21" s="13"/>
      <c r="D21" s="14"/>
      <c r="E21" s="14" t="s">
        <v>14</v>
      </c>
      <c r="F21" s="15">
        <f t="shared" si="0"/>
        <v>0</v>
      </c>
      <c r="G21" s="16">
        <f>C4*F21</f>
        <v>0</v>
      </c>
      <c r="H21" s="30"/>
      <c r="I21" s="31"/>
      <c r="J21" s="17"/>
    </row>
    <row r="22" spans="1:10" x14ac:dyDescent="0.25">
      <c r="A22" s="1">
        <v>16</v>
      </c>
      <c r="B22" s="13"/>
      <c r="C22" s="13"/>
      <c r="D22" s="14"/>
      <c r="E22" s="14" t="s">
        <v>14</v>
      </c>
      <c r="F22" s="15">
        <f t="shared" si="0"/>
        <v>0</v>
      </c>
      <c r="G22" s="16">
        <f>C4*F22</f>
        <v>0</v>
      </c>
      <c r="H22" s="30"/>
      <c r="I22" s="31"/>
      <c r="J22" s="17"/>
    </row>
    <row r="23" spans="1:10" x14ac:dyDescent="0.25">
      <c r="A23" s="1">
        <v>17</v>
      </c>
      <c r="B23" s="13"/>
      <c r="C23" s="13"/>
      <c r="D23" s="14"/>
      <c r="E23" s="14" t="s">
        <v>14</v>
      </c>
      <c r="F23" s="15">
        <f t="shared" si="0"/>
        <v>0</v>
      </c>
      <c r="G23" s="16">
        <f>C4*F23</f>
        <v>0</v>
      </c>
      <c r="H23" s="30"/>
      <c r="I23" s="31"/>
      <c r="J23" s="17"/>
    </row>
    <row r="24" spans="1:10" x14ac:dyDescent="0.25">
      <c r="C24" s="18" t="s">
        <v>15</v>
      </c>
      <c r="D24" s="1">
        <f>SUM(D7:D23)</f>
        <v>708.01499999999999</v>
      </c>
      <c r="E24" s="1" t="s">
        <v>14</v>
      </c>
      <c r="F24" s="19">
        <f>SUM(F7:F23)</f>
        <v>1</v>
      </c>
      <c r="G24" s="20">
        <f>SUM(G7:G23)</f>
        <v>0</v>
      </c>
      <c r="H24" s="21" t="s">
        <v>16</v>
      </c>
    </row>
    <row r="25" spans="1:10" x14ac:dyDescent="0.25">
      <c r="F25" s="11" t="s">
        <v>17</v>
      </c>
      <c r="G25" s="22" t="e">
        <f>-G24*G4+C4</f>
        <v>#VALUE!</v>
      </c>
    </row>
    <row r="26" spans="1:10" ht="15.75" x14ac:dyDescent="0.25">
      <c r="A26"/>
      <c r="B26" s="32" t="s">
        <v>18</v>
      </c>
      <c r="C26" s="32"/>
      <c r="D26" s="32"/>
      <c r="E26" s="32"/>
      <c r="F26" s="32"/>
      <c r="G26" s="32"/>
      <c r="H26" s="32"/>
      <c r="I26" s="32"/>
      <c r="J26" s="32"/>
    </row>
    <row r="27" spans="1:10" ht="15.75" x14ac:dyDescent="0.25">
      <c r="A27"/>
      <c r="B27" s="23" t="s">
        <v>19</v>
      </c>
      <c r="C27" s="24"/>
      <c r="D27" s="24"/>
      <c r="E27" s="24"/>
      <c r="F27" s="24"/>
      <c r="G27" s="24"/>
      <c r="H27" s="24"/>
      <c r="I27" s="24"/>
      <c r="J27" s="24"/>
    </row>
    <row r="28" spans="1:10" x14ac:dyDescent="0.25">
      <c r="A28" s="1">
        <v>1</v>
      </c>
      <c r="B28" s="33"/>
      <c r="C28" s="34"/>
      <c r="D28" s="34"/>
      <c r="E28" s="34"/>
      <c r="F28" s="34"/>
      <c r="G28" s="34"/>
      <c r="H28" s="34"/>
      <c r="I28" s="34"/>
      <c r="J28" s="35"/>
    </row>
    <row r="29" spans="1:10" x14ac:dyDescent="0.25">
      <c r="A29" s="1">
        <v>2</v>
      </c>
      <c r="B29" s="33"/>
      <c r="C29" s="34"/>
      <c r="D29" s="34"/>
      <c r="E29" s="34"/>
      <c r="F29" s="34"/>
      <c r="G29" s="34"/>
      <c r="H29" s="34"/>
      <c r="I29" s="34"/>
      <c r="J29" s="35"/>
    </row>
    <row r="30" spans="1:10" x14ac:dyDescent="0.25">
      <c r="A30" s="1">
        <v>3</v>
      </c>
      <c r="B30" s="36"/>
      <c r="C30" s="37"/>
      <c r="D30" s="37"/>
      <c r="E30" s="37"/>
      <c r="F30" s="37"/>
      <c r="G30" s="37"/>
      <c r="H30" s="37"/>
      <c r="I30" s="37"/>
      <c r="J30" s="38"/>
    </row>
    <row r="31" spans="1:10" x14ac:dyDescent="0.25">
      <c r="A31" s="1">
        <v>4</v>
      </c>
      <c r="B31" s="27"/>
      <c r="C31" s="27"/>
      <c r="D31" s="27"/>
      <c r="E31" s="27"/>
      <c r="F31" s="27"/>
      <c r="G31" s="27"/>
      <c r="H31" s="27"/>
      <c r="I31" s="27"/>
      <c r="J31" s="27"/>
    </row>
    <row r="32" spans="1:10" x14ac:dyDescent="0.25">
      <c r="A32" s="1">
        <v>5</v>
      </c>
      <c r="B32" s="27"/>
      <c r="C32" s="27"/>
      <c r="D32" s="27"/>
      <c r="E32" s="27"/>
      <c r="F32" s="27"/>
      <c r="G32" s="27"/>
      <c r="H32" s="27"/>
      <c r="I32" s="27"/>
      <c r="J32" s="27"/>
    </row>
    <row r="33" spans="1:10" x14ac:dyDescent="0.25">
      <c r="A33" s="1">
        <v>6</v>
      </c>
      <c r="B33" s="27"/>
      <c r="C33" s="27"/>
      <c r="D33" s="27"/>
      <c r="E33" s="27"/>
      <c r="F33" s="27"/>
      <c r="G33" s="27"/>
      <c r="H33" s="27"/>
      <c r="I33" s="27"/>
      <c r="J33" s="27"/>
    </row>
    <row r="34" spans="1:10" x14ac:dyDescent="0.25">
      <c r="A34" s="1">
        <v>7</v>
      </c>
      <c r="B34" s="27"/>
      <c r="C34" s="27"/>
      <c r="D34" s="27"/>
      <c r="E34" s="27"/>
      <c r="F34" s="27"/>
      <c r="G34" s="27"/>
      <c r="H34" s="27"/>
      <c r="I34" s="27"/>
      <c r="J34" s="27"/>
    </row>
    <row r="35" spans="1:10" x14ac:dyDescent="0.25">
      <c r="A35" s="1">
        <v>8</v>
      </c>
      <c r="B35" s="27"/>
      <c r="C35" s="27"/>
      <c r="D35" s="27"/>
      <c r="E35" s="27"/>
      <c r="F35" s="27"/>
      <c r="G35" s="27"/>
      <c r="H35" s="27"/>
      <c r="I35" s="27"/>
      <c r="J35" s="27"/>
    </row>
    <row r="36" spans="1:10" x14ac:dyDescent="0.25">
      <c r="A36" s="1">
        <v>9</v>
      </c>
      <c r="B36" s="27"/>
      <c r="C36" s="27"/>
      <c r="D36" s="27"/>
      <c r="E36" s="27"/>
      <c r="F36" s="27"/>
      <c r="G36" s="27"/>
      <c r="H36" s="27"/>
      <c r="I36" s="27"/>
      <c r="J36" s="27"/>
    </row>
    <row r="37" spans="1:10" x14ac:dyDescent="0.25">
      <c r="A37" s="1">
        <v>10</v>
      </c>
      <c r="B37" s="27"/>
      <c r="C37" s="27"/>
      <c r="D37" s="27"/>
      <c r="E37" s="27"/>
      <c r="F37" s="27"/>
      <c r="G37" s="27"/>
      <c r="H37" s="27"/>
      <c r="I37" s="27"/>
      <c r="J37" s="27"/>
    </row>
    <row r="38" spans="1:10" x14ac:dyDescent="0.25">
      <c r="A38" s="1">
        <v>11</v>
      </c>
      <c r="B38" s="27"/>
      <c r="C38" s="27"/>
      <c r="D38" s="27"/>
      <c r="E38" s="27"/>
      <c r="F38" s="27"/>
      <c r="G38" s="27"/>
      <c r="H38" s="27"/>
      <c r="I38" s="27"/>
      <c r="J38" s="27"/>
    </row>
    <row r="40" spans="1:10" x14ac:dyDescent="0.25">
      <c r="B40" t="s">
        <v>20</v>
      </c>
    </row>
    <row r="42" spans="1:10" x14ac:dyDescent="0.25">
      <c r="B42" s="25"/>
      <c r="C42" s="25"/>
      <c r="D42" s="26"/>
      <c r="E42" s="26"/>
      <c r="F42" s="25"/>
      <c r="H42" s="25"/>
      <c r="I42" s="25"/>
      <c r="J42" s="25"/>
    </row>
    <row r="43" spans="1:10" x14ac:dyDescent="0.25">
      <c r="B43" s="28" t="s">
        <v>21</v>
      </c>
      <c r="C43" s="28"/>
      <c r="E43" s="28" t="s">
        <v>22</v>
      </c>
      <c r="F43" s="28"/>
      <c r="H43" s="29" t="s">
        <v>23</v>
      </c>
      <c r="I43" s="29"/>
      <c r="J43" s="2" t="s">
        <v>24</v>
      </c>
    </row>
  </sheetData>
  <mergeCells count="34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</mergeCells>
  <pageMargins left="0.7" right="0.7" top="0.75" bottom="0.75" header="0.3" footer="0.3"/>
  <pageSetup scale="6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Props1.xml><?xml version="1.0" encoding="utf-8"?>
<ds:datastoreItem xmlns:ds="http://schemas.openxmlformats.org/officeDocument/2006/customXml" ds:itemID="{A13ADD9B-76A1-4642-8AC2-987AC1AC008D}"/>
</file>

<file path=customXml/itemProps2.xml><?xml version="1.0" encoding="utf-8"?>
<ds:datastoreItem xmlns:ds="http://schemas.openxmlformats.org/officeDocument/2006/customXml" ds:itemID="{B5FA41BE-F9A9-43A8-98C1-F958A8FEF474}"/>
</file>

<file path=customXml/itemProps3.xml><?xml version="1.0" encoding="utf-8"?>
<ds:datastoreItem xmlns:ds="http://schemas.openxmlformats.org/officeDocument/2006/customXml" ds:itemID="{4E95E0AC-DE31-4276-AFAD-4B78934C45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MIX</vt:lpstr>
      <vt:lpstr>COUSCOUS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Huynh</dc:creator>
  <cp:lastModifiedBy>Christian Huynh</cp:lastModifiedBy>
  <dcterms:created xsi:type="dcterms:W3CDTF">2025-01-09T19:06:04Z</dcterms:created>
  <dcterms:modified xsi:type="dcterms:W3CDTF">2025-01-13T17:24:50Z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</Properties>
</file>