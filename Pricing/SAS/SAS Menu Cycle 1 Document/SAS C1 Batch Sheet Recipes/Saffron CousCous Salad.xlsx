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VA Batch Sheets/"/>
    </mc:Choice>
  </mc:AlternateContent>
  <xr:revisionPtr revIDLastSave="0" documentId="8_{5C224B5D-6569-4212-B16B-E1641EE0F4F8}" xr6:coauthVersionLast="47" xr6:coauthVersionMax="47" xr10:uidLastSave="{00000000-0000-0000-0000-000000000000}"/>
  <bookViews>
    <workbookView xWindow="-120" yWindow="-120" windowWidth="20730" windowHeight="11040" xr2:uid="{BCB32242-9649-4316-B0EB-98B153E7FE23}"/>
  </bookViews>
  <sheets>
    <sheet name="MIX" sheetId="2" r:id="rId1"/>
    <sheet name="COUSCOU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F23" i="2" s="1"/>
  <c r="G23" i="2" s="1"/>
  <c r="D24" i="1"/>
  <c r="F23" i="1" s="1"/>
  <c r="G23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G10" i="1"/>
  <c r="F10" i="1"/>
  <c r="F9" i="1"/>
  <c r="G9" i="1" s="1"/>
  <c r="F8" i="1"/>
  <c r="G8" i="1" s="1"/>
  <c r="F7" i="1"/>
  <c r="F10" i="2" l="1"/>
  <c r="G10" i="2" s="1"/>
  <c r="F12" i="2"/>
  <c r="G12" i="2" s="1"/>
  <c r="F8" i="2"/>
  <c r="G8" i="2" s="1"/>
  <c r="F14" i="2"/>
  <c r="G14" i="2" s="1"/>
  <c r="F16" i="2"/>
  <c r="G16" i="2" s="1"/>
  <c r="F18" i="2"/>
  <c r="G18" i="2" s="1"/>
  <c r="F20" i="2"/>
  <c r="G20" i="2" s="1"/>
  <c r="F22" i="2"/>
  <c r="G22" i="2" s="1"/>
  <c r="F7" i="2"/>
  <c r="F9" i="2"/>
  <c r="G9" i="2" s="1"/>
  <c r="F11" i="2"/>
  <c r="G11" i="2" s="1"/>
  <c r="F13" i="2"/>
  <c r="G13" i="2" s="1"/>
  <c r="F15" i="2"/>
  <c r="G15" i="2" s="1"/>
  <c r="F17" i="2"/>
  <c r="G17" i="2" s="1"/>
  <c r="F19" i="2"/>
  <c r="G19" i="2" s="1"/>
  <c r="F21" i="2"/>
  <c r="G21" i="2" s="1"/>
  <c r="F19" i="1"/>
  <c r="G19" i="1" s="1"/>
  <c r="F20" i="1"/>
  <c r="G20" i="1" s="1"/>
  <c r="F21" i="1"/>
  <c r="G21" i="1" s="1"/>
  <c r="F22" i="1"/>
  <c r="G22" i="1" s="1"/>
  <c r="G7" i="1"/>
  <c r="G7" i="2" l="1"/>
  <c r="G24" i="2" s="1"/>
  <c r="G25" i="2" s="1"/>
  <c r="F24" i="2"/>
  <c r="G24" i="1"/>
  <c r="G25" i="1" s="1"/>
  <c r="F24" i="1"/>
</calcChain>
</file>

<file path=xl/sharedStrings.xml><?xml version="1.0" encoding="utf-8"?>
<sst xmlns="http://schemas.openxmlformats.org/spreadsheetml/2006/main" count="103" uniqueCount="42">
  <si>
    <t>Formula Name:</t>
  </si>
  <si>
    <t>R&amp;D ID Number:</t>
  </si>
  <si>
    <t>Version #:</t>
  </si>
  <si>
    <t>Batch Number:</t>
  </si>
  <si>
    <t>Desired QTY (lb):</t>
  </si>
  <si>
    <t>Yield Loss:</t>
  </si>
  <si>
    <t>%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</si>
  <si>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</si>
  <si>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</si>
  <si>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</si>
  <si>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</si>
  <si>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</si>
  <si>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</si>
  <si>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</si>
  <si>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</si>
  <si>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</si>
  <si>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</si>
  <si>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</si>
  <si>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</si>
  <si>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</si>
  <si>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</si>
  <si>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</si>
  <si>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</si>
  <si>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</si>
  <si>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</si>
  <si>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WATER</t>
  </si>
  <si>
    <t>SAFFRON</t>
  </si>
  <si>
    <t>SALT</t>
  </si>
  <si>
    <t>PEARL COUSCOUS</t>
  </si>
  <si>
    <t>Saffron Cous Cous Salad Mix</t>
  </si>
  <si>
    <t>Cooked Saffron Cous Cous</t>
  </si>
  <si>
    <t>COOKED SAFFRON COUSCOUS</t>
  </si>
  <si>
    <t>D258</t>
  </si>
  <si>
    <t>OIL OLIVE EXTRA VIRGIN</t>
  </si>
  <si>
    <t>D080</t>
  </si>
  <si>
    <t xml:space="preserve">PEPPER ROASTED RED DICED </t>
  </si>
  <si>
    <t>D089</t>
  </si>
  <si>
    <t>SALT EVAPORATED</t>
  </si>
  <si>
    <t>P284</t>
  </si>
  <si>
    <t>JUICE LEMON FRESH</t>
  </si>
  <si>
    <t>C047</t>
  </si>
  <si>
    <t>KALE GREEN CURLY 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</si>
</sst>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2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6" borderId="5" xfId="0" applyFill="1" applyBorder="1"/>
    <xf numFmtId="0" fontId="0" fillId="6" borderId="7" xfId="0" applyFill="1" applyBorder="1"/>
    <xf numFmtId="0" fontId="0" fillId="6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6A423-8A78-4E6D-B99B-8E3E6B2D3A38}">
  <sheetPr>
    <pageSetUpPr fitToPage="1"/>
  </sheetPr>
  <dimension ref="A1:J43"/>
  <sheetViews>
    <sheetView tabSelected="1" workbookViewId="0">
      <selection activeCell="F13" sqref="F13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29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4</v>
      </c>
      <c r="C4" s="10"/>
      <c r="D4" s="9"/>
      <c r="F4" s="2" t="s">
        <v>5</v>
      </c>
      <c r="G4" s="11" t="s">
        <v>6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2" t="s">
        <v>7</v>
      </c>
      <c r="C6" s="12" t="s">
        <v>8</v>
      </c>
      <c r="D6" s="12" t="s">
        <v>9</v>
      </c>
      <c r="E6" s="12" t="s">
        <v>10</v>
      </c>
      <c r="F6" s="12" t="s">
        <v>6</v>
      </c>
      <c r="G6" s="12" t="s">
        <v>11</v>
      </c>
      <c r="H6" s="40" t="s">
        <v>12</v>
      </c>
      <c r="I6" s="41"/>
      <c r="J6" s="12" t="s">
        <v>13</v>
      </c>
    </row>
    <row r="7" spans="1:10" x14ac:dyDescent="0.25">
      <c r="A7" s="1">
        <v>1</v>
      </c>
      <c r="B7" s="13"/>
      <c r="C7" s="13" t="s">
        <v>31</v>
      </c>
      <c r="D7" s="14">
        <v>400</v>
      </c>
      <c r="E7" s="14" t="s">
        <v>14</v>
      </c>
      <c r="F7" s="15">
        <f t="shared" ref="F7:F23" si="0">D7/D$24</f>
        <v>0.81799591002044991</v>
      </c>
      <c r="G7" s="16">
        <f>C4*F7</f>
        <v>0</v>
      </c>
      <c r="H7" s="30"/>
      <c r="I7" s="31"/>
      <c r="J7" s="17"/>
    </row>
    <row r="8" spans="1:10" x14ac:dyDescent="0.25">
      <c r="A8" s="1">
        <v>2</v>
      </c>
      <c r="B8" s="13" t="s">
        <v>32</v>
      </c>
      <c r="C8" s="13" t="s">
        <v>33</v>
      </c>
      <c r="D8" s="14">
        <v>10</v>
      </c>
      <c r="E8" s="14" t="s">
        <v>14</v>
      </c>
      <c r="F8" s="15">
        <f t="shared" si="0"/>
        <v>2.0449897750511249E-2</v>
      </c>
      <c r="G8" s="16">
        <f>C4*F8</f>
        <v>0</v>
      </c>
      <c r="H8" s="30"/>
      <c r="I8" s="31"/>
      <c r="J8" s="17"/>
    </row>
    <row r="9" spans="1:10" x14ac:dyDescent="0.25">
      <c r="A9" s="1">
        <v>3</v>
      </c>
      <c r="B9" s="13" t="s">
        <v>34</v>
      </c>
      <c r="C9" s="13" t="s">
        <v>35</v>
      </c>
      <c r="D9" s="14">
        <v>25</v>
      </c>
      <c r="E9" s="14" t="s">
        <v>14</v>
      </c>
      <c r="F9" s="15">
        <f t="shared" si="0"/>
        <v>5.112474437627812E-2</v>
      </c>
      <c r="G9" s="16">
        <f>C4*F9</f>
        <v>0</v>
      </c>
      <c r="H9" s="30"/>
      <c r="I9" s="31"/>
      <c r="J9" s="17"/>
    </row>
    <row r="10" spans="1:10" x14ac:dyDescent="0.25">
      <c r="A10" s="1">
        <v>4</v>
      </c>
      <c r="B10" s="13" t="s">
        <v>36</v>
      </c>
      <c r="C10" s="13" t="s">
        <v>37</v>
      </c>
      <c r="D10" s="14">
        <v>2</v>
      </c>
      <c r="E10" s="14" t="s">
        <v>14</v>
      </c>
      <c r="F10" s="15">
        <f t="shared" si="0"/>
        <v>4.0899795501022499E-3</v>
      </c>
      <c r="G10" s="16">
        <f>C4*F10</f>
        <v>0</v>
      </c>
      <c r="H10" s="30"/>
      <c r="I10" s="31"/>
      <c r="J10" s="17"/>
    </row>
    <row r="11" spans="1:10" x14ac:dyDescent="0.25">
      <c r="A11" s="1">
        <v>5</v>
      </c>
      <c r="B11" s="13" t="s">
        <v>38</v>
      </c>
      <c r="C11" s="13" t="s">
        <v>39</v>
      </c>
      <c r="D11" s="14">
        <v>2</v>
      </c>
      <c r="E11" s="14" t="s">
        <v>14</v>
      </c>
      <c r="F11" s="15">
        <f t="shared" si="0"/>
        <v>4.0899795501022499E-3</v>
      </c>
      <c r="G11" s="16">
        <f>C4*F11</f>
        <v>0</v>
      </c>
      <c r="H11" s="30"/>
      <c r="I11" s="31"/>
      <c r="J11" s="17"/>
    </row>
    <row r="12" spans="1:10" x14ac:dyDescent="0.25">
      <c r="A12" s="1">
        <v>6</v>
      </c>
      <c r="B12" s="13" t="s">
        <v>40</v>
      </c>
      <c r="C12" s="13" t="s">
        <v>41</v>
      </c>
      <c r="D12" s="14">
        <v>50</v>
      </c>
      <c r="E12" s="14" t="s">
        <v>14</v>
      </c>
      <c r="F12" s="15">
        <f t="shared" si="0"/>
        <v>0.10224948875255624</v>
      </c>
      <c r="G12" s="16">
        <f>C4*F12</f>
        <v>0</v>
      </c>
      <c r="H12" s="30"/>
      <c r="I12" s="31"/>
      <c r="J12" s="17"/>
    </row>
    <row r="13" spans="1:10" x14ac:dyDescent="0.25">
      <c r="A13" s="1">
        <v>7</v>
      </c>
      <c r="B13" s="13"/>
      <c r="C13" s="13"/>
      <c r="D13" s="14"/>
      <c r="E13" s="14" t="s">
        <v>14</v>
      </c>
      <c r="F13" s="15">
        <f t="shared" si="0"/>
        <v>0</v>
      </c>
      <c r="G13" s="16">
        <f>C4*F13</f>
        <v>0</v>
      </c>
      <c r="H13" s="30"/>
      <c r="I13" s="31"/>
      <c r="J13" s="17"/>
    </row>
    <row r="14" spans="1:10" x14ac:dyDescent="0.25">
      <c r="A14" s="1">
        <v>8</v>
      </c>
      <c r="B14" s="13"/>
      <c r="C14" s="13"/>
      <c r="D14" s="14"/>
      <c r="E14" s="14" t="s">
        <v>14</v>
      </c>
      <c r="F14" s="15">
        <f t="shared" si="0"/>
        <v>0</v>
      </c>
      <c r="G14" s="16">
        <f>C4*F14</f>
        <v>0</v>
      </c>
      <c r="H14" s="30"/>
      <c r="I14" s="31"/>
      <c r="J14" s="17"/>
    </row>
    <row r="15" spans="1:10" x14ac:dyDescent="0.25">
      <c r="A15" s="1">
        <v>9</v>
      </c>
      <c r="B15" s="13"/>
      <c r="C15" s="13"/>
      <c r="D15" s="14"/>
      <c r="E15" s="14" t="s">
        <v>14</v>
      </c>
      <c r="F15" s="15">
        <f t="shared" si="0"/>
        <v>0</v>
      </c>
      <c r="G15" s="16">
        <f>C4*F15</f>
        <v>0</v>
      </c>
      <c r="H15" s="30"/>
      <c r="I15" s="31"/>
      <c r="J15" s="17"/>
    </row>
    <row r="16" spans="1:10" x14ac:dyDescent="0.25">
      <c r="A16" s="1">
        <v>10</v>
      </c>
      <c r="B16" s="13"/>
      <c r="C16" s="13"/>
      <c r="D16" s="14"/>
      <c r="E16" s="14" t="s">
        <v>14</v>
      </c>
      <c r="F16" s="15">
        <f t="shared" si="0"/>
        <v>0</v>
      </c>
      <c r="G16" s="16">
        <f>C4*F16</f>
        <v>0</v>
      </c>
      <c r="H16" s="30"/>
      <c r="I16" s="31"/>
      <c r="J16" s="17"/>
    </row>
    <row r="17" spans="1:10" x14ac:dyDescent="0.25">
      <c r="A17" s="1">
        <v>11</v>
      </c>
      <c r="B17" s="13"/>
      <c r="C17" s="13"/>
      <c r="D17" s="14"/>
      <c r="E17" s="14" t="s">
        <v>14</v>
      </c>
      <c r="F17" s="15">
        <f t="shared" si="0"/>
        <v>0</v>
      </c>
      <c r="G17" s="16">
        <f>C4*F17</f>
        <v>0</v>
      </c>
      <c r="H17" s="30"/>
      <c r="I17" s="31"/>
      <c r="J17" s="17"/>
    </row>
    <row r="18" spans="1:10" x14ac:dyDescent="0.25">
      <c r="A18" s="1">
        <v>12</v>
      </c>
      <c r="B18" s="13"/>
      <c r="C18" s="13"/>
      <c r="D18" s="14"/>
      <c r="E18" s="14" t="s">
        <v>14</v>
      </c>
      <c r="F18" s="15">
        <f t="shared" si="0"/>
        <v>0</v>
      </c>
      <c r="G18" s="16">
        <f>C4*F18</f>
        <v>0</v>
      </c>
      <c r="H18" s="30"/>
      <c r="I18" s="31"/>
      <c r="J18" s="17"/>
    </row>
    <row r="19" spans="1:10" x14ac:dyDescent="0.25">
      <c r="A19" s="1">
        <v>13</v>
      </c>
      <c r="B19" s="13"/>
      <c r="C19" s="13"/>
      <c r="D19" s="14"/>
      <c r="E19" s="14" t="s">
        <v>14</v>
      </c>
      <c r="F19" s="15">
        <f t="shared" si="0"/>
        <v>0</v>
      </c>
      <c r="G19" s="16">
        <f>C4*F19</f>
        <v>0</v>
      </c>
      <c r="H19" s="30"/>
      <c r="I19" s="31"/>
      <c r="J19" s="17"/>
    </row>
    <row r="20" spans="1:10" x14ac:dyDescent="0.25">
      <c r="A20" s="1">
        <v>14</v>
      </c>
      <c r="B20" s="13"/>
      <c r="C20" s="13"/>
      <c r="D20" s="14"/>
      <c r="E20" s="14" t="s">
        <v>14</v>
      </c>
      <c r="F20" s="15">
        <f t="shared" si="0"/>
        <v>0</v>
      </c>
      <c r="G20" s="16">
        <f>C4*F20</f>
        <v>0</v>
      </c>
      <c r="H20" s="30"/>
      <c r="I20" s="31"/>
      <c r="J20" s="17"/>
    </row>
    <row r="21" spans="1:10" x14ac:dyDescent="0.25">
      <c r="A21" s="1">
        <v>15</v>
      </c>
      <c r="B21" s="13"/>
      <c r="C21" s="13"/>
      <c r="D21" s="14"/>
      <c r="E21" s="14" t="s">
        <v>14</v>
      </c>
      <c r="F21" s="15">
        <f t="shared" si="0"/>
        <v>0</v>
      </c>
      <c r="G21" s="16">
        <f>C4*F21</f>
        <v>0</v>
      </c>
      <c r="H21" s="30"/>
      <c r="I21" s="31"/>
      <c r="J21" s="17"/>
    </row>
    <row r="22" spans="1:10" x14ac:dyDescent="0.25">
      <c r="A22" s="1">
        <v>16</v>
      </c>
      <c r="B22" s="13"/>
      <c r="C22" s="13"/>
      <c r="D22" s="14"/>
      <c r="E22" s="14" t="s">
        <v>14</v>
      </c>
      <c r="F22" s="15">
        <f t="shared" si="0"/>
        <v>0</v>
      </c>
      <c r="G22" s="16">
        <f>C4*F22</f>
        <v>0</v>
      </c>
      <c r="H22" s="30"/>
      <c r="I22" s="31"/>
      <c r="J22" s="17"/>
    </row>
    <row r="23" spans="1:10" x14ac:dyDescent="0.25">
      <c r="A23" s="1">
        <v>17</v>
      </c>
      <c r="B23" s="13"/>
      <c r="C23" s="13"/>
      <c r="D23" s="14"/>
      <c r="E23" s="14" t="s">
        <v>14</v>
      </c>
      <c r="F23" s="15">
        <f t="shared" si="0"/>
        <v>0</v>
      </c>
      <c r="G23" s="16">
        <f>C4*F23</f>
        <v>0</v>
      </c>
      <c r="H23" s="30"/>
      <c r="I23" s="31"/>
      <c r="J23" s="17"/>
    </row>
    <row r="24" spans="1:10" x14ac:dyDescent="0.25">
      <c r="C24" s="18" t="s">
        <v>15</v>
      </c>
      <c r="D24" s="1">
        <f>SUM(D7:D23)</f>
        <v>489</v>
      </c>
      <c r="E24" s="1" t="s">
        <v>14</v>
      </c>
      <c r="F24" s="19">
        <f>SUM(F7:F23)</f>
        <v>1</v>
      </c>
      <c r="G24" s="20">
        <f>SUM(G7:G23)</f>
        <v>0</v>
      </c>
      <c r="H24" s="21" t="s">
        <v>16</v>
      </c>
    </row>
    <row r="25" spans="1:10" x14ac:dyDescent="0.25">
      <c r="F25" s="11" t="s">
        <v>17</v>
      </c>
      <c r="G25" s="22" t="e">
        <f>-G24*G4+C4</f>
        <v>#VALUE!</v>
      </c>
    </row>
    <row r="26" spans="1:10" ht="15.75" x14ac:dyDescent="0.25">
      <c r="A26"/>
      <c r="B26" s="32" t="s">
        <v>18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3" t="s">
        <v>19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20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28" t="s">
        <v>21</v>
      </c>
      <c r="C43" s="28"/>
      <c r="E43" s="28" t="s">
        <v>22</v>
      </c>
      <c r="F43" s="28"/>
      <c r="H43" s="29" t="s">
        <v>23</v>
      </c>
      <c r="I43" s="29"/>
      <c r="J43" s="2" t="s">
        <v>24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72CA-25A4-4197-9E5B-3F65403717E2}">
  <sheetPr>
    <pageSetUpPr fitToPage="1"/>
  </sheetPr>
  <dimension ref="A1:J43"/>
  <sheetViews>
    <sheetView workbookViewId="0">
      <selection activeCell="C2" sqref="C2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30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4</v>
      </c>
      <c r="C4" s="10"/>
      <c r="D4" s="9"/>
      <c r="F4" s="2" t="s">
        <v>5</v>
      </c>
      <c r="G4" s="11" t="s">
        <v>6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2" t="s">
        <v>7</v>
      </c>
      <c r="C6" s="12" t="s">
        <v>8</v>
      </c>
      <c r="D6" s="12" t="s">
        <v>9</v>
      </c>
      <c r="E6" s="12" t="s">
        <v>10</v>
      </c>
      <c r="F6" s="12" t="s">
        <v>6</v>
      </c>
      <c r="G6" s="12" t="s">
        <v>11</v>
      </c>
      <c r="H6" s="40" t="s">
        <v>12</v>
      </c>
      <c r="I6" s="41"/>
      <c r="J6" s="12" t="s">
        <v>13</v>
      </c>
    </row>
    <row r="7" spans="1:10" x14ac:dyDescent="0.25">
      <c r="A7" s="1">
        <v>1</v>
      </c>
      <c r="B7" s="13"/>
      <c r="C7" s="13" t="s">
        <v>25</v>
      </c>
      <c r="D7" s="14">
        <v>500</v>
      </c>
      <c r="E7" s="14" t="s">
        <v>14</v>
      </c>
      <c r="F7" s="15">
        <f t="shared" ref="F7:F23" si="0">D7/D$24</f>
        <v>0.70619972740690529</v>
      </c>
      <c r="G7" s="16">
        <f>C4*F7</f>
        <v>0</v>
      </c>
      <c r="H7" s="30"/>
      <c r="I7" s="31"/>
      <c r="J7" s="17"/>
    </row>
    <row r="8" spans="1:10" x14ac:dyDescent="0.25">
      <c r="A8" s="1">
        <v>2</v>
      </c>
      <c r="B8" s="13"/>
      <c r="C8" s="13" t="s">
        <v>28</v>
      </c>
      <c r="D8" s="14">
        <v>200</v>
      </c>
      <c r="E8" s="14" t="s">
        <v>14</v>
      </c>
      <c r="F8" s="15">
        <f t="shared" si="0"/>
        <v>0.2824798909627621</v>
      </c>
      <c r="G8" s="16">
        <f>C4*F8</f>
        <v>0</v>
      </c>
      <c r="H8" s="30"/>
      <c r="I8" s="31"/>
      <c r="J8" s="17"/>
    </row>
    <row r="9" spans="1:10" x14ac:dyDescent="0.25">
      <c r="A9" s="1">
        <v>3</v>
      </c>
      <c r="B9" s="13"/>
      <c r="C9" s="13" t="s">
        <v>26</v>
      </c>
      <c r="D9" s="14">
        <v>1.4999999999999999E-2</v>
      </c>
      <c r="E9" s="14" t="s">
        <v>14</v>
      </c>
      <c r="F9" s="15">
        <f t="shared" si="0"/>
        <v>2.1185991822207156E-5</v>
      </c>
      <c r="G9" s="16">
        <f>C4*F9</f>
        <v>0</v>
      </c>
      <c r="H9" s="30"/>
      <c r="I9" s="31"/>
      <c r="J9" s="17"/>
    </row>
    <row r="10" spans="1:10" x14ac:dyDescent="0.25">
      <c r="A10" s="1">
        <v>4</v>
      </c>
      <c r="B10" s="13"/>
      <c r="C10" s="13" t="s">
        <v>27</v>
      </c>
      <c r="D10" s="14">
        <v>8</v>
      </c>
      <c r="E10" s="14" t="s">
        <v>14</v>
      </c>
      <c r="F10" s="15">
        <f t="shared" si="0"/>
        <v>1.1299195638510484E-2</v>
      </c>
      <c r="G10" s="16">
        <f>C4*F10</f>
        <v>0</v>
      </c>
      <c r="H10" s="30"/>
      <c r="I10" s="31"/>
      <c r="J10" s="17"/>
    </row>
    <row r="11" spans="1:10" x14ac:dyDescent="0.25">
      <c r="A11" s="1">
        <v>5</v>
      </c>
      <c r="B11" s="13"/>
      <c r="C11" s="13"/>
      <c r="D11" s="14"/>
      <c r="E11" s="14" t="s">
        <v>14</v>
      </c>
      <c r="F11" s="15">
        <f t="shared" si="0"/>
        <v>0</v>
      </c>
      <c r="G11" s="16">
        <f>C4*F11</f>
        <v>0</v>
      </c>
      <c r="H11" s="30"/>
      <c r="I11" s="31"/>
      <c r="J11" s="17"/>
    </row>
    <row r="12" spans="1:10" x14ac:dyDescent="0.25">
      <c r="A12" s="1">
        <v>6</v>
      </c>
      <c r="B12" s="13"/>
      <c r="C12" s="13"/>
      <c r="D12" s="14"/>
      <c r="E12" s="14" t="s">
        <v>14</v>
      </c>
      <c r="F12" s="15">
        <f t="shared" si="0"/>
        <v>0</v>
      </c>
      <c r="G12" s="16">
        <f>C4*F12</f>
        <v>0</v>
      </c>
      <c r="H12" s="30"/>
      <c r="I12" s="31"/>
      <c r="J12" s="17"/>
    </row>
    <row r="13" spans="1:10" x14ac:dyDescent="0.25">
      <c r="A13" s="1">
        <v>7</v>
      </c>
      <c r="B13" s="13"/>
      <c r="C13" s="13"/>
      <c r="D13" s="14"/>
      <c r="E13" s="14" t="s">
        <v>14</v>
      </c>
      <c r="F13" s="15">
        <f t="shared" si="0"/>
        <v>0</v>
      </c>
      <c r="G13" s="16">
        <f>C4*F13</f>
        <v>0</v>
      </c>
      <c r="H13" s="30"/>
      <c r="I13" s="31"/>
      <c r="J13" s="17"/>
    </row>
    <row r="14" spans="1:10" x14ac:dyDescent="0.25">
      <c r="A14" s="1">
        <v>8</v>
      </c>
      <c r="B14" s="13"/>
      <c r="C14" s="13"/>
      <c r="D14" s="14"/>
      <c r="E14" s="14" t="s">
        <v>14</v>
      </c>
      <c r="F14" s="15">
        <f t="shared" si="0"/>
        <v>0</v>
      </c>
      <c r="G14" s="16">
        <f>C4*F14</f>
        <v>0</v>
      </c>
      <c r="H14" s="30"/>
      <c r="I14" s="31"/>
      <c r="J14" s="17"/>
    </row>
    <row r="15" spans="1:10" x14ac:dyDescent="0.25">
      <c r="A15" s="1">
        <v>9</v>
      </c>
      <c r="B15" s="13"/>
      <c r="C15" s="13"/>
      <c r="D15" s="14"/>
      <c r="E15" s="14" t="s">
        <v>14</v>
      </c>
      <c r="F15" s="15">
        <f t="shared" si="0"/>
        <v>0</v>
      </c>
      <c r="G15" s="16">
        <f>C4*F15</f>
        <v>0</v>
      </c>
      <c r="H15" s="30"/>
      <c r="I15" s="31"/>
      <c r="J15" s="17"/>
    </row>
    <row r="16" spans="1:10" x14ac:dyDescent="0.25">
      <c r="A16" s="1">
        <v>10</v>
      </c>
      <c r="B16" s="13"/>
      <c r="C16" s="13"/>
      <c r="D16" s="14"/>
      <c r="E16" s="14" t="s">
        <v>14</v>
      </c>
      <c r="F16" s="15">
        <f t="shared" si="0"/>
        <v>0</v>
      </c>
      <c r="G16" s="16">
        <f>C4*F16</f>
        <v>0</v>
      </c>
      <c r="H16" s="30"/>
      <c r="I16" s="31"/>
      <c r="J16" s="17"/>
    </row>
    <row r="17" spans="1:10" x14ac:dyDescent="0.25">
      <c r="A17" s="1">
        <v>11</v>
      </c>
      <c r="B17" s="13"/>
      <c r="C17" s="13"/>
      <c r="D17" s="14"/>
      <c r="E17" s="14" t="s">
        <v>14</v>
      </c>
      <c r="F17" s="15">
        <f t="shared" si="0"/>
        <v>0</v>
      </c>
      <c r="G17" s="16">
        <f>C4*F17</f>
        <v>0</v>
      </c>
      <c r="H17" s="30"/>
      <c r="I17" s="31"/>
      <c r="J17" s="17"/>
    </row>
    <row r="18" spans="1:10" x14ac:dyDescent="0.25">
      <c r="A18" s="1">
        <v>12</v>
      </c>
      <c r="B18" s="13"/>
      <c r="C18" s="13"/>
      <c r="D18" s="14"/>
      <c r="E18" s="14" t="s">
        <v>14</v>
      </c>
      <c r="F18" s="15">
        <f t="shared" si="0"/>
        <v>0</v>
      </c>
      <c r="G18" s="16">
        <f>C4*F18</f>
        <v>0</v>
      </c>
      <c r="H18" s="30"/>
      <c r="I18" s="31"/>
      <c r="J18" s="17"/>
    </row>
    <row r="19" spans="1:10" x14ac:dyDescent="0.25">
      <c r="A19" s="1">
        <v>13</v>
      </c>
      <c r="B19" s="13"/>
      <c r="C19" s="13"/>
      <c r="D19" s="14"/>
      <c r="E19" s="14" t="s">
        <v>14</v>
      </c>
      <c r="F19" s="15">
        <f t="shared" si="0"/>
        <v>0</v>
      </c>
      <c r="G19" s="16">
        <f>C4*F19</f>
        <v>0</v>
      </c>
      <c r="H19" s="30"/>
      <c r="I19" s="31"/>
      <c r="J19" s="17"/>
    </row>
    <row r="20" spans="1:10" x14ac:dyDescent="0.25">
      <c r="A20" s="1">
        <v>14</v>
      </c>
      <c r="B20" s="13"/>
      <c r="C20" s="13"/>
      <c r="D20" s="14"/>
      <c r="E20" s="14" t="s">
        <v>14</v>
      </c>
      <c r="F20" s="15">
        <f t="shared" si="0"/>
        <v>0</v>
      </c>
      <c r="G20" s="16">
        <f>C4*F20</f>
        <v>0</v>
      </c>
      <c r="H20" s="30"/>
      <c r="I20" s="31"/>
      <c r="J20" s="17"/>
    </row>
    <row r="21" spans="1:10" x14ac:dyDescent="0.25">
      <c r="A21" s="1">
        <v>15</v>
      </c>
      <c r="B21" s="13"/>
      <c r="C21" s="13"/>
      <c r="D21" s="14"/>
      <c r="E21" s="14" t="s">
        <v>14</v>
      </c>
      <c r="F21" s="15">
        <f t="shared" si="0"/>
        <v>0</v>
      </c>
      <c r="G21" s="16">
        <f>C4*F21</f>
        <v>0</v>
      </c>
      <c r="H21" s="30"/>
      <c r="I21" s="31"/>
      <c r="J21" s="17"/>
    </row>
    <row r="22" spans="1:10" x14ac:dyDescent="0.25">
      <c r="A22" s="1">
        <v>16</v>
      </c>
      <c r="B22" s="13"/>
      <c r="C22" s="13"/>
      <c r="D22" s="14"/>
      <c r="E22" s="14" t="s">
        <v>14</v>
      </c>
      <c r="F22" s="15">
        <f t="shared" si="0"/>
        <v>0</v>
      </c>
      <c r="G22" s="16">
        <f>C4*F22</f>
        <v>0</v>
      </c>
      <c r="H22" s="30"/>
      <c r="I22" s="31"/>
      <c r="J22" s="17"/>
    </row>
    <row r="23" spans="1:10" x14ac:dyDescent="0.25">
      <c r="A23" s="1">
        <v>17</v>
      </c>
      <c r="B23" s="13"/>
      <c r="C23" s="13"/>
      <c r="D23" s="14"/>
      <c r="E23" s="14" t="s">
        <v>14</v>
      </c>
      <c r="F23" s="15">
        <f t="shared" si="0"/>
        <v>0</v>
      </c>
      <c r="G23" s="16">
        <f>C4*F23</f>
        <v>0</v>
      </c>
      <c r="H23" s="30"/>
      <c r="I23" s="31"/>
      <c r="J23" s="17"/>
    </row>
    <row r="24" spans="1:10" x14ac:dyDescent="0.25">
      <c r="C24" s="18" t="s">
        <v>15</v>
      </c>
      <c r="D24" s="1">
        <f>SUM(D7:D23)</f>
        <v>708.01499999999999</v>
      </c>
      <c r="E24" s="1" t="s">
        <v>14</v>
      </c>
      <c r="F24" s="19">
        <f>SUM(F7:F23)</f>
        <v>1</v>
      </c>
      <c r="G24" s="20">
        <f>SUM(G7:G23)</f>
        <v>0</v>
      </c>
      <c r="H24" s="21" t="s">
        <v>16</v>
      </c>
    </row>
    <row r="25" spans="1:10" x14ac:dyDescent="0.25">
      <c r="F25" s="11" t="s">
        <v>17</v>
      </c>
      <c r="G25" s="22" t="e">
        <f>-G24*G4+C4</f>
        <v>#VALUE!</v>
      </c>
    </row>
    <row r="26" spans="1:10" ht="15.75" x14ac:dyDescent="0.25">
      <c r="A26"/>
      <c r="B26" s="32" t="s">
        <v>18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3" t="s">
        <v>19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20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28" t="s">
        <v>21</v>
      </c>
      <c r="C43" s="28"/>
      <c r="E43" s="28" t="s">
        <v>22</v>
      </c>
      <c r="F43" s="28"/>
      <c r="H43" s="29" t="s">
        <v>23</v>
      </c>
      <c r="I43" s="29"/>
      <c r="J43" s="2" t="s">
        <v>24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5E553317-5789-4992-AB3B-5BCCD44B9521}"/>
</file>

<file path=customXml/itemProps2.xml><?xml version="1.0" encoding="utf-8"?>
<ds:datastoreItem xmlns:ds="http://schemas.openxmlformats.org/officeDocument/2006/customXml" ds:itemID="{B5FA41BE-F9A9-43A8-98C1-F958A8FEF474}"/>
</file>

<file path=customXml/itemProps3.xml><?xml version="1.0" encoding="utf-8"?>
<ds:datastoreItem xmlns:ds="http://schemas.openxmlformats.org/officeDocument/2006/customXml" ds:itemID="{4E95E0AC-DE31-4276-AFAD-4B78934C458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MIX</vt:lpstr>
      <vt:lpstr>COUSCOUS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2025-01-09T19:06:04Z</dcterms:created>
  <dcterms:modified xsi:type="dcterms:W3CDTF">2025-01-13T17:24:50Z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