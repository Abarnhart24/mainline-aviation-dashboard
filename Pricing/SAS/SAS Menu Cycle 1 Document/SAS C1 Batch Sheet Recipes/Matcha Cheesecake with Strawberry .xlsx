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324"/>
  <workbookPr filterPrivacy="1"/>
  <xr:revisionPtr revIDLastSave="66" documentId="13_ncr:1_{FA20AF86-4391-4338-92B1-4FEA83D7D73B}" xr6:coauthVersionLast="47" xr6:coauthVersionMax="47" xr10:uidLastSave="{BD4F722D-D987-4AEE-A8B5-9E81BE1CC8E2}"/>
  <bookViews>
    <workbookView xWindow="-120" yWindow="-120" windowWidth="20730" windowHeight="11040" xr2:uid="{00000000-000D-0000-FFFF-FFFF00000000}"/>
  </bookViews>
  <sheets>
    <sheet name="HALF PAN BAKE" sheetId="7" r:id="rId1"/>
    <sheet name="Chocolate BASE RECIPE " sheetId="8" r:id="rId2"/>
    <sheet name="Matcha Cheese Cak Filling" sheetId="5" r:id="rId3"/>
  </sheets>
  <calcPr calcId="191029"/>
  <fileRecoveryPr autoRecover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D24" i="8" l="1"/>
  <c r="F23" i="8" s="1"/>
  <c r="G23" i="8" s="1"/>
  <c r="D24" i="7"/>
  <c r="F23" i="7" s="1"/>
  <c r="G23" i="7" s="1"/>
  <c r="F18" i="7"/>
  <c r="G18" i="7" s="1"/>
  <c r="F15" i="7"/>
  <c r="G15" i="7" s="1"/>
  <c r="F14" i="7"/>
  <c r="G14" i="7" s="1"/>
  <c r="F13" i="7"/>
  <c r="G13" i="7" s="1"/>
  <c r="F12" i="7"/>
  <c r="G12" i="7" s="1"/>
  <c r="F11" i="7"/>
  <c r="G11" i="7" s="1"/>
  <c r="F10" i="7"/>
  <c r="G10" i="7" s="1"/>
  <c r="F8" i="7"/>
  <c r="G8" i="7" s="1"/>
  <c r="F7" i="7"/>
  <c r="G7" i="7" s="1"/>
  <c r="F20" i="7" l="1"/>
  <c r="G20" i="7" s="1"/>
  <c r="F17" i="7"/>
  <c r="G17" i="7" s="1"/>
  <c r="F9" i="7"/>
  <c r="G9" i="7" s="1"/>
  <c r="F16" i="7"/>
  <c r="G16" i="7" s="1"/>
  <c r="F19" i="7"/>
  <c r="G19" i="7" s="1"/>
  <c r="F8" i="8"/>
  <c r="G8" i="8" s="1"/>
  <c r="F10" i="8"/>
  <c r="G10" i="8" s="1"/>
  <c r="F12" i="8"/>
  <c r="G12" i="8" s="1"/>
  <c r="F14" i="8"/>
  <c r="G14" i="8" s="1"/>
  <c r="F16" i="8"/>
  <c r="G16" i="8" s="1"/>
  <c r="F18" i="8"/>
  <c r="G18" i="8" s="1"/>
  <c r="F20" i="8"/>
  <c r="G20" i="8" s="1"/>
  <c r="F22" i="8"/>
  <c r="G22" i="8" s="1"/>
  <c r="F7" i="8"/>
  <c r="F9" i="8"/>
  <c r="G9" i="8" s="1"/>
  <c r="F11" i="8"/>
  <c r="G11" i="8" s="1"/>
  <c r="F13" i="8"/>
  <c r="G13" i="8" s="1"/>
  <c r="F15" i="8"/>
  <c r="G15" i="8" s="1"/>
  <c r="F17" i="8"/>
  <c r="G17" i="8" s="1"/>
  <c r="F19" i="8"/>
  <c r="G19" i="8" s="1"/>
  <c r="F21" i="8"/>
  <c r="G21" i="8" s="1"/>
  <c r="F22" i="7"/>
  <c r="G22" i="7" s="1"/>
  <c r="F21" i="7"/>
  <c r="G7" i="8" l="1"/>
  <c r="G24" i="8" s="1"/>
  <c r="G25" i="8" s="1"/>
  <c r="F24" i="8"/>
  <c r="G21" i="7"/>
  <c r="G24" i="7" s="1"/>
  <c r="F24" i="7"/>
  <c r="D24" i="5" l="1"/>
  <c r="F23" i="5" s="1"/>
  <c r="G23" i="5" s="1"/>
  <c r="F10" i="5" l="1"/>
  <c r="G10" i="5" s="1"/>
  <c r="F12" i="5"/>
  <c r="G12" i="5" s="1"/>
  <c r="F14" i="5"/>
  <c r="G14" i="5" s="1"/>
  <c r="F8" i="5"/>
  <c r="G8" i="5" s="1"/>
  <c r="F16" i="5"/>
  <c r="G16" i="5" s="1"/>
  <c r="F18" i="5"/>
  <c r="G18" i="5" s="1"/>
  <c r="F20" i="5"/>
  <c r="G20" i="5" s="1"/>
  <c r="F22" i="5"/>
  <c r="G22" i="5" s="1"/>
  <c r="F7" i="5"/>
  <c r="F9" i="5"/>
  <c r="G9" i="5" s="1"/>
  <c r="F11" i="5"/>
  <c r="G11" i="5" s="1"/>
  <c r="F13" i="5"/>
  <c r="G13" i="5" s="1"/>
  <c r="F15" i="5"/>
  <c r="G15" i="5" s="1"/>
  <c r="F17" i="5"/>
  <c r="G17" i="5" s="1"/>
  <c r="F19" i="5"/>
  <c r="G19" i="5" s="1"/>
  <c r="F21" i="5"/>
  <c r="G21" i="5" s="1"/>
  <c r="G7" i="5" l="1"/>
  <c r="G24" i="5" s="1"/>
  <c r="G25" i="5" s="1"/>
  <c r="F24" i="5"/>
</calcChain>
</file>

<file path=xl/sharedStrings.xml><?xml version="1.0" encoding="utf-8"?>
<sst xmlns="http://schemas.openxmlformats.org/spreadsheetml/2006/main" count="163" uniqueCount="65">
  <si>
    <t>%</t>
  </si>
  <si>
    <t xml:space="preserve">Sugar, White </t>
  </si>
  <si>
    <t>Formula Name:</t>
  </si>
  <si>
    <t>R&amp;D ID Number:</t>
  </si>
  <si>
    <t>Version #:</t>
  </si>
  <si>
    <t>Batch Number:</t>
  </si>
  <si>
    <t>Desired QTY (lb):</t>
  </si>
  <si>
    <t>Yield Loss:</t>
  </si>
  <si>
    <t>Item Number</t>
  </si>
  <si>
    <t>Description</t>
  </si>
  <si>
    <t>Original Fromula</t>
  </si>
  <si>
    <t>UOM</t>
  </si>
  <si>
    <t>Desired (lb)</t>
  </si>
  <si>
    <t>Lot Code</t>
  </si>
  <si>
    <t>Notes</t>
  </si>
  <si>
    <t>lb</t>
  </si>
  <si>
    <t>Total Sample Formula Weight:</t>
  </si>
  <si>
    <t>Total Weight</t>
  </si>
  <si>
    <t>Weight After Yield Loss</t>
  </si>
  <si>
    <t>Procedure</t>
  </si>
  <si>
    <t>Batch Formula Instructions</t>
  </si>
  <si>
    <t xml:space="preserve">By signing this sheet the operator is confirming that all information recorded is accurate and that all steps and procedures have been followed as listed. </t>
  </si>
  <si>
    <t>Operator Signature</t>
  </si>
  <si>
    <t>Date</t>
  </si>
  <si>
    <t xml:space="preserve">                    Reviewed By</t>
  </si>
  <si>
    <t xml:space="preserve">                                          Date</t>
  </si>
  <si>
    <t>Desired BOWLS (ea):</t>
  </si>
  <si>
    <t>oz</t>
  </si>
  <si>
    <t>C028</t>
  </si>
  <si>
    <t>CREAM CHEESE PHILADELPHIA</t>
  </si>
  <si>
    <t>D160</t>
  </si>
  <si>
    <t>SUGAR GRANULATED</t>
  </si>
  <si>
    <t>D025</t>
  </si>
  <si>
    <t>CORN STARCH</t>
  </si>
  <si>
    <t>P292</t>
  </si>
  <si>
    <t>EGGS LIQUID WHOLE</t>
  </si>
  <si>
    <t>P298</t>
  </si>
  <si>
    <t>SOUR CREAM</t>
  </si>
  <si>
    <t>D324</t>
  </si>
  <si>
    <t>VANILLA BEAN PASTE</t>
  </si>
  <si>
    <t>P284</t>
  </si>
  <si>
    <t>JUICE LEMON FRESH</t>
  </si>
  <si>
    <t>Matcha Powder</t>
  </si>
  <si>
    <t>Match Cheese Cake Fillin</t>
  </si>
  <si>
    <t>Soften Cream Cheese in Stand Mixer</t>
  </si>
  <si>
    <t>Mix All ingredients highlighted in green together in Stand Mixer of speed 1</t>
  </si>
  <si>
    <t>Scrape Down Bowl and then Add in remaining ingredients highlighted in yellow</t>
  </si>
  <si>
    <t xml:space="preserve">HALF PAN BAKE </t>
  </si>
  <si>
    <t>GRAHAM CRUST / BASE</t>
  </si>
  <si>
    <t>CHEESE CAKE FILL</t>
  </si>
  <si>
    <t>BAKE 350F FOR 55 MIN</t>
  </si>
  <si>
    <t>All Purpose Flour</t>
  </si>
  <si>
    <t xml:space="preserve">Sugar, Brown </t>
  </si>
  <si>
    <t>Baking Soda</t>
  </si>
  <si>
    <t xml:space="preserve">Salt </t>
  </si>
  <si>
    <t xml:space="preserve">Eggs </t>
  </si>
  <si>
    <t xml:space="preserve">Butter </t>
  </si>
  <si>
    <t>Mix all dry ingredients in stand mixer</t>
  </si>
  <si>
    <t>Add Egg and  incorporate</t>
  </si>
  <si>
    <t>Add softened butter and mix until fully incorporated</t>
  </si>
  <si>
    <t xml:space="preserve">Cocoa Powder </t>
  </si>
  <si>
    <t>Chocolate bar base</t>
  </si>
  <si>
    <t>Bake Crust for15 Min at 350F then Cool</t>
  </si>
  <si>
    <t>LAYER INTO HALF SHEET PAN CRUST THEN FREEZE - 1.75#</t>
  </si>
  <si>
    <t>TO CRUST THEN  ADD FILLING 5#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</si>
</sst>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6" formatCode="0.0000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59999389629810485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</cellStyleXfs>
  <cellXfs count="47">
    <xf numFmtId="0" fontId="0" fillId="0" borderId="0" xfId="0"/>
    <xf numFmtId="2" fontId="0" fillId="0" borderId="0" xfId="0" applyNumberFormat="1" applyAlignment="1">
      <alignment horizontal="center"/>
    </xf>
    <xf numFmtId="0" fontId="2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2" fillId="2" borderId="7" xfId="0" applyFont="1" applyFill="1" applyBorder="1" applyAlignment="1">
      <alignment horizontal="center"/>
    </xf>
    <xf numFmtId="0" fontId="0" fillId="2" borderId="8" xfId="0" applyFill="1" applyBorder="1" applyAlignment="1">
      <alignment horizontal="center"/>
    </xf>
    <xf numFmtId="0" fontId="2" fillId="2" borderId="8" xfId="0" applyFont="1" applyFill="1" applyBorder="1"/>
    <xf numFmtId="0" fontId="0" fillId="2" borderId="8" xfId="0" applyFill="1" applyBorder="1" applyAlignment="1">
      <alignment horizontal="left"/>
    </xf>
    <xf numFmtId="0" fontId="2" fillId="2" borderId="8" xfId="0" applyFont="1" applyFill="1" applyBorder="1" applyAlignment="1">
      <alignment horizontal="center"/>
    </xf>
    <xf numFmtId="0" fontId="2" fillId="2" borderId="8" xfId="0" applyFont="1" applyFill="1" applyBorder="1" applyAlignment="1">
      <alignment horizontal="left"/>
    </xf>
    <xf numFmtId="0" fontId="2" fillId="2" borderId="9" xfId="0" applyFont="1" applyFill="1" applyBorder="1" applyAlignment="1" applyProtection="1">
      <alignment horizontal="left"/>
      <protection locked="0"/>
    </xf>
    <xf numFmtId="0" fontId="2" fillId="0" borderId="0" xfId="0" applyFont="1"/>
    <xf numFmtId="0" fontId="0" fillId="3" borderId="0" xfId="0" applyFill="1" applyAlignment="1" applyProtection="1">
      <alignment horizontal="center"/>
      <protection locked="0"/>
    </xf>
    <xf numFmtId="9" fontId="0" fillId="4" borderId="0" xfId="1" applyFont="1" applyFill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0" fillId="0" borderId="1" xfId="0" applyBorder="1"/>
    <xf numFmtId="0" fontId="0" fillId="0" borderId="1" xfId="0" applyBorder="1" applyAlignment="1">
      <alignment horizontal="center"/>
    </xf>
    <xf numFmtId="10" fontId="0" fillId="0" borderId="1" xfId="1" applyNumberFormat="1" applyFont="1" applyBorder="1" applyAlignment="1">
      <alignment horizontal="center"/>
    </xf>
    <xf numFmtId="2" fontId="0" fillId="3" borderId="1" xfId="2" applyNumberFormat="1" applyFont="1" applyFill="1" applyBorder="1" applyAlignment="1">
      <alignment horizontal="center"/>
    </xf>
    <xf numFmtId="44" fontId="0" fillId="0" borderId="2" xfId="2" applyFont="1" applyBorder="1" applyAlignment="1" applyProtection="1">
      <alignment horizontal="center"/>
      <protection locked="0"/>
    </xf>
    <xf numFmtId="44" fontId="0" fillId="0" borderId="3" xfId="2" applyFont="1" applyBorder="1" applyAlignment="1" applyProtection="1">
      <alignment horizontal="center"/>
      <protection locked="0"/>
    </xf>
    <xf numFmtId="0" fontId="0" fillId="0" borderId="1" xfId="0" applyBorder="1" applyProtection="1">
      <protection locked="0"/>
    </xf>
    <xf numFmtId="0" fontId="2" fillId="0" borderId="0" xfId="0" applyFont="1" applyAlignment="1">
      <alignment horizontal="right"/>
    </xf>
    <xf numFmtId="10" fontId="2" fillId="0" borderId="0" xfId="0" applyNumberFormat="1" applyFont="1" applyAlignment="1">
      <alignment horizontal="center"/>
    </xf>
    <xf numFmtId="2" fontId="0" fillId="5" borderId="0" xfId="0" applyNumberFormat="1" applyFill="1" applyAlignment="1">
      <alignment horizontal="center"/>
    </xf>
    <xf numFmtId="0" fontId="0" fillId="5" borderId="0" xfId="0" applyFill="1"/>
    <xf numFmtId="0" fontId="3" fillId="2" borderId="1" xfId="0" applyFont="1" applyFill="1" applyBorder="1" applyAlignment="1">
      <alignment horizontal="center"/>
    </xf>
    <xf numFmtId="0" fontId="3" fillId="0" borderId="0" xfId="0" applyFont="1" applyAlignment="1">
      <alignment horizontal="left"/>
    </xf>
    <xf numFmtId="0" fontId="3" fillId="0" borderId="0" xfId="0" applyFont="1" applyAlignment="1">
      <alignment horizontal="center"/>
    </xf>
    <xf numFmtId="0" fontId="0" fillId="0" borderId="2" xfId="0" applyBorder="1"/>
    <xf numFmtId="0" fontId="0" fillId="0" borderId="4" xfId="0" applyBorder="1"/>
    <xf numFmtId="0" fontId="0" fillId="0" borderId="3" xfId="0" applyBorder="1"/>
    <xf numFmtId="0" fontId="0" fillId="6" borderId="2" xfId="0" applyFill="1" applyBorder="1"/>
    <xf numFmtId="0" fontId="0" fillId="6" borderId="4" xfId="0" applyFill="1" applyBorder="1"/>
    <xf numFmtId="0" fontId="0" fillId="6" borderId="3" xfId="0" applyFill="1" applyBorder="1"/>
    <xf numFmtId="0" fontId="0" fillId="0" borderId="1" xfId="0" applyBorder="1"/>
    <xf numFmtId="0" fontId="0" fillId="0" borderId="6" xfId="0" applyBorder="1"/>
    <xf numFmtId="0" fontId="0" fillId="0" borderId="6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5" xfId="0" applyBorder="1" applyAlignment="1">
      <alignment horizontal="center"/>
    </xf>
    <xf numFmtId="9" fontId="0" fillId="0" borderId="0" xfId="1" applyFont="1" applyFill="1" applyAlignment="1">
      <alignment horizontal="center"/>
    </xf>
    <xf numFmtId="0" fontId="0" fillId="6" borderId="1" xfId="0" applyFill="1" applyBorder="1" applyProtection="1">
      <protection locked="0"/>
    </xf>
    <xf numFmtId="166" fontId="0" fillId="5" borderId="0" xfId="0" applyNumberFormat="1" applyFill="1" applyAlignment="1">
      <alignment horizontal="center"/>
    </xf>
    <xf numFmtId="0" fontId="0" fillId="7" borderId="1" xfId="0" applyFill="1" applyBorder="1"/>
    <xf numFmtId="0" fontId="0" fillId="8" borderId="1" xfId="0" applyFill="1" applyBorder="1"/>
  </cellXfs>
  <cellStyles count="3">
    <cellStyle name="Currency" xfId="2" builtinId="4"/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5FB642-120F-40DB-ACE9-B34061E3B3F9}">
  <sheetPr>
    <pageSetUpPr fitToPage="1"/>
  </sheetPr>
  <dimension ref="A1:J43"/>
  <sheetViews>
    <sheetView tabSelected="1" zoomScale="71" zoomScaleNormal="71" workbookViewId="0">
      <selection activeCell="F20" sqref="F20"/>
    </sheetView>
  </sheetViews>
  <sheetFormatPr defaultRowHeight="15" x14ac:dyDescent="0.25"/>
  <cols>
    <col min="1" max="1" width="3.5703125" style="2" customWidth="1"/>
    <col min="2" max="2" width="21.42578125" customWidth="1"/>
    <col min="3" max="3" width="41.7109375" bestFit="1" customWidth="1"/>
    <col min="4" max="4" width="17.5703125" style="3" customWidth="1"/>
    <col min="5" max="5" width="6.5703125" style="3" customWidth="1"/>
    <col min="6" max="6" width="21.85546875" customWidth="1"/>
    <col min="7" max="7" width="12.5703125" style="3" customWidth="1"/>
    <col min="8" max="9" width="12.5703125" customWidth="1"/>
    <col min="10" max="10" width="37.42578125" customWidth="1"/>
  </cols>
  <sheetData>
    <row r="1" spans="1:10" ht="15.75" thickBot="1" x14ac:dyDescent="0.3"/>
    <row r="2" spans="1:10" ht="15.75" thickBot="1" x14ac:dyDescent="0.3">
      <c r="B2" s="4" t="s">
        <v>2</v>
      </c>
      <c r="C2" s="5" t="s">
        <v>47</v>
      </c>
      <c r="D2" s="6" t="s">
        <v>3</v>
      </c>
      <c r="E2" s="7"/>
      <c r="F2" s="7"/>
      <c r="G2" s="5"/>
      <c r="H2" s="8" t="s">
        <v>4</v>
      </c>
      <c r="I2" s="9"/>
      <c r="J2" s="10" t="s">
        <v>5</v>
      </c>
    </row>
    <row r="3" spans="1:10" ht="5.25" customHeight="1" x14ac:dyDescent="0.25">
      <c r="B3" s="2"/>
      <c r="D3" s="11"/>
      <c r="F3" s="3"/>
      <c r="H3" s="2"/>
      <c r="I3" s="2"/>
      <c r="J3" s="3"/>
    </row>
    <row r="4" spans="1:10" x14ac:dyDescent="0.25">
      <c r="B4" s="3" t="s">
        <v>26</v>
      </c>
      <c r="C4" s="12">
        <v>1</v>
      </c>
      <c r="D4" s="11"/>
      <c r="F4" s="3"/>
      <c r="G4" s="42"/>
      <c r="I4" s="2"/>
      <c r="J4" s="3"/>
    </row>
    <row r="5" spans="1:10" ht="5.25" customHeight="1" x14ac:dyDescent="0.25">
      <c r="B5" s="2"/>
      <c r="D5" s="11"/>
      <c r="F5" s="3"/>
      <c r="H5" s="2"/>
      <c r="I5" s="2"/>
      <c r="J5" s="3"/>
    </row>
    <row r="6" spans="1:10" x14ac:dyDescent="0.25">
      <c r="B6" s="14" t="s">
        <v>8</v>
      </c>
      <c r="C6" s="14" t="s">
        <v>9</v>
      </c>
      <c r="D6" s="14" t="s">
        <v>10</v>
      </c>
      <c r="E6" s="14" t="s">
        <v>11</v>
      </c>
      <c r="F6" s="14" t="s">
        <v>0</v>
      </c>
      <c r="G6" s="14" t="s">
        <v>12</v>
      </c>
      <c r="H6" s="15" t="s">
        <v>13</v>
      </c>
      <c r="I6" s="16"/>
      <c r="J6" s="14" t="s">
        <v>14</v>
      </c>
    </row>
    <row r="7" spans="1:10" x14ac:dyDescent="0.25">
      <c r="A7" s="2">
        <v>1</v>
      </c>
      <c r="B7" s="17"/>
      <c r="C7" s="17" t="s">
        <v>48</v>
      </c>
      <c r="D7" s="18">
        <v>28</v>
      </c>
      <c r="E7" s="18" t="s">
        <v>27</v>
      </c>
      <c r="F7" s="19">
        <f>D7/D$24</f>
        <v>0.25925925925925924</v>
      </c>
      <c r="G7" s="20">
        <f>F7*D24*C4/16</f>
        <v>1.75</v>
      </c>
      <c r="H7" s="21"/>
      <c r="I7" s="22"/>
      <c r="J7" s="43"/>
    </row>
    <row r="8" spans="1:10" x14ac:dyDescent="0.25">
      <c r="A8" s="2">
        <v>2</v>
      </c>
      <c r="B8" s="17"/>
      <c r="C8" s="17" t="s">
        <v>49</v>
      </c>
      <c r="D8" s="3">
        <v>80</v>
      </c>
      <c r="E8" s="18" t="s">
        <v>27</v>
      </c>
      <c r="F8" s="19">
        <f>D8/D$24</f>
        <v>0.7407407407407407</v>
      </c>
      <c r="G8" s="20">
        <f>F8*D24*C4/16</f>
        <v>5</v>
      </c>
      <c r="H8" s="21"/>
      <c r="I8" s="22"/>
      <c r="J8" s="23"/>
    </row>
    <row r="9" spans="1:10" x14ac:dyDescent="0.25">
      <c r="A9" s="2">
        <v>3</v>
      </c>
      <c r="B9" s="17"/>
      <c r="C9" s="17"/>
      <c r="D9" s="18"/>
      <c r="E9" s="18" t="s">
        <v>27</v>
      </c>
      <c r="F9" s="19">
        <f t="shared" ref="F9:F23" si="0">D9/D$24</f>
        <v>0</v>
      </c>
      <c r="G9" s="20">
        <f>F9*D24*C4/16</f>
        <v>0</v>
      </c>
      <c r="H9" s="21"/>
      <c r="I9" s="22"/>
      <c r="J9" s="23"/>
    </row>
    <row r="10" spans="1:10" x14ac:dyDescent="0.25">
      <c r="A10" s="2">
        <v>4</v>
      </c>
      <c r="B10" s="17"/>
      <c r="C10" s="17"/>
      <c r="D10" s="18"/>
      <c r="E10" s="18" t="s">
        <v>27</v>
      </c>
      <c r="F10" s="19">
        <f t="shared" si="0"/>
        <v>0</v>
      </c>
      <c r="G10" s="20">
        <f>C4*D24*F10/16</f>
        <v>0</v>
      </c>
      <c r="H10" s="21"/>
      <c r="I10" s="22"/>
      <c r="J10" s="23"/>
    </row>
    <row r="11" spans="1:10" x14ac:dyDescent="0.25">
      <c r="A11" s="2">
        <v>5</v>
      </c>
      <c r="B11" s="17"/>
      <c r="C11" s="17"/>
      <c r="D11" s="18"/>
      <c r="E11" s="18" t="s">
        <v>27</v>
      </c>
      <c r="F11" s="19">
        <f t="shared" si="0"/>
        <v>0</v>
      </c>
      <c r="G11" s="20">
        <f>C4*F11*D24/16</f>
        <v>0</v>
      </c>
      <c r="H11" s="21"/>
      <c r="I11" s="22"/>
      <c r="J11" s="23"/>
    </row>
    <row r="12" spans="1:10" x14ac:dyDescent="0.25">
      <c r="A12" s="2">
        <v>6</v>
      </c>
      <c r="B12" s="17"/>
      <c r="C12" s="17"/>
      <c r="D12" s="18"/>
      <c r="E12" s="18" t="s">
        <v>27</v>
      </c>
      <c r="F12" s="19">
        <f t="shared" si="0"/>
        <v>0</v>
      </c>
      <c r="G12" s="20">
        <f>C4*F12*D24/16</f>
        <v>0</v>
      </c>
      <c r="H12" s="21"/>
      <c r="I12" s="22"/>
      <c r="J12" s="23"/>
    </row>
    <row r="13" spans="1:10" x14ac:dyDescent="0.25">
      <c r="A13" s="2">
        <v>7</v>
      </c>
      <c r="B13" s="17"/>
      <c r="C13" s="17"/>
      <c r="D13" s="18"/>
      <c r="E13" s="18" t="s">
        <v>27</v>
      </c>
      <c r="F13" s="19">
        <f t="shared" si="0"/>
        <v>0</v>
      </c>
      <c r="G13" s="20">
        <f>C4*F13*D24/16</f>
        <v>0</v>
      </c>
      <c r="H13" s="21"/>
      <c r="I13" s="22"/>
      <c r="J13" s="23"/>
    </row>
    <row r="14" spans="1:10" x14ac:dyDescent="0.25">
      <c r="A14" s="2">
        <v>8</v>
      </c>
      <c r="B14" s="17"/>
      <c r="C14" s="17"/>
      <c r="D14" s="18"/>
      <c r="E14" s="18" t="s">
        <v>27</v>
      </c>
      <c r="F14" s="19">
        <f t="shared" si="0"/>
        <v>0</v>
      </c>
      <c r="G14" s="20">
        <f>C4*F14*D24/16</f>
        <v>0</v>
      </c>
      <c r="H14" s="21"/>
      <c r="I14" s="22"/>
      <c r="J14" s="23"/>
    </row>
    <row r="15" spans="1:10" x14ac:dyDescent="0.25">
      <c r="A15" s="2">
        <v>9</v>
      </c>
      <c r="B15" s="17"/>
      <c r="C15" s="17"/>
      <c r="D15" s="18"/>
      <c r="E15" s="18" t="s">
        <v>27</v>
      </c>
      <c r="F15" s="19">
        <f t="shared" si="0"/>
        <v>0</v>
      </c>
      <c r="G15" s="20">
        <f>C4*F15*D24/16</f>
        <v>0</v>
      </c>
      <c r="H15" s="21"/>
      <c r="I15" s="22"/>
      <c r="J15" s="23"/>
    </row>
    <row r="16" spans="1:10" x14ac:dyDescent="0.25">
      <c r="A16" s="2">
        <v>10</v>
      </c>
      <c r="B16" s="17"/>
      <c r="C16" s="17"/>
      <c r="D16" s="18"/>
      <c r="E16" s="18" t="s">
        <v>27</v>
      </c>
      <c r="F16" s="19">
        <f t="shared" si="0"/>
        <v>0</v>
      </c>
      <c r="G16" s="20">
        <f>C4*F16*D24/16</f>
        <v>0</v>
      </c>
      <c r="H16" s="21"/>
      <c r="I16" s="22"/>
      <c r="J16" s="23"/>
    </row>
    <row r="17" spans="1:10" x14ac:dyDescent="0.25">
      <c r="A17" s="2">
        <v>11</v>
      </c>
      <c r="B17" s="17"/>
      <c r="C17" s="17"/>
      <c r="D17" s="18"/>
      <c r="E17" s="18" t="s">
        <v>27</v>
      </c>
      <c r="F17" s="19">
        <f t="shared" si="0"/>
        <v>0</v>
      </c>
      <c r="G17" s="20">
        <f>C4*F17*D24/16</f>
        <v>0</v>
      </c>
      <c r="H17" s="21"/>
      <c r="I17" s="22"/>
      <c r="J17" s="23"/>
    </row>
    <row r="18" spans="1:10" x14ac:dyDescent="0.25">
      <c r="A18" s="2">
        <v>12</v>
      </c>
      <c r="B18" s="17"/>
      <c r="C18" s="17"/>
      <c r="D18" s="18"/>
      <c r="E18" s="18" t="s">
        <v>27</v>
      </c>
      <c r="F18" s="19">
        <f t="shared" si="0"/>
        <v>0</v>
      </c>
      <c r="G18" s="20">
        <f>C4*F18*D24/16</f>
        <v>0</v>
      </c>
      <c r="H18" s="21"/>
      <c r="I18" s="22"/>
      <c r="J18" s="23"/>
    </row>
    <row r="19" spans="1:10" x14ac:dyDescent="0.25">
      <c r="A19" s="2">
        <v>13</v>
      </c>
      <c r="B19" s="17"/>
      <c r="C19" s="17"/>
      <c r="D19" s="18"/>
      <c r="E19" s="18" t="s">
        <v>27</v>
      </c>
      <c r="F19" s="19">
        <f t="shared" si="0"/>
        <v>0</v>
      </c>
      <c r="G19" s="20">
        <f>C4*F19*D24/16</f>
        <v>0</v>
      </c>
      <c r="H19" s="21"/>
      <c r="I19" s="22"/>
      <c r="J19" s="23"/>
    </row>
    <row r="20" spans="1:10" x14ac:dyDescent="0.25">
      <c r="A20" s="2">
        <v>14</v>
      </c>
      <c r="B20" s="17"/>
      <c r="C20" s="17"/>
      <c r="D20" s="18"/>
      <c r="E20" s="18" t="s">
        <v>27</v>
      </c>
      <c r="F20" s="19">
        <f t="shared" si="0"/>
        <v>0</v>
      </c>
      <c r="G20" s="20">
        <f>C4*F20*D24/16</f>
        <v>0</v>
      </c>
      <c r="H20" s="21"/>
      <c r="I20" s="22"/>
      <c r="J20" s="23"/>
    </row>
    <row r="21" spans="1:10" x14ac:dyDescent="0.25">
      <c r="A21" s="2">
        <v>15</v>
      </c>
      <c r="B21" s="17"/>
      <c r="C21" s="17"/>
      <c r="D21" s="18"/>
      <c r="E21" s="18" t="s">
        <v>27</v>
      </c>
      <c r="F21" s="19">
        <f>D21/D$24</f>
        <v>0</v>
      </c>
      <c r="G21" s="20">
        <f>C4*F21*D24/16</f>
        <v>0</v>
      </c>
      <c r="H21" s="21"/>
      <c r="I21" s="22"/>
      <c r="J21" s="23"/>
    </row>
    <row r="22" spans="1:10" x14ac:dyDescent="0.25">
      <c r="A22" s="2">
        <v>16</v>
      </c>
      <c r="B22" s="17"/>
      <c r="C22" s="17"/>
      <c r="D22" s="18"/>
      <c r="E22" s="18" t="s">
        <v>27</v>
      </c>
      <c r="F22" s="19">
        <f t="shared" si="0"/>
        <v>0</v>
      </c>
      <c r="G22" s="20">
        <f>C4*F22*D24/16</f>
        <v>0</v>
      </c>
      <c r="H22" s="21"/>
      <c r="I22" s="22"/>
      <c r="J22" s="23"/>
    </row>
    <row r="23" spans="1:10" x14ac:dyDescent="0.25">
      <c r="A23" s="2">
        <v>17</v>
      </c>
      <c r="B23" s="17"/>
      <c r="C23" s="17"/>
      <c r="D23" s="18"/>
      <c r="E23" s="18" t="s">
        <v>27</v>
      </c>
      <c r="F23" s="19">
        <f t="shared" si="0"/>
        <v>0</v>
      </c>
      <c r="G23" s="20">
        <f>C4*F23*D24/16</f>
        <v>0</v>
      </c>
      <c r="H23" s="21"/>
      <c r="I23" s="22"/>
      <c r="J23" s="23"/>
    </row>
    <row r="24" spans="1:10" x14ac:dyDescent="0.25">
      <c r="C24" s="24" t="s">
        <v>16</v>
      </c>
      <c r="D24" s="2">
        <f>SUM(D7:D23)</f>
        <v>108</v>
      </c>
      <c r="E24" s="2" t="s">
        <v>27</v>
      </c>
      <c r="F24" s="25">
        <f>SUM(F7:F23)</f>
        <v>1</v>
      </c>
      <c r="G24" s="44">
        <f>SUM(G7:G23)</f>
        <v>6.75</v>
      </c>
      <c r="H24" s="27" t="s">
        <v>17</v>
      </c>
    </row>
    <row r="25" spans="1:10" x14ac:dyDescent="0.25">
      <c r="F25" s="42"/>
      <c r="G25" s="1"/>
    </row>
    <row r="26" spans="1:10" ht="15.75" x14ac:dyDescent="0.25">
      <c r="A26"/>
      <c r="B26" s="28" t="s">
        <v>19</v>
      </c>
      <c r="C26" s="28"/>
      <c r="D26" s="28"/>
      <c r="E26" s="28"/>
      <c r="F26" s="28"/>
      <c r="G26" s="28"/>
      <c r="H26" s="28"/>
      <c r="I26" s="28"/>
      <c r="J26" s="28"/>
    </row>
    <row r="27" spans="1:10" ht="15.75" x14ac:dyDescent="0.25">
      <c r="A27"/>
      <c r="B27" s="29" t="s">
        <v>20</v>
      </c>
      <c r="C27" s="30"/>
      <c r="D27" s="30"/>
      <c r="E27" s="30"/>
      <c r="F27" s="30"/>
      <c r="G27" s="30"/>
      <c r="H27" s="30"/>
      <c r="I27" s="30"/>
      <c r="J27" s="30"/>
    </row>
    <row r="28" spans="1:10" x14ac:dyDescent="0.25">
      <c r="A28" s="2">
        <v>1</v>
      </c>
      <c r="B28" s="37" t="s">
        <v>63</v>
      </c>
      <c r="C28" s="37"/>
      <c r="D28" s="37"/>
      <c r="E28" s="37"/>
      <c r="F28" s="37"/>
      <c r="G28" s="37"/>
      <c r="H28" s="37"/>
      <c r="I28" s="37"/>
      <c r="J28" s="37"/>
    </row>
    <row r="29" spans="1:10" x14ac:dyDescent="0.25">
      <c r="A29" s="2">
        <v>2</v>
      </c>
      <c r="B29" s="37" t="s">
        <v>62</v>
      </c>
      <c r="C29" s="37"/>
      <c r="D29" s="37"/>
      <c r="E29" s="37"/>
      <c r="F29" s="37"/>
      <c r="G29" s="37"/>
      <c r="H29" s="37"/>
      <c r="I29" s="37"/>
      <c r="J29" s="37"/>
    </row>
    <row r="30" spans="1:10" x14ac:dyDescent="0.25">
      <c r="A30" s="2">
        <v>3</v>
      </c>
      <c r="B30" s="37" t="s">
        <v>64</v>
      </c>
      <c r="C30" s="37"/>
      <c r="D30" s="37"/>
      <c r="E30" s="37"/>
      <c r="F30" s="37"/>
      <c r="G30" s="37"/>
      <c r="H30" s="37"/>
      <c r="I30" s="37"/>
      <c r="J30" s="37"/>
    </row>
    <row r="31" spans="1:10" x14ac:dyDescent="0.25">
      <c r="A31" s="2">
        <v>4</v>
      </c>
      <c r="B31" s="37" t="s">
        <v>50</v>
      </c>
      <c r="C31" s="37"/>
      <c r="D31" s="37"/>
      <c r="E31" s="37"/>
      <c r="F31" s="37"/>
      <c r="G31" s="37"/>
      <c r="H31" s="37"/>
      <c r="I31" s="37"/>
      <c r="J31" s="37"/>
    </row>
    <row r="32" spans="1:10" x14ac:dyDescent="0.25">
      <c r="A32" s="2">
        <v>5</v>
      </c>
      <c r="B32" s="37"/>
      <c r="C32" s="37"/>
      <c r="D32" s="37"/>
      <c r="E32" s="37"/>
      <c r="F32" s="37"/>
      <c r="G32" s="37"/>
      <c r="H32" s="37"/>
      <c r="I32" s="37"/>
      <c r="J32" s="37"/>
    </row>
    <row r="33" spans="1:10" x14ac:dyDescent="0.25">
      <c r="A33" s="2">
        <v>6</v>
      </c>
    </row>
    <row r="34" spans="1:10" x14ac:dyDescent="0.25">
      <c r="A34" s="2">
        <v>7</v>
      </c>
      <c r="B34" s="37"/>
      <c r="C34" s="37"/>
      <c r="D34" s="37"/>
      <c r="E34" s="37"/>
      <c r="F34" s="37"/>
      <c r="G34" s="37"/>
      <c r="H34" s="37"/>
      <c r="I34" s="37"/>
      <c r="J34" s="37"/>
    </row>
    <row r="35" spans="1:10" x14ac:dyDescent="0.25">
      <c r="A35" s="2">
        <v>8</v>
      </c>
      <c r="B35" s="37"/>
      <c r="C35" s="37"/>
      <c r="D35" s="37"/>
      <c r="E35" s="37"/>
      <c r="F35" s="37"/>
      <c r="G35" s="37"/>
      <c r="H35" s="37"/>
      <c r="I35" s="37"/>
      <c r="J35" s="37"/>
    </row>
    <row r="36" spans="1:10" x14ac:dyDescent="0.25">
      <c r="A36" s="2">
        <v>9</v>
      </c>
      <c r="B36" s="37"/>
      <c r="C36" s="37"/>
      <c r="D36" s="37"/>
      <c r="E36" s="37"/>
      <c r="F36" s="37"/>
      <c r="G36" s="37"/>
      <c r="H36" s="37"/>
      <c r="I36" s="37"/>
      <c r="J36" s="37"/>
    </row>
    <row r="37" spans="1:10" x14ac:dyDescent="0.25">
      <c r="A37" s="2">
        <v>10</v>
      </c>
      <c r="B37" s="37"/>
      <c r="C37" s="37"/>
      <c r="D37" s="37"/>
      <c r="E37" s="37"/>
      <c r="F37" s="37"/>
      <c r="G37" s="37"/>
      <c r="H37" s="37"/>
      <c r="I37" s="37"/>
      <c r="J37" s="37"/>
    </row>
    <row r="38" spans="1:10" x14ac:dyDescent="0.25">
      <c r="A38" s="2">
        <v>11</v>
      </c>
      <c r="B38" s="37"/>
      <c r="C38" s="37"/>
      <c r="D38" s="37"/>
      <c r="E38" s="37"/>
      <c r="F38" s="37"/>
      <c r="G38" s="37"/>
      <c r="H38" s="37"/>
      <c r="I38" s="37"/>
      <c r="J38" s="37"/>
    </row>
    <row r="40" spans="1:10" x14ac:dyDescent="0.25">
      <c r="B40" t="s">
        <v>21</v>
      </c>
    </row>
    <row r="42" spans="1:10" x14ac:dyDescent="0.25">
      <c r="B42" s="38"/>
      <c r="C42" s="38"/>
      <c r="D42" s="39"/>
      <c r="E42" s="39"/>
      <c r="F42" s="38"/>
      <c r="H42" s="38"/>
      <c r="I42" s="38"/>
      <c r="J42" s="38"/>
    </row>
    <row r="43" spans="1:10" x14ac:dyDescent="0.25">
      <c r="B43" s="40" t="s">
        <v>22</v>
      </c>
      <c r="C43" s="40"/>
      <c r="E43" s="40" t="s">
        <v>23</v>
      </c>
      <c r="F43" s="40"/>
      <c r="H43" s="41" t="s">
        <v>24</v>
      </c>
      <c r="I43" s="41"/>
      <c r="J43" s="3" t="s">
        <v>25</v>
      </c>
    </row>
  </sheetData>
  <mergeCells count="33">
    <mergeCell ref="B43:C43"/>
    <mergeCell ref="E43:F43"/>
    <mergeCell ref="H43:I43"/>
    <mergeCell ref="B32:J32"/>
    <mergeCell ref="B34:J34"/>
    <mergeCell ref="B35:J35"/>
    <mergeCell ref="B36:J36"/>
    <mergeCell ref="B37:J37"/>
    <mergeCell ref="B38:J38"/>
    <mergeCell ref="H23:I23"/>
    <mergeCell ref="B26:J26"/>
    <mergeCell ref="B28:J28"/>
    <mergeCell ref="B29:J29"/>
    <mergeCell ref="B30:J30"/>
    <mergeCell ref="B31:J31"/>
    <mergeCell ref="H17:I17"/>
    <mergeCell ref="H18:I18"/>
    <mergeCell ref="H19:I19"/>
    <mergeCell ref="H20:I20"/>
    <mergeCell ref="H21:I21"/>
    <mergeCell ref="H22:I22"/>
    <mergeCell ref="H11:I11"/>
    <mergeCell ref="H12:I12"/>
    <mergeCell ref="H13:I13"/>
    <mergeCell ref="H14:I14"/>
    <mergeCell ref="H15:I15"/>
    <mergeCell ref="H16:I16"/>
    <mergeCell ref="E2:F2"/>
    <mergeCell ref="H6:I6"/>
    <mergeCell ref="H7:I7"/>
    <mergeCell ref="H8:I8"/>
    <mergeCell ref="H9:I9"/>
    <mergeCell ref="H10:I10"/>
  </mergeCells>
  <pageMargins left="0.7" right="0.7" top="0.75" bottom="0.75" header="0.3" footer="0.3"/>
  <pageSetup scale="66" fitToHeight="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A23DFC-6090-4036-B702-3644B6928143}">
  <sheetPr>
    <pageSetUpPr fitToPage="1"/>
  </sheetPr>
  <dimension ref="A1:J43"/>
  <sheetViews>
    <sheetView topLeftCell="A19" workbookViewId="0">
      <selection activeCell="C10" sqref="C10"/>
    </sheetView>
  </sheetViews>
  <sheetFormatPr defaultRowHeight="15" x14ac:dyDescent="0.25"/>
  <cols>
    <col min="1" max="1" width="3.5703125" style="2" customWidth="1"/>
    <col min="2" max="2" width="21.42578125" customWidth="1"/>
    <col min="3" max="3" width="38" customWidth="1"/>
    <col min="4" max="4" width="17.5703125" style="3" customWidth="1"/>
    <col min="5" max="5" width="6.5703125" style="3" customWidth="1"/>
    <col min="6" max="6" width="21.85546875" customWidth="1"/>
    <col min="7" max="7" width="12.5703125" style="3" customWidth="1"/>
    <col min="8" max="9" width="12.5703125" customWidth="1"/>
    <col min="10" max="10" width="37.42578125" customWidth="1"/>
  </cols>
  <sheetData>
    <row r="1" spans="1:10" ht="15.75" thickBot="1" x14ac:dyDescent="0.3"/>
    <row r="2" spans="1:10" ht="15.75" thickBot="1" x14ac:dyDescent="0.3">
      <c r="B2" s="4" t="s">
        <v>2</v>
      </c>
      <c r="C2" s="5" t="s">
        <v>61</v>
      </c>
      <c r="D2" s="6" t="s">
        <v>3</v>
      </c>
      <c r="E2" s="7"/>
      <c r="F2" s="7"/>
      <c r="G2" s="5"/>
      <c r="H2" s="8" t="s">
        <v>4</v>
      </c>
      <c r="I2" s="9"/>
      <c r="J2" s="10" t="s">
        <v>5</v>
      </c>
    </row>
    <row r="3" spans="1:10" ht="5.25" customHeight="1" x14ac:dyDescent="0.25">
      <c r="B3" s="2"/>
      <c r="D3" s="11"/>
      <c r="F3" s="3"/>
      <c r="H3" s="2"/>
      <c r="I3" s="2"/>
      <c r="J3" s="3"/>
    </row>
    <row r="4" spans="1:10" x14ac:dyDescent="0.25">
      <c r="B4" s="3" t="s">
        <v>6</v>
      </c>
      <c r="C4" s="12">
        <v>5</v>
      </c>
      <c r="D4" s="11"/>
      <c r="F4" s="3" t="s">
        <v>7</v>
      </c>
      <c r="G4" s="13">
        <v>0.1</v>
      </c>
      <c r="I4" s="2"/>
      <c r="J4" s="3"/>
    </row>
    <row r="5" spans="1:10" ht="5.25" customHeight="1" x14ac:dyDescent="0.25">
      <c r="B5" s="2"/>
      <c r="D5" s="11"/>
      <c r="F5" s="3"/>
      <c r="H5" s="2"/>
      <c r="I5" s="2"/>
      <c r="J5" s="3"/>
    </row>
    <row r="6" spans="1:10" x14ac:dyDescent="0.25">
      <c r="B6" s="14" t="s">
        <v>8</v>
      </c>
      <c r="C6" s="14" t="s">
        <v>9</v>
      </c>
      <c r="D6" s="14" t="s">
        <v>10</v>
      </c>
      <c r="E6" s="14" t="s">
        <v>11</v>
      </c>
      <c r="F6" s="14" t="s">
        <v>0</v>
      </c>
      <c r="G6" s="14" t="s">
        <v>12</v>
      </c>
      <c r="H6" s="15" t="s">
        <v>13</v>
      </c>
      <c r="I6" s="16"/>
      <c r="J6" s="14" t="s">
        <v>14</v>
      </c>
    </row>
    <row r="7" spans="1:10" x14ac:dyDescent="0.25">
      <c r="A7" s="2">
        <v>1</v>
      </c>
      <c r="B7" s="17"/>
      <c r="C7" s="17" t="s">
        <v>51</v>
      </c>
      <c r="D7" s="18">
        <v>2.2130000000000001</v>
      </c>
      <c r="E7" s="18" t="s">
        <v>15</v>
      </c>
      <c r="F7" s="19">
        <f t="shared" ref="F7:F23" si="0">D7/D$24</f>
        <v>0.40105110547299744</v>
      </c>
      <c r="G7" s="20">
        <f>C4*F7</f>
        <v>2.0052555273649872</v>
      </c>
      <c r="H7" s="21"/>
      <c r="I7" s="22"/>
      <c r="J7" s="23"/>
    </row>
    <row r="8" spans="1:10" x14ac:dyDescent="0.25">
      <c r="A8" s="2">
        <v>2</v>
      </c>
      <c r="B8" s="17"/>
      <c r="C8" s="17" t="s">
        <v>1</v>
      </c>
      <c r="D8" s="18">
        <v>0.56699999999999995</v>
      </c>
      <c r="E8" s="18" t="s">
        <v>15</v>
      </c>
      <c r="F8" s="19">
        <f t="shared" si="0"/>
        <v>0.10275462123957954</v>
      </c>
      <c r="G8" s="20">
        <f>C4*F8</f>
        <v>0.51377310619789773</v>
      </c>
      <c r="H8" s="21"/>
      <c r="I8" s="22"/>
      <c r="J8" s="23"/>
    </row>
    <row r="9" spans="1:10" x14ac:dyDescent="0.25">
      <c r="A9" s="2">
        <v>3</v>
      </c>
      <c r="B9" s="17"/>
      <c r="C9" s="17" t="s">
        <v>52</v>
      </c>
      <c r="D9" s="18">
        <v>0.56699999999999995</v>
      </c>
      <c r="E9" s="18" t="s">
        <v>15</v>
      </c>
      <c r="F9" s="19">
        <f t="shared" si="0"/>
        <v>0.10275462123957954</v>
      </c>
      <c r="G9" s="20">
        <f>C4*F9</f>
        <v>0.51377310619789773</v>
      </c>
      <c r="H9" s="21"/>
      <c r="I9" s="22"/>
      <c r="J9" s="23"/>
    </row>
    <row r="10" spans="1:10" x14ac:dyDescent="0.25">
      <c r="A10" s="2">
        <v>4</v>
      </c>
      <c r="B10" s="17"/>
      <c r="C10" s="17" t="s">
        <v>53</v>
      </c>
      <c r="D10" s="18">
        <v>2.8000000000000001E-2</v>
      </c>
      <c r="E10" s="18" t="s">
        <v>15</v>
      </c>
      <c r="F10" s="19">
        <f t="shared" si="0"/>
        <v>5.0743022834360274E-3</v>
      </c>
      <c r="G10" s="20">
        <f>C4*F10</f>
        <v>2.5371511417180137E-2</v>
      </c>
      <c r="H10" s="21"/>
      <c r="I10" s="22"/>
      <c r="J10" s="23"/>
    </row>
    <row r="11" spans="1:10" x14ac:dyDescent="0.25">
      <c r="A11" s="2">
        <v>5</v>
      </c>
      <c r="B11" s="17"/>
      <c r="C11" s="17" t="s">
        <v>54</v>
      </c>
      <c r="D11" s="18">
        <v>1.7999999999999999E-2</v>
      </c>
      <c r="E11" s="18" t="s">
        <v>15</v>
      </c>
      <c r="F11" s="19">
        <f t="shared" si="0"/>
        <v>3.26205146792316E-3</v>
      </c>
      <c r="G11" s="20">
        <f>C4*F11</f>
        <v>1.6310257339615799E-2</v>
      </c>
      <c r="H11" s="21"/>
      <c r="I11" s="22"/>
      <c r="J11" s="23"/>
    </row>
    <row r="12" spans="1:10" x14ac:dyDescent="0.25">
      <c r="A12" s="2">
        <v>6</v>
      </c>
      <c r="B12" s="17"/>
      <c r="C12" s="17" t="s">
        <v>55</v>
      </c>
      <c r="D12" s="18">
        <v>0.28299999999999997</v>
      </c>
      <c r="E12" s="18" t="s">
        <v>15</v>
      </c>
      <c r="F12" s="19">
        <f t="shared" si="0"/>
        <v>5.1286698079014127E-2</v>
      </c>
      <c r="G12" s="20">
        <f>C4*F12</f>
        <v>0.25643349039507063</v>
      </c>
      <c r="H12" s="21"/>
      <c r="I12" s="22"/>
      <c r="J12" s="23"/>
    </row>
    <row r="13" spans="1:10" x14ac:dyDescent="0.25">
      <c r="A13" s="2">
        <v>7</v>
      </c>
      <c r="B13" s="17"/>
      <c r="C13" s="17" t="s">
        <v>60</v>
      </c>
      <c r="D13" s="18">
        <v>0.56000000000000005</v>
      </c>
      <c r="E13" s="18" t="s">
        <v>15</v>
      </c>
      <c r="F13" s="19">
        <f t="shared" si="0"/>
        <v>0.10148604566872055</v>
      </c>
      <c r="G13" s="20">
        <f>C4*F13</f>
        <v>0.50743022834360274</v>
      </c>
      <c r="H13" s="21"/>
      <c r="I13" s="22"/>
      <c r="J13" s="23"/>
    </row>
    <row r="14" spans="1:10" x14ac:dyDescent="0.25">
      <c r="A14" s="2">
        <v>8</v>
      </c>
      <c r="B14" s="17"/>
      <c r="C14" s="17" t="s">
        <v>56</v>
      </c>
      <c r="D14" s="18">
        <v>1.282</v>
      </c>
      <c r="E14" s="18" t="s">
        <v>15</v>
      </c>
      <c r="F14" s="19">
        <f t="shared" si="0"/>
        <v>0.23233055454874951</v>
      </c>
      <c r="G14" s="20">
        <f>C4*F14</f>
        <v>1.1616527727437476</v>
      </c>
      <c r="H14" s="21"/>
      <c r="I14" s="22"/>
      <c r="J14" s="23"/>
    </row>
    <row r="15" spans="1:10" x14ac:dyDescent="0.25">
      <c r="A15" s="2">
        <v>9</v>
      </c>
      <c r="B15" s="17"/>
      <c r="C15" s="17"/>
      <c r="D15" s="18"/>
      <c r="E15" s="18" t="s">
        <v>15</v>
      </c>
      <c r="F15" s="19">
        <f t="shared" si="0"/>
        <v>0</v>
      </c>
      <c r="G15" s="20">
        <f>C4*F15</f>
        <v>0</v>
      </c>
      <c r="H15" s="21"/>
      <c r="I15" s="22"/>
      <c r="J15" s="23"/>
    </row>
    <row r="16" spans="1:10" x14ac:dyDescent="0.25">
      <c r="A16" s="2">
        <v>10</v>
      </c>
      <c r="B16" s="17"/>
      <c r="C16" s="17"/>
      <c r="D16" s="18"/>
      <c r="E16" s="18" t="s">
        <v>15</v>
      </c>
      <c r="F16" s="19">
        <f t="shared" si="0"/>
        <v>0</v>
      </c>
      <c r="G16" s="20">
        <f>C4*F16</f>
        <v>0</v>
      </c>
      <c r="H16" s="21"/>
      <c r="I16" s="22"/>
      <c r="J16" s="23"/>
    </row>
    <row r="17" spans="1:10" x14ac:dyDescent="0.25">
      <c r="A17" s="2">
        <v>11</v>
      </c>
      <c r="B17" s="17"/>
      <c r="C17" s="17"/>
      <c r="D17" s="18"/>
      <c r="E17" s="18" t="s">
        <v>15</v>
      </c>
      <c r="F17" s="19">
        <f t="shared" si="0"/>
        <v>0</v>
      </c>
      <c r="G17" s="20">
        <f>C4*F17</f>
        <v>0</v>
      </c>
      <c r="H17" s="21"/>
      <c r="I17" s="22"/>
      <c r="J17" s="23"/>
    </row>
    <row r="18" spans="1:10" x14ac:dyDescent="0.25">
      <c r="A18" s="2">
        <v>12</v>
      </c>
      <c r="B18" s="17"/>
      <c r="C18" s="17"/>
      <c r="D18" s="18"/>
      <c r="E18" s="18" t="s">
        <v>15</v>
      </c>
      <c r="F18" s="19">
        <f t="shared" si="0"/>
        <v>0</v>
      </c>
      <c r="G18" s="20">
        <f>C4*F18</f>
        <v>0</v>
      </c>
      <c r="H18" s="21"/>
      <c r="I18" s="22"/>
      <c r="J18" s="23"/>
    </row>
    <row r="19" spans="1:10" x14ac:dyDescent="0.25">
      <c r="A19" s="2">
        <v>13</v>
      </c>
      <c r="B19" s="17"/>
      <c r="C19" s="17"/>
      <c r="D19" s="18"/>
      <c r="E19" s="18" t="s">
        <v>15</v>
      </c>
      <c r="F19" s="19">
        <f t="shared" si="0"/>
        <v>0</v>
      </c>
      <c r="G19" s="20">
        <f>C4*F19</f>
        <v>0</v>
      </c>
      <c r="H19" s="21"/>
      <c r="I19" s="22"/>
      <c r="J19" s="23"/>
    </row>
    <row r="20" spans="1:10" x14ac:dyDescent="0.25">
      <c r="A20" s="2">
        <v>14</v>
      </c>
      <c r="B20" s="17"/>
      <c r="C20" s="17"/>
      <c r="D20" s="18"/>
      <c r="E20" s="18" t="s">
        <v>15</v>
      </c>
      <c r="F20" s="19">
        <f t="shared" si="0"/>
        <v>0</v>
      </c>
      <c r="G20" s="20">
        <f>C4*F20</f>
        <v>0</v>
      </c>
      <c r="H20" s="21"/>
      <c r="I20" s="22"/>
      <c r="J20" s="23"/>
    </row>
    <row r="21" spans="1:10" x14ac:dyDescent="0.25">
      <c r="A21" s="2">
        <v>15</v>
      </c>
      <c r="B21" s="17"/>
      <c r="C21" s="17"/>
      <c r="D21" s="18"/>
      <c r="E21" s="18" t="s">
        <v>15</v>
      </c>
      <c r="F21" s="19">
        <f t="shared" si="0"/>
        <v>0</v>
      </c>
      <c r="G21" s="20">
        <f>C4*F21</f>
        <v>0</v>
      </c>
      <c r="H21" s="21"/>
      <c r="I21" s="22"/>
      <c r="J21" s="23"/>
    </row>
    <row r="22" spans="1:10" x14ac:dyDescent="0.25">
      <c r="A22" s="2">
        <v>16</v>
      </c>
      <c r="B22" s="17"/>
      <c r="C22" s="17"/>
      <c r="D22" s="18"/>
      <c r="E22" s="18" t="s">
        <v>15</v>
      </c>
      <c r="F22" s="19">
        <f t="shared" si="0"/>
        <v>0</v>
      </c>
      <c r="G22" s="20">
        <f>C4*F22</f>
        <v>0</v>
      </c>
      <c r="H22" s="21"/>
      <c r="I22" s="22"/>
      <c r="J22" s="23"/>
    </row>
    <row r="23" spans="1:10" x14ac:dyDescent="0.25">
      <c r="A23" s="2">
        <v>17</v>
      </c>
      <c r="B23" s="17"/>
      <c r="C23" s="17"/>
      <c r="D23" s="18"/>
      <c r="E23" s="18" t="s">
        <v>15</v>
      </c>
      <c r="F23" s="19">
        <f t="shared" si="0"/>
        <v>0</v>
      </c>
      <c r="G23" s="20">
        <f>C4*F23</f>
        <v>0</v>
      </c>
      <c r="H23" s="21"/>
      <c r="I23" s="22"/>
      <c r="J23" s="23"/>
    </row>
    <row r="24" spans="1:10" x14ac:dyDescent="0.25">
      <c r="C24" s="24" t="s">
        <v>16</v>
      </c>
      <c r="D24" s="2">
        <f>SUM(D7:D23)</f>
        <v>5.5180000000000007</v>
      </c>
      <c r="E24" s="2" t="s">
        <v>15</v>
      </c>
      <c r="F24" s="25">
        <f>SUM(F7:F23)</f>
        <v>0.99999999999999978</v>
      </c>
      <c r="G24" s="26">
        <f>SUM(G7:G23)</f>
        <v>4.9999999999999991</v>
      </c>
      <c r="H24" s="27" t="s">
        <v>17</v>
      </c>
    </row>
    <row r="25" spans="1:10" x14ac:dyDescent="0.25">
      <c r="F25" s="13" t="s">
        <v>18</v>
      </c>
      <c r="G25" s="1">
        <f>-G24*G4+C4</f>
        <v>4.5</v>
      </c>
    </row>
    <row r="26" spans="1:10" ht="15.75" x14ac:dyDescent="0.25">
      <c r="A26"/>
      <c r="B26" s="28" t="s">
        <v>19</v>
      </c>
      <c r="C26" s="28"/>
      <c r="D26" s="28"/>
      <c r="E26" s="28"/>
      <c r="F26" s="28"/>
      <c r="G26" s="28"/>
      <c r="H26" s="28"/>
      <c r="I26" s="28"/>
      <c r="J26" s="28"/>
    </row>
    <row r="27" spans="1:10" ht="15.75" x14ac:dyDescent="0.25">
      <c r="A27"/>
      <c r="B27" s="29" t="s">
        <v>20</v>
      </c>
      <c r="C27" s="30"/>
      <c r="D27" s="30"/>
      <c r="E27" s="30"/>
      <c r="F27" s="30"/>
      <c r="G27" s="30"/>
      <c r="H27" s="30"/>
      <c r="I27" s="30"/>
      <c r="J27" s="30"/>
    </row>
    <row r="28" spans="1:10" x14ac:dyDescent="0.25">
      <c r="A28" s="2">
        <v>1</v>
      </c>
      <c r="B28" s="31" t="s">
        <v>57</v>
      </c>
      <c r="C28" s="32"/>
      <c r="D28" s="32"/>
      <c r="E28" s="32"/>
      <c r="F28" s="32"/>
      <c r="G28" s="32"/>
      <c r="H28" s="32"/>
      <c r="I28" s="32"/>
      <c r="J28" s="33"/>
    </row>
    <row r="29" spans="1:10" x14ac:dyDescent="0.25">
      <c r="A29" s="2">
        <v>2</v>
      </c>
      <c r="B29" s="31" t="s">
        <v>58</v>
      </c>
      <c r="C29" s="32"/>
      <c r="D29" s="32"/>
      <c r="E29" s="32"/>
      <c r="F29" s="32"/>
      <c r="G29" s="32"/>
      <c r="H29" s="32"/>
      <c r="I29" s="32"/>
      <c r="J29" s="33"/>
    </row>
    <row r="30" spans="1:10" x14ac:dyDescent="0.25">
      <c r="A30" s="2">
        <v>3</v>
      </c>
      <c r="B30" s="34" t="s">
        <v>59</v>
      </c>
      <c r="C30" s="35"/>
      <c r="D30" s="35"/>
      <c r="E30" s="35"/>
      <c r="F30" s="35"/>
      <c r="G30" s="35"/>
      <c r="H30" s="35"/>
      <c r="I30" s="35"/>
      <c r="J30" s="36"/>
    </row>
    <row r="31" spans="1:10" x14ac:dyDescent="0.25">
      <c r="A31" s="2">
        <v>4</v>
      </c>
      <c r="B31" s="37"/>
      <c r="C31" s="37"/>
      <c r="D31" s="37"/>
      <c r="E31" s="37"/>
      <c r="F31" s="37"/>
      <c r="G31" s="37"/>
      <c r="H31" s="37"/>
      <c r="I31" s="37"/>
      <c r="J31" s="37"/>
    </row>
    <row r="32" spans="1:10" x14ac:dyDescent="0.25">
      <c r="A32" s="2">
        <v>5</v>
      </c>
      <c r="B32" s="37"/>
      <c r="C32" s="37"/>
      <c r="D32" s="37"/>
      <c r="E32" s="37"/>
      <c r="F32" s="37"/>
      <c r="G32" s="37"/>
      <c r="H32" s="37"/>
      <c r="I32" s="37"/>
      <c r="J32" s="37"/>
    </row>
    <row r="33" spans="1:10" x14ac:dyDescent="0.25">
      <c r="A33" s="2">
        <v>6</v>
      </c>
      <c r="B33" s="37"/>
      <c r="C33" s="37"/>
      <c r="D33" s="37"/>
      <c r="E33" s="37"/>
      <c r="F33" s="37"/>
      <c r="G33" s="37"/>
      <c r="H33" s="37"/>
      <c r="I33" s="37"/>
      <c r="J33" s="37"/>
    </row>
    <row r="34" spans="1:10" x14ac:dyDescent="0.25">
      <c r="A34" s="2">
        <v>7</v>
      </c>
      <c r="B34" s="37"/>
      <c r="C34" s="37"/>
      <c r="D34" s="37"/>
      <c r="E34" s="37"/>
      <c r="F34" s="37"/>
      <c r="G34" s="37"/>
      <c r="H34" s="37"/>
      <c r="I34" s="37"/>
      <c r="J34" s="37"/>
    </row>
    <row r="35" spans="1:10" x14ac:dyDescent="0.25">
      <c r="A35" s="2">
        <v>8</v>
      </c>
      <c r="B35" s="37"/>
      <c r="C35" s="37"/>
      <c r="D35" s="37"/>
      <c r="E35" s="37"/>
      <c r="F35" s="37"/>
      <c r="G35" s="37"/>
      <c r="H35" s="37"/>
      <c r="I35" s="37"/>
      <c r="J35" s="37"/>
    </row>
    <row r="36" spans="1:10" x14ac:dyDescent="0.25">
      <c r="A36" s="2">
        <v>9</v>
      </c>
      <c r="B36" s="37"/>
      <c r="C36" s="37"/>
      <c r="D36" s="37"/>
      <c r="E36" s="37"/>
      <c r="F36" s="37"/>
      <c r="G36" s="37"/>
      <c r="H36" s="37"/>
      <c r="I36" s="37"/>
      <c r="J36" s="37"/>
    </row>
    <row r="37" spans="1:10" x14ac:dyDescent="0.25">
      <c r="A37" s="2">
        <v>10</v>
      </c>
      <c r="B37" s="37"/>
      <c r="C37" s="37"/>
      <c r="D37" s="37"/>
      <c r="E37" s="37"/>
      <c r="F37" s="37"/>
      <c r="G37" s="37"/>
      <c r="H37" s="37"/>
      <c r="I37" s="37"/>
      <c r="J37" s="37"/>
    </row>
    <row r="38" spans="1:10" x14ac:dyDescent="0.25">
      <c r="A38" s="2">
        <v>11</v>
      </c>
      <c r="B38" s="37"/>
      <c r="C38" s="37"/>
      <c r="D38" s="37"/>
      <c r="E38" s="37"/>
      <c r="F38" s="37"/>
      <c r="G38" s="37"/>
      <c r="H38" s="37"/>
      <c r="I38" s="37"/>
      <c r="J38" s="37"/>
    </row>
    <row r="40" spans="1:10" x14ac:dyDescent="0.25">
      <c r="B40" t="s">
        <v>21</v>
      </c>
    </row>
    <row r="42" spans="1:10" x14ac:dyDescent="0.25">
      <c r="B42" s="38"/>
      <c r="C42" s="38"/>
      <c r="D42" s="39"/>
      <c r="E42" s="39"/>
      <c r="F42" s="38"/>
      <c r="H42" s="38"/>
      <c r="I42" s="38"/>
      <c r="J42" s="38"/>
    </row>
    <row r="43" spans="1:10" x14ac:dyDescent="0.25">
      <c r="B43" s="40" t="s">
        <v>22</v>
      </c>
      <c r="C43" s="40"/>
      <c r="E43" s="40" t="s">
        <v>23</v>
      </c>
      <c r="F43" s="40"/>
      <c r="H43" s="41" t="s">
        <v>24</v>
      </c>
      <c r="I43" s="41"/>
      <c r="J43" s="3" t="s">
        <v>25</v>
      </c>
    </row>
  </sheetData>
  <mergeCells count="34">
    <mergeCell ref="B38:J38"/>
    <mergeCell ref="B43:C43"/>
    <mergeCell ref="E43:F43"/>
    <mergeCell ref="H43:I43"/>
    <mergeCell ref="B32:J32"/>
    <mergeCell ref="B33:J33"/>
    <mergeCell ref="B34:J34"/>
    <mergeCell ref="B35:J35"/>
    <mergeCell ref="B36:J36"/>
    <mergeCell ref="B37:J37"/>
    <mergeCell ref="H23:I23"/>
    <mergeCell ref="B26:J26"/>
    <mergeCell ref="B28:J28"/>
    <mergeCell ref="B29:J29"/>
    <mergeCell ref="B30:J30"/>
    <mergeCell ref="B31:J31"/>
    <mergeCell ref="H17:I17"/>
    <mergeCell ref="H18:I18"/>
    <mergeCell ref="H19:I19"/>
    <mergeCell ref="H20:I20"/>
    <mergeCell ref="H21:I21"/>
    <mergeCell ref="H22:I22"/>
    <mergeCell ref="H11:I11"/>
    <mergeCell ref="H12:I12"/>
    <mergeCell ref="H13:I13"/>
    <mergeCell ref="H14:I14"/>
    <mergeCell ref="H15:I15"/>
    <mergeCell ref="H16:I16"/>
    <mergeCell ref="E2:F2"/>
    <mergeCell ref="H6:I6"/>
    <mergeCell ref="H7:I7"/>
    <mergeCell ref="H8:I8"/>
    <mergeCell ref="H9:I9"/>
    <mergeCell ref="H10:I10"/>
  </mergeCells>
  <pageMargins left="0.7" right="0.7" top="0.75" bottom="0.75" header="0.3" footer="0.3"/>
  <pageSetup scale="66" fitToHeight="0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A9189E-E9F7-463B-9B04-ED5B81F9C69A}">
  <sheetPr>
    <pageSetUpPr fitToPage="1"/>
  </sheetPr>
  <dimension ref="A1:J43"/>
  <sheetViews>
    <sheetView topLeftCell="A15" workbookViewId="0">
      <selection activeCell="B35" sqref="B35:J35"/>
    </sheetView>
  </sheetViews>
  <sheetFormatPr defaultRowHeight="15" x14ac:dyDescent="0.25"/>
  <cols>
    <col min="1" max="1" width="3.5703125" style="2" customWidth="1"/>
    <col min="2" max="2" width="21.42578125" customWidth="1"/>
    <col min="3" max="3" width="38" customWidth="1"/>
    <col min="4" max="4" width="17.5703125" style="3" customWidth="1"/>
    <col min="5" max="5" width="6.5703125" style="3" customWidth="1"/>
    <col min="6" max="6" width="21.85546875" customWidth="1"/>
    <col min="7" max="7" width="12.5703125" style="3" customWidth="1"/>
    <col min="8" max="9" width="12.5703125" customWidth="1"/>
    <col min="10" max="10" width="37.42578125" customWidth="1"/>
  </cols>
  <sheetData>
    <row r="1" spans="1:10" ht="15.75" thickBot="1" x14ac:dyDescent="0.3"/>
    <row r="2" spans="1:10" ht="15.75" thickBot="1" x14ac:dyDescent="0.3">
      <c r="B2" s="4" t="s">
        <v>2</v>
      </c>
      <c r="C2" s="5" t="s">
        <v>43</v>
      </c>
      <c r="D2" s="6" t="s">
        <v>3</v>
      </c>
      <c r="E2" s="7"/>
      <c r="F2" s="7"/>
      <c r="G2" s="5"/>
      <c r="H2" s="8" t="s">
        <v>4</v>
      </c>
      <c r="I2" s="9"/>
      <c r="J2" s="10" t="s">
        <v>5</v>
      </c>
    </row>
    <row r="3" spans="1:10" ht="5.25" customHeight="1" x14ac:dyDescent="0.25">
      <c r="B3" s="2"/>
      <c r="D3" s="11"/>
      <c r="F3" s="3"/>
      <c r="H3" s="2"/>
      <c r="I3" s="2"/>
      <c r="J3" s="3"/>
    </row>
    <row r="4" spans="1:10" x14ac:dyDescent="0.25">
      <c r="B4" s="3" t="s">
        <v>6</v>
      </c>
      <c r="C4" s="12"/>
      <c r="D4" s="11"/>
      <c r="F4" s="3" t="s">
        <v>7</v>
      </c>
      <c r="G4" s="13" t="s">
        <v>0</v>
      </c>
      <c r="I4" s="2"/>
      <c r="J4" s="3"/>
    </row>
    <row r="5" spans="1:10" ht="5.25" customHeight="1" x14ac:dyDescent="0.25">
      <c r="B5" s="2"/>
      <c r="D5" s="11"/>
      <c r="F5" s="3"/>
      <c r="H5" s="2"/>
      <c r="I5" s="2"/>
      <c r="J5" s="3"/>
    </row>
    <row r="6" spans="1:10" x14ac:dyDescent="0.25">
      <c r="B6" s="14" t="s">
        <v>8</v>
      </c>
      <c r="C6" s="14" t="s">
        <v>9</v>
      </c>
      <c r="D6" s="14" t="s">
        <v>10</v>
      </c>
      <c r="E6" s="14" t="s">
        <v>11</v>
      </c>
      <c r="F6" s="14" t="s">
        <v>0</v>
      </c>
      <c r="G6" s="14" t="s">
        <v>12</v>
      </c>
      <c r="H6" s="15" t="s">
        <v>13</v>
      </c>
      <c r="I6" s="16"/>
      <c r="J6" s="14" t="s">
        <v>14</v>
      </c>
    </row>
    <row r="7" spans="1:10" x14ac:dyDescent="0.25">
      <c r="A7" s="2">
        <v>1</v>
      </c>
      <c r="B7" s="17" t="s">
        <v>28</v>
      </c>
      <c r="C7" s="45" t="s">
        <v>29</v>
      </c>
      <c r="D7" s="18">
        <v>546.27599999999995</v>
      </c>
      <c r="E7" s="18" t="s">
        <v>15</v>
      </c>
      <c r="F7" s="19">
        <f t="shared" ref="F7:F23" si="0">D7/D$24</f>
        <v>0.54627599999999987</v>
      </c>
      <c r="G7" s="20">
        <f>C4*F7</f>
        <v>0</v>
      </c>
      <c r="H7" s="21"/>
      <c r="I7" s="22"/>
      <c r="J7" s="23"/>
    </row>
    <row r="8" spans="1:10" x14ac:dyDescent="0.25">
      <c r="A8" s="2">
        <v>2</v>
      </c>
      <c r="B8" s="17" t="s">
        <v>30</v>
      </c>
      <c r="C8" s="45" t="s">
        <v>31</v>
      </c>
      <c r="D8" s="18">
        <v>230.79400000000001</v>
      </c>
      <c r="E8" s="18" t="s">
        <v>15</v>
      </c>
      <c r="F8" s="19">
        <f t="shared" si="0"/>
        <v>0.23079399999999997</v>
      </c>
      <c r="G8" s="20">
        <f>C4*F8</f>
        <v>0</v>
      </c>
      <c r="H8" s="21"/>
      <c r="I8" s="22"/>
      <c r="J8" s="23"/>
    </row>
    <row r="9" spans="1:10" x14ac:dyDescent="0.25">
      <c r="A9" s="2">
        <v>3</v>
      </c>
      <c r="B9" s="17" t="s">
        <v>32</v>
      </c>
      <c r="C9" s="45" t="s">
        <v>33</v>
      </c>
      <c r="D9" s="18">
        <v>18.577000000000002</v>
      </c>
      <c r="E9" s="18" t="s">
        <v>15</v>
      </c>
      <c r="F9" s="19">
        <f t="shared" si="0"/>
        <v>1.8577E-2</v>
      </c>
      <c r="G9" s="20">
        <f>C4*F9</f>
        <v>0</v>
      </c>
      <c r="H9" s="21"/>
      <c r="I9" s="22"/>
      <c r="J9" s="23"/>
    </row>
    <row r="10" spans="1:10" x14ac:dyDescent="0.25">
      <c r="A10" s="2">
        <v>4</v>
      </c>
      <c r="B10" s="17" t="s">
        <v>34</v>
      </c>
      <c r="C10" s="46" t="s">
        <v>35</v>
      </c>
      <c r="D10" s="18">
        <v>73.138000000000005</v>
      </c>
      <c r="E10" s="18" t="s">
        <v>15</v>
      </c>
      <c r="F10" s="19">
        <f t="shared" si="0"/>
        <v>7.3137999999999995E-2</v>
      </c>
      <c r="G10" s="20">
        <f>C4*F10</f>
        <v>0</v>
      </c>
      <c r="H10" s="21"/>
      <c r="I10" s="22"/>
      <c r="J10" s="23"/>
    </row>
    <row r="11" spans="1:10" x14ac:dyDescent="0.25">
      <c r="A11" s="2">
        <v>5</v>
      </c>
      <c r="B11" s="17" t="s">
        <v>36</v>
      </c>
      <c r="C11" s="46" t="s">
        <v>37</v>
      </c>
      <c r="D11" s="18">
        <v>118.158</v>
      </c>
      <c r="E11" s="18" t="s">
        <v>15</v>
      </c>
      <c r="F11" s="19">
        <f t="shared" si="0"/>
        <v>0.11815799999999999</v>
      </c>
      <c r="G11" s="20">
        <f>C4*F11</f>
        <v>0</v>
      </c>
      <c r="H11" s="21"/>
      <c r="I11" s="22"/>
      <c r="J11" s="23"/>
    </row>
    <row r="12" spans="1:10" x14ac:dyDescent="0.25">
      <c r="A12" s="2">
        <v>6</v>
      </c>
      <c r="B12" s="17" t="s">
        <v>38</v>
      </c>
      <c r="C12" s="46" t="s">
        <v>39</v>
      </c>
      <c r="D12" s="18">
        <v>3.8490000000000002</v>
      </c>
      <c r="E12" s="18" t="s">
        <v>15</v>
      </c>
      <c r="F12" s="19">
        <f t="shared" si="0"/>
        <v>3.8489999999999996E-3</v>
      </c>
      <c r="G12" s="20">
        <f>C4*F12</f>
        <v>0</v>
      </c>
      <c r="H12" s="21"/>
      <c r="I12" s="22"/>
      <c r="J12" s="23"/>
    </row>
    <row r="13" spans="1:10" x14ac:dyDescent="0.25">
      <c r="A13" s="2">
        <v>7</v>
      </c>
      <c r="B13" s="17" t="e">
        <v>#N/A</v>
      </c>
      <c r="C13" s="45" t="s">
        <v>42</v>
      </c>
      <c r="D13" s="18">
        <v>8.3680000000000003</v>
      </c>
      <c r="E13" s="18" t="s">
        <v>15</v>
      </c>
      <c r="F13" s="19">
        <f t="shared" si="0"/>
        <v>8.3679999999999987E-3</v>
      </c>
      <c r="G13" s="20">
        <f>C4*F13</f>
        <v>0</v>
      </c>
      <c r="H13" s="21"/>
      <c r="I13" s="22"/>
      <c r="J13" s="23"/>
    </row>
    <row r="14" spans="1:10" x14ac:dyDescent="0.25">
      <c r="A14" s="2">
        <v>8</v>
      </c>
      <c r="B14" s="17" t="s">
        <v>40</v>
      </c>
      <c r="C14" s="46" t="s">
        <v>41</v>
      </c>
      <c r="D14" s="18">
        <v>0.84</v>
      </c>
      <c r="E14" s="18" t="s">
        <v>15</v>
      </c>
      <c r="F14" s="19">
        <f t="shared" si="0"/>
        <v>8.3999999999999993E-4</v>
      </c>
      <c r="G14" s="20">
        <f>C4*F14</f>
        <v>0</v>
      </c>
      <c r="H14" s="21"/>
      <c r="I14" s="22"/>
      <c r="J14" s="23"/>
    </row>
    <row r="15" spans="1:10" x14ac:dyDescent="0.25">
      <c r="A15" s="2">
        <v>9</v>
      </c>
      <c r="B15" s="17"/>
      <c r="C15" s="17"/>
      <c r="D15" s="18"/>
      <c r="E15" s="18" t="s">
        <v>15</v>
      </c>
      <c r="F15" s="19">
        <f t="shared" si="0"/>
        <v>0</v>
      </c>
      <c r="G15" s="20">
        <f>C4*F15</f>
        <v>0</v>
      </c>
      <c r="H15" s="21"/>
      <c r="I15" s="22"/>
      <c r="J15" s="23"/>
    </row>
    <row r="16" spans="1:10" x14ac:dyDescent="0.25">
      <c r="A16" s="2">
        <v>10</v>
      </c>
      <c r="B16" s="17"/>
      <c r="C16" s="17"/>
      <c r="D16" s="18"/>
      <c r="E16" s="18" t="s">
        <v>15</v>
      </c>
      <c r="F16" s="19">
        <f t="shared" si="0"/>
        <v>0</v>
      </c>
      <c r="G16" s="20">
        <f>C4*F16</f>
        <v>0</v>
      </c>
      <c r="H16" s="21"/>
      <c r="I16" s="22"/>
      <c r="J16" s="23"/>
    </row>
    <row r="17" spans="1:10" x14ac:dyDescent="0.25">
      <c r="A17" s="2">
        <v>11</v>
      </c>
      <c r="B17" s="17"/>
      <c r="C17" s="17"/>
      <c r="D17" s="18"/>
      <c r="E17" s="18" t="s">
        <v>15</v>
      </c>
      <c r="F17" s="19">
        <f t="shared" si="0"/>
        <v>0</v>
      </c>
      <c r="G17" s="20">
        <f>C4*F17</f>
        <v>0</v>
      </c>
      <c r="H17" s="21"/>
      <c r="I17" s="22"/>
      <c r="J17" s="23"/>
    </row>
    <row r="18" spans="1:10" x14ac:dyDescent="0.25">
      <c r="A18" s="2">
        <v>12</v>
      </c>
      <c r="B18" s="17"/>
      <c r="C18" s="17"/>
      <c r="D18" s="18"/>
      <c r="E18" s="18" t="s">
        <v>15</v>
      </c>
      <c r="F18" s="19">
        <f t="shared" si="0"/>
        <v>0</v>
      </c>
      <c r="G18" s="20">
        <f>C4*F18</f>
        <v>0</v>
      </c>
      <c r="H18" s="21"/>
      <c r="I18" s="22"/>
      <c r="J18" s="23"/>
    </row>
    <row r="19" spans="1:10" x14ac:dyDescent="0.25">
      <c r="A19" s="2">
        <v>13</v>
      </c>
      <c r="B19" s="17"/>
      <c r="C19" s="17"/>
      <c r="D19" s="18"/>
      <c r="E19" s="18" t="s">
        <v>15</v>
      </c>
      <c r="F19" s="19">
        <f t="shared" si="0"/>
        <v>0</v>
      </c>
      <c r="G19" s="20">
        <f>C4*F19</f>
        <v>0</v>
      </c>
      <c r="H19" s="21"/>
      <c r="I19" s="22"/>
      <c r="J19" s="23"/>
    </row>
    <row r="20" spans="1:10" x14ac:dyDescent="0.25">
      <c r="A20" s="2">
        <v>14</v>
      </c>
      <c r="B20" s="17"/>
      <c r="C20" s="17"/>
      <c r="D20" s="18"/>
      <c r="E20" s="18" t="s">
        <v>15</v>
      </c>
      <c r="F20" s="19">
        <f t="shared" si="0"/>
        <v>0</v>
      </c>
      <c r="G20" s="20">
        <f>C4*F20</f>
        <v>0</v>
      </c>
      <c r="H20" s="21"/>
      <c r="I20" s="22"/>
      <c r="J20" s="23"/>
    </row>
    <row r="21" spans="1:10" x14ac:dyDescent="0.25">
      <c r="A21" s="2">
        <v>15</v>
      </c>
      <c r="B21" s="17"/>
      <c r="C21" s="17"/>
      <c r="D21" s="18"/>
      <c r="E21" s="18" t="s">
        <v>15</v>
      </c>
      <c r="F21" s="19">
        <f t="shared" si="0"/>
        <v>0</v>
      </c>
      <c r="G21" s="20">
        <f>C4*F21</f>
        <v>0</v>
      </c>
      <c r="H21" s="21"/>
      <c r="I21" s="22"/>
      <c r="J21" s="23"/>
    </row>
    <row r="22" spans="1:10" x14ac:dyDescent="0.25">
      <c r="A22" s="2">
        <v>16</v>
      </c>
      <c r="B22" s="17"/>
      <c r="C22" s="17"/>
      <c r="D22" s="18"/>
      <c r="E22" s="18" t="s">
        <v>15</v>
      </c>
      <c r="F22" s="19">
        <f t="shared" si="0"/>
        <v>0</v>
      </c>
      <c r="G22" s="20">
        <f>C4*F22</f>
        <v>0</v>
      </c>
      <c r="H22" s="21"/>
      <c r="I22" s="22"/>
      <c r="J22" s="23"/>
    </row>
    <row r="23" spans="1:10" x14ac:dyDescent="0.25">
      <c r="A23" s="2">
        <v>17</v>
      </c>
      <c r="B23" s="17"/>
      <c r="C23" s="17"/>
      <c r="D23" s="18"/>
      <c r="E23" s="18" t="s">
        <v>15</v>
      </c>
      <c r="F23" s="19">
        <f t="shared" si="0"/>
        <v>0</v>
      </c>
      <c r="G23" s="20">
        <f>C4*F23</f>
        <v>0</v>
      </c>
      <c r="H23" s="21"/>
      <c r="I23" s="22"/>
      <c r="J23" s="23"/>
    </row>
    <row r="24" spans="1:10" x14ac:dyDescent="0.25">
      <c r="C24" s="24" t="s">
        <v>16</v>
      </c>
      <c r="D24" s="2">
        <f>SUM(D7:D23)</f>
        <v>1000.0000000000001</v>
      </c>
      <c r="E24" s="2" t="s">
        <v>15</v>
      </c>
      <c r="F24" s="25">
        <f>SUM(F7:F23)</f>
        <v>0.99999999999999978</v>
      </c>
      <c r="G24" s="26">
        <f>SUM(G7:G23)</f>
        <v>0</v>
      </c>
      <c r="H24" s="27" t="s">
        <v>17</v>
      </c>
    </row>
    <row r="25" spans="1:10" x14ac:dyDescent="0.25">
      <c r="F25" s="13" t="s">
        <v>18</v>
      </c>
      <c r="G25" s="1" t="e">
        <f>-G24*G4+C4</f>
        <v>#VALUE!</v>
      </c>
    </row>
    <row r="26" spans="1:10" ht="15.75" x14ac:dyDescent="0.25">
      <c r="A26"/>
      <c r="B26" s="28" t="s">
        <v>19</v>
      </c>
      <c r="C26" s="28"/>
      <c r="D26" s="28"/>
      <c r="E26" s="28"/>
      <c r="F26" s="28"/>
      <c r="G26" s="28"/>
      <c r="H26" s="28"/>
      <c r="I26" s="28"/>
      <c r="J26" s="28"/>
    </row>
    <row r="27" spans="1:10" ht="15.75" x14ac:dyDescent="0.25">
      <c r="A27"/>
      <c r="B27" s="29" t="s">
        <v>20</v>
      </c>
      <c r="C27" s="30"/>
      <c r="D27" s="30"/>
      <c r="E27" s="30"/>
      <c r="F27" s="30"/>
      <c r="G27" s="30"/>
      <c r="H27" s="30"/>
      <c r="I27" s="30"/>
      <c r="J27" s="30"/>
    </row>
    <row r="28" spans="1:10" x14ac:dyDescent="0.25">
      <c r="A28" s="2">
        <v>1</v>
      </c>
      <c r="B28" s="31" t="s">
        <v>44</v>
      </c>
      <c r="C28" s="32"/>
      <c r="D28" s="32"/>
      <c r="E28" s="32"/>
      <c r="F28" s="32"/>
      <c r="G28" s="32"/>
      <c r="H28" s="32"/>
      <c r="I28" s="32"/>
      <c r="J28" s="33"/>
    </row>
    <row r="29" spans="1:10" x14ac:dyDescent="0.25">
      <c r="A29" s="2">
        <v>2</v>
      </c>
      <c r="B29" s="31" t="s">
        <v>45</v>
      </c>
      <c r="C29" s="32"/>
      <c r="D29" s="32"/>
      <c r="E29" s="32"/>
      <c r="F29" s="32"/>
      <c r="G29" s="32"/>
      <c r="H29" s="32"/>
      <c r="I29" s="32"/>
      <c r="J29" s="33"/>
    </row>
    <row r="30" spans="1:10" x14ac:dyDescent="0.25">
      <c r="A30" s="2">
        <v>3</v>
      </c>
      <c r="B30" s="34" t="s">
        <v>46</v>
      </c>
      <c r="C30" s="35"/>
      <c r="D30" s="35"/>
      <c r="E30" s="35"/>
      <c r="F30" s="35"/>
      <c r="G30" s="35"/>
      <c r="H30" s="35"/>
      <c r="I30" s="35"/>
      <c r="J30" s="36"/>
    </row>
    <row r="31" spans="1:10" x14ac:dyDescent="0.25">
      <c r="A31" s="2">
        <v>4</v>
      </c>
      <c r="B31" s="37"/>
      <c r="C31" s="37"/>
      <c r="D31" s="37"/>
      <c r="E31" s="37"/>
      <c r="F31" s="37"/>
      <c r="G31" s="37"/>
      <c r="H31" s="37"/>
      <c r="I31" s="37"/>
      <c r="J31" s="37"/>
    </row>
    <row r="32" spans="1:10" x14ac:dyDescent="0.25">
      <c r="A32" s="2">
        <v>5</v>
      </c>
      <c r="B32" s="37"/>
      <c r="C32" s="37"/>
      <c r="D32" s="37"/>
      <c r="E32" s="37"/>
      <c r="F32" s="37"/>
      <c r="G32" s="37"/>
      <c r="H32" s="37"/>
      <c r="I32" s="37"/>
      <c r="J32" s="37"/>
    </row>
    <row r="33" spans="1:10" x14ac:dyDescent="0.25">
      <c r="A33" s="2">
        <v>6</v>
      </c>
      <c r="B33" s="37"/>
      <c r="C33" s="37"/>
      <c r="D33" s="37"/>
      <c r="E33" s="37"/>
      <c r="F33" s="37"/>
      <c r="G33" s="37"/>
      <c r="H33" s="37"/>
      <c r="I33" s="37"/>
      <c r="J33" s="37"/>
    </row>
    <row r="34" spans="1:10" x14ac:dyDescent="0.25">
      <c r="A34" s="2">
        <v>7</v>
      </c>
      <c r="B34" s="37"/>
      <c r="C34" s="37"/>
      <c r="D34" s="37"/>
      <c r="E34" s="37"/>
      <c r="F34" s="37"/>
      <c r="G34" s="37"/>
      <c r="H34" s="37"/>
      <c r="I34" s="37"/>
      <c r="J34" s="37"/>
    </row>
    <row r="35" spans="1:10" x14ac:dyDescent="0.25">
      <c r="A35" s="2">
        <v>8</v>
      </c>
      <c r="B35" s="37"/>
      <c r="C35" s="37"/>
      <c r="D35" s="37"/>
      <c r="E35" s="37"/>
      <c r="F35" s="37"/>
      <c r="G35" s="37"/>
      <c r="H35" s="37"/>
      <c r="I35" s="37"/>
      <c r="J35" s="37"/>
    </row>
    <row r="36" spans="1:10" x14ac:dyDescent="0.25">
      <c r="A36" s="2">
        <v>9</v>
      </c>
      <c r="B36" s="37"/>
      <c r="C36" s="37"/>
      <c r="D36" s="37"/>
      <c r="E36" s="37"/>
      <c r="F36" s="37"/>
      <c r="G36" s="37"/>
      <c r="H36" s="37"/>
      <c r="I36" s="37"/>
      <c r="J36" s="37"/>
    </row>
    <row r="37" spans="1:10" x14ac:dyDescent="0.25">
      <c r="A37" s="2">
        <v>10</v>
      </c>
      <c r="B37" s="37"/>
      <c r="C37" s="37"/>
      <c r="D37" s="37"/>
      <c r="E37" s="37"/>
      <c r="F37" s="37"/>
      <c r="G37" s="37"/>
      <c r="H37" s="37"/>
      <c r="I37" s="37"/>
      <c r="J37" s="37"/>
    </row>
    <row r="38" spans="1:10" x14ac:dyDescent="0.25">
      <c r="A38" s="2">
        <v>11</v>
      </c>
      <c r="B38" s="37"/>
      <c r="C38" s="37"/>
      <c r="D38" s="37"/>
      <c r="E38" s="37"/>
      <c r="F38" s="37"/>
      <c r="G38" s="37"/>
      <c r="H38" s="37"/>
      <c r="I38" s="37"/>
      <c r="J38" s="37"/>
    </row>
    <row r="40" spans="1:10" x14ac:dyDescent="0.25">
      <c r="B40" t="s">
        <v>21</v>
      </c>
    </row>
    <row r="42" spans="1:10" x14ac:dyDescent="0.25">
      <c r="B42" s="38"/>
      <c r="C42" s="38"/>
      <c r="D42" s="39"/>
      <c r="E42" s="39"/>
      <c r="F42" s="38"/>
      <c r="H42" s="38"/>
      <c r="I42" s="38"/>
      <c r="J42" s="38"/>
    </row>
    <row r="43" spans="1:10" x14ac:dyDescent="0.25">
      <c r="B43" s="40" t="s">
        <v>22</v>
      </c>
      <c r="C43" s="40"/>
      <c r="E43" s="40" t="s">
        <v>23</v>
      </c>
      <c r="F43" s="40"/>
      <c r="H43" s="41" t="s">
        <v>24</v>
      </c>
      <c r="I43" s="41"/>
      <c r="J43" s="3" t="s">
        <v>25</v>
      </c>
    </row>
  </sheetData>
  <mergeCells count="34">
    <mergeCell ref="B38:J38"/>
    <mergeCell ref="B43:C43"/>
    <mergeCell ref="E43:F43"/>
    <mergeCell ref="H43:I43"/>
    <mergeCell ref="B32:J32"/>
    <mergeCell ref="B33:J33"/>
    <mergeCell ref="B34:J34"/>
    <mergeCell ref="B35:J35"/>
    <mergeCell ref="B36:J36"/>
    <mergeCell ref="B37:J37"/>
    <mergeCell ref="H23:I23"/>
    <mergeCell ref="B26:J26"/>
    <mergeCell ref="B28:J28"/>
    <mergeCell ref="B29:J29"/>
    <mergeCell ref="B30:J30"/>
    <mergeCell ref="B31:J31"/>
    <mergeCell ref="H17:I17"/>
    <mergeCell ref="H18:I18"/>
    <mergeCell ref="H19:I19"/>
    <mergeCell ref="H20:I20"/>
    <mergeCell ref="H21:I21"/>
    <mergeCell ref="H22:I22"/>
    <mergeCell ref="H11:I11"/>
    <mergeCell ref="H12:I12"/>
    <mergeCell ref="H13:I13"/>
    <mergeCell ref="H14:I14"/>
    <mergeCell ref="H15:I15"/>
    <mergeCell ref="H16:I16"/>
    <mergeCell ref="E2:F2"/>
    <mergeCell ref="H6:I6"/>
    <mergeCell ref="H7:I7"/>
    <mergeCell ref="H8:I8"/>
    <mergeCell ref="H9:I9"/>
    <mergeCell ref="H10:I10"/>
  </mergeCells>
  <pageMargins left="0.7" right="0.7" top="0.75" bottom="0.75" header="0.3" footer="0.3"/>
  <pageSetup scale="66" fitToHeight="0" orientation="landscape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B5DB4063CA6254CA7AE1C6AB1A0E203" ma:contentTypeVersion="14" ma:contentTypeDescription="Create a new document." ma:contentTypeScope="" ma:versionID="aa6a2207218d003a33197d42270b06a6">
  <xsd:schema xmlns:xsd="http://www.w3.org/2001/XMLSchema" xmlns:xs="http://www.w3.org/2001/XMLSchema" xmlns:p="http://schemas.microsoft.com/office/2006/metadata/properties" xmlns:ns2="8be24d1f-f08e-46a7-9c6b-0452813a2a77" xmlns:ns3="1cca795c-b702-4d9c-a00f-4ea8e3fb1866" targetNamespace="http://schemas.microsoft.com/office/2006/metadata/properties" ma:root="true" ma:fieldsID="36946071ae238f9df883a13be9ca226d" ns2:_="" ns3:_="">
    <xsd:import namespace="8be24d1f-f08e-46a7-9c6b-0452813a2a77"/>
    <xsd:import namespace="1cca795c-b702-4d9c-a00f-4ea8e3fb186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be24d1f-f08e-46a7-9c6b-0452813a2a7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Image Tags" ma:readOnly="false" ma:fieldId="{5cf76f15-5ced-4ddc-b409-7134ff3c332f}" ma:taxonomyMulti="true" ma:sspId="c5be1fd7-7535-4a18-99f7-c6c8bb01b25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cca795c-b702-4d9c-a00f-4ea8e3fb1866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3a427014-70be-4e72-952d-11e5995fb69d}" ma:internalName="TaxCatchAll" ma:showField="CatchAllData" ma:web="1cca795c-b702-4d9c-a00f-4ea8e3fb186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be24d1f-f08e-46a7-9c6b-0452813a2a77">
      <Terms xmlns="http://schemas.microsoft.com/office/infopath/2007/PartnerControls"/>
    </lcf76f155ced4ddcb4097134ff3c332f>
    <TaxCatchAll xmlns="1cca795c-b702-4d9c-a00f-4ea8e3fb1866" xsi:nil="true"/>
  </documentManagement>
</p:properties>
</file>

<file path=customXml/itemProps1.xml><?xml version="1.0" encoding="utf-8"?>
<ds:datastoreItem xmlns:ds="http://schemas.openxmlformats.org/officeDocument/2006/customXml" ds:itemID="{B4304B37-C923-4955-8C52-A8011A01A59C}"/>
</file>

<file path=customXml/itemProps2.xml><?xml version="1.0" encoding="utf-8"?>
<ds:datastoreItem xmlns:ds="http://schemas.openxmlformats.org/officeDocument/2006/customXml" ds:itemID="{D30F76E9-275E-454F-88FE-0C929A4CEE82}"/>
</file>

<file path=customXml/itemProps3.xml><?xml version="1.0" encoding="utf-8"?>
<ds:datastoreItem xmlns:ds="http://schemas.openxmlformats.org/officeDocument/2006/customXml" ds:itemID="{929EA9DD-F450-4574-950B-5F302F563ED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HALF PAN BAKE</vt:lpstr>
      <vt:lpstr>Chocolate BASE RECIPE </vt:lpstr>
      <vt:lpstr>Matcha Cheese Cak Filling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2025-01-20T16:44:31Z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0x0101000B5DB4063CA6254CA7AE1C6AB1A0E203</vt:lpwstr>
  </property>
</Properties>
</file>