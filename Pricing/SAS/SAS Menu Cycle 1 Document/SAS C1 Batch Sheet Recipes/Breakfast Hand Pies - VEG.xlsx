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22" documentId="8_{13ADF6B7-A2BF-43ED-9C5B-B538F12D35C4}" xr6:coauthVersionLast="47" xr6:coauthVersionMax="47" xr10:uidLastSave="{FB0711DC-368D-4848-9AC8-77292F59BF9E}"/>
  <bookViews>
    <workbookView xWindow="-120" yWindow="-120" windowWidth="20730" windowHeight="11040" activeTab="1" xr2:uid="{00000000-000D-0000-FFFF-FFFF00000000}"/>
  </bookViews>
  <sheets>
    <sheet name="Hand Pie Build" sheetId="8" r:id="rId1"/>
    <sheet name="Dough" sheetId="5" r:id="rId2"/>
    <sheet name="Breakfast filling" sheetId="4" r:id="rId3"/>
    <sheet name="Bechamel Sauc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8" l="1"/>
  <c r="F23" i="8" s="1"/>
  <c r="G23" i="8" s="1"/>
  <c r="F19" i="8"/>
  <c r="G19" i="8" s="1"/>
  <c r="F17" i="8"/>
  <c r="G17" i="8" s="1"/>
  <c r="F15" i="8"/>
  <c r="G15" i="8" s="1"/>
  <c r="F11" i="8"/>
  <c r="G11" i="8" s="1"/>
  <c r="F9" i="8"/>
  <c r="G9" i="8" s="1"/>
  <c r="F7" i="8"/>
  <c r="D24" i="5"/>
  <c r="F22" i="5" s="1"/>
  <c r="G22" i="5" s="1"/>
  <c r="D24" i="4"/>
  <c r="F22" i="4" s="1"/>
  <c r="G22" i="4" s="1"/>
  <c r="D24" i="3"/>
  <c r="F22" i="3" s="1"/>
  <c r="G22" i="3" s="1"/>
  <c r="F23" i="3"/>
  <c r="G23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G14" i="3"/>
  <c r="F14" i="3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F13" i="8" l="1"/>
  <c r="G13" i="8" s="1"/>
  <c r="F21" i="8"/>
  <c r="G21" i="8" s="1"/>
  <c r="G7" i="8"/>
  <c r="F8" i="8"/>
  <c r="G8" i="8" s="1"/>
  <c r="F10" i="8"/>
  <c r="G10" i="8" s="1"/>
  <c r="F12" i="8"/>
  <c r="G12" i="8" s="1"/>
  <c r="F14" i="8"/>
  <c r="G14" i="8" s="1"/>
  <c r="F16" i="8"/>
  <c r="G16" i="8" s="1"/>
  <c r="F18" i="8"/>
  <c r="G18" i="8" s="1"/>
  <c r="F20" i="8"/>
  <c r="G20" i="8" s="1"/>
  <c r="F22" i="8"/>
  <c r="G22" i="8" s="1"/>
  <c r="F24" i="3"/>
  <c r="F10" i="5"/>
  <c r="G10" i="5" s="1"/>
  <c r="F14" i="5"/>
  <c r="G14" i="5" s="1"/>
  <c r="F18" i="5"/>
  <c r="G18" i="5" s="1"/>
  <c r="F20" i="5"/>
  <c r="G20" i="5" s="1"/>
  <c r="F7" i="5"/>
  <c r="F9" i="5"/>
  <c r="G9" i="5" s="1"/>
  <c r="F11" i="5"/>
  <c r="G11" i="5" s="1"/>
  <c r="F13" i="5"/>
  <c r="G13" i="5" s="1"/>
  <c r="F15" i="5"/>
  <c r="G15" i="5" s="1"/>
  <c r="F17" i="5"/>
  <c r="G17" i="5" s="1"/>
  <c r="F19" i="5"/>
  <c r="G19" i="5" s="1"/>
  <c r="F21" i="5"/>
  <c r="G21" i="5" s="1"/>
  <c r="F23" i="5"/>
  <c r="G23" i="5" s="1"/>
  <c r="F8" i="5"/>
  <c r="G8" i="5" s="1"/>
  <c r="F12" i="5"/>
  <c r="G12" i="5" s="1"/>
  <c r="F16" i="5"/>
  <c r="G16" i="5" s="1"/>
  <c r="F10" i="4"/>
  <c r="G10" i="4" s="1"/>
  <c r="F16" i="4"/>
  <c r="G16" i="4" s="1"/>
  <c r="F20" i="4"/>
  <c r="G20" i="4" s="1"/>
  <c r="F7" i="4"/>
  <c r="F9" i="4"/>
  <c r="G9" i="4" s="1"/>
  <c r="F11" i="4"/>
  <c r="G11" i="4" s="1"/>
  <c r="F13" i="4"/>
  <c r="G13" i="4" s="1"/>
  <c r="F15" i="4"/>
  <c r="G15" i="4" s="1"/>
  <c r="F17" i="4"/>
  <c r="G17" i="4" s="1"/>
  <c r="F19" i="4"/>
  <c r="G19" i="4" s="1"/>
  <c r="F21" i="4"/>
  <c r="G21" i="4" s="1"/>
  <c r="F23" i="4"/>
  <c r="G23" i="4" s="1"/>
  <c r="F8" i="4"/>
  <c r="G8" i="4" s="1"/>
  <c r="F12" i="4"/>
  <c r="G12" i="4" s="1"/>
  <c r="F14" i="4"/>
  <c r="G14" i="4" s="1"/>
  <c r="F18" i="4"/>
  <c r="G18" i="4" s="1"/>
  <c r="G7" i="3"/>
  <c r="G24" i="3" s="1"/>
  <c r="G25" i="3" s="1"/>
  <c r="G24" i="8" l="1"/>
  <c r="F24" i="8"/>
  <c r="G7" i="5"/>
  <c r="G24" i="5" s="1"/>
  <c r="G25" i="5" s="1"/>
  <c r="F24" i="5"/>
  <c r="G7" i="4"/>
  <c r="G24" i="4" s="1"/>
  <c r="G25" i="4" s="1"/>
  <c r="F24" i="4"/>
</calcChain>
</file>

<file path=xl/sharedStrings.xml><?xml version="1.0" encoding="utf-8"?>
<sst xmlns="http://schemas.openxmlformats.org/spreadsheetml/2006/main" count="207" uniqueCount="63">
  <si>
    <t>%</t>
  </si>
  <si>
    <t>Cooked Scrambled Eggs</t>
  </si>
  <si>
    <t>Bechamel Sauce</t>
  </si>
  <si>
    <t>Hash Brown Potatoes</t>
  </si>
  <si>
    <t>Cheddar Cheese, Shredded</t>
  </si>
  <si>
    <t>Salt</t>
  </si>
  <si>
    <t>Black Pepper</t>
  </si>
  <si>
    <t>Butter</t>
  </si>
  <si>
    <t>Flour</t>
  </si>
  <si>
    <t>Milk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</si>
  <si>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</si>
  <si>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</si>
  <si>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</si>
  <si>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</si>
  <si>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</si>
  <si>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</si>
  <si>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</si>
  <si>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</si>
  <si>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</si>
  <si>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</si>
  <si>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</si>
  <si>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</si>
  <si>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</si>
  <si>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</si>
  <si>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</si>
  <si>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</si>
  <si>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</si>
  <si>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</si>
  <si>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</si>
  <si>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</si>
  <si>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</si>
  <si>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</si>
  <si>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</si>
  <si>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</si>
  <si>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Enriched Dough</t>
  </si>
  <si>
    <t>Sugar, granulated</t>
  </si>
  <si>
    <t>Light Brown Sugar</t>
  </si>
  <si>
    <t>Dry Yeast</t>
  </si>
  <si>
    <t>Whole Milk</t>
  </si>
  <si>
    <t>Unsalted Butter, ROOM TEMP</t>
  </si>
  <si>
    <t>Full Fat Sour Cream</t>
  </si>
  <si>
    <t>Eggs</t>
  </si>
  <si>
    <t>Bread Flour, 12.7%(all Trumpa)</t>
  </si>
  <si>
    <t>Breakfast Filling</t>
  </si>
  <si>
    <t>oz</t>
  </si>
  <si>
    <t>Breakfast Hand Pie</t>
  </si>
  <si>
    <t>Desired Pies (ea):</t>
  </si>
  <si>
    <t>Breakfast  Filling</t>
  </si>
  <si>
    <t>Spray sheet tray with pan spray. Proof hand pies for 30 mins.</t>
  </si>
  <si>
    <t>EggWash</t>
  </si>
  <si>
    <t>Once hand pies are ready, bake at 400f for 12 - 14 mins, until lightly golden brown</t>
  </si>
  <si>
    <t>Brush with EggWash</t>
  </si>
  <si>
    <t>Add all dry ingredients to mixer and mix on low for 2 mins.</t>
  </si>
  <si>
    <t>Add wet and continue to mix on low for 5 mins. Turn speed up to 2 and mix until 15 mins total have passed.</t>
  </si>
  <si>
    <t xml:space="preserve">Turn off mixer and scrape down all the sides. Turn mixer back on to speed 2 and continue to mix for another 10 mins (25 mins total). </t>
  </si>
  <si>
    <t>Remove dough from bowl.</t>
  </si>
  <si>
    <t>Portion into 2 oz portions</t>
  </si>
  <si>
    <t>Mix all ingredients together</t>
  </si>
  <si>
    <t>Melt Butter down on medium heat</t>
  </si>
  <si>
    <t>Add in all Dry ingredients</t>
  </si>
  <si>
    <t>Cook For 3 minutes Constantly moving mixture in pan</t>
  </si>
  <si>
    <t>Whisk in Milk and bring mixture to a boil</t>
  </si>
  <si>
    <t>Remove From heat and cool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</si>
</sst>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0" xfId="1" applyFont="1" applyFill="1" applyAlignment="1">
      <alignment horizontal="center"/>
    </xf>
    <xf numFmtId="0" fontId="0" fillId="6" borderId="1" xfId="0" applyFill="1" applyBorder="1" applyProtection="1">
      <protection locked="0"/>
    </xf>
    <xf numFmtId="164" fontId="0" fillId="5" borderId="0" xfId="0" applyNumberFormat="1" applyFill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9AAE-74B4-4B53-A0E7-45AE13AB592C}">
  <sheetPr>
    <pageSetUpPr fitToPage="1"/>
  </sheetPr>
  <dimension ref="A1:J43"/>
  <sheetViews>
    <sheetView zoomScale="71" zoomScaleNormal="71" workbookViewId="0">
      <selection activeCell="G8" sqref="G8"/>
    </sheetView>
  </sheetViews>
  <sheetFormatPr defaultRowHeight="15" x14ac:dyDescent="0.25"/>
  <cols>
    <col min="1" max="1" width="3.5703125" style="2" customWidth="1"/>
    <col min="2" max="2" width="21.42578125" customWidth="1"/>
    <col min="3" max="3" width="41.7109375" bestFit="1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10</v>
      </c>
      <c r="C2" s="5" t="s">
        <v>45</v>
      </c>
      <c r="D2" s="6" t="s">
        <v>11</v>
      </c>
      <c r="E2" s="42"/>
      <c r="F2" s="42"/>
      <c r="G2" s="5"/>
      <c r="H2" s="7" t="s">
        <v>12</v>
      </c>
      <c r="I2" s="8"/>
      <c r="J2" s="9" t="s">
        <v>13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46</v>
      </c>
      <c r="C4" s="11">
        <v>10800</v>
      </c>
      <c r="D4" s="10"/>
      <c r="F4" s="3"/>
      <c r="G4" s="33"/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16</v>
      </c>
      <c r="C6" s="13" t="s">
        <v>17</v>
      </c>
      <c r="D6" s="13" t="s">
        <v>18</v>
      </c>
      <c r="E6" s="13" t="s">
        <v>19</v>
      </c>
      <c r="F6" s="13" t="s">
        <v>0</v>
      </c>
      <c r="G6" s="13" t="s">
        <v>20</v>
      </c>
      <c r="H6" s="43" t="s">
        <v>21</v>
      </c>
      <c r="I6" s="44"/>
      <c r="J6" s="13" t="s">
        <v>22</v>
      </c>
    </row>
    <row r="7" spans="1:10" x14ac:dyDescent="0.25">
      <c r="A7" s="2">
        <v>1</v>
      </c>
      <c r="B7" s="14"/>
      <c r="C7" s="14" t="s">
        <v>34</v>
      </c>
      <c r="D7" s="15">
        <v>2</v>
      </c>
      <c r="E7" s="15" t="s">
        <v>44</v>
      </c>
      <c r="F7" s="16">
        <f>D7/D$24</f>
        <v>0.43478260869565222</v>
      </c>
      <c r="G7" s="17">
        <f>F7*D24*C4/16</f>
        <v>1350</v>
      </c>
      <c r="H7" s="39"/>
      <c r="I7" s="40"/>
      <c r="J7" s="34"/>
    </row>
    <row r="8" spans="1:10" x14ac:dyDescent="0.25">
      <c r="A8" s="2">
        <v>2</v>
      </c>
      <c r="B8" s="14"/>
      <c r="C8" s="14" t="s">
        <v>47</v>
      </c>
      <c r="D8" s="3">
        <v>2.5</v>
      </c>
      <c r="E8" s="15" t="s">
        <v>44</v>
      </c>
      <c r="F8" s="16">
        <f>D8/D$24</f>
        <v>0.5434782608695653</v>
      </c>
      <c r="G8" s="17">
        <f>F8*D24*C4/16</f>
        <v>1687.5</v>
      </c>
      <c r="H8" s="39"/>
      <c r="I8" s="40"/>
      <c r="J8" s="18"/>
    </row>
    <row r="9" spans="1:10" x14ac:dyDescent="0.25">
      <c r="A9" s="2">
        <v>3</v>
      </c>
      <c r="B9" s="14"/>
      <c r="C9" s="14" t="s">
        <v>49</v>
      </c>
      <c r="D9" s="15">
        <v>0.1</v>
      </c>
      <c r="E9" s="15" t="s">
        <v>44</v>
      </c>
      <c r="F9" s="16">
        <f t="shared" ref="F9:F23" si="0">D9/D$24</f>
        <v>2.1739130434782612E-2</v>
      </c>
      <c r="G9" s="17">
        <f>F9*D24*C4/16</f>
        <v>67.5</v>
      </c>
      <c r="H9" s="39"/>
      <c r="I9" s="40"/>
      <c r="J9" s="18"/>
    </row>
    <row r="10" spans="1:10" x14ac:dyDescent="0.25">
      <c r="A10" s="2">
        <v>4</v>
      </c>
      <c r="B10" s="14"/>
      <c r="C10" s="14"/>
      <c r="D10" s="15"/>
      <c r="E10" s="15" t="s">
        <v>44</v>
      </c>
      <c r="F10" s="16">
        <f t="shared" si="0"/>
        <v>0</v>
      </c>
      <c r="G10" s="17">
        <f>C4*D24*F10/16</f>
        <v>0</v>
      </c>
      <c r="H10" s="39"/>
      <c r="I10" s="40"/>
      <c r="J10" s="18"/>
    </row>
    <row r="11" spans="1:10" x14ac:dyDescent="0.25">
      <c r="A11" s="2">
        <v>5</v>
      </c>
      <c r="B11" s="14"/>
      <c r="C11" s="14"/>
      <c r="D11" s="15"/>
      <c r="E11" s="15" t="s">
        <v>44</v>
      </c>
      <c r="F11" s="16">
        <f t="shared" si="0"/>
        <v>0</v>
      </c>
      <c r="G11" s="17">
        <f>C4*F11*D24/16</f>
        <v>0</v>
      </c>
      <c r="H11" s="39"/>
      <c r="I11" s="40"/>
      <c r="J11" s="18"/>
    </row>
    <row r="12" spans="1:10" x14ac:dyDescent="0.25">
      <c r="A12" s="2">
        <v>6</v>
      </c>
      <c r="B12" s="14"/>
      <c r="C12" s="14"/>
      <c r="D12" s="15"/>
      <c r="E12" s="15" t="s">
        <v>44</v>
      </c>
      <c r="F12" s="16">
        <f t="shared" si="0"/>
        <v>0</v>
      </c>
      <c r="G12" s="17">
        <f>C4*F12*D24/16</f>
        <v>0</v>
      </c>
      <c r="H12" s="39"/>
      <c r="I12" s="40"/>
      <c r="J12" s="18"/>
    </row>
    <row r="13" spans="1:10" x14ac:dyDescent="0.25">
      <c r="A13" s="2">
        <v>7</v>
      </c>
      <c r="B13" s="14"/>
      <c r="C13" s="14"/>
      <c r="D13" s="15"/>
      <c r="E13" s="15" t="s">
        <v>44</v>
      </c>
      <c r="F13" s="16">
        <f t="shared" si="0"/>
        <v>0</v>
      </c>
      <c r="G13" s="17">
        <f>C4*F13*D24/16</f>
        <v>0</v>
      </c>
      <c r="H13" s="39"/>
      <c r="I13" s="40"/>
      <c r="J13" s="18"/>
    </row>
    <row r="14" spans="1:10" x14ac:dyDescent="0.25">
      <c r="A14" s="2">
        <v>8</v>
      </c>
      <c r="B14" s="14"/>
      <c r="C14" s="14"/>
      <c r="D14" s="15"/>
      <c r="E14" s="15" t="s">
        <v>44</v>
      </c>
      <c r="F14" s="16">
        <f t="shared" si="0"/>
        <v>0</v>
      </c>
      <c r="G14" s="17">
        <f>C4*F14*D24/16</f>
        <v>0</v>
      </c>
      <c r="H14" s="39"/>
      <c r="I14" s="40"/>
      <c r="J14" s="18"/>
    </row>
    <row r="15" spans="1:10" x14ac:dyDescent="0.25">
      <c r="A15" s="2">
        <v>9</v>
      </c>
      <c r="B15" s="14"/>
      <c r="C15" s="14"/>
      <c r="D15" s="15"/>
      <c r="E15" s="15" t="s">
        <v>44</v>
      </c>
      <c r="F15" s="16">
        <f t="shared" si="0"/>
        <v>0</v>
      </c>
      <c r="G15" s="17">
        <f>C4*F15*D24/16</f>
        <v>0</v>
      </c>
      <c r="H15" s="39"/>
      <c r="I15" s="40"/>
      <c r="J15" s="18"/>
    </row>
    <row r="16" spans="1:10" x14ac:dyDescent="0.25">
      <c r="A16" s="2">
        <v>10</v>
      </c>
      <c r="B16" s="14"/>
      <c r="C16" s="14"/>
      <c r="D16" s="15"/>
      <c r="E16" s="15" t="s">
        <v>44</v>
      </c>
      <c r="F16" s="16">
        <f t="shared" si="0"/>
        <v>0</v>
      </c>
      <c r="G16" s="17">
        <f>C4*F16*D24/16</f>
        <v>0</v>
      </c>
      <c r="H16" s="39"/>
      <c r="I16" s="40"/>
      <c r="J16" s="18"/>
    </row>
    <row r="17" spans="1:10" x14ac:dyDescent="0.25">
      <c r="A17" s="2">
        <v>11</v>
      </c>
      <c r="B17" s="14"/>
      <c r="C17" s="14"/>
      <c r="D17" s="15"/>
      <c r="E17" s="15" t="s">
        <v>44</v>
      </c>
      <c r="F17" s="16">
        <f t="shared" si="0"/>
        <v>0</v>
      </c>
      <c r="G17" s="17">
        <f>C4*F17*D24/16</f>
        <v>0</v>
      </c>
      <c r="H17" s="39"/>
      <c r="I17" s="40"/>
      <c r="J17" s="18"/>
    </row>
    <row r="18" spans="1:10" x14ac:dyDescent="0.25">
      <c r="A18" s="2">
        <v>12</v>
      </c>
      <c r="B18" s="14"/>
      <c r="C18" s="14"/>
      <c r="D18" s="15"/>
      <c r="E18" s="15" t="s">
        <v>44</v>
      </c>
      <c r="F18" s="16">
        <f t="shared" si="0"/>
        <v>0</v>
      </c>
      <c r="G18" s="17">
        <f>C4*F18*D24/16</f>
        <v>0</v>
      </c>
      <c r="H18" s="39"/>
      <c r="I18" s="40"/>
      <c r="J18" s="18"/>
    </row>
    <row r="19" spans="1:10" x14ac:dyDescent="0.25">
      <c r="A19" s="2">
        <v>13</v>
      </c>
      <c r="B19" s="14"/>
      <c r="C19" s="14"/>
      <c r="D19" s="15"/>
      <c r="E19" s="15" t="s">
        <v>44</v>
      </c>
      <c r="F19" s="16">
        <f t="shared" si="0"/>
        <v>0</v>
      </c>
      <c r="G19" s="17">
        <f>C4*F19*D24/16</f>
        <v>0</v>
      </c>
      <c r="H19" s="39"/>
      <c r="I19" s="40"/>
      <c r="J19" s="18"/>
    </row>
    <row r="20" spans="1:10" x14ac:dyDescent="0.25">
      <c r="A20" s="2">
        <v>14</v>
      </c>
      <c r="B20" s="14"/>
      <c r="C20" s="14"/>
      <c r="D20" s="15"/>
      <c r="E20" s="15" t="s">
        <v>44</v>
      </c>
      <c r="F20" s="16">
        <f t="shared" si="0"/>
        <v>0</v>
      </c>
      <c r="G20" s="17">
        <f>C4*F20*D24/16</f>
        <v>0</v>
      </c>
      <c r="H20" s="39"/>
      <c r="I20" s="40"/>
      <c r="J20" s="18"/>
    </row>
    <row r="21" spans="1:10" x14ac:dyDescent="0.25">
      <c r="A21" s="2">
        <v>15</v>
      </c>
      <c r="B21" s="14"/>
      <c r="C21" s="14"/>
      <c r="D21" s="15"/>
      <c r="E21" s="15" t="s">
        <v>44</v>
      </c>
      <c r="F21" s="16">
        <f>D21/D$24</f>
        <v>0</v>
      </c>
      <c r="G21" s="17">
        <f>C4*F21*D24/16</f>
        <v>0</v>
      </c>
      <c r="H21" s="39"/>
      <c r="I21" s="40"/>
      <c r="J21" s="18"/>
    </row>
    <row r="22" spans="1:10" x14ac:dyDescent="0.25">
      <c r="A22" s="2">
        <v>16</v>
      </c>
      <c r="B22" s="14"/>
      <c r="C22" s="14"/>
      <c r="D22" s="15"/>
      <c r="E22" s="15" t="s">
        <v>44</v>
      </c>
      <c r="F22" s="16">
        <f t="shared" si="0"/>
        <v>0</v>
      </c>
      <c r="G22" s="17">
        <f>C4*F22*D24/16</f>
        <v>0</v>
      </c>
      <c r="H22" s="39"/>
      <c r="I22" s="40"/>
      <c r="J22" s="18"/>
    </row>
    <row r="23" spans="1:10" x14ac:dyDescent="0.25">
      <c r="A23" s="2">
        <v>17</v>
      </c>
      <c r="B23" s="14"/>
      <c r="C23" s="14"/>
      <c r="D23" s="15"/>
      <c r="E23" s="15" t="s">
        <v>44</v>
      </c>
      <c r="F23" s="16">
        <f t="shared" si="0"/>
        <v>0</v>
      </c>
      <c r="G23" s="17">
        <f>C4*F23*D24/16</f>
        <v>0</v>
      </c>
      <c r="H23" s="39"/>
      <c r="I23" s="40"/>
      <c r="J23" s="18"/>
    </row>
    <row r="24" spans="1:10" x14ac:dyDescent="0.25">
      <c r="C24" s="19" t="s">
        <v>24</v>
      </c>
      <c r="D24" s="2">
        <f>SUM(D7:D23)</f>
        <v>4.5999999999999996</v>
      </c>
      <c r="E24" s="2" t="s">
        <v>44</v>
      </c>
      <c r="F24" s="20">
        <f>SUM(F7:F23)</f>
        <v>1.0000000000000002</v>
      </c>
      <c r="G24" s="35">
        <f>SUM(G7:G23)</f>
        <v>3105</v>
      </c>
      <c r="H24" s="22" t="s">
        <v>25</v>
      </c>
    </row>
    <row r="25" spans="1:10" x14ac:dyDescent="0.25">
      <c r="F25" s="33"/>
      <c r="G25" s="1"/>
    </row>
    <row r="26" spans="1:10" ht="15.75" x14ac:dyDescent="0.25">
      <c r="A26"/>
      <c r="B26" s="41" t="s">
        <v>27</v>
      </c>
      <c r="C26" s="41"/>
      <c r="D26" s="41"/>
      <c r="E26" s="41"/>
      <c r="F26" s="41"/>
      <c r="G26" s="41"/>
      <c r="H26" s="41"/>
      <c r="I26" s="41"/>
      <c r="J26" s="41"/>
    </row>
    <row r="27" spans="1:10" ht="15.75" x14ac:dyDescent="0.25">
      <c r="A27"/>
      <c r="B27" s="23" t="s">
        <v>28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6" t="s">
        <v>48</v>
      </c>
      <c r="C28" s="36"/>
      <c r="D28" s="36"/>
      <c r="E28" s="36"/>
      <c r="F28" s="36"/>
      <c r="G28" s="36"/>
      <c r="H28" s="36"/>
      <c r="I28" s="36"/>
      <c r="J28" s="36"/>
    </row>
    <row r="29" spans="1:10" x14ac:dyDescent="0.25">
      <c r="A29" s="2">
        <v>2</v>
      </c>
      <c r="B29" s="36" t="s">
        <v>51</v>
      </c>
      <c r="C29" s="36"/>
      <c r="D29" s="36"/>
      <c r="E29" s="36"/>
      <c r="F29" s="36"/>
      <c r="G29" s="36"/>
      <c r="H29" s="36"/>
      <c r="I29" s="36"/>
      <c r="J29" s="36"/>
    </row>
    <row r="30" spans="1:10" x14ac:dyDescent="0.25">
      <c r="A30" s="2">
        <v>3</v>
      </c>
      <c r="B30" s="36" t="s">
        <v>50</v>
      </c>
      <c r="C30" s="36"/>
      <c r="D30" s="36"/>
      <c r="E30" s="36"/>
      <c r="F30" s="36"/>
      <c r="G30" s="36"/>
      <c r="H30" s="36"/>
      <c r="I30" s="36"/>
      <c r="J30" s="36"/>
    </row>
    <row r="31" spans="1:10" x14ac:dyDescent="0.25">
      <c r="A31" s="2">
        <v>4</v>
      </c>
      <c r="B31" s="36"/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2">
        <v>5</v>
      </c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2">
        <v>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2">
        <v>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2">
        <v>8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2">
        <v>9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2">
        <v>10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2">
        <v>11</v>
      </c>
      <c r="B38" s="36"/>
      <c r="C38" s="36"/>
      <c r="D38" s="36"/>
      <c r="E38" s="36"/>
      <c r="F38" s="36"/>
      <c r="G38" s="36"/>
      <c r="H38" s="36"/>
      <c r="I38" s="36"/>
      <c r="J38" s="36"/>
    </row>
    <row r="40" spans="1:10" x14ac:dyDescent="0.25">
      <c r="B40" t="s">
        <v>29</v>
      </c>
    </row>
    <row r="42" spans="1:10" x14ac:dyDescent="0.25">
      <c r="B42" s="31"/>
      <c r="C42" s="31"/>
      <c r="D42" s="32"/>
      <c r="E42" s="32"/>
      <c r="F42" s="31"/>
      <c r="H42" s="31"/>
      <c r="I42" s="31"/>
      <c r="J42" s="31"/>
    </row>
    <row r="43" spans="1:10" x14ac:dyDescent="0.25">
      <c r="B43" s="37" t="s">
        <v>30</v>
      </c>
      <c r="C43" s="37"/>
      <c r="E43" s="37" t="s">
        <v>31</v>
      </c>
      <c r="F43" s="37"/>
      <c r="H43" s="38" t="s">
        <v>32</v>
      </c>
      <c r="I43" s="38"/>
      <c r="J43" s="3" t="s">
        <v>33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D2F7-51C3-48CB-A104-7EC09FD92666}">
  <sheetPr>
    <pageSetUpPr fitToPage="1"/>
  </sheetPr>
  <dimension ref="A1:J43"/>
  <sheetViews>
    <sheetView tabSelected="1" workbookViewId="0">
      <selection activeCell="C16" sqref="C16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10</v>
      </c>
      <c r="C2" s="5" t="s">
        <v>34</v>
      </c>
      <c r="D2" s="6" t="s">
        <v>11</v>
      </c>
      <c r="E2" s="42"/>
      <c r="F2" s="42"/>
      <c r="G2" s="5"/>
      <c r="H2" s="7" t="s">
        <v>12</v>
      </c>
      <c r="I2" s="8"/>
      <c r="J2" s="9" t="s">
        <v>13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14</v>
      </c>
      <c r="C4" s="11">
        <v>1350</v>
      </c>
      <c r="D4" s="10"/>
      <c r="F4" s="3" t="s">
        <v>15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16</v>
      </c>
      <c r="C6" s="13" t="s">
        <v>17</v>
      </c>
      <c r="D6" s="13" t="s">
        <v>18</v>
      </c>
      <c r="E6" s="13" t="s">
        <v>19</v>
      </c>
      <c r="F6" s="13" t="s">
        <v>0</v>
      </c>
      <c r="G6" s="13" t="s">
        <v>20</v>
      </c>
      <c r="H6" s="43" t="s">
        <v>21</v>
      </c>
      <c r="I6" s="44"/>
      <c r="J6" s="13" t="s">
        <v>22</v>
      </c>
    </row>
    <row r="7" spans="1:10" x14ac:dyDescent="0.25">
      <c r="A7" s="2">
        <v>1</v>
      </c>
      <c r="B7" s="14"/>
      <c r="C7" s="14" t="s">
        <v>42</v>
      </c>
      <c r="D7" s="15">
        <v>2.5300000000000002</v>
      </c>
      <c r="E7" s="15" t="s">
        <v>23</v>
      </c>
      <c r="F7" s="16">
        <f t="shared" ref="F7:F23" si="0">D7/D$24</f>
        <v>0.50600000000000001</v>
      </c>
      <c r="G7" s="17">
        <f>C4*F7</f>
        <v>683.1</v>
      </c>
      <c r="H7" s="39"/>
      <c r="I7" s="40"/>
      <c r="J7" s="18"/>
    </row>
    <row r="8" spans="1:10" x14ac:dyDescent="0.25">
      <c r="A8" s="2">
        <v>2</v>
      </c>
      <c r="B8" s="14"/>
      <c r="C8" s="14" t="s">
        <v>5</v>
      </c>
      <c r="D8" s="15">
        <v>0.12</v>
      </c>
      <c r="E8" s="15" t="s">
        <v>23</v>
      </c>
      <c r="F8" s="16">
        <f t="shared" si="0"/>
        <v>2.4E-2</v>
      </c>
      <c r="G8" s="17">
        <f>C4*F8</f>
        <v>32.4</v>
      </c>
      <c r="H8" s="39"/>
      <c r="I8" s="40"/>
      <c r="J8" s="18"/>
    </row>
    <row r="9" spans="1:10" x14ac:dyDescent="0.25">
      <c r="A9" s="2">
        <v>3</v>
      </c>
      <c r="B9" s="14"/>
      <c r="C9" s="14" t="s">
        <v>35</v>
      </c>
      <c r="D9" s="15">
        <v>0.28000000000000003</v>
      </c>
      <c r="E9" s="15" t="s">
        <v>23</v>
      </c>
      <c r="F9" s="16">
        <f t="shared" si="0"/>
        <v>5.6000000000000008E-2</v>
      </c>
      <c r="G9" s="17">
        <f>C4*F9</f>
        <v>75.600000000000009</v>
      </c>
      <c r="H9" s="39"/>
      <c r="I9" s="40"/>
      <c r="J9" s="18"/>
    </row>
    <row r="10" spans="1:10" x14ac:dyDescent="0.25">
      <c r="A10" s="2">
        <v>4</v>
      </c>
      <c r="B10" s="14"/>
      <c r="C10" s="14" t="s">
        <v>36</v>
      </c>
      <c r="D10" s="15">
        <v>0.09</v>
      </c>
      <c r="E10" s="15" t="s">
        <v>23</v>
      </c>
      <c r="F10" s="16">
        <f t="shared" si="0"/>
        <v>1.7999999999999999E-2</v>
      </c>
      <c r="G10" s="17">
        <f>C4*F10</f>
        <v>24.299999999999997</v>
      </c>
      <c r="H10" s="39"/>
      <c r="I10" s="40"/>
      <c r="J10" s="18"/>
    </row>
    <row r="11" spans="1:10" x14ac:dyDescent="0.25">
      <c r="A11" s="2">
        <v>5</v>
      </c>
      <c r="B11" s="14"/>
      <c r="C11" s="14" t="s">
        <v>37</v>
      </c>
      <c r="D11" s="15">
        <v>0.1</v>
      </c>
      <c r="E11" s="15" t="s">
        <v>23</v>
      </c>
      <c r="F11" s="16">
        <f t="shared" si="0"/>
        <v>0.02</v>
      </c>
      <c r="G11" s="17">
        <f>C4*F11</f>
        <v>27</v>
      </c>
      <c r="H11" s="39"/>
      <c r="I11" s="40"/>
      <c r="J11" s="18"/>
    </row>
    <row r="12" spans="1:10" x14ac:dyDescent="0.25">
      <c r="A12" s="2">
        <v>6</v>
      </c>
      <c r="B12" s="14"/>
      <c r="C12" s="14" t="s">
        <v>38</v>
      </c>
      <c r="D12" s="15">
        <v>1.05</v>
      </c>
      <c r="E12" s="15" t="s">
        <v>23</v>
      </c>
      <c r="F12" s="16">
        <f t="shared" si="0"/>
        <v>0.21000000000000002</v>
      </c>
      <c r="G12" s="17">
        <f>C4*F12</f>
        <v>283.5</v>
      </c>
      <c r="H12" s="39"/>
      <c r="I12" s="40"/>
      <c r="J12" s="18"/>
    </row>
    <row r="13" spans="1:10" x14ac:dyDescent="0.25">
      <c r="A13" s="2">
        <v>7</v>
      </c>
      <c r="B13" s="14"/>
      <c r="C13" s="14" t="s">
        <v>39</v>
      </c>
      <c r="D13" s="15">
        <v>0.26</v>
      </c>
      <c r="E13" s="15" t="s">
        <v>23</v>
      </c>
      <c r="F13" s="16">
        <f t="shared" si="0"/>
        <v>5.2000000000000005E-2</v>
      </c>
      <c r="G13" s="17">
        <f>C4*F13</f>
        <v>70.2</v>
      </c>
      <c r="H13" s="39"/>
      <c r="I13" s="40"/>
      <c r="J13" s="18"/>
    </row>
    <row r="14" spans="1:10" x14ac:dyDescent="0.25">
      <c r="A14" s="2">
        <v>8</v>
      </c>
      <c r="B14" s="14"/>
      <c r="C14" s="14" t="s">
        <v>40</v>
      </c>
      <c r="D14" s="15">
        <v>0.26</v>
      </c>
      <c r="E14" s="15" t="s">
        <v>23</v>
      </c>
      <c r="F14" s="16">
        <f t="shared" si="0"/>
        <v>5.2000000000000005E-2</v>
      </c>
      <c r="G14" s="17">
        <f>C4*F14</f>
        <v>70.2</v>
      </c>
      <c r="H14" s="39"/>
      <c r="I14" s="40"/>
      <c r="J14" s="18"/>
    </row>
    <row r="15" spans="1:10" x14ac:dyDescent="0.25">
      <c r="A15" s="2">
        <v>9</v>
      </c>
      <c r="B15" s="14"/>
      <c r="C15" s="14" t="s">
        <v>41</v>
      </c>
      <c r="D15" s="15">
        <v>0.31</v>
      </c>
      <c r="E15" s="15" t="s">
        <v>23</v>
      </c>
      <c r="F15" s="16">
        <f t="shared" si="0"/>
        <v>6.2E-2</v>
      </c>
      <c r="G15" s="17">
        <f>C4*F15</f>
        <v>83.7</v>
      </c>
      <c r="H15" s="39"/>
      <c r="I15" s="40"/>
      <c r="J15" s="18"/>
    </row>
    <row r="16" spans="1:10" x14ac:dyDescent="0.25">
      <c r="A16" s="2">
        <v>10</v>
      </c>
      <c r="B16" s="14"/>
      <c r="C16" s="14"/>
      <c r="D16" s="15"/>
      <c r="E16" s="15" t="s">
        <v>23</v>
      </c>
      <c r="F16" s="16">
        <f t="shared" si="0"/>
        <v>0</v>
      </c>
      <c r="G16" s="17">
        <f>C4*F16</f>
        <v>0</v>
      </c>
      <c r="H16" s="39"/>
      <c r="I16" s="40"/>
      <c r="J16" s="18"/>
    </row>
    <row r="17" spans="1:10" x14ac:dyDescent="0.25">
      <c r="A17" s="2">
        <v>11</v>
      </c>
      <c r="B17" s="14"/>
      <c r="C17" s="14"/>
      <c r="D17" s="15"/>
      <c r="E17" s="15" t="s">
        <v>23</v>
      </c>
      <c r="F17" s="16">
        <f t="shared" si="0"/>
        <v>0</v>
      </c>
      <c r="G17" s="17">
        <f>C4*F17</f>
        <v>0</v>
      </c>
      <c r="H17" s="39"/>
      <c r="I17" s="40"/>
      <c r="J17" s="18"/>
    </row>
    <row r="18" spans="1:10" x14ac:dyDescent="0.25">
      <c r="A18" s="2">
        <v>12</v>
      </c>
      <c r="B18" s="14"/>
      <c r="C18" s="14"/>
      <c r="D18" s="15"/>
      <c r="E18" s="15" t="s">
        <v>23</v>
      </c>
      <c r="F18" s="16">
        <f t="shared" si="0"/>
        <v>0</v>
      </c>
      <c r="G18" s="17">
        <f>C4*F18</f>
        <v>0</v>
      </c>
      <c r="H18" s="39"/>
      <c r="I18" s="40"/>
      <c r="J18" s="18"/>
    </row>
    <row r="19" spans="1:10" x14ac:dyDescent="0.25">
      <c r="A19" s="2">
        <v>13</v>
      </c>
      <c r="B19" s="14"/>
      <c r="C19" s="14"/>
      <c r="D19" s="15"/>
      <c r="E19" s="15" t="s">
        <v>23</v>
      </c>
      <c r="F19" s="16">
        <f t="shared" si="0"/>
        <v>0</v>
      </c>
      <c r="G19" s="17">
        <f>C4*F19</f>
        <v>0</v>
      </c>
      <c r="H19" s="39"/>
      <c r="I19" s="40"/>
      <c r="J19" s="18"/>
    </row>
    <row r="20" spans="1:10" x14ac:dyDescent="0.25">
      <c r="A20" s="2">
        <v>14</v>
      </c>
      <c r="B20" s="14"/>
      <c r="C20" s="14"/>
      <c r="D20" s="15"/>
      <c r="E20" s="15" t="s">
        <v>23</v>
      </c>
      <c r="F20" s="16">
        <f t="shared" si="0"/>
        <v>0</v>
      </c>
      <c r="G20" s="17">
        <f>C4*F20</f>
        <v>0</v>
      </c>
      <c r="H20" s="39"/>
      <c r="I20" s="40"/>
      <c r="J20" s="18"/>
    </row>
    <row r="21" spans="1:10" x14ac:dyDescent="0.25">
      <c r="A21" s="2">
        <v>15</v>
      </c>
      <c r="B21" s="14"/>
      <c r="C21" s="14"/>
      <c r="D21" s="15"/>
      <c r="E21" s="15" t="s">
        <v>23</v>
      </c>
      <c r="F21" s="16">
        <f t="shared" si="0"/>
        <v>0</v>
      </c>
      <c r="G21" s="17">
        <f>C4*F21</f>
        <v>0</v>
      </c>
      <c r="H21" s="39"/>
      <c r="I21" s="40"/>
      <c r="J21" s="18"/>
    </row>
    <row r="22" spans="1:10" x14ac:dyDescent="0.25">
      <c r="A22" s="2">
        <v>16</v>
      </c>
      <c r="B22" s="14"/>
      <c r="C22" s="14"/>
      <c r="D22" s="15"/>
      <c r="E22" s="15" t="s">
        <v>23</v>
      </c>
      <c r="F22" s="16">
        <f t="shared" si="0"/>
        <v>0</v>
      </c>
      <c r="G22" s="17">
        <f>C4*F22</f>
        <v>0</v>
      </c>
      <c r="H22" s="39"/>
      <c r="I22" s="40"/>
      <c r="J22" s="18"/>
    </row>
    <row r="23" spans="1:10" x14ac:dyDescent="0.25">
      <c r="A23" s="2">
        <v>17</v>
      </c>
      <c r="B23" s="14"/>
      <c r="C23" s="14"/>
      <c r="D23" s="15"/>
      <c r="E23" s="15" t="s">
        <v>23</v>
      </c>
      <c r="F23" s="16">
        <f t="shared" si="0"/>
        <v>0</v>
      </c>
      <c r="G23" s="17">
        <f>C4*F23</f>
        <v>0</v>
      </c>
      <c r="H23" s="39"/>
      <c r="I23" s="40"/>
      <c r="J23" s="18"/>
    </row>
    <row r="24" spans="1:10" x14ac:dyDescent="0.25">
      <c r="C24" s="19" t="s">
        <v>24</v>
      </c>
      <c r="D24" s="2">
        <f>SUM(D7:D23)</f>
        <v>5</v>
      </c>
      <c r="E24" s="2" t="s">
        <v>23</v>
      </c>
      <c r="F24" s="20">
        <f>SUM(F7:F23)</f>
        <v>1.0000000000000002</v>
      </c>
      <c r="G24" s="21">
        <f>SUM(G7:G23)</f>
        <v>1350.0000000000002</v>
      </c>
      <c r="H24" s="22" t="s">
        <v>25</v>
      </c>
    </row>
    <row r="25" spans="1:10" x14ac:dyDescent="0.25">
      <c r="F25" s="12" t="s">
        <v>26</v>
      </c>
      <c r="G25" s="1">
        <f>-G24*G4+C4</f>
        <v>1350</v>
      </c>
    </row>
    <row r="26" spans="1:10" ht="15.75" x14ac:dyDescent="0.25">
      <c r="A26"/>
      <c r="B26" s="41" t="s">
        <v>27</v>
      </c>
      <c r="C26" s="41"/>
      <c r="D26" s="41"/>
      <c r="E26" s="41"/>
      <c r="F26" s="41"/>
      <c r="G26" s="41"/>
      <c r="H26" s="41"/>
      <c r="I26" s="41"/>
      <c r="J26" s="41"/>
    </row>
    <row r="27" spans="1:10" ht="15.75" x14ac:dyDescent="0.25">
      <c r="A27"/>
      <c r="B27" s="23" t="s">
        <v>28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25" t="s">
        <v>52</v>
      </c>
      <c r="C28" s="26"/>
      <c r="D28" s="26"/>
      <c r="E28" s="26"/>
      <c r="F28" s="26"/>
      <c r="G28" s="26"/>
      <c r="H28" s="26"/>
      <c r="I28" s="26"/>
      <c r="J28" s="27"/>
    </row>
    <row r="29" spans="1:10" x14ac:dyDescent="0.25">
      <c r="A29" s="2">
        <v>2</v>
      </c>
      <c r="B29" s="25" t="s">
        <v>53</v>
      </c>
      <c r="C29" s="26"/>
      <c r="D29" s="26"/>
      <c r="E29" s="26"/>
      <c r="F29" s="26"/>
      <c r="G29" s="26"/>
      <c r="H29" s="26"/>
      <c r="I29" s="26"/>
      <c r="J29" s="27"/>
    </row>
    <row r="30" spans="1:10" x14ac:dyDescent="0.25">
      <c r="A30" s="2">
        <v>3</v>
      </c>
      <c r="B30" s="28" t="s">
        <v>54</v>
      </c>
      <c r="C30" s="29"/>
      <c r="D30" s="29"/>
      <c r="E30" s="29"/>
      <c r="F30" s="29"/>
      <c r="G30" s="29"/>
      <c r="H30" s="29"/>
      <c r="I30" s="29"/>
      <c r="J30" s="30"/>
    </row>
    <row r="31" spans="1:10" x14ac:dyDescent="0.25">
      <c r="A31" s="2">
        <v>4</v>
      </c>
      <c r="B31" s="36" t="s">
        <v>55</v>
      </c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2">
        <v>5</v>
      </c>
      <c r="B32" s="36" t="s">
        <v>56</v>
      </c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2">
        <v>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2">
        <v>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2">
        <v>8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2">
        <v>9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2">
        <v>10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2">
        <v>11</v>
      </c>
      <c r="B38" s="36"/>
      <c r="C38" s="36"/>
      <c r="D38" s="36"/>
      <c r="E38" s="36"/>
      <c r="F38" s="36"/>
      <c r="G38" s="36"/>
      <c r="H38" s="36"/>
      <c r="I38" s="36"/>
      <c r="J38" s="36"/>
    </row>
    <row r="40" spans="1:10" x14ac:dyDescent="0.25">
      <c r="B40" t="s">
        <v>29</v>
      </c>
    </row>
    <row r="42" spans="1:10" x14ac:dyDescent="0.25">
      <c r="B42" s="31"/>
      <c r="C42" s="31"/>
      <c r="D42" s="32"/>
      <c r="E42" s="32"/>
      <c r="F42" s="31"/>
      <c r="H42" s="31"/>
      <c r="I42" s="31"/>
      <c r="J42" s="31"/>
    </row>
    <row r="43" spans="1:10" x14ac:dyDescent="0.25">
      <c r="B43" s="37" t="s">
        <v>30</v>
      </c>
      <c r="C43" s="37"/>
      <c r="E43" s="37" t="s">
        <v>31</v>
      </c>
      <c r="F43" s="37"/>
      <c r="H43" s="38" t="s">
        <v>32</v>
      </c>
      <c r="I43" s="38"/>
      <c r="J43" s="3" t="s">
        <v>33</v>
      </c>
    </row>
  </sheetData>
  <mergeCells count="31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4:J34"/>
    <mergeCell ref="H17:I17"/>
    <mergeCell ref="H18:I18"/>
    <mergeCell ref="H19:I19"/>
    <mergeCell ref="H20:I20"/>
    <mergeCell ref="H21:I21"/>
    <mergeCell ref="H22:I22"/>
    <mergeCell ref="H23:I23"/>
    <mergeCell ref="B26:J26"/>
    <mergeCell ref="B31:J31"/>
    <mergeCell ref="B32:J32"/>
    <mergeCell ref="B33:J33"/>
    <mergeCell ref="B35:J35"/>
    <mergeCell ref="B36:J36"/>
    <mergeCell ref="B37:J37"/>
    <mergeCell ref="B38:J38"/>
    <mergeCell ref="B43:C43"/>
    <mergeCell ref="E43:F43"/>
    <mergeCell ref="H43:I43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AC74-DC6A-492F-BC51-DF9B6177CB2B}">
  <sheetPr>
    <pageSetUpPr fitToPage="1"/>
  </sheetPr>
  <dimension ref="A1:J43"/>
  <sheetViews>
    <sheetView workbookViewId="0">
      <selection activeCell="C7" sqref="C7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10</v>
      </c>
      <c r="C2" s="5" t="s">
        <v>43</v>
      </c>
      <c r="D2" s="6" t="s">
        <v>11</v>
      </c>
      <c r="E2" s="42"/>
      <c r="F2" s="42"/>
      <c r="G2" s="5"/>
      <c r="H2" s="7" t="s">
        <v>12</v>
      </c>
      <c r="I2" s="8"/>
      <c r="J2" s="9" t="s">
        <v>13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14</v>
      </c>
      <c r="C4" s="11">
        <v>1687</v>
      </c>
      <c r="D4" s="10"/>
      <c r="F4" s="3" t="s">
        <v>15</v>
      </c>
      <c r="G4" s="12">
        <v>0.1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16</v>
      </c>
      <c r="C6" s="13" t="s">
        <v>17</v>
      </c>
      <c r="D6" s="13" t="s">
        <v>18</v>
      </c>
      <c r="E6" s="13" t="s">
        <v>19</v>
      </c>
      <c r="F6" s="13" t="s">
        <v>0</v>
      </c>
      <c r="G6" s="13" t="s">
        <v>20</v>
      </c>
      <c r="H6" s="43" t="s">
        <v>21</v>
      </c>
      <c r="I6" s="44"/>
      <c r="J6" s="13" t="s">
        <v>22</v>
      </c>
    </row>
    <row r="7" spans="1:10" x14ac:dyDescent="0.25">
      <c r="A7" s="2">
        <v>1</v>
      </c>
      <c r="B7" s="14"/>
      <c r="C7" s="14" t="s">
        <v>1</v>
      </c>
      <c r="D7" s="15">
        <v>1.8711574445335468</v>
      </c>
      <c r="E7" s="15" t="s">
        <v>23</v>
      </c>
      <c r="F7" s="16">
        <f t="shared" ref="F7:F23" si="0">D7/D$24</f>
        <v>0.39761431411530807</v>
      </c>
      <c r="G7" s="17">
        <f>C4*F7</f>
        <v>670.77534791252469</v>
      </c>
      <c r="H7" s="39"/>
      <c r="I7" s="40"/>
      <c r="J7" s="18"/>
    </row>
    <row r="8" spans="1:10" x14ac:dyDescent="0.25">
      <c r="A8" s="2">
        <v>2</v>
      </c>
      <c r="B8" s="14"/>
      <c r="C8" s="14" t="s">
        <v>2</v>
      </c>
      <c r="D8" s="15">
        <v>1.2536754878374765</v>
      </c>
      <c r="E8" s="15" t="s">
        <v>23</v>
      </c>
      <c r="F8" s="16">
        <f t="shared" si="0"/>
        <v>0.26640159045725642</v>
      </c>
      <c r="G8" s="17">
        <f>C4*F8</f>
        <v>449.41948310139156</v>
      </c>
      <c r="H8" s="39"/>
      <c r="I8" s="40"/>
      <c r="J8" s="18"/>
    </row>
    <row r="9" spans="1:10" x14ac:dyDescent="0.25">
      <c r="A9" s="2">
        <v>3</v>
      </c>
      <c r="B9" s="14"/>
      <c r="C9" s="14" t="s">
        <v>3</v>
      </c>
      <c r="D9" s="15">
        <v>0.94092488639401228</v>
      </c>
      <c r="E9" s="15" t="s">
        <v>23</v>
      </c>
      <c r="F9" s="16">
        <f t="shared" si="0"/>
        <v>0.19994319795512638</v>
      </c>
      <c r="G9" s="17">
        <f>C4*F9</f>
        <v>337.3041749502982</v>
      </c>
      <c r="H9" s="39"/>
      <c r="I9" s="40"/>
      <c r="J9" s="18"/>
    </row>
    <row r="10" spans="1:10" x14ac:dyDescent="0.25">
      <c r="A10" s="2">
        <v>4</v>
      </c>
      <c r="B10" s="14"/>
      <c r="C10" s="14" t="s">
        <v>4</v>
      </c>
      <c r="D10" s="15">
        <v>0.62817428495054795</v>
      </c>
      <c r="E10" s="15" t="s">
        <v>23</v>
      </c>
      <c r="F10" s="16">
        <f t="shared" si="0"/>
        <v>0.13348480545299629</v>
      </c>
      <c r="G10" s="17">
        <f>C4*F10</f>
        <v>225.18886679920473</v>
      </c>
      <c r="H10" s="39"/>
      <c r="I10" s="40"/>
      <c r="J10" s="18"/>
    </row>
    <row r="11" spans="1:10" x14ac:dyDescent="0.25">
      <c r="A11" s="2">
        <v>5</v>
      </c>
      <c r="B11" s="14"/>
      <c r="C11" s="14" t="s">
        <v>5</v>
      </c>
      <c r="D11" s="15">
        <v>8.0192461908580592E-3</v>
      </c>
      <c r="E11" s="15" t="s">
        <v>23</v>
      </c>
      <c r="F11" s="16">
        <f t="shared" si="0"/>
        <v>1.7040613462084634E-3</v>
      </c>
      <c r="G11" s="17">
        <f>C4*F11</f>
        <v>2.8747514910536776</v>
      </c>
      <c r="H11" s="39"/>
      <c r="I11" s="40"/>
      <c r="J11" s="18"/>
    </row>
    <row r="12" spans="1:10" x14ac:dyDescent="0.25">
      <c r="A12" s="2">
        <v>6</v>
      </c>
      <c r="B12" s="14"/>
      <c r="C12" s="14" t="s">
        <v>6</v>
      </c>
      <c r="D12" s="15">
        <v>4.0096230954290296E-3</v>
      </c>
      <c r="E12" s="15" t="s">
        <v>23</v>
      </c>
      <c r="F12" s="16">
        <f t="shared" si="0"/>
        <v>8.5203067310423168E-4</v>
      </c>
      <c r="G12" s="17">
        <f>C4*F12</f>
        <v>1.4373757455268388</v>
      </c>
      <c r="H12" s="39"/>
      <c r="I12" s="40"/>
      <c r="J12" s="18"/>
    </row>
    <row r="13" spans="1:10" x14ac:dyDescent="0.25">
      <c r="A13" s="2">
        <v>7</v>
      </c>
      <c r="B13" s="14"/>
      <c r="C13" s="14"/>
      <c r="D13" s="15"/>
      <c r="E13" s="15" t="s">
        <v>23</v>
      </c>
      <c r="F13" s="16">
        <f t="shared" si="0"/>
        <v>0</v>
      </c>
      <c r="G13" s="17">
        <f>C4*F13</f>
        <v>0</v>
      </c>
      <c r="H13" s="39"/>
      <c r="I13" s="40"/>
      <c r="J13" s="18"/>
    </row>
    <row r="14" spans="1:10" x14ac:dyDescent="0.25">
      <c r="A14" s="2">
        <v>8</v>
      </c>
      <c r="B14" s="14"/>
      <c r="C14" s="14"/>
      <c r="D14" s="15"/>
      <c r="E14" s="15" t="s">
        <v>23</v>
      </c>
      <c r="F14" s="16">
        <f t="shared" si="0"/>
        <v>0</v>
      </c>
      <c r="G14" s="17">
        <f>C4*F14</f>
        <v>0</v>
      </c>
      <c r="H14" s="39"/>
      <c r="I14" s="40"/>
      <c r="J14" s="18"/>
    </row>
    <row r="15" spans="1:10" x14ac:dyDescent="0.25">
      <c r="A15" s="2">
        <v>9</v>
      </c>
      <c r="B15" s="14"/>
      <c r="C15" s="14"/>
      <c r="D15" s="15"/>
      <c r="E15" s="15" t="s">
        <v>23</v>
      </c>
      <c r="F15" s="16">
        <f t="shared" si="0"/>
        <v>0</v>
      </c>
      <c r="G15" s="17">
        <f>C4*F15</f>
        <v>0</v>
      </c>
      <c r="H15" s="39"/>
      <c r="I15" s="40"/>
      <c r="J15" s="18"/>
    </row>
    <row r="16" spans="1:10" x14ac:dyDescent="0.25">
      <c r="A16" s="2">
        <v>10</v>
      </c>
      <c r="B16" s="14"/>
      <c r="C16" s="14"/>
      <c r="D16" s="15"/>
      <c r="E16" s="15" t="s">
        <v>23</v>
      </c>
      <c r="F16" s="16">
        <f t="shared" si="0"/>
        <v>0</v>
      </c>
      <c r="G16" s="17">
        <f>C4*F16</f>
        <v>0</v>
      </c>
      <c r="H16" s="39"/>
      <c r="I16" s="40"/>
      <c r="J16" s="18"/>
    </row>
    <row r="17" spans="1:10" x14ac:dyDescent="0.25">
      <c r="A17" s="2">
        <v>11</v>
      </c>
      <c r="B17" s="14"/>
      <c r="C17" s="14"/>
      <c r="D17" s="15"/>
      <c r="E17" s="15" t="s">
        <v>23</v>
      </c>
      <c r="F17" s="16">
        <f t="shared" si="0"/>
        <v>0</v>
      </c>
      <c r="G17" s="17">
        <f>C4*F17</f>
        <v>0</v>
      </c>
      <c r="H17" s="39"/>
      <c r="I17" s="40"/>
      <c r="J17" s="18"/>
    </row>
    <row r="18" spans="1:10" x14ac:dyDescent="0.25">
      <c r="A18" s="2">
        <v>12</v>
      </c>
      <c r="B18" s="14"/>
      <c r="C18" s="14"/>
      <c r="D18" s="15"/>
      <c r="E18" s="15" t="s">
        <v>23</v>
      </c>
      <c r="F18" s="16">
        <f t="shared" si="0"/>
        <v>0</v>
      </c>
      <c r="G18" s="17">
        <f>C4*F18</f>
        <v>0</v>
      </c>
      <c r="H18" s="39"/>
      <c r="I18" s="40"/>
      <c r="J18" s="18"/>
    </row>
    <row r="19" spans="1:10" x14ac:dyDescent="0.25">
      <c r="A19" s="2">
        <v>13</v>
      </c>
      <c r="B19" s="14"/>
      <c r="C19" s="14"/>
      <c r="D19" s="15"/>
      <c r="E19" s="15" t="s">
        <v>23</v>
      </c>
      <c r="F19" s="16">
        <f t="shared" si="0"/>
        <v>0</v>
      </c>
      <c r="G19" s="17">
        <f>C4*F19</f>
        <v>0</v>
      </c>
      <c r="H19" s="39"/>
      <c r="I19" s="40"/>
      <c r="J19" s="18"/>
    </row>
    <row r="20" spans="1:10" x14ac:dyDescent="0.25">
      <c r="A20" s="2">
        <v>14</v>
      </c>
      <c r="B20" s="14"/>
      <c r="C20" s="14"/>
      <c r="D20" s="15"/>
      <c r="E20" s="15" t="s">
        <v>23</v>
      </c>
      <c r="F20" s="16">
        <f t="shared" si="0"/>
        <v>0</v>
      </c>
      <c r="G20" s="17">
        <f>C4*F20</f>
        <v>0</v>
      </c>
      <c r="H20" s="39"/>
      <c r="I20" s="40"/>
      <c r="J20" s="18"/>
    </row>
    <row r="21" spans="1:10" x14ac:dyDescent="0.25">
      <c r="A21" s="2">
        <v>15</v>
      </c>
      <c r="B21" s="14"/>
      <c r="C21" s="14"/>
      <c r="D21" s="15"/>
      <c r="E21" s="15" t="s">
        <v>23</v>
      </c>
      <c r="F21" s="16">
        <f t="shared" si="0"/>
        <v>0</v>
      </c>
      <c r="G21" s="17">
        <f>C4*F21</f>
        <v>0</v>
      </c>
      <c r="H21" s="39"/>
      <c r="I21" s="40"/>
      <c r="J21" s="18"/>
    </row>
    <row r="22" spans="1:10" x14ac:dyDescent="0.25">
      <c r="A22" s="2">
        <v>16</v>
      </c>
      <c r="B22" s="14"/>
      <c r="C22" s="14"/>
      <c r="D22" s="15"/>
      <c r="E22" s="15" t="s">
        <v>23</v>
      </c>
      <c r="F22" s="16">
        <f t="shared" si="0"/>
        <v>0</v>
      </c>
      <c r="G22" s="17">
        <f>C4*F22</f>
        <v>0</v>
      </c>
      <c r="H22" s="39"/>
      <c r="I22" s="40"/>
      <c r="J22" s="18"/>
    </row>
    <row r="23" spans="1:10" x14ac:dyDescent="0.25">
      <c r="A23" s="2">
        <v>17</v>
      </c>
      <c r="B23" s="14"/>
      <c r="C23" s="14"/>
      <c r="D23" s="15"/>
      <c r="E23" s="15" t="s">
        <v>23</v>
      </c>
      <c r="F23" s="16">
        <f t="shared" si="0"/>
        <v>0</v>
      </c>
      <c r="G23" s="17">
        <f>C4*F23</f>
        <v>0</v>
      </c>
      <c r="H23" s="39"/>
      <c r="I23" s="40"/>
      <c r="J23" s="18"/>
    </row>
    <row r="24" spans="1:10" x14ac:dyDescent="0.25">
      <c r="C24" s="19" t="s">
        <v>24</v>
      </c>
      <c r="D24" s="2">
        <f>SUM(D7:D23)</f>
        <v>4.7059609730018712</v>
      </c>
      <c r="E24" s="2" t="s">
        <v>23</v>
      </c>
      <c r="F24" s="20">
        <f>SUM(F7:F23)</f>
        <v>0.99999999999999989</v>
      </c>
      <c r="G24" s="21">
        <f>SUM(G7:G23)</f>
        <v>1686.9999999999998</v>
      </c>
      <c r="H24" s="22" t="s">
        <v>25</v>
      </c>
    </row>
    <row r="25" spans="1:10" x14ac:dyDescent="0.25">
      <c r="F25" s="12" t="s">
        <v>26</v>
      </c>
      <c r="G25" s="1">
        <f>-G24*G4+C4</f>
        <v>1518.3</v>
      </c>
    </row>
    <row r="26" spans="1:10" ht="15.75" x14ac:dyDescent="0.25">
      <c r="A26"/>
      <c r="B26" s="41" t="s">
        <v>27</v>
      </c>
      <c r="C26" s="41"/>
      <c r="D26" s="41"/>
      <c r="E26" s="41"/>
      <c r="F26" s="41"/>
      <c r="G26" s="41"/>
      <c r="H26" s="41"/>
      <c r="I26" s="41"/>
      <c r="J26" s="41"/>
    </row>
    <row r="27" spans="1:10" ht="15.75" x14ac:dyDescent="0.25">
      <c r="A27"/>
      <c r="B27" s="23" t="s">
        <v>28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25" t="s">
        <v>57</v>
      </c>
      <c r="C28" s="26"/>
      <c r="D28" s="26"/>
      <c r="E28" s="26"/>
      <c r="F28" s="26"/>
      <c r="G28" s="26"/>
      <c r="H28" s="26"/>
      <c r="I28" s="26"/>
      <c r="J28" s="27"/>
    </row>
    <row r="29" spans="1:10" x14ac:dyDescent="0.25">
      <c r="A29" s="2">
        <v>2</v>
      </c>
      <c r="B29" s="25"/>
      <c r="C29" s="26"/>
      <c r="D29" s="26"/>
      <c r="E29" s="26"/>
      <c r="F29" s="26"/>
      <c r="G29" s="26"/>
      <c r="H29" s="26"/>
      <c r="I29" s="26"/>
      <c r="J29" s="27"/>
    </row>
    <row r="30" spans="1:10" x14ac:dyDescent="0.25">
      <c r="A30" s="2">
        <v>3</v>
      </c>
      <c r="B30" s="28"/>
      <c r="C30" s="29"/>
      <c r="D30" s="29"/>
      <c r="E30" s="29"/>
      <c r="F30" s="29"/>
      <c r="G30" s="29"/>
      <c r="H30" s="29"/>
      <c r="I30" s="29"/>
      <c r="J30" s="30"/>
    </row>
    <row r="31" spans="1:10" x14ac:dyDescent="0.25">
      <c r="A31" s="2">
        <v>4</v>
      </c>
      <c r="B31" s="36"/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2">
        <v>5</v>
      </c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2">
        <v>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2">
        <v>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2">
        <v>8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2">
        <v>9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2">
        <v>10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2">
        <v>11</v>
      </c>
      <c r="B38" s="36"/>
      <c r="C38" s="36"/>
      <c r="D38" s="36"/>
      <c r="E38" s="36"/>
      <c r="F38" s="36"/>
      <c r="G38" s="36"/>
      <c r="H38" s="36"/>
      <c r="I38" s="36"/>
      <c r="J38" s="36"/>
    </row>
    <row r="40" spans="1:10" x14ac:dyDescent="0.25">
      <c r="B40" t="s">
        <v>29</v>
      </c>
    </row>
    <row r="42" spans="1:10" x14ac:dyDescent="0.25">
      <c r="B42" s="31"/>
      <c r="C42" s="31"/>
      <c r="D42" s="32"/>
      <c r="E42" s="32"/>
      <c r="F42" s="31"/>
      <c r="H42" s="31"/>
      <c r="I42" s="31"/>
      <c r="J42" s="31"/>
    </row>
    <row r="43" spans="1:10" x14ac:dyDescent="0.25">
      <c r="B43" s="37" t="s">
        <v>30</v>
      </c>
      <c r="C43" s="37"/>
      <c r="E43" s="37" t="s">
        <v>31</v>
      </c>
      <c r="F43" s="37"/>
      <c r="H43" s="38" t="s">
        <v>32</v>
      </c>
      <c r="I43" s="38"/>
      <c r="J43" s="3" t="s">
        <v>33</v>
      </c>
    </row>
  </sheetData>
  <mergeCells count="31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4:J34"/>
    <mergeCell ref="H17:I17"/>
    <mergeCell ref="H18:I18"/>
    <mergeCell ref="H19:I19"/>
    <mergeCell ref="H20:I20"/>
    <mergeCell ref="H21:I21"/>
    <mergeCell ref="H22:I22"/>
    <mergeCell ref="H23:I23"/>
    <mergeCell ref="B26:J26"/>
    <mergeCell ref="B31:J31"/>
    <mergeCell ref="B32:J32"/>
    <mergeCell ref="B33:J33"/>
    <mergeCell ref="B35:J35"/>
    <mergeCell ref="B36:J36"/>
    <mergeCell ref="B37:J37"/>
    <mergeCell ref="B38:J38"/>
    <mergeCell ref="B43:C43"/>
    <mergeCell ref="E43:F43"/>
    <mergeCell ref="H43:I43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1FED-4D3C-4EDF-A94E-62057E6486E2}">
  <sheetPr>
    <pageSetUpPr fitToPage="1"/>
  </sheetPr>
  <dimension ref="A1:J43"/>
  <sheetViews>
    <sheetView workbookViewId="0">
      <selection activeCell="C20" sqref="C20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10</v>
      </c>
      <c r="C2" s="5" t="s">
        <v>2</v>
      </c>
      <c r="D2" s="6" t="s">
        <v>11</v>
      </c>
      <c r="E2" s="42"/>
      <c r="F2" s="42"/>
      <c r="G2" s="5"/>
      <c r="H2" s="7" t="s">
        <v>12</v>
      </c>
      <c r="I2" s="8"/>
      <c r="J2" s="9" t="s">
        <v>13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14</v>
      </c>
      <c r="C4" s="11">
        <v>450</v>
      </c>
      <c r="D4" s="10"/>
      <c r="F4" s="3" t="s">
        <v>15</v>
      </c>
      <c r="G4" s="12">
        <v>0.1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16</v>
      </c>
      <c r="C6" s="13" t="s">
        <v>17</v>
      </c>
      <c r="D6" s="13" t="s">
        <v>18</v>
      </c>
      <c r="E6" s="13" t="s">
        <v>19</v>
      </c>
      <c r="F6" s="13" t="s">
        <v>0</v>
      </c>
      <c r="G6" s="13" t="s">
        <v>20</v>
      </c>
      <c r="H6" s="43" t="s">
        <v>21</v>
      </c>
      <c r="I6" s="44"/>
      <c r="J6" s="13" t="s">
        <v>22</v>
      </c>
    </row>
    <row r="7" spans="1:10" x14ac:dyDescent="0.25">
      <c r="A7" s="2">
        <v>1</v>
      </c>
      <c r="B7" s="14"/>
      <c r="C7" s="14" t="s">
        <v>7</v>
      </c>
      <c r="D7" s="15">
        <v>0.1456211812627291</v>
      </c>
      <c r="E7" s="15" t="s">
        <v>23</v>
      </c>
      <c r="F7" s="16">
        <f t="shared" ref="F7:F23" si="0">D7/D$24</f>
        <v>7.2810590631364538E-2</v>
      </c>
      <c r="G7" s="17">
        <f>C4*F7</f>
        <v>32.76476578411404</v>
      </c>
      <c r="H7" s="39"/>
      <c r="I7" s="40"/>
      <c r="J7" s="18"/>
    </row>
    <row r="8" spans="1:10" x14ac:dyDescent="0.25">
      <c r="A8" s="2">
        <v>2</v>
      </c>
      <c r="B8" s="14"/>
      <c r="C8" s="14" t="s">
        <v>8</v>
      </c>
      <c r="D8" s="15">
        <v>8.7576374745417504E-2</v>
      </c>
      <c r="E8" s="15" t="s">
        <v>23</v>
      </c>
      <c r="F8" s="16">
        <f t="shared" si="0"/>
        <v>4.3788187372708745E-2</v>
      </c>
      <c r="G8" s="17">
        <f>C4*F8</f>
        <v>19.704684317718936</v>
      </c>
      <c r="H8" s="39"/>
      <c r="I8" s="40"/>
      <c r="J8" s="18"/>
    </row>
    <row r="9" spans="1:10" x14ac:dyDescent="0.25">
      <c r="A9" s="2">
        <v>3</v>
      </c>
      <c r="B9" s="14"/>
      <c r="C9" s="14" t="s">
        <v>9</v>
      </c>
      <c r="D9" s="15">
        <v>1.7505091649694502</v>
      </c>
      <c r="E9" s="15" t="s">
        <v>23</v>
      </c>
      <c r="F9" s="16">
        <f t="shared" si="0"/>
        <v>0.87525458248472487</v>
      </c>
      <c r="G9" s="17">
        <f>C4*F9</f>
        <v>393.86456211812617</v>
      </c>
      <c r="H9" s="39"/>
      <c r="I9" s="40"/>
      <c r="J9" s="18"/>
    </row>
    <row r="10" spans="1:10" x14ac:dyDescent="0.25">
      <c r="A10" s="2">
        <v>4</v>
      </c>
      <c r="B10" s="14"/>
      <c r="C10" s="14" t="s">
        <v>5</v>
      </c>
      <c r="D10" s="15">
        <v>1.0183299389002037E-2</v>
      </c>
      <c r="E10" s="15" t="s">
        <v>23</v>
      </c>
      <c r="F10" s="16">
        <f t="shared" si="0"/>
        <v>5.0916496945010176E-3</v>
      </c>
      <c r="G10" s="17">
        <f>C4*F10</f>
        <v>2.2912423625254581</v>
      </c>
      <c r="H10" s="39"/>
      <c r="I10" s="40"/>
      <c r="J10" s="18"/>
    </row>
    <row r="11" spans="1:10" x14ac:dyDescent="0.25">
      <c r="A11" s="2">
        <v>5</v>
      </c>
      <c r="B11" s="14"/>
      <c r="C11" s="14" t="s">
        <v>6</v>
      </c>
      <c r="D11" s="15">
        <v>6.1099796334012219E-3</v>
      </c>
      <c r="E11" s="15" t="s">
        <v>23</v>
      </c>
      <c r="F11" s="16">
        <f t="shared" si="0"/>
        <v>3.0549898167006101E-3</v>
      </c>
      <c r="G11" s="17">
        <f>C4*F11</f>
        <v>1.3747454175152745</v>
      </c>
      <c r="H11" s="39"/>
      <c r="I11" s="40"/>
      <c r="J11" s="18"/>
    </row>
    <row r="12" spans="1:10" x14ac:dyDescent="0.25">
      <c r="A12" s="2">
        <v>6</v>
      </c>
      <c r="B12" s="14"/>
      <c r="C12" s="14"/>
      <c r="D12" s="15"/>
      <c r="E12" s="15" t="s">
        <v>23</v>
      </c>
      <c r="F12" s="16">
        <f t="shared" si="0"/>
        <v>0</v>
      </c>
      <c r="G12" s="17">
        <f>C4*F12</f>
        <v>0</v>
      </c>
      <c r="H12" s="39"/>
      <c r="I12" s="40"/>
      <c r="J12" s="18"/>
    </row>
    <row r="13" spans="1:10" x14ac:dyDescent="0.25">
      <c r="A13" s="2">
        <v>7</v>
      </c>
      <c r="B13" s="14"/>
      <c r="C13" s="14"/>
      <c r="D13" s="15"/>
      <c r="E13" s="15" t="s">
        <v>23</v>
      </c>
      <c r="F13" s="16">
        <f t="shared" si="0"/>
        <v>0</v>
      </c>
      <c r="G13" s="17">
        <f>C4*F13</f>
        <v>0</v>
      </c>
      <c r="H13" s="39"/>
      <c r="I13" s="40"/>
      <c r="J13" s="18"/>
    </row>
    <row r="14" spans="1:10" x14ac:dyDescent="0.25">
      <c r="A14" s="2">
        <v>8</v>
      </c>
      <c r="B14" s="14"/>
      <c r="C14" s="14"/>
      <c r="D14" s="15"/>
      <c r="E14" s="15" t="s">
        <v>23</v>
      </c>
      <c r="F14" s="16">
        <f t="shared" si="0"/>
        <v>0</v>
      </c>
      <c r="G14" s="17">
        <f>C4*F14</f>
        <v>0</v>
      </c>
      <c r="H14" s="39"/>
      <c r="I14" s="40"/>
      <c r="J14" s="18"/>
    </row>
    <row r="15" spans="1:10" x14ac:dyDescent="0.25">
      <c r="A15" s="2">
        <v>9</v>
      </c>
      <c r="B15" s="14"/>
      <c r="C15" s="14"/>
      <c r="D15" s="15"/>
      <c r="E15" s="15" t="s">
        <v>23</v>
      </c>
      <c r="F15" s="16">
        <f t="shared" si="0"/>
        <v>0</v>
      </c>
      <c r="G15" s="17">
        <f>C4*F15</f>
        <v>0</v>
      </c>
      <c r="H15" s="39"/>
      <c r="I15" s="40"/>
      <c r="J15" s="18"/>
    </row>
    <row r="16" spans="1:10" x14ac:dyDescent="0.25">
      <c r="A16" s="2">
        <v>10</v>
      </c>
      <c r="B16" s="14"/>
      <c r="C16" s="14"/>
      <c r="D16" s="15"/>
      <c r="E16" s="15" t="s">
        <v>23</v>
      </c>
      <c r="F16" s="16">
        <f t="shared" si="0"/>
        <v>0</v>
      </c>
      <c r="G16" s="17">
        <f>C4*F16</f>
        <v>0</v>
      </c>
      <c r="H16" s="39"/>
      <c r="I16" s="40"/>
      <c r="J16" s="18"/>
    </row>
    <row r="17" spans="1:10" x14ac:dyDescent="0.25">
      <c r="A17" s="2">
        <v>11</v>
      </c>
      <c r="B17" s="14"/>
      <c r="C17" s="14"/>
      <c r="D17" s="15"/>
      <c r="E17" s="15" t="s">
        <v>23</v>
      </c>
      <c r="F17" s="16">
        <f t="shared" si="0"/>
        <v>0</v>
      </c>
      <c r="G17" s="17">
        <f>C4*F17</f>
        <v>0</v>
      </c>
      <c r="H17" s="39"/>
      <c r="I17" s="40"/>
      <c r="J17" s="18"/>
    </row>
    <row r="18" spans="1:10" x14ac:dyDescent="0.25">
      <c r="A18" s="2">
        <v>12</v>
      </c>
      <c r="B18" s="14"/>
      <c r="C18" s="14"/>
      <c r="D18" s="15"/>
      <c r="E18" s="15" t="s">
        <v>23</v>
      </c>
      <c r="F18" s="16">
        <f t="shared" si="0"/>
        <v>0</v>
      </c>
      <c r="G18" s="17">
        <f>C4*F18</f>
        <v>0</v>
      </c>
      <c r="H18" s="39"/>
      <c r="I18" s="40"/>
      <c r="J18" s="18"/>
    </row>
    <row r="19" spans="1:10" x14ac:dyDescent="0.25">
      <c r="A19" s="2">
        <v>13</v>
      </c>
      <c r="B19" s="14"/>
      <c r="C19" s="14"/>
      <c r="D19" s="15"/>
      <c r="E19" s="15" t="s">
        <v>23</v>
      </c>
      <c r="F19" s="16">
        <f t="shared" si="0"/>
        <v>0</v>
      </c>
      <c r="G19" s="17">
        <f>C4*F19</f>
        <v>0</v>
      </c>
      <c r="H19" s="39"/>
      <c r="I19" s="40"/>
      <c r="J19" s="18"/>
    </row>
    <row r="20" spans="1:10" x14ac:dyDescent="0.25">
      <c r="A20" s="2">
        <v>14</v>
      </c>
      <c r="B20" s="14"/>
      <c r="C20" s="14"/>
      <c r="D20" s="15"/>
      <c r="E20" s="15" t="s">
        <v>23</v>
      </c>
      <c r="F20" s="16">
        <f t="shared" si="0"/>
        <v>0</v>
      </c>
      <c r="G20" s="17">
        <f>C4*F20</f>
        <v>0</v>
      </c>
      <c r="H20" s="39"/>
      <c r="I20" s="40"/>
      <c r="J20" s="18"/>
    </row>
    <row r="21" spans="1:10" x14ac:dyDescent="0.25">
      <c r="A21" s="2">
        <v>15</v>
      </c>
      <c r="B21" s="14"/>
      <c r="C21" s="14"/>
      <c r="D21" s="15"/>
      <c r="E21" s="15" t="s">
        <v>23</v>
      </c>
      <c r="F21" s="16">
        <f t="shared" si="0"/>
        <v>0</v>
      </c>
      <c r="G21" s="17">
        <f>C4*F21</f>
        <v>0</v>
      </c>
      <c r="H21" s="39"/>
      <c r="I21" s="40"/>
      <c r="J21" s="18"/>
    </row>
    <row r="22" spans="1:10" x14ac:dyDescent="0.25">
      <c r="A22" s="2">
        <v>16</v>
      </c>
      <c r="B22" s="14"/>
      <c r="C22" s="14"/>
      <c r="D22" s="15"/>
      <c r="E22" s="15" t="s">
        <v>23</v>
      </c>
      <c r="F22" s="16">
        <f t="shared" si="0"/>
        <v>0</v>
      </c>
      <c r="G22" s="17">
        <f>C4*F22</f>
        <v>0</v>
      </c>
      <c r="H22" s="39"/>
      <c r="I22" s="40"/>
      <c r="J22" s="18"/>
    </row>
    <row r="23" spans="1:10" x14ac:dyDescent="0.25">
      <c r="A23" s="2">
        <v>17</v>
      </c>
      <c r="B23" s="14"/>
      <c r="C23" s="14"/>
      <c r="D23" s="15"/>
      <c r="E23" s="15" t="s">
        <v>23</v>
      </c>
      <c r="F23" s="16">
        <f t="shared" si="0"/>
        <v>0</v>
      </c>
      <c r="G23" s="17">
        <f>C4*F23</f>
        <v>0</v>
      </c>
      <c r="H23" s="39"/>
      <c r="I23" s="40"/>
      <c r="J23" s="18"/>
    </row>
    <row r="24" spans="1:10" x14ac:dyDescent="0.25">
      <c r="C24" s="19" t="s">
        <v>24</v>
      </c>
      <c r="D24" s="2">
        <f>SUM(D7:D23)</f>
        <v>2.0000000000000004</v>
      </c>
      <c r="E24" s="2" t="s">
        <v>23</v>
      </c>
      <c r="F24" s="20">
        <f>SUM(F7:F23)</f>
        <v>0.99999999999999978</v>
      </c>
      <c r="G24" s="21">
        <f>SUM(G7:G23)</f>
        <v>449.99999999999989</v>
      </c>
      <c r="H24" s="22" t="s">
        <v>25</v>
      </c>
    </row>
    <row r="25" spans="1:10" x14ac:dyDescent="0.25">
      <c r="F25" s="12" t="s">
        <v>26</v>
      </c>
      <c r="G25" s="1">
        <f>-G24*G4+C4</f>
        <v>405</v>
      </c>
    </row>
    <row r="26" spans="1:10" ht="15.75" x14ac:dyDescent="0.25">
      <c r="A26"/>
      <c r="B26" s="41" t="s">
        <v>27</v>
      </c>
      <c r="C26" s="41"/>
      <c r="D26" s="41"/>
      <c r="E26" s="41"/>
      <c r="F26" s="41"/>
      <c r="G26" s="41"/>
      <c r="H26" s="41"/>
      <c r="I26" s="41"/>
      <c r="J26" s="41"/>
    </row>
    <row r="27" spans="1:10" ht="15.75" x14ac:dyDescent="0.25">
      <c r="A27"/>
      <c r="B27" s="23" t="s">
        <v>28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25" t="s">
        <v>58</v>
      </c>
      <c r="C28" s="26"/>
      <c r="D28" s="26"/>
      <c r="E28" s="26"/>
      <c r="F28" s="26"/>
      <c r="G28" s="26"/>
      <c r="H28" s="26"/>
      <c r="I28" s="26"/>
      <c r="J28" s="27"/>
    </row>
    <row r="29" spans="1:10" x14ac:dyDescent="0.25">
      <c r="A29" s="2">
        <v>2</v>
      </c>
      <c r="B29" s="25" t="s">
        <v>59</v>
      </c>
      <c r="C29" s="26"/>
      <c r="D29" s="26"/>
      <c r="E29" s="26"/>
      <c r="F29" s="26"/>
      <c r="G29" s="26"/>
      <c r="H29" s="26"/>
      <c r="I29" s="26"/>
      <c r="J29" s="27"/>
    </row>
    <row r="30" spans="1:10" x14ac:dyDescent="0.25">
      <c r="A30" s="2">
        <v>3</v>
      </c>
      <c r="B30" s="28" t="s">
        <v>60</v>
      </c>
      <c r="C30" s="29"/>
      <c r="D30" s="29"/>
      <c r="E30" s="29"/>
      <c r="F30" s="29"/>
      <c r="G30" s="29"/>
      <c r="H30" s="29"/>
      <c r="I30" s="29"/>
      <c r="J30" s="30"/>
    </row>
    <row r="31" spans="1:10" x14ac:dyDescent="0.25">
      <c r="A31" s="2">
        <v>4</v>
      </c>
      <c r="B31" s="36" t="s">
        <v>61</v>
      </c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2">
        <v>5</v>
      </c>
      <c r="B32" s="36" t="s">
        <v>62</v>
      </c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2">
        <v>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2">
        <v>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2">
        <v>8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2">
        <v>9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2">
        <v>10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2">
        <v>11</v>
      </c>
      <c r="B38" s="36"/>
      <c r="C38" s="36"/>
      <c r="D38" s="36"/>
      <c r="E38" s="36"/>
      <c r="F38" s="36"/>
      <c r="G38" s="36"/>
      <c r="H38" s="36"/>
      <c r="I38" s="36"/>
      <c r="J38" s="36"/>
    </row>
    <row r="40" spans="1:10" x14ac:dyDescent="0.25">
      <c r="B40" t="s">
        <v>29</v>
      </c>
    </row>
    <row r="42" spans="1:10" x14ac:dyDescent="0.25">
      <c r="B42" s="31"/>
      <c r="C42" s="31"/>
      <c r="D42" s="32"/>
      <c r="E42" s="32"/>
      <c r="F42" s="31"/>
      <c r="H42" s="31"/>
      <c r="I42" s="31"/>
      <c r="J42" s="31"/>
    </row>
    <row r="43" spans="1:10" x14ac:dyDescent="0.25">
      <c r="B43" s="37" t="s">
        <v>30</v>
      </c>
      <c r="C43" s="37"/>
      <c r="E43" s="37" t="s">
        <v>31</v>
      </c>
      <c r="F43" s="37"/>
      <c r="H43" s="38" t="s">
        <v>32</v>
      </c>
      <c r="I43" s="38"/>
      <c r="J43" s="3" t="s">
        <v>33</v>
      </c>
    </row>
  </sheetData>
  <mergeCells count="31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4:J34"/>
    <mergeCell ref="H17:I17"/>
    <mergeCell ref="H18:I18"/>
    <mergeCell ref="H19:I19"/>
    <mergeCell ref="H20:I20"/>
    <mergeCell ref="H21:I21"/>
    <mergeCell ref="H22:I22"/>
    <mergeCell ref="H23:I23"/>
    <mergeCell ref="B26:J26"/>
    <mergeCell ref="B31:J31"/>
    <mergeCell ref="B32:J32"/>
    <mergeCell ref="B33:J33"/>
    <mergeCell ref="B35:J35"/>
    <mergeCell ref="B36:J36"/>
    <mergeCell ref="B37:J37"/>
    <mergeCell ref="B38:J38"/>
    <mergeCell ref="B43:C43"/>
    <mergeCell ref="E43:F43"/>
    <mergeCell ref="H43:I43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DA6ED32C-ECCE-4B31-A098-B15C9D3C13C6}"/>
</file>

<file path=customXml/itemProps2.xml><?xml version="1.0" encoding="utf-8"?>
<ds:datastoreItem xmlns:ds="http://schemas.openxmlformats.org/officeDocument/2006/customXml" ds:itemID="{348A6ED1-B968-4497-A0CC-6BF2E6CF4F60}"/>
</file>

<file path=customXml/itemProps3.xml><?xml version="1.0" encoding="utf-8"?>
<ds:datastoreItem xmlns:ds="http://schemas.openxmlformats.org/officeDocument/2006/customXml" ds:itemID="{E193FA65-3D12-4D9D-9942-3704B1A50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Hand Pie Build</vt:lpstr>
      <vt:lpstr>Dough</vt:lpstr>
      <vt:lpstr>Breakfast filling</vt:lpstr>
      <vt:lpstr>Bechamel Sauces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2025-01-20T15:45:18Z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