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Menu Cycle 1 Information/Price Template/"/>
    </mc:Choice>
  </mc:AlternateContent>
  <xr:revisionPtr revIDLastSave="16" documentId="8_{39773E5E-D10B-4A05-A20C-5D20ABAB4C5E}" xr6:coauthVersionLast="47" xr6:coauthVersionMax="47" xr10:uidLastSave="{BAFB3524-89F3-4163-BE83-DCD3E73B029D}"/>
  <bookViews>
    <workbookView xWindow="28680" yWindow="-5460" windowWidth="38640" windowHeight="21120" tabRatio="579" activeTab="2" xr2:uid="{00000000-000D-0000-FFFF-FFFF00000000}"/>
  </bookViews>
  <sheets>
    <sheet name="03012025" sheetId="8" r:id="rId1"/>
    <sheet name="List of All CrewMeal Specs" sheetId="6" r:id="rId2"/>
    <sheet name="Change Record" sheetId="10" r:id="rId3"/>
    <sheet name="List of All Pax Spec codes " sheetId="7" state="hidden" r:id="rId4"/>
    <sheet name="FG MASTER" sheetId="9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Fill" hidden="1">[1]OVERLAND!#REF!</definedName>
    <definedName name="_Fill1" hidden="1">[1]OVERLAND!#REF!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4">[2]POLICY!$G$3:$G$348</definedName>
    <definedName name="COMMERCIAL_ITEMS">[3]POLICY!$G$3:$G$317</definedName>
    <definedName name="_xlnm.Print_Area" localSheetId="0">'03012025'!$A$1:$BR$156</definedName>
    <definedName name="_xlnm.Print_Area" localSheetId="4">'FG MASTER'!$A$1:$AB$9</definedName>
    <definedName name="_xlnm.Print_Area" localSheetId="1">'List of All CrewMeal Specs'!$A$1:$K$50</definedName>
    <definedName name="_xlnm.Print_Area" localSheetId="3">'List of All Pax Spec codes '!$A$1:$J$155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8" l="1"/>
  <c r="D155" i="8"/>
  <c r="D154" i="8"/>
  <c r="D153" i="8"/>
  <c r="D152" i="8"/>
  <c r="D151" i="8"/>
  <c r="D149" i="8"/>
  <c r="D148" i="8"/>
  <c r="D147" i="8"/>
  <c r="D146" i="8"/>
  <c r="D145" i="8"/>
  <c r="D144" i="8"/>
  <c r="D143" i="8"/>
  <c r="D142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64" i="8"/>
  <c r="D76" i="8"/>
  <c r="D79" i="8"/>
  <c r="D78" i="8"/>
  <c r="D77" i="8"/>
  <c r="D72" i="8"/>
  <c r="D71" i="8"/>
  <c r="D69" i="8"/>
  <c r="D68" i="8"/>
  <c r="D67" i="8"/>
  <c r="D66" i="8"/>
  <c r="D65" i="8"/>
  <c r="D58" i="8"/>
  <c r="D57" i="8"/>
  <c r="D56" i="8"/>
  <c r="D54" i="8"/>
  <c r="D53" i="8"/>
  <c r="D52" i="8"/>
  <c r="D51" i="8"/>
  <c r="D50" i="8"/>
  <c r="D49" i="8"/>
  <c r="D43" i="8"/>
  <c r="D42" i="8"/>
  <c r="D41" i="8"/>
  <c r="D40" i="8"/>
  <c r="D39" i="8"/>
  <c r="D38" i="8"/>
  <c r="D37" i="8"/>
  <c r="D36" i="8"/>
  <c r="D34" i="8"/>
  <c r="D33" i="8"/>
  <c r="D32" i="8"/>
  <c r="D31" i="8"/>
  <c r="D30" i="8"/>
  <c r="D29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H146" i="8"/>
  <c r="H149" i="8"/>
  <c r="H148" i="8"/>
  <c r="H147" i="8"/>
  <c r="M67" i="8"/>
  <c r="M66" i="8"/>
  <c r="M51" i="8"/>
  <c r="M50" i="8"/>
  <c r="B67" i="8"/>
  <c r="B58" i="8"/>
  <c r="B52" i="8"/>
  <c r="B51" i="8"/>
  <c r="H33" i="8"/>
  <c r="H32" i="8"/>
  <c r="H31" i="8"/>
  <c r="H34" i="8"/>
  <c r="I18" i="8"/>
  <c r="I17" i="8"/>
  <c r="K142" i="8"/>
  <c r="K144" i="8"/>
  <c r="K145" i="8"/>
  <c r="B47" i="6"/>
  <c r="B50" i="6"/>
  <c r="B49" i="6"/>
  <c r="B48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5" i="6"/>
  <c r="B24" i="6"/>
  <c r="B23" i="6"/>
  <c r="B22" i="6"/>
  <c r="B20" i="6"/>
  <c r="B19" i="6"/>
  <c r="B18" i="6"/>
  <c r="B17" i="6"/>
  <c r="B16" i="6"/>
  <c r="B15" i="6"/>
  <c r="B14" i="6"/>
  <c r="B13" i="6"/>
  <c r="B11" i="6"/>
  <c r="B10" i="6"/>
  <c r="B9" i="6"/>
  <c r="B8" i="6"/>
  <c r="B7" i="6"/>
  <c r="B93" i="8"/>
  <c r="B92" i="8"/>
  <c r="B91" i="8"/>
  <c r="B90" i="8"/>
  <c r="B89" i="8"/>
  <c r="B87" i="8"/>
  <c r="B86" i="8"/>
  <c r="B156" i="8"/>
  <c r="B155" i="8"/>
  <c r="B154" i="8"/>
  <c r="B153" i="8"/>
  <c r="B152" i="8"/>
  <c r="B151" i="8"/>
  <c r="B149" i="8"/>
  <c r="B148" i="8"/>
  <c r="B147" i="8"/>
  <c r="B146" i="8"/>
  <c r="B145" i="8"/>
  <c r="B144" i="8"/>
  <c r="B143" i="8"/>
  <c r="B142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5" i="8"/>
  <c r="B104" i="8"/>
  <c r="B103" i="8"/>
  <c r="B102" i="8"/>
  <c r="B101" i="8"/>
  <c r="B100" i="8"/>
  <c r="B99" i="8"/>
  <c r="B98" i="8"/>
  <c r="B97" i="8"/>
  <c r="B96" i="8"/>
  <c r="B95" i="8"/>
  <c r="B94" i="8"/>
  <c r="B88" i="8"/>
  <c r="B85" i="8"/>
  <c r="B84" i="8"/>
  <c r="B83" i="8"/>
  <c r="B82" i="8"/>
  <c r="B79" i="8"/>
  <c r="B78" i="8"/>
  <c r="B77" i="8"/>
  <c r="B76" i="8"/>
  <c r="B72" i="8"/>
  <c r="B71" i="8"/>
  <c r="B69" i="8"/>
  <c r="B68" i="8"/>
  <c r="B66" i="8"/>
  <c r="B65" i="8"/>
  <c r="B64" i="8"/>
  <c r="B57" i="8"/>
  <c r="B56" i="8"/>
  <c r="B54" i="8"/>
  <c r="B53" i="8"/>
  <c r="B50" i="8"/>
  <c r="B49" i="8"/>
  <c r="B43" i="8"/>
  <c r="B42" i="8"/>
  <c r="B41" i="8"/>
  <c r="B40" i="8"/>
  <c r="B39" i="8"/>
  <c r="B38" i="8"/>
  <c r="B37" i="8"/>
  <c r="B36" i="8"/>
  <c r="B34" i="8"/>
  <c r="B33" i="8"/>
  <c r="B32" i="8"/>
  <c r="B31" i="8"/>
  <c r="B30" i="8"/>
  <c r="B29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H79" i="8" l="1"/>
  <c r="H77" i="8"/>
  <c r="H37" i="8"/>
  <c r="J148" i="8"/>
  <c r="K149" i="8"/>
  <c r="K148" i="8"/>
  <c r="K147" i="8"/>
  <c r="K146" i="8"/>
  <c r="K79" i="8" l="1"/>
  <c r="K77" i="8"/>
  <c r="K37" i="8"/>
  <c r="K31" i="8"/>
  <c r="K33" i="8"/>
  <c r="K32" i="8"/>
  <c r="K34" i="8"/>
  <c r="J18" i="8"/>
  <c r="J79" i="8" l="1"/>
  <c r="J77" i="8"/>
  <c r="J31" i="8"/>
  <c r="J149" i="8" l="1"/>
  <c r="J146" i="8"/>
  <c r="J147" i="8"/>
  <c r="J33" i="8"/>
  <c r="J32" i="8"/>
  <c r="J17" i="8"/>
  <c r="AE110" i="9" l="1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1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T138" i="9"/>
  <c r="S138" i="9"/>
  <c r="P138" i="9"/>
  <c r="T137" i="9"/>
  <c r="S137" i="9"/>
  <c r="P137" i="9"/>
  <c r="AA136" i="9"/>
  <c r="T136" i="9"/>
  <c r="S136" i="9"/>
  <c r="P136" i="9"/>
  <c r="AA135" i="9"/>
  <c r="T135" i="9"/>
  <c r="S135" i="9"/>
  <c r="P135" i="9"/>
  <c r="U135" i="9" s="1"/>
  <c r="AA134" i="9"/>
  <c r="T134" i="9"/>
  <c r="S134" i="9"/>
  <c r="P134" i="9"/>
  <c r="U134" i="9" s="1"/>
  <c r="AA133" i="9"/>
  <c r="W133" i="9"/>
  <c r="T133" i="9"/>
  <c r="S133" i="9"/>
  <c r="P133" i="9"/>
  <c r="AA132" i="9"/>
  <c r="T132" i="9"/>
  <c r="S132" i="9"/>
  <c r="P132" i="9"/>
  <c r="AA131" i="9"/>
  <c r="T131" i="9"/>
  <c r="S131" i="9"/>
  <c r="P131" i="9"/>
  <c r="AA130" i="9"/>
  <c r="T130" i="9"/>
  <c r="S130" i="9"/>
  <c r="P130" i="9"/>
  <c r="AA129" i="9"/>
  <c r="T129" i="9"/>
  <c r="S129" i="9"/>
  <c r="P129" i="9"/>
  <c r="P128" i="9"/>
  <c r="AA127" i="9"/>
  <c r="T127" i="9"/>
  <c r="S127" i="9"/>
  <c r="P127" i="9"/>
  <c r="AG126" i="9"/>
  <c r="AA126" i="9"/>
  <c r="T126" i="9"/>
  <c r="S126" i="9"/>
  <c r="P126" i="9"/>
  <c r="AG125" i="9"/>
  <c r="AA125" i="9"/>
  <c r="T125" i="9"/>
  <c r="S125" i="9"/>
  <c r="P125" i="9"/>
  <c r="O125" i="9"/>
  <c r="AA124" i="9"/>
  <c r="T124" i="9"/>
  <c r="S124" i="9"/>
  <c r="P124" i="9"/>
  <c r="AG123" i="9"/>
  <c r="AA123" i="9"/>
  <c r="T123" i="9"/>
  <c r="S123" i="9"/>
  <c r="P123" i="9"/>
  <c r="AA122" i="9"/>
  <c r="T122" i="9"/>
  <c r="U122" i="9" s="1"/>
  <c r="S122" i="9"/>
  <c r="P122" i="9"/>
  <c r="U123" i="9" s="1"/>
  <c r="T121" i="9"/>
  <c r="S121" i="9"/>
  <c r="P121" i="9"/>
  <c r="AA120" i="9"/>
  <c r="T120" i="9"/>
  <c r="S120" i="9"/>
  <c r="P120" i="9"/>
  <c r="AA119" i="9"/>
  <c r="T119" i="9"/>
  <c r="S119" i="9"/>
  <c r="P119" i="9"/>
  <c r="AA118" i="9"/>
  <c r="T118" i="9"/>
  <c r="S118" i="9"/>
  <c r="P118" i="9"/>
  <c r="AA117" i="9"/>
  <c r="T117" i="9"/>
  <c r="S117" i="9"/>
  <c r="P117" i="9"/>
  <c r="AA116" i="9"/>
  <c r="T116" i="9"/>
  <c r="U116" i="9" s="1"/>
  <c r="S116" i="9"/>
  <c r="P116" i="9"/>
  <c r="AA115" i="9"/>
  <c r="T115" i="9"/>
  <c r="S115" i="9"/>
  <c r="P115" i="9"/>
  <c r="AA114" i="9"/>
  <c r="T114" i="9"/>
  <c r="S114" i="9"/>
  <c r="P114" i="9"/>
  <c r="AA113" i="9"/>
  <c r="T113" i="9"/>
  <c r="S113" i="9"/>
  <c r="P113" i="9"/>
  <c r="U113" i="9" s="1"/>
  <c r="W112" i="9"/>
  <c r="T112" i="9"/>
  <c r="S112" i="9"/>
  <c r="P112" i="9"/>
  <c r="AA111" i="9"/>
  <c r="T111" i="9"/>
  <c r="S111" i="9"/>
  <c r="P111" i="9"/>
  <c r="V2" i="9"/>
  <c r="V131" i="9" s="1"/>
  <c r="W2" i="9"/>
  <c r="W123" i="9" s="1"/>
  <c r="Y123" i="9" s="1"/>
  <c r="P10" i="9"/>
  <c r="S10" i="9"/>
  <c r="T10" i="9"/>
  <c r="U10" i="9"/>
  <c r="P11" i="9"/>
  <c r="S11" i="9"/>
  <c r="T11" i="9"/>
  <c r="U11" i="9" s="1"/>
  <c r="P12" i="9"/>
  <c r="S12" i="9"/>
  <c r="T12" i="9"/>
  <c r="P13" i="9"/>
  <c r="S13" i="9"/>
  <c r="T13" i="9"/>
  <c r="U13" i="9"/>
  <c r="P14" i="9"/>
  <c r="S14" i="9"/>
  <c r="T14" i="9"/>
  <c r="P15" i="9"/>
  <c r="S15" i="9"/>
  <c r="T15" i="9" s="1"/>
  <c r="U15" i="9"/>
  <c r="P16" i="9"/>
  <c r="S16" i="9"/>
  <c r="T16" i="9"/>
  <c r="W16" i="9"/>
  <c r="P17" i="9"/>
  <c r="S17" i="9"/>
  <c r="T17" i="9" s="1"/>
  <c r="U17" i="9" s="1"/>
  <c r="P18" i="9"/>
  <c r="S18" i="9"/>
  <c r="T18" i="9" s="1"/>
  <c r="P19" i="9"/>
  <c r="U19" i="9" s="1"/>
  <c r="S19" i="9"/>
  <c r="T19" i="9"/>
  <c r="P20" i="9"/>
  <c r="S20" i="9"/>
  <c r="T20" i="9" s="1"/>
  <c r="P21" i="9"/>
  <c r="S21" i="9"/>
  <c r="T21" i="9" s="1"/>
  <c r="U21" i="9"/>
  <c r="W21" i="9"/>
  <c r="Y21" i="9" s="1"/>
  <c r="P22" i="9"/>
  <c r="S22" i="9"/>
  <c r="T22" i="9"/>
  <c r="U22" i="9"/>
  <c r="P23" i="9"/>
  <c r="S23" i="9"/>
  <c r="T23" i="9" s="1"/>
  <c r="U23" i="9"/>
  <c r="P24" i="9"/>
  <c r="S24" i="9"/>
  <c r="T24" i="9"/>
  <c r="U24" i="9"/>
  <c r="O25" i="9"/>
  <c r="P25" i="9" s="1"/>
  <c r="S25" i="9"/>
  <c r="T25" i="9"/>
  <c r="P26" i="9"/>
  <c r="S26" i="9"/>
  <c r="T26" i="9" s="1"/>
  <c r="O27" i="9"/>
  <c r="P27" i="9" s="1"/>
  <c r="S27" i="9"/>
  <c r="T27" i="9" s="1"/>
  <c r="P28" i="9"/>
  <c r="U28" i="9" s="1"/>
  <c r="S28" i="9"/>
  <c r="T28" i="9" s="1"/>
  <c r="P29" i="9"/>
  <c r="U29" i="9" s="1"/>
  <c r="S29" i="9"/>
  <c r="T29" i="9"/>
  <c r="P30" i="9"/>
  <c r="U30" i="9" s="1"/>
  <c r="S30" i="9"/>
  <c r="T30" i="9" s="1"/>
  <c r="P31" i="9"/>
  <c r="S31" i="9"/>
  <c r="T31" i="9" s="1"/>
  <c r="U31" i="9"/>
  <c r="P32" i="9"/>
  <c r="S32" i="9"/>
  <c r="T32" i="9"/>
  <c r="U32" i="9"/>
  <c r="P33" i="9"/>
  <c r="S33" i="9"/>
  <c r="T33" i="9"/>
  <c r="U33" i="9"/>
  <c r="P34" i="9"/>
  <c r="S34" i="9"/>
  <c r="T34" i="9" s="1"/>
  <c r="P35" i="9"/>
  <c r="S35" i="9"/>
  <c r="T35" i="9"/>
  <c r="U35" i="9"/>
  <c r="P36" i="9"/>
  <c r="S36" i="9"/>
  <c r="T36" i="9"/>
  <c r="P37" i="9"/>
  <c r="U37" i="9" s="1"/>
  <c r="S37" i="9"/>
  <c r="T37" i="9" s="1"/>
  <c r="P38" i="9"/>
  <c r="S38" i="9"/>
  <c r="T38" i="9"/>
  <c r="P39" i="9"/>
  <c r="S39" i="9"/>
  <c r="T39" i="9" s="1"/>
  <c r="P40" i="9"/>
  <c r="S40" i="9"/>
  <c r="T40" i="9" s="1"/>
  <c r="W40" i="9"/>
  <c r="P41" i="9"/>
  <c r="U41" i="9" s="1"/>
  <c r="S41" i="9"/>
  <c r="T41" i="9"/>
  <c r="P42" i="9"/>
  <c r="S42" i="9"/>
  <c r="T42" i="9" s="1"/>
  <c r="P43" i="9"/>
  <c r="S43" i="9"/>
  <c r="T43" i="9" s="1"/>
  <c r="U43" i="9" s="1"/>
  <c r="P44" i="9"/>
  <c r="S44" i="9"/>
  <c r="T44" i="9"/>
  <c r="U44" i="9"/>
  <c r="O45" i="9"/>
  <c r="P45" i="9"/>
  <c r="S45" i="9"/>
  <c r="T45" i="9"/>
  <c r="P46" i="9"/>
  <c r="S46" i="9"/>
  <c r="T46" i="9"/>
  <c r="U46" i="9"/>
  <c r="P47" i="9"/>
  <c r="S47" i="9"/>
  <c r="T47" i="9"/>
  <c r="S48" i="9"/>
  <c r="T48" i="9" s="1"/>
  <c r="P49" i="9"/>
  <c r="S49" i="9"/>
  <c r="T49" i="9" s="1"/>
  <c r="U49" i="9"/>
  <c r="P50" i="9"/>
  <c r="S50" i="9"/>
  <c r="T50" i="9"/>
  <c r="P51" i="9"/>
  <c r="S51" i="9"/>
  <c r="T51" i="9" s="1"/>
  <c r="P52" i="9"/>
  <c r="S52" i="9"/>
  <c r="T52" i="9" s="1"/>
  <c r="W52" i="9"/>
  <c r="P53" i="9"/>
  <c r="U53" i="9" s="1"/>
  <c r="S53" i="9"/>
  <c r="T53" i="9"/>
  <c r="P54" i="9"/>
  <c r="U54" i="9" s="1"/>
  <c r="S54" i="9"/>
  <c r="T54" i="9" s="1"/>
  <c r="P55" i="9"/>
  <c r="S55" i="9"/>
  <c r="T55" i="9" s="1"/>
  <c r="U55" i="9"/>
  <c r="P56" i="9"/>
  <c r="S56" i="9"/>
  <c r="T56" i="9"/>
  <c r="U56" i="9"/>
  <c r="W56" i="9"/>
  <c r="P57" i="9"/>
  <c r="S57" i="9"/>
  <c r="T57" i="9" s="1"/>
  <c r="P58" i="9"/>
  <c r="S58" i="9"/>
  <c r="T58" i="9" s="1"/>
  <c r="P59" i="9"/>
  <c r="S59" i="9"/>
  <c r="T59" i="9"/>
  <c r="U59" i="9"/>
  <c r="P60" i="9"/>
  <c r="S60" i="9"/>
  <c r="T60" i="9"/>
  <c r="P61" i="9"/>
  <c r="S61" i="9"/>
  <c r="T61" i="9" s="1"/>
  <c r="P62" i="9"/>
  <c r="S62" i="9"/>
  <c r="T62" i="9"/>
  <c r="P63" i="9"/>
  <c r="S63" i="9"/>
  <c r="T63" i="9"/>
  <c r="AG63" i="9"/>
  <c r="P64" i="9"/>
  <c r="S64" i="9"/>
  <c r="T64" i="9" s="1"/>
  <c r="AG64" i="9"/>
  <c r="P65" i="9"/>
  <c r="S65" i="9"/>
  <c r="T65" i="9"/>
  <c r="U65" i="9"/>
  <c r="AG65" i="9"/>
  <c r="P66" i="9"/>
  <c r="S66" i="9"/>
  <c r="T66" i="9" s="1"/>
  <c r="O67" i="9"/>
  <c r="P67" i="9"/>
  <c r="S67" i="9"/>
  <c r="T67" i="9"/>
  <c r="U67" i="9"/>
  <c r="P68" i="9"/>
  <c r="S68" i="9"/>
  <c r="T68" i="9"/>
  <c r="P69" i="9"/>
  <c r="S69" i="9"/>
  <c r="T69" i="9"/>
  <c r="U69" i="9"/>
  <c r="AG69" i="9"/>
  <c r="P70" i="9"/>
  <c r="S70" i="9"/>
  <c r="T70" i="9"/>
  <c r="U70" i="9"/>
  <c r="P71" i="9"/>
  <c r="S71" i="9"/>
  <c r="T71" i="9"/>
  <c r="U71" i="9"/>
  <c r="P72" i="9"/>
  <c r="S72" i="9"/>
  <c r="T72" i="9"/>
  <c r="AG72" i="9"/>
  <c r="P73" i="9"/>
  <c r="S73" i="9"/>
  <c r="T73" i="9"/>
  <c r="U73" i="9"/>
  <c r="AG73" i="9"/>
  <c r="P74" i="9"/>
  <c r="S74" i="9"/>
  <c r="T74" i="9"/>
  <c r="U74" i="9"/>
  <c r="P75" i="9"/>
  <c r="S75" i="9"/>
  <c r="T75" i="9"/>
  <c r="U75" i="9" s="1"/>
  <c r="AG75" i="9"/>
  <c r="P76" i="9"/>
  <c r="S76" i="9"/>
  <c r="T76" i="9"/>
  <c r="W76" i="9"/>
  <c r="Y76" i="9" s="1"/>
  <c r="P77" i="9"/>
  <c r="S77" i="9"/>
  <c r="T77" i="9" s="1"/>
  <c r="P78" i="9"/>
  <c r="S78" i="9"/>
  <c r="T78" i="9" s="1"/>
  <c r="U78" i="9"/>
  <c r="P79" i="9"/>
  <c r="S79" i="9"/>
  <c r="T79" i="9"/>
  <c r="U79" i="9"/>
  <c r="P80" i="9"/>
  <c r="S80" i="9"/>
  <c r="T80" i="9" s="1"/>
  <c r="P81" i="9"/>
  <c r="S81" i="9"/>
  <c r="T81" i="9"/>
  <c r="P82" i="9"/>
  <c r="S82" i="9"/>
  <c r="T82" i="9"/>
  <c r="P83" i="9"/>
  <c r="S83" i="9"/>
  <c r="T83" i="9"/>
  <c r="P84" i="9"/>
  <c r="U84" i="9" s="1"/>
  <c r="S84" i="9"/>
  <c r="T84" i="9" s="1"/>
  <c r="P85" i="9"/>
  <c r="S85" i="9"/>
  <c r="T85" i="9"/>
  <c r="U85" i="9"/>
  <c r="P86" i="9"/>
  <c r="U86" i="9" s="1"/>
  <c r="S86" i="9"/>
  <c r="T86" i="9" s="1"/>
  <c r="P87" i="9"/>
  <c r="S87" i="9"/>
  <c r="T87" i="9" s="1"/>
  <c r="P88" i="9"/>
  <c r="S88" i="9"/>
  <c r="T88" i="9"/>
  <c r="P89" i="9"/>
  <c r="S89" i="9"/>
  <c r="T89" i="9" s="1"/>
  <c r="P90" i="9"/>
  <c r="U90" i="9" s="1"/>
  <c r="S90" i="9"/>
  <c r="T90" i="9" s="1"/>
  <c r="P91" i="9"/>
  <c r="S91" i="9"/>
  <c r="T91" i="9"/>
  <c r="P92" i="9"/>
  <c r="S92" i="9"/>
  <c r="T92" i="9" s="1"/>
  <c r="W92" i="9"/>
  <c r="P93" i="9"/>
  <c r="S93" i="9"/>
  <c r="T93" i="9" s="1"/>
  <c r="P94" i="9"/>
  <c r="S94" i="9"/>
  <c r="T94" i="9"/>
  <c r="U94" i="9"/>
  <c r="P95" i="9"/>
  <c r="S95" i="9"/>
  <c r="T95" i="9"/>
  <c r="U95" i="9" s="1"/>
  <c r="P96" i="9"/>
  <c r="S96" i="9"/>
  <c r="T96" i="9"/>
  <c r="U96" i="9"/>
  <c r="P97" i="9"/>
  <c r="S97" i="9"/>
  <c r="T97" i="9"/>
  <c r="U97" i="9"/>
  <c r="P98" i="9"/>
  <c r="S98" i="9"/>
  <c r="T98" i="9"/>
  <c r="P99" i="9"/>
  <c r="U99" i="9" s="1"/>
  <c r="S99" i="9"/>
  <c r="T99" i="9" s="1"/>
  <c r="P100" i="9"/>
  <c r="S100" i="9"/>
  <c r="T100" i="9"/>
  <c r="U100" i="9"/>
  <c r="P101" i="9"/>
  <c r="S101" i="9"/>
  <c r="T101" i="9"/>
  <c r="P102" i="9"/>
  <c r="U102" i="9" s="1"/>
  <c r="S102" i="9"/>
  <c r="T102" i="9" s="1"/>
  <c r="P103" i="9"/>
  <c r="S103" i="9"/>
  <c r="T103" i="9"/>
  <c r="U103" i="9"/>
  <c r="P104" i="9"/>
  <c r="S104" i="9"/>
  <c r="T104" i="9" s="1"/>
  <c r="P105" i="9"/>
  <c r="U105" i="9" s="1"/>
  <c r="S105" i="9"/>
  <c r="T105" i="9"/>
  <c r="P106" i="9"/>
  <c r="S106" i="9"/>
  <c r="T106" i="9"/>
  <c r="P107" i="9"/>
  <c r="S107" i="9"/>
  <c r="T107" i="9"/>
  <c r="U107" i="9"/>
  <c r="P108" i="9"/>
  <c r="S108" i="9"/>
  <c r="T108" i="9"/>
  <c r="P109" i="9"/>
  <c r="S109" i="9"/>
  <c r="T109" i="9"/>
  <c r="P110" i="9"/>
  <c r="S110" i="9"/>
  <c r="T110" i="9"/>
  <c r="P139" i="9"/>
  <c r="S139" i="9"/>
  <c r="T139" i="9" s="1"/>
  <c r="P140" i="9"/>
  <c r="S140" i="9"/>
  <c r="T140" i="9" s="1"/>
  <c r="U140" i="9" s="1"/>
  <c r="P141" i="9"/>
  <c r="S141" i="9"/>
  <c r="T141" i="9" s="1"/>
  <c r="U141" i="9" s="1"/>
  <c r="P142" i="9"/>
  <c r="S142" i="9"/>
  <c r="T142" i="9"/>
  <c r="U142" i="9" s="1"/>
  <c r="P143" i="9"/>
  <c r="U143" i="9" s="1"/>
  <c r="S143" i="9"/>
  <c r="T143" i="9"/>
  <c r="P144" i="9"/>
  <c r="S144" i="9"/>
  <c r="T144" i="9"/>
  <c r="P145" i="9"/>
  <c r="S145" i="9"/>
  <c r="T145" i="9" s="1"/>
  <c r="P146" i="9"/>
  <c r="S146" i="9"/>
  <c r="T146" i="9"/>
  <c r="U146" i="9"/>
  <c r="P147" i="9"/>
  <c r="S147" i="9"/>
  <c r="T147" i="9" s="1"/>
  <c r="P148" i="9"/>
  <c r="S148" i="9"/>
  <c r="T148" i="9" s="1"/>
  <c r="W148" i="9"/>
  <c r="P149" i="9"/>
  <c r="S149" i="9"/>
  <c r="T149" i="9" s="1"/>
  <c r="P150" i="9"/>
  <c r="S150" i="9"/>
  <c r="T150" i="9"/>
  <c r="U150" i="9"/>
  <c r="P151" i="9"/>
  <c r="S151" i="9"/>
  <c r="T151" i="9" s="1"/>
  <c r="P152" i="9"/>
  <c r="S152" i="9"/>
  <c r="T152" i="9"/>
  <c r="U152" i="9"/>
  <c r="P153" i="9"/>
  <c r="S153" i="9"/>
  <c r="T153" i="9" s="1"/>
  <c r="U153" i="9" s="1"/>
  <c r="P154" i="9"/>
  <c r="S154" i="9"/>
  <c r="T154" i="9"/>
  <c r="U154" i="9" s="1"/>
  <c r="P155" i="9"/>
  <c r="U155" i="9" s="1"/>
  <c r="S155" i="9"/>
  <c r="T155" i="9"/>
  <c r="P156" i="9"/>
  <c r="S156" i="9"/>
  <c r="T156" i="9" s="1"/>
  <c r="P157" i="9"/>
  <c r="S157" i="9"/>
  <c r="T157" i="9" s="1"/>
  <c r="P158" i="9"/>
  <c r="S158" i="9"/>
  <c r="T158" i="9"/>
  <c r="U158" i="9"/>
  <c r="P159" i="9"/>
  <c r="S159" i="9"/>
  <c r="T159" i="9" s="1"/>
  <c r="P160" i="9"/>
  <c r="S160" i="9"/>
  <c r="T160" i="9"/>
  <c r="P161" i="9"/>
  <c r="S161" i="9"/>
  <c r="T161" i="9"/>
  <c r="P162" i="9"/>
  <c r="S162" i="9"/>
  <c r="T162" i="9" s="1"/>
  <c r="P163" i="9"/>
  <c r="S163" i="9"/>
  <c r="T163" i="9" s="1"/>
  <c r="P164" i="9"/>
  <c r="S164" i="9"/>
  <c r="T164" i="9" s="1"/>
  <c r="U164" i="9"/>
  <c r="W164" i="9"/>
  <c r="Y164" i="9" s="1"/>
  <c r="P165" i="9"/>
  <c r="S165" i="9"/>
  <c r="T165" i="9" s="1"/>
  <c r="U165" i="9"/>
  <c r="P166" i="9"/>
  <c r="S166" i="9"/>
  <c r="T166" i="9"/>
  <c r="U166" i="9"/>
  <c r="P167" i="9"/>
  <c r="S167" i="9"/>
  <c r="T167" i="9" s="1"/>
  <c r="P168" i="9"/>
  <c r="S168" i="9"/>
  <c r="T168" i="9" s="1"/>
  <c r="P169" i="9"/>
  <c r="U169" i="9" s="1"/>
  <c r="S169" i="9"/>
  <c r="T169" i="9" s="1"/>
  <c r="P170" i="9"/>
  <c r="S170" i="9"/>
  <c r="T170" i="9"/>
  <c r="U170" i="9"/>
  <c r="P171" i="9"/>
  <c r="S171" i="9"/>
  <c r="T171" i="9"/>
  <c r="U171" i="9"/>
  <c r="P172" i="9"/>
  <c r="S172" i="9"/>
  <c r="T172" i="9"/>
  <c r="P173" i="9"/>
  <c r="S173" i="9"/>
  <c r="T173" i="9"/>
  <c r="P174" i="9"/>
  <c r="S174" i="9"/>
  <c r="T174" i="9" s="1"/>
  <c r="P175" i="9"/>
  <c r="S175" i="9"/>
  <c r="T175" i="9" s="1"/>
  <c r="P176" i="9"/>
  <c r="S176" i="9"/>
  <c r="T176" i="9"/>
  <c r="U176" i="9" s="1"/>
  <c r="P177" i="9"/>
  <c r="S177" i="9"/>
  <c r="T177" i="9" s="1"/>
  <c r="U177" i="9" s="1"/>
  <c r="P178" i="9"/>
  <c r="S178" i="9"/>
  <c r="T178" i="9"/>
  <c r="P179" i="9"/>
  <c r="S179" i="9"/>
  <c r="T179" i="9"/>
  <c r="W179" i="9"/>
  <c r="P180" i="9"/>
  <c r="S180" i="9"/>
  <c r="T180" i="9" s="1"/>
  <c r="P181" i="9"/>
  <c r="S181" i="9"/>
  <c r="T181" i="9"/>
  <c r="P182" i="9"/>
  <c r="S182" i="9"/>
  <c r="T182" i="9" s="1"/>
  <c r="P183" i="9"/>
  <c r="S183" i="9"/>
  <c r="T183" i="9"/>
  <c r="U183" i="9"/>
  <c r="W183" i="9"/>
  <c r="Y183" i="9" s="1"/>
  <c r="P184" i="9"/>
  <c r="S184" i="9"/>
  <c r="T184" i="9"/>
  <c r="P185" i="9"/>
  <c r="S185" i="9"/>
  <c r="T185" i="9"/>
  <c r="P186" i="9"/>
  <c r="U186" i="9" s="1"/>
  <c r="S186" i="9"/>
  <c r="T186" i="9"/>
  <c r="P187" i="9"/>
  <c r="S187" i="9"/>
  <c r="T187" i="9" s="1"/>
  <c r="P188" i="9"/>
  <c r="S188" i="9"/>
  <c r="T188" i="9"/>
  <c r="P189" i="9"/>
  <c r="S189" i="9"/>
  <c r="T189" i="9"/>
  <c r="P190" i="9"/>
  <c r="U190" i="9" s="1"/>
  <c r="S190" i="9"/>
  <c r="T190" i="9"/>
  <c r="P191" i="9"/>
  <c r="S191" i="9"/>
  <c r="T191" i="9" s="1"/>
  <c r="P192" i="9"/>
  <c r="S192" i="9"/>
  <c r="T192" i="9"/>
  <c r="U192" i="9"/>
  <c r="P193" i="9"/>
  <c r="S193" i="9"/>
  <c r="T193" i="9"/>
  <c r="P194" i="9"/>
  <c r="U194" i="9" s="1"/>
  <c r="S194" i="9"/>
  <c r="T194" i="9"/>
  <c r="W194" i="9"/>
  <c r="Y194" i="9"/>
  <c r="P195" i="9"/>
  <c r="S195" i="9"/>
  <c r="T195" i="9" s="1"/>
  <c r="P196" i="9"/>
  <c r="S196" i="9"/>
  <c r="T196" i="9"/>
  <c r="P197" i="9"/>
  <c r="S197" i="9"/>
  <c r="T197" i="9"/>
  <c r="P198" i="9"/>
  <c r="U198" i="9" s="1"/>
  <c r="S198" i="9"/>
  <c r="T198" i="9"/>
  <c r="P199" i="9"/>
  <c r="S199" i="9"/>
  <c r="T199" i="9" s="1"/>
  <c r="U199" i="9"/>
  <c r="P200" i="9"/>
  <c r="S200" i="9"/>
  <c r="T200" i="9"/>
  <c r="U200" i="9"/>
  <c r="P201" i="9"/>
  <c r="S201" i="9"/>
  <c r="T201" i="9"/>
  <c r="P202" i="9"/>
  <c r="U202" i="9" s="1"/>
  <c r="S202" i="9"/>
  <c r="T202" i="9"/>
  <c r="P203" i="9"/>
  <c r="S203" i="9"/>
  <c r="T203" i="9" s="1"/>
  <c r="U203" i="9"/>
  <c r="P204" i="9"/>
  <c r="U204" i="9" s="1"/>
  <c r="S204" i="9"/>
  <c r="T204" i="9"/>
  <c r="P205" i="9"/>
  <c r="S205" i="9"/>
  <c r="T205" i="9"/>
  <c r="P206" i="9"/>
  <c r="U206" i="9" s="1"/>
  <c r="S206" i="9"/>
  <c r="T206" i="9"/>
  <c r="P207" i="9"/>
  <c r="S207" i="9"/>
  <c r="T207" i="9" s="1"/>
  <c r="P208" i="9"/>
  <c r="S208" i="9"/>
  <c r="T208" i="9"/>
  <c r="P209" i="9"/>
  <c r="S209" i="9"/>
  <c r="T209" i="9"/>
  <c r="P210" i="9"/>
  <c r="U210" i="9" s="1"/>
  <c r="S210" i="9"/>
  <c r="T210" i="9"/>
  <c r="P211" i="9"/>
  <c r="S211" i="9"/>
  <c r="T211" i="9" s="1"/>
  <c r="U211" i="9"/>
  <c r="P212" i="9"/>
  <c r="S212" i="9"/>
  <c r="T212" i="9"/>
  <c r="U212" i="9"/>
  <c r="W212" i="9"/>
  <c r="P213" i="9"/>
  <c r="S213" i="9"/>
  <c r="T213" i="9"/>
  <c r="P214" i="9"/>
  <c r="U214" i="9" s="1"/>
  <c r="S214" i="9"/>
  <c r="T214" i="9"/>
  <c r="P215" i="9"/>
  <c r="S215" i="9"/>
  <c r="T215" i="9" s="1"/>
  <c r="U215" i="9"/>
  <c r="P216" i="9"/>
  <c r="U216" i="9" s="1"/>
  <c r="S216" i="9"/>
  <c r="T216" i="9"/>
  <c r="W216" i="9"/>
  <c r="P217" i="9"/>
  <c r="S217" i="9"/>
  <c r="T217" i="9"/>
  <c r="P218" i="9"/>
  <c r="U218" i="9" s="1"/>
  <c r="S218" i="9"/>
  <c r="T218" i="9"/>
  <c r="P219" i="9"/>
  <c r="S219" i="9"/>
  <c r="T219" i="9" s="1"/>
  <c r="P220" i="9"/>
  <c r="S220" i="9"/>
  <c r="T220" i="9"/>
  <c r="P221" i="9"/>
  <c r="S221" i="9"/>
  <c r="T221" i="9"/>
  <c r="P222" i="9"/>
  <c r="S222" i="9"/>
  <c r="T222" i="9"/>
  <c r="U222" i="9"/>
  <c r="P223" i="9"/>
  <c r="S223" i="9"/>
  <c r="T223" i="9" s="1"/>
  <c r="P224" i="9"/>
  <c r="S224" i="9"/>
  <c r="T224" i="9"/>
  <c r="U224" i="9"/>
  <c r="P225" i="9"/>
  <c r="S225" i="9"/>
  <c r="T225" i="9"/>
  <c r="P226" i="9"/>
  <c r="S226" i="9"/>
  <c r="T226" i="9"/>
  <c r="U226" i="9"/>
  <c r="P227" i="9"/>
  <c r="S227" i="9"/>
  <c r="T227" i="9" s="1"/>
  <c r="U227" i="9"/>
  <c r="P228" i="9"/>
  <c r="S228" i="9"/>
  <c r="T228" i="9"/>
  <c r="U228" i="9"/>
  <c r="P229" i="9"/>
  <c r="S229" i="9"/>
  <c r="T229" i="9"/>
  <c r="P230" i="9"/>
  <c r="S230" i="9"/>
  <c r="T230" i="9"/>
  <c r="U230" i="9"/>
  <c r="P231" i="9"/>
  <c r="S231" i="9"/>
  <c r="T231" i="9" s="1"/>
  <c r="U231" i="9" s="1"/>
  <c r="P232" i="9"/>
  <c r="S232" i="9"/>
  <c r="T232" i="9" s="1"/>
  <c r="P233" i="9"/>
  <c r="S233" i="9"/>
  <c r="T233" i="9"/>
  <c r="P234" i="9"/>
  <c r="S234" i="9"/>
  <c r="T234" i="9"/>
  <c r="U234" i="9"/>
  <c r="P235" i="9"/>
  <c r="P236" i="9"/>
  <c r="J37" i="8"/>
  <c r="M79" i="8"/>
  <c r="I79" i="8"/>
  <c r="M78" i="8"/>
  <c r="M77" i="8"/>
  <c r="I77" i="8"/>
  <c r="M76" i="8"/>
  <c r="M72" i="8"/>
  <c r="M71" i="8"/>
  <c r="M69" i="8"/>
  <c r="M68" i="8"/>
  <c r="M65" i="8"/>
  <c r="M64" i="8"/>
  <c r="M58" i="8"/>
  <c r="M57" i="8"/>
  <c r="M56" i="8"/>
  <c r="M54" i="8"/>
  <c r="M53" i="8"/>
  <c r="M52" i="8"/>
  <c r="M49" i="8"/>
  <c r="M43" i="8"/>
  <c r="M42" i="8"/>
  <c r="M41" i="8"/>
  <c r="M40" i="8"/>
  <c r="M39" i="8"/>
  <c r="M38" i="8"/>
  <c r="M37" i="8"/>
  <c r="I37" i="8"/>
  <c r="M36" i="8"/>
  <c r="M34" i="8"/>
  <c r="M33" i="8"/>
  <c r="M32" i="8"/>
  <c r="M31" i="8"/>
  <c r="M30" i="8"/>
  <c r="M29" i="8"/>
  <c r="M26" i="8"/>
  <c r="M25" i="8"/>
  <c r="M20" i="8"/>
  <c r="M18" i="8"/>
  <c r="M17" i="8"/>
  <c r="M15" i="8"/>
  <c r="M14" i="8"/>
  <c r="M13" i="8"/>
  <c r="V12" i="8"/>
  <c r="M105" i="8" s="1"/>
  <c r="U12" i="8"/>
  <c r="M104" i="8" s="1"/>
  <c r="T12" i="8"/>
  <c r="M103" i="8" s="1"/>
  <c r="S12" i="8"/>
  <c r="M102" i="8" s="1"/>
  <c r="R12" i="8"/>
  <c r="M101" i="8" s="1"/>
  <c r="M11" i="8"/>
  <c r="M10" i="8"/>
  <c r="M9" i="8"/>
  <c r="M7" i="8"/>
  <c r="M6" i="8"/>
  <c r="W200" i="9" l="1"/>
  <c r="W170" i="9"/>
  <c r="Y170" i="9" s="1"/>
  <c r="W154" i="9"/>
  <c r="Y154" i="9" s="1"/>
  <c r="W150" i="9"/>
  <c r="W102" i="9"/>
  <c r="Y102" i="9" s="1"/>
  <c r="W233" i="9"/>
  <c r="W229" i="9"/>
  <c r="W109" i="9"/>
  <c r="W82" i="9"/>
  <c r="W63" i="9"/>
  <c r="Y63" i="9" s="1"/>
  <c r="W196" i="9"/>
  <c r="Y196" i="9" s="1"/>
  <c r="W78" i="9"/>
  <c r="Y78" i="9" s="1"/>
  <c r="W43" i="9"/>
  <c r="Y43" i="9" s="1"/>
  <c r="W11" i="9"/>
  <c r="Y11" i="9" s="1"/>
  <c r="W208" i="9"/>
  <c r="W190" i="9"/>
  <c r="Y190" i="9" s="1"/>
  <c r="W166" i="9"/>
  <c r="Y166" i="9" s="1"/>
  <c r="W87" i="9"/>
  <c r="W90" i="9"/>
  <c r="W192" i="9"/>
  <c r="Y192" i="9" s="1"/>
  <c r="W157" i="9"/>
  <c r="Y157" i="9" s="1"/>
  <c r="W34" i="9"/>
  <c r="Y34" i="9" s="1"/>
  <c r="W140" i="9"/>
  <c r="Y140" i="9" s="1"/>
  <c r="W204" i="9"/>
  <c r="Y204" i="9" s="1"/>
  <c r="W186" i="9"/>
  <c r="Y186" i="9" s="1"/>
  <c r="W32" i="9"/>
  <c r="W161" i="9"/>
  <c r="Y161" i="9" s="1"/>
  <c r="W114" i="9"/>
  <c r="W225" i="9"/>
  <c r="W177" i="9"/>
  <c r="Y177" i="9" s="1"/>
  <c r="W129" i="9"/>
  <c r="W100" i="9"/>
  <c r="Y100" i="9" s="1"/>
  <c r="W49" i="9"/>
  <c r="W37" i="9"/>
  <c r="Y37" i="9" s="1"/>
  <c r="U115" i="9"/>
  <c r="Y90" i="9"/>
  <c r="U114" i="9"/>
  <c r="W175" i="9"/>
  <c r="W143" i="9"/>
  <c r="W80" i="9"/>
  <c r="Y80" i="9" s="1"/>
  <c r="W30" i="9"/>
  <c r="Y30" i="9" s="1"/>
  <c r="Y143" i="9"/>
  <c r="Y233" i="9"/>
  <c r="U119" i="9"/>
  <c r="V164" i="9"/>
  <c r="X164" i="9" s="1"/>
  <c r="Z164" i="9" s="1"/>
  <c r="AA164" i="9" s="1"/>
  <c r="V76" i="9"/>
  <c r="X76" i="9" s="1"/>
  <c r="Z76" i="9" s="1"/>
  <c r="AA76" i="9" s="1"/>
  <c r="Y229" i="9"/>
  <c r="V223" i="9"/>
  <c r="X223" i="9" s="1"/>
  <c r="V177" i="9"/>
  <c r="V143" i="9"/>
  <c r="V100" i="9"/>
  <c r="X100" i="9" s="1"/>
  <c r="V37" i="9"/>
  <c r="X37" i="9" s="1"/>
  <c r="W12" i="9"/>
  <c r="Y12" i="9" s="1"/>
  <c r="W126" i="9"/>
  <c r="Y126" i="9" s="1"/>
  <c r="W25" i="9"/>
  <c r="Y25" i="9" s="1"/>
  <c r="W59" i="9"/>
  <c r="Y59" i="9" s="1"/>
  <c r="W95" i="9"/>
  <c r="Y95" i="9" s="1"/>
  <c r="W169" i="9"/>
  <c r="Y169" i="9" s="1"/>
  <c r="W182" i="9"/>
  <c r="Y182" i="9" s="1"/>
  <c r="W188" i="9"/>
  <c r="Y188" i="9" s="1"/>
  <c r="W221" i="9"/>
  <c r="W223" i="9"/>
  <c r="Y223" i="9" s="1"/>
  <c r="W227" i="9"/>
  <c r="Y227" i="9" s="1"/>
  <c r="W20" i="9"/>
  <c r="Y20" i="9" s="1"/>
  <c r="W86" i="9"/>
  <c r="Y86" i="9" s="1"/>
  <c r="W165" i="9"/>
  <c r="Y165" i="9" s="1"/>
  <c r="W226" i="9"/>
  <c r="Y226" i="9" s="1"/>
  <c r="W230" i="9"/>
  <c r="Y230" i="9" s="1"/>
  <c r="W234" i="9"/>
  <c r="Y234" i="9" s="1"/>
  <c r="W138" i="9"/>
  <c r="Y138" i="9" s="1"/>
  <c r="W121" i="9"/>
  <c r="Y121" i="9" s="1"/>
  <c r="Z121" i="9" s="1"/>
  <c r="W119" i="9"/>
  <c r="Y119" i="9" s="1"/>
  <c r="W19" i="9"/>
  <c r="Y19" i="9" s="1"/>
  <c r="W23" i="9"/>
  <c r="Y23" i="9" s="1"/>
  <c r="W47" i="9"/>
  <c r="W50" i="9"/>
  <c r="Y50" i="9" s="1"/>
  <c r="W53" i="9"/>
  <c r="Y53" i="9" s="1"/>
  <c r="W55" i="9"/>
  <c r="Y55" i="9" s="1"/>
  <c r="W85" i="9"/>
  <c r="Y85" i="9" s="1"/>
  <c r="W93" i="9"/>
  <c r="Y93" i="9" s="1"/>
  <c r="W99" i="9"/>
  <c r="Y99" i="9" s="1"/>
  <c r="W151" i="9"/>
  <c r="Y151" i="9" s="1"/>
  <c r="W180" i="9"/>
  <c r="Y180" i="9" s="1"/>
  <c r="W184" i="9"/>
  <c r="Y184" i="9" s="1"/>
  <c r="W209" i="9"/>
  <c r="Y209" i="9" s="1"/>
  <c r="W211" i="9"/>
  <c r="Y211" i="9" s="1"/>
  <c r="W213" i="9"/>
  <c r="W217" i="9"/>
  <c r="Y217" i="9" s="1"/>
  <c r="W231" i="9"/>
  <c r="Y231" i="9" s="1"/>
  <c r="W127" i="9"/>
  <c r="Y127" i="9" s="1"/>
  <c r="W136" i="9"/>
  <c r="Y136" i="9" s="1"/>
  <c r="W117" i="9"/>
  <c r="Y117" i="9" s="1"/>
  <c r="W14" i="9"/>
  <c r="Y14" i="9" s="1"/>
  <c r="W31" i="9"/>
  <c r="Y31" i="9" s="1"/>
  <c r="W35" i="9"/>
  <c r="Y35" i="9" s="1"/>
  <c r="W45" i="9"/>
  <c r="Y45" i="9" s="1"/>
  <c r="W57" i="9"/>
  <c r="Y57" i="9" s="1"/>
  <c r="W64" i="9"/>
  <c r="Y64" i="9" s="1"/>
  <c r="W66" i="9"/>
  <c r="Y66" i="9" s="1"/>
  <c r="W71" i="9"/>
  <c r="Y71" i="9" s="1"/>
  <c r="W83" i="9"/>
  <c r="Y83" i="9" s="1"/>
  <c r="W88" i="9"/>
  <c r="Y88" i="9" s="1"/>
  <c r="W106" i="9"/>
  <c r="Y106" i="9" s="1"/>
  <c r="W110" i="9"/>
  <c r="Y110" i="9" s="1"/>
  <c r="W146" i="9"/>
  <c r="Y146" i="9" s="1"/>
  <c r="W153" i="9"/>
  <c r="Y153" i="9" s="1"/>
  <c r="W155" i="9"/>
  <c r="Y155" i="9" s="1"/>
  <c r="W162" i="9"/>
  <c r="Y162" i="9" s="1"/>
  <c r="W197" i="9"/>
  <c r="Y197" i="9" s="1"/>
  <c r="W199" i="9"/>
  <c r="Y199" i="9" s="1"/>
  <c r="W201" i="9"/>
  <c r="Y201" i="9" s="1"/>
  <c r="W205" i="9"/>
  <c r="W215" i="9"/>
  <c r="Y215" i="9" s="1"/>
  <c r="W219" i="9"/>
  <c r="Y219" i="9" s="1"/>
  <c r="W113" i="9"/>
  <c r="Y113" i="9" s="1"/>
  <c r="W10" i="9"/>
  <c r="Y10" i="9" s="1"/>
  <c r="W75" i="9"/>
  <c r="Y75" i="9" s="1"/>
  <c r="W189" i="9"/>
  <c r="Y189" i="9" s="1"/>
  <c r="W134" i="9"/>
  <c r="Y134" i="9" s="1"/>
  <c r="W124" i="9"/>
  <c r="Y124" i="9" s="1"/>
  <c r="W17" i="9"/>
  <c r="Y17" i="9" s="1"/>
  <c r="W38" i="9"/>
  <c r="Y38" i="9" s="1"/>
  <c r="W41" i="9"/>
  <c r="Y41" i="9" s="1"/>
  <c r="W62" i="9"/>
  <c r="Y62" i="9" s="1"/>
  <c r="W97" i="9"/>
  <c r="Y97" i="9" s="1"/>
  <c r="W104" i="9"/>
  <c r="Y104" i="9" s="1"/>
  <c r="W108" i="9"/>
  <c r="Y108" i="9" s="1"/>
  <c r="W149" i="9"/>
  <c r="Y149" i="9" s="1"/>
  <c r="W171" i="9"/>
  <c r="Y171" i="9" s="1"/>
  <c r="W173" i="9"/>
  <c r="Y173" i="9" s="1"/>
  <c r="W193" i="9"/>
  <c r="Y193" i="9" s="1"/>
  <c r="W203" i="9"/>
  <c r="Y203" i="9" s="1"/>
  <c r="W207" i="9"/>
  <c r="Y207" i="9" s="1"/>
  <c r="W77" i="9"/>
  <c r="Y77" i="9" s="1"/>
  <c r="W132" i="9"/>
  <c r="Y132" i="9" s="1"/>
  <c r="W130" i="9"/>
  <c r="Y130" i="9" s="1"/>
  <c r="W115" i="9"/>
  <c r="Y115" i="9" s="1"/>
  <c r="W26" i="9"/>
  <c r="Y26" i="9" s="1"/>
  <c r="W29" i="9"/>
  <c r="Y29" i="9" s="1"/>
  <c r="W33" i="9"/>
  <c r="Y33" i="9" s="1"/>
  <c r="W48" i="9"/>
  <c r="W68" i="9"/>
  <c r="Y68" i="9" s="1"/>
  <c r="W73" i="9"/>
  <c r="Y73" i="9" s="1"/>
  <c r="Z73" i="9" s="1"/>
  <c r="AA73" i="9" s="1"/>
  <c r="W81" i="9"/>
  <c r="Y81" i="9" s="1"/>
  <c r="W91" i="9"/>
  <c r="Y91" i="9" s="1"/>
  <c r="W101" i="9"/>
  <c r="Y101" i="9" s="1"/>
  <c r="W142" i="9"/>
  <c r="Y142" i="9" s="1"/>
  <c r="W144" i="9"/>
  <c r="Y144" i="9" s="1"/>
  <c r="W158" i="9"/>
  <c r="Y158" i="9" s="1"/>
  <c r="W160" i="9"/>
  <c r="Y160" i="9" s="1"/>
  <c r="Z160" i="9" s="1"/>
  <c r="AA160" i="9" s="1"/>
  <c r="W167" i="9"/>
  <c r="Y167" i="9" s="1"/>
  <c r="W176" i="9"/>
  <c r="Y176" i="9" s="1"/>
  <c r="W178" i="9"/>
  <c r="Y178" i="9" s="1"/>
  <c r="W191" i="9"/>
  <c r="Y191" i="9" s="1"/>
  <c r="Z191" i="9" s="1"/>
  <c r="AA191" i="9" s="1"/>
  <c r="W195" i="9"/>
  <c r="Y195" i="9" s="1"/>
  <c r="W111" i="9"/>
  <c r="Y111" i="9" s="1"/>
  <c r="W51" i="9"/>
  <c r="Y51" i="9" s="1"/>
  <c r="W54" i="9"/>
  <c r="Y54" i="9" s="1"/>
  <c r="W58" i="9"/>
  <c r="W60" i="9"/>
  <c r="Y60" i="9" s="1"/>
  <c r="W79" i="9"/>
  <c r="Y79" i="9" s="1"/>
  <c r="W84" i="9"/>
  <c r="Y84" i="9" s="1"/>
  <c r="W89" i="9"/>
  <c r="Y89" i="9" s="1"/>
  <c r="W139" i="9"/>
  <c r="Y139" i="9" s="1"/>
  <c r="W156" i="9"/>
  <c r="Y156" i="9" s="1"/>
  <c r="W163" i="9"/>
  <c r="Y163" i="9" s="1"/>
  <c r="W181" i="9"/>
  <c r="Y181" i="9" s="1"/>
  <c r="W185" i="9"/>
  <c r="Y185" i="9" s="1"/>
  <c r="W210" i="9"/>
  <c r="Y210" i="9" s="1"/>
  <c r="W214" i="9"/>
  <c r="Y214" i="9" s="1"/>
  <c r="W218" i="9"/>
  <c r="Y218" i="9" s="1"/>
  <c r="W222" i="9"/>
  <c r="Y222" i="9" s="1"/>
  <c r="W224" i="9"/>
  <c r="Y224" i="9" s="1"/>
  <c r="W228" i="9"/>
  <c r="Y228" i="9" s="1"/>
  <c r="W232" i="9"/>
  <c r="Y232" i="9" s="1"/>
  <c r="W27" i="9"/>
  <c r="Y27" i="9" s="1"/>
  <c r="W103" i="9"/>
  <c r="Y103" i="9" s="1"/>
  <c r="W145" i="9"/>
  <c r="Y145" i="9" s="1"/>
  <c r="W152" i="9"/>
  <c r="Y152" i="9" s="1"/>
  <c r="W168" i="9"/>
  <c r="Y168" i="9" s="1"/>
  <c r="W137" i="9"/>
  <c r="Y137" i="9" s="1"/>
  <c r="W125" i="9"/>
  <c r="Y125" i="9" s="1"/>
  <c r="W122" i="9"/>
  <c r="Y122" i="9" s="1"/>
  <c r="W120" i="9"/>
  <c r="Y120" i="9" s="1"/>
  <c r="W118" i="9"/>
  <c r="Y118" i="9" s="1"/>
  <c r="W15" i="9"/>
  <c r="Y15" i="9" s="1"/>
  <c r="W22" i="9"/>
  <c r="Y22" i="9" s="1"/>
  <c r="W24" i="9"/>
  <c r="Y24" i="9" s="1"/>
  <c r="W36" i="9"/>
  <c r="W39" i="9"/>
  <c r="Y39" i="9" s="1"/>
  <c r="W42" i="9"/>
  <c r="Y42" i="9" s="1"/>
  <c r="W44" i="9"/>
  <c r="Y44" i="9" s="1"/>
  <c r="W70" i="9"/>
  <c r="Y70" i="9" s="1"/>
  <c r="W94" i="9"/>
  <c r="Y94" i="9" s="1"/>
  <c r="W96" i="9"/>
  <c r="Y96" i="9" s="1"/>
  <c r="W141" i="9"/>
  <c r="Y141" i="9" s="1"/>
  <c r="W147" i="9"/>
  <c r="Y147" i="9" s="1"/>
  <c r="W174" i="9"/>
  <c r="Y174" i="9" s="1"/>
  <c r="W187" i="9"/>
  <c r="Y187" i="9" s="1"/>
  <c r="W198" i="9"/>
  <c r="Y198" i="9" s="1"/>
  <c r="W202" i="9"/>
  <c r="Y202" i="9" s="1"/>
  <c r="W206" i="9"/>
  <c r="Y206" i="9" s="1"/>
  <c r="W220" i="9"/>
  <c r="Y220" i="9" s="1"/>
  <c r="W46" i="9"/>
  <c r="W72" i="9"/>
  <c r="Y72" i="9" s="1"/>
  <c r="W105" i="9"/>
  <c r="Y105" i="9" s="1"/>
  <c r="Z105" i="9" s="1"/>
  <c r="AA105" i="9" s="1"/>
  <c r="V16" i="9"/>
  <c r="V133" i="9"/>
  <c r="X133" i="9" s="1"/>
  <c r="V123" i="9"/>
  <c r="X123" i="9" s="1"/>
  <c r="Z123" i="9" s="1"/>
  <c r="V114" i="9"/>
  <c r="X114" i="9" s="1"/>
  <c r="V23" i="9"/>
  <c r="X23" i="9" s="1"/>
  <c r="V47" i="9"/>
  <c r="X47" i="9" s="1"/>
  <c r="V55" i="9"/>
  <c r="X55" i="9" s="1"/>
  <c r="V85" i="9"/>
  <c r="X85" i="9" s="1"/>
  <c r="V93" i="9"/>
  <c r="V99" i="9"/>
  <c r="X99" i="9" s="1"/>
  <c r="V151" i="9"/>
  <c r="X151" i="9" s="1"/>
  <c r="V180" i="9"/>
  <c r="X180" i="9" s="1"/>
  <c r="V184" i="9"/>
  <c r="X184" i="9" s="1"/>
  <c r="V209" i="9"/>
  <c r="X209" i="9" s="1"/>
  <c r="V211" i="9"/>
  <c r="X211" i="9" s="1"/>
  <c r="V213" i="9"/>
  <c r="X213" i="9" s="1"/>
  <c r="Z213" i="9" s="1"/>
  <c r="AA213" i="9" s="1"/>
  <c r="V217" i="9"/>
  <c r="X217" i="9" s="1"/>
  <c r="Z217" i="9" s="1"/>
  <c r="AA217" i="9" s="1"/>
  <c r="V231" i="9"/>
  <c r="X231" i="9" s="1"/>
  <c r="V58" i="9"/>
  <c r="V79" i="9"/>
  <c r="X79" i="9" s="1"/>
  <c r="V139" i="9"/>
  <c r="X139" i="9" s="1"/>
  <c r="Z139" i="9" s="1"/>
  <c r="AA139" i="9" s="1"/>
  <c r="V181" i="9"/>
  <c r="X181" i="9" s="1"/>
  <c r="V214" i="9"/>
  <c r="X214" i="9" s="1"/>
  <c r="V218" i="9"/>
  <c r="X218" i="9" s="1"/>
  <c r="V222" i="9"/>
  <c r="X222" i="9" s="1"/>
  <c r="V126" i="9"/>
  <c r="X126" i="9" s="1"/>
  <c r="V14" i="9"/>
  <c r="V31" i="9"/>
  <c r="X31" i="9" s="1"/>
  <c r="V45" i="9"/>
  <c r="X45" i="9" s="1"/>
  <c r="V57" i="9"/>
  <c r="X57" i="9" s="1"/>
  <c r="V64" i="9"/>
  <c r="X64" i="9" s="1"/>
  <c r="V66" i="9"/>
  <c r="X66" i="9" s="1"/>
  <c r="V71" i="9"/>
  <c r="X71" i="9" s="1"/>
  <c r="V83" i="9"/>
  <c r="V88" i="9"/>
  <c r="X88" i="9" s="1"/>
  <c r="V106" i="9"/>
  <c r="X106" i="9" s="1"/>
  <c r="V110" i="9"/>
  <c r="V146" i="9"/>
  <c r="X146" i="9" s="1"/>
  <c r="V153" i="9"/>
  <c r="X153" i="9" s="1"/>
  <c r="V155" i="9"/>
  <c r="X155" i="9" s="1"/>
  <c r="V162" i="9"/>
  <c r="X162" i="9" s="1"/>
  <c r="V197" i="9"/>
  <c r="X197" i="9" s="1"/>
  <c r="V199" i="9"/>
  <c r="X199" i="9" s="1"/>
  <c r="V201" i="9"/>
  <c r="X201" i="9" s="1"/>
  <c r="V205" i="9"/>
  <c r="X205" i="9" s="1"/>
  <c r="Z205" i="9" s="1"/>
  <c r="AA205" i="9" s="1"/>
  <c r="V215" i="9"/>
  <c r="X215" i="9" s="1"/>
  <c r="V219" i="9"/>
  <c r="X219" i="9" s="1"/>
  <c r="V138" i="9"/>
  <c r="X138" i="9" s="1"/>
  <c r="V121" i="9"/>
  <c r="X121" i="9" s="1"/>
  <c r="V119" i="9"/>
  <c r="X119" i="9" s="1"/>
  <c r="Z119" i="9" s="1"/>
  <c r="V17" i="9"/>
  <c r="X17" i="9" s="1"/>
  <c r="V62" i="9"/>
  <c r="X62" i="9" s="1"/>
  <c r="V97" i="9"/>
  <c r="X97" i="9" s="1"/>
  <c r="V104" i="9"/>
  <c r="X104" i="9" s="1"/>
  <c r="V108" i="9"/>
  <c r="V149" i="9"/>
  <c r="X149" i="9" s="1"/>
  <c r="Z149" i="9" s="1"/>
  <c r="AA149" i="9" s="1"/>
  <c r="V171" i="9"/>
  <c r="X171" i="9" s="1"/>
  <c r="V173" i="9"/>
  <c r="X173" i="9" s="1"/>
  <c r="V193" i="9"/>
  <c r="X193" i="9" s="1"/>
  <c r="V203" i="9"/>
  <c r="X203" i="9" s="1"/>
  <c r="V207" i="9"/>
  <c r="X207" i="9" s="1"/>
  <c r="V132" i="9"/>
  <c r="X132" i="9" s="1"/>
  <c r="V115" i="9"/>
  <c r="X115" i="9" s="1"/>
  <c r="Z115" i="9" s="1"/>
  <c r="V54" i="9"/>
  <c r="X54" i="9" s="1"/>
  <c r="V60" i="9"/>
  <c r="V84" i="9"/>
  <c r="X84" i="9" s="1"/>
  <c r="V156" i="9"/>
  <c r="X156" i="9" s="1"/>
  <c r="Z156" i="9" s="1"/>
  <c r="AA156" i="9" s="1"/>
  <c r="V163" i="9"/>
  <c r="X163" i="9" s="1"/>
  <c r="Z163" i="9" s="1"/>
  <c r="AA163" i="9" s="1"/>
  <c r="V185" i="9"/>
  <c r="X185" i="9" s="1"/>
  <c r="V224" i="9"/>
  <c r="X224" i="9" s="1"/>
  <c r="V228" i="9"/>
  <c r="X228" i="9" s="1"/>
  <c r="V232" i="9"/>
  <c r="X232" i="9" s="1"/>
  <c r="V92" i="9"/>
  <c r="X92" i="9" s="1"/>
  <c r="V136" i="9"/>
  <c r="X136" i="9" s="1"/>
  <c r="V117" i="9"/>
  <c r="X117" i="9" s="1"/>
  <c r="V26" i="9"/>
  <c r="X26" i="9" s="1"/>
  <c r="V33" i="9"/>
  <c r="X33" i="9" s="1"/>
  <c r="V48" i="9"/>
  <c r="X48" i="9" s="1"/>
  <c r="V68" i="9"/>
  <c r="X68" i="9" s="1"/>
  <c r="V73" i="9"/>
  <c r="X73" i="9" s="1"/>
  <c r="V81" i="9"/>
  <c r="X81" i="9" s="1"/>
  <c r="V91" i="9"/>
  <c r="X91" i="9" s="1"/>
  <c r="V101" i="9"/>
  <c r="X101" i="9" s="1"/>
  <c r="V142" i="9"/>
  <c r="X142" i="9" s="1"/>
  <c r="V144" i="9"/>
  <c r="V158" i="9"/>
  <c r="X158" i="9" s="1"/>
  <c r="V160" i="9"/>
  <c r="X160" i="9" s="1"/>
  <c r="V167" i="9"/>
  <c r="X167" i="9" s="1"/>
  <c r="V176" i="9"/>
  <c r="X176" i="9" s="1"/>
  <c r="V178" i="9"/>
  <c r="X178" i="9" s="1"/>
  <c r="V191" i="9"/>
  <c r="X191" i="9" s="1"/>
  <c r="V195" i="9"/>
  <c r="X195" i="9" s="1"/>
  <c r="V130" i="9"/>
  <c r="X130" i="9" s="1"/>
  <c r="V134" i="9"/>
  <c r="X134" i="9" s="1"/>
  <c r="V124" i="9"/>
  <c r="X124" i="9" s="1"/>
  <c r="Z124" i="9" s="1"/>
  <c r="V10" i="9"/>
  <c r="X10" i="9" s="1"/>
  <c r="V12" i="9"/>
  <c r="V20" i="9"/>
  <c r="X20" i="9" s="1"/>
  <c r="Z20" i="9" s="1"/>
  <c r="AA20" i="9" s="1"/>
  <c r="V51" i="9"/>
  <c r="X51" i="9" s="1"/>
  <c r="V75" i="9"/>
  <c r="X75" i="9" s="1"/>
  <c r="V77" i="9"/>
  <c r="X77" i="9" s="1"/>
  <c r="V86" i="9"/>
  <c r="X86" i="9" s="1"/>
  <c r="V165" i="9"/>
  <c r="X165" i="9" s="1"/>
  <c r="V189" i="9"/>
  <c r="V226" i="9"/>
  <c r="X226" i="9" s="1"/>
  <c r="V230" i="9"/>
  <c r="X230" i="9" s="1"/>
  <c r="V234" i="9"/>
  <c r="X234" i="9" s="1"/>
  <c r="V89" i="9"/>
  <c r="X89" i="9" s="1"/>
  <c r="V210" i="9"/>
  <c r="X210" i="9" s="1"/>
  <c r="V127" i="9"/>
  <c r="X127" i="9" s="1"/>
  <c r="V113" i="9"/>
  <c r="X113" i="9" s="1"/>
  <c r="V111" i="9"/>
  <c r="X111" i="9" s="1"/>
  <c r="V15" i="9"/>
  <c r="X15" i="9" s="1"/>
  <c r="Z15" i="9" s="1"/>
  <c r="AA15" i="9" s="1"/>
  <c r="V22" i="9"/>
  <c r="X22" i="9" s="1"/>
  <c r="V24" i="9"/>
  <c r="X24" i="9" s="1"/>
  <c r="V36" i="9"/>
  <c r="X36" i="9" s="1"/>
  <c r="Z36" i="9" s="1"/>
  <c r="AA36" i="9" s="1"/>
  <c r="V39" i="9"/>
  <c r="X39" i="9" s="1"/>
  <c r="Z39" i="9" s="1"/>
  <c r="AA39" i="9" s="1"/>
  <c r="V42" i="9"/>
  <c r="X42" i="9" s="1"/>
  <c r="V44" i="9"/>
  <c r="X44" i="9" s="1"/>
  <c r="V70" i="9"/>
  <c r="X70" i="9" s="1"/>
  <c r="V94" i="9"/>
  <c r="X94" i="9" s="1"/>
  <c r="V96" i="9"/>
  <c r="X96" i="9" s="1"/>
  <c r="Z96" i="9" s="1"/>
  <c r="AA96" i="9" s="1"/>
  <c r="V141" i="9"/>
  <c r="X141" i="9" s="1"/>
  <c r="V147" i="9"/>
  <c r="X147" i="9" s="1"/>
  <c r="V174" i="9"/>
  <c r="X174" i="9" s="1"/>
  <c r="V187" i="9"/>
  <c r="X187" i="9" s="1"/>
  <c r="V198" i="9"/>
  <c r="X198" i="9" s="1"/>
  <c r="Z198" i="9" s="1"/>
  <c r="AA198" i="9" s="1"/>
  <c r="V202" i="9"/>
  <c r="X202" i="9" s="1"/>
  <c r="V206" i="9"/>
  <c r="X206" i="9" s="1"/>
  <c r="Z206" i="9" s="1"/>
  <c r="AA206" i="9" s="1"/>
  <c r="V220" i="9"/>
  <c r="V122" i="9"/>
  <c r="X122" i="9" s="1"/>
  <c r="Z122" i="9" s="1"/>
  <c r="V32" i="9"/>
  <c r="X32" i="9" s="1"/>
  <c r="V49" i="9"/>
  <c r="V65" i="9"/>
  <c r="X65" i="9" s="1"/>
  <c r="V98" i="9"/>
  <c r="V107" i="9"/>
  <c r="X107" i="9" s="1"/>
  <c r="V109" i="9"/>
  <c r="X109" i="9" s="1"/>
  <c r="Z109" i="9" s="1"/>
  <c r="AA109" i="9" s="1"/>
  <c r="V172" i="9"/>
  <c r="X172" i="9" s="1"/>
  <c r="V27" i="9"/>
  <c r="X27" i="9" s="1"/>
  <c r="Z27" i="9" s="1"/>
  <c r="AA27" i="9" s="1"/>
  <c r="V46" i="9"/>
  <c r="X46" i="9" s="1"/>
  <c r="V72" i="9"/>
  <c r="X72" i="9" s="1"/>
  <c r="V103" i="9"/>
  <c r="X103" i="9" s="1"/>
  <c r="V105" i="9"/>
  <c r="X105" i="9" s="1"/>
  <c r="V145" i="9"/>
  <c r="X145" i="9" s="1"/>
  <c r="V152" i="9"/>
  <c r="X152" i="9" s="1"/>
  <c r="V154" i="9"/>
  <c r="X154" i="9" s="1"/>
  <c r="V168" i="9"/>
  <c r="V170" i="9"/>
  <c r="X170" i="9" s="1"/>
  <c r="Z170" i="9" s="1"/>
  <c r="AA170" i="9" s="1"/>
  <c r="V183" i="9"/>
  <c r="X183" i="9" s="1"/>
  <c r="Z183" i="9" s="1"/>
  <c r="AA183" i="9" s="1"/>
  <c r="V194" i="9"/>
  <c r="X194" i="9" s="1"/>
  <c r="Z194" i="9" s="1"/>
  <c r="AA194" i="9" s="1"/>
  <c r="V208" i="9"/>
  <c r="X208" i="9" s="1"/>
  <c r="V212" i="9"/>
  <c r="X212" i="9" s="1"/>
  <c r="V216" i="9"/>
  <c r="X216" i="9" s="1"/>
  <c r="V125" i="9"/>
  <c r="X125" i="9" s="1"/>
  <c r="V120" i="9"/>
  <c r="X120" i="9" s="1"/>
  <c r="V118" i="9"/>
  <c r="X118" i="9" s="1"/>
  <c r="V30" i="9"/>
  <c r="X30" i="9" s="1"/>
  <c r="V34" i="9"/>
  <c r="X34" i="9" s="1"/>
  <c r="V52" i="9"/>
  <c r="X52" i="9" s="1"/>
  <c r="V56" i="9"/>
  <c r="X56" i="9" s="1"/>
  <c r="V63" i="9"/>
  <c r="X63" i="9" s="1"/>
  <c r="V67" i="9"/>
  <c r="X67" i="9" s="1"/>
  <c r="V82" i="9"/>
  <c r="X82" i="9" s="1"/>
  <c r="V87" i="9"/>
  <c r="X87" i="9" s="1"/>
  <c r="V137" i="9"/>
  <c r="X137" i="9" s="1"/>
  <c r="V135" i="9"/>
  <c r="X135" i="9" s="1"/>
  <c r="W131" i="9"/>
  <c r="Y131" i="9" s="1"/>
  <c r="V90" i="9"/>
  <c r="X90" i="9" s="1"/>
  <c r="Y213" i="9"/>
  <c r="V166" i="9"/>
  <c r="X166" i="9" s="1"/>
  <c r="Z166" i="9" s="1"/>
  <c r="AA166" i="9" s="1"/>
  <c r="V59" i="9"/>
  <c r="X59" i="9" s="1"/>
  <c r="V25" i="9"/>
  <c r="X25" i="9" s="1"/>
  <c r="V225" i="9"/>
  <c r="V192" i="9"/>
  <c r="X192" i="9" s="1"/>
  <c r="V179" i="9"/>
  <c r="X179" i="9" s="1"/>
  <c r="W172" i="9"/>
  <c r="Y172" i="9" s="1"/>
  <c r="W159" i="9"/>
  <c r="Y159" i="9" s="1"/>
  <c r="V102" i="9"/>
  <c r="X102" i="9" s="1"/>
  <c r="Z102" i="9" s="1"/>
  <c r="AA102" i="9" s="1"/>
  <c r="V78" i="9"/>
  <c r="X78" i="9" s="1"/>
  <c r="W65" i="9"/>
  <c r="Y40" i="9"/>
  <c r="W18" i="9"/>
  <c r="Y18" i="9" s="1"/>
  <c r="V11" i="9"/>
  <c r="X11" i="9" s="1"/>
  <c r="V116" i="9"/>
  <c r="X116" i="9" s="1"/>
  <c r="Y221" i="9"/>
  <c r="V157" i="9"/>
  <c r="X157" i="9" s="1"/>
  <c r="V150" i="9"/>
  <c r="X150" i="9" s="1"/>
  <c r="V129" i="9"/>
  <c r="X129" i="9" s="1"/>
  <c r="V186" i="9"/>
  <c r="X186" i="9" s="1"/>
  <c r="Z186" i="9" s="1"/>
  <c r="AA186" i="9" s="1"/>
  <c r="Y47" i="9"/>
  <c r="Y225" i="9"/>
  <c r="V159" i="9"/>
  <c r="X159" i="9" s="1"/>
  <c r="W107" i="9"/>
  <c r="Y107" i="9" s="1"/>
  <c r="W116" i="9"/>
  <c r="Y116" i="9" s="1"/>
  <c r="V61" i="9"/>
  <c r="X61" i="9" s="1"/>
  <c r="V112" i="9"/>
  <c r="X112" i="9" s="1"/>
  <c r="Y16" i="9"/>
  <c r="V229" i="9"/>
  <c r="X229" i="9" s="1"/>
  <c r="Z229" i="9" s="1"/>
  <c r="AA229" i="9" s="1"/>
  <c r="V204" i="9"/>
  <c r="X204" i="9" s="1"/>
  <c r="V196" i="9"/>
  <c r="X196" i="9" s="1"/>
  <c r="V190" i="9"/>
  <c r="X190" i="9" s="1"/>
  <c r="Z190" i="9" s="1"/>
  <c r="AA190" i="9" s="1"/>
  <c r="V140" i="9"/>
  <c r="X140" i="9" s="1"/>
  <c r="V200" i="9"/>
  <c r="V182" i="9"/>
  <c r="X182" i="9" s="1"/>
  <c r="V169" i="9"/>
  <c r="X169" i="9" s="1"/>
  <c r="V227" i="9"/>
  <c r="X227" i="9" s="1"/>
  <c r="V175" i="9"/>
  <c r="X175" i="9" s="1"/>
  <c r="W98" i="9"/>
  <c r="Y98" i="9" s="1"/>
  <c r="V80" i="9"/>
  <c r="X80" i="9" s="1"/>
  <c r="W74" i="9"/>
  <c r="Y74" i="9" s="1"/>
  <c r="W67" i="9"/>
  <c r="Y67" i="9" s="1"/>
  <c r="V43" i="9"/>
  <c r="X43" i="9" s="1"/>
  <c r="Z43" i="9" s="1"/>
  <c r="AA43" i="9" s="1"/>
  <c r="V21" i="9"/>
  <c r="X21" i="9" s="1"/>
  <c r="W13" i="9"/>
  <c r="W135" i="9"/>
  <c r="Y135" i="9" s="1"/>
  <c r="V148" i="9"/>
  <c r="X148" i="9" s="1"/>
  <c r="V69" i="9"/>
  <c r="X69" i="9" s="1"/>
  <c r="V233" i="9"/>
  <c r="X233" i="9" s="1"/>
  <c r="V221" i="9"/>
  <c r="X221" i="9" s="1"/>
  <c r="V188" i="9"/>
  <c r="X188" i="9" s="1"/>
  <c r="V161" i="9"/>
  <c r="X161" i="9" s="1"/>
  <c r="V95" i="9"/>
  <c r="V74" i="9"/>
  <c r="X74" i="9" s="1"/>
  <c r="W69" i="9"/>
  <c r="W61" i="9"/>
  <c r="Y61" i="9" s="1"/>
  <c r="W28" i="9"/>
  <c r="Y28" i="9" s="1"/>
  <c r="Y109" i="9"/>
  <c r="Y87" i="9"/>
  <c r="Y82" i="9"/>
  <c r="Y52" i="9"/>
  <c r="Y208" i="9"/>
  <c r="Y200" i="9"/>
  <c r="Y150" i="9"/>
  <c r="Y65" i="9"/>
  <c r="Y49" i="9"/>
  <c r="Y58" i="9"/>
  <c r="U136" i="9"/>
  <c r="U121" i="9"/>
  <c r="Y212" i="9"/>
  <c r="X168" i="9"/>
  <c r="Y46" i="9"/>
  <c r="Y36" i="9"/>
  <c r="X131" i="9"/>
  <c r="X49" i="9"/>
  <c r="Y205" i="9"/>
  <c r="Y112" i="9"/>
  <c r="Y129" i="9"/>
  <c r="U133" i="9"/>
  <c r="U137" i="9"/>
  <c r="AA112" i="9"/>
  <c r="AE112" i="9"/>
  <c r="AE139" i="9"/>
  <c r="U120" i="9"/>
  <c r="U132" i="9"/>
  <c r="U131" i="9"/>
  <c r="U130" i="9"/>
  <c r="U112" i="9"/>
  <c r="Y114" i="9"/>
  <c r="U118" i="9"/>
  <c r="U129" i="9"/>
  <c r="U125" i="9"/>
  <c r="U126" i="9"/>
  <c r="U127" i="9"/>
  <c r="U111" i="9"/>
  <c r="U117" i="9"/>
  <c r="U124" i="9"/>
  <c r="U138" i="9"/>
  <c r="Y133" i="9"/>
  <c r="U232" i="9"/>
  <c r="U162" i="9"/>
  <c r="Y148" i="9"/>
  <c r="U148" i="9"/>
  <c r="U217" i="9"/>
  <c r="U205" i="9"/>
  <c r="Y179" i="9"/>
  <c r="U179" i="9"/>
  <c r="U160" i="9"/>
  <c r="U233" i="9"/>
  <c r="U223" i="9"/>
  <c r="U104" i="9"/>
  <c r="U34" i="9"/>
  <c r="U180" i="9"/>
  <c r="U161" i="9"/>
  <c r="U12" i="9"/>
  <c r="X12" i="9"/>
  <c r="X200" i="9"/>
  <c r="X144" i="9"/>
  <c r="U144" i="9"/>
  <c r="U52" i="9"/>
  <c r="U225" i="9"/>
  <c r="X225" i="9"/>
  <c r="U184" i="9"/>
  <c r="U175" i="9"/>
  <c r="Y175" i="9"/>
  <c r="U26" i="9"/>
  <c r="U209" i="9"/>
  <c r="U197" i="9"/>
  <c r="U191" i="9"/>
  <c r="U189" i="9"/>
  <c r="X189" i="9"/>
  <c r="U174" i="9"/>
  <c r="U88" i="9"/>
  <c r="Y216" i="9"/>
  <c r="U213" i="9"/>
  <c r="U201" i="9"/>
  <c r="U159" i="9"/>
  <c r="U81" i="9"/>
  <c r="Y48" i="9"/>
  <c r="Z48" i="9" s="1"/>
  <c r="AA48" i="9" s="1"/>
  <c r="U48" i="9"/>
  <c r="Y92" i="9"/>
  <c r="U92" i="9"/>
  <c r="U221" i="9"/>
  <c r="U45" i="9"/>
  <c r="U172" i="9"/>
  <c r="U91" i="9"/>
  <c r="X220" i="9"/>
  <c r="Z92" i="9"/>
  <c r="AA92" i="9" s="1"/>
  <c r="U149" i="9"/>
  <c r="U61" i="9"/>
  <c r="U147" i="9"/>
  <c r="U229" i="9"/>
  <c r="U219" i="9"/>
  <c r="U207" i="9"/>
  <c r="U195" i="9"/>
  <c r="U193" i="9"/>
  <c r="U187" i="9"/>
  <c r="U185" i="9"/>
  <c r="U167" i="9"/>
  <c r="U156" i="9"/>
  <c r="U145" i="9"/>
  <c r="X93" i="9"/>
  <c r="U93" i="9"/>
  <c r="U220" i="9"/>
  <c r="U208" i="9"/>
  <c r="U196" i="9"/>
  <c r="U188" i="9"/>
  <c r="U173" i="9"/>
  <c r="U82" i="9"/>
  <c r="U157" i="9"/>
  <c r="U110" i="9"/>
  <c r="X110" i="9"/>
  <c r="X58" i="9"/>
  <c r="Z58" i="9" s="1"/>
  <c r="AA58" i="9" s="1"/>
  <c r="Z21" i="9"/>
  <c r="AA21" i="9" s="1"/>
  <c r="U178" i="9"/>
  <c r="U168" i="9"/>
  <c r="U163" i="9"/>
  <c r="U89" i="9"/>
  <c r="U62" i="9"/>
  <c r="U57" i="9"/>
  <c r="U36" i="9"/>
  <c r="X14" i="9"/>
  <c r="U14" i="9"/>
  <c r="U80" i="9"/>
  <c r="U181" i="9"/>
  <c r="X177" i="9"/>
  <c r="U151" i="9"/>
  <c r="U139" i="9"/>
  <c r="U182" i="9"/>
  <c r="U108" i="9"/>
  <c r="X108" i="9"/>
  <c r="U27" i="9"/>
  <c r="U58" i="9"/>
  <c r="Y13" i="9"/>
  <c r="X143" i="9"/>
  <c r="U109" i="9"/>
  <c r="U87" i="9"/>
  <c r="U25" i="9"/>
  <c r="U51" i="9"/>
  <c r="U40" i="9"/>
  <c r="U18" i="9"/>
  <c r="X83" i="9"/>
  <c r="U83" i="9"/>
  <c r="U76" i="9"/>
  <c r="Y69" i="9"/>
  <c r="U66" i="9"/>
  <c r="U64" i="9"/>
  <c r="U42" i="9"/>
  <c r="Y32" i="9"/>
  <c r="Z11" i="9"/>
  <c r="AA11" i="9" s="1"/>
  <c r="U106" i="9"/>
  <c r="X95" i="9"/>
  <c r="U77" i="9"/>
  <c r="U72" i="9"/>
  <c r="U63" i="9"/>
  <c r="U38" i="9"/>
  <c r="U20" i="9"/>
  <c r="U16" i="9"/>
  <c r="X16" i="9"/>
  <c r="U101" i="9"/>
  <c r="U98" i="9"/>
  <c r="X98" i="9"/>
  <c r="U68" i="9"/>
  <c r="AG74" i="9"/>
  <c r="AG71" i="9"/>
  <c r="AG68" i="9"/>
  <c r="U50" i="9"/>
  <c r="U47" i="9"/>
  <c r="U39" i="9"/>
  <c r="AG70" i="9"/>
  <c r="AG67" i="9"/>
  <c r="X60" i="9"/>
  <c r="U60" i="9"/>
  <c r="Y56" i="9"/>
  <c r="V35" i="9"/>
  <c r="X35" i="9" s="1"/>
  <c r="V13" i="9"/>
  <c r="X13" i="9" s="1"/>
  <c r="V53" i="9"/>
  <c r="X53" i="9" s="1"/>
  <c r="V41" i="9"/>
  <c r="X41" i="9" s="1"/>
  <c r="Z41" i="9" s="1"/>
  <c r="AA41" i="9" s="1"/>
  <c r="V29" i="9"/>
  <c r="X29" i="9" s="1"/>
  <c r="V19" i="9"/>
  <c r="X19" i="9" s="1"/>
  <c r="V40" i="9"/>
  <c r="X40" i="9" s="1"/>
  <c r="V28" i="9"/>
  <c r="X28" i="9" s="1"/>
  <c r="V18" i="9"/>
  <c r="X18" i="9" s="1"/>
  <c r="V50" i="9"/>
  <c r="X50" i="9" s="1"/>
  <c r="V38" i="9"/>
  <c r="X38" i="9" s="1"/>
  <c r="I7" i="7"/>
  <c r="G37" i="7"/>
  <c r="Z161" i="9" l="1"/>
  <c r="AA161" i="9" s="1"/>
  <c r="Z221" i="9"/>
  <c r="AA221" i="9" s="1"/>
  <c r="Z33" i="9"/>
  <c r="AA33" i="9" s="1"/>
  <c r="Z85" i="9"/>
  <c r="AA85" i="9" s="1"/>
  <c r="Z220" i="9"/>
  <c r="AA220" i="9" s="1"/>
  <c r="Z169" i="9"/>
  <c r="AA169" i="9" s="1"/>
  <c r="Z59" i="9"/>
  <c r="AA59" i="9" s="1"/>
  <c r="Z155" i="9"/>
  <c r="AA155" i="9" s="1"/>
  <c r="Z55" i="9"/>
  <c r="AA55" i="9" s="1"/>
  <c r="Z117" i="9"/>
  <c r="Z153" i="9"/>
  <c r="AA153" i="9" s="1"/>
  <c r="Z147" i="9"/>
  <c r="AA147" i="9" s="1"/>
  <c r="Z79" i="9"/>
  <c r="AA79" i="9" s="1"/>
  <c r="Z97" i="9"/>
  <c r="AA97" i="9" s="1"/>
  <c r="Z231" i="9"/>
  <c r="AA231" i="9" s="1"/>
  <c r="Z200" i="9"/>
  <c r="AA200" i="9" s="1"/>
  <c r="Z34" i="9"/>
  <c r="AA34" i="9" s="1"/>
  <c r="Z154" i="9"/>
  <c r="AA154" i="9" s="1"/>
  <c r="Z136" i="9"/>
  <c r="Z133" i="9"/>
  <c r="Z37" i="9"/>
  <c r="AA37" i="9" s="1"/>
  <c r="Z140" i="9"/>
  <c r="AA140" i="9" s="1"/>
  <c r="Z78" i="9"/>
  <c r="AA78" i="9" s="1"/>
  <c r="Z90" i="9"/>
  <c r="AA90" i="9" s="1"/>
  <c r="Z94" i="9"/>
  <c r="AA94" i="9" s="1"/>
  <c r="Z100" i="9"/>
  <c r="AA100" i="9" s="1"/>
  <c r="Z80" i="9"/>
  <c r="AA80" i="9" s="1"/>
  <c r="Z22" i="9"/>
  <c r="AA22" i="9" s="1"/>
  <c r="Z16" i="9"/>
  <c r="AA16" i="9" s="1"/>
  <c r="Z104" i="9"/>
  <c r="AA104" i="9" s="1"/>
  <c r="Z143" i="9"/>
  <c r="AA143" i="9" s="1"/>
  <c r="Z10" i="9"/>
  <c r="AA10" i="9" s="1"/>
  <c r="Z196" i="9"/>
  <c r="AA196" i="9" s="1"/>
  <c r="Z234" i="9"/>
  <c r="AA234" i="9" s="1"/>
  <c r="Z151" i="9"/>
  <c r="AA151" i="9" s="1"/>
  <c r="Z72" i="9"/>
  <c r="AA72" i="9" s="1"/>
  <c r="Z91" i="9"/>
  <c r="AA91" i="9" s="1"/>
  <c r="Z57" i="9"/>
  <c r="AA57" i="9" s="1"/>
  <c r="Z187" i="9"/>
  <c r="AA187" i="9" s="1"/>
  <c r="Z125" i="9"/>
  <c r="Z204" i="9"/>
  <c r="AA204" i="9" s="1"/>
  <c r="Z150" i="9"/>
  <c r="AA150" i="9" s="1"/>
  <c r="Z103" i="9"/>
  <c r="AA103" i="9" s="1"/>
  <c r="Z230" i="9"/>
  <c r="AA230" i="9" s="1"/>
  <c r="Z99" i="9"/>
  <c r="AA99" i="9" s="1"/>
  <c r="Z30" i="9"/>
  <c r="AA30" i="9" s="1"/>
  <c r="Z29" i="9"/>
  <c r="AA29" i="9" s="1"/>
  <c r="Z83" i="9"/>
  <c r="AA83" i="9" s="1"/>
  <c r="Z53" i="9"/>
  <c r="AA53" i="9" s="1"/>
  <c r="Z233" i="9"/>
  <c r="AA233" i="9" s="1"/>
  <c r="Z175" i="9"/>
  <c r="AA175" i="9" s="1"/>
  <c r="Z193" i="9"/>
  <c r="AA193" i="9" s="1"/>
  <c r="Z219" i="9"/>
  <c r="AA219" i="9" s="1"/>
  <c r="Z88" i="9"/>
  <c r="AA88" i="9" s="1"/>
  <c r="Z70" i="9"/>
  <c r="AA70" i="9" s="1"/>
  <c r="Z13" i="9"/>
  <c r="AA13" i="9" s="1"/>
  <c r="Z108" i="9"/>
  <c r="AA108" i="9" s="1"/>
  <c r="Z225" i="9"/>
  <c r="AA225" i="9" s="1"/>
  <c r="Z135" i="9"/>
  <c r="Z134" i="9"/>
  <c r="Z224" i="9"/>
  <c r="AA224" i="9" s="1"/>
  <c r="Z173" i="9"/>
  <c r="AA173" i="9" s="1"/>
  <c r="Z181" i="9"/>
  <c r="AA181" i="9" s="1"/>
  <c r="Z44" i="9"/>
  <c r="AA44" i="9" s="1"/>
  <c r="Z168" i="9"/>
  <c r="AA168" i="9" s="1"/>
  <c r="Z203" i="9"/>
  <c r="AA203" i="9" s="1"/>
  <c r="Z12" i="9"/>
  <c r="AA12" i="9" s="1"/>
  <c r="Z118" i="9"/>
  <c r="Z232" i="9"/>
  <c r="AA232" i="9" s="1"/>
  <c r="Z75" i="9"/>
  <c r="AA75" i="9" s="1"/>
  <c r="Z120" i="9"/>
  <c r="Z112" i="9"/>
  <c r="Z226" i="9"/>
  <c r="AA226" i="9" s="1"/>
  <c r="Z56" i="9"/>
  <c r="AA56" i="9" s="1"/>
  <c r="Z182" i="9"/>
  <c r="AA182" i="9" s="1"/>
  <c r="Z107" i="9"/>
  <c r="AA107" i="9" s="1"/>
  <c r="Z82" i="9"/>
  <c r="AA82" i="9" s="1"/>
  <c r="Z24" i="9"/>
  <c r="AA24" i="9" s="1"/>
  <c r="Z165" i="9"/>
  <c r="AA165" i="9" s="1"/>
  <c r="Z68" i="9"/>
  <c r="AA68" i="9" s="1"/>
  <c r="Z178" i="9"/>
  <c r="AA178" i="9" s="1"/>
  <c r="Z171" i="9"/>
  <c r="AA171" i="9" s="1"/>
  <c r="Z146" i="9"/>
  <c r="AA146" i="9" s="1"/>
  <c r="Z212" i="9"/>
  <c r="AA212" i="9" s="1"/>
  <c r="Z114" i="9"/>
  <c r="Z74" i="9"/>
  <c r="AA74" i="9" s="1"/>
  <c r="Z127" i="9"/>
  <c r="Z158" i="9"/>
  <c r="AA158" i="9" s="1"/>
  <c r="Z132" i="9"/>
  <c r="Z126" i="9"/>
  <c r="Z145" i="9"/>
  <c r="AA145" i="9" s="1"/>
  <c r="Z89" i="9"/>
  <c r="AA89" i="9" s="1"/>
  <c r="Z142" i="9"/>
  <c r="AA142" i="9" s="1"/>
  <c r="Z138" i="9"/>
  <c r="Z218" i="9"/>
  <c r="AA218" i="9" s="1"/>
  <c r="Z180" i="9"/>
  <c r="AA180" i="9" s="1"/>
  <c r="Z54" i="9"/>
  <c r="AA54" i="9" s="1"/>
  <c r="Z23" i="9"/>
  <c r="AA23" i="9" s="1"/>
  <c r="Z130" i="9"/>
  <c r="Z71" i="9"/>
  <c r="AA71" i="9" s="1"/>
  <c r="Z152" i="9"/>
  <c r="AA152" i="9" s="1"/>
  <c r="Z87" i="9"/>
  <c r="AA87" i="9" s="1"/>
  <c r="Z116" i="9"/>
  <c r="Z195" i="9"/>
  <c r="AA195" i="9" s="1"/>
  <c r="Z201" i="9"/>
  <c r="AA201" i="9" s="1"/>
  <c r="Z31" i="9"/>
  <c r="AA31" i="9" s="1"/>
  <c r="Z28" i="9"/>
  <c r="AA28" i="9" s="1"/>
  <c r="Z40" i="9"/>
  <c r="AA40" i="9" s="1"/>
  <c r="Z208" i="9"/>
  <c r="AA208" i="9" s="1"/>
  <c r="Z49" i="9"/>
  <c r="AA49" i="9" s="1"/>
  <c r="Z25" i="9"/>
  <c r="AA25" i="9" s="1"/>
  <c r="Z86" i="9"/>
  <c r="AA86" i="9" s="1"/>
  <c r="Z47" i="9"/>
  <c r="AA47" i="9" s="1"/>
  <c r="Z137" i="9"/>
  <c r="Z162" i="9"/>
  <c r="AA162" i="9" s="1"/>
  <c r="Z159" i="9"/>
  <c r="AA159" i="9" s="1"/>
  <c r="Z67" i="9"/>
  <c r="AA67" i="9" s="1"/>
  <c r="Z197" i="9"/>
  <c r="AA197" i="9" s="1"/>
  <c r="Z46" i="9"/>
  <c r="AA46" i="9" s="1"/>
  <c r="Z185" i="9"/>
  <c r="AA185" i="9" s="1"/>
  <c r="Z131" i="9"/>
  <c r="Z32" i="9"/>
  <c r="AA32" i="9" s="1"/>
  <c r="Z110" i="9"/>
  <c r="AA110" i="9" s="1"/>
  <c r="Z157" i="9"/>
  <c r="AA157" i="9" s="1"/>
  <c r="Z209" i="9"/>
  <c r="AA209" i="9" s="1"/>
  <c r="Z215" i="9"/>
  <c r="AA215" i="9" s="1"/>
  <c r="Z148" i="9"/>
  <c r="AA148" i="9" s="1"/>
  <c r="Z202" i="9"/>
  <c r="AA202" i="9" s="1"/>
  <c r="Z192" i="9"/>
  <c r="AA192" i="9" s="1"/>
  <c r="Z188" i="9"/>
  <c r="AA188" i="9" s="1"/>
  <c r="Z60" i="9"/>
  <c r="AA60" i="9" s="1"/>
  <c r="Z64" i="9"/>
  <c r="AA64" i="9" s="1"/>
  <c r="Z172" i="9"/>
  <c r="AA172" i="9" s="1"/>
  <c r="Z84" i="9"/>
  <c r="AA84" i="9" s="1"/>
  <c r="Z98" i="9"/>
  <c r="AA98" i="9" s="1"/>
  <c r="Z93" i="9"/>
  <c r="AA93" i="9" s="1"/>
  <c r="Z227" i="9"/>
  <c r="AA227" i="9" s="1"/>
  <c r="Z52" i="9"/>
  <c r="AA52" i="9" s="1"/>
  <c r="Z111" i="9"/>
  <c r="Z77" i="9"/>
  <c r="AA77" i="9" s="1"/>
  <c r="Z176" i="9"/>
  <c r="AA176" i="9" s="1"/>
  <c r="Z223" i="9"/>
  <c r="AA223" i="9" s="1"/>
  <c r="Z17" i="9"/>
  <c r="AA17" i="9" s="1"/>
  <c r="Z51" i="9"/>
  <c r="AA51" i="9" s="1"/>
  <c r="Z129" i="9"/>
  <c r="Z66" i="9"/>
  <c r="AA66" i="9" s="1"/>
  <c r="Z26" i="9"/>
  <c r="AA26" i="9" s="1"/>
  <c r="Z113" i="9"/>
  <c r="Z19" i="9"/>
  <c r="AA19" i="9" s="1"/>
  <c r="Z199" i="9"/>
  <c r="AA199" i="9" s="1"/>
  <c r="Z81" i="9"/>
  <c r="AA81" i="9" s="1"/>
  <c r="Z63" i="9"/>
  <c r="AA63" i="9" s="1"/>
  <c r="Z174" i="9"/>
  <c r="AA174" i="9" s="1"/>
  <c r="Z38" i="9"/>
  <c r="AA38" i="9" s="1"/>
  <c r="Z95" i="9"/>
  <c r="AA95" i="9" s="1"/>
  <c r="Z69" i="9"/>
  <c r="AA69" i="9" s="1"/>
  <c r="Z167" i="9"/>
  <c r="AA167" i="9" s="1"/>
  <c r="Z61" i="9"/>
  <c r="AA61" i="9" s="1"/>
  <c r="Z45" i="9"/>
  <c r="AA45" i="9" s="1"/>
  <c r="Z179" i="9"/>
  <c r="AA179" i="9" s="1"/>
  <c r="Z141" i="9"/>
  <c r="AA141" i="9" s="1"/>
  <c r="Z211" i="9"/>
  <c r="AA211" i="9" s="1"/>
  <c r="Z101" i="9"/>
  <c r="AA101" i="9" s="1"/>
  <c r="Z184" i="9"/>
  <c r="AA184" i="9" s="1"/>
  <c r="Z214" i="9"/>
  <c r="AA214" i="9" s="1"/>
  <c r="Z50" i="9"/>
  <c r="AA50" i="9" s="1"/>
  <c r="Z106" i="9"/>
  <c r="AA106" i="9" s="1"/>
  <c r="Z177" i="9"/>
  <c r="AA177" i="9" s="1"/>
  <c r="Z14" i="9"/>
  <c r="AA14" i="9" s="1"/>
  <c r="Z189" i="9"/>
  <c r="AA189" i="9" s="1"/>
  <c r="Z144" i="9"/>
  <c r="AA144" i="9" s="1"/>
  <c r="Z65" i="9"/>
  <c r="AA65" i="9" s="1"/>
  <c r="Z18" i="9"/>
  <c r="AA18" i="9" s="1"/>
  <c r="Z35" i="9"/>
  <c r="AA35" i="9" s="1"/>
  <c r="Z42" i="9"/>
  <c r="AA42" i="9" s="1"/>
  <c r="Z62" i="9"/>
  <c r="AA62" i="9" s="1"/>
  <c r="Z210" i="9"/>
  <c r="AA210" i="9" s="1"/>
  <c r="Z207" i="9"/>
  <c r="AA207" i="9" s="1"/>
  <c r="Z222" i="9"/>
  <c r="AA222" i="9" s="1"/>
  <c r="AA138" i="9"/>
  <c r="AA137" i="9"/>
  <c r="AA121" i="9"/>
  <c r="Z228" i="9"/>
  <c r="AA228" i="9" s="1"/>
  <c r="Z216" i="9"/>
  <c r="AA216" i="9" s="1"/>
  <c r="AF8" i="9" l="1"/>
  <c r="AF18" i="9" l="1"/>
  <c r="AI18" i="9" s="1"/>
  <c r="AF30" i="9"/>
  <c r="AI30" i="9" s="1"/>
  <c r="AF42" i="9"/>
  <c r="AI42" i="9" s="1"/>
  <c r="AF54" i="9"/>
  <c r="AI54" i="9" s="1"/>
  <c r="AF66" i="9"/>
  <c r="AI66" i="9" s="1"/>
  <c r="AF78" i="9"/>
  <c r="AI78" i="9" s="1"/>
  <c r="AF90" i="9"/>
  <c r="AI90" i="9" s="1"/>
  <c r="AF102" i="9"/>
  <c r="AI102" i="9" s="1"/>
  <c r="AF114" i="9"/>
  <c r="AI114" i="9" s="1"/>
  <c r="AF126" i="9"/>
  <c r="AI126" i="9" s="1"/>
  <c r="AF138" i="9"/>
  <c r="AI138" i="9" s="1"/>
  <c r="AF150" i="9"/>
  <c r="AI150" i="9" s="1"/>
  <c r="AF162" i="9"/>
  <c r="AI162" i="9" s="1"/>
  <c r="AF174" i="9"/>
  <c r="AI174" i="9" s="1"/>
  <c r="AF186" i="9"/>
  <c r="AI186" i="9" s="1"/>
  <c r="AF198" i="9"/>
  <c r="AI198" i="9" s="1"/>
  <c r="AF210" i="9"/>
  <c r="AI210" i="9" s="1"/>
  <c r="AF222" i="9"/>
  <c r="AI222" i="9" s="1"/>
  <c r="AF234" i="9"/>
  <c r="AI234" i="9" s="1"/>
  <c r="AG160" i="9"/>
  <c r="AG164" i="9"/>
  <c r="AG171" i="9"/>
  <c r="AH176" i="9"/>
  <c r="AG178" i="9"/>
  <c r="AG190" i="9"/>
  <c r="AG202" i="9"/>
  <c r="AG214" i="9"/>
  <c r="AG225" i="9"/>
  <c r="AH226" i="9"/>
  <c r="AH236" i="9"/>
  <c r="AH240" i="9"/>
  <c r="AF19" i="9"/>
  <c r="AI19" i="9" s="1"/>
  <c r="AF31" i="9"/>
  <c r="AI31" i="9" s="1"/>
  <c r="AF43" i="9"/>
  <c r="AI43" i="9" s="1"/>
  <c r="AF55" i="9"/>
  <c r="AI55" i="9" s="1"/>
  <c r="AF67" i="9"/>
  <c r="AI67" i="9" s="1"/>
  <c r="AF79" i="9"/>
  <c r="AI79" i="9" s="1"/>
  <c r="AF91" i="9"/>
  <c r="AI91" i="9" s="1"/>
  <c r="AF103" i="9"/>
  <c r="AI103" i="9" s="1"/>
  <c r="AF115" i="9"/>
  <c r="AI115" i="9" s="1"/>
  <c r="AF127" i="9"/>
  <c r="AI127" i="9" s="1"/>
  <c r="AF139" i="9"/>
  <c r="AI139" i="9" s="1"/>
  <c r="AF151" i="9"/>
  <c r="AI151" i="9" s="1"/>
  <c r="AF163" i="9"/>
  <c r="AI163" i="9" s="1"/>
  <c r="AF175" i="9"/>
  <c r="AI175" i="9" s="1"/>
  <c r="AF187" i="9"/>
  <c r="AI187" i="9" s="1"/>
  <c r="AF199" i="9"/>
  <c r="AI199" i="9" s="1"/>
  <c r="AF211" i="9"/>
  <c r="AI211" i="9" s="1"/>
  <c r="AF223" i="9"/>
  <c r="AI223" i="9" s="1"/>
  <c r="AF235" i="9"/>
  <c r="AI235" i="9" s="1"/>
  <c r="AG136" i="9"/>
  <c r="AG133" i="9"/>
  <c r="AH69" i="9"/>
  <c r="AG168" i="9"/>
  <c r="AG173" i="9"/>
  <c r="AG175" i="9"/>
  <c r="AH178" i="9"/>
  <c r="AG181" i="9"/>
  <c r="AG184" i="9"/>
  <c r="AG187" i="9"/>
  <c r="AH190" i="9"/>
  <c r="AG201" i="9"/>
  <c r="AH202" i="9"/>
  <c r="AG213" i="9"/>
  <c r="AH214" i="9"/>
  <c r="AH225" i="9"/>
  <c r="AG237" i="9"/>
  <c r="AF20" i="9"/>
  <c r="AI20" i="9" s="1"/>
  <c r="AF32" i="9"/>
  <c r="AI32" i="9" s="1"/>
  <c r="AF44" i="9"/>
  <c r="AI44" i="9" s="1"/>
  <c r="AF56" i="9"/>
  <c r="AI56" i="9" s="1"/>
  <c r="AF68" i="9"/>
  <c r="AI68" i="9" s="1"/>
  <c r="AF80" i="9"/>
  <c r="AI80" i="9" s="1"/>
  <c r="AF92" i="9"/>
  <c r="AI92" i="9" s="1"/>
  <c r="AF104" i="9"/>
  <c r="AI104" i="9" s="1"/>
  <c r="AF116" i="9"/>
  <c r="AI116" i="9" s="1"/>
  <c r="AF128" i="9"/>
  <c r="AI128" i="9" s="1"/>
  <c r="AF140" i="9"/>
  <c r="AI140" i="9" s="1"/>
  <c r="AF152" i="9"/>
  <c r="AI152" i="9" s="1"/>
  <c r="AF164" i="9"/>
  <c r="AI164" i="9" s="1"/>
  <c r="AF176" i="9"/>
  <c r="AI176" i="9" s="1"/>
  <c r="AF188" i="9"/>
  <c r="AI188" i="9" s="1"/>
  <c r="AF200" i="9"/>
  <c r="AI200" i="9" s="1"/>
  <c r="AF212" i="9"/>
  <c r="AI212" i="9" s="1"/>
  <c r="AF224" i="9"/>
  <c r="AI224" i="9" s="1"/>
  <c r="AF236" i="9"/>
  <c r="AI236" i="9" s="1"/>
  <c r="AH125" i="9"/>
  <c r="AH75" i="9"/>
  <c r="AG139" i="9"/>
  <c r="AG153" i="9"/>
  <c r="AG157" i="9"/>
  <c r="AG166" i="9"/>
  <c r="AH173" i="9"/>
  <c r="AH175" i="9"/>
  <c r="AH181" i="9"/>
  <c r="AH184" i="9"/>
  <c r="AH187" i="9"/>
  <c r="AG192" i="9"/>
  <c r="AG198" i="9"/>
  <c r="AH201" i="9"/>
  <c r="AG210" i="9"/>
  <c r="AH213" i="9"/>
  <c r="AF13" i="9"/>
  <c r="AI13" i="9" s="1"/>
  <c r="AF28" i="9"/>
  <c r="AI28" i="9" s="1"/>
  <c r="AF46" i="9"/>
  <c r="AI46" i="9" s="1"/>
  <c r="AF61" i="9"/>
  <c r="AI61" i="9" s="1"/>
  <c r="AF76" i="9"/>
  <c r="AI76" i="9" s="1"/>
  <c r="AF94" i="9"/>
  <c r="AI94" i="9" s="1"/>
  <c r="AF109" i="9"/>
  <c r="AI109" i="9" s="1"/>
  <c r="AF124" i="9"/>
  <c r="AI124" i="9" s="1"/>
  <c r="AF142" i="9"/>
  <c r="AI142" i="9" s="1"/>
  <c r="AF157" i="9"/>
  <c r="AI157" i="9" s="1"/>
  <c r="AF172" i="9"/>
  <c r="AI172" i="9" s="1"/>
  <c r="AF190" i="9"/>
  <c r="AI190" i="9" s="1"/>
  <c r="AF205" i="9"/>
  <c r="AI205" i="9" s="1"/>
  <c r="AF220" i="9"/>
  <c r="AI220" i="9" s="1"/>
  <c r="AF238" i="9"/>
  <c r="AI238" i="9" s="1"/>
  <c r="AG137" i="9"/>
  <c r="AG134" i="9"/>
  <c r="AH126" i="9"/>
  <c r="AH68" i="9"/>
  <c r="AG141" i="9"/>
  <c r="AG152" i="9"/>
  <c r="AG154" i="9"/>
  <c r="AG156" i="9"/>
  <c r="AG162" i="9"/>
  <c r="AG193" i="9"/>
  <c r="AH194" i="9"/>
  <c r="AG196" i="9"/>
  <c r="AH199" i="9"/>
  <c r="AG204" i="9"/>
  <c r="AG207" i="9"/>
  <c r="AG215" i="9"/>
  <c r="AH232" i="9"/>
  <c r="AG236" i="9"/>
  <c r="AH241" i="9"/>
  <c r="AH204" i="9"/>
  <c r="AH207" i="9"/>
  <c r="AH215" i="9"/>
  <c r="AG218" i="9"/>
  <c r="AG223" i="9"/>
  <c r="AG226" i="9"/>
  <c r="AH237" i="9"/>
  <c r="AF81" i="9"/>
  <c r="AI81" i="9" s="1"/>
  <c r="AH71" i="9"/>
  <c r="AH74" i="9"/>
  <c r="AG145" i="9"/>
  <c r="AH174" i="9"/>
  <c r="AG186" i="9"/>
  <c r="AH188" i="9"/>
  <c r="AG209" i="9"/>
  <c r="AG212" i="9"/>
  <c r="AG217" i="9"/>
  <c r="AH218" i="9"/>
  <c r="AH223" i="9"/>
  <c r="AF16" i="9"/>
  <c r="AI16" i="9" s="1"/>
  <c r="AF34" i="9"/>
  <c r="AI34" i="9" s="1"/>
  <c r="AF49" i="9"/>
  <c r="AI49" i="9" s="1"/>
  <c r="AF64" i="9"/>
  <c r="AI64" i="9" s="1"/>
  <c r="AF82" i="9"/>
  <c r="AI82" i="9" s="1"/>
  <c r="AF97" i="9"/>
  <c r="AI97" i="9" s="1"/>
  <c r="AF112" i="9"/>
  <c r="AI112" i="9" s="1"/>
  <c r="AF130" i="9"/>
  <c r="AI130" i="9" s="1"/>
  <c r="AF145" i="9"/>
  <c r="AI145" i="9" s="1"/>
  <c r="AF160" i="9"/>
  <c r="AI160" i="9" s="1"/>
  <c r="AF178" i="9"/>
  <c r="AI178" i="9" s="1"/>
  <c r="AF193" i="9"/>
  <c r="AI193" i="9" s="1"/>
  <c r="AF208" i="9"/>
  <c r="AI208" i="9" s="1"/>
  <c r="AF241" i="9"/>
  <c r="AI241" i="9" s="1"/>
  <c r="AH65" i="9"/>
  <c r="AG140" i="9"/>
  <c r="AG143" i="9"/>
  <c r="AG147" i="9"/>
  <c r="AG176" i="9"/>
  <c r="AG183" i="9"/>
  <c r="AH186" i="9"/>
  <c r="AH212" i="9"/>
  <c r="AH217" i="9"/>
  <c r="AG228" i="9"/>
  <c r="AH185" i="9"/>
  <c r="AH198" i="9"/>
  <c r="AF21" i="9"/>
  <c r="AI21" i="9" s="1"/>
  <c r="AF36" i="9"/>
  <c r="AI36" i="9" s="1"/>
  <c r="AF51" i="9"/>
  <c r="AI51" i="9" s="1"/>
  <c r="AF69" i="9"/>
  <c r="AI69" i="9" s="1"/>
  <c r="AF84" i="9"/>
  <c r="AI84" i="9" s="1"/>
  <c r="AF99" i="9"/>
  <c r="AI99" i="9" s="1"/>
  <c r="AF117" i="9"/>
  <c r="AI117" i="9" s="1"/>
  <c r="AF147" i="9"/>
  <c r="AI147" i="9" s="1"/>
  <c r="AF165" i="9"/>
  <c r="AI165" i="9" s="1"/>
  <c r="AF180" i="9"/>
  <c r="AI180" i="9" s="1"/>
  <c r="AF195" i="9"/>
  <c r="AI195" i="9" s="1"/>
  <c r="AF228" i="9"/>
  <c r="AI228" i="9" s="1"/>
  <c r="AG135" i="9"/>
  <c r="AH70" i="9"/>
  <c r="AH192" i="9"/>
  <c r="AG195" i="9"/>
  <c r="AG231" i="9"/>
  <c r="AF37" i="9"/>
  <c r="AI37" i="9" s="1"/>
  <c r="AF52" i="9"/>
  <c r="AI52" i="9" s="1"/>
  <c r="AF85" i="9"/>
  <c r="AI85" i="9" s="1"/>
  <c r="AF118" i="9"/>
  <c r="AI118" i="9" s="1"/>
  <c r="AF148" i="9"/>
  <c r="AI148" i="9" s="1"/>
  <c r="AF166" i="9"/>
  <c r="AI166" i="9" s="1"/>
  <c r="AF196" i="9"/>
  <c r="AI196" i="9" s="1"/>
  <c r="AF229" i="9"/>
  <c r="AI229" i="9" s="1"/>
  <c r="AH73" i="9"/>
  <c r="AG167" i="9"/>
  <c r="AH203" i="9"/>
  <c r="AG206" i="9"/>
  <c r="AG211" i="9"/>
  <c r="AG233" i="9"/>
  <c r="AG234" i="9"/>
  <c r="AF86" i="9"/>
  <c r="AI86" i="9" s="1"/>
  <c r="AF14" i="9"/>
  <c r="AI14" i="9" s="1"/>
  <c r="AF29" i="9"/>
  <c r="AI29" i="9" s="1"/>
  <c r="AF47" i="9"/>
  <c r="AI47" i="9" s="1"/>
  <c r="AF62" i="9"/>
  <c r="AI62" i="9" s="1"/>
  <c r="AF77" i="9"/>
  <c r="AI77" i="9" s="1"/>
  <c r="AF95" i="9"/>
  <c r="AI95" i="9" s="1"/>
  <c r="AF110" i="9"/>
  <c r="AI110" i="9" s="1"/>
  <c r="AF125" i="9"/>
  <c r="AI125" i="9" s="1"/>
  <c r="AF143" i="9"/>
  <c r="AI143" i="9" s="1"/>
  <c r="AF158" i="9"/>
  <c r="AI158" i="9" s="1"/>
  <c r="AF173" i="9"/>
  <c r="AI173" i="9" s="1"/>
  <c r="AF191" i="9"/>
  <c r="AI191" i="9" s="1"/>
  <c r="AF206" i="9"/>
  <c r="AI206" i="9" s="1"/>
  <c r="AF221" i="9"/>
  <c r="AI221" i="9" s="1"/>
  <c r="AF239" i="9"/>
  <c r="AI239" i="9" s="1"/>
  <c r="AH63" i="9"/>
  <c r="AG149" i="9"/>
  <c r="AG158" i="9"/>
  <c r="AG170" i="9"/>
  <c r="AG174" i="9"/>
  <c r="AG188" i="9"/>
  <c r="AH193" i="9"/>
  <c r="AH196" i="9"/>
  <c r="AF177" i="9"/>
  <c r="AI177" i="9" s="1"/>
  <c r="AG151" i="9"/>
  <c r="AG185" i="9"/>
  <c r="AF65" i="9"/>
  <c r="AI65" i="9" s="1"/>
  <c r="AF131" i="9"/>
  <c r="AI131" i="9" s="1"/>
  <c r="AF161" i="9"/>
  <c r="AI161" i="9" s="1"/>
  <c r="AF194" i="9"/>
  <c r="AI194" i="9" s="1"/>
  <c r="AG138" i="9"/>
  <c r="AH180" i="9"/>
  <c r="AG165" i="9"/>
  <c r="AF15" i="9"/>
  <c r="AI15" i="9" s="1"/>
  <c r="AF33" i="9"/>
  <c r="AI33" i="9" s="1"/>
  <c r="AF48" i="9"/>
  <c r="AI48" i="9" s="1"/>
  <c r="AF63" i="9"/>
  <c r="AI63" i="9" s="1"/>
  <c r="AF96" i="9"/>
  <c r="AI96" i="9" s="1"/>
  <c r="AF111" i="9"/>
  <c r="AI111" i="9" s="1"/>
  <c r="AF129" i="9"/>
  <c r="AI129" i="9" s="1"/>
  <c r="AF144" i="9"/>
  <c r="AI144" i="9" s="1"/>
  <c r="AF159" i="9"/>
  <c r="AI159" i="9" s="1"/>
  <c r="AF192" i="9"/>
  <c r="AI192" i="9" s="1"/>
  <c r="AF207" i="9"/>
  <c r="AI207" i="9" s="1"/>
  <c r="AF225" i="9"/>
  <c r="AI225" i="9" s="1"/>
  <c r="AF240" i="9"/>
  <c r="AI240" i="9" s="1"/>
  <c r="AG132" i="9"/>
  <c r="AG220" i="9"/>
  <c r="AF226" i="9"/>
  <c r="AI226" i="9" s="1"/>
  <c r="AG172" i="9"/>
  <c r="AG180" i="9"/>
  <c r="AH209" i="9"/>
  <c r="AH220" i="9"/>
  <c r="AF17" i="9"/>
  <c r="AI17" i="9" s="1"/>
  <c r="AF35" i="9"/>
  <c r="AI35" i="9" s="1"/>
  <c r="AF50" i="9"/>
  <c r="AI50" i="9" s="1"/>
  <c r="AF83" i="9"/>
  <c r="AI83" i="9" s="1"/>
  <c r="AF98" i="9"/>
  <c r="AI98" i="9" s="1"/>
  <c r="AF113" i="9"/>
  <c r="AI113" i="9" s="1"/>
  <c r="AF146" i="9"/>
  <c r="AI146" i="9" s="1"/>
  <c r="AF179" i="9"/>
  <c r="AI179" i="9" s="1"/>
  <c r="AF209" i="9"/>
  <c r="AI209" i="9" s="1"/>
  <c r="AF227" i="9"/>
  <c r="AI227" i="9" s="1"/>
  <c r="AG130" i="9"/>
  <c r="AH183" i="9"/>
  <c r="AH228" i="9"/>
  <c r="AG238" i="9"/>
  <c r="AF132" i="9"/>
  <c r="AI132" i="9" s="1"/>
  <c r="AF213" i="9"/>
  <c r="AI213" i="9" s="1"/>
  <c r="AH67" i="9"/>
  <c r="AG169" i="9"/>
  <c r="AG203" i="9"/>
  <c r="AH238" i="9"/>
  <c r="AF22" i="9"/>
  <c r="AI22" i="9" s="1"/>
  <c r="AF70" i="9"/>
  <c r="AI70" i="9" s="1"/>
  <c r="AF100" i="9"/>
  <c r="AI100" i="9" s="1"/>
  <c r="AF133" i="9"/>
  <c r="AI133" i="9" s="1"/>
  <c r="AF181" i="9"/>
  <c r="AI181" i="9" s="1"/>
  <c r="AF214" i="9"/>
  <c r="AI214" i="9" s="1"/>
  <c r="AG163" i="9"/>
  <c r="AH195" i="9"/>
  <c r="AH231" i="9"/>
  <c r="AF23" i="9"/>
  <c r="AI23" i="9" s="1"/>
  <c r="AF38" i="9"/>
  <c r="AI38" i="9" s="1"/>
  <c r="AF53" i="9"/>
  <c r="AI53" i="9" s="1"/>
  <c r="AF71" i="9"/>
  <c r="AI71" i="9" s="1"/>
  <c r="AF101" i="9"/>
  <c r="AI101" i="9" s="1"/>
  <c r="AF119" i="9"/>
  <c r="AI119" i="9" s="1"/>
  <c r="AF134" i="9"/>
  <c r="AI134" i="9" s="1"/>
  <c r="AF149" i="9"/>
  <c r="AI149" i="9" s="1"/>
  <c r="AF167" i="9"/>
  <c r="AI167" i="9" s="1"/>
  <c r="AF40" i="9"/>
  <c r="AI40" i="9" s="1"/>
  <c r="AF88" i="9"/>
  <c r="AI88" i="9" s="1"/>
  <c r="AF136" i="9"/>
  <c r="AI136" i="9" s="1"/>
  <c r="AF183" i="9"/>
  <c r="AI183" i="9" s="1"/>
  <c r="AF218" i="9"/>
  <c r="AI218" i="9" s="1"/>
  <c r="AG148" i="9"/>
  <c r="AH222" i="9"/>
  <c r="AH224" i="9"/>
  <c r="AH234" i="9"/>
  <c r="AH210" i="9"/>
  <c r="AH235" i="9"/>
  <c r="AG159" i="9"/>
  <c r="AG205" i="9"/>
  <c r="AF11" i="9"/>
  <c r="AI11" i="9" s="1"/>
  <c r="AF59" i="9"/>
  <c r="AI59" i="9" s="1"/>
  <c r="AF107" i="9"/>
  <c r="AI107" i="9" s="1"/>
  <c r="AF155" i="9"/>
  <c r="AI155" i="9" s="1"/>
  <c r="AF201" i="9"/>
  <c r="AI201" i="9" s="1"/>
  <c r="AH64" i="9"/>
  <c r="AH205" i="9"/>
  <c r="AG216" i="9"/>
  <c r="AF12" i="9"/>
  <c r="AI12" i="9" s="1"/>
  <c r="AF108" i="9"/>
  <c r="AI108" i="9" s="1"/>
  <c r="AF237" i="9"/>
  <c r="AI237" i="9" s="1"/>
  <c r="AG177" i="9"/>
  <c r="AH216" i="9"/>
  <c r="AF24" i="9"/>
  <c r="AI24" i="9" s="1"/>
  <c r="AF120" i="9"/>
  <c r="AI120" i="9" s="1"/>
  <c r="AF168" i="9"/>
  <c r="AI168" i="9" s="1"/>
  <c r="AG131" i="9"/>
  <c r="AH123" i="9"/>
  <c r="AH179" i="9"/>
  <c r="AG232" i="9"/>
  <c r="AF25" i="9"/>
  <c r="AI25" i="9" s="1"/>
  <c r="AF169" i="9"/>
  <c r="AI169" i="9" s="1"/>
  <c r="AH189" i="9"/>
  <c r="AH227" i="9"/>
  <c r="AG230" i="9"/>
  <c r="AG240" i="9"/>
  <c r="AH211" i="9"/>
  <c r="AF182" i="9"/>
  <c r="AI182" i="9" s="1"/>
  <c r="AF41" i="9"/>
  <c r="AI41" i="9" s="1"/>
  <c r="AF89" i="9"/>
  <c r="AI89" i="9" s="1"/>
  <c r="AF137" i="9"/>
  <c r="AI137" i="9" s="1"/>
  <c r="AF184" i="9"/>
  <c r="AI184" i="9" s="1"/>
  <c r="AF219" i="9"/>
  <c r="AI219" i="9" s="1"/>
  <c r="AH72" i="9"/>
  <c r="AG199" i="9"/>
  <c r="AG208" i="9"/>
  <c r="AG219" i="9"/>
  <c r="AG221" i="9"/>
  <c r="AH233" i="9"/>
  <c r="AF45" i="9"/>
  <c r="AI45" i="9" s="1"/>
  <c r="AF93" i="9"/>
  <c r="AI93" i="9" s="1"/>
  <c r="AF141" i="9"/>
  <c r="AI141" i="9" s="1"/>
  <c r="AF185" i="9"/>
  <c r="AI185" i="9" s="1"/>
  <c r="AF230" i="9"/>
  <c r="AI230" i="9" s="1"/>
  <c r="AG182" i="9"/>
  <c r="AH208" i="9"/>
  <c r="AH219" i="9"/>
  <c r="AH221" i="9"/>
  <c r="AG235" i="9"/>
  <c r="AF57" i="9"/>
  <c r="AI57" i="9" s="1"/>
  <c r="AF105" i="9"/>
  <c r="AI105" i="9" s="1"/>
  <c r="AF153" i="9"/>
  <c r="AI153" i="9" s="1"/>
  <c r="AF189" i="9"/>
  <c r="AI189" i="9" s="1"/>
  <c r="AF231" i="9"/>
  <c r="AI231" i="9" s="1"/>
  <c r="AG142" i="9"/>
  <c r="AG144" i="9"/>
  <c r="AG146" i="9"/>
  <c r="AH182" i="9"/>
  <c r="AH206" i="9"/>
  <c r="AF10" i="9"/>
  <c r="AI10" i="9" s="1"/>
  <c r="AF58" i="9"/>
  <c r="AI58" i="9" s="1"/>
  <c r="AF106" i="9"/>
  <c r="AI106" i="9" s="1"/>
  <c r="AF154" i="9"/>
  <c r="AI154" i="9" s="1"/>
  <c r="AF197" i="9"/>
  <c r="AI197" i="9" s="1"/>
  <c r="AF232" i="9"/>
  <c r="AI232" i="9" s="1"/>
  <c r="AG161" i="9"/>
  <c r="AF233" i="9"/>
  <c r="AI233" i="9" s="1"/>
  <c r="AG239" i="9"/>
  <c r="AF60" i="9"/>
  <c r="AI60" i="9" s="1"/>
  <c r="AF156" i="9"/>
  <c r="AI156" i="9" s="1"/>
  <c r="AF202" i="9"/>
  <c r="AI202" i="9" s="1"/>
  <c r="AG155" i="9"/>
  <c r="AG179" i="9"/>
  <c r="AH239" i="9"/>
  <c r="AF72" i="9"/>
  <c r="AI72" i="9" s="1"/>
  <c r="AF203" i="9"/>
  <c r="AI203" i="9" s="1"/>
  <c r="AH177" i="9"/>
  <c r="AG189" i="9"/>
  <c r="AG194" i="9"/>
  <c r="AG227" i="9"/>
  <c r="AF73" i="9"/>
  <c r="AI73" i="9" s="1"/>
  <c r="AF121" i="9"/>
  <c r="AI121" i="9" s="1"/>
  <c r="AF204" i="9"/>
  <c r="AI204" i="9" s="1"/>
  <c r="AG191" i="9"/>
  <c r="AG200" i="9"/>
  <c r="AG229" i="9"/>
  <c r="AF26" i="9"/>
  <c r="AI26" i="9" s="1"/>
  <c r="AF74" i="9"/>
  <c r="AI74" i="9" s="1"/>
  <c r="AF122" i="9"/>
  <c r="AI122" i="9" s="1"/>
  <c r="AF170" i="9"/>
  <c r="AI170" i="9" s="1"/>
  <c r="AF215" i="9"/>
  <c r="AI215" i="9" s="1"/>
  <c r="AH191" i="9"/>
  <c r="AH200" i="9"/>
  <c r="AH229" i="9"/>
  <c r="AH230" i="9"/>
  <c r="AG241" i="9"/>
  <c r="AF27" i="9"/>
  <c r="AI27" i="9" s="1"/>
  <c r="AF75" i="9"/>
  <c r="AI75" i="9" s="1"/>
  <c r="AF123" i="9"/>
  <c r="AI123" i="9" s="1"/>
  <c r="AF171" i="9"/>
  <c r="AI171" i="9" s="1"/>
  <c r="AF216" i="9"/>
  <c r="AI216" i="9" s="1"/>
  <c r="AG197" i="9"/>
  <c r="AF87" i="9"/>
  <c r="AI87" i="9" s="1"/>
  <c r="AF135" i="9"/>
  <c r="AI135" i="9" s="1"/>
  <c r="AF217" i="9"/>
  <c r="AI217" i="9" s="1"/>
  <c r="AG224" i="9"/>
  <c r="AF39" i="9"/>
  <c r="AI39" i="9" s="1"/>
  <c r="AG150" i="9"/>
  <c r="AH197" i="9"/>
  <c r="AG222" i="9"/>
  <c r="I68" i="7" l="1"/>
  <c r="I100" i="7"/>
  <c r="I78" i="7"/>
  <c r="I77" i="7"/>
  <c r="I76" i="7"/>
  <c r="I75" i="7"/>
  <c r="R10" i="7"/>
  <c r="I104" i="7" s="1"/>
  <c r="Q10" i="7"/>
  <c r="I103" i="7" s="1"/>
  <c r="P10" i="7"/>
  <c r="I102" i="7" s="1"/>
  <c r="O10" i="7"/>
  <c r="I101" i="7" s="1"/>
  <c r="N10" i="7"/>
  <c r="I10" i="7"/>
  <c r="I9" i="7"/>
  <c r="I6" i="7"/>
  <c r="I71" i="7"/>
  <c r="I70" i="7"/>
  <c r="I67" i="7"/>
  <c r="I66" i="7"/>
  <c r="I65" i="7"/>
  <c r="I64" i="7"/>
  <c r="I58" i="7"/>
  <c r="I57" i="7"/>
  <c r="I56" i="7"/>
  <c r="I54" i="7"/>
  <c r="I53" i="7"/>
  <c r="I52" i="7"/>
  <c r="I51" i="7"/>
  <c r="I50" i="7"/>
  <c r="I49" i="7"/>
  <c r="I43" i="7"/>
  <c r="I42" i="7"/>
  <c r="I41" i="7"/>
  <c r="I40" i="7"/>
  <c r="I39" i="7"/>
  <c r="I38" i="7"/>
  <c r="I37" i="7"/>
  <c r="I36" i="7"/>
  <c r="I34" i="7"/>
  <c r="I33" i="7"/>
  <c r="I32" i="7"/>
  <c r="I31" i="7"/>
  <c r="I30" i="7"/>
  <c r="I29" i="7"/>
  <c r="I26" i="7"/>
  <c r="I25" i="7"/>
  <c r="I15" i="7"/>
  <c r="I14" i="7"/>
  <c r="I13" i="7"/>
  <c r="I11" i="7"/>
  <c r="F78" i="7"/>
  <c r="F76" i="7"/>
  <c r="F37" i="7"/>
  <c r="I17" i="7" l="1"/>
  <c r="I18" i="7"/>
</calcChain>
</file>

<file path=xl/sharedStrings.xml><?xml version="1.0" encoding="utf-8"?>
<sst xmlns="http://schemas.openxmlformats.org/spreadsheetml/2006/main" count="1541" uniqueCount="627">
  <si>
    <t>Overview PAX Spec Codes</t>
  </si>
  <si>
    <t>Spec Code</t>
  </si>
  <si>
    <t>SAS Description</t>
  </si>
  <si>
    <t>Caterer Description</t>
  </si>
  <si>
    <t>Class</t>
  </si>
  <si>
    <t>Loading Instructions (Widebody)</t>
  </si>
  <si>
    <t>Note</t>
  </si>
  <si>
    <t>4ATL-411050</t>
  </si>
  <si>
    <t xml:space="preserve">IC C S1 CUTLERY </t>
  </si>
  <si>
    <t>Fix Qty 40</t>
  </si>
  <si>
    <t>2ATL-411011</t>
  </si>
  <si>
    <t xml:space="preserve">IC C S1 SALAD </t>
  </si>
  <si>
    <t>Load Scale IC-27</t>
  </si>
  <si>
    <t xml:space="preserve">IC C S1 SA GARNISH </t>
  </si>
  <si>
    <t>C</t>
  </si>
  <si>
    <t>Fix Qty 2</t>
  </si>
  <si>
    <t>2ATL-411050</t>
  </si>
  <si>
    <t xml:space="preserve">IC C S1+S2 BUTTER </t>
  </si>
  <si>
    <t>2ATL-411061</t>
  </si>
  <si>
    <t xml:space="preserve">IC C S1 ST-A MEAT </t>
  </si>
  <si>
    <t>60% (U)</t>
  </si>
  <si>
    <t xml:space="preserve">IC C S1 ST-B FISH </t>
  </si>
  <si>
    <t>60% (D)</t>
  </si>
  <si>
    <t>2ATL-411081</t>
  </si>
  <si>
    <t xml:space="preserve">IC C S1 ST GARNISH </t>
  </si>
  <si>
    <t>2ATL-411091</t>
  </si>
  <si>
    <t xml:space="preserve">IC C S1 HM-A MEAT </t>
  </si>
  <si>
    <t>50% (U)</t>
  </si>
  <si>
    <t>2ATL-411111</t>
  </si>
  <si>
    <t xml:space="preserve">IC C S1 HM-C POULTRY </t>
  </si>
  <si>
    <t>50% (D)</t>
  </si>
  <si>
    <t>2ATL-411121</t>
  </si>
  <si>
    <t xml:space="preserve">IC C S1 HM-D VEG </t>
  </si>
  <si>
    <t>20% (U)</t>
  </si>
  <si>
    <t xml:space="preserve">IC C S1 HM GARNISH </t>
  </si>
  <si>
    <t>2ATL-411141</t>
  </si>
  <si>
    <t xml:space="preserve">IC C S1 DE CHEESE </t>
  </si>
  <si>
    <t>2ATL-411151</t>
  </si>
  <si>
    <t xml:space="preserve">IC C S1 DE CAKE </t>
  </si>
  <si>
    <t>Load Scale IC-29</t>
  </si>
  <si>
    <t xml:space="preserve">IC C S1 DE CAKE GARNISH </t>
  </si>
  <si>
    <t>4ATL-411010</t>
  </si>
  <si>
    <t xml:space="preserve">IC C S1 BRD Type 1 </t>
  </si>
  <si>
    <t>75% (N)</t>
  </si>
  <si>
    <t>Min qty 5.</t>
  </si>
  <si>
    <t>4ATL-411020</t>
  </si>
  <si>
    <t>4ATL-411030</t>
  </si>
  <si>
    <t xml:space="preserve">IC C S1 BRD Type 3 </t>
  </si>
  <si>
    <t>4ATL-411040</t>
  </si>
  <si>
    <t>3ATL-412010</t>
  </si>
  <si>
    <t xml:space="preserve">IC C S2 TSU </t>
  </si>
  <si>
    <t xml:space="preserve">IC C S2 CUTLERY </t>
  </si>
  <si>
    <t>2ATL-412011</t>
  </si>
  <si>
    <t xml:space="preserve">IC C S2 COLD CUTS </t>
  </si>
  <si>
    <t xml:space="preserve">IC C S2 BRD Type 1 </t>
  </si>
  <si>
    <t>60% (N)</t>
  </si>
  <si>
    <t>4ATL-412020</t>
  </si>
  <si>
    <t xml:space="preserve">IC C S2 BRD Croissant </t>
  </si>
  <si>
    <t>2ATL-413011</t>
  </si>
  <si>
    <t>50% (N)</t>
  </si>
  <si>
    <t>3ATL-421010</t>
  </si>
  <si>
    <t xml:space="preserve">IC Y S1 TSU </t>
  </si>
  <si>
    <t>Y</t>
  </si>
  <si>
    <t>2ATL-421011</t>
  </si>
  <si>
    <t xml:space="preserve">IC Y S1 ST </t>
  </si>
  <si>
    <t>2ATL-421021</t>
  </si>
  <si>
    <t xml:space="preserve">IC Y S1 HM-A </t>
  </si>
  <si>
    <t>2ATL-421031</t>
  </si>
  <si>
    <t xml:space="preserve">IC Y/M S1 HM-B </t>
  </si>
  <si>
    <t>40% (U)</t>
  </si>
  <si>
    <t>Also used for M.</t>
  </si>
  <si>
    <t xml:space="preserve">IC Y S1 DE </t>
  </si>
  <si>
    <t>4ATL-421010</t>
  </si>
  <si>
    <t>120% (N)</t>
  </si>
  <si>
    <t>Min qty 10.</t>
  </si>
  <si>
    <t>3ATL-422010</t>
  </si>
  <si>
    <t xml:space="preserve">IC Y S2 TSU </t>
  </si>
  <si>
    <t>2ATL-422011</t>
  </si>
  <si>
    <t xml:space="preserve">IC Y S2 BREAKFAST PLATE </t>
  </si>
  <si>
    <t>3ATL-431010</t>
  </si>
  <si>
    <t xml:space="preserve">IC M S1 TSU </t>
  </si>
  <si>
    <t>M</t>
  </si>
  <si>
    <t>2ATL-431011</t>
  </si>
  <si>
    <t xml:space="preserve">IC M S1 SALAD </t>
  </si>
  <si>
    <t>Also used for Y.</t>
  </si>
  <si>
    <t>2ATL-431020</t>
  </si>
  <si>
    <t xml:space="preserve">IC M S1 DE </t>
  </si>
  <si>
    <t>2ATL-432020</t>
  </si>
  <si>
    <t xml:space="preserve">IC M S2 SW </t>
  </si>
  <si>
    <t>4ATL-432010</t>
  </si>
  <si>
    <t xml:space="preserve">IC M S2 JUICE </t>
  </si>
  <si>
    <t>3ATL-9110BK1</t>
  </si>
  <si>
    <t>-</t>
  </si>
  <si>
    <t>3ATL-9120BK1</t>
  </si>
  <si>
    <t>3ATL-9210BK1</t>
  </si>
  <si>
    <t>3ATL-9220BK1</t>
  </si>
  <si>
    <t>X</t>
  </si>
  <si>
    <t>For split handling use 3333-IC954-T + 3333-IC954-OR.</t>
  </si>
  <si>
    <t>For split handling use 3334-IC954-T + 3334-IC954-OR.</t>
  </si>
  <si>
    <t>For split handling use 3591-IC954-T + 3591-IC954-OR.</t>
  </si>
  <si>
    <t>Wet Ice</t>
  </si>
  <si>
    <t>If needed</t>
  </si>
  <si>
    <t>Dry Ice</t>
  </si>
  <si>
    <t>8ALL-GARBAGE3333</t>
  </si>
  <si>
    <t>International Garbage Charge (3333)</t>
  </si>
  <si>
    <t>8ALL-GARBAGE3334</t>
  </si>
  <si>
    <t>International Garbage Charge (3334)</t>
  </si>
  <si>
    <t>8ALL-GARBAGE3591</t>
  </si>
  <si>
    <t>International Garbage Charge (3591)</t>
  </si>
  <si>
    <t>8ALL-ACDELIVERY</t>
  </si>
  <si>
    <t>Aircraft Delivery Charge</t>
  </si>
  <si>
    <t xml:space="preserve">IC C S1 AVML </t>
  </si>
  <si>
    <t xml:space="preserve">IC C S1 CHML </t>
  </si>
  <si>
    <t xml:space="preserve">IC C S1 LGML </t>
  </si>
  <si>
    <t xml:space="preserve">IC C S1 VGML </t>
  </si>
  <si>
    <t xml:space="preserve">IC C S1 VLML </t>
  </si>
  <si>
    <t xml:space="preserve">IC C S2 AVML </t>
  </si>
  <si>
    <t xml:space="preserve">IC C S2 CHML </t>
  </si>
  <si>
    <t xml:space="preserve">IC C S2 LGML </t>
  </si>
  <si>
    <t>IC C S2 VGML</t>
  </si>
  <si>
    <t xml:space="preserve">IC C S2 VLML </t>
  </si>
  <si>
    <t xml:space="preserve">IC Y S1 AVML </t>
  </si>
  <si>
    <t xml:space="preserve">IC Y S1 CHML </t>
  </si>
  <si>
    <t xml:space="preserve">IC Y S1 LGML </t>
  </si>
  <si>
    <t xml:space="preserve">IC Y S1 VGML </t>
  </si>
  <si>
    <t xml:space="preserve">IC Y S1 VLML </t>
  </si>
  <si>
    <t xml:space="preserve">IC Y S2 AVML </t>
  </si>
  <si>
    <t xml:space="preserve">IC Y S2 CHML </t>
  </si>
  <si>
    <t xml:space="preserve">IC Y S2 LGML </t>
  </si>
  <si>
    <t xml:space="preserve">IC Y S2 VGML </t>
  </si>
  <si>
    <t xml:space="preserve">IC Y S2 VLML </t>
  </si>
  <si>
    <t xml:space="preserve">IC M S1 ADML </t>
  </si>
  <si>
    <t xml:space="preserve">IC M S1 CDML </t>
  </si>
  <si>
    <t xml:space="preserve">IC M S1 GCML </t>
  </si>
  <si>
    <t xml:space="preserve">IC M S1 VVML </t>
  </si>
  <si>
    <t xml:space="preserve">IC M S1 EVML </t>
  </si>
  <si>
    <t xml:space="preserve">IC M S2 ADML </t>
  </si>
  <si>
    <t xml:space="preserve">IC M S2 CDML </t>
  </si>
  <si>
    <t xml:space="preserve">IC M S2 GCML </t>
  </si>
  <si>
    <t xml:space="preserve">IC M S2 VVML </t>
  </si>
  <si>
    <t xml:space="preserve">IC M S2 EVML </t>
  </si>
  <si>
    <t xml:space="preserve">IC M S2 GHML </t>
  </si>
  <si>
    <t xml:space="preserve">IC M S1 MEML </t>
  </si>
  <si>
    <t xml:space="preserve">IC M S1 FIML </t>
  </si>
  <si>
    <t xml:space="preserve">IC M S1 CKML </t>
  </si>
  <si>
    <t xml:space="preserve">IC M S1 GHML </t>
  </si>
  <si>
    <t>IFX Codes for IC Crew Meal Concept (eff 01JUN24, UFN)</t>
  </si>
  <si>
    <t>America -&gt; Scan</t>
  </si>
  <si>
    <t>Loading Instructions</t>
  </si>
  <si>
    <t>3ATL-550003</t>
  </si>
  <si>
    <t xml:space="preserve">CRW P CM TSU </t>
  </si>
  <si>
    <t>P</t>
  </si>
  <si>
    <t>Bulk; disposable cutlery, PP local butter and bread</t>
  </si>
  <si>
    <t>3ATL-560003</t>
  </si>
  <si>
    <t>CRW K CM A</t>
  </si>
  <si>
    <t>K</t>
  </si>
  <si>
    <t>Sandwich Type A - Cheese and Ham</t>
  </si>
  <si>
    <t>3ATL-560004</t>
  </si>
  <si>
    <t>CRW K CM B</t>
  </si>
  <si>
    <t>Sandwich Type B - Cheese</t>
  </si>
  <si>
    <t>2ATL-550025</t>
  </si>
  <si>
    <t xml:space="preserve">CRW P CM - Poultry or Salmon A </t>
  </si>
  <si>
    <t>2ATL-550026</t>
  </si>
  <si>
    <t xml:space="preserve">CRW P CM - Meat B </t>
  </si>
  <si>
    <t>3ATL-550001</t>
  </si>
  <si>
    <t xml:space="preserve">CRW P HM TSU </t>
  </si>
  <si>
    <t>Bulk: Vinaigrette dressing, PP local butter, bread, dessert (PP chocolate piece), disposable cutlery</t>
  </si>
  <si>
    <t>3ATL-560001</t>
  </si>
  <si>
    <t xml:space="preserve">CRW K HM TSU </t>
  </si>
  <si>
    <t>2ATL-550001</t>
  </si>
  <si>
    <t xml:space="preserve">CRW P HM Salad </t>
  </si>
  <si>
    <t>2ATL-560001</t>
  </si>
  <si>
    <t xml:space="preserve">CRW K HM Salad </t>
  </si>
  <si>
    <t>2ATL-550010</t>
  </si>
  <si>
    <t xml:space="preserve">CRW P HM A </t>
  </si>
  <si>
    <t>2ATL-560010</t>
  </si>
  <si>
    <t xml:space="preserve">CRW K HM A </t>
  </si>
  <si>
    <t>2ATL-550011</t>
  </si>
  <si>
    <t xml:space="preserve">CRW P HM B </t>
  </si>
  <si>
    <t>2ATL-560011</t>
  </si>
  <si>
    <t xml:space="preserve">CRW K HM B </t>
  </si>
  <si>
    <t>3ATL-550002</t>
  </si>
  <si>
    <t xml:space="preserve">CRW P HB TSU </t>
  </si>
  <si>
    <t>Bulk: PP Local yoghurt, PP local cheese, bread, PP local butter and disposable cutlery</t>
  </si>
  <si>
    <t>3ATL-560002</t>
  </si>
  <si>
    <t xml:space="preserve">CRW K HB TSU </t>
  </si>
  <si>
    <t>2ATL-550020</t>
  </si>
  <si>
    <t xml:space="preserve">CRW P HB </t>
  </si>
  <si>
    <t>2ATL-560020</t>
  </si>
  <si>
    <t xml:space="preserve">CRW K HB </t>
  </si>
  <si>
    <t>3ATL-35JVG0</t>
  </si>
  <si>
    <t>CRW P HM VGML (JVG)</t>
  </si>
  <si>
    <t>3ATL-35JVL0</t>
  </si>
  <si>
    <t>CRW P HM VLML (JVL)</t>
  </si>
  <si>
    <t>3ATL-35JLG0</t>
  </si>
  <si>
    <t>CRW P HM LGML (JLG)</t>
  </si>
  <si>
    <t>3ATL-36JVG0</t>
  </si>
  <si>
    <t>CRW K HM VGML (JVG)</t>
  </si>
  <si>
    <t>3ATL-36JVL0</t>
  </si>
  <si>
    <t>CRW K HM VLML (JVL)</t>
  </si>
  <si>
    <t>3ATL-36JLG0</t>
  </si>
  <si>
    <t>CRW K HM LGML (JLG)</t>
  </si>
  <si>
    <t>3ATL-35FVG0</t>
  </si>
  <si>
    <t>CRW P HB VGML (FVG)</t>
  </si>
  <si>
    <t>3ATL-35FVL0</t>
  </si>
  <si>
    <t>CRW P HB VLML (FVL)</t>
  </si>
  <si>
    <t>3ATL-35FLG0</t>
  </si>
  <si>
    <t>CRW P HB LGML (FLG)</t>
  </si>
  <si>
    <t>3ATL-36FVG0</t>
  </si>
  <si>
    <t>CRW K HB VGML (FVG)</t>
  </si>
  <si>
    <t>3ATL-36FVL0</t>
  </si>
  <si>
    <t>CRW K HB VLML (FVL)</t>
  </si>
  <si>
    <t>3ATL-36FLG0</t>
  </si>
  <si>
    <t>CRW K HB LGML (FLG)</t>
  </si>
  <si>
    <t>3ATL-35OVG0</t>
  </si>
  <si>
    <t>CRW P CM VGML (OVG)</t>
  </si>
  <si>
    <t>3ATL-35OVL0</t>
  </si>
  <si>
    <t>CRW P CM VLML (OVL)</t>
  </si>
  <si>
    <t>3ATL-35OLG0</t>
  </si>
  <si>
    <t>CRW P CM LGML (OLG)</t>
  </si>
  <si>
    <t>3ATL-36OVG0</t>
  </si>
  <si>
    <t>CRW K SWD VGML (OVG)</t>
  </si>
  <si>
    <t>3ATL-36OVL0</t>
  </si>
  <si>
    <t>CRW K SWD VLML (OVL)</t>
  </si>
  <si>
    <t>3ATL-36OLG0</t>
  </si>
  <si>
    <t>CRW K SWD LGML (OLG)</t>
  </si>
  <si>
    <t xml:space="preserve">IC C/Y IBS SW </t>
  </si>
  <si>
    <t>IC M S1 BMML</t>
  </si>
  <si>
    <t>IC M S1 BVML</t>
  </si>
  <si>
    <t>IC M S1 BPML</t>
  </si>
  <si>
    <t>Premium Economy Meal</t>
  </si>
  <si>
    <t>Pre-Select Business Hot Meal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</si>
  <si>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</si>
  <si>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</si>
  <si>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</si>
  <si>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</si>
  <si>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</si>
  <si>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</si>
  <si>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</si>
  <si>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</si>
  <si>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</si>
  <si>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</si>
  <si>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</si>
  <si>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</si>
  <si>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</si>
  <si>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</si>
  <si>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</si>
  <si>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</si>
  <si>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</si>
  <si>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</si>
  <si>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</si>
  <si>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</si>
  <si>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</si>
  <si>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</si>
  <si>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</si>
  <si>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</si>
  <si>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</si>
  <si>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</si>
  <si>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</si>
  <si>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</si>
  <si>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</si>
  <si>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</si>
  <si>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</si>
  <si>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</si>
  <si>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3ATL-9110CK0</t>
  </si>
  <si>
    <t>3ATL-9110GH0</t>
  </si>
  <si>
    <t>3ATL-9310ME0</t>
  </si>
  <si>
    <t>3ATL-9310FI0</t>
  </si>
  <si>
    <t>3ATL-9310CK0</t>
  </si>
  <si>
    <t>3ATL-9310GH0</t>
  </si>
  <si>
    <r>
      <t xml:space="preserve">Min qty 5. </t>
    </r>
    <r>
      <rPr>
        <b/>
        <sz val="10"/>
        <color theme="1"/>
        <rFont val="Arial"/>
        <family val="2"/>
        <scheme val="minor"/>
      </rPr>
      <t>TBD</t>
    </r>
  </si>
  <si>
    <t>Caterer: MA-US | Station: ATL</t>
  </si>
  <si>
    <t xml:space="preserve">IC C S1 LEMON WEDGES </t>
  </si>
  <si>
    <t>IC-FIX1</t>
  </si>
  <si>
    <t xml:space="preserve">IC C S1 LIME WEDGES </t>
  </si>
  <si>
    <t xml:space="preserve">IC C S1 CELERY STICKS </t>
  </si>
  <si>
    <t xml:space="preserve">IC C S1 LEMON SLICES </t>
  </si>
  <si>
    <t>IC-FIX2</t>
  </si>
  <si>
    <t>3ATL-9110FI0</t>
  </si>
  <si>
    <t>IC M S1 BFML</t>
  </si>
  <si>
    <t>Replenish Water Bottle 0,5L</t>
  </si>
  <si>
    <t>Replenish</t>
  </si>
  <si>
    <t>Replenish Still Water Bottle 1,5L</t>
  </si>
  <si>
    <t>Replenish Sparkling Water Bottle 1,0L</t>
  </si>
  <si>
    <t>Y/M</t>
  </si>
  <si>
    <t>Standard Load C Milk Tetra 0,25L</t>
  </si>
  <si>
    <t>Standard Load Y/M Milk Tetra 0,25L</t>
  </si>
  <si>
    <t xml:space="preserve">Standard Load Y/M Lemon Slices </t>
  </si>
  <si>
    <t>CRW P Water Bottle 0,5L</t>
  </si>
  <si>
    <t>CRW P Milk Tetra 0,25L</t>
  </si>
  <si>
    <t>CRW K Water Bottle 0,5L</t>
  </si>
  <si>
    <t>CRW K Milk Tetra 0,25L</t>
  </si>
  <si>
    <t>Standard Load</t>
  </si>
  <si>
    <t>4ATL-453601</t>
  </si>
  <si>
    <t>4ATL-453602</t>
  </si>
  <si>
    <t>4ATL-463601</t>
  </si>
  <si>
    <t>4ATL-463602</t>
  </si>
  <si>
    <t>4ATL-443601</t>
  </si>
  <si>
    <t>4ATL-443602</t>
  </si>
  <si>
    <t>4ATL-443603</t>
  </si>
  <si>
    <t>4ATL-443607</t>
  </si>
  <si>
    <t>4ATL-443608</t>
  </si>
  <si>
    <t>4ATL-443609</t>
  </si>
  <si>
    <t xml:space="preserve">Pre-Select Business Hot Meal </t>
  </si>
  <si>
    <t xml:space="preserve">Premium Economy Meal </t>
  </si>
  <si>
    <t>BUSINESS CLASS</t>
  </si>
  <si>
    <t>1st Service</t>
  </si>
  <si>
    <t>2nd Service</t>
  </si>
  <si>
    <t>In between Service</t>
  </si>
  <si>
    <t>PLUS CLASS</t>
  </si>
  <si>
    <t>GO CLASS</t>
  </si>
  <si>
    <t>BANK MEALS</t>
  </si>
  <si>
    <t>Normal Concept</t>
  </si>
  <si>
    <t>HANDLING AND OTHER CHARGES</t>
  </si>
  <si>
    <t>SPML</t>
  </si>
  <si>
    <t>4ATL-411080</t>
  </si>
  <si>
    <t>2ATL-411021</t>
  </si>
  <si>
    <t>2ATL-411171</t>
  </si>
  <si>
    <t>4ATL-412030</t>
  </si>
  <si>
    <t>2ATL-421041</t>
  </si>
  <si>
    <t>PSML and P0ML</t>
  </si>
  <si>
    <t>4ATL-411060</t>
  </si>
  <si>
    <t>4ATL-411070</t>
  </si>
  <si>
    <t>2ATL-412111</t>
  </si>
  <si>
    <t>IC C S2 OVERNIGHT OATS</t>
  </si>
  <si>
    <t>2ATL-411041</t>
  </si>
  <si>
    <t>2ATL-411051</t>
  </si>
  <si>
    <t>Express Meal Service</t>
  </si>
  <si>
    <t>2ATL-411125</t>
  </si>
  <si>
    <t>IC C S1 XPRS TSU</t>
  </si>
  <si>
    <t>IC C S1 XPRS SALAD + GARNISH</t>
  </si>
  <si>
    <t>IC C S1 XPRS ST-A MEAT + GARNISH</t>
  </si>
  <si>
    <t>IC C S1 XPRS ST-B FISH + GARNISH</t>
  </si>
  <si>
    <t>IC C S1 XPRS CHEESE PLATED</t>
  </si>
  <si>
    <t>3ATL-411045</t>
  </si>
  <si>
    <t>2ATL-411045</t>
  </si>
  <si>
    <t>2ATL-411235</t>
  </si>
  <si>
    <t>2ATL-411245</t>
  </si>
  <si>
    <t>1st Service FD/CC - Cold Meal/Sandwich (O)</t>
  </si>
  <si>
    <t>2nd Service FD/CC - Hot Meal (J)</t>
  </si>
  <si>
    <t>3rd Service FD/CC - Hot Breakfast (F)</t>
  </si>
  <si>
    <t>Fixed amount 4</t>
  </si>
  <si>
    <t>IC C S1 + S2 Unused BKML 50%</t>
  </si>
  <si>
    <t>IC C S1 + S2 Used BKML 100%</t>
  </si>
  <si>
    <t>IC Y S1 + S2 Used BKML 100%</t>
  </si>
  <si>
    <t>IC Y S1 + S2 Unused BKML 50%</t>
  </si>
  <si>
    <t>3333-IC902</t>
  </si>
  <si>
    <t>3334-IC902</t>
  </si>
  <si>
    <t>3591-IC902</t>
  </si>
  <si>
    <t>3333-IC954-T</t>
  </si>
  <si>
    <t>3333-IC954-OR</t>
  </si>
  <si>
    <t>SK0902-0904-0908-0910-0926-0928-0944-0946</t>
  </si>
  <si>
    <t>SK0954-0956-0958 Terminating (Offload)</t>
  </si>
  <si>
    <t>SK0954-0956-0958 Originating (Reload)</t>
  </si>
  <si>
    <t>8ALL-WETICE3333</t>
  </si>
  <si>
    <t>8ALL-WETICE3334</t>
  </si>
  <si>
    <t>8ALL-WETICE3591</t>
  </si>
  <si>
    <t>8ALL-DRYICE3333</t>
  </si>
  <si>
    <t>8ALL-DRYICE3334</t>
  </si>
  <si>
    <t>8ALL-DRYICE3591</t>
  </si>
  <si>
    <r>
      <t xml:space="preserve">Concept: </t>
    </r>
    <r>
      <rPr>
        <b/>
        <sz val="10"/>
        <color theme="1"/>
        <rFont val="Arial"/>
        <family val="2"/>
        <scheme val="minor"/>
      </rPr>
      <t>01JUN24</t>
    </r>
    <r>
      <rPr>
        <sz val="10"/>
        <color theme="1"/>
        <rFont val="Arial"/>
        <family val="2"/>
        <scheme val="minor"/>
      </rPr>
      <t xml:space="preserve"> | Version: 1 | Updated: 15JUN24</t>
    </r>
  </si>
  <si>
    <t>Concept: 01JUN24 | Version: 1 | Updated: 15JUN24</t>
  </si>
  <si>
    <t xml:space="preserve">IC C S1 DE FRUIT </t>
  </si>
  <si>
    <t>8ATL-OVERHEAD-C</t>
  </si>
  <si>
    <t>8ATL-OVERHEAD-Y</t>
  </si>
  <si>
    <t>8ATL-OVERHEAD-M</t>
  </si>
  <si>
    <t>IC C Overhead</t>
  </si>
  <si>
    <t>IC Y Overhead</t>
  </si>
  <si>
    <t>IC M Overhead</t>
  </si>
  <si>
    <t xml:space="preserve"> 15g salad with 1 garnish </t>
  </si>
  <si>
    <t>IC P Overhead</t>
  </si>
  <si>
    <t>IC K Overhead</t>
  </si>
  <si>
    <t xml:space="preserve">Butter, Linen, Coffee Cup </t>
  </si>
  <si>
    <t>C Hotmeal 1st Meat Option</t>
  </si>
  <si>
    <t>C Hotmeal 1st Fish Option</t>
  </si>
  <si>
    <t>C Hotmeal 1st Poultry Option</t>
  </si>
  <si>
    <t>C Hotmeal 1st Veg Option</t>
  </si>
  <si>
    <t xml:space="preserve">IC C S1 BRD Type 2 </t>
  </si>
  <si>
    <t>4ATL-412010</t>
  </si>
  <si>
    <t>4ATL-412015</t>
  </si>
  <si>
    <t xml:space="preserve">IC C S2 BRD Type 2 </t>
  </si>
  <si>
    <t>4ATL-422010</t>
  </si>
  <si>
    <t xml:space="preserve">IC Y S2 BRD Type 1 </t>
  </si>
  <si>
    <t>4ATL-431010</t>
  </si>
  <si>
    <t xml:space="preserve">IC M S1 BRD Type 1 </t>
  </si>
  <si>
    <t>8ATL-OVERHEAD-P</t>
  </si>
  <si>
    <t>8ATL-OVERHEAD-K</t>
  </si>
  <si>
    <t xml:space="preserve">IC Y S1 BRD Type 1 </t>
  </si>
  <si>
    <t>2ATL-411181</t>
  </si>
  <si>
    <t xml:space="preserve">PAX COUNT </t>
  </si>
  <si>
    <t>C CLASS</t>
  </si>
  <si>
    <t>Y CLASS</t>
  </si>
  <si>
    <t>M CLASS</t>
  </si>
  <si>
    <t>P CLASS</t>
  </si>
  <si>
    <t>K CLASS</t>
  </si>
  <si>
    <t xml:space="preserve">REGULAR MEAL </t>
  </si>
  <si>
    <t xml:space="preserve">LOADING </t>
  </si>
  <si>
    <t>FULL FLIGHT QTY COUNT</t>
  </si>
  <si>
    <t>pax count</t>
  </si>
  <si>
    <t>meal count</t>
  </si>
  <si>
    <t xml:space="preserve">Used bank </t>
  </si>
  <si>
    <t>Overhead</t>
  </si>
  <si>
    <t>Full Capacity</t>
  </si>
  <si>
    <t>Cycle 2 Price</t>
  </si>
  <si>
    <t>Cycle 3 Price</t>
  </si>
  <si>
    <t>PSML (C ONLY)</t>
  </si>
  <si>
    <t>SAS</t>
  </si>
  <si>
    <t>POML (M ONLY</t>
  </si>
  <si>
    <t>USED BANK MEAL</t>
  </si>
  <si>
    <t>MAX CHARGE THE CAPACITY</t>
  </si>
  <si>
    <t xml:space="preserve">CREW K C3 HB FRITTATA, KALE, BREAKFAST POTATOES, TURKEY SAUSAGE LINK </t>
  </si>
  <si>
    <t xml:space="preserve">CREW P C3 HB FRITTATA, KALE, BREAKFAST POTATOES, TURKEY SAUSAGE LINK </t>
  </si>
  <si>
    <t>CREW K C3 HM B MISO GLAZED SALMON, SHITAKE RICE, BABY BOK CHOY, SOY GINGER BROTH</t>
  </si>
  <si>
    <t>CREW P C3 HM A MISO GLAZED SALMON, SHITAKE RICE, BABY BOK CHOY, SOY GINGER BROTH</t>
  </si>
  <si>
    <t>CREW K C3 HM B C3 POULTRY HOT HONEY GLAZED CHICKEN THIHG, TRICOLOR PEPPER, SWEET POTATO RISOTTO, GARLIC BROCCOLI</t>
  </si>
  <si>
    <t>CREW P C3 HM A C3 POULTRY HOT HONEY GLAZED CHICKEN THIHG, TRICOLOR PEPPER, SWEET POTATO RISOTTO, GARLIC BROCCOLI</t>
  </si>
  <si>
    <t>CREW K C3 HM SALAD MESCLUN MIX, CUCUMBER CCHERRY TOMATO AGED CHEDDAR</t>
  </si>
  <si>
    <t>CREW P C3 HM SALAD MESCLUN MIX, CUCUMBER CCHERRY TOMATO AGED CHEDDAR</t>
  </si>
  <si>
    <t xml:space="preserve">YC C3 BRD TYPE 2 HONEY WHEAT ROLL </t>
  </si>
  <si>
    <t>YC C3 DE PUMPKIN CHEESE CAKE BAR</t>
  </si>
  <si>
    <t xml:space="preserve">YC C3 HM B BBQ GRILLED CHICKEN RHIGH, BBQ SAUCE, CORN SUCCOTASH, MAPLE SWEET POTATO MASH </t>
  </si>
  <si>
    <t>YC C3 SALAD MIX MESCLUN, CARROT, CHERRY TOMATO AGED CHEDDAR</t>
  </si>
  <si>
    <t>PY C3 BREAKFAST PLATE HERB ROASTED TURKEY BREAST, AGEN WHITE CHEDDAR, BOILD EGG, CHERRY TOMATO, CUCUMBER BATON, LEAF, CANTALOUPE, PINEAPPLE</t>
  </si>
  <si>
    <t>PY C3 DE MINI PUMPKIN PIE, WITH SPICE CRÈME GRAICHE</t>
  </si>
  <si>
    <t xml:space="preserve">PY C3 HM B BBQ GRILLED CHICKEN RHIGH, BBQ SAUCE, CORN SUCCOTASH, MAPLE SWEET POTATO MASH </t>
  </si>
  <si>
    <t>PY C3 HM A FISH SHRIMP ETOUFFEE, CAJUN SEASONED RICE, ROASTED PEPPER ONION AND OKRA</t>
  </si>
  <si>
    <t>BC C3 BRK FRUIT MUESLI, GEOGIA PEACH, BLUEBERRY</t>
  </si>
  <si>
    <t xml:space="preserve">BC C3 COLD CUT CHIVE CREAM CHEESE, BEECHER FLAGSHIP CHEDDAR, TURKEY BREAST HEYWOOD, SALAMI, LEAF, CUCUMBER, CHERRY TOMATO </t>
  </si>
  <si>
    <t>BC C3 DE FRUIT GRAPE. HONEYDEW. CANTOLOUPE, WATERMELON, 150G EACH</t>
  </si>
  <si>
    <t>BC C3 DE CAKE GARNISH STRAWBERRY COULIS 200G</t>
  </si>
  <si>
    <t xml:space="preserve">BC C3 DE CAKE CHOCOLATE MOUSSE CAKE </t>
  </si>
  <si>
    <t>BC C3 DE CHEESE GRIFFIN, ASHER BLUE</t>
  </si>
  <si>
    <t>BC C3 HM PRE-SELECT FISH DISH MISO GLAZED SALMON, SHITAKE RICE, BABY BOK CHOY, SOY GINGER BROTH</t>
  </si>
  <si>
    <t>BC C3 HM D VEG PASTA MAMI GOAT CHEESE APPLE RAVIOLI</t>
  </si>
  <si>
    <t>BC C3 HM C POULTRY HOT HONEY GLAZED CHICKEN THIHG, TRICOLOR PEPPER, SWEET POTATO RISOTTO, GARLIC BROCCOLI</t>
  </si>
  <si>
    <t>BC C3 HM A MEAT SMOKED BRAISED SHORT RIB, BBQ JUS, CARAMELIZED ONION, GROUND GRITS, SWEET CORN SUCCOTASH</t>
  </si>
  <si>
    <t>BC C3 STARTER GARNISH CRISPY TORTILLA STRIPS 100G</t>
  </si>
  <si>
    <t>BC C3 STARTER B SEARED AHI TUNA, POACHED GINGERLING POTATO. CONFIT TOMATO, CAPER GARLIC AOILI</t>
  </si>
  <si>
    <t>BC C3 STARTER A GRILLED PEACHES WRAPPED WITH PROSCUITTO, MOZZARELLA, ARUGULA, BALSAMIC PEARLS, OLIVE OIL</t>
  </si>
  <si>
    <t>BC C3 GARNISH SAVORY GRANOLA 100G</t>
  </si>
  <si>
    <t>BC C3 SALAD MESCLUN MIX GREEN 250G</t>
  </si>
  <si>
    <t xml:space="preserve">BC PRE SELECT MEAL FISH - SEARED SEABASS, ,MASH POTATOES, ASPARAGUS, TRUFFLE CREAM </t>
  </si>
  <si>
    <t xml:space="preserve">PY TSU CHEESE - MINI BRIE WEDGE INVD WRAP, ILE DE GRANCE CHEESE </t>
  </si>
  <si>
    <t xml:space="preserve">MARMALADE ORANGE JM SMUCKER </t>
  </si>
  <si>
    <t>YOGURT UPSTATE</t>
  </si>
  <si>
    <t xml:space="preserve">NATURE VALLEY GRANOLA BAR </t>
  </si>
  <si>
    <t xml:space="preserve">MILK JIGGER </t>
  </si>
  <si>
    <t xml:space="preserve">PY CRACKER </t>
  </si>
  <si>
    <t>CABIN CREW K HB SCRAMBLE EGG, KALE, POTATOES, TURKEY SAUSAGE, HAM</t>
  </si>
  <si>
    <t>DECK CREW P HB SCRAMBLE EGG, KALE, POTATOES, TURKEY SAUSAGE, HAM</t>
  </si>
  <si>
    <t xml:space="preserve">CREW CHEESE </t>
  </si>
  <si>
    <t>CREW YOGURT</t>
  </si>
  <si>
    <t>CABIN CREW K HM SALAD CHOPPED ROMAIN LETTUCE, CUCUMBER SLICE, CARROT JULIENNE</t>
  </si>
  <si>
    <t>DECK CREW P HM SALAD CHOPPED ROMAIN LETTUCE, CUCUMBER SLICE, CARROT JULIENCE</t>
  </si>
  <si>
    <t>CREW VINAIGRETTE DRESSING</t>
  </si>
  <si>
    <t>DECK CREW CM A PASTRAMI, GOUDA CHEESE, MESCLUN MIX, CHERRY TOMATO RED GRAPES, PASTA PESTO SALAD</t>
  </si>
  <si>
    <t xml:space="preserve">DECK CREW CM SMOKE SALMON, GOUDA CHEESE SLICE, BABY SPINACH, PICKLED RED ONION, RED CHERRY TOMATO, CAPER, POTATO SALAD </t>
  </si>
  <si>
    <t>CABIN CREW CM B - FRESH MOZZARELLA, PESTO MAYO, ROASTED TOMATO, BABY SPINACH, WHEAT TOLL, PASTA  PESTO SALAD</t>
  </si>
  <si>
    <t>CABIN CREW CM A - HAM, MAYO, RED PEPPER STRIP, ROMAIN LETTUCE, CIABATTA BREADCUMBER, MESCLUN MIX, PEMPERNICKEL ROLL POTATO SALAD</t>
  </si>
  <si>
    <t>CREW BREAD MILTIGRAIN</t>
  </si>
  <si>
    <t>CREW CUTLERY DISPOSAL</t>
  </si>
  <si>
    <t>CREW BUTTER</t>
  </si>
  <si>
    <t>CREW TSU</t>
  </si>
  <si>
    <t>PY/YC BUTTER</t>
  </si>
  <si>
    <t>BC BRD TYPE 1 KISS ROLL</t>
  </si>
  <si>
    <t>CABIN CREW TSU</t>
  </si>
  <si>
    <t>DECK CREW TSU</t>
  </si>
  <si>
    <t xml:space="preserve">YC C3 SW BUTTERMILK BISCUIT, TURKEY SAUSAGE PATTY, AMERICAN CHEESE SLICE </t>
  </si>
  <si>
    <t>YC C2 SW NOMINATED SANDWICH (COST PASS THROUGH)</t>
  </si>
  <si>
    <t xml:space="preserve">YC C3 JUICE CUP CRANBERRY JUICE </t>
  </si>
  <si>
    <t xml:space="preserve">YC C2 JUICE CUP APPLE JUICE </t>
  </si>
  <si>
    <t xml:space="preserve">YC C3 BRD TYPE 2 WHEAT POTATO ROLL </t>
  </si>
  <si>
    <t xml:space="preserve">YC C2 BRD TYPE 1 HONEY WHEAT ROLL </t>
  </si>
  <si>
    <t>YC C3 DE PASSION FRUIT MOUSSE, BLUEBERRY COULIS</t>
  </si>
  <si>
    <t>YC C2 DE STRAWBERRY MOUSSE, WHITE CHOCOLATE CURLS</t>
  </si>
  <si>
    <t>YC C3 HM B BBQ CHICKEN THIGH, BBQ SAUCE, GREEN BEANS, MASH POTATOES</t>
  </si>
  <si>
    <t>YC C2 HM B ROASTED CHICKEN THIGH WITH TRUFFLE CREAM SAUCE, SPINACH WITH GARLIC, MASH POTATOES, AND BABY CARROT</t>
  </si>
  <si>
    <t xml:space="preserve">YC C3 SALAD BABY ARUGULA, STRAWBERRY, FETA </t>
  </si>
  <si>
    <t xml:space="preserve">YC C2 SALAD MESCLUN GREEN, CUCUMBER SLICE, SHREDDED CARROT, BOCCANCINI MOZZARELLA BALL </t>
  </si>
  <si>
    <t>YC TSU</t>
  </si>
  <si>
    <t>PY C3 BREAKFAST PLATE CORNED BEEF, SWISS CHEESE, EGG, CHERRY TOMATO, MESCLUN, ORANGE WHEEL, STRAWBERRY, BLUEBERRY</t>
  </si>
  <si>
    <t>PY C2 BREAKFAST PLATE HAM, GEORGIA GOUDA, EGG, CHERRY TOMATO, GREEN LEAF LETTUCE, CANTALOUPE AND HONEYDEW</t>
  </si>
  <si>
    <t xml:space="preserve">PY BRD TYPE 1 MULTIGRAIN BEER AND CHEESE ROLL </t>
  </si>
  <si>
    <t xml:space="preserve">PY BRD TYPE 1 SIX GRAIN ROLL </t>
  </si>
  <si>
    <t>PY C3 DE LEMON BLUEBERRY CHEESE CAKE, STRAWBERRY QUARTER, BLUEBERRY</t>
  </si>
  <si>
    <t>PY C2 DE PEACH COBBLER TART, BLACKBERRY PASTRY CREAM</t>
  </si>
  <si>
    <t>PY C3 HM B POULTRY ROAST LEMON CHICKEN LEG QUARTER, PICCATA SAUCE, FINGERLING POTATO, BROCCOLINI</t>
  </si>
  <si>
    <t>PY C2 HM B MEAT ROASTED CHICKEN THIGH WITH TRUFFLE CREAM SAUCE, SPINACH WITH GARLIC, MASH POTATOES, AND BABY CARROT</t>
  </si>
  <si>
    <t>PY C3 HM A FISH SEABASS, BOULLABAISE SAUCE, SAFFRON COUSCOU, ROASTED SUMMER VEGETABLES</t>
  </si>
  <si>
    <t xml:space="preserve">PY C2 HM A FISH COD ALMONDINE, TARRAGON CREAM SAUCE, WILD RICE PILAF, ROASTED CAULIFLOWER, CHERRY TOAMTO </t>
  </si>
  <si>
    <t>PY C3 STARTER TURKEY SLICE, QUINOA LENTIL SALD, FENNEL SLAW</t>
  </si>
  <si>
    <t xml:space="preserve">PY C2 STARTER PASTRAMI, FARRO SALAD, </t>
  </si>
  <si>
    <t xml:space="preserve">PY TSU </t>
  </si>
  <si>
    <t>BC C3 SW CIABATTA BREAD, ROASTED EGGPLANT, RED PEPPER HALVES, BASIL PESTO HUMMUS</t>
  </si>
  <si>
    <t>DELETED</t>
  </si>
  <si>
    <t>BC C3 YOGURT BLUEBERRY GREEK YOGURT CHOBANI 4OZ</t>
  </si>
  <si>
    <t>BC C2 YOGURT VANILLA GREEK YOGURT CHOBANI 4OZ</t>
  </si>
  <si>
    <t>BC C3 BRK FRUIT COCONUT OVERNIGHT OATS, TOASTED SEE GRANOLA, MANGO PINEAPPLE COMPOTE, BLUEBERRY</t>
  </si>
  <si>
    <t>BC C2 BRK FRUIT COCONUT CHIA OVERNIGHT OAT, MANGO, BLUEBERRIES</t>
  </si>
  <si>
    <t>BC C3 COLD CUT VEGGIE CREAM CHEESE, GEORGIA GOUDA, CHORIZO, HAMON SERRANO, SPINACH, CUCUMBER, CHERRY TOMATO</t>
  </si>
  <si>
    <t>BC C2 COLD CUT CHIVE CREAM CHEESE, GEORGIA GOUDA, HAM, PROSUITTO, GREEN LEAF LETTUCE, CUCUMBER, BABY PEPPER</t>
  </si>
  <si>
    <t>BC BRD C3 MINI CHOCOLATE CROISSANT</t>
  </si>
  <si>
    <t>BC BRD C2 CROISSANT MINI</t>
  </si>
  <si>
    <t>BC BRD TYPE 3 ARTISAN BAGUETTE</t>
  </si>
  <si>
    <t>BC BRD BREAKFAST SIX GRAIN BREAD ROLL 40G AND MINI BAGEL 40G</t>
  </si>
  <si>
    <t>BC BRD TYPE 1 HERB SOURDOUGH 30G AND MULTIGRAIN CHEESE ROLL 40G</t>
  </si>
  <si>
    <t>BC C3 DE FRUIT BLUEBERRIES, STRABERRIES,PINEAPPLE, KIWI</t>
  </si>
  <si>
    <t>BC C2 DE FRUIT GRAPE, HONEYDEW, CANTALOUPE, WATERMELON</t>
  </si>
  <si>
    <t>BC C3 DE CAKE GARNISH STRAWBERRY COULIS</t>
  </si>
  <si>
    <t>BC C2 DE CAKE GARNISH RHUN CARAMEL 200G</t>
  </si>
  <si>
    <t>BC C2 DE CAKE BANANA PUDDING CHEESECAKE WITH STRUSEL CRUMBLE AND BLUEBERRIES</t>
  </si>
  <si>
    <t>BC C3 DE CHEESE GREEN HILL, GEORGIA GOUDA</t>
  </si>
  <si>
    <t>BC C2 DE CHEESE THOMASVILLE TOMME AND BRIE</t>
  </si>
  <si>
    <t>BC HM GARNISH MICRO GREEN 90G</t>
  </si>
  <si>
    <t>BC C3 HM D VEG PASTA MAMI WILD MUSHROOM TORTELLINI, TRUFFLE CREAM SAUCE, CONFIT WILD MUSHROOM, CHERRY TOMATO</t>
  </si>
  <si>
    <t>BC C2 HM D VEG PASTA MAMI SMOKED MOZZERELLA RAVIOLI 25GX4, POMODRINI SAUCE, BUFFALA MOZZARELLA, BROCCOLINI</t>
  </si>
  <si>
    <t>BC C3 HM C POULTRY ROAST LEMON CHICKEN LEG QUARTER, PICCATA SAUCE, FINGERLING POTATO, BROCCOLINI, YELLOW SQUASH</t>
  </si>
  <si>
    <t>BC C2 HM C POULTRY LEMON CHICKEN LEG CONFIT, WILD MUSHROOM CONSERVA, MASH POTATOES, BABY CARROT</t>
  </si>
  <si>
    <t>BC C3 HM A MEAT SMOKED BRAISED SHORT RIB, BBQ JUS, MASHED POTATOES, GREEN BEANS, CHERRY TOMATOES</t>
  </si>
  <si>
    <t>BC C2 HM A MEAT GRILLED BEEF TENDERLOIN, SMOKED TOMATO JAM, FINGERLING POTATOES, ASPARAGUS</t>
  </si>
  <si>
    <t xml:space="preserve">BC C3 STARTER GARNISH DILL </t>
  </si>
  <si>
    <t>BC C2 STARTER GARNISH SHAVED RADISH 100G</t>
  </si>
  <si>
    <t>BC C3 STARTER B FISH SMOKED SALMON, CREAM CHEESE, EGG, RED ONION, CAPERS, BAGEL CHIPS</t>
  </si>
  <si>
    <t>BC C2 STARTER B FISH SMOKED TROUT, PICKLED RED ONION, CUCUMBER APPLE SALAD AND MESCLUN MIX</t>
  </si>
  <si>
    <t>BC C3 STARTER A MEAT ITALIAN SALAMI, PORT PROSCUITTO, WAYGU BRESSOLA, BABY ARUGULA, CASTELVETRANO OLIVE</t>
  </si>
  <si>
    <t xml:space="preserve">BC C2 STARTER A MEAT BEEF PASTRAMI, DUCK RILLET, SOOORESSATA, FIG JAM AND MESCULIN LETTUCE OKRA BLACK MISSION FIG </t>
  </si>
  <si>
    <t>BC BUTTER</t>
  </si>
  <si>
    <t xml:space="preserve">BC C3 GARNISH PEPITAS SEED </t>
  </si>
  <si>
    <t xml:space="preserve">BC C2 GARNISH SUNFLOWER SEED </t>
  </si>
  <si>
    <t xml:space="preserve">BC C3 SALAD BABY ARUGULA, POACHED BOSC PEAR AND GOAT CHEESE </t>
  </si>
  <si>
    <t>BC C2 SALAD MESCLUN MIX GREEN250g</t>
  </si>
  <si>
    <t>BC TSU</t>
  </si>
  <si>
    <t>Column6</t>
  </si>
  <si>
    <t>Column5</t>
  </si>
  <si>
    <t>Column4</t>
  </si>
  <si>
    <t>Column3</t>
  </si>
  <si>
    <t>labor cost W/ MU</t>
  </si>
  <si>
    <t>Food cost w/ MU</t>
  </si>
  <si>
    <t>Column2</t>
  </si>
  <si>
    <t>Column1</t>
  </si>
  <si>
    <t>Final Food Cost %</t>
  </si>
  <si>
    <t>Item         Price</t>
  </si>
  <si>
    <t>calculated sale price</t>
  </si>
  <si>
    <t>labor sale price</t>
  </si>
  <si>
    <t>food sale price</t>
  </si>
  <si>
    <t>labor m/u</t>
  </si>
  <si>
    <t>food markup</t>
  </si>
  <si>
    <t>total cost</t>
  </si>
  <si>
    <t>labor cost</t>
  </si>
  <si>
    <t>labor rate</t>
  </si>
  <si>
    <t>labor factor</t>
  </si>
  <si>
    <t>man minutes</t>
  </si>
  <si>
    <t>cost per quantity</t>
  </si>
  <si>
    <t>unit cost</t>
  </si>
  <si>
    <t>Item Weight</t>
  </si>
  <si>
    <t>Prep Center</t>
  </si>
  <si>
    <t>Req / No processing needed</t>
  </si>
  <si>
    <t>Final Work Center</t>
  </si>
  <si>
    <t>UOM</t>
  </si>
  <si>
    <t>Unit Weight/ Count</t>
  </si>
  <si>
    <t>EQ5</t>
  </si>
  <si>
    <t>EQ4</t>
  </si>
  <si>
    <t>EQ3</t>
  </si>
  <si>
    <t>EQ2</t>
  </si>
  <si>
    <t>EQ1</t>
  </si>
  <si>
    <t>Price Code</t>
  </si>
  <si>
    <t>Item Description</t>
  </si>
  <si>
    <t>Item #</t>
  </si>
  <si>
    <t>Delta</t>
  </si>
  <si>
    <t>Finished Good Master</t>
  </si>
  <si>
    <t>BC C3 HM GARNISH PICKLED DAIKON</t>
  </si>
  <si>
    <t>PY C3 STARTER GRILLED CHICKEN BREAST WITH QUINOA SALAD</t>
  </si>
  <si>
    <t>CABIN CREW C3 K CM A - HAM, MAYO, CUCUMBER, ROMAIN LETTUCE,WHEAT ROLL</t>
  </si>
  <si>
    <t xml:space="preserve">CABIN CREW C3 K CM B- MOZZERELLA, MAYO, ROASTE TOMATO, LETTUCE, WHEAT ROLL </t>
  </si>
  <si>
    <t xml:space="preserve">DECK CREW C3 P CM A ROASTED TURKEY BREAST, CHEDDAR CHEESE, LETTUCE LEAF, CUCUMBER, CHERRY TOMATO, QUINOA SALAD </t>
  </si>
  <si>
    <t xml:space="preserve">DECK CREW C3 P CM B PASTRAMI, BEECHER CHEEDAR, LETTUCE CHERRY TOMATO, RED GRAPE, QUINOA SALAD </t>
  </si>
  <si>
    <t>3333-IC954</t>
  </si>
  <si>
    <t>SK0954-0956-0958</t>
  </si>
  <si>
    <t>3334-IC954</t>
  </si>
  <si>
    <t>3591-IC954</t>
  </si>
  <si>
    <r>
      <t xml:space="preserve">For split handling use 3333-IC954-T + 3333-IC954-OR.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</si>
  <si>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3334-IC954-T + 3334-IC954-OR.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</si>
  <si>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3591-IC954-T + 3591-IC954-OR. </t>
    </r>
    <r>
      <rPr>
        <sz val="10"/>
        <color rgb="FFFF0000"/>
        <rFont val="Arial"/>
        <family val="2"/>
        <scheme val="minor"/>
      </rPr>
      <t>Effective 15 Sep 24</t>
    </r>
  </si>
  <si>
    <t xml:space="preserve">Change Date </t>
  </si>
  <si>
    <t>Descritpion</t>
  </si>
  <si>
    <t>CODE CHANGE DUE TO CUSTOMER REQUEST</t>
  </si>
  <si>
    <t>SL</t>
  </si>
  <si>
    <t xml:space="preserve">YC POUTRY PRICE CHANGE DUE TO VEG WEIGHT CHANGE/ BC RATIO CHANGE </t>
  </si>
  <si>
    <t xml:space="preserve">Cycle 4 Price </t>
  </si>
  <si>
    <t>Pre-Select Business Hot Meal - C meat A option</t>
  </si>
  <si>
    <t>Pre-Select Business Hot Meal - c fish B option</t>
  </si>
  <si>
    <t>Pre-Select Business Hot Meal - C Poultry C Option</t>
  </si>
  <si>
    <t>Pre-Select Business Hot Meal - C Veg D option</t>
  </si>
  <si>
    <t>Premium Economy Meal PY TSU +PY ST+ PY DE + PY BRD + BC Beef + YC BRK SW</t>
  </si>
  <si>
    <t>Premium Economy Meal PY TSU +PY ST+ PY DE + PY BRD + BC fish + YC BRK SW</t>
  </si>
  <si>
    <t>Premium Economy Meal PY TSU +PY ST+ PY DE + PY BRD + BC poultry + YC BRK SW</t>
  </si>
  <si>
    <t>Premium Economy Meal PY TSU +PY ST+ PY DE + PY BRD + BC veg + YC BRK SW</t>
  </si>
  <si>
    <t>cycle 4 price update, effective 12/01/2024</t>
  </si>
  <si>
    <t>Initial</t>
  </si>
  <si>
    <t>3ATL-411010</t>
  </si>
  <si>
    <t>2ATL-411191</t>
  </si>
  <si>
    <t>2ATL-411221</t>
  </si>
  <si>
    <t>2ATL-411231</t>
  </si>
  <si>
    <t>BC EXPRESS TRAY CODE CHANGE DUE TO CUSTOMER REQUEST</t>
  </si>
  <si>
    <t>CYCLE 1 PRICE ADDED</t>
  </si>
  <si>
    <t>Cycle 1 Price</t>
  </si>
  <si>
    <t>3334-IC954-T</t>
  </si>
  <si>
    <t>3591-IC954-T</t>
  </si>
  <si>
    <t>3334-IC954-OR</t>
  </si>
  <si>
    <t>3591-IC954-OR</t>
  </si>
  <si>
    <t>IC Y/M S1 HM-A</t>
  </si>
  <si>
    <t>IC Y/M S1 HM-B</t>
  </si>
  <si>
    <t>4ATL-422011</t>
  </si>
  <si>
    <t>Veg</t>
  </si>
  <si>
    <t>Non-Veg</t>
  </si>
  <si>
    <t>10%(U)</t>
  </si>
  <si>
    <t>90%(D)</t>
  </si>
  <si>
    <t>cycle2 and cycle 3 was using the pre-packed items. Will need to be revised for new version of sandwiches.</t>
  </si>
  <si>
    <t>MATCH</t>
  </si>
  <si>
    <t>CHANGE EFF. 01/01/2025, Price reflects STD loading quantity of 16kg=36lbs</t>
  </si>
  <si>
    <t>CHANGE EFF. 01/01/2025, Price reflects STD loading quantity of 4kg=9lbs</t>
  </si>
  <si>
    <t>wet ice and dry ice price change. Price reflect the actual STD loading quantity. Wet ice 16kg = 36lbs, dry ice 4kg = 9lbs</t>
  </si>
  <si>
    <t>40% (D)</t>
  </si>
  <si>
    <t>30% (U)</t>
  </si>
  <si>
    <t>remove item, eff. 04.01.2025</t>
  </si>
  <si>
    <t>quantity change to 2. eff. 04.01.2025</t>
  </si>
  <si>
    <t>remove lemon wedge, and change quantity of lime wedge from STD 1 to STD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</si>
</sst>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00"/>
    <numFmt numFmtId="166" formatCode="0.0000"/>
  </numFmts>
  <fonts count="27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17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3"/>
      <color rgb="FFFF0000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8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304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/>
    </xf>
    <xf numFmtId="9" fontId="5" fillId="6" borderId="5" xfId="0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left" vertical="center"/>
    </xf>
    <xf numFmtId="9" fontId="5" fillId="6" borderId="6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vertical="center"/>
    </xf>
    <xf numFmtId="0" fontId="5" fillId="7" borderId="5" xfId="0" applyFont="1" applyFill="1" applyBorder="1" applyAlignment="1">
      <alignment horizontal="center" vertical="center"/>
    </xf>
    <xf numFmtId="9" fontId="5" fillId="7" borderId="5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vertical="center"/>
    </xf>
    <xf numFmtId="0" fontId="8" fillId="5" borderId="2" xfId="1" applyFont="1" applyFill="1" applyBorder="1" applyAlignment="1">
      <alignment vertical="center"/>
    </xf>
    <xf numFmtId="0" fontId="8" fillId="5" borderId="3" xfId="1" applyFont="1" applyFill="1" applyBorder="1" applyAlignment="1">
      <alignment vertical="center"/>
    </xf>
    <xf numFmtId="0" fontId="10" fillId="6" borderId="5" xfId="1" applyFont="1" applyFill="1" applyBorder="1" applyAlignment="1">
      <alignment horizontal="left" vertical="center"/>
    </xf>
    <xf numFmtId="0" fontId="9" fillId="6" borderId="5" xfId="1" applyFont="1" applyFill="1" applyBorder="1" applyAlignment="1">
      <alignment vertical="center"/>
    </xf>
    <xf numFmtId="9" fontId="5" fillId="6" borderId="5" xfId="1" applyNumberFormat="1" applyFont="1" applyFill="1" applyBorder="1" applyAlignment="1">
      <alignment horizontal="center" vertical="center"/>
    </xf>
    <xf numFmtId="0" fontId="5" fillId="6" borderId="5" xfId="1" applyFont="1" applyFill="1" applyBorder="1" applyAlignment="1">
      <alignment vertical="center"/>
    </xf>
    <xf numFmtId="9" fontId="10" fillId="6" borderId="5" xfId="1" applyNumberFormat="1" applyFont="1" applyFill="1" applyBorder="1" applyAlignment="1">
      <alignment horizontal="center" vertical="center"/>
    </xf>
    <xf numFmtId="0" fontId="10" fillId="6" borderId="5" xfId="1" applyFont="1" applyFill="1" applyBorder="1" applyAlignment="1">
      <alignment vertical="center"/>
    </xf>
    <xf numFmtId="0" fontId="5" fillId="4" borderId="5" xfId="1" applyFont="1" applyFill="1" applyBorder="1" applyAlignment="1">
      <alignment vertical="center"/>
    </xf>
    <xf numFmtId="0" fontId="9" fillId="4" borderId="5" xfId="1" applyFont="1" applyFill="1" applyBorder="1" applyAlignment="1">
      <alignment horizontal="left" vertical="center"/>
    </xf>
    <xf numFmtId="0" fontId="5" fillId="6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left" vertical="center"/>
    </xf>
    <xf numFmtId="0" fontId="5" fillId="4" borderId="6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vertical="center"/>
    </xf>
    <xf numFmtId="0" fontId="5" fillId="8" borderId="5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center" vertical="center"/>
    </xf>
    <xf numFmtId="9" fontId="5" fillId="8" borderId="5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 wrapText="1"/>
    </xf>
    <xf numFmtId="9" fontId="10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9" borderId="2" xfId="0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10" borderId="2" xfId="0" applyFont="1" applyFill="1" applyBorder="1" applyAlignment="1">
      <alignment vertical="center"/>
    </xf>
    <xf numFmtId="0" fontId="8" fillId="10" borderId="3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2" xfId="0" applyFont="1" applyFill="1" applyBorder="1" applyAlignment="1">
      <alignment vertical="center"/>
    </xf>
    <xf numFmtId="0" fontId="4" fillId="11" borderId="3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8" fillId="12" borderId="2" xfId="0" applyFont="1" applyFill="1" applyBorder="1" applyAlignment="1">
      <alignment vertical="center"/>
    </xf>
    <xf numFmtId="0" fontId="8" fillId="1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0" fontId="8" fillId="13" borderId="2" xfId="0" applyFont="1" applyFill="1" applyBorder="1" applyAlignment="1">
      <alignment vertical="center"/>
    </xf>
    <xf numFmtId="0" fontId="8" fillId="1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8" fillId="14" borderId="1" xfId="0" applyFont="1" applyFill="1" applyBorder="1" applyAlignment="1">
      <alignment vertical="center"/>
    </xf>
    <xf numFmtId="0" fontId="8" fillId="14" borderId="2" xfId="0" applyFont="1" applyFill="1" applyBorder="1" applyAlignment="1">
      <alignment vertical="center"/>
    </xf>
    <xf numFmtId="0" fontId="8" fillId="14" borderId="3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9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9" fontId="5" fillId="0" borderId="2" xfId="0" applyNumberFormat="1" applyFont="1" applyBorder="1" applyAlignment="1">
      <alignment horizontal="center" vertical="center"/>
    </xf>
    <xf numFmtId="0" fontId="5" fillId="15" borderId="5" xfId="1" applyFont="1" applyFill="1" applyBorder="1" applyAlignment="1">
      <alignment vertical="center"/>
    </xf>
    <xf numFmtId="0" fontId="5" fillId="15" borderId="5" xfId="1" applyFont="1" applyFill="1" applyBorder="1" applyAlignment="1">
      <alignment horizontal="center" vertical="center"/>
    </xf>
    <xf numFmtId="0" fontId="5" fillId="15" borderId="6" xfId="1" applyFont="1" applyFill="1" applyBorder="1" applyAlignment="1">
      <alignment horizontal="center" vertical="center"/>
    </xf>
    <xf numFmtId="0" fontId="5" fillId="15" borderId="6" xfId="1" applyFont="1" applyFill="1" applyBorder="1" applyAlignment="1">
      <alignment horizontal="left" vertical="center"/>
    </xf>
    <xf numFmtId="0" fontId="8" fillId="9" borderId="2" xfId="1" applyFont="1" applyFill="1" applyBorder="1" applyAlignment="1">
      <alignment vertical="center"/>
    </xf>
    <xf numFmtId="0" fontId="8" fillId="9" borderId="3" xfId="1" applyFont="1" applyFill="1" applyBorder="1" applyAlignment="1">
      <alignment vertical="center"/>
    </xf>
    <xf numFmtId="0" fontId="12" fillId="9" borderId="1" xfId="1" applyFont="1" applyFill="1" applyBorder="1" applyAlignment="1">
      <alignment vertical="center"/>
    </xf>
    <xf numFmtId="0" fontId="12" fillId="3" borderId="1" xfId="1" applyFont="1" applyFill="1" applyBorder="1" applyAlignment="1">
      <alignment vertical="center"/>
    </xf>
    <xf numFmtId="0" fontId="8" fillId="3" borderId="2" xfId="1" applyFont="1" applyFill="1" applyBorder="1" applyAlignment="1">
      <alignment vertical="center"/>
    </xf>
    <xf numFmtId="0" fontId="8" fillId="3" borderId="3" xfId="1" applyFont="1" applyFill="1" applyBorder="1" applyAlignment="1">
      <alignment vertical="center"/>
    </xf>
    <xf numFmtId="0" fontId="8" fillId="16" borderId="1" xfId="0" applyFont="1" applyFill="1" applyBorder="1" applyAlignment="1">
      <alignment vertical="center"/>
    </xf>
    <xf numFmtId="0" fontId="8" fillId="16" borderId="2" xfId="0" applyFont="1" applyFill="1" applyBorder="1" applyAlignment="1">
      <alignment vertical="center"/>
    </xf>
    <xf numFmtId="0" fontId="8" fillId="16" borderId="3" xfId="0" applyFont="1" applyFill="1" applyBorder="1" applyAlignment="1">
      <alignment vertical="center"/>
    </xf>
    <xf numFmtId="0" fontId="5" fillId="17" borderId="5" xfId="0" applyFont="1" applyFill="1" applyBorder="1" applyAlignment="1">
      <alignment vertical="center"/>
    </xf>
    <xf numFmtId="0" fontId="5" fillId="17" borderId="5" xfId="0" applyFont="1" applyFill="1" applyBorder="1" applyAlignment="1">
      <alignment horizontal="center" vertical="center"/>
    </xf>
    <xf numFmtId="9" fontId="5" fillId="17" borderId="5" xfId="0" applyNumberFormat="1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vertical="center"/>
    </xf>
    <xf numFmtId="0" fontId="5" fillId="17" borderId="5" xfId="0" applyFont="1" applyFill="1" applyBorder="1" applyAlignment="1">
      <alignment vertical="center" wrapText="1"/>
    </xf>
    <xf numFmtId="9" fontId="5" fillId="17" borderId="5" xfId="0" applyNumberFormat="1" applyFont="1" applyFill="1" applyBorder="1" applyAlignment="1">
      <alignment horizontal="left" vertical="center"/>
    </xf>
    <xf numFmtId="0" fontId="10" fillId="17" borderId="5" xfId="0" applyFont="1" applyFill="1" applyBorder="1" applyAlignment="1">
      <alignment vertical="center" wrapText="1"/>
    </xf>
    <xf numFmtId="44" fontId="5" fillId="0" borderId="0" xfId="2" applyFont="1" applyAlignment="1">
      <alignment vertical="center"/>
    </xf>
    <xf numFmtId="44" fontId="4" fillId="4" borderId="4" xfId="2" applyFont="1" applyFill="1" applyBorder="1" applyAlignment="1">
      <alignment horizontal="center" vertical="center" wrapText="1"/>
    </xf>
    <xf numFmtId="44" fontId="8" fillId="5" borderId="2" xfId="2" applyFont="1" applyFill="1" applyBorder="1" applyAlignment="1">
      <alignment vertical="center"/>
    </xf>
    <xf numFmtId="44" fontId="4" fillId="9" borderId="2" xfId="2" applyFont="1" applyFill="1" applyBorder="1" applyAlignment="1">
      <alignment vertical="center"/>
    </xf>
    <xf numFmtId="44" fontId="5" fillId="6" borderId="5" xfId="2" applyFont="1" applyFill="1" applyBorder="1" applyAlignment="1">
      <alignment horizontal="center" vertical="center"/>
    </xf>
    <xf numFmtId="44" fontId="5" fillId="6" borderId="6" xfId="2" applyFont="1" applyFill="1" applyBorder="1" applyAlignment="1">
      <alignment horizontal="center" vertical="center"/>
    </xf>
    <xf numFmtId="44" fontId="10" fillId="6" borderId="5" xfId="2" applyFont="1" applyFill="1" applyBorder="1" applyAlignment="1">
      <alignment horizontal="center" vertical="center"/>
    </xf>
    <xf numFmtId="44" fontId="5" fillId="6" borderId="7" xfId="2" applyFont="1" applyFill="1" applyBorder="1" applyAlignment="1">
      <alignment horizontal="center" vertical="center"/>
    </xf>
    <xf numFmtId="44" fontId="5" fillId="8" borderId="5" xfId="2" applyFont="1" applyFill="1" applyBorder="1" applyAlignment="1">
      <alignment horizontal="center" vertical="center"/>
    </xf>
    <xf numFmtId="44" fontId="5" fillId="0" borderId="5" xfId="2" applyFont="1" applyBorder="1" applyAlignment="1">
      <alignment horizontal="center" vertical="center"/>
    </xf>
    <xf numFmtId="44" fontId="8" fillId="10" borderId="2" xfId="2" applyFont="1" applyFill="1" applyBorder="1" applyAlignment="1">
      <alignment vertical="center"/>
    </xf>
    <xf numFmtId="44" fontId="5" fillId="17" borderId="5" xfId="2" applyFont="1" applyFill="1" applyBorder="1" applyAlignment="1">
      <alignment horizontal="center" vertical="center"/>
    </xf>
    <xf numFmtId="44" fontId="5" fillId="0" borderId="2" xfId="2" applyFont="1" applyBorder="1" applyAlignment="1">
      <alignment horizontal="center" vertical="center"/>
    </xf>
    <xf numFmtId="44" fontId="8" fillId="16" borderId="2" xfId="2" applyFont="1" applyFill="1" applyBorder="1" applyAlignment="1">
      <alignment vertical="center"/>
    </xf>
    <xf numFmtId="44" fontId="4" fillId="11" borderId="2" xfId="2" applyFont="1" applyFill="1" applyBorder="1" applyAlignment="1">
      <alignment vertical="center"/>
    </xf>
    <xf numFmtId="44" fontId="5" fillId="7" borderId="5" xfId="2" applyFont="1" applyFill="1" applyBorder="1" applyAlignment="1">
      <alignment horizontal="center" vertical="center"/>
    </xf>
    <xf numFmtId="44" fontId="8" fillId="12" borderId="2" xfId="2" applyFont="1" applyFill="1" applyBorder="1" applyAlignment="1">
      <alignment vertical="center"/>
    </xf>
    <xf numFmtId="44" fontId="4" fillId="2" borderId="2" xfId="2" applyFont="1" applyFill="1" applyBorder="1" applyAlignment="1">
      <alignment vertical="center"/>
    </xf>
    <xf numFmtId="44" fontId="5" fillId="4" borderId="5" xfId="2" applyFont="1" applyFill="1" applyBorder="1" applyAlignment="1">
      <alignment horizontal="center" vertical="center"/>
    </xf>
    <xf numFmtId="44" fontId="8" fillId="13" borderId="2" xfId="2" applyFont="1" applyFill="1" applyBorder="1" applyAlignment="1">
      <alignment vertical="center"/>
    </xf>
    <xf numFmtId="44" fontId="6" fillId="3" borderId="2" xfId="2" applyFont="1" applyFill="1" applyBorder="1" applyAlignment="1">
      <alignment vertical="center"/>
    </xf>
    <xf numFmtId="44" fontId="5" fillId="4" borderId="3" xfId="2" applyFont="1" applyFill="1" applyBorder="1" applyAlignment="1">
      <alignment horizontal="center" vertical="center"/>
    </xf>
    <xf numFmtId="44" fontId="8" fillId="14" borderId="2" xfId="2" applyFont="1" applyFill="1" applyBorder="1" applyAlignment="1">
      <alignment vertical="center"/>
    </xf>
    <xf numFmtId="44" fontId="5" fillId="4" borderId="6" xfId="2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44" fontId="8" fillId="9" borderId="2" xfId="2" applyFont="1" applyFill="1" applyBorder="1" applyAlignment="1">
      <alignment vertical="center"/>
    </xf>
    <xf numFmtId="44" fontId="8" fillId="3" borderId="2" xfId="2" applyFont="1" applyFill="1" applyBorder="1" applyAlignment="1">
      <alignment vertical="center"/>
    </xf>
    <xf numFmtId="44" fontId="5" fillId="15" borderId="6" xfId="2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 wrapText="1"/>
    </xf>
    <xf numFmtId="44" fontId="5" fillId="3" borderId="5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4" borderId="4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center"/>
    </xf>
    <xf numFmtId="0" fontId="18" fillId="9" borderId="2" xfId="0" applyFont="1" applyFill="1" applyBorder="1" applyAlignment="1">
      <alignment vertical="center"/>
    </xf>
    <xf numFmtId="0" fontId="19" fillId="6" borderId="5" xfId="0" applyFont="1" applyFill="1" applyBorder="1" applyAlignment="1">
      <alignment vertical="center"/>
    </xf>
    <xf numFmtId="0" fontId="15" fillId="6" borderId="5" xfId="0" applyFont="1" applyFill="1" applyBorder="1" applyAlignment="1">
      <alignment vertical="center"/>
    </xf>
    <xf numFmtId="0" fontId="19" fillId="8" borderId="5" xfId="0" applyFont="1" applyFill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7" borderId="5" xfId="0" applyFont="1" applyFill="1" applyBorder="1" applyAlignment="1">
      <alignment vertical="center"/>
    </xf>
    <xf numFmtId="0" fontId="15" fillId="8" borderId="5" xfId="0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8" fillId="16" borderId="2" xfId="0" applyFont="1" applyFill="1" applyBorder="1" applyAlignment="1">
      <alignment vertical="center"/>
    </xf>
    <xf numFmtId="0" fontId="18" fillId="11" borderId="2" xfId="0" applyFont="1" applyFill="1" applyBorder="1" applyAlignment="1">
      <alignment vertical="center"/>
    </xf>
    <xf numFmtId="0" fontId="19" fillId="7" borderId="5" xfId="0" applyFon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8" fillId="1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8" fillId="13" borderId="2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19" fillId="4" borderId="2" xfId="0" applyFont="1" applyFill="1" applyBorder="1" applyAlignment="1">
      <alignment vertical="center"/>
    </xf>
    <xf numFmtId="0" fontId="18" fillId="14" borderId="2" xfId="0" applyFont="1" applyFill="1" applyBorder="1" applyAlignment="1">
      <alignment vertical="center"/>
    </xf>
    <xf numFmtId="0" fontId="15" fillId="4" borderId="5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5" fillId="18" borderId="5" xfId="0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5" fillId="0" borderId="0" xfId="2" applyNumberFormat="1" applyFont="1" applyAlignment="1">
      <alignment vertical="center"/>
    </xf>
    <xf numFmtId="0" fontId="4" fillId="4" borderId="4" xfId="2" applyNumberFormat="1" applyFont="1" applyFill="1" applyBorder="1" applyAlignment="1">
      <alignment horizontal="center" vertical="center" wrapText="1"/>
    </xf>
    <xf numFmtId="0" fontId="8" fillId="5" borderId="2" xfId="2" applyNumberFormat="1" applyFont="1" applyFill="1" applyBorder="1" applyAlignment="1">
      <alignment vertical="center"/>
    </xf>
    <xf numFmtId="0" fontId="4" fillId="9" borderId="2" xfId="2" applyNumberFormat="1" applyFont="1" applyFill="1" applyBorder="1" applyAlignment="1">
      <alignment vertical="center"/>
    </xf>
    <xf numFmtId="0" fontId="5" fillId="6" borderId="5" xfId="2" applyNumberFormat="1" applyFont="1" applyFill="1" applyBorder="1" applyAlignment="1">
      <alignment horizontal="center" vertical="center"/>
    </xf>
    <xf numFmtId="0" fontId="5" fillId="6" borderId="6" xfId="2" applyNumberFormat="1" applyFont="1" applyFill="1" applyBorder="1" applyAlignment="1">
      <alignment horizontal="center" vertical="center"/>
    </xf>
    <xf numFmtId="0" fontId="10" fillId="6" borderId="5" xfId="2" applyNumberFormat="1" applyFont="1" applyFill="1" applyBorder="1" applyAlignment="1">
      <alignment horizontal="center" vertical="center"/>
    </xf>
    <xf numFmtId="0" fontId="5" fillId="3" borderId="5" xfId="2" applyNumberFormat="1" applyFont="1" applyFill="1" applyBorder="1" applyAlignment="1">
      <alignment horizontal="center" vertical="center"/>
    </xf>
    <xf numFmtId="0" fontId="5" fillId="8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Border="1" applyAlignment="1">
      <alignment horizontal="center" vertical="center"/>
    </xf>
    <xf numFmtId="0" fontId="8" fillId="10" borderId="2" xfId="2" applyNumberFormat="1" applyFont="1" applyFill="1" applyBorder="1" applyAlignment="1">
      <alignment vertical="center"/>
    </xf>
    <xf numFmtId="0" fontId="5" fillId="17" borderId="5" xfId="2" applyNumberFormat="1" applyFont="1" applyFill="1" applyBorder="1" applyAlignment="1">
      <alignment horizontal="center" vertical="center"/>
    </xf>
    <xf numFmtId="0" fontId="5" fillId="0" borderId="2" xfId="2" applyNumberFormat="1" applyFont="1" applyBorder="1" applyAlignment="1">
      <alignment horizontal="center" vertical="center"/>
    </xf>
    <xf numFmtId="0" fontId="8" fillId="16" borderId="2" xfId="2" applyNumberFormat="1" applyFont="1" applyFill="1" applyBorder="1" applyAlignment="1">
      <alignment vertical="center"/>
    </xf>
    <xf numFmtId="0" fontId="4" fillId="11" borderId="2" xfId="2" applyNumberFormat="1" applyFont="1" applyFill="1" applyBorder="1" applyAlignment="1">
      <alignment vertical="center"/>
    </xf>
    <xf numFmtId="0" fontId="5" fillId="7" borderId="5" xfId="2" applyNumberFormat="1" applyFont="1" applyFill="1" applyBorder="1" applyAlignment="1">
      <alignment horizontal="center" vertical="center"/>
    </xf>
    <xf numFmtId="0" fontId="8" fillId="12" borderId="2" xfId="2" applyNumberFormat="1" applyFont="1" applyFill="1" applyBorder="1" applyAlignment="1">
      <alignment vertical="center"/>
    </xf>
    <xf numFmtId="0" fontId="4" fillId="2" borderId="2" xfId="2" applyNumberFormat="1" applyFont="1" applyFill="1" applyBorder="1" applyAlignment="1">
      <alignment vertical="center"/>
    </xf>
    <xf numFmtId="0" fontId="5" fillId="4" borderId="5" xfId="2" applyNumberFormat="1" applyFont="1" applyFill="1" applyBorder="1" applyAlignment="1">
      <alignment horizontal="center" vertical="center"/>
    </xf>
    <xf numFmtId="0" fontId="8" fillId="13" borderId="2" xfId="2" applyNumberFormat="1" applyFont="1" applyFill="1" applyBorder="1" applyAlignment="1">
      <alignment vertical="center"/>
    </xf>
    <xf numFmtId="0" fontId="6" fillId="3" borderId="2" xfId="2" applyNumberFormat="1" applyFont="1" applyFill="1" applyBorder="1" applyAlignment="1">
      <alignment vertical="center"/>
    </xf>
    <xf numFmtId="0" fontId="5" fillId="4" borderId="3" xfId="2" applyNumberFormat="1" applyFont="1" applyFill="1" applyBorder="1" applyAlignment="1">
      <alignment horizontal="center" vertical="center"/>
    </xf>
    <xf numFmtId="0" fontId="8" fillId="14" borderId="2" xfId="2" applyNumberFormat="1" applyFont="1" applyFill="1" applyBorder="1" applyAlignment="1">
      <alignment vertical="center"/>
    </xf>
    <xf numFmtId="0" fontId="5" fillId="4" borderId="6" xfId="2" applyNumberFormat="1" applyFont="1" applyFill="1" applyBorder="1" applyAlignment="1">
      <alignment horizontal="center" vertical="center"/>
    </xf>
    <xf numFmtId="9" fontId="5" fillId="6" borderId="5" xfId="2" applyNumberFormat="1" applyFont="1" applyFill="1" applyBorder="1" applyAlignment="1">
      <alignment horizontal="center" vertical="center"/>
    </xf>
    <xf numFmtId="9" fontId="5" fillId="6" borderId="6" xfId="2" applyNumberFormat="1" applyFont="1" applyFill="1" applyBorder="1" applyAlignment="1">
      <alignment horizontal="center" vertical="center"/>
    </xf>
    <xf numFmtId="9" fontId="5" fillId="17" borderId="5" xfId="3" applyFont="1" applyFill="1" applyBorder="1" applyAlignment="1">
      <alignment horizontal="center" vertical="center"/>
    </xf>
    <xf numFmtId="9" fontId="4" fillId="9" borderId="2" xfId="3" applyFont="1" applyFill="1" applyBorder="1" applyAlignment="1">
      <alignment vertical="center"/>
    </xf>
    <xf numFmtId="9" fontId="5" fillId="8" borderId="5" xfId="3" applyFont="1" applyFill="1" applyBorder="1" applyAlignment="1">
      <alignment horizontal="center" vertical="center"/>
    </xf>
    <xf numFmtId="9" fontId="5" fillId="0" borderId="2" xfId="3" applyFont="1" applyBorder="1" applyAlignment="1">
      <alignment horizontal="center" vertical="center"/>
    </xf>
    <xf numFmtId="9" fontId="8" fillId="16" borderId="2" xfId="3" applyFont="1" applyFill="1" applyBorder="1" applyAlignment="1">
      <alignment vertical="center"/>
    </xf>
    <xf numFmtId="9" fontId="4" fillId="11" borderId="2" xfId="3" applyFont="1" applyFill="1" applyBorder="1" applyAlignment="1">
      <alignment vertical="center"/>
    </xf>
    <xf numFmtId="9" fontId="5" fillId="7" borderId="5" xfId="3" applyFont="1" applyFill="1" applyBorder="1" applyAlignment="1">
      <alignment horizontal="center" vertical="center"/>
    </xf>
    <xf numFmtId="9" fontId="8" fillId="12" borderId="2" xfId="3" applyFont="1" applyFill="1" applyBorder="1" applyAlignment="1">
      <alignment vertical="center"/>
    </xf>
    <xf numFmtId="9" fontId="4" fillId="2" borderId="2" xfId="3" applyFont="1" applyFill="1" applyBorder="1" applyAlignment="1">
      <alignment vertical="center"/>
    </xf>
    <xf numFmtId="9" fontId="5" fillId="4" borderId="5" xfId="3" applyFont="1" applyFill="1" applyBorder="1" applyAlignment="1">
      <alignment horizontal="center" vertical="center"/>
    </xf>
    <xf numFmtId="9" fontId="8" fillId="13" borderId="2" xfId="3" applyFont="1" applyFill="1" applyBorder="1" applyAlignment="1">
      <alignment vertical="center"/>
    </xf>
    <xf numFmtId="9" fontId="6" fillId="3" borderId="2" xfId="3" applyFont="1" applyFill="1" applyBorder="1" applyAlignment="1">
      <alignment vertical="center"/>
    </xf>
    <xf numFmtId="9" fontId="5" fillId="4" borderId="3" xfId="3" applyFont="1" applyFill="1" applyBorder="1" applyAlignment="1">
      <alignment horizontal="center" vertical="center"/>
    </xf>
    <xf numFmtId="9" fontId="8" fillId="14" borderId="2" xfId="3" applyFont="1" applyFill="1" applyBorder="1" applyAlignment="1">
      <alignment vertical="center"/>
    </xf>
    <xf numFmtId="9" fontId="5" fillId="3" borderId="5" xfId="3" applyFont="1" applyFill="1" applyBorder="1" applyAlignment="1">
      <alignment horizontal="center" vertical="center"/>
    </xf>
    <xf numFmtId="9" fontId="5" fillId="4" borderId="6" xfId="3" applyFont="1" applyFill="1" applyBorder="1" applyAlignment="1">
      <alignment horizontal="center" vertical="center"/>
    </xf>
    <xf numFmtId="0" fontId="16" fillId="3" borderId="4" xfId="2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4" fillId="19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5" fillId="20" borderId="5" xfId="0" applyFont="1" applyFill="1" applyBorder="1" applyAlignment="1">
      <alignment vertical="center"/>
    </xf>
    <xf numFmtId="0" fontId="5" fillId="20" borderId="5" xfId="0" applyFont="1" applyFill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0" fontId="5" fillId="0" borderId="0" xfId="4" applyFont="1" applyAlignment="1">
      <alignment vertical="center"/>
    </xf>
    <xf numFmtId="0" fontId="2" fillId="0" borderId="0" xfId="4"/>
    <xf numFmtId="0" fontId="21" fillId="0" borderId="0" xfId="4" applyFont="1"/>
    <xf numFmtId="9" fontId="0" fillId="0" borderId="0" xfId="5" applyFont="1" applyAlignment="1">
      <alignment horizontal="center"/>
    </xf>
    <xf numFmtId="164" fontId="0" fillId="0" borderId="0" xfId="5" applyNumberFormat="1" applyFont="1" applyAlignment="1">
      <alignment horizontal="center"/>
    </xf>
    <xf numFmtId="0" fontId="2" fillId="0" borderId="0" xfId="4" applyAlignment="1">
      <alignment horizontal="center"/>
    </xf>
    <xf numFmtId="2" fontId="2" fillId="0" borderId="0" xfId="4" applyNumberFormat="1" applyAlignment="1">
      <alignment horizontal="right"/>
    </xf>
    <xf numFmtId="0" fontId="2" fillId="8" borderId="0" xfId="4" applyFill="1"/>
    <xf numFmtId="0" fontId="2" fillId="3" borderId="0" xfId="4" applyFill="1"/>
    <xf numFmtId="9" fontId="2" fillId="0" borderId="0" xfId="4" applyNumberFormat="1" applyAlignment="1">
      <alignment horizontal="center"/>
    </xf>
    <xf numFmtId="2" fontId="2" fillId="3" borderId="0" xfId="4" applyNumberFormat="1" applyFill="1" applyAlignment="1">
      <alignment horizontal="right"/>
    </xf>
    <xf numFmtId="165" fontId="2" fillId="0" borderId="0" xfId="4" applyNumberFormat="1"/>
    <xf numFmtId="166" fontId="2" fillId="0" borderId="0" xfId="4" applyNumberFormat="1"/>
    <xf numFmtId="166" fontId="2" fillId="0" borderId="0" xfId="4" applyNumberFormat="1" applyAlignment="1">
      <alignment horizontal="center"/>
    </xf>
    <xf numFmtId="0" fontId="0" fillId="0" borderId="0" xfId="6" applyNumberFormat="1" applyFont="1" applyFill="1"/>
    <xf numFmtId="44" fontId="0" fillId="0" borderId="0" xfId="6" applyFont="1" applyFill="1"/>
    <xf numFmtId="44" fontId="0" fillId="0" borderId="0" xfId="6" applyFont="1" applyFill="1" applyAlignment="1"/>
    <xf numFmtId="9" fontId="0" fillId="0" borderId="0" xfId="5" applyFont="1"/>
    <xf numFmtId="44" fontId="21" fillId="21" borderId="0" xfId="6" applyFont="1" applyFill="1"/>
    <xf numFmtId="44" fontId="0" fillId="0" borderId="0" xfId="6" applyFont="1"/>
    <xf numFmtId="9" fontId="0" fillId="22" borderId="0" xfId="5" applyFont="1" applyFill="1" applyAlignment="1">
      <alignment horizontal="center"/>
    </xf>
    <xf numFmtId="44" fontId="0" fillId="22" borderId="0" xfId="6" applyFont="1" applyFill="1"/>
    <xf numFmtId="0" fontId="0" fillId="23" borderId="0" xfId="6" applyNumberFormat="1" applyFont="1" applyFill="1"/>
    <xf numFmtId="2" fontId="2" fillId="0" borderId="0" xfId="4" applyNumberFormat="1" applyAlignment="1">
      <alignment horizontal="center"/>
    </xf>
    <xf numFmtId="44" fontId="0" fillId="24" borderId="0" xfId="6" applyFont="1" applyFill="1"/>
    <xf numFmtId="0" fontId="22" fillId="0" borderId="0" xfId="4" applyFont="1" applyAlignment="1">
      <alignment horizontal="left"/>
    </xf>
    <xf numFmtId="44" fontId="0" fillId="0" borderId="0" xfId="6" applyFont="1" applyFill="1" applyAlignment="1">
      <alignment horizontal="right"/>
    </xf>
    <xf numFmtId="0" fontId="20" fillId="0" borderId="0" xfId="4" applyFont="1"/>
    <xf numFmtId="0" fontId="23" fillId="0" borderId="0" xfId="4" applyFont="1"/>
    <xf numFmtId="0" fontId="2" fillId="0" borderId="0" xfId="4" applyAlignment="1">
      <alignment horizontal="center" wrapText="1"/>
    </xf>
    <xf numFmtId="0" fontId="21" fillId="0" borderId="0" xfId="4" applyFont="1" applyAlignment="1">
      <alignment horizontal="center" wrapText="1"/>
    </xf>
    <xf numFmtId="9" fontId="0" fillId="0" borderId="0" xfId="5" applyFont="1" applyAlignment="1">
      <alignment horizontal="center" wrapText="1"/>
    </xf>
    <xf numFmtId="164" fontId="0" fillId="0" borderId="0" xfId="5" applyNumberFormat="1" applyFont="1" applyAlignment="1">
      <alignment horizontal="center" wrapText="1"/>
    </xf>
    <xf numFmtId="2" fontId="2" fillId="0" borderId="0" xfId="4" applyNumberFormat="1" applyAlignment="1">
      <alignment horizontal="right" wrapText="1"/>
    </xf>
    <xf numFmtId="0" fontId="21" fillId="0" borderId="0" xfId="4" applyFont="1" applyAlignment="1">
      <alignment horizontal="center"/>
    </xf>
    <xf numFmtId="0" fontId="21" fillId="0" borderId="0" xfId="4" applyFont="1" applyAlignment="1">
      <alignment horizontal="left" wrapText="1"/>
    </xf>
    <xf numFmtId="0" fontId="21" fillId="0" borderId="0" xfId="4" applyFont="1" applyAlignment="1">
      <alignment horizontal="left"/>
    </xf>
    <xf numFmtId="0" fontId="24" fillId="25" borderId="0" xfId="4" applyFont="1" applyFill="1"/>
    <xf numFmtId="0" fontId="25" fillId="0" borderId="0" xfId="4" applyFont="1"/>
    <xf numFmtId="0" fontId="25" fillId="0" borderId="0" xfId="4" applyFont="1" applyAlignment="1">
      <alignment horizontal="center"/>
    </xf>
    <xf numFmtId="0" fontId="25" fillId="0" borderId="0" xfId="4" applyFont="1" applyAlignment="1">
      <alignment horizontal="left"/>
    </xf>
    <xf numFmtId="9" fontId="25" fillId="0" borderId="0" xfId="4" applyNumberFormat="1" applyFont="1"/>
    <xf numFmtId="2" fontId="25" fillId="0" borderId="0" xfId="4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0" borderId="0" xfId="0" applyNumberFormat="1" applyFont="1"/>
    <xf numFmtId="165" fontId="2" fillId="0" borderId="0" xfId="0" applyNumberFormat="1" applyFont="1"/>
    <xf numFmtId="2" fontId="2" fillId="3" borderId="0" xfId="0" applyNumberFormat="1" applyFont="1" applyFill="1" applyAlignment="1">
      <alignment horizontal="right"/>
    </xf>
    <xf numFmtId="44" fontId="2" fillId="0" borderId="0" xfId="0" applyNumberFormat="1" applyFont="1"/>
    <xf numFmtId="164" fontId="2" fillId="0" borderId="0" xfId="0" applyNumberFormat="1" applyFont="1" applyAlignment="1">
      <alignment horizontal="center"/>
    </xf>
    <xf numFmtId="44" fontId="21" fillId="21" borderId="0" xfId="0" applyNumberFormat="1" applyFont="1" applyFill="1"/>
    <xf numFmtId="9" fontId="2" fillId="0" borderId="0" xfId="0" applyNumberFormat="1" applyFont="1"/>
    <xf numFmtId="44" fontId="0" fillId="22" borderId="0" xfId="7" applyFont="1" applyFill="1"/>
    <xf numFmtId="44" fontId="0" fillId="0" borderId="0" xfId="7" applyFont="1"/>
    <xf numFmtId="44" fontId="21" fillId="21" borderId="0" xfId="7" applyFont="1" applyFill="1"/>
    <xf numFmtId="44" fontId="0" fillId="0" borderId="0" xfId="7" applyFont="1" applyFill="1" applyAlignment="1"/>
    <xf numFmtId="44" fontId="0" fillId="0" borderId="0" xfId="7" applyFont="1" applyFill="1"/>
    <xf numFmtId="44" fontId="0" fillId="24" borderId="0" xfId="7" applyFont="1" applyFill="1"/>
    <xf numFmtId="44" fontId="5" fillId="0" borderId="5" xfId="2" applyFont="1" applyFill="1" applyBorder="1" applyAlignment="1">
      <alignment horizontal="center" vertical="center"/>
    </xf>
    <xf numFmtId="9" fontId="5" fillId="0" borderId="5" xfId="3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center" vertical="center"/>
    </xf>
    <xf numFmtId="44" fontId="5" fillId="0" borderId="6" xfId="2" applyFont="1" applyFill="1" applyBorder="1" applyAlignment="1">
      <alignment horizontal="center" vertical="center"/>
    </xf>
    <xf numFmtId="9" fontId="5" fillId="0" borderId="6" xfId="3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center" vertical="center"/>
    </xf>
    <xf numFmtId="44" fontId="5" fillId="7" borderId="6" xfId="2" applyFont="1" applyFill="1" applyBorder="1" applyAlignment="1">
      <alignment horizontal="center" vertical="center"/>
    </xf>
    <xf numFmtId="44" fontId="10" fillId="7" borderId="5" xfId="2" applyFont="1" applyFill="1" applyBorder="1" applyAlignment="1">
      <alignment horizontal="center" vertical="center"/>
    </xf>
    <xf numFmtId="44" fontId="5" fillId="7" borderId="7" xfId="2" applyFont="1" applyFill="1" applyBorder="1" applyAlignment="1">
      <alignment horizontal="center" vertical="center"/>
    </xf>
    <xf numFmtId="0" fontId="26" fillId="26" borderId="5" xfId="0" applyFont="1" applyFill="1" applyBorder="1"/>
    <xf numFmtId="0" fontId="0" fillId="0" borderId="5" xfId="0" applyBorder="1"/>
    <xf numFmtId="14" fontId="0" fillId="0" borderId="5" xfId="0" applyNumberFormat="1" applyBorder="1"/>
    <xf numFmtId="0" fontId="5" fillId="27" borderId="5" xfId="0" applyFont="1" applyFill="1" applyBorder="1" applyAlignment="1">
      <alignment vertical="center"/>
    </xf>
    <xf numFmtId="0" fontId="12" fillId="9" borderId="2" xfId="1" applyFont="1" applyFill="1" applyBorder="1" applyAlignment="1">
      <alignment vertical="center"/>
    </xf>
    <xf numFmtId="0" fontId="12" fillId="3" borderId="2" xfId="1" applyFont="1" applyFill="1" applyBorder="1" applyAlignment="1">
      <alignment vertical="center"/>
    </xf>
    <xf numFmtId="0" fontId="15" fillId="7" borderId="5" xfId="0" applyFont="1" applyFill="1" applyBorder="1" applyAlignment="1">
      <alignment vertical="center"/>
    </xf>
    <xf numFmtId="0" fontId="4" fillId="26" borderId="4" xfId="1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vertical="center"/>
    </xf>
    <xf numFmtId="0" fontId="0" fillId="0" borderId="5" xfId="0" applyBorder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24" fillId="25" borderId="0" xfId="4" applyFont="1" applyFill="1" applyAlignment="1">
      <alignment horizontal="center"/>
    </xf>
    <xf numFmtId="0" fontId="10" fillId="3" borderId="5" xfId="2" applyNumberFormat="1" applyFont="1" applyFill="1" applyBorder="1" applyAlignment="1">
      <alignment horizontal="center" vertical="center"/>
    </xf>
    <xf numFmtId="9" fontId="15" fillId="6" borderId="5" xfId="0" applyNumberFormat="1" applyFont="1" applyFill="1" applyBorder="1" applyAlignment="1">
      <alignment horizontal="left" vertical="center"/>
    </xf>
  </cellXfs>
  <cellStyles count="9">
    <cellStyle name="Currency" xfId="2" builtinId="4"/>
    <cellStyle name="Currency 2" xfId="6" xr:uid="{895FF2B6-6C7D-479A-AB96-F9C58620BE21}"/>
    <cellStyle name="Currency 2 2" xfId="7" xr:uid="{F81ABC9D-D12E-445A-A67F-7D06F614776A}"/>
    <cellStyle name="Normal" xfId="0" builtinId="0"/>
    <cellStyle name="Normal 2" xfId="1" xr:uid="{AE3CF8C0-78D3-4E73-AAE1-81216815EA0D}"/>
    <cellStyle name="Normal 2 2" xfId="4" xr:uid="{45DD7E0A-3928-41E3-B08F-C6D9352628AE}"/>
    <cellStyle name="Normal 2 3" xfId="8" xr:uid="{4C717FD3-2744-4640-A979-3D1B5B6CA87C}"/>
    <cellStyle name="Percent" xfId="3" builtinId="5"/>
    <cellStyle name="Percent 2" xfId="5" xr:uid="{80A2C5E3-7BF4-407E-BB04-E507F2A7708B}"/>
  </cellStyles>
  <dxfs count="91"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7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SALES\ANR\SALES\TRAINS\OLAND\OVERLAND%20MASTER%20EFF%2004-05-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NEOS%20JFK\NEOS%20JFK%20Pricing%20Master%20Template%202021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Qantas%20(QF)\DFW\QF%20DFW%202020%20Pricing%20Master%20Template%2011.5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-my.sharepoint.com/personal/slu_mainlineaviation_com/Documents/Desktop/IC%20Item%20List%20ATL_V4_20JAN25.xlsx" TargetMode="External"/><Relationship Id="rId1" Type="http://schemas.openxmlformats.org/officeDocument/2006/relationships/externalLinkPath" Target="IC%20Item%20List%20ATL_V4_20JAN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Relationship Id="rId1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STER%20COS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VERLAND"/>
      <sheetName val="CREW LIST"/>
      <sheetName val="REPORTS"/>
      <sheetName val="NOTES"/>
      <sheetName val="Module1"/>
      <sheetName val="Module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Flt 33 MPL"/>
      <sheetName val="LABOR TOOL"/>
      <sheetName val="HANDLING"/>
      <sheetName val="Invoice"/>
      <sheetName val="Invoice Summary"/>
      <sheetName val="New BB"/>
      <sheetName val="Drop Down List"/>
    </sheetNames>
    <sheetDataSet>
      <sheetData sheetId="0"/>
      <sheetData sheetId="1"/>
      <sheetData sheetId="2">
        <row r="3">
          <cell r="A3">
            <v>1</v>
          </cell>
          <cell r="G3" t="str">
            <v>FIRST CLASS</v>
          </cell>
        </row>
        <row r="4">
          <cell r="G4" t="str">
            <v>FIRST CLASS SUPPER SBP SQ01</v>
          </cell>
        </row>
        <row r="5">
          <cell r="G5" t="str">
            <v>FIRST CLASS LUNCH</v>
          </cell>
        </row>
        <row r="6">
          <cell r="G6" t="str">
            <v>FIRST CLASS BREAKFAST BBP SQ01</v>
          </cell>
        </row>
        <row r="7">
          <cell r="G7" t="str">
            <v>FIRST CLASS SNACK SNP SQ01</v>
          </cell>
        </row>
        <row r="8">
          <cell r="G8" t="str">
            <v>FC OVERHEAD RECOVERY</v>
          </cell>
        </row>
        <row r="9">
          <cell r="G9" t="str">
            <v>fc supper tray set up</v>
          </cell>
        </row>
        <row r="10">
          <cell r="G10" t="str">
            <v>fc supper tray set item</v>
          </cell>
        </row>
        <row r="11">
          <cell r="G11" t="str">
            <v>fc supper snack</v>
          </cell>
        </row>
        <row r="12">
          <cell r="G12" t="str">
            <v>fc supper salad</v>
          </cell>
        </row>
        <row r="13">
          <cell r="G13" t="str">
            <v>fc supper canape/amuse</v>
          </cell>
        </row>
        <row r="14">
          <cell r="G14" t="str">
            <v>fc supper starter</v>
          </cell>
        </row>
        <row r="15">
          <cell r="G15" t="str">
            <v>fc supper soup</v>
          </cell>
        </row>
        <row r="16">
          <cell r="G16" t="str">
            <v>fc supper entrée</v>
          </cell>
        </row>
        <row r="17">
          <cell r="G17" t="str">
            <v>fc supper dessert</v>
          </cell>
        </row>
        <row r="18">
          <cell r="G18" t="str">
            <v>fc supper cheese plate</v>
          </cell>
        </row>
        <row r="19">
          <cell r="G19" t="str">
            <v>fc supper drink</v>
          </cell>
        </row>
        <row r="20">
          <cell r="G20" t="str">
            <v>fc supper bread</v>
          </cell>
        </row>
        <row r="21">
          <cell r="G21" t="str">
            <v>fc supper pre- departure drink garnish</v>
          </cell>
        </row>
        <row r="22">
          <cell r="G22" t="str">
            <v>fc supper garnish</v>
          </cell>
        </row>
        <row r="23">
          <cell r="G23" t="str">
            <v>fc lunch tray set up</v>
          </cell>
        </row>
        <row r="24">
          <cell r="G24" t="str">
            <v>fc lunch tray set item</v>
          </cell>
        </row>
        <row r="25">
          <cell r="G25" t="str">
            <v>fc lunch snack</v>
          </cell>
        </row>
        <row r="26">
          <cell r="G26" t="str">
            <v>fc lunch salad</v>
          </cell>
        </row>
        <row r="27">
          <cell r="G27" t="str">
            <v>fc lunch canape/amuse</v>
          </cell>
        </row>
        <row r="28">
          <cell r="G28" t="str">
            <v>fc lunch starter</v>
          </cell>
        </row>
        <row r="29">
          <cell r="G29" t="str">
            <v>fc lunch soup</v>
          </cell>
        </row>
        <row r="30">
          <cell r="G30" t="str">
            <v>fc lunch entrée</v>
          </cell>
        </row>
        <row r="31">
          <cell r="G31" t="str">
            <v>fc lunch dessert</v>
          </cell>
        </row>
        <row r="32">
          <cell r="G32" t="str">
            <v>fc lunch cheese plate</v>
          </cell>
        </row>
        <row r="33">
          <cell r="G33" t="str">
            <v>fc lunch drink</v>
          </cell>
        </row>
        <row r="34">
          <cell r="G34" t="str">
            <v>fc lunch bread</v>
          </cell>
        </row>
        <row r="35">
          <cell r="G35" t="str">
            <v>fc lunch pre- departure drink garnish</v>
          </cell>
        </row>
        <row r="36">
          <cell r="G36" t="str">
            <v>fc lunch bar garnish</v>
          </cell>
        </row>
        <row r="37">
          <cell r="G37" t="str">
            <v>fc breakfast tray set up</v>
          </cell>
        </row>
        <row r="38">
          <cell r="G38" t="str">
            <v>fc breakfast tray set item</v>
          </cell>
        </row>
        <row r="39">
          <cell r="G39" t="str">
            <v>fc breakfast fruit</v>
          </cell>
        </row>
        <row r="40">
          <cell r="G40" t="str">
            <v>fc breakfast cheese plate</v>
          </cell>
        </row>
        <row r="41">
          <cell r="G41" t="str">
            <v>fc breakfast starter</v>
          </cell>
        </row>
        <row r="42">
          <cell r="G42" t="str">
            <v>fc breakfast entrée</v>
          </cell>
        </row>
        <row r="43">
          <cell r="G43" t="str">
            <v>fc breakfast drink</v>
          </cell>
        </row>
        <row r="44">
          <cell r="G44" t="str">
            <v>fc breakfast bread</v>
          </cell>
        </row>
        <row r="45">
          <cell r="G45" t="str">
            <v>fc bfast garnish</v>
          </cell>
        </row>
        <row r="46">
          <cell r="G46" t="str">
            <v>fc pastry</v>
          </cell>
        </row>
        <row r="47">
          <cell r="G47" t="str">
            <v>fc snack tsu</v>
          </cell>
        </row>
        <row r="48">
          <cell r="G48" t="str">
            <v>fc snack tray items</v>
          </cell>
        </row>
        <row r="49">
          <cell r="G49" t="str">
            <v>fc snack salad</v>
          </cell>
        </row>
        <row r="50">
          <cell r="G50" t="str">
            <v>fc hot snack entrée</v>
          </cell>
        </row>
        <row r="51">
          <cell r="G51" t="str">
            <v>fc snack fruit plate</v>
          </cell>
        </row>
        <row r="52">
          <cell r="G52" t="str">
            <v>fc snack bar garnish</v>
          </cell>
        </row>
        <row r="53">
          <cell r="G53" t="str">
            <v>fc snack pre-departure garnish</v>
          </cell>
        </row>
        <row r="54">
          <cell r="G54" t="str">
            <v>fc dry ice</v>
          </cell>
        </row>
        <row r="55">
          <cell r="G55" t="str">
            <v>fc wet ice</v>
          </cell>
        </row>
        <row r="56">
          <cell r="G56" t="str">
            <v>fc lemons</v>
          </cell>
        </row>
        <row r="57">
          <cell r="G57" t="str">
            <v>fc milk</v>
          </cell>
        </row>
        <row r="58">
          <cell r="G58" t="str">
            <v>fc juice</v>
          </cell>
        </row>
        <row r="59">
          <cell r="G59" t="str">
            <v>fc dry snacks</v>
          </cell>
        </row>
        <row r="60">
          <cell r="G60" t="str">
            <v>fc cabin supplies</v>
          </cell>
        </row>
        <row r="61">
          <cell r="G61" t="str">
            <v>fc soda</v>
          </cell>
        </row>
        <row r="62">
          <cell r="G62" t="str">
            <v>fc water</v>
          </cell>
        </row>
        <row r="63">
          <cell r="G63" t="str">
            <v>fc fresh herbs</v>
          </cell>
        </row>
        <row r="64">
          <cell r="G64" t="str">
            <v>fc bar garnish</v>
          </cell>
        </row>
        <row r="65">
          <cell r="G65" t="str">
            <v>BUSINESS CLASS</v>
          </cell>
        </row>
        <row r="66">
          <cell r="G66" t="str">
            <v>BUSINESS CLASS SUPPER SMJ SQ1</v>
          </cell>
        </row>
        <row r="67">
          <cell r="G67" t="str">
            <v>BUSINESS CLASS SNACK SRJ SQ1</v>
          </cell>
        </row>
        <row r="68">
          <cell r="G68" t="str">
            <v>BUSINESS CLASS LUNCH  LAJ SQ31</v>
          </cell>
        </row>
        <row r="69">
          <cell r="G69" t="str">
            <v>BUSINESS CLASS DINNER AXJ SQ23</v>
          </cell>
        </row>
        <row r="70">
          <cell r="G70" t="str">
            <v>BUSINESS CLASS BREAKFAST BCJ SQ1</v>
          </cell>
        </row>
        <row r="71">
          <cell r="G71" t="str">
            <v>BUSINESS CLASS ANYTIME AUJ SQ31</v>
          </cell>
        </row>
        <row r="72">
          <cell r="G72" t="str">
            <v>BUSINESS CLASS BREAKFAST BBJ SQ33</v>
          </cell>
        </row>
        <row r="73">
          <cell r="G73" t="str">
            <v>BUSINESS CLASS SNACK RUJ SQ31</v>
          </cell>
        </row>
        <row r="74">
          <cell r="G74" t="str">
            <v>BUSINESS CLASS SNACK RUJ SQ23</v>
          </cell>
        </row>
        <row r="75">
          <cell r="G75" t="str">
            <v>BUSINESS CLASS BREAKFAST EXPRESS</v>
          </cell>
        </row>
        <row r="76">
          <cell r="G76" t="str">
            <v>BUSINESS SUPPER SUJ SQ23</v>
          </cell>
        </row>
        <row r="77">
          <cell r="G77" t="str">
            <v>BC OVERHEAD RECOVERY</v>
          </cell>
        </row>
        <row r="78">
          <cell r="G78" t="str">
            <v>bc supper tray set up</v>
          </cell>
        </row>
        <row r="79">
          <cell r="G79" t="str">
            <v>bc supper tray set item</v>
          </cell>
        </row>
        <row r="80">
          <cell r="G80" t="str">
            <v>bc supper snack</v>
          </cell>
        </row>
        <row r="81">
          <cell r="G81" t="str">
            <v>bc salad</v>
          </cell>
        </row>
        <row r="82">
          <cell r="G82" t="str">
            <v>bc supper canape/amuse</v>
          </cell>
        </row>
        <row r="83">
          <cell r="G83" t="str">
            <v>bc supper starter</v>
          </cell>
        </row>
        <row r="84">
          <cell r="G84" t="str">
            <v>bc supper soup</v>
          </cell>
        </row>
        <row r="85">
          <cell r="G85" t="str">
            <v>bc supper entrée</v>
          </cell>
        </row>
        <row r="86">
          <cell r="G86" t="str">
            <v>bc dessert</v>
          </cell>
        </row>
        <row r="87">
          <cell r="G87" t="str">
            <v>bc supper cheese plate</v>
          </cell>
        </row>
        <row r="88">
          <cell r="G88" t="str">
            <v>bc supper drink</v>
          </cell>
        </row>
        <row r="89">
          <cell r="G89" t="str">
            <v>bc supper bread</v>
          </cell>
        </row>
        <row r="90">
          <cell r="G90" t="str">
            <v>bc supper drink</v>
          </cell>
        </row>
        <row r="91">
          <cell r="G91" t="str">
            <v>bc supper garnish</v>
          </cell>
        </row>
        <row r="92">
          <cell r="G92" t="str">
            <v>bc breakfast tray set up</v>
          </cell>
        </row>
        <row r="93">
          <cell r="G93" t="str">
            <v>bc breakfast tray set item</v>
          </cell>
        </row>
        <row r="94">
          <cell r="G94" t="str">
            <v>bc breakfast fruit</v>
          </cell>
        </row>
        <row r="95">
          <cell r="G95" t="str">
            <v>bc breakfast cheese plate</v>
          </cell>
        </row>
        <row r="96">
          <cell r="G96" t="str">
            <v>bc breakfast starter</v>
          </cell>
        </row>
        <row r="97">
          <cell r="G97" t="str">
            <v>bc breakfast entrée</v>
          </cell>
        </row>
        <row r="98">
          <cell r="G98" t="str">
            <v>bc breakfast drink</v>
          </cell>
        </row>
        <row r="99">
          <cell r="G99" t="str">
            <v>bc breakfast bread</v>
          </cell>
        </row>
        <row r="100">
          <cell r="G100" t="str">
            <v>bc bfast garnish</v>
          </cell>
        </row>
        <row r="101">
          <cell r="G101" t="str">
            <v>bc bfast pastry</v>
          </cell>
        </row>
        <row r="102">
          <cell r="G102" t="str">
            <v>bc lunch tsu</v>
          </cell>
        </row>
        <row r="103">
          <cell r="G103" t="str">
            <v>bc lunch tray items</v>
          </cell>
        </row>
        <row r="104">
          <cell r="G104" t="str">
            <v>bc lunch entrée</v>
          </cell>
        </row>
        <row r="105">
          <cell r="G105" t="str">
            <v>bc lunch salad</v>
          </cell>
        </row>
        <row r="106">
          <cell r="G106" t="str">
            <v>bc lunch bread</v>
          </cell>
        </row>
        <row r="107">
          <cell r="G107" t="str">
            <v>bc lunch dessert</v>
          </cell>
        </row>
        <row r="108">
          <cell r="G108" t="str">
            <v>bc lunch fruit</v>
          </cell>
        </row>
        <row r="109">
          <cell r="G109" t="str">
            <v>bc snack hot entrée</v>
          </cell>
        </row>
        <row r="110">
          <cell r="G110" t="str">
            <v>bc snack condiments</v>
          </cell>
        </row>
        <row r="111">
          <cell r="G111" t="str">
            <v xml:space="preserve">bc snack sweet </v>
          </cell>
        </row>
        <row r="112">
          <cell r="G112" t="str">
            <v>bc snack cold</v>
          </cell>
        </row>
        <row r="113">
          <cell r="G113" t="str">
            <v>bc snack juice</v>
          </cell>
        </row>
        <row r="114">
          <cell r="G114" t="str">
            <v>bc snack accompaniment</v>
          </cell>
        </row>
        <row r="115">
          <cell r="G115" t="str">
            <v>BC dry ice</v>
          </cell>
        </row>
        <row r="116">
          <cell r="G116" t="str">
            <v>BC wet ice</v>
          </cell>
        </row>
        <row r="117">
          <cell r="G117" t="str">
            <v>BC lemons</v>
          </cell>
        </row>
        <row r="118">
          <cell r="G118" t="str">
            <v>BC milk</v>
          </cell>
        </row>
        <row r="119">
          <cell r="G119" t="str">
            <v>BC juice</v>
          </cell>
        </row>
        <row r="120">
          <cell r="G120" t="str">
            <v>BC dry snacks</v>
          </cell>
        </row>
        <row r="121">
          <cell r="G121" t="str">
            <v>BC cabin supplies</v>
          </cell>
        </row>
        <row r="122">
          <cell r="G122" t="str">
            <v>BC soda</v>
          </cell>
        </row>
        <row r="123">
          <cell r="G123" t="str">
            <v>BC water</v>
          </cell>
        </row>
        <row r="124">
          <cell r="G124" t="str">
            <v>BC bar garnish</v>
          </cell>
        </row>
        <row r="125">
          <cell r="G125" t="str">
            <v>BC fresh herbs</v>
          </cell>
        </row>
        <row r="126">
          <cell r="G126" t="str">
            <v>ECONOMY CLASS</v>
          </cell>
        </row>
        <row r="127">
          <cell r="G127" t="str">
            <v>ECONOMY CLASS SUPPER</v>
          </cell>
        </row>
        <row r="128">
          <cell r="G128" t="str">
            <v>ECONOMY CLASS DINNER LDY SQ31</v>
          </cell>
        </row>
        <row r="129">
          <cell r="G129" t="str">
            <v>ECONOMY CLASS BREAKFAST</v>
          </cell>
        </row>
        <row r="130">
          <cell r="G130" t="str">
            <v>ECONOMY CLASS LUNCH DDY SQ31</v>
          </cell>
        </row>
        <row r="131">
          <cell r="G131" t="str">
            <v>ECONOMY CLASS HOT SNACK</v>
          </cell>
        </row>
        <row r="132">
          <cell r="G132" t="str">
            <v>ECONOMY CLASS HOT REFRESHMENT SNY SQ31</v>
          </cell>
        </row>
        <row r="133">
          <cell r="G133" t="str">
            <v>YC OVERHEAD RECOVERY</v>
          </cell>
        </row>
        <row r="134">
          <cell r="G134" t="str">
            <v>yc dinner tray set up</v>
          </cell>
        </row>
        <row r="135">
          <cell r="G135" t="str">
            <v>yc meal box</v>
          </cell>
        </row>
        <row r="136">
          <cell r="G136" t="str">
            <v>yc dinner tray set item</v>
          </cell>
        </row>
        <row r="137">
          <cell r="G137" t="str">
            <v>yc salad</v>
          </cell>
        </row>
        <row r="138">
          <cell r="G138" t="str">
            <v>yc dinner starter</v>
          </cell>
        </row>
        <row r="139">
          <cell r="G139" t="str">
            <v>yc dinner entrée</v>
          </cell>
        </row>
        <row r="140">
          <cell r="G140" t="str">
            <v>yc dessert</v>
          </cell>
        </row>
        <row r="141">
          <cell r="G141" t="str">
            <v>yc dinner cheese plate</v>
          </cell>
        </row>
        <row r="142">
          <cell r="G142" t="str">
            <v>yc dinner fruit</v>
          </cell>
        </row>
        <row r="143">
          <cell r="G143" t="str">
            <v>yc dinner bread</v>
          </cell>
        </row>
        <row r="144">
          <cell r="G144" t="str">
            <v>yc breakfast tray set up</v>
          </cell>
        </row>
        <row r="145">
          <cell r="G145" t="str">
            <v>yc breakfast tray set item</v>
          </cell>
        </row>
        <row r="146">
          <cell r="G146" t="str">
            <v>yc breakfast cheese plate</v>
          </cell>
        </row>
        <row r="147">
          <cell r="G147" t="str">
            <v>yc breakfast fruit</v>
          </cell>
        </row>
        <row r="148">
          <cell r="G148" t="str">
            <v>yc breakfast starter</v>
          </cell>
        </row>
        <row r="149">
          <cell r="G149" t="str">
            <v>yc breakfast entrée</v>
          </cell>
        </row>
        <row r="150">
          <cell r="G150" t="str">
            <v>yc breakfast bread</v>
          </cell>
        </row>
        <row r="151">
          <cell r="G151" t="str">
            <v>yc pastry</v>
          </cell>
        </row>
        <row r="152">
          <cell r="G152" t="str">
            <v>yc lunch tray set up</v>
          </cell>
        </row>
        <row r="153">
          <cell r="G153" t="str">
            <v>yc lunch tray set item</v>
          </cell>
        </row>
        <row r="154">
          <cell r="G154" t="str">
            <v>yc lunch cheese plate</v>
          </cell>
        </row>
        <row r="155">
          <cell r="G155" t="str">
            <v>yc lunch fruit</v>
          </cell>
        </row>
        <row r="156">
          <cell r="G156" t="str">
            <v>yc lunch starter</v>
          </cell>
        </row>
        <row r="157">
          <cell r="G157" t="str">
            <v>yc lunch entrée</v>
          </cell>
        </row>
        <row r="158">
          <cell r="G158" t="str">
            <v>yc lunch bread</v>
          </cell>
        </row>
        <row r="159">
          <cell r="G159" t="str">
            <v>yc lunch pastry</v>
          </cell>
        </row>
        <row r="160">
          <cell r="G160" t="str">
            <v>yc refreshment tsu</v>
          </cell>
        </row>
        <row r="161">
          <cell r="G161" t="str">
            <v>yc refreshment tray items</v>
          </cell>
        </row>
        <row r="162">
          <cell r="G162" t="str">
            <v>yc refreshment salad</v>
          </cell>
        </row>
        <row r="163">
          <cell r="G163" t="str">
            <v>yc refreshment entrée</v>
          </cell>
        </row>
        <row r="164">
          <cell r="G164" t="str">
            <v>yc whole fruit</v>
          </cell>
        </row>
        <row r="165">
          <cell r="G165" t="str">
            <v>YC dry ice</v>
          </cell>
        </row>
        <row r="166">
          <cell r="G166" t="str">
            <v>YC wet ice</v>
          </cell>
        </row>
        <row r="167">
          <cell r="G167" t="str">
            <v>YC lemons</v>
          </cell>
        </row>
        <row r="168">
          <cell r="G168" t="str">
            <v>YC milk</v>
          </cell>
        </row>
        <row r="169">
          <cell r="G169" t="str">
            <v>YC juice</v>
          </cell>
        </row>
        <row r="170">
          <cell r="G170" t="str">
            <v>YC dry snacks</v>
          </cell>
        </row>
        <row r="171">
          <cell r="G171" t="str">
            <v>YC cabin supplies</v>
          </cell>
        </row>
        <row r="172">
          <cell r="G172" t="str">
            <v>YC soda</v>
          </cell>
        </row>
        <row r="173">
          <cell r="G173" t="str">
            <v>YC water</v>
          </cell>
        </row>
        <row r="174">
          <cell r="G174" t="str">
            <v>YC bar garnish</v>
          </cell>
        </row>
        <row r="175">
          <cell r="G175" t="str">
            <v>YC fresh herbs</v>
          </cell>
        </row>
        <row r="176">
          <cell r="G176" t="str">
            <v>PREMIUM ECONOMY CLASS</v>
          </cell>
        </row>
        <row r="177">
          <cell r="G177" t="str">
            <v>PREMIUM ECONOMY CLASS SUPPER SBS SQ1</v>
          </cell>
        </row>
        <row r="178">
          <cell r="G178" t="str">
            <v>PREMIUM ECONOMY CLASS DINNER LDS SQ31</v>
          </cell>
        </row>
        <row r="179">
          <cell r="G179" t="str">
            <v>PREMIUM ECONOMY CLASS SUPPER</v>
          </cell>
        </row>
        <row r="180">
          <cell r="G180" t="str">
            <v>PREMIUM ECONOMY CLASS BREAKFAST BBS SQ1</v>
          </cell>
        </row>
        <row r="181">
          <cell r="G181" t="str">
            <v>PREMIUM ECONOMY CLASS LUNCH DDS SQ31</v>
          </cell>
        </row>
        <row r="182">
          <cell r="G182" t="str">
            <v>PREMIUM ECONOMY CLASS BREAKFAST</v>
          </cell>
        </row>
        <row r="183">
          <cell r="G183" t="str">
            <v>PREMIUM ECONOMY CLASS LUNCH</v>
          </cell>
        </row>
        <row r="184">
          <cell r="G184" t="str">
            <v>PREMIUM ECONOMY CLASS HOT REFRESHMENT SNS SQ1</v>
          </cell>
        </row>
        <row r="185">
          <cell r="G185" t="str">
            <v>PREMIUM ECONOMY CLASS HOT REFRESHMENT SUS SQ31</v>
          </cell>
        </row>
        <row r="186">
          <cell r="G186" t="str">
            <v>PREMIUM ECONOMY CLASS HOT REFRESHMENT SNS SQ23</v>
          </cell>
        </row>
        <row r="187">
          <cell r="G187" t="str">
            <v>PY OVERHEAD RECOVERY</v>
          </cell>
        </row>
        <row r="188">
          <cell r="G188" t="str">
            <v>PY dinner tray set up</v>
          </cell>
        </row>
        <row r="189">
          <cell r="G189" t="str">
            <v>PY meal box</v>
          </cell>
        </row>
        <row r="190">
          <cell r="G190" t="str">
            <v>PY dinner tray set item</v>
          </cell>
        </row>
        <row r="191">
          <cell r="G191" t="str">
            <v>PY salad</v>
          </cell>
        </row>
        <row r="192">
          <cell r="G192" t="str">
            <v>PY dinner starter</v>
          </cell>
        </row>
        <row r="193">
          <cell r="G193" t="str">
            <v>PY dinner entrée</v>
          </cell>
        </row>
        <row r="194">
          <cell r="G194" t="str">
            <v>PY dessert</v>
          </cell>
        </row>
        <row r="195">
          <cell r="G195" t="str">
            <v>PY dinner cheese plate</v>
          </cell>
        </row>
        <row r="196">
          <cell r="G196" t="str">
            <v>PY dinner fruit</v>
          </cell>
        </row>
        <row r="197">
          <cell r="G197" t="str">
            <v>PY dinner bread</v>
          </cell>
        </row>
        <row r="198">
          <cell r="G198" t="str">
            <v>PY breakfast tray set up</v>
          </cell>
        </row>
        <row r="199">
          <cell r="G199" t="str">
            <v>PY breakfast tray set item</v>
          </cell>
        </row>
        <row r="200">
          <cell r="G200" t="str">
            <v>PY breakfast cheese plate</v>
          </cell>
        </row>
        <row r="201">
          <cell r="G201" t="str">
            <v>PY breakfast fruit</v>
          </cell>
        </row>
        <row r="202">
          <cell r="G202" t="str">
            <v>PY breakfast starter</v>
          </cell>
        </row>
        <row r="203">
          <cell r="G203" t="str">
            <v>PY breakfast entrée</v>
          </cell>
        </row>
        <row r="204">
          <cell r="G204" t="str">
            <v>PY breakfast bread</v>
          </cell>
        </row>
        <row r="205">
          <cell r="G205" t="str">
            <v>PY pastry</v>
          </cell>
        </row>
        <row r="206">
          <cell r="G206" t="str">
            <v>PY lunch tray set up</v>
          </cell>
        </row>
        <row r="207">
          <cell r="G207" t="str">
            <v>PY lunch tray set item</v>
          </cell>
        </row>
        <row r="208">
          <cell r="G208" t="str">
            <v>PY lunch cheese plate</v>
          </cell>
        </row>
        <row r="209">
          <cell r="G209" t="str">
            <v>PY lunch fruit</v>
          </cell>
        </row>
        <row r="210">
          <cell r="G210" t="str">
            <v>PY lunch starter</v>
          </cell>
        </row>
        <row r="211">
          <cell r="G211" t="str">
            <v>PY lunch entrée</v>
          </cell>
        </row>
        <row r="212">
          <cell r="G212" t="str">
            <v>PY lunch bread</v>
          </cell>
        </row>
        <row r="213">
          <cell r="G213" t="str">
            <v>PY lunch pastry</v>
          </cell>
        </row>
        <row r="214">
          <cell r="G214" t="str">
            <v>PY refreshment tsu</v>
          </cell>
        </row>
        <row r="215">
          <cell r="G215" t="str">
            <v>PY refreshment tray items</v>
          </cell>
        </row>
        <row r="216">
          <cell r="G216" t="str">
            <v>PY refreshment salad</v>
          </cell>
        </row>
        <row r="217">
          <cell r="G217" t="str">
            <v>PY refreshment entrée</v>
          </cell>
        </row>
        <row r="218">
          <cell r="G218" t="str">
            <v>PY whole fruit</v>
          </cell>
        </row>
        <row r="219">
          <cell r="G219" t="str">
            <v>PY dry ice</v>
          </cell>
        </row>
        <row r="220">
          <cell r="G220" t="str">
            <v>PY wet ice</v>
          </cell>
        </row>
        <row r="221">
          <cell r="G221" t="str">
            <v>PY lemons</v>
          </cell>
        </row>
        <row r="222">
          <cell r="G222" t="str">
            <v>PY milk</v>
          </cell>
        </row>
        <row r="223">
          <cell r="G223" t="str">
            <v>PY juice</v>
          </cell>
        </row>
        <row r="224">
          <cell r="G224" t="str">
            <v>PY dry snacks</v>
          </cell>
        </row>
        <row r="225">
          <cell r="G225" t="str">
            <v>PY cabin supplies</v>
          </cell>
        </row>
        <row r="226">
          <cell r="G226" t="str">
            <v>PY soda</v>
          </cell>
        </row>
        <row r="227">
          <cell r="G227" t="str">
            <v>PY water</v>
          </cell>
        </row>
        <row r="228">
          <cell r="G228" t="str">
            <v>PY bar garnish</v>
          </cell>
        </row>
        <row r="229">
          <cell r="G229" t="str">
            <v>PY fresh herbs</v>
          </cell>
        </row>
        <row r="230">
          <cell r="G230" t="str">
            <v>CREW CLASS</v>
          </cell>
        </row>
        <row r="231">
          <cell r="G231" t="str">
            <v>CREW CLASS DINNER</v>
          </cell>
        </row>
        <row r="232">
          <cell r="G232" t="str">
            <v>CREW CLASS BREAKFAST</v>
          </cell>
        </row>
        <row r="233">
          <cell r="G233" t="str">
            <v>CREW CLASS SNACK</v>
          </cell>
        </row>
        <row r="234">
          <cell r="G234" t="str">
            <v>CREW CLASS LUNCH</v>
          </cell>
        </row>
        <row r="235">
          <cell r="G235" t="str">
            <v>CREW OVERHEAD RECOVERY</v>
          </cell>
        </row>
        <row r="236">
          <cell r="G236" t="str">
            <v>crew dinner tray set up</v>
          </cell>
        </row>
        <row r="237">
          <cell r="G237" t="str">
            <v>crew meal box</v>
          </cell>
        </row>
        <row r="238">
          <cell r="G238" t="str">
            <v>crew dinner tray set item</v>
          </cell>
        </row>
        <row r="239">
          <cell r="G239" t="str">
            <v>crew salad</v>
          </cell>
        </row>
        <row r="240">
          <cell r="G240" t="str">
            <v>crew dinner starter</v>
          </cell>
        </row>
        <row r="241">
          <cell r="G241" t="str">
            <v>crew dinner entrée</v>
          </cell>
        </row>
        <row r="242">
          <cell r="G242" t="str">
            <v>crew dessert</v>
          </cell>
        </row>
        <row r="243">
          <cell r="G243" t="str">
            <v>crew dinner cheese plate</v>
          </cell>
        </row>
        <row r="244">
          <cell r="G244" t="str">
            <v>crew dinner fruit</v>
          </cell>
        </row>
        <row r="245">
          <cell r="G245" t="str">
            <v>crew dinner bread</v>
          </cell>
        </row>
        <row r="246">
          <cell r="G246" t="str">
            <v>crew breakfast tray set up</v>
          </cell>
        </row>
        <row r="247">
          <cell r="G247" t="str">
            <v>crew breakfast tray set item</v>
          </cell>
        </row>
        <row r="248">
          <cell r="G248" t="str">
            <v>crew breakfast cheese plate</v>
          </cell>
        </row>
        <row r="249">
          <cell r="G249" t="str">
            <v>crew breakfast fruit</v>
          </cell>
        </row>
        <row r="250">
          <cell r="G250" t="str">
            <v>crew breakfast starter</v>
          </cell>
        </row>
        <row r="251">
          <cell r="G251" t="str">
            <v>crew breakfast entrée</v>
          </cell>
        </row>
        <row r="252">
          <cell r="G252" t="str">
            <v>crew breakfast bread</v>
          </cell>
        </row>
        <row r="253">
          <cell r="G253" t="str">
            <v>crew pastry</v>
          </cell>
        </row>
        <row r="254">
          <cell r="G254" t="str">
            <v>crew lunch tsu</v>
          </cell>
        </row>
        <row r="255">
          <cell r="G255" t="str">
            <v>crew lunch tray items</v>
          </cell>
        </row>
        <row r="256">
          <cell r="G256" t="str">
            <v>crew hot lunch</v>
          </cell>
        </row>
        <row r="257">
          <cell r="G257" t="str">
            <v>crew cold lunch</v>
          </cell>
        </row>
        <row r="258">
          <cell r="G258" t="str">
            <v>crew whole fruit</v>
          </cell>
        </row>
        <row r="259">
          <cell r="G259" t="str">
            <v>crew snack entrée</v>
          </cell>
        </row>
        <row r="260">
          <cell r="G260" t="str">
            <v>crew snack tray set items</v>
          </cell>
        </row>
        <row r="261">
          <cell r="G261" t="str">
            <v>crew snack tsu</v>
          </cell>
        </row>
        <row r="262">
          <cell r="G262" t="str">
            <v>TECH CREW CLASS</v>
          </cell>
        </row>
        <row r="263">
          <cell r="G263" t="str">
            <v>TECH CREW CLASS DINNER</v>
          </cell>
        </row>
        <row r="264">
          <cell r="G264" t="str">
            <v>TECH CREW CLASS BREAKFAST</v>
          </cell>
        </row>
        <row r="265">
          <cell r="G265" t="str">
            <v>TECH CREW CLASS SNACK</v>
          </cell>
        </row>
        <row r="266">
          <cell r="G266" t="str">
            <v>TECH CREW CLASS LUNCH</v>
          </cell>
        </row>
        <row r="267">
          <cell r="G267" t="str">
            <v>TECH CREW OVERHEAD RECOVERY</v>
          </cell>
        </row>
        <row r="268">
          <cell r="G268" t="str">
            <v>tech crew dinner tray set up</v>
          </cell>
        </row>
        <row r="269">
          <cell r="G269" t="str">
            <v>tech crew meal box</v>
          </cell>
        </row>
        <row r="270">
          <cell r="G270" t="str">
            <v>tech crew dinner tray set item</v>
          </cell>
        </row>
        <row r="271">
          <cell r="G271" t="str">
            <v>tech crew salad</v>
          </cell>
        </row>
        <row r="272">
          <cell r="G272" t="str">
            <v>tech crew dinner starter</v>
          </cell>
        </row>
        <row r="273">
          <cell r="G273" t="str">
            <v>tech crew dinner entrée</v>
          </cell>
        </row>
        <row r="274">
          <cell r="G274" t="str">
            <v>tech crew dessert</v>
          </cell>
        </row>
        <row r="275">
          <cell r="G275" t="str">
            <v>tech crew dinner cheese plate</v>
          </cell>
        </row>
        <row r="276">
          <cell r="G276" t="str">
            <v>tech crew dinner fruit</v>
          </cell>
        </row>
        <row r="277">
          <cell r="G277" t="str">
            <v>tech crew dinner bread</v>
          </cell>
        </row>
        <row r="278">
          <cell r="G278" t="str">
            <v>tech crew breakfast tray set up</v>
          </cell>
        </row>
        <row r="279">
          <cell r="G279" t="str">
            <v>tech crew breakfast tray set item</v>
          </cell>
        </row>
        <row r="280">
          <cell r="G280" t="str">
            <v>tech crew breakfast cheese plate</v>
          </cell>
        </row>
        <row r="281">
          <cell r="G281" t="str">
            <v>tech crew breakfast fruit</v>
          </cell>
        </row>
        <row r="282">
          <cell r="G282" t="str">
            <v>tech crew breakfast starter</v>
          </cell>
        </row>
        <row r="283">
          <cell r="G283" t="str">
            <v>tech crew breakfast entrée</v>
          </cell>
        </row>
        <row r="284">
          <cell r="G284" t="str">
            <v>tech crew breakfast bread</v>
          </cell>
        </row>
        <row r="285">
          <cell r="G285" t="str">
            <v>tech crew pastry</v>
          </cell>
        </row>
        <row r="286">
          <cell r="G286" t="str">
            <v>tech crew lunch tsu</v>
          </cell>
        </row>
        <row r="287">
          <cell r="G287" t="str">
            <v>tech crew lunch tray items</v>
          </cell>
        </row>
        <row r="288">
          <cell r="G288" t="str">
            <v>tech crew hot lunch</v>
          </cell>
        </row>
        <row r="289">
          <cell r="G289" t="str">
            <v>tech crew cold lunch</v>
          </cell>
        </row>
        <row r="290">
          <cell r="G290" t="str">
            <v>tech crew whole fruit</v>
          </cell>
        </row>
        <row r="291">
          <cell r="G291" t="str">
            <v>tech crew snack tsu</v>
          </cell>
        </row>
        <row r="292">
          <cell r="G292" t="str">
            <v>tech crew snack tsu tray set items</v>
          </cell>
        </row>
        <row r="293">
          <cell r="G293" t="str">
            <v>tech crew snack entrée</v>
          </cell>
        </row>
        <row r="295">
          <cell r="G295" t="str">
            <v>STD LOAD ITEMS</v>
          </cell>
        </row>
        <row r="296">
          <cell r="G296" t="str">
            <v>dry ice</v>
          </cell>
        </row>
        <row r="297">
          <cell r="G297" t="str">
            <v>wet ice</v>
          </cell>
        </row>
        <row r="298">
          <cell r="G298" t="str">
            <v>lemons</v>
          </cell>
        </row>
        <row r="299">
          <cell r="G299" t="str">
            <v>milk</v>
          </cell>
        </row>
        <row r="300">
          <cell r="G300" t="str">
            <v>juice</v>
          </cell>
        </row>
        <row r="301">
          <cell r="G301" t="str">
            <v>dry snacks</v>
          </cell>
        </row>
        <row r="302">
          <cell r="G302" t="str">
            <v>cabin supplies</v>
          </cell>
        </row>
        <row r="303">
          <cell r="G303" t="str">
            <v>soda</v>
          </cell>
        </row>
        <row r="304">
          <cell r="G304" t="str">
            <v>water</v>
          </cell>
        </row>
        <row r="305">
          <cell r="G305" t="str">
            <v>bar garnish</v>
          </cell>
        </row>
        <row r="306">
          <cell r="G306" t="str">
            <v>fresh herbs</v>
          </cell>
        </row>
        <row r="307">
          <cell r="G307" t="str">
            <v>HANDLING</v>
          </cell>
        </row>
        <row r="308">
          <cell r="G308" t="str">
            <v>a/c handling</v>
          </cell>
        </row>
        <row r="309">
          <cell r="G309" t="str">
            <v>eq and bev stock</v>
          </cell>
        </row>
        <row r="310">
          <cell r="G310" t="str">
            <v>transportation</v>
          </cell>
        </row>
        <row r="311">
          <cell r="G311" t="str">
            <v>overtime</v>
          </cell>
        </row>
        <row r="312">
          <cell r="G312" t="str">
            <v>waste</v>
          </cell>
        </row>
        <row r="313">
          <cell r="G313" t="str">
            <v>fees</v>
          </cell>
        </row>
        <row r="314">
          <cell r="G314" t="str">
            <v xml:space="preserve">newspapers/mags </v>
          </cell>
        </row>
        <row r="315">
          <cell r="G315" t="str">
            <v>linen</v>
          </cell>
        </row>
      </sheetData>
      <sheetData sheetId="3">
        <row r="2">
          <cell r="B2" t="str">
            <v>SINGAPORE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A39">
            <v>12009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craft Configs"/>
      <sheetName val="UPDATES"/>
      <sheetName val="POLICY2"/>
      <sheetName val="scale"/>
      <sheetName val="FG MASTER"/>
      <sheetName val="POLICY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QF74 SFO-SYD"/>
      <sheetName val="Invoice QF50 SFO-MEL"/>
      <sheetName val="New BB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of All Pax Spec codes "/>
      <sheetName val="List of All CrewMeal Specs"/>
      <sheetName val="Change Log"/>
    </sheetNames>
    <sheetDataSet>
      <sheetData sheetId="0">
        <row r="6">
          <cell r="A6" t="str">
            <v>4ATL-411080</v>
          </cell>
          <cell r="B6" t="str">
            <v xml:space="preserve">IC C S1 CUTLERY </v>
          </cell>
        </row>
        <row r="7">
          <cell r="A7" t="str">
            <v>2ATL-411011</v>
          </cell>
          <cell r="B7" t="str">
            <v xml:space="preserve">IC C S1 SALAD </v>
          </cell>
        </row>
        <row r="8">
          <cell r="A8" t="str">
            <v>2ATL-411021</v>
          </cell>
          <cell r="B8" t="str">
            <v xml:space="preserve">IC C S1 SA GARNISH </v>
          </cell>
        </row>
        <row r="9">
          <cell r="A9" t="str">
            <v>2ATL-411050</v>
          </cell>
          <cell r="B9" t="str">
            <v xml:space="preserve">IC C S1+S2 BUTTER </v>
          </cell>
        </row>
        <row r="10">
          <cell r="A10" t="str">
            <v>2ATL-411041</v>
          </cell>
          <cell r="B10" t="str">
            <v xml:space="preserve">IC C S1 ST-A MEAT </v>
          </cell>
        </row>
        <row r="11">
          <cell r="A11" t="str">
            <v>2ATL-411051</v>
          </cell>
          <cell r="B11" t="str">
            <v xml:space="preserve">IC C S1 ST-B FISH </v>
          </cell>
        </row>
        <row r="12">
          <cell r="A12" t="str">
            <v>2ATL-411181</v>
          </cell>
          <cell r="B12" t="str">
            <v xml:space="preserve">IC C S1 ST GARNISH </v>
          </cell>
        </row>
        <row r="13">
          <cell r="A13" t="str">
            <v>2ATL-411061</v>
          </cell>
          <cell r="B13" t="str">
            <v xml:space="preserve">IC C S1 HM-A MEAT </v>
          </cell>
        </row>
        <row r="14">
          <cell r="A14" t="str">
            <v>2ATL-411081</v>
          </cell>
          <cell r="B14" t="str">
            <v xml:space="preserve">IC C S1 HM-C POULTRY </v>
          </cell>
        </row>
        <row r="15">
          <cell r="A15" t="str">
            <v>2ATL-411091</v>
          </cell>
          <cell r="B15" t="str">
            <v xml:space="preserve">IC C S1 HM-D VEG </v>
          </cell>
        </row>
        <row r="16">
          <cell r="A16" t="str">
            <v>2ATL-411111</v>
          </cell>
          <cell r="B16" t="str">
            <v xml:space="preserve">IC C S1 HM GARNISH </v>
          </cell>
        </row>
        <row r="17">
          <cell r="A17" t="str">
            <v>2ATL-411121</v>
          </cell>
          <cell r="B17" t="str">
            <v xml:space="preserve">IC C S1 DE CHEESE </v>
          </cell>
        </row>
        <row r="18">
          <cell r="A18" t="str">
            <v>2ATL-411141</v>
          </cell>
          <cell r="B18" t="str">
            <v xml:space="preserve">IC C S1 DE CAKE </v>
          </cell>
        </row>
        <row r="19">
          <cell r="A19" t="str">
            <v>2ATL-411151</v>
          </cell>
          <cell r="B19" t="str">
            <v xml:space="preserve">IC C S1 DE CAKE GARNISH </v>
          </cell>
        </row>
        <row r="20">
          <cell r="A20" t="str">
            <v>2ATL-411171</v>
          </cell>
          <cell r="B20" t="str">
            <v xml:space="preserve">IC C S1 DE FRUIT </v>
          </cell>
        </row>
        <row r="21">
          <cell r="A21" t="str">
            <v>4ATL-411040</v>
          </cell>
          <cell r="B21" t="str">
            <v xml:space="preserve">IC C S1 LEMON WEDGES </v>
          </cell>
        </row>
        <row r="22">
          <cell r="A22" t="str">
            <v>4ATL-411050</v>
          </cell>
          <cell r="B22" t="str">
            <v xml:space="preserve">IC C S1 LIME WEDGES </v>
          </cell>
        </row>
        <row r="23">
          <cell r="A23" t="str">
            <v>4ATL-411060</v>
          </cell>
          <cell r="B23" t="str">
            <v xml:space="preserve">IC C S1 CELERY STICKS </v>
          </cell>
        </row>
        <row r="24">
          <cell r="A24" t="str">
            <v>4ATL-411070</v>
          </cell>
          <cell r="B24" t="str">
            <v xml:space="preserve">IC C S1 LEMON SLICES </v>
          </cell>
        </row>
        <row r="25">
          <cell r="A25" t="str">
            <v>4ATL-411010</v>
          </cell>
          <cell r="B25" t="str">
            <v xml:space="preserve">IC C S1 BRD Type 1 </v>
          </cell>
        </row>
        <row r="26">
          <cell r="A26" t="str">
            <v>4ATL-411020</v>
          </cell>
          <cell r="B26" t="str">
            <v xml:space="preserve">IC C S1 BRD Type 2 </v>
          </cell>
        </row>
        <row r="27">
          <cell r="A27" t="str">
            <v>4ATL-411030</v>
          </cell>
          <cell r="B27" t="str">
            <v xml:space="preserve">IC C S1 BRD Type 3 </v>
          </cell>
        </row>
        <row r="29">
          <cell r="A29" t="str">
            <v>3ATL-411010</v>
          </cell>
          <cell r="B29" t="str">
            <v>IC C S1 TSU</v>
          </cell>
        </row>
        <row r="30">
          <cell r="A30" t="str">
            <v>4ATL-411080</v>
          </cell>
          <cell r="B30" t="str">
            <v xml:space="preserve">IC C S1 CUTLERY </v>
          </cell>
        </row>
        <row r="31">
          <cell r="A31" t="str">
            <v>2ATL-411191</v>
          </cell>
          <cell r="B31" t="str">
            <v>IC C S1 SALAD + Garnish</v>
          </cell>
        </row>
        <row r="32">
          <cell r="A32" t="str">
            <v>2ATL-411221</v>
          </cell>
          <cell r="B32" t="str">
            <v>IC C S1 ST-A + Garnish</v>
          </cell>
        </row>
        <row r="33">
          <cell r="A33" t="str">
            <v>2ATL-411231</v>
          </cell>
          <cell r="B33" t="str">
            <v>IC C S1 ST-B + Garnish</v>
          </cell>
        </row>
        <row r="34">
          <cell r="A34" t="str">
            <v>2ATL-411125</v>
          </cell>
          <cell r="B34" t="str">
            <v>IC C S1 CHEESE PLATED</v>
          </cell>
        </row>
        <row r="36">
          <cell r="A36" t="str">
            <v>3ATL-412010</v>
          </cell>
          <cell r="B36" t="str">
            <v xml:space="preserve">IC C S2 TSU </v>
          </cell>
        </row>
        <row r="37">
          <cell r="A37" t="str">
            <v>4ATL-412030</v>
          </cell>
          <cell r="B37" t="str">
            <v xml:space="preserve">IC C S2 CUTLERY </v>
          </cell>
        </row>
        <row r="38">
          <cell r="A38" t="str">
            <v>2ATL-412011</v>
          </cell>
          <cell r="B38" t="str">
            <v xml:space="preserve">IC C S2 COLD CUTS </v>
          </cell>
        </row>
        <row r="39">
          <cell r="A39" t="str">
            <v>2ATL-411050</v>
          </cell>
          <cell r="B39" t="str">
            <v xml:space="preserve">IC C S1+S2 BUTTER </v>
          </cell>
        </row>
        <row r="40">
          <cell r="A40" t="str">
            <v>2ATL-412111</v>
          </cell>
          <cell r="B40" t="str">
            <v>IC C S2 OVERNIGHT OATS</v>
          </cell>
        </row>
        <row r="41">
          <cell r="A41" t="str">
            <v>4ATL-412010</v>
          </cell>
          <cell r="B41" t="str">
            <v xml:space="preserve">IC C S2 BRD Type 1 </v>
          </cell>
        </row>
        <row r="42">
          <cell r="A42" t="str">
            <v>4ATL-412015</v>
          </cell>
          <cell r="B42" t="str">
            <v xml:space="preserve">IC C S2 BRD Type 2 </v>
          </cell>
        </row>
        <row r="43">
          <cell r="A43" t="str">
            <v>4ATL-412020</v>
          </cell>
          <cell r="B43" t="str">
            <v xml:space="preserve">IC C S2 BRD Croissant </v>
          </cell>
        </row>
        <row r="49">
          <cell r="A49" t="str">
            <v>3ATL-421010</v>
          </cell>
          <cell r="B49" t="str">
            <v xml:space="preserve">IC Y S1 TSU </v>
          </cell>
        </row>
        <row r="50">
          <cell r="A50" t="str">
            <v>2ATL-421011</v>
          </cell>
          <cell r="B50" t="str">
            <v xml:space="preserve">IC Y S1 ST </v>
          </cell>
        </row>
        <row r="51">
          <cell r="A51" t="str">
            <v>2ATL-421021</v>
          </cell>
          <cell r="B51" t="str">
            <v>IC Y/M S1 HM-A</v>
          </cell>
        </row>
        <row r="52">
          <cell r="A52" t="str">
            <v>2ATL-421031</v>
          </cell>
          <cell r="B52" t="str">
            <v>IC Y/M S1 HM-B</v>
          </cell>
        </row>
        <row r="53">
          <cell r="A53" t="str">
            <v>2ATL-421041</v>
          </cell>
          <cell r="B53" t="str">
            <v xml:space="preserve">IC Y S1 DE </v>
          </cell>
        </row>
        <row r="54">
          <cell r="A54" t="str">
            <v>4ATL-421010</v>
          </cell>
          <cell r="B54" t="str">
            <v xml:space="preserve">IC Y S1 BRD Type 1 </v>
          </cell>
        </row>
        <row r="56">
          <cell r="A56" t="str">
            <v>3ATL-422010</v>
          </cell>
          <cell r="B56" t="str">
            <v xml:space="preserve">IC Y S2 TSU </v>
          </cell>
        </row>
        <row r="57">
          <cell r="A57" t="str">
            <v>2ATL-422011</v>
          </cell>
          <cell r="B57" t="str">
            <v xml:space="preserve">IC Y S2 BREAKFAST PLATE </v>
          </cell>
        </row>
        <row r="58">
          <cell r="A58" t="str">
            <v>4ATL-422011</v>
          </cell>
          <cell r="B58" t="str">
            <v xml:space="preserve">IC Y S2 BRD Type 1 </v>
          </cell>
        </row>
        <row r="64">
          <cell r="A64" t="str">
            <v>3ATL-431010</v>
          </cell>
          <cell r="B64" t="str">
            <v xml:space="preserve">IC M S1 TSU </v>
          </cell>
        </row>
        <row r="65">
          <cell r="A65" t="str">
            <v>2ATL-431011</v>
          </cell>
          <cell r="B65" t="str">
            <v xml:space="preserve">IC M S1 SALAD </v>
          </cell>
        </row>
        <row r="66">
          <cell r="A66" t="str">
            <v>2ATL-421021</v>
          </cell>
          <cell r="B66" t="str">
            <v>IC Y/M S1 HM-A</v>
          </cell>
        </row>
        <row r="67">
          <cell r="A67" t="str">
            <v>2ATL-421031</v>
          </cell>
          <cell r="B67" t="str">
            <v>IC Y/M S1 HM-B</v>
          </cell>
        </row>
        <row r="68">
          <cell r="A68" t="str">
            <v>2ATL-431020</v>
          </cell>
          <cell r="B68" t="str">
            <v xml:space="preserve">IC M S1 DE </v>
          </cell>
        </row>
        <row r="69">
          <cell r="A69" t="str">
            <v>4ATL-431010</v>
          </cell>
          <cell r="B69" t="str">
            <v xml:space="preserve">IC M S1 BRD Type 1 </v>
          </cell>
        </row>
        <row r="71">
          <cell r="A71" t="str">
            <v>2ATL-432020</v>
          </cell>
          <cell r="B71" t="str">
            <v xml:space="preserve">IC M S2 SW </v>
          </cell>
        </row>
        <row r="72">
          <cell r="A72" t="str">
            <v>4ATL-432010</v>
          </cell>
          <cell r="B72" t="str">
            <v xml:space="preserve">IC M S2 JUICE </v>
          </cell>
        </row>
        <row r="76">
          <cell r="A76" t="str">
            <v>3ATL-9110BK1</v>
          </cell>
          <cell r="B76" t="str">
            <v>IC C S1 + S2 Used BKML 100%</v>
          </cell>
        </row>
        <row r="77">
          <cell r="A77" t="str">
            <v>3ATL-9120BK1</v>
          </cell>
          <cell r="B77" t="str">
            <v>IC C S1 + S2 Unused BKML 50%</v>
          </cell>
        </row>
        <row r="78">
          <cell r="A78" t="str">
            <v>3ATL-9210BK1</v>
          </cell>
          <cell r="B78" t="str">
            <v>IC Y S1 + S2 Used BKML 100%</v>
          </cell>
        </row>
        <row r="79">
          <cell r="A79" t="str">
            <v>3ATL-9220BK1</v>
          </cell>
          <cell r="B79" t="str">
            <v>IC Y S1 + S2 Unused BKML 50%</v>
          </cell>
        </row>
        <row r="82">
          <cell r="A82" t="str">
            <v>3333-IC954</v>
          </cell>
          <cell r="B82" t="str">
            <v>SK0954-0956-0958</v>
          </cell>
        </row>
        <row r="83">
          <cell r="A83" t="str">
            <v>3334-IC954</v>
          </cell>
          <cell r="B83" t="str">
            <v>SK0954-0956-0958</v>
          </cell>
        </row>
        <row r="84">
          <cell r="A84" t="str">
            <v>3591-IC954</v>
          </cell>
          <cell r="B84" t="str">
            <v>SK0954-0956-0958</v>
          </cell>
        </row>
        <row r="85">
          <cell r="A85" t="str">
            <v>3333-IC954-T</v>
          </cell>
          <cell r="B85" t="str">
            <v>SK0954-0956-0958 Terminating (Offload)</v>
          </cell>
        </row>
        <row r="86">
          <cell r="A86" t="str">
            <v>3334-IC954-T</v>
          </cell>
          <cell r="B86" t="str">
            <v>SK0954-0956-0958 Terminating (Offload)</v>
          </cell>
        </row>
        <row r="87">
          <cell r="A87" t="str">
            <v>3591-IC954-T</v>
          </cell>
          <cell r="B87" t="str">
            <v>SK0954-0956-0958 Terminating (Offload)</v>
          </cell>
        </row>
        <row r="88">
          <cell r="A88" t="str">
            <v>3333-IC954-OR</v>
          </cell>
          <cell r="B88" t="str">
            <v>SK0954-0956-0958 Originating (Reload)</v>
          </cell>
        </row>
        <row r="89">
          <cell r="A89" t="str">
            <v>3334-IC954-OR</v>
          </cell>
          <cell r="B89" t="str">
            <v>SK0954-0956-0958 Originating (Reload)</v>
          </cell>
        </row>
        <row r="90">
          <cell r="A90" t="str">
            <v>3591-IC954-OR</v>
          </cell>
          <cell r="B90" t="str">
            <v>SK0954-0956-0958 Originating (Reload)</v>
          </cell>
        </row>
        <row r="91">
          <cell r="A91" t="str">
            <v>8ALL-WETICE3333</v>
          </cell>
          <cell r="B91" t="str">
            <v>Wet Ice</v>
          </cell>
        </row>
        <row r="92">
          <cell r="A92" t="str">
            <v>8ALL-WETICE3334</v>
          </cell>
          <cell r="B92" t="str">
            <v>Wet Ice</v>
          </cell>
        </row>
        <row r="93">
          <cell r="A93" t="str">
            <v>8ALL-WETICE3591</v>
          </cell>
          <cell r="B93" t="str">
            <v>Wet Ice</v>
          </cell>
        </row>
        <row r="94">
          <cell r="A94" t="str">
            <v>8ALL-DRYICE3333</v>
          </cell>
          <cell r="B94" t="str">
            <v>Dry Ice</v>
          </cell>
        </row>
        <row r="95">
          <cell r="A95" t="str">
            <v>8ALL-DRYICE3334</v>
          </cell>
          <cell r="B95" t="str">
            <v>Dry Ice</v>
          </cell>
        </row>
        <row r="96">
          <cell r="A96" t="str">
            <v>8ALL-DRYICE3591</v>
          </cell>
          <cell r="B96" t="str">
            <v>Dry Ice</v>
          </cell>
        </row>
        <row r="97">
          <cell r="A97" t="str">
            <v>8ALL-GARBAGE3333</v>
          </cell>
          <cell r="B97" t="str">
            <v>International Garbage Charge (3333)</v>
          </cell>
        </row>
        <row r="98">
          <cell r="A98" t="str">
            <v>8ALL-GARBAGE3334</v>
          </cell>
          <cell r="B98" t="str">
            <v>International Garbage Charge (3334)</v>
          </cell>
        </row>
        <row r="99">
          <cell r="A99" t="str">
            <v>8ALL-GARBAGE3591</v>
          </cell>
          <cell r="B99" t="str">
            <v>International Garbage Charge (3591)</v>
          </cell>
        </row>
        <row r="100">
          <cell r="A100" t="str">
            <v>8ALL-ACDELIVERY</v>
          </cell>
          <cell r="B100" t="str">
            <v>Aircraft Delivery Charge</v>
          </cell>
        </row>
        <row r="101">
          <cell r="A101" t="str">
            <v>8ATL-OVERHEAD-C</v>
          </cell>
          <cell r="B101" t="str">
            <v>IC C Overhead</v>
          </cell>
        </row>
        <row r="102">
          <cell r="A102" t="str">
            <v>8ATL-OVERHEAD-Y</v>
          </cell>
          <cell r="B102" t="str">
            <v>IC Y Overhead</v>
          </cell>
        </row>
        <row r="103">
          <cell r="A103" t="str">
            <v>8ATL-OVERHEAD-M</v>
          </cell>
          <cell r="B103" t="str">
            <v>IC M Overhead</v>
          </cell>
        </row>
        <row r="105">
          <cell r="A105" t="str">
            <v>SPML</v>
          </cell>
        </row>
        <row r="107">
          <cell r="A107" t="str">
            <v>3ATL-9110AV0</v>
          </cell>
          <cell r="B107" t="str">
            <v xml:space="preserve">IC C S1 AVML </v>
          </cell>
        </row>
        <row r="108">
          <cell r="A108" t="str">
            <v>3ATL-9110CH0</v>
          </cell>
          <cell r="B108" t="str">
            <v xml:space="preserve">IC C S1 CHML </v>
          </cell>
        </row>
        <row r="109">
          <cell r="A109" t="str">
            <v>3ATL-9110LG0</v>
          </cell>
          <cell r="B109" t="str">
            <v xml:space="preserve">IC C S1 LGML </v>
          </cell>
        </row>
        <row r="110">
          <cell r="A110" t="str">
            <v>3ATL-9110VG0</v>
          </cell>
          <cell r="B110" t="str">
            <v xml:space="preserve">IC C S1 VGML </v>
          </cell>
        </row>
        <row r="111">
          <cell r="A111" t="str">
            <v>3ATL-9110VL0</v>
          </cell>
          <cell r="B111" t="str">
            <v xml:space="preserve">IC C S1 VLML </v>
          </cell>
        </row>
        <row r="112">
          <cell r="A112" t="str">
            <v>3ATL-9120AV0</v>
          </cell>
          <cell r="B112" t="str">
            <v xml:space="preserve">IC C S2 AVML </v>
          </cell>
        </row>
        <row r="113">
          <cell r="A113" t="str">
            <v>3ATL-9120CH0</v>
          </cell>
          <cell r="B113" t="str">
            <v xml:space="preserve">IC C S2 CHML </v>
          </cell>
        </row>
        <row r="114">
          <cell r="A114" t="str">
            <v>3ATL-9120LG0</v>
          </cell>
          <cell r="B114" t="str">
            <v xml:space="preserve">IC C S2 LGML </v>
          </cell>
        </row>
        <row r="115">
          <cell r="A115" t="str">
            <v>3ATL-9120VG0</v>
          </cell>
          <cell r="B115" t="str">
            <v>IC C S2 VGML</v>
          </cell>
        </row>
        <row r="116">
          <cell r="A116" t="str">
            <v>3ATL-9120VL0</v>
          </cell>
          <cell r="B116" t="str">
            <v xml:space="preserve">IC C S2 VLML </v>
          </cell>
        </row>
        <row r="117">
          <cell r="A117" t="str">
            <v>3ATL-9210AV0</v>
          </cell>
          <cell r="B117" t="str">
            <v xml:space="preserve">IC Y S1 AVML </v>
          </cell>
        </row>
        <row r="118">
          <cell r="A118" t="str">
            <v>3ATL-9210CH0</v>
          </cell>
          <cell r="B118" t="str">
            <v xml:space="preserve">IC Y S1 CHML </v>
          </cell>
        </row>
        <row r="119">
          <cell r="A119" t="str">
            <v>3ATL-9210LG0</v>
          </cell>
          <cell r="B119" t="str">
            <v xml:space="preserve">IC Y S1 LGML </v>
          </cell>
        </row>
        <row r="120">
          <cell r="A120" t="str">
            <v>3ATL-9210VG0</v>
          </cell>
          <cell r="B120" t="str">
            <v xml:space="preserve">IC Y S1 VGML </v>
          </cell>
        </row>
        <row r="121">
          <cell r="A121" t="str">
            <v>3ATL-9210VL0</v>
          </cell>
          <cell r="B121" t="str">
            <v xml:space="preserve">IC Y S1 VLML </v>
          </cell>
        </row>
        <row r="122">
          <cell r="A122" t="str">
            <v>3ATL-9220AV0</v>
          </cell>
          <cell r="B122" t="str">
            <v xml:space="preserve">IC Y S2 AVML </v>
          </cell>
        </row>
        <row r="123">
          <cell r="A123" t="str">
            <v>3ATL-9220CH0</v>
          </cell>
          <cell r="B123" t="str">
            <v xml:space="preserve">IC Y S2 CHML </v>
          </cell>
        </row>
        <row r="124">
          <cell r="A124" t="str">
            <v>3ATL-9220LG0</v>
          </cell>
          <cell r="B124" t="str">
            <v xml:space="preserve">IC Y S2 LGML </v>
          </cell>
        </row>
        <row r="125">
          <cell r="A125" t="str">
            <v>3ATL-9220VG0</v>
          </cell>
          <cell r="B125" t="str">
            <v xml:space="preserve">IC Y S2 VGML </v>
          </cell>
        </row>
        <row r="126">
          <cell r="A126" t="str">
            <v>3ATL-9220VL0</v>
          </cell>
          <cell r="B126" t="str">
            <v xml:space="preserve">IC Y S2 VLML </v>
          </cell>
        </row>
        <row r="127">
          <cell r="A127" t="str">
            <v>3ATL-9310AD0</v>
          </cell>
          <cell r="B127" t="str">
            <v xml:space="preserve">IC M S1 ADML </v>
          </cell>
        </row>
        <row r="128">
          <cell r="A128" t="str">
            <v>3ATL-9310CD0</v>
          </cell>
          <cell r="B128" t="str">
            <v xml:space="preserve">IC M S1 CDML </v>
          </cell>
        </row>
        <row r="129">
          <cell r="A129" t="str">
            <v>3ATL-9310GC0</v>
          </cell>
          <cell r="B129" t="str">
            <v xml:space="preserve">IC M S1 GCML </v>
          </cell>
        </row>
        <row r="130">
          <cell r="A130" t="str">
            <v>3ATL-9310VV0</v>
          </cell>
          <cell r="B130" t="str">
            <v xml:space="preserve">IC M S1 VVML </v>
          </cell>
        </row>
        <row r="131">
          <cell r="A131" t="str">
            <v>3ATL-9310EV0</v>
          </cell>
          <cell r="B131" t="str">
            <v xml:space="preserve">IC M S1 EVML </v>
          </cell>
        </row>
        <row r="132">
          <cell r="A132" t="str">
            <v>3ATL-9320AD0</v>
          </cell>
          <cell r="B132" t="str">
            <v xml:space="preserve">IC M S2 ADML </v>
          </cell>
        </row>
        <row r="133">
          <cell r="A133" t="str">
            <v>3ATL-9320CD0</v>
          </cell>
          <cell r="B133" t="str">
            <v xml:space="preserve">IC M S2 CDML </v>
          </cell>
        </row>
        <row r="134">
          <cell r="A134" t="str">
            <v>3ATL-9320GC0</v>
          </cell>
          <cell r="B134" t="str">
            <v xml:space="preserve">IC M S2 GCML </v>
          </cell>
        </row>
        <row r="135">
          <cell r="A135" t="str">
            <v>3ATL-9320VV0</v>
          </cell>
          <cell r="B135" t="str">
            <v xml:space="preserve">IC M S2 VVML </v>
          </cell>
        </row>
        <row r="136">
          <cell r="A136" t="str">
            <v>3ATL-9320EV0</v>
          </cell>
          <cell r="B136" t="str">
            <v xml:space="preserve">IC M S2 EVML </v>
          </cell>
        </row>
        <row r="137">
          <cell r="A137" t="str">
            <v>3ATL-9320GH0</v>
          </cell>
          <cell r="B137" t="str">
            <v xml:space="preserve">IC M S2 GHML </v>
          </cell>
        </row>
        <row r="140">
          <cell r="A140" t="str">
            <v>3ATL-9110ME0</v>
          </cell>
          <cell r="B140" t="str">
            <v>IC M S1 BMML</v>
          </cell>
        </row>
        <row r="141">
          <cell r="A141" t="str">
            <v>3ATL-9110FI0</v>
          </cell>
          <cell r="B141" t="str">
            <v>IC M S1 BFML</v>
          </cell>
        </row>
        <row r="142">
          <cell r="A142" t="str">
            <v>3ATL-9110CK0</v>
          </cell>
          <cell r="B142" t="str">
            <v>IC M S1 BPML</v>
          </cell>
        </row>
        <row r="143">
          <cell r="A143" t="str">
            <v>3ATL-9110GH0</v>
          </cell>
          <cell r="B143" t="str">
            <v>IC M S1 BVML</v>
          </cell>
        </row>
        <row r="144">
          <cell r="A144" t="str">
            <v>3ATL-9310ME0</v>
          </cell>
          <cell r="B144" t="str">
            <v xml:space="preserve">IC M S1 MEML </v>
          </cell>
        </row>
        <row r="145">
          <cell r="A145" t="str">
            <v>3ATL-9310FI0</v>
          </cell>
          <cell r="B145" t="str">
            <v xml:space="preserve">IC M S1 FIML </v>
          </cell>
        </row>
        <row r="146">
          <cell r="A146" t="str">
            <v>3ATL-9310CK0</v>
          </cell>
          <cell r="B146" t="str">
            <v xml:space="preserve">IC M S1 CKML </v>
          </cell>
        </row>
        <row r="147">
          <cell r="A147" t="str">
            <v>3ATL-9310GH0</v>
          </cell>
          <cell r="B147" t="str">
            <v xml:space="preserve">IC M S1 GHML </v>
          </cell>
        </row>
        <row r="149">
          <cell r="A149" t="str">
            <v>4ATL-443601</v>
          </cell>
          <cell r="B149" t="str">
            <v>Replenish Water Bottle 0,5L</v>
          </cell>
        </row>
        <row r="150">
          <cell r="A150" t="str">
            <v>4ATL-443602</v>
          </cell>
          <cell r="B150" t="str">
            <v>Replenish Still Water Bottle 1,5L</v>
          </cell>
        </row>
        <row r="151">
          <cell r="A151" t="str">
            <v>4ATL-443603</v>
          </cell>
          <cell r="B151" t="str">
            <v>Replenish Sparkling Water Bottle 1,0L</v>
          </cell>
        </row>
        <row r="152">
          <cell r="A152" t="str">
            <v>4ATL-443607</v>
          </cell>
          <cell r="B152" t="str">
            <v>Standard Load C Milk Tetra 0,25L</v>
          </cell>
        </row>
        <row r="153">
          <cell r="A153" t="str">
            <v>4ATL-443608</v>
          </cell>
          <cell r="B153" t="str">
            <v>Standard Load Y/M Milk Tetra 0,25L</v>
          </cell>
        </row>
        <row r="154">
          <cell r="A154" t="str">
            <v>4ATL-443609</v>
          </cell>
          <cell r="B154" t="str">
            <v xml:space="preserve">Standard Load Y/M Lemon Slices </v>
          </cell>
        </row>
      </sheetData>
      <sheetData sheetId="1">
        <row r="7">
          <cell r="A7" t="str">
            <v>3ATL-550003</v>
          </cell>
        </row>
        <row r="8">
          <cell r="A8" t="str">
            <v>2ATL-550025</v>
          </cell>
        </row>
        <row r="9">
          <cell r="A9" t="str">
            <v>2ATL-550026</v>
          </cell>
        </row>
        <row r="10">
          <cell r="A10" t="str">
            <v>3ATL-560003</v>
          </cell>
        </row>
        <row r="11">
          <cell r="A11" t="str">
            <v>3ATL-560004</v>
          </cell>
        </row>
        <row r="13">
          <cell r="A13" t="str">
            <v>3ATL-550001</v>
          </cell>
        </row>
        <row r="14">
          <cell r="A14" t="str">
            <v>2ATL-550001</v>
          </cell>
        </row>
        <row r="15">
          <cell r="A15" t="str">
            <v>2ATL-550010</v>
          </cell>
        </row>
        <row r="16">
          <cell r="A16" t="str">
            <v>2ATL-550011</v>
          </cell>
        </row>
        <row r="17">
          <cell r="A17" t="str">
            <v>3ATL-560001</v>
          </cell>
        </row>
        <row r="18">
          <cell r="A18" t="str">
            <v>2ATL-560001</v>
          </cell>
        </row>
        <row r="19">
          <cell r="A19" t="str">
            <v>2ATL-560010</v>
          </cell>
        </row>
        <row r="20">
          <cell r="A20" t="str">
            <v>2ATL-560011</v>
          </cell>
        </row>
        <row r="22">
          <cell r="A22" t="str">
            <v>3ATL-550002</v>
          </cell>
        </row>
        <row r="23">
          <cell r="A23" t="str">
            <v>2ATL-550020</v>
          </cell>
        </row>
        <row r="24">
          <cell r="A24" t="str">
            <v>3ATL-560002</v>
          </cell>
        </row>
        <row r="25">
          <cell r="A25" t="str">
            <v>2ATL-560020</v>
          </cell>
        </row>
        <row r="28">
          <cell r="A28" t="str">
            <v>3ATL-35JVG0</v>
          </cell>
        </row>
        <row r="29">
          <cell r="A29" t="str">
            <v>3ATL-35JVL0</v>
          </cell>
        </row>
        <row r="30">
          <cell r="A30" t="str">
            <v>3ATL-35JLG0</v>
          </cell>
        </row>
        <row r="31">
          <cell r="A31" t="str">
            <v>3ATL-36JVG0</v>
          </cell>
        </row>
        <row r="32">
          <cell r="A32" t="str">
            <v>3ATL-36JVL0</v>
          </cell>
        </row>
        <row r="33">
          <cell r="A33" t="str">
            <v>3ATL-36JLG0</v>
          </cell>
        </row>
        <row r="34">
          <cell r="A34" t="str">
            <v>3ATL-35FVG0</v>
          </cell>
        </row>
        <row r="35">
          <cell r="A35" t="str">
            <v>3ATL-35FVL0</v>
          </cell>
        </row>
        <row r="36">
          <cell r="A36" t="str">
            <v>3ATL-35FLG0</v>
          </cell>
        </row>
        <row r="37">
          <cell r="A37" t="str">
            <v>3ATL-36FVG0</v>
          </cell>
        </row>
        <row r="38">
          <cell r="A38" t="str">
            <v>3ATL-36FVL0</v>
          </cell>
        </row>
        <row r="39">
          <cell r="A39" t="str">
            <v>3ATL-36FLG0</v>
          </cell>
        </row>
        <row r="40">
          <cell r="A40" t="str">
            <v>3ATL-35OVG0</v>
          </cell>
        </row>
        <row r="41">
          <cell r="A41" t="str">
            <v>3ATL-35OVL0</v>
          </cell>
        </row>
        <row r="42">
          <cell r="A42" t="str">
            <v>3ATL-35OLG0</v>
          </cell>
        </row>
        <row r="43">
          <cell r="A43" t="str">
            <v>3ATL-36OVG0</v>
          </cell>
        </row>
        <row r="44">
          <cell r="A44" t="str">
            <v>3ATL-36OVL0</v>
          </cell>
        </row>
        <row r="45">
          <cell r="A45" t="str">
            <v>3ATL-36OLG0</v>
          </cell>
        </row>
        <row r="47">
          <cell r="A47" t="str">
            <v>4ATL-453601</v>
          </cell>
        </row>
        <row r="48">
          <cell r="A48" t="str">
            <v>4ATL-453602</v>
          </cell>
        </row>
        <row r="49">
          <cell r="A49" t="str">
            <v>4ATL-463601</v>
          </cell>
        </row>
        <row r="50">
          <cell r="A50" t="str">
            <v>4ATL-463602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"/>
      <sheetName val="Bid Assumption "/>
      <sheetName val="Summary "/>
      <sheetName val="Summary Short Haul"/>
      <sheetName val="Summary Long Haul"/>
      <sheetName val="Summary  735"/>
      <sheetName val="Summary 2221"/>
      <sheetName val="Summary 2439"/>
      <sheetName val="Summary 2682"/>
      <sheetName val="Summary 2855"/>
      <sheetName val="Summary"/>
      <sheetName val="Summary 2037"/>
      <sheetName val="Summary 2817"/>
      <sheetName val="Handling"/>
      <sheetName val="FlightConfig"/>
      <sheetName val="Food"/>
      <sheetName val="FG MASTER"/>
      <sheetName val="Avg Per Flight"/>
      <sheetName val="SAS RFP PNL 20240830"/>
    </sheetNames>
    <sheetDataSet>
      <sheetData sheetId="0">
        <row r="8">
          <cell r="P8">
            <v>0.13</v>
          </cell>
        </row>
        <row r="9">
          <cell r="P9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M2">
            <v>0.39999999999999997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_Recipe Cost List"/>
      <sheetName val="Latam"/>
      <sheetName val="KLM RECIPE COSTS"/>
      <sheetName val="Sheet1"/>
      <sheetName val="Sheet2"/>
      <sheetName val="Sheet3"/>
      <sheetName val="Sheet4"/>
      <sheetName val="TURKISH "/>
      <sheetName val="ANA IAH"/>
      <sheetName val="Sheet5"/>
      <sheetName val="MASTER COST LIST"/>
      <sheetName val="RAW"/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PER PAX AVERAGES"/>
      <sheetName val="SALES PER FLIGHT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194"/>
      <sheetName val="Invoice 196"/>
      <sheetName val="New BB"/>
      <sheetName val="Drop Down List"/>
      <sheetName val="BC Grid"/>
      <sheetName val="Invoice eff 01.19.2020"/>
    </sheetNames>
    <sheetDataSet>
      <sheetData sheetId="0">
        <row r="1">
          <cell r="A1" t="str">
            <v>Part Number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F3E1A-92EF-4664-BB06-1EC90309DA51}" name="Table1" displayName="Table1" ref="A9:AJ242" totalsRowCount="1" headerRowDxfId="90" dataDxfId="89" dataCellStyle="Currency">
  <autoFilter ref="A9:AJ241" xr:uid="{00000000-0009-0000-0100-000001000000}"/>
  <tableColumns count="36">
    <tableColumn id="1" xr3:uid="{C1A95376-BFC5-48B7-A176-529715FEEBA1}" name="Item #" dataDxfId="88" totalsRowDxfId="87"/>
    <tableColumn id="2" xr3:uid="{DF583C00-442A-4A2A-86F8-205CC09498A2}" name="Item Description" dataDxfId="86" totalsRowDxfId="85"/>
    <tableColumn id="4" xr3:uid="{544D79C4-F963-4D7A-8FC4-67068474C720}" name="Price Code" dataDxfId="84" totalsRowDxfId="83"/>
    <tableColumn id="7" xr3:uid="{880CBAF4-DA2C-4CD1-9867-62A9E8338874}" name="EQ1" dataDxfId="82" totalsRowDxfId="81"/>
    <tableColumn id="8" xr3:uid="{7CA8FC1A-443D-4330-9322-4A7BCB6A9BB5}" name="EQ2" dataDxfId="80" totalsRowDxfId="79"/>
    <tableColumn id="9" xr3:uid="{EB7E2000-AFE5-4C14-80EB-D212865FD280}" name="EQ3" dataDxfId="78" totalsRowDxfId="77"/>
    <tableColumn id="10" xr3:uid="{BA3E9D60-D02B-4D62-98EA-C7616AD9E775}" name="EQ4" dataDxfId="76" totalsRowDxfId="75"/>
    <tableColumn id="11" xr3:uid="{8CE11E9B-FE7F-4C4E-8769-7256957A9181}" name="EQ5" dataDxfId="74" totalsRowDxfId="73"/>
    <tableColumn id="12" xr3:uid="{293F2FB6-A648-4C6D-973C-CC21DB24E7CD}" name="Unit Weight/ Count" dataDxfId="72" totalsRowDxfId="71"/>
    <tableColumn id="13" xr3:uid="{E2B307F6-1A47-49E1-A917-D3D4CA08551A}" name="UOM" dataDxfId="70" totalsRowDxfId="69"/>
    <tableColumn id="14" xr3:uid="{62BBD560-83D2-4E14-AD22-FB7762963A1B}" name="Final Work Center" dataDxfId="68" totalsRowDxfId="67"/>
    <tableColumn id="15" xr3:uid="{A56B9C5B-5319-42C3-A8DF-58630B4E6B5D}" name="Req / No processing needed" dataDxfId="66" totalsRowDxfId="65"/>
    <tableColumn id="16" xr3:uid="{FD63D3A8-A757-4EE9-A64B-47DEE12D95E1}" name="Prep Center" dataDxfId="64" totalsRowDxfId="63"/>
    <tableColumn id="17" xr3:uid="{03D61BF8-1875-4530-A5B3-8085E1C35B6C}" name="Item Weight" dataDxfId="62" totalsRowDxfId="61"/>
    <tableColumn id="18" xr3:uid="{DA7619CF-8EC4-4539-BBF0-2DD4A17FC9FD}" name="unit cost" dataDxfId="60" totalsRowDxfId="59">
      <calculatedColumnFormula>IF($A10&gt;899999,VLOOKUP($A10,'[6]Ingredient_Recipe Cost List'!$A$1:$J$9458,10,FALSE),VLOOKUP($A10,#REF!,3,FALSE))</calculatedColumnFormula>
    </tableColumn>
    <tableColumn id="19" xr3:uid="{B5DCEF56-9344-4678-8006-2AED418A46CD}" name="cost per quantity" dataDxfId="58" totalsRowDxfId="57">
      <calculatedColumnFormula>I10*O10</calculatedColumnFormula>
    </tableColumn>
    <tableColumn id="20" xr3:uid="{2A7F2232-49A3-4C55-BEE8-7E16BFDA1741}" name="man minutes" dataDxfId="56" totalsRowDxfId="55">
      <calculatedColumnFormula>Table1[[#This Row],[Column2]]*1.5</calculatedColumnFormula>
    </tableColumn>
    <tableColumn id="21" xr3:uid="{3A17D7DA-9394-4162-BEB6-3FEA5ED1BBEB}" name="labor factor" dataDxfId="54" totalsRowDxfId="53"/>
    <tableColumn id="22" xr3:uid="{70B8BD2A-73D6-42F1-8DF8-71104B294284}" name="labor rate" dataDxfId="52" totalsRowDxfId="51" dataCellStyle="Currency">
      <calculatedColumnFormula>$S$2</calculatedColumnFormula>
    </tableColumn>
    <tableColumn id="23" xr3:uid="{66A8CCD0-8874-43AD-85BD-E4E826523120}" name="labor cost" dataDxfId="50" totalsRowDxfId="49" dataCellStyle="Currency">
      <calculatedColumnFormula>Table1[[#This Row],[man minutes]]*Table1[[#This Row],[labor rate]]</calculatedColumnFormula>
    </tableColumn>
    <tableColumn id="24" xr3:uid="{A7F19146-6B9A-4ED0-BBEF-398D83FBD8EB}" name="total cost" dataDxfId="48" totalsRowDxfId="47" dataCellStyle="Currency">
      <calculatedColumnFormula>P10+T10</calculatedColumnFormula>
    </tableColumn>
    <tableColumn id="25" xr3:uid="{5599B597-69A2-4707-9E8C-17FDA7036612}" name="food markup" dataDxfId="46" totalsRowDxfId="45" dataCellStyle="Percent">
      <calculatedColumnFormula>VLOOKUP(Table1[[#This Row],[Price Code]],[2]POLICY!$A$9:$B$11,2,FALSE)</calculatedColumnFormula>
    </tableColumn>
    <tableColumn id="26" xr3:uid="{2DCFA1FF-13F0-4C5A-A6CE-D47AC27ABF10}" name="labor m/u" dataDxfId="44" totalsRowDxfId="43" dataCellStyle="Percent">
      <calculatedColumnFormula>[2]POLICY!$B$16</calculatedColumnFormula>
    </tableColumn>
    <tableColumn id="27" xr3:uid="{1E953153-AB0C-4A62-9875-70ECA8063077}" name="food sale price" dataDxfId="42" totalsRowDxfId="41" dataCellStyle="Currency">
      <calculatedColumnFormula>P10/V10</calculatedColumnFormula>
    </tableColumn>
    <tableColumn id="28" xr3:uid="{8D093CD2-CB12-421D-AA48-A17C799399C3}" name="labor sale price" dataDxfId="40" totalsRowDxfId="39" dataCellStyle="Currency">
      <calculatedColumnFormula>T10+(T10*W10)</calculatedColumnFormula>
    </tableColumn>
    <tableColumn id="29" xr3:uid="{A1028A2C-1329-4778-B8EC-6A0449A0E8E8}" name="calculated sale price" dataDxfId="38" totalsRowDxfId="37" dataCellStyle="Currency">
      <calculatedColumnFormula>IFERROR(ROUNDUP(X10+Y10,2)," ")</calculatedColumnFormula>
    </tableColumn>
    <tableColumn id="30" xr3:uid="{9A56FBFC-AAD1-4047-B2A6-05D98CFA5585}" name="Item         Price" dataDxfId="36" totalsRowDxfId="35" dataCellStyle="Currency"/>
    <tableColumn id="3" xr3:uid="{36153AE1-C663-49E2-BA60-22AA5D28491D}" name="Final Food Cost %" dataDxfId="34" totalsRowDxfId="3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32" totalsRowDxfId="31" dataCellStyle="Currency"/>
    <tableColumn id="6" xr3:uid="{C6A2359D-3F22-40BA-B566-EBB479EC0B81}" name="Column2" dataDxfId="30" totalsRowDxfId="29" dataCellStyle="Currency"/>
    <tableColumn id="31" xr3:uid="{A8D13828-24E4-42A5-A570-DB30E194EF4C}" name="Food cost w/ MU" dataDxfId="28" totalsRowDxfId="27" dataCellStyle="Currency">
      <calculatedColumnFormula>[5]!Table1[[#This Row],[cost per quantity]]*(1+'[5]P&amp;L'!$P$8)</calculatedColumnFormula>
    </tableColumn>
    <tableColumn id="32" xr3:uid="{4A4FE067-835C-48A6-911C-E4A1AD70DC3B}" name="labor cost W/ MU" dataDxfId="26" totalsRowDxfId="25" dataCellStyle="Currency">
      <calculatedColumnFormula>$AF$8*[5]!Table1[[#This Row],[man minutes]]*(1+'[5]P&amp;L'!$P$9)</calculatedColumnFormula>
    </tableColumn>
    <tableColumn id="33" xr3:uid="{DEC8392D-1E28-4E2B-B291-4F54576C9A36}" name="Column3" dataDxfId="24" totalsRowDxfId="23" dataCellStyle="Currency">
      <calculatedColumnFormula>$AF$8*Table1[[#This Row],[man minutes]]*1.18</calculatedColumnFormula>
    </tableColumn>
    <tableColumn id="34" xr3:uid="{5B8E3E62-5766-4FF0-A240-DFFA98682CE3}" name="Column4" dataDxfId="22" totalsRowDxfId="21" dataCellStyle="Currency">
      <calculatedColumnFormula>$AF$8*Table1[[#This Row],[man minutes]]*1.18</calculatedColumnFormula>
    </tableColumn>
    <tableColumn id="35" xr3:uid="{66DA794D-7D9B-4BD0-AEA3-35200A6213B9}" name="Column5" dataDxfId="20" totalsRowDxfId="19" dataCellStyle="Currency">
      <calculatedColumnFormula>Table1[[#This Row],[Food cost w/ MU]]+Table1[[#This Row],[labor cost W/ MU]]</calculatedColumnFormula>
    </tableColumn>
    <tableColumn id="36" xr3:uid="{C9FAD180-8EA0-45A6-A8B7-B214BE86E80D}" name="Column6" dataDxfId="18" totalsRowDxfId="17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AS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SA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FBCB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A7A29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>
            <a:solidFill>
              <a:srgbClr val="000066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AS" id="{E5B7DF51-143B-4F20-9669-CFD9BA232B96}" vid="{9616A65F-E5C6-4E33-94CB-A9997BBA7E9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8D61-A097-4001-8C11-E733A5D20F0D}">
  <sheetPr>
    <tabColor rgb="FF00B050"/>
  </sheetPr>
  <dimension ref="A1:BL156"/>
  <sheetViews>
    <sheetView showGridLines="0" view="pageBreakPreview" zoomScale="130" zoomScaleNormal="100" zoomScaleSheetLayoutView="130" workbookViewId="0">
      <selection activeCell="K28" sqref="K28"/>
    </sheetView>
  </sheetViews>
  <sheetFormatPr defaultColWidth="7.75" defaultRowHeight="12.75" x14ac:dyDescent="0.2"/>
  <cols>
    <col min="1" max="1" width="19.25" style="1" customWidth="1"/>
    <col min="2" max="2" width="11.5" style="1" hidden="1" customWidth="1"/>
    <col min="3" max="3" width="31.375" style="1" customWidth="1"/>
    <col min="4" max="4" width="20.625" style="1" hidden="1" customWidth="1"/>
    <col min="5" max="5" width="22.5" style="134" hidden="1" customWidth="1"/>
    <col min="6" max="6" width="8.75" style="2" customWidth="1"/>
    <col min="7" max="7" width="14.75" style="1" customWidth="1"/>
    <col min="8" max="8" width="16.25" style="1" customWidth="1"/>
    <col min="9" max="9" width="16.25" style="103" customWidth="1"/>
    <col min="10" max="10" width="15.5" style="103" customWidth="1"/>
    <col min="11" max="11" width="15.25" style="103" customWidth="1"/>
    <col min="12" max="12" width="5.25" style="162" bestFit="1" customWidth="1"/>
    <col min="13" max="13" width="15.25" style="162" customWidth="1"/>
    <col min="14" max="14" width="50.125" style="1" customWidth="1"/>
    <col min="15" max="16" width="7.75" style="1"/>
    <col min="17" max="17" width="16" style="1" bestFit="1" customWidth="1"/>
    <col min="18" max="22" width="9.75" style="1" customWidth="1"/>
    <col min="23" max="16384" width="7.75" style="1"/>
  </cols>
  <sheetData>
    <row r="1" spans="1:23" x14ac:dyDescent="0.2">
      <c r="A1" s="1" t="s">
        <v>271</v>
      </c>
      <c r="N1" s="1" t="s">
        <v>360</v>
      </c>
    </row>
    <row r="2" spans="1:23" ht="22.9" customHeight="1" x14ac:dyDescent="0.2">
      <c r="A2" s="293" t="s">
        <v>0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5"/>
    </row>
    <row r="3" spans="1:23" ht="38.25" x14ac:dyDescent="0.2">
      <c r="A3" s="3" t="s">
        <v>1</v>
      </c>
      <c r="B3" s="290" t="s">
        <v>618</v>
      </c>
      <c r="C3" s="3" t="s">
        <v>2</v>
      </c>
      <c r="D3" s="3"/>
      <c r="E3" s="135" t="s">
        <v>3</v>
      </c>
      <c r="F3" s="3" t="s">
        <v>4</v>
      </c>
      <c r="G3" s="3" t="s">
        <v>5</v>
      </c>
      <c r="H3" s="104" t="s">
        <v>605</v>
      </c>
      <c r="I3" s="104" t="s">
        <v>403</v>
      </c>
      <c r="J3" s="104" t="s">
        <v>404</v>
      </c>
      <c r="K3" s="104" t="s">
        <v>588</v>
      </c>
      <c r="L3" s="163" t="s">
        <v>396</v>
      </c>
      <c r="M3" s="204" t="s">
        <v>397</v>
      </c>
      <c r="N3" s="4" t="s">
        <v>6</v>
      </c>
    </row>
    <row r="4" spans="1:23" ht="13.15" customHeight="1" x14ac:dyDescent="0.2">
      <c r="A4" s="48" t="s">
        <v>305</v>
      </c>
      <c r="B4" s="49"/>
      <c r="C4" s="49"/>
      <c r="D4" s="49"/>
      <c r="E4" s="136"/>
      <c r="F4" s="49"/>
      <c r="G4" s="49"/>
      <c r="H4" s="49"/>
      <c r="I4" s="105"/>
      <c r="J4" s="105"/>
      <c r="K4" s="105"/>
      <c r="L4" s="164"/>
      <c r="M4" s="164"/>
      <c r="N4" s="50"/>
    </row>
    <row r="5" spans="1:23" ht="13.15" customHeight="1" x14ac:dyDescent="0.2">
      <c r="A5" s="51" t="s">
        <v>306</v>
      </c>
      <c r="B5" s="52"/>
      <c r="C5" s="52"/>
      <c r="D5" s="52"/>
      <c r="E5" s="137"/>
      <c r="F5" s="52"/>
      <c r="G5" s="52"/>
      <c r="H5" s="52"/>
      <c r="I5" s="106"/>
      <c r="J5" s="106"/>
      <c r="K5" s="106"/>
      <c r="L5" s="165"/>
      <c r="M5" s="165"/>
      <c r="N5" s="53"/>
      <c r="Q5" s="206"/>
      <c r="R5" s="206" t="s">
        <v>389</v>
      </c>
      <c r="S5" s="206"/>
      <c r="T5" s="206"/>
      <c r="U5" s="206"/>
      <c r="V5" s="206"/>
    </row>
    <row r="6" spans="1:23" ht="13.15" customHeight="1" x14ac:dyDescent="0.2">
      <c r="A6" s="5" t="s">
        <v>315</v>
      </c>
      <c r="B6" s="5" t="b">
        <f>A6='[4]List of All Pax Spec codes '!A6</f>
        <v>1</v>
      </c>
      <c r="C6" s="5" t="s">
        <v>8</v>
      </c>
      <c r="D6" s="5" t="b">
        <f>C6='[4]List of All Pax Spec codes '!B6</f>
        <v>1</v>
      </c>
      <c r="E6" s="138"/>
      <c r="F6" s="6" t="s">
        <v>14</v>
      </c>
      <c r="G6" s="6" t="s">
        <v>9</v>
      </c>
      <c r="H6" s="118">
        <v>1.04</v>
      </c>
      <c r="I6" s="107">
        <v>1.04</v>
      </c>
      <c r="J6" s="118">
        <v>1.04</v>
      </c>
      <c r="K6" s="107">
        <v>1.04</v>
      </c>
      <c r="L6" s="166">
        <v>40</v>
      </c>
      <c r="M6" s="166">
        <f>L6</f>
        <v>40</v>
      </c>
      <c r="N6" s="7"/>
      <c r="Q6" s="75"/>
      <c r="R6" s="207" t="s">
        <v>390</v>
      </c>
      <c r="S6" s="207" t="s">
        <v>391</v>
      </c>
      <c r="T6" s="207" t="s">
        <v>392</v>
      </c>
      <c r="U6" s="207" t="s">
        <v>393</v>
      </c>
      <c r="V6" s="207" t="s">
        <v>394</v>
      </c>
    </row>
    <row r="7" spans="1:23" ht="13.15" customHeight="1" x14ac:dyDescent="0.2">
      <c r="A7" s="5" t="s">
        <v>10</v>
      </c>
      <c r="B7" s="5" t="b">
        <f>A7='[4]List of All Pax Spec codes '!A7</f>
        <v>1</v>
      </c>
      <c r="C7" s="5" t="s">
        <v>11</v>
      </c>
      <c r="D7" s="5" t="b">
        <f>C7='[4]List of All Pax Spec codes '!B7</f>
        <v>1</v>
      </c>
      <c r="E7" s="138"/>
      <c r="F7" s="6" t="s">
        <v>14</v>
      </c>
      <c r="G7" s="6" t="s">
        <v>12</v>
      </c>
      <c r="H7" s="118">
        <v>2.96</v>
      </c>
      <c r="I7" s="107">
        <v>2.96</v>
      </c>
      <c r="J7" s="118">
        <v>2.96</v>
      </c>
      <c r="K7" s="107">
        <v>2.96</v>
      </c>
      <c r="L7" s="166"/>
      <c r="M7" s="166">
        <f>HLOOKUP(($R$7+$R$9),$Q$23:$BK$24,2,0)</f>
        <v>2</v>
      </c>
      <c r="N7" s="7"/>
      <c r="Q7" s="208" t="s">
        <v>395</v>
      </c>
      <c r="R7" s="205">
        <v>14</v>
      </c>
      <c r="S7" s="205">
        <v>19</v>
      </c>
      <c r="T7" s="205">
        <v>165</v>
      </c>
      <c r="U7" s="205">
        <v>2</v>
      </c>
      <c r="V7" s="205">
        <v>0</v>
      </c>
    </row>
    <row r="8" spans="1:23" ht="13.15" customHeight="1" x14ac:dyDescent="0.2">
      <c r="A8" s="5" t="s">
        <v>316</v>
      </c>
      <c r="B8" s="5" t="b">
        <f>A8='[4]List of All Pax Spec codes '!A8</f>
        <v>1</v>
      </c>
      <c r="C8" s="5" t="s">
        <v>13</v>
      </c>
      <c r="D8" s="5" t="b">
        <f>C8='[4]List of All Pax Spec codes '!B8</f>
        <v>1</v>
      </c>
      <c r="E8" s="138"/>
      <c r="F8" s="6" t="s">
        <v>14</v>
      </c>
      <c r="G8" s="6" t="s">
        <v>15</v>
      </c>
      <c r="H8" s="118">
        <v>1.5</v>
      </c>
      <c r="I8" s="107">
        <v>0.98</v>
      </c>
      <c r="J8" s="118">
        <v>2.67</v>
      </c>
      <c r="K8" s="107">
        <v>4.1500000000000004</v>
      </c>
      <c r="L8" s="166">
        <v>2</v>
      </c>
      <c r="M8" s="166">
        <v>2</v>
      </c>
      <c r="N8" s="7"/>
      <c r="Q8" s="209" t="s">
        <v>314</v>
      </c>
      <c r="R8" s="205">
        <v>0</v>
      </c>
      <c r="S8" s="205">
        <v>0</v>
      </c>
      <c r="T8" s="205">
        <v>6</v>
      </c>
      <c r="U8" s="205">
        <v>0</v>
      </c>
      <c r="V8" s="205">
        <v>0</v>
      </c>
    </row>
    <row r="9" spans="1:23" ht="13.15" customHeight="1" x14ac:dyDescent="0.2">
      <c r="A9" s="5" t="s">
        <v>16</v>
      </c>
      <c r="B9" s="5" t="b">
        <f>A9='[4]List of All Pax Spec codes '!A9</f>
        <v>1</v>
      </c>
      <c r="C9" s="5" t="s">
        <v>17</v>
      </c>
      <c r="D9" s="5" t="b">
        <f>C9='[4]List of All Pax Spec codes '!B9</f>
        <v>1</v>
      </c>
      <c r="E9" s="138"/>
      <c r="F9" s="6" t="s">
        <v>14</v>
      </c>
      <c r="G9" s="6">
        <v>1</v>
      </c>
      <c r="H9" s="118">
        <v>0.44</v>
      </c>
      <c r="I9" s="107">
        <v>0.44</v>
      </c>
      <c r="J9" s="118">
        <v>0.44</v>
      </c>
      <c r="K9" s="107">
        <v>0.44</v>
      </c>
      <c r="L9" s="186">
        <v>1</v>
      </c>
      <c r="M9" s="166">
        <f>($R$7+$R$9)*L9</f>
        <v>20</v>
      </c>
      <c r="N9" s="7"/>
      <c r="Q9" s="209" t="s">
        <v>405</v>
      </c>
      <c r="R9" s="205">
        <v>6</v>
      </c>
      <c r="S9" s="210" t="s">
        <v>406</v>
      </c>
      <c r="T9" s="210"/>
      <c r="U9" s="210"/>
      <c r="V9" s="210"/>
    </row>
    <row r="10" spans="1:23" ht="13.15" customHeight="1" x14ac:dyDescent="0.2">
      <c r="A10" s="5" t="s">
        <v>325</v>
      </c>
      <c r="B10" s="5" t="b">
        <f>A10='[4]List of All Pax Spec codes '!A10</f>
        <v>1</v>
      </c>
      <c r="C10" s="5" t="s">
        <v>19</v>
      </c>
      <c r="D10" s="5" t="b">
        <f>C10='[4]List of All Pax Spec codes '!B10</f>
        <v>1</v>
      </c>
      <c r="E10" s="138"/>
      <c r="F10" s="6" t="s">
        <v>14</v>
      </c>
      <c r="G10" s="6" t="s">
        <v>20</v>
      </c>
      <c r="H10" s="118">
        <v>6.2</v>
      </c>
      <c r="I10" s="107">
        <v>3.13</v>
      </c>
      <c r="J10" s="118">
        <v>3.82</v>
      </c>
      <c r="K10" s="107">
        <v>3.98</v>
      </c>
      <c r="L10" s="186">
        <v>0.6</v>
      </c>
      <c r="M10" s="166">
        <f>ROUNDUP(($R$7+$R$9)*L10,0)</f>
        <v>12</v>
      </c>
      <c r="N10" s="7"/>
      <c r="Q10" s="207" t="s">
        <v>407</v>
      </c>
      <c r="R10" s="210"/>
      <c r="S10" s="210">
        <v>0</v>
      </c>
      <c r="T10" s="205">
        <v>3</v>
      </c>
      <c r="U10" s="210"/>
      <c r="V10" s="210"/>
    </row>
    <row r="11" spans="1:23" ht="13.15" customHeight="1" x14ac:dyDescent="0.2">
      <c r="A11" s="5" t="s">
        <v>326</v>
      </c>
      <c r="B11" s="5" t="b">
        <f>A11='[4]List of All Pax Spec codes '!A11</f>
        <v>1</v>
      </c>
      <c r="C11" s="5" t="s">
        <v>21</v>
      </c>
      <c r="D11" s="5" t="b">
        <f>C11='[4]List of All Pax Spec codes '!B11</f>
        <v>1</v>
      </c>
      <c r="E11" s="138"/>
      <c r="F11" s="6" t="s">
        <v>14</v>
      </c>
      <c r="G11" s="6" t="s">
        <v>22</v>
      </c>
      <c r="H11" s="118">
        <v>6.12</v>
      </c>
      <c r="I11" s="107">
        <v>3.62</v>
      </c>
      <c r="J11" s="118">
        <v>5.24</v>
      </c>
      <c r="K11" s="107">
        <v>3.43</v>
      </c>
      <c r="L11" s="186">
        <v>0.6</v>
      </c>
      <c r="M11" s="166">
        <f>ROUNDDOWN(($R$7+$R$9)*L11,0)</f>
        <v>12</v>
      </c>
      <c r="N11" s="7"/>
      <c r="Q11" s="207" t="s">
        <v>408</v>
      </c>
      <c r="R11" s="205">
        <v>4</v>
      </c>
      <c r="S11" s="205">
        <v>4</v>
      </c>
      <c r="T11" s="211">
        <v>0</v>
      </c>
      <c r="U11" s="211"/>
      <c r="V11" s="211"/>
    </row>
    <row r="12" spans="1:23" ht="13.15" customHeight="1" x14ac:dyDescent="0.2">
      <c r="A12" s="5" t="s">
        <v>388</v>
      </c>
      <c r="B12" s="5" t="b">
        <f>A12='[4]List of All Pax Spec codes '!A12</f>
        <v>1</v>
      </c>
      <c r="C12" s="5" t="s">
        <v>24</v>
      </c>
      <c r="D12" s="5" t="b">
        <f>C12='[4]List of All Pax Spec codes '!B12</f>
        <v>1</v>
      </c>
      <c r="E12" s="139"/>
      <c r="F12" s="47" t="s">
        <v>14</v>
      </c>
      <c r="G12" s="47" t="s">
        <v>15</v>
      </c>
      <c r="H12" s="118">
        <v>4.26</v>
      </c>
      <c r="I12" s="107">
        <v>1.91</v>
      </c>
      <c r="J12" s="118">
        <v>1.69</v>
      </c>
      <c r="K12" s="107">
        <v>9.35</v>
      </c>
      <c r="L12" s="166">
        <v>2</v>
      </c>
      <c r="M12" s="166">
        <v>2</v>
      </c>
      <c r="N12" s="5"/>
      <c r="Q12" s="207" t="s">
        <v>401</v>
      </c>
      <c r="R12" s="75">
        <f>SUM(R7:R10)</f>
        <v>20</v>
      </c>
      <c r="S12" s="75">
        <f>SUM(S7:S10)</f>
        <v>19</v>
      </c>
      <c r="T12" s="75">
        <f>SUM(T7:T10)</f>
        <v>174</v>
      </c>
      <c r="U12" s="75">
        <f>SUM(U7:U10)</f>
        <v>2</v>
      </c>
      <c r="V12" s="75">
        <f>SUM(V7:V10)</f>
        <v>0</v>
      </c>
    </row>
    <row r="13" spans="1:23" ht="13.15" customHeight="1" x14ac:dyDescent="0.2">
      <c r="A13" s="5" t="s">
        <v>18</v>
      </c>
      <c r="B13" s="5" t="b">
        <f>A13='[4]List of All Pax Spec codes '!A13</f>
        <v>1</v>
      </c>
      <c r="C13" s="5" t="s">
        <v>26</v>
      </c>
      <c r="D13" s="5" t="b">
        <f>C13='[4]List of All Pax Spec codes '!B13</f>
        <v>1</v>
      </c>
      <c r="E13" s="139"/>
      <c r="F13" s="47" t="s">
        <v>14</v>
      </c>
      <c r="G13" s="47" t="s">
        <v>27</v>
      </c>
      <c r="H13" s="118">
        <v>12.24</v>
      </c>
      <c r="I13" s="107">
        <v>13.5</v>
      </c>
      <c r="J13" s="118">
        <v>15.69</v>
      </c>
      <c r="K13" s="107">
        <v>11.94</v>
      </c>
      <c r="L13" s="186">
        <v>0.5</v>
      </c>
      <c r="M13" s="166">
        <f>ROUNDUP($R$7*L13,0)</f>
        <v>7</v>
      </c>
      <c r="N13" s="5"/>
      <c r="Q13" s="1" t="s">
        <v>402</v>
      </c>
      <c r="R13" s="212">
        <v>32</v>
      </c>
      <c r="S13" s="212">
        <v>56</v>
      </c>
      <c r="T13" s="212">
        <v>174</v>
      </c>
      <c r="U13" s="212">
        <v>2</v>
      </c>
      <c r="V13" s="212">
        <v>6</v>
      </c>
    </row>
    <row r="14" spans="1:23" ht="13.15" customHeight="1" x14ac:dyDescent="0.2">
      <c r="A14" s="5" t="s">
        <v>23</v>
      </c>
      <c r="B14" s="5" t="b">
        <f>A14='[4]List of All Pax Spec codes '!A14</f>
        <v>1</v>
      </c>
      <c r="C14" s="5" t="s">
        <v>29</v>
      </c>
      <c r="D14" s="5" t="b">
        <f>C14='[4]List of All Pax Spec codes '!B14</f>
        <v>1</v>
      </c>
      <c r="E14" s="139"/>
      <c r="F14" s="47" t="s">
        <v>14</v>
      </c>
      <c r="G14" s="47" t="s">
        <v>622</v>
      </c>
      <c r="H14" s="118">
        <v>7.62</v>
      </c>
      <c r="I14" s="107">
        <v>7.86</v>
      </c>
      <c r="J14" s="118">
        <v>7.05</v>
      </c>
      <c r="K14" s="107">
        <v>14.18</v>
      </c>
      <c r="L14" s="186">
        <v>0.4</v>
      </c>
      <c r="M14" s="166">
        <f>ROUNDDOWN($R$7*L14,0)</f>
        <v>5</v>
      </c>
      <c r="N14" s="5"/>
    </row>
    <row r="15" spans="1:23" ht="13.15" customHeight="1" x14ac:dyDescent="0.2">
      <c r="A15" s="5" t="s">
        <v>25</v>
      </c>
      <c r="B15" s="5" t="b">
        <f>A15='[4]List of All Pax Spec codes '!A15</f>
        <v>1</v>
      </c>
      <c r="C15" s="5" t="s">
        <v>32</v>
      </c>
      <c r="D15" s="5" t="b">
        <f>C15='[4]List of All Pax Spec codes '!B15</f>
        <v>1</v>
      </c>
      <c r="E15" s="138"/>
      <c r="F15" s="6" t="s">
        <v>14</v>
      </c>
      <c r="G15" s="47" t="s">
        <v>623</v>
      </c>
      <c r="H15" s="118">
        <v>6.15</v>
      </c>
      <c r="I15" s="107">
        <v>6.56</v>
      </c>
      <c r="J15" s="118">
        <v>6.73</v>
      </c>
      <c r="K15" s="107">
        <v>6.96</v>
      </c>
      <c r="L15" s="186">
        <v>0.3</v>
      </c>
      <c r="M15" s="166">
        <f>ROUNDUP($R$7*L15,0)</f>
        <v>5</v>
      </c>
      <c r="N15" s="7"/>
      <c r="Q15"/>
      <c r="R15"/>
      <c r="S15"/>
      <c r="T15"/>
      <c r="U15"/>
      <c r="V15"/>
      <c r="W15"/>
    </row>
    <row r="16" spans="1:23" ht="13.15" customHeight="1" x14ac:dyDescent="0.2">
      <c r="A16" s="5" t="s">
        <v>28</v>
      </c>
      <c r="B16" s="5" t="b">
        <f>A16='[4]List of All Pax Spec codes '!A16</f>
        <v>1</v>
      </c>
      <c r="C16" s="5" t="s">
        <v>34</v>
      </c>
      <c r="D16" s="5" t="b">
        <f>C16='[4]List of All Pax Spec codes '!B16</f>
        <v>1</v>
      </c>
      <c r="E16" s="138"/>
      <c r="F16" s="6" t="s">
        <v>14</v>
      </c>
      <c r="G16" s="6" t="s">
        <v>15</v>
      </c>
      <c r="H16" s="118">
        <v>5.28</v>
      </c>
      <c r="I16" s="107">
        <v>10.48</v>
      </c>
      <c r="J16" s="118">
        <v>3.11</v>
      </c>
      <c r="K16" s="107">
        <v>2.4900000000000002</v>
      </c>
      <c r="L16" s="166">
        <v>2</v>
      </c>
      <c r="M16" s="166">
        <v>2</v>
      </c>
      <c r="N16" s="7"/>
      <c r="Q16"/>
      <c r="R16"/>
      <c r="S16"/>
      <c r="T16"/>
      <c r="U16"/>
      <c r="V16"/>
      <c r="W16"/>
    </row>
    <row r="17" spans="1:63" ht="13.15" customHeight="1" x14ac:dyDescent="0.2">
      <c r="A17" s="5" t="s">
        <v>31</v>
      </c>
      <c r="B17" s="5" t="b">
        <f>A17='[4]List of All Pax Spec codes '!A17</f>
        <v>1</v>
      </c>
      <c r="C17" s="5" t="s">
        <v>36</v>
      </c>
      <c r="D17" s="5" t="b">
        <f>C17='[4]List of All Pax Spec codes '!B17</f>
        <v>1</v>
      </c>
      <c r="E17" s="138"/>
      <c r="F17" s="6" t="s">
        <v>14</v>
      </c>
      <c r="G17" s="8" t="s">
        <v>12</v>
      </c>
      <c r="H17" s="118">
        <v>24.81</v>
      </c>
      <c r="I17" s="107">
        <f>3.78*8</f>
        <v>30.24</v>
      </c>
      <c r="J17" s="118">
        <f>2.71*8</f>
        <v>21.68</v>
      </c>
      <c r="K17" s="107">
        <v>23.48</v>
      </c>
      <c r="L17" s="186"/>
      <c r="M17" s="166">
        <f>HLOOKUP(($R$7+$R$9),$Q$23:$BK$24,2,0)</f>
        <v>2</v>
      </c>
      <c r="N17" s="7"/>
      <c r="Q17"/>
      <c r="R17"/>
      <c r="S17"/>
      <c r="T17"/>
      <c r="U17"/>
      <c r="V17"/>
      <c r="W17"/>
    </row>
    <row r="18" spans="1:63" ht="13.15" customHeight="1" x14ac:dyDescent="0.2">
      <c r="A18" s="5" t="s">
        <v>35</v>
      </c>
      <c r="B18" s="5" t="b">
        <f>A18='[4]List of All Pax Spec codes '!A18</f>
        <v>1</v>
      </c>
      <c r="C18" s="5" t="s">
        <v>38</v>
      </c>
      <c r="D18" s="5" t="b">
        <f>C18='[4]List of All Pax Spec codes '!B18</f>
        <v>1</v>
      </c>
      <c r="E18" s="138"/>
      <c r="F18" s="6" t="s">
        <v>14</v>
      </c>
      <c r="G18" s="8" t="s">
        <v>39</v>
      </c>
      <c r="H18" s="118">
        <v>18.95</v>
      </c>
      <c r="I18" s="107">
        <f>2.04*8</f>
        <v>16.32</v>
      </c>
      <c r="J18" s="118">
        <f>2.15*8</f>
        <v>17.2</v>
      </c>
      <c r="K18" s="107">
        <v>15.84</v>
      </c>
      <c r="L18" s="167"/>
      <c r="M18" s="166">
        <f>HLOOKUP(($R$7+$R$9),$Q$29:$BK$30,2,0)</f>
        <v>2</v>
      </c>
      <c r="N18" s="7"/>
      <c r="Q18"/>
      <c r="R18"/>
      <c r="S18"/>
      <c r="T18"/>
      <c r="U18"/>
      <c r="V18"/>
      <c r="W18"/>
    </row>
    <row r="19" spans="1:63" ht="13.15" customHeight="1" x14ac:dyDescent="0.2">
      <c r="A19" s="5" t="s">
        <v>37</v>
      </c>
      <c r="B19" s="5" t="b">
        <f>A19='[4]List of All Pax Spec codes '!A19</f>
        <v>1</v>
      </c>
      <c r="C19" s="5" t="s">
        <v>40</v>
      </c>
      <c r="D19" s="5" t="b">
        <f>C19='[4]List of All Pax Spec codes '!B19</f>
        <v>1</v>
      </c>
      <c r="E19" s="138"/>
      <c r="F19" s="6" t="s">
        <v>14</v>
      </c>
      <c r="G19" s="6" t="s">
        <v>15</v>
      </c>
      <c r="H19" s="118">
        <v>3.64</v>
      </c>
      <c r="I19" s="107">
        <v>6.51</v>
      </c>
      <c r="J19" s="118">
        <v>2.76</v>
      </c>
      <c r="K19" s="107">
        <v>2.6</v>
      </c>
      <c r="L19" s="166">
        <v>2</v>
      </c>
      <c r="M19" s="166">
        <v>2</v>
      </c>
      <c r="N19" s="7"/>
    </row>
    <row r="20" spans="1:63" ht="13.15" customHeight="1" x14ac:dyDescent="0.2">
      <c r="A20" s="5" t="s">
        <v>317</v>
      </c>
      <c r="B20" s="5" t="b">
        <f>A20='[4]List of All Pax Spec codes '!A20</f>
        <v>1</v>
      </c>
      <c r="C20" s="5" t="s">
        <v>362</v>
      </c>
      <c r="D20" s="5" t="b">
        <f>C20='[4]List of All Pax Spec codes '!B20</f>
        <v>1</v>
      </c>
      <c r="E20" s="138"/>
      <c r="F20" s="6" t="s">
        <v>14</v>
      </c>
      <c r="G20" s="8" t="s">
        <v>39</v>
      </c>
      <c r="H20" s="118">
        <v>4.4800000000000004</v>
      </c>
      <c r="I20" s="108">
        <v>4.4800000000000004</v>
      </c>
      <c r="J20" s="280">
        <v>4.4800000000000004</v>
      </c>
      <c r="K20" s="107">
        <v>4.4800000000000004</v>
      </c>
      <c r="L20" s="167"/>
      <c r="M20" s="166">
        <f>HLOOKUP(($R$7+$R$9),$Q$29:$BK$30,2,0)</f>
        <v>2</v>
      </c>
      <c r="N20" s="7"/>
    </row>
    <row r="21" spans="1:63" x14ac:dyDescent="0.2">
      <c r="A21" s="127" t="s">
        <v>48</v>
      </c>
      <c r="B21" s="127" t="b">
        <f>A21='[4]List of All Pax Spec codes '!A21</f>
        <v>1</v>
      </c>
      <c r="C21" s="127" t="s">
        <v>272</v>
      </c>
      <c r="D21" s="5" t="b">
        <f>C21='[4]List of All Pax Spec codes '!B21</f>
        <v>1</v>
      </c>
      <c r="E21" s="138"/>
      <c r="F21" s="46" t="s">
        <v>14</v>
      </c>
      <c r="G21" s="46" t="s">
        <v>273</v>
      </c>
      <c r="H21" s="118">
        <v>0.93</v>
      </c>
      <c r="I21" s="109">
        <v>0.93</v>
      </c>
      <c r="J21" s="281">
        <v>0.93</v>
      </c>
      <c r="K21" s="107">
        <v>0.93</v>
      </c>
      <c r="L21" s="302">
        <v>0</v>
      </c>
      <c r="M21" s="302">
        <v>0</v>
      </c>
      <c r="N21" s="303" t="s">
        <v>624</v>
      </c>
    </row>
    <row r="22" spans="1:63" x14ac:dyDescent="0.2">
      <c r="A22" s="127" t="s">
        <v>7</v>
      </c>
      <c r="B22" s="127" t="b">
        <f>A22='[4]List of All Pax Spec codes '!A22</f>
        <v>1</v>
      </c>
      <c r="C22" s="127" t="s">
        <v>274</v>
      </c>
      <c r="D22" s="5" t="b">
        <f>C22='[4]List of All Pax Spec codes '!B22</f>
        <v>1</v>
      </c>
      <c r="E22" s="138"/>
      <c r="F22" s="46" t="s">
        <v>14</v>
      </c>
      <c r="G22" s="46" t="s">
        <v>273</v>
      </c>
      <c r="H22" s="118">
        <v>0.95</v>
      </c>
      <c r="I22" s="109">
        <v>0.95</v>
      </c>
      <c r="J22" s="281">
        <v>0.95</v>
      </c>
      <c r="K22" s="107">
        <v>0.95</v>
      </c>
      <c r="L22" s="302">
        <v>2</v>
      </c>
      <c r="M22" s="302">
        <v>2</v>
      </c>
      <c r="N22" s="303" t="s">
        <v>625</v>
      </c>
      <c r="Q22" s="1" t="s">
        <v>12</v>
      </c>
    </row>
    <row r="23" spans="1:63" x14ac:dyDescent="0.2">
      <c r="A23" s="5" t="s">
        <v>321</v>
      </c>
      <c r="B23" s="5" t="b">
        <f>A23='[4]List of All Pax Spec codes '!A23</f>
        <v>1</v>
      </c>
      <c r="C23" s="5" t="s">
        <v>275</v>
      </c>
      <c r="D23" s="5" t="b">
        <f>C23='[4]List of All Pax Spec codes '!B23</f>
        <v>1</v>
      </c>
      <c r="E23" s="138"/>
      <c r="F23" s="46" t="s">
        <v>14</v>
      </c>
      <c r="G23" s="46" t="s">
        <v>273</v>
      </c>
      <c r="H23" s="118">
        <v>1.35</v>
      </c>
      <c r="I23" s="109">
        <v>1.35</v>
      </c>
      <c r="J23" s="281">
        <v>1.35</v>
      </c>
      <c r="K23" s="107">
        <v>1.35</v>
      </c>
      <c r="L23" s="168">
        <v>1</v>
      </c>
      <c r="M23" s="168">
        <v>1</v>
      </c>
      <c r="N23" s="46"/>
      <c r="Q23" s="75" t="s">
        <v>398</v>
      </c>
      <c r="R23" s="75">
        <v>1</v>
      </c>
      <c r="S23" s="75">
        <v>2</v>
      </c>
      <c r="T23" s="75">
        <v>3</v>
      </c>
      <c r="U23" s="75">
        <v>4</v>
      </c>
      <c r="V23" s="75">
        <v>5</v>
      </c>
      <c r="W23" s="75">
        <v>6</v>
      </c>
      <c r="X23" s="75">
        <v>7</v>
      </c>
      <c r="Y23" s="75">
        <v>8</v>
      </c>
      <c r="Z23" s="75">
        <v>9</v>
      </c>
      <c r="AA23" s="75">
        <v>10</v>
      </c>
      <c r="AB23" s="75">
        <v>11</v>
      </c>
      <c r="AC23" s="75">
        <v>12</v>
      </c>
      <c r="AD23" s="75">
        <v>13</v>
      </c>
      <c r="AE23" s="75">
        <v>14</v>
      </c>
      <c r="AF23" s="75">
        <v>15</v>
      </c>
      <c r="AG23" s="75">
        <v>16</v>
      </c>
      <c r="AH23" s="75">
        <v>17</v>
      </c>
      <c r="AI23" s="75">
        <v>18</v>
      </c>
      <c r="AJ23" s="75">
        <v>19</v>
      </c>
      <c r="AK23" s="75">
        <v>20</v>
      </c>
      <c r="AL23" s="75">
        <v>21</v>
      </c>
      <c r="AM23" s="75">
        <v>22</v>
      </c>
      <c r="AN23" s="75">
        <v>23</v>
      </c>
      <c r="AO23" s="75">
        <v>24</v>
      </c>
      <c r="AP23" s="75">
        <v>25</v>
      </c>
      <c r="AQ23" s="75">
        <v>26</v>
      </c>
      <c r="AR23" s="75">
        <v>27</v>
      </c>
      <c r="AS23" s="75">
        <v>28</v>
      </c>
      <c r="AT23" s="75">
        <v>29</v>
      </c>
      <c r="AU23" s="75">
        <v>30</v>
      </c>
      <c r="AV23" s="75">
        <v>31</v>
      </c>
      <c r="AW23" s="75">
        <v>32</v>
      </c>
      <c r="AX23" s="75">
        <v>33</v>
      </c>
      <c r="AY23" s="75">
        <v>34</v>
      </c>
      <c r="AZ23" s="75">
        <v>35</v>
      </c>
      <c r="BA23" s="75">
        <v>36</v>
      </c>
      <c r="BB23" s="75">
        <v>37</v>
      </c>
      <c r="BC23" s="75">
        <v>38</v>
      </c>
      <c r="BD23" s="75">
        <v>39</v>
      </c>
      <c r="BE23" s="75">
        <v>40</v>
      </c>
      <c r="BF23" s="75">
        <v>41</v>
      </c>
      <c r="BG23" s="75">
        <v>42</v>
      </c>
      <c r="BH23" s="75">
        <v>43</v>
      </c>
      <c r="BI23" s="75">
        <v>44</v>
      </c>
      <c r="BJ23" s="75">
        <v>45</v>
      </c>
      <c r="BK23" s="75">
        <v>46</v>
      </c>
    </row>
    <row r="24" spans="1:63" x14ac:dyDescent="0.2">
      <c r="A24" s="5" t="s">
        <v>322</v>
      </c>
      <c r="B24" s="5" t="b">
        <f>A24='[4]List of All Pax Spec codes '!A24</f>
        <v>1</v>
      </c>
      <c r="C24" s="5" t="s">
        <v>276</v>
      </c>
      <c r="D24" s="5" t="b">
        <f>C24='[4]List of All Pax Spec codes '!B24</f>
        <v>1</v>
      </c>
      <c r="E24" s="138"/>
      <c r="F24" s="46" t="s">
        <v>14</v>
      </c>
      <c r="G24" s="46" t="s">
        <v>277</v>
      </c>
      <c r="H24" s="281">
        <v>0.93</v>
      </c>
      <c r="I24" s="109">
        <v>0.93</v>
      </c>
      <c r="J24" s="281">
        <v>0.93</v>
      </c>
      <c r="K24" s="107">
        <v>0.93</v>
      </c>
      <c r="L24" s="168">
        <v>2</v>
      </c>
      <c r="M24" s="168">
        <v>2</v>
      </c>
      <c r="N24" s="46"/>
      <c r="Q24" s="75" t="s">
        <v>399</v>
      </c>
      <c r="R24" s="75">
        <v>2</v>
      </c>
      <c r="S24" s="75">
        <v>2</v>
      </c>
      <c r="T24" s="75">
        <v>2</v>
      </c>
      <c r="U24" s="75">
        <v>2</v>
      </c>
      <c r="V24" s="75">
        <v>2</v>
      </c>
      <c r="W24" s="75">
        <v>2</v>
      </c>
      <c r="X24" s="75">
        <v>2</v>
      </c>
      <c r="Y24" s="75">
        <v>2</v>
      </c>
      <c r="Z24" s="75">
        <v>2</v>
      </c>
      <c r="AA24" s="75">
        <v>2</v>
      </c>
      <c r="AB24" s="75">
        <v>2</v>
      </c>
      <c r="AC24" s="75">
        <v>2</v>
      </c>
      <c r="AD24" s="75">
        <v>2</v>
      </c>
      <c r="AE24" s="75">
        <v>2</v>
      </c>
      <c r="AF24" s="75">
        <v>2</v>
      </c>
      <c r="AG24" s="75">
        <v>2</v>
      </c>
      <c r="AH24" s="75">
        <v>2</v>
      </c>
      <c r="AI24" s="75">
        <v>2</v>
      </c>
      <c r="AJ24" s="75">
        <v>2</v>
      </c>
      <c r="AK24" s="75">
        <v>2</v>
      </c>
      <c r="AL24" s="75">
        <v>3</v>
      </c>
      <c r="AM24" s="75">
        <v>3</v>
      </c>
      <c r="AN24" s="75">
        <v>3</v>
      </c>
      <c r="AO24" s="75">
        <v>3</v>
      </c>
      <c r="AP24" s="75">
        <v>3</v>
      </c>
      <c r="AQ24" s="75">
        <v>3</v>
      </c>
      <c r="AR24" s="75">
        <v>3</v>
      </c>
      <c r="AS24" s="75">
        <v>3</v>
      </c>
      <c r="AT24" s="75">
        <v>3</v>
      </c>
      <c r="AU24" s="75">
        <v>3</v>
      </c>
      <c r="AV24" s="75">
        <v>3</v>
      </c>
      <c r="AW24" s="75">
        <v>3</v>
      </c>
      <c r="AX24" s="75">
        <v>4</v>
      </c>
      <c r="AY24" s="75">
        <v>4</v>
      </c>
      <c r="AZ24" s="75">
        <v>4</v>
      </c>
      <c r="BA24" s="75">
        <v>4</v>
      </c>
      <c r="BB24" s="75">
        <v>4</v>
      </c>
      <c r="BC24" s="75">
        <v>4</v>
      </c>
      <c r="BD24" s="75">
        <v>4</v>
      </c>
      <c r="BE24" s="75">
        <v>4</v>
      </c>
      <c r="BF24" s="75">
        <v>5</v>
      </c>
      <c r="BG24" s="75">
        <v>5</v>
      </c>
      <c r="BH24" s="75">
        <v>5</v>
      </c>
      <c r="BI24" s="75">
        <v>5</v>
      </c>
      <c r="BJ24" s="75">
        <v>5</v>
      </c>
      <c r="BK24" s="75">
        <v>5</v>
      </c>
    </row>
    <row r="25" spans="1:63" ht="13.15" customHeight="1" x14ac:dyDescent="0.2">
      <c r="A25" s="5" t="s">
        <v>41</v>
      </c>
      <c r="B25" s="5" t="b">
        <f>A25='[4]List of All Pax Spec codes '!A25</f>
        <v>1</v>
      </c>
      <c r="C25" s="5" t="s">
        <v>42</v>
      </c>
      <c r="D25" s="5" t="b">
        <f>C25='[4]List of All Pax Spec codes '!B25</f>
        <v>1</v>
      </c>
      <c r="E25" s="138"/>
      <c r="F25" s="6" t="s">
        <v>14</v>
      </c>
      <c r="G25" s="8" t="s">
        <v>43</v>
      </c>
      <c r="H25" s="280">
        <v>0.78</v>
      </c>
      <c r="I25" s="108">
        <v>0.78</v>
      </c>
      <c r="J25" s="280">
        <v>0.78</v>
      </c>
      <c r="K25" s="107">
        <v>0.78</v>
      </c>
      <c r="L25" s="187">
        <v>0.75</v>
      </c>
      <c r="M25" s="166">
        <f>ROUND(($R$7+$R$9)*L25,0)</f>
        <v>15</v>
      </c>
      <c r="N25" s="7" t="s">
        <v>44</v>
      </c>
    </row>
    <row r="26" spans="1:63" ht="13.15" customHeight="1" x14ac:dyDescent="0.2">
      <c r="A26" s="5" t="s">
        <v>45</v>
      </c>
      <c r="B26" s="5" t="b">
        <f>A26='[4]List of All Pax Spec codes '!A26</f>
        <v>1</v>
      </c>
      <c r="C26" s="5" t="s">
        <v>377</v>
      </c>
      <c r="D26" s="5" t="b">
        <f>C26='[4]List of All Pax Spec codes '!B26</f>
        <v>1</v>
      </c>
      <c r="E26" s="138"/>
      <c r="F26" s="6" t="s">
        <v>14</v>
      </c>
      <c r="G26" s="8" t="s">
        <v>43</v>
      </c>
      <c r="H26" s="280">
        <v>0.94</v>
      </c>
      <c r="I26" s="108">
        <v>0.94</v>
      </c>
      <c r="J26" s="280">
        <v>0.94</v>
      </c>
      <c r="K26" s="107">
        <v>0.94</v>
      </c>
      <c r="L26" s="187">
        <v>0.75</v>
      </c>
      <c r="M26" s="166">
        <f>ROUND(($R$7+$R$9)*L26,0)</f>
        <v>15</v>
      </c>
      <c r="N26" s="7" t="s">
        <v>44</v>
      </c>
    </row>
    <row r="27" spans="1:63" ht="13.15" customHeight="1" x14ac:dyDescent="0.2">
      <c r="A27" s="5" t="s">
        <v>46</v>
      </c>
      <c r="B27" s="5" t="b">
        <f>A27='[4]List of All Pax Spec codes '!A27</f>
        <v>1</v>
      </c>
      <c r="C27" s="5" t="s">
        <v>47</v>
      </c>
      <c r="D27" s="5" t="b">
        <f>C27='[4]List of All Pax Spec codes '!B27</f>
        <v>1</v>
      </c>
      <c r="E27" s="138"/>
      <c r="F27" s="6" t="s">
        <v>14</v>
      </c>
      <c r="G27" s="8" t="s">
        <v>15</v>
      </c>
      <c r="H27" s="280">
        <v>2.36</v>
      </c>
      <c r="I27" s="108">
        <v>2.36</v>
      </c>
      <c r="J27" s="280">
        <v>2.36</v>
      </c>
      <c r="K27" s="107">
        <v>2.36</v>
      </c>
      <c r="L27" s="167">
        <v>2</v>
      </c>
      <c r="M27" s="167">
        <v>2</v>
      </c>
      <c r="N27" s="7"/>
    </row>
    <row r="28" spans="1:63" ht="13.15" customHeight="1" x14ac:dyDescent="0.2">
      <c r="A28" s="51" t="s">
        <v>327</v>
      </c>
      <c r="B28" s="52"/>
      <c r="C28" s="52"/>
      <c r="D28" s="52"/>
      <c r="E28" s="137"/>
      <c r="F28" s="52"/>
      <c r="G28" s="52"/>
      <c r="H28" s="52"/>
      <c r="I28" s="106"/>
      <c r="J28" s="106"/>
      <c r="K28" s="106"/>
      <c r="L28" s="165"/>
      <c r="M28" s="165"/>
      <c r="N28" s="53"/>
      <c r="Q28" s="1" t="s">
        <v>39</v>
      </c>
    </row>
    <row r="29" spans="1:63" ht="13.15" customHeight="1" x14ac:dyDescent="0.2">
      <c r="A29" s="5" t="s">
        <v>599</v>
      </c>
      <c r="B29" s="5" t="b">
        <f>A29='[4]List of All Pax Spec codes '!A29</f>
        <v>1</v>
      </c>
      <c r="C29" s="5" t="s">
        <v>329</v>
      </c>
      <c r="D29" s="5" t="b">
        <f>C29='[4]List of All Pax Spec codes '!B29</f>
        <v>0</v>
      </c>
      <c r="E29" s="139" t="s">
        <v>372</v>
      </c>
      <c r="F29" s="6" t="s">
        <v>14</v>
      </c>
      <c r="G29" s="6">
        <v>1</v>
      </c>
      <c r="H29" s="280">
        <v>0.94</v>
      </c>
      <c r="I29" s="108">
        <v>0.94</v>
      </c>
      <c r="J29" s="280">
        <v>0.94</v>
      </c>
      <c r="K29" s="107">
        <v>0.94</v>
      </c>
      <c r="L29" s="167">
        <v>4</v>
      </c>
      <c r="M29" s="167">
        <f t="shared" ref="M29:M34" si="0">L29</f>
        <v>4</v>
      </c>
      <c r="N29" s="139"/>
      <c r="Q29" s="75" t="s">
        <v>398</v>
      </c>
      <c r="R29" s="75">
        <v>1</v>
      </c>
      <c r="S29" s="75">
        <v>2</v>
      </c>
      <c r="T29" s="75">
        <v>3</v>
      </c>
      <c r="U29" s="75">
        <v>4</v>
      </c>
      <c r="V29" s="75">
        <v>5</v>
      </c>
      <c r="W29" s="75">
        <v>6</v>
      </c>
      <c r="X29" s="75">
        <v>7</v>
      </c>
      <c r="Y29" s="75">
        <v>8</v>
      </c>
      <c r="Z29" s="75">
        <v>9</v>
      </c>
      <c r="AA29" s="75">
        <v>10</v>
      </c>
      <c r="AB29" s="75">
        <v>11</v>
      </c>
      <c r="AC29" s="75">
        <v>12</v>
      </c>
      <c r="AD29" s="75">
        <v>13</v>
      </c>
      <c r="AE29" s="75">
        <v>14</v>
      </c>
      <c r="AF29" s="75">
        <v>15</v>
      </c>
      <c r="AG29" s="75">
        <v>16</v>
      </c>
      <c r="AH29" s="75">
        <v>17</v>
      </c>
      <c r="AI29" s="75">
        <v>18</v>
      </c>
      <c r="AJ29" s="75">
        <v>19</v>
      </c>
      <c r="AK29" s="75">
        <v>20</v>
      </c>
      <c r="AL29" s="75">
        <v>21</v>
      </c>
      <c r="AM29" s="75">
        <v>22</v>
      </c>
      <c r="AN29" s="75">
        <v>23</v>
      </c>
      <c r="AO29" s="75">
        <v>24</v>
      </c>
      <c r="AP29" s="75">
        <v>25</v>
      </c>
      <c r="AQ29" s="75">
        <v>26</v>
      </c>
      <c r="AR29" s="75">
        <v>27</v>
      </c>
      <c r="AS29" s="75">
        <v>28</v>
      </c>
      <c r="AT29" s="75">
        <v>29</v>
      </c>
      <c r="AU29" s="75">
        <v>30</v>
      </c>
      <c r="AV29" s="75">
        <v>31</v>
      </c>
      <c r="AW29" s="75">
        <v>32</v>
      </c>
      <c r="AX29" s="75">
        <v>33</v>
      </c>
      <c r="AY29" s="75">
        <v>34</v>
      </c>
      <c r="AZ29" s="75">
        <v>35</v>
      </c>
      <c r="BA29" s="75">
        <v>36</v>
      </c>
      <c r="BB29" s="75">
        <v>37</v>
      </c>
      <c r="BC29" s="75">
        <v>38</v>
      </c>
      <c r="BD29" s="75">
        <v>39</v>
      </c>
      <c r="BE29" s="75">
        <v>40</v>
      </c>
      <c r="BF29" s="75">
        <v>41</v>
      </c>
      <c r="BG29" s="75">
        <v>42</v>
      </c>
      <c r="BH29" s="75">
        <v>43</v>
      </c>
      <c r="BI29" s="75">
        <v>44</v>
      </c>
      <c r="BJ29" s="75">
        <v>45</v>
      </c>
      <c r="BK29" s="75">
        <v>46</v>
      </c>
    </row>
    <row r="30" spans="1:63" ht="13.15" customHeight="1" x14ac:dyDescent="0.2">
      <c r="A30" s="5" t="s">
        <v>315</v>
      </c>
      <c r="B30" s="5" t="b">
        <f>A30='[4]List of All Pax Spec codes '!A30</f>
        <v>1</v>
      </c>
      <c r="C30" s="5" t="s">
        <v>8</v>
      </c>
      <c r="D30" s="5" t="b">
        <f>C30='[4]List of All Pax Spec codes '!B30</f>
        <v>1</v>
      </c>
      <c r="E30" s="138"/>
      <c r="F30" s="6" t="s">
        <v>14</v>
      </c>
      <c r="G30" s="6">
        <v>1</v>
      </c>
      <c r="H30" s="280">
        <v>1.04</v>
      </c>
      <c r="I30" s="108">
        <v>1.04</v>
      </c>
      <c r="J30" s="280">
        <v>1.04</v>
      </c>
      <c r="K30" s="107">
        <v>1.04</v>
      </c>
      <c r="L30" s="167">
        <v>4</v>
      </c>
      <c r="M30" s="167">
        <f t="shared" si="0"/>
        <v>4</v>
      </c>
      <c r="N30" s="139"/>
      <c r="Q30" s="75" t="s">
        <v>399</v>
      </c>
      <c r="R30" s="75">
        <v>2</v>
      </c>
      <c r="S30" s="75">
        <v>2</v>
      </c>
      <c r="T30" s="75">
        <v>2</v>
      </c>
      <c r="U30" s="75">
        <v>2</v>
      </c>
      <c r="V30" s="75">
        <v>2</v>
      </c>
      <c r="W30" s="75">
        <v>2</v>
      </c>
      <c r="X30" s="75">
        <v>2</v>
      </c>
      <c r="Y30" s="75">
        <v>2</v>
      </c>
      <c r="Z30" s="75">
        <v>2</v>
      </c>
      <c r="AA30" s="75">
        <v>2</v>
      </c>
      <c r="AB30" s="75">
        <v>2</v>
      </c>
      <c r="AC30" s="75">
        <v>2</v>
      </c>
      <c r="AD30" s="75">
        <v>2</v>
      </c>
      <c r="AE30" s="75">
        <v>2</v>
      </c>
      <c r="AF30" s="75">
        <v>2</v>
      </c>
      <c r="AG30" s="75">
        <v>2</v>
      </c>
      <c r="AH30" s="75">
        <v>2</v>
      </c>
      <c r="AI30" s="75">
        <v>2</v>
      </c>
      <c r="AJ30" s="75">
        <v>2</v>
      </c>
      <c r="AK30" s="75">
        <v>2</v>
      </c>
      <c r="AL30" s="75">
        <v>2</v>
      </c>
      <c r="AM30" s="75">
        <v>2</v>
      </c>
      <c r="AN30" s="75">
        <v>2</v>
      </c>
      <c r="AO30" s="75">
        <v>2</v>
      </c>
      <c r="AP30" s="75">
        <v>3</v>
      </c>
      <c r="AQ30" s="75">
        <v>3</v>
      </c>
      <c r="AR30" s="75">
        <v>3</v>
      </c>
      <c r="AS30" s="75">
        <v>3</v>
      </c>
      <c r="AT30" s="75">
        <v>3</v>
      </c>
      <c r="AU30" s="75">
        <v>3</v>
      </c>
      <c r="AV30" s="75">
        <v>3</v>
      </c>
      <c r="AW30" s="75">
        <v>3</v>
      </c>
      <c r="AX30" s="75">
        <v>3</v>
      </c>
      <c r="AY30" s="75">
        <v>3</v>
      </c>
      <c r="AZ30" s="75">
        <v>3</v>
      </c>
      <c r="BA30" s="75">
        <v>3</v>
      </c>
      <c r="BB30" s="75">
        <v>3</v>
      </c>
      <c r="BC30" s="75">
        <v>3</v>
      </c>
      <c r="BD30" s="75">
        <v>3</v>
      </c>
      <c r="BE30" s="75">
        <v>3</v>
      </c>
      <c r="BF30" s="75">
        <v>3</v>
      </c>
      <c r="BG30" s="75">
        <v>3</v>
      </c>
      <c r="BH30" s="75">
        <v>3</v>
      </c>
      <c r="BI30" s="75">
        <v>3</v>
      </c>
      <c r="BJ30" s="75">
        <v>3</v>
      </c>
      <c r="BK30" s="75">
        <v>3</v>
      </c>
    </row>
    <row r="31" spans="1:63" ht="13.15" customHeight="1" x14ac:dyDescent="0.2">
      <c r="A31" s="5" t="s">
        <v>600</v>
      </c>
      <c r="B31" s="5" t="b">
        <f>A31='[4]List of All Pax Spec codes '!A31</f>
        <v>1</v>
      </c>
      <c r="C31" s="5" t="s">
        <v>330</v>
      </c>
      <c r="D31" s="5" t="b">
        <f>C31='[4]List of All Pax Spec codes '!B31</f>
        <v>0</v>
      </c>
      <c r="E31" s="138" t="s">
        <v>369</v>
      </c>
      <c r="F31" s="6" t="s">
        <v>14</v>
      </c>
      <c r="G31" s="6">
        <v>1</v>
      </c>
      <c r="H31" s="280">
        <f>0.8</f>
        <v>0.8</v>
      </c>
      <c r="I31" s="108">
        <v>0.79</v>
      </c>
      <c r="J31" s="280">
        <f>ROUND((2.96+2.67)/7,2)</f>
        <v>0.8</v>
      </c>
      <c r="K31" s="107">
        <f>K7/9+K8/9</f>
        <v>0.79</v>
      </c>
      <c r="L31" s="167">
        <v>4</v>
      </c>
      <c r="M31" s="167">
        <f t="shared" si="0"/>
        <v>4</v>
      </c>
      <c r="N31" s="139"/>
    </row>
    <row r="32" spans="1:63" ht="13.15" customHeight="1" x14ac:dyDescent="0.2">
      <c r="A32" s="5" t="s">
        <v>601</v>
      </c>
      <c r="B32" s="5" t="b">
        <f>A32='[4]List of All Pax Spec codes '!A32</f>
        <v>1</v>
      </c>
      <c r="C32" s="5" t="s">
        <v>331</v>
      </c>
      <c r="D32" s="5" t="b">
        <f>C32='[4]List of All Pax Spec codes '!B32</f>
        <v>0</v>
      </c>
      <c r="E32" s="138"/>
      <c r="F32" s="6" t="s">
        <v>14</v>
      </c>
      <c r="G32" s="6">
        <v>0.5</v>
      </c>
      <c r="H32" s="280">
        <f>H10+H8/10</f>
        <v>6.3500000000000005</v>
      </c>
      <c r="I32" s="108">
        <v>3.23</v>
      </c>
      <c r="J32" s="280">
        <f>3.82+0.1</f>
        <v>3.92</v>
      </c>
      <c r="K32" s="107">
        <f>K10+K12/10</f>
        <v>4.915</v>
      </c>
      <c r="L32" s="167">
        <v>2</v>
      </c>
      <c r="M32" s="167">
        <f t="shared" si="0"/>
        <v>2</v>
      </c>
      <c r="N32" s="139"/>
    </row>
    <row r="33" spans="1:14" ht="13.15" customHeight="1" x14ac:dyDescent="0.2">
      <c r="A33" s="5" t="s">
        <v>602</v>
      </c>
      <c r="B33" s="5" t="b">
        <f>A33='[4]List of All Pax Spec codes '!A33</f>
        <v>1</v>
      </c>
      <c r="C33" s="5" t="s">
        <v>332</v>
      </c>
      <c r="D33" s="5" t="b">
        <f>C33='[4]List of All Pax Spec codes '!B33</f>
        <v>0</v>
      </c>
      <c r="E33" s="138"/>
      <c r="F33" s="6" t="s">
        <v>14</v>
      </c>
      <c r="G33" s="6">
        <v>0.5</v>
      </c>
      <c r="H33" s="280">
        <f>H11+H8/10</f>
        <v>6.2700000000000005</v>
      </c>
      <c r="I33" s="108">
        <v>3.72</v>
      </c>
      <c r="J33" s="280">
        <f>J11+0.1</f>
        <v>5.34</v>
      </c>
      <c r="K33" s="107">
        <f>K11+K12/10</f>
        <v>4.3650000000000002</v>
      </c>
      <c r="L33" s="167">
        <v>2</v>
      </c>
      <c r="M33" s="167">
        <f t="shared" si="0"/>
        <v>2</v>
      </c>
      <c r="N33" s="139"/>
    </row>
    <row r="34" spans="1:14" ht="13.15" customHeight="1" x14ac:dyDescent="0.2">
      <c r="A34" s="5" t="s">
        <v>328</v>
      </c>
      <c r="B34" s="5" t="b">
        <f>A34='[4]List of All Pax Spec codes '!A34</f>
        <v>1</v>
      </c>
      <c r="C34" s="5" t="s">
        <v>333</v>
      </c>
      <c r="D34" s="5" t="b">
        <f>C34='[4]List of All Pax Spec codes '!B34</f>
        <v>0</v>
      </c>
      <c r="E34" s="138"/>
      <c r="F34" s="6" t="s">
        <v>14</v>
      </c>
      <c r="G34" s="6">
        <v>1</v>
      </c>
      <c r="H34" s="280">
        <f>H17/8</f>
        <v>3.1012499999999998</v>
      </c>
      <c r="I34" s="108">
        <v>3.78</v>
      </c>
      <c r="J34" s="280">
        <v>2.71</v>
      </c>
      <c r="K34" s="107">
        <f>K17/8</f>
        <v>2.9350000000000001</v>
      </c>
      <c r="L34" s="167">
        <v>4</v>
      </c>
      <c r="M34" s="167">
        <f t="shared" si="0"/>
        <v>4</v>
      </c>
      <c r="N34" s="139"/>
    </row>
    <row r="35" spans="1:14" ht="13.15" customHeight="1" x14ac:dyDescent="0.2">
      <c r="A35" s="51" t="s">
        <v>307</v>
      </c>
      <c r="B35" s="52"/>
      <c r="C35" s="52"/>
      <c r="D35" s="52"/>
      <c r="E35" s="137"/>
      <c r="F35" s="52"/>
      <c r="G35" s="52"/>
      <c r="H35" s="52"/>
      <c r="I35" s="106"/>
      <c r="J35" s="106"/>
      <c r="K35" s="106"/>
      <c r="L35" s="165"/>
      <c r="M35" s="165"/>
      <c r="N35" s="53"/>
    </row>
    <row r="36" spans="1:14" ht="13.15" customHeight="1" x14ac:dyDescent="0.2">
      <c r="A36" s="5" t="s">
        <v>49</v>
      </c>
      <c r="B36" s="5" t="b">
        <f>A36='[4]List of All Pax Spec codes '!A36</f>
        <v>1</v>
      </c>
      <c r="C36" s="5" t="s">
        <v>50</v>
      </c>
      <c r="D36" s="5" t="b">
        <f>C36='[4]List of All Pax Spec codes '!B36</f>
        <v>1</v>
      </c>
      <c r="E36" s="138"/>
      <c r="F36" s="6" t="s">
        <v>14</v>
      </c>
      <c r="G36" s="6">
        <v>1</v>
      </c>
      <c r="H36" s="118">
        <v>0.54</v>
      </c>
      <c r="I36" s="107">
        <v>0.54</v>
      </c>
      <c r="J36" s="118">
        <v>0.54</v>
      </c>
      <c r="K36" s="107">
        <v>0.54</v>
      </c>
      <c r="L36" s="186">
        <v>1</v>
      </c>
      <c r="M36" s="166">
        <f t="shared" ref="M36:M40" si="1">ROUND(($R$7+$R$9)*L36,0)</f>
        <v>20</v>
      </c>
      <c r="N36" s="7"/>
    </row>
    <row r="37" spans="1:14" ht="13.15" customHeight="1" x14ac:dyDescent="0.2">
      <c r="A37" s="5" t="s">
        <v>318</v>
      </c>
      <c r="B37" s="5" t="b">
        <f>A37='[4]List of All Pax Spec codes '!A37</f>
        <v>1</v>
      </c>
      <c r="C37" s="5" t="s">
        <v>51</v>
      </c>
      <c r="D37" s="5" t="b">
        <f>C37='[4]List of All Pax Spec codes '!B37</f>
        <v>1</v>
      </c>
      <c r="E37" s="139"/>
      <c r="F37" s="6" t="s">
        <v>14</v>
      </c>
      <c r="G37" s="6">
        <v>1</v>
      </c>
      <c r="H37" s="118">
        <f>0.09+0.27+0.27+0.09+0.09</f>
        <v>0.80999999999999994</v>
      </c>
      <c r="I37" s="107">
        <f>0.09+0.27+0.27+0.09+0.09</f>
        <v>0.80999999999999994</v>
      </c>
      <c r="J37" s="118">
        <f>0.09+0.27+0.27+0.09+0.09</f>
        <v>0.80999999999999994</v>
      </c>
      <c r="K37" s="107">
        <f>0.09+0.27+0.27+0.09+0.09</f>
        <v>0.80999999999999994</v>
      </c>
      <c r="L37" s="186">
        <v>1</v>
      </c>
      <c r="M37" s="166">
        <f t="shared" si="1"/>
        <v>20</v>
      </c>
      <c r="N37" s="9"/>
    </row>
    <row r="38" spans="1:14" ht="13.15" customHeight="1" x14ac:dyDescent="0.2">
      <c r="A38" s="5" t="s">
        <v>52</v>
      </c>
      <c r="B38" s="5" t="b">
        <f>A38='[4]List of All Pax Spec codes '!A38</f>
        <v>1</v>
      </c>
      <c r="C38" s="5" t="s">
        <v>53</v>
      </c>
      <c r="D38" s="5" t="b">
        <f>C38='[4]List of All Pax Spec codes '!B38</f>
        <v>1</v>
      </c>
      <c r="E38" s="138"/>
      <c r="F38" s="6" t="s">
        <v>14</v>
      </c>
      <c r="G38" s="6">
        <v>1</v>
      </c>
      <c r="H38" s="280">
        <v>3.49</v>
      </c>
      <c r="I38" s="107">
        <v>5.69</v>
      </c>
      <c r="J38" s="118">
        <v>3.87</v>
      </c>
      <c r="K38" s="107">
        <v>5.23</v>
      </c>
      <c r="L38" s="186">
        <v>1</v>
      </c>
      <c r="M38" s="166">
        <f t="shared" si="1"/>
        <v>20</v>
      </c>
      <c r="N38" s="9"/>
    </row>
    <row r="39" spans="1:14" ht="13.15" customHeight="1" x14ac:dyDescent="0.2">
      <c r="A39" s="5" t="s">
        <v>16</v>
      </c>
      <c r="B39" s="5" t="b">
        <f>A39='[4]List of All Pax Spec codes '!A39</f>
        <v>1</v>
      </c>
      <c r="C39" s="5" t="s">
        <v>17</v>
      </c>
      <c r="D39" s="5" t="b">
        <f>C39='[4]List of All Pax Spec codes '!B39</f>
        <v>1</v>
      </c>
      <c r="E39" s="138"/>
      <c r="F39" s="6" t="s">
        <v>14</v>
      </c>
      <c r="G39" s="6">
        <v>1</v>
      </c>
      <c r="H39" s="280">
        <v>0.44</v>
      </c>
      <c r="I39" s="107">
        <v>0.44</v>
      </c>
      <c r="J39" s="118">
        <v>0.44</v>
      </c>
      <c r="K39" s="107">
        <v>0.44</v>
      </c>
      <c r="L39" s="186">
        <v>1</v>
      </c>
      <c r="M39" s="166">
        <f>ROUND(($R$7+$R$9)*L39,0)</f>
        <v>20</v>
      </c>
      <c r="N39" s="5"/>
    </row>
    <row r="40" spans="1:14" ht="13.15" customHeight="1" x14ac:dyDescent="0.2">
      <c r="A40" s="5" t="s">
        <v>323</v>
      </c>
      <c r="B40" s="5" t="b">
        <f>A40='[4]List of All Pax Spec codes '!A40</f>
        <v>1</v>
      </c>
      <c r="C40" s="5" t="s">
        <v>324</v>
      </c>
      <c r="D40" s="5" t="b">
        <f>C40='[4]List of All Pax Spec codes '!B40</f>
        <v>1</v>
      </c>
      <c r="E40" s="138"/>
      <c r="F40" s="6" t="s">
        <v>14</v>
      </c>
      <c r="G40" s="6">
        <v>1</v>
      </c>
      <c r="H40" s="280">
        <v>2.74</v>
      </c>
      <c r="I40" s="110">
        <v>2.0499999999999998</v>
      </c>
      <c r="J40" s="282">
        <v>2.21</v>
      </c>
      <c r="K40" s="107">
        <v>1.82</v>
      </c>
      <c r="L40" s="186">
        <v>1</v>
      </c>
      <c r="M40" s="166">
        <f t="shared" si="1"/>
        <v>20</v>
      </c>
      <c r="N40" s="10"/>
    </row>
    <row r="41" spans="1:14" ht="13.15" customHeight="1" x14ac:dyDescent="0.2">
      <c r="A41" s="5" t="s">
        <v>378</v>
      </c>
      <c r="B41" s="5" t="b">
        <f>A41='[4]List of All Pax Spec codes '!A41</f>
        <v>1</v>
      </c>
      <c r="C41" s="5" t="s">
        <v>54</v>
      </c>
      <c r="D41" s="5" t="b">
        <f>C41='[4]List of All Pax Spec codes '!B41</f>
        <v>1</v>
      </c>
      <c r="E41" s="138"/>
      <c r="F41" s="6" t="s">
        <v>14</v>
      </c>
      <c r="G41" s="6" t="s">
        <v>55</v>
      </c>
      <c r="H41" s="118">
        <v>0.8</v>
      </c>
      <c r="I41" s="107">
        <v>0.8</v>
      </c>
      <c r="J41" s="118">
        <v>0.8</v>
      </c>
      <c r="K41" s="107">
        <v>0.8</v>
      </c>
      <c r="L41" s="186">
        <v>0.6</v>
      </c>
      <c r="M41" s="166">
        <f>ROUND(($R$7+$R$9)*L41,0)</f>
        <v>12</v>
      </c>
      <c r="N41" s="7" t="s">
        <v>44</v>
      </c>
    </row>
    <row r="42" spans="1:14" ht="13.15" customHeight="1" x14ac:dyDescent="0.2">
      <c r="A42" s="5" t="s">
        <v>379</v>
      </c>
      <c r="B42" s="5" t="b">
        <f>A42='[4]List of All Pax Spec codes '!A42</f>
        <v>1</v>
      </c>
      <c r="C42" s="5" t="s">
        <v>380</v>
      </c>
      <c r="D42" s="5" t="b">
        <f>C42='[4]List of All Pax Spec codes '!B42</f>
        <v>1</v>
      </c>
      <c r="E42" s="138"/>
      <c r="F42" s="6" t="s">
        <v>14</v>
      </c>
      <c r="G42" s="6" t="s">
        <v>55</v>
      </c>
      <c r="H42" s="118">
        <v>0.56000000000000005</v>
      </c>
      <c r="I42" s="107">
        <v>0.56000000000000005</v>
      </c>
      <c r="J42" s="118">
        <v>0.56000000000000005</v>
      </c>
      <c r="K42" s="107">
        <v>0.56000000000000005</v>
      </c>
      <c r="L42" s="186">
        <v>0.6</v>
      </c>
      <c r="M42" s="166">
        <f>ROUND(($R$7+$R$9)*L42,0)</f>
        <v>12</v>
      </c>
      <c r="N42" s="7" t="s">
        <v>44</v>
      </c>
    </row>
    <row r="43" spans="1:14" ht="13.15" customHeight="1" x14ac:dyDescent="0.2">
      <c r="A43" s="5" t="s">
        <v>56</v>
      </c>
      <c r="B43" s="5" t="b">
        <f>A43='[4]List of All Pax Spec codes '!A43</f>
        <v>1</v>
      </c>
      <c r="C43" s="5" t="s">
        <v>57</v>
      </c>
      <c r="D43" s="5" t="b">
        <f>C43='[4]List of All Pax Spec codes '!B43</f>
        <v>1</v>
      </c>
      <c r="E43" s="138"/>
      <c r="F43" s="6" t="s">
        <v>14</v>
      </c>
      <c r="G43" s="6">
        <v>1</v>
      </c>
      <c r="H43" s="118">
        <v>0.98</v>
      </c>
      <c r="I43" s="107">
        <v>0.98</v>
      </c>
      <c r="J43" s="118">
        <v>0.98</v>
      </c>
      <c r="K43" s="107">
        <v>0.98</v>
      </c>
      <c r="L43" s="186">
        <v>1</v>
      </c>
      <c r="M43" s="166">
        <f>ROUND(($R$7+$R$9)*L43,0)</f>
        <v>20</v>
      </c>
      <c r="N43" s="7" t="s">
        <v>44</v>
      </c>
    </row>
    <row r="44" spans="1:14" ht="13.15" customHeight="1" x14ac:dyDescent="0.2">
      <c r="A44" s="51" t="s">
        <v>308</v>
      </c>
      <c r="B44" s="52"/>
      <c r="C44" s="52"/>
      <c r="D44" s="52"/>
      <c r="E44" s="137"/>
      <c r="F44" s="52"/>
      <c r="G44" s="52"/>
      <c r="H44" s="52"/>
      <c r="I44" s="106"/>
      <c r="J44" s="106"/>
      <c r="K44" s="106"/>
      <c r="L44" s="165"/>
      <c r="M44" s="165"/>
      <c r="N44" s="53"/>
    </row>
    <row r="45" spans="1:14" ht="13.5" customHeight="1" x14ac:dyDescent="0.2">
      <c r="A45" s="42" t="s">
        <v>58</v>
      </c>
      <c r="B45" s="42"/>
      <c r="C45" s="42" t="s">
        <v>226</v>
      </c>
      <c r="D45" s="42"/>
      <c r="E45" s="140"/>
      <c r="F45" s="44" t="s">
        <v>14</v>
      </c>
      <c r="G45" s="44" t="s">
        <v>59</v>
      </c>
      <c r="H45" s="44"/>
      <c r="I45" s="111">
        <v>0</v>
      </c>
      <c r="J45" s="111"/>
      <c r="K45" s="111"/>
      <c r="L45" s="170"/>
      <c r="M45" s="170"/>
      <c r="N45" s="45" t="s">
        <v>270</v>
      </c>
    </row>
    <row r="46" spans="1:14" ht="13.5" customHeight="1" x14ac:dyDescent="0.2">
      <c r="A46" s="75"/>
      <c r="B46" s="75"/>
      <c r="C46" s="75"/>
      <c r="D46" s="75"/>
      <c r="E46" s="141"/>
      <c r="F46" s="76"/>
      <c r="G46" s="76"/>
      <c r="H46" s="76"/>
      <c r="I46" s="112"/>
      <c r="J46" s="112"/>
      <c r="K46" s="112"/>
      <c r="L46" s="171"/>
      <c r="M46" s="171"/>
      <c r="N46" s="77"/>
    </row>
    <row r="47" spans="1:14" ht="13.15" customHeight="1" x14ac:dyDescent="0.2">
      <c r="A47" s="54" t="s">
        <v>309</v>
      </c>
      <c r="B47" s="55"/>
      <c r="C47" s="55"/>
      <c r="D47" s="55"/>
      <c r="E47" s="142"/>
      <c r="F47" s="55"/>
      <c r="G47" s="55"/>
      <c r="H47" s="55"/>
      <c r="I47" s="113"/>
      <c r="J47" s="113"/>
      <c r="K47" s="113"/>
      <c r="L47" s="172"/>
      <c r="M47" s="172"/>
      <c r="N47" s="56"/>
    </row>
    <row r="48" spans="1:14" ht="13.15" customHeight="1" x14ac:dyDescent="0.2">
      <c r="A48" s="51" t="s">
        <v>306</v>
      </c>
      <c r="B48" s="52"/>
      <c r="C48" s="52"/>
      <c r="D48" s="52"/>
      <c r="E48" s="137"/>
      <c r="F48" s="52"/>
      <c r="G48" s="52"/>
      <c r="H48" s="52"/>
      <c r="I48" s="106"/>
      <c r="J48" s="106"/>
      <c r="K48" s="106"/>
      <c r="L48" s="165"/>
      <c r="M48" s="165"/>
      <c r="N48" s="53"/>
    </row>
    <row r="49" spans="1:14" ht="13.15" customHeight="1" x14ac:dyDescent="0.2">
      <c r="A49" s="96" t="s">
        <v>60</v>
      </c>
      <c r="B49" s="5" t="b">
        <f>A49='[4]List of All Pax Spec codes '!A49</f>
        <v>1</v>
      </c>
      <c r="C49" s="96" t="s">
        <v>61</v>
      </c>
      <c r="D49" s="5" t="b">
        <f>C49='[4]List of All Pax Spec codes '!B49</f>
        <v>1</v>
      </c>
      <c r="E49" s="143"/>
      <c r="F49" s="97" t="s">
        <v>62</v>
      </c>
      <c r="G49" s="98">
        <v>1</v>
      </c>
      <c r="H49" s="118">
        <v>2.2999999999999998</v>
      </c>
      <c r="I49" s="114">
        <v>2.2999999999999998</v>
      </c>
      <c r="J49" s="118">
        <v>2.2999999999999998</v>
      </c>
      <c r="K49" s="114">
        <v>2.2999999999999998</v>
      </c>
      <c r="L49" s="188">
        <v>1</v>
      </c>
      <c r="M49" s="173">
        <f>ROUND($S$7*L49,0)</f>
        <v>19</v>
      </c>
      <c r="N49" s="99"/>
    </row>
    <row r="50" spans="1:14" ht="13.15" customHeight="1" x14ac:dyDescent="0.2">
      <c r="A50" s="96" t="s">
        <v>63</v>
      </c>
      <c r="B50" s="5" t="b">
        <f>A50='[4]List of All Pax Spec codes '!A50</f>
        <v>1</v>
      </c>
      <c r="C50" s="96" t="s">
        <v>64</v>
      </c>
      <c r="D50" s="5" t="b">
        <f>C50='[4]List of All Pax Spec codes '!B50</f>
        <v>1</v>
      </c>
      <c r="E50" s="143"/>
      <c r="F50" s="97" t="s">
        <v>62</v>
      </c>
      <c r="G50" s="98">
        <v>1</v>
      </c>
      <c r="H50" s="280">
        <v>2.0499999999999998</v>
      </c>
      <c r="I50" s="114">
        <v>1.24</v>
      </c>
      <c r="J50" s="118">
        <v>1.69</v>
      </c>
      <c r="K50" s="114">
        <v>1.99</v>
      </c>
      <c r="L50" s="188">
        <v>1</v>
      </c>
      <c r="M50" s="173">
        <f>ROUND($S$7*L50,0)</f>
        <v>19</v>
      </c>
      <c r="N50" s="100"/>
    </row>
    <row r="51" spans="1:14" ht="13.15" customHeight="1" x14ac:dyDescent="0.2">
      <c r="A51" s="96" t="s">
        <v>65</v>
      </c>
      <c r="B51" s="5" t="b">
        <f>A51='[4]List of All Pax Spec codes '!A51</f>
        <v>1</v>
      </c>
      <c r="C51" s="96" t="s">
        <v>610</v>
      </c>
      <c r="D51" s="5" t="b">
        <f>C51='[4]List of All Pax Spec codes '!B51</f>
        <v>1</v>
      </c>
      <c r="E51" s="143"/>
      <c r="F51" s="97" t="s">
        <v>62</v>
      </c>
      <c r="G51" s="97" t="s">
        <v>69</v>
      </c>
      <c r="H51" s="280">
        <v>5.1100000000000003</v>
      </c>
      <c r="I51" s="114">
        <v>7.26</v>
      </c>
      <c r="J51" s="118">
        <v>7.22</v>
      </c>
      <c r="K51" s="114">
        <v>6.22</v>
      </c>
      <c r="L51" s="188">
        <v>0.4</v>
      </c>
      <c r="M51" s="173">
        <f>ROUNDUP($S$7*L51,0)</f>
        <v>8</v>
      </c>
      <c r="N51" s="96" t="s">
        <v>613</v>
      </c>
    </row>
    <row r="52" spans="1:14" ht="13.15" customHeight="1" x14ac:dyDescent="0.2">
      <c r="A52" s="96" t="s">
        <v>67</v>
      </c>
      <c r="B52" s="5" t="b">
        <f>A52='[4]List of All Pax Spec codes '!A52</f>
        <v>1</v>
      </c>
      <c r="C52" s="96" t="s">
        <v>611</v>
      </c>
      <c r="D52" s="5" t="b">
        <f>C52='[4]List of All Pax Spec codes '!B52</f>
        <v>1</v>
      </c>
      <c r="E52" s="143"/>
      <c r="F52" s="97" t="s">
        <v>62</v>
      </c>
      <c r="G52" s="97" t="s">
        <v>22</v>
      </c>
      <c r="H52" s="280">
        <v>6.23</v>
      </c>
      <c r="I52" s="114">
        <v>5.25</v>
      </c>
      <c r="J52" s="118">
        <v>6.21</v>
      </c>
      <c r="K52" s="114">
        <v>6.16</v>
      </c>
      <c r="L52" s="188">
        <v>0.6</v>
      </c>
      <c r="M52" s="173">
        <f>ROUNDDOWN($S$7*L52,0)</f>
        <v>11</v>
      </c>
      <c r="N52" s="101" t="s">
        <v>614</v>
      </c>
    </row>
    <row r="53" spans="1:14" ht="13.15" customHeight="1" x14ac:dyDescent="0.2">
      <c r="A53" s="96" t="s">
        <v>319</v>
      </c>
      <c r="B53" s="5" t="b">
        <f>A53='[4]List of All Pax Spec codes '!A53</f>
        <v>1</v>
      </c>
      <c r="C53" s="96" t="s">
        <v>71</v>
      </c>
      <c r="D53" s="5" t="b">
        <f>C53='[4]List of All Pax Spec codes '!B53</f>
        <v>1</v>
      </c>
      <c r="E53" s="143"/>
      <c r="F53" s="97" t="s">
        <v>62</v>
      </c>
      <c r="G53" s="98">
        <v>1</v>
      </c>
      <c r="H53" s="118">
        <v>2.08</v>
      </c>
      <c r="I53" s="114">
        <v>1.91</v>
      </c>
      <c r="J53" s="118">
        <v>2.98</v>
      </c>
      <c r="K53" s="114">
        <v>2.59</v>
      </c>
      <c r="L53" s="188">
        <v>1</v>
      </c>
      <c r="M53" s="173">
        <f>ROUND($S$7*L53,0)</f>
        <v>19</v>
      </c>
      <c r="N53" s="100"/>
    </row>
    <row r="54" spans="1:14" ht="13.15" customHeight="1" x14ac:dyDescent="0.2">
      <c r="A54" s="96" t="s">
        <v>72</v>
      </c>
      <c r="B54" s="5" t="b">
        <f>A54='[4]List of All Pax Spec codes '!A54</f>
        <v>1</v>
      </c>
      <c r="C54" s="96" t="s">
        <v>387</v>
      </c>
      <c r="D54" s="5" t="b">
        <f>C54='[4]List of All Pax Spec codes '!B54</f>
        <v>1</v>
      </c>
      <c r="E54" s="143"/>
      <c r="F54" s="97" t="s">
        <v>62</v>
      </c>
      <c r="G54" s="98" t="s">
        <v>73</v>
      </c>
      <c r="H54" s="118">
        <v>0.8</v>
      </c>
      <c r="I54" s="114">
        <v>0.8</v>
      </c>
      <c r="J54" s="118">
        <v>0.8</v>
      </c>
      <c r="K54" s="114">
        <v>0.8</v>
      </c>
      <c r="L54" s="188">
        <v>1.2</v>
      </c>
      <c r="M54" s="173">
        <f>ROUND($S$7*L54,0)</f>
        <v>23</v>
      </c>
      <c r="N54" s="102" t="s">
        <v>74</v>
      </c>
    </row>
    <row r="55" spans="1:14" ht="13.15" customHeight="1" x14ac:dyDescent="0.2">
      <c r="A55" s="51" t="s">
        <v>307</v>
      </c>
      <c r="B55" s="52"/>
      <c r="C55" s="52"/>
      <c r="D55" s="52"/>
      <c r="E55" s="137"/>
      <c r="F55" s="52"/>
      <c r="G55" s="52"/>
      <c r="H55" s="106"/>
      <c r="I55" s="106"/>
      <c r="J55" s="106"/>
      <c r="K55" s="106"/>
      <c r="L55" s="189"/>
      <c r="M55" s="165"/>
      <c r="N55" s="53"/>
    </row>
    <row r="56" spans="1:14" ht="13.15" customHeight="1" x14ac:dyDescent="0.2">
      <c r="A56" s="96" t="s">
        <v>75</v>
      </c>
      <c r="B56" s="5" t="b">
        <f>A56='[4]List of All Pax Spec codes '!A56</f>
        <v>1</v>
      </c>
      <c r="C56" s="96" t="s">
        <v>76</v>
      </c>
      <c r="D56" s="5" t="b">
        <f>C56='[4]List of All Pax Spec codes '!B56</f>
        <v>1</v>
      </c>
      <c r="E56" s="143"/>
      <c r="F56" s="97" t="s">
        <v>62</v>
      </c>
      <c r="G56" s="98">
        <v>1</v>
      </c>
      <c r="H56" s="280">
        <v>2.92</v>
      </c>
      <c r="I56" s="114">
        <v>2.92</v>
      </c>
      <c r="J56" s="118">
        <v>2.92</v>
      </c>
      <c r="K56" s="114">
        <v>2.92</v>
      </c>
      <c r="L56" s="188">
        <v>1</v>
      </c>
      <c r="M56" s="173">
        <f>ROUND($S$7*L56,0)</f>
        <v>19</v>
      </c>
      <c r="N56" s="102"/>
    </row>
    <row r="57" spans="1:14" ht="13.15" customHeight="1" x14ac:dyDescent="0.2">
      <c r="A57" s="96" t="s">
        <v>77</v>
      </c>
      <c r="B57" s="5" t="b">
        <f>A57='[4]List of All Pax Spec codes '!A57</f>
        <v>1</v>
      </c>
      <c r="C57" s="96" t="s">
        <v>78</v>
      </c>
      <c r="D57" s="5" t="b">
        <f>C57='[4]List of All Pax Spec codes '!B57</f>
        <v>1</v>
      </c>
      <c r="E57" s="143"/>
      <c r="F57" s="97" t="s">
        <v>62</v>
      </c>
      <c r="G57" s="98">
        <v>1</v>
      </c>
      <c r="H57" s="280">
        <v>3.21</v>
      </c>
      <c r="I57" s="114">
        <v>2.61</v>
      </c>
      <c r="J57" s="118">
        <v>4.13</v>
      </c>
      <c r="K57" s="114">
        <v>3.65</v>
      </c>
      <c r="L57" s="188">
        <v>1</v>
      </c>
      <c r="M57" s="173">
        <f>ROUND($S$7*L57,0)</f>
        <v>19</v>
      </c>
      <c r="N57" s="102"/>
    </row>
    <row r="58" spans="1:14" ht="13.15" customHeight="1" x14ac:dyDescent="0.2">
      <c r="A58" s="96" t="s">
        <v>612</v>
      </c>
      <c r="B58" s="5" t="b">
        <f>A58='[4]List of All Pax Spec codes '!A58</f>
        <v>1</v>
      </c>
      <c r="C58" s="96" t="s">
        <v>382</v>
      </c>
      <c r="D58" s="5" t="b">
        <f>C58='[4]List of All Pax Spec codes '!B58</f>
        <v>1</v>
      </c>
      <c r="E58" s="143"/>
      <c r="F58" s="97" t="s">
        <v>62</v>
      </c>
      <c r="G58" s="98" t="s">
        <v>73</v>
      </c>
      <c r="H58" s="280">
        <v>0.78</v>
      </c>
      <c r="I58" s="114">
        <v>0.78</v>
      </c>
      <c r="J58" s="118">
        <v>0.78</v>
      </c>
      <c r="K58" s="114">
        <v>0.78</v>
      </c>
      <c r="L58" s="188">
        <v>1.2</v>
      </c>
      <c r="M58" s="173">
        <f>ROUND($S$7*L58,0)</f>
        <v>23</v>
      </c>
      <c r="N58" s="102" t="s">
        <v>74</v>
      </c>
    </row>
    <row r="59" spans="1:14" ht="13.15" customHeight="1" x14ac:dyDescent="0.2">
      <c r="A59" s="51" t="s">
        <v>308</v>
      </c>
      <c r="B59" s="52"/>
      <c r="C59" s="52"/>
      <c r="D59" s="52"/>
      <c r="E59" s="137"/>
      <c r="F59" s="52"/>
      <c r="G59" s="52"/>
      <c r="H59" s="52"/>
      <c r="I59" s="106"/>
      <c r="J59" s="106"/>
      <c r="K59" s="106"/>
      <c r="L59" s="189"/>
      <c r="M59" s="165"/>
      <c r="N59" s="53"/>
    </row>
    <row r="60" spans="1:14" ht="13.15" customHeight="1" x14ac:dyDescent="0.2">
      <c r="A60" s="42" t="s">
        <v>58</v>
      </c>
      <c r="B60" s="42"/>
      <c r="C60" s="42" t="s">
        <v>226</v>
      </c>
      <c r="D60" s="42"/>
      <c r="E60" s="144"/>
      <c r="F60" s="43" t="s">
        <v>62</v>
      </c>
      <c r="G60" s="43" t="s">
        <v>59</v>
      </c>
      <c r="H60" s="43"/>
      <c r="I60" s="111">
        <v>0</v>
      </c>
      <c r="J60" s="111"/>
      <c r="K60" s="111"/>
      <c r="L60" s="190"/>
      <c r="M60" s="170"/>
      <c r="N60" s="42" t="s">
        <v>270</v>
      </c>
    </row>
    <row r="61" spans="1:14" ht="13.15" customHeight="1" x14ac:dyDescent="0.2">
      <c r="A61" s="78"/>
      <c r="B61" s="79"/>
      <c r="C61" s="79"/>
      <c r="D61" s="79"/>
      <c r="E61" s="145"/>
      <c r="F61" s="80"/>
      <c r="G61" s="80"/>
      <c r="H61" s="80"/>
      <c r="I61" s="115"/>
      <c r="J61" s="115"/>
      <c r="K61" s="115"/>
      <c r="L61" s="191"/>
      <c r="M61" s="174"/>
      <c r="N61" s="81"/>
    </row>
    <row r="62" spans="1:14" ht="13.15" customHeight="1" x14ac:dyDescent="0.2">
      <c r="A62" s="93" t="s">
        <v>310</v>
      </c>
      <c r="B62" s="94"/>
      <c r="C62" s="94"/>
      <c r="D62" s="94"/>
      <c r="E62" s="146"/>
      <c r="F62" s="94"/>
      <c r="G62" s="94"/>
      <c r="H62" s="94"/>
      <c r="I62" s="116"/>
      <c r="J62" s="116"/>
      <c r="K62" s="116"/>
      <c r="L62" s="192"/>
      <c r="M62" s="175"/>
      <c r="N62" s="95"/>
    </row>
    <row r="63" spans="1:14" ht="13.15" customHeight="1" x14ac:dyDescent="0.2">
      <c r="A63" s="57" t="s">
        <v>306</v>
      </c>
      <c r="B63" s="58"/>
      <c r="C63" s="58"/>
      <c r="D63" s="58"/>
      <c r="E63" s="147"/>
      <c r="F63" s="58"/>
      <c r="G63" s="58"/>
      <c r="H63" s="58"/>
      <c r="I63" s="117"/>
      <c r="J63" s="117"/>
      <c r="K63" s="117"/>
      <c r="L63" s="193"/>
      <c r="M63" s="176"/>
      <c r="N63" s="59"/>
    </row>
    <row r="64" spans="1:14" ht="13.15" customHeight="1" x14ac:dyDescent="0.2">
      <c r="A64" s="11" t="s">
        <v>79</v>
      </c>
      <c r="B64" s="5" t="b">
        <f>A64='[4]List of All Pax Spec codes '!A64</f>
        <v>1</v>
      </c>
      <c r="C64" s="11" t="s">
        <v>80</v>
      </c>
      <c r="D64" s="5" t="b">
        <f>C64='[4]List of All Pax Spec codes '!B64</f>
        <v>1</v>
      </c>
      <c r="E64" s="148"/>
      <c r="F64" s="12" t="s">
        <v>81</v>
      </c>
      <c r="G64" s="13">
        <v>1</v>
      </c>
      <c r="H64" s="118">
        <v>0.87</v>
      </c>
      <c r="I64" s="118">
        <v>0.87</v>
      </c>
      <c r="J64" s="118">
        <v>0.87</v>
      </c>
      <c r="K64" s="118">
        <v>0.87</v>
      </c>
      <c r="L64" s="194">
        <v>1</v>
      </c>
      <c r="M64" s="177">
        <f>ROUND($T$7*L64,0)</f>
        <v>165</v>
      </c>
      <c r="N64" s="11"/>
    </row>
    <row r="65" spans="1:14" ht="13.15" customHeight="1" x14ac:dyDescent="0.2">
      <c r="A65" s="11" t="s">
        <v>82</v>
      </c>
      <c r="B65" s="5" t="b">
        <f>A65='[4]List of All Pax Spec codes '!A65</f>
        <v>1</v>
      </c>
      <c r="C65" s="11" t="s">
        <v>83</v>
      </c>
      <c r="D65" s="5" t="b">
        <f>C65='[4]List of All Pax Spec codes '!B65</f>
        <v>1</v>
      </c>
      <c r="E65" s="148"/>
      <c r="F65" s="12" t="s">
        <v>81</v>
      </c>
      <c r="G65" s="13">
        <v>1</v>
      </c>
      <c r="H65" s="118">
        <v>0.85</v>
      </c>
      <c r="I65" s="118">
        <v>1</v>
      </c>
      <c r="J65" s="118">
        <v>0.94</v>
      </c>
      <c r="K65" s="118">
        <v>0.89</v>
      </c>
      <c r="L65" s="194">
        <v>1</v>
      </c>
      <c r="M65" s="177">
        <f>ROUND($T$7*L65,0)</f>
        <v>165</v>
      </c>
      <c r="N65" s="14"/>
    </row>
    <row r="66" spans="1:14" ht="13.15" customHeight="1" x14ac:dyDescent="0.2">
      <c r="A66" s="11" t="s">
        <v>65</v>
      </c>
      <c r="B66" s="5" t="b">
        <f>A66='[4]List of All Pax Spec codes '!A66</f>
        <v>1</v>
      </c>
      <c r="C66" s="11" t="s">
        <v>610</v>
      </c>
      <c r="D66" s="5" t="b">
        <f>C66='[4]List of All Pax Spec codes '!B66</f>
        <v>1</v>
      </c>
      <c r="E66" s="148"/>
      <c r="F66" s="12" t="s">
        <v>81</v>
      </c>
      <c r="G66" s="13" t="s">
        <v>615</v>
      </c>
      <c r="H66" s="118">
        <v>5.1100000000000003</v>
      </c>
      <c r="I66" s="118"/>
      <c r="J66" s="118"/>
      <c r="K66" s="118"/>
      <c r="L66" s="194">
        <v>0.1</v>
      </c>
      <c r="M66" s="177">
        <f>ROUNDUP($S$7*L66,0)</f>
        <v>2</v>
      </c>
      <c r="N66" s="11" t="s">
        <v>613</v>
      </c>
    </row>
    <row r="67" spans="1:14" ht="13.15" customHeight="1" x14ac:dyDescent="0.2">
      <c r="A67" s="11" t="s">
        <v>67</v>
      </c>
      <c r="B67" s="5" t="b">
        <f>A67='[4]List of All Pax Spec codes '!A67</f>
        <v>1</v>
      </c>
      <c r="C67" s="11" t="s">
        <v>611</v>
      </c>
      <c r="D67" s="5" t="b">
        <f>C67='[4]List of All Pax Spec codes '!B67</f>
        <v>1</v>
      </c>
      <c r="E67" s="148"/>
      <c r="F67" s="12" t="s">
        <v>81</v>
      </c>
      <c r="G67" s="13" t="s">
        <v>616</v>
      </c>
      <c r="H67" s="118">
        <v>6.23</v>
      </c>
      <c r="I67" s="118">
        <v>5.25</v>
      </c>
      <c r="J67" s="118">
        <v>6.21</v>
      </c>
      <c r="K67" s="118">
        <v>6.16</v>
      </c>
      <c r="L67" s="194">
        <v>0.9</v>
      </c>
      <c r="M67" s="177">
        <f>ROUNDDOWN($S$7*L67,0)</f>
        <v>17</v>
      </c>
      <c r="N67" s="11" t="s">
        <v>614</v>
      </c>
    </row>
    <row r="68" spans="1:14" ht="13.15" customHeight="1" x14ac:dyDescent="0.2">
      <c r="A68" s="11" t="s">
        <v>85</v>
      </c>
      <c r="B68" s="5" t="b">
        <f>A68='[4]List of All Pax Spec codes '!A68</f>
        <v>1</v>
      </c>
      <c r="C68" s="11" t="s">
        <v>86</v>
      </c>
      <c r="D68" s="5" t="b">
        <f>C68='[4]List of All Pax Spec codes '!B68</f>
        <v>1</v>
      </c>
      <c r="E68" s="148"/>
      <c r="F68" s="12" t="s">
        <v>81</v>
      </c>
      <c r="G68" s="13">
        <v>1</v>
      </c>
      <c r="H68" s="118">
        <v>1.33</v>
      </c>
      <c r="I68" s="118">
        <v>1.17</v>
      </c>
      <c r="J68" s="118">
        <v>1.89</v>
      </c>
      <c r="K68" s="118">
        <v>1.29</v>
      </c>
      <c r="L68" s="194">
        <v>1</v>
      </c>
      <c r="M68" s="177">
        <f>ROUND($T$7*L68,0)</f>
        <v>165</v>
      </c>
      <c r="N68" s="11"/>
    </row>
    <row r="69" spans="1:14" ht="13.15" customHeight="1" x14ac:dyDescent="0.2">
      <c r="A69" s="11" t="s">
        <v>383</v>
      </c>
      <c r="B69" s="5" t="b">
        <f>A69='[4]List of All Pax Spec codes '!A69</f>
        <v>1</v>
      </c>
      <c r="C69" s="11" t="s">
        <v>384</v>
      </c>
      <c r="D69" s="5" t="b">
        <f>C69='[4]List of All Pax Spec codes '!B69</f>
        <v>1</v>
      </c>
      <c r="E69" s="148"/>
      <c r="F69" s="12" t="s">
        <v>81</v>
      </c>
      <c r="G69" s="13" t="s">
        <v>73</v>
      </c>
      <c r="H69" s="118">
        <v>0.28000000000000003</v>
      </c>
      <c r="I69" s="118">
        <v>0.28000000000000003</v>
      </c>
      <c r="J69" s="118">
        <v>0.28000000000000003</v>
      </c>
      <c r="K69" s="118">
        <v>0.28000000000000003</v>
      </c>
      <c r="L69" s="194">
        <v>1.2</v>
      </c>
      <c r="M69" s="177">
        <f>ROUND($T$7*L69,0)</f>
        <v>198</v>
      </c>
      <c r="N69" s="15" t="s">
        <v>74</v>
      </c>
    </row>
    <row r="70" spans="1:14" ht="13.15" customHeight="1" x14ac:dyDescent="0.2">
      <c r="A70" s="57" t="s">
        <v>307</v>
      </c>
      <c r="B70" s="58"/>
      <c r="C70" s="58"/>
      <c r="D70" s="58"/>
      <c r="E70" s="147"/>
      <c r="F70" s="58"/>
      <c r="G70" s="58"/>
      <c r="H70" s="117"/>
      <c r="I70" s="117"/>
      <c r="J70" s="117"/>
      <c r="K70" s="117"/>
      <c r="L70" s="193"/>
      <c r="M70" s="176"/>
      <c r="N70" s="59"/>
    </row>
    <row r="71" spans="1:14" ht="13.15" customHeight="1" x14ac:dyDescent="0.2">
      <c r="A71" s="11" t="s">
        <v>87</v>
      </c>
      <c r="B71" s="5" t="b">
        <f>A71='[4]List of All Pax Spec codes '!A71</f>
        <v>1</v>
      </c>
      <c r="C71" s="11" t="s">
        <v>88</v>
      </c>
      <c r="D71" s="5" t="b">
        <f>C71='[4]List of All Pax Spec codes '!B71</f>
        <v>1</v>
      </c>
      <c r="E71" s="148"/>
      <c r="F71" s="12" t="s">
        <v>81</v>
      </c>
      <c r="G71" s="13">
        <v>1</v>
      </c>
      <c r="H71" s="118">
        <v>2.08</v>
      </c>
      <c r="I71" s="118">
        <v>2.04</v>
      </c>
      <c r="J71" s="118">
        <v>2.04</v>
      </c>
      <c r="K71" s="118">
        <v>2.1</v>
      </c>
      <c r="L71" s="194">
        <v>1</v>
      </c>
      <c r="M71" s="177">
        <f>ROUND(($T$7)*L71,0)</f>
        <v>165</v>
      </c>
      <c r="N71" s="289" t="s">
        <v>617</v>
      </c>
    </row>
    <row r="72" spans="1:14" ht="13.15" customHeight="1" x14ac:dyDescent="0.2">
      <c r="A72" s="11" t="s">
        <v>89</v>
      </c>
      <c r="B72" s="5" t="b">
        <f>A72='[4]List of All Pax Spec codes '!A72</f>
        <v>1</v>
      </c>
      <c r="C72" s="11" t="s">
        <v>90</v>
      </c>
      <c r="D72" s="5" t="b">
        <f>C72='[4]List of All Pax Spec codes '!B72</f>
        <v>1</v>
      </c>
      <c r="E72" s="148"/>
      <c r="F72" s="12" t="s">
        <v>81</v>
      </c>
      <c r="G72" s="13">
        <v>1</v>
      </c>
      <c r="H72" s="118">
        <v>0.59</v>
      </c>
      <c r="I72" s="118">
        <v>0.59</v>
      </c>
      <c r="J72" s="118">
        <v>0.59</v>
      </c>
      <c r="K72" s="118">
        <v>0.59</v>
      </c>
      <c r="L72" s="194">
        <v>1</v>
      </c>
      <c r="M72" s="177">
        <f>ROUND(($T$7)*L72,0)</f>
        <v>165</v>
      </c>
      <c r="N72" s="11"/>
    </row>
    <row r="73" spans="1:14" ht="13.15" customHeight="1" x14ac:dyDescent="0.2">
      <c r="A73" s="78"/>
      <c r="B73" s="79"/>
      <c r="C73" s="79"/>
      <c r="D73" s="79"/>
      <c r="E73" s="149"/>
      <c r="F73" s="80"/>
      <c r="G73" s="82"/>
      <c r="H73" s="82"/>
      <c r="I73" s="115"/>
      <c r="J73" s="115"/>
      <c r="K73" s="115"/>
      <c r="L73" s="191"/>
      <c r="M73" s="174"/>
      <c r="N73" s="81"/>
    </row>
    <row r="74" spans="1:14" ht="13.15" customHeight="1" x14ac:dyDescent="0.2">
      <c r="A74" s="60" t="s">
        <v>311</v>
      </c>
      <c r="B74" s="61"/>
      <c r="C74" s="61"/>
      <c r="D74" s="61"/>
      <c r="E74" s="150"/>
      <c r="F74" s="61"/>
      <c r="G74" s="61"/>
      <c r="H74" s="61"/>
      <c r="I74" s="119"/>
      <c r="J74" s="119"/>
      <c r="K74" s="119"/>
      <c r="L74" s="195"/>
      <c r="M74" s="178"/>
      <c r="N74" s="62"/>
    </row>
    <row r="75" spans="1:14" ht="13.15" customHeight="1" x14ac:dyDescent="0.2">
      <c r="A75" s="63" t="s">
        <v>312</v>
      </c>
      <c r="B75" s="64"/>
      <c r="C75" s="64"/>
      <c r="D75" s="64"/>
      <c r="E75" s="151"/>
      <c r="F75" s="64"/>
      <c r="G75" s="64"/>
      <c r="H75" s="64"/>
      <c r="I75" s="120"/>
      <c r="J75" s="120"/>
      <c r="K75" s="120"/>
      <c r="L75" s="196"/>
      <c r="M75" s="179"/>
      <c r="N75" s="65"/>
    </row>
    <row r="76" spans="1:14" ht="13.15" customHeight="1" x14ac:dyDescent="0.2">
      <c r="A76" s="16" t="s">
        <v>91</v>
      </c>
      <c r="B76" s="5" t="b">
        <f>A76='[4]List of All Pax Spec codes '!A76</f>
        <v>1</v>
      </c>
      <c r="C76" s="16" t="s">
        <v>343</v>
      </c>
      <c r="D76" s="5" t="b">
        <f>C76='[4]List of All Pax Spec codes '!B76</f>
        <v>1</v>
      </c>
      <c r="E76" s="152"/>
      <c r="F76" s="6" t="s">
        <v>14</v>
      </c>
      <c r="G76" s="17" t="s">
        <v>92</v>
      </c>
      <c r="H76" s="121">
        <v>39.01</v>
      </c>
      <c r="I76" s="121">
        <v>38.39</v>
      </c>
      <c r="J76" s="121">
        <v>39.01</v>
      </c>
      <c r="K76" s="121">
        <v>39.25</v>
      </c>
      <c r="L76" s="197"/>
      <c r="M76" s="180">
        <f>R11</f>
        <v>4</v>
      </c>
      <c r="N76" s="18"/>
    </row>
    <row r="77" spans="1:14" ht="13.15" customHeight="1" x14ac:dyDescent="0.2">
      <c r="A77" s="16" t="s">
        <v>93</v>
      </c>
      <c r="B77" s="5" t="b">
        <f>A77='[4]List of All Pax Spec codes '!A77</f>
        <v>1</v>
      </c>
      <c r="C77" s="16" t="s">
        <v>342</v>
      </c>
      <c r="D77" s="5" t="b">
        <f>C77='[4]List of All Pax Spec codes '!B77</f>
        <v>1</v>
      </c>
      <c r="E77" s="152"/>
      <c r="F77" s="6" t="s">
        <v>14</v>
      </c>
      <c r="G77" s="17" t="s">
        <v>92</v>
      </c>
      <c r="H77" s="121">
        <f>ROUND(H76/2,2)</f>
        <v>19.510000000000002</v>
      </c>
      <c r="I77" s="121">
        <f>I76/2</f>
        <v>19.195</v>
      </c>
      <c r="J77" s="121">
        <f>ROUND(J76/2,2)</f>
        <v>19.510000000000002</v>
      </c>
      <c r="K77" s="121">
        <f>K76/2</f>
        <v>19.625</v>
      </c>
      <c r="L77" s="197"/>
      <c r="M77" s="180">
        <f>IF(4-R11&gt;0,4-R11,0)</f>
        <v>0</v>
      </c>
      <c r="N77" s="18"/>
    </row>
    <row r="78" spans="1:14" ht="13.15" customHeight="1" x14ac:dyDescent="0.2">
      <c r="A78" s="16" t="s">
        <v>94</v>
      </c>
      <c r="B78" s="5" t="b">
        <f>A78='[4]List of All Pax Spec codes '!A78</f>
        <v>1</v>
      </c>
      <c r="C78" s="16" t="s">
        <v>344</v>
      </c>
      <c r="D78" s="5" t="b">
        <f>C78='[4]List of All Pax Spec codes '!B78</f>
        <v>1</v>
      </c>
      <c r="E78" s="152"/>
      <c r="F78" s="97" t="s">
        <v>62</v>
      </c>
      <c r="G78" s="17" t="s">
        <v>92</v>
      </c>
      <c r="H78" s="121">
        <v>21.72</v>
      </c>
      <c r="I78" s="121">
        <v>19.690000000000001</v>
      </c>
      <c r="J78" s="121">
        <v>21.72</v>
      </c>
      <c r="K78" s="121">
        <v>20.88</v>
      </c>
      <c r="L78" s="197"/>
      <c r="M78" s="180">
        <f>S11</f>
        <v>4</v>
      </c>
      <c r="N78" s="18"/>
    </row>
    <row r="79" spans="1:14" ht="13.15" customHeight="1" x14ac:dyDescent="0.2">
      <c r="A79" s="16" t="s">
        <v>95</v>
      </c>
      <c r="B79" s="5" t="b">
        <f>A79='[4]List of All Pax Spec codes '!A79</f>
        <v>1</v>
      </c>
      <c r="C79" s="16" t="s">
        <v>345</v>
      </c>
      <c r="D79" s="5" t="b">
        <f>C79='[4]List of All Pax Spec codes '!B79</f>
        <v>1</v>
      </c>
      <c r="E79" s="152"/>
      <c r="F79" s="97" t="s">
        <v>62</v>
      </c>
      <c r="G79" s="17" t="s">
        <v>92</v>
      </c>
      <c r="H79" s="121">
        <f>ROUND(H78/2,2)</f>
        <v>10.86</v>
      </c>
      <c r="I79" s="121">
        <f>I78/2</f>
        <v>9.8450000000000006</v>
      </c>
      <c r="J79" s="121">
        <f>ROUND(J78/2,2)</f>
        <v>10.86</v>
      </c>
      <c r="K79" s="121">
        <f>K78/2</f>
        <v>10.44</v>
      </c>
      <c r="L79" s="197"/>
      <c r="M79" s="180">
        <f>IF(4-S11&gt;0,4-S11,0)</f>
        <v>0</v>
      </c>
      <c r="N79" s="18"/>
    </row>
    <row r="80" spans="1:14" ht="13.15" customHeight="1" x14ac:dyDescent="0.2">
      <c r="A80" s="66" t="s">
        <v>313</v>
      </c>
      <c r="B80" s="67"/>
      <c r="C80" s="67"/>
      <c r="D80" s="67"/>
      <c r="E80" s="153"/>
      <c r="F80" s="67"/>
      <c r="G80" s="67"/>
      <c r="H80" s="67"/>
      <c r="I80" s="122"/>
      <c r="J80" s="122"/>
      <c r="K80" s="122"/>
      <c r="L80" s="198"/>
      <c r="M80" s="181"/>
      <c r="N80" s="68"/>
    </row>
    <row r="81" spans="1:14" ht="13.15" customHeight="1" x14ac:dyDescent="0.2">
      <c r="A81" s="63" t="s">
        <v>312</v>
      </c>
      <c r="B81" s="64"/>
      <c r="C81" s="64"/>
      <c r="D81" s="64"/>
      <c r="E81" s="151"/>
      <c r="F81" s="64"/>
      <c r="G81" s="64"/>
      <c r="H81" s="64"/>
      <c r="I81" s="120"/>
      <c r="J81" s="120"/>
      <c r="K81" s="120"/>
      <c r="L81" s="196"/>
      <c r="M81" s="179"/>
      <c r="N81" s="65"/>
    </row>
    <row r="82" spans="1:14" ht="13.15" customHeight="1" x14ac:dyDescent="0.2">
      <c r="A82" s="16" t="s">
        <v>576</v>
      </c>
      <c r="B82" s="5" t="b">
        <f>A82='[4]List of All Pax Spec codes '!A82</f>
        <v>1</v>
      </c>
      <c r="C82" s="16" t="s">
        <v>577</v>
      </c>
      <c r="D82" s="5" t="b">
        <f>C82='[4]List of All Pax Spec codes '!B82</f>
        <v>1</v>
      </c>
      <c r="E82" s="152"/>
      <c r="F82" s="17" t="s">
        <v>96</v>
      </c>
      <c r="G82" s="17" t="s">
        <v>92</v>
      </c>
      <c r="H82" s="121">
        <v>560</v>
      </c>
      <c r="I82" s="121">
        <v>560</v>
      </c>
      <c r="J82" s="121">
        <v>560</v>
      </c>
      <c r="K82" s="121">
        <v>560</v>
      </c>
      <c r="L82" s="197"/>
      <c r="M82" s="180"/>
      <c r="N82" s="18" t="s">
        <v>580</v>
      </c>
    </row>
    <row r="83" spans="1:14" ht="13.15" customHeight="1" x14ac:dyDescent="0.2">
      <c r="A83" s="16" t="s">
        <v>578</v>
      </c>
      <c r="B83" s="5" t="b">
        <f>A83='[4]List of All Pax Spec codes '!A83</f>
        <v>1</v>
      </c>
      <c r="C83" s="16" t="s">
        <v>577</v>
      </c>
      <c r="D83" s="5" t="b">
        <f>C83='[4]List of All Pax Spec codes '!B83</f>
        <v>1</v>
      </c>
      <c r="E83" s="152"/>
      <c r="F83" s="17" t="s">
        <v>96</v>
      </c>
      <c r="G83" s="17" t="s">
        <v>92</v>
      </c>
      <c r="H83" s="121">
        <v>560</v>
      </c>
      <c r="I83" s="121">
        <v>560</v>
      </c>
      <c r="J83" s="121">
        <v>560</v>
      </c>
      <c r="K83" s="121">
        <v>560</v>
      </c>
      <c r="L83" s="197"/>
      <c r="M83" s="180"/>
      <c r="N83" s="18" t="s">
        <v>581</v>
      </c>
    </row>
    <row r="84" spans="1:14" ht="13.15" customHeight="1" x14ac:dyDescent="0.2">
      <c r="A84" s="16" t="s">
        <v>579</v>
      </c>
      <c r="B84" s="5" t="b">
        <f>A84='[4]List of All Pax Spec codes '!A84</f>
        <v>1</v>
      </c>
      <c r="C84" s="16" t="s">
        <v>577</v>
      </c>
      <c r="D84" s="5" t="b">
        <f>C84='[4]List of All Pax Spec codes '!B84</f>
        <v>1</v>
      </c>
      <c r="E84" s="152"/>
      <c r="F84" s="17" t="s">
        <v>96</v>
      </c>
      <c r="G84" s="17" t="s">
        <v>92</v>
      </c>
      <c r="H84" s="121">
        <v>560</v>
      </c>
      <c r="I84" s="121">
        <v>560</v>
      </c>
      <c r="J84" s="121">
        <v>560</v>
      </c>
      <c r="K84" s="121">
        <v>560</v>
      </c>
      <c r="L84" s="197"/>
      <c r="M84" s="180"/>
      <c r="N84" s="18" t="s">
        <v>582</v>
      </c>
    </row>
    <row r="85" spans="1:14" ht="13.15" customHeight="1" x14ac:dyDescent="0.2">
      <c r="A85" s="16" t="s">
        <v>349</v>
      </c>
      <c r="B85" s="5" t="b">
        <f>A85='[4]List of All Pax Spec codes '!A85</f>
        <v>1</v>
      </c>
      <c r="C85" s="16" t="s">
        <v>352</v>
      </c>
      <c r="D85" s="5" t="b">
        <f>C85='[4]List of All Pax Spec codes '!B85</f>
        <v>1</v>
      </c>
      <c r="E85" s="152"/>
      <c r="F85" s="17" t="s">
        <v>96</v>
      </c>
      <c r="G85" s="17" t="s">
        <v>92</v>
      </c>
      <c r="H85" s="121">
        <v>425</v>
      </c>
      <c r="I85" s="121">
        <v>425</v>
      </c>
      <c r="J85" s="121">
        <v>425</v>
      </c>
      <c r="K85" s="121">
        <v>425</v>
      </c>
      <c r="L85" s="197"/>
      <c r="M85" s="180"/>
      <c r="N85" s="16"/>
    </row>
    <row r="86" spans="1:14" ht="13.15" customHeight="1" x14ac:dyDescent="0.2">
      <c r="A86" s="16" t="s">
        <v>606</v>
      </c>
      <c r="B86" s="5" t="b">
        <f>A86='[4]List of All Pax Spec codes '!A86</f>
        <v>1</v>
      </c>
      <c r="C86" s="16" t="s">
        <v>352</v>
      </c>
      <c r="D86" s="5" t="b">
        <f>C86='[4]List of All Pax Spec codes '!B86</f>
        <v>1</v>
      </c>
      <c r="E86" s="152"/>
      <c r="F86" s="17" t="s">
        <v>96</v>
      </c>
      <c r="G86" s="17" t="s">
        <v>92</v>
      </c>
      <c r="H86" s="121">
        <v>425</v>
      </c>
      <c r="I86" s="121">
        <v>425</v>
      </c>
      <c r="J86" s="121">
        <v>425</v>
      </c>
      <c r="K86" s="121">
        <v>425</v>
      </c>
      <c r="L86" s="197"/>
      <c r="M86" s="180"/>
      <c r="N86" s="16"/>
    </row>
    <row r="87" spans="1:14" ht="13.15" customHeight="1" x14ac:dyDescent="0.2">
      <c r="A87" s="16" t="s">
        <v>607</v>
      </c>
      <c r="B87" s="5" t="b">
        <f>A87='[4]List of All Pax Spec codes '!A87</f>
        <v>1</v>
      </c>
      <c r="C87" s="16" t="s">
        <v>352</v>
      </c>
      <c r="D87" s="5" t="b">
        <f>C87='[4]List of All Pax Spec codes '!B87</f>
        <v>1</v>
      </c>
      <c r="E87" s="152"/>
      <c r="F87" s="17" t="s">
        <v>96</v>
      </c>
      <c r="G87" s="17" t="s">
        <v>92</v>
      </c>
      <c r="H87" s="121">
        <v>425</v>
      </c>
      <c r="I87" s="121">
        <v>425</v>
      </c>
      <c r="J87" s="121">
        <v>425</v>
      </c>
      <c r="K87" s="121">
        <v>425</v>
      </c>
      <c r="L87" s="197"/>
      <c r="M87" s="180"/>
      <c r="N87" s="16"/>
    </row>
    <row r="88" spans="1:14" ht="13.15" customHeight="1" x14ac:dyDescent="0.2">
      <c r="A88" s="16" t="s">
        <v>350</v>
      </c>
      <c r="B88" s="5" t="b">
        <f>A88='[4]List of All Pax Spec codes '!A88</f>
        <v>1</v>
      </c>
      <c r="C88" s="16" t="s">
        <v>353</v>
      </c>
      <c r="D88" s="5" t="b">
        <f>C88='[4]List of All Pax Spec codes '!B88</f>
        <v>1</v>
      </c>
      <c r="E88" s="152"/>
      <c r="F88" s="17" t="s">
        <v>96</v>
      </c>
      <c r="G88" s="17" t="s">
        <v>92</v>
      </c>
      <c r="H88" s="121">
        <v>285</v>
      </c>
      <c r="I88" s="121">
        <v>285</v>
      </c>
      <c r="J88" s="121">
        <v>285</v>
      </c>
      <c r="K88" s="121">
        <v>285</v>
      </c>
      <c r="L88" s="197"/>
      <c r="M88" s="180"/>
      <c r="N88" s="16"/>
    </row>
    <row r="89" spans="1:14" ht="13.15" customHeight="1" x14ac:dyDescent="0.2">
      <c r="A89" s="16" t="s">
        <v>608</v>
      </c>
      <c r="B89" s="5" t="b">
        <f>A89='[4]List of All Pax Spec codes '!A89</f>
        <v>1</v>
      </c>
      <c r="C89" s="16" t="s">
        <v>353</v>
      </c>
      <c r="D89" s="5" t="b">
        <f>C89='[4]List of All Pax Spec codes '!B89</f>
        <v>1</v>
      </c>
      <c r="E89" s="152"/>
      <c r="F89" s="17" t="s">
        <v>96</v>
      </c>
      <c r="G89" s="17" t="s">
        <v>92</v>
      </c>
      <c r="H89" s="121">
        <v>285</v>
      </c>
      <c r="I89" s="121">
        <v>285</v>
      </c>
      <c r="J89" s="121">
        <v>285</v>
      </c>
      <c r="K89" s="121">
        <v>285</v>
      </c>
      <c r="L89" s="197"/>
      <c r="M89" s="180"/>
      <c r="N89" s="16"/>
    </row>
    <row r="90" spans="1:14" ht="13.15" customHeight="1" x14ac:dyDescent="0.2">
      <c r="A90" s="16" t="s">
        <v>609</v>
      </c>
      <c r="B90" s="5" t="b">
        <f>A90='[4]List of All Pax Spec codes '!A90</f>
        <v>1</v>
      </c>
      <c r="C90" s="16" t="s">
        <v>353</v>
      </c>
      <c r="D90" s="5" t="b">
        <f>C90='[4]List of All Pax Spec codes '!B90</f>
        <v>1</v>
      </c>
      <c r="E90" s="152"/>
      <c r="F90" s="17" t="s">
        <v>96</v>
      </c>
      <c r="G90" s="17" t="s">
        <v>92</v>
      </c>
      <c r="H90" s="121">
        <v>285</v>
      </c>
      <c r="I90" s="121">
        <v>285</v>
      </c>
      <c r="J90" s="121">
        <v>285</v>
      </c>
      <c r="K90" s="121">
        <v>285</v>
      </c>
      <c r="L90" s="197"/>
      <c r="M90" s="180"/>
      <c r="N90" s="16"/>
    </row>
    <row r="91" spans="1:14" ht="13.15" customHeight="1" x14ac:dyDescent="0.2">
      <c r="A91" s="16" t="s">
        <v>354</v>
      </c>
      <c r="B91" s="5" t="b">
        <f>A91='[4]List of All Pax Spec codes '!A91</f>
        <v>1</v>
      </c>
      <c r="C91" s="16" t="s">
        <v>100</v>
      </c>
      <c r="D91" s="5" t="b">
        <f>C91='[4]List of All Pax Spec codes '!B91</f>
        <v>1</v>
      </c>
      <c r="E91" s="152"/>
      <c r="F91" s="17" t="s">
        <v>96</v>
      </c>
      <c r="G91" s="17" t="s">
        <v>92</v>
      </c>
      <c r="H91" s="121">
        <v>9.36</v>
      </c>
      <c r="I91" s="121">
        <v>9.36</v>
      </c>
      <c r="J91" s="121">
        <v>9.36</v>
      </c>
      <c r="K91" s="121">
        <v>9.36</v>
      </c>
      <c r="L91" s="197"/>
      <c r="M91" s="180"/>
      <c r="N91" s="291" t="s">
        <v>619</v>
      </c>
    </row>
    <row r="92" spans="1:14" ht="13.15" customHeight="1" x14ac:dyDescent="0.2">
      <c r="A92" s="16" t="s">
        <v>355</v>
      </c>
      <c r="B92" s="5" t="b">
        <f>A92='[4]List of All Pax Spec codes '!A92</f>
        <v>1</v>
      </c>
      <c r="C92" s="16" t="s">
        <v>100</v>
      </c>
      <c r="D92" s="5" t="b">
        <f>C92='[4]List of All Pax Spec codes '!B92</f>
        <v>1</v>
      </c>
      <c r="E92" s="152"/>
      <c r="F92" s="17" t="s">
        <v>96</v>
      </c>
      <c r="G92" s="17" t="s">
        <v>92</v>
      </c>
      <c r="H92" s="121">
        <v>9.36</v>
      </c>
      <c r="I92" s="121">
        <v>9.36</v>
      </c>
      <c r="J92" s="121">
        <v>9.36</v>
      </c>
      <c r="K92" s="121">
        <v>9.36</v>
      </c>
      <c r="L92" s="197"/>
      <c r="M92" s="180"/>
      <c r="N92" s="291" t="s">
        <v>619</v>
      </c>
    </row>
    <row r="93" spans="1:14" ht="13.15" customHeight="1" x14ac:dyDescent="0.2">
      <c r="A93" s="16" t="s">
        <v>356</v>
      </c>
      <c r="B93" s="5" t="b">
        <f>A93='[4]List of All Pax Spec codes '!A93</f>
        <v>1</v>
      </c>
      <c r="C93" s="16" t="s">
        <v>100</v>
      </c>
      <c r="D93" s="5" t="b">
        <f>C93='[4]List of All Pax Spec codes '!B93</f>
        <v>1</v>
      </c>
      <c r="E93" s="152"/>
      <c r="F93" s="17" t="s">
        <v>96</v>
      </c>
      <c r="G93" s="17" t="s">
        <v>92</v>
      </c>
      <c r="H93" s="121">
        <v>9.36</v>
      </c>
      <c r="I93" s="121">
        <v>9.36</v>
      </c>
      <c r="J93" s="121">
        <v>9.36</v>
      </c>
      <c r="K93" s="121">
        <v>9.36</v>
      </c>
      <c r="L93" s="197"/>
      <c r="M93" s="180"/>
      <c r="N93" s="291" t="s">
        <v>619</v>
      </c>
    </row>
    <row r="94" spans="1:14" ht="13.15" customHeight="1" x14ac:dyDescent="0.2">
      <c r="A94" s="16" t="s">
        <v>357</v>
      </c>
      <c r="B94" s="5" t="b">
        <f>A94='[4]List of All Pax Spec codes '!A94</f>
        <v>1</v>
      </c>
      <c r="C94" s="16" t="s">
        <v>102</v>
      </c>
      <c r="D94" s="5" t="b">
        <f>C94='[4]List of All Pax Spec codes '!B94</f>
        <v>1</v>
      </c>
      <c r="E94" s="152"/>
      <c r="F94" s="17" t="s">
        <v>96</v>
      </c>
      <c r="G94" s="17" t="s">
        <v>92</v>
      </c>
      <c r="H94" s="121">
        <v>8.91</v>
      </c>
      <c r="I94" s="121">
        <v>8.91</v>
      </c>
      <c r="J94" s="121">
        <v>8.91</v>
      </c>
      <c r="K94" s="121">
        <v>8.91</v>
      </c>
      <c r="L94" s="197"/>
      <c r="M94" s="180"/>
      <c r="N94" s="291" t="s">
        <v>620</v>
      </c>
    </row>
    <row r="95" spans="1:14" ht="13.15" customHeight="1" x14ac:dyDescent="0.2">
      <c r="A95" s="16" t="s">
        <v>358</v>
      </c>
      <c r="B95" s="5" t="b">
        <f>A95='[4]List of All Pax Spec codes '!A95</f>
        <v>1</v>
      </c>
      <c r="C95" s="16" t="s">
        <v>102</v>
      </c>
      <c r="D95" s="5" t="b">
        <f>C95='[4]List of All Pax Spec codes '!B95</f>
        <v>1</v>
      </c>
      <c r="E95" s="152"/>
      <c r="F95" s="17" t="s">
        <v>96</v>
      </c>
      <c r="G95" s="17" t="s">
        <v>92</v>
      </c>
      <c r="H95" s="121">
        <v>8.91</v>
      </c>
      <c r="I95" s="121">
        <v>8.91</v>
      </c>
      <c r="J95" s="121">
        <v>8.91</v>
      </c>
      <c r="K95" s="121">
        <v>8.91</v>
      </c>
      <c r="L95" s="197"/>
      <c r="M95" s="180"/>
      <c r="N95" s="291" t="s">
        <v>620</v>
      </c>
    </row>
    <row r="96" spans="1:14" ht="13.15" customHeight="1" x14ac:dyDescent="0.2">
      <c r="A96" s="16" t="s">
        <v>359</v>
      </c>
      <c r="B96" s="5" t="b">
        <f>A96='[4]List of All Pax Spec codes '!A96</f>
        <v>1</v>
      </c>
      <c r="C96" s="16" t="s">
        <v>102</v>
      </c>
      <c r="D96" s="5" t="b">
        <f>C96='[4]List of All Pax Spec codes '!B96</f>
        <v>1</v>
      </c>
      <c r="E96" s="152"/>
      <c r="F96" s="17" t="s">
        <v>96</v>
      </c>
      <c r="G96" s="17" t="s">
        <v>92</v>
      </c>
      <c r="H96" s="121">
        <v>8.91</v>
      </c>
      <c r="I96" s="121">
        <v>8.91</v>
      </c>
      <c r="J96" s="121">
        <v>8.91</v>
      </c>
      <c r="K96" s="121">
        <v>8.91</v>
      </c>
      <c r="L96" s="197"/>
      <c r="M96" s="180"/>
      <c r="N96" s="291" t="s">
        <v>620</v>
      </c>
    </row>
    <row r="97" spans="1:15" ht="13.15" customHeight="1" x14ac:dyDescent="0.2">
      <c r="A97" s="16" t="s">
        <v>103</v>
      </c>
      <c r="B97" s="5" t="b">
        <f>A97='[4]List of All Pax Spec codes '!A97</f>
        <v>1</v>
      </c>
      <c r="C97" s="16" t="s">
        <v>104</v>
      </c>
      <c r="D97" s="5" t="b">
        <f>C97='[4]List of All Pax Spec codes '!B97</f>
        <v>1</v>
      </c>
      <c r="E97" s="152" t="s">
        <v>101</v>
      </c>
      <c r="F97" s="17" t="s">
        <v>96</v>
      </c>
      <c r="G97" s="17" t="s">
        <v>92</v>
      </c>
      <c r="H97" s="121">
        <v>200</v>
      </c>
      <c r="I97" s="121">
        <v>200</v>
      </c>
      <c r="J97" s="121">
        <v>200</v>
      </c>
      <c r="K97" s="121">
        <v>200</v>
      </c>
      <c r="L97" s="197"/>
      <c r="M97" s="180"/>
      <c r="N97" s="16"/>
    </row>
    <row r="98" spans="1:15" ht="13.15" customHeight="1" x14ac:dyDescent="0.2">
      <c r="A98" s="16" t="s">
        <v>105</v>
      </c>
      <c r="B98" s="5" t="b">
        <f>A98='[4]List of All Pax Spec codes '!A98</f>
        <v>1</v>
      </c>
      <c r="C98" s="16" t="s">
        <v>106</v>
      </c>
      <c r="D98" s="5" t="b">
        <f>C98='[4]List of All Pax Spec codes '!B98</f>
        <v>1</v>
      </c>
      <c r="E98" s="152" t="s">
        <v>101</v>
      </c>
      <c r="F98" s="17" t="s">
        <v>96</v>
      </c>
      <c r="G98" s="17" t="s">
        <v>92</v>
      </c>
      <c r="H98" s="121">
        <v>200</v>
      </c>
      <c r="I98" s="121">
        <v>200</v>
      </c>
      <c r="J98" s="121">
        <v>200</v>
      </c>
      <c r="K98" s="121">
        <v>200</v>
      </c>
      <c r="L98" s="197"/>
      <c r="M98" s="180"/>
      <c r="N98" s="16"/>
    </row>
    <row r="99" spans="1:15" ht="13.15" customHeight="1" x14ac:dyDescent="0.2">
      <c r="A99" s="16" t="s">
        <v>107</v>
      </c>
      <c r="B99" s="5" t="b">
        <f>A99='[4]List of All Pax Spec codes '!A99</f>
        <v>1</v>
      </c>
      <c r="C99" s="16" t="s">
        <v>108</v>
      </c>
      <c r="D99" s="5" t="b">
        <f>C99='[4]List of All Pax Spec codes '!B99</f>
        <v>1</v>
      </c>
      <c r="E99" s="152" t="s">
        <v>101</v>
      </c>
      <c r="F99" s="17" t="s">
        <v>96</v>
      </c>
      <c r="G99" s="17" t="s">
        <v>92</v>
      </c>
      <c r="H99" s="121">
        <v>260</v>
      </c>
      <c r="I99" s="121">
        <v>260</v>
      </c>
      <c r="J99" s="121">
        <v>260</v>
      </c>
      <c r="K99" s="121">
        <v>260</v>
      </c>
      <c r="L99" s="197"/>
      <c r="M99" s="180"/>
      <c r="N99" s="16"/>
    </row>
    <row r="100" spans="1:15" ht="13.15" customHeight="1" x14ac:dyDescent="0.2">
      <c r="A100" s="16" t="s">
        <v>109</v>
      </c>
      <c r="B100" s="5" t="b">
        <f>A100='[4]List of All Pax Spec codes '!A100</f>
        <v>1</v>
      </c>
      <c r="C100" s="16" t="s">
        <v>110</v>
      </c>
      <c r="D100" s="5" t="b">
        <f>C100='[4]List of All Pax Spec codes '!B100</f>
        <v>1</v>
      </c>
      <c r="E100" s="152" t="s">
        <v>101</v>
      </c>
      <c r="F100" s="17" t="s">
        <v>96</v>
      </c>
      <c r="G100" s="17" t="s">
        <v>92</v>
      </c>
      <c r="H100" s="121">
        <v>55</v>
      </c>
      <c r="I100" s="121">
        <v>55</v>
      </c>
      <c r="J100" s="121">
        <v>55</v>
      </c>
      <c r="K100" s="121">
        <v>55</v>
      </c>
      <c r="L100" s="197"/>
      <c r="M100" s="180"/>
      <c r="N100" s="16"/>
    </row>
    <row r="101" spans="1:15" ht="13.15" customHeight="1" x14ac:dyDescent="0.2">
      <c r="A101" s="16" t="s">
        <v>363</v>
      </c>
      <c r="B101" s="5" t="b">
        <f>A101='[4]List of All Pax Spec codes '!A101</f>
        <v>1</v>
      </c>
      <c r="C101" s="16" t="s">
        <v>366</v>
      </c>
      <c r="D101" s="5" t="b">
        <f>C101='[4]List of All Pax Spec codes '!B101</f>
        <v>1</v>
      </c>
      <c r="E101" s="152"/>
      <c r="F101" s="17" t="s">
        <v>96</v>
      </c>
      <c r="G101" s="17" t="s">
        <v>92</v>
      </c>
      <c r="H101" s="121">
        <v>4</v>
      </c>
      <c r="I101" s="121">
        <v>4</v>
      </c>
      <c r="J101" s="121">
        <v>4</v>
      </c>
      <c r="K101" s="121">
        <v>4</v>
      </c>
      <c r="L101" s="197"/>
      <c r="M101" s="180">
        <f>IF(R12&gt;R13,R13,R12)</f>
        <v>20</v>
      </c>
      <c r="N101" s="16"/>
      <c r="O101" s="213" t="s">
        <v>409</v>
      </c>
    </row>
    <row r="102" spans="1:15" ht="13.15" customHeight="1" x14ac:dyDescent="0.2">
      <c r="A102" s="16" t="s">
        <v>364</v>
      </c>
      <c r="B102" s="5" t="b">
        <f>A102='[4]List of All Pax Spec codes '!A102</f>
        <v>1</v>
      </c>
      <c r="C102" s="16" t="s">
        <v>367</v>
      </c>
      <c r="D102" s="5" t="b">
        <f>C102='[4]List of All Pax Spec codes '!B102</f>
        <v>1</v>
      </c>
      <c r="E102" s="152"/>
      <c r="F102" s="17" t="s">
        <v>96</v>
      </c>
      <c r="G102" s="17" t="s">
        <v>92</v>
      </c>
      <c r="H102" s="121">
        <v>3</v>
      </c>
      <c r="I102" s="121">
        <v>3</v>
      </c>
      <c r="J102" s="121">
        <v>3</v>
      </c>
      <c r="K102" s="121">
        <v>3</v>
      </c>
      <c r="L102" s="197"/>
      <c r="M102" s="180">
        <f>IF(S12&gt;S13, S13,S12)</f>
        <v>19</v>
      </c>
      <c r="N102" s="16"/>
      <c r="O102" s="213" t="s">
        <v>409</v>
      </c>
    </row>
    <row r="103" spans="1:15" ht="13.15" customHeight="1" x14ac:dyDescent="0.2">
      <c r="A103" s="16" t="s">
        <v>365</v>
      </c>
      <c r="B103" s="5" t="b">
        <f>A103='[4]List of All Pax Spec codes '!A103</f>
        <v>1</v>
      </c>
      <c r="C103" s="16" t="s">
        <v>368</v>
      </c>
      <c r="D103" s="5" t="b">
        <f>C103='[4]List of All Pax Spec codes '!B103</f>
        <v>1</v>
      </c>
      <c r="E103" s="152"/>
      <c r="F103" s="17" t="s">
        <v>96</v>
      </c>
      <c r="G103" s="17" t="s">
        <v>92</v>
      </c>
      <c r="H103" s="121">
        <v>2.5</v>
      </c>
      <c r="I103" s="121">
        <v>2.5</v>
      </c>
      <c r="J103" s="121">
        <v>2.5</v>
      </c>
      <c r="K103" s="121">
        <v>2.5</v>
      </c>
      <c r="L103" s="197"/>
      <c r="M103" s="180">
        <f>IF(T12&gt;T13,T13,T12)</f>
        <v>174</v>
      </c>
      <c r="N103" s="16"/>
      <c r="O103" s="213" t="s">
        <v>409</v>
      </c>
    </row>
    <row r="104" spans="1:15" ht="13.15" customHeight="1" x14ac:dyDescent="0.2">
      <c r="A104" s="16" t="s">
        <v>385</v>
      </c>
      <c r="B104" s="286" t="b">
        <f>A104='[4]List of All Pax Spec codes '!A104</f>
        <v>0</v>
      </c>
      <c r="C104" s="16" t="s">
        <v>370</v>
      </c>
      <c r="D104" s="5" t="b">
        <f>C104='[4]List of All Pax Spec codes '!B104</f>
        <v>0</v>
      </c>
      <c r="E104" s="152"/>
      <c r="F104" s="17" t="s">
        <v>96</v>
      </c>
      <c r="G104" s="17" t="s">
        <v>92</v>
      </c>
      <c r="H104" s="121">
        <v>3</v>
      </c>
      <c r="I104" s="121">
        <v>3</v>
      </c>
      <c r="J104" s="121">
        <v>3</v>
      </c>
      <c r="K104" s="121">
        <v>3</v>
      </c>
      <c r="L104" s="197"/>
      <c r="M104" s="180">
        <f>U12</f>
        <v>2</v>
      </c>
      <c r="N104" s="16"/>
      <c r="O104" s="213" t="s">
        <v>409</v>
      </c>
    </row>
    <row r="105" spans="1:15" ht="13.15" customHeight="1" x14ac:dyDescent="0.2">
      <c r="A105" s="16" t="s">
        <v>386</v>
      </c>
      <c r="B105" s="286" t="b">
        <f>A105='[4]List of All Pax Spec codes '!A105</f>
        <v>0</v>
      </c>
      <c r="C105" s="16" t="s">
        <v>371</v>
      </c>
      <c r="D105" s="5" t="b">
        <f>C105='[4]List of All Pax Spec codes '!B105</f>
        <v>0</v>
      </c>
      <c r="E105" s="152"/>
      <c r="F105" s="17" t="s">
        <v>96</v>
      </c>
      <c r="G105" s="17" t="s">
        <v>92</v>
      </c>
      <c r="H105" s="121">
        <v>3</v>
      </c>
      <c r="I105" s="121">
        <v>3</v>
      </c>
      <c r="J105" s="121">
        <v>3</v>
      </c>
      <c r="K105" s="121">
        <v>3</v>
      </c>
      <c r="L105" s="197"/>
      <c r="M105" s="180">
        <f>V12</f>
        <v>0</v>
      </c>
      <c r="N105" s="16"/>
      <c r="O105" s="213" t="s">
        <v>409</v>
      </c>
    </row>
    <row r="106" spans="1:15" ht="13.15" customHeight="1" x14ac:dyDescent="0.2">
      <c r="A106" s="78"/>
      <c r="B106" s="79"/>
      <c r="C106" s="79"/>
      <c r="D106" s="79"/>
      <c r="E106" s="149"/>
      <c r="F106" s="80"/>
      <c r="G106" s="82"/>
      <c r="H106" s="82"/>
      <c r="I106" s="115"/>
      <c r="J106" s="115"/>
      <c r="K106" s="115"/>
      <c r="L106" s="191"/>
      <c r="M106" s="174"/>
      <c r="N106" s="81"/>
    </row>
    <row r="107" spans="1:15" ht="13.15" customHeight="1" x14ac:dyDescent="0.2">
      <c r="A107" s="69" t="s">
        <v>314</v>
      </c>
      <c r="B107" s="70"/>
      <c r="C107" s="70"/>
      <c r="D107" s="70"/>
      <c r="E107" s="154"/>
      <c r="F107" s="70"/>
      <c r="G107" s="70"/>
      <c r="H107" s="70"/>
      <c r="I107" s="123"/>
      <c r="J107" s="123"/>
      <c r="K107" s="123"/>
      <c r="L107" s="199"/>
      <c r="M107" s="182"/>
      <c r="N107" s="71"/>
    </row>
    <row r="108" spans="1:15" ht="13.15" customHeight="1" x14ac:dyDescent="0.2">
      <c r="A108" s="63" t="s">
        <v>312</v>
      </c>
      <c r="B108" s="64"/>
      <c r="C108" s="64"/>
      <c r="D108" s="64"/>
      <c r="E108" s="151"/>
      <c r="F108" s="64"/>
      <c r="G108" s="64"/>
      <c r="H108" s="64"/>
      <c r="I108" s="120"/>
      <c r="J108" s="120"/>
      <c r="K108" s="120"/>
      <c r="L108" s="196"/>
      <c r="M108" s="179"/>
      <c r="N108" s="65"/>
    </row>
    <row r="109" spans="1:15" ht="13.15" customHeight="1" x14ac:dyDescent="0.2">
      <c r="A109" s="19" t="s">
        <v>232</v>
      </c>
      <c r="B109" s="19" t="b">
        <f>A109='[4]List of All Pax Spec codes '!A107</f>
        <v>1</v>
      </c>
      <c r="C109" s="16" t="s">
        <v>111</v>
      </c>
      <c r="D109" s="5" t="b">
        <f>C109='[4]List of All Pax Spec codes '!B107</f>
        <v>1</v>
      </c>
      <c r="E109" s="152"/>
      <c r="F109" s="6" t="s">
        <v>14</v>
      </c>
      <c r="G109" s="17" t="s">
        <v>92</v>
      </c>
      <c r="H109" s="121">
        <v>25.44</v>
      </c>
      <c r="I109" s="121">
        <v>25.44</v>
      </c>
      <c r="J109" s="121">
        <v>25.44</v>
      </c>
      <c r="K109" s="121">
        <v>25.44</v>
      </c>
      <c r="L109" s="197"/>
      <c r="M109" s="180"/>
      <c r="N109" s="18"/>
    </row>
    <row r="110" spans="1:15" x14ac:dyDescent="0.2">
      <c r="A110" s="19" t="s">
        <v>233</v>
      </c>
      <c r="B110" s="19" t="b">
        <f>A110='[4]List of All Pax Spec codes '!A108</f>
        <v>1</v>
      </c>
      <c r="C110" s="16" t="s">
        <v>112</v>
      </c>
      <c r="D110" s="5" t="b">
        <f>C110='[4]List of All Pax Spec codes '!B108</f>
        <v>1</v>
      </c>
      <c r="E110" s="152"/>
      <c r="F110" s="6" t="s">
        <v>14</v>
      </c>
      <c r="G110" s="17" t="s">
        <v>92</v>
      </c>
      <c r="H110" s="121">
        <v>21.62</v>
      </c>
      <c r="I110" s="121">
        <v>21.62</v>
      </c>
      <c r="J110" s="121">
        <v>21.62</v>
      </c>
      <c r="K110" s="121">
        <v>21.62</v>
      </c>
      <c r="L110" s="197"/>
      <c r="M110" s="180"/>
      <c r="N110" s="18"/>
    </row>
    <row r="111" spans="1:15" x14ac:dyDescent="0.2">
      <c r="A111" s="19" t="s">
        <v>234</v>
      </c>
      <c r="B111" s="19" t="b">
        <f>A111='[4]List of All Pax Spec codes '!A109</f>
        <v>1</v>
      </c>
      <c r="C111" s="16" t="s">
        <v>113</v>
      </c>
      <c r="D111" s="5" t="b">
        <f>C111='[4]List of All Pax Spec codes '!B109</f>
        <v>1</v>
      </c>
      <c r="E111" s="152"/>
      <c r="F111" s="6" t="s">
        <v>14</v>
      </c>
      <c r="G111" s="17" t="s">
        <v>92</v>
      </c>
      <c r="H111" s="121">
        <v>26.2</v>
      </c>
      <c r="I111" s="121">
        <v>26.2</v>
      </c>
      <c r="J111" s="121">
        <v>26.2</v>
      </c>
      <c r="K111" s="121">
        <v>26.2</v>
      </c>
      <c r="L111" s="197"/>
      <c r="M111" s="180"/>
      <c r="N111" s="18"/>
    </row>
    <row r="112" spans="1:15" x14ac:dyDescent="0.2">
      <c r="A112" s="19" t="s">
        <v>235</v>
      </c>
      <c r="B112" s="19" t="b">
        <f>A112='[4]List of All Pax Spec codes '!A110</f>
        <v>1</v>
      </c>
      <c r="C112" s="16" t="s">
        <v>114</v>
      </c>
      <c r="D112" s="5" t="b">
        <f>C112='[4]List of All Pax Spec codes '!B110</f>
        <v>1</v>
      </c>
      <c r="E112" s="152"/>
      <c r="F112" s="6" t="s">
        <v>14</v>
      </c>
      <c r="G112" s="17" t="s">
        <v>92</v>
      </c>
      <c r="H112" s="121">
        <v>25.44</v>
      </c>
      <c r="I112" s="121">
        <v>25.44</v>
      </c>
      <c r="J112" s="121">
        <v>25.44</v>
      </c>
      <c r="K112" s="121">
        <v>25.44</v>
      </c>
      <c r="L112" s="197"/>
      <c r="M112" s="180"/>
      <c r="N112" s="18"/>
    </row>
    <row r="113" spans="1:14" x14ac:dyDescent="0.2">
      <c r="A113" s="19" t="s">
        <v>236</v>
      </c>
      <c r="B113" s="19" t="b">
        <f>A113='[4]List of All Pax Spec codes '!A111</f>
        <v>1</v>
      </c>
      <c r="C113" s="16" t="s">
        <v>115</v>
      </c>
      <c r="D113" s="5" t="b">
        <f>C113='[4]List of All Pax Spec codes '!B111</f>
        <v>1</v>
      </c>
      <c r="E113" s="152"/>
      <c r="F113" s="6" t="s">
        <v>14</v>
      </c>
      <c r="G113" s="17" t="s">
        <v>92</v>
      </c>
      <c r="H113" s="121">
        <v>25.44</v>
      </c>
      <c r="I113" s="121">
        <v>25.44</v>
      </c>
      <c r="J113" s="121">
        <v>25.44</v>
      </c>
      <c r="K113" s="121">
        <v>25.44</v>
      </c>
      <c r="L113" s="197"/>
      <c r="M113" s="180"/>
      <c r="N113" s="18"/>
    </row>
    <row r="114" spans="1:14" x14ac:dyDescent="0.2">
      <c r="A114" s="19" t="s">
        <v>237</v>
      </c>
      <c r="B114" s="19" t="b">
        <f>A114='[4]List of All Pax Spec codes '!A112</f>
        <v>1</v>
      </c>
      <c r="C114" s="16" t="s">
        <v>116</v>
      </c>
      <c r="D114" s="5" t="b">
        <f>C114='[4]List of All Pax Spec codes '!B112</f>
        <v>1</v>
      </c>
      <c r="E114" s="152"/>
      <c r="F114" s="6" t="s">
        <v>14</v>
      </c>
      <c r="G114" s="17" t="s">
        <v>92</v>
      </c>
      <c r="H114" s="121">
        <v>13.7</v>
      </c>
      <c r="I114" s="121">
        <v>13.7</v>
      </c>
      <c r="J114" s="121">
        <v>13.7</v>
      </c>
      <c r="K114" s="121">
        <v>13.7</v>
      </c>
      <c r="L114" s="197"/>
      <c r="M114" s="180"/>
      <c r="N114" s="18"/>
    </row>
    <row r="115" spans="1:14" x14ac:dyDescent="0.2">
      <c r="A115" s="19" t="s">
        <v>238</v>
      </c>
      <c r="B115" s="19" t="b">
        <f>A115='[4]List of All Pax Spec codes '!A113</f>
        <v>1</v>
      </c>
      <c r="C115" s="16" t="s">
        <v>117</v>
      </c>
      <c r="D115" s="5" t="b">
        <f>C115='[4]List of All Pax Spec codes '!B113</f>
        <v>1</v>
      </c>
      <c r="E115" s="152"/>
      <c r="F115" s="6" t="s">
        <v>14</v>
      </c>
      <c r="G115" s="17" t="s">
        <v>92</v>
      </c>
      <c r="H115" s="121">
        <v>11.64</v>
      </c>
      <c r="I115" s="121">
        <v>11.64</v>
      </c>
      <c r="J115" s="121">
        <v>11.64</v>
      </c>
      <c r="K115" s="121">
        <v>11.64</v>
      </c>
      <c r="L115" s="197"/>
      <c r="M115" s="180"/>
      <c r="N115" s="18"/>
    </row>
    <row r="116" spans="1:14" x14ac:dyDescent="0.2">
      <c r="A116" s="19" t="s">
        <v>239</v>
      </c>
      <c r="B116" s="19" t="b">
        <f>A116='[4]List of All Pax Spec codes '!A114</f>
        <v>1</v>
      </c>
      <c r="C116" s="16" t="s">
        <v>118</v>
      </c>
      <c r="D116" s="5" t="b">
        <f>C116='[4]List of All Pax Spec codes '!B114</f>
        <v>1</v>
      </c>
      <c r="E116" s="152"/>
      <c r="F116" s="6" t="s">
        <v>14</v>
      </c>
      <c r="G116" s="17" t="s">
        <v>92</v>
      </c>
      <c r="H116" s="121">
        <v>14.11</v>
      </c>
      <c r="I116" s="121">
        <v>14.11</v>
      </c>
      <c r="J116" s="121">
        <v>14.11</v>
      </c>
      <c r="K116" s="121">
        <v>14.11</v>
      </c>
      <c r="L116" s="197"/>
      <c r="M116" s="180"/>
      <c r="N116" s="18"/>
    </row>
    <row r="117" spans="1:14" x14ac:dyDescent="0.2">
      <c r="A117" s="19" t="s">
        <v>240</v>
      </c>
      <c r="B117" s="19" t="b">
        <f>A117='[4]List of All Pax Spec codes '!A115</f>
        <v>1</v>
      </c>
      <c r="C117" s="16" t="s">
        <v>119</v>
      </c>
      <c r="D117" s="5" t="b">
        <f>C117='[4]List of All Pax Spec codes '!B115</f>
        <v>1</v>
      </c>
      <c r="E117" s="152"/>
      <c r="F117" s="6" t="s">
        <v>14</v>
      </c>
      <c r="G117" s="17" t="s">
        <v>92</v>
      </c>
      <c r="H117" s="121">
        <v>13.7</v>
      </c>
      <c r="I117" s="121">
        <v>13.7</v>
      </c>
      <c r="J117" s="121">
        <v>13.7</v>
      </c>
      <c r="K117" s="121">
        <v>13.7</v>
      </c>
      <c r="L117" s="197"/>
      <c r="M117" s="180"/>
      <c r="N117" s="18"/>
    </row>
    <row r="118" spans="1:14" x14ac:dyDescent="0.2">
      <c r="A118" s="19" t="s">
        <v>241</v>
      </c>
      <c r="B118" s="19" t="b">
        <f>A118='[4]List of All Pax Spec codes '!A116</f>
        <v>1</v>
      </c>
      <c r="C118" s="16" t="s">
        <v>120</v>
      </c>
      <c r="D118" s="5" t="b">
        <f>C118='[4]List of All Pax Spec codes '!B116</f>
        <v>1</v>
      </c>
      <c r="E118" s="152"/>
      <c r="F118" s="6" t="s">
        <v>14</v>
      </c>
      <c r="G118" s="17" t="s">
        <v>92</v>
      </c>
      <c r="H118" s="121">
        <v>13.7</v>
      </c>
      <c r="I118" s="121">
        <v>13.7</v>
      </c>
      <c r="J118" s="121">
        <v>13.7</v>
      </c>
      <c r="K118" s="121">
        <v>13.7</v>
      </c>
      <c r="L118" s="197"/>
      <c r="M118" s="180"/>
      <c r="N118" s="18"/>
    </row>
    <row r="119" spans="1:14" x14ac:dyDescent="0.2">
      <c r="A119" s="19" t="s">
        <v>242</v>
      </c>
      <c r="B119" s="19" t="b">
        <f>A119='[4]List of All Pax Spec codes '!A117</f>
        <v>1</v>
      </c>
      <c r="C119" s="16" t="s">
        <v>121</v>
      </c>
      <c r="D119" s="5" t="b">
        <f>C119='[4]List of All Pax Spec codes '!B117</f>
        <v>1</v>
      </c>
      <c r="E119" s="152"/>
      <c r="F119" s="97" t="s">
        <v>62</v>
      </c>
      <c r="G119" s="17" t="s">
        <v>92</v>
      </c>
      <c r="H119" s="121">
        <v>12.8</v>
      </c>
      <c r="I119" s="121">
        <v>12.8</v>
      </c>
      <c r="J119" s="121">
        <v>12.8</v>
      </c>
      <c r="K119" s="121">
        <v>12.8</v>
      </c>
      <c r="L119" s="197"/>
      <c r="M119" s="180"/>
      <c r="N119" s="18"/>
    </row>
    <row r="120" spans="1:14" x14ac:dyDescent="0.2">
      <c r="A120" s="19" t="s">
        <v>243</v>
      </c>
      <c r="B120" s="19" t="b">
        <f>A120='[4]List of All Pax Spec codes '!A118</f>
        <v>1</v>
      </c>
      <c r="C120" s="16" t="s">
        <v>122</v>
      </c>
      <c r="D120" s="5" t="b">
        <f>C120='[4]List of All Pax Spec codes '!B118</f>
        <v>1</v>
      </c>
      <c r="E120" s="152"/>
      <c r="F120" s="97" t="s">
        <v>62</v>
      </c>
      <c r="G120" s="17" t="s">
        <v>92</v>
      </c>
      <c r="H120" s="121">
        <v>10.88</v>
      </c>
      <c r="I120" s="121">
        <v>10.88</v>
      </c>
      <c r="J120" s="121">
        <v>10.88</v>
      </c>
      <c r="K120" s="121">
        <v>10.88</v>
      </c>
      <c r="L120" s="197"/>
      <c r="M120" s="180"/>
      <c r="N120" s="18"/>
    </row>
    <row r="121" spans="1:14" x14ac:dyDescent="0.2">
      <c r="A121" s="19" t="s">
        <v>244</v>
      </c>
      <c r="B121" s="19" t="b">
        <f>A121='[4]List of All Pax Spec codes '!A119</f>
        <v>1</v>
      </c>
      <c r="C121" s="16" t="s">
        <v>123</v>
      </c>
      <c r="D121" s="5" t="b">
        <f>C121='[4]List of All Pax Spec codes '!B119</f>
        <v>1</v>
      </c>
      <c r="E121" s="155"/>
      <c r="F121" s="97" t="s">
        <v>62</v>
      </c>
      <c r="G121" s="17" t="s">
        <v>92</v>
      </c>
      <c r="H121" s="124">
        <v>13.18</v>
      </c>
      <c r="I121" s="124">
        <v>13.18</v>
      </c>
      <c r="J121" s="124">
        <v>13.18</v>
      </c>
      <c r="K121" s="124">
        <v>13.18</v>
      </c>
      <c r="L121" s="200"/>
      <c r="M121" s="183"/>
      <c r="N121" s="20"/>
    </row>
    <row r="122" spans="1:14" x14ac:dyDescent="0.2">
      <c r="A122" s="19" t="s">
        <v>245</v>
      </c>
      <c r="B122" s="19" t="b">
        <f>A122='[4]List of All Pax Spec codes '!A120</f>
        <v>1</v>
      </c>
      <c r="C122" s="16" t="s">
        <v>124</v>
      </c>
      <c r="D122" s="5" t="b">
        <f>C122='[4]List of All Pax Spec codes '!B120</f>
        <v>1</v>
      </c>
      <c r="E122" s="155"/>
      <c r="F122" s="97" t="s">
        <v>62</v>
      </c>
      <c r="G122" s="17" t="s">
        <v>92</v>
      </c>
      <c r="H122" s="124">
        <v>12.8</v>
      </c>
      <c r="I122" s="124">
        <v>12.8</v>
      </c>
      <c r="J122" s="124">
        <v>12.8</v>
      </c>
      <c r="K122" s="124">
        <v>12.8</v>
      </c>
      <c r="L122" s="200"/>
      <c r="M122" s="183"/>
      <c r="N122" s="20"/>
    </row>
    <row r="123" spans="1:14" x14ac:dyDescent="0.2">
      <c r="A123" s="19" t="s">
        <v>246</v>
      </c>
      <c r="B123" s="19" t="b">
        <f>A123='[4]List of All Pax Spec codes '!A121</f>
        <v>1</v>
      </c>
      <c r="C123" s="16" t="s">
        <v>125</v>
      </c>
      <c r="D123" s="5" t="b">
        <f>C123='[4]List of All Pax Spec codes '!B121</f>
        <v>1</v>
      </c>
      <c r="E123" s="155"/>
      <c r="F123" s="97" t="s">
        <v>62</v>
      </c>
      <c r="G123" s="17" t="s">
        <v>92</v>
      </c>
      <c r="H123" s="124">
        <v>12.8</v>
      </c>
      <c r="I123" s="124">
        <v>12.8</v>
      </c>
      <c r="J123" s="124">
        <v>12.8</v>
      </c>
      <c r="K123" s="124">
        <v>12.8</v>
      </c>
      <c r="L123" s="200"/>
      <c r="M123" s="183"/>
      <c r="N123" s="20"/>
    </row>
    <row r="124" spans="1:14" x14ac:dyDescent="0.2">
      <c r="A124" s="19" t="s">
        <v>247</v>
      </c>
      <c r="B124" s="19" t="b">
        <f>A124='[4]List of All Pax Spec codes '!A122</f>
        <v>1</v>
      </c>
      <c r="C124" s="16" t="s">
        <v>126</v>
      </c>
      <c r="D124" s="5" t="b">
        <f>C124='[4]List of All Pax Spec codes '!B122</f>
        <v>1</v>
      </c>
      <c r="E124" s="155"/>
      <c r="F124" s="97" t="s">
        <v>62</v>
      </c>
      <c r="G124" s="17" t="s">
        <v>92</v>
      </c>
      <c r="H124" s="124">
        <v>6.89</v>
      </c>
      <c r="I124" s="124">
        <v>6.89</v>
      </c>
      <c r="J124" s="124">
        <v>6.89</v>
      </c>
      <c r="K124" s="124">
        <v>6.89</v>
      </c>
      <c r="L124" s="200"/>
      <c r="M124" s="183"/>
      <c r="N124" s="20"/>
    </row>
    <row r="125" spans="1:14" x14ac:dyDescent="0.2">
      <c r="A125" s="19" t="s">
        <v>248</v>
      </c>
      <c r="B125" s="19" t="b">
        <f>A125='[4]List of All Pax Spec codes '!A123</f>
        <v>1</v>
      </c>
      <c r="C125" s="16" t="s">
        <v>127</v>
      </c>
      <c r="D125" s="5" t="b">
        <f>C125='[4]List of All Pax Spec codes '!B123</f>
        <v>1</v>
      </c>
      <c r="E125" s="155"/>
      <c r="F125" s="97" t="s">
        <v>62</v>
      </c>
      <c r="G125" s="17" t="s">
        <v>92</v>
      </c>
      <c r="H125" s="124">
        <v>5.86</v>
      </c>
      <c r="I125" s="124">
        <v>5.86</v>
      </c>
      <c r="J125" s="124">
        <v>5.86</v>
      </c>
      <c r="K125" s="124">
        <v>5.86</v>
      </c>
      <c r="L125" s="200"/>
      <c r="M125" s="183"/>
      <c r="N125" s="20"/>
    </row>
    <row r="126" spans="1:14" x14ac:dyDescent="0.2">
      <c r="A126" s="19" t="s">
        <v>249</v>
      </c>
      <c r="B126" s="19" t="b">
        <f>A126='[4]List of All Pax Spec codes '!A124</f>
        <v>1</v>
      </c>
      <c r="C126" s="16" t="s">
        <v>128</v>
      </c>
      <c r="D126" s="5" t="b">
        <f>C126='[4]List of All Pax Spec codes '!B124</f>
        <v>1</v>
      </c>
      <c r="E126" s="155"/>
      <c r="F126" s="97" t="s">
        <v>62</v>
      </c>
      <c r="G126" s="17" t="s">
        <v>92</v>
      </c>
      <c r="H126" s="124">
        <v>7.1</v>
      </c>
      <c r="I126" s="124">
        <v>7.1</v>
      </c>
      <c r="J126" s="124">
        <v>7.1</v>
      </c>
      <c r="K126" s="124">
        <v>7.1</v>
      </c>
      <c r="L126" s="200"/>
      <c r="M126" s="183"/>
      <c r="N126" s="20"/>
    </row>
    <row r="127" spans="1:14" x14ac:dyDescent="0.2">
      <c r="A127" s="19" t="s">
        <v>250</v>
      </c>
      <c r="B127" s="19" t="b">
        <f>A127='[4]List of All Pax Spec codes '!A125</f>
        <v>1</v>
      </c>
      <c r="C127" s="16" t="s">
        <v>129</v>
      </c>
      <c r="D127" s="5" t="b">
        <f>C127='[4]List of All Pax Spec codes '!B125</f>
        <v>1</v>
      </c>
      <c r="E127" s="155"/>
      <c r="F127" s="97" t="s">
        <v>62</v>
      </c>
      <c r="G127" s="17" t="s">
        <v>92</v>
      </c>
      <c r="H127" s="124">
        <v>6.89</v>
      </c>
      <c r="I127" s="124">
        <v>6.89</v>
      </c>
      <c r="J127" s="124">
        <v>6.89</v>
      </c>
      <c r="K127" s="124">
        <v>6.89</v>
      </c>
      <c r="L127" s="200"/>
      <c r="M127" s="183"/>
      <c r="N127" s="20"/>
    </row>
    <row r="128" spans="1:14" x14ac:dyDescent="0.2">
      <c r="A128" s="19" t="s">
        <v>251</v>
      </c>
      <c r="B128" s="19" t="b">
        <f>A128='[4]List of All Pax Spec codes '!A126</f>
        <v>1</v>
      </c>
      <c r="C128" s="16" t="s">
        <v>130</v>
      </c>
      <c r="D128" s="5" t="b">
        <f>C128='[4]List of All Pax Spec codes '!B126</f>
        <v>1</v>
      </c>
      <c r="E128" s="155"/>
      <c r="F128" s="97" t="s">
        <v>62</v>
      </c>
      <c r="G128" s="17" t="s">
        <v>92</v>
      </c>
      <c r="H128" s="124">
        <v>6.89</v>
      </c>
      <c r="I128" s="124">
        <v>6.89</v>
      </c>
      <c r="J128" s="124">
        <v>6.89</v>
      </c>
      <c r="K128" s="124">
        <v>6.89</v>
      </c>
      <c r="L128" s="200"/>
      <c r="M128" s="183"/>
      <c r="N128" s="20"/>
    </row>
    <row r="129" spans="1:64" x14ac:dyDescent="0.2">
      <c r="A129" s="19" t="s">
        <v>252</v>
      </c>
      <c r="B129" s="19" t="b">
        <f>A129='[4]List of All Pax Spec codes '!A127</f>
        <v>1</v>
      </c>
      <c r="C129" s="16" t="s">
        <v>131</v>
      </c>
      <c r="D129" s="5" t="b">
        <f>C129='[4]List of All Pax Spec codes '!B127</f>
        <v>1</v>
      </c>
      <c r="E129" s="155"/>
      <c r="F129" s="12" t="s">
        <v>81</v>
      </c>
      <c r="G129" s="17" t="s">
        <v>92</v>
      </c>
      <c r="H129" s="124">
        <v>9.4700000000000006</v>
      </c>
      <c r="I129" s="124">
        <v>9.4700000000000006</v>
      </c>
      <c r="J129" s="124">
        <v>9.4700000000000006</v>
      </c>
      <c r="K129" s="124">
        <v>9.4700000000000006</v>
      </c>
      <c r="L129" s="200"/>
      <c r="M129" s="183"/>
      <c r="N129" s="20"/>
    </row>
    <row r="130" spans="1:64" x14ac:dyDescent="0.2">
      <c r="A130" s="19" t="s">
        <v>253</v>
      </c>
      <c r="B130" s="19" t="b">
        <f>A130='[4]List of All Pax Spec codes '!A128</f>
        <v>1</v>
      </c>
      <c r="C130" s="16" t="s">
        <v>132</v>
      </c>
      <c r="D130" s="5" t="b">
        <f>C130='[4]List of All Pax Spec codes '!B128</f>
        <v>1</v>
      </c>
      <c r="E130" s="155"/>
      <c r="F130" s="12" t="s">
        <v>81</v>
      </c>
      <c r="G130" s="17" t="s">
        <v>92</v>
      </c>
      <c r="H130" s="124">
        <v>11.47</v>
      </c>
      <c r="I130" s="124">
        <v>11.47</v>
      </c>
      <c r="J130" s="124">
        <v>11.47</v>
      </c>
      <c r="K130" s="124">
        <v>11.47</v>
      </c>
      <c r="L130" s="200"/>
      <c r="M130" s="183"/>
      <c r="N130" s="20"/>
    </row>
    <row r="131" spans="1:64" s="214" customFormat="1" x14ac:dyDescent="0.2">
      <c r="A131" s="19" t="s">
        <v>254</v>
      </c>
      <c r="B131" s="19" t="b">
        <f>A131='[4]List of All Pax Spec codes '!A129</f>
        <v>1</v>
      </c>
      <c r="C131" s="16" t="s">
        <v>133</v>
      </c>
      <c r="D131" s="5" t="b">
        <f>C131='[4]List of All Pax Spec codes '!B129</f>
        <v>1</v>
      </c>
      <c r="E131" s="155"/>
      <c r="F131" s="12" t="s">
        <v>81</v>
      </c>
      <c r="G131" s="17" t="s">
        <v>92</v>
      </c>
      <c r="H131" s="124">
        <v>11.14</v>
      </c>
      <c r="I131" s="124">
        <v>11.14</v>
      </c>
      <c r="J131" s="124">
        <v>11.14</v>
      </c>
      <c r="K131" s="124">
        <v>11.14</v>
      </c>
      <c r="L131" s="200"/>
      <c r="M131" s="183"/>
      <c r="N131" s="20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</row>
    <row r="132" spans="1:64" s="214" customFormat="1" x14ac:dyDescent="0.2">
      <c r="A132" s="19" t="s">
        <v>255</v>
      </c>
      <c r="B132" s="19" t="b">
        <f>A132='[4]List of All Pax Spec codes '!A130</f>
        <v>1</v>
      </c>
      <c r="C132" s="16" t="s">
        <v>134</v>
      </c>
      <c r="D132" s="5" t="b">
        <f>C132='[4]List of All Pax Spec codes '!B130</f>
        <v>1</v>
      </c>
      <c r="E132" s="155"/>
      <c r="F132" s="12" t="s">
        <v>81</v>
      </c>
      <c r="G132" s="17" t="s">
        <v>92</v>
      </c>
      <c r="H132" s="124">
        <v>11.14</v>
      </c>
      <c r="I132" s="124">
        <v>11.14</v>
      </c>
      <c r="J132" s="124">
        <v>11.14</v>
      </c>
      <c r="K132" s="124">
        <v>11.14</v>
      </c>
      <c r="L132" s="200"/>
      <c r="M132" s="183"/>
      <c r="N132" s="20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</row>
    <row r="133" spans="1:64" s="214" customFormat="1" x14ac:dyDescent="0.2">
      <c r="A133" s="19" t="s">
        <v>256</v>
      </c>
      <c r="B133" s="19" t="b">
        <f>A133='[4]List of All Pax Spec codes '!A131</f>
        <v>1</v>
      </c>
      <c r="C133" s="16" t="s">
        <v>135</v>
      </c>
      <c r="D133" s="5" t="b">
        <f>C133='[4]List of All Pax Spec codes '!B131</f>
        <v>1</v>
      </c>
      <c r="E133" s="155"/>
      <c r="F133" s="12" t="s">
        <v>81</v>
      </c>
      <c r="G133" s="17" t="s">
        <v>92</v>
      </c>
      <c r="H133" s="124">
        <v>11.14</v>
      </c>
      <c r="I133" s="124">
        <v>11.14</v>
      </c>
      <c r="J133" s="124">
        <v>11.14</v>
      </c>
      <c r="K133" s="124">
        <v>11.14</v>
      </c>
      <c r="L133" s="200"/>
      <c r="M133" s="183"/>
      <c r="N133" s="20"/>
    </row>
    <row r="134" spans="1:64" s="214" customFormat="1" x14ac:dyDescent="0.2">
      <c r="A134" s="19" t="s">
        <v>257</v>
      </c>
      <c r="B134" s="19" t="b">
        <f>A134='[4]List of All Pax Spec codes '!A132</f>
        <v>1</v>
      </c>
      <c r="C134" s="16" t="s">
        <v>136</v>
      </c>
      <c r="D134" s="5" t="b">
        <f>C134='[4]List of All Pax Spec codes '!B132</f>
        <v>1</v>
      </c>
      <c r="E134" s="155"/>
      <c r="F134" s="12" t="s">
        <v>81</v>
      </c>
      <c r="G134" s="17" t="s">
        <v>92</v>
      </c>
      <c r="H134" s="124">
        <v>2.37</v>
      </c>
      <c r="I134" s="124">
        <v>2.37</v>
      </c>
      <c r="J134" s="124">
        <v>2.37</v>
      </c>
      <c r="K134" s="124">
        <v>2.37</v>
      </c>
      <c r="L134" s="200"/>
      <c r="M134" s="183"/>
      <c r="N134" s="20"/>
    </row>
    <row r="135" spans="1:64" s="214" customFormat="1" x14ac:dyDescent="0.2">
      <c r="A135" s="19" t="s">
        <v>258</v>
      </c>
      <c r="B135" s="19" t="b">
        <f>A135='[4]List of All Pax Spec codes '!A133</f>
        <v>1</v>
      </c>
      <c r="C135" s="16" t="s">
        <v>137</v>
      </c>
      <c r="D135" s="5" t="b">
        <f>C135='[4]List of All Pax Spec codes '!B133</f>
        <v>1</v>
      </c>
      <c r="E135" s="155"/>
      <c r="F135" s="12" t="s">
        <v>81</v>
      </c>
      <c r="G135" s="17" t="s">
        <v>92</v>
      </c>
      <c r="H135" s="124">
        <v>2.87</v>
      </c>
      <c r="I135" s="124">
        <v>2.87</v>
      </c>
      <c r="J135" s="124">
        <v>2.87</v>
      </c>
      <c r="K135" s="124">
        <v>2.87</v>
      </c>
      <c r="L135" s="200"/>
      <c r="M135" s="183"/>
      <c r="N135" s="20"/>
    </row>
    <row r="136" spans="1:64" s="214" customFormat="1" x14ac:dyDescent="0.2">
      <c r="A136" s="19" t="s">
        <v>259</v>
      </c>
      <c r="B136" s="19" t="b">
        <f>A136='[4]List of All Pax Spec codes '!A134</f>
        <v>1</v>
      </c>
      <c r="C136" s="16" t="s">
        <v>138</v>
      </c>
      <c r="D136" s="5" t="b">
        <f>C136='[4]List of All Pax Spec codes '!B134</f>
        <v>1</v>
      </c>
      <c r="E136" s="155"/>
      <c r="F136" s="12" t="s">
        <v>81</v>
      </c>
      <c r="G136" s="17" t="s">
        <v>92</v>
      </c>
      <c r="H136" s="124">
        <v>2.78</v>
      </c>
      <c r="I136" s="124">
        <v>2.78</v>
      </c>
      <c r="J136" s="124">
        <v>2.78</v>
      </c>
      <c r="K136" s="124">
        <v>2.78</v>
      </c>
      <c r="L136" s="200"/>
      <c r="M136" s="183"/>
      <c r="N136" s="20"/>
    </row>
    <row r="137" spans="1:64" s="214" customFormat="1" x14ac:dyDescent="0.2">
      <c r="A137" s="19" t="s">
        <v>260</v>
      </c>
      <c r="B137" s="19" t="b">
        <f>A137='[4]List of All Pax Spec codes '!A135</f>
        <v>1</v>
      </c>
      <c r="C137" s="16" t="s">
        <v>139</v>
      </c>
      <c r="D137" s="5" t="b">
        <f>C137='[4]List of All Pax Spec codes '!B135</f>
        <v>1</v>
      </c>
      <c r="E137" s="155"/>
      <c r="F137" s="12" t="s">
        <v>81</v>
      </c>
      <c r="G137" s="17" t="s">
        <v>92</v>
      </c>
      <c r="H137" s="124">
        <v>2.78</v>
      </c>
      <c r="I137" s="124">
        <v>2.78</v>
      </c>
      <c r="J137" s="124">
        <v>2.78</v>
      </c>
      <c r="K137" s="124">
        <v>2.78</v>
      </c>
      <c r="L137" s="200"/>
      <c r="M137" s="183"/>
      <c r="N137" s="20"/>
    </row>
    <row r="138" spans="1:64" s="214" customFormat="1" x14ac:dyDescent="0.2">
      <c r="A138" s="133" t="s">
        <v>261</v>
      </c>
      <c r="B138" s="19" t="b">
        <f>A138='[4]List of All Pax Spec codes '!A136</f>
        <v>1</v>
      </c>
      <c r="C138" s="75" t="s">
        <v>140</v>
      </c>
      <c r="D138" s="5" t="b">
        <f>C138='[4]List of All Pax Spec codes '!B136</f>
        <v>1</v>
      </c>
      <c r="E138" s="155"/>
      <c r="F138" s="12" t="s">
        <v>81</v>
      </c>
      <c r="G138" s="17" t="s">
        <v>92</v>
      </c>
      <c r="H138" s="124">
        <v>2.78</v>
      </c>
      <c r="I138" s="124">
        <v>2.78</v>
      </c>
      <c r="J138" s="124">
        <v>2.78</v>
      </c>
      <c r="K138" s="124">
        <v>2.78</v>
      </c>
      <c r="L138" s="200"/>
      <c r="M138" s="183"/>
      <c r="N138" s="20"/>
    </row>
    <row r="139" spans="1:64" x14ac:dyDescent="0.2">
      <c r="A139" s="133" t="s">
        <v>262</v>
      </c>
      <c r="B139" s="19" t="b">
        <f>A139='[4]List of All Pax Spec codes '!A137</f>
        <v>1</v>
      </c>
      <c r="C139" s="75" t="s">
        <v>141</v>
      </c>
      <c r="D139" s="5" t="b">
        <f>C139='[4]List of All Pax Spec codes '!B137</f>
        <v>1</v>
      </c>
      <c r="E139" s="155"/>
      <c r="F139" s="12" t="s">
        <v>81</v>
      </c>
      <c r="G139" s="17" t="s">
        <v>92</v>
      </c>
      <c r="H139" s="124">
        <v>6.89</v>
      </c>
      <c r="I139" s="124">
        <v>6.89</v>
      </c>
      <c r="J139" s="124">
        <v>6.89</v>
      </c>
      <c r="K139" s="124">
        <v>6.89</v>
      </c>
      <c r="L139" s="200"/>
      <c r="M139" s="183"/>
      <c r="N139" s="20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4"/>
      <c r="BI139" s="214"/>
      <c r="BJ139" s="214"/>
      <c r="BK139" s="214"/>
      <c r="BL139" s="214"/>
    </row>
    <row r="140" spans="1:64" ht="16.5" x14ac:dyDescent="0.2">
      <c r="A140" s="72" t="s">
        <v>320</v>
      </c>
      <c r="B140" s="73"/>
      <c r="C140" s="73"/>
      <c r="D140" s="73"/>
      <c r="E140" s="156"/>
      <c r="F140" s="73"/>
      <c r="G140" s="73"/>
      <c r="H140" s="73"/>
      <c r="I140" s="125"/>
      <c r="J140" s="125"/>
      <c r="K140" s="125"/>
      <c r="L140" s="201"/>
      <c r="M140" s="184"/>
      <c r="N140" s="7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4"/>
      <c r="BI140" s="214"/>
      <c r="BJ140" s="214"/>
      <c r="BK140" s="214"/>
      <c r="BL140" s="214"/>
    </row>
    <row r="141" spans="1:64" x14ac:dyDescent="0.2">
      <c r="A141" s="63" t="s">
        <v>312</v>
      </c>
      <c r="B141" s="64"/>
      <c r="C141" s="64"/>
      <c r="D141" s="64"/>
      <c r="E141" s="151"/>
      <c r="F141" s="64"/>
      <c r="G141" s="64"/>
      <c r="H141" s="64"/>
      <c r="I141" s="120"/>
      <c r="J141" s="120"/>
      <c r="K141" s="120"/>
      <c r="L141" s="196"/>
      <c r="M141" s="179"/>
      <c r="N141" s="65"/>
    </row>
    <row r="142" spans="1:64" x14ac:dyDescent="0.2">
      <c r="A142" s="133" t="s">
        <v>263</v>
      </c>
      <c r="B142" s="19" t="b">
        <f>A142='[4]List of All Pax Spec codes '!A140</f>
        <v>1</v>
      </c>
      <c r="C142" s="133" t="s">
        <v>227</v>
      </c>
      <c r="D142" s="5" t="b">
        <f>C142='[4]List of All Pax Spec codes '!B140</f>
        <v>1</v>
      </c>
      <c r="E142" s="159" t="s">
        <v>373</v>
      </c>
      <c r="F142" s="17" t="s">
        <v>14</v>
      </c>
      <c r="G142" s="17" t="s">
        <v>92</v>
      </c>
      <c r="H142" s="274">
        <v>12.24</v>
      </c>
      <c r="I142" s="274">
        <v>13.5</v>
      </c>
      <c r="J142" s="274">
        <v>15.69</v>
      </c>
      <c r="K142" s="274">
        <f>K13</f>
        <v>11.94</v>
      </c>
      <c r="L142" s="275"/>
      <c r="M142" s="276"/>
      <c r="N142" s="19" t="s">
        <v>589</v>
      </c>
    </row>
    <row r="143" spans="1:64" x14ac:dyDescent="0.2">
      <c r="A143" s="133" t="s">
        <v>278</v>
      </c>
      <c r="B143" s="19" t="b">
        <f>A143='[4]List of All Pax Spec codes '!A141</f>
        <v>1</v>
      </c>
      <c r="C143" s="133" t="s">
        <v>279</v>
      </c>
      <c r="D143" s="5" t="b">
        <f>C143='[4]List of All Pax Spec codes '!B141</f>
        <v>1</v>
      </c>
      <c r="E143" s="159" t="s">
        <v>374</v>
      </c>
      <c r="F143" s="17" t="s">
        <v>14</v>
      </c>
      <c r="G143" s="17" t="s">
        <v>92</v>
      </c>
      <c r="H143" s="274">
        <v>10.210000000000001</v>
      </c>
      <c r="I143" s="274">
        <v>17.79</v>
      </c>
      <c r="J143" s="274">
        <v>13.08</v>
      </c>
      <c r="K143" s="274">
        <v>12.75</v>
      </c>
      <c r="L143" s="275"/>
      <c r="M143" s="276"/>
      <c r="N143" s="19" t="s">
        <v>590</v>
      </c>
    </row>
    <row r="144" spans="1:64" x14ac:dyDescent="0.2">
      <c r="A144" s="133" t="s">
        <v>264</v>
      </c>
      <c r="B144" s="19" t="b">
        <f>A144='[4]List of All Pax Spec codes '!A142</f>
        <v>1</v>
      </c>
      <c r="C144" s="133" t="s">
        <v>229</v>
      </c>
      <c r="D144" s="5" t="b">
        <f>C144='[4]List of All Pax Spec codes '!B142</f>
        <v>1</v>
      </c>
      <c r="E144" s="159" t="s">
        <v>375</v>
      </c>
      <c r="F144" s="17" t="s">
        <v>14</v>
      </c>
      <c r="G144" s="17" t="s">
        <v>92</v>
      </c>
      <c r="H144" s="274">
        <v>7.62</v>
      </c>
      <c r="I144" s="274">
        <v>7.86</v>
      </c>
      <c r="J144" s="274">
        <v>7.05</v>
      </c>
      <c r="K144" s="274">
        <f>K14</f>
        <v>14.18</v>
      </c>
      <c r="L144" s="275"/>
      <c r="M144" s="276"/>
      <c r="N144" s="19" t="s">
        <v>591</v>
      </c>
    </row>
    <row r="145" spans="1:14" x14ac:dyDescent="0.2">
      <c r="A145" s="133" t="s">
        <v>265</v>
      </c>
      <c r="B145" s="19" t="b">
        <f>A145='[4]List of All Pax Spec codes '!A143</f>
        <v>1</v>
      </c>
      <c r="C145" s="133" t="s">
        <v>228</v>
      </c>
      <c r="D145" s="5" t="b">
        <f>C145='[4]List of All Pax Spec codes '!B143</f>
        <v>1</v>
      </c>
      <c r="E145" s="159" t="s">
        <v>376</v>
      </c>
      <c r="F145" s="17" t="s">
        <v>14</v>
      </c>
      <c r="G145" s="17" t="s">
        <v>92</v>
      </c>
      <c r="H145" s="274">
        <v>6.15</v>
      </c>
      <c r="I145" s="274">
        <v>6.56</v>
      </c>
      <c r="J145" s="274">
        <v>6.73</v>
      </c>
      <c r="K145" s="274">
        <f>K15</f>
        <v>6.96</v>
      </c>
      <c r="L145" s="275"/>
      <c r="M145" s="276"/>
      <c r="N145" s="19" t="s">
        <v>592</v>
      </c>
    </row>
    <row r="146" spans="1:14" x14ac:dyDescent="0.2">
      <c r="A146" s="133" t="s">
        <v>266</v>
      </c>
      <c r="B146" s="19" t="b">
        <f>A146='[4]List of All Pax Spec codes '!A144</f>
        <v>1</v>
      </c>
      <c r="C146" s="133" t="s">
        <v>142</v>
      </c>
      <c r="D146" s="5" t="b">
        <f>C146='[4]List of All Pax Spec codes '!B144</f>
        <v>1</v>
      </c>
      <c r="E146" s="159"/>
      <c r="F146" s="17" t="s">
        <v>81</v>
      </c>
      <c r="G146" s="17" t="s">
        <v>92</v>
      </c>
      <c r="H146" s="274">
        <f>H49+H50+H53+H13+H54+H71</f>
        <v>21.550000000000004</v>
      </c>
      <c r="I146" s="274">
        <v>18.95</v>
      </c>
      <c r="J146" s="274">
        <f>'03012025'!J50+'03012025'!J13+'03012025'!J6+J54+'03012025'!J71</f>
        <v>21.259999999999998</v>
      </c>
      <c r="K146" s="274">
        <f>K49+K50+K53+K13+K54+K71</f>
        <v>21.720000000000002</v>
      </c>
      <c r="L146" s="275"/>
      <c r="M146" s="276"/>
      <c r="N146" s="19" t="s">
        <v>593</v>
      </c>
    </row>
    <row r="147" spans="1:14" x14ac:dyDescent="0.2">
      <c r="A147" s="133" t="s">
        <v>267</v>
      </c>
      <c r="B147" s="19" t="b">
        <f>A147='[4]List of All Pax Spec codes '!A145</f>
        <v>1</v>
      </c>
      <c r="C147" s="133" t="s">
        <v>143</v>
      </c>
      <c r="D147" s="5" t="b">
        <f>C147='[4]List of All Pax Spec codes '!B145</f>
        <v>1</v>
      </c>
      <c r="E147" s="159"/>
      <c r="F147" s="17" t="s">
        <v>81</v>
      </c>
      <c r="G147" s="17" t="s">
        <v>92</v>
      </c>
      <c r="H147" s="274">
        <f>H49+H50+H53+H54+H71+H143</f>
        <v>19.52</v>
      </c>
      <c r="I147" s="274">
        <v>23.24</v>
      </c>
      <c r="J147" s="274">
        <f>'03012025'!J50+J143+'03012025'!J6+J54+'03012025'!J71</f>
        <v>18.649999999999999</v>
      </c>
      <c r="K147" s="274">
        <f>K49+K50+K53+K54+K71+K143</f>
        <v>22.53</v>
      </c>
      <c r="L147" s="275"/>
      <c r="M147" s="276"/>
      <c r="N147" s="19" t="s">
        <v>594</v>
      </c>
    </row>
    <row r="148" spans="1:14" x14ac:dyDescent="0.2">
      <c r="A148" s="133" t="s">
        <v>268</v>
      </c>
      <c r="B148" s="19" t="b">
        <f>A148='[4]List of All Pax Spec codes '!A146</f>
        <v>1</v>
      </c>
      <c r="C148" s="75" t="s">
        <v>144</v>
      </c>
      <c r="D148" s="5" t="b">
        <f>C148='[4]List of All Pax Spec codes '!B146</f>
        <v>1</v>
      </c>
      <c r="E148" s="141"/>
      <c r="F148" s="12" t="s">
        <v>81</v>
      </c>
      <c r="G148" s="17" t="s">
        <v>92</v>
      </c>
      <c r="H148" s="274">
        <f>H49+H50+H53+H54+H71+H14</f>
        <v>16.93</v>
      </c>
      <c r="I148" s="277">
        <v>13.31</v>
      </c>
      <c r="J148" s="277">
        <f>'03012025'!J50+J14+'03012025'!J6+J54+'03012025'!J71</f>
        <v>12.620000000000001</v>
      </c>
      <c r="K148" s="274">
        <f>K49+K50+K53+K54+K71+K14</f>
        <v>23.96</v>
      </c>
      <c r="L148" s="278"/>
      <c r="M148" s="279"/>
      <c r="N148" s="19" t="s">
        <v>595</v>
      </c>
    </row>
    <row r="149" spans="1:14" x14ac:dyDescent="0.2">
      <c r="A149" s="133" t="s">
        <v>269</v>
      </c>
      <c r="B149" s="19" t="b">
        <f>A149='[4]List of All Pax Spec codes '!A147</f>
        <v>1</v>
      </c>
      <c r="C149" s="133" t="s">
        <v>145</v>
      </c>
      <c r="D149" s="5" t="b">
        <f>C149='[4]List of All Pax Spec codes '!B147</f>
        <v>1</v>
      </c>
      <c r="E149" s="159"/>
      <c r="F149" s="17" t="s">
        <v>81</v>
      </c>
      <c r="G149" s="17" t="s">
        <v>92</v>
      </c>
      <c r="H149" s="274">
        <f>H49+H50+H53+H54+H71+H15</f>
        <v>15.459999999999999</v>
      </c>
      <c r="I149" s="274">
        <v>12.01</v>
      </c>
      <c r="J149" s="274">
        <f>'03012025'!J50+J15+'03012025'!J6+J54+'03012025'!J71</f>
        <v>12.3</v>
      </c>
      <c r="K149" s="274">
        <f>K49+K50+K53+K54+K71+K15</f>
        <v>16.739999999999998</v>
      </c>
      <c r="L149" s="275"/>
      <c r="M149" s="276"/>
      <c r="N149" s="19" t="s">
        <v>596</v>
      </c>
    </row>
    <row r="150" spans="1:14" ht="16.5" x14ac:dyDescent="0.2">
      <c r="A150" s="69" t="s">
        <v>292</v>
      </c>
      <c r="B150" s="70"/>
      <c r="C150" s="70"/>
      <c r="D150" s="70"/>
      <c r="E150" s="158"/>
      <c r="F150" s="70"/>
      <c r="G150" s="70"/>
      <c r="H150" s="70"/>
      <c r="I150" s="123"/>
      <c r="J150" s="123"/>
      <c r="K150" s="123"/>
      <c r="L150" s="199"/>
      <c r="M150" s="182"/>
      <c r="N150" s="71"/>
    </row>
    <row r="151" spans="1:14" x14ac:dyDescent="0.2">
      <c r="A151" s="19" t="s">
        <v>297</v>
      </c>
      <c r="B151" s="19" t="b">
        <f>A151='[4]List of All Pax Spec codes '!A149</f>
        <v>1</v>
      </c>
      <c r="C151" s="19" t="s">
        <v>280</v>
      </c>
      <c r="D151" s="5" t="b">
        <f>C151='[4]List of All Pax Spec codes '!B149</f>
        <v>1</v>
      </c>
      <c r="E151" s="157"/>
      <c r="F151" s="17" t="s">
        <v>96</v>
      </c>
      <c r="G151" s="17">
        <v>1</v>
      </c>
      <c r="H151" s="121">
        <v>0.35</v>
      </c>
      <c r="I151" s="121">
        <v>0.35</v>
      </c>
      <c r="J151" s="121">
        <v>0.35</v>
      </c>
      <c r="K151" s="121">
        <v>0.35</v>
      </c>
      <c r="L151" s="197"/>
      <c r="M151" s="180"/>
      <c r="N151" s="19" t="s">
        <v>281</v>
      </c>
    </row>
    <row r="152" spans="1:14" x14ac:dyDescent="0.2">
      <c r="A152" s="19" t="s">
        <v>298</v>
      </c>
      <c r="B152" s="19" t="b">
        <f>A152='[4]List of All Pax Spec codes '!A150</f>
        <v>1</v>
      </c>
      <c r="C152" s="19" t="s">
        <v>282</v>
      </c>
      <c r="D152" s="5" t="b">
        <f>C152='[4]List of All Pax Spec codes '!B150</f>
        <v>1</v>
      </c>
      <c r="E152" s="157"/>
      <c r="F152" s="17" t="s">
        <v>96</v>
      </c>
      <c r="G152" s="17">
        <v>1</v>
      </c>
      <c r="H152" s="121">
        <v>1.25</v>
      </c>
      <c r="I152" s="121">
        <v>1.25</v>
      </c>
      <c r="J152" s="121">
        <v>1.25</v>
      </c>
      <c r="K152" s="121">
        <v>1.25</v>
      </c>
      <c r="L152" s="197"/>
      <c r="M152" s="180"/>
      <c r="N152" s="19" t="s">
        <v>281</v>
      </c>
    </row>
    <row r="153" spans="1:14" x14ac:dyDescent="0.2">
      <c r="A153" s="19" t="s">
        <v>299</v>
      </c>
      <c r="B153" s="19" t="b">
        <f>A153='[4]List of All Pax Spec codes '!A151</f>
        <v>1</v>
      </c>
      <c r="C153" s="19" t="s">
        <v>283</v>
      </c>
      <c r="D153" s="5" t="b">
        <f>C153='[4]List of All Pax Spec codes '!B151</f>
        <v>1</v>
      </c>
      <c r="E153" s="157"/>
      <c r="F153" s="17" t="s">
        <v>96</v>
      </c>
      <c r="G153" s="17">
        <v>1</v>
      </c>
      <c r="H153" s="121">
        <v>1.94</v>
      </c>
      <c r="I153" s="121">
        <v>1.94</v>
      </c>
      <c r="J153" s="121">
        <v>1.94</v>
      </c>
      <c r="K153" s="121">
        <v>1.94</v>
      </c>
      <c r="L153" s="197"/>
      <c r="M153" s="180"/>
      <c r="N153" s="19" t="s">
        <v>281</v>
      </c>
    </row>
    <row r="154" spans="1:14" x14ac:dyDescent="0.2">
      <c r="A154" s="19" t="s">
        <v>300</v>
      </c>
      <c r="B154" s="19" t="b">
        <f>A154='[4]List of All Pax Spec codes '!A152</f>
        <v>1</v>
      </c>
      <c r="C154" s="19" t="s">
        <v>285</v>
      </c>
      <c r="D154" s="5" t="b">
        <f>C154='[4]List of All Pax Spec codes '!B152</f>
        <v>1</v>
      </c>
      <c r="E154" s="157"/>
      <c r="F154" s="6" t="s">
        <v>14</v>
      </c>
      <c r="G154" s="17">
        <v>8</v>
      </c>
      <c r="H154" s="121">
        <v>1.5</v>
      </c>
      <c r="I154" s="121">
        <v>1.5</v>
      </c>
      <c r="J154" s="121">
        <v>1.5</v>
      </c>
      <c r="K154" s="121">
        <v>1.5</v>
      </c>
      <c r="L154" s="197"/>
      <c r="M154" s="180"/>
      <c r="N154" s="19"/>
    </row>
    <row r="155" spans="1:14" x14ac:dyDescent="0.2">
      <c r="A155" s="19" t="s">
        <v>301</v>
      </c>
      <c r="B155" s="19" t="b">
        <f>A155='[4]List of All Pax Spec codes '!A153</f>
        <v>1</v>
      </c>
      <c r="C155" s="19" t="s">
        <v>286</v>
      </c>
      <c r="D155" s="5" t="b">
        <f>C155='[4]List of All Pax Spec codes '!B153</f>
        <v>1</v>
      </c>
      <c r="E155" s="157"/>
      <c r="F155" s="17" t="s">
        <v>284</v>
      </c>
      <c r="G155" s="17">
        <v>6</v>
      </c>
      <c r="H155" s="121">
        <v>1.5</v>
      </c>
      <c r="I155" s="121">
        <v>1.5</v>
      </c>
      <c r="J155" s="121">
        <v>1.5</v>
      </c>
      <c r="K155" s="121">
        <v>1.5</v>
      </c>
      <c r="L155" s="197"/>
      <c r="M155" s="180"/>
      <c r="N155" s="19"/>
    </row>
    <row r="156" spans="1:14" x14ac:dyDescent="0.2">
      <c r="A156" s="19" t="s">
        <v>302</v>
      </c>
      <c r="B156" s="19" t="b">
        <f>A156='[4]List of All Pax Spec codes '!A154</f>
        <v>1</v>
      </c>
      <c r="C156" s="19" t="s">
        <v>287</v>
      </c>
      <c r="D156" s="5" t="b">
        <f>C156='[4]List of All Pax Spec codes '!B154</f>
        <v>1</v>
      </c>
      <c r="E156" s="157"/>
      <c r="F156" s="17" t="s">
        <v>284</v>
      </c>
      <c r="G156" s="17">
        <v>4</v>
      </c>
      <c r="H156" s="121">
        <v>0.93</v>
      </c>
      <c r="I156" s="121">
        <v>0.93</v>
      </c>
      <c r="J156" s="121">
        <v>0.93</v>
      </c>
      <c r="K156" s="121">
        <v>0.93</v>
      </c>
      <c r="L156" s="197"/>
      <c r="M156" s="180"/>
      <c r="N156" s="19"/>
    </row>
  </sheetData>
  <mergeCells count="1">
    <mergeCell ref="A2:N2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6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DB6-9442-4614-9CE2-5C68F03385B5}">
  <dimension ref="A1:K92"/>
  <sheetViews>
    <sheetView showGridLines="0" zoomScale="115" zoomScaleNormal="115" workbookViewId="0">
      <selection activeCell="H21" sqref="H21"/>
    </sheetView>
  </sheetViews>
  <sheetFormatPr defaultColWidth="8.125" defaultRowHeight="12.75" x14ac:dyDescent="0.2"/>
  <cols>
    <col min="1" max="1" width="21.25" style="22" bestFit="1" customWidth="1"/>
    <col min="2" max="2" width="11.75" style="22" customWidth="1"/>
    <col min="3" max="3" width="26.25" style="22" customWidth="1"/>
    <col min="4" max="4" width="16.25" style="23" hidden="1" customWidth="1"/>
    <col min="5" max="5" width="5.25" style="23" bestFit="1" customWidth="1"/>
    <col min="6" max="7" width="15.875" style="22" customWidth="1"/>
    <col min="8" max="8" width="14" style="103" customWidth="1"/>
    <col min="9" max="10" width="16" style="103" customWidth="1"/>
    <col min="11" max="11" width="78.25" style="22" customWidth="1"/>
    <col min="12" max="16384" width="8.125" style="22"/>
  </cols>
  <sheetData>
    <row r="1" spans="1:11" x14ac:dyDescent="0.2">
      <c r="A1" s="22" t="s">
        <v>271</v>
      </c>
      <c r="K1" s="22" t="s">
        <v>361</v>
      </c>
    </row>
    <row r="2" spans="1:11" ht="16.5" x14ac:dyDescent="0.2">
      <c r="A2" s="296" t="s">
        <v>146</v>
      </c>
      <c r="B2" s="297"/>
      <c r="C2" s="297"/>
      <c r="D2" s="297"/>
      <c r="E2" s="297"/>
      <c r="F2" s="297"/>
      <c r="G2" s="297"/>
      <c r="H2" s="297"/>
      <c r="I2" s="297"/>
      <c r="J2" s="297"/>
      <c r="K2" s="298"/>
    </row>
    <row r="3" spans="1:11" ht="21.75" x14ac:dyDescent="0.2">
      <c r="A3" s="299" t="s">
        <v>147</v>
      </c>
      <c r="B3" s="299"/>
      <c r="C3" s="300"/>
      <c r="D3" s="300"/>
      <c r="E3" s="300"/>
      <c r="F3" s="300"/>
      <c r="G3" s="300"/>
      <c r="H3" s="300"/>
      <c r="I3" s="300"/>
      <c r="J3" s="300"/>
      <c r="K3" s="300"/>
    </row>
    <row r="4" spans="1:11" ht="25.5" x14ac:dyDescent="0.2">
      <c r="A4" s="24" t="s">
        <v>1</v>
      </c>
      <c r="B4" s="290" t="s">
        <v>618</v>
      </c>
      <c r="C4" s="24" t="s">
        <v>2</v>
      </c>
      <c r="D4" s="24" t="s">
        <v>3</v>
      </c>
      <c r="E4" s="24" t="s">
        <v>4</v>
      </c>
      <c r="F4" s="24" t="s">
        <v>148</v>
      </c>
      <c r="G4" s="104" t="s">
        <v>605</v>
      </c>
      <c r="H4" s="104" t="s">
        <v>403</v>
      </c>
      <c r="I4" s="104" t="s">
        <v>404</v>
      </c>
      <c r="J4" s="104" t="s">
        <v>588</v>
      </c>
      <c r="K4" s="25" t="s">
        <v>6</v>
      </c>
    </row>
    <row r="5" spans="1:11" ht="16.5" x14ac:dyDescent="0.2">
      <c r="A5" s="26"/>
      <c r="B5" s="27"/>
      <c r="C5" s="27"/>
      <c r="D5" s="27"/>
      <c r="E5" s="27"/>
      <c r="F5" s="27"/>
      <c r="G5" s="27"/>
      <c r="H5" s="105"/>
      <c r="I5" s="105"/>
      <c r="J5" s="105"/>
      <c r="K5" s="28"/>
    </row>
    <row r="6" spans="1:11" ht="16.5" x14ac:dyDescent="0.2">
      <c r="A6" s="89" t="s">
        <v>338</v>
      </c>
      <c r="B6" s="287"/>
      <c r="C6" s="87"/>
      <c r="D6" s="87"/>
      <c r="E6" s="87"/>
      <c r="F6" s="87"/>
      <c r="G6" s="87"/>
      <c r="H6" s="128"/>
      <c r="I6" s="128"/>
      <c r="J6" s="128"/>
      <c r="K6" s="88"/>
    </row>
    <row r="7" spans="1:11" x14ac:dyDescent="0.2">
      <c r="A7" s="29" t="s">
        <v>149</v>
      </c>
      <c r="B7" s="29" t="b">
        <f>A7='[4]List of All CrewMeal Specs'!A7</f>
        <v>1</v>
      </c>
      <c r="C7" s="29" t="s">
        <v>150</v>
      </c>
      <c r="D7" s="30"/>
      <c r="E7" s="31" t="s">
        <v>151</v>
      </c>
      <c r="F7" s="31">
        <v>1</v>
      </c>
      <c r="G7" s="107">
        <v>1.19</v>
      </c>
      <c r="H7" s="107">
        <v>1.19</v>
      </c>
      <c r="I7" s="107">
        <v>1.19</v>
      </c>
      <c r="J7" s="107">
        <v>1.19</v>
      </c>
      <c r="K7" s="32" t="s">
        <v>152</v>
      </c>
    </row>
    <row r="8" spans="1:11" x14ac:dyDescent="0.2">
      <c r="A8" s="29" t="s">
        <v>160</v>
      </c>
      <c r="B8" s="29" t="b">
        <f>A8='[4]List of All CrewMeal Specs'!A8</f>
        <v>1</v>
      </c>
      <c r="C8" s="29" t="s">
        <v>161</v>
      </c>
      <c r="D8" s="30"/>
      <c r="E8" s="31" t="s">
        <v>151</v>
      </c>
      <c r="F8" s="31">
        <v>0.5</v>
      </c>
      <c r="G8" s="107">
        <v>4.3</v>
      </c>
      <c r="H8" s="107">
        <v>3.87</v>
      </c>
      <c r="I8" s="107">
        <v>6.08</v>
      </c>
      <c r="J8" s="107">
        <v>5.31</v>
      </c>
      <c r="K8" s="32"/>
    </row>
    <row r="9" spans="1:11" x14ac:dyDescent="0.2">
      <c r="A9" s="29" t="s">
        <v>162</v>
      </c>
      <c r="B9" s="29" t="b">
        <f>A9='[4]List of All CrewMeal Specs'!A9</f>
        <v>1</v>
      </c>
      <c r="C9" s="29" t="s">
        <v>163</v>
      </c>
      <c r="D9" s="30"/>
      <c r="E9" s="31" t="s">
        <v>151</v>
      </c>
      <c r="F9" s="31">
        <v>0.5</v>
      </c>
      <c r="G9" s="107">
        <v>3.86</v>
      </c>
      <c r="H9" s="107">
        <v>3.64</v>
      </c>
      <c r="I9" s="107">
        <v>4.96</v>
      </c>
      <c r="J9" s="107">
        <v>4.68</v>
      </c>
      <c r="K9" s="32"/>
    </row>
    <row r="10" spans="1:11" x14ac:dyDescent="0.2">
      <c r="A10" s="29" t="s">
        <v>153</v>
      </c>
      <c r="B10" s="29" t="b">
        <f>A10='[4]List of All CrewMeal Specs'!A10</f>
        <v>1</v>
      </c>
      <c r="C10" s="29" t="s">
        <v>154</v>
      </c>
      <c r="D10" s="30"/>
      <c r="E10" s="31" t="s">
        <v>155</v>
      </c>
      <c r="F10" s="33">
        <v>0.5</v>
      </c>
      <c r="G10" s="107">
        <v>4.9000000000000004</v>
      </c>
      <c r="H10" s="109">
        <v>2.75</v>
      </c>
      <c r="I10" s="109">
        <v>2.0699999999999998</v>
      </c>
      <c r="J10" s="109">
        <v>3.51</v>
      </c>
      <c r="K10" s="34" t="s">
        <v>156</v>
      </c>
    </row>
    <row r="11" spans="1:11" x14ac:dyDescent="0.2">
      <c r="A11" s="29" t="s">
        <v>157</v>
      </c>
      <c r="B11" s="29" t="b">
        <f>A11='[4]List of All CrewMeal Specs'!A11</f>
        <v>1</v>
      </c>
      <c r="C11" s="29" t="s">
        <v>158</v>
      </c>
      <c r="D11" s="30"/>
      <c r="E11" s="31" t="s">
        <v>155</v>
      </c>
      <c r="F11" s="33">
        <v>0.5</v>
      </c>
      <c r="G11" s="107">
        <v>3.51</v>
      </c>
      <c r="H11" s="109">
        <v>3.29</v>
      </c>
      <c r="I11" s="109">
        <v>2.4300000000000002</v>
      </c>
      <c r="J11" s="109">
        <v>2.74</v>
      </c>
      <c r="K11" s="34" t="s">
        <v>159</v>
      </c>
    </row>
    <row r="12" spans="1:11" ht="16.5" x14ac:dyDescent="0.2">
      <c r="A12" s="89" t="s">
        <v>339</v>
      </c>
      <c r="B12" s="287"/>
      <c r="C12" s="87"/>
      <c r="D12" s="87"/>
      <c r="E12" s="87"/>
      <c r="F12" s="87"/>
      <c r="G12" s="87"/>
      <c r="H12" s="128"/>
      <c r="I12" s="128"/>
      <c r="J12" s="128"/>
      <c r="K12" s="88"/>
    </row>
    <row r="13" spans="1:11" x14ac:dyDescent="0.2">
      <c r="A13" s="29" t="s">
        <v>164</v>
      </c>
      <c r="B13" s="29" t="b">
        <f>A13='[4]List of All CrewMeal Specs'!A13</f>
        <v>1</v>
      </c>
      <c r="C13" s="29" t="s">
        <v>165</v>
      </c>
      <c r="D13" s="30"/>
      <c r="E13" s="31" t="s">
        <v>151</v>
      </c>
      <c r="F13" s="31">
        <v>1</v>
      </c>
      <c r="G13" s="107">
        <v>1.4</v>
      </c>
      <c r="H13" s="107">
        <v>1.4</v>
      </c>
      <c r="I13" s="107">
        <v>1.4</v>
      </c>
      <c r="J13" s="107">
        <v>1.4</v>
      </c>
      <c r="K13" s="131" t="s">
        <v>166</v>
      </c>
    </row>
    <row r="14" spans="1:11" x14ac:dyDescent="0.2">
      <c r="A14" s="29" t="s">
        <v>169</v>
      </c>
      <c r="B14" s="29" t="b">
        <f>A14='[4]List of All CrewMeal Specs'!A14</f>
        <v>1</v>
      </c>
      <c r="C14" s="29" t="s">
        <v>170</v>
      </c>
      <c r="D14" s="30"/>
      <c r="E14" s="31" t="s">
        <v>151</v>
      </c>
      <c r="F14" s="31">
        <v>1</v>
      </c>
      <c r="G14" s="107">
        <v>0.81</v>
      </c>
      <c r="H14" s="107">
        <v>0.82</v>
      </c>
      <c r="I14" s="107">
        <v>0.9</v>
      </c>
      <c r="J14" s="107">
        <v>0.86</v>
      </c>
      <c r="K14" s="32"/>
    </row>
    <row r="15" spans="1:11" x14ac:dyDescent="0.2">
      <c r="A15" s="29" t="s">
        <v>173</v>
      </c>
      <c r="B15" s="29" t="b">
        <f>A15='[4]List of All CrewMeal Specs'!A15</f>
        <v>1</v>
      </c>
      <c r="C15" s="29" t="s">
        <v>174</v>
      </c>
      <c r="D15" s="30"/>
      <c r="E15" s="31" t="s">
        <v>151</v>
      </c>
      <c r="F15" s="31">
        <v>0.5</v>
      </c>
      <c r="G15" s="107">
        <v>7.62</v>
      </c>
      <c r="H15" s="107">
        <v>7.86</v>
      </c>
      <c r="I15" s="107">
        <v>7.05</v>
      </c>
      <c r="J15" s="107">
        <v>14.18</v>
      </c>
      <c r="K15" s="32"/>
    </row>
    <row r="16" spans="1:11" x14ac:dyDescent="0.2">
      <c r="A16" s="29" t="s">
        <v>177</v>
      </c>
      <c r="B16" s="29" t="b">
        <f>A16='[4]List of All CrewMeal Specs'!A16</f>
        <v>1</v>
      </c>
      <c r="C16" s="29" t="s">
        <v>178</v>
      </c>
      <c r="D16" s="30"/>
      <c r="E16" s="31" t="s">
        <v>151</v>
      </c>
      <c r="F16" s="31">
        <v>0.5</v>
      </c>
      <c r="G16" s="107">
        <v>10.210000000000001</v>
      </c>
      <c r="H16" s="107">
        <v>17.79</v>
      </c>
      <c r="I16" s="107">
        <v>13.08</v>
      </c>
      <c r="J16" s="107">
        <v>12.75</v>
      </c>
      <c r="K16" s="32"/>
    </row>
    <row r="17" spans="1:11" x14ac:dyDescent="0.2">
      <c r="A17" s="29" t="s">
        <v>167</v>
      </c>
      <c r="B17" s="29" t="b">
        <f>A17='[4]List of All CrewMeal Specs'!A17</f>
        <v>1</v>
      </c>
      <c r="C17" s="29" t="s">
        <v>168</v>
      </c>
      <c r="D17" s="30"/>
      <c r="E17" s="31" t="s">
        <v>155</v>
      </c>
      <c r="F17" s="31">
        <v>1</v>
      </c>
      <c r="G17" s="107">
        <v>1.4</v>
      </c>
      <c r="H17" s="107">
        <v>1.4</v>
      </c>
      <c r="I17" s="107">
        <v>1.4</v>
      </c>
      <c r="J17" s="107">
        <v>1.4</v>
      </c>
      <c r="K17" s="131" t="s">
        <v>166</v>
      </c>
    </row>
    <row r="18" spans="1:11" x14ac:dyDescent="0.2">
      <c r="A18" s="29" t="s">
        <v>171</v>
      </c>
      <c r="B18" s="29" t="b">
        <f>A18='[4]List of All CrewMeal Specs'!A18</f>
        <v>1</v>
      </c>
      <c r="C18" s="29" t="s">
        <v>172</v>
      </c>
      <c r="D18" s="30"/>
      <c r="E18" s="31" t="s">
        <v>155</v>
      </c>
      <c r="F18" s="31">
        <v>1</v>
      </c>
      <c r="G18" s="107">
        <v>0.81</v>
      </c>
      <c r="H18" s="107">
        <v>0.82</v>
      </c>
      <c r="I18" s="107">
        <v>0.9</v>
      </c>
      <c r="J18" s="107">
        <v>0.86</v>
      </c>
      <c r="K18" s="32"/>
    </row>
    <row r="19" spans="1:11" x14ac:dyDescent="0.2">
      <c r="A19" s="29" t="s">
        <v>175</v>
      </c>
      <c r="B19" s="29" t="b">
        <f>A19='[4]List of All CrewMeal Specs'!A19</f>
        <v>1</v>
      </c>
      <c r="C19" s="29" t="s">
        <v>176</v>
      </c>
      <c r="D19" s="30"/>
      <c r="E19" s="31" t="s">
        <v>155</v>
      </c>
      <c r="F19" s="31">
        <v>0.5</v>
      </c>
      <c r="G19" s="107">
        <v>7.62</v>
      </c>
      <c r="H19" s="107">
        <v>7.86</v>
      </c>
      <c r="I19" s="107">
        <v>7.05</v>
      </c>
      <c r="J19" s="107">
        <v>14.18</v>
      </c>
      <c r="K19" s="32"/>
    </row>
    <row r="20" spans="1:11" x14ac:dyDescent="0.2">
      <c r="A20" s="29" t="s">
        <v>179</v>
      </c>
      <c r="B20" s="29" t="b">
        <f>A20='[4]List of All CrewMeal Specs'!A20</f>
        <v>1</v>
      </c>
      <c r="C20" s="29" t="s">
        <v>180</v>
      </c>
      <c r="D20" s="30"/>
      <c r="E20" s="31" t="s">
        <v>155</v>
      </c>
      <c r="F20" s="31">
        <v>0.5</v>
      </c>
      <c r="G20" s="107">
        <v>10.210000000000001</v>
      </c>
      <c r="H20" s="107">
        <v>17.79</v>
      </c>
      <c r="I20" s="107">
        <v>13.08</v>
      </c>
      <c r="J20" s="107">
        <v>12.75</v>
      </c>
      <c r="K20" s="32"/>
    </row>
    <row r="21" spans="1:11" ht="16.5" x14ac:dyDescent="0.2">
      <c r="A21" s="89" t="s">
        <v>340</v>
      </c>
      <c r="B21" s="287"/>
      <c r="C21" s="87"/>
      <c r="D21" s="87"/>
      <c r="E21" s="87"/>
      <c r="F21" s="87"/>
      <c r="G21" s="87"/>
      <c r="H21" s="128"/>
      <c r="I21" s="128"/>
      <c r="J21" s="128"/>
      <c r="K21" s="88"/>
    </row>
    <row r="22" spans="1:11" x14ac:dyDescent="0.2">
      <c r="A22" s="29" t="s">
        <v>181</v>
      </c>
      <c r="B22" s="29" t="b">
        <f>A22='[4]List of All CrewMeal Specs'!A22</f>
        <v>1</v>
      </c>
      <c r="C22" s="29" t="s">
        <v>182</v>
      </c>
      <c r="D22" s="30"/>
      <c r="E22" s="31" t="s">
        <v>151</v>
      </c>
      <c r="F22" s="31">
        <v>1</v>
      </c>
      <c r="G22" s="107">
        <v>4.1900000000000004</v>
      </c>
      <c r="H22" s="107">
        <v>4.1900000000000004</v>
      </c>
      <c r="I22" s="107">
        <v>4.1900000000000004</v>
      </c>
      <c r="J22" s="107">
        <v>4.1900000000000004</v>
      </c>
      <c r="K22" s="32" t="s">
        <v>183</v>
      </c>
    </row>
    <row r="23" spans="1:11" x14ac:dyDescent="0.2">
      <c r="A23" s="29" t="s">
        <v>186</v>
      </c>
      <c r="B23" s="29" t="b">
        <f>A23='[4]List of All CrewMeal Specs'!A23</f>
        <v>1</v>
      </c>
      <c r="C23" s="29" t="s">
        <v>187</v>
      </c>
      <c r="D23" s="30"/>
      <c r="E23" s="31" t="s">
        <v>151</v>
      </c>
      <c r="F23" s="31">
        <v>1</v>
      </c>
      <c r="G23" s="107">
        <v>5.57</v>
      </c>
      <c r="H23" s="107">
        <v>3.8</v>
      </c>
      <c r="I23" s="107">
        <v>5.24</v>
      </c>
      <c r="J23" s="107">
        <v>5.24</v>
      </c>
      <c r="K23" s="32"/>
    </row>
    <row r="24" spans="1:11" x14ac:dyDescent="0.2">
      <c r="A24" s="29" t="s">
        <v>184</v>
      </c>
      <c r="B24" s="29" t="b">
        <f>A24='[4]List of All CrewMeal Specs'!A24</f>
        <v>1</v>
      </c>
      <c r="C24" s="29" t="s">
        <v>185</v>
      </c>
      <c r="D24" s="30"/>
      <c r="E24" s="31" t="s">
        <v>155</v>
      </c>
      <c r="F24" s="31">
        <v>1</v>
      </c>
      <c r="G24" s="107">
        <v>4.1900000000000004</v>
      </c>
      <c r="H24" s="107">
        <v>4.1900000000000004</v>
      </c>
      <c r="I24" s="107">
        <v>4.1900000000000004</v>
      </c>
      <c r="J24" s="107">
        <v>4.1900000000000004</v>
      </c>
      <c r="K24" s="32" t="s">
        <v>183</v>
      </c>
    </row>
    <row r="25" spans="1:11" x14ac:dyDescent="0.2">
      <c r="A25" s="29" t="s">
        <v>188</v>
      </c>
      <c r="B25" s="29" t="b">
        <f>A25='[4]List of All CrewMeal Specs'!A25</f>
        <v>1</v>
      </c>
      <c r="C25" s="29" t="s">
        <v>189</v>
      </c>
      <c r="D25" s="30"/>
      <c r="E25" s="31" t="s">
        <v>155</v>
      </c>
      <c r="F25" s="31">
        <v>1</v>
      </c>
      <c r="G25" s="107">
        <v>5.57</v>
      </c>
      <c r="H25" s="107">
        <v>3.8</v>
      </c>
      <c r="I25" s="107">
        <v>5.24</v>
      </c>
      <c r="J25" s="107">
        <v>5.24</v>
      </c>
      <c r="K25" s="32"/>
    </row>
    <row r="27" spans="1:11" s="1" customFormat="1" ht="16.5" x14ac:dyDescent="0.2">
      <c r="A27" s="89" t="s">
        <v>314</v>
      </c>
      <c r="B27" s="287"/>
      <c r="C27" s="87"/>
      <c r="D27" s="87"/>
      <c r="E27" s="87"/>
      <c r="F27" s="87"/>
      <c r="G27" s="87"/>
      <c r="H27" s="128"/>
      <c r="I27" s="128"/>
      <c r="J27" s="128"/>
      <c r="K27" s="88"/>
    </row>
    <row r="28" spans="1:11" x14ac:dyDescent="0.2">
      <c r="A28" s="41" t="s">
        <v>190</v>
      </c>
      <c r="B28" s="29" t="b">
        <f>A28='[4]List of All CrewMeal Specs'!A28</f>
        <v>1</v>
      </c>
      <c r="C28" s="35" t="s">
        <v>191</v>
      </c>
      <c r="D28" s="36"/>
      <c r="E28" s="37" t="s">
        <v>151</v>
      </c>
      <c r="F28" s="38" t="s">
        <v>92</v>
      </c>
      <c r="G28" s="126">
        <v>17.16</v>
      </c>
      <c r="H28" s="126">
        <v>17.16</v>
      </c>
      <c r="I28" s="126">
        <v>17.16</v>
      </c>
      <c r="J28" s="126">
        <v>17.16</v>
      </c>
      <c r="K28" s="39"/>
    </row>
    <row r="29" spans="1:11" x14ac:dyDescent="0.2">
      <c r="A29" s="41" t="s">
        <v>192</v>
      </c>
      <c r="B29" s="29" t="b">
        <f>A29='[4]List of All CrewMeal Specs'!A29</f>
        <v>1</v>
      </c>
      <c r="C29" s="35" t="s">
        <v>193</v>
      </c>
      <c r="D29" s="36"/>
      <c r="E29" s="37" t="s">
        <v>151</v>
      </c>
      <c r="F29" s="38" t="s">
        <v>92</v>
      </c>
      <c r="G29" s="126">
        <v>17.16</v>
      </c>
      <c r="H29" s="126">
        <v>17.16</v>
      </c>
      <c r="I29" s="126">
        <v>17.16</v>
      </c>
      <c r="J29" s="126">
        <v>17.16</v>
      </c>
      <c r="K29" s="39"/>
    </row>
    <row r="30" spans="1:11" x14ac:dyDescent="0.2">
      <c r="A30" s="41" t="s">
        <v>194</v>
      </c>
      <c r="B30" s="29" t="b">
        <f>A30='[4]List of All CrewMeal Specs'!A30</f>
        <v>1</v>
      </c>
      <c r="C30" s="35" t="s">
        <v>195</v>
      </c>
      <c r="D30" s="36"/>
      <c r="E30" s="37" t="s">
        <v>151</v>
      </c>
      <c r="F30" s="38" t="s">
        <v>92</v>
      </c>
      <c r="G30" s="126">
        <v>17.16</v>
      </c>
      <c r="H30" s="126">
        <v>17.16</v>
      </c>
      <c r="I30" s="126">
        <v>17.16</v>
      </c>
      <c r="J30" s="126">
        <v>17.16</v>
      </c>
      <c r="K30" s="39"/>
    </row>
    <row r="31" spans="1:11" x14ac:dyDescent="0.2">
      <c r="A31" s="41" t="s">
        <v>196</v>
      </c>
      <c r="B31" s="29" t="b">
        <f>A31='[4]List of All CrewMeal Specs'!A31</f>
        <v>1</v>
      </c>
      <c r="C31" s="35" t="s">
        <v>197</v>
      </c>
      <c r="D31" s="36"/>
      <c r="E31" s="37" t="s">
        <v>155</v>
      </c>
      <c r="F31" s="38" t="s">
        <v>92</v>
      </c>
      <c r="G31" s="126">
        <v>17.16</v>
      </c>
      <c r="H31" s="126">
        <v>17.16</v>
      </c>
      <c r="I31" s="126">
        <v>17.16</v>
      </c>
      <c r="J31" s="126">
        <v>17.16</v>
      </c>
      <c r="K31" s="39"/>
    </row>
    <row r="32" spans="1:11" x14ac:dyDescent="0.2">
      <c r="A32" s="41" t="s">
        <v>198</v>
      </c>
      <c r="B32" s="29" t="b">
        <f>A32='[4]List of All CrewMeal Specs'!A32</f>
        <v>1</v>
      </c>
      <c r="C32" s="35" t="s">
        <v>199</v>
      </c>
      <c r="D32" s="36"/>
      <c r="E32" s="37" t="s">
        <v>155</v>
      </c>
      <c r="F32" s="38" t="s">
        <v>92</v>
      </c>
      <c r="G32" s="126">
        <v>17.16</v>
      </c>
      <c r="H32" s="126">
        <v>17.16</v>
      </c>
      <c r="I32" s="126">
        <v>17.16</v>
      </c>
      <c r="J32" s="126">
        <v>17.16</v>
      </c>
      <c r="K32" s="39"/>
    </row>
    <row r="33" spans="1:11" x14ac:dyDescent="0.2">
      <c r="A33" s="41" t="s">
        <v>200</v>
      </c>
      <c r="B33" s="29" t="b">
        <f>A33='[4]List of All CrewMeal Specs'!A33</f>
        <v>1</v>
      </c>
      <c r="C33" s="35" t="s">
        <v>201</v>
      </c>
      <c r="D33" s="36"/>
      <c r="E33" s="37" t="s">
        <v>155</v>
      </c>
      <c r="F33" s="38" t="s">
        <v>92</v>
      </c>
      <c r="G33" s="126">
        <v>17.16</v>
      </c>
      <c r="H33" s="126">
        <v>17.16</v>
      </c>
      <c r="I33" s="126">
        <v>17.16</v>
      </c>
      <c r="J33" s="126">
        <v>17.16</v>
      </c>
      <c r="K33" s="39"/>
    </row>
    <row r="34" spans="1:11" x14ac:dyDescent="0.2">
      <c r="A34" s="35" t="s">
        <v>202</v>
      </c>
      <c r="B34" s="29" t="b">
        <f>A34='[4]List of All CrewMeal Specs'!A34</f>
        <v>1</v>
      </c>
      <c r="C34" s="35" t="s">
        <v>203</v>
      </c>
      <c r="D34" s="36"/>
      <c r="E34" s="37" t="s">
        <v>151</v>
      </c>
      <c r="F34" s="38" t="s">
        <v>92</v>
      </c>
      <c r="G34" s="126">
        <v>7.8</v>
      </c>
      <c r="H34" s="126">
        <v>7.8</v>
      </c>
      <c r="I34" s="126">
        <v>7.8</v>
      </c>
      <c r="J34" s="126">
        <v>7.8</v>
      </c>
      <c r="K34" s="40"/>
    </row>
    <row r="35" spans="1:11" x14ac:dyDescent="0.2">
      <c r="A35" s="35" t="s">
        <v>204</v>
      </c>
      <c r="B35" s="29" t="b">
        <f>A35='[4]List of All CrewMeal Specs'!A35</f>
        <v>1</v>
      </c>
      <c r="C35" s="35" t="s">
        <v>205</v>
      </c>
      <c r="D35" s="36"/>
      <c r="E35" s="37" t="s">
        <v>151</v>
      </c>
      <c r="F35" s="38" t="s">
        <v>92</v>
      </c>
      <c r="G35" s="126">
        <v>7.8</v>
      </c>
      <c r="H35" s="126">
        <v>7.8</v>
      </c>
      <c r="I35" s="126">
        <v>7.8</v>
      </c>
      <c r="J35" s="126">
        <v>7.8</v>
      </c>
      <c r="K35" s="39"/>
    </row>
    <row r="36" spans="1:11" x14ac:dyDescent="0.2">
      <c r="A36" s="35" t="s">
        <v>206</v>
      </c>
      <c r="B36" s="29" t="b">
        <f>A36='[4]List of All CrewMeal Specs'!A36</f>
        <v>1</v>
      </c>
      <c r="C36" s="35" t="s">
        <v>207</v>
      </c>
      <c r="D36" s="36"/>
      <c r="E36" s="37" t="s">
        <v>151</v>
      </c>
      <c r="F36" s="38" t="s">
        <v>92</v>
      </c>
      <c r="G36" s="126">
        <v>7.8</v>
      </c>
      <c r="H36" s="126">
        <v>7.8</v>
      </c>
      <c r="I36" s="126">
        <v>7.8</v>
      </c>
      <c r="J36" s="126">
        <v>7.8</v>
      </c>
      <c r="K36" s="39"/>
    </row>
    <row r="37" spans="1:11" x14ac:dyDescent="0.2">
      <c r="A37" s="35" t="s">
        <v>208</v>
      </c>
      <c r="B37" s="29" t="b">
        <f>A37='[4]List of All CrewMeal Specs'!A37</f>
        <v>1</v>
      </c>
      <c r="C37" s="35" t="s">
        <v>209</v>
      </c>
      <c r="D37" s="36"/>
      <c r="E37" s="37" t="s">
        <v>155</v>
      </c>
      <c r="F37" s="38" t="s">
        <v>92</v>
      </c>
      <c r="G37" s="126">
        <v>7.8</v>
      </c>
      <c r="H37" s="126">
        <v>7.8</v>
      </c>
      <c r="I37" s="126">
        <v>7.8</v>
      </c>
      <c r="J37" s="126">
        <v>7.8</v>
      </c>
      <c r="K37" s="39"/>
    </row>
    <row r="38" spans="1:11" x14ac:dyDescent="0.2">
      <c r="A38" s="35" t="s">
        <v>210</v>
      </c>
      <c r="B38" s="29" t="b">
        <f>A38='[4]List of All CrewMeal Specs'!A38</f>
        <v>1</v>
      </c>
      <c r="C38" s="35" t="s">
        <v>211</v>
      </c>
      <c r="D38" s="36"/>
      <c r="E38" s="37" t="s">
        <v>155</v>
      </c>
      <c r="F38" s="38" t="s">
        <v>92</v>
      </c>
      <c r="G38" s="126">
        <v>7.8</v>
      </c>
      <c r="H38" s="126">
        <v>7.8</v>
      </c>
      <c r="I38" s="126">
        <v>7.8</v>
      </c>
      <c r="J38" s="126">
        <v>7.8</v>
      </c>
      <c r="K38" s="39"/>
    </row>
    <row r="39" spans="1:11" x14ac:dyDescent="0.2">
      <c r="A39" s="35" t="s">
        <v>212</v>
      </c>
      <c r="B39" s="29" t="b">
        <f>A39='[4]List of All CrewMeal Specs'!A39</f>
        <v>1</v>
      </c>
      <c r="C39" s="35" t="s">
        <v>213</v>
      </c>
      <c r="D39" s="36"/>
      <c r="E39" s="37" t="s">
        <v>155</v>
      </c>
      <c r="F39" s="38" t="s">
        <v>92</v>
      </c>
      <c r="G39" s="126">
        <v>7.8</v>
      </c>
      <c r="H39" s="126">
        <v>7.8</v>
      </c>
      <c r="I39" s="126">
        <v>7.8</v>
      </c>
      <c r="J39" s="126">
        <v>7.8</v>
      </c>
      <c r="K39" s="39"/>
    </row>
    <row r="40" spans="1:11" x14ac:dyDescent="0.2">
      <c r="A40" s="35" t="s">
        <v>214</v>
      </c>
      <c r="B40" s="29" t="b">
        <f>A40='[4]List of All CrewMeal Specs'!A40</f>
        <v>1</v>
      </c>
      <c r="C40" s="35" t="s">
        <v>215</v>
      </c>
      <c r="D40" s="36"/>
      <c r="E40" s="37" t="s">
        <v>151</v>
      </c>
      <c r="F40" s="38" t="s">
        <v>92</v>
      </c>
      <c r="G40" s="126">
        <v>6.24</v>
      </c>
      <c r="H40" s="126">
        <v>6.24</v>
      </c>
      <c r="I40" s="126">
        <v>6.24</v>
      </c>
      <c r="J40" s="126">
        <v>6.24</v>
      </c>
      <c r="K40" s="39"/>
    </row>
    <row r="41" spans="1:11" x14ac:dyDescent="0.2">
      <c r="A41" s="35" t="s">
        <v>216</v>
      </c>
      <c r="B41" s="29" t="b">
        <f>A41='[4]List of All CrewMeal Specs'!A41</f>
        <v>1</v>
      </c>
      <c r="C41" s="35" t="s">
        <v>217</v>
      </c>
      <c r="D41" s="36"/>
      <c r="E41" s="37" t="s">
        <v>151</v>
      </c>
      <c r="F41" s="38" t="s">
        <v>92</v>
      </c>
      <c r="G41" s="126">
        <v>6.24</v>
      </c>
      <c r="H41" s="126">
        <v>6.24</v>
      </c>
      <c r="I41" s="126">
        <v>6.24</v>
      </c>
      <c r="J41" s="126">
        <v>6.24</v>
      </c>
      <c r="K41" s="39"/>
    </row>
    <row r="42" spans="1:11" x14ac:dyDescent="0.2">
      <c r="A42" s="35" t="s">
        <v>218</v>
      </c>
      <c r="B42" s="29" t="b">
        <f>A42='[4]List of All CrewMeal Specs'!A42</f>
        <v>1</v>
      </c>
      <c r="C42" s="35" t="s">
        <v>219</v>
      </c>
      <c r="D42" s="36"/>
      <c r="E42" s="37" t="s">
        <v>151</v>
      </c>
      <c r="F42" s="38" t="s">
        <v>92</v>
      </c>
      <c r="G42" s="126">
        <v>6.24</v>
      </c>
      <c r="H42" s="126">
        <v>6.24</v>
      </c>
      <c r="I42" s="126">
        <v>6.24</v>
      </c>
      <c r="J42" s="126">
        <v>6.24</v>
      </c>
      <c r="K42" s="39"/>
    </row>
    <row r="43" spans="1:11" x14ac:dyDescent="0.2">
      <c r="A43" s="35" t="s">
        <v>220</v>
      </c>
      <c r="B43" s="29" t="b">
        <f>A43='[4]List of All CrewMeal Specs'!A43</f>
        <v>1</v>
      </c>
      <c r="C43" s="35" t="s">
        <v>221</v>
      </c>
      <c r="D43" s="36"/>
      <c r="E43" s="37" t="s">
        <v>155</v>
      </c>
      <c r="F43" s="38" t="s">
        <v>92</v>
      </c>
      <c r="G43" s="126">
        <v>5.27</v>
      </c>
      <c r="H43" s="126">
        <v>5.27</v>
      </c>
      <c r="I43" s="126">
        <v>5.27</v>
      </c>
      <c r="J43" s="126">
        <v>5.27</v>
      </c>
      <c r="K43" s="39"/>
    </row>
    <row r="44" spans="1:11" x14ac:dyDescent="0.2">
      <c r="A44" s="35" t="s">
        <v>222</v>
      </c>
      <c r="B44" s="29" t="b">
        <f>A44='[4]List of All CrewMeal Specs'!A44</f>
        <v>1</v>
      </c>
      <c r="C44" s="35" t="s">
        <v>223</v>
      </c>
      <c r="D44" s="36"/>
      <c r="E44" s="37" t="s">
        <v>155</v>
      </c>
      <c r="F44" s="38" t="s">
        <v>92</v>
      </c>
      <c r="G44" s="126">
        <v>5.27</v>
      </c>
      <c r="H44" s="126">
        <v>5.27</v>
      </c>
      <c r="I44" s="126">
        <v>5.27</v>
      </c>
      <c r="J44" s="126">
        <v>5.27</v>
      </c>
      <c r="K44" s="39"/>
    </row>
    <row r="45" spans="1:11" ht="12" customHeight="1" x14ac:dyDescent="0.2">
      <c r="A45" s="35" t="s">
        <v>224</v>
      </c>
      <c r="B45" s="29" t="b">
        <f>A45='[4]List of All CrewMeal Specs'!A45</f>
        <v>1</v>
      </c>
      <c r="C45" s="35" t="s">
        <v>225</v>
      </c>
      <c r="D45" s="36"/>
      <c r="E45" s="37" t="s">
        <v>155</v>
      </c>
      <c r="F45" s="38" t="s">
        <v>92</v>
      </c>
      <c r="G45" s="126">
        <v>5.27</v>
      </c>
      <c r="H45" s="126">
        <v>5.27</v>
      </c>
      <c r="I45" s="126">
        <v>5.27</v>
      </c>
      <c r="J45" s="126">
        <v>5.27</v>
      </c>
      <c r="K45" s="39"/>
    </row>
    <row r="46" spans="1:11" ht="18.75" customHeight="1" x14ac:dyDescent="0.2">
      <c r="A46" s="90" t="s">
        <v>292</v>
      </c>
      <c r="B46" s="288"/>
      <c r="C46" s="91"/>
      <c r="D46" s="91"/>
      <c r="E46" s="91"/>
      <c r="F46" s="91"/>
      <c r="G46" s="91"/>
      <c r="H46" s="129"/>
      <c r="I46" s="129"/>
      <c r="J46" s="129"/>
      <c r="K46" s="92"/>
    </row>
    <row r="47" spans="1:11" x14ac:dyDescent="0.2">
      <c r="A47" s="83" t="s">
        <v>293</v>
      </c>
      <c r="B47" s="29" t="b">
        <f>A47='[4]List of All CrewMeal Specs'!A47</f>
        <v>1</v>
      </c>
      <c r="C47" s="83" t="s">
        <v>288</v>
      </c>
      <c r="D47" s="83"/>
      <c r="E47" s="84" t="s">
        <v>151</v>
      </c>
      <c r="F47" s="85">
        <v>6</v>
      </c>
      <c r="G47" s="130">
        <v>0.35</v>
      </c>
      <c r="H47" s="130">
        <v>0.35</v>
      </c>
      <c r="I47" s="130">
        <v>0.35</v>
      </c>
      <c r="J47" s="130">
        <v>0.35</v>
      </c>
      <c r="K47" s="86" t="s">
        <v>292</v>
      </c>
    </row>
    <row r="48" spans="1:11" x14ac:dyDescent="0.2">
      <c r="A48" s="83" t="s">
        <v>294</v>
      </c>
      <c r="B48" s="29" t="b">
        <f>A48='[4]List of All CrewMeal Specs'!A48</f>
        <v>1</v>
      </c>
      <c r="C48" s="83" t="s">
        <v>289</v>
      </c>
      <c r="D48" s="83"/>
      <c r="E48" s="84" t="s">
        <v>151</v>
      </c>
      <c r="F48" s="85">
        <v>1</v>
      </c>
      <c r="G48" s="130">
        <v>1.5</v>
      </c>
      <c r="H48" s="130">
        <v>1.5</v>
      </c>
      <c r="I48" s="130">
        <v>1.5</v>
      </c>
      <c r="J48" s="130">
        <v>1.5</v>
      </c>
      <c r="K48" s="86" t="s">
        <v>292</v>
      </c>
    </row>
    <row r="49" spans="1:11" x14ac:dyDescent="0.2">
      <c r="A49" s="83" t="s">
        <v>295</v>
      </c>
      <c r="B49" s="29" t="b">
        <f>A49='[4]List of All CrewMeal Specs'!A49</f>
        <v>1</v>
      </c>
      <c r="C49" s="83" t="s">
        <v>290</v>
      </c>
      <c r="D49" s="83"/>
      <c r="E49" s="84" t="s">
        <v>155</v>
      </c>
      <c r="F49" s="85">
        <v>20</v>
      </c>
      <c r="G49" s="130">
        <v>0.35</v>
      </c>
      <c r="H49" s="130">
        <v>0.35</v>
      </c>
      <c r="I49" s="130">
        <v>0.35</v>
      </c>
      <c r="J49" s="130">
        <v>0.35</v>
      </c>
      <c r="K49" s="86" t="s">
        <v>292</v>
      </c>
    </row>
    <row r="50" spans="1:11" x14ac:dyDescent="0.2">
      <c r="A50" s="83" t="s">
        <v>296</v>
      </c>
      <c r="B50" s="29" t="b">
        <f>A50='[4]List of All CrewMeal Specs'!A50</f>
        <v>1</v>
      </c>
      <c r="C50" s="83" t="s">
        <v>291</v>
      </c>
      <c r="D50" s="83"/>
      <c r="E50" s="84" t="s">
        <v>155</v>
      </c>
      <c r="F50" s="85">
        <v>4</v>
      </c>
      <c r="G50" s="130">
        <v>1.5</v>
      </c>
      <c r="H50" s="130">
        <v>1.5</v>
      </c>
      <c r="I50" s="130">
        <v>1.5</v>
      </c>
      <c r="J50" s="130">
        <v>1.5</v>
      </c>
      <c r="K50" s="86" t="s">
        <v>292</v>
      </c>
    </row>
    <row r="72" spans="1:3" x14ac:dyDescent="0.2">
      <c r="C72" s="22" t="s">
        <v>343</v>
      </c>
    </row>
    <row r="73" spans="1:3" x14ac:dyDescent="0.2">
      <c r="C73" s="22" t="s">
        <v>342</v>
      </c>
    </row>
    <row r="74" spans="1:3" x14ac:dyDescent="0.2">
      <c r="C74" s="22" t="s">
        <v>344</v>
      </c>
    </row>
    <row r="75" spans="1:3" x14ac:dyDescent="0.2">
      <c r="C75" s="22" t="s">
        <v>345</v>
      </c>
    </row>
    <row r="78" spans="1:3" x14ac:dyDescent="0.2">
      <c r="A78" s="22" t="s">
        <v>346</v>
      </c>
      <c r="C78" s="22" t="s">
        <v>351</v>
      </c>
    </row>
    <row r="79" spans="1:3" x14ac:dyDescent="0.2">
      <c r="A79" s="22" t="s">
        <v>347</v>
      </c>
      <c r="C79" s="22" t="s">
        <v>351</v>
      </c>
    </row>
    <row r="80" spans="1:3" x14ac:dyDescent="0.2">
      <c r="A80" s="22" t="s">
        <v>348</v>
      </c>
      <c r="C80" s="22" t="s">
        <v>351</v>
      </c>
    </row>
    <row r="81" spans="1:3" x14ac:dyDescent="0.2">
      <c r="A81" s="22" t="s">
        <v>349</v>
      </c>
      <c r="C81" s="22" t="s">
        <v>352</v>
      </c>
    </row>
    <row r="82" spans="1:3" x14ac:dyDescent="0.2">
      <c r="A82" s="22" t="s">
        <v>349</v>
      </c>
      <c r="C82" s="22" t="s">
        <v>352</v>
      </c>
    </row>
    <row r="83" spans="1:3" x14ac:dyDescent="0.2">
      <c r="A83" s="22" t="s">
        <v>349</v>
      </c>
      <c r="C83" s="22" t="s">
        <v>352</v>
      </c>
    </row>
    <row r="84" spans="1:3" x14ac:dyDescent="0.2">
      <c r="A84" s="22" t="s">
        <v>350</v>
      </c>
      <c r="C84" s="22" t="s">
        <v>353</v>
      </c>
    </row>
    <row r="85" spans="1:3" x14ac:dyDescent="0.2">
      <c r="A85" s="22" t="s">
        <v>350</v>
      </c>
      <c r="C85" s="22" t="s">
        <v>353</v>
      </c>
    </row>
    <row r="86" spans="1:3" x14ac:dyDescent="0.2">
      <c r="A86" s="22" t="s">
        <v>350</v>
      </c>
      <c r="C86" s="22" t="s">
        <v>353</v>
      </c>
    </row>
    <row r="87" spans="1:3" x14ac:dyDescent="0.2">
      <c r="A87" s="22" t="s">
        <v>354</v>
      </c>
    </row>
    <row r="88" spans="1:3" x14ac:dyDescent="0.2">
      <c r="A88" s="22" t="s">
        <v>355</v>
      </c>
    </row>
    <row r="89" spans="1:3" x14ac:dyDescent="0.2">
      <c r="A89" s="22" t="s">
        <v>356</v>
      </c>
    </row>
    <row r="90" spans="1:3" x14ac:dyDescent="0.2">
      <c r="A90" s="22" t="s">
        <v>357</v>
      </c>
    </row>
    <row r="91" spans="1:3" x14ac:dyDescent="0.2">
      <c r="A91" s="22" t="s">
        <v>358</v>
      </c>
    </row>
    <row r="92" spans="1:3" x14ac:dyDescent="0.2">
      <c r="A92" s="22" t="s">
        <v>359</v>
      </c>
    </row>
  </sheetData>
  <mergeCells count="2">
    <mergeCell ref="A2:K2"/>
    <mergeCell ref="A3:K3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11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9E4B-96EC-4F35-BD99-8D04CCB8A1F9}">
  <dimension ref="A1:C45"/>
  <sheetViews>
    <sheetView tabSelected="1" workbookViewId="0">
      <selection activeCell="B9" sqref="B9"/>
    </sheetView>
  </sheetViews>
  <sheetFormatPr defaultRowHeight="14.25" x14ac:dyDescent="0.2"/>
  <cols>
    <col min="1" max="1" width="17.25" customWidth="1"/>
    <col min="2" max="2" width="74.5" customWidth="1"/>
    <col min="3" max="3" width="19" customWidth="1"/>
  </cols>
  <sheetData>
    <row r="1" spans="1:3" ht="15" x14ac:dyDescent="0.25">
      <c r="A1" s="283" t="s">
        <v>583</v>
      </c>
      <c r="B1" s="283" t="s">
        <v>584</v>
      </c>
      <c r="C1" s="283" t="s">
        <v>598</v>
      </c>
    </row>
    <row r="2" spans="1:3" x14ac:dyDescent="0.2">
      <c r="A2" s="284"/>
      <c r="B2" s="292" t="s">
        <v>585</v>
      </c>
      <c r="C2" s="284" t="s">
        <v>586</v>
      </c>
    </row>
    <row r="3" spans="1:3" ht="15.75" customHeight="1" x14ac:dyDescent="0.2">
      <c r="A3" s="285">
        <v>45579</v>
      </c>
      <c r="B3" s="292" t="s">
        <v>587</v>
      </c>
      <c r="C3" s="284" t="s">
        <v>586</v>
      </c>
    </row>
    <row r="4" spans="1:3" x14ac:dyDescent="0.2">
      <c r="A4" s="285">
        <v>45628</v>
      </c>
      <c r="B4" s="292" t="s">
        <v>597</v>
      </c>
      <c r="C4" s="284" t="s">
        <v>586</v>
      </c>
    </row>
    <row r="5" spans="1:3" x14ac:dyDescent="0.2">
      <c r="A5" s="285">
        <v>45635</v>
      </c>
      <c r="B5" s="292" t="s">
        <v>603</v>
      </c>
      <c r="C5" s="284" t="s">
        <v>586</v>
      </c>
    </row>
    <row r="6" spans="1:3" ht="28.5" x14ac:dyDescent="0.2">
      <c r="A6" s="285">
        <v>45680</v>
      </c>
      <c r="B6" s="292" t="s">
        <v>621</v>
      </c>
      <c r="C6" s="284" t="s">
        <v>586</v>
      </c>
    </row>
    <row r="7" spans="1:3" x14ac:dyDescent="0.2">
      <c r="A7" s="285">
        <v>45681</v>
      </c>
      <c r="B7" s="292" t="s">
        <v>604</v>
      </c>
      <c r="C7" s="284" t="s">
        <v>586</v>
      </c>
    </row>
    <row r="8" spans="1:3" x14ac:dyDescent="0.2">
      <c r="A8" s="285">
        <v>45729</v>
      </c>
      <c r="B8" s="292" t="s">
        <v>626</v>
      </c>
      <c r="C8" s="284" t="s">
        <v>586</v>
      </c>
    </row>
    <row r="9" spans="1:3" x14ac:dyDescent="0.2">
      <c r="A9" s="284"/>
      <c r="B9" s="292"/>
      <c r="C9" s="284"/>
    </row>
    <row r="10" spans="1:3" x14ac:dyDescent="0.2">
      <c r="A10" s="284"/>
      <c r="B10" s="292"/>
      <c r="C10" s="284"/>
    </row>
    <row r="11" spans="1:3" x14ac:dyDescent="0.2">
      <c r="A11" s="284"/>
      <c r="B11" s="292"/>
      <c r="C11" s="284"/>
    </row>
    <row r="12" spans="1:3" x14ac:dyDescent="0.2">
      <c r="A12" s="284"/>
      <c r="B12" s="292"/>
      <c r="C12" s="284"/>
    </row>
    <row r="13" spans="1:3" x14ac:dyDescent="0.2">
      <c r="A13" s="284"/>
      <c r="B13" s="292"/>
      <c r="C13" s="284"/>
    </row>
    <row r="14" spans="1:3" x14ac:dyDescent="0.2">
      <c r="A14" s="284"/>
      <c r="B14" s="292"/>
      <c r="C14" s="284"/>
    </row>
    <row r="15" spans="1:3" x14ac:dyDescent="0.2">
      <c r="A15" s="284"/>
      <c r="B15" s="292"/>
      <c r="C15" s="284"/>
    </row>
    <row r="16" spans="1:3" x14ac:dyDescent="0.2">
      <c r="A16" s="284"/>
      <c r="B16" s="292"/>
      <c r="C16" s="284"/>
    </row>
    <row r="17" spans="1:3" x14ac:dyDescent="0.2">
      <c r="A17" s="284"/>
      <c r="B17" s="292"/>
      <c r="C17" s="284"/>
    </row>
    <row r="18" spans="1:3" x14ac:dyDescent="0.2">
      <c r="A18" s="284"/>
      <c r="B18" s="292"/>
      <c r="C18" s="284"/>
    </row>
    <row r="19" spans="1:3" x14ac:dyDescent="0.2">
      <c r="A19" s="284"/>
      <c r="B19" s="292"/>
      <c r="C19" s="284"/>
    </row>
    <row r="20" spans="1:3" x14ac:dyDescent="0.2">
      <c r="A20" s="284"/>
      <c r="B20" s="292"/>
      <c r="C20" s="284"/>
    </row>
    <row r="21" spans="1:3" x14ac:dyDescent="0.2">
      <c r="A21" s="284"/>
      <c r="B21" s="292"/>
      <c r="C21" s="284"/>
    </row>
    <row r="22" spans="1:3" x14ac:dyDescent="0.2">
      <c r="A22" s="284"/>
      <c r="B22" s="292"/>
      <c r="C22" s="284"/>
    </row>
    <row r="23" spans="1:3" x14ac:dyDescent="0.2">
      <c r="A23" s="284"/>
      <c r="B23" s="292"/>
      <c r="C23" s="284"/>
    </row>
    <row r="24" spans="1:3" x14ac:dyDescent="0.2">
      <c r="A24" s="284"/>
      <c r="B24" s="292"/>
      <c r="C24" s="284"/>
    </row>
    <row r="25" spans="1:3" x14ac:dyDescent="0.2">
      <c r="A25" s="284"/>
      <c r="B25" s="292"/>
      <c r="C25" s="284"/>
    </row>
    <row r="26" spans="1:3" x14ac:dyDescent="0.2">
      <c r="A26" s="284"/>
      <c r="B26" s="292"/>
      <c r="C26" s="284"/>
    </row>
    <row r="27" spans="1:3" x14ac:dyDescent="0.2">
      <c r="A27" s="284"/>
      <c r="B27" s="292"/>
      <c r="C27" s="284"/>
    </row>
    <row r="28" spans="1:3" x14ac:dyDescent="0.2">
      <c r="A28" s="284"/>
      <c r="B28" s="292"/>
      <c r="C28" s="284"/>
    </row>
    <row r="29" spans="1:3" x14ac:dyDescent="0.2">
      <c r="A29" s="284"/>
      <c r="B29" s="292"/>
      <c r="C29" s="284"/>
    </row>
    <row r="30" spans="1:3" x14ac:dyDescent="0.2">
      <c r="A30" s="284"/>
      <c r="B30" s="292"/>
      <c r="C30" s="284"/>
    </row>
    <row r="31" spans="1:3" x14ac:dyDescent="0.2">
      <c r="A31" s="284"/>
      <c r="B31" s="292"/>
      <c r="C31" s="284"/>
    </row>
    <row r="32" spans="1:3" x14ac:dyDescent="0.2">
      <c r="A32" s="284"/>
      <c r="B32" s="292"/>
      <c r="C32" s="284"/>
    </row>
    <row r="33" spans="1:3" x14ac:dyDescent="0.2">
      <c r="A33" s="284"/>
      <c r="B33" s="292"/>
      <c r="C33" s="284"/>
    </row>
    <row r="34" spans="1:3" x14ac:dyDescent="0.2">
      <c r="A34" s="284"/>
      <c r="B34" s="292"/>
      <c r="C34" s="284"/>
    </row>
    <row r="35" spans="1:3" x14ac:dyDescent="0.2">
      <c r="A35" s="284"/>
      <c r="B35" s="292"/>
      <c r="C35" s="284"/>
    </row>
    <row r="36" spans="1:3" x14ac:dyDescent="0.2">
      <c r="A36" s="284"/>
      <c r="B36" s="292"/>
      <c r="C36" s="284"/>
    </row>
    <row r="37" spans="1:3" x14ac:dyDescent="0.2">
      <c r="A37" s="284"/>
      <c r="B37" s="292"/>
      <c r="C37" s="284"/>
    </row>
    <row r="38" spans="1:3" x14ac:dyDescent="0.2">
      <c r="A38" s="284"/>
      <c r="B38" s="292"/>
      <c r="C38" s="284"/>
    </row>
    <row r="39" spans="1:3" x14ac:dyDescent="0.2">
      <c r="A39" s="284"/>
      <c r="B39" s="292"/>
      <c r="C39" s="284"/>
    </row>
    <row r="40" spans="1:3" x14ac:dyDescent="0.2">
      <c r="A40" s="284"/>
      <c r="B40" s="292"/>
      <c r="C40" s="284"/>
    </row>
    <row r="41" spans="1:3" x14ac:dyDescent="0.2">
      <c r="A41" s="284"/>
      <c r="B41" s="292"/>
      <c r="C41" s="284"/>
    </row>
    <row r="42" spans="1:3" x14ac:dyDescent="0.2">
      <c r="A42" s="284"/>
      <c r="B42" s="292"/>
      <c r="C42" s="284"/>
    </row>
    <row r="43" spans="1:3" x14ac:dyDescent="0.2">
      <c r="A43" s="284"/>
      <c r="B43" s="292"/>
      <c r="C43" s="284"/>
    </row>
    <row r="44" spans="1:3" x14ac:dyDescent="0.2">
      <c r="A44" s="284"/>
      <c r="B44" s="292"/>
      <c r="C44" s="284"/>
    </row>
    <row r="45" spans="1:3" x14ac:dyDescent="0.2">
      <c r="A45" s="284"/>
      <c r="B45" s="292"/>
      <c r="C45" s="2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F48-8BFC-470B-ABB3-00BF191722C7}">
  <dimension ref="A1:BG155"/>
  <sheetViews>
    <sheetView showGridLines="0" view="pageBreakPreview" zoomScale="103" zoomScaleNormal="100" zoomScaleSheetLayoutView="115" workbookViewId="0">
      <selection activeCell="I7" sqref="I7"/>
    </sheetView>
  </sheetViews>
  <sheetFormatPr defaultColWidth="7.75" defaultRowHeight="12.75" x14ac:dyDescent="0.2"/>
  <cols>
    <col min="1" max="1" width="19.25" style="1" customWidth="1"/>
    <col min="2" max="2" width="31.75" style="1" customWidth="1"/>
    <col min="3" max="3" width="28.875" style="134" hidden="1" customWidth="1"/>
    <col min="4" max="4" width="8.75" style="2" customWidth="1"/>
    <col min="5" max="5" width="15.25" style="1" customWidth="1"/>
    <col min="6" max="7" width="15.25" style="103" customWidth="1"/>
    <col min="8" max="8" width="5.25" style="162" bestFit="1" customWidth="1"/>
    <col min="9" max="9" width="15.25" style="162" customWidth="1"/>
    <col min="10" max="10" width="21" style="1" customWidth="1"/>
    <col min="11" max="12" width="7.75" style="1"/>
    <col min="13" max="13" width="14" style="1" bestFit="1" customWidth="1"/>
    <col min="14" max="16384" width="7.75" style="1"/>
  </cols>
  <sheetData>
    <row r="1" spans="1:18" x14ac:dyDescent="0.2">
      <c r="A1" s="1" t="s">
        <v>271</v>
      </c>
      <c r="J1" s="1" t="s">
        <v>360</v>
      </c>
    </row>
    <row r="2" spans="1:18" ht="22.9" customHeight="1" x14ac:dyDescent="0.2">
      <c r="A2" s="293" t="s">
        <v>0</v>
      </c>
      <c r="B2" s="294"/>
      <c r="C2" s="294"/>
      <c r="D2" s="294"/>
      <c r="E2" s="294"/>
      <c r="F2" s="294"/>
      <c r="G2" s="294"/>
      <c r="H2" s="294"/>
      <c r="I2" s="294"/>
      <c r="J2" s="295"/>
    </row>
    <row r="3" spans="1:18" ht="38.25" x14ac:dyDescent="0.2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403</v>
      </c>
      <c r="G3" s="104" t="s">
        <v>404</v>
      </c>
      <c r="H3" s="163" t="s">
        <v>396</v>
      </c>
      <c r="I3" s="204" t="s">
        <v>397</v>
      </c>
      <c r="J3" s="4" t="s">
        <v>6</v>
      </c>
    </row>
    <row r="4" spans="1:18" ht="13.15" customHeight="1" x14ac:dyDescent="0.2">
      <c r="A4" s="48" t="s">
        <v>305</v>
      </c>
      <c r="B4" s="49"/>
      <c r="C4" s="136"/>
      <c r="D4" s="49"/>
      <c r="E4" s="49"/>
      <c r="F4" s="105"/>
      <c r="G4" s="105"/>
      <c r="H4" s="164"/>
      <c r="I4" s="164"/>
      <c r="J4" s="50"/>
    </row>
    <row r="5" spans="1:18" ht="13.15" customHeight="1" x14ac:dyDescent="0.2">
      <c r="A5" s="51" t="s">
        <v>306</v>
      </c>
      <c r="B5" s="52"/>
      <c r="C5" s="137"/>
      <c r="D5" s="52"/>
      <c r="E5" s="52"/>
      <c r="F5" s="106"/>
      <c r="G5" s="106"/>
      <c r="H5" s="165"/>
      <c r="I5" s="165"/>
      <c r="J5" s="53"/>
      <c r="M5" s="75"/>
      <c r="N5" s="75" t="s">
        <v>389</v>
      </c>
      <c r="O5" s="75"/>
      <c r="P5" s="75"/>
      <c r="Q5" s="75"/>
      <c r="R5" s="75"/>
    </row>
    <row r="6" spans="1:18" ht="13.15" customHeight="1" x14ac:dyDescent="0.2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07">
        <v>1.04</v>
      </c>
      <c r="G6" s="107">
        <v>1.04</v>
      </c>
      <c r="H6" s="166">
        <v>40</v>
      </c>
      <c r="I6" s="166">
        <f>H6</f>
        <v>40</v>
      </c>
      <c r="J6" s="7"/>
      <c r="M6" s="75"/>
      <c r="N6" s="75" t="s">
        <v>390</v>
      </c>
      <c r="O6" s="75" t="s">
        <v>391</v>
      </c>
      <c r="P6" s="75" t="s">
        <v>392</v>
      </c>
      <c r="Q6" s="75" t="s">
        <v>393</v>
      </c>
      <c r="R6" s="75" t="s">
        <v>394</v>
      </c>
    </row>
    <row r="7" spans="1:18" ht="13.15" customHeight="1" x14ac:dyDescent="0.2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07">
        <v>2.96</v>
      </c>
      <c r="G7" s="107"/>
      <c r="H7" s="166"/>
      <c r="I7" s="166">
        <f>HLOOKUP($N$10,$M$21:$BG$22,2,0)</f>
        <v>3</v>
      </c>
      <c r="J7" s="7"/>
      <c r="M7" s="161" t="s">
        <v>395</v>
      </c>
      <c r="N7" s="205">
        <v>31</v>
      </c>
      <c r="O7" s="205">
        <v>55</v>
      </c>
      <c r="P7" s="205">
        <v>166</v>
      </c>
      <c r="Q7" s="205">
        <v>1</v>
      </c>
      <c r="R7" s="205">
        <v>1</v>
      </c>
    </row>
    <row r="8" spans="1:18" ht="13.15" customHeight="1" x14ac:dyDescent="0.2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07">
        <v>0.98</v>
      </c>
      <c r="G8" s="107"/>
      <c r="H8" s="166">
        <v>2</v>
      </c>
      <c r="I8" s="166">
        <v>2</v>
      </c>
      <c r="J8" s="7"/>
      <c r="M8" s="133" t="s">
        <v>314</v>
      </c>
      <c r="N8" s="205">
        <v>1</v>
      </c>
      <c r="O8" s="205">
        <v>1</v>
      </c>
      <c r="P8" s="205">
        <v>8</v>
      </c>
      <c r="Q8" s="205">
        <v>3</v>
      </c>
      <c r="R8" s="205">
        <v>6</v>
      </c>
    </row>
    <row r="9" spans="1:18" ht="13.15" customHeight="1" x14ac:dyDescent="0.2">
      <c r="A9" s="5" t="s">
        <v>16</v>
      </c>
      <c r="B9" s="5" t="s">
        <v>17</v>
      </c>
      <c r="C9" s="138"/>
      <c r="D9" s="6" t="s">
        <v>14</v>
      </c>
      <c r="E9" s="6">
        <v>1</v>
      </c>
      <c r="F9" s="107">
        <v>0.44</v>
      </c>
      <c r="G9" s="107">
        <v>0.44</v>
      </c>
      <c r="H9" s="186">
        <v>1</v>
      </c>
      <c r="I9" s="166">
        <f>$N$7*H9</f>
        <v>31</v>
      </c>
      <c r="J9" s="7"/>
      <c r="M9" s="75" t="s">
        <v>400</v>
      </c>
      <c r="N9" s="205">
        <v>0</v>
      </c>
      <c r="O9" s="205">
        <v>0</v>
      </c>
      <c r="P9" s="205">
        <v>0</v>
      </c>
      <c r="Q9" s="205">
        <v>0</v>
      </c>
      <c r="R9" s="205">
        <v>0</v>
      </c>
    </row>
    <row r="10" spans="1:18" ht="13.15" customHeight="1" x14ac:dyDescent="0.2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07">
        <v>3.13</v>
      </c>
      <c r="G10" s="107"/>
      <c r="H10" s="186">
        <v>0.6</v>
      </c>
      <c r="I10" s="166">
        <f>ROUNDUP($N$7*H10,0)</f>
        <v>19</v>
      </c>
      <c r="J10" s="7"/>
      <c r="M10" s="75" t="s">
        <v>401</v>
      </c>
      <c r="N10" s="75">
        <f>SUM(N7:N9)</f>
        <v>32</v>
      </c>
      <c r="O10" s="75">
        <f>SUM(O7:O9)</f>
        <v>56</v>
      </c>
      <c r="P10" s="75">
        <f>SUM(P7:P9)</f>
        <v>174</v>
      </c>
      <c r="Q10" s="75">
        <f t="shared" ref="Q10:R10" si="0">SUM(Q7:Q9)</f>
        <v>4</v>
      </c>
      <c r="R10" s="75">
        <f t="shared" si="0"/>
        <v>7</v>
      </c>
    </row>
    <row r="11" spans="1:18" ht="13.15" customHeight="1" x14ac:dyDescent="0.2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07">
        <v>3.62</v>
      </c>
      <c r="G11" s="107"/>
      <c r="H11" s="186">
        <v>0.6</v>
      </c>
      <c r="I11" s="166">
        <f>ROUNDDOWN($N$7*H11,0)</f>
        <v>18</v>
      </c>
      <c r="J11" s="7"/>
      <c r="M11" s="1" t="s">
        <v>402</v>
      </c>
      <c r="N11" s="1">
        <v>32</v>
      </c>
      <c r="O11" s="1">
        <v>56</v>
      </c>
      <c r="P11" s="1">
        <v>174</v>
      </c>
      <c r="Q11" s="1">
        <v>2</v>
      </c>
      <c r="R11" s="1">
        <v>6</v>
      </c>
    </row>
    <row r="12" spans="1:18" ht="13.15" customHeight="1" x14ac:dyDescent="0.2">
      <c r="A12" s="160" t="s">
        <v>388</v>
      </c>
      <c r="B12" s="5" t="s">
        <v>24</v>
      </c>
      <c r="C12" s="139"/>
      <c r="D12" s="47" t="s">
        <v>14</v>
      </c>
      <c r="E12" s="47" t="s">
        <v>15</v>
      </c>
      <c r="F12" s="107">
        <v>1.91</v>
      </c>
      <c r="G12" s="107"/>
      <c r="H12" s="166">
        <v>2</v>
      </c>
      <c r="I12" s="166">
        <v>2</v>
      </c>
      <c r="J12" s="5"/>
    </row>
    <row r="13" spans="1:18" ht="13.15" customHeight="1" x14ac:dyDescent="0.2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07">
        <v>13.5</v>
      </c>
      <c r="G13" s="107"/>
      <c r="H13" s="186">
        <v>0.5</v>
      </c>
      <c r="I13" s="166">
        <f>ROUNDUP($N$7*H13,0)</f>
        <v>16</v>
      </c>
      <c r="J13" s="5"/>
    </row>
    <row r="14" spans="1:18" ht="13.15" customHeight="1" x14ac:dyDescent="0.2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07">
        <v>7.86</v>
      </c>
      <c r="G14" s="107"/>
      <c r="H14" s="186">
        <v>0.5</v>
      </c>
      <c r="I14" s="166">
        <f>ROUNDDOWN($N$7*H14,0)</f>
        <v>15</v>
      </c>
      <c r="J14" s="5"/>
      <c r="N14" s="1">
        <v>20</v>
      </c>
      <c r="O14" s="1">
        <v>50</v>
      </c>
      <c r="P14" s="1">
        <v>143</v>
      </c>
      <c r="Q14" s="1">
        <v>1</v>
      </c>
      <c r="R14" s="1">
        <v>1</v>
      </c>
    </row>
    <row r="15" spans="1:18" ht="13.15" customHeight="1" x14ac:dyDescent="0.2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07">
        <v>6.56</v>
      </c>
      <c r="G15" s="107"/>
      <c r="H15" s="186">
        <v>0.2</v>
      </c>
      <c r="I15" s="166">
        <f>ROUNDUP($N$7*H15,0)</f>
        <v>7</v>
      </c>
      <c r="J15" s="7"/>
      <c r="N15" s="1">
        <v>4</v>
      </c>
      <c r="O15" s="1">
        <v>3</v>
      </c>
      <c r="P15" s="1">
        <v>9</v>
      </c>
      <c r="Q15" s="1">
        <v>6</v>
      </c>
    </row>
    <row r="16" spans="1:18" ht="13.15" customHeight="1" x14ac:dyDescent="0.2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07">
        <v>10.48</v>
      </c>
      <c r="G16" s="107"/>
      <c r="H16" s="166">
        <v>2</v>
      </c>
      <c r="I16" s="166">
        <v>2</v>
      </c>
      <c r="J16" s="7"/>
    </row>
    <row r="17" spans="1:59" ht="13.15" customHeight="1" x14ac:dyDescent="0.2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108">
        <v>3.78</v>
      </c>
      <c r="G17" s="108"/>
      <c r="H17" s="167"/>
      <c r="I17" s="166">
        <f>HLOOKUP($N$10,$M$21:$BG$22,2,0)</f>
        <v>3</v>
      </c>
      <c r="J17" s="7"/>
    </row>
    <row r="18" spans="1:59" ht="13.15" customHeight="1" x14ac:dyDescent="0.2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108">
        <v>2.04</v>
      </c>
      <c r="G18" s="108"/>
      <c r="H18" s="167"/>
      <c r="I18" s="166">
        <f>HLOOKUP($N$10,$M$27:$BG$28,2,0)</f>
        <v>3</v>
      </c>
      <c r="J18" s="7"/>
    </row>
    <row r="19" spans="1:59" ht="13.15" customHeight="1" x14ac:dyDescent="0.2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07">
        <v>6.51</v>
      </c>
      <c r="G19" s="107"/>
      <c r="H19" s="166">
        <v>2</v>
      </c>
      <c r="I19" s="166">
        <v>2</v>
      </c>
      <c r="J19" s="7"/>
    </row>
    <row r="20" spans="1:59" ht="13.15" customHeight="1" x14ac:dyDescent="0.2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08">
        <v>4.4800000000000004</v>
      </c>
      <c r="G20" s="108"/>
      <c r="H20" s="167"/>
      <c r="I20" s="167">
        <v>3</v>
      </c>
      <c r="J20" s="7"/>
      <c r="M20" s="1" t="s">
        <v>12</v>
      </c>
    </row>
    <row r="21" spans="1:59" x14ac:dyDescent="0.2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09">
        <v>0.93</v>
      </c>
      <c r="G21" s="109">
        <v>0.93</v>
      </c>
      <c r="H21" s="168">
        <v>1</v>
      </c>
      <c r="I21" s="168">
        <v>1</v>
      </c>
      <c r="J21" s="46"/>
      <c r="M21" s="75" t="s">
        <v>398</v>
      </c>
      <c r="N21" s="75">
        <v>1</v>
      </c>
      <c r="O21" s="75">
        <v>2</v>
      </c>
      <c r="P21" s="75">
        <v>3</v>
      </c>
      <c r="Q21" s="75">
        <v>4</v>
      </c>
      <c r="R21" s="75">
        <v>5</v>
      </c>
      <c r="S21" s="75">
        <v>6</v>
      </c>
      <c r="T21" s="75">
        <v>7</v>
      </c>
      <c r="U21" s="75">
        <v>8</v>
      </c>
      <c r="V21" s="75">
        <v>9</v>
      </c>
      <c r="W21" s="75">
        <v>10</v>
      </c>
      <c r="X21" s="75">
        <v>11</v>
      </c>
      <c r="Y21" s="75">
        <v>12</v>
      </c>
      <c r="Z21" s="75">
        <v>13</v>
      </c>
      <c r="AA21" s="75">
        <v>14</v>
      </c>
      <c r="AB21" s="75">
        <v>15</v>
      </c>
      <c r="AC21" s="75">
        <v>16</v>
      </c>
      <c r="AD21" s="75">
        <v>17</v>
      </c>
      <c r="AE21" s="75">
        <v>18</v>
      </c>
      <c r="AF21" s="75">
        <v>19</v>
      </c>
      <c r="AG21" s="75">
        <v>20</v>
      </c>
      <c r="AH21" s="75">
        <v>21</v>
      </c>
      <c r="AI21" s="75">
        <v>22</v>
      </c>
      <c r="AJ21" s="75">
        <v>23</v>
      </c>
      <c r="AK21" s="75">
        <v>24</v>
      </c>
      <c r="AL21" s="75">
        <v>25</v>
      </c>
      <c r="AM21" s="75">
        <v>26</v>
      </c>
      <c r="AN21" s="75">
        <v>27</v>
      </c>
      <c r="AO21" s="75">
        <v>28</v>
      </c>
      <c r="AP21" s="75">
        <v>29</v>
      </c>
      <c r="AQ21" s="75">
        <v>30</v>
      </c>
      <c r="AR21" s="75">
        <v>31</v>
      </c>
      <c r="AS21" s="75">
        <v>32</v>
      </c>
      <c r="AT21" s="75">
        <v>33</v>
      </c>
      <c r="AU21" s="75">
        <v>34</v>
      </c>
      <c r="AV21" s="75">
        <v>35</v>
      </c>
      <c r="AW21" s="75">
        <v>36</v>
      </c>
      <c r="AX21" s="75">
        <v>37</v>
      </c>
      <c r="AY21" s="75">
        <v>38</v>
      </c>
      <c r="AZ21" s="75">
        <v>39</v>
      </c>
      <c r="BA21" s="75">
        <v>40</v>
      </c>
      <c r="BB21" s="75">
        <v>41</v>
      </c>
      <c r="BC21" s="75">
        <v>42</v>
      </c>
      <c r="BD21" s="75">
        <v>43</v>
      </c>
      <c r="BE21" s="75">
        <v>44</v>
      </c>
      <c r="BF21" s="75">
        <v>45</v>
      </c>
      <c r="BG21" s="75">
        <v>46</v>
      </c>
    </row>
    <row r="22" spans="1:59" x14ac:dyDescent="0.2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09">
        <v>0.95</v>
      </c>
      <c r="G22" s="109">
        <v>0.95</v>
      </c>
      <c r="H22" s="168">
        <v>1</v>
      </c>
      <c r="I22" s="168">
        <v>1</v>
      </c>
      <c r="J22" s="46"/>
      <c r="M22" s="75" t="s">
        <v>399</v>
      </c>
      <c r="N22" s="75">
        <v>2</v>
      </c>
      <c r="O22" s="75">
        <v>2</v>
      </c>
      <c r="P22" s="75">
        <v>2</v>
      </c>
      <c r="Q22" s="75">
        <v>2</v>
      </c>
      <c r="R22" s="75">
        <v>2</v>
      </c>
      <c r="S22" s="75">
        <v>2</v>
      </c>
      <c r="T22" s="75">
        <v>2</v>
      </c>
      <c r="U22" s="75">
        <v>2</v>
      </c>
      <c r="V22" s="75">
        <v>2</v>
      </c>
      <c r="W22" s="75">
        <v>2</v>
      </c>
      <c r="X22" s="75">
        <v>2</v>
      </c>
      <c r="Y22" s="75">
        <v>2</v>
      </c>
      <c r="Z22" s="75">
        <v>2</v>
      </c>
      <c r="AA22" s="75">
        <v>2</v>
      </c>
      <c r="AB22" s="75">
        <v>2</v>
      </c>
      <c r="AC22" s="75">
        <v>2</v>
      </c>
      <c r="AD22" s="75">
        <v>2</v>
      </c>
      <c r="AE22" s="75">
        <v>2</v>
      </c>
      <c r="AF22" s="75">
        <v>2</v>
      </c>
      <c r="AG22" s="75">
        <v>2</v>
      </c>
      <c r="AH22" s="75">
        <v>3</v>
      </c>
      <c r="AI22" s="75">
        <v>3</v>
      </c>
      <c r="AJ22" s="75">
        <v>3</v>
      </c>
      <c r="AK22" s="75">
        <v>3</v>
      </c>
      <c r="AL22" s="75">
        <v>3</v>
      </c>
      <c r="AM22" s="75">
        <v>3</v>
      </c>
      <c r="AN22" s="75">
        <v>3</v>
      </c>
      <c r="AO22" s="75">
        <v>3</v>
      </c>
      <c r="AP22" s="75">
        <v>3</v>
      </c>
      <c r="AQ22" s="75">
        <v>3</v>
      </c>
      <c r="AR22" s="75">
        <v>3</v>
      </c>
      <c r="AS22" s="75">
        <v>3</v>
      </c>
      <c r="AT22" s="75">
        <v>4</v>
      </c>
      <c r="AU22" s="75">
        <v>4</v>
      </c>
      <c r="AV22" s="75">
        <v>4</v>
      </c>
      <c r="AW22" s="75">
        <v>4</v>
      </c>
      <c r="AX22" s="75">
        <v>4</v>
      </c>
      <c r="AY22" s="75">
        <v>4</v>
      </c>
      <c r="AZ22" s="75">
        <v>4</v>
      </c>
      <c r="BA22" s="75">
        <v>4</v>
      </c>
      <c r="BB22" s="75">
        <v>5</v>
      </c>
      <c r="BC22" s="75">
        <v>5</v>
      </c>
      <c r="BD22" s="75">
        <v>5</v>
      </c>
      <c r="BE22" s="75">
        <v>5</v>
      </c>
      <c r="BF22" s="75">
        <v>5</v>
      </c>
      <c r="BG22" s="75">
        <v>5</v>
      </c>
    </row>
    <row r="23" spans="1:59" x14ac:dyDescent="0.2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09">
        <v>1.35</v>
      </c>
      <c r="G23" s="109">
        <v>1.35</v>
      </c>
      <c r="H23" s="168">
        <v>1</v>
      </c>
      <c r="I23" s="168">
        <v>1</v>
      </c>
      <c r="J23" s="46"/>
    </row>
    <row r="24" spans="1:59" x14ac:dyDescent="0.2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109">
        <v>0.93</v>
      </c>
      <c r="G24" s="109">
        <v>0.93</v>
      </c>
      <c r="H24" s="168">
        <v>2</v>
      </c>
      <c r="I24" s="168">
        <v>2</v>
      </c>
      <c r="J24" s="46"/>
    </row>
    <row r="25" spans="1:59" ht="13.15" customHeight="1" x14ac:dyDescent="0.2">
      <c r="A25" s="127" t="s">
        <v>41</v>
      </c>
      <c r="B25" s="127" t="s">
        <v>42</v>
      </c>
      <c r="C25" s="138"/>
      <c r="D25" s="6" t="s">
        <v>14</v>
      </c>
      <c r="E25" s="8" t="s">
        <v>43</v>
      </c>
      <c r="F25" s="108">
        <v>0.78</v>
      </c>
      <c r="G25" s="108">
        <v>0.78</v>
      </c>
      <c r="H25" s="187">
        <v>0.75</v>
      </c>
      <c r="I25" s="166">
        <f>ROUND($N$7*H25,0)</f>
        <v>23</v>
      </c>
      <c r="J25" s="7" t="s">
        <v>44</v>
      </c>
    </row>
    <row r="26" spans="1:59" ht="13.15" customHeight="1" x14ac:dyDescent="0.2">
      <c r="A26" s="127" t="s">
        <v>45</v>
      </c>
      <c r="B26" s="127" t="s">
        <v>377</v>
      </c>
      <c r="C26" s="138"/>
      <c r="D26" s="6" t="s">
        <v>14</v>
      </c>
      <c r="E26" s="8" t="s">
        <v>43</v>
      </c>
      <c r="F26" s="108">
        <v>0.94</v>
      </c>
      <c r="G26" s="108">
        <v>0.94</v>
      </c>
      <c r="H26" s="187">
        <v>0.75</v>
      </c>
      <c r="I26" s="166">
        <f>ROUND($N$7*H26,0)</f>
        <v>23</v>
      </c>
      <c r="J26" s="7" t="s">
        <v>44</v>
      </c>
      <c r="M26" s="1" t="s">
        <v>39</v>
      </c>
    </row>
    <row r="27" spans="1:59" ht="13.15" customHeight="1" x14ac:dyDescent="0.2">
      <c r="A27" s="127" t="s">
        <v>46</v>
      </c>
      <c r="B27" s="127" t="s">
        <v>47</v>
      </c>
      <c r="C27" s="138"/>
      <c r="D27" s="6" t="s">
        <v>14</v>
      </c>
      <c r="E27" s="8" t="s">
        <v>15</v>
      </c>
      <c r="F27" s="108">
        <v>2.36</v>
      </c>
      <c r="G27" s="108">
        <v>2.36</v>
      </c>
      <c r="H27" s="167">
        <v>2</v>
      </c>
      <c r="I27" s="167">
        <v>2</v>
      </c>
      <c r="J27" s="7"/>
      <c r="M27" s="75" t="s">
        <v>398</v>
      </c>
      <c r="N27" s="75">
        <v>1</v>
      </c>
      <c r="O27" s="75">
        <v>2</v>
      </c>
      <c r="P27" s="75">
        <v>3</v>
      </c>
      <c r="Q27" s="75">
        <v>4</v>
      </c>
      <c r="R27" s="75">
        <v>5</v>
      </c>
      <c r="S27" s="75">
        <v>6</v>
      </c>
      <c r="T27" s="75">
        <v>7</v>
      </c>
      <c r="U27" s="75">
        <v>8</v>
      </c>
      <c r="V27" s="75">
        <v>9</v>
      </c>
      <c r="W27" s="75">
        <v>10</v>
      </c>
      <c r="X27" s="75">
        <v>11</v>
      </c>
      <c r="Y27" s="75">
        <v>12</v>
      </c>
      <c r="Z27" s="75">
        <v>13</v>
      </c>
      <c r="AA27" s="75">
        <v>14</v>
      </c>
      <c r="AB27" s="75">
        <v>15</v>
      </c>
      <c r="AC27" s="75">
        <v>16</v>
      </c>
      <c r="AD27" s="75">
        <v>17</v>
      </c>
      <c r="AE27" s="75">
        <v>18</v>
      </c>
      <c r="AF27" s="75">
        <v>19</v>
      </c>
      <c r="AG27" s="75">
        <v>20</v>
      </c>
      <c r="AH27" s="75">
        <v>21</v>
      </c>
      <c r="AI27" s="75">
        <v>22</v>
      </c>
      <c r="AJ27" s="75">
        <v>23</v>
      </c>
      <c r="AK27" s="75">
        <v>24</v>
      </c>
      <c r="AL27" s="75">
        <v>25</v>
      </c>
      <c r="AM27" s="75">
        <v>26</v>
      </c>
      <c r="AN27" s="75">
        <v>27</v>
      </c>
      <c r="AO27" s="75">
        <v>28</v>
      </c>
      <c r="AP27" s="75">
        <v>29</v>
      </c>
      <c r="AQ27" s="75">
        <v>30</v>
      </c>
      <c r="AR27" s="75">
        <v>31</v>
      </c>
      <c r="AS27" s="75">
        <v>32</v>
      </c>
      <c r="AT27" s="75">
        <v>33</v>
      </c>
      <c r="AU27" s="75">
        <v>34</v>
      </c>
      <c r="AV27" s="75">
        <v>35</v>
      </c>
      <c r="AW27" s="75">
        <v>36</v>
      </c>
      <c r="AX27" s="75">
        <v>37</v>
      </c>
      <c r="AY27" s="75">
        <v>38</v>
      </c>
      <c r="AZ27" s="75">
        <v>39</v>
      </c>
      <c r="BA27" s="75">
        <v>40</v>
      </c>
      <c r="BB27" s="75">
        <v>41</v>
      </c>
      <c r="BC27" s="75">
        <v>42</v>
      </c>
      <c r="BD27" s="75">
        <v>43</v>
      </c>
      <c r="BE27" s="75">
        <v>44</v>
      </c>
      <c r="BF27" s="75">
        <v>45</v>
      </c>
      <c r="BG27" s="75">
        <v>46</v>
      </c>
    </row>
    <row r="28" spans="1:59" ht="13.15" customHeight="1" x14ac:dyDescent="0.2">
      <c r="A28" s="51" t="s">
        <v>327</v>
      </c>
      <c r="B28" s="52"/>
      <c r="C28" s="137"/>
      <c r="D28" s="52"/>
      <c r="E28" s="52"/>
      <c r="F28" s="106"/>
      <c r="G28" s="106"/>
      <c r="H28" s="165"/>
      <c r="I28" s="165"/>
      <c r="J28" s="53"/>
      <c r="M28" s="75" t="s">
        <v>399</v>
      </c>
      <c r="N28" s="75">
        <v>2</v>
      </c>
      <c r="O28" s="75">
        <v>2</v>
      </c>
      <c r="P28" s="75">
        <v>2</v>
      </c>
      <c r="Q28" s="75">
        <v>2</v>
      </c>
      <c r="R28" s="75">
        <v>2</v>
      </c>
      <c r="S28" s="75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2</v>
      </c>
      <c r="AC28" s="75">
        <v>2</v>
      </c>
      <c r="AD28" s="75">
        <v>2</v>
      </c>
      <c r="AE28" s="75">
        <v>2</v>
      </c>
      <c r="AF28" s="75">
        <v>2</v>
      </c>
      <c r="AG28" s="75">
        <v>2</v>
      </c>
      <c r="AH28" s="75">
        <v>2</v>
      </c>
      <c r="AI28" s="75">
        <v>2</v>
      </c>
      <c r="AJ28" s="75">
        <v>2</v>
      </c>
      <c r="AK28" s="75">
        <v>2</v>
      </c>
      <c r="AL28" s="75">
        <v>3</v>
      </c>
      <c r="AM28" s="75">
        <v>3</v>
      </c>
      <c r="AN28" s="75">
        <v>3</v>
      </c>
      <c r="AO28" s="75">
        <v>3</v>
      </c>
      <c r="AP28" s="75">
        <v>3</v>
      </c>
      <c r="AQ28" s="75">
        <v>3</v>
      </c>
      <c r="AR28" s="75">
        <v>3</v>
      </c>
      <c r="AS28" s="75">
        <v>3</v>
      </c>
      <c r="AT28" s="75">
        <v>3</v>
      </c>
      <c r="AU28" s="75">
        <v>3</v>
      </c>
      <c r="AV28" s="75">
        <v>3</v>
      </c>
      <c r="AW28" s="75">
        <v>3</v>
      </c>
      <c r="AX28" s="75">
        <v>3</v>
      </c>
      <c r="AY28" s="75">
        <v>3</v>
      </c>
      <c r="AZ28" s="75">
        <v>3</v>
      </c>
      <c r="BA28" s="75">
        <v>3</v>
      </c>
      <c r="BB28" s="75">
        <v>3</v>
      </c>
      <c r="BC28" s="75">
        <v>3</v>
      </c>
      <c r="BD28" s="75">
        <v>3</v>
      </c>
      <c r="BE28" s="75">
        <v>3</v>
      </c>
      <c r="BF28" s="75">
        <v>3</v>
      </c>
      <c r="BG28" s="75">
        <v>3</v>
      </c>
    </row>
    <row r="29" spans="1:59" ht="13.15" customHeight="1" x14ac:dyDescent="0.2">
      <c r="A29" s="5" t="s">
        <v>334</v>
      </c>
      <c r="B29" s="5" t="s">
        <v>329</v>
      </c>
      <c r="C29" s="139" t="s">
        <v>372</v>
      </c>
      <c r="D29" s="6" t="s">
        <v>14</v>
      </c>
      <c r="E29" s="6">
        <v>1</v>
      </c>
      <c r="F29" s="108">
        <v>0.94</v>
      </c>
      <c r="G29" s="108">
        <v>0.94</v>
      </c>
      <c r="H29" s="167">
        <v>4</v>
      </c>
      <c r="I29" s="167">
        <f>H29</f>
        <v>4</v>
      </c>
      <c r="J29" s="5" t="s">
        <v>341</v>
      </c>
    </row>
    <row r="30" spans="1:59" ht="13.15" customHeight="1" x14ac:dyDescent="0.2">
      <c r="A30" s="5" t="s">
        <v>315</v>
      </c>
      <c r="B30" s="5" t="s">
        <v>8</v>
      </c>
      <c r="C30" s="138"/>
      <c r="D30" s="6" t="s">
        <v>14</v>
      </c>
      <c r="E30" s="6">
        <v>1</v>
      </c>
      <c r="F30" s="108">
        <v>1.04</v>
      </c>
      <c r="G30" s="108">
        <v>1.04</v>
      </c>
      <c r="H30" s="167">
        <v>4</v>
      </c>
      <c r="I30" s="167">
        <f t="shared" ref="I30:I34" si="1">H30</f>
        <v>4</v>
      </c>
      <c r="J30" s="5" t="s">
        <v>341</v>
      </c>
    </row>
    <row r="31" spans="1:59" ht="13.15" customHeight="1" x14ac:dyDescent="0.2">
      <c r="A31" s="5" t="s">
        <v>335</v>
      </c>
      <c r="B31" s="5" t="s">
        <v>330</v>
      </c>
      <c r="C31" s="138" t="s">
        <v>369</v>
      </c>
      <c r="D31" s="6" t="s">
        <v>14</v>
      </c>
      <c r="E31" s="6">
        <v>1</v>
      </c>
      <c r="F31" s="108">
        <v>0.79</v>
      </c>
      <c r="G31" s="108"/>
      <c r="H31" s="167">
        <v>4</v>
      </c>
      <c r="I31" s="167">
        <f t="shared" si="1"/>
        <v>4</v>
      </c>
      <c r="J31" s="5" t="s">
        <v>341</v>
      </c>
    </row>
    <row r="32" spans="1:59" ht="13.15" customHeight="1" x14ac:dyDescent="0.2">
      <c r="A32" s="5" t="s">
        <v>336</v>
      </c>
      <c r="B32" s="5" t="s">
        <v>331</v>
      </c>
      <c r="C32" s="138"/>
      <c r="D32" s="6" t="s">
        <v>14</v>
      </c>
      <c r="E32" s="6">
        <v>0.5</v>
      </c>
      <c r="F32" s="108">
        <v>3.23</v>
      </c>
      <c r="G32" s="108"/>
      <c r="H32" s="167">
        <v>2</v>
      </c>
      <c r="I32" s="167">
        <f t="shared" si="1"/>
        <v>2</v>
      </c>
      <c r="J32" s="5" t="s">
        <v>341</v>
      </c>
    </row>
    <row r="33" spans="1:10" ht="13.15" customHeight="1" x14ac:dyDescent="0.2">
      <c r="A33" s="5" t="s">
        <v>337</v>
      </c>
      <c r="B33" s="5" t="s">
        <v>332</v>
      </c>
      <c r="C33" s="138"/>
      <c r="D33" s="6" t="s">
        <v>14</v>
      </c>
      <c r="E33" s="6">
        <v>0.5</v>
      </c>
      <c r="F33" s="108">
        <v>3.72</v>
      </c>
      <c r="G33" s="108"/>
      <c r="H33" s="167">
        <v>2</v>
      </c>
      <c r="I33" s="167">
        <f t="shared" si="1"/>
        <v>2</v>
      </c>
      <c r="J33" s="5" t="s">
        <v>341</v>
      </c>
    </row>
    <row r="34" spans="1:10" ht="13.15" customHeight="1" x14ac:dyDescent="0.2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108">
        <v>3.78</v>
      </c>
      <c r="G34" s="108"/>
      <c r="H34" s="167">
        <v>4</v>
      </c>
      <c r="I34" s="167">
        <f t="shared" si="1"/>
        <v>4</v>
      </c>
      <c r="J34" s="5" t="s">
        <v>341</v>
      </c>
    </row>
    <row r="35" spans="1:10" ht="13.15" customHeight="1" x14ac:dyDescent="0.2">
      <c r="A35" s="51" t="s">
        <v>307</v>
      </c>
      <c r="B35" s="52"/>
      <c r="C35" s="137"/>
      <c r="D35" s="52"/>
      <c r="E35" s="52"/>
      <c r="F35" s="106"/>
      <c r="G35" s="106"/>
      <c r="H35" s="165"/>
      <c r="I35" s="165"/>
      <c r="J35" s="53"/>
    </row>
    <row r="36" spans="1:10" ht="13.15" customHeight="1" x14ac:dyDescent="0.2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07">
        <v>0.54</v>
      </c>
      <c r="G36" s="107">
        <v>0.54</v>
      </c>
      <c r="H36" s="186">
        <v>1</v>
      </c>
      <c r="I36" s="166">
        <f t="shared" ref="I36:I43" si="2">ROUND($N$7*H36,0)</f>
        <v>31</v>
      </c>
      <c r="J36" s="7"/>
    </row>
    <row r="37" spans="1:10" ht="13.15" customHeight="1" x14ac:dyDescent="0.2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07">
        <f>0.09+0.27+0.27+0.09+0.09</f>
        <v>0.80999999999999994</v>
      </c>
      <c r="G37" s="107">
        <f>0.09+0.27+0.27+0.09+0.09</f>
        <v>0.80999999999999994</v>
      </c>
      <c r="H37" s="186">
        <v>1</v>
      </c>
      <c r="I37" s="166">
        <f t="shared" si="2"/>
        <v>31</v>
      </c>
      <c r="J37" s="9"/>
    </row>
    <row r="38" spans="1:10" ht="13.15" customHeight="1" x14ac:dyDescent="0.2">
      <c r="A38" s="5" t="s">
        <v>52</v>
      </c>
      <c r="B38" s="5" t="s">
        <v>53</v>
      </c>
      <c r="C38" s="138"/>
      <c r="D38" s="6" t="s">
        <v>14</v>
      </c>
      <c r="E38" s="6">
        <v>1</v>
      </c>
      <c r="F38" s="107">
        <v>5.69</v>
      </c>
      <c r="G38" s="107"/>
      <c r="H38" s="186">
        <v>1</v>
      </c>
      <c r="I38" s="166">
        <f t="shared" si="2"/>
        <v>31</v>
      </c>
      <c r="J38" s="9"/>
    </row>
    <row r="39" spans="1:10" ht="13.15" customHeight="1" x14ac:dyDescent="0.2">
      <c r="A39" s="5" t="s">
        <v>16</v>
      </c>
      <c r="B39" s="5" t="s">
        <v>17</v>
      </c>
      <c r="C39" s="138"/>
      <c r="D39" s="6" t="s">
        <v>14</v>
      </c>
      <c r="E39" s="6">
        <v>1</v>
      </c>
      <c r="F39" s="107">
        <v>0.44</v>
      </c>
      <c r="G39" s="107">
        <v>0.44</v>
      </c>
      <c r="H39" s="186">
        <v>1</v>
      </c>
      <c r="I39" s="166">
        <f t="shared" si="2"/>
        <v>31</v>
      </c>
      <c r="J39" s="5"/>
    </row>
    <row r="40" spans="1:10" ht="13.15" customHeight="1" x14ac:dyDescent="0.2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110">
        <v>2.0499999999999998</v>
      </c>
      <c r="G40" s="110"/>
      <c r="H40" s="186">
        <v>1</v>
      </c>
      <c r="I40" s="166">
        <f t="shared" si="2"/>
        <v>31</v>
      </c>
      <c r="J40" s="10"/>
    </row>
    <row r="41" spans="1:10" ht="13.15" customHeight="1" x14ac:dyDescent="0.2">
      <c r="A41" s="127" t="s">
        <v>378</v>
      </c>
      <c r="B41" s="5" t="s">
        <v>54</v>
      </c>
      <c r="C41" s="138"/>
      <c r="D41" s="6" t="s">
        <v>14</v>
      </c>
      <c r="E41" s="6" t="s">
        <v>55</v>
      </c>
      <c r="F41" s="107">
        <v>0.8</v>
      </c>
      <c r="G41" s="107">
        <v>0.8</v>
      </c>
      <c r="H41" s="186">
        <v>0.6</v>
      </c>
      <c r="I41" s="166">
        <f t="shared" si="2"/>
        <v>19</v>
      </c>
      <c r="J41" s="7" t="s">
        <v>44</v>
      </c>
    </row>
    <row r="42" spans="1:10" ht="13.15" customHeight="1" x14ac:dyDescent="0.2">
      <c r="A42" s="127" t="s">
        <v>379</v>
      </c>
      <c r="B42" s="5" t="s">
        <v>380</v>
      </c>
      <c r="C42" s="138"/>
      <c r="D42" s="6" t="s">
        <v>14</v>
      </c>
      <c r="E42" s="6" t="s">
        <v>55</v>
      </c>
      <c r="F42" s="107">
        <v>0.56000000000000005</v>
      </c>
      <c r="G42" s="107">
        <v>0.56000000000000005</v>
      </c>
      <c r="H42" s="186">
        <v>0.6</v>
      </c>
      <c r="I42" s="166">
        <f t="shared" si="2"/>
        <v>19</v>
      </c>
      <c r="J42" s="7" t="s">
        <v>44</v>
      </c>
    </row>
    <row r="43" spans="1:10" ht="13.15" customHeight="1" x14ac:dyDescent="0.2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07">
        <v>0.98</v>
      </c>
      <c r="G43" s="107">
        <v>0.98</v>
      </c>
      <c r="H43" s="186">
        <v>1</v>
      </c>
      <c r="I43" s="166">
        <f t="shared" si="2"/>
        <v>31</v>
      </c>
      <c r="J43" s="7" t="s">
        <v>44</v>
      </c>
    </row>
    <row r="44" spans="1:10" ht="13.15" customHeight="1" x14ac:dyDescent="0.2">
      <c r="A44" s="51" t="s">
        <v>308</v>
      </c>
      <c r="B44" s="52"/>
      <c r="C44" s="137"/>
      <c r="D44" s="52"/>
      <c r="E44" s="52"/>
      <c r="F44" s="106"/>
      <c r="G44" s="106"/>
      <c r="H44" s="165"/>
      <c r="I44" s="165"/>
      <c r="J44" s="53"/>
    </row>
    <row r="45" spans="1:10" ht="13.5" customHeight="1" x14ac:dyDescent="0.2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111">
        <v>0</v>
      </c>
      <c r="G45" s="111"/>
      <c r="H45" s="170"/>
      <c r="I45" s="170"/>
      <c r="J45" s="45" t="s">
        <v>270</v>
      </c>
    </row>
    <row r="46" spans="1:10" ht="13.5" customHeight="1" x14ac:dyDescent="0.2">
      <c r="A46" s="75"/>
      <c r="B46" s="75"/>
      <c r="C46" s="141"/>
      <c r="D46" s="76"/>
      <c r="E46" s="76"/>
      <c r="F46" s="112"/>
      <c r="G46" s="112"/>
      <c r="H46" s="171"/>
      <c r="I46" s="171"/>
      <c r="J46" s="77"/>
    </row>
    <row r="47" spans="1:10" ht="13.15" customHeight="1" x14ac:dyDescent="0.2">
      <c r="A47" s="54" t="s">
        <v>309</v>
      </c>
      <c r="B47" s="55"/>
      <c r="C47" s="142"/>
      <c r="D47" s="55"/>
      <c r="E47" s="55"/>
      <c r="F47" s="113"/>
      <c r="G47" s="113"/>
      <c r="H47" s="172"/>
      <c r="I47" s="172"/>
      <c r="J47" s="56"/>
    </row>
    <row r="48" spans="1:10" ht="13.15" customHeight="1" x14ac:dyDescent="0.2">
      <c r="A48" s="51" t="s">
        <v>306</v>
      </c>
      <c r="B48" s="52"/>
      <c r="C48" s="137"/>
      <c r="D48" s="52"/>
      <c r="E48" s="52"/>
      <c r="F48" s="106"/>
      <c r="G48" s="106"/>
      <c r="H48" s="165"/>
      <c r="I48" s="165"/>
      <c r="J48" s="53"/>
    </row>
    <row r="49" spans="1:10" ht="13.15" customHeight="1" x14ac:dyDescent="0.2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4">
        <v>2.2999999999999998</v>
      </c>
      <c r="G49" s="114">
        <v>2.2999999999999998</v>
      </c>
      <c r="H49" s="188">
        <v>1</v>
      </c>
      <c r="I49" s="173">
        <f>ROUND($O$7*H49,0)</f>
        <v>55</v>
      </c>
      <c r="J49" s="99"/>
    </row>
    <row r="50" spans="1:10" ht="13.15" customHeight="1" x14ac:dyDescent="0.2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114">
        <v>1.24</v>
      </c>
      <c r="G50" s="114"/>
      <c r="H50" s="188">
        <v>1</v>
      </c>
      <c r="I50" s="173">
        <f>ROUND($O$7*H50,0)</f>
        <v>55</v>
      </c>
      <c r="J50" s="100"/>
    </row>
    <row r="51" spans="1:10" ht="13.15" customHeight="1" x14ac:dyDescent="0.2">
      <c r="A51" s="96" t="s">
        <v>67</v>
      </c>
      <c r="B51" s="96" t="s">
        <v>66</v>
      </c>
      <c r="C51" s="143"/>
      <c r="D51" s="97" t="s">
        <v>62</v>
      </c>
      <c r="E51" s="97" t="s">
        <v>22</v>
      </c>
      <c r="F51" s="114">
        <v>7.26</v>
      </c>
      <c r="G51" s="114"/>
      <c r="H51" s="188">
        <v>0.6</v>
      </c>
      <c r="I51" s="173">
        <f>ROUNDUP($O$7*H51,0)</f>
        <v>33</v>
      </c>
      <c r="J51" s="96"/>
    </row>
    <row r="52" spans="1:10" ht="13.15" customHeight="1" x14ac:dyDescent="0.2">
      <c r="A52" s="96" t="s">
        <v>65</v>
      </c>
      <c r="B52" s="96" t="s">
        <v>68</v>
      </c>
      <c r="C52" s="143"/>
      <c r="D52" s="97" t="s">
        <v>62</v>
      </c>
      <c r="E52" s="97" t="s">
        <v>69</v>
      </c>
      <c r="F52" s="114">
        <v>5.25</v>
      </c>
      <c r="G52" s="114"/>
      <c r="H52" s="188">
        <v>0.4</v>
      </c>
      <c r="I52" s="173">
        <f>ROUNDDOWN($O$7*H52,0)</f>
        <v>22</v>
      </c>
      <c r="J52" s="101" t="s">
        <v>70</v>
      </c>
    </row>
    <row r="53" spans="1:10" ht="13.15" customHeight="1" x14ac:dyDescent="0.2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4">
        <v>1.91</v>
      </c>
      <c r="G53" s="114"/>
      <c r="H53" s="188">
        <v>1</v>
      </c>
      <c r="I53" s="173">
        <f>ROUND($O$7*H53,0)</f>
        <v>55</v>
      </c>
      <c r="J53" s="100"/>
    </row>
    <row r="54" spans="1:10" ht="13.15" customHeight="1" x14ac:dyDescent="0.2">
      <c r="A54" s="96" t="s">
        <v>72</v>
      </c>
      <c r="B54" s="127" t="s">
        <v>387</v>
      </c>
      <c r="C54" s="143"/>
      <c r="D54" s="97" t="s">
        <v>62</v>
      </c>
      <c r="E54" s="98" t="s">
        <v>73</v>
      </c>
      <c r="F54" s="114">
        <v>0.8</v>
      </c>
      <c r="G54" s="114"/>
      <c r="H54" s="188">
        <v>1.2</v>
      </c>
      <c r="I54" s="173">
        <f>ROUND($O$7*H54,0)</f>
        <v>66</v>
      </c>
      <c r="J54" s="102" t="s">
        <v>74</v>
      </c>
    </row>
    <row r="55" spans="1:10" ht="13.15" customHeight="1" x14ac:dyDescent="0.2">
      <c r="A55" s="51" t="s">
        <v>307</v>
      </c>
      <c r="B55" s="52"/>
      <c r="C55" s="137"/>
      <c r="D55" s="52"/>
      <c r="E55" s="52"/>
      <c r="F55" s="106"/>
      <c r="G55" s="106"/>
      <c r="H55" s="189"/>
      <c r="I55" s="165"/>
      <c r="J55" s="53"/>
    </row>
    <row r="56" spans="1:10" ht="13.15" customHeight="1" x14ac:dyDescent="0.2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114">
        <v>2.92</v>
      </c>
      <c r="G56" s="114">
        <v>2.92</v>
      </c>
      <c r="H56" s="188">
        <v>1</v>
      </c>
      <c r="I56" s="173">
        <f>ROUND($O$7*H56,0)</f>
        <v>55</v>
      </c>
      <c r="J56" s="102"/>
    </row>
    <row r="57" spans="1:10" ht="13.15" customHeight="1" x14ac:dyDescent="0.2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114">
        <v>2.61</v>
      </c>
      <c r="G57" s="114"/>
      <c r="H57" s="188">
        <v>1</v>
      </c>
      <c r="I57" s="173">
        <f>ROUND($O$7*H57,0)</f>
        <v>55</v>
      </c>
      <c r="J57" s="102"/>
    </row>
    <row r="58" spans="1:10" ht="13.15" customHeight="1" x14ac:dyDescent="0.2">
      <c r="A58" s="127" t="s">
        <v>381</v>
      </c>
      <c r="B58" s="96" t="s">
        <v>382</v>
      </c>
      <c r="C58" s="143"/>
      <c r="D58" s="97" t="s">
        <v>62</v>
      </c>
      <c r="E58" s="98" t="s">
        <v>73</v>
      </c>
      <c r="F58" s="114">
        <v>0.78</v>
      </c>
      <c r="G58" s="114"/>
      <c r="H58" s="188">
        <v>1.2</v>
      </c>
      <c r="I58" s="173">
        <f>ROUND($O$7*H58,0)</f>
        <v>66</v>
      </c>
      <c r="J58" s="102" t="s">
        <v>74</v>
      </c>
    </row>
    <row r="59" spans="1:10" ht="13.15" customHeight="1" x14ac:dyDescent="0.2">
      <c r="A59" s="51" t="s">
        <v>308</v>
      </c>
      <c r="B59" s="52"/>
      <c r="C59" s="137"/>
      <c r="D59" s="52"/>
      <c r="E59" s="52"/>
      <c r="F59" s="106"/>
      <c r="G59" s="106"/>
      <c r="H59" s="189"/>
      <c r="I59" s="165"/>
      <c r="J59" s="53"/>
    </row>
    <row r="60" spans="1:10" ht="13.15" customHeight="1" x14ac:dyDescent="0.2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111">
        <v>0</v>
      </c>
      <c r="G60" s="111"/>
      <c r="H60" s="190"/>
      <c r="I60" s="170"/>
      <c r="J60" s="42" t="s">
        <v>270</v>
      </c>
    </row>
    <row r="61" spans="1:10" ht="13.15" customHeight="1" x14ac:dyDescent="0.2">
      <c r="A61" s="78"/>
      <c r="B61" s="79"/>
      <c r="C61" s="145"/>
      <c r="D61" s="80"/>
      <c r="E61" s="80"/>
      <c r="F61" s="115"/>
      <c r="G61" s="115"/>
      <c r="H61" s="191"/>
      <c r="I61" s="174"/>
      <c r="J61" s="81"/>
    </row>
    <row r="62" spans="1:10" ht="13.15" customHeight="1" x14ac:dyDescent="0.2">
      <c r="A62" s="93" t="s">
        <v>310</v>
      </c>
      <c r="B62" s="94"/>
      <c r="C62" s="146"/>
      <c r="D62" s="94"/>
      <c r="E62" s="94"/>
      <c r="F62" s="116"/>
      <c r="G62" s="116"/>
      <c r="H62" s="192"/>
      <c r="I62" s="175"/>
      <c r="J62" s="95"/>
    </row>
    <row r="63" spans="1:10" ht="13.15" customHeight="1" x14ac:dyDescent="0.2">
      <c r="A63" s="57" t="s">
        <v>306</v>
      </c>
      <c r="B63" s="58"/>
      <c r="C63" s="147"/>
      <c r="D63" s="58"/>
      <c r="E63" s="58"/>
      <c r="F63" s="117"/>
      <c r="G63" s="117"/>
      <c r="H63" s="193"/>
      <c r="I63" s="176"/>
      <c r="J63" s="59"/>
    </row>
    <row r="64" spans="1:10" ht="13.15" customHeight="1" x14ac:dyDescent="0.2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18">
        <v>0.87</v>
      </c>
      <c r="H64" s="194">
        <v>1</v>
      </c>
      <c r="I64" s="177">
        <f>ROUND($P$7*H64,0)</f>
        <v>166</v>
      </c>
      <c r="J64" s="11"/>
    </row>
    <row r="65" spans="1:10" ht="13.15" customHeight="1" x14ac:dyDescent="0.2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1</v>
      </c>
      <c r="G65" s="118"/>
      <c r="H65" s="194">
        <v>1</v>
      </c>
      <c r="I65" s="177">
        <f>ROUND($P$7*H65,0)</f>
        <v>166</v>
      </c>
      <c r="J65" s="14"/>
    </row>
    <row r="66" spans="1:10" ht="13.15" customHeight="1" x14ac:dyDescent="0.2">
      <c r="A66" s="11" t="s">
        <v>65</v>
      </c>
      <c r="B66" s="11" t="s">
        <v>68</v>
      </c>
      <c r="C66" s="148"/>
      <c r="D66" s="12" t="s">
        <v>81</v>
      </c>
      <c r="E66" s="13">
        <v>1</v>
      </c>
      <c r="F66" s="118">
        <v>5.25</v>
      </c>
      <c r="G66" s="118"/>
      <c r="H66" s="194">
        <v>1</v>
      </c>
      <c r="I66" s="177">
        <f>ROUND($P$7*H66,0)</f>
        <v>166</v>
      </c>
      <c r="J66" s="11" t="s">
        <v>84</v>
      </c>
    </row>
    <row r="67" spans="1:10" ht="13.15" customHeight="1" x14ac:dyDescent="0.2">
      <c r="A67" s="11" t="s">
        <v>85</v>
      </c>
      <c r="B67" s="11" t="s">
        <v>86</v>
      </c>
      <c r="C67" s="148"/>
      <c r="D67" s="12" t="s">
        <v>81</v>
      </c>
      <c r="E67" s="13">
        <v>1</v>
      </c>
      <c r="F67" s="118">
        <v>1.17</v>
      </c>
      <c r="G67" s="118"/>
      <c r="H67" s="194">
        <v>1</v>
      </c>
      <c r="I67" s="177">
        <f>ROUND($P$7*H67,0)</f>
        <v>166</v>
      </c>
      <c r="J67" s="11"/>
    </row>
    <row r="68" spans="1:10" ht="13.15" customHeight="1" x14ac:dyDescent="0.2">
      <c r="A68" s="127" t="s">
        <v>383</v>
      </c>
      <c r="B68" s="127" t="s">
        <v>384</v>
      </c>
      <c r="C68" s="148"/>
      <c r="D68" s="12" t="s">
        <v>81</v>
      </c>
      <c r="E68" s="13" t="s">
        <v>73</v>
      </c>
      <c r="F68" s="118">
        <v>0.28000000000000003</v>
      </c>
      <c r="G68" s="118">
        <v>0.28000000000000003</v>
      </c>
      <c r="H68" s="194">
        <v>1.2</v>
      </c>
      <c r="I68" s="177">
        <f>ROUND($P$7*H68,0)</f>
        <v>199</v>
      </c>
      <c r="J68" s="15" t="s">
        <v>74</v>
      </c>
    </row>
    <row r="69" spans="1:10" ht="13.15" customHeight="1" x14ac:dyDescent="0.2">
      <c r="A69" s="57" t="s">
        <v>307</v>
      </c>
      <c r="B69" s="58"/>
      <c r="C69" s="147"/>
      <c r="D69" s="58"/>
      <c r="E69" s="58"/>
      <c r="F69" s="117"/>
      <c r="G69" s="117"/>
      <c r="H69" s="193"/>
      <c r="I69" s="176"/>
      <c r="J69" s="59"/>
    </row>
    <row r="70" spans="1:10" ht="13.15" customHeight="1" x14ac:dyDescent="0.2">
      <c r="A70" s="11" t="s">
        <v>87</v>
      </c>
      <c r="B70" s="11" t="s">
        <v>88</v>
      </c>
      <c r="C70" s="148"/>
      <c r="D70" s="12" t="s">
        <v>81</v>
      </c>
      <c r="E70" s="13">
        <v>1</v>
      </c>
      <c r="F70" s="118">
        <v>2.04</v>
      </c>
      <c r="G70" s="118">
        <v>2.04</v>
      </c>
      <c r="H70" s="194">
        <v>1</v>
      </c>
      <c r="I70" s="177">
        <f>ROUND($P$7*H70,0)</f>
        <v>166</v>
      </c>
      <c r="J70" s="11"/>
    </row>
    <row r="71" spans="1:10" ht="13.15" customHeight="1" x14ac:dyDescent="0.2">
      <c r="A71" s="11" t="s">
        <v>89</v>
      </c>
      <c r="B71" s="11" t="s">
        <v>90</v>
      </c>
      <c r="C71" s="148"/>
      <c r="D71" s="12" t="s">
        <v>81</v>
      </c>
      <c r="E71" s="13">
        <v>1</v>
      </c>
      <c r="F71" s="118">
        <v>0.59</v>
      </c>
      <c r="G71" s="118">
        <v>0.59</v>
      </c>
      <c r="H71" s="194">
        <v>1</v>
      </c>
      <c r="I71" s="177">
        <f>ROUND($P$7*H71,0)</f>
        <v>166</v>
      </c>
      <c r="J71" s="11"/>
    </row>
    <row r="72" spans="1:10" ht="13.15" customHeight="1" x14ac:dyDescent="0.2">
      <c r="A72" s="78"/>
      <c r="B72" s="79"/>
      <c r="C72" s="149"/>
      <c r="D72" s="80"/>
      <c r="E72" s="82"/>
      <c r="F72" s="115"/>
      <c r="G72" s="115"/>
      <c r="H72" s="191"/>
      <c r="I72" s="174"/>
      <c r="J72" s="81"/>
    </row>
    <row r="73" spans="1:10" ht="13.15" customHeight="1" x14ac:dyDescent="0.2">
      <c r="A73" s="60" t="s">
        <v>311</v>
      </c>
      <c r="B73" s="61"/>
      <c r="C73" s="150"/>
      <c r="D73" s="61"/>
      <c r="E73" s="61"/>
      <c r="F73" s="119"/>
      <c r="G73" s="119"/>
      <c r="H73" s="195"/>
      <c r="I73" s="178"/>
      <c r="J73" s="62"/>
    </row>
    <row r="74" spans="1:10" ht="13.15" customHeight="1" x14ac:dyDescent="0.2">
      <c r="A74" s="63" t="s">
        <v>312</v>
      </c>
      <c r="B74" s="64"/>
      <c r="C74" s="151"/>
      <c r="D74" s="64"/>
      <c r="E74" s="64"/>
      <c r="F74" s="120"/>
      <c r="G74" s="120"/>
      <c r="H74" s="196"/>
      <c r="I74" s="179"/>
      <c r="J74" s="65"/>
    </row>
    <row r="75" spans="1:10" ht="13.15" customHeight="1" x14ac:dyDescent="0.2">
      <c r="A75" s="16" t="s">
        <v>91</v>
      </c>
      <c r="B75" s="16" t="s">
        <v>343</v>
      </c>
      <c r="C75" s="152"/>
      <c r="D75" s="6" t="s">
        <v>14</v>
      </c>
      <c r="E75" s="17" t="s">
        <v>92</v>
      </c>
      <c r="F75" s="121">
        <v>38.39</v>
      </c>
      <c r="G75" s="121"/>
      <c r="H75" s="197"/>
      <c r="I75" s="180">
        <f>N9</f>
        <v>0</v>
      </c>
      <c r="J75" s="18"/>
    </row>
    <row r="76" spans="1:10" ht="13.15" customHeight="1" x14ac:dyDescent="0.2">
      <c r="A76" s="16" t="s">
        <v>93</v>
      </c>
      <c r="B76" s="16" t="s">
        <v>342</v>
      </c>
      <c r="C76" s="152"/>
      <c r="D76" s="6" t="s">
        <v>14</v>
      </c>
      <c r="E76" s="17" t="s">
        <v>92</v>
      </c>
      <c r="F76" s="121">
        <f>F75/2</f>
        <v>19.195</v>
      </c>
      <c r="G76" s="121"/>
      <c r="H76" s="197"/>
      <c r="I76" s="180">
        <f>IF(4-N9&gt;0,4-N9,0)</f>
        <v>4</v>
      </c>
      <c r="J76" s="18"/>
    </row>
    <row r="77" spans="1:10" ht="13.15" customHeight="1" x14ac:dyDescent="0.2">
      <c r="A77" s="16" t="s">
        <v>94</v>
      </c>
      <c r="B77" s="16" t="s">
        <v>344</v>
      </c>
      <c r="C77" s="152"/>
      <c r="D77" s="97" t="s">
        <v>62</v>
      </c>
      <c r="E77" s="17" t="s">
        <v>92</v>
      </c>
      <c r="F77" s="121">
        <v>19.690000000000001</v>
      </c>
      <c r="G77" s="121"/>
      <c r="H77" s="197"/>
      <c r="I77" s="180">
        <f>O9</f>
        <v>0</v>
      </c>
      <c r="J77" s="18"/>
    </row>
    <row r="78" spans="1:10" ht="13.15" customHeight="1" x14ac:dyDescent="0.2">
      <c r="A78" s="16" t="s">
        <v>95</v>
      </c>
      <c r="B78" s="16" t="s">
        <v>345</v>
      </c>
      <c r="C78" s="152"/>
      <c r="D78" s="97" t="s">
        <v>62</v>
      </c>
      <c r="E78" s="17" t="s">
        <v>92</v>
      </c>
      <c r="F78" s="121">
        <f>F77/2</f>
        <v>9.8450000000000006</v>
      </c>
      <c r="G78" s="121"/>
      <c r="H78" s="197"/>
      <c r="I78" s="180">
        <f>IF(4-O9&gt;0,4-O9,0)</f>
        <v>4</v>
      </c>
      <c r="J78" s="18"/>
    </row>
    <row r="79" spans="1:10" ht="13.15" customHeight="1" x14ac:dyDescent="0.2">
      <c r="A79" s="66" t="s">
        <v>313</v>
      </c>
      <c r="B79" s="67"/>
      <c r="C79" s="153"/>
      <c r="D79" s="67"/>
      <c r="E79" s="67"/>
      <c r="F79" s="122"/>
      <c r="G79" s="122"/>
      <c r="H79" s="198"/>
      <c r="I79" s="181"/>
      <c r="J79" s="68"/>
    </row>
    <row r="80" spans="1:10" ht="13.15" customHeight="1" x14ac:dyDescent="0.2">
      <c r="A80" s="63" t="s">
        <v>312</v>
      </c>
      <c r="B80" s="64"/>
      <c r="C80" s="151"/>
      <c r="D80" s="64"/>
      <c r="E80" s="64"/>
      <c r="F80" s="120"/>
      <c r="G80" s="120"/>
      <c r="H80" s="196"/>
      <c r="I80" s="179"/>
      <c r="J80" s="65"/>
    </row>
    <row r="81" spans="1:10" ht="13.15" customHeight="1" x14ac:dyDescent="0.2">
      <c r="A81" s="16" t="s">
        <v>346</v>
      </c>
      <c r="B81" s="16" t="s">
        <v>351</v>
      </c>
      <c r="C81" s="152"/>
      <c r="D81" s="17" t="s">
        <v>96</v>
      </c>
      <c r="E81" s="17" t="s">
        <v>92</v>
      </c>
      <c r="F81" s="121">
        <v>560</v>
      </c>
      <c r="G81" s="121">
        <v>560</v>
      </c>
      <c r="H81" s="197"/>
      <c r="I81" s="180"/>
      <c r="J81" s="16" t="s">
        <v>97</v>
      </c>
    </row>
    <row r="82" spans="1:10" ht="13.15" customHeight="1" x14ac:dyDescent="0.2">
      <c r="A82" s="16" t="s">
        <v>347</v>
      </c>
      <c r="B82" s="16" t="s">
        <v>351</v>
      </c>
      <c r="C82" s="152"/>
      <c r="D82" s="17" t="s">
        <v>96</v>
      </c>
      <c r="E82" s="17" t="s">
        <v>92</v>
      </c>
      <c r="F82" s="121">
        <v>560</v>
      </c>
      <c r="G82" s="121">
        <v>560</v>
      </c>
      <c r="H82" s="197"/>
      <c r="I82" s="180"/>
      <c r="J82" s="16" t="s">
        <v>98</v>
      </c>
    </row>
    <row r="83" spans="1:10" ht="13.15" customHeight="1" x14ac:dyDescent="0.2">
      <c r="A83" s="16" t="s">
        <v>348</v>
      </c>
      <c r="B83" s="16" t="s">
        <v>351</v>
      </c>
      <c r="C83" s="152"/>
      <c r="D83" s="17" t="s">
        <v>96</v>
      </c>
      <c r="E83" s="17" t="s">
        <v>92</v>
      </c>
      <c r="F83" s="121">
        <v>560</v>
      </c>
      <c r="G83" s="121">
        <v>560</v>
      </c>
      <c r="H83" s="197"/>
      <c r="I83" s="180"/>
      <c r="J83" s="16" t="s">
        <v>99</v>
      </c>
    </row>
    <row r="84" spans="1:10" ht="13.15" customHeight="1" x14ac:dyDescent="0.2">
      <c r="A84" s="16" t="s">
        <v>349</v>
      </c>
      <c r="B84" s="16" t="s">
        <v>352</v>
      </c>
      <c r="C84" s="152"/>
      <c r="D84" s="17" t="s">
        <v>96</v>
      </c>
      <c r="E84" s="17" t="s">
        <v>92</v>
      </c>
      <c r="F84" s="121">
        <v>425</v>
      </c>
      <c r="G84" s="121">
        <v>425</v>
      </c>
      <c r="H84" s="197"/>
      <c r="I84" s="180"/>
      <c r="J84" s="16"/>
    </row>
    <row r="85" spans="1:10" ht="13.15" customHeight="1" x14ac:dyDescent="0.2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21">
        <v>425</v>
      </c>
      <c r="H85" s="197"/>
      <c r="I85" s="180"/>
      <c r="J85" s="16"/>
    </row>
    <row r="86" spans="1:10" ht="13.15" customHeight="1" x14ac:dyDescent="0.2">
      <c r="A86" s="16" t="s">
        <v>349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21">
        <v>425</v>
      </c>
      <c r="H86" s="197"/>
      <c r="I86" s="180"/>
      <c r="J86" s="16"/>
    </row>
    <row r="87" spans="1:10" ht="13.15" customHeight="1" x14ac:dyDescent="0.2">
      <c r="A87" s="16" t="s">
        <v>350</v>
      </c>
      <c r="B87" s="16" t="s">
        <v>353</v>
      </c>
      <c r="C87" s="152"/>
      <c r="D87" s="17" t="s">
        <v>96</v>
      </c>
      <c r="E87" s="17" t="s">
        <v>92</v>
      </c>
      <c r="F87" s="121">
        <v>285</v>
      </c>
      <c r="G87" s="121">
        <v>285</v>
      </c>
      <c r="H87" s="197"/>
      <c r="I87" s="180"/>
      <c r="J87" s="16"/>
    </row>
    <row r="88" spans="1:10" ht="13.15" customHeight="1" x14ac:dyDescent="0.2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21">
        <v>285</v>
      </c>
      <c r="H88" s="197"/>
      <c r="I88" s="180"/>
      <c r="J88" s="16"/>
    </row>
    <row r="89" spans="1:10" ht="13.15" customHeight="1" x14ac:dyDescent="0.2">
      <c r="A89" s="16" t="s">
        <v>350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21">
        <v>285</v>
      </c>
      <c r="H89" s="197"/>
      <c r="I89" s="180"/>
      <c r="J89" s="16"/>
    </row>
    <row r="90" spans="1:10" ht="13.15" customHeight="1" x14ac:dyDescent="0.2">
      <c r="A90" s="16" t="s">
        <v>354</v>
      </c>
      <c r="B90" s="16" t="s">
        <v>100</v>
      </c>
      <c r="C90" s="152"/>
      <c r="D90" s="17" t="s">
        <v>96</v>
      </c>
      <c r="E90" s="17" t="s">
        <v>92</v>
      </c>
      <c r="F90" s="121">
        <v>0.26</v>
      </c>
      <c r="G90" s="121">
        <v>0.26</v>
      </c>
      <c r="H90" s="197"/>
      <c r="I90" s="180"/>
      <c r="J90" s="16"/>
    </row>
    <row r="91" spans="1:10" ht="13.15" customHeight="1" x14ac:dyDescent="0.2">
      <c r="A91" s="16" t="s">
        <v>355</v>
      </c>
      <c r="B91" s="16" t="s">
        <v>100</v>
      </c>
      <c r="C91" s="152"/>
      <c r="D91" s="17" t="s">
        <v>96</v>
      </c>
      <c r="E91" s="17" t="s">
        <v>92</v>
      </c>
      <c r="F91" s="121">
        <v>0.26</v>
      </c>
      <c r="G91" s="121">
        <v>0.26</v>
      </c>
      <c r="H91" s="197"/>
      <c r="I91" s="180"/>
      <c r="J91" s="16"/>
    </row>
    <row r="92" spans="1:10" ht="13.15" customHeight="1" x14ac:dyDescent="0.2">
      <c r="A92" s="16" t="s">
        <v>356</v>
      </c>
      <c r="B92" s="16" t="s">
        <v>100</v>
      </c>
      <c r="C92" s="152"/>
      <c r="D92" s="17" t="s">
        <v>96</v>
      </c>
      <c r="E92" s="17" t="s">
        <v>92</v>
      </c>
      <c r="F92" s="121">
        <v>0.26</v>
      </c>
      <c r="G92" s="121">
        <v>0.26</v>
      </c>
      <c r="H92" s="197"/>
      <c r="I92" s="180"/>
      <c r="J92" s="16"/>
    </row>
    <row r="93" spans="1:10" ht="13.15" customHeight="1" x14ac:dyDescent="0.2">
      <c r="A93" s="16" t="s">
        <v>357</v>
      </c>
      <c r="B93" s="16" t="s">
        <v>102</v>
      </c>
      <c r="C93" s="152"/>
      <c r="D93" s="17" t="s">
        <v>96</v>
      </c>
      <c r="E93" s="17" t="s">
        <v>92</v>
      </c>
      <c r="F93" s="121">
        <v>0.99</v>
      </c>
      <c r="G93" s="121">
        <v>0.99</v>
      </c>
      <c r="H93" s="197"/>
      <c r="I93" s="180"/>
      <c r="J93" s="16"/>
    </row>
    <row r="94" spans="1:10" ht="13.15" customHeight="1" x14ac:dyDescent="0.2">
      <c r="A94" s="16" t="s">
        <v>358</v>
      </c>
      <c r="B94" s="16" t="s">
        <v>102</v>
      </c>
      <c r="C94" s="152"/>
      <c r="D94" s="17" t="s">
        <v>96</v>
      </c>
      <c r="E94" s="17" t="s">
        <v>92</v>
      </c>
      <c r="F94" s="121">
        <v>0.99</v>
      </c>
      <c r="G94" s="121">
        <v>0.99</v>
      </c>
      <c r="H94" s="197"/>
      <c r="I94" s="180"/>
      <c r="J94" s="16"/>
    </row>
    <row r="95" spans="1:10" ht="13.15" customHeight="1" x14ac:dyDescent="0.2">
      <c r="A95" s="16" t="s">
        <v>359</v>
      </c>
      <c r="B95" s="16" t="s">
        <v>102</v>
      </c>
      <c r="C95" s="152"/>
      <c r="D95" s="17" t="s">
        <v>96</v>
      </c>
      <c r="E95" s="17" t="s">
        <v>92</v>
      </c>
      <c r="F95" s="121">
        <v>0.99</v>
      </c>
      <c r="G95" s="121">
        <v>0.99</v>
      </c>
      <c r="H95" s="197"/>
      <c r="I95" s="180"/>
      <c r="J95" s="16"/>
    </row>
    <row r="96" spans="1:10" ht="13.15" customHeight="1" x14ac:dyDescent="0.2">
      <c r="A96" s="16" t="s">
        <v>103</v>
      </c>
      <c r="B96" s="16" t="s">
        <v>104</v>
      </c>
      <c r="C96" s="152" t="s">
        <v>101</v>
      </c>
      <c r="D96" s="17" t="s">
        <v>96</v>
      </c>
      <c r="E96" s="17" t="s">
        <v>92</v>
      </c>
      <c r="F96" s="121">
        <v>200</v>
      </c>
      <c r="G96" s="121">
        <v>200</v>
      </c>
      <c r="H96" s="197"/>
      <c r="I96" s="180"/>
      <c r="J96" s="16"/>
    </row>
    <row r="97" spans="1:10" ht="13.15" customHeight="1" x14ac:dyDescent="0.2">
      <c r="A97" s="16" t="s">
        <v>105</v>
      </c>
      <c r="B97" s="16" t="s">
        <v>106</v>
      </c>
      <c r="C97" s="152" t="s">
        <v>101</v>
      </c>
      <c r="D97" s="17" t="s">
        <v>96</v>
      </c>
      <c r="E97" s="17" t="s">
        <v>92</v>
      </c>
      <c r="F97" s="121">
        <v>200</v>
      </c>
      <c r="G97" s="121">
        <v>200</v>
      </c>
      <c r="H97" s="197"/>
      <c r="I97" s="180"/>
      <c r="J97" s="16"/>
    </row>
    <row r="98" spans="1:10" ht="13.15" customHeight="1" x14ac:dyDescent="0.2">
      <c r="A98" s="16" t="s">
        <v>107</v>
      </c>
      <c r="B98" s="16" t="s">
        <v>108</v>
      </c>
      <c r="C98" s="152" t="s">
        <v>101</v>
      </c>
      <c r="D98" s="17" t="s">
        <v>96</v>
      </c>
      <c r="E98" s="17" t="s">
        <v>92</v>
      </c>
      <c r="F98" s="121">
        <v>260</v>
      </c>
      <c r="G98" s="121">
        <v>260</v>
      </c>
      <c r="H98" s="197"/>
      <c r="I98" s="180"/>
      <c r="J98" s="16"/>
    </row>
    <row r="99" spans="1:10" ht="13.15" customHeight="1" x14ac:dyDescent="0.2">
      <c r="A99" s="16" t="s">
        <v>109</v>
      </c>
      <c r="B99" s="16" t="s">
        <v>110</v>
      </c>
      <c r="C99" s="152" t="s">
        <v>101</v>
      </c>
      <c r="D99" s="17" t="s">
        <v>96</v>
      </c>
      <c r="E99" s="17" t="s">
        <v>92</v>
      </c>
      <c r="F99" s="121">
        <v>55</v>
      </c>
      <c r="G99" s="121">
        <v>55</v>
      </c>
      <c r="H99" s="197"/>
      <c r="I99" s="180"/>
      <c r="J99" s="16"/>
    </row>
    <row r="100" spans="1:10" ht="13.15" customHeight="1" x14ac:dyDescent="0.2">
      <c r="A100" s="16" t="s">
        <v>363</v>
      </c>
      <c r="B100" s="16" t="s">
        <v>366</v>
      </c>
      <c r="C100" s="152"/>
      <c r="D100" s="17" t="s">
        <v>96</v>
      </c>
      <c r="E100" s="17" t="s">
        <v>92</v>
      </c>
      <c r="F100" s="121">
        <v>4</v>
      </c>
      <c r="G100" s="121">
        <v>4</v>
      </c>
      <c r="H100" s="197"/>
      <c r="I100" s="180">
        <f>N10</f>
        <v>32</v>
      </c>
      <c r="J100" s="16"/>
    </row>
    <row r="101" spans="1:10" ht="13.15" customHeight="1" x14ac:dyDescent="0.2">
      <c r="A101" s="16" t="s">
        <v>364</v>
      </c>
      <c r="B101" s="16" t="s">
        <v>367</v>
      </c>
      <c r="C101" s="152"/>
      <c r="D101" s="17" t="s">
        <v>96</v>
      </c>
      <c r="E101" s="17" t="s">
        <v>92</v>
      </c>
      <c r="F101" s="121">
        <v>3</v>
      </c>
      <c r="G101" s="121">
        <v>3</v>
      </c>
      <c r="H101" s="197"/>
      <c r="I101" s="180">
        <f>O10</f>
        <v>56</v>
      </c>
      <c r="J101" s="16"/>
    </row>
    <row r="102" spans="1:10" ht="13.15" customHeight="1" x14ac:dyDescent="0.2">
      <c r="A102" s="16" t="s">
        <v>365</v>
      </c>
      <c r="B102" s="16" t="s">
        <v>368</v>
      </c>
      <c r="C102" s="152"/>
      <c r="D102" s="17" t="s">
        <v>96</v>
      </c>
      <c r="E102" s="17" t="s">
        <v>92</v>
      </c>
      <c r="F102" s="121">
        <v>2.5</v>
      </c>
      <c r="G102" s="121">
        <v>2.5</v>
      </c>
      <c r="H102" s="197"/>
      <c r="I102" s="180">
        <f>P10</f>
        <v>174</v>
      </c>
      <c r="J102" s="16"/>
    </row>
    <row r="103" spans="1:10" ht="13.15" customHeight="1" x14ac:dyDescent="0.2">
      <c r="A103" s="127" t="s">
        <v>385</v>
      </c>
      <c r="B103" s="127" t="s">
        <v>370</v>
      </c>
      <c r="C103" s="152"/>
      <c r="D103" s="17" t="s">
        <v>96</v>
      </c>
      <c r="E103" s="17" t="s">
        <v>92</v>
      </c>
      <c r="F103" s="121">
        <v>3</v>
      </c>
      <c r="G103" s="121">
        <v>3</v>
      </c>
      <c r="H103" s="197"/>
      <c r="I103" s="180">
        <f>Q10</f>
        <v>4</v>
      </c>
      <c r="J103" s="16"/>
    </row>
    <row r="104" spans="1:10" ht="13.15" customHeight="1" x14ac:dyDescent="0.2">
      <c r="A104" s="127" t="s">
        <v>386</v>
      </c>
      <c r="B104" s="127" t="s">
        <v>371</v>
      </c>
      <c r="C104" s="152"/>
      <c r="D104" s="17" t="s">
        <v>96</v>
      </c>
      <c r="E104" s="17" t="s">
        <v>92</v>
      </c>
      <c r="F104" s="121">
        <v>3</v>
      </c>
      <c r="G104" s="121">
        <v>3</v>
      </c>
      <c r="H104" s="197"/>
      <c r="I104" s="180">
        <f>R10</f>
        <v>7</v>
      </c>
      <c r="J104" s="16"/>
    </row>
    <row r="105" spans="1:10" ht="13.15" customHeight="1" x14ac:dyDescent="0.2">
      <c r="A105" s="78"/>
      <c r="B105" s="79"/>
      <c r="C105" s="149"/>
      <c r="D105" s="80"/>
      <c r="E105" s="82"/>
      <c r="F105" s="115"/>
      <c r="G105" s="115"/>
      <c r="H105" s="191"/>
      <c r="I105" s="174"/>
      <c r="J105" s="81"/>
    </row>
    <row r="106" spans="1:10" ht="13.15" customHeight="1" x14ac:dyDescent="0.2">
      <c r="A106" s="69" t="s">
        <v>314</v>
      </c>
      <c r="B106" s="70"/>
      <c r="C106" s="154"/>
      <c r="D106" s="70"/>
      <c r="E106" s="70"/>
      <c r="F106" s="123"/>
      <c r="G106" s="123"/>
      <c r="H106" s="199"/>
      <c r="I106" s="182"/>
      <c r="J106" s="71"/>
    </row>
    <row r="107" spans="1:10" ht="13.15" customHeight="1" x14ac:dyDescent="0.2">
      <c r="A107" s="63" t="s">
        <v>312</v>
      </c>
      <c r="B107" s="64"/>
      <c r="C107" s="151"/>
      <c r="D107" s="64"/>
      <c r="E107" s="64"/>
      <c r="F107" s="120"/>
      <c r="G107" s="120"/>
      <c r="H107" s="196"/>
      <c r="I107" s="179"/>
      <c r="J107" s="65"/>
    </row>
    <row r="108" spans="1:10" ht="13.15" customHeight="1" x14ac:dyDescent="0.2">
      <c r="A108" s="19" t="s">
        <v>232</v>
      </c>
      <c r="B108" s="16" t="s">
        <v>111</v>
      </c>
      <c r="C108" s="152"/>
      <c r="D108" s="6" t="s">
        <v>14</v>
      </c>
      <c r="E108" s="17" t="s">
        <v>92</v>
      </c>
      <c r="F108" s="121">
        <v>25.44</v>
      </c>
      <c r="G108" s="121">
        <v>25.44</v>
      </c>
      <c r="H108" s="197"/>
      <c r="I108" s="180"/>
      <c r="J108" s="18"/>
    </row>
    <row r="109" spans="1:10" x14ac:dyDescent="0.2">
      <c r="A109" s="19" t="s">
        <v>233</v>
      </c>
      <c r="B109" s="16" t="s">
        <v>112</v>
      </c>
      <c r="C109" s="152"/>
      <c r="D109" s="6" t="s">
        <v>14</v>
      </c>
      <c r="E109" s="17" t="s">
        <v>92</v>
      </c>
      <c r="F109" s="121">
        <v>21.62</v>
      </c>
      <c r="G109" s="121">
        <v>21.62</v>
      </c>
      <c r="H109" s="197"/>
      <c r="I109" s="180"/>
      <c r="J109" s="18"/>
    </row>
    <row r="110" spans="1:10" x14ac:dyDescent="0.2">
      <c r="A110" s="19" t="s">
        <v>234</v>
      </c>
      <c r="B110" s="16" t="s">
        <v>113</v>
      </c>
      <c r="C110" s="152"/>
      <c r="D110" s="6" t="s">
        <v>14</v>
      </c>
      <c r="E110" s="17" t="s">
        <v>92</v>
      </c>
      <c r="F110" s="121">
        <v>26.2</v>
      </c>
      <c r="G110" s="121">
        <v>26.2</v>
      </c>
      <c r="H110" s="197"/>
      <c r="I110" s="180"/>
      <c r="J110" s="18"/>
    </row>
    <row r="111" spans="1:10" x14ac:dyDescent="0.2">
      <c r="A111" s="19" t="s">
        <v>235</v>
      </c>
      <c r="B111" s="16" t="s">
        <v>114</v>
      </c>
      <c r="C111" s="152"/>
      <c r="D111" s="6" t="s">
        <v>14</v>
      </c>
      <c r="E111" s="17" t="s">
        <v>92</v>
      </c>
      <c r="F111" s="121">
        <v>25.44</v>
      </c>
      <c r="G111" s="121">
        <v>25.44</v>
      </c>
      <c r="H111" s="197"/>
      <c r="I111" s="180"/>
      <c r="J111" s="18"/>
    </row>
    <row r="112" spans="1:10" x14ac:dyDescent="0.2">
      <c r="A112" s="19" t="s">
        <v>236</v>
      </c>
      <c r="B112" s="16" t="s">
        <v>115</v>
      </c>
      <c r="C112" s="152"/>
      <c r="D112" s="6" t="s">
        <v>14</v>
      </c>
      <c r="E112" s="17" t="s">
        <v>92</v>
      </c>
      <c r="F112" s="121">
        <v>25.44</v>
      </c>
      <c r="G112" s="121">
        <v>25.44</v>
      </c>
      <c r="H112" s="197"/>
      <c r="I112" s="180"/>
      <c r="J112" s="18"/>
    </row>
    <row r="113" spans="1:10" x14ac:dyDescent="0.2">
      <c r="A113" s="19" t="s">
        <v>237</v>
      </c>
      <c r="B113" s="16" t="s">
        <v>116</v>
      </c>
      <c r="C113" s="152"/>
      <c r="D113" s="6" t="s">
        <v>14</v>
      </c>
      <c r="E113" s="17" t="s">
        <v>92</v>
      </c>
      <c r="F113" s="121">
        <v>13.7</v>
      </c>
      <c r="G113" s="121">
        <v>13.7</v>
      </c>
      <c r="H113" s="197"/>
      <c r="I113" s="180"/>
      <c r="J113" s="18"/>
    </row>
    <row r="114" spans="1:10" x14ac:dyDescent="0.2">
      <c r="A114" s="19" t="s">
        <v>238</v>
      </c>
      <c r="B114" s="16" t="s">
        <v>117</v>
      </c>
      <c r="C114" s="152"/>
      <c r="D114" s="6" t="s">
        <v>14</v>
      </c>
      <c r="E114" s="17" t="s">
        <v>92</v>
      </c>
      <c r="F114" s="121">
        <v>11.64</v>
      </c>
      <c r="G114" s="121">
        <v>11.64</v>
      </c>
      <c r="H114" s="197"/>
      <c r="I114" s="180"/>
      <c r="J114" s="18"/>
    </row>
    <row r="115" spans="1:10" x14ac:dyDescent="0.2">
      <c r="A115" s="19" t="s">
        <v>239</v>
      </c>
      <c r="B115" s="16" t="s">
        <v>118</v>
      </c>
      <c r="C115" s="152"/>
      <c r="D115" s="6" t="s">
        <v>14</v>
      </c>
      <c r="E115" s="17" t="s">
        <v>92</v>
      </c>
      <c r="F115" s="121">
        <v>14.11</v>
      </c>
      <c r="G115" s="121">
        <v>14.11</v>
      </c>
      <c r="H115" s="197"/>
      <c r="I115" s="180"/>
      <c r="J115" s="18"/>
    </row>
    <row r="116" spans="1:10" x14ac:dyDescent="0.2">
      <c r="A116" s="19" t="s">
        <v>240</v>
      </c>
      <c r="B116" s="16" t="s">
        <v>119</v>
      </c>
      <c r="C116" s="152"/>
      <c r="D116" s="6" t="s">
        <v>14</v>
      </c>
      <c r="E116" s="17" t="s">
        <v>92</v>
      </c>
      <c r="F116" s="121">
        <v>13.7</v>
      </c>
      <c r="G116" s="121">
        <v>13.7</v>
      </c>
      <c r="H116" s="197"/>
      <c r="I116" s="180"/>
      <c r="J116" s="18"/>
    </row>
    <row r="117" spans="1:10" x14ac:dyDescent="0.2">
      <c r="A117" s="19" t="s">
        <v>241</v>
      </c>
      <c r="B117" s="16" t="s">
        <v>120</v>
      </c>
      <c r="C117" s="152"/>
      <c r="D117" s="6" t="s">
        <v>14</v>
      </c>
      <c r="E117" s="17" t="s">
        <v>92</v>
      </c>
      <c r="F117" s="121">
        <v>13.7</v>
      </c>
      <c r="G117" s="121">
        <v>13.7</v>
      </c>
      <c r="H117" s="197"/>
      <c r="I117" s="180"/>
      <c r="J117" s="18"/>
    </row>
    <row r="118" spans="1:10" x14ac:dyDescent="0.2">
      <c r="A118" s="19" t="s">
        <v>242</v>
      </c>
      <c r="B118" s="16" t="s">
        <v>121</v>
      </c>
      <c r="C118" s="152"/>
      <c r="D118" s="97" t="s">
        <v>62</v>
      </c>
      <c r="E118" s="17" t="s">
        <v>92</v>
      </c>
      <c r="F118" s="121">
        <v>12.8</v>
      </c>
      <c r="G118" s="121">
        <v>12.8</v>
      </c>
      <c r="H118" s="197"/>
      <c r="I118" s="180"/>
      <c r="J118" s="18"/>
    </row>
    <row r="119" spans="1:10" x14ac:dyDescent="0.2">
      <c r="A119" s="19" t="s">
        <v>243</v>
      </c>
      <c r="B119" s="16" t="s">
        <v>122</v>
      </c>
      <c r="C119" s="152"/>
      <c r="D119" s="97" t="s">
        <v>62</v>
      </c>
      <c r="E119" s="17" t="s">
        <v>92</v>
      </c>
      <c r="F119" s="121">
        <v>10.88</v>
      </c>
      <c r="G119" s="121">
        <v>10.88</v>
      </c>
      <c r="H119" s="197"/>
      <c r="I119" s="180"/>
      <c r="J119" s="18"/>
    </row>
    <row r="120" spans="1:10" x14ac:dyDescent="0.2">
      <c r="A120" s="19" t="s">
        <v>244</v>
      </c>
      <c r="B120" s="16" t="s">
        <v>123</v>
      </c>
      <c r="C120" s="155"/>
      <c r="D120" s="97" t="s">
        <v>62</v>
      </c>
      <c r="E120" s="17" t="s">
        <v>92</v>
      </c>
      <c r="F120" s="124">
        <v>13.18</v>
      </c>
      <c r="G120" s="124">
        <v>13.18</v>
      </c>
      <c r="H120" s="200"/>
      <c r="I120" s="183"/>
      <c r="J120" s="20"/>
    </row>
    <row r="121" spans="1:10" x14ac:dyDescent="0.2">
      <c r="A121" s="19" t="s">
        <v>245</v>
      </c>
      <c r="B121" s="16" t="s">
        <v>124</v>
      </c>
      <c r="C121" s="155"/>
      <c r="D121" s="97" t="s">
        <v>62</v>
      </c>
      <c r="E121" s="17" t="s">
        <v>92</v>
      </c>
      <c r="F121" s="124">
        <v>12.8</v>
      </c>
      <c r="G121" s="124">
        <v>12.8</v>
      </c>
      <c r="H121" s="200"/>
      <c r="I121" s="183"/>
      <c r="J121" s="20"/>
    </row>
    <row r="122" spans="1:10" x14ac:dyDescent="0.2">
      <c r="A122" s="19" t="s">
        <v>246</v>
      </c>
      <c r="B122" s="16" t="s">
        <v>125</v>
      </c>
      <c r="C122" s="155"/>
      <c r="D122" s="97" t="s">
        <v>62</v>
      </c>
      <c r="E122" s="17" t="s">
        <v>92</v>
      </c>
      <c r="F122" s="124">
        <v>12.8</v>
      </c>
      <c r="G122" s="124">
        <v>12.8</v>
      </c>
      <c r="H122" s="200"/>
      <c r="I122" s="183"/>
      <c r="J122" s="20"/>
    </row>
    <row r="123" spans="1:10" x14ac:dyDescent="0.2">
      <c r="A123" s="19" t="s">
        <v>247</v>
      </c>
      <c r="B123" s="16" t="s">
        <v>126</v>
      </c>
      <c r="C123" s="155"/>
      <c r="D123" s="97" t="s">
        <v>62</v>
      </c>
      <c r="E123" s="17" t="s">
        <v>92</v>
      </c>
      <c r="F123" s="124">
        <v>6.89</v>
      </c>
      <c r="G123" s="124">
        <v>6.89</v>
      </c>
      <c r="H123" s="200"/>
      <c r="I123" s="183"/>
      <c r="J123" s="20"/>
    </row>
    <row r="124" spans="1:10" x14ac:dyDescent="0.2">
      <c r="A124" s="19" t="s">
        <v>248</v>
      </c>
      <c r="B124" s="16" t="s">
        <v>127</v>
      </c>
      <c r="C124" s="155"/>
      <c r="D124" s="97" t="s">
        <v>62</v>
      </c>
      <c r="E124" s="17" t="s">
        <v>92</v>
      </c>
      <c r="F124" s="124">
        <v>5.86</v>
      </c>
      <c r="G124" s="124">
        <v>5.86</v>
      </c>
      <c r="H124" s="200"/>
      <c r="I124" s="183"/>
      <c r="J124" s="20"/>
    </row>
    <row r="125" spans="1:10" x14ac:dyDescent="0.2">
      <c r="A125" s="19" t="s">
        <v>249</v>
      </c>
      <c r="B125" s="16" t="s">
        <v>128</v>
      </c>
      <c r="C125" s="155"/>
      <c r="D125" s="97" t="s">
        <v>62</v>
      </c>
      <c r="E125" s="17" t="s">
        <v>92</v>
      </c>
      <c r="F125" s="124">
        <v>7.1</v>
      </c>
      <c r="G125" s="124">
        <v>7.1</v>
      </c>
      <c r="H125" s="200"/>
      <c r="I125" s="183"/>
      <c r="J125" s="20"/>
    </row>
    <row r="126" spans="1:10" x14ac:dyDescent="0.2">
      <c r="A126" s="19" t="s">
        <v>250</v>
      </c>
      <c r="B126" s="16" t="s">
        <v>129</v>
      </c>
      <c r="C126" s="155"/>
      <c r="D126" s="97" t="s">
        <v>62</v>
      </c>
      <c r="E126" s="17" t="s">
        <v>92</v>
      </c>
      <c r="F126" s="124">
        <v>6.89</v>
      </c>
      <c r="G126" s="124">
        <v>6.89</v>
      </c>
      <c r="H126" s="200"/>
      <c r="I126" s="183"/>
      <c r="J126" s="20"/>
    </row>
    <row r="127" spans="1:10" x14ac:dyDescent="0.2">
      <c r="A127" s="19" t="s">
        <v>251</v>
      </c>
      <c r="B127" s="16" t="s">
        <v>130</v>
      </c>
      <c r="C127" s="155"/>
      <c r="D127" s="97" t="s">
        <v>62</v>
      </c>
      <c r="E127" s="17" t="s">
        <v>92</v>
      </c>
      <c r="F127" s="124">
        <v>6.89</v>
      </c>
      <c r="G127" s="124">
        <v>6.89</v>
      </c>
      <c r="H127" s="200"/>
      <c r="I127" s="183"/>
      <c r="J127" s="20"/>
    </row>
    <row r="128" spans="1:10" x14ac:dyDescent="0.2">
      <c r="A128" s="19" t="s">
        <v>252</v>
      </c>
      <c r="B128" s="16" t="s">
        <v>131</v>
      </c>
      <c r="C128" s="155"/>
      <c r="D128" s="12" t="s">
        <v>81</v>
      </c>
      <c r="E128" s="17" t="s">
        <v>92</v>
      </c>
      <c r="F128" s="124">
        <v>9.4700000000000006</v>
      </c>
      <c r="G128" s="124">
        <v>9.4700000000000006</v>
      </c>
      <c r="H128" s="200"/>
      <c r="I128" s="183"/>
      <c r="J128" s="20"/>
    </row>
    <row r="129" spans="1:10" x14ac:dyDescent="0.2">
      <c r="A129" s="19" t="s">
        <v>253</v>
      </c>
      <c r="B129" s="16" t="s">
        <v>132</v>
      </c>
      <c r="C129" s="155"/>
      <c r="D129" s="12" t="s">
        <v>81</v>
      </c>
      <c r="E129" s="17" t="s">
        <v>92</v>
      </c>
      <c r="F129" s="124">
        <v>11.47</v>
      </c>
      <c r="G129" s="124">
        <v>11.47</v>
      </c>
      <c r="H129" s="200"/>
      <c r="I129" s="183"/>
      <c r="J129" s="20"/>
    </row>
    <row r="130" spans="1:10" s="22" customFormat="1" x14ac:dyDescent="0.2">
      <c r="A130" s="19" t="s">
        <v>254</v>
      </c>
      <c r="B130" s="16" t="s">
        <v>133</v>
      </c>
      <c r="C130" s="155"/>
      <c r="D130" s="12" t="s">
        <v>81</v>
      </c>
      <c r="E130" s="17" t="s">
        <v>92</v>
      </c>
      <c r="F130" s="124">
        <v>11.14</v>
      </c>
      <c r="G130" s="124">
        <v>11.14</v>
      </c>
      <c r="H130" s="200"/>
      <c r="I130" s="183"/>
      <c r="J130" s="20"/>
    </row>
    <row r="131" spans="1:10" s="22" customFormat="1" x14ac:dyDescent="0.2">
      <c r="A131" s="19" t="s">
        <v>255</v>
      </c>
      <c r="B131" s="16" t="s">
        <v>134</v>
      </c>
      <c r="C131" s="155"/>
      <c r="D131" s="12" t="s">
        <v>81</v>
      </c>
      <c r="E131" s="17" t="s">
        <v>92</v>
      </c>
      <c r="F131" s="124">
        <v>11.14</v>
      </c>
      <c r="G131" s="124">
        <v>11.14</v>
      </c>
      <c r="H131" s="200"/>
      <c r="I131" s="183"/>
      <c r="J131" s="20"/>
    </row>
    <row r="132" spans="1:10" s="22" customFormat="1" x14ac:dyDescent="0.2">
      <c r="A132" s="19" t="s">
        <v>256</v>
      </c>
      <c r="B132" s="16" t="s">
        <v>135</v>
      </c>
      <c r="C132" s="155"/>
      <c r="D132" s="12" t="s">
        <v>81</v>
      </c>
      <c r="E132" s="17" t="s">
        <v>92</v>
      </c>
      <c r="F132" s="124">
        <v>11.14</v>
      </c>
      <c r="G132" s="124">
        <v>11.14</v>
      </c>
      <c r="H132" s="200"/>
      <c r="I132" s="183"/>
      <c r="J132" s="20"/>
    </row>
    <row r="133" spans="1:10" s="22" customFormat="1" x14ac:dyDescent="0.2">
      <c r="A133" s="19" t="s">
        <v>257</v>
      </c>
      <c r="B133" s="16" t="s">
        <v>136</v>
      </c>
      <c r="C133" s="155"/>
      <c r="D133" s="12" t="s">
        <v>81</v>
      </c>
      <c r="E133" s="17" t="s">
        <v>92</v>
      </c>
      <c r="F133" s="124">
        <v>2.37</v>
      </c>
      <c r="G133" s="124">
        <v>2.37</v>
      </c>
      <c r="H133" s="200"/>
      <c r="I133" s="183"/>
      <c r="J133" s="20"/>
    </row>
    <row r="134" spans="1:10" s="22" customFormat="1" x14ac:dyDescent="0.2">
      <c r="A134" s="19" t="s">
        <v>258</v>
      </c>
      <c r="B134" s="16" t="s">
        <v>137</v>
      </c>
      <c r="C134" s="155"/>
      <c r="D134" s="12" t="s">
        <v>81</v>
      </c>
      <c r="E134" s="17" t="s">
        <v>92</v>
      </c>
      <c r="F134" s="124">
        <v>2.87</v>
      </c>
      <c r="G134" s="124">
        <v>2.87</v>
      </c>
      <c r="H134" s="200"/>
      <c r="I134" s="183"/>
      <c r="J134" s="20"/>
    </row>
    <row r="135" spans="1:10" s="22" customFormat="1" x14ac:dyDescent="0.2">
      <c r="A135" s="19" t="s">
        <v>259</v>
      </c>
      <c r="B135" s="16" t="s">
        <v>138</v>
      </c>
      <c r="C135" s="155"/>
      <c r="D135" s="12" t="s">
        <v>81</v>
      </c>
      <c r="E135" s="17" t="s">
        <v>92</v>
      </c>
      <c r="F135" s="124">
        <v>2.78</v>
      </c>
      <c r="G135" s="124">
        <v>2.78</v>
      </c>
      <c r="H135" s="200"/>
      <c r="I135" s="183"/>
      <c r="J135" s="20"/>
    </row>
    <row r="136" spans="1:10" s="22" customFormat="1" x14ac:dyDescent="0.2">
      <c r="A136" s="19" t="s">
        <v>260</v>
      </c>
      <c r="B136" s="16" t="s">
        <v>139</v>
      </c>
      <c r="C136" s="155"/>
      <c r="D136" s="12" t="s">
        <v>81</v>
      </c>
      <c r="E136" s="17" t="s">
        <v>92</v>
      </c>
      <c r="F136" s="124">
        <v>2.78</v>
      </c>
      <c r="G136" s="124">
        <v>2.78</v>
      </c>
      <c r="H136" s="200"/>
      <c r="I136" s="183"/>
      <c r="J136" s="20"/>
    </row>
    <row r="137" spans="1:10" s="22" customFormat="1" x14ac:dyDescent="0.2">
      <c r="A137" s="133" t="s">
        <v>261</v>
      </c>
      <c r="B137" s="75" t="s">
        <v>140</v>
      </c>
      <c r="C137" s="155"/>
      <c r="D137" s="12" t="s">
        <v>81</v>
      </c>
      <c r="E137" s="17" t="s">
        <v>92</v>
      </c>
      <c r="F137" s="124">
        <v>2.78</v>
      </c>
      <c r="G137" s="124">
        <v>2.78</v>
      </c>
      <c r="H137" s="200"/>
      <c r="I137" s="183"/>
      <c r="J137" s="20"/>
    </row>
    <row r="138" spans="1:10" x14ac:dyDescent="0.2">
      <c r="A138" s="133" t="s">
        <v>262</v>
      </c>
      <c r="B138" s="75" t="s">
        <v>141</v>
      </c>
      <c r="C138" s="155"/>
      <c r="D138" s="12" t="s">
        <v>81</v>
      </c>
      <c r="E138" s="17" t="s">
        <v>92</v>
      </c>
      <c r="F138" s="124">
        <v>6.89</v>
      </c>
      <c r="G138" s="124">
        <v>6.89</v>
      </c>
      <c r="H138" s="200"/>
      <c r="I138" s="183"/>
      <c r="J138" s="20"/>
    </row>
    <row r="139" spans="1:10" ht="16.5" x14ac:dyDescent="0.2">
      <c r="A139" s="72" t="s">
        <v>320</v>
      </c>
      <c r="B139" s="73"/>
      <c r="C139" s="156"/>
      <c r="D139" s="73"/>
      <c r="E139" s="73"/>
      <c r="F139" s="125"/>
      <c r="G139" s="125"/>
      <c r="H139" s="201"/>
      <c r="I139" s="184"/>
      <c r="J139" s="74"/>
    </row>
    <row r="140" spans="1:10" x14ac:dyDescent="0.2">
      <c r="A140" s="63" t="s">
        <v>312</v>
      </c>
      <c r="B140" s="64"/>
      <c r="C140" s="151"/>
      <c r="D140" s="64"/>
      <c r="E140" s="64"/>
      <c r="F140" s="120"/>
      <c r="G140" s="120"/>
      <c r="H140" s="196"/>
      <c r="I140" s="179"/>
      <c r="J140" s="65"/>
    </row>
    <row r="141" spans="1:10" x14ac:dyDescent="0.2">
      <c r="A141" s="133" t="s">
        <v>263</v>
      </c>
      <c r="B141" s="133" t="s">
        <v>227</v>
      </c>
      <c r="C141" s="159" t="s">
        <v>373</v>
      </c>
      <c r="D141" s="17" t="s">
        <v>14</v>
      </c>
      <c r="E141" s="17" t="s">
        <v>92</v>
      </c>
      <c r="F141" s="132">
        <v>13.5</v>
      </c>
      <c r="G141" s="132"/>
      <c r="H141" s="202"/>
      <c r="I141" s="169"/>
      <c r="J141" s="19" t="s">
        <v>231</v>
      </c>
    </row>
    <row r="142" spans="1:10" x14ac:dyDescent="0.2">
      <c r="A142" s="133" t="s">
        <v>278</v>
      </c>
      <c r="B142" s="133" t="s">
        <v>279</v>
      </c>
      <c r="C142" s="159" t="s">
        <v>374</v>
      </c>
      <c r="D142" s="17" t="s">
        <v>14</v>
      </c>
      <c r="E142" s="17" t="s">
        <v>92</v>
      </c>
      <c r="F142" s="132">
        <v>17.79</v>
      </c>
      <c r="G142" s="132"/>
      <c r="H142" s="202"/>
      <c r="I142" s="169"/>
      <c r="J142" s="19" t="s">
        <v>303</v>
      </c>
    </row>
    <row r="143" spans="1:10" x14ac:dyDescent="0.2">
      <c r="A143" s="133" t="s">
        <v>264</v>
      </c>
      <c r="B143" s="133" t="s">
        <v>229</v>
      </c>
      <c r="C143" s="159" t="s">
        <v>375</v>
      </c>
      <c r="D143" s="17" t="s">
        <v>14</v>
      </c>
      <c r="E143" s="17" t="s">
        <v>92</v>
      </c>
      <c r="F143" s="132">
        <v>7.86</v>
      </c>
      <c r="G143" s="132"/>
      <c r="H143" s="202"/>
      <c r="I143" s="169"/>
      <c r="J143" s="19" t="s">
        <v>231</v>
      </c>
    </row>
    <row r="144" spans="1:10" x14ac:dyDescent="0.2">
      <c r="A144" s="133" t="s">
        <v>265</v>
      </c>
      <c r="B144" s="133" t="s">
        <v>228</v>
      </c>
      <c r="C144" s="159" t="s">
        <v>376</v>
      </c>
      <c r="D144" s="17" t="s">
        <v>14</v>
      </c>
      <c r="E144" s="17" t="s">
        <v>92</v>
      </c>
      <c r="F144" s="132">
        <v>6.56</v>
      </c>
      <c r="G144" s="132"/>
      <c r="H144" s="202"/>
      <c r="I144" s="169"/>
      <c r="J144" s="19" t="s">
        <v>231</v>
      </c>
    </row>
    <row r="145" spans="1:10" x14ac:dyDescent="0.2">
      <c r="A145" s="133" t="s">
        <v>266</v>
      </c>
      <c r="B145" s="133" t="s">
        <v>142</v>
      </c>
      <c r="C145" s="159"/>
      <c r="D145" s="17" t="s">
        <v>81</v>
      </c>
      <c r="E145" s="17" t="s">
        <v>92</v>
      </c>
      <c r="F145" s="121">
        <v>18.95</v>
      </c>
      <c r="G145" s="121"/>
      <c r="H145" s="197"/>
      <c r="I145" s="180"/>
      <c r="J145" s="19" t="s">
        <v>230</v>
      </c>
    </row>
    <row r="146" spans="1:10" x14ac:dyDescent="0.2">
      <c r="A146" s="133" t="s">
        <v>267</v>
      </c>
      <c r="B146" s="133" t="s">
        <v>143</v>
      </c>
      <c r="C146" s="159"/>
      <c r="D146" s="17" t="s">
        <v>81</v>
      </c>
      <c r="E146" s="17" t="s">
        <v>92</v>
      </c>
      <c r="F146" s="121">
        <v>23.24</v>
      </c>
      <c r="G146" s="121"/>
      <c r="H146" s="197"/>
      <c r="I146" s="180"/>
      <c r="J146" s="19" t="s">
        <v>304</v>
      </c>
    </row>
    <row r="147" spans="1:10" x14ac:dyDescent="0.2">
      <c r="A147" s="133" t="s">
        <v>268</v>
      </c>
      <c r="B147" s="75" t="s">
        <v>144</v>
      </c>
      <c r="C147" s="141"/>
      <c r="D147" s="12" t="s">
        <v>81</v>
      </c>
      <c r="E147" s="17" t="s">
        <v>92</v>
      </c>
      <c r="F147" s="126">
        <v>13.31</v>
      </c>
      <c r="G147" s="126"/>
      <c r="H147" s="203"/>
      <c r="I147" s="185"/>
      <c r="J147" s="21" t="s">
        <v>230</v>
      </c>
    </row>
    <row r="148" spans="1:10" x14ac:dyDescent="0.2">
      <c r="A148" s="133" t="s">
        <v>269</v>
      </c>
      <c r="B148" s="133" t="s">
        <v>145</v>
      </c>
      <c r="C148" s="159"/>
      <c r="D148" s="17" t="s">
        <v>81</v>
      </c>
      <c r="E148" s="17" t="s">
        <v>92</v>
      </c>
      <c r="F148" s="132">
        <v>12.01</v>
      </c>
      <c r="G148" s="132"/>
      <c r="H148" s="202"/>
      <c r="I148" s="169"/>
      <c r="J148" s="19" t="s">
        <v>230</v>
      </c>
    </row>
    <row r="149" spans="1:10" ht="16.5" x14ac:dyDescent="0.2">
      <c r="A149" s="69" t="s">
        <v>292</v>
      </c>
      <c r="B149" s="70"/>
      <c r="C149" s="158"/>
      <c r="D149" s="70"/>
      <c r="E149" s="70"/>
      <c r="F149" s="123"/>
      <c r="G149" s="123"/>
      <c r="H149" s="199"/>
      <c r="I149" s="182"/>
      <c r="J149" s="71"/>
    </row>
    <row r="150" spans="1:10" x14ac:dyDescent="0.2">
      <c r="A150" s="19" t="s">
        <v>297</v>
      </c>
      <c r="B150" s="19" t="s">
        <v>280</v>
      </c>
      <c r="C150" s="157"/>
      <c r="D150" s="17" t="s">
        <v>96</v>
      </c>
      <c r="E150" s="17">
        <v>1</v>
      </c>
      <c r="F150" s="121">
        <v>0.35</v>
      </c>
      <c r="G150" s="121">
        <v>0.35</v>
      </c>
      <c r="H150" s="197"/>
      <c r="I150" s="180"/>
      <c r="J150" s="19" t="s">
        <v>281</v>
      </c>
    </row>
    <row r="151" spans="1:10" x14ac:dyDescent="0.2">
      <c r="A151" s="19" t="s">
        <v>298</v>
      </c>
      <c r="B151" s="19" t="s">
        <v>282</v>
      </c>
      <c r="C151" s="157"/>
      <c r="D151" s="17" t="s">
        <v>96</v>
      </c>
      <c r="E151" s="17">
        <v>1</v>
      </c>
      <c r="F151" s="121">
        <v>1.25</v>
      </c>
      <c r="G151" s="121">
        <v>1.25</v>
      </c>
      <c r="H151" s="197"/>
      <c r="I151" s="180"/>
      <c r="J151" s="19" t="s">
        <v>281</v>
      </c>
    </row>
    <row r="152" spans="1:10" x14ac:dyDescent="0.2">
      <c r="A152" s="19" t="s">
        <v>299</v>
      </c>
      <c r="B152" s="19" t="s">
        <v>283</v>
      </c>
      <c r="C152" s="157"/>
      <c r="D152" s="17" t="s">
        <v>96</v>
      </c>
      <c r="E152" s="17">
        <v>1</v>
      </c>
      <c r="F152" s="121">
        <v>1.94</v>
      </c>
      <c r="G152" s="121">
        <v>1.94</v>
      </c>
      <c r="H152" s="197"/>
      <c r="I152" s="180"/>
      <c r="J152" s="19" t="s">
        <v>281</v>
      </c>
    </row>
    <row r="153" spans="1:10" x14ac:dyDescent="0.2">
      <c r="A153" s="19" t="s">
        <v>300</v>
      </c>
      <c r="B153" s="19" t="s">
        <v>285</v>
      </c>
      <c r="C153" s="157"/>
      <c r="D153" s="6" t="s">
        <v>14</v>
      </c>
      <c r="E153" s="17">
        <v>8</v>
      </c>
      <c r="F153" s="121">
        <v>1.5</v>
      </c>
      <c r="G153" s="121">
        <v>1.5</v>
      </c>
      <c r="H153" s="197"/>
      <c r="I153" s="180"/>
      <c r="J153" s="19"/>
    </row>
    <row r="154" spans="1:10" x14ac:dyDescent="0.2">
      <c r="A154" s="19" t="s">
        <v>301</v>
      </c>
      <c r="B154" s="19" t="s">
        <v>286</v>
      </c>
      <c r="C154" s="157"/>
      <c r="D154" s="17" t="s">
        <v>284</v>
      </c>
      <c r="E154" s="17">
        <v>6</v>
      </c>
      <c r="F154" s="121">
        <v>1.5</v>
      </c>
      <c r="G154" s="121">
        <v>1.5</v>
      </c>
      <c r="H154" s="197"/>
      <c r="I154" s="180"/>
      <c r="J154" s="19"/>
    </row>
    <row r="155" spans="1:10" x14ac:dyDescent="0.2">
      <c r="A155" s="19" t="s">
        <v>302</v>
      </c>
      <c r="B155" s="19" t="s">
        <v>287</v>
      </c>
      <c r="C155" s="157"/>
      <c r="D155" s="17" t="s">
        <v>284</v>
      </c>
      <c r="E155" s="17">
        <v>4</v>
      </c>
      <c r="F155" s="121">
        <v>0.93</v>
      </c>
      <c r="G155" s="121">
        <v>0.93</v>
      </c>
      <c r="H155" s="197"/>
      <c r="I155" s="180"/>
      <c r="J155" s="19"/>
    </row>
  </sheetData>
  <sheetProtection selectLockedCells="1"/>
  <mergeCells count="1">
    <mergeCell ref="A2:J2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468F-E223-4C19-8391-6F8F41FF0801}">
  <sheetPr>
    <tabColor rgb="FFFFFF00"/>
  </sheetPr>
  <dimension ref="A1:AJ442"/>
  <sheetViews>
    <sheetView topLeftCell="A84" zoomScaleNormal="100" workbookViewId="0">
      <selection activeCell="B131" sqref="B131"/>
    </sheetView>
  </sheetViews>
  <sheetFormatPr defaultColWidth="8.375" defaultRowHeight="15" outlineLevelCol="1" x14ac:dyDescent="0.25"/>
  <cols>
    <col min="1" max="1" width="11.125" style="215" customWidth="1"/>
    <col min="2" max="2" width="110.25" style="215" customWidth="1"/>
    <col min="3" max="3" width="13.25" style="215" hidden="1" customWidth="1"/>
    <col min="4" max="4" width="18.25" style="219" hidden="1" customWidth="1" outlineLevel="1"/>
    <col min="5" max="8" width="18.625" style="219" hidden="1" customWidth="1" outlineLevel="1"/>
    <col min="9" max="9" width="12" style="215" hidden="1" customWidth="1" outlineLevel="1"/>
    <col min="10" max="10" width="6.875" style="215" hidden="1" customWidth="1" outlineLevel="1"/>
    <col min="11" max="11" width="17.375" style="215" hidden="1" customWidth="1" outlineLevel="1"/>
    <col min="12" max="12" width="21.125" style="219" hidden="1" customWidth="1" outlineLevel="1"/>
    <col min="13" max="13" width="25.75" style="215" hidden="1" customWidth="1" outlineLevel="1"/>
    <col min="14" max="14" width="0.125" style="215" hidden="1" customWidth="1" outlineLevel="1"/>
    <col min="15" max="15" width="10.75" style="215" customWidth="1" collapsed="1"/>
    <col min="16" max="16" width="12.125" style="215" customWidth="1" outlineLevel="1"/>
    <col min="17" max="17" width="12.625" style="220" customWidth="1" outlineLevel="1"/>
    <col min="18" max="18" width="12" style="219" hidden="1" customWidth="1" outlineLevel="1"/>
    <col min="19" max="20" width="10.5" style="215" hidden="1" customWidth="1" outlineLevel="1"/>
    <col min="21" max="21" width="10.25" style="215" hidden="1" customWidth="1" outlineLevel="1"/>
    <col min="22" max="22" width="12" style="218" hidden="1" customWidth="1" outlineLevel="1"/>
    <col min="23" max="23" width="10.5" style="217" hidden="1" customWidth="1" outlineLevel="1"/>
    <col min="24" max="24" width="14.75" style="215" hidden="1" customWidth="1" outlineLevel="1"/>
    <col min="25" max="25" width="14.875" style="215" hidden="1" customWidth="1" outlineLevel="1"/>
    <col min="26" max="26" width="12.25" style="215" hidden="1" customWidth="1"/>
    <col min="27" max="27" width="10.5" style="216" hidden="1" customWidth="1"/>
    <col min="28" max="28" width="10.25" style="215" hidden="1" customWidth="1"/>
    <col min="29" max="29" width="2.375" style="215" hidden="1" customWidth="1"/>
    <col min="30" max="30" width="8.375" style="215" customWidth="1"/>
    <col min="31" max="35" width="8.375" style="215"/>
    <col min="36" max="36" width="13.375" style="215" bestFit="1" customWidth="1"/>
    <col min="37" max="16384" width="8.375" style="215"/>
  </cols>
  <sheetData>
    <row r="1" spans="1:36" ht="29.45" customHeight="1" x14ac:dyDescent="0.3">
      <c r="A1" s="215">
        <v>1</v>
      </c>
      <c r="B1" s="215">
        <v>2</v>
      </c>
      <c r="C1" s="252">
        <v>3</v>
      </c>
      <c r="D1" s="253">
        <v>4</v>
      </c>
      <c r="E1" s="253">
        <v>5</v>
      </c>
      <c r="F1" s="253">
        <v>6</v>
      </c>
      <c r="G1" s="253">
        <v>7</v>
      </c>
      <c r="H1" s="253">
        <v>8</v>
      </c>
      <c r="I1" s="252">
        <v>9</v>
      </c>
      <c r="J1" s="252">
        <v>10</v>
      </c>
      <c r="K1" s="252">
        <v>11</v>
      </c>
      <c r="L1" s="252">
        <v>12</v>
      </c>
      <c r="M1" s="252">
        <v>13</v>
      </c>
      <c r="N1" s="252">
        <v>14</v>
      </c>
      <c r="O1" s="252">
        <v>15</v>
      </c>
      <c r="P1" s="252">
        <v>16</v>
      </c>
      <c r="Q1" s="220">
        <v>17</v>
      </c>
      <c r="R1" s="219">
        <v>18</v>
      </c>
      <c r="S1" s="252">
        <v>19</v>
      </c>
      <c r="T1" s="252">
        <v>20</v>
      </c>
    </row>
    <row r="2" spans="1:36" ht="21" customHeight="1" x14ac:dyDescent="0.3">
      <c r="A2" s="252" t="s">
        <v>569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6"/>
      <c r="R2" s="252"/>
      <c r="S2" s="252">
        <v>0.42</v>
      </c>
      <c r="T2" s="252"/>
      <c r="U2" s="252"/>
      <c r="V2" s="255">
        <f>'[5]P&amp;L'!P8</f>
        <v>0.13</v>
      </c>
      <c r="W2" s="255">
        <f>'[5]P&amp;L'!P9</f>
        <v>0.13</v>
      </c>
      <c r="X2" s="252"/>
      <c r="Y2" s="252"/>
      <c r="Z2" s="252"/>
      <c r="AA2" s="252"/>
      <c r="AB2" s="252"/>
      <c r="AC2" s="252"/>
    </row>
    <row r="3" spans="1:36" ht="1.1499999999999999" customHeight="1" x14ac:dyDescent="0.3">
      <c r="A3" s="254"/>
      <c r="B3" s="254"/>
      <c r="C3" s="252"/>
      <c r="D3" s="253"/>
      <c r="E3" s="253"/>
      <c r="F3" s="253"/>
      <c r="G3" s="253"/>
      <c r="H3" s="253"/>
      <c r="I3" s="252"/>
      <c r="J3" s="252"/>
      <c r="K3" s="252"/>
      <c r="L3" s="252"/>
      <c r="M3" s="252"/>
      <c r="N3" s="252"/>
    </row>
    <row r="4" spans="1:36" ht="1.1499999999999999" customHeight="1" x14ac:dyDescent="0.3">
      <c r="A4" s="254"/>
      <c r="B4" s="254"/>
      <c r="C4" s="252"/>
      <c r="D4" s="253"/>
      <c r="E4" s="253"/>
      <c r="F4" s="253"/>
      <c r="G4" s="253"/>
      <c r="H4" s="253"/>
      <c r="I4" s="252"/>
      <c r="J4" s="252"/>
      <c r="K4" s="252"/>
      <c r="L4" s="252"/>
      <c r="M4" s="252"/>
      <c r="N4" s="252"/>
    </row>
    <row r="5" spans="1:36" ht="1.1499999999999999" customHeight="1" x14ac:dyDescent="0.3">
      <c r="A5" s="254"/>
      <c r="B5" s="254"/>
      <c r="C5" s="252"/>
      <c r="D5" s="253"/>
      <c r="E5" s="253"/>
      <c r="F5" s="253"/>
      <c r="G5" s="253"/>
      <c r="H5" s="253"/>
      <c r="I5" s="252"/>
      <c r="J5" s="252"/>
      <c r="K5" s="252"/>
      <c r="L5" s="252"/>
      <c r="M5" s="252"/>
      <c r="N5" s="252"/>
    </row>
    <row r="6" spans="1:36" ht="1.1499999999999999" customHeight="1" x14ac:dyDescent="0.3">
      <c r="A6" s="254"/>
      <c r="B6" s="254"/>
      <c r="C6" s="252"/>
      <c r="D6" s="253"/>
      <c r="E6" s="253"/>
      <c r="F6" s="253"/>
      <c r="G6" s="253"/>
      <c r="H6" s="253"/>
      <c r="I6" s="252"/>
      <c r="J6" s="252"/>
      <c r="K6" s="252"/>
      <c r="L6" s="252"/>
      <c r="M6" s="252"/>
      <c r="N6" s="252"/>
    </row>
    <row r="7" spans="1:36" ht="1.1499999999999999" customHeight="1" x14ac:dyDescent="0.3">
      <c r="A7" s="254"/>
      <c r="B7" s="254"/>
      <c r="C7" s="252"/>
      <c r="D7" s="253"/>
      <c r="E7" s="253"/>
      <c r="F7" s="253"/>
      <c r="G7" s="253"/>
      <c r="H7" s="253"/>
      <c r="I7" s="252"/>
      <c r="J7" s="252"/>
      <c r="K7" s="252"/>
      <c r="L7" s="252"/>
      <c r="M7" s="252"/>
      <c r="N7" s="252"/>
    </row>
    <row r="8" spans="1:36" ht="27.75" x14ac:dyDescent="0.4">
      <c r="A8" s="301" t="s">
        <v>568</v>
      </c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251"/>
      <c r="AF8" s="215">
        <f>[5]Food!M2</f>
        <v>0.39999999999999997</v>
      </c>
    </row>
    <row r="9" spans="1:36" s="219" customFormat="1" ht="43.5" x14ac:dyDescent="0.25">
      <c r="A9" s="250" t="s">
        <v>567</v>
      </c>
      <c r="B9" s="250" t="s">
        <v>566</v>
      </c>
      <c r="C9" s="244" t="s">
        <v>565</v>
      </c>
      <c r="D9" s="244" t="s">
        <v>564</v>
      </c>
      <c r="E9" s="244" t="s">
        <v>563</v>
      </c>
      <c r="F9" s="244" t="s">
        <v>562</v>
      </c>
      <c r="G9" s="244" t="s">
        <v>561</v>
      </c>
      <c r="H9" s="244" t="s">
        <v>560</v>
      </c>
      <c r="I9" s="249" t="s">
        <v>559</v>
      </c>
      <c r="J9" s="248" t="s">
        <v>558</v>
      </c>
      <c r="K9" s="244" t="s">
        <v>557</v>
      </c>
      <c r="L9" s="244" t="s">
        <v>556</v>
      </c>
      <c r="M9" s="244" t="s">
        <v>555</v>
      </c>
      <c r="N9" s="219" t="s">
        <v>554</v>
      </c>
      <c r="O9" s="219" t="s">
        <v>553</v>
      </c>
      <c r="P9" s="243" t="s">
        <v>552</v>
      </c>
      <c r="Q9" s="247" t="s">
        <v>551</v>
      </c>
      <c r="R9" s="243" t="s">
        <v>550</v>
      </c>
      <c r="S9" s="243" t="s">
        <v>549</v>
      </c>
      <c r="T9" s="243" t="s">
        <v>548</v>
      </c>
      <c r="U9" s="243" t="s">
        <v>547</v>
      </c>
      <c r="V9" s="246" t="s">
        <v>546</v>
      </c>
      <c r="W9" s="245" t="s">
        <v>545</v>
      </c>
      <c r="X9" s="243" t="s">
        <v>544</v>
      </c>
      <c r="Y9" s="243" t="s">
        <v>543</v>
      </c>
      <c r="Z9" s="243" t="s">
        <v>542</v>
      </c>
      <c r="AA9" s="244" t="s">
        <v>541</v>
      </c>
      <c r="AB9" s="243" t="s">
        <v>540</v>
      </c>
      <c r="AC9" s="219" t="s">
        <v>539</v>
      </c>
      <c r="AD9" s="243" t="s">
        <v>538</v>
      </c>
      <c r="AE9" s="243" t="s">
        <v>537</v>
      </c>
      <c r="AF9" s="243" t="s">
        <v>536</v>
      </c>
      <c r="AG9" s="243" t="s">
        <v>535</v>
      </c>
      <c r="AH9" s="243" t="s">
        <v>534</v>
      </c>
      <c r="AI9" s="243" t="s">
        <v>533</v>
      </c>
      <c r="AJ9" s="243" t="s">
        <v>532</v>
      </c>
    </row>
    <row r="10" spans="1:36" x14ac:dyDescent="0.25">
      <c r="A10" s="219">
        <v>10001</v>
      </c>
      <c r="B10" s="215" t="s">
        <v>531</v>
      </c>
      <c r="C10" s="219">
        <v>1</v>
      </c>
      <c r="I10" s="219"/>
      <c r="J10" s="219"/>
      <c r="K10" s="219"/>
      <c r="L10" s="223"/>
      <c r="M10" s="219"/>
      <c r="N10" s="227"/>
      <c r="O10" s="226">
        <v>0</v>
      </c>
      <c r="P10" s="226">
        <f>Table1[[#This Row],[unit cost]]*1.065</f>
        <v>0</v>
      </c>
      <c r="Q10" s="224">
        <v>2</v>
      </c>
      <c r="R10" s="219">
        <v>1</v>
      </c>
      <c r="S10" s="235">
        <f t="shared" ref="S10:S41" si="0">$S$2</f>
        <v>0.42</v>
      </c>
      <c r="T10" s="233">
        <f>Table1[[#This Row],[man minutes]]*Table1[[#This Row],[labor rate]]</f>
        <v>0.84</v>
      </c>
      <c r="U10" s="233">
        <f t="shared" ref="U10:U41" si="1">P10+T10</f>
        <v>0.84</v>
      </c>
      <c r="V10" s="218">
        <f t="shared" ref="V10:V41" si="2">$V$2</f>
        <v>0.13</v>
      </c>
      <c r="W10" s="234">
        <f t="shared" ref="W10:W41" si="3">$W$2</f>
        <v>0.13</v>
      </c>
      <c r="X10" s="233">
        <f t="shared" ref="X10:X41" si="4">P10*(1+V10)</f>
        <v>0</v>
      </c>
      <c r="Y10" s="233">
        <f t="shared" ref="Y10:Y41" si="5">T10+(T10*W10)</f>
        <v>0.94919999999999993</v>
      </c>
      <c r="Z10" s="233">
        <f t="shared" ref="Z10:Z41" si="6">IFERROR(ROUNDUP(X10+Y10,2)," ")</f>
        <v>0.95</v>
      </c>
      <c r="AA10" s="232">
        <f>+Table1[[#This Row],[calculated sale price]]</f>
        <v>0.95</v>
      </c>
      <c r="AB10" s="231"/>
      <c r="AC10" s="230"/>
      <c r="AD10" s="240"/>
      <c r="AE10" s="229" t="e">
        <f>[5]!Table1[[#This Row],[cost per quantity]]*(1+'[5]P&amp;L'!$P$8)</f>
        <v>#REF!</v>
      </c>
      <c r="AF10" s="229" t="e">
        <f>$AF$8*[5]!Table1[[#This Row],[man minutes]]*(1+'[5]P&amp;L'!$P$9)</f>
        <v>#REF!</v>
      </c>
      <c r="AG10" s="229"/>
      <c r="AH10" s="229"/>
      <c r="AI10" s="229" t="e">
        <f>Table1[[#This Row],[Food cost w/ MU]]+Table1[[#This Row],[labor cost W/ MU]]</f>
        <v>#REF!</v>
      </c>
      <c r="AJ10" s="228"/>
    </row>
    <row r="11" spans="1:36" x14ac:dyDescent="0.25">
      <c r="A11" s="219">
        <v>10002</v>
      </c>
      <c r="B11" s="215" t="s">
        <v>530</v>
      </c>
      <c r="C11" s="219">
        <v>1</v>
      </c>
      <c r="I11" s="219"/>
      <c r="J11" s="219"/>
      <c r="K11" s="219"/>
      <c r="L11" s="223"/>
      <c r="M11" s="219"/>
      <c r="N11" s="227"/>
      <c r="O11" s="226">
        <v>1.52155</v>
      </c>
      <c r="P11" s="226">
        <f>Table1[[#This Row],[unit cost]]*1.065</f>
        <v>1.6204507499999998</v>
      </c>
      <c r="Q11" s="224">
        <v>2.5</v>
      </c>
      <c r="R11" s="219">
        <v>1</v>
      </c>
      <c r="S11" s="235">
        <f t="shared" si="0"/>
        <v>0.42</v>
      </c>
      <c r="T11" s="233">
        <f>Table1[[#This Row],[man minutes]]*Table1[[#This Row],[labor rate]]</f>
        <v>1.05</v>
      </c>
      <c r="U11" s="233">
        <f t="shared" si="1"/>
        <v>2.6704507499999997</v>
      </c>
      <c r="V11" s="218">
        <f t="shared" si="2"/>
        <v>0.13</v>
      </c>
      <c r="W11" s="234">
        <f t="shared" si="3"/>
        <v>0.13</v>
      </c>
      <c r="X11" s="233">
        <f t="shared" si="4"/>
        <v>1.8311093474999995</v>
      </c>
      <c r="Y11" s="233">
        <f t="shared" si="5"/>
        <v>1.1865000000000001</v>
      </c>
      <c r="Z11" s="233">
        <f t="shared" si="6"/>
        <v>3.0199999999999996</v>
      </c>
      <c r="AA11" s="232">
        <f>+Table1[[#This Row],[calculated sale price]]</f>
        <v>3.0199999999999996</v>
      </c>
      <c r="AB11" s="231"/>
      <c r="AC11" s="230"/>
      <c r="AD11" s="240"/>
      <c r="AE11" s="229" t="e">
        <f>[5]!Table1[[#This Row],[cost per quantity]]*(1+'[5]P&amp;L'!$P$8)</f>
        <v>#REF!</v>
      </c>
      <c r="AF11" s="229" t="e">
        <f>$AF$8*[5]!Table1[[#This Row],[man minutes]]*(1+'[5]P&amp;L'!$P$9)</f>
        <v>#REF!</v>
      </c>
      <c r="AG11" s="229"/>
      <c r="AH11" s="229"/>
      <c r="AI11" s="229" t="e">
        <f>Table1[[#This Row],[Food cost w/ MU]]+Table1[[#This Row],[labor cost W/ MU]]</f>
        <v>#REF!</v>
      </c>
      <c r="AJ11" s="228"/>
    </row>
    <row r="12" spans="1:36" x14ac:dyDescent="0.25">
      <c r="A12" s="219">
        <v>10003</v>
      </c>
      <c r="B12" s="215" t="s">
        <v>529</v>
      </c>
      <c r="C12" s="219">
        <v>1</v>
      </c>
      <c r="I12" s="219"/>
      <c r="J12" s="219"/>
      <c r="K12" s="219"/>
      <c r="L12" s="223"/>
      <c r="M12" s="219"/>
      <c r="N12" s="227"/>
      <c r="O12" s="226">
        <v>0.4894</v>
      </c>
      <c r="P12" s="226">
        <f>Table1[[#This Row],[unit cost]]*1.065</f>
        <v>0.52121099999999998</v>
      </c>
      <c r="Q12" s="224">
        <v>2</v>
      </c>
      <c r="R12" s="219">
        <v>1</v>
      </c>
      <c r="S12" s="235">
        <f t="shared" si="0"/>
        <v>0.42</v>
      </c>
      <c r="T12" s="233">
        <f>Table1[[#This Row],[man minutes]]*Table1[[#This Row],[labor rate]]</f>
        <v>0.84</v>
      </c>
      <c r="U12" s="233">
        <f t="shared" si="1"/>
        <v>1.3612109999999999</v>
      </c>
      <c r="V12" s="218">
        <f t="shared" si="2"/>
        <v>0.13</v>
      </c>
      <c r="W12" s="234">
        <f t="shared" si="3"/>
        <v>0.13</v>
      </c>
      <c r="X12" s="233">
        <f t="shared" si="4"/>
        <v>0.58896842999999988</v>
      </c>
      <c r="Y12" s="233">
        <f t="shared" si="5"/>
        <v>0.94919999999999993</v>
      </c>
      <c r="Z12" s="233">
        <f t="shared" si="6"/>
        <v>1.54</v>
      </c>
      <c r="AA12" s="232">
        <f>+Table1[[#This Row],[calculated sale price]]</f>
        <v>1.54</v>
      </c>
      <c r="AB12" s="231"/>
      <c r="AC12" s="230"/>
      <c r="AD12" s="240"/>
      <c r="AE12" s="229" t="e">
        <f>[5]!Table1[[#This Row],[cost per quantity]]*(1+'[5]P&amp;L'!$P$8)</f>
        <v>#REF!</v>
      </c>
      <c r="AF12" s="229" t="e">
        <f>$AF$8*[5]!Table1[[#This Row],[man minutes]]*(1+'[5]P&amp;L'!$P$9)</f>
        <v>#REF!</v>
      </c>
      <c r="AG12" s="229"/>
      <c r="AH12" s="229"/>
      <c r="AI12" s="229" t="e">
        <f>Table1[[#This Row],[Food cost w/ MU]]+Table1[[#This Row],[labor cost W/ MU]]</f>
        <v>#REF!</v>
      </c>
      <c r="AJ12" s="228"/>
    </row>
    <row r="13" spans="1:36" x14ac:dyDescent="0.25">
      <c r="A13" s="219">
        <v>10004</v>
      </c>
      <c r="B13" s="215" t="s">
        <v>528</v>
      </c>
      <c r="C13" s="219">
        <v>1</v>
      </c>
      <c r="I13" s="219"/>
      <c r="J13" s="219"/>
      <c r="K13" s="219"/>
      <c r="L13" s="223"/>
      <c r="M13" s="219"/>
      <c r="N13" s="227"/>
      <c r="O13" s="226">
        <v>0.24948000000000001</v>
      </c>
      <c r="P13" s="226">
        <f>Table1[[#This Row],[unit cost]]*1.065</f>
        <v>0.26569619999999999</v>
      </c>
      <c r="Q13" s="224">
        <v>1.5</v>
      </c>
      <c r="R13" s="219">
        <v>1</v>
      </c>
      <c r="S13" s="235">
        <f t="shared" si="0"/>
        <v>0.42</v>
      </c>
      <c r="T13" s="233">
        <f>Table1[[#This Row],[man minutes]]*Table1[[#This Row],[labor rate]]</f>
        <v>0.63</v>
      </c>
      <c r="U13" s="233">
        <f t="shared" si="1"/>
        <v>0.89569619999999994</v>
      </c>
      <c r="V13" s="218">
        <f t="shared" si="2"/>
        <v>0.13</v>
      </c>
      <c r="W13" s="234">
        <f t="shared" si="3"/>
        <v>0.13</v>
      </c>
      <c r="X13" s="233">
        <f t="shared" si="4"/>
        <v>0.30023670599999996</v>
      </c>
      <c r="Y13" s="233">
        <f t="shared" si="5"/>
        <v>0.71189999999999998</v>
      </c>
      <c r="Z13" s="233">
        <f t="shared" si="6"/>
        <v>1.02</v>
      </c>
      <c r="AA13" s="232">
        <f>+Table1[[#This Row],[calculated sale price]]</f>
        <v>1.02</v>
      </c>
      <c r="AB13" s="231"/>
      <c r="AC13" s="230"/>
      <c r="AD13" s="240"/>
      <c r="AE13" s="229" t="e">
        <f>[5]!Table1[[#This Row],[cost per quantity]]*(1+'[5]P&amp;L'!$P$8)</f>
        <v>#REF!</v>
      </c>
      <c r="AF13" s="229" t="e">
        <f>$AF$8*[5]!Table1[[#This Row],[man minutes]]*(1+'[5]P&amp;L'!$P$9)</f>
        <v>#REF!</v>
      </c>
      <c r="AG13" s="229"/>
      <c r="AH13" s="229"/>
      <c r="AI13" s="229" t="e">
        <f>Table1[[#This Row],[Food cost w/ MU]]+Table1[[#This Row],[labor cost W/ MU]]</f>
        <v>#REF!</v>
      </c>
      <c r="AJ13" s="228"/>
    </row>
    <row r="14" spans="1:36" x14ac:dyDescent="0.25">
      <c r="A14" s="219">
        <v>10005</v>
      </c>
      <c r="B14" s="215" t="s">
        <v>527</v>
      </c>
      <c r="C14" s="219">
        <v>1</v>
      </c>
      <c r="I14" s="219"/>
      <c r="J14" s="219"/>
      <c r="K14" s="219"/>
      <c r="L14" s="223"/>
      <c r="M14" s="219"/>
      <c r="N14" s="227"/>
      <c r="O14" s="226">
        <v>4.2000000000000003E-2</v>
      </c>
      <c r="P14" s="226">
        <f>Table1[[#This Row],[unit cost]]*1.065</f>
        <v>4.4729999999999999E-2</v>
      </c>
      <c r="Q14" s="224">
        <v>0.3</v>
      </c>
      <c r="R14" s="219">
        <v>1</v>
      </c>
      <c r="S14" s="235">
        <f t="shared" si="0"/>
        <v>0.42</v>
      </c>
      <c r="T14" s="233">
        <f>Table1[[#This Row],[man minutes]]*Table1[[#This Row],[labor rate]]</f>
        <v>0.126</v>
      </c>
      <c r="U14" s="233">
        <f t="shared" si="1"/>
        <v>0.17072999999999999</v>
      </c>
      <c r="V14" s="218">
        <f t="shared" si="2"/>
        <v>0.13</v>
      </c>
      <c r="W14" s="234">
        <f t="shared" si="3"/>
        <v>0.13</v>
      </c>
      <c r="X14" s="233">
        <f t="shared" si="4"/>
        <v>5.0544899999999997E-2</v>
      </c>
      <c r="Y14" s="233">
        <f t="shared" si="5"/>
        <v>0.14238000000000001</v>
      </c>
      <c r="Z14" s="233">
        <f t="shared" si="6"/>
        <v>0.2</v>
      </c>
      <c r="AA14" s="232">
        <f>+Table1[[#This Row],[calculated sale price]]</f>
        <v>0.2</v>
      </c>
      <c r="AB14" s="231"/>
      <c r="AC14" s="230"/>
      <c r="AD14" s="240"/>
      <c r="AE14" s="229" t="e">
        <f>[5]!Table1[[#This Row],[cost per quantity]]*(1+'[5]P&amp;L'!$P$8)</f>
        <v>#REF!</v>
      </c>
      <c r="AF14" s="229" t="e">
        <f>$AF$8*[5]!Table1[[#This Row],[man minutes]]*(1+'[5]P&amp;L'!$P$9)</f>
        <v>#REF!</v>
      </c>
      <c r="AG14" s="229"/>
      <c r="AH14" s="229"/>
      <c r="AI14" s="229" t="e">
        <f>Table1[[#This Row],[Food cost w/ MU]]+Table1[[#This Row],[labor cost W/ MU]]</f>
        <v>#REF!</v>
      </c>
      <c r="AJ14" s="228"/>
    </row>
    <row r="15" spans="1:36" x14ac:dyDescent="0.25">
      <c r="A15" s="219">
        <v>10006</v>
      </c>
      <c r="B15" s="215" t="s">
        <v>526</v>
      </c>
      <c r="C15" s="219">
        <v>1</v>
      </c>
      <c r="I15" s="219"/>
      <c r="J15" s="219"/>
      <c r="K15" s="219"/>
      <c r="L15" s="223"/>
      <c r="M15" s="219"/>
      <c r="N15" s="227"/>
      <c r="O15" s="226">
        <v>0.08</v>
      </c>
      <c r="P15" s="226">
        <f>Table1[[#This Row],[unit cost]]*1.065</f>
        <v>8.5199999999999998E-2</v>
      </c>
      <c r="Q15" s="224">
        <v>0.75</v>
      </c>
      <c r="R15" s="219">
        <v>1</v>
      </c>
      <c r="S15" s="235">
        <f t="shared" si="0"/>
        <v>0.42</v>
      </c>
      <c r="T15" s="233">
        <f>Table1[[#This Row],[man minutes]]*Table1[[#This Row],[labor rate]]</f>
        <v>0.315</v>
      </c>
      <c r="U15" s="233">
        <f t="shared" si="1"/>
        <v>0.4002</v>
      </c>
      <c r="V15" s="218">
        <f t="shared" si="2"/>
        <v>0.13</v>
      </c>
      <c r="W15" s="234">
        <f t="shared" si="3"/>
        <v>0.13</v>
      </c>
      <c r="X15" s="233">
        <f t="shared" si="4"/>
        <v>9.6275999999999987E-2</v>
      </c>
      <c r="Y15" s="233">
        <f t="shared" si="5"/>
        <v>0.35594999999999999</v>
      </c>
      <c r="Z15" s="233">
        <f t="shared" si="6"/>
        <v>0.46</v>
      </c>
      <c r="AA15" s="232">
        <f>+Table1[[#This Row],[calculated sale price]]</f>
        <v>0.46</v>
      </c>
      <c r="AB15" s="231"/>
      <c r="AC15" s="230"/>
      <c r="AD15" s="240"/>
      <c r="AE15" s="229" t="e">
        <f>[5]!Table1[[#This Row],[cost per quantity]]*(1+'[5]P&amp;L'!$P$8)</f>
        <v>#REF!</v>
      </c>
      <c r="AF15" s="229" t="e">
        <f>$AF$8*[5]!Table1[[#This Row],[man minutes]]*(1+'[5]P&amp;L'!$P$9)</f>
        <v>#REF!</v>
      </c>
      <c r="AG15" s="229"/>
      <c r="AH15" s="229"/>
      <c r="AI15" s="229" t="e">
        <f>Table1[[#This Row],[Food cost w/ MU]]+Table1[[#This Row],[labor cost W/ MU]]</f>
        <v>#REF!</v>
      </c>
      <c r="AJ15" s="228"/>
    </row>
    <row r="16" spans="1:36" x14ac:dyDescent="0.25">
      <c r="A16" s="219">
        <v>10007</v>
      </c>
      <c r="B16" s="215" t="s">
        <v>525</v>
      </c>
      <c r="C16" s="219">
        <v>1</v>
      </c>
      <c r="I16" s="219"/>
      <c r="J16" s="219"/>
      <c r="K16" s="219"/>
      <c r="L16" s="223"/>
      <c r="M16" s="219"/>
      <c r="N16" s="227"/>
      <c r="O16" s="226">
        <v>1.47</v>
      </c>
      <c r="P16" s="226">
        <f>Table1[[#This Row],[unit cost]]*1.065</f>
        <v>1.56555</v>
      </c>
      <c r="Q16" s="224">
        <v>3</v>
      </c>
      <c r="R16" s="219">
        <v>1</v>
      </c>
      <c r="S16" s="235">
        <f t="shared" si="0"/>
        <v>0.42</v>
      </c>
      <c r="T16" s="233">
        <f>Table1[[#This Row],[man minutes]]*Table1[[#This Row],[labor rate]]</f>
        <v>1.26</v>
      </c>
      <c r="U16" s="233">
        <f t="shared" si="1"/>
        <v>2.8255499999999998</v>
      </c>
      <c r="V16" s="218">
        <f t="shared" si="2"/>
        <v>0.13</v>
      </c>
      <c r="W16" s="234">
        <f t="shared" si="3"/>
        <v>0.13</v>
      </c>
      <c r="X16" s="233">
        <f t="shared" si="4"/>
        <v>1.7690714999999999</v>
      </c>
      <c r="Y16" s="233">
        <f t="shared" si="5"/>
        <v>1.4238</v>
      </c>
      <c r="Z16" s="233">
        <f t="shared" si="6"/>
        <v>3.1999999999999997</v>
      </c>
      <c r="AA16" s="232">
        <f>+Table1[[#This Row],[calculated sale price]]</f>
        <v>3.1999999999999997</v>
      </c>
      <c r="AB16" s="231"/>
      <c r="AC16" s="230"/>
      <c r="AD16" s="240"/>
      <c r="AE16" s="229" t="e">
        <f>[5]!Table1[[#This Row],[cost per quantity]]*(1+'[5]P&amp;L'!$P$8)</f>
        <v>#REF!</v>
      </c>
      <c r="AF16" s="229" t="e">
        <f>$AF$8*[5]!Table1[[#This Row],[man minutes]]*(1+'[5]P&amp;L'!$P$9)</f>
        <v>#REF!</v>
      </c>
      <c r="AG16" s="229"/>
      <c r="AH16" s="229"/>
      <c r="AI16" s="229" t="e">
        <f>Table1[[#This Row],[Food cost w/ MU]]+Table1[[#This Row],[labor cost W/ MU]]</f>
        <v>#REF!</v>
      </c>
      <c r="AJ16" s="228"/>
    </row>
    <row r="17" spans="1:36" x14ac:dyDescent="0.25">
      <c r="A17" s="219">
        <v>10008</v>
      </c>
      <c r="B17" s="215" t="s">
        <v>524</v>
      </c>
      <c r="C17" s="219">
        <v>1</v>
      </c>
      <c r="I17" s="219"/>
      <c r="J17" s="219"/>
      <c r="K17" s="219"/>
      <c r="L17" s="223"/>
      <c r="M17" s="219"/>
      <c r="N17" s="227"/>
      <c r="O17" s="226">
        <v>2.8304999999999998</v>
      </c>
      <c r="P17" s="226">
        <f>Table1[[#This Row],[unit cost]]*1.065</f>
        <v>3.0144824999999997</v>
      </c>
      <c r="Q17" s="224">
        <v>3</v>
      </c>
      <c r="R17" s="219">
        <v>1</v>
      </c>
      <c r="S17" s="235">
        <f t="shared" si="0"/>
        <v>0.42</v>
      </c>
      <c r="T17" s="233">
        <f>Table1[[#This Row],[man minutes]]*Table1[[#This Row],[labor rate]]</f>
        <v>1.26</v>
      </c>
      <c r="U17" s="233">
        <f t="shared" si="1"/>
        <v>4.2744824999999995</v>
      </c>
      <c r="V17" s="218">
        <f t="shared" si="2"/>
        <v>0.13</v>
      </c>
      <c r="W17" s="234">
        <f t="shared" si="3"/>
        <v>0.13</v>
      </c>
      <c r="X17" s="233">
        <f t="shared" si="4"/>
        <v>3.4063652249999992</v>
      </c>
      <c r="Y17" s="233">
        <f t="shared" si="5"/>
        <v>1.4238</v>
      </c>
      <c r="Z17" s="233">
        <f t="shared" si="6"/>
        <v>4.84</v>
      </c>
      <c r="AA17" s="232">
        <f>+Table1[[#This Row],[calculated sale price]]</f>
        <v>4.84</v>
      </c>
      <c r="AB17" s="231"/>
      <c r="AC17" s="230"/>
      <c r="AD17" s="240"/>
      <c r="AE17" s="229" t="e">
        <f>[5]!Table1[[#This Row],[cost per quantity]]*(1+'[5]P&amp;L'!$P$8)</f>
        <v>#REF!</v>
      </c>
      <c r="AF17" s="229" t="e">
        <f>$AF$8*[5]!Table1[[#This Row],[man minutes]]*(1+'[5]P&amp;L'!$P$9)</f>
        <v>#REF!</v>
      </c>
      <c r="AG17" s="229"/>
      <c r="AH17" s="229"/>
      <c r="AI17" s="229" t="e">
        <f>Table1[[#This Row],[Food cost w/ MU]]+Table1[[#This Row],[labor cost W/ MU]]</f>
        <v>#REF!</v>
      </c>
      <c r="AJ17" s="228"/>
    </row>
    <row r="18" spans="1:36" x14ac:dyDescent="0.25">
      <c r="A18" s="219">
        <v>10009</v>
      </c>
      <c r="B18" s="215" t="s">
        <v>523</v>
      </c>
      <c r="C18" s="219">
        <v>1</v>
      </c>
      <c r="I18" s="219"/>
      <c r="J18" s="219"/>
      <c r="K18" s="219"/>
      <c r="L18" s="223"/>
      <c r="M18" s="219"/>
      <c r="N18" s="227"/>
      <c r="O18" s="226">
        <v>1.6952</v>
      </c>
      <c r="P18" s="226">
        <f>Table1[[#This Row],[unit cost]]*1.065</f>
        <v>1.805388</v>
      </c>
      <c r="Q18" s="224">
        <v>3.5</v>
      </c>
      <c r="R18" s="219">
        <v>1</v>
      </c>
      <c r="S18" s="235">
        <f t="shared" si="0"/>
        <v>0.42</v>
      </c>
      <c r="T18" s="233">
        <f>Table1[[#This Row],[man minutes]]*Table1[[#This Row],[labor rate]]</f>
        <v>1.47</v>
      </c>
      <c r="U18" s="233">
        <f t="shared" si="1"/>
        <v>3.275388</v>
      </c>
      <c r="V18" s="218">
        <f t="shared" si="2"/>
        <v>0.13</v>
      </c>
      <c r="W18" s="234">
        <f t="shared" si="3"/>
        <v>0.13</v>
      </c>
      <c r="X18" s="233">
        <f t="shared" si="4"/>
        <v>2.0400884399999999</v>
      </c>
      <c r="Y18" s="233">
        <f t="shared" si="5"/>
        <v>1.6611</v>
      </c>
      <c r="Z18" s="233">
        <f t="shared" si="6"/>
        <v>3.71</v>
      </c>
      <c r="AA18" s="232">
        <f>+Table1[[#This Row],[calculated sale price]]</f>
        <v>3.71</v>
      </c>
      <c r="AB18" s="231"/>
      <c r="AC18" s="230"/>
      <c r="AD18" s="240"/>
      <c r="AE18" s="229" t="e">
        <f>[5]!Table1[[#This Row],[cost per quantity]]*(1+'[5]P&amp;L'!$P$8)</f>
        <v>#REF!</v>
      </c>
      <c r="AF18" s="229" t="e">
        <f>$AF$8*[5]!Table1[[#This Row],[man minutes]]*(1+'[5]P&amp;L'!$P$9)</f>
        <v>#REF!</v>
      </c>
      <c r="AG18" s="229"/>
      <c r="AH18" s="229"/>
      <c r="AI18" s="229" t="e">
        <f>Table1[[#This Row],[Food cost w/ MU]]+Table1[[#This Row],[labor cost W/ MU]]</f>
        <v>#REF!</v>
      </c>
      <c r="AJ18" s="228"/>
    </row>
    <row r="19" spans="1:36" x14ac:dyDescent="0.25">
      <c r="A19" s="219">
        <v>10010</v>
      </c>
      <c r="B19" s="215" t="s">
        <v>522</v>
      </c>
      <c r="C19" s="219">
        <v>1</v>
      </c>
      <c r="I19" s="219"/>
      <c r="J19" s="219"/>
      <c r="K19" s="219"/>
      <c r="L19" s="223"/>
      <c r="M19" s="219"/>
      <c r="N19" s="227"/>
      <c r="O19" s="226">
        <v>1.5167999999999999</v>
      </c>
      <c r="P19" s="226">
        <f>Table1[[#This Row],[unit cost]]*1.065</f>
        <v>1.6153919999999999</v>
      </c>
      <c r="Q19" s="224">
        <v>4</v>
      </c>
      <c r="R19" s="219">
        <v>1</v>
      </c>
      <c r="S19" s="235">
        <f t="shared" si="0"/>
        <v>0.42</v>
      </c>
      <c r="T19" s="233">
        <f>Table1[[#This Row],[man minutes]]*Table1[[#This Row],[labor rate]]</f>
        <v>1.68</v>
      </c>
      <c r="U19" s="233">
        <f t="shared" si="1"/>
        <v>3.2953919999999997</v>
      </c>
      <c r="V19" s="218">
        <f t="shared" si="2"/>
        <v>0.13</v>
      </c>
      <c r="W19" s="234">
        <f t="shared" si="3"/>
        <v>0.13</v>
      </c>
      <c r="X19" s="233">
        <f t="shared" si="4"/>
        <v>1.8253929599999998</v>
      </c>
      <c r="Y19" s="233">
        <f t="shared" si="5"/>
        <v>1.8983999999999999</v>
      </c>
      <c r="Z19" s="233">
        <f t="shared" si="6"/>
        <v>3.73</v>
      </c>
      <c r="AA19" s="232">
        <f>+Table1[[#This Row],[calculated sale price]]</f>
        <v>3.73</v>
      </c>
      <c r="AB19" s="231"/>
      <c r="AC19" s="230"/>
      <c r="AD19" s="240"/>
      <c r="AE19" s="229" t="e">
        <f>[5]!Table1[[#This Row],[cost per quantity]]*(1+'[5]P&amp;L'!$P$8)</f>
        <v>#REF!</v>
      </c>
      <c r="AF19" s="229" t="e">
        <f>$AF$8*[5]!Table1[[#This Row],[man minutes]]*(1+'[5]P&amp;L'!$P$9)</f>
        <v>#REF!</v>
      </c>
      <c r="AG19" s="229"/>
      <c r="AH19" s="229"/>
      <c r="AI19" s="229" t="e">
        <f>Table1[[#This Row],[Food cost w/ MU]]+Table1[[#This Row],[labor cost W/ MU]]</f>
        <v>#REF!</v>
      </c>
      <c r="AJ19" s="228"/>
    </row>
    <row r="20" spans="1:36" x14ac:dyDescent="0.25">
      <c r="A20" s="219">
        <v>10011</v>
      </c>
      <c r="B20" s="215" t="s">
        <v>521</v>
      </c>
      <c r="C20" s="219">
        <v>1</v>
      </c>
      <c r="I20" s="219"/>
      <c r="J20" s="219"/>
      <c r="K20" s="219"/>
      <c r="L20" s="223"/>
      <c r="M20" s="219"/>
      <c r="N20" s="227"/>
      <c r="O20" s="226">
        <v>0.64816499999999999</v>
      </c>
      <c r="P20" s="226">
        <f>Table1[[#This Row],[unit cost]]*1.065</f>
        <v>0.69029572499999992</v>
      </c>
      <c r="Q20" s="224">
        <v>2.5</v>
      </c>
      <c r="R20" s="219">
        <v>1</v>
      </c>
      <c r="S20" s="235">
        <f t="shared" si="0"/>
        <v>0.42</v>
      </c>
      <c r="T20" s="233">
        <f>Table1[[#This Row],[man minutes]]*Table1[[#This Row],[labor rate]]</f>
        <v>1.05</v>
      </c>
      <c r="U20" s="233">
        <f t="shared" si="1"/>
        <v>1.740295725</v>
      </c>
      <c r="V20" s="218">
        <f t="shared" si="2"/>
        <v>0.13</v>
      </c>
      <c r="W20" s="234">
        <f t="shared" si="3"/>
        <v>0.13</v>
      </c>
      <c r="X20" s="233">
        <f t="shared" si="4"/>
        <v>0.7800341692499998</v>
      </c>
      <c r="Y20" s="233">
        <f t="shared" si="5"/>
        <v>1.1865000000000001</v>
      </c>
      <c r="Z20" s="233">
        <f t="shared" si="6"/>
        <v>1.97</v>
      </c>
      <c r="AA20" s="232">
        <f>+Table1[[#This Row],[calculated sale price]]</f>
        <v>1.97</v>
      </c>
      <c r="AB20" s="231"/>
      <c r="AC20" s="230"/>
      <c r="AD20" s="240"/>
      <c r="AE20" s="229" t="e">
        <f>[5]!Table1[[#This Row],[cost per quantity]]*(1+'[5]P&amp;L'!$P$8)</f>
        <v>#REF!</v>
      </c>
      <c r="AF20" s="229" t="e">
        <f>$AF$8*[5]!Table1[[#This Row],[man minutes]]*(1+'[5]P&amp;L'!$P$9)</f>
        <v>#REF!</v>
      </c>
      <c r="AG20" s="229"/>
      <c r="AH20" s="229"/>
      <c r="AI20" s="229" t="e">
        <f>Table1[[#This Row],[Food cost w/ MU]]+Table1[[#This Row],[labor cost W/ MU]]</f>
        <v>#REF!</v>
      </c>
      <c r="AJ20" s="228"/>
    </row>
    <row r="21" spans="1:36" x14ac:dyDescent="0.25">
      <c r="A21" s="219">
        <v>10012</v>
      </c>
      <c r="B21" s="215" t="s">
        <v>520</v>
      </c>
      <c r="C21" s="219">
        <v>1</v>
      </c>
      <c r="I21" s="219"/>
      <c r="J21" s="219"/>
      <c r="K21" s="219"/>
      <c r="L21" s="223"/>
      <c r="M21" s="219"/>
      <c r="N21" s="227"/>
      <c r="O21" s="226">
        <v>0.17879999999999999</v>
      </c>
      <c r="P21" s="226">
        <f>Table1[[#This Row],[unit cost]]*1.065</f>
        <v>0.19042199999999998</v>
      </c>
      <c r="Q21" s="224">
        <v>0.5</v>
      </c>
      <c r="R21" s="219">
        <v>1</v>
      </c>
      <c r="S21" s="235">
        <f t="shared" si="0"/>
        <v>0.42</v>
      </c>
      <c r="T21" s="233">
        <f>Table1[[#This Row],[man minutes]]*Table1[[#This Row],[labor rate]]</f>
        <v>0.21</v>
      </c>
      <c r="U21" s="233">
        <f t="shared" si="1"/>
        <v>0.40042199999999994</v>
      </c>
      <c r="V21" s="218">
        <f t="shared" si="2"/>
        <v>0.13</v>
      </c>
      <c r="W21" s="234">
        <f t="shared" si="3"/>
        <v>0.13</v>
      </c>
      <c r="X21" s="233">
        <f t="shared" si="4"/>
        <v>0.21517685999999997</v>
      </c>
      <c r="Y21" s="233">
        <f t="shared" si="5"/>
        <v>0.23729999999999998</v>
      </c>
      <c r="Z21" s="233">
        <f t="shared" si="6"/>
        <v>0.46</v>
      </c>
      <c r="AA21" s="232">
        <f>+Table1[[#This Row],[calculated sale price]]</f>
        <v>0.46</v>
      </c>
      <c r="AB21" s="231"/>
      <c r="AC21" s="230"/>
      <c r="AD21" s="240"/>
      <c r="AE21" s="229" t="e">
        <f>[5]!Table1[[#This Row],[cost per quantity]]*(1+'[5]P&amp;L'!$P$8)</f>
        <v>#REF!</v>
      </c>
      <c r="AF21" s="229" t="e">
        <f>$AF$8*[5]!Table1[[#This Row],[man minutes]]*(1+'[5]P&amp;L'!$P$9)</f>
        <v>#REF!</v>
      </c>
      <c r="AG21" s="229"/>
      <c r="AH21" s="229"/>
      <c r="AI21" s="229" t="e">
        <f>Table1[[#This Row],[Food cost w/ MU]]+Table1[[#This Row],[labor cost W/ MU]]</f>
        <v>#REF!</v>
      </c>
      <c r="AJ21" s="228"/>
    </row>
    <row r="22" spans="1:36" x14ac:dyDescent="0.25">
      <c r="A22" s="219">
        <v>10013</v>
      </c>
      <c r="B22" s="215" t="s">
        <v>519</v>
      </c>
      <c r="C22" s="219">
        <v>1</v>
      </c>
      <c r="I22" s="219"/>
      <c r="J22" s="219"/>
      <c r="K22" s="219"/>
      <c r="L22" s="223"/>
      <c r="M22" s="219"/>
      <c r="N22" s="227"/>
      <c r="O22" s="226">
        <v>8.2119</v>
      </c>
      <c r="P22" s="226">
        <f>Table1[[#This Row],[unit cost]]*1.065</f>
        <v>8.7456734999999988</v>
      </c>
      <c r="Q22" s="224">
        <v>8</v>
      </c>
      <c r="R22" s="219">
        <v>1</v>
      </c>
      <c r="S22" s="235">
        <f t="shared" si="0"/>
        <v>0.42</v>
      </c>
      <c r="T22" s="233">
        <f>Table1[[#This Row],[man minutes]]*Table1[[#This Row],[labor rate]]</f>
        <v>3.36</v>
      </c>
      <c r="U22" s="233">
        <f t="shared" si="1"/>
        <v>12.105673499999998</v>
      </c>
      <c r="V22" s="218">
        <f t="shared" si="2"/>
        <v>0.13</v>
      </c>
      <c r="W22" s="234">
        <f t="shared" si="3"/>
        <v>0.13</v>
      </c>
      <c r="X22" s="233">
        <f t="shared" si="4"/>
        <v>9.8826110549999981</v>
      </c>
      <c r="Y22" s="233">
        <f t="shared" si="5"/>
        <v>3.7967999999999997</v>
      </c>
      <c r="Z22" s="233">
        <f t="shared" si="6"/>
        <v>13.68</v>
      </c>
      <c r="AA22" s="232">
        <f>+Table1[[#This Row],[calculated sale price]]</f>
        <v>13.68</v>
      </c>
      <c r="AB22" s="231"/>
      <c r="AC22" s="230"/>
      <c r="AD22" s="240"/>
      <c r="AE22" s="229" t="e">
        <f>[5]!Table1[[#This Row],[cost per quantity]]*(1+'[5]P&amp;L'!$P$8)</f>
        <v>#REF!</v>
      </c>
      <c r="AF22" s="229" t="e">
        <f>$AF$8*[5]!Table1[[#This Row],[man minutes]]*(1+'[5]P&amp;L'!$P$9)</f>
        <v>#REF!</v>
      </c>
      <c r="AG22" s="229"/>
      <c r="AH22" s="229"/>
      <c r="AI22" s="229" t="e">
        <f>Table1[[#This Row],[Food cost w/ MU]]+Table1[[#This Row],[labor cost W/ MU]]</f>
        <v>#REF!</v>
      </c>
      <c r="AJ22" s="228"/>
    </row>
    <row r="23" spans="1:36" x14ac:dyDescent="0.25">
      <c r="A23" s="219">
        <v>10014</v>
      </c>
      <c r="B23" s="215" t="s">
        <v>518</v>
      </c>
      <c r="C23" s="219">
        <v>1</v>
      </c>
      <c r="I23" s="219"/>
      <c r="J23" s="219"/>
      <c r="K23" s="219"/>
      <c r="L23" s="223"/>
      <c r="M23" s="219"/>
      <c r="N23" s="227"/>
      <c r="O23" s="226">
        <v>9.8042999999999996</v>
      </c>
      <c r="P23" s="226">
        <f>Table1[[#This Row],[unit cost]]*1.065</f>
        <v>10.4415795</v>
      </c>
      <c r="Q23" s="224">
        <v>6</v>
      </c>
      <c r="R23" s="219">
        <v>1</v>
      </c>
      <c r="S23" s="235">
        <f t="shared" si="0"/>
        <v>0.42</v>
      </c>
      <c r="T23" s="233">
        <f>Table1[[#This Row],[man minutes]]*Table1[[#This Row],[labor rate]]</f>
        <v>2.52</v>
      </c>
      <c r="U23" s="233">
        <f t="shared" si="1"/>
        <v>12.961579499999999</v>
      </c>
      <c r="V23" s="218">
        <f t="shared" si="2"/>
        <v>0.13</v>
      </c>
      <c r="W23" s="234">
        <f t="shared" si="3"/>
        <v>0.13</v>
      </c>
      <c r="X23" s="233">
        <f t="shared" si="4"/>
        <v>11.798984834999999</v>
      </c>
      <c r="Y23" s="233">
        <f t="shared" si="5"/>
        <v>2.8475999999999999</v>
      </c>
      <c r="Z23" s="233">
        <f t="shared" si="6"/>
        <v>14.65</v>
      </c>
      <c r="AA23" s="232">
        <f>+Table1[[#This Row],[calculated sale price]]</f>
        <v>14.65</v>
      </c>
      <c r="AB23" s="231"/>
      <c r="AC23" s="230"/>
      <c r="AD23" s="240"/>
      <c r="AE23" s="229" t="e">
        <f>[5]!Table1[[#This Row],[cost per quantity]]*(1+'[5]P&amp;L'!$P$8)</f>
        <v>#REF!</v>
      </c>
      <c r="AF23" s="229" t="e">
        <f>$AF$8*[5]!Table1[[#This Row],[man minutes]]*(1+'[5]P&amp;L'!$P$9)</f>
        <v>#REF!</v>
      </c>
      <c r="AG23" s="229"/>
      <c r="AH23" s="229"/>
      <c r="AI23" s="229" t="e">
        <f>Table1[[#This Row],[Food cost w/ MU]]+Table1[[#This Row],[labor cost W/ MU]]</f>
        <v>#REF!</v>
      </c>
      <c r="AJ23" s="228"/>
    </row>
    <row r="24" spans="1:36" x14ac:dyDescent="0.25">
      <c r="A24" s="219">
        <v>10015</v>
      </c>
      <c r="B24" s="215" t="s">
        <v>517</v>
      </c>
      <c r="C24" s="219">
        <v>1</v>
      </c>
      <c r="I24" s="219"/>
      <c r="J24" s="219"/>
      <c r="K24" s="219"/>
      <c r="L24" s="223"/>
      <c r="M24" s="219"/>
      <c r="N24" s="227"/>
      <c r="O24" s="226">
        <v>4.0870829999999998</v>
      </c>
      <c r="P24" s="226">
        <f>Table1[[#This Row],[unit cost]]*1.065</f>
        <v>4.3527433949999992</v>
      </c>
      <c r="Q24" s="224">
        <v>6.5</v>
      </c>
      <c r="R24" s="219">
        <v>1</v>
      </c>
      <c r="S24" s="235">
        <f t="shared" si="0"/>
        <v>0.42</v>
      </c>
      <c r="T24" s="233">
        <f>Table1[[#This Row],[man minutes]]*Table1[[#This Row],[labor rate]]</f>
        <v>2.73</v>
      </c>
      <c r="U24" s="233">
        <f t="shared" si="1"/>
        <v>7.0827433949999996</v>
      </c>
      <c r="V24" s="218">
        <f t="shared" si="2"/>
        <v>0.13</v>
      </c>
      <c r="W24" s="234">
        <f t="shared" si="3"/>
        <v>0.13</v>
      </c>
      <c r="X24" s="233">
        <f t="shared" si="4"/>
        <v>4.9186000363499982</v>
      </c>
      <c r="Y24" s="233">
        <f t="shared" si="5"/>
        <v>3.0849000000000002</v>
      </c>
      <c r="Z24" s="233">
        <f t="shared" si="6"/>
        <v>8.01</v>
      </c>
      <c r="AA24" s="232">
        <f>+Table1[[#This Row],[calculated sale price]]</f>
        <v>8.01</v>
      </c>
      <c r="AB24" s="231"/>
      <c r="AC24" s="230"/>
      <c r="AD24" s="240"/>
      <c r="AE24" s="229" t="e">
        <f>[5]!Table1[[#This Row],[cost per quantity]]*(1+'[5]P&amp;L'!$P$8)</f>
        <v>#REF!</v>
      </c>
      <c r="AF24" s="229" t="e">
        <f>$AF$8*[5]!Table1[[#This Row],[man minutes]]*(1+'[5]P&amp;L'!$P$9)</f>
        <v>#REF!</v>
      </c>
      <c r="AG24" s="229"/>
      <c r="AH24" s="229"/>
      <c r="AI24" s="229" t="e">
        <f>Table1[[#This Row],[Food cost w/ MU]]+Table1[[#This Row],[labor cost W/ MU]]</f>
        <v>#REF!</v>
      </c>
      <c r="AJ24" s="228"/>
    </row>
    <row r="25" spans="1:36" x14ac:dyDescent="0.25">
      <c r="A25" s="219">
        <v>10016</v>
      </c>
      <c r="B25" s="215" t="s">
        <v>516</v>
      </c>
      <c r="C25" s="219">
        <v>1</v>
      </c>
      <c r="I25" s="219"/>
      <c r="J25" s="219"/>
      <c r="K25" s="219"/>
      <c r="L25" s="223"/>
      <c r="M25" s="219"/>
      <c r="N25" s="227"/>
      <c r="O25" s="226">
        <f>1.2591+0.45</f>
        <v>1.7091000000000001</v>
      </c>
      <c r="P25" s="226">
        <f>Table1[[#This Row],[unit cost]]*1.065</f>
        <v>1.8201915</v>
      </c>
      <c r="Q25" s="224">
        <v>6.5</v>
      </c>
      <c r="R25" s="219">
        <v>1</v>
      </c>
      <c r="S25" s="235">
        <f t="shared" si="0"/>
        <v>0.42</v>
      </c>
      <c r="T25" s="233">
        <f>Table1[[#This Row],[man minutes]]*Table1[[#This Row],[labor rate]]</f>
        <v>2.73</v>
      </c>
      <c r="U25" s="233">
        <f t="shared" si="1"/>
        <v>4.5501915000000004</v>
      </c>
      <c r="V25" s="218">
        <f t="shared" si="2"/>
        <v>0.13</v>
      </c>
      <c r="W25" s="234">
        <f t="shared" si="3"/>
        <v>0.13</v>
      </c>
      <c r="X25" s="233">
        <f t="shared" si="4"/>
        <v>2.0568163949999998</v>
      </c>
      <c r="Y25" s="233">
        <f t="shared" si="5"/>
        <v>3.0849000000000002</v>
      </c>
      <c r="Z25" s="233">
        <f t="shared" si="6"/>
        <v>5.1499999999999995</v>
      </c>
      <c r="AA25" s="232">
        <f>+Table1[[#This Row],[calculated sale price]]</f>
        <v>5.1499999999999995</v>
      </c>
      <c r="AB25" s="231"/>
      <c r="AC25" s="230"/>
      <c r="AD25" s="240"/>
      <c r="AE25" s="229" t="e">
        <f>[5]!Table1[[#This Row],[cost per quantity]]*(1+'[5]P&amp;L'!$P$8)</f>
        <v>#REF!</v>
      </c>
      <c r="AF25" s="229" t="e">
        <f>$AF$8*[5]!Table1[[#This Row],[man minutes]]*(1+'[5]P&amp;L'!$P$9)</f>
        <v>#REF!</v>
      </c>
      <c r="AG25" s="229"/>
      <c r="AH25" s="229"/>
      <c r="AI25" s="229" t="e">
        <f>Table1[[#This Row],[Food cost w/ MU]]+Table1[[#This Row],[labor cost W/ MU]]</f>
        <v>#REF!</v>
      </c>
      <c r="AJ25" s="228"/>
    </row>
    <row r="26" spans="1:36" x14ac:dyDescent="0.25">
      <c r="A26" s="219">
        <v>10017</v>
      </c>
      <c r="B26" s="215" t="s">
        <v>515</v>
      </c>
      <c r="C26" s="219">
        <v>1</v>
      </c>
      <c r="I26" s="219"/>
      <c r="J26" s="219"/>
      <c r="K26" s="219"/>
      <c r="L26" s="223"/>
      <c r="M26" s="219"/>
      <c r="N26" s="227"/>
      <c r="O26" s="226">
        <v>3.9450599999999998</v>
      </c>
      <c r="P26" s="226">
        <f>Table1[[#This Row],[unit cost]]*1.065</f>
        <v>4.2014888999999993</v>
      </c>
      <c r="Q26" s="224">
        <v>4</v>
      </c>
      <c r="R26" s="219">
        <v>1</v>
      </c>
      <c r="S26" s="235">
        <f t="shared" si="0"/>
        <v>0.42</v>
      </c>
      <c r="T26" s="233">
        <f>Table1[[#This Row],[man minutes]]*Table1[[#This Row],[labor rate]]</f>
        <v>1.68</v>
      </c>
      <c r="U26" s="233">
        <f t="shared" si="1"/>
        <v>5.881488899999999</v>
      </c>
      <c r="V26" s="218">
        <f t="shared" si="2"/>
        <v>0.13</v>
      </c>
      <c r="W26" s="234">
        <f t="shared" si="3"/>
        <v>0.13</v>
      </c>
      <c r="X26" s="233">
        <f t="shared" si="4"/>
        <v>4.7476824569999989</v>
      </c>
      <c r="Y26" s="233">
        <f t="shared" si="5"/>
        <v>1.8983999999999999</v>
      </c>
      <c r="Z26" s="233">
        <f t="shared" si="6"/>
        <v>6.6499999999999995</v>
      </c>
      <c r="AA26" s="232">
        <f>+Table1[[#This Row],[calculated sale price]]</f>
        <v>6.6499999999999995</v>
      </c>
      <c r="AB26" s="231"/>
      <c r="AC26" s="230"/>
      <c r="AD26" s="240"/>
      <c r="AE26" s="229" t="e">
        <f>[5]!Table1[[#This Row],[cost per quantity]]*(1+'[5]P&amp;L'!$P$8)</f>
        <v>#REF!</v>
      </c>
      <c r="AF26" s="229" t="e">
        <f>$AF$8*[5]!Table1[[#This Row],[man minutes]]*(1+'[5]P&amp;L'!$P$9)</f>
        <v>#REF!</v>
      </c>
      <c r="AG26" s="229"/>
      <c r="AH26" s="229"/>
      <c r="AI26" s="229" t="e">
        <f>Table1[[#This Row],[Food cost w/ MU]]+Table1[[#This Row],[labor cost W/ MU]]</f>
        <v>#REF!</v>
      </c>
      <c r="AJ26" s="228"/>
    </row>
    <row r="27" spans="1:36" x14ac:dyDescent="0.25">
      <c r="A27" s="219">
        <v>10018</v>
      </c>
      <c r="B27" s="215" t="s">
        <v>514</v>
      </c>
      <c r="C27" s="219">
        <v>1</v>
      </c>
      <c r="I27" s="219"/>
      <c r="J27" s="219"/>
      <c r="K27" s="219"/>
      <c r="L27" s="223"/>
      <c r="M27" s="219"/>
      <c r="N27" s="227"/>
      <c r="O27" s="226">
        <f>6.7961-1.25-0.1</f>
        <v>5.4461000000000004</v>
      </c>
      <c r="P27" s="226">
        <f>Table1[[#This Row],[unit cost]]*1.065</f>
        <v>5.8000965000000004</v>
      </c>
      <c r="Q27" s="224">
        <v>4</v>
      </c>
      <c r="R27" s="219">
        <v>1</v>
      </c>
      <c r="S27" s="235">
        <f t="shared" si="0"/>
        <v>0.42</v>
      </c>
      <c r="T27" s="233">
        <f>Table1[[#This Row],[man minutes]]*Table1[[#This Row],[labor rate]]</f>
        <v>1.68</v>
      </c>
      <c r="U27" s="233">
        <f t="shared" si="1"/>
        <v>7.4800965000000001</v>
      </c>
      <c r="V27" s="218">
        <f t="shared" si="2"/>
        <v>0.13</v>
      </c>
      <c r="W27" s="234">
        <f t="shared" si="3"/>
        <v>0.13</v>
      </c>
      <c r="X27" s="233">
        <f t="shared" si="4"/>
        <v>6.5541090449999997</v>
      </c>
      <c r="Y27" s="233">
        <f t="shared" si="5"/>
        <v>1.8983999999999999</v>
      </c>
      <c r="Z27" s="233">
        <f t="shared" si="6"/>
        <v>8.4599999999999991</v>
      </c>
      <c r="AA27" s="232">
        <f>+Table1[[#This Row],[calculated sale price]]</f>
        <v>8.4599999999999991</v>
      </c>
      <c r="AB27" s="231"/>
      <c r="AC27" s="230"/>
      <c r="AD27" s="240"/>
      <c r="AE27" s="229" t="e">
        <f>[5]!Table1[[#This Row],[cost per quantity]]*(1+'[5]P&amp;L'!$P$8)</f>
        <v>#REF!</v>
      </c>
      <c r="AF27" s="229" t="e">
        <f>$AF$8*[5]!Table1[[#This Row],[man minutes]]*(1+'[5]P&amp;L'!$P$9)</f>
        <v>#REF!</v>
      </c>
      <c r="AG27" s="229"/>
      <c r="AH27" s="229"/>
      <c r="AI27" s="229" t="e">
        <f>Table1[[#This Row],[Food cost w/ MU]]+Table1[[#This Row],[labor cost W/ MU]]</f>
        <v>#REF!</v>
      </c>
      <c r="AJ27" s="228"/>
    </row>
    <row r="28" spans="1:36" x14ac:dyDescent="0.25">
      <c r="A28" s="219">
        <v>10019</v>
      </c>
      <c r="B28" s="215" t="s">
        <v>513</v>
      </c>
      <c r="C28" s="219">
        <v>1</v>
      </c>
      <c r="I28" s="219"/>
      <c r="J28" s="219"/>
      <c r="K28" s="219"/>
      <c r="L28" s="223"/>
      <c r="M28" s="219"/>
      <c r="N28" s="227"/>
      <c r="O28" s="226">
        <v>8.1460050000000006</v>
      </c>
      <c r="P28" s="226">
        <f>Table1[[#This Row],[unit cost]]*1.065</f>
        <v>8.675495325</v>
      </c>
      <c r="Q28" s="224">
        <v>2</v>
      </c>
      <c r="R28" s="219">
        <v>1</v>
      </c>
      <c r="S28" s="235">
        <f t="shared" si="0"/>
        <v>0.42</v>
      </c>
      <c r="T28" s="233">
        <f>Table1[[#This Row],[man minutes]]*Table1[[#This Row],[labor rate]]</f>
        <v>0.84</v>
      </c>
      <c r="U28" s="233">
        <f t="shared" si="1"/>
        <v>9.5154953249999998</v>
      </c>
      <c r="V28" s="218">
        <f t="shared" si="2"/>
        <v>0.13</v>
      </c>
      <c r="W28" s="234">
        <f t="shared" si="3"/>
        <v>0.13</v>
      </c>
      <c r="X28" s="233">
        <f t="shared" si="4"/>
        <v>9.8033097172499986</v>
      </c>
      <c r="Y28" s="233">
        <f t="shared" si="5"/>
        <v>0.94919999999999993</v>
      </c>
      <c r="Z28" s="233">
        <f t="shared" si="6"/>
        <v>10.76</v>
      </c>
      <c r="AA28" s="232">
        <f>+Table1[[#This Row],[calculated sale price]]</f>
        <v>10.76</v>
      </c>
      <c r="AB28" s="231"/>
      <c r="AC28" s="230"/>
      <c r="AD28" s="240"/>
      <c r="AE28" s="229" t="e">
        <f>[5]!Table1[[#This Row],[cost per quantity]]*(1+'[5]P&amp;L'!$P$8)</f>
        <v>#REF!</v>
      </c>
      <c r="AF28" s="229" t="e">
        <f>$AF$8*[5]!Table1[[#This Row],[man minutes]]*(1+'[5]P&amp;L'!$P$9)</f>
        <v>#REF!</v>
      </c>
      <c r="AG28" s="229"/>
      <c r="AH28" s="229"/>
      <c r="AI28" s="229" t="e">
        <f>Table1[[#This Row],[Food cost w/ MU]]+Table1[[#This Row],[labor cost W/ MU]]</f>
        <v>#REF!</v>
      </c>
      <c r="AJ28" s="228"/>
    </row>
    <row r="29" spans="1:36" x14ac:dyDescent="0.25">
      <c r="A29" s="219">
        <v>10020</v>
      </c>
      <c r="B29" s="215" t="s">
        <v>512</v>
      </c>
      <c r="C29" s="219">
        <v>1</v>
      </c>
      <c r="I29" s="219"/>
      <c r="J29" s="219"/>
      <c r="K29" s="219"/>
      <c r="L29" s="223"/>
      <c r="M29" s="219"/>
      <c r="N29" s="227"/>
      <c r="O29" s="226">
        <v>2.3929499999999999</v>
      </c>
      <c r="P29" s="226">
        <f>Table1[[#This Row],[unit cost]]*1.065</f>
        <v>2.5484917499999997</v>
      </c>
      <c r="Q29" s="224">
        <v>2</v>
      </c>
      <c r="R29" s="219">
        <v>1</v>
      </c>
      <c r="S29" s="235">
        <f t="shared" si="0"/>
        <v>0.42</v>
      </c>
      <c r="T29" s="233">
        <f>Table1[[#This Row],[man minutes]]*Table1[[#This Row],[labor rate]]</f>
        <v>0.84</v>
      </c>
      <c r="U29" s="233">
        <f t="shared" si="1"/>
        <v>3.3884917499999996</v>
      </c>
      <c r="V29" s="218">
        <f t="shared" si="2"/>
        <v>0.13</v>
      </c>
      <c r="W29" s="234">
        <f t="shared" si="3"/>
        <v>0.13</v>
      </c>
      <c r="X29" s="233">
        <f t="shared" si="4"/>
        <v>2.8797956774999993</v>
      </c>
      <c r="Y29" s="233">
        <f t="shared" si="5"/>
        <v>0.94919999999999993</v>
      </c>
      <c r="Z29" s="233">
        <f t="shared" si="6"/>
        <v>3.8299999999999996</v>
      </c>
      <c r="AA29" s="232">
        <f>+Table1[[#This Row],[calculated sale price]]</f>
        <v>3.8299999999999996</v>
      </c>
      <c r="AB29" s="231"/>
      <c r="AC29" s="230"/>
      <c r="AD29" s="240"/>
      <c r="AE29" s="229" t="e">
        <f>[5]!Table1[[#This Row],[cost per quantity]]*(1+'[5]P&amp;L'!$P$8)</f>
        <v>#REF!</v>
      </c>
      <c r="AF29" s="229" t="e">
        <f>$AF$8*[5]!Table1[[#This Row],[man minutes]]*(1+'[5]P&amp;L'!$P$9)</f>
        <v>#REF!</v>
      </c>
      <c r="AG29" s="229"/>
      <c r="AH29" s="229"/>
      <c r="AI29" s="229" t="e">
        <f>Table1[[#This Row],[Food cost w/ MU]]+Table1[[#This Row],[labor cost W/ MU]]</f>
        <v>#REF!</v>
      </c>
      <c r="AJ29" s="228"/>
    </row>
    <row r="30" spans="1:36" x14ac:dyDescent="0.25">
      <c r="A30" s="219">
        <v>10021</v>
      </c>
      <c r="B30" s="215" t="s">
        <v>511</v>
      </c>
      <c r="C30" s="219">
        <v>1</v>
      </c>
      <c r="I30" s="219"/>
      <c r="J30" s="219"/>
      <c r="K30" s="219"/>
      <c r="L30" s="223"/>
      <c r="M30" s="219"/>
      <c r="N30" s="227"/>
      <c r="O30" s="226">
        <v>2.9392</v>
      </c>
      <c r="P30" s="226">
        <f>Table1[[#This Row],[unit cost]]*1.065</f>
        <v>3.1302479999999999</v>
      </c>
      <c r="Q30" s="224">
        <v>2</v>
      </c>
      <c r="R30" s="219">
        <v>1</v>
      </c>
      <c r="S30" s="235">
        <f t="shared" si="0"/>
        <v>0.42</v>
      </c>
      <c r="T30" s="233">
        <f>Table1[[#This Row],[man minutes]]*Table1[[#This Row],[labor rate]]</f>
        <v>0.84</v>
      </c>
      <c r="U30" s="233">
        <f t="shared" si="1"/>
        <v>3.9702479999999998</v>
      </c>
      <c r="V30" s="218">
        <f t="shared" si="2"/>
        <v>0.13</v>
      </c>
      <c r="W30" s="234">
        <f t="shared" si="3"/>
        <v>0.13</v>
      </c>
      <c r="X30" s="233">
        <f t="shared" si="4"/>
        <v>3.5371802399999996</v>
      </c>
      <c r="Y30" s="233">
        <f t="shared" si="5"/>
        <v>0.94919999999999993</v>
      </c>
      <c r="Z30" s="233">
        <f t="shared" si="6"/>
        <v>4.49</v>
      </c>
      <c r="AA30" s="232">
        <f>+Table1[[#This Row],[calculated sale price]]</f>
        <v>4.49</v>
      </c>
      <c r="AB30" s="231"/>
      <c r="AC30" s="230"/>
      <c r="AD30" s="240"/>
      <c r="AE30" s="229" t="e">
        <f>[5]!Table1[[#This Row],[cost per quantity]]*(1+'[5]P&amp;L'!$P$8)</f>
        <v>#REF!</v>
      </c>
      <c r="AF30" s="229" t="e">
        <f>$AF$8*[5]!Table1[[#This Row],[man minutes]]*(1+'[5]P&amp;L'!$P$9)</f>
        <v>#REF!</v>
      </c>
      <c r="AG30" s="229"/>
      <c r="AH30" s="229"/>
      <c r="AI30" s="229" t="e">
        <f>Table1[[#This Row],[Food cost w/ MU]]+Table1[[#This Row],[labor cost W/ MU]]</f>
        <v>#REF!</v>
      </c>
      <c r="AJ30" s="228"/>
    </row>
    <row r="31" spans="1:36" x14ac:dyDescent="0.25">
      <c r="A31" s="219">
        <v>10022</v>
      </c>
      <c r="B31" s="215" t="s">
        <v>510</v>
      </c>
      <c r="C31" s="219">
        <v>1</v>
      </c>
      <c r="I31" s="219"/>
      <c r="J31" s="219"/>
      <c r="K31" s="219"/>
      <c r="L31" s="223"/>
      <c r="M31" s="219"/>
      <c r="N31" s="227"/>
      <c r="O31" s="226">
        <v>0.75904499999999997</v>
      </c>
      <c r="P31" s="226">
        <f>Table1[[#This Row],[unit cost]]*1.065</f>
        <v>0.80838292499999997</v>
      </c>
      <c r="Q31" s="224">
        <v>2.5</v>
      </c>
      <c r="R31" s="219">
        <v>1</v>
      </c>
      <c r="S31" s="235">
        <f t="shared" si="0"/>
        <v>0.42</v>
      </c>
      <c r="T31" s="233">
        <f>Table1[[#This Row],[man minutes]]*Table1[[#This Row],[labor rate]]</f>
        <v>1.05</v>
      </c>
      <c r="U31" s="233">
        <f t="shared" si="1"/>
        <v>1.8583829249999999</v>
      </c>
      <c r="V31" s="218">
        <f t="shared" si="2"/>
        <v>0.13</v>
      </c>
      <c r="W31" s="234">
        <f t="shared" si="3"/>
        <v>0.13</v>
      </c>
      <c r="X31" s="233">
        <f t="shared" si="4"/>
        <v>0.91347270524999991</v>
      </c>
      <c r="Y31" s="233">
        <f t="shared" si="5"/>
        <v>1.1865000000000001</v>
      </c>
      <c r="Z31" s="233">
        <f t="shared" si="6"/>
        <v>2.0999999999999996</v>
      </c>
      <c r="AA31" s="232">
        <f>+Table1[[#This Row],[calculated sale price]]</f>
        <v>2.0999999999999996</v>
      </c>
      <c r="AB31" s="231"/>
      <c r="AC31" s="230"/>
      <c r="AD31" s="240"/>
      <c r="AE31" s="229" t="e">
        <f>[5]!Table1[[#This Row],[cost per quantity]]*(1+'[5]P&amp;L'!$P$8)</f>
        <v>#REF!</v>
      </c>
      <c r="AF31" s="229" t="e">
        <f>$AF$8*[5]!Table1[[#This Row],[man minutes]]*(1+'[5]P&amp;L'!$P$9)</f>
        <v>#REF!</v>
      </c>
      <c r="AG31" s="229"/>
      <c r="AH31" s="229"/>
      <c r="AI31" s="229" t="e">
        <f>Table1[[#This Row],[Food cost w/ MU]]+Table1[[#This Row],[labor cost W/ MU]]</f>
        <v>#REF!</v>
      </c>
      <c r="AJ31" s="228"/>
    </row>
    <row r="32" spans="1:36" x14ac:dyDescent="0.25">
      <c r="A32" s="219">
        <v>10023</v>
      </c>
      <c r="B32" s="215" t="s">
        <v>430</v>
      </c>
      <c r="C32" s="219">
        <v>1</v>
      </c>
      <c r="I32" s="219"/>
      <c r="J32" s="219"/>
      <c r="K32" s="219"/>
      <c r="L32" s="223"/>
      <c r="M32" s="219"/>
      <c r="N32" s="227"/>
      <c r="O32" s="226">
        <v>0.4168</v>
      </c>
      <c r="P32" s="226">
        <f>Table1[[#This Row],[unit cost]]*1.065</f>
        <v>0.44389200000000001</v>
      </c>
      <c r="Q32" s="224">
        <v>2.25</v>
      </c>
      <c r="R32" s="219">
        <v>1</v>
      </c>
      <c r="S32" s="235">
        <f t="shared" si="0"/>
        <v>0.42</v>
      </c>
      <c r="T32" s="233">
        <f>Table1[[#This Row],[man minutes]]*Table1[[#This Row],[labor rate]]</f>
        <v>0.94499999999999995</v>
      </c>
      <c r="U32" s="233">
        <f t="shared" si="1"/>
        <v>1.388892</v>
      </c>
      <c r="V32" s="218">
        <f t="shared" si="2"/>
        <v>0.13</v>
      </c>
      <c r="W32" s="234">
        <f t="shared" si="3"/>
        <v>0.13</v>
      </c>
      <c r="X32" s="233">
        <f t="shared" si="4"/>
        <v>0.50159796000000001</v>
      </c>
      <c r="Y32" s="233">
        <f t="shared" si="5"/>
        <v>1.06785</v>
      </c>
      <c r="Z32" s="233">
        <f t="shared" si="6"/>
        <v>1.57</v>
      </c>
      <c r="AA32" s="232">
        <f>+Table1[[#This Row],[calculated sale price]]</f>
        <v>1.57</v>
      </c>
      <c r="AB32" s="231"/>
      <c r="AC32" s="230"/>
      <c r="AD32" s="240"/>
      <c r="AE32" s="229" t="e">
        <f>[5]!Table1[[#This Row],[cost per quantity]]*(1+'[5]P&amp;L'!$P$8)</f>
        <v>#REF!</v>
      </c>
      <c r="AF32" s="229" t="e">
        <f>$AF$8*[5]!Table1[[#This Row],[man minutes]]*(1+'[5]P&amp;L'!$P$9)</f>
        <v>#REF!</v>
      </c>
      <c r="AG32" s="229"/>
      <c r="AH32" s="229"/>
      <c r="AI32" s="229" t="e">
        <f>Table1[[#This Row],[Food cost w/ MU]]+Table1[[#This Row],[labor cost W/ MU]]</f>
        <v>#REF!</v>
      </c>
      <c r="AJ32" s="228"/>
    </row>
    <row r="33" spans="1:36" x14ac:dyDescent="0.25">
      <c r="A33" s="219">
        <v>10024</v>
      </c>
      <c r="B33" s="215" t="s">
        <v>509</v>
      </c>
      <c r="C33" s="219">
        <v>1</v>
      </c>
      <c r="I33" s="219"/>
      <c r="J33" s="219"/>
      <c r="K33" s="219"/>
      <c r="L33" s="223"/>
      <c r="M33" s="219"/>
      <c r="N33" s="227"/>
      <c r="O33" s="226">
        <v>4.6589549999999997</v>
      </c>
      <c r="P33" s="226">
        <f>Table1[[#This Row],[unit cost]]*1.065</f>
        <v>4.9617870749999993</v>
      </c>
      <c r="Q33" s="224">
        <v>2</v>
      </c>
      <c r="R33" s="219">
        <v>1</v>
      </c>
      <c r="S33" s="235">
        <f t="shared" si="0"/>
        <v>0.42</v>
      </c>
      <c r="T33" s="233">
        <f>Table1[[#This Row],[man minutes]]*Table1[[#This Row],[labor rate]]</f>
        <v>0.84</v>
      </c>
      <c r="U33" s="233">
        <f t="shared" si="1"/>
        <v>5.8017870749999991</v>
      </c>
      <c r="V33" s="218">
        <f t="shared" si="2"/>
        <v>0.13</v>
      </c>
      <c r="W33" s="234">
        <f t="shared" si="3"/>
        <v>0.13</v>
      </c>
      <c r="X33" s="233">
        <f t="shared" si="4"/>
        <v>5.6068193947499987</v>
      </c>
      <c r="Y33" s="233">
        <f t="shared" si="5"/>
        <v>0.94919999999999993</v>
      </c>
      <c r="Z33" s="233">
        <f t="shared" si="6"/>
        <v>6.56</v>
      </c>
      <c r="AA33" s="232">
        <f>+Table1[[#This Row],[calculated sale price]]</f>
        <v>6.56</v>
      </c>
      <c r="AB33" s="231"/>
      <c r="AC33" s="230"/>
      <c r="AD33" s="240"/>
      <c r="AE33" s="229" t="e">
        <f>[5]!Table1[[#This Row],[cost per quantity]]*(1+'[5]P&amp;L'!$P$8)</f>
        <v>#REF!</v>
      </c>
      <c r="AF33" s="229" t="e">
        <f>$AF$8*[5]!Table1[[#This Row],[man minutes]]*(1+'[5]P&amp;L'!$P$9)</f>
        <v>#REF!</v>
      </c>
      <c r="AG33" s="229"/>
      <c r="AH33" s="229"/>
      <c r="AI33" s="229" t="e">
        <f>Table1[[#This Row],[Food cost w/ MU]]+Table1[[#This Row],[labor cost W/ MU]]</f>
        <v>#REF!</v>
      </c>
      <c r="AJ33" s="228"/>
    </row>
    <row r="34" spans="1:36" x14ac:dyDescent="0.25">
      <c r="A34" s="219">
        <v>10025</v>
      </c>
      <c r="B34" s="215" t="s">
        <v>508</v>
      </c>
      <c r="C34" s="219">
        <v>1</v>
      </c>
      <c r="I34" s="219"/>
      <c r="J34" s="219"/>
      <c r="K34" s="219"/>
      <c r="L34" s="223"/>
      <c r="M34" s="219"/>
      <c r="N34" s="227"/>
      <c r="O34" s="226">
        <v>5.6899999999999999E-2</v>
      </c>
      <c r="P34" s="226">
        <f>Table1[[#This Row],[unit cost]]*1.065</f>
        <v>6.0598499999999993E-2</v>
      </c>
      <c r="Q34" s="224">
        <v>1</v>
      </c>
      <c r="R34" s="219">
        <v>1</v>
      </c>
      <c r="S34" s="235">
        <f t="shared" si="0"/>
        <v>0.42</v>
      </c>
      <c r="T34" s="233">
        <f>Table1[[#This Row],[man minutes]]*Table1[[#This Row],[labor rate]]</f>
        <v>0.42</v>
      </c>
      <c r="U34" s="233">
        <f t="shared" si="1"/>
        <v>0.48059849999999998</v>
      </c>
      <c r="V34" s="218">
        <f t="shared" si="2"/>
        <v>0.13</v>
      </c>
      <c r="W34" s="234">
        <f t="shared" si="3"/>
        <v>0.13</v>
      </c>
      <c r="X34" s="233">
        <f t="shared" si="4"/>
        <v>6.8476304999999987E-2</v>
      </c>
      <c r="Y34" s="233">
        <f t="shared" si="5"/>
        <v>0.47459999999999997</v>
      </c>
      <c r="Z34" s="233">
        <f t="shared" si="6"/>
        <v>0.55000000000000004</v>
      </c>
      <c r="AA34" s="232">
        <f>+Table1[[#This Row],[calculated sale price]]</f>
        <v>0.55000000000000004</v>
      </c>
      <c r="AB34" s="231"/>
      <c r="AC34" s="230"/>
      <c r="AD34" s="240"/>
      <c r="AE34" s="229" t="e">
        <f>[5]!Table1[[#This Row],[cost per quantity]]*(1+'[5]P&amp;L'!$P$8)</f>
        <v>#REF!</v>
      </c>
      <c r="AF34" s="229" t="e">
        <f>$AF$8*[5]!Table1[[#This Row],[man minutes]]*(1+'[5]P&amp;L'!$P$9)</f>
        <v>#REF!</v>
      </c>
      <c r="AG34" s="229"/>
      <c r="AH34" s="229"/>
      <c r="AI34" s="229" t="e">
        <f>Table1[[#This Row],[Food cost w/ MU]]+Table1[[#This Row],[labor cost W/ MU]]</f>
        <v>#REF!</v>
      </c>
      <c r="AJ34" s="228"/>
    </row>
    <row r="35" spans="1:36" x14ac:dyDescent="0.25">
      <c r="A35" s="219">
        <v>10026</v>
      </c>
      <c r="B35" s="215" t="s">
        <v>507</v>
      </c>
      <c r="C35" s="219">
        <v>1</v>
      </c>
      <c r="I35" s="219"/>
      <c r="J35" s="219"/>
      <c r="K35" s="219"/>
      <c r="L35" s="223"/>
      <c r="M35" s="219"/>
      <c r="N35" s="227"/>
      <c r="O35" s="226">
        <v>2.4089</v>
      </c>
      <c r="P35" s="226">
        <f>Table1[[#This Row],[unit cost]]*1.065</f>
        <v>2.5654784999999998</v>
      </c>
      <c r="Q35" s="224">
        <v>3.5</v>
      </c>
      <c r="R35" s="219">
        <v>1</v>
      </c>
      <c r="S35" s="235">
        <f t="shared" si="0"/>
        <v>0.42</v>
      </c>
      <c r="T35" s="233">
        <f>Table1[[#This Row],[man minutes]]*Table1[[#This Row],[labor rate]]</f>
        <v>1.47</v>
      </c>
      <c r="U35" s="233">
        <f t="shared" si="1"/>
        <v>4.0354785</v>
      </c>
      <c r="V35" s="218">
        <f t="shared" si="2"/>
        <v>0.13</v>
      </c>
      <c r="W35" s="234">
        <f t="shared" si="3"/>
        <v>0.13</v>
      </c>
      <c r="X35" s="233">
        <f t="shared" si="4"/>
        <v>2.8989907049999997</v>
      </c>
      <c r="Y35" s="233">
        <f t="shared" si="5"/>
        <v>1.6611</v>
      </c>
      <c r="Z35" s="233">
        <f t="shared" si="6"/>
        <v>4.5699999999999994</v>
      </c>
      <c r="AA35" s="232">
        <f>+Table1[[#This Row],[calculated sale price]]</f>
        <v>4.5699999999999994</v>
      </c>
      <c r="AB35" s="231"/>
      <c r="AC35" s="230"/>
      <c r="AD35" s="240"/>
      <c r="AE35" s="229" t="e">
        <f>[5]!Table1[[#This Row],[cost per quantity]]*(1+'[5]P&amp;L'!$P$8)</f>
        <v>#REF!</v>
      </c>
      <c r="AF35" s="229" t="e">
        <f>$AF$8*[5]!Table1[[#This Row],[man minutes]]*(1+'[5]P&amp;L'!$P$9)</f>
        <v>#REF!</v>
      </c>
      <c r="AG35" s="229"/>
      <c r="AH35" s="229"/>
      <c r="AI35" s="229" t="e">
        <f>Table1[[#This Row],[Food cost w/ MU]]+Table1[[#This Row],[labor cost W/ MU]]</f>
        <v>#REF!</v>
      </c>
      <c r="AJ35" s="228"/>
    </row>
    <row r="36" spans="1:36" x14ac:dyDescent="0.25">
      <c r="A36" s="219">
        <v>10027</v>
      </c>
      <c r="B36" s="215" t="s">
        <v>506</v>
      </c>
      <c r="C36" s="219">
        <v>1</v>
      </c>
      <c r="I36" s="219"/>
      <c r="J36" s="219"/>
      <c r="K36" s="219"/>
      <c r="L36" s="223"/>
      <c r="M36" s="219"/>
      <c r="N36" s="227"/>
      <c r="O36" s="226">
        <v>2.8367</v>
      </c>
      <c r="P36" s="226">
        <f>Table1[[#This Row],[unit cost]]*1.065</f>
        <v>3.0210854999999999</v>
      </c>
      <c r="Q36" s="224">
        <v>3.5</v>
      </c>
      <c r="R36" s="219">
        <v>1</v>
      </c>
      <c r="S36" s="235">
        <f t="shared" si="0"/>
        <v>0.42</v>
      </c>
      <c r="T36" s="233">
        <f>Table1[[#This Row],[man minutes]]*Table1[[#This Row],[labor rate]]</f>
        <v>1.47</v>
      </c>
      <c r="U36" s="233">
        <f t="shared" si="1"/>
        <v>4.4910854999999996</v>
      </c>
      <c r="V36" s="218">
        <f t="shared" si="2"/>
        <v>0.13</v>
      </c>
      <c r="W36" s="234">
        <f t="shared" si="3"/>
        <v>0.13</v>
      </c>
      <c r="X36" s="233">
        <f t="shared" si="4"/>
        <v>3.4138266149999996</v>
      </c>
      <c r="Y36" s="233">
        <f t="shared" si="5"/>
        <v>1.6611</v>
      </c>
      <c r="Z36" s="233">
        <f t="shared" si="6"/>
        <v>5.08</v>
      </c>
      <c r="AA36" s="232">
        <f>+Table1[[#This Row],[calculated sale price]]</f>
        <v>5.08</v>
      </c>
      <c r="AB36" s="231"/>
      <c r="AC36" s="230"/>
      <c r="AD36" s="240"/>
      <c r="AE36" s="229" t="e">
        <f>[5]!Table1[[#This Row],[cost per quantity]]*(1+'[5]P&amp;L'!$P$8)</f>
        <v>#REF!</v>
      </c>
      <c r="AF36" s="229" t="e">
        <f>$AF$8*[5]!Table1[[#This Row],[man minutes]]*(1+'[5]P&amp;L'!$P$9)</f>
        <v>#REF!</v>
      </c>
      <c r="AG36" s="229"/>
      <c r="AH36" s="229"/>
      <c r="AI36" s="229" t="e">
        <f>Table1[[#This Row],[Food cost w/ MU]]+Table1[[#This Row],[labor cost W/ MU]]</f>
        <v>#REF!</v>
      </c>
      <c r="AJ36" s="228"/>
    </row>
    <row r="37" spans="1:36" x14ac:dyDescent="0.25">
      <c r="A37" s="219">
        <v>10028</v>
      </c>
      <c r="B37" s="215" t="s">
        <v>505</v>
      </c>
      <c r="C37" s="219">
        <v>1</v>
      </c>
      <c r="I37" s="219"/>
      <c r="J37" s="219"/>
      <c r="K37" s="219"/>
      <c r="L37" s="223"/>
      <c r="M37" s="219"/>
      <c r="N37" s="227"/>
      <c r="O37" s="226">
        <v>1.05</v>
      </c>
      <c r="P37" s="226">
        <f>Table1[[#This Row],[unit cost]]*1.065</f>
        <v>1.11825</v>
      </c>
      <c r="Q37" s="224">
        <v>1</v>
      </c>
      <c r="R37" s="219">
        <v>1</v>
      </c>
      <c r="S37" s="235">
        <f t="shared" si="0"/>
        <v>0.42</v>
      </c>
      <c r="T37" s="233">
        <f>Table1[[#This Row],[man minutes]]*Table1[[#This Row],[labor rate]]</f>
        <v>0.42</v>
      </c>
      <c r="U37" s="233">
        <f t="shared" si="1"/>
        <v>1.5382499999999999</v>
      </c>
      <c r="V37" s="218">
        <f t="shared" si="2"/>
        <v>0.13</v>
      </c>
      <c r="W37" s="234">
        <f t="shared" si="3"/>
        <v>0.13</v>
      </c>
      <c r="X37" s="233">
        <f t="shared" si="4"/>
        <v>1.2636224999999999</v>
      </c>
      <c r="Y37" s="233">
        <f t="shared" si="5"/>
        <v>0.47459999999999997</v>
      </c>
      <c r="Z37" s="233">
        <f t="shared" si="6"/>
        <v>1.74</v>
      </c>
      <c r="AA37" s="232">
        <f>+Table1[[#This Row],[calculated sale price]]</f>
        <v>1.74</v>
      </c>
      <c r="AB37" s="231"/>
      <c r="AC37" s="230"/>
      <c r="AD37" s="240"/>
      <c r="AE37" s="229" t="e">
        <f>[5]!Table1[[#This Row],[cost per quantity]]*(1+'[5]P&amp;L'!$P$8)</f>
        <v>#REF!</v>
      </c>
      <c r="AF37" s="229" t="e">
        <f>$AF$8*[5]!Table1[[#This Row],[man minutes]]*(1+'[5]P&amp;L'!$P$9)</f>
        <v>#REF!</v>
      </c>
      <c r="AG37" s="229"/>
      <c r="AH37" s="229"/>
      <c r="AI37" s="229" t="e">
        <f>Table1[[#This Row],[Food cost w/ MU]]+Table1[[#This Row],[labor cost W/ MU]]</f>
        <v>#REF!</v>
      </c>
      <c r="AJ37" s="228"/>
    </row>
    <row r="38" spans="1:36" x14ac:dyDescent="0.25">
      <c r="A38" s="219">
        <v>10029</v>
      </c>
      <c r="B38" s="242" t="s">
        <v>504</v>
      </c>
      <c r="C38" s="219">
        <v>1</v>
      </c>
      <c r="I38" s="219"/>
      <c r="J38" s="219"/>
      <c r="K38" s="219"/>
      <c r="L38" s="223"/>
      <c r="M38" s="219"/>
      <c r="N38" s="227"/>
      <c r="O38" s="226">
        <v>0.75019999999999998</v>
      </c>
      <c r="P38" s="226">
        <f>Table1[[#This Row],[unit cost]]*1.065</f>
        <v>0.79896299999999998</v>
      </c>
      <c r="Q38" s="224">
        <v>1</v>
      </c>
      <c r="R38" s="219">
        <v>1</v>
      </c>
      <c r="S38" s="235">
        <f t="shared" si="0"/>
        <v>0.42</v>
      </c>
      <c r="T38" s="233">
        <f>Table1[[#This Row],[man minutes]]*Table1[[#This Row],[labor rate]]</f>
        <v>0.42</v>
      </c>
      <c r="U38" s="233">
        <f t="shared" si="1"/>
        <v>1.218963</v>
      </c>
      <c r="V38" s="218">
        <f t="shared" si="2"/>
        <v>0.13</v>
      </c>
      <c r="W38" s="234">
        <f t="shared" si="3"/>
        <v>0.13</v>
      </c>
      <c r="X38" s="233">
        <f t="shared" si="4"/>
        <v>0.90282818999999992</v>
      </c>
      <c r="Y38" s="233">
        <f t="shared" si="5"/>
        <v>0.47459999999999997</v>
      </c>
      <c r="Z38" s="233">
        <f t="shared" si="6"/>
        <v>1.3800000000000001</v>
      </c>
      <c r="AA38" s="232">
        <f>+Table1[[#This Row],[calculated sale price]]</f>
        <v>1.3800000000000001</v>
      </c>
      <c r="AB38" s="231"/>
      <c r="AC38" s="230"/>
      <c r="AD38" s="240"/>
      <c r="AE38" s="229" t="e">
        <f>[5]!Table1[[#This Row],[cost per quantity]]*(1+'[5]P&amp;L'!$P$8)</f>
        <v>#REF!</v>
      </c>
      <c r="AF38" s="229" t="e">
        <f>$AF$8*[5]!Table1[[#This Row],[man minutes]]*(1+'[5]P&amp;L'!$P$9)</f>
        <v>#REF!</v>
      </c>
      <c r="AG38" s="229"/>
      <c r="AH38" s="229"/>
      <c r="AI38" s="229" t="e">
        <f>Table1[[#This Row],[Food cost w/ MU]]+Table1[[#This Row],[labor cost W/ MU]]</f>
        <v>#REF!</v>
      </c>
      <c r="AJ38" s="228"/>
    </row>
    <row r="39" spans="1:36" x14ac:dyDescent="0.25">
      <c r="A39" s="219">
        <v>10030</v>
      </c>
      <c r="B39" s="215" t="s">
        <v>503</v>
      </c>
      <c r="C39" s="219">
        <v>1</v>
      </c>
      <c r="I39" s="219"/>
      <c r="J39" s="219"/>
      <c r="K39" s="219"/>
      <c r="L39" s="223"/>
      <c r="M39" s="219"/>
      <c r="N39" s="227"/>
      <c r="O39" s="226">
        <v>2.27</v>
      </c>
      <c r="P39" s="226">
        <f>Table1[[#This Row],[unit cost]]*1.065</f>
        <v>2.4175499999999999</v>
      </c>
      <c r="Q39" s="224">
        <v>0.2</v>
      </c>
      <c r="R39" s="219">
        <v>1</v>
      </c>
      <c r="S39" s="235">
        <f t="shared" si="0"/>
        <v>0.42</v>
      </c>
      <c r="T39" s="233">
        <f>Table1[[#This Row],[man minutes]]*Table1[[#This Row],[labor rate]]</f>
        <v>8.4000000000000005E-2</v>
      </c>
      <c r="U39" s="233">
        <f t="shared" si="1"/>
        <v>2.5015499999999999</v>
      </c>
      <c r="V39" s="218">
        <f t="shared" si="2"/>
        <v>0.13</v>
      </c>
      <c r="W39" s="234">
        <f t="shared" si="3"/>
        <v>0.13</v>
      </c>
      <c r="X39" s="233">
        <f t="shared" si="4"/>
        <v>2.7318314999999997</v>
      </c>
      <c r="Y39" s="233">
        <f t="shared" si="5"/>
        <v>9.4920000000000004E-2</v>
      </c>
      <c r="Z39" s="233">
        <f t="shared" si="6"/>
        <v>2.8299999999999996</v>
      </c>
      <c r="AA39" s="232">
        <f>+Table1[[#This Row],[calculated sale price]]</f>
        <v>2.8299999999999996</v>
      </c>
      <c r="AB39" s="231"/>
      <c r="AC39" s="230"/>
      <c r="AD39" s="240"/>
      <c r="AE39" s="229" t="e">
        <f>[5]!Table1[[#This Row],[cost per quantity]]*(1+'[5]P&amp;L'!$P$8)</f>
        <v>#REF!</v>
      </c>
      <c r="AF39" s="229" t="e">
        <f>$AF$8*[5]!Table1[[#This Row],[man minutes]]*(1+'[5]P&amp;L'!$P$9)</f>
        <v>#REF!</v>
      </c>
      <c r="AG39" s="229"/>
      <c r="AH39" s="229"/>
      <c r="AI39" s="229" t="e">
        <f>Table1[[#This Row],[Food cost w/ MU]]+Table1[[#This Row],[labor cost W/ MU]]</f>
        <v>#REF!</v>
      </c>
      <c r="AJ39" s="228"/>
    </row>
    <row r="40" spans="1:36" x14ac:dyDescent="0.25">
      <c r="A40" s="219">
        <v>10031</v>
      </c>
      <c r="B40" s="215" t="s">
        <v>502</v>
      </c>
      <c r="C40" s="219">
        <v>1</v>
      </c>
      <c r="I40" s="219"/>
      <c r="J40" s="219"/>
      <c r="K40" s="219"/>
      <c r="L40" s="223"/>
      <c r="M40" s="219"/>
      <c r="N40" s="227"/>
      <c r="O40" s="226">
        <v>0.59</v>
      </c>
      <c r="P40" s="226">
        <f>Table1[[#This Row],[unit cost]]*1.065</f>
        <v>0.62834999999999996</v>
      </c>
      <c r="Q40" s="224">
        <v>0.6</v>
      </c>
      <c r="R40" s="219">
        <v>1</v>
      </c>
      <c r="S40" s="235">
        <f t="shared" si="0"/>
        <v>0.42</v>
      </c>
      <c r="T40" s="233">
        <f>Table1[[#This Row],[man minutes]]*Table1[[#This Row],[labor rate]]</f>
        <v>0.252</v>
      </c>
      <c r="U40" s="233">
        <f t="shared" si="1"/>
        <v>0.88034999999999997</v>
      </c>
      <c r="V40" s="218">
        <f t="shared" si="2"/>
        <v>0.13</v>
      </c>
      <c r="W40" s="234">
        <f t="shared" si="3"/>
        <v>0.13</v>
      </c>
      <c r="X40" s="233">
        <f t="shared" si="4"/>
        <v>0.71003549999999993</v>
      </c>
      <c r="Y40" s="233">
        <f t="shared" si="5"/>
        <v>0.28476000000000001</v>
      </c>
      <c r="Z40" s="233">
        <f t="shared" si="6"/>
        <v>1</v>
      </c>
      <c r="AA40" s="232">
        <f>+Table1[[#This Row],[calculated sale price]]</f>
        <v>1</v>
      </c>
      <c r="AB40" s="231"/>
      <c r="AC40" s="230"/>
      <c r="AD40" s="240"/>
      <c r="AE40" s="229" t="e">
        <f>[5]!Table1[[#This Row],[cost per quantity]]*(1+'[5]P&amp;L'!$P$8)</f>
        <v>#REF!</v>
      </c>
      <c r="AF40" s="229" t="e">
        <f>$AF$8*[5]!Table1[[#This Row],[man minutes]]*(1+'[5]P&amp;L'!$P$9)</f>
        <v>#REF!</v>
      </c>
      <c r="AG40" s="229"/>
      <c r="AH40" s="229"/>
      <c r="AI40" s="229" t="e">
        <f>Table1[[#This Row],[Food cost w/ MU]]+Table1[[#This Row],[labor cost W/ MU]]</f>
        <v>#REF!</v>
      </c>
      <c r="AJ40" s="228"/>
    </row>
    <row r="41" spans="1:36" x14ac:dyDescent="0.25">
      <c r="A41" s="219">
        <v>10032</v>
      </c>
      <c r="B41" s="215" t="s">
        <v>501</v>
      </c>
      <c r="C41" s="219">
        <v>1</v>
      </c>
      <c r="I41" s="219"/>
      <c r="J41" s="219"/>
      <c r="K41" s="219"/>
      <c r="L41" s="223"/>
      <c r="M41" s="219"/>
      <c r="N41" s="227"/>
      <c r="O41" s="226">
        <v>0.59</v>
      </c>
      <c r="P41" s="226">
        <f>Table1[[#This Row],[unit cost]]*1.065</f>
        <v>0.62834999999999996</v>
      </c>
      <c r="Q41" s="224">
        <v>0.2</v>
      </c>
      <c r="R41" s="219">
        <v>1</v>
      </c>
      <c r="S41" s="235">
        <f t="shared" si="0"/>
        <v>0.42</v>
      </c>
      <c r="T41" s="233">
        <f>Table1[[#This Row],[man minutes]]*Table1[[#This Row],[labor rate]]</f>
        <v>8.4000000000000005E-2</v>
      </c>
      <c r="U41" s="233">
        <f t="shared" si="1"/>
        <v>0.71234999999999993</v>
      </c>
      <c r="V41" s="218">
        <f t="shared" si="2"/>
        <v>0.13</v>
      </c>
      <c r="W41" s="234">
        <f t="shared" si="3"/>
        <v>0.13</v>
      </c>
      <c r="X41" s="233">
        <f t="shared" si="4"/>
        <v>0.71003549999999993</v>
      </c>
      <c r="Y41" s="233">
        <f t="shared" si="5"/>
        <v>9.4920000000000004E-2</v>
      </c>
      <c r="Z41" s="233">
        <f t="shared" si="6"/>
        <v>0.81</v>
      </c>
      <c r="AA41" s="232">
        <f>+Table1[[#This Row],[calculated sale price]]</f>
        <v>0.81</v>
      </c>
      <c r="AB41" s="231"/>
      <c r="AC41" s="230"/>
      <c r="AD41" s="240"/>
      <c r="AE41" s="229" t="e">
        <f>[5]!Table1[[#This Row],[cost per quantity]]*(1+'[5]P&amp;L'!$P$8)</f>
        <v>#REF!</v>
      </c>
      <c r="AF41" s="229" t="e">
        <f>$AF$8*[5]!Table1[[#This Row],[man minutes]]*(1+'[5]P&amp;L'!$P$9)</f>
        <v>#REF!</v>
      </c>
      <c r="AG41" s="229"/>
      <c r="AH41" s="229"/>
      <c r="AI41" s="229" t="e">
        <f>Table1[[#This Row],[Food cost w/ MU]]+Table1[[#This Row],[labor cost W/ MU]]</f>
        <v>#REF!</v>
      </c>
      <c r="AJ41" s="228"/>
    </row>
    <row r="42" spans="1:36" x14ac:dyDescent="0.25">
      <c r="A42" s="219">
        <v>10033</v>
      </c>
      <c r="B42" s="215" t="s">
        <v>500</v>
      </c>
      <c r="C42" s="219">
        <v>1</v>
      </c>
      <c r="I42" s="219"/>
      <c r="J42" s="219"/>
      <c r="K42" s="219"/>
      <c r="L42" s="223"/>
      <c r="M42" s="219"/>
      <c r="N42" s="227"/>
      <c r="O42" s="226">
        <v>3.5973039999999998</v>
      </c>
      <c r="P42" s="226">
        <f>Table1[[#This Row],[unit cost]]*1.065</f>
        <v>3.8311287599999995</v>
      </c>
      <c r="Q42" s="224">
        <v>3</v>
      </c>
      <c r="R42" s="219">
        <v>1</v>
      </c>
      <c r="S42" s="235">
        <f t="shared" ref="S42:S73" si="7">$S$2</f>
        <v>0.42</v>
      </c>
      <c r="T42" s="233">
        <f>Table1[[#This Row],[man minutes]]*Table1[[#This Row],[labor rate]]</f>
        <v>1.26</v>
      </c>
      <c r="U42" s="233">
        <f t="shared" ref="U42:U73" si="8">P42+T42</f>
        <v>5.0911287599999993</v>
      </c>
      <c r="V42" s="218">
        <f t="shared" ref="V42:V73" si="9">$V$2</f>
        <v>0.13</v>
      </c>
      <c r="W42" s="234">
        <f t="shared" ref="W42:W73" si="10">$W$2</f>
        <v>0.13</v>
      </c>
      <c r="X42" s="233">
        <f t="shared" ref="X42:X73" si="11">P42*(1+V42)</f>
        <v>4.3291754987999989</v>
      </c>
      <c r="Y42" s="233">
        <f t="shared" ref="Y42:Y73" si="12">T42+(T42*W42)</f>
        <v>1.4238</v>
      </c>
      <c r="Z42" s="233">
        <f t="shared" ref="Z42:Z73" si="13">IFERROR(ROUNDUP(X42+Y42,2)," ")</f>
        <v>5.76</v>
      </c>
      <c r="AA42" s="232">
        <f>+Table1[[#This Row],[calculated sale price]]</f>
        <v>5.76</v>
      </c>
      <c r="AB42" s="231"/>
      <c r="AC42" s="230"/>
      <c r="AD42" s="240"/>
      <c r="AE42" s="229" t="e">
        <f>[5]!Table1[[#This Row],[cost per quantity]]*(1+'[5]P&amp;L'!$P$8)</f>
        <v>#REF!</v>
      </c>
      <c r="AF42" s="229" t="e">
        <f>$AF$8*[5]!Table1[[#This Row],[man minutes]]*(1+'[5]P&amp;L'!$P$9)</f>
        <v>#REF!</v>
      </c>
      <c r="AG42" s="229"/>
      <c r="AH42" s="229"/>
      <c r="AI42" s="229" t="e">
        <f>Table1[[#This Row],[Food cost w/ MU]]+Table1[[#This Row],[labor cost W/ MU]]</f>
        <v>#REF!</v>
      </c>
      <c r="AJ42" s="228"/>
    </row>
    <row r="43" spans="1:36" x14ac:dyDescent="0.25">
      <c r="A43" s="219">
        <v>10034</v>
      </c>
      <c r="B43" s="215" t="s">
        <v>499</v>
      </c>
      <c r="C43" s="219">
        <v>1</v>
      </c>
      <c r="I43" s="219"/>
      <c r="J43" s="219"/>
      <c r="K43" s="219"/>
      <c r="L43" s="223"/>
      <c r="M43" s="219"/>
      <c r="N43" s="227"/>
      <c r="O43" s="226">
        <v>2.3607999999999998</v>
      </c>
      <c r="P43" s="226">
        <f>Table1[[#This Row],[unit cost]]*1.065</f>
        <v>2.5142519999999995</v>
      </c>
      <c r="Q43" s="224">
        <v>3</v>
      </c>
      <c r="R43" s="219">
        <v>1</v>
      </c>
      <c r="S43" s="235">
        <f t="shared" si="7"/>
        <v>0.42</v>
      </c>
      <c r="T43" s="233">
        <f>Table1[[#This Row],[man minutes]]*Table1[[#This Row],[labor rate]]</f>
        <v>1.26</v>
      </c>
      <c r="U43" s="233">
        <f t="shared" si="8"/>
        <v>3.7742519999999997</v>
      </c>
      <c r="V43" s="218">
        <f t="shared" si="9"/>
        <v>0.13</v>
      </c>
      <c r="W43" s="234">
        <f t="shared" si="10"/>
        <v>0.13</v>
      </c>
      <c r="X43" s="233">
        <f t="shared" si="11"/>
        <v>2.841104759999999</v>
      </c>
      <c r="Y43" s="233">
        <f t="shared" si="12"/>
        <v>1.4238</v>
      </c>
      <c r="Z43" s="233">
        <f t="shared" si="13"/>
        <v>4.2699999999999996</v>
      </c>
      <c r="AA43" s="232">
        <f>+Table1[[#This Row],[calculated sale price]]</f>
        <v>4.2699999999999996</v>
      </c>
      <c r="AB43" s="231"/>
      <c r="AC43" s="230"/>
      <c r="AD43" s="240"/>
      <c r="AE43" s="229" t="e">
        <f>[5]!Table1[[#This Row],[cost per quantity]]*(1+'[5]P&amp;L'!$P$8)</f>
        <v>#REF!</v>
      </c>
      <c r="AF43" s="229" t="e">
        <f>$AF$8*[5]!Table1[[#This Row],[man minutes]]*(1+'[5]P&amp;L'!$P$9)</f>
        <v>#REF!</v>
      </c>
      <c r="AG43" s="229"/>
      <c r="AH43" s="229"/>
      <c r="AI43" s="229" t="e">
        <f>Table1[[#This Row],[Food cost w/ MU]]+Table1[[#This Row],[labor cost W/ MU]]</f>
        <v>#REF!</v>
      </c>
      <c r="AJ43" s="228"/>
    </row>
    <row r="44" spans="1:36" x14ac:dyDescent="0.25">
      <c r="A44" s="219">
        <v>10035</v>
      </c>
      <c r="B44" s="215" t="s">
        <v>498</v>
      </c>
      <c r="C44" s="219">
        <v>1</v>
      </c>
      <c r="I44" s="219"/>
      <c r="J44" s="219"/>
      <c r="K44" s="219"/>
      <c r="L44" s="223"/>
      <c r="M44" s="219"/>
      <c r="N44" s="227"/>
      <c r="O44" s="226">
        <v>0.85900500000000002</v>
      </c>
      <c r="P44" s="226">
        <f>Table1[[#This Row],[unit cost]]*1.065</f>
        <v>0.91484032500000001</v>
      </c>
      <c r="Q44" s="224">
        <v>2.25</v>
      </c>
      <c r="R44" s="219">
        <v>1</v>
      </c>
      <c r="S44" s="235">
        <f t="shared" si="7"/>
        <v>0.42</v>
      </c>
      <c r="T44" s="233">
        <f>Table1[[#This Row],[man minutes]]*Table1[[#This Row],[labor rate]]</f>
        <v>0.94499999999999995</v>
      </c>
      <c r="U44" s="233">
        <f t="shared" si="8"/>
        <v>1.859840325</v>
      </c>
      <c r="V44" s="218">
        <f t="shared" si="9"/>
        <v>0.13</v>
      </c>
      <c r="W44" s="234">
        <f t="shared" si="10"/>
        <v>0.13</v>
      </c>
      <c r="X44" s="233">
        <f t="shared" si="11"/>
        <v>1.03376956725</v>
      </c>
      <c r="Y44" s="233">
        <f t="shared" si="12"/>
        <v>1.06785</v>
      </c>
      <c r="Z44" s="233">
        <f t="shared" si="13"/>
        <v>2.11</v>
      </c>
      <c r="AA44" s="232">
        <f>+Table1[[#This Row],[calculated sale price]]</f>
        <v>2.11</v>
      </c>
      <c r="AB44" s="231"/>
      <c r="AC44" s="230"/>
      <c r="AD44" s="240"/>
      <c r="AE44" s="229" t="e">
        <f>[5]!Table1[[#This Row],[cost per quantity]]*(1+'[5]P&amp;L'!$P$8)</f>
        <v>#REF!</v>
      </c>
      <c r="AF44" s="229" t="e">
        <f>$AF$8*[5]!Table1[[#This Row],[man minutes]]*(1+'[5]P&amp;L'!$P$9)</f>
        <v>#REF!</v>
      </c>
      <c r="AG44" s="229"/>
      <c r="AH44" s="229"/>
      <c r="AI44" s="229" t="e">
        <f>Table1[[#This Row],[Food cost w/ MU]]+Table1[[#This Row],[labor cost W/ MU]]</f>
        <v>#REF!</v>
      </c>
      <c r="AJ44" s="228"/>
    </row>
    <row r="45" spans="1:36" x14ac:dyDescent="0.25">
      <c r="A45" s="219">
        <v>10036</v>
      </c>
      <c r="B45" s="215" t="s">
        <v>497</v>
      </c>
      <c r="C45" s="219">
        <v>1</v>
      </c>
      <c r="I45" s="219"/>
      <c r="J45" s="219"/>
      <c r="K45" s="219"/>
      <c r="L45" s="223"/>
      <c r="M45" s="219"/>
      <c r="N45" s="227"/>
      <c r="O45" s="226">
        <f>0.6837+0.12</f>
        <v>0.80369999999999997</v>
      </c>
      <c r="P45" s="226">
        <f>Table1[[#This Row],[unit cost]]*1.065</f>
        <v>0.85594049999999988</v>
      </c>
      <c r="Q45" s="224">
        <v>3</v>
      </c>
      <c r="R45" s="219">
        <v>1</v>
      </c>
      <c r="S45" s="235">
        <f t="shared" si="7"/>
        <v>0.42</v>
      </c>
      <c r="T45" s="233">
        <f>Table1[[#This Row],[man minutes]]*Table1[[#This Row],[labor rate]]</f>
        <v>1.26</v>
      </c>
      <c r="U45" s="233">
        <f t="shared" si="8"/>
        <v>2.1159404999999998</v>
      </c>
      <c r="V45" s="218">
        <f t="shared" si="9"/>
        <v>0.13</v>
      </c>
      <c r="W45" s="234">
        <f t="shared" si="10"/>
        <v>0.13</v>
      </c>
      <c r="X45" s="233">
        <f t="shared" si="11"/>
        <v>0.96721276499999975</v>
      </c>
      <c r="Y45" s="233">
        <f t="shared" si="12"/>
        <v>1.4238</v>
      </c>
      <c r="Z45" s="233">
        <f t="shared" si="13"/>
        <v>2.4</v>
      </c>
      <c r="AA45" s="232">
        <f>+Table1[[#This Row],[calculated sale price]]</f>
        <v>2.4</v>
      </c>
      <c r="AB45" s="231"/>
      <c r="AC45" s="230"/>
      <c r="AD45" s="240"/>
      <c r="AE45" s="229" t="e">
        <f>[5]!Table1[[#This Row],[cost per quantity]]*(1+'[5]P&amp;L'!$P$8)</f>
        <v>#REF!</v>
      </c>
      <c r="AF45" s="229" t="e">
        <f>$AF$8*[5]!Table1[[#This Row],[man minutes]]*(1+'[5]P&amp;L'!$P$9)</f>
        <v>#REF!</v>
      </c>
      <c r="AG45" s="229"/>
      <c r="AH45" s="229"/>
      <c r="AI45" s="229" t="e">
        <f>Table1[[#This Row],[Food cost w/ MU]]+Table1[[#This Row],[labor cost W/ MU]]</f>
        <v>#REF!</v>
      </c>
      <c r="AJ45" s="228"/>
    </row>
    <row r="46" spans="1:36" x14ac:dyDescent="0.25">
      <c r="A46" s="219">
        <v>10037</v>
      </c>
      <c r="B46" s="215" t="s">
        <v>496</v>
      </c>
      <c r="C46" s="219">
        <v>1</v>
      </c>
      <c r="I46" s="219"/>
      <c r="J46" s="219"/>
      <c r="K46" s="219"/>
      <c r="L46" s="223"/>
      <c r="M46" s="219"/>
      <c r="N46" s="227"/>
      <c r="O46" s="226">
        <v>0.83</v>
      </c>
      <c r="P46" s="226">
        <f>Table1[[#This Row],[unit cost]]*1.065</f>
        <v>0.8839499999999999</v>
      </c>
      <c r="Q46" s="224">
        <v>0.25</v>
      </c>
      <c r="R46" s="219">
        <v>1</v>
      </c>
      <c r="S46" s="235">
        <f t="shared" si="7"/>
        <v>0.42</v>
      </c>
      <c r="T46" s="233">
        <f>Table1[[#This Row],[man minutes]]*Table1[[#This Row],[labor rate]]</f>
        <v>0.105</v>
      </c>
      <c r="U46" s="233">
        <f t="shared" si="8"/>
        <v>0.98894999999999988</v>
      </c>
      <c r="V46" s="218">
        <f t="shared" si="9"/>
        <v>0.13</v>
      </c>
      <c r="W46" s="234">
        <f t="shared" si="10"/>
        <v>0.13</v>
      </c>
      <c r="X46" s="233">
        <f t="shared" si="11"/>
        <v>0.99886349999999979</v>
      </c>
      <c r="Y46" s="233">
        <f t="shared" si="12"/>
        <v>0.11864999999999999</v>
      </c>
      <c r="Z46" s="233">
        <f t="shared" si="13"/>
        <v>1.1200000000000001</v>
      </c>
      <c r="AA46" s="232">
        <f>+Table1[[#This Row],[calculated sale price]]</f>
        <v>1.1200000000000001</v>
      </c>
      <c r="AB46" s="231"/>
      <c r="AC46" s="230"/>
      <c r="AD46" s="240"/>
      <c r="AE46" s="229" t="e">
        <f>[5]!Table1[[#This Row],[cost per quantity]]*(1+'[5]P&amp;L'!$P$8)</f>
        <v>#REF!</v>
      </c>
      <c r="AF46" s="229" t="e">
        <f>$AF$8*[5]!Table1[[#This Row],[man minutes]]*(1+'[5]P&amp;L'!$P$9)</f>
        <v>#REF!</v>
      </c>
      <c r="AG46" s="229"/>
      <c r="AH46" s="229"/>
      <c r="AI46" s="229" t="e">
        <f>Table1[[#This Row],[Food cost w/ MU]]+Table1[[#This Row],[labor cost W/ MU]]</f>
        <v>#REF!</v>
      </c>
      <c r="AJ46" s="228"/>
    </row>
    <row r="47" spans="1:36" x14ac:dyDescent="0.25">
      <c r="A47" s="219">
        <v>10038</v>
      </c>
      <c r="B47" s="215" t="s">
        <v>495</v>
      </c>
      <c r="C47" s="219">
        <v>1</v>
      </c>
      <c r="I47" s="219"/>
      <c r="J47" s="219"/>
      <c r="K47" s="219"/>
      <c r="L47" s="223"/>
      <c r="M47" s="219"/>
      <c r="N47" s="227"/>
      <c r="O47" s="226">
        <v>0.83</v>
      </c>
      <c r="P47" s="226">
        <f>Table1[[#This Row],[unit cost]]*1.065</f>
        <v>0.8839499999999999</v>
      </c>
      <c r="Q47" s="224">
        <v>0.25</v>
      </c>
      <c r="R47" s="219">
        <v>1</v>
      </c>
      <c r="S47" s="235">
        <f t="shared" si="7"/>
        <v>0.42</v>
      </c>
      <c r="T47" s="233">
        <f>Table1[[#This Row],[man minutes]]*Table1[[#This Row],[labor rate]]</f>
        <v>0.105</v>
      </c>
      <c r="U47" s="233">
        <f t="shared" si="8"/>
        <v>0.98894999999999988</v>
      </c>
      <c r="V47" s="218">
        <f t="shared" si="9"/>
        <v>0.13</v>
      </c>
      <c r="W47" s="234">
        <f t="shared" si="10"/>
        <v>0.13</v>
      </c>
      <c r="X47" s="233">
        <f t="shared" si="11"/>
        <v>0.99886349999999979</v>
      </c>
      <c r="Y47" s="233">
        <f t="shared" si="12"/>
        <v>0.11864999999999999</v>
      </c>
      <c r="Z47" s="233">
        <f t="shared" si="13"/>
        <v>1.1200000000000001</v>
      </c>
      <c r="AA47" s="232">
        <f>+Table1[[#This Row],[calculated sale price]]</f>
        <v>1.1200000000000001</v>
      </c>
      <c r="AB47" s="231"/>
      <c r="AC47" s="230"/>
      <c r="AD47" s="240"/>
      <c r="AE47" s="229" t="e">
        <f>[5]!Table1[[#This Row],[cost per quantity]]*(1+'[5]P&amp;L'!$P$8)</f>
        <v>#REF!</v>
      </c>
      <c r="AF47" s="229" t="e">
        <f>$AF$8*[5]!Table1[[#This Row],[man minutes]]*(1+'[5]P&amp;L'!$P$9)</f>
        <v>#REF!</v>
      </c>
      <c r="AG47" s="229"/>
      <c r="AH47" s="229"/>
      <c r="AI47" s="229" t="e">
        <f>Table1[[#This Row],[Food cost w/ MU]]+Table1[[#This Row],[labor cost W/ MU]]</f>
        <v>#REF!</v>
      </c>
      <c r="AJ47" s="228"/>
    </row>
    <row r="48" spans="1:36" x14ac:dyDescent="0.25">
      <c r="A48" s="219">
        <v>10039</v>
      </c>
      <c r="B48" s="241" t="s">
        <v>494</v>
      </c>
      <c r="C48" s="219">
        <v>1</v>
      </c>
      <c r="I48" s="219"/>
      <c r="J48" s="219"/>
      <c r="K48" s="219"/>
      <c r="L48" s="223"/>
      <c r="M48" s="219"/>
      <c r="N48" s="227"/>
      <c r="O48" s="226"/>
      <c r="P48" s="226"/>
      <c r="Q48" s="224"/>
      <c r="R48" s="219">
        <v>1</v>
      </c>
      <c r="S48" s="235">
        <f t="shared" si="7"/>
        <v>0.42</v>
      </c>
      <c r="T48" s="233">
        <f>Table1[[#This Row],[man minutes]]*Table1[[#This Row],[labor rate]]</f>
        <v>0</v>
      </c>
      <c r="U48" s="233">
        <f t="shared" si="8"/>
        <v>0</v>
      </c>
      <c r="V48" s="218">
        <f t="shared" si="9"/>
        <v>0.13</v>
      </c>
      <c r="W48" s="234">
        <f t="shared" si="10"/>
        <v>0.13</v>
      </c>
      <c r="X48" s="233">
        <f t="shared" si="11"/>
        <v>0</v>
      </c>
      <c r="Y48" s="233">
        <f t="shared" si="12"/>
        <v>0</v>
      </c>
      <c r="Z48" s="233">
        <f t="shared" si="13"/>
        <v>0</v>
      </c>
      <c r="AA48" s="232">
        <f>+Table1[[#This Row],[calculated sale price]]</f>
        <v>0</v>
      </c>
      <c r="AB48" s="231"/>
      <c r="AC48" s="230"/>
      <c r="AD48" s="240"/>
      <c r="AE48" s="229" t="e">
        <f>[5]!Table1[[#This Row],[cost per quantity]]*(1+'[5]P&amp;L'!$P$8)</f>
        <v>#REF!</v>
      </c>
      <c r="AF48" s="229" t="e">
        <f>$AF$8*[5]!Table1[[#This Row],[man minutes]]*(1+'[5]P&amp;L'!$P$9)</f>
        <v>#REF!</v>
      </c>
      <c r="AG48" s="229"/>
      <c r="AH48" s="229"/>
      <c r="AI48" s="229" t="e">
        <f>Table1[[#This Row],[Food cost w/ MU]]+Table1[[#This Row],[labor cost W/ MU]]</f>
        <v>#REF!</v>
      </c>
      <c r="AJ48" s="228"/>
    </row>
    <row r="49" spans="1:36" x14ac:dyDescent="0.25">
      <c r="A49" s="219">
        <v>10040</v>
      </c>
      <c r="B49" s="215" t="s">
        <v>493</v>
      </c>
      <c r="C49" s="219">
        <v>1</v>
      </c>
      <c r="I49" s="219"/>
      <c r="J49" s="219"/>
      <c r="K49" s="219"/>
      <c r="L49" s="223"/>
      <c r="M49" s="219"/>
      <c r="N49" s="227"/>
      <c r="O49" s="226">
        <v>1.2811999999999999</v>
      </c>
      <c r="P49" s="226">
        <f>Table1[[#This Row],[unit cost]]*1.065</f>
        <v>1.3644779999999999</v>
      </c>
      <c r="Q49" s="224">
        <v>2</v>
      </c>
      <c r="R49" s="219">
        <v>1</v>
      </c>
      <c r="S49" s="235">
        <f t="shared" si="7"/>
        <v>0.42</v>
      </c>
      <c r="T49" s="233">
        <f>Table1[[#This Row],[man minutes]]*Table1[[#This Row],[labor rate]]</f>
        <v>0.84</v>
      </c>
      <c r="U49" s="233">
        <f t="shared" si="8"/>
        <v>2.2044779999999999</v>
      </c>
      <c r="V49" s="218">
        <f t="shared" si="9"/>
        <v>0.13</v>
      </c>
      <c r="W49" s="234">
        <f t="shared" si="10"/>
        <v>0.13</v>
      </c>
      <c r="X49" s="233">
        <f t="shared" si="11"/>
        <v>1.5418601399999996</v>
      </c>
      <c r="Y49" s="233">
        <f t="shared" si="12"/>
        <v>0.94919999999999993</v>
      </c>
      <c r="Z49" s="233">
        <f t="shared" si="13"/>
        <v>2.5</v>
      </c>
      <c r="AA49" s="232">
        <f>+Table1[[#This Row],[calculated sale price]]</f>
        <v>2.5</v>
      </c>
      <c r="AB49" s="231"/>
      <c r="AC49" s="230"/>
      <c r="AD49" s="240"/>
      <c r="AE49" s="229" t="e">
        <f>[5]!Table1[[#This Row],[cost per quantity]]*(1+'[5]P&amp;L'!$P$8)</f>
        <v>#REF!</v>
      </c>
      <c r="AF49" s="229" t="e">
        <f>$AF$8*[5]!Table1[[#This Row],[man minutes]]*(1+'[5]P&amp;L'!$P$9)</f>
        <v>#REF!</v>
      </c>
      <c r="AG49" s="229"/>
      <c r="AH49" s="229"/>
      <c r="AI49" s="229" t="e">
        <f>Table1[[#This Row],[Food cost w/ MU]]+Table1[[#This Row],[labor cost W/ MU]]</f>
        <v>#REF!</v>
      </c>
      <c r="AJ49" s="228"/>
    </row>
    <row r="50" spans="1:36" x14ac:dyDescent="0.25">
      <c r="A50" s="219">
        <v>10041</v>
      </c>
      <c r="B50" s="215" t="s">
        <v>492</v>
      </c>
      <c r="C50" s="219">
        <v>1</v>
      </c>
      <c r="I50" s="219"/>
      <c r="J50" s="219"/>
      <c r="K50" s="219"/>
      <c r="L50" s="223"/>
      <c r="M50" s="219"/>
      <c r="N50" s="227"/>
      <c r="O50" s="226">
        <v>0</v>
      </c>
      <c r="P50" s="226">
        <f>Table1[[#This Row],[unit cost]]*1.065</f>
        <v>0</v>
      </c>
      <c r="Q50" s="224">
        <v>2</v>
      </c>
      <c r="R50" s="219">
        <v>1</v>
      </c>
      <c r="S50" s="235">
        <f t="shared" si="7"/>
        <v>0.42</v>
      </c>
      <c r="T50" s="233">
        <f>Table1[[#This Row],[man minutes]]*Table1[[#This Row],[labor rate]]</f>
        <v>0.84</v>
      </c>
      <c r="U50" s="233">
        <f t="shared" si="8"/>
        <v>0.84</v>
      </c>
      <c r="V50" s="218">
        <f t="shared" si="9"/>
        <v>0.13</v>
      </c>
      <c r="W50" s="234">
        <f t="shared" si="10"/>
        <v>0.13</v>
      </c>
      <c r="X50" s="233">
        <f t="shared" si="11"/>
        <v>0</v>
      </c>
      <c r="Y50" s="233">
        <f t="shared" si="12"/>
        <v>0.94919999999999993</v>
      </c>
      <c r="Z50" s="233">
        <f t="shared" si="13"/>
        <v>0.95</v>
      </c>
      <c r="AA50" s="232">
        <f>+Table1[[#This Row],[calculated sale price]]</f>
        <v>0.95</v>
      </c>
      <c r="AB50" s="231"/>
      <c r="AC50" s="230"/>
      <c r="AD50" s="240"/>
      <c r="AE50" s="229" t="e">
        <f>[5]!Table1[[#This Row],[cost per quantity]]*(1+'[5]P&amp;L'!$P$8)</f>
        <v>#REF!</v>
      </c>
      <c r="AF50" s="229" t="e">
        <f>$AF$8*[5]!Table1[[#This Row],[man minutes]]*(1+'[5]P&amp;L'!$P$9)</f>
        <v>#REF!</v>
      </c>
      <c r="AG50" s="229"/>
      <c r="AH50" s="229"/>
      <c r="AI50" s="229" t="e">
        <f>Table1[[#This Row],[Food cost w/ MU]]+Table1[[#This Row],[labor cost W/ MU]]</f>
        <v>#REF!</v>
      </c>
      <c r="AJ50" s="228"/>
    </row>
    <row r="51" spans="1:36" x14ac:dyDescent="0.25">
      <c r="A51" s="219">
        <v>10042</v>
      </c>
      <c r="B51" s="215" t="s">
        <v>491</v>
      </c>
      <c r="C51" s="219">
        <v>1</v>
      </c>
      <c r="I51" s="219"/>
      <c r="J51" s="219"/>
      <c r="K51" s="219"/>
      <c r="L51" s="223"/>
      <c r="M51" s="219"/>
      <c r="N51" s="227"/>
      <c r="O51" s="226">
        <v>0.55807499999999999</v>
      </c>
      <c r="P51" s="226">
        <f>Table1[[#This Row],[unit cost]]*1.065</f>
        <v>0.59434987499999992</v>
      </c>
      <c r="Q51" s="224">
        <v>1.25</v>
      </c>
      <c r="R51" s="219">
        <v>1</v>
      </c>
      <c r="S51" s="235">
        <f t="shared" si="7"/>
        <v>0.42</v>
      </c>
      <c r="T51" s="233">
        <f>Table1[[#This Row],[man minutes]]*Table1[[#This Row],[labor rate]]</f>
        <v>0.52500000000000002</v>
      </c>
      <c r="U51" s="233">
        <f t="shared" si="8"/>
        <v>1.1193498749999999</v>
      </c>
      <c r="V51" s="218">
        <f t="shared" si="9"/>
        <v>0.13</v>
      </c>
      <c r="W51" s="234">
        <f t="shared" si="10"/>
        <v>0.13</v>
      </c>
      <c r="X51" s="233">
        <f t="shared" si="11"/>
        <v>0.67161535874999989</v>
      </c>
      <c r="Y51" s="233">
        <f t="shared" si="12"/>
        <v>0.59325000000000006</v>
      </c>
      <c r="Z51" s="233">
        <f t="shared" si="13"/>
        <v>1.27</v>
      </c>
      <c r="AA51" s="232">
        <f>+Table1[[#This Row],[calculated sale price]]</f>
        <v>1.27</v>
      </c>
      <c r="AB51" s="231"/>
      <c r="AC51" s="230"/>
      <c r="AD51" s="240"/>
      <c r="AE51" s="229" t="e">
        <f>[5]!Table1[[#This Row],[cost per quantity]]*(1+'[5]P&amp;L'!$P$8)</f>
        <v>#REF!</v>
      </c>
      <c r="AF51" s="229" t="e">
        <f>$AF$8*[5]!Table1[[#This Row],[man minutes]]*(1+'[5]P&amp;L'!$P$9)</f>
        <v>#REF!</v>
      </c>
      <c r="AG51" s="229"/>
      <c r="AH51" s="229"/>
      <c r="AI51" s="229" t="e">
        <f>Table1[[#This Row],[Food cost w/ MU]]+Table1[[#This Row],[labor cost W/ MU]]</f>
        <v>#REF!</v>
      </c>
      <c r="AJ51" s="228"/>
    </row>
    <row r="52" spans="1:36" x14ac:dyDescent="0.25">
      <c r="A52" s="219">
        <v>10043</v>
      </c>
      <c r="B52" s="215" t="s">
        <v>490</v>
      </c>
      <c r="C52" s="219">
        <v>1</v>
      </c>
      <c r="I52" s="219"/>
      <c r="J52" s="219"/>
      <c r="K52" s="219"/>
      <c r="L52" s="223"/>
      <c r="M52" s="219"/>
      <c r="N52" s="227"/>
      <c r="O52" s="226">
        <v>0.89319999999999999</v>
      </c>
      <c r="P52" s="226">
        <f>Table1[[#This Row],[unit cost]]*1.065</f>
        <v>0.95125799999999994</v>
      </c>
      <c r="Q52" s="224">
        <v>1.5</v>
      </c>
      <c r="R52" s="219">
        <v>1</v>
      </c>
      <c r="S52" s="235">
        <f t="shared" si="7"/>
        <v>0.42</v>
      </c>
      <c r="T52" s="233">
        <f>Table1[[#This Row],[man minutes]]*Table1[[#This Row],[labor rate]]</f>
        <v>0.63</v>
      </c>
      <c r="U52" s="233">
        <f t="shared" si="8"/>
        <v>1.5812580000000001</v>
      </c>
      <c r="V52" s="218">
        <f t="shared" si="9"/>
        <v>0.13</v>
      </c>
      <c r="W52" s="234">
        <f t="shared" si="10"/>
        <v>0.13</v>
      </c>
      <c r="X52" s="233">
        <f t="shared" si="11"/>
        <v>1.0749215399999998</v>
      </c>
      <c r="Y52" s="233">
        <f t="shared" si="12"/>
        <v>0.71189999999999998</v>
      </c>
      <c r="Z52" s="233">
        <f t="shared" si="13"/>
        <v>1.79</v>
      </c>
      <c r="AA52" s="232">
        <f>+Table1[[#This Row],[calculated sale price]]</f>
        <v>1.79</v>
      </c>
      <c r="AB52" s="231"/>
      <c r="AC52" s="230"/>
      <c r="AD52" s="240"/>
      <c r="AE52" s="229" t="e">
        <f>[5]!Table1[[#This Row],[cost per quantity]]*(1+'[5]P&amp;L'!$P$8)</f>
        <v>#REF!</v>
      </c>
      <c r="AF52" s="229" t="e">
        <f>$AF$8*[5]!Table1[[#This Row],[man minutes]]*(1+'[5]P&amp;L'!$P$9)</f>
        <v>#REF!</v>
      </c>
      <c r="AG52" s="229"/>
      <c r="AH52" s="229"/>
      <c r="AI52" s="229" t="e">
        <f>Table1[[#This Row],[Food cost w/ MU]]+Table1[[#This Row],[labor cost W/ MU]]</f>
        <v>#REF!</v>
      </c>
      <c r="AJ52" s="228"/>
    </row>
    <row r="53" spans="1:36" x14ac:dyDescent="0.25">
      <c r="A53" s="219">
        <v>10044</v>
      </c>
      <c r="B53" s="215" t="s">
        <v>489</v>
      </c>
      <c r="C53" s="219">
        <v>1</v>
      </c>
      <c r="I53" s="219"/>
      <c r="J53" s="219"/>
      <c r="K53" s="219"/>
      <c r="L53" s="223"/>
      <c r="M53" s="219"/>
      <c r="N53" s="227"/>
      <c r="O53" s="226">
        <v>3.407915</v>
      </c>
      <c r="P53" s="226">
        <f>Table1[[#This Row],[unit cost]]*1.065</f>
        <v>3.6294294749999998</v>
      </c>
      <c r="Q53" s="224">
        <v>7</v>
      </c>
      <c r="R53" s="219">
        <v>1</v>
      </c>
      <c r="S53" s="235">
        <f t="shared" si="7"/>
        <v>0.42</v>
      </c>
      <c r="T53" s="233">
        <f>Table1[[#This Row],[man minutes]]*Table1[[#This Row],[labor rate]]</f>
        <v>2.94</v>
      </c>
      <c r="U53" s="233">
        <f t="shared" si="8"/>
        <v>6.5694294749999997</v>
      </c>
      <c r="V53" s="218">
        <f t="shared" si="9"/>
        <v>0.13</v>
      </c>
      <c r="W53" s="234">
        <f t="shared" si="10"/>
        <v>0.13</v>
      </c>
      <c r="X53" s="233">
        <f t="shared" si="11"/>
        <v>4.1012553067499997</v>
      </c>
      <c r="Y53" s="233">
        <f t="shared" si="12"/>
        <v>3.3222</v>
      </c>
      <c r="Z53" s="233">
        <f t="shared" si="13"/>
        <v>7.43</v>
      </c>
      <c r="AA53" s="232">
        <f>+Table1[[#This Row],[calculated sale price]]</f>
        <v>7.43</v>
      </c>
      <c r="AB53" s="231"/>
      <c r="AC53" s="230"/>
      <c r="AD53" s="240"/>
      <c r="AE53" s="229" t="e">
        <f>[5]!Table1[[#This Row],[cost per quantity]]*(1+'[5]P&amp;L'!$P$8)</f>
        <v>#REF!</v>
      </c>
      <c r="AF53" s="229" t="e">
        <f>$AF$8*[5]!Table1[[#This Row],[man minutes]]*(1+'[5]P&amp;L'!$P$9)</f>
        <v>#REF!</v>
      </c>
      <c r="AG53" s="229"/>
      <c r="AH53" s="229"/>
      <c r="AI53" s="229" t="e">
        <f>Table1[[#This Row],[Food cost w/ MU]]+Table1[[#This Row],[labor cost W/ MU]]</f>
        <v>#REF!</v>
      </c>
      <c r="AJ53" s="228"/>
    </row>
    <row r="54" spans="1:36" x14ac:dyDescent="0.25">
      <c r="A54" s="219">
        <v>10045</v>
      </c>
      <c r="B54" s="215" t="s">
        <v>488</v>
      </c>
      <c r="C54" s="219">
        <v>1</v>
      </c>
      <c r="I54" s="219"/>
      <c r="J54" s="219"/>
      <c r="K54" s="219"/>
      <c r="L54" s="223"/>
      <c r="M54" s="219"/>
      <c r="N54" s="227"/>
      <c r="O54" s="226">
        <v>6.7454999999999998</v>
      </c>
      <c r="P54" s="226">
        <f>Table1[[#This Row],[unit cost]]*1.065</f>
        <v>7.1839574999999991</v>
      </c>
      <c r="Q54" s="224">
        <v>7</v>
      </c>
      <c r="R54" s="219">
        <v>1</v>
      </c>
      <c r="S54" s="235">
        <f t="shared" si="7"/>
        <v>0.42</v>
      </c>
      <c r="T54" s="233">
        <f>Table1[[#This Row],[man minutes]]*Table1[[#This Row],[labor rate]]</f>
        <v>2.94</v>
      </c>
      <c r="U54" s="233">
        <f t="shared" si="8"/>
        <v>10.123957499999999</v>
      </c>
      <c r="V54" s="218">
        <f t="shared" si="9"/>
        <v>0.13</v>
      </c>
      <c r="W54" s="234">
        <f t="shared" si="10"/>
        <v>0.13</v>
      </c>
      <c r="X54" s="233">
        <f t="shared" si="11"/>
        <v>8.1178719749999981</v>
      </c>
      <c r="Y54" s="233">
        <f t="shared" si="12"/>
        <v>3.3222</v>
      </c>
      <c r="Z54" s="233">
        <f t="shared" si="13"/>
        <v>11.45</v>
      </c>
      <c r="AA54" s="232">
        <f>+Table1[[#This Row],[calculated sale price]]</f>
        <v>11.45</v>
      </c>
      <c r="AB54" s="231"/>
      <c r="AC54" s="230"/>
      <c r="AD54" s="240"/>
      <c r="AE54" s="229" t="e">
        <f>[5]!Table1[[#This Row],[cost per quantity]]*(1+'[5]P&amp;L'!$P$8)</f>
        <v>#REF!</v>
      </c>
      <c r="AF54" s="229" t="e">
        <f>$AF$8*[5]!Table1[[#This Row],[man minutes]]*(1+'[5]P&amp;L'!$P$9)</f>
        <v>#REF!</v>
      </c>
      <c r="AG54" s="229"/>
      <c r="AH54" s="229"/>
      <c r="AI54" s="229" t="e">
        <f>Table1[[#This Row],[Food cost w/ MU]]+Table1[[#This Row],[labor cost W/ MU]]</f>
        <v>#REF!</v>
      </c>
      <c r="AJ54" s="228"/>
    </row>
    <row r="55" spans="1:36" x14ac:dyDescent="0.25">
      <c r="A55" s="219">
        <v>10046</v>
      </c>
      <c r="B55" s="215" t="s">
        <v>487</v>
      </c>
      <c r="C55" s="219">
        <v>1</v>
      </c>
      <c r="I55" s="219"/>
      <c r="J55" s="219"/>
      <c r="K55" s="219"/>
      <c r="L55" s="223"/>
      <c r="M55" s="219"/>
      <c r="N55" s="227"/>
      <c r="O55" s="226">
        <v>1.9219577999999999</v>
      </c>
      <c r="P55" s="226">
        <f>Table1[[#This Row],[unit cost]]*1.065</f>
        <v>2.0468850569999999</v>
      </c>
      <c r="Q55" s="224">
        <v>6.5</v>
      </c>
      <c r="R55" s="219">
        <v>1</v>
      </c>
      <c r="S55" s="235">
        <f t="shared" si="7"/>
        <v>0.42</v>
      </c>
      <c r="T55" s="233">
        <f>Table1[[#This Row],[man minutes]]*Table1[[#This Row],[labor rate]]</f>
        <v>2.73</v>
      </c>
      <c r="U55" s="233">
        <f t="shared" si="8"/>
        <v>4.7768850569999994</v>
      </c>
      <c r="V55" s="218">
        <f t="shared" si="9"/>
        <v>0.13</v>
      </c>
      <c r="W55" s="234">
        <f t="shared" si="10"/>
        <v>0.13</v>
      </c>
      <c r="X55" s="233">
        <f t="shared" si="11"/>
        <v>2.3129801144099997</v>
      </c>
      <c r="Y55" s="233">
        <f t="shared" si="12"/>
        <v>3.0849000000000002</v>
      </c>
      <c r="Z55" s="233">
        <f t="shared" si="13"/>
        <v>5.3999999999999995</v>
      </c>
      <c r="AA55" s="232">
        <f>+Table1[[#This Row],[calculated sale price]]</f>
        <v>5.3999999999999995</v>
      </c>
      <c r="AB55" s="231"/>
      <c r="AC55" s="230"/>
      <c r="AD55" s="240"/>
      <c r="AE55" s="229" t="e">
        <f>[5]!Table1[[#This Row],[cost per quantity]]*(1+'[5]P&amp;L'!$P$8)</f>
        <v>#REF!</v>
      </c>
      <c r="AF55" s="229" t="e">
        <f>$AF$8*[5]!Table1[[#This Row],[man minutes]]*(1+'[5]P&amp;L'!$P$9)</f>
        <v>#REF!</v>
      </c>
      <c r="AG55" s="229"/>
      <c r="AH55" s="229"/>
      <c r="AI55" s="229" t="e">
        <f>Table1[[#This Row],[Food cost w/ MU]]+Table1[[#This Row],[labor cost W/ MU]]</f>
        <v>#REF!</v>
      </c>
      <c r="AJ55" s="228"/>
    </row>
    <row r="56" spans="1:36" x14ac:dyDescent="0.25">
      <c r="A56" s="219">
        <v>10047</v>
      </c>
      <c r="B56" s="215" t="s">
        <v>486</v>
      </c>
      <c r="C56" s="219">
        <v>1</v>
      </c>
      <c r="I56" s="219"/>
      <c r="J56" s="219"/>
      <c r="K56" s="219"/>
      <c r="L56" s="223"/>
      <c r="M56" s="219"/>
      <c r="N56" s="227"/>
      <c r="O56" s="226">
        <v>1.2591000000000001</v>
      </c>
      <c r="P56" s="226">
        <f>Table1[[#This Row],[unit cost]]*1.065</f>
        <v>1.3409415</v>
      </c>
      <c r="Q56" s="224">
        <v>6.5</v>
      </c>
      <c r="R56" s="219">
        <v>1</v>
      </c>
      <c r="S56" s="235">
        <f t="shared" si="7"/>
        <v>0.42</v>
      </c>
      <c r="T56" s="233">
        <f>Table1[[#This Row],[man minutes]]*Table1[[#This Row],[labor rate]]</f>
        <v>2.73</v>
      </c>
      <c r="U56" s="233">
        <f t="shared" si="8"/>
        <v>4.0709415</v>
      </c>
      <c r="V56" s="218">
        <f t="shared" si="9"/>
        <v>0.13</v>
      </c>
      <c r="W56" s="234">
        <f t="shared" si="10"/>
        <v>0.13</v>
      </c>
      <c r="X56" s="233">
        <f t="shared" si="11"/>
        <v>1.5152638949999999</v>
      </c>
      <c r="Y56" s="233">
        <f t="shared" si="12"/>
        <v>3.0849000000000002</v>
      </c>
      <c r="Z56" s="233">
        <f t="shared" si="13"/>
        <v>4.6099999999999994</v>
      </c>
      <c r="AA56" s="232">
        <f>+Table1[[#This Row],[calculated sale price]]</f>
        <v>4.6099999999999994</v>
      </c>
      <c r="AB56" s="231"/>
      <c r="AC56" s="230"/>
      <c r="AD56" s="240"/>
      <c r="AE56" s="229" t="e">
        <f>[5]!Table1[[#This Row],[cost per quantity]]*(1+'[5]P&amp;L'!$P$8)</f>
        <v>#REF!</v>
      </c>
      <c r="AF56" s="229" t="e">
        <f>$AF$8*[5]!Table1[[#This Row],[man minutes]]*(1+'[5]P&amp;L'!$P$9)</f>
        <v>#REF!</v>
      </c>
      <c r="AG56" s="229"/>
      <c r="AH56" s="229"/>
      <c r="AI56" s="229" t="e">
        <f>Table1[[#This Row],[Food cost w/ MU]]+Table1[[#This Row],[labor cost W/ MU]]</f>
        <v>#REF!</v>
      </c>
      <c r="AJ56" s="228"/>
    </row>
    <row r="57" spans="1:36" x14ac:dyDescent="0.25">
      <c r="A57" s="219">
        <v>10048</v>
      </c>
      <c r="B57" s="239" t="s">
        <v>485</v>
      </c>
      <c r="C57" s="219">
        <v>1</v>
      </c>
      <c r="I57" s="219"/>
      <c r="J57" s="219"/>
      <c r="K57" s="219"/>
      <c r="L57" s="223"/>
      <c r="M57" s="219"/>
      <c r="N57" s="227"/>
      <c r="O57" s="226">
        <v>0.70833000000000002</v>
      </c>
      <c r="P57" s="226">
        <f>Table1[[#This Row],[unit cost]]*1.065</f>
        <v>0.75437144999999994</v>
      </c>
      <c r="Q57" s="224">
        <v>2.25</v>
      </c>
      <c r="R57" s="219">
        <v>1</v>
      </c>
      <c r="S57" s="235">
        <f t="shared" si="7"/>
        <v>0.42</v>
      </c>
      <c r="T57" s="233">
        <f>Table1[[#This Row],[man minutes]]*Table1[[#This Row],[labor rate]]</f>
        <v>0.94499999999999995</v>
      </c>
      <c r="U57" s="233">
        <f t="shared" si="8"/>
        <v>1.6993714499999999</v>
      </c>
      <c r="V57" s="218">
        <f t="shared" si="9"/>
        <v>0.13</v>
      </c>
      <c r="W57" s="234">
        <f t="shared" si="10"/>
        <v>0.13</v>
      </c>
      <c r="X57" s="233">
        <f t="shared" si="11"/>
        <v>0.85243973849999988</v>
      </c>
      <c r="Y57" s="233">
        <f t="shared" si="12"/>
        <v>1.06785</v>
      </c>
      <c r="Z57" s="233">
        <f t="shared" si="13"/>
        <v>1.93</v>
      </c>
      <c r="AA57" s="232">
        <f>+Table1[[#This Row],[calculated sale price]]</f>
        <v>1.93</v>
      </c>
      <c r="AB57" s="231"/>
      <c r="AC57" s="230"/>
      <c r="AD57" s="240"/>
      <c r="AE57" s="229" t="e">
        <f>[5]!Table1[[#This Row],[cost per quantity]]*(1+'[5]P&amp;L'!$P$8)</f>
        <v>#REF!</v>
      </c>
      <c r="AF57" s="229" t="e">
        <f>$AF$8*[5]!Table1[[#This Row],[man minutes]]*(1+'[5]P&amp;L'!$P$9)</f>
        <v>#REF!</v>
      </c>
      <c r="AG57" s="229"/>
      <c r="AH57" s="229"/>
      <c r="AI57" s="229" t="e">
        <f>Table1[[#This Row],[Food cost w/ MU]]+Table1[[#This Row],[labor cost W/ MU]]</f>
        <v>#REF!</v>
      </c>
      <c r="AJ57" s="228"/>
    </row>
    <row r="58" spans="1:36" x14ac:dyDescent="0.25">
      <c r="A58" s="219">
        <v>10049</v>
      </c>
      <c r="B58" s="239" t="s">
        <v>484</v>
      </c>
      <c r="C58" s="219">
        <v>1</v>
      </c>
      <c r="I58" s="219"/>
      <c r="J58" s="219"/>
      <c r="K58" s="219"/>
      <c r="L58" s="223"/>
      <c r="M58" s="219"/>
      <c r="N58" s="227"/>
      <c r="O58" s="226">
        <v>0.72</v>
      </c>
      <c r="P58" s="226">
        <f>Table1[[#This Row],[unit cost]]*1.065</f>
        <v>0.76679999999999993</v>
      </c>
      <c r="Q58" s="224">
        <v>2.5</v>
      </c>
      <c r="R58" s="219">
        <v>1</v>
      </c>
      <c r="S58" s="235">
        <f t="shared" si="7"/>
        <v>0.42</v>
      </c>
      <c r="T58" s="233">
        <f>Table1[[#This Row],[man minutes]]*Table1[[#This Row],[labor rate]]</f>
        <v>1.05</v>
      </c>
      <c r="U58" s="233">
        <f t="shared" si="8"/>
        <v>1.8168</v>
      </c>
      <c r="V58" s="218">
        <f t="shared" si="9"/>
        <v>0.13</v>
      </c>
      <c r="W58" s="234">
        <f t="shared" si="10"/>
        <v>0.13</v>
      </c>
      <c r="X58" s="233">
        <f t="shared" si="11"/>
        <v>0.86648399999999981</v>
      </c>
      <c r="Y58" s="233">
        <f t="shared" si="12"/>
        <v>1.1865000000000001</v>
      </c>
      <c r="Z58" s="233">
        <f t="shared" si="13"/>
        <v>2.0599999999999996</v>
      </c>
      <c r="AA58" s="232">
        <f>+Table1[[#This Row],[calculated sale price]]</f>
        <v>2.0599999999999996</v>
      </c>
      <c r="AB58" s="231"/>
      <c r="AC58" s="230"/>
      <c r="AD58" s="240"/>
      <c r="AE58" s="229" t="e">
        <f>[5]!Table1[[#This Row],[cost per quantity]]*(1+'[5]P&amp;L'!$P$8)</f>
        <v>#REF!</v>
      </c>
      <c r="AF58" s="229" t="e">
        <f>$AF$8*[5]!Table1[[#This Row],[man minutes]]*(1+'[5]P&amp;L'!$P$9)</f>
        <v>#REF!</v>
      </c>
      <c r="AG58" s="229"/>
      <c r="AH58" s="229"/>
      <c r="AI58" s="229" t="e">
        <f>Table1[[#This Row],[Food cost w/ MU]]+Table1[[#This Row],[labor cost W/ MU]]</f>
        <v>#REF!</v>
      </c>
      <c r="AJ58" s="228"/>
    </row>
    <row r="59" spans="1:36" x14ac:dyDescent="0.25">
      <c r="A59" s="219">
        <v>10050</v>
      </c>
      <c r="B59" s="239" t="s">
        <v>483</v>
      </c>
      <c r="C59" s="219">
        <v>1</v>
      </c>
      <c r="I59" s="219"/>
      <c r="J59" s="219"/>
      <c r="K59" s="219"/>
      <c r="L59" s="223"/>
      <c r="M59" s="219"/>
      <c r="N59" s="227"/>
      <c r="O59" s="226">
        <v>0.47249999999999998</v>
      </c>
      <c r="P59" s="226">
        <f>Table1[[#This Row],[unit cost]]*1.065</f>
        <v>0.50321249999999995</v>
      </c>
      <c r="Q59" s="224">
        <v>0.5</v>
      </c>
      <c r="R59" s="219">
        <v>1</v>
      </c>
      <c r="S59" s="235">
        <f t="shared" si="7"/>
        <v>0.42</v>
      </c>
      <c r="T59" s="233">
        <f>Table1[[#This Row],[man minutes]]*Table1[[#This Row],[labor rate]]</f>
        <v>0.21</v>
      </c>
      <c r="U59" s="233">
        <f t="shared" si="8"/>
        <v>0.71321249999999992</v>
      </c>
      <c r="V59" s="218">
        <f t="shared" si="9"/>
        <v>0.13</v>
      </c>
      <c r="W59" s="234">
        <f t="shared" si="10"/>
        <v>0.13</v>
      </c>
      <c r="X59" s="233">
        <f t="shared" si="11"/>
        <v>0.56863012499999988</v>
      </c>
      <c r="Y59" s="233">
        <f t="shared" si="12"/>
        <v>0.23729999999999998</v>
      </c>
      <c r="Z59" s="233">
        <f t="shared" si="13"/>
        <v>0.81</v>
      </c>
      <c r="AA59" s="232">
        <f>+Table1[[#This Row],[calculated sale price]]</f>
        <v>0.81</v>
      </c>
      <c r="AB59" s="231"/>
      <c r="AC59" s="230"/>
      <c r="AD59" s="240"/>
      <c r="AE59" s="229" t="e">
        <f>[5]!Table1[[#This Row],[cost per quantity]]*(1+'[5]P&amp;L'!$P$8)</f>
        <v>#REF!</v>
      </c>
      <c r="AF59" s="229" t="e">
        <f>$AF$8*[5]!Table1[[#This Row],[man minutes]]*(1+'[5]P&amp;L'!$P$9)</f>
        <v>#REF!</v>
      </c>
      <c r="AG59" s="229"/>
      <c r="AH59" s="229"/>
      <c r="AI59" s="229" t="e">
        <f>Table1[[#This Row],[Food cost w/ MU]]+Table1[[#This Row],[labor cost W/ MU]]</f>
        <v>#REF!</v>
      </c>
      <c r="AJ59" s="228"/>
    </row>
    <row r="60" spans="1:36" x14ac:dyDescent="0.25">
      <c r="A60" s="219">
        <v>10051</v>
      </c>
      <c r="B60" s="215" t="s">
        <v>482</v>
      </c>
      <c r="C60" s="219">
        <v>1</v>
      </c>
      <c r="I60" s="219"/>
      <c r="J60" s="219"/>
      <c r="K60" s="219"/>
      <c r="L60" s="223"/>
      <c r="M60" s="219"/>
      <c r="N60" s="227"/>
      <c r="O60" s="226">
        <v>0.6</v>
      </c>
      <c r="P60" s="226">
        <f>Table1[[#This Row],[unit cost]]*1.065</f>
        <v>0.6389999999999999</v>
      </c>
      <c r="Q60" s="224">
        <v>0.5</v>
      </c>
      <c r="R60" s="219">
        <v>1</v>
      </c>
      <c r="S60" s="235">
        <f t="shared" si="7"/>
        <v>0.42</v>
      </c>
      <c r="T60" s="233">
        <f>Table1[[#This Row],[man minutes]]*Table1[[#This Row],[labor rate]]</f>
        <v>0.21</v>
      </c>
      <c r="U60" s="233">
        <f t="shared" si="8"/>
        <v>0.84899999999999987</v>
      </c>
      <c r="V60" s="218">
        <f t="shared" si="9"/>
        <v>0.13</v>
      </c>
      <c r="W60" s="234">
        <f t="shared" si="10"/>
        <v>0.13</v>
      </c>
      <c r="X60" s="233">
        <f t="shared" si="11"/>
        <v>0.72206999999999977</v>
      </c>
      <c r="Y60" s="233">
        <f t="shared" si="12"/>
        <v>0.23729999999999998</v>
      </c>
      <c r="Z60" s="233">
        <f t="shared" si="13"/>
        <v>0.96</v>
      </c>
      <c r="AA60" s="232">
        <f>+Table1[[#This Row],[calculated sale price]]</f>
        <v>0.96</v>
      </c>
      <c r="AB60" s="231"/>
      <c r="AC60" s="230"/>
      <c r="AD60" s="229"/>
      <c r="AE60" s="229" t="e">
        <f>[5]!Table1[[#This Row],[cost per quantity]]*(1+'[5]P&amp;L'!$P$8)</f>
        <v>#REF!</v>
      </c>
      <c r="AF60" s="229" t="e">
        <f>$AF$8*[5]!Table1[[#This Row],[man minutes]]*(1+'[5]P&amp;L'!$P$9)</f>
        <v>#REF!</v>
      </c>
      <c r="AG60" s="229"/>
      <c r="AH60" s="229"/>
      <c r="AI60" s="229" t="e">
        <f>Table1[[#This Row],[Food cost w/ MU]]+Table1[[#This Row],[labor cost W/ MU]]</f>
        <v>#REF!</v>
      </c>
      <c r="AJ60" s="228"/>
    </row>
    <row r="61" spans="1:36" x14ac:dyDescent="0.25">
      <c r="A61" s="219">
        <v>10052</v>
      </c>
      <c r="B61" s="215" t="s">
        <v>481</v>
      </c>
      <c r="C61" s="219">
        <v>1</v>
      </c>
      <c r="I61" s="219"/>
      <c r="J61" s="219"/>
      <c r="K61" s="219"/>
      <c r="L61" s="223"/>
      <c r="M61" s="219"/>
      <c r="N61" s="227"/>
      <c r="O61" s="226">
        <v>1.3892500000000001</v>
      </c>
      <c r="P61" s="226">
        <f>Table1[[#This Row],[unit cost]]*1.065</f>
        <v>1.4795512500000001</v>
      </c>
      <c r="Q61" s="224">
        <v>2.75</v>
      </c>
      <c r="R61" s="219">
        <v>1</v>
      </c>
      <c r="S61" s="235">
        <f t="shared" si="7"/>
        <v>0.42</v>
      </c>
      <c r="T61" s="233">
        <f>Table1[[#This Row],[man minutes]]*Table1[[#This Row],[labor rate]]</f>
        <v>1.155</v>
      </c>
      <c r="U61" s="233">
        <f t="shared" si="8"/>
        <v>2.6345512500000003</v>
      </c>
      <c r="V61" s="218">
        <f t="shared" si="9"/>
        <v>0.13</v>
      </c>
      <c r="W61" s="234">
        <f t="shared" si="10"/>
        <v>0.13</v>
      </c>
      <c r="X61" s="233">
        <f t="shared" si="11"/>
        <v>1.6718929124999999</v>
      </c>
      <c r="Y61" s="233">
        <f t="shared" si="12"/>
        <v>1.30515</v>
      </c>
      <c r="Z61" s="233">
        <f t="shared" si="13"/>
        <v>2.98</v>
      </c>
      <c r="AA61" s="232">
        <f>+Table1[[#This Row],[calculated sale price]]</f>
        <v>2.98</v>
      </c>
      <c r="AB61" s="231"/>
      <c r="AC61" s="230"/>
      <c r="AD61" s="229"/>
      <c r="AE61" s="229" t="e">
        <f>[5]!Table1[[#This Row],[cost per quantity]]*(1+'[5]P&amp;L'!$P$8)</f>
        <v>#REF!</v>
      </c>
      <c r="AF61" s="229" t="e">
        <f>$AF$8*[5]!Table1[[#This Row],[man minutes]]*(1+'[5]P&amp;L'!$P$9)</f>
        <v>#REF!</v>
      </c>
      <c r="AG61" s="229"/>
      <c r="AH61" s="229"/>
      <c r="AI61" s="229" t="e">
        <f>Table1[[#This Row],[Food cost w/ MU]]+Table1[[#This Row],[labor cost W/ MU]]</f>
        <v>#REF!</v>
      </c>
      <c r="AJ61" s="228"/>
    </row>
    <row r="62" spans="1:36" x14ac:dyDescent="0.25">
      <c r="A62" s="219">
        <v>10053</v>
      </c>
      <c r="B62" s="215" t="s">
        <v>480</v>
      </c>
      <c r="C62" s="219">
        <v>1</v>
      </c>
      <c r="I62" s="219"/>
      <c r="J62" s="219"/>
      <c r="K62" s="219"/>
      <c r="L62" s="223"/>
      <c r="M62" s="219"/>
      <c r="N62" s="227"/>
      <c r="O62" s="226">
        <v>1.3340000000000001</v>
      </c>
      <c r="P62" s="226">
        <f>Table1[[#This Row],[unit cost]]*1.065</f>
        <v>1.4207099999999999</v>
      </c>
      <c r="Q62" s="224">
        <v>2.5</v>
      </c>
      <c r="R62" s="219">
        <v>1</v>
      </c>
      <c r="S62" s="235">
        <f t="shared" si="7"/>
        <v>0.42</v>
      </c>
      <c r="T62" s="233">
        <f>Table1[[#This Row],[man minutes]]*Table1[[#This Row],[labor rate]]</f>
        <v>1.05</v>
      </c>
      <c r="U62" s="233">
        <f t="shared" si="8"/>
        <v>2.47071</v>
      </c>
      <c r="V62" s="218">
        <f t="shared" si="9"/>
        <v>0.13</v>
      </c>
      <c r="W62" s="234">
        <f t="shared" si="10"/>
        <v>0.13</v>
      </c>
      <c r="X62" s="233">
        <f t="shared" si="11"/>
        <v>1.6054022999999997</v>
      </c>
      <c r="Y62" s="233">
        <f t="shared" si="12"/>
        <v>1.1865000000000001</v>
      </c>
      <c r="Z62" s="233">
        <f t="shared" si="13"/>
        <v>2.8</v>
      </c>
      <c r="AA62" s="232">
        <f>+Table1[[#This Row],[calculated sale price]]</f>
        <v>2.8</v>
      </c>
      <c r="AB62" s="231"/>
      <c r="AC62" s="230"/>
      <c r="AD62" s="229"/>
      <c r="AE62" s="229" t="e">
        <f>[5]!Table1[[#This Row],[cost per quantity]]*(1+'[5]P&amp;L'!$P$8)</f>
        <v>#REF!</v>
      </c>
      <c r="AF62" s="229" t="e">
        <f>$AF$8*[5]!Table1[[#This Row],[man minutes]]*(1+'[5]P&amp;L'!$P$9)</f>
        <v>#REF!</v>
      </c>
      <c r="AG62" s="229"/>
      <c r="AH62" s="229"/>
      <c r="AI62" s="229" t="e">
        <f>Table1[[#This Row],[Food cost w/ MU]]+Table1[[#This Row],[labor cost W/ MU]]</f>
        <v>#REF!</v>
      </c>
      <c r="AJ62" s="228"/>
    </row>
    <row r="63" spans="1:36" x14ac:dyDescent="0.25">
      <c r="A63" s="219">
        <v>10054</v>
      </c>
      <c r="B63" s="215" t="s">
        <v>479</v>
      </c>
      <c r="C63" s="219">
        <v>1</v>
      </c>
      <c r="I63" s="219"/>
      <c r="J63" s="219"/>
      <c r="K63" s="219"/>
      <c r="L63" s="223"/>
      <c r="M63" s="219"/>
      <c r="N63" s="227"/>
      <c r="O63" s="226">
        <v>0</v>
      </c>
      <c r="P63" s="226">
        <f>Table1[[#This Row],[unit cost]]*1.065</f>
        <v>0</v>
      </c>
      <c r="Q63" s="224">
        <v>0.93</v>
      </c>
      <c r="R63" s="219">
        <v>1</v>
      </c>
      <c r="S63" s="235">
        <f t="shared" si="7"/>
        <v>0.42</v>
      </c>
      <c r="T63" s="233">
        <f>Table1[[#This Row],[man minutes]]*Table1[[#This Row],[labor rate]]</f>
        <v>0.3906</v>
      </c>
      <c r="U63" s="233">
        <f t="shared" si="8"/>
        <v>0.3906</v>
      </c>
      <c r="V63" s="218">
        <f t="shared" si="9"/>
        <v>0.13</v>
      </c>
      <c r="W63" s="234">
        <f t="shared" si="10"/>
        <v>0.13</v>
      </c>
      <c r="X63" s="233">
        <f t="shared" si="11"/>
        <v>0</v>
      </c>
      <c r="Y63" s="233">
        <f t="shared" si="12"/>
        <v>0.44137799999999999</v>
      </c>
      <c r="Z63" s="233">
        <f t="shared" si="13"/>
        <v>0.45</v>
      </c>
      <c r="AA63" s="232">
        <f>+Table1[[#This Row],[calculated sale price]]</f>
        <v>0.45</v>
      </c>
      <c r="AB63" s="231"/>
      <c r="AC63" s="230"/>
      <c r="AD63" s="229"/>
      <c r="AE63" s="229" t="e">
        <f>[5]!Table1[[#This Row],[cost per quantity]]*(1+'[5]P&amp;L'!$P$8)</f>
        <v>#REF!</v>
      </c>
      <c r="AF63" s="229" t="e">
        <f>$AF$8*[5]!Table1[[#This Row],[man minutes]]*(1+'[5]P&amp;L'!$P$9)</f>
        <v>#REF!</v>
      </c>
      <c r="AG63" s="238">
        <f>Table1[[#This Row],[cost per quantity]]*1.18</f>
        <v>0</v>
      </c>
      <c r="AH63" s="238">
        <f>$AF$8*Table1[[#This Row],[man minutes]]*1.18</f>
        <v>0.43895999999999996</v>
      </c>
      <c r="AI63" s="229" t="e">
        <f>Table1[[#This Row],[Food cost w/ MU]]+Table1[[#This Row],[labor cost W/ MU]]</f>
        <v>#REF!</v>
      </c>
      <c r="AJ63" s="228"/>
    </row>
    <row r="64" spans="1:36" x14ac:dyDescent="0.25">
      <c r="A64" s="219">
        <v>10055</v>
      </c>
      <c r="B64" s="215" t="s">
        <v>478</v>
      </c>
      <c r="C64" s="219">
        <v>1</v>
      </c>
      <c r="I64" s="219"/>
      <c r="J64" s="219"/>
      <c r="K64" s="219"/>
      <c r="L64" s="223"/>
      <c r="M64" s="219"/>
      <c r="N64" s="227"/>
      <c r="O64" s="226">
        <v>0.42359999999999998</v>
      </c>
      <c r="P64" s="226">
        <f>Table1[[#This Row],[unit cost]]*1.065</f>
        <v>0.45113399999999998</v>
      </c>
      <c r="Q64" s="224">
        <v>1</v>
      </c>
      <c r="R64" s="219">
        <v>1</v>
      </c>
      <c r="S64" s="235">
        <f t="shared" si="7"/>
        <v>0.42</v>
      </c>
      <c r="T64" s="233">
        <f>Table1[[#This Row],[man minutes]]*Table1[[#This Row],[labor rate]]</f>
        <v>0.42</v>
      </c>
      <c r="U64" s="233">
        <f t="shared" si="8"/>
        <v>0.87113399999999996</v>
      </c>
      <c r="V64" s="218">
        <f t="shared" si="9"/>
        <v>0.13</v>
      </c>
      <c r="W64" s="234">
        <f t="shared" si="10"/>
        <v>0.13</v>
      </c>
      <c r="X64" s="233">
        <f t="shared" si="11"/>
        <v>0.50978141999999993</v>
      </c>
      <c r="Y64" s="233">
        <f t="shared" si="12"/>
        <v>0.47459999999999997</v>
      </c>
      <c r="Z64" s="233">
        <f t="shared" si="13"/>
        <v>0.99</v>
      </c>
      <c r="AA64" s="232">
        <f>+Table1[[#This Row],[calculated sale price]]</f>
        <v>0.99</v>
      </c>
      <c r="AB64" s="231"/>
      <c r="AC64" s="230"/>
      <c r="AD64" s="229"/>
      <c r="AE64" s="229" t="e">
        <f>[5]!Table1[[#This Row],[cost per quantity]]*(1+'[5]P&amp;L'!$P$8)</f>
        <v>#REF!</v>
      </c>
      <c r="AF64" s="229" t="e">
        <f>$AF$8*[5]!Table1[[#This Row],[man minutes]]*(1+'[5]P&amp;L'!$P$9)</f>
        <v>#REF!</v>
      </c>
      <c r="AG64" s="238">
        <f>Table1[[#This Row],[cost per quantity]]*1.18</f>
        <v>0.53233811999999991</v>
      </c>
      <c r="AH64" s="238">
        <f>$AF$8*Table1[[#This Row],[man minutes]]*1.18</f>
        <v>0.47199999999999992</v>
      </c>
      <c r="AI64" s="229" t="e">
        <f>Table1[[#This Row],[Food cost w/ MU]]+Table1[[#This Row],[labor cost W/ MU]]</f>
        <v>#REF!</v>
      </c>
      <c r="AJ64" s="228"/>
    </row>
    <row r="65" spans="1:36" x14ac:dyDescent="0.25">
      <c r="A65" s="219">
        <v>10056</v>
      </c>
      <c r="B65" s="215" t="s">
        <v>477</v>
      </c>
      <c r="C65" s="219">
        <v>1</v>
      </c>
      <c r="I65" s="219"/>
      <c r="J65" s="219"/>
      <c r="K65" s="219"/>
      <c r="L65" s="223"/>
      <c r="M65" s="219"/>
      <c r="N65" s="227"/>
      <c r="O65" s="226">
        <v>0.41320000000000001</v>
      </c>
      <c r="P65" s="226">
        <f>Table1[[#This Row],[unit cost]]*1.065</f>
        <v>0.440058</v>
      </c>
      <c r="Q65" s="224">
        <v>1</v>
      </c>
      <c r="R65" s="219">
        <v>1</v>
      </c>
      <c r="S65" s="235">
        <f t="shared" si="7"/>
        <v>0.42</v>
      </c>
      <c r="T65" s="233">
        <f>Table1[[#This Row],[man minutes]]*Table1[[#This Row],[labor rate]]</f>
        <v>0.42</v>
      </c>
      <c r="U65" s="233">
        <f t="shared" si="8"/>
        <v>0.86005799999999999</v>
      </c>
      <c r="V65" s="218">
        <f t="shared" si="9"/>
        <v>0.13</v>
      </c>
      <c r="W65" s="234">
        <f t="shared" si="10"/>
        <v>0.13</v>
      </c>
      <c r="X65" s="233">
        <f t="shared" si="11"/>
        <v>0.49726553999999995</v>
      </c>
      <c r="Y65" s="233">
        <f t="shared" si="12"/>
        <v>0.47459999999999997</v>
      </c>
      <c r="Z65" s="233">
        <f t="shared" si="13"/>
        <v>0.98</v>
      </c>
      <c r="AA65" s="232">
        <f>+Table1[[#This Row],[calculated sale price]]</f>
        <v>0.98</v>
      </c>
      <c r="AB65" s="231"/>
      <c r="AC65" s="230"/>
      <c r="AD65" s="229"/>
      <c r="AE65" s="229" t="e">
        <f>[5]!Table1[[#This Row],[cost per quantity]]*(1+'[5]P&amp;L'!$P$8)</f>
        <v>#REF!</v>
      </c>
      <c r="AF65" s="229" t="e">
        <f>$AF$8*[5]!Table1[[#This Row],[man minutes]]*(1+'[5]P&amp;L'!$P$9)</f>
        <v>#REF!</v>
      </c>
      <c r="AG65" s="238">
        <f>Table1[[#This Row],[cost per quantity]]*1.18</f>
        <v>0.51926843999999994</v>
      </c>
      <c r="AH65" s="238">
        <f>$AF$8*Table1[[#This Row],[man minutes]]*1.18</f>
        <v>0.47199999999999992</v>
      </c>
      <c r="AI65" s="229" t="e">
        <f>Table1[[#This Row],[Food cost w/ MU]]+Table1[[#This Row],[labor cost W/ MU]]</f>
        <v>#REF!</v>
      </c>
      <c r="AJ65" s="228"/>
    </row>
    <row r="66" spans="1:36" x14ac:dyDescent="0.25">
      <c r="A66" s="219">
        <v>10057</v>
      </c>
      <c r="B66" s="215" t="s">
        <v>476</v>
      </c>
      <c r="C66" s="219">
        <v>1</v>
      </c>
      <c r="I66" s="219"/>
      <c r="J66" s="219"/>
      <c r="K66" s="219"/>
      <c r="L66" s="223"/>
      <c r="M66" s="219"/>
      <c r="N66" s="227"/>
      <c r="O66" s="226">
        <v>1.9219577999999999</v>
      </c>
      <c r="P66" s="226">
        <f>Table1[[#This Row],[unit cost]]*1.065</f>
        <v>2.0468850569999999</v>
      </c>
      <c r="Q66" s="224">
        <v>6.5</v>
      </c>
      <c r="R66" s="219">
        <v>1</v>
      </c>
      <c r="S66" s="235">
        <f t="shared" si="7"/>
        <v>0.42</v>
      </c>
      <c r="T66" s="233">
        <f>Table1[[#This Row],[man minutes]]*Table1[[#This Row],[labor rate]]</f>
        <v>2.73</v>
      </c>
      <c r="U66" s="233">
        <f t="shared" si="8"/>
        <v>4.7768850569999994</v>
      </c>
      <c r="V66" s="218">
        <f t="shared" si="9"/>
        <v>0.13</v>
      </c>
      <c r="W66" s="234">
        <f t="shared" si="10"/>
        <v>0.13</v>
      </c>
      <c r="X66" s="233">
        <f t="shared" si="11"/>
        <v>2.3129801144099997</v>
      </c>
      <c r="Y66" s="233">
        <f t="shared" si="12"/>
        <v>3.0849000000000002</v>
      </c>
      <c r="Z66" s="233">
        <f t="shared" si="13"/>
        <v>5.3999999999999995</v>
      </c>
      <c r="AA66" s="232">
        <f>+Table1[[#This Row],[calculated sale price]]</f>
        <v>5.3999999999999995</v>
      </c>
      <c r="AB66" s="231"/>
      <c r="AC66" s="230"/>
      <c r="AD66" s="229"/>
      <c r="AE66" s="229" t="e">
        <f>[5]!Table1[[#This Row],[cost per quantity]]*(1+'[5]P&amp;L'!$P$8)</f>
        <v>#REF!</v>
      </c>
      <c r="AF66" s="229" t="e">
        <f>$AF$8*[5]!Table1[[#This Row],[man minutes]]*(1+'[5]P&amp;L'!$P$9)</f>
        <v>#REF!</v>
      </c>
      <c r="AG66" s="229"/>
      <c r="AH66" s="229"/>
      <c r="AI66" s="229" t="e">
        <f>Table1[[#This Row],[Food cost w/ MU]]+Table1[[#This Row],[labor cost W/ MU]]</f>
        <v>#REF!</v>
      </c>
      <c r="AJ66" s="228"/>
    </row>
    <row r="67" spans="1:36" x14ac:dyDescent="0.25">
      <c r="A67" s="219">
        <v>10058</v>
      </c>
      <c r="B67" s="215" t="s">
        <v>475</v>
      </c>
      <c r="C67" s="219">
        <v>1</v>
      </c>
      <c r="I67" s="219"/>
      <c r="J67" s="219"/>
      <c r="K67" s="219"/>
      <c r="L67" s="223"/>
      <c r="M67" s="219"/>
      <c r="N67" s="227"/>
      <c r="O67" s="226">
        <f>0.9296+0.6</f>
        <v>1.5295999999999998</v>
      </c>
      <c r="P67" s="226">
        <f>Table1[[#This Row],[unit cost]]*1.065</f>
        <v>1.6290239999999998</v>
      </c>
      <c r="Q67" s="224">
        <v>5</v>
      </c>
      <c r="R67" s="219">
        <v>1</v>
      </c>
      <c r="S67" s="235">
        <f t="shared" si="7"/>
        <v>0.42</v>
      </c>
      <c r="T67" s="233">
        <f>Table1[[#This Row],[man minutes]]*Table1[[#This Row],[labor rate]]</f>
        <v>2.1</v>
      </c>
      <c r="U67" s="233">
        <f t="shared" si="8"/>
        <v>3.7290239999999999</v>
      </c>
      <c r="V67" s="218">
        <f t="shared" si="9"/>
        <v>0.13</v>
      </c>
      <c r="W67" s="234">
        <f t="shared" si="10"/>
        <v>0.13</v>
      </c>
      <c r="X67" s="233">
        <f t="shared" si="11"/>
        <v>1.8407971199999995</v>
      </c>
      <c r="Y67" s="233">
        <f t="shared" si="12"/>
        <v>2.3730000000000002</v>
      </c>
      <c r="Z67" s="233">
        <f t="shared" si="13"/>
        <v>4.22</v>
      </c>
      <c r="AA67" s="232">
        <f>+Table1[[#This Row],[calculated sale price]]</f>
        <v>4.22</v>
      </c>
      <c r="AB67" s="231"/>
      <c r="AC67" s="230"/>
      <c r="AD67" s="229"/>
      <c r="AE67" s="229" t="e">
        <f>[5]!Table1[[#This Row],[cost per quantity]]*(1+'[5]P&amp;L'!$P$8)</f>
        <v>#REF!</v>
      </c>
      <c r="AF67" s="229" t="e">
        <f>$AF$8*[5]!Table1[[#This Row],[man minutes]]*(1+'[5]P&amp;L'!$P$9)</f>
        <v>#REF!</v>
      </c>
      <c r="AG67" s="238">
        <f>Table1[[#This Row],[cost per quantity]]*1.18</f>
        <v>1.9222483199999996</v>
      </c>
      <c r="AH67" s="238">
        <f>$AF$8*Table1[[#This Row],[man minutes]]*1.18</f>
        <v>2.3599999999999994</v>
      </c>
      <c r="AI67" s="229" t="e">
        <f>Table1[[#This Row],[Food cost w/ MU]]+Table1[[#This Row],[labor cost W/ MU]]</f>
        <v>#REF!</v>
      </c>
      <c r="AJ67" s="228"/>
    </row>
    <row r="68" spans="1:36" x14ac:dyDescent="0.25">
      <c r="A68" s="219">
        <v>10059</v>
      </c>
      <c r="B68" s="215" t="s">
        <v>474</v>
      </c>
      <c r="C68" s="219">
        <v>1</v>
      </c>
      <c r="I68" s="219"/>
      <c r="J68" s="219"/>
      <c r="K68" s="219"/>
      <c r="L68" s="223"/>
      <c r="M68" s="219"/>
      <c r="N68" s="227"/>
      <c r="O68" s="226">
        <v>0.55330000000000001</v>
      </c>
      <c r="P68" s="226">
        <f>Table1[[#This Row],[unit cost]]*1.065</f>
        <v>0.58926449999999997</v>
      </c>
      <c r="Q68" s="224">
        <v>1</v>
      </c>
      <c r="R68" s="219">
        <v>1</v>
      </c>
      <c r="S68" s="235">
        <f t="shared" si="7"/>
        <v>0.42</v>
      </c>
      <c r="T68" s="233">
        <f>Table1[[#This Row],[man minutes]]*Table1[[#This Row],[labor rate]]</f>
        <v>0.42</v>
      </c>
      <c r="U68" s="233">
        <f t="shared" si="8"/>
        <v>1.0092645</v>
      </c>
      <c r="V68" s="218">
        <f t="shared" si="9"/>
        <v>0.13</v>
      </c>
      <c r="W68" s="234">
        <f t="shared" si="10"/>
        <v>0.13</v>
      </c>
      <c r="X68" s="233">
        <f t="shared" si="11"/>
        <v>0.66586888499999985</v>
      </c>
      <c r="Y68" s="233">
        <f t="shared" si="12"/>
        <v>0.47459999999999997</v>
      </c>
      <c r="Z68" s="233">
        <f t="shared" si="13"/>
        <v>1.1499999999999999</v>
      </c>
      <c r="AA68" s="232">
        <f>+Table1[[#This Row],[calculated sale price]]</f>
        <v>1.1499999999999999</v>
      </c>
      <c r="AB68" s="231"/>
      <c r="AC68" s="230"/>
      <c r="AD68" s="229"/>
      <c r="AE68" s="229" t="e">
        <f>[5]!Table1[[#This Row],[cost per quantity]]*(1+'[5]P&amp;L'!$P$8)</f>
        <v>#REF!</v>
      </c>
      <c r="AF68" s="229" t="e">
        <f>$AF$8*[5]!Table1[[#This Row],[man minutes]]*(1+'[5]P&amp;L'!$P$9)</f>
        <v>#REF!</v>
      </c>
      <c r="AG68" s="238">
        <f>Table1[[#This Row],[cost per quantity]]*1.18</f>
        <v>0.69533210999999995</v>
      </c>
      <c r="AH68" s="238">
        <f>$AF$8*Table1[[#This Row],[man minutes]]*1.18</f>
        <v>0.47199999999999992</v>
      </c>
      <c r="AI68" s="229" t="e">
        <f>Table1[[#This Row],[Food cost w/ MU]]+Table1[[#This Row],[labor cost W/ MU]]</f>
        <v>#REF!</v>
      </c>
      <c r="AJ68" s="228"/>
    </row>
    <row r="69" spans="1:36" x14ac:dyDescent="0.25">
      <c r="A69" s="219">
        <v>10060</v>
      </c>
      <c r="B69" s="215" t="s">
        <v>473</v>
      </c>
      <c r="C69" s="219">
        <v>1</v>
      </c>
      <c r="I69" s="219"/>
      <c r="J69" s="219"/>
      <c r="K69" s="219"/>
      <c r="L69" s="223"/>
      <c r="M69" s="219"/>
      <c r="N69" s="227"/>
      <c r="O69" s="226">
        <v>0.39500000000000002</v>
      </c>
      <c r="P69" s="226">
        <f>Table1[[#This Row],[unit cost]]*1.065</f>
        <v>0.42067500000000002</v>
      </c>
      <c r="Q69" s="224">
        <v>1</v>
      </c>
      <c r="R69" s="219">
        <v>1</v>
      </c>
      <c r="S69" s="235">
        <f t="shared" si="7"/>
        <v>0.42</v>
      </c>
      <c r="T69" s="233">
        <f>Table1[[#This Row],[man minutes]]*Table1[[#This Row],[labor rate]]</f>
        <v>0.42</v>
      </c>
      <c r="U69" s="233">
        <f t="shared" si="8"/>
        <v>0.84067500000000006</v>
      </c>
      <c r="V69" s="218">
        <f t="shared" si="9"/>
        <v>0.13</v>
      </c>
      <c r="W69" s="234">
        <f t="shared" si="10"/>
        <v>0.13</v>
      </c>
      <c r="X69" s="233">
        <f t="shared" si="11"/>
        <v>0.47536275</v>
      </c>
      <c r="Y69" s="233">
        <f t="shared" si="12"/>
        <v>0.47459999999999997</v>
      </c>
      <c r="Z69" s="233">
        <f t="shared" si="13"/>
        <v>0.95</v>
      </c>
      <c r="AA69" s="232">
        <f>+Table1[[#This Row],[calculated sale price]]</f>
        <v>0.95</v>
      </c>
      <c r="AB69" s="231"/>
      <c r="AC69" s="230"/>
      <c r="AD69" s="229"/>
      <c r="AE69" s="229" t="e">
        <f>[5]!Table1[[#This Row],[cost per quantity]]*(1+'[5]P&amp;L'!$P$8)</f>
        <v>#REF!</v>
      </c>
      <c r="AF69" s="229" t="e">
        <f>$AF$8*[5]!Table1[[#This Row],[man minutes]]*(1+'[5]P&amp;L'!$P$9)</f>
        <v>#REF!</v>
      </c>
      <c r="AG69" s="238">
        <f>Table1[[#This Row],[cost per quantity]]*1.18</f>
        <v>0.49639650000000002</v>
      </c>
      <c r="AH69" s="238">
        <f>$AF$8*Table1[[#This Row],[man minutes]]*1.18</f>
        <v>0.47199999999999992</v>
      </c>
      <c r="AI69" s="229" t="e">
        <f>Table1[[#This Row],[Food cost w/ MU]]+Table1[[#This Row],[labor cost W/ MU]]</f>
        <v>#REF!</v>
      </c>
      <c r="AJ69" s="228"/>
    </row>
    <row r="70" spans="1:36" x14ac:dyDescent="0.25">
      <c r="A70" s="219">
        <v>10061</v>
      </c>
      <c r="B70" s="215" t="s">
        <v>472</v>
      </c>
      <c r="C70" s="219">
        <v>1</v>
      </c>
      <c r="I70" s="219"/>
      <c r="J70" s="219"/>
      <c r="K70" s="219"/>
      <c r="L70" s="223"/>
      <c r="M70" s="219"/>
      <c r="N70" s="227"/>
      <c r="O70" s="226">
        <v>0.15</v>
      </c>
      <c r="P70" s="226">
        <f>Table1[[#This Row],[unit cost]]*1.065</f>
        <v>0.15974999999999998</v>
      </c>
      <c r="Q70" s="224">
        <v>0.2</v>
      </c>
      <c r="R70" s="219">
        <v>1</v>
      </c>
      <c r="S70" s="235">
        <f t="shared" si="7"/>
        <v>0.42</v>
      </c>
      <c r="T70" s="233">
        <f>Table1[[#This Row],[man minutes]]*Table1[[#This Row],[labor rate]]</f>
        <v>8.4000000000000005E-2</v>
      </c>
      <c r="U70" s="233">
        <f t="shared" si="8"/>
        <v>0.24374999999999997</v>
      </c>
      <c r="V70" s="218">
        <f t="shared" si="9"/>
        <v>0.13</v>
      </c>
      <c r="W70" s="234">
        <f t="shared" si="10"/>
        <v>0.13</v>
      </c>
      <c r="X70" s="233">
        <f t="shared" si="11"/>
        <v>0.18051749999999994</v>
      </c>
      <c r="Y70" s="233">
        <f t="shared" si="12"/>
        <v>9.4920000000000004E-2</v>
      </c>
      <c r="Z70" s="233">
        <f t="shared" si="13"/>
        <v>0.28000000000000003</v>
      </c>
      <c r="AA70" s="232">
        <f>+Table1[[#This Row],[calculated sale price]]</f>
        <v>0.28000000000000003</v>
      </c>
      <c r="AB70" s="231"/>
      <c r="AC70" s="230"/>
      <c r="AD70" s="229"/>
      <c r="AE70" s="229" t="e">
        <f>[5]!Table1[[#This Row],[cost per quantity]]*(1+'[5]P&amp;L'!$P$8)</f>
        <v>#REF!</v>
      </c>
      <c r="AF70" s="229" t="e">
        <f>$AF$8*[5]!Table1[[#This Row],[man minutes]]*(1+'[5]P&amp;L'!$P$9)</f>
        <v>#REF!</v>
      </c>
      <c r="AG70" s="238">
        <f>Table1[[#This Row],[cost per quantity]]*1.18</f>
        <v>0.18850499999999995</v>
      </c>
      <c r="AH70" s="238">
        <f>$AF$8*Table1[[#This Row],[man minutes]]*1.18</f>
        <v>9.4399999999999998E-2</v>
      </c>
      <c r="AI70" s="229" t="e">
        <f>Table1[[#This Row],[Food cost w/ MU]]+Table1[[#This Row],[labor cost W/ MU]]</f>
        <v>#REF!</v>
      </c>
      <c r="AJ70" s="228"/>
    </row>
    <row r="71" spans="1:36" x14ac:dyDescent="0.25">
      <c r="A71" s="219">
        <v>10062</v>
      </c>
      <c r="B71" s="215" t="s">
        <v>471</v>
      </c>
      <c r="C71" s="219">
        <v>1</v>
      </c>
      <c r="I71" s="219"/>
      <c r="J71" s="219"/>
      <c r="K71" s="219"/>
      <c r="L71" s="223"/>
      <c r="M71" s="219"/>
      <c r="N71" s="227"/>
      <c r="O71" s="226">
        <v>0.15</v>
      </c>
      <c r="P71" s="226">
        <f>Table1[[#This Row],[unit cost]]*1.065</f>
        <v>0.15974999999999998</v>
      </c>
      <c r="Q71" s="224">
        <v>0.2</v>
      </c>
      <c r="R71" s="219">
        <v>1</v>
      </c>
      <c r="S71" s="235">
        <f t="shared" si="7"/>
        <v>0.42</v>
      </c>
      <c r="T71" s="233">
        <f>Table1[[#This Row],[man minutes]]*Table1[[#This Row],[labor rate]]</f>
        <v>8.4000000000000005E-2</v>
      </c>
      <c r="U71" s="233">
        <f t="shared" si="8"/>
        <v>0.24374999999999997</v>
      </c>
      <c r="V71" s="218">
        <f t="shared" si="9"/>
        <v>0.13</v>
      </c>
      <c r="W71" s="234">
        <f t="shared" si="10"/>
        <v>0.13</v>
      </c>
      <c r="X71" s="233">
        <f t="shared" si="11"/>
        <v>0.18051749999999994</v>
      </c>
      <c r="Y71" s="233">
        <f t="shared" si="12"/>
        <v>9.4920000000000004E-2</v>
      </c>
      <c r="Z71" s="233">
        <f t="shared" si="13"/>
        <v>0.28000000000000003</v>
      </c>
      <c r="AA71" s="232">
        <f>+Table1[[#This Row],[calculated sale price]]</f>
        <v>0.28000000000000003</v>
      </c>
      <c r="AB71" s="231"/>
      <c r="AC71" s="230"/>
      <c r="AD71" s="229"/>
      <c r="AE71" s="229" t="e">
        <f>[5]!Table1[[#This Row],[cost per quantity]]*(1+'[5]P&amp;L'!$P$8)</f>
        <v>#REF!</v>
      </c>
      <c r="AF71" s="229" t="e">
        <f>$AF$8*[5]!Table1[[#This Row],[man minutes]]*(1+'[5]P&amp;L'!$P$9)</f>
        <v>#REF!</v>
      </c>
      <c r="AG71" s="238">
        <f>Table1[[#This Row],[cost per quantity]]*1.18</f>
        <v>0.18850499999999995</v>
      </c>
      <c r="AH71" s="238">
        <f>$AF$8*Table1[[#This Row],[man minutes]]*1.18</f>
        <v>9.4399999999999998E-2</v>
      </c>
      <c r="AI71" s="229" t="e">
        <f>Table1[[#This Row],[Food cost w/ MU]]+Table1[[#This Row],[labor cost W/ MU]]</f>
        <v>#REF!</v>
      </c>
      <c r="AJ71" s="228"/>
    </row>
    <row r="72" spans="1:36" x14ac:dyDescent="0.25">
      <c r="A72" s="219">
        <v>10063</v>
      </c>
      <c r="B72" s="215" t="s">
        <v>470</v>
      </c>
      <c r="C72" s="219">
        <v>1</v>
      </c>
      <c r="I72" s="219"/>
      <c r="J72" s="219"/>
      <c r="K72" s="219"/>
      <c r="L72" s="223"/>
      <c r="M72" s="219"/>
      <c r="N72" s="227"/>
      <c r="O72" s="226">
        <v>0.4</v>
      </c>
      <c r="P72" s="226">
        <f>Table1[[#This Row],[unit cost]]*1.065</f>
        <v>0.42599999999999999</v>
      </c>
      <c r="Q72" s="224">
        <v>0.2</v>
      </c>
      <c r="R72" s="219">
        <v>1</v>
      </c>
      <c r="S72" s="235">
        <f t="shared" si="7"/>
        <v>0.42</v>
      </c>
      <c r="T72" s="233">
        <f>Table1[[#This Row],[man minutes]]*Table1[[#This Row],[labor rate]]</f>
        <v>8.4000000000000005E-2</v>
      </c>
      <c r="U72" s="233">
        <f t="shared" si="8"/>
        <v>0.51</v>
      </c>
      <c r="V72" s="218">
        <f t="shared" si="9"/>
        <v>0.13</v>
      </c>
      <c r="W72" s="234">
        <f t="shared" si="10"/>
        <v>0.13</v>
      </c>
      <c r="X72" s="233">
        <f t="shared" si="11"/>
        <v>0.48137999999999992</v>
      </c>
      <c r="Y72" s="233">
        <f t="shared" si="12"/>
        <v>9.4920000000000004E-2</v>
      </c>
      <c r="Z72" s="233">
        <f t="shared" si="13"/>
        <v>0.57999999999999996</v>
      </c>
      <c r="AA72" s="232">
        <f>+Table1[[#This Row],[calculated sale price]]</f>
        <v>0.57999999999999996</v>
      </c>
      <c r="AB72" s="231"/>
      <c r="AC72" s="230"/>
      <c r="AD72" s="229"/>
      <c r="AE72" s="229" t="e">
        <f>[5]!Table1[[#This Row],[cost per quantity]]*(1+'[5]P&amp;L'!$P$8)</f>
        <v>#REF!</v>
      </c>
      <c r="AF72" s="229" t="e">
        <f>$AF$8*[5]!Table1[[#This Row],[man minutes]]*(1+'[5]P&amp;L'!$P$9)</f>
        <v>#REF!</v>
      </c>
      <c r="AG72" s="238">
        <f>Table1[[#This Row],[cost per quantity]]*1.18</f>
        <v>0.50268000000000002</v>
      </c>
      <c r="AH72" s="238">
        <f>$AF$8*Table1[[#This Row],[man minutes]]*1.18</f>
        <v>9.4399999999999998E-2</v>
      </c>
      <c r="AI72" s="229" t="e">
        <f>Table1[[#This Row],[Food cost w/ MU]]+Table1[[#This Row],[labor cost W/ MU]]</f>
        <v>#REF!</v>
      </c>
      <c r="AJ72" s="228"/>
    </row>
    <row r="73" spans="1:36" x14ac:dyDescent="0.25">
      <c r="A73" s="219">
        <v>10064</v>
      </c>
      <c r="B73" s="215" t="s">
        <v>469</v>
      </c>
      <c r="C73" s="219">
        <v>1</v>
      </c>
      <c r="I73" s="219"/>
      <c r="J73" s="219"/>
      <c r="K73" s="219"/>
      <c r="L73" s="223"/>
      <c r="M73" s="219"/>
      <c r="N73" s="227"/>
      <c r="O73" s="226">
        <v>0.4</v>
      </c>
      <c r="P73" s="226">
        <f>Table1[[#This Row],[unit cost]]*1.065</f>
        <v>0.42599999999999999</v>
      </c>
      <c r="Q73" s="224">
        <v>0.2</v>
      </c>
      <c r="R73" s="219">
        <v>1</v>
      </c>
      <c r="S73" s="235">
        <f t="shared" si="7"/>
        <v>0.42</v>
      </c>
      <c r="T73" s="233">
        <f>Table1[[#This Row],[man minutes]]*Table1[[#This Row],[labor rate]]</f>
        <v>8.4000000000000005E-2</v>
      </c>
      <c r="U73" s="233">
        <f t="shared" si="8"/>
        <v>0.51</v>
      </c>
      <c r="V73" s="218">
        <f t="shared" si="9"/>
        <v>0.13</v>
      </c>
      <c r="W73" s="234">
        <f t="shared" si="10"/>
        <v>0.13</v>
      </c>
      <c r="X73" s="233">
        <f t="shared" si="11"/>
        <v>0.48137999999999992</v>
      </c>
      <c r="Y73" s="233">
        <f t="shared" si="12"/>
        <v>9.4920000000000004E-2</v>
      </c>
      <c r="Z73" s="233">
        <f t="shared" si="13"/>
        <v>0.57999999999999996</v>
      </c>
      <c r="AA73" s="232">
        <f>+Table1[[#This Row],[calculated sale price]]</f>
        <v>0.57999999999999996</v>
      </c>
      <c r="AB73" s="231"/>
      <c r="AC73" s="230"/>
      <c r="AD73" s="229"/>
      <c r="AE73" s="229" t="e">
        <f>[5]!Table1[[#This Row],[cost per quantity]]*(1+'[5]P&amp;L'!$P$8)</f>
        <v>#REF!</v>
      </c>
      <c r="AF73" s="229" t="e">
        <f>$AF$8*[5]!Table1[[#This Row],[man minutes]]*(1+'[5]P&amp;L'!$P$9)</f>
        <v>#REF!</v>
      </c>
      <c r="AG73" s="238">
        <f>Table1[[#This Row],[cost per quantity]]*1.18</f>
        <v>0.50268000000000002</v>
      </c>
      <c r="AH73" s="238">
        <f>$AF$8*Table1[[#This Row],[man minutes]]*1.18</f>
        <v>9.4399999999999998E-2</v>
      </c>
      <c r="AI73" s="229" t="e">
        <f>Table1[[#This Row],[Food cost w/ MU]]+Table1[[#This Row],[labor cost W/ MU]]</f>
        <v>#REF!</v>
      </c>
      <c r="AJ73" s="228"/>
    </row>
    <row r="74" spans="1:36" x14ac:dyDescent="0.25">
      <c r="A74" s="219">
        <v>10065</v>
      </c>
      <c r="B74" s="215" t="s">
        <v>468</v>
      </c>
      <c r="C74" s="219">
        <v>1</v>
      </c>
      <c r="I74" s="219"/>
      <c r="J74" s="219"/>
      <c r="K74" s="219"/>
      <c r="L74" s="223"/>
      <c r="M74" s="219"/>
      <c r="N74" s="227"/>
      <c r="O74" s="226">
        <v>0</v>
      </c>
      <c r="P74" s="226">
        <f>Table1[[#This Row],[unit cost]]*1.065</f>
        <v>0</v>
      </c>
      <c r="Q74" s="224">
        <v>1</v>
      </c>
      <c r="R74" s="219">
        <v>1</v>
      </c>
      <c r="S74" s="235">
        <f t="shared" ref="S74:S105" si="14">$S$2</f>
        <v>0.42</v>
      </c>
      <c r="T74" s="233">
        <f>Table1[[#This Row],[man minutes]]*Table1[[#This Row],[labor rate]]</f>
        <v>0.42</v>
      </c>
      <c r="U74" s="233">
        <f t="shared" ref="U74:U105" si="15">P74+T74</f>
        <v>0.42</v>
      </c>
      <c r="V74" s="218">
        <f t="shared" ref="V74:V105" si="16">$V$2</f>
        <v>0.13</v>
      </c>
      <c r="W74" s="234">
        <f t="shared" ref="W74:W105" si="17">$W$2</f>
        <v>0.13</v>
      </c>
      <c r="X74" s="233">
        <f t="shared" ref="X74:X105" si="18">P74*(1+V74)</f>
        <v>0</v>
      </c>
      <c r="Y74" s="233">
        <f t="shared" ref="Y74:Y105" si="19">T74+(T74*W74)</f>
        <v>0.47459999999999997</v>
      </c>
      <c r="Z74" s="233">
        <f t="shared" ref="Z74:Z105" si="20">IFERROR(ROUNDUP(X74+Y74,2)," ")</f>
        <v>0.48</v>
      </c>
      <c r="AA74" s="232">
        <f>+Table1[[#This Row],[calculated sale price]]</f>
        <v>0.48</v>
      </c>
      <c r="AB74" s="231"/>
      <c r="AC74" s="230"/>
      <c r="AD74" s="229"/>
      <c r="AE74" s="229" t="e">
        <f>[5]!Table1[[#This Row],[cost per quantity]]*(1+'[5]P&amp;L'!$P$8)</f>
        <v>#REF!</v>
      </c>
      <c r="AF74" s="229" t="e">
        <f>$AF$8*[5]!Table1[[#This Row],[man minutes]]*(1+'[5]P&amp;L'!$P$9)</f>
        <v>#REF!</v>
      </c>
      <c r="AG74" s="238">
        <f>Table1[[#This Row],[cost per quantity]]*1.18</f>
        <v>0</v>
      </c>
      <c r="AH74" s="238">
        <f>$AF$8*Table1[[#This Row],[man minutes]]*1.18</f>
        <v>0.47199999999999992</v>
      </c>
      <c r="AI74" s="229" t="e">
        <f>Table1[[#This Row],[Food cost w/ MU]]+Table1[[#This Row],[labor cost W/ MU]]</f>
        <v>#REF!</v>
      </c>
      <c r="AJ74" s="228"/>
    </row>
    <row r="75" spans="1:36" x14ac:dyDescent="0.25">
      <c r="A75" s="219">
        <v>10066</v>
      </c>
      <c r="B75" s="215" t="s">
        <v>467</v>
      </c>
      <c r="C75" s="219">
        <v>1</v>
      </c>
      <c r="I75" s="219"/>
      <c r="J75" s="219"/>
      <c r="K75" s="219"/>
      <c r="L75" s="223"/>
      <c r="M75" s="219"/>
      <c r="N75" s="227"/>
      <c r="O75" s="226">
        <v>0.82250000000000001</v>
      </c>
      <c r="P75" s="226">
        <f>Table1[[#This Row],[unit cost]]*1.065</f>
        <v>0.87596249999999998</v>
      </c>
      <c r="Q75" s="224">
        <v>1.75</v>
      </c>
      <c r="R75" s="219">
        <v>1</v>
      </c>
      <c r="S75" s="235">
        <f t="shared" si="14"/>
        <v>0.42</v>
      </c>
      <c r="T75" s="233">
        <f>Table1[[#This Row],[man minutes]]*Table1[[#This Row],[labor rate]]</f>
        <v>0.73499999999999999</v>
      </c>
      <c r="U75" s="233">
        <f t="shared" si="15"/>
        <v>1.6109624999999999</v>
      </c>
      <c r="V75" s="218">
        <f t="shared" si="16"/>
        <v>0.13</v>
      </c>
      <c r="W75" s="234">
        <f t="shared" si="17"/>
        <v>0.13</v>
      </c>
      <c r="X75" s="233">
        <f t="shared" si="18"/>
        <v>0.98983762499999983</v>
      </c>
      <c r="Y75" s="233">
        <f t="shared" si="19"/>
        <v>0.83055000000000001</v>
      </c>
      <c r="Z75" s="233">
        <f t="shared" si="20"/>
        <v>1.83</v>
      </c>
      <c r="AA75" s="232">
        <f>+Table1[[#This Row],[calculated sale price]]</f>
        <v>1.83</v>
      </c>
      <c r="AB75" s="231"/>
      <c r="AC75" s="230"/>
      <c r="AD75" s="229"/>
      <c r="AE75" s="229" t="e">
        <f>[5]!Table1[[#This Row],[cost per quantity]]*(1+'[5]P&amp;L'!$P$8)</f>
        <v>#REF!</v>
      </c>
      <c r="AF75" s="229" t="e">
        <f>$AF$8*[5]!Table1[[#This Row],[man minutes]]*(1+'[5]P&amp;L'!$P$9)</f>
        <v>#REF!</v>
      </c>
      <c r="AG75" s="238">
        <f>Table1[[#This Row],[cost per quantity]]*1.18</f>
        <v>1.03363575</v>
      </c>
      <c r="AH75" s="238">
        <f>$AF$8*Table1[[#This Row],[man minutes]]*1.18</f>
        <v>0.82599999999999996</v>
      </c>
      <c r="AI75" s="229" t="e">
        <f>Table1[[#This Row],[Food cost w/ MU]]+Table1[[#This Row],[labor cost W/ MU]]</f>
        <v>#REF!</v>
      </c>
      <c r="AJ75" s="228"/>
    </row>
    <row r="76" spans="1:36" x14ac:dyDescent="0.25">
      <c r="A76" s="219">
        <v>10067</v>
      </c>
      <c r="B76" s="215" t="s">
        <v>466</v>
      </c>
      <c r="C76" s="219">
        <v>1</v>
      </c>
      <c r="I76" s="219"/>
      <c r="J76" s="219"/>
      <c r="K76" s="219"/>
      <c r="L76" s="223"/>
      <c r="M76" s="219"/>
      <c r="N76" s="227"/>
      <c r="O76" s="226">
        <v>0</v>
      </c>
      <c r="P76" s="226">
        <f>Table1[[#This Row],[unit cost]]*1.065</f>
        <v>0</v>
      </c>
      <c r="Q76" s="224">
        <v>1</v>
      </c>
      <c r="R76" s="219">
        <v>1</v>
      </c>
      <c r="S76" s="235">
        <f t="shared" si="14"/>
        <v>0.42</v>
      </c>
      <c r="T76" s="233">
        <f>Table1[[#This Row],[man minutes]]*Table1[[#This Row],[labor rate]]</f>
        <v>0.42</v>
      </c>
      <c r="U76" s="233">
        <f t="shared" si="15"/>
        <v>0.42</v>
      </c>
      <c r="V76" s="218">
        <f t="shared" si="16"/>
        <v>0.13</v>
      </c>
      <c r="W76" s="234">
        <f t="shared" si="17"/>
        <v>0.13</v>
      </c>
      <c r="X76" s="233">
        <f t="shared" si="18"/>
        <v>0</v>
      </c>
      <c r="Y76" s="233">
        <f t="shared" si="19"/>
        <v>0.47459999999999997</v>
      </c>
      <c r="Z76" s="233">
        <f t="shared" si="20"/>
        <v>0.48</v>
      </c>
      <c r="AA76" s="232">
        <f>+Table1[[#This Row],[calculated sale price]]</f>
        <v>0.48</v>
      </c>
      <c r="AB76" s="231"/>
      <c r="AC76" s="230"/>
      <c r="AD76" s="229"/>
      <c r="AE76" s="229" t="e">
        <f>[5]!Table1[[#This Row],[cost per quantity]]*(1+'[5]P&amp;L'!$P$8)</f>
        <v>#REF!</v>
      </c>
      <c r="AF76" s="229" t="e">
        <f>$AF$8*[5]!Table1[[#This Row],[man minutes]]*(1+'[5]P&amp;L'!$P$9)</f>
        <v>#REF!</v>
      </c>
      <c r="AG76" s="229"/>
      <c r="AH76" s="229"/>
      <c r="AI76" s="229" t="e">
        <f>Table1[[#This Row],[Food cost w/ MU]]+Table1[[#This Row],[labor cost W/ MU]]</f>
        <v>#REF!</v>
      </c>
      <c r="AJ76" s="228"/>
    </row>
    <row r="77" spans="1:36" x14ac:dyDescent="0.25">
      <c r="A77" s="219">
        <v>10068</v>
      </c>
      <c r="B77" s="215" t="s">
        <v>465</v>
      </c>
      <c r="C77" s="219">
        <v>1</v>
      </c>
      <c r="I77" s="219"/>
      <c r="J77" s="219"/>
      <c r="K77" s="219"/>
      <c r="L77" s="223"/>
      <c r="M77" s="219"/>
      <c r="N77" s="227"/>
      <c r="O77" s="226">
        <v>0</v>
      </c>
      <c r="P77" s="226">
        <f>Table1[[#This Row],[unit cost]]*1.065</f>
        <v>0</v>
      </c>
      <c r="Q77" s="224">
        <v>1</v>
      </c>
      <c r="R77" s="219">
        <v>1</v>
      </c>
      <c r="S77" s="235">
        <f t="shared" si="14"/>
        <v>0.42</v>
      </c>
      <c r="T77" s="233">
        <f>Table1[[#This Row],[man minutes]]*Table1[[#This Row],[labor rate]]</f>
        <v>0.42</v>
      </c>
      <c r="U77" s="233">
        <f t="shared" si="15"/>
        <v>0.42</v>
      </c>
      <c r="V77" s="218">
        <f t="shared" si="16"/>
        <v>0.13</v>
      </c>
      <c r="W77" s="234">
        <f t="shared" si="17"/>
        <v>0.13</v>
      </c>
      <c r="X77" s="233">
        <f t="shared" si="18"/>
        <v>0</v>
      </c>
      <c r="Y77" s="233">
        <f t="shared" si="19"/>
        <v>0.47459999999999997</v>
      </c>
      <c r="Z77" s="233">
        <f t="shared" si="20"/>
        <v>0.48</v>
      </c>
      <c r="AA77" s="232">
        <f>+Table1[[#This Row],[calculated sale price]]</f>
        <v>0.48</v>
      </c>
      <c r="AB77" s="231"/>
      <c r="AC77" s="230"/>
      <c r="AD77" s="229"/>
      <c r="AE77" s="229" t="e">
        <f>[5]!Table1[[#This Row],[cost per quantity]]*(1+'[5]P&amp;L'!$P$8)</f>
        <v>#REF!</v>
      </c>
      <c r="AF77" s="229" t="e">
        <f>$AF$8*[5]!Table1[[#This Row],[man minutes]]*(1+'[5]P&amp;L'!$P$9)</f>
        <v>#REF!</v>
      </c>
      <c r="AG77" s="229"/>
      <c r="AH77" s="229"/>
      <c r="AI77" s="229" t="e">
        <f>Table1[[#This Row],[Food cost w/ MU]]+Table1[[#This Row],[labor cost W/ MU]]</f>
        <v>#REF!</v>
      </c>
      <c r="AJ77" s="228"/>
    </row>
    <row r="78" spans="1:36" x14ac:dyDescent="0.25">
      <c r="A78" s="219">
        <v>10069</v>
      </c>
      <c r="B78" s="215" t="s">
        <v>464</v>
      </c>
      <c r="C78" s="219">
        <v>1</v>
      </c>
      <c r="I78" s="219"/>
      <c r="J78" s="219"/>
      <c r="K78" s="219"/>
      <c r="L78" s="223"/>
      <c r="M78" s="219"/>
      <c r="N78" s="227"/>
      <c r="O78" s="226">
        <v>0.9</v>
      </c>
      <c r="P78" s="226">
        <f>Table1[[#This Row],[unit cost]]*1.065</f>
        <v>0.95850000000000002</v>
      </c>
      <c r="Q78" s="224">
        <v>2</v>
      </c>
      <c r="R78" s="219">
        <v>1</v>
      </c>
      <c r="S78" s="235">
        <f t="shared" si="14"/>
        <v>0.42</v>
      </c>
      <c r="T78" s="233">
        <f>Table1[[#This Row],[man minutes]]*Table1[[#This Row],[labor rate]]</f>
        <v>0.84</v>
      </c>
      <c r="U78" s="233">
        <f t="shared" si="15"/>
        <v>1.7985</v>
      </c>
      <c r="V78" s="218">
        <f t="shared" si="16"/>
        <v>0.13</v>
      </c>
      <c r="W78" s="234">
        <f t="shared" si="17"/>
        <v>0.13</v>
      </c>
      <c r="X78" s="233">
        <f t="shared" si="18"/>
        <v>1.083105</v>
      </c>
      <c r="Y78" s="233">
        <f t="shared" si="19"/>
        <v>0.94919999999999993</v>
      </c>
      <c r="Z78" s="233">
        <f t="shared" si="20"/>
        <v>2.0399999999999996</v>
      </c>
      <c r="AA78" s="232">
        <f>+Table1[[#This Row],[calculated sale price]]</f>
        <v>2.0399999999999996</v>
      </c>
      <c r="AB78" s="231"/>
      <c r="AC78" s="230"/>
      <c r="AD78" s="229"/>
      <c r="AE78" s="229" t="e">
        <f>[5]!Table1[[#This Row],[cost per quantity]]*(1+'[5]P&amp;L'!$P$8)</f>
        <v>#REF!</v>
      </c>
      <c r="AF78" s="229" t="e">
        <f>$AF$8*[5]!Table1[[#This Row],[man minutes]]*(1+'[5]P&amp;L'!$P$9)</f>
        <v>#REF!</v>
      </c>
      <c r="AG78" s="229"/>
      <c r="AH78" s="229"/>
      <c r="AI78" s="229" t="e">
        <f>Table1[[#This Row],[Food cost w/ MU]]+Table1[[#This Row],[labor cost W/ MU]]</f>
        <v>#REF!</v>
      </c>
      <c r="AJ78" s="228"/>
    </row>
    <row r="79" spans="1:36" x14ac:dyDescent="0.25">
      <c r="A79" s="219">
        <v>10070</v>
      </c>
      <c r="B79" s="215" t="s">
        <v>463</v>
      </c>
      <c r="C79" s="219">
        <v>1</v>
      </c>
      <c r="I79" s="219"/>
      <c r="J79" s="219"/>
      <c r="K79" s="219"/>
      <c r="L79" s="223"/>
      <c r="M79" s="219"/>
      <c r="N79" s="227"/>
      <c r="O79" s="226">
        <v>0.11</v>
      </c>
      <c r="P79" s="226">
        <f>Table1[[#This Row],[unit cost]]*1.065</f>
        <v>0.11714999999999999</v>
      </c>
      <c r="Q79" s="224">
        <v>0.2</v>
      </c>
      <c r="R79" s="219">
        <v>1</v>
      </c>
      <c r="S79" s="235">
        <f t="shared" si="14"/>
        <v>0.42</v>
      </c>
      <c r="T79" s="233">
        <f>Table1[[#This Row],[man minutes]]*Table1[[#This Row],[labor rate]]</f>
        <v>8.4000000000000005E-2</v>
      </c>
      <c r="U79" s="233">
        <f t="shared" si="15"/>
        <v>0.20115</v>
      </c>
      <c r="V79" s="218">
        <f t="shared" si="16"/>
        <v>0.13</v>
      </c>
      <c r="W79" s="234">
        <f t="shared" si="17"/>
        <v>0.13</v>
      </c>
      <c r="X79" s="233">
        <f t="shared" si="18"/>
        <v>0.13237949999999998</v>
      </c>
      <c r="Y79" s="233">
        <f t="shared" si="19"/>
        <v>9.4920000000000004E-2</v>
      </c>
      <c r="Z79" s="233">
        <f t="shared" si="20"/>
        <v>0.23</v>
      </c>
      <c r="AA79" s="232">
        <f>+Table1[[#This Row],[calculated sale price]]</f>
        <v>0.23</v>
      </c>
      <c r="AB79" s="231"/>
      <c r="AC79" s="230"/>
      <c r="AD79" s="229"/>
      <c r="AE79" s="229" t="e">
        <f>[5]!Table1[[#This Row],[cost per quantity]]*(1+'[5]P&amp;L'!$P$8)</f>
        <v>#REF!</v>
      </c>
      <c r="AF79" s="229" t="e">
        <f>$AF$8*[5]!Table1[[#This Row],[man minutes]]*(1+'[5]P&amp;L'!$P$9)</f>
        <v>#REF!</v>
      </c>
      <c r="AG79" s="229"/>
      <c r="AH79" s="229"/>
      <c r="AI79" s="229" t="e">
        <f>Table1[[#This Row],[Food cost w/ MU]]+Table1[[#This Row],[labor cost W/ MU]]</f>
        <v>#REF!</v>
      </c>
      <c r="AJ79" s="228"/>
    </row>
    <row r="80" spans="1:36" x14ac:dyDescent="0.25">
      <c r="A80" s="219">
        <v>10071</v>
      </c>
      <c r="B80" s="215" t="s">
        <v>462</v>
      </c>
      <c r="C80" s="219">
        <v>1</v>
      </c>
      <c r="I80" s="219"/>
      <c r="J80" s="219"/>
      <c r="K80" s="219"/>
      <c r="L80" s="223"/>
      <c r="M80" s="219"/>
      <c r="N80" s="227"/>
      <c r="O80" s="226">
        <v>0</v>
      </c>
      <c r="P80" s="226">
        <f>Table1[[#This Row],[unit cost]]*1.065</f>
        <v>0</v>
      </c>
      <c r="Q80" s="224">
        <v>1</v>
      </c>
      <c r="R80" s="219">
        <v>1</v>
      </c>
      <c r="S80" s="235">
        <f t="shared" si="14"/>
        <v>0.42</v>
      </c>
      <c r="T80" s="233">
        <f>Table1[[#This Row],[man minutes]]*Table1[[#This Row],[labor rate]]</f>
        <v>0.42</v>
      </c>
      <c r="U80" s="233">
        <f t="shared" si="15"/>
        <v>0.42</v>
      </c>
      <c r="V80" s="218">
        <f t="shared" si="16"/>
        <v>0.13</v>
      </c>
      <c r="W80" s="234">
        <f t="shared" si="17"/>
        <v>0.13</v>
      </c>
      <c r="X80" s="233">
        <f t="shared" si="18"/>
        <v>0</v>
      </c>
      <c r="Y80" s="233">
        <f t="shared" si="19"/>
        <v>0.47459999999999997</v>
      </c>
      <c r="Z80" s="233">
        <f t="shared" si="20"/>
        <v>0.48</v>
      </c>
      <c r="AA80" s="232">
        <f>+Table1[[#This Row],[calculated sale price]]</f>
        <v>0.48</v>
      </c>
      <c r="AB80" s="231"/>
      <c r="AC80" s="230"/>
      <c r="AD80" s="229"/>
      <c r="AE80" s="229" t="e">
        <f>[5]!Table1[[#This Row],[cost per quantity]]*(1+'[5]P&amp;L'!$P$8)</f>
        <v>#REF!</v>
      </c>
      <c r="AF80" s="229" t="e">
        <f>$AF$8*[5]!Table1[[#This Row],[man minutes]]*(1+'[5]P&amp;L'!$P$9)</f>
        <v>#REF!</v>
      </c>
      <c r="AG80" s="229"/>
      <c r="AH80" s="229"/>
      <c r="AI80" s="229" t="e">
        <f>Table1[[#This Row],[Food cost w/ MU]]+Table1[[#This Row],[labor cost W/ MU]]</f>
        <v>#REF!</v>
      </c>
      <c r="AJ80" s="228"/>
    </row>
    <row r="81" spans="1:36" x14ac:dyDescent="0.25">
      <c r="A81" s="219">
        <v>10072</v>
      </c>
      <c r="B81" s="215" t="s">
        <v>461</v>
      </c>
      <c r="C81" s="219">
        <v>1</v>
      </c>
      <c r="I81" s="219"/>
      <c r="J81" s="219"/>
      <c r="K81" s="219"/>
      <c r="L81" s="223"/>
      <c r="M81" s="219"/>
      <c r="N81" s="227"/>
      <c r="O81" s="226">
        <v>0.11</v>
      </c>
      <c r="P81" s="226">
        <f>Table1[[#This Row],[unit cost]]*1.065</f>
        <v>0.11714999999999999</v>
      </c>
      <c r="Q81" s="224">
        <v>0.2</v>
      </c>
      <c r="R81" s="219">
        <v>1</v>
      </c>
      <c r="S81" s="235">
        <f t="shared" si="14"/>
        <v>0.42</v>
      </c>
      <c r="T81" s="233">
        <f>Table1[[#This Row],[man minutes]]*Table1[[#This Row],[labor rate]]</f>
        <v>8.4000000000000005E-2</v>
      </c>
      <c r="U81" s="233">
        <f t="shared" si="15"/>
        <v>0.20115</v>
      </c>
      <c r="V81" s="218">
        <f t="shared" si="16"/>
        <v>0.13</v>
      </c>
      <c r="W81" s="234">
        <f t="shared" si="17"/>
        <v>0.13</v>
      </c>
      <c r="X81" s="233">
        <f t="shared" si="18"/>
        <v>0.13237949999999998</v>
      </c>
      <c r="Y81" s="233">
        <f t="shared" si="19"/>
        <v>9.4920000000000004E-2</v>
      </c>
      <c r="Z81" s="233">
        <f t="shared" si="20"/>
        <v>0.23</v>
      </c>
      <c r="AA81" s="232">
        <f>+Table1[[#This Row],[calculated sale price]]</f>
        <v>0.23</v>
      </c>
      <c r="AB81" s="231"/>
      <c r="AC81" s="230"/>
      <c r="AD81" s="229"/>
      <c r="AE81" s="229" t="e">
        <f>[5]!Table1[[#This Row],[cost per quantity]]*(1+'[5]P&amp;L'!$P$8)</f>
        <v>#REF!</v>
      </c>
      <c r="AF81" s="229" t="e">
        <f>$AF$8*[5]!Table1[[#This Row],[man minutes]]*(1+'[5]P&amp;L'!$P$9)</f>
        <v>#REF!</v>
      </c>
      <c r="AG81" s="229"/>
      <c r="AH81" s="229"/>
      <c r="AI81" s="229" t="e">
        <f>Table1[[#This Row],[Food cost w/ MU]]+Table1[[#This Row],[labor cost W/ MU]]</f>
        <v>#REF!</v>
      </c>
      <c r="AJ81" s="228"/>
    </row>
    <row r="82" spans="1:36" x14ac:dyDescent="0.25">
      <c r="A82" s="219">
        <v>10073</v>
      </c>
      <c r="B82" s="215" t="s">
        <v>460</v>
      </c>
      <c r="C82" s="219">
        <v>1</v>
      </c>
      <c r="I82" s="219"/>
      <c r="J82" s="219"/>
      <c r="K82" s="219"/>
      <c r="L82" s="223"/>
      <c r="M82" s="219"/>
      <c r="N82" s="227"/>
      <c r="O82" s="226">
        <v>0.1</v>
      </c>
      <c r="P82" s="226">
        <f>Table1[[#This Row],[unit cost]]*1.065</f>
        <v>0.1065</v>
      </c>
      <c r="Q82" s="224">
        <v>0.2</v>
      </c>
      <c r="R82" s="219">
        <v>1</v>
      </c>
      <c r="S82" s="235">
        <f t="shared" si="14"/>
        <v>0.42</v>
      </c>
      <c r="T82" s="233">
        <f>Table1[[#This Row],[man minutes]]*Table1[[#This Row],[labor rate]]</f>
        <v>8.4000000000000005E-2</v>
      </c>
      <c r="U82" s="233">
        <f t="shared" si="15"/>
        <v>0.1905</v>
      </c>
      <c r="V82" s="218">
        <f t="shared" si="16"/>
        <v>0.13</v>
      </c>
      <c r="W82" s="234">
        <f t="shared" si="17"/>
        <v>0.13</v>
      </c>
      <c r="X82" s="233">
        <f t="shared" si="18"/>
        <v>0.12034499999999998</v>
      </c>
      <c r="Y82" s="233">
        <f t="shared" si="19"/>
        <v>9.4920000000000004E-2</v>
      </c>
      <c r="Z82" s="233">
        <f t="shared" si="20"/>
        <v>0.22</v>
      </c>
      <c r="AA82" s="232">
        <f>+Table1[[#This Row],[calculated sale price]]</f>
        <v>0.22</v>
      </c>
      <c r="AB82" s="231"/>
      <c r="AC82" s="230"/>
      <c r="AD82" s="229"/>
      <c r="AE82" s="229" t="e">
        <f>[5]!Table1[[#This Row],[cost per quantity]]*(1+'[5]P&amp;L'!$P$8)</f>
        <v>#REF!</v>
      </c>
      <c r="AF82" s="229" t="e">
        <f>$AF$8*[5]!Table1[[#This Row],[man minutes]]*(1+'[5]P&amp;L'!$P$9)</f>
        <v>#REF!</v>
      </c>
      <c r="AG82" s="229"/>
      <c r="AH82" s="229"/>
      <c r="AI82" s="229" t="e">
        <f>Table1[[#This Row],[Food cost w/ MU]]+Table1[[#This Row],[labor cost W/ MU]]</f>
        <v>#REF!</v>
      </c>
      <c r="AJ82" s="228"/>
    </row>
    <row r="83" spans="1:36" x14ac:dyDescent="0.25">
      <c r="A83" s="219">
        <v>10074</v>
      </c>
      <c r="B83" s="215" t="s">
        <v>459</v>
      </c>
      <c r="C83" s="219">
        <v>1</v>
      </c>
      <c r="I83" s="219"/>
      <c r="J83" s="219"/>
      <c r="K83" s="219"/>
      <c r="L83" s="223"/>
      <c r="M83" s="219"/>
      <c r="N83" s="227"/>
      <c r="O83" s="226">
        <v>0.25</v>
      </c>
      <c r="P83" s="226">
        <f>Table1[[#This Row],[unit cost]]*1.065</f>
        <v>0.26624999999999999</v>
      </c>
      <c r="Q83" s="224">
        <v>0.2</v>
      </c>
      <c r="R83" s="219">
        <v>1</v>
      </c>
      <c r="S83" s="235">
        <f t="shared" si="14"/>
        <v>0.42</v>
      </c>
      <c r="T83" s="233">
        <f>Table1[[#This Row],[man minutes]]*Table1[[#This Row],[labor rate]]</f>
        <v>8.4000000000000005E-2</v>
      </c>
      <c r="U83" s="233">
        <f t="shared" si="15"/>
        <v>0.35025000000000001</v>
      </c>
      <c r="V83" s="218">
        <f t="shared" si="16"/>
        <v>0.13</v>
      </c>
      <c r="W83" s="234">
        <f t="shared" si="17"/>
        <v>0.13</v>
      </c>
      <c r="X83" s="233">
        <f t="shared" si="18"/>
        <v>0.30086249999999998</v>
      </c>
      <c r="Y83" s="233">
        <f t="shared" si="19"/>
        <v>9.4920000000000004E-2</v>
      </c>
      <c r="Z83" s="233">
        <f t="shared" si="20"/>
        <v>0.4</v>
      </c>
      <c r="AA83" s="232">
        <f>+Table1[[#This Row],[calculated sale price]]</f>
        <v>0.4</v>
      </c>
      <c r="AB83" s="231"/>
      <c r="AC83" s="230"/>
      <c r="AD83" s="229"/>
      <c r="AE83" s="229" t="e">
        <f>[5]!Table1[[#This Row],[cost per quantity]]*(1+'[5]P&amp;L'!$P$8)</f>
        <v>#REF!</v>
      </c>
      <c r="AF83" s="229" t="e">
        <f>$AF$8*[5]!Table1[[#This Row],[man minutes]]*(1+'[5]P&amp;L'!$P$9)</f>
        <v>#REF!</v>
      </c>
      <c r="AG83" s="229"/>
      <c r="AH83" s="229"/>
      <c r="AI83" s="229" t="e">
        <f>Table1[[#This Row],[Food cost w/ MU]]+Table1[[#This Row],[labor cost W/ MU]]</f>
        <v>#REF!</v>
      </c>
      <c r="AJ83" s="228"/>
    </row>
    <row r="84" spans="1:36" x14ac:dyDescent="0.25">
      <c r="A84" s="219">
        <v>10075</v>
      </c>
      <c r="B84" s="215" t="s">
        <v>458</v>
      </c>
      <c r="C84" s="219">
        <v>1</v>
      </c>
      <c r="I84" s="219"/>
      <c r="J84" s="219"/>
      <c r="K84" s="219"/>
      <c r="L84" s="223"/>
      <c r="M84" s="219"/>
      <c r="N84" s="227"/>
      <c r="O84" s="226">
        <v>1.25569</v>
      </c>
      <c r="P84" s="226">
        <f>Table1[[#This Row],[unit cost]]*1.065</f>
        <v>1.3373098499999998</v>
      </c>
      <c r="Q84" s="224">
        <v>2.75</v>
      </c>
      <c r="R84" s="219">
        <v>1</v>
      </c>
      <c r="S84" s="235">
        <f t="shared" si="14"/>
        <v>0.42</v>
      </c>
      <c r="T84" s="233">
        <f>Table1[[#This Row],[man minutes]]*Table1[[#This Row],[labor rate]]</f>
        <v>1.155</v>
      </c>
      <c r="U84" s="233">
        <f t="shared" si="15"/>
        <v>2.4923098499999998</v>
      </c>
      <c r="V84" s="218">
        <f t="shared" si="16"/>
        <v>0.13</v>
      </c>
      <c r="W84" s="234">
        <f t="shared" si="17"/>
        <v>0.13</v>
      </c>
      <c r="X84" s="233">
        <f t="shared" si="18"/>
        <v>1.5111601304999995</v>
      </c>
      <c r="Y84" s="233">
        <f t="shared" si="19"/>
        <v>1.30515</v>
      </c>
      <c r="Z84" s="233">
        <f t="shared" si="20"/>
        <v>2.82</v>
      </c>
      <c r="AA84" s="232">
        <f>+Table1[[#This Row],[calculated sale price]]</f>
        <v>2.82</v>
      </c>
      <c r="AB84" s="231"/>
      <c r="AC84" s="230"/>
      <c r="AD84" s="229"/>
      <c r="AE84" s="229" t="e">
        <f>[5]!Table1[[#This Row],[cost per quantity]]*(1+'[5]P&amp;L'!$P$8)</f>
        <v>#REF!</v>
      </c>
      <c r="AF84" s="229" t="e">
        <f>$AF$8*[5]!Table1[[#This Row],[man minutes]]*(1+'[5]P&amp;L'!$P$9)</f>
        <v>#REF!</v>
      </c>
      <c r="AG84" s="229"/>
      <c r="AH84" s="229"/>
      <c r="AI84" s="229" t="e">
        <f>Table1[[#This Row],[Food cost w/ MU]]+Table1[[#This Row],[labor cost W/ MU]]</f>
        <v>#REF!</v>
      </c>
      <c r="AJ84" s="228"/>
    </row>
    <row r="85" spans="1:36" x14ac:dyDescent="0.25">
      <c r="A85" s="219">
        <v>10076</v>
      </c>
      <c r="B85" s="215" t="s">
        <v>457</v>
      </c>
      <c r="C85" s="219">
        <v>1</v>
      </c>
      <c r="I85" s="219"/>
      <c r="J85" s="219"/>
      <c r="K85" s="219"/>
      <c r="L85" s="223"/>
      <c r="M85" s="219"/>
      <c r="N85" s="227"/>
      <c r="O85" s="226">
        <v>1.70129</v>
      </c>
      <c r="P85" s="226">
        <f>Table1[[#This Row],[unit cost]]*1.065</f>
        <v>1.8118738499999998</v>
      </c>
      <c r="Q85" s="224">
        <v>2.75</v>
      </c>
      <c r="R85" s="219">
        <v>1</v>
      </c>
      <c r="S85" s="235">
        <f t="shared" si="14"/>
        <v>0.42</v>
      </c>
      <c r="T85" s="233">
        <f>Table1[[#This Row],[man minutes]]*Table1[[#This Row],[labor rate]]</f>
        <v>1.155</v>
      </c>
      <c r="U85" s="233">
        <f t="shared" si="15"/>
        <v>2.9668738499999998</v>
      </c>
      <c r="V85" s="218">
        <f t="shared" si="16"/>
        <v>0.13</v>
      </c>
      <c r="W85" s="234">
        <f t="shared" si="17"/>
        <v>0.13</v>
      </c>
      <c r="X85" s="233">
        <f t="shared" si="18"/>
        <v>2.0474174504999993</v>
      </c>
      <c r="Y85" s="233">
        <f t="shared" si="19"/>
        <v>1.30515</v>
      </c>
      <c r="Z85" s="233">
        <f t="shared" si="20"/>
        <v>3.36</v>
      </c>
      <c r="AA85" s="232">
        <f>+Table1[[#This Row],[calculated sale price]]</f>
        <v>3.36</v>
      </c>
      <c r="AB85" s="231"/>
      <c r="AC85" s="230"/>
      <c r="AD85" s="229"/>
      <c r="AE85" s="229" t="e">
        <f>[5]!Table1[[#This Row],[cost per quantity]]*(1+'[5]P&amp;L'!$P$8)</f>
        <v>#REF!</v>
      </c>
      <c r="AF85" s="229" t="e">
        <f>$AF$8*[5]!Table1[[#This Row],[man minutes]]*(1+'[5]P&amp;L'!$P$9)</f>
        <v>#REF!</v>
      </c>
      <c r="AG85" s="229"/>
      <c r="AH85" s="229"/>
      <c r="AI85" s="229" t="e">
        <f>Table1[[#This Row],[Food cost w/ MU]]+Table1[[#This Row],[labor cost W/ MU]]</f>
        <v>#REF!</v>
      </c>
      <c r="AJ85" s="228"/>
    </row>
    <row r="86" spans="1:36" x14ac:dyDescent="0.25">
      <c r="A86" s="219">
        <v>10077</v>
      </c>
      <c r="B86" s="215" t="s">
        <v>456</v>
      </c>
      <c r="C86" s="219">
        <v>1</v>
      </c>
      <c r="I86" s="219"/>
      <c r="J86" s="219"/>
      <c r="K86" s="219"/>
      <c r="L86" s="223"/>
      <c r="M86" s="219"/>
      <c r="N86" s="227"/>
      <c r="O86" s="226">
        <v>1.69964</v>
      </c>
      <c r="P86" s="226">
        <f>Table1[[#This Row],[unit cost]]*1.065</f>
        <v>1.8101166</v>
      </c>
      <c r="Q86" s="224">
        <v>2.75</v>
      </c>
      <c r="R86" s="219">
        <v>1</v>
      </c>
      <c r="S86" s="235">
        <f t="shared" si="14"/>
        <v>0.42</v>
      </c>
      <c r="T86" s="233">
        <f>Table1[[#This Row],[man minutes]]*Table1[[#This Row],[labor rate]]</f>
        <v>1.155</v>
      </c>
      <c r="U86" s="233">
        <f t="shared" si="15"/>
        <v>2.9651166</v>
      </c>
      <c r="V86" s="218">
        <f t="shared" si="16"/>
        <v>0.13</v>
      </c>
      <c r="W86" s="234">
        <f t="shared" si="17"/>
        <v>0.13</v>
      </c>
      <c r="X86" s="233">
        <f t="shared" si="18"/>
        <v>2.0454317579999999</v>
      </c>
      <c r="Y86" s="233">
        <f t="shared" si="19"/>
        <v>1.30515</v>
      </c>
      <c r="Z86" s="233">
        <f t="shared" si="20"/>
        <v>3.36</v>
      </c>
      <c r="AA86" s="232">
        <f>+Table1[[#This Row],[calculated sale price]]</f>
        <v>3.36</v>
      </c>
      <c r="AB86" s="231"/>
      <c r="AC86" s="230"/>
      <c r="AD86" s="229"/>
      <c r="AE86" s="229" t="e">
        <f>[5]!Table1[[#This Row],[cost per quantity]]*(1+'[5]P&amp;L'!$P$8)</f>
        <v>#REF!</v>
      </c>
      <c r="AF86" s="229" t="e">
        <f>$AF$8*[5]!Table1[[#This Row],[man minutes]]*(1+'[5]P&amp;L'!$P$9)</f>
        <v>#REF!</v>
      </c>
      <c r="AG86" s="229"/>
      <c r="AH86" s="229"/>
      <c r="AI86" s="229" t="e">
        <f>Table1[[#This Row],[Food cost w/ MU]]+Table1[[#This Row],[labor cost W/ MU]]</f>
        <v>#REF!</v>
      </c>
      <c r="AJ86" s="228"/>
    </row>
    <row r="87" spans="1:36" x14ac:dyDescent="0.25">
      <c r="A87" s="219">
        <v>10078</v>
      </c>
      <c r="B87" s="215" t="s">
        <v>455</v>
      </c>
      <c r="C87" s="219">
        <v>1</v>
      </c>
      <c r="I87" s="219"/>
      <c r="J87" s="219"/>
      <c r="K87" s="219"/>
      <c r="L87" s="223"/>
      <c r="M87" s="219"/>
      <c r="N87" s="227"/>
      <c r="O87" s="226">
        <v>1.3619600000000001</v>
      </c>
      <c r="P87" s="226">
        <f>Table1[[#This Row],[unit cost]]*1.065</f>
        <v>1.4504874000000001</v>
      </c>
      <c r="Q87" s="224">
        <v>2.75</v>
      </c>
      <c r="R87" s="219">
        <v>1</v>
      </c>
      <c r="S87" s="235">
        <f t="shared" si="14"/>
        <v>0.42</v>
      </c>
      <c r="T87" s="233">
        <f>Table1[[#This Row],[man minutes]]*Table1[[#This Row],[labor rate]]</f>
        <v>1.155</v>
      </c>
      <c r="U87" s="233">
        <f t="shared" si="15"/>
        <v>2.6054874000000003</v>
      </c>
      <c r="V87" s="218">
        <f t="shared" si="16"/>
        <v>0.13</v>
      </c>
      <c r="W87" s="234">
        <f t="shared" si="17"/>
        <v>0.13</v>
      </c>
      <c r="X87" s="233">
        <f t="shared" si="18"/>
        <v>1.6390507619999999</v>
      </c>
      <c r="Y87" s="233">
        <f t="shared" si="19"/>
        <v>1.30515</v>
      </c>
      <c r="Z87" s="233">
        <f t="shared" si="20"/>
        <v>2.9499999999999997</v>
      </c>
      <c r="AA87" s="232">
        <f>+Table1[[#This Row],[calculated sale price]]</f>
        <v>2.9499999999999997</v>
      </c>
      <c r="AB87" s="231"/>
      <c r="AC87" s="230"/>
      <c r="AD87" s="229"/>
      <c r="AE87" s="229" t="e">
        <f>[5]!Table1[[#This Row],[cost per quantity]]*(1+'[5]P&amp;L'!$P$8)</f>
        <v>#REF!</v>
      </c>
      <c r="AF87" s="229" t="e">
        <f>$AF$8*[5]!Table1[[#This Row],[man minutes]]*(1+'[5]P&amp;L'!$P$9)</f>
        <v>#REF!</v>
      </c>
      <c r="AG87" s="229"/>
      <c r="AH87" s="229"/>
      <c r="AI87" s="229" t="e">
        <f>Table1[[#This Row],[Food cost w/ MU]]+Table1[[#This Row],[labor cost W/ MU]]</f>
        <v>#REF!</v>
      </c>
      <c r="AJ87" s="228"/>
    </row>
    <row r="88" spans="1:36" x14ac:dyDescent="0.25">
      <c r="A88" s="219">
        <v>10079</v>
      </c>
      <c r="B88" s="215" t="s">
        <v>454</v>
      </c>
      <c r="C88" s="219">
        <v>1</v>
      </c>
      <c r="I88" s="219"/>
      <c r="J88" s="219"/>
      <c r="K88" s="219"/>
      <c r="L88" s="223"/>
      <c r="M88" s="219"/>
      <c r="N88" s="227"/>
      <c r="O88" s="226">
        <v>0.1</v>
      </c>
      <c r="P88" s="226">
        <f>Table1[[#This Row],[unit cost]]*1.065</f>
        <v>0.1065</v>
      </c>
      <c r="Q88" s="224">
        <v>0.2</v>
      </c>
      <c r="R88" s="219">
        <v>1</v>
      </c>
      <c r="S88" s="235">
        <f t="shared" si="14"/>
        <v>0.42</v>
      </c>
      <c r="T88" s="233">
        <f>Table1[[#This Row],[man minutes]]*Table1[[#This Row],[labor rate]]</f>
        <v>8.4000000000000005E-2</v>
      </c>
      <c r="U88" s="233">
        <f t="shared" si="15"/>
        <v>0.1905</v>
      </c>
      <c r="V88" s="218">
        <f t="shared" si="16"/>
        <v>0.13</v>
      </c>
      <c r="W88" s="234">
        <f t="shared" si="17"/>
        <v>0.13</v>
      </c>
      <c r="X88" s="233">
        <f t="shared" si="18"/>
        <v>0.12034499999999998</v>
      </c>
      <c r="Y88" s="233">
        <f t="shared" si="19"/>
        <v>9.4920000000000004E-2</v>
      </c>
      <c r="Z88" s="233">
        <f t="shared" si="20"/>
        <v>0.22</v>
      </c>
      <c r="AA88" s="232">
        <f>+Table1[[#This Row],[calculated sale price]]</f>
        <v>0.22</v>
      </c>
      <c r="AB88" s="231"/>
      <c r="AC88" s="230"/>
      <c r="AD88" s="229"/>
      <c r="AE88" s="229" t="e">
        <f>[5]!Table1[[#This Row],[cost per quantity]]*(1+'[5]P&amp;L'!$P$8)</f>
        <v>#REF!</v>
      </c>
      <c r="AF88" s="229" t="e">
        <f>$AF$8*[5]!Table1[[#This Row],[man minutes]]*(1+'[5]P&amp;L'!$P$9)</f>
        <v>#REF!</v>
      </c>
      <c r="AG88" s="229"/>
      <c r="AH88" s="229"/>
      <c r="AI88" s="229" t="e">
        <f>Table1[[#This Row],[Food cost w/ MU]]+Table1[[#This Row],[labor cost W/ MU]]</f>
        <v>#REF!</v>
      </c>
      <c r="AJ88" s="228"/>
    </row>
    <row r="89" spans="1:36" x14ac:dyDescent="0.25">
      <c r="A89" s="219">
        <v>10080</v>
      </c>
      <c r="B89" s="215" t="s">
        <v>453</v>
      </c>
      <c r="C89" s="219">
        <v>1</v>
      </c>
      <c r="I89" s="219"/>
      <c r="J89" s="219"/>
      <c r="K89" s="219"/>
      <c r="L89" s="223"/>
      <c r="M89" s="219"/>
      <c r="N89" s="227"/>
      <c r="O89" s="226">
        <v>0.28999999999999998</v>
      </c>
      <c r="P89" s="226">
        <f>Table1[[#This Row],[unit cost]]*1.065</f>
        <v>0.30884999999999996</v>
      </c>
      <c r="Q89" s="224">
        <v>1.05</v>
      </c>
      <c r="R89" s="219">
        <v>1</v>
      </c>
      <c r="S89" s="235">
        <f t="shared" si="14"/>
        <v>0.42</v>
      </c>
      <c r="T89" s="233">
        <f>Table1[[#This Row],[man minutes]]*Table1[[#This Row],[labor rate]]</f>
        <v>0.441</v>
      </c>
      <c r="U89" s="233">
        <f t="shared" si="15"/>
        <v>0.74984999999999991</v>
      </c>
      <c r="V89" s="218">
        <f t="shared" si="16"/>
        <v>0.13</v>
      </c>
      <c r="W89" s="234">
        <f t="shared" si="17"/>
        <v>0.13</v>
      </c>
      <c r="X89" s="233">
        <f t="shared" si="18"/>
        <v>0.34900049999999994</v>
      </c>
      <c r="Y89" s="233">
        <f t="shared" si="19"/>
        <v>0.49833</v>
      </c>
      <c r="Z89" s="233">
        <f t="shared" si="20"/>
        <v>0.85</v>
      </c>
      <c r="AA89" s="232">
        <f>+Table1[[#This Row],[calculated sale price]]</f>
        <v>0.85</v>
      </c>
      <c r="AB89" s="231"/>
      <c r="AC89" s="230"/>
      <c r="AD89" s="229"/>
      <c r="AE89" s="229" t="e">
        <f>[5]!Table1[[#This Row],[cost per quantity]]*(1+'[5]P&amp;L'!$P$8)</f>
        <v>#REF!</v>
      </c>
      <c r="AF89" s="229" t="e">
        <f>$AF$8*[5]!Table1[[#This Row],[man minutes]]*(1+'[5]P&amp;L'!$P$9)</f>
        <v>#REF!</v>
      </c>
      <c r="AG89" s="229"/>
      <c r="AH89" s="229"/>
      <c r="AI89" s="229" t="e">
        <f>Table1[[#This Row],[Food cost w/ MU]]+Table1[[#This Row],[labor cost W/ MU]]</f>
        <v>#REF!</v>
      </c>
      <c r="AJ89" s="228"/>
    </row>
    <row r="90" spans="1:36" x14ac:dyDescent="0.25">
      <c r="A90" s="219">
        <v>10081</v>
      </c>
      <c r="B90" s="215" t="s">
        <v>452</v>
      </c>
      <c r="C90" s="219">
        <v>1</v>
      </c>
      <c r="I90" s="219"/>
      <c r="J90" s="219"/>
      <c r="K90" s="219"/>
      <c r="L90" s="223"/>
      <c r="M90" s="219"/>
      <c r="N90" s="227"/>
      <c r="O90" s="226">
        <v>0.28999999999999998</v>
      </c>
      <c r="P90" s="226">
        <f>Table1[[#This Row],[unit cost]]*1.065</f>
        <v>0.30884999999999996</v>
      </c>
      <c r="Q90" s="224">
        <v>1.05</v>
      </c>
      <c r="R90" s="219">
        <v>1</v>
      </c>
      <c r="S90" s="235">
        <f t="shared" si="14"/>
        <v>0.42</v>
      </c>
      <c r="T90" s="233">
        <f>Table1[[#This Row],[man minutes]]*Table1[[#This Row],[labor rate]]</f>
        <v>0.441</v>
      </c>
      <c r="U90" s="233">
        <f t="shared" si="15"/>
        <v>0.74984999999999991</v>
      </c>
      <c r="V90" s="218">
        <f t="shared" si="16"/>
        <v>0.13</v>
      </c>
      <c r="W90" s="234">
        <f t="shared" si="17"/>
        <v>0.13</v>
      </c>
      <c r="X90" s="233">
        <f t="shared" si="18"/>
        <v>0.34900049999999994</v>
      </c>
      <c r="Y90" s="233">
        <f t="shared" si="19"/>
        <v>0.49833</v>
      </c>
      <c r="Z90" s="233">
        <f t="shared" si="20"/>
        <v>0.85</v>
      </c>
      <c r="AA90" s="232">
        <f>+Table1[[#This Row],[calculated sale price]]</f>
        <v>0.85</v>
      </c>
      <c r="AB90" s="231"/>
      <c r="AC90" s="230"/>
      <c r="AD90" s="229"/>
      <c r="AE90" s="229" t="e">
        <f>[5]!Table1[[#This Row],[cost per quantity]]*(1+'[5]P&amp;L'!$P$8)</f>
        <v>#REF!</v>
      </c>
      <c r="AF90" s="229" t="e">
        <f>$AF$8*[5]!Table1[[#This Row],[man minutes]]*(1+'[5]P&amp;L'!$P$9)</f>
        <v>#REF!</v>
      </c>
      <c r="AG90" s="229"/>
      <c r="AH90" s="229"/>
      <c r="AI90" s="229" t="e">
        <f>Table1[[#This Row],[Food cost w/ MU]]+Table1[[#This Row],[labor cost W/ MU]]</f>
        <v>#REF!</v>
      </c>
      <c r="AJ90" s="228"/>
    </row>
    <row r="91" spans="1:36" x14ac:dyDescent="0.25">
      <c r="A91" s="219">
        <v>10082</v>
      </c>
      <c r="B91" s="215" t="s">
        <v>451</v>
      </c>
      <c r="C91" s="219">
        <v>1</v>
      </c>
      <c r="I91" s="219"/>
      <c r="J91" s="219"/>
      <c r="K91" s="219"/>
      <c r="L91" s="223"/>
      <c r="M91" s="219"/>
      <c r="N91" s="227"/>
      <c r="O91" s="226">
        <v>0.45</v>
      </c>
      <c r="P91" s="226">
        <f>Table1[[#This Row],[unit cost]]*1.065</f>
        <v>0.47925000000000001</v>
      </c>
      <c r="Q91" s="224">
        <v>0.2</v>
      </c>
      <c r="R91" s="219">
        <v>1</v>
      </c>
      <c r="S91" s="235">
        <f t="shared" si="14"/>
        <v>0.42</v>
      </c>
      <c r="T91" s="233">
        <f>Table1[[#This Row],[man minutes]]*Table1[[#This Row],[labor rate]]</f>
        <v>8.4000000000000005E-2</v>
      </c>
      <c r="U91" s="233">
        <f t="shared" si="15"/>
        <v>0.56325000000000003</v>
      </c>
      <c r="V91" s="218">
        <f t="shared" si="16"/>
        <v>0.13</v>
      </c>
      <c r="W91" s="234">
        <f t="shared" si="17"/>
        <v>0.13</v>
      </c>
      <c r="X91" s="233">
        <f t="shared" si="18"/>
        <v>0.54155249999999999</v>
      </c>
      <c r="Y91" s="233">
        <f t="shared" si="19"/>
        <v>9.4920000000000004E-2</v>
      </c>
      <c r="Z91" s="233">
        <f t="shared" si="20"/>
        <v>0.64</v>
      </c>
      <c r="AA91" s="232">
        <f>+Table1[[#This Row],[calculated sale price]]</f>
        <v>0.64</v>
      </c>
      <c r="AB91" s="231"/>
      <c r="AC91" s="230"/>
      <c r="AD91" s="229"/>
      <c r="AE91" s="229" t="e">
        <f>[5]!Table1[[#This Row],[cost per quantity]]*(1+'[5]P&amp;L'!$P$8)</f>
        <v>#REF!</v>
      </c>
      <c r="AF91" s="229" t="e">
        <f>$AF$8*[5]!Table1[[#This Row],[man minutes]]*(1+'[5]P&amp;L'!$P$9)</f>
        <v>#REF!</v>
      </c>
      <c r="AG91" s="229"/>
      <c r="AH91" s="229"/>
      <c r="AI91" s="229" t="e">
        <f>Table1[[#This Row],[Food cost w/ MU]]+Table1[[#This Row],[labor cost W/ MU]]</f>
        <v>#REF!</v>
      </c>
      <c r="AJ91" s="228"/>
    </row>
    <row r="92" spans="1:36" x14ac:dyDescent="0.25">
      <c r="A92" s="219">
        <v>10083</v>
      </c>
      <c r="B92" s="215" t="s">
        <v>450</v>
      </c>
      <c r="C92" s="219">
        <v>1</v>
      </c>
      <c r="I92" s="219"/>
      <c r="J92" s="219"/>
      <c r="K92" s="219"/>
      <c r="L92" s="223"/>
      <c r="M92" s="219"/>
      <c r="N92" s="227"/>
      <c r="O92" s="226">
        <v>0.3</v>
      </c>
      <c r="P92" s="226">
        <f>Table1[[#This Row],[unit cost]]*1.065</f>
        <v>0.31949999999999995</v>
      </c>
      <c r="Q92" s="224">
        <v>0.2</v>
      </c>
      <c r="R92" s="219">
        <v>1</v>
      </c>
      <c r="S92" s="235">
        <f t="shared" si="14"/>
        <v>0.42</v>
      </c>
      <c r="T92" s="233">
        <f>Table1[[#This Row],[man minutes]]*Table1[[#This Row],[labor rate]]</f>
        <v>8.4000000000000005E-2</v>
      </c>
      <c r="U92" s="233">
        <f t="shared" si="15"/>
        <v>0.40349999999999997</v>
      </c>
      <c r="V92" s="218">
        <f t="shared" si="16"/>
        <v>0.13</v>
      </c>
      <c r="W92" s="234">
        <f t="shared" si="17"/>
        <v>0.13</v>
      </c>
      <c r="X92" s="233">
        <f t="shared" si="18"/>
        <v>0.36103499999999988</v>
      </c>
      <c r="Y92" s="233">
        <f t="shared" si="19"/>
        <v>9.4920000000000004E-2</v>
      </c>
      <c r="Z92" s="233">
        <f t="shared" si="20"/>
        <v>0.46</v>
      </c>
      <c r="AA92" s="232">
        <f>+Table1[[#This Row],[calculated sale price]]</f>
        <v>0.46</v>
      </c>
      <c r="AB92" s="231"/>
      <c r="AC92" s="230"/>
      <c r="AD92" s="229"/>
      <c r="AE92" s="229" t="e">
        <f>[5]!Table1[[#This Row],[cost per quantity]]*(1+'[5]P&amp;L'!$P$8)</f>
        <v>#REF!</v>
      </c>
      <c r="AF92" s="229" t="e">
        <f>$AF$8*[5]!Table1[[#This Row],[man minutes]]*(1+'[5]P&amp;L'!$P$9)</f>
        <v>#REF!</v>
      </c>
      <c r="AG92" s="229"/>
      <c r="AH92" s="229"/>
      <c r="AI92" s="229" t="e">
        <f>Table1[[#This Row],[Food cost w/ MU]]+Table1[[#This Row],[labor cost W/ MU]]</f>
        <v>#REF!</v>
      </c>
      <c r="AJ92" s="228"/>
    </row>
    <row r="93" spans="1:36" x14ac:dyDescent="0.25">
      <c r="A93" s="219">
        <v>10084</v>
      </c>
      <c r="B93" s="215" t="s">
        <v>449</v>
      </c>
      <c r="C93" s="219">
        <v>1</v>
      </c>
      <c r="I93" s="219"/>
      <c r="J93" s="219"/>
      <c r="K93" s="219"/>
      <c r="L93" s="223"/>
      <c r="M93" s="219"/>
      <c r="N93" s="227"/>
      <c r="O93" s="226">
        <v>1.4693000000000001</v>
      </c>
      <c r="P93" s="226">
        <f>Table1[[#This Row],[unit cost]]*1.065</f>
        <v>1.5648044999999999</v>
      </c>
      <c r="Q93" s="224">
        <v>4.5</v>
      </c>
      <c r="R93" s="219">
        <v>1</v>
      </c>
      <c r="S93" s="235">
        <f t="shared" si="14"/>
        <v>0.42</v>
      </c>
      <c r="T93" s="233">
        <f>Table1[[#This Row],[man minutes]]*Table1[[#This Row],[labor rate]]</f>
        <v>1.89</v>
      </c>
      <c r="U93" s="233">
        <f t="shared" si="15"/>
        <v>3.4548044999999998</v>
      </c>
      <c r="V93" s="218">
        <f t="shared" si="16"/>
        <v>0.13</v>
      </c>
      <c r="W93" s="234">
        <f t="shared" si="17"/>
        <v>0.13</v>
      </c>
      <c r="X93" s="233">
        <f t="shared" si="18"/>
        <v>1.7682290849999998</v>
      </c>
      <c r="Y93" s="233">
        <f t="shared" si="19"/>
        <v>2.1356999999999999</v>
      </c>
      <c r="Z93" s="233">
        <f t="shared" si="20"/>
        <v>3.9099999999999997</v>
      </c>
      <c r="AA93" s="232">
        <f>+Table1[[#This Row],[calculated sale price]]</f>
        <v>3.9099999999999997</v>
      </c>
      <c r="AB93" s="231"/>
      <c r="AC93" s="230"/>
      <c r="AD93" s="229"/>
      <c r="AE93" s="229" t="e">
        <f>[5]!Table1[[#This Row],[cost per quantity]]*(1+'[5]P&amp;L'!$P$8)</f>
        <v>#REF!</v>
      </c>
      <c r="AF93" s="229" t="e">
        <f>$AF$8*[5]!Table1[[#This Row],[man minutes]]*(1+'[5]P&amp;L'!$P$9)</f>
        <v>#REF!</v>
      </c>
      <c r="AG93" s="229"/>
      <c r="AH93" s="229"/>
      <c r="AI93" s="229" t="e">
        <f>Table1[[#This Row],[Food cost w/ MU]]+Table1[[#This Row],[labor cost W/ MU]]</f>
        <v>#REF!</v>
      </c>
      <c r="AJ93" s="228"/>
    </row>
    <row r="94" spans="1:36" x14ac:dyDescent="0.25">
      <c r="A94" s="219">
        <v>10085</v>
      </c>
      <c r="B94" s="215" t="s">
        <v>448</v>
      </c>
      <c r="C94" s="219">
        <v>1</v>
      </c>
      <c r="I94" s="219"/>
      <c r="J94" s="219"/>
      <c r="K94" s="219"/>
      <c r="L94" s="223"/>
      <c r="M94" s="219"/>
      <c r="N94" s="227"/>
      <c r="O94" s="226">
        <v>1.4693000000000001</v>
      </c>
      <c r="P94" s="226">
        <f>Table1[[#This Row],[unit cost]]*1.065</f>
        <v>1.5648044999999999</v>
      </c>
      <c r="Q94" s="224">
        <v>4.5</v>
      </c>
      <c r="R94" s="219">
        <v>1</v>
      </c>
      <c r="S94" s="235">
        <f t="shared" si="14"/>
        <v>0.42</v>
      </c>
      <c r="T94" s="233">
        <f>Table1[[#This Row],[man minutes]]*Table1[[#This Row],[labor rate]]</f>
        <v>1.89</v>
      </c>
      <c r="U94" s="233">
        <f t="shared" si="15"/>
        <v>3.4548044999999998</v>
      </c>
      <c r="V94" s="218">
        <f t="shared" si="16"/>
        <v>0.13</v>
      </c>
      <c r="W94" s="234">
        <f t="shared" si="17"/>
        <v>0.13</v>
      </c>
      <c r="X94" s="233">
        <f t="shared" si="18"/>
        <v>1.7682290849999998</v>
      </c>
      <c r="Y94" s="233">
        <f t="shared" si="19"/>
        <v>2.1356999999999999</v>
      </c>
      <c r="Z94" s="233">
        <f t="shared" si="20"/>
        <v>3.9099999999999997</v>
      </c>
      <c r="AA94" s="232">
        <f>+Table1[[#This Row],[calculated sale price]]</f>
        <v>3.9099999999999997</v>
      </c>
      <c r="AB94" s="231"/>
      <c r="AC94" s="230"/>
      <c r="AD94" s="229"/>
      <c r="AE94" s="229" t="e">
        <f>[5]!Table1[[#This Row],[cost per quantity]]*(1+'[5]P&amp;L'!$P$8)</f>
        <v>#REF!</v>
      </c>
      <c r="AF94" s="229" t="e">
        <f>$AF$8*[5]!Table1[[#This Row],[man minutes]]*(1+'[5]P&amp;L'!$P$9)</f>
        <v>#REF!</v>
      </c>
      <c r="AG94" s="229"/>
      <c r="AH94" s="229"/>
      <c r="AI94" s="229" t="e">
        <f>Table1[[#This Row],[Food cost w/ MU]]+Table1[[#This Row],[labor cost W/ MU]]</f>
        <v>#REF!</v>
      </c>
      <c r="AJ94" s="228"/>
    </row>
    <row r="95" spans="1:36" x14ac:dyDescent="0.25">
      <c r="A95" s="219">
        <v>10086</v>
      </c>
      <c r="B95" s="215" t="s">
        <v>447</v>
      </c>
      <c r="C95" s="219">
        <v>1</v>
      </c>
      <c r="I95" s="219"/>
      <c r="J95" s="219"/>
      <c r="K95" s="219"/>
      <c r="L95" s="223"/>
      <c r="M95" s="219"/>
      <c r="N95" s="227"/>
      <c r="O95" s="226">
        <v>0.05</v>
      </c>
      <c r="P95" s="226">
        <f>Table1[[#This Row],[unit cost]]*1.065</f>
        <v>5.3249999999999999E-2</v>
      </c>
      <c r="Q95" s="224">
        <v>0.2</v>
      </c>
      <c r="R95" s="219">
        <v>1</v>
      </c>
      <c r="S95" s="235">
        <f t="shared" si="14"/>
        <v>0.42</v>
      </c>
      <c r="T95" s="233">
        <f>Table1[[#This Row],[man minutes]]*Table1[[#This Row],[labor rate]]</f>
        <v>8.4000000000000005E-2</v>
      </c>
      <c r="U95" s="233">
        <f t="shared" si="15"/>
        <v>0.13725000000000001</v>
      </c>
      <c r="V95" s="218">
        <f t="shared" si="16"/>
        <v>0.13</v>
      </c>
      <c r="W95" s="234">
        <f t="shared" si="17"/>
        <v>0.13</v>
      </c>
      <c r="X95" s="233">
        <f t="shared" si="18"/>
        <v>6.017249999999999E-2</v>
      </c>
      <c r="Y95" s="233">
        <f t="shared" si="19"/>
        <v>9.4920000000000004E-2</v>
      </c>
      <c r="Z95" s="233">
        <f t="shared" si="20"/>
        <v>0.16</v>
      </c>
      <c r="AA95" s="232">
        <f>+Table1[[#This Row],[calculated sale price]]</f>
        <v>0.16</v>
      </c>
      <c r="AB95" s="231"/>
      <c r="AC95" s="230"/>
      <c r="AD95" s="229"/>
      <c r="AE95" s="229" t="e">
        <f>[5]!Table1[[#This Row],[cost per quantity]]*(1+'[5]P&amp;L'!$P$8)</f>
        <v>#REF!</v>
      </c>
      <c r="AF95" s="229" t="e">
        <f>$AF$8*[5]!Table1[[#This Row],[man minutes]]*(1+'[5]P&amp;L'!$P$9)</f>
        <v>#REF!</v>
      </c>
      <c r="AG95" s="229"/>
      <c r="AH95" s="229"/>
      <c r="AI95" s="229" t="e">
        <f>Table1[[#This Row],[Food cost w/ MU]]+Table1[[#This Row],[labor cost W/ MU]]</f>
        <v>#REF!</v>
      </c>
      <c r="AJ95" s="228"/>
    </row>
    <row r="96" spans="1:36" x14ac:dyDescent="0.25">
      <c r="A96" s="219">
        <v>10087</v>
      </c>
      <c r="B96" s="215" t="s">
        <v>446</v>
      </c>
      <c r="C96" s="219">
        <v>1</v>
      </c>
      <c r="I96" s="219"/>
      <c r="J96" s="219"/>
      <c r="K96" s="219"/>
      <c r="L96" s="223"/>
      <c r="M96" s="219"/>
      <c r="N96" s="227"/>
      <c r="O96" s="226">
        <v>7.0000000000000007E-2</v>
      </c>
      <c r="P96" s="226">
        <f>Table1[[#This Row],[unit cost]]*1.065</f>
        <v>7.4550000000000005E-2</v>
      </c>
      <c r="Q96" s="224">
        <v>0.2</v>
      </c>
      <c r="R96" s="219">
        <v>1</v>
      </c>
      <c r="S96" s="235">
        <f t="shared" si="14"/>
        <v>0.42</v>
      </c>
      <c r="T96" s="233">
        <f>Table1[[#This Row],[man minutes]]*Table1[[#This Row],[labor rate]]</f>
        <v>8.4000000000000005E-2</v>
      </c>
      <c r="U96" s="233">
        <f t="shared" si="15"/>
        <v>0.15855000000000002</v>
      </c>
      <c r="V96" s="218">
        <f t="shared" si="16"/>
        <v>0.13</v>
      </c>
      <c r="W96" s="234">
        <f t="shared" si="17"/>
        <v>0.13</v>
      </c>
      <c r="X96" s="233">
        <f t="shared" si="18"/>
        <v>8.4241499999999997E-2</v>
      </c>
      <c r="Y96" s="233">
        <f t="shared" si="19"/>
        <v>9.4920000000000004E-2</v>
      </c>
      <c r="Z96" s="233">
        <f t="shared" si="20"/>
        <v>0.18000000000000002</v>
      </c>
      <c r="AA96" s="232">
        <f>+Table1[[#This Row],[calculated sale price]]</f>
        <v>0.18000000000000002</v>
      </c>
      <c r="AB96" s="231"/>
      <c r="AC96" s="230"/>
      <c r="AD96" s="229"/>
      <c r="AE96" s="229" t="e">
        <f>[5]!Table1[[#This Row],[cost per quantity]]*(1+'[5]P&amp;L'!$P$8)</f>
        <v>#REF!</v>
      </c>
      <c r="AF96" s="229" t="e">
        <f>$AF$8*[5]!Table1[[#This Row],[man minutes]]*(1+'[5]P&amp;L'!$P$9)</f>
        <v>#REF!</v>
      </c>
      <c r="AG96" s="229"/>
      <c r="AH96" s="229"/>
      <c r="AI96" s="229" t="e">
        <f>Table1[[#This Row],[Food cost w/ MU]]+Table1[[#This Row],[labor cost W/ MU]]</f>
        <v>#REF!</v>
      </c>
      <c r="AJ96" s="228"/>
    </row>
    <row r="97" spans="1:36" x14ac:dyDescent="0.25">
      <c r="A97" s="219">
        <v>10088</v>
      </c>
      <c r="B97" s="215" t="s">
        <v>445</v>
      </c>
      <c r="C97" s="219">
        <v>1</v>
      </c>
      <c r="I97" s="219"/>
      <c r="J97" s="219"/>
      <c r="K97" s="219"/>
      <c r="L97" s="223"/>
      <c r="M97" s="219"/>
      <c r="N97" s="227"/>
      <c r="O97" s="226">
        <v>0.56540000000000001</v>
      </c>
      <c r="P97" s="226">
        <f>Table1[[#This Row],[unit cost]]*1.065</f>
        <v>0.60215099999999999</v>
      </c>
      <c r="Q97" s="224">
        <v>0.2</v>
      </c>
      <c r="R97" s="219">
        <v>1</v>
      </c>
      <c r="S97" s="235">
        <f t="shared" si="14"/>
        <v>0.42</v>
      </c>
      <c r="T97" s="233">
        <f>Table1[[#This Row],[man minutes]]*Table1[[#This Row],[labor rate]]</f>
        <v>8.4000000000000005E-2</v>
      </c>
      <c r="U97" s="233">
        <f t="shared" si="15"/>
        <v>0.68615099999999996</v>
      </c>
      <c r="V97" s="218">
        <f t="shared" si="16"/>
        <v>0.13</v>
      </c>
      <c r="W97" s="234">
        <f t="shared" si="17"/>
        <v>0.13</v>
      </c>
      <c r="X97" s="233">
        <f t="shared" si="18"/>
        <v>0.68043062999999993</v>
      </c>
      <c r="Y97" s="233">
        <f t="shared" si="19"/>
        <v>9.4920000000000004E-2</v>
      </c>
      <c r="Z97" s="233">
        <f t="shared" si="20"/>
        <v>0.78</v>
      </c>
      <c r="AA97" s="232">
        <f>+Table1[[#This Row],[calculated sale price]]</f>
        <v>0.78</v>
      </c>
      <c r="AB97" s="231"/>
      <c r="AC97" s="230"/>
      <c r="AD97" s="229"/>
      <c r="AE97" s="229" t="e">
        <f>[5]!Table1[[#This Row],[cost per quantity]]*(1+'[5]P&amp;L'!$P$8)</f>
        <v>#REF!</v>
      </c>
      <c r="AF97" s="229" t="e">
        <f>$AF$8*[5]!Table1[[#This Row],[man minutes]]*(1+'[5]P&amp;L'!$P$9)</f>
        <v>#REF!</v>
      </c>
      <c r="AG97" s="229"/>
      <c r="AH97" s="229"/>
      <c r="AI97" s="229" t="e">
        <f>Table1[[#This Row],[Food cost w/ MU]]+Table1[[#This Row],[labor cost W/ MU]]</f>
        <v>#REF!</v>
      </c>
      <c r="AJ97" s="228"/>
    </row>
    <row r="98" spans="1:36" x14ac:dyDescent="0.25">
      <c r="A98" s="219">
        <v>10089</v>
      </c>
      <c r="B98" s="215" t="s">
        <v>444</v>
      </c>
      <c r="C98" s="219">
        <v>1</v>
      </c>
      <c r="I98" s="219"/>
      <c r="J98" s="219"/>
      <c r="K98" s="219"/>
      <c r="L98" s="223"/>
      <c r="M98" s="219"/>
      <c r="N98" s="227"/>
      <c r="O98" s="226">
        <v>0.55000000000000004</v>
      </c>
      <c r="P98" s="226">
        <f>Table1[[#This Row],[unit cost]]*1.065</f>
        <v>0.58574999999999999</v>
      </c>
      <c r="Q98" s="224">
        <v>0.2</v>
      </c>
      <c r="R98" s="219">
        <v>1</v>
      </c>
      <c r="S98" s="235">
        <f t="shared" si="14"/>
        <v>0.42</v>
      </c>
      <c r="T98" s="233">
        <f>Table1[[#This Row],[man minutes]]*Table1[[#This Row],[labor rate]]</f>
        <v>8.4000000000000005E-2</v>
      </c>
      <c r="U98" s="233">
        <f t="shared" si="15"/>
        <v>0.66974999999999996</v>
      </c>
      <c r="V98" s="218">
        <f t="shared" si="16"/>
        <v>0.13</v>
      </c>
      <c r="W98" s="234">
        <f t="shared" si="17"/>
        <v>0.13</v>
      </c>
      <c r="X98" s="233">
        <f t="shared" si="18"/>
        <v>0.66189749999999992</v>
      </c>
      <c r="Y98" s="233">
        <f t="shared" si="19"/>
        <v>9.4920000000000004E-2</v>
      </c>
      <c r="Z98" s="233">
        <f t="shared" si="20"/>
        <v>0.76</v>
      </c>
      <c r="AA98" s="232">
        <f>+Table1[[#This Row],[calculated sale price]]</f>
        <v>0.76</v>
      </c>
      <c r="AB98" s="231"/>
      <c r="AC98" s="230"/>
      <c r="AD98" s="229"/>
      <c r="AE98" s="229" t="e">
        <f>[5]!Table1[[#This Row],[cost per quantity]]*(1+'[5]P&amp;L'!$P$8)</f>
        <v>#REF!</v>
      </c>
      <c r="AF98" s="229" t="e">
        <f>$AF$8*[5]!Table1[[#This Row],[man minutes]]*(1+'[5]P&amp;L'!$P$9)</f>
        <v>#REF!</v>
      </c>
      <c r="AG98" s="229"/>
      <c r="AH98" s="229"/>
      <c r="AI98" s="229" t="e">
        <f>Table1[[#This Row],[Food cost w/ MU]]+Table1[[#This Row],[labor cost W/ MU]]</f>
        <v>#REF!</v>
      </c>
      <c r="AJ98" s="228"/>
    </row>
    <row r="99" spans="1:36" x14ac:dyDescent="0.25">
      <c r="A99" s="219">
        <v>10090</v>
      </c>
      <c r="B99" s="215" t="s">
        <v>443</v>
      </c>
      <c r="C99" s="219">
        <v>1</v>
      </c>
      <c r="I99" s="219"/>
      <c r="J99" s="219"/>
      <c r="K99" s="219"/>
      <c r="L99" s="223"/>
      <c r="M99" s="219"/>
      <c r="N99" s="227"/>
      <c r="O99" s="226">
        <v>7.0000000000000007E-2</v>
      </c>
      <c r="P99" s="226">
        <f>Table1[[#This Row],[unit cost]]*1.065</f>
        <v>7.4550000000000005E-2</v>
      </c>
      <c r="Q99" s="224">
        <v>0.2</v>
      </c>
      <c r="R99" s="219">
        <v>1</v>
      </c>
      <c r="S99" s="235">
        <f t="shared" si="14"/>
        <v>0.42</v>
      </c>
      <c r="T99" s="233">
        <f>Table1[[#This Row],[man minutes]]*Table1[[#This Row],[labor rate]]</f>
        <v>8.4000000000000005E-2</v>
      </c>
      <c r="U99" s="233">
        <f t="shared" si="15"/>
        <v>0.15855000000000002</v>
      </c>
      <c r="V99" s="218">
        <f t="shared" si="16"/>
        <v>0.13</v>
      </c>
      <c r="W99" s="234">
        <f t="shared" si="17"/>
        <v>0.13</v>
      </c>
      <c r="X99" s="233">
        <f t="shared" si="18"/>
        <v>8.4241499999999997E-2</v>
      </c>
      <c r="Y99" s="233">
        <f t="shared" si="19"/>
        <v>9.4920000000000004E-2</v>
      </c>
      <c r="Z99" s="233">
        <f t="shared" si="20"/>
        <v>0.18000000000000002</v>
      </c>
      <c r="AA99" s="232">
        <f>+Table1[[#This Row],[calculated sale price]]</f>
        <v>0.18000000000000002</v>
      </c>
      <c r="AB99" s="231"/>
      <c r="AC99" s="230"/>
      <c r="AD99" s="229"/>
      <c r="AE99" s="229" t="e">
        <f>[5]!Table1[[#This Row],[cost per quantity]]*(1+'[5]P&amp;L'!$P$8)</f>
        <v>#REF!</v>
      </c>
      <c r="AF99" s="229" t="e">
        <f>$AF$8*[5]!Table1[[#This Row],[man minutes]]*(1+'[5]P&amp;L'!$P$9)</f>
        <v>#REF!</v>
      </c>
      <c r="AG99" s="229"/>
      <c r="AH99" s="229"/>
      <c r="AI99" s="229" t="e">
        <f>Table1[[#This Row],[Food cost w/ MU]]+Table1[[#This Row],[labor cost W/ MU]]</f>
        <v>#REF!</v>
      </c>
      <c r="AJ99" s="228"/>
    </row>
    <row r="100" spans="1:36" x14ac:dyDescent="0.25">
      <c r="A100" s="219">
        <v>10091</v>
      </c>
      <c r="B100" s="215" t="s">
        <v>442</v>
      </c>
      <c r="C100" s="219">
        <v>1</v>
      </c>
      <c r="I100" s="219"/>
      <c r="J100" s="219"/>
      <c r="K100" s="219"/>
      <c r="L100" s="223"/>
      <c r="M100" s="219"/>
      <c r="N100" s="227"/>
      <c r="O100" s="226">
        <v>0.86499999999999999</v>
      </c>
      <c r="P100" s="226">
        <f>Table1[[#This Row],[unit cost]]*1.065</f>
        <v>0.92122499999999996</v>
      </c>
      <c r="Q100" s="224">
        <v>0.2</v>
      </c>
      <c r="R100" s="219">
        <v>1</v>
      </c>
      <c r="S100" s="235">
        <f t="shared" si="14"/>
        <v>0.42</v>
      </c>
      <c r="T100" s="233">
        <f>Table1[[#This Row],[man minutes]]*Table1[[#This Row],[labor rate]]</f>
        <v>8.4000000000000005E-2</v>
      </c>
      <c r="U100" s="233">
        <f t="shared" si="15"/>
        <v>1.005225</v>
      </c>
      <c r="V100" s="218">
        <f t="shared" si="16"/>
        <v>0.13</v>
      </c>
      <c r="W100" s="234">
        <f t="shared" si="17"/>
        <v>0.13</v>
      </c>
      <c r="X100" s="233">
        <f t="shared" si="18"/>
        <v>1.0409842499999999</v>
      </c>
      <c r="Y100" s="233">
        <f t="shared" si="19"/>
        <v>9.4920000000000004E-2</v>
      </c>
      <c r="Z100" s="233">
        <f t="shared" si="20"/>
        <v>1.1399999999999999</v>
      </c>
      <c r="AA100" s="232">
        <f>+Table1[[#This Row],[calculated sale price]]</f>
        <v>1.1399999999999999</v>
      </c>
      <c r="AB100" s="231"/>
      <c r="AC100" s="230"/>
      <c r="AD100" s="229"/>
      <c r="AE100" s="229" t="e">
        <f>[5]!Table1[[#This Row],[cost per quantity]]*(1+'[5]P&amp;L'!$P$8)</f>
        <v>#REF!</v>
      </c>
      <c r="AF100" s="229" t="e">
        <f>$AF$8*[5]!Table1[[#This Row],[man minutes]]*(1+'[5]P&amp;L'!$P$9)</f>
        <v>#REF!</v>
      </c>
      <c r="AG100" s="229"/>
      <c r="AH100" s="229"/>
      <c r="AI100" s="229" t="e">
        <f>Table1[[#This Row],[Food cost w/ MU]]+Table1[[#This Row],[labor cost W/ MU]]</f>
        <v>#REF!</v>
      </c>
      <c r="AJ100" s="228"/>
    </row>
    <row r="101" spans="1:36" x14ac:dyDescent="0.25">
      <c r="A101" s="219">
        <v>10092</v>
      </c>
      <c r="B101" s="215" t="s">
        <v>441</v>
      </c>
      <c r="C101" s="219">
        <v>1</v>
      </c>
      <c r="I101" s="219"/>
      <c r="J101" s="219"/>
      <c r="K101" s="219"/>
      <c r="L101" s="223"/>
      <c r="M101" s="219"/>
      <c r="N101" s="227"/>
      <c r="O101" s="226">
        <v>11.773</v>
      </c>
      <c r="P101" s="226">
        <f>Table1[[#This Row],[unit cost]]*1.065</f>
        <v>12.538245</v>
      </c>
      <c r="Q101" s="224">
        <v>8</v>
      </c>
      <c r="R101" s="219">
        <v>1</v>
      </c>
      <c r="S101" s="235">
        <f t="shared" si="14"/>
        <v>0.42</v>
      </c>
      <c r="T101" s="233">
        <f>Table1[[#This Row],[man minutes]]*Table1[[#This Row],[labor rate]]</f>
        <v>3.36</v>
      </c>
      <c r="U101" s="233">
        <f t="shared" si="15"/>
        <v>15.898244999999999</v>
      </c>
      <c r="V101" s="218">
        <f t="shared" si="16"/>
        <v>0.13</v>
      </c>
      <c r="W101" s="234">
        <f t="shared" si="17"/>
        <v>0.13</v>
      </c>
      <c r="X101" s="233">
        <f t="shared" si="18"/>
        <v>14.168216849999999</v>
      </c>
      <c r="Y101" s="233">
        <f t="shared" si="19"/>
        <v>3.7967999999999997</v>
      </c>
      <c r="Z101" s="233">
        <f t="shared" si="20"/>
        <v>17.970000000000002</v>
      </c>
      <c r="AA101" s="232">
        <f>+Table1[[#This Row],[calculated sale price]]</f>
        <v>17.970000000000002</v>
      </c>
      <c r="AB101" s="231"/>
      <c r="AC101" s="230"/>
      <c r="AD101" s="229"/>
      <c r="AE101" s="229" t="e">
        <f>[5]!Table1[[#This Row],[cost per quantity]]*(1+'[5]P&amp;L'!$P$8)</f>
        <v>#REF!</v>
      </c>
      <c r="AF101" s="229" t="e">
        <f>$AF$8*[5]!Table1[[#This Row],[man minutes]]*(1+'[5]P&amp;L'!$P$9)</f>
        <v>#REF!</v>
      </c>
      <c r="AG101" s="229"/>
      <c r="AH101" s="229"/>
      <c r="AI101" s="229" t="e">
        <f>Table1[[#This Row],[Food cost w/ MU]]+Table1[[#This Row],[labor cost W/ MU]]</f>
        <v>#REF!</v>
      </c>
      <c r="AJ101" s="228"/>
    </row>
    <row r="102" spans="1:36" x14ac:dyDescent="0.25">
      <c r="A102" s="219">
        <v>10093</v>
      </c>
      <c r="B102" s="215" t="s">
        <v>440</v>
      </c>
      <c r="C102" s="219">
        <v>1</v>
      </c>
      <c r="I102" s="219"/>
      <c r="J102" s="219"/>
      <c r="K102" s="219"/>
      <c r="L102" s="223"/>
      <c r="M102" s="219"/>
      <c r="N102" s="227"/>
      <c r="O102" s="226">
        <v>1.52155</v>
      </c>
      <c r="P102" s="226">
        <f>Table1[[#This Row],[unit cost]]*1.065</f>
        <v>1.6204507499999998</v>
      </c>
      <c r="Q102" s="224">
        <v>2.5</v>
      </c>
      <c r="R102" s="219">
        <v>1</v>
      </c>
      <c r="S102" s="235">
        <f t="shared" si="14"/>
        <v>0.42</v>
      </c>
      <c r="T102" s="233">
        <f>Table1[[#This Row],[man minutes]]*Table1[[#This Row],[labor rate]]</f>
        <v>1.05</v>
      </c>
      <c r="U102" s="233">
        <f t="shared" si="15"/>
        <v>2.6704507499999997</v>
      </c>
      <c r="V102" s="218">
        <f t="shared" si="16"/>
        <v>0.13</v>
      </c>
      <c r="W102" s="234">
        <f t="shared" si="17"/>
        <v>0.13</v>
      </c>
      <c r="X102" s="233">
        <f t="shared" si="18"/>
        <v>1.8311093474999995</v>
      </c>
      <c r="Y102" s="233">
        <f t="shared" si="19"/>
        <v>1.1865000000000001</v>
      </c>
      <c r="Z102" s="233">
        <f t="shared" si="20"/>
        <v>3.0199999999999996</v>
      </c>
      <c r="AA102" s="232">
        <f>+Table1[[#This Row],[calculated sale price]]</f>
        <v>3.0199999999999996</v>
      </c>
      <c r="AB102" s="231"/>
      <c r="AC102" s="230"/>
      <c r="AD102" s="229"/>
      <c r="AE102" s="229" t="e">
        <f>[5]!Table1[[#This Row],[cost per quantity]]*(1+'[5]P&amp;L'!$P$8)</f>
        <v>#REF!</v>
      </c>
      <c r="AF102" s="229" t="e">
        <f>$AF$8*[5]!Table1[[#This Row],[man minutes]]*(1+'[5]P&amp;L'!$P$9)</f>
        <v>#REF!</v>
      </c>
      <c r="AG102" s="229"/>
      <c r="AH102" s="229"/>
      <c r="AI102" s="229" t="e">
        <f>Table1[[#This Row],[Food cost w/ MU]]+Table1[[#This Row],[labor cost W/ MU]]</f>
        <v>#REF!</v>
      </c>
      <c r="AJ102" s="236">
        <v>20240830</v>
      </c>
    </row>
    <row r="103" spans="1:36" x14ac:dyDescent="0.25">
      <c r="A103" s="219">
        <v>10094</v>
      </c>
      <c r="B103" s="215" t="s">
        <v>439</v>
      </c>
      <c r="C103" s="219">
        <v>1</v>
      </c>
      <c r="I103" s="219"/>
      <c r="J103" s="219"/>
      <c r="K103" s="219"/>
      <c r="L103" s="223"/>
      <c r="M103" s="219"/>
      <c r="N103" s="227"/>
      <c r="O103" s="226">
        <v>1.6574614000000001</v>
      </c>
      <c r="P103" s="226">
        <f>Table1[[#This Row],[unit cost]]*1.065</f>
        <v>1.7651963909999999</v>
      </c>
      <c r="Q103" s="224">
        <v>1.5</v>
      </c>
      <c r="R103" s="219">
        <v>1</v>
      </c>
      <c r="S103" s="235">
        <f t="shared" si="14"/>
        <v>0.42</v>
      </c>
      <c r="T103" s="233">
        <f>Table1[[#This Row],[man minutes]]*Table1[[#This Row],[labor rate]]</f>
        <v>0.63</v>
      </c>
      <c r="U103" s="233">
        <f t="shared" si="15"/>
        <v>2.3951963909999998</v>
      </c>
      <c r="V103" s="218">
        <f t="shared" si="16"/>
        <v>0.13</v>
      </c>
      <c r="W103" s="234">
        <f t="shared" si="17"/>
        <v>0.13</v>
      </c>
      <c r="X103" s="233">
        <f t="shared" si="18"/>
        <v>1.9946719218299998</v>
      </c>
      <c r="Y103" s="233">
        <f t="shared" si="19"/>
        <v>0.71189999999999998</v>
      </c>
      <c r="Z103" s="233">
        <f t="shared" si="20"/>
        <v>2.71</v>
      </c>
      <c r="AA103" s="232">
        <f>+Table1[[#This Row],[calculated sale price]]</f>
        <v>2.71</v>
      </c>
      <c r="AB103" s="231"/>
      <c r="AC103" s="230"/>
      <c r="AD103" s="229"/>
      <c r="AE103" s="229" t="e">
        <f>[5]!Table1[[#This Row],[cost per quantity]]*(1+'[5]P&amp;L'!$P$8)</f>
        <v>#REF!</v>
      </c>
      <c r="AF103" s="229" t="e">
        <f>$AF$8*[5]!Table1[[#This Row],[man minutes]]*(1+'[5]P&amp;L'!$P$9)</f>
        <v>#REF!</v>
      </c>
      <c r="AG103" s="229"/>
      <c r="AH103" s="229"/>
      <c r="AI103" s="229" t="e">
        <f>Table1[[#This Row],[Food cost w/ MU]]+Table1[[#This Row],[labor cost W/ MU]]</f>
        <v>#REF!</v>
      </c>
      <c r="AJ103" s="236">
        <v>20240830</v>
      </c>
    </row>
    <row r="104" spans="1:36" x14ac:dyDescent="0.25">
      <c r="A104" s="219">
        <v>10095</v>
      </c>
      <c r="B104" s="215" t="s">
        <v>438</v>
      </c>
      <c r="C104" s="219">
        <v>1</v>
      </c>
      <c r="I104" s="219"/>
      <c r="J104" s="219"/>
      <c r="K104" s="219"/>
      <c r="L104" s="223"/>
      <c r="M104" s="219"/>
      <c r="N104" s="227"/>
      <c r="O104" s="226">
        <v>2.0512907</v>
      </c>
      <c r="P104" s="226">
        <f>Table1[[#This Row],[unit cost]]*1.065</f>
        <v>2.1846245954999999</v>
      </c>
      <c r="Q104" s="224">
        <v>3</v>
      </c>
      <c r="R104" s="219">
        <v>1</v>
      </c>
      <c r="S104" s="235">
        <f t="shared" si="14"/>
        <v>0.42</v>
      </c>
      <c r="T104" s="233">
        <f>Table1[[#This Row],[man minutes]]*Table1[[#This Row],[labor rate]]</f>
        <v>1.26</v>
      </c>
      <c r="U104" s="233">
        <f t="shared" si="15"/>
        <v>3.4446245954999997</v>
      </c>
      <c r="V104" s="218">
        <f t="shared" si="16"/>
        <v>0.13</v>
      </c>
      <c r="W104" s="234">
        <f t="shared" si="17"/>
        <v>0.13</v>
      </c>
      <c r="X104" s="233">
        <f t="shared" si="18"/>
        <v>2.4686257929149997</v>
      </c>
      <c r="Y104" s="233">
        <f t="shared" si="19"/>
        <v>1.4238</v>
      </c>
      <c r="Z104" s="233">
        <f t="shared" si="20"/>
        <v>3.9</v>
      </c>
      <c r="AA104" s="232">
        <f>+Table1[[#This Row],[calculated sale price]]</f>
        <v>3.9</v>
      </c>
      <c r="AB104" s="231"/>
      <c r="AC104" s="230"/>
      <c r="AD104" s="229"/>
      <c r="AE104" s="229" t="e">
        <f>[5]!Table1[[#This Row],[cost per quantity]]*(1+'[5]P&amp;L'!$P$8)</f>
        <v>#REF!</v>
      </c>
      <c r="AF104" s="229" t="e">
        <f>$AF$8*[5]!Table1[[#This Row],[man minutes]]*(1+'[5]P&amp;L'!$P$9)</f>
        <v>#REF!</v>
      </c>
      <c r="AG104" s="229"/>
      <c r="AH104" s="229"/>
      <c r="AI104" s="229" t="e">
        <f>Table1[[#This Row],[Food cost w/ MU]]+Table1[[#This Row],[labor cost W/ MU]]</f>
        <v>#REF!</v>
      </c>
      <c r="AJ104" s="236">
        <v>20240830</v>
      </c>
    </row>
    <row r="105" spans="1:36" x14ac:dyDescent="0.25">
      <c r="A105" s="219">
        <v>10096</v>
      </c>
      <c r="B105" s="215" t="s">
        <v>437</v>
      </c>
      <c r="C105" s="219">
        <v>1</v>
      </c>
      <c r="I105" s="219"/>
      <c r="J105" s="219"/>
      <c r="K105" s="219"/>
      <c r="L105" s="223"/>
      <c r="M105" s="219"/>
      <c r="N105" s="227"/>
      <c r="O105" s="226">
        <v>3.043060621</v>
      </c>
      <c r="P105" s="226">
        <f>Table1[[#This Row],[unit cost]]*1.065</f>
        <v>3.2408595613649998</v>
      </c>
      <c r="Q105" s="224">
        <v>3.5</v>
      </c>
      <c r="R105" s="219">
        <v>1</v>
      </c>
      <c r="S105" s="235">
        <f t="shared" si="14"/>
        <v>0.42</v>
      </c>
      <c r="T105" s="233">
        <f>Table1[[#This Row],[man minutes]]*Table1[[#This Row],[labor rate]]</f>
        <v>1.47</v>
      </c>
      <c r="U105" s="233">
        <f t="shared" si="15"/>
        <v>4.7108595613649999</v>
      </c>
      <c r="V105" s="218">
        <f t="shared" si="16"/>
        <v>0.13</v>
      </c>
      <c r="W105" s="234">
        <f t="shared" si="17"/>
        <v>0.13</v>
      </c>
      <c r="X105" s="233">
        <f t="shared" si="18"/>
        <v>3.6621713043424493</v>
      </c>
      <c r="Y105" s="233">
        <f t="shared" si="19"/>
        <v>1.6611</v>
      </c>
      <c r="Z105" s="233">
        <f t="shared" si="20"/>
        <v>5.33</v>
      </c>
      <c r="AA105" s="232">
        <f>+Table1[[#This Row],[calculated sale price]]</f>
        <v>5.33</v>
      </c>
      <c r="AB105" s="231"/>
      <c r="AC105" s="230"/>
      <c r="AD105" s="229"/>
      <c r="AE105" s="229" t="e">
        <f>[5]!Table1[[#This Row],[cost per quantity]]*(1+'[5]P&amp;L'!$P$8)</f>
        <v>#REF!</v>
      </c>
      <c r="AF105" s="229" t="e">
        <f>$AF$8*[5]!Table1[[#This Row],[man minutes]]*(1+'[5]P&amp;L'!$P$9)</f>
        <v>#REF!</v>
      </c>
      <c r="AG105" s="229"/>
      <c r="AH105" s="229"/>
      <c r="AI105" s="229" t="e">
        <f>Table1[[#This Row],[Food cost w/ MU]]+Table1[[#This Row],[labor cost W/ MU]]</f>
        <v>#REF!</v>
      </c>
      <c r="AJ105" s="236">
        <v>20240830</v>
      </c>
    </row>
    <row r="106" spans="1:36" x14ac:dyDescent="0.25">
      <c r="A106" s="219">
        <v>10097</v>
      </c>
      <c r="B106" s="215" t="s">
        <v>436</v>
      </c>
      <c r="C106" s="219">
        <v>1</v>
      </c>
      <c r="I106" s="219"/>
      <c r="J106" s="219"/>
      <c r="K106" s="219"/>
      <c r="L106" s="223"/>
      <c r="M106" s="219"/>
      <c r="N106" s="227"/>
      <c r="O106" s="226">
        <v>0.46794799999999998</v>
      </c>
      <c r="P106" s="226">
        <f>Table1[[#This Row],[unit cost]]*1.065</f>
        <v>0.49836461999999992</v>
      </c>
      <c r="Q106" s="224">
        <v>2.5</v>
      </c>
      <c r="R106" s="219">
        <v>1</v>
      </c>
      <c r="S106" s="235">
        <f t="shared" ref="S106:S127" si="21">$S$2</f>
        <v>0.42</v>
      </c>
      <c r="T106" s="233">
        <f>Table1[[#This Row],[man minutes]]*Table1[[#This Row],[labor rate]]</f>
        <v>1.05</v>
      </c>
      <c r="U106" s="233">
        <f t="shared" ref="U106:U121" si="22">P106+T106</f>
        <v>1.5483646200000001</v>
      </c>
      <c r="V106" s="218">
        <f t="shared" ref="V106:V127" si="23">$V$2</f>
        <v>0.13</v>
      </c>
      <c r="W106" s="234">
        <f t="shared" ref="W106:W127" si="24">$W$2</f>
        <v>0.13</v>
      </c>
      <c r="X106" s="233">
        <f t="shared" ref="X106:X121" si="25">P106*(1+V106)</f>
        <v>0.56315202059999991</v>
      </c>
      <c r="Y106" s="233">
        <f t="shared" ref="Y106:Y127" si="26">T106+(T106*W106)</f>
        <v>1.1865000000000001</v>
      </c>
      <c r="Z106" s="233">
        <f t="shared" ref="Z106:Z127" si="27">IFERROR(ROUNDUP(X106+Y106,2)," ")</f>
        <v>1.75</v>
      </c>
      <c r="AA106" s="232">
        <f>+Table1[[#This Row],[calculated sale price]]</f>
        <v>1.75</v>
      </c>
      <c r="AB106" s="231"/>
      <c r="AC106" s="230"/>
      <c r="AD106" s="229"/>
      <c r="AE106" s="229" t="e">
        <f>[5]!Table1[[#This Row],[cost per quantity]]*(1+'[5]P&amp;L'!$P$8)</f>
        <v>#REF!</v>
      </c>
      <c r="AF106" s="229" t="e">
        <f>$AF$8*[5]!Table1[[#This Row],[man minutes]]*(1+'[5]P&amp;L'!$P$9)</f>
        <v>#REF!</v>
      </c>
      <c r="AG106" s="229"/>
      <c r="AH106" s="229"/>
      <c r="AI106" s="229" t="e">
        <f>Table1[[#This Row],[Food cost w/ MU]]+Table1[[#This Row],[labor cost W/ MU]]</f>
        <v>#REF!</v>
      </c>
      <c r="AJ106" s="236">
        <v>20240830</v>
      </c>
    </row>
    <row r="107" spans="1:36" x14ac:dyDescent="0.25">
      <c r="A107" s="219">
        <v>10098</v>
      </c>
      <c r="B107" s="215" t="s">
        <v>435</v>
      </c>
      <c r="C107" s="219">
        <v>1</v>
      </c>
      <c r="I107" s="219"/>
      <c r="J107" s="219"/>
      <c r="K107" s="219"/>
      <c r="L107" s="223"/>
      <c r="M107" s="219"/>
      <c r="N107" s="227"/>
      <c r="O107" s="226">
        <v>11.28536003</v>
      </c>
      <c r="P107" s="226">
        <f>Table1[[#This Row],[unit cost]]*1.065</f>
        <v>12.018908431949999</v>
      </c>
      <c r="Q107" s="224">
        <v>6</v>
      </c>
      <c r="R107" s="219">
        <v>1</v>
      </c>
      <c r="S107" s="235">
        <f t="shared" si="21"/>
        <v>0.42</v>
      </c>
      <c r="T107" s="233">
        <f>Table1[[#This Row],[man minutes]]*Table1[[#This Row],[labor rate]]</f>
        <v>2.52</v>
      </c>
      <c r="U107" s="233">
        <f t="shared" si="22"/>
        <v>14.538908431949999</v>
      </c>
      <c r="V107" s="218">
        <f t="shared" si="23"/>
        <v>0.13</v>
      </c>
      <c r="W107" s="234">
        <f t="shared" si="24"/>
        <v>0.13</v>
      </c>
      <c r="X107" s="233">
        <f t="shared" si="25"/>
        <v>13.581366528103498</v>
      </c>
      <c r="Y107" s="233">
        <f t="shared" si="26"/>
        <v>2.8475999999999999</v>
      </c>
      <c r="Z107" s="233">
        <f t="shared" si="27"/>
        <v>16.430000000000003</v>
      </c>
      <c r="AA107" s="232">
        <f>+Table1[[#This Row],[calculated sale price]]</f>
        <v>16.430000000000003</v>
      </c>
      <c r="AB107" s="231"/>
      <c r="AC107" s="230"/>
      <c r="AD107" s="229"/>
      <c r="AE107" s="229" t="e">
        <f>[5]!Table1[[#This Row],[cost per quantity]]*(1+'[5]P&amp;L'!$P$8)</f>
        <v>#REF!</v>
      </c>
      <c r="AF107" s="229" t="e">
        <f>$AF$8*[5]!Table1[[#This Row],[man minutes]]*(1+'[5]P&amp;L'!$P$9)</f>
        <v>#REF!</v>
      </c>
      <c r="AG107" s="229"/>
      <c r="AH107" s="229"/>
      <c r="AI107" s="229" t="e">
        <f>Table1[[#This Row],[Food cost w/ MU]]+Table1[[#This Row],[labor cost W/ MU]]</f>
        <v>#REF!</v>
      </c>
      <c r="AJ107" s="236">
        <v>20240830</v>
      </c>
    </row>
    <row r="108" spans="1:36" x14ac:dyDescent="0.25">
      <c r="A108" s="219">
        <v>10099</v>
      </c>
      <c r="B108" s="215" t="s">
        <v>434</v>
      </c>
      <c r="C108" s="219">
        <v>1</v>
      </c>
      <c r="I108" s="219"/>
      <c r="J108" s="219"/>
      <c r="K108" s="219"/>
      <c r="L108" s="223"/>
      <c r="M108" s="219"/>
      <c r="N108" s="227"/>
      <c r="O108" s="226">
        <v>3.4178559000000002</v>
      </c>
      <c r="P108" s="226">
        <f>Table1[[#This Row],[unit cost]]*1.065</f>
        <v>3.6400165334999999</v>
      </c>
      <c r="Q108" s="224">
        <v>6.5</v>
      </c>
      <c r="R108" s="219">
        <v>1</v>
      </c>
      <c r="S108" s="235">
        <f t="shared" si="21"/>
        <v>0.42</v>
      </c>
      <c r="T108" s="233">
        <f>Table1[[#This Row],[man minutes]]*Table1[[#This Row],[labor rate]]</f>
        <v>2.73</v>
      </c>
      <c r="U108" s="233">
        <f t="shared" si="22"/>
        <v>6.3700165334999994</v>
      </c>
      <c r="V108" s="218">
        <f t="shared" si="23"/>
        <v>0.13</v>
      </c>
      <c r="W108" s="234">
        <f t="shared" si="24"/>
        <v>0.13</v>
      </c>
      <c r="X108" s="233">
        <f t="shared" si="25"/>
        <v>4.113218682854999</v>
      </c>
      <c r="Y108" s="233">
        <f t="shared" si="26"/>
        <v>3.0849000000000002</v>
      </c>
      <c r="Z108" s="233">
        <f t="shared" si="27"/>
        <v>7.2</v>
      </c>
      <c r="AA108" s="232">
        <f>+Table1[[#This Row],[calculated sale price]]</f>
        <v>7.2</v>
      </c>
      <c r="AB108" s="231"/>
      <c r="AC108" s="230"/>
      <c r="AD108" s="229"/>
      <c r="AE108" s="229" t="e">
        <f>[5]!Table1[[#This Row],[cost per quantity]]*(1+'[5]P&amp;L'!$P$8)</f>
        <v>#REF!</v>
      </c>
      <c r="AF108" s="229" t="e">
        <f>$AF$8*[5]!Table1[[#This Row],[man minutes]]*(1+'[5]P&amp;L'!$P$9)</f>
        <v>#REF!</v>
      </c>
      <c r="AG108" s="229"/>
      <c r="AH108" s="229"/>
      <c r="AI108" s="229" t="e">
        <f>Table1[[#This Row],[Food cost w/ MU]]+Table1[[#This Row],[labor cost W/ MU]]</f>
        <v>#REF!</v>
      </c>
      <c r="AJ108" s="236">
        <v>20240830</v>
      </c>
    </row>
    <row r="109" spans="1:36" x14ac:dyDescent="0.25">
      <c r="A109" s="219">
        <v>10100</v>
      </c>
      <c r="B109" s="215" t="s">
        <v>433</v>
      </c>
      <c r="C109" s="219">
        <v>1</v>
      </c>
      <c r="I109" s="219"/>
      <c r="J109" s="219"/>
      <c r="K109" s="219"/>
      <c r="L109" s="223"/>
      <c r="M109" s="219"/>
      <c r="N109" s="227"/>
      <c r="O109" s="226">
        <v>4.0908417000000004</v>
      </c>
      <c r="P109" s="226">
        <f>Table1[[#This Row],[unit cost]]*1.065</f>
        <v>4.3567464105000004</v>
      </c>
      <c r="Q109" s="224">
        <v>4</v>
      </c>
      <c r="R109" s="219">
        <v>1</v>
      </c>
      <c r="S109" s="235">
        <f t="shared" si="21"/>
        <v>0.42</v>
      </c>
      <c r="T109" s="233">
        <f>Table1[[#This Row],[man minutes]]*Table1[[#This Row],[labor rate]]</f>
        <v>1.68</v>
      </c>
      <c r="U109" s="233">
        <f t="shared" si="22"/>
        <v>6.0367464105000002</v>
      </c>
      <c r="V109" s="218">
        <f t="shared" si="23"/>
        <v>0.13</v>
      </c>
      <c r="W109" s="234">
        <f t="shared" si="24"/>
        <v>0.13</v>
      </c>
      <c r="X109" s="233">
        <f t="shared" si="25"/>
        <v>4.9231234438650002</v>
      </c>
      <c r="Y109" s="233">
        <f t="shared" si="26"/>
        <v>1.8983999999999999</v>
      </c>
      <c r="Z109" s="233">
        <f t="shared" si="27"/>
        <v>6.83</v>
      </c>
      <c r="AA109" s="232">
        <f>+Table1[[#This Row],[calculated sale price]]</f>
        <v>6.83</v>
      </c>
      <c r="AB109" s="231"/>
      <c r="AC109" s="230"/>
      <c r="AD109" s="229"/>
      <c r="AE109" s="229" t="e">
        <f>[5]!Table1[[#This Row],[cost per quantity]]*(1+'[5]P&amp;L'!$P$8)</f>
        <v>#REF!</v>
      </c>
      <c r="AF109" s="229" t="e">
        <f>$AF$8*[5]!Table1[[#This Row],[man minutes]]*(1+'[5]P&amp;L'!$P$9)</f>
        <v>#REF!</v>
      </c>
      <c r="AG109" s="229"/>
      <c r="AH109" s="229"/>
      <c r="AI109" s="229" t="e">
        <f>Table1[[#This Row],[Food cost w/ MU]]+Table1[[#This Row],[labor cost W/ MU]]</f>
        <v>#REF!</v>
      </c>
      <c r="AJ109" s="236">
        <v>20240830</v>
      </c>
    </row>
    <row r="110" spans="1:36" x14ac:dyDescent="0.25">
      <c r="A110" s="219">
        <v>10101</v>
      </c>
      <c r="B110" s="215" t="s">
        <v>570</v>
      </c>
      <c r="C110" s="219">
        <v>1</v>
      </c>
      <c r="I110" s="219"/>
      <c r="J110" s="219"/>
      <c r="K110" s="219"/>
      <c r="L110" s="223"/>
      <c r="M110" s="219"/>
      <c r="N110" s="227"/>
      <c r="O110" s="226">
        <v>1.4609418000000001</v>
      </c>
      <c r="P110" s="226">
        <f>Table1[[#This Row],[unit cost]]*1.065</f>
        <v>1.5559030169999999</v>
      </c>
      <c r="Q110" s="224">
        <v>3</v>
      </c>
      <c r="R110" s="219">
        <v>1</v>
      </c>
      <c r="S110" s="235">
        <f t="shared" si="21"/>
        <v>0.42</v>
      </c>
      <c r="T110" s="233">
        <f>Table1[[#This Row],[man minutes]]*Table1[[#This Row],[labor rate]]</f>
        <v>1.26</v>
      </c>
      <c r="U110" s="233">
        <f t="shared" si="22"/>
        <v>2.8159030170000001</v>
      </c>
      <c r="V110" s="218">
        <f t="shared" si="23"/>
        <v>0.13</v>
      </c>
      <c r="W110" s="234">
        <f t="shared" si="24"/>
        <v>0.13</v>
      </c>
      <c r="X110" s="233">
        <f t="shared" si="25"/>
        <v>1.7581704092099997</v>
      </c>
      <c r="Y110" s="233">
        <f t="shared" si="26"/>
        <v>1.4238</v>
      </c>
      <c r="Z110" s="233">
        <f t="shared" si="27"/>
        <v>3.19</v>
      </c>
      <c r="AA110" s="232">
        <f>+Table1[[#This Row],[calculated sale price]]</f>
        <v>3.19</v>
      </c>
      <c r="AB110" s="231"/>
      <c r="AC110" s="230"/>
      <c r="AD110" s="229"/>
      <c r="AE110" s="229" t="e">
        <f>[5]!Table1[[#This Row],[cost per quantity]]*(1+'[5]P&amp;L'!$P$8)</f>
        <v>#REF!</v>
      </c>
      <c r="AF110" s="229" t="e">
        <f>$AF$8*[5]!Table1[[#This Row],[man minutes]]*(1+'[5]P&amp;L'!$P$9)</f>
        <v>#REF!</v>
      </c>
      <c r="AG110" s="229"/>
      <c r="AH110" s="229"/>
      <c r="AI110" s="229" t="e">
        <f>Table1[[#This Row],[Food cost w/ MU]]+Table1[[#This Row],[labor cost W/ MU]]</f>
        <v>#REF!</v>
      </c>
      <c r="AJ110" s="236">
        <v>20240830</v>
      </c>
    </row>
    <row r="111" spans="1:36" x14ac:dyDescent="0.25">
      <c r="A111" s="219">
        <v>10102</v>
      </c>
      <c r="B111" s="215" t="s">
        <v>432</v>
      </c>
      <c r="C111" s="219">
        <v>1</v>
      </c>
      <c r="I111" s="219"/>
      <c r="J111" s="219"/>
      <c r="K111" s="219"/>
      <c r="L111" s="223"/>
      <c r="M111" s="219"/>
      <c r="N111" s="227"/>
      <c r="O111" s="226">
        <v>7.8656350000000002</v>
      </c>
      <c r="P111" s="226" t="e">
        <f>[5]!Table1[[#This Row],[unit cost]]*1.065</f>
        <v>#REF!</v>
      </c>
      <c r="Q111" s="224">
        <v>8</v>
      </c>
      <c r="R111" s="219">
        <v>1</v>
      </c>
      <c r="S111" s="268">
        <f t="shared" si="21"/>
        <v>0.42</v>
      </c>
      <c r="T111" s="269" t="e">
        <f>[5]!Table1[[#This Row],[man minutes]]*[5]!Table1[[#This Row],[labor rate]]</f>
        <v>#REF!</v>
      </c>
      <c r="U111" s="269" t="e">
        <f t="shared" si="22"/>
        <v>#REF!</v>
      </c>
      <c r="V111" s="218">
        <f t="shared" si="23"/>
        <v>0.13</v>
      </c>
      <c r="W111" s="234">
        <f t="shared" si="24"/>
        <v>0.13</v>
      </c>
      <c r="X111" s="269" t="e">
        <f t="shared" si="25"/>
        <v>#REF!</v>
      </c>
      <c r="Y111" s="269" t="e">
        <f t="shared" si="26"/>
        <v>#REF!</v>
      </c>
      <c r="Z111" s="269" t="str">
        <f t="shared" si="27"/>
        <v xml:space="preserve"> </v>
      </c>
      <c r="AA111" s="270" t="e">
        <f>+[5]!Table1[[#This Row],[calculated sale price]]</f>
        <v>#REF!</v>
      </c>
      <c r="AB111" s="231"/>
      <c r="AC111" s="271"/>
      <c r="AD111" s="272"/>
      <c r="AE111" s="272" t="e">
        <f>[5]!Table1[[#This Row],[cost per quantity]]*(1+'[5]P&amp;L'!$P$8)</f>
        <v>#REF!</v>
      </c>
      <c r="AF111" s="272" t="e">
        <f>$AF$8*[5]!Table1[[#This Row],[man minutes]]*(1+'[5]P&amp;L'!$P$9)</f>
        <v>#REF!</v>
      </c>
      <c r="AG111" s="272"/>
      <c r="AH111" s="272"/>
      <c r="AI111" s="229" t="e">
        <f>Table1[[#This Row],[Food cost w/ MU]]+Table1[[#This Row],[labor cost W/ MU]]</f>
        <v>#REF!</v>
      </c>
      <c r="AJ111" s="236">
        <v>20240830</v>
      </c>
    </row>
    <row r="112" spans="1:36" x14ac:dyDescent="0.25">
      <c r="A112" s="219">
        <v>10103</v>
      </c>
      <c r="B112" s="215" t="s">
        <v>431</v>
      </c>
      <c r="C112" s="219">
        <v>1</v>
      </c>
      <c r="I112" s="219"/>
      <c r="J112" s="219"/>
      <c r="K112" s="219"/>
      <c r="L112" s="223"/>
      <c r="M112" s="219"/>
      <c r="N112" s="227"/>
      <c r="O112" s="226">
        <v>0.89229999999999998</v>
      </c>
      <c r="P112" s="226" t="e">
        <f>[5]!Table1[[#This Row],[unit cost]]*1.065</f>
        <v>#REF!</v>
      </c>
      <c r="Q112" s="224">
        <v>2</v>
      </c>
      <c r="R112" s="219">
        <v>1</v>
      </c>
      <c r="S112" s="268">
        <f t="shared" si="21"/>
        <v>0.42</v>
      </c>
      <c r="T112" s="269" t="e">
        <f>[5]!Table1[[#This Row],[man minutes]]*[5]!Table1[[#This Row],[labor rate]]</f>
        <v>#REF!</v>
      </c>
      <c r="U112" s="269" t="e">
        <f t="shared" si="22"/>
        <v>#REF!</v>
      </c>
      <c r="V112" s="218">
        <f t="shared" si="23"/>
        <v>0.13</v>
      </c>
      <c r="W112" s="234">
        <f t="shared" si="24"/>
        <v>0.13</v>
      </c>
      <c r="X112" s="269" t="e">
        <f t="shared" si="25"/>
        <v>#REF!</v>
      </c>
      <c r="Y112" s="269" t="e">
        <f t="shared" si="26"/>
        <v>#REF!</v>
      </c>
      <c r="Z112" s="269" t="str">
        <f t="shared" si="27"/>
        <v xml:space="preserve"> </v>
      </c>
      <c r="AA112" s="270" t="e">
        <f>+[5]!Table1[[#This Row],[calculated sale price]]</f>
        <v>#REF!</v>
      </c>
      <c r="AB112" s="231"/>
      <c r="AC112" s="271"/>
      <c r="AD112" s="272"/>
      <c r="AE112" s="272" t="e">
        <f>[5]!Table1[[#This Row],[cost per quantity]]*(1+'[5]P&amp;L'!$P$8)</f>
        <v>#REF!</v>
      </c>
      <c r="AF112" s="272" t="e">
        <f>$AF$8*[5]!Table1[[#This Row],[man minutes]]*(1+'[5]P&amp;L'!$P$9)</f>
        <v>#REF!</v>
      </c>
      <c r="AG112" s="272"/>
      <c r="AH112" s="272"/>
      <c r="AI112" s="229" t="e">
        <f>Table1[[#This Row],[Food cost w/ MU]]+Table1[[#This Row],[labor cost W/ MU]]</f>
        <v>#REF!</v>
      </c>
      <c r="AJ112" s="236">
        <v>20240830</v>
      </c>
    </row>
    <row r="113" spans="1:36" x14ac:dyDescent="0.25">
      <c r="A113" s="219">
        <v>10104</v>
      </c>
      <c r="B113" s="215" t="s">
        <v>430</v>
      </c>
      <c r="C113" s="219">
        <v>1</v>
      </c>
      <c r="I113" s="219"/>
      <c r="J113" s="219"/>
      <c r="K113" s="219"/>
      <c r="L113" s="223"/>
      <c r="M113" s="219"/>
      <c r="N113" s="227"/>
      <c r="O113" s="226">
        <v>0.84374728499999996</v>
      </c>
      <c r="P113" s="226" t="e">
        <f>[5]!Table1[[#This Row],[unit cost]]*1.065</f>
        <v>#REF!</v>
      </c>
      <c r="Q113" s="224">
        <v>2.5</v>
      </c>
      <c r="R113" s="219">
        <v>1</v>
      </c>
      <c r="S113" s="268">
        <f t="shared" si="21"/>
        <v>0.42</v>
      </c>
      <c r="T113" s="269" t="e">
        <f>[5]!Table1[[#This Row],[man minutes]]*[5]!Table1[[#This Row],[labor rate]]</f>
        <v>#REF!</v>
      </c>
      <c r="U113" s="269" t="e">
        <f t="shared" si="22"/>
        <v>#REF!</v>
      </c>
      <c r="V113" s="218">
        <f t="shared" si="23"/>
        <v>0.13</v>
      </c>
      <c r="W113" s="234">
        <f t="shared" si="24"/>
        <v>0.13</v>
      </c>
      <c r="X113" s="269" t="e">
        <f t="shared" si="25"/>
        <v>#REF!</v>
      </c>
      <c r="Y113" s="269" t="e">
        <f t="shared" si="26"/>
        <v>#REF!</v>
      </c>
      <c r="Z113" s="269" t="str">
        <f t="shared" si="27"/>
        <v xml:space="preserve"> </v>
      </c>
      <c r="AA113" s="270" t="e">
        <f>+[5]!Table1[[#This Row],[calculated sale price]]</f>
        <v>#REF!</v>
      </c>
      <c r="AB113" s="231"/>
      <c r="AC113" s="271"/>
      <c r="AD113" s="272"/>
      <c r="AE113" s="272" t="e">
        <f>[5]!Table1[[#This Row],[cost per quantity]]*(1+'[5]P&amp;L'!$P$8)</f>
        <v>#REF!</v>
      </c>
      <c r="AF113" s="272" t="e">
        <f>$AF$8*[5]!Table1[[#This Row],[man minutes]]*(1+'[5]P&amp;L'!$P$9)</f>
        <v>#REF!</v>
      </c>
      <c r="AG113" s="272"/>
      <c r="AH113" s="272"/>
      <c r="AI113" s="229" t="e">
        <f>Table1[[#This Row],[Food cost w/ MU]]+Table1[[#This Row],[labor cost W/ MU]]</f>
        <v>#REF!</v>
      </c>
      <c r="AJ113" s="236">
        <v>20240830</v>
      </c>
    </row>
    <row r="114" spans="1:36" x14ac:dyDescent="0.25">
      <c r="A114" s="219">
        <v>10105</v>
      </c>
      <c r="B114" s="215" t="s">
        <v>429</v>
      </c>
      <c r="C114" s="219">
        <v>1</v>
      </c>
      <c r="I114" s="219"/>
      <c r="J114" s="219"/>
      <c r="K114" s="219"/>
      <c r="L114" s="223"/>
      <c r="M114" s="219"/>
      <c r="N114" s="227"/>
      <c r="O114" s="226">
        <v>1.5456221999999999</v>
      </c>
      <c r="P114" s="226" t="e">
        <f>[5]!Table1[[#This Row],[unit cost]]*1.065</f>
        <v>#REF!</v>
      </c>
      <c r="Q114" s="224">
        <v>2</v>
      </c>
      <c r="R114" s="219">
        <v>1</v>
      </c>
      <c r="S114" s="268">
        <f t="shared" si="21"/>
        <v>0.42</v>
      </c>
      <c r="T114" s="269" t="e">
        <f>[5]!Table1[[#This Row],[man minutes]]*[5]!Table1[[#This Row],[labor rate]]</f>
        <v>#REF!</v>
      </c>
      <c r="U114" s="269" t="e">
        <f t="shared" si="22"/>
        <v>#REF!</v>
      </c>
      <c r="V114" s="218">
        <f t="shared" si="23"/>
        <v>0.13</v>
      </c>
      <c r="W114" s="234">
        <f t="shared" si="24"/>
        <v>0.13</v>
      </c>
      <c r="X114" s="269" t="e">
        <f t="shared" si="25"/>
        <v>#REF!</v>
      </c>
      <c r="Y114" s="269" t="e">
        <f t="shared" si="26"/>
        <v>#REF!</v>
      </c>
      <c r="Z114" s="269" t="str">
        <f t="shared" si="27"/>
        <v xml:space="preserve"> </v>
      </c>
      <c r="AA114" s="270" t="e">
        <f>+[5]!Table1[[#This Row],[calculated sale price]]</f>
        <v>#REF!</v>
      </c>
      <c r="AB114" s="231"/>
      <c r="AC114" s="271"/>
      <c r="AD114" s="272"/>
      <c r="AE114" s="272" t="e">
        <f>[5]!Table1[[#This Row],[cost per quantity]]*(1+'[5]P&amp;L'!$P$8)</f>
        <v>#REF!</v>
      </c>
      <c r="AF114" s="272" t="e">
        <f>$AF$8*[5]!Table1[[#This Row],[man minutes]]*(1+'[5]P&amp;L'!$P$9)</f>
        <v>#REF!</v>
      </c>
      <c r="AG114" s="272"/>
      <c r="AH114" s="272"/>
      <c r="AI114" s="229" t="e">
        <f>Table1[[#This Row],[Food cost w/ MU]]+Table1[[#This Row],[labor cost W/ MU]]</f>
        <v>#REF!</v>
      </c>
      <c r="AJ114" s="236">
        <v>20240830</v>
      </c>
    </row>
    <row r="115" spans="1:36" x14ac:dyDescent="0.25">
      <c r="A115" s="219">
        <v>10106</v>
      </c>
      <c r="B115" s="215" t="s">
        <v>428</v>
      </c>
      <c r="C115" s="219">
        <v>1</v>
      </c>
      <c r="I115" s="219"/>
      <c r="J115" s="219"/>
      <c r="K115" s="219"/>
      <c r="L115" s="223"/>
      <c r="M115" s="219"/>
      <c r="N115" s="227"/>
      <c r="O115" s="226"/>
      <c r="P115" s="226" t="e">
        <f>[5]!Table1[[#This Row],[unit cost]]*1.065</f>
        <v>#REF!</v>
      </c>
      <c r="Q115" s="224">
        <v>3.5</v>
      </c>
      <c r="R115" s="219">
        <v>1</v>
      </c>
      <c r="S115" s="268">
        <f t="shared" si="21"/>
        <v>0.42</v>
      </c>
      <c r="T115" s="269" t="e">
        <f>[5]!Table1[[#This Row],[man minutes]]*[5]!Table1[[#This Row],[labor rate]]</f>
        <v>#REF!</v>
      </c>
      <c r="U115" s="269" t="e">
        <f t="shared" si="22"/>
        <v>#REF!</v>
      </c>
      <c r="V115" s="218">
        <f t="shared" si="23"/>
        <v>0.13</v>
      </c>
      <c r="W115" s="234">
        <f t="shared" si="24"/>
        <v>0.13</v>
      </c>
      <c r="X115" s="269" t="e">
        <f t="shared" si="25"/>
        <v>#REF!</v>
      </c>
      <c r="Y115" s="269" t="e">
        <f t="shared" si="26"/>
        <v>#REF!</v>
      </c>
      <c r="Z115" s="269" t="str">
        <f t="shared" si="27"/>
        <v xml:space="preserve"> </v>
      </c>
      <c r="AA115" s="270" t="e">
        <f>+[5]!Table1[[#This Row],[calculated sale price]]</f>
        <v>#REF!</v>
      </c>
      <c r="AB115" s="231"/>
      <c r="AC115" s="271"/>
      <c r="AD115" s="272"/>
      <c r="AE115" s="272" t="e">
        <f>[5]!Table1[[#This Row],[cost per quantity]]*(1+'[5]P&amp;L'!$P$8)</f>
        <v>#REF!</v>
      </c>
      <c r="AF115" s="272" t="e">
        <f>$AF$8*[5]!Table1[[#This Row],[man minutes]]*(1+'[5]P&amp;L'!$P$9)</f>
        <v>#REF!</v>
      </c>
      <c r="AG115" s="272"/>
      <c r="AH115" s="272"/>
      <c r="AI115" s="229" t="e">
        <f>Table1[[#This Row],[Food cost w/ MU]]+Table1[[#This Row],[labor cost W/ MU]]</f>
        <v>#REF!</v>
      </c>
      <c r="AJ115" s="236">
        <v>20240830</v>
      </c>
    </row>
    <row r="116" spans="1:36" x14ac:dyDescent="0.25">
      <c r="A116" s="219">
        <v>10107</v>
      </c>
      <c r="B116" s="215" t="s">
        <v>427</v>
      </c>
      <c r="C116" s="219">
        <v>1</v>
      </c>
      <c r="I116" s="219"/>
      <c r="J116" s="219"/>
      <c r="K116" s="219"/>
      <c r="L116" s="223"/>
      <c r="M116" s="219"/>
      <c r="N116" s="227"/>
      <c r="O116" s="226">
        <v>2.0858257999999998</v>
      </c>
      <c r="P116" s="226" t="e">
        <f>[5]!Table1[[#This Row],[unit cost]]*1.065</f>
        <v>#REF!</v>
      </c>
      <c r="Q116" s="224">
        <v>3</v>
      </c>
      <c r="R116" s="219">
        <v>1</v>
      </c>
      <c r="S116" s="268">
        <f t="shared" si="21"/>
        <v>0.42</v>
      </c>
      <c r="T116" s="269" t="e">
        <f>[5]!Table1[[#This Row],[man minutes]]*[5]!Table1[[#This Row],[labor rate]]</f>
        <v>#REF!</v>
      </c>
      <c r="U116" s="269" t="e">
        <f t="shared" si="22"/>
        <v>#REF!</v>
      </c>
      <c r="V116" s="218">
        <f t="shared" si="23"/>
        <v>0.13</v>
      </c>
      <c r="W116" s="234">
        <f t="shared" si="24"/>
        <v>0.13</v>
      </c>
      <c r="X116" s="269" t="e">
        <f t="shared" si="25"/>
        <v>#REF!</v>
      </c>
      <c r="Y116" s="269" t="e">
        <f t="shared" si="26"/>
        <v>#REF!</v>
      </c>
      <c r="Z116" s="269" t="str">
        <f t="shared" si="27"/>
        <v xml:space="preserve"> </v>
      </c>
      <c r="AA116" s="270" t="e">
        <f>+[5]!Table1[[#This Row],[calculated sale price]]</f>
        <v>#REF!</v>
      </c>
      <c r="AB116" s="231"/>
      <c r="AC116" s="271"/>
      <c r="AD116" s="272"/>
      <c r="AE116" s="272" t="e">
        <f>[5]!Table1[[#This Row],[cost per quantity]]*(1+'[5]P&amp;L'!$P$8)</f>
        <v>#REF!</v>
      </c>
      <c r="AF116" s="272" t="e">
        <f>$AF$8*[5]!Table1[[#This Row],[man minutes]]*(1+'[5]P&amp;L'!$P$9)</f>
        <v>#REF!</v>
      </c>
      <c r="AG116" s="272"/>
      <c r="AH116" s="272"/>
      <c r="AI116" s="229" t="e">
        <f>Table1[[#This Row],[Food cost w/ MU]]+Table1[[#This Row],[labor cost W/ MU]]</f>
        <v>#REF!</v>
      </c>
      <c r="AJ116" s="236">
        <v>20240830</v>
      </c>
    </row>
    <row r="117" spans="1:36" x14ac:dyDescent="0.25">
      <c r="A117" s="219">
        <v>10108</v>
      </c>
      <c r="B117" s="215" t="s">
        <v>426</v>
      </c>
      <c r="C117" s="219">
        <v>1</v>
      </c>
      <c r="I117" s="219"/>
      <c r="J117" s="219"/>
      <c r="K117" s="219"/>
      <c r="L117" s="223"/>
      <c r="M117" s="219"/>
      <c r="N117" s="227"/>
      <c r="O117" s="226">
        <v>0.99114100000000005</v>
      </c>
      <c r="P117" s="226" t="e">
        <f>[5]!Table1[[#This Row],[unit cost]]*1.065</f>
        <v>#REF!</v>
      </c>
      <c r="Q117" s="224">
        <v>2.25</v>
      </c>
      <c r="R117" s="219">
        <v>1</v>
      </c>
      <c r="S117" s="268">
        <f t="shared" si="21"/>
        <v>0.42</v>
      </c>
      <c r="T117" s="269" t="e">
        <f>[5]!Table1[[#This Row],[man minutes]]*[5]!Table1[[#This Row],[labor rate]]</f>
        <v>#REF!</v>
      </c>
      <c r="U117" s="269" t="e">
        <f t="shared" si="22"/>
        <v>#REF!</v>
      </c>
      <c r="V117" s="218">
        <f t="shared" si="23"/>
        <v>0.13</v>
      </c>
      <c r="W117" s="234">
        <f t="shared" si="24"/>
        <v>0.13</v>
      </c>
      <c r="X117" s="269" t="e">
        <f t="shared" si="25"/>
        <v>#REF!</v>
      </c>
      <c r="Y117" s="269" t="e">
        <f t="shared" si="26"/>
        <v>#REF!</v>
      </c>
      <c r="Z117" s="269" t="str">
        <f t="shared" si="27"/>
        <v xml:space="preserve"> </v>
      </c>
      <c r="AA117" s="270" t="e">
        <f>+[5]!Table1[[#This Row],[calculated sale price]]</f>
        <v>#REF!</v>
      </c>
      <c r="AB117" s="231"/>
      <c r="AC117" s="271"/>
      <c r="AD117" s="272"/>
      <c r="AE117" s="272" t="e">
        <f>[5]!Table1[[#This Row],[cost per quantity]]*(1+'[5]P&amp;L'!$P$8)</f>
        <v>#REF!</v>
      </c>
      <c r="AF117" s="272" t="e">
        <f>$AF$8*[5]!Table1[[#This Row],[man minutes]]*(1+'[5]P&amp;L'!$P$9)</f>
        <v>#REF!</v>
      </c>
      <c r="AG117" s="272"/>
      <c r="AH117" s="272"/>
      <c r="AI117" s="229" t="e">
        <f>Table1[[#This Row],[Food cost w/ MU]]+Table1[[#This Row],[labor cost W/ MU]]</f>
        <v>#REF!</v>
      </c>
      <c r="AJ117" s="236">
        <v>20240830</v>
      </c>
    </row>
    <row r="118" spans="1:36" x14ac:dyDescent="0.25">
      <c r="A118" s="219">
        <v>10109</v>
      </c>
      <c r="B118" s="215" t="s">
        <v>571</v>
      </c>
      <c r="C118" s="224">
        <v>1.5</v>
      </c>
      <c r="I118" s="219"/>
      <c r="J118" s="219"/>
      <c r="K118" s="219"/>
      <c r="L118" s="223"/>
      <c r="M118" s="219"/>
      <c r="N118" s="227"/>
      <c r="O118" s="226">
        <v>0.83720000000000006</v>
      </c>
      <c r="P118" s="226" t="e">
        <f>[5]!Table1[[#This Row],[unit cost]]*1.065</f>
        <v>#REF!</v>
      </c>
      <c r="Q118" s="224">
        <v>1.5</v>
      </c>
      <c r="R118" s="219">
        <v>1</v>
      </c>
      <c r="S118" s="268">
        <f t="shared" si="21"/>
        <v>0.42</v>
      </c>
      <c r="T118" s="269" t="e">
        <f>[5]!Table1[[#This Row],[man minutes]]*[5]!Table1[[#This Row],[labor rate]]</f>
        <v>#REF!</v>
      </c>
      <c r="U118" s="269" t="e">
        <f t="shared" si="22"/>
        <v>#REF!</v>
      </c>
      <c r="V118" s="218">
        <f t="shared" si="23"/>
        <v>0.13</v>
      </c>
      <c r="W118" s="234">
        <f t="shared" si="24"/>
        <v>0.13</v>
      </c>
      <c r="X118" s="269" t="e">
        <f t="shared" si="25"/>
        <v>#REF!</v>
      </c>
      <c r="Y118" s="269" t="e">
        <f t="shared" si="26"/>
        <v>#REF!</v>
      </c>
      <c r="Z118" s="269" t="str">
        <f t="shared" si="27"/>
        <v xml:space="preserve"> </v>
      </c>
      <c r="AA118" s="270" t="e">
        <f>+[5]!Table1[[#This Row],[calculated sale price]]</f>
        <v>#REF!</v>
      </c>
      <c r="AB118" s="231"/>
      <c r="AC118" s="271"/>
      <c r="AD118" s="272"/>
      <c r="AE118" s="272" t="e">
        <f>[5]!Table1[[#This Row],[cost per quantity]]*(1+'[5]P&amp;L'!$P$8)</f>
        <v>#REF!</v>
      </c>
      <c r="AF118" s="272" t="e">
        <f>$AF$8*[5]!Table1[[#This Row],[man minutes]]*(1+'[5]P&amp;L'!$P$9)</f>
        <v>#REF!</v>
      </c>
      <c r="AG118" s="272"/>
      <c r="AH118" s="272"/>
      <c r="AI118" s="229" t="e">
        <f>Table1[[#This Row],[Food cost w/ MU]]+Table1[[#This Row],[labor cost W/ MU]]</f>
        <v>#REF!</v>
      </c>
      <c r="AJ118" s="236">
        <v>20240830</v>
      </c>
    </row>
    <row r="119" spans="1:36" x14ac:dyDescent="0.25">
      <c r="A119" s="219">
        <v>10110</v>
      </c>
      <c r="B119" s="215" t="s">
        <v>425</v>
      </c>
      <c r="C119" s="224">
        <v>7</v>
      </c>
      <c r="I119" s="219"/>
      <c r="J119" s="219"/>
      <c r="K119" s="219"/>
      <c r="L119" s="223"/>
      <c r="M119" s="219"/>
      <c r="N119" s="227"/>
      <c r="O119" s="226">
        <v>3.3738299999999999</v>
      </c>
      <c r="P119" s="226" t="e">
        <f>[5]!Table1[[#This Row],[unit cost]]*1.065</f>
        <v>#REF!</v>
      </c>
      <c r="Q119" s="224">
        <v>7</v>
      </c>
      <c r="R119" s="219">
        <v>1</v>
      </c>
      <c r="S119" s="268">
        <f t="shared" si="21"/>
        <v>0.42</v>
      </c>
      <c r="T119" s="269" t="e">
        <f>[5]!Table1[[#This Row],[man minutes]]*[5]!Table1[[#This Row],[labor rate]]</f>
        <v>#REF!</v>
      </c>
      <c r="U119" s="269" t="e">
        <f t="shared" si="22"/>
        <v>#REF!</v>
      </c>
      <c r="V119" s="218">
        <f t="shared" si="23"/>
        <v>0.13</v>
      </c>
      <c r="W119" s="234">
        <f t="shared" si="24"/>
        <v>0.13</v>
      </c>
      <c r="X119" s="269" t="e">
        <f t="shared" si="25"/>
        <v>#REF!</v>
      </c>
      <c r="Y119" s="269" t="e">
        <f t="shared" si="26"/>
        <v>#REF!</v>
      </c>
      <c r="Z119" s="269" t="str">
        <f t="shared" si="27"/>
        <v xml:space="preserve"> </v>
      </c>
      <c r="AA119" s="270" t="e">
        <f>+[5]!Table1[[#This Row],[calculated sale price]]</f>
        <v>#REF!</v>
      </c>
      <c r="AB119" s="231"/>
      <c r="AC119" s="271"/>
      <c r="AD119" s="272"/>
      <c r="AE119" s="272" t="e">
        <f>[5]!Table1[[#This Row],[cost per quantity]]*(1+'[5]P&amp;L'!$P$8)</f>
        <v>#REF!</v>
      </c>
      <c r="AF119" s="272" t="e">
        <f>$AF$8*[5]!Table1[[#This Row],[man minutes]]*(1+'[5]P&amp;L'!$P$9)</f>
        <v>#REF!</v>
      </c>
      <c r="AG119" s="272"/>
      <c r="AH119" s="272"/>
      <c r="AI119" s="229" t="e">
        <f>Table1[[#This Row],[Food cost w/ MU]]+Table1[[#This Row],[labor cost W/ MU]]</f>
        <v>#REF!</v>
      </c>
      <c r="AJ119" s="236">
        <v>20240830</v>
      </c>
    </row>
    <row r="120" spans="1:36" x14ac:dyDescent="0.25">
      <c r="A120" s="219">
        <v>10111</v>
      </c>
      <c r="B120" s="215" t="s">
        <v>424</v>
      </c>
      <c r="C120" s="224">
        <v>6.5</v>
      </c>
      <c r="I120" s="219"/>
      <c r="J120" s="219"/>
      <c r="K120" s="219"/>
      <c r="L120" s="223"/>
      <c r="M120" s="219"/>
      <c r="N120" s="227"/>
      <c r="O120" s="226">
        <v>2.5628799999999998</v>
      </c>
      <c r="P120" s="226" t="e">
        <f>[5]!Table1[[#This Row],[unit cost]]*1.065</f>
        <v>#REF!</v>
      </c>
      <c r="Q120" s="224">
        <v>6.5</v>
      </c>
      <c r="R120" s="219">
        <v>1</v>
      </c>
      <c r="S120" s="268">
        <f t="shared" si="21"/>
        <v>0.42</v>
      </c>
      <c r="T120" s="269" t="e">
        <f>[5]!Table1[[#This Row],[man minutes]]*[5]!Table1[[#This Row],[labor rate]]</f>
        <v>#REF!</v>
      </c>
      <c r="U120" s="269" t="e">
        <f t="shared" si="22"/>
        <v>#REF!</v>
      </c>
      <c r="V120" s="218">
        <f t="shared" si="23"/>
        <v>0.13</v>
      </c>
      <c r="W120" s="234">
        <f t="shared" si="24"/>
        <v>0.13</v>
      </c>
      <c r="X120" s="269" t="e">
        <f t="shared" si="25"/>
        <v>#REF!</v>
      </c>
      <c r="Y120" s="269" t="e">
        <f t="shared" si="26"/>
        <v>#REF!</v>
      </c>
      <c r="Z120" s="269" t="str">
        <f t="shared" si="27"/>
        <v xml:space="preserve"> </v>
      </c>
      <c r="AA120" s="270" t="e">
        <f>+[5]!Table1[[#This Row],[calculated sale price]]</f>
        <v>#REF!</v>
      </c>
      <c r="AB120" s="231"/>
      <c r="AC120" s="271"/>
      <c r="AD120" s="272"/>
      <c r="AE120" s="272" t="e">
        <f>[5]!Table1[[#This Row],[cost per quantity]]*(1+'[5]P&amp;L'!$P$8)</f>
        <v>#REF!</v>
      </c>
      <c r="AF120" s="272" t="e">
        <f>$AF$8*[5]!Table1[[#This Row],[man minutes]]*(1+'[5]P&amp;L'!$P$9)</f>
        <v>#REF!</v>
      </c>
      <c r="AG120" s="272"/>
      <c r="AH120" s="272"/>
      <c r="AI120" s="229" t="e">
        <f>Table1[[#This Row],[Food cost w/ MU]]+Table1[[#This Row],[labor cost W/ MU]]</f>
        <v>#REF!</v>
      </c>
      <c r="AJ120" s="236">
        <v>20240830</v>
      </c>
    </row>
    <row r="121" spans="1:36" x14ac:dyDescent="0.25">
      <c r="A121" s="219">
        <v>10112</v>
      </c>
      <c r="B121" s="239" t="s">
        <v>423</v>
      </c>
      <c r="C121" s="224">
        <v>2.5</v>
      </c>
      <c r="I121" s="219"/>
      <c r="J121" s="219"/>
      <c r="K121" s="219"/>
      <c r="L121" s="223"/>
      <c r="M121" s="219"/>
      <c r="N121" s="227"/>
      <c r="O121" s="226">
        <v>2.1964899999999998</v>
      </c>
      <c r="P121" s="226" t="e">
        <f>[5]!Table1[[#This Row],[unit cost]]*1.065</f>
        <v>#REF!</v>
      </c>
      <c r="Q121" s="224">
        <v>2.5</v>
      </c>
      <c r="R121" s="219">
        <v>1</v>
      </c>
      <c r="S121" s="268">
        <f t="shared" si="21"/>
        <v>0.42</v>
      </c>
      <c r="T121" s="269" t="e">
        <f>[5]!Table1[[#This Row],[man minutes]]*[5]!Table1[[#This Row],[labor rate]]</f>
        <v>#REF!</v>
      </c>
      <c r="U121" s="269" t="e">
        <f t="shared" si="22"/>
        <v>#REF!</v>
      </c>
      <c r="V121" s="218">
        <f t="shared" si="23"/>
        <v>0.13</v>
      </c>
      <c r="W121" s="234">
        <f t="shared" si="24"/>
        <v>0.13</v>
      </c>
      <c r="X121" s="269" t="e">
        <f t="shared" si="25"/>
        <v>#REF!</v>
      </c>
      <c r="Y121" s="269" t="e">
        <f t="shared" si="26"/>
        <v>#REF!</v>
      </c>
      <c r="Z121" s="269" t="str">
        <f t="shared" si="27"/>
        <v xml:space="preserve"> </v>
      </c>
      <c r="AA121" s="270" t="e">
        <f>+[5]!Table1[[#This Row],[calculated sale price]]</f>
        <v>#REF!</v>
      </c>
      <c r="AB121" s="231"/>
      <c r="AC121" s="271"/>
      <c r="AD121" s="272"/>
      <c r="AE121" s="272" t="e">
        <f>[5]!Table1[[#This Row],[cost per quantity]]*(1+'[5]P&amp;L'!$P$8)</f>
        <v>#REF!</v>
      </c>
      <c r="AF121" s="272" t="e">
        <f>$AF$8*[5]!Table1[[#This Row],[man minutes]]*(1+'[5]P&amp;L'!$P$9)</f>
        <v>#REF!</v>
      </c>
      <c r="AG121" s="272"/>
      <c r="AH121" s="272"/>
      <c r="AI121" s="229" t="e">
        <f>Table1[[#This Row],[Food cost w/ MU]]+Table1[[#This Row],[labor cost W/ MU]]</f>
        <v>#REF!</v>
      </c>
      <c r="AJ121" s="236">
        <v>20240830</v>
      </c>
    </row>
    <row r="122" spans="1:36" x14ac:dyDescent="0.25">
      <c r="A122" s="219">
        <v>10113</v>
      </c>
      <c r="B122" s="215" t="s">
        <v>422</v>
      </c>
      <c r="C122" s="224">
        <v>2.5</v>
      </c>
      <c r="I122" s="219"/>
      <c r="J122" s="219"/>
      <c r="K122" s="219"/>
      <c r="L122" s="223"/>
      <c r="M122" s="219"/>
      <c r="N122" s="227"/>
      <c r="O122" s="226">
        <v>2.6101700000000001</v>
      </c>
      <c r="P122" s="226" t="e">
        <f>[5]!Table1[[#This Row],[unit cost]]*1.065</f>
        <v>#REF!</v>
      </c>
      <c r="Q122" s="224">
        <v>2.5</v>
      </c>
      <c r="R122" s="219">
        <v>1</v>
      </c>
      <c r="S122" s="268">
        <f t="shared" si="21"/>
        <v>0.42</v>
      </c>
      <c r="T122" s="269" t="e">
        <f>[5]!Table1[[#This Row],[man minutes]]*[5]!Table1[[#This Row],[labor rate]]</f>
        <v>#REF!</v>
      </c>
      <c r="U122" s="269" t="e">
        <f>#REF!+T122</f>
        <v>#REF!</v>
      </c>
      <c r="V122" s="218">
        <f t="shared" si="23"/>
        <v>0.13</v>
      </c>
      <c r="W122" s="234">
        <f t="shared" si="24"/>
        <v>0.13</v>
      </c>
      <c r="X122" s="269" t="e">
        <f>#REF!*(1+V122)</f>
        <v>#REF!</v>
      </c>
      <c r="Y122" s="269" t="e">
        <f t="shared" si="26"/>
        <v>#REF!</v>
      </c>
      <c r="Z122" s="269" t="str">
        <f t="shared" si="27"/>
        <v xml:space="preserve"> </v>
      </c>
      <c r="AA122" s="270" t="e">
        <f>+[5]!Table1[[#This Row],[calculated sale price]]</f>
        <v>#REF!</v>
      </c>
      <c r="AB122" s="231"/>
      <c r="AC122" s="271"/>
      <c r="AD122" s="272"/>
      <c r="AE122" s="272" t="e">
        <f>[5]!Table1[[#This Row],[cost per quantity]]*(1+'[5]P&amp;L'!$P$8)</f>
        <v>#REF!</v>
      </c>
      <c r="AF122" s="272" t="e">
        <f>$AF$8*[5]!Table1[[#This Row],[man minutes]]*(1+'[5]P&amp;L'!$P$9)</f>
        <v>#REF!</v>
      </c>
      <c r="AG122" s="272"/>
      <c r="AH122" s="272"/>
      <c r="AI122" s="229" t="e">
        <f>Table1[[#This Row],[Food cost w/ MU]]+Table1[[#This Row],[labor cost W/ MU]]</f>
        <v>#REF!</v>
      </c>
      <c r="AJ122" s="236">
        <v>20240830</v>
      </c>
    </row>
    <row r="123" spans="1:36" x14ac:dyDescent="0.25">
      <c r="A123" s="219">
        <v>10114</v>
      </c>
      <c r="B123" s="215" t="s">
        <v>421</v>
      </c>
      <c r="C123" s="237">
        <v>1</v>
      </c>
      <c r="I123" s="219"/>
      <c r="J123" s="219"/>
      <c r="K123" s="219"/>
      <c r="L123" s="223"/>
      <c r="M123" s="219"/>
      <c r="N123" s="227"/>
      <c r="O123" s="226">
        <v>0.36901</v>
      </c>
      <c r="P123" s="225" t="e">
        <f>[5]!Table1[[#This Row],[unit cost]]*1.065</f>
        <v>#REF!</v>
      </c>
      <c r="Q123" s="224">
        <v>1</v>
      </c>
      <c r="R123" s="219">
        <v>1</v>
      </c>
      <c r="S123" s="268">
        <f t="shared" si="21"/>
        <v>0.42</v>
      </c>
      <c r="T123" s="269" t="e">
        <f>[5]!Table1[[#This Row],[man minutes]]*[5]!Table1[[#This Row],[labor rate]]</f>
        <v>#REF!</v>
      </c>
      <c r="U123" s="269" t="e">
        <f>P122+T123</f>
        <v>#REF!</v>
      </c>
      <c r="V123" s="218">
        <f t="shared" si="23"/>
        <v>0.13</v>
      </c>
      <c r="W123" s="234">
        <f t="shared" si="24"/>
        <v>0.13</v>
      </c>
      <c r="X123" s="269" t="e">
        <f>P122*(1+V123)</f>
        <v>#REF!</v>
      </c>
      <c r="Y123" s="269" t="e">
        <f t="shared" si="26"/>
        <v>#REF!</v>
      </c>
      <c r="Z123" s="269" t="str">
        <f t="shared" si="27"/>
        <v xml:space="preserve"> </v>
      </c>
      <c r="AA123" s="270" t="e">
        <f>+[5]!Table1[[#This Row],[calculated sale price]]</f>
        <v>#REF!</v>
      </c>
      <c r="AB123" s="231"/>
      <c r="AC123" s="271"/>
      <c r="AD123" s="272"/>
      <c r="AE123" s="272" t="e">
        <f>[5]!Table1[[#This Row],[cost per quantity]]*(1+'[5]P&amp;L'!$P$8)</f>
        <v>#REF!</v>
      </c>
      <c r="AF123" s="272" t="e">
        <f>$AF$8*[5]!Table1[[#This Row],[man minutes]]*(1+'[5]P&amp;L'!$P$9)</f>
        <v>#REF!</v>
      </c>
      <c r="AG123" s="273" t="e">
        <f>[5]!Table1[[#This Row],[cost per quantity]]*1.18</f>
        <v>#REF!</v>
      </c>
      <c r="AH123" s="273" t="e">
        <f>$AF$8*[5]!Table1[[#This Row],[man minutes]]*1.18</f>
        <v>#REF!</v>
      </c>
      <c r="AI123" s="229" t="e">
        <f>Table1[[#This Row],[Food cost w/ MU]]+Table1[[#This Row],[labor cost W/ MU]]</f>
        <v>#REF!</v>
      </c>
      <c r="AJ123" s="236">
        <v>20240830</v>
      </c>
    </row>
    <row r="124" spans="1:36" x14ac:dyDescent="0.25">
      <c r="A124" s="219">
        <v>10115</v>
      </c>
      <c r="B124" s="215" t="s">
        <v>420</v>
      </c>
      <c r="C124" s="224">
        <v>6.5</v>
      </c>
      <c r="I124" s="219"/>
      <c r="J124" s="219"/>
      <c r="K124" s="219"/>
      <c r="L124" s="223"/>
      <c r="M124" s="219"/>
      <c r="N124" s="227"/>
      <c r="O124" s="226">
        <v>2.5628799999999998</v>
      </c>
      <c r="P124" s="226" t="e">
        <f>[5]!Table1[[#This Row],[unit cost]]*1.065</f>
        <v>#REF!</v>
      </c>
      <c r="Q124" s="224">
        <v>6.5</v>
      </c>
      <c r="R124" s="219">
        <v>1</v>
      </c>
      <c r="S124" s="268">
        <f t="shared" si="21"/>
        <v>0.42</v>
      </c>
      <c r="T124" s="269" t="e">
        <f>[5]!Table1[[#This Row],[man minutes]]*[5]!Table1[[#This Row],[labor rate]]</f>
        <v>#REF!</v>
      </c>
      <c r="U124" s="269" t="e">
        <f>P123+T124</f>
        <v>#REF!</v>
      </c>
      <c r="V124" s="218">
        <f t="shared" si="23"/>
        <v>0.13</v>
      </c>
      <c r="W124" s="234">
        <f t="shared" si="24"/>
        <v>0.13</v>
      </c>
      <c r="X124" s="269" t="e">
        <f>P123*(1+V124)</f>
        <v>#REF!</v>
      </c>
      <c r="Y124" s="269" t="e">
        <f t="shared" si="26"/>
        <v>#REF!</v>
      </c>
      <c r="Z124" s="269" t="str">
        <f t="shared" si="27"/>
        <v xml:space="preserve"> </v>
      </c>
      <c r="AA124" s="270" t="e">
        <f>+[5]!Table1[[#This Row],[calculated sale price]]</f>
        <v>#REF!</v>
      </c>
      <c r="AB124" s="231"/>
      <c r="AC124" s="271"/>
      <c r="AD124" s="272"/>
      <c r="AE124" s="272" t="e">
        <f>[5]!Table1[[#This Row],[cost per quantity]]*(1+'[5]P&amp;L'!$P$8)</f>
        <v>#REF!</v>
      </c>
      <c r="AF124" s="272" t="e">
        <f>$AF$8*[5]!Table1[[#This Row],[man minutes]]*(1+'[5]P&amp;L'!$P$9)</f>
        <v>#REF!</v>
      </c>
      <c r="AG124" s="272"/>
      <c r="AH124" s="272"/>
      <c r="AI124" s="229" t="e">
        <f>Table1[[#This Row],[Food cost w/ MU]]+Table1[[#This Row],[labor cost W/ MU]]</f>
        <v>#REF!</v>
      </c>
      <c r="AJ124" s="236">
        <v>20240830</v>
      </c>
    </row>
    <row r="125" spans="1:36" x14ac:dyDescent="0.25">
      <c r="A125" s="219">
        <v>10116</v>
      </c>
      <c r="B125" s="215" t="s">
        <v>419</v>
      </c>
      <c r="C125" s="237">
        <v>1</v>
      </c>
      <c r="I125" s="219"/>
      <c r="J125" s="219"/>
      <c r="K125" s="219"/>
      <c r="L125" s="223"/>
      <c r="M125" s="219"/>
      <c r="N125" s="227"/>
      <c r="O125" s="226">
        <f>1.131503</f>
        <v>1.1315029999999999</v>
      </c>
      <c r="P125" s="225" t="e">
        <f>[5]!Table1[[#This Row],[unit cost]]*1.065</f>
        <v>#REF!</v>
      </c>
      <c r="Q125" s="224">
        <v>1</v>
      </c>
      <c r="R125" s="219">
        <v>1</v>
      </c>
      <c r="S125" s="268">
        <f t="shared" si="21"/>
        <v>0.42</v>
      </c>
      <c r="T125" s="269" t="e">
        <f>[5]!Table1[[#This Row],[man minutes]]*[5]!Table1[[#This Row],[labor rate]]</f>
        <v>#REF!</v>
      </c>
      <c r="U125" s="269" t="e">
        <f>P124+T125</f>
        <v>#REF!</v>
      </c>
      <c r="V125" s="218">
        <f t="shared" si="23"/>
        <v>0.13</v>
      </c>
      <c r="W125" s="234">
        <f t="shared" si="24"/>
        <v>0.13</v>
      </c>
      <c r="X125" s="269" t="e">
        <f>P124*(1+V125)</f>
        <v>#REF!</v>
      </c>
      <c r="Y125" s="269" t="e">
        <f t="shared" si="26"/>
        <v>#REF!</v>
      </c>
      <c r="Z125" s="269" t="str">
        <f t="shared" si="27"/>
        <v xml:space="preserve"> </v>
      </c>
      <c r="AA125" s="270" t="e">
        <f>+[5]!Table1[[#This Row],[calculated sale price]]</f>
        <v>#REF!</v>
      </c>
      <c r="AB125" s="231"/>
      <c r="AC125" s="271"/>
      <c r="AD125" s="272"/>
      <c r="AE125" s="272" t="e">
        <f>[5]!Table1[[#This Row],[cost per quantity]]*(1+'[5]P&amp;L'!$P$8)</f>
        <v>#REF!</v>
      </c>
      <c r="AF125" s="272" t="e">
        <f>$AF$8*[5]!Table1[[#This Row],[man minutes]]*(1+'[5]P&amp;L'!$P$9)</f>
        <v>#REF!</v>
      </c>
      <c r="AG125" s="273" t="e">
        <f>[5]!Table1[[#This Row],[cost per quantity]]*1.18</f>
        <v>#REF!</v>
      </c>
      <c r="AH125" s="273" t="e">
        <f>$AF$8*[5]!Table1[[#This Row],[man minutes]]*1.18</f>
        <v>#REF!</v>
      </c>
      <c r="AI125" s="229" t="e">
        <f>Table1[[#This Row],[Food cost w/ MU]]+Table1[[#This Row],[labor cost W/ MU]]</f>
        <v>#REF!</v>
      </c>
      <c r="AJ125" s="236">
        <v>20240830</v>
      </c>
    </row>
    <row r="126" spans="1:36" x14ac:dyDescent="0.25">
      <c r="A126" s="219">
        <v>10117</v>
      </c>
      <c r="B126" s="215" t="s">
        <v>418</v>
      </c>
      <c r="C126" s="237">
        <v>0.2</v>
      </c>
      <c r="I126" s="219"/>
      <c r="J126" s="219"/>
      <c r="K126" s="219"/>
      <c r="L126" s="223"/>
      <c r="M126" s="219"/>
      <c r="N126" s="227"/>
      <c r="O126" s="226">
        <v>0.15</v>
      </c>
      <c r="P126" s="225" t="e">
        <f>[5]!Table1[[#This Row],[unit cost]]*1.065</f>
        <v>#REF!</v>
      </c>
      <c r="Q126" s="224">
        <v>0.2</v>
      </c>
      <c r="R126" s="219">
        <v>1</v>
      </c>
      <c r="S126" s="268">
        <f t="shared" si="21"/>
        <v>0.42</v>
      </c>
      <c r="T126" s="269" t="e">
        <f>[5]!Table1[[#This Row],[man minutes]]*[5]!Table1[[#This Row],[labor rate]]</f>
        <v>#REF!</v>
      </c>
      <c r="U126" s="269" t="e">
        <f>P125+T126</f>
        <v>#REF!</v>
      </c>
      <c r="V126" s="218">
        <f t="shared" si="23"/>
        <v>0.13</v>
      </c>
      <c r="W126" s="234">
        <f t="shared" si="24"/>
        <v>0.13</v>
      </c>
      <c r="X126" s="269" t="e">
        <f>P125*(1+V126)</f>
        <v>#REF!</v>
      </c>
      <c r="Y126" s="269" t="e">
        <f t="shared" si="26"/>
        <v>#REF!</v>
      </c>
      <c r="Z126" s="269" t="str">
        <f t="shared" si="27"/>
        <v xml:space="preserve"> </v>
      </c>
      <c r="AA126" s="270" t="e">
        <f>+[5]!Table1[[#This Row],[calculated sale price]]</f>
        <v>#REF!</v>
      </c>
      <c r="AB126" s="231"/>
      <c r="AC126" s="271"/>
      <c r="AD126" s="272"/>
      <c r="AE126" s="272" t="e">
        <f>[5]!Table1[[#This Row],[cost per quantity]]*(1+'[5]P&amp;L'!$P$8)</f>
        <v>#REF!</v>
      </c>
      <c r="AF126" s="272" t="e">
        <f>$AF$8*[5]!Table1[[#This Row],[man minutes]]*(1+'[5]P&amp;L'!$P$9)</f>
        <v>#REF!</v>
      </c>
      <c r="AG126" s="273" t="e">
        <f>[5]!Table1[[#This Row],[cost per quantity]]*1.18</f>
        <v>#REF!</v>
      </c>
      <c r="AH126" s="273" t="e">
        <f>$AF$8*[5]!Table1[[#This Row],[man minutes]]*1.18</f>
        <v>#REF!</v>
      </c>
      <c r="AI126" s="229" t="e">
        <f>Table1[[#This Row],[Food cost w/ MU]]+Table1[[#This Row],[labor cost W/ MU]]</f>
        <v>#REF!</v>
      </c>
      <c r="AJ126" s="236">
        <v>20240830</v>
      </c>
    </row>
    <row r="127" spans="1:36" x14ac:dyDescent="0.25">
      <c r="A127" s="219">
        <v>10118</v>
      </c>
      <c r="B127" s="215" t="s">
        <v>572</v>
      </c>
      <c r="C127" s="237"/>
      <c r="I127" s="219"/>
      <c r="J127" s="219"/>
      <c r="K127" s="219"/>
      <c r="L127" s="223"/>
      <c r="M127" s="219"/>
      <c r="N127" s="227"/>
      <c r="O127" s="226">
        <v>0.78086</v>
      </c>
      <c r="P127" s="226" t="e">
        <f>[5]!Table1[[#This Row],[unit cost]]*1.065</f>
        <v>#REF!</v>
      </c>
      <c r="Q127" s="224">
        <v>2.5</v>
      </c>
      <c r="R127" s="219">
        <v>1</v>
      </c>
      <c r="S127" s="268">
        <f t="shared" si="21"/>
        <v>0.42</v>
      </c>
      <c r="T127" s="269" t="e">
        <f>[5]!Table1[[#This Row],[man minutes]]*[5]!Table1[[#This Row],[labor rate]]</f>
        <v>#REF!</v>
      </c>
      <c r="U127" s="269" t="e">
        <f>P126+T127</f>
        <v>#REF!</v>
      </c>
      <c r="V127" s="218">
        <f t="shared" si="23"/>
        <v>0.13</v>
      </c>
      <c r="W127" s="234">
        <f t="shared" si="24"/>
        <v>0.13</v>
      </c>
      <c r="X127" s="269" t="e">
        <f>P126*(1+V127)</f>
        <v>#REF!</v>
      </c>
      <c r="Y127" s="269" t="e">
        <f t="shared" si="26"/>
        <v>#REF!</v>
      </c>
      <c r="Z127" s="269" t="str">
        <f t="shared" si="27"/>
        <v xml:space="preserve"> </v>
      </c>
      <c r="AA127" s="270" t="e">
        <f>+[5]!Table1[[#This Row],[calculated sale price]]</f>
        <v>#REF!</v>
      </c>
      <c r="AB127" s="231"/>
      <c r="AC127" s="271"/>
      <c r="AD127" s="272"/>
      <c r="AE127" s="272" t="e">
        <f>[5]!Table1[[#This Row],[cost per quantity]]*(1+'[5]P&amp;L'!$P$8)</f>
        <v>#REF!</v>
      </c>
      <c r="AF127" s="272" t="e">
        <f>$AF$8*[5]!Table1[[#This Row],[man minutes]]*(1+'[5]P&amp;L'!$P$9)</f>
        <v>#REF!</v>
      </c>
      <c r="AG127" s="272"/>
      <c r="AH127" s="272"/>
      <c r="AI127" s="229" t="e">
        <f>Table1[[#This Row],[Food cost w/ MU]]+Table1[[#This Row],[labor cost W/ MU]]</f>
        <v>#REF!</v>
      </c>
      <c r="AJ127" s="236">
        <v>20240830</v>
      </c>
    </row>
    <row r="128" spans="1:36" x14ac:dyDescent="0.25">
      <c r="A128" s="219">
        <v>10119</v>
      </c>
      <c r="B128" s="215" t="s">
        <v>573</v>
      </c>
      <c r="C128" s="237"/>
      <c r="I128" s="219"/>
      <c r="J128" s="219"/>
      <c r="K128" s="219"/>
      <c r="L128" s="223"/>
      <c r="M128" s="219"/>
      <c r="N128" s="227"/>
      <c r="O128" s="226">
        <v>1.0825324999999999</v>
      </c>
      <c r="P128" s="226" t="e">
        <f>[5]!Table1[[#This Row],[unit cost]]*1.065</f>
        <v>#REF!</v>
      </c>
      <c r="Q128" s="224">
        <v>2.5</v>
      </c>
      <c r="S128" s="268"/>
      <c r="T128" s="269"/>
      <c r="U128" s="269"/>
      <c r="W128" s="234"/>
      <c r="X128" s="269"/>
      <c r="Y128" s="269"/>
      <c r="Z128" s="269"/>
      <c r="AA128" s="270"/>
      <c r="AB128" s="231"/>
      <c r="AC128" s="271"/>
      <c r="AD128" s="272"/>
      <c r="AE128" s="272" t="e">
        <f>[5]!Table1[[#This Row],[cost per quantity]]*(1+'[5]P&amp;L'!$P$8)</f>
        <v>#REF!</v>
      </c>
      <c r="AF128" s="272" t="e">
        <f>$AF$8*[5]!Table1[[#This Row],[man minutes]]*(1+'[5]P&amp;L'!$P$9)</f>
        <v>#REF!</v>
      </c>
      <c r="AG128" s="272"/>
      <c r="AH128" s="272"/>
      <c r="AI128" s="229" t="e">
        <f>Table1[[#This Row],[Food cost w/ MU]]+Table1[[#This Row],[labor cost W/ MU]]</f>
        <v>#REF!</v>
      </c>
      <c r="AJ128" s="236">
        <v>20240830</v>
      </c>
    </row>
    <row r="129" spans="1:36" x14ac:dyDescent="0.25">
      <c r="A129" s="219">
        <v>10120</v>
      </c>
      <c r="B129" s="215" t="s">
        <v>574</v>
      </c>
      <c r="C129" s="219"/>
      <c r="I129" s="219"/>
      <c r="J129" s="219"/>
      <c r="K129" s="219"/>
      <c r="L129" s="223"/>
      <c r="M129" s="219"/>
      <c r="N129" s="227"/>
      <c r="O129" s="226">
        <v>3.9234819600000002</v>
      </c>
      <c r="P129" s="226" t="e">
        <f>[5]!Table1[[#This Row],[unit cost]]*1.065</f>
        <v>#REF!</v>
      </c>
      <c r="Q129" s="224">
        <v>3</v>
      </c>
      <c r="R129" s="219">
        <v>1</v>
      </c>
      <c r="S129" s="268">
        <f t="shared" ref="S129:S160" si="28">$S$2</f>
        <v>0.42</v>
      </c>
      <c r="T129" s="269" t="e">
        <f>[5]!Table1[[#This Row],[man minutes]]*[5]!Table1[[#This Row],[labor rate]]</f>
        <v>#REF!</v>
      </c>
      <c r="U129" s="269" t="e">
        <f>P128+T129</f>
        <v>#REF!</v>
      </c>
      <c r="V129" s="218">
        <f t="shared" ref="V129:V160" si="29">$V$2</f>
        <v>0.13</v>
      </c>
      <c r="W129" s="234">
        <f t="shared" ref="W129:W160" si="30">$W$2</f>
        <v>0.13</v>
      </c>
      <c r="X129" s="269" t="e">
        <f>P128*(1+V129)</f>
        <v>#REF!</v>
      </c>
      <c r="Y129" s="269" t="e">
        <f t="shared" ref="Y129:Y160" si="31">T129+(T129*W129)</f>
        <v>#REF!</v>
      </c>
      <c r="Z129" s="269" t="str">
        <f t="shared" ref="Z129:Z160" si="32">IFERROR(ROUNDUP(X129+Y129,2)," ")</f>
        <v xml:space="preserve"> </v>
      </c>
      <c r="AA129" s="270" t="e">
        <f>+[5]!Table1[[#This Row],[calculated sale price]]</f>
        <v>#REF!</v>
      </c>
      <c r="AB129" s="231"/>
      <c r="AC129" s="271"/>
      <c r="AD129" s="272"/>
      <c r="AE129" s="272" t="e">
        <f>[5]!Table1[[#This Row],[cost per quantity]]*(1+'[5]P&amp;L'!$P$8)</f>
        <v>#REF!</v>
      </c>
      <c r="AF129" s="272" t="e">
        <f>$AF$8*[5]!Table1[[#This Row],[man minutes]]*(1+'[5]P&amp;L'!$P$9)</f>
        <v>#REF!</v>
      </c>
      <c r="AG129" s="272"/>
      <c r="AH129" s="272"/>
      <c r="AI129" s="229" t="e">
        <f>Table1[[#This Row],[Food cost w/ MU]]+Table1[[#This Row],[labor cost W/ MU]]</f>
        <v>#REF!</v>
      </c>
      <c r="AJ129" s="236">
        <v>20240830</v>
      </c>
    </row>
    <row r="130" spans="1:36" x14ac:dyDescent="0.25">
      <c r="A130" s="219">
        <v>10121</v>
      </c>
      <c r="B130" s="215" t="s">
        <v>575</v>
      </c>
      <c r="C130" s="219">
        <v>1</v>
      </c>
      <c r="I130" s="219"/>
      <c r="J130" s="219"/>
      <c r="K130" s="219"/>
      <c r="L130" s="223"/>
      <c r="M130" s="219"/>
      <c r="N130" s="227"/>
      <c r="O130" s="226">
        <v>2.9934146789999998</v>
      </c>
      <c r="P130" s="226" t="e">
        <f>[5]!Table1[[#This Row],[unit cost]]*1.065</f>
        <v>#REF!</v>
      </c>
      <c r="Q130" s="224">
        <v>3</v>
      </c>
      <c r="R130" s="219">
        <v>1</v>
      </c>
      <c r="S130" s="268">
        <f t="shared" si="28"/>
        <v>0.42</v>
      </c>
      <c r="T130" s="269" t="e">
        <f>[5]!Table1[[#This Row],[man minutes]]*[5]!Table1[[#This Row],[labor rate]]</f>
        <v>#REF!</v>
      </c>
      <c r="U130" s="269" t="e">
        <f t="shared" ref="U130:U161" si="33">P130+T130</f>
        <v>#REF!</v>
      </c>
      <c r="V130" s="218">
        <f t="shared" si="29"/>
        <v>0.13</v>
      </c>
      <c r="W130" s="234">
        <f t="shared" si="30"/>
        <v>0.13</v>
      </c>
      <c r="X130" s="269" t="e">
        <f t="shared" ref="X130:X161" si="34">P130*(1+V130)</f>
        <v>#REF!</v>
      </c>
      <c r="Y130" s="269" t="e">
        <f t="shared" si="31"/>
        <v>#REF!</v>
      </c>
      <c r="Z130" s="269" t="str">
        <f t="shared" si="32"/>
        <v xml:space="preserve"> </v>
      </c>
      <c r="AA130" s="270" t="e">
        <f>+[5]!Table1[[#This Row],[calculated sale price]]</f>
        <v>#REF!</v>
      </c>
      <c r="AB130" s="231"/>
      <c r="AC130" s="271"/>
      <c r="AD130" s="272"/>
      <c r="AE130" s="272" t="e">
        <f>[5]!Table1[[#This Row],[cost per quantity]]*(1+'[5]P&amp;L'!$P$8)</f>
        <v>#REF!</v>
      </c>
      <c r="AF130" s="272" t="e">
        <f>$AF$8*[5]!Table1[[#This Row],[man minutes]]*(1+'[5]P&amp;L'!$P$9)</f>
        <v>#REF!</v>
      </c>
      <c r="AG130" s="272" t="e">
        <f>$AF$8*[5]!Table1[[#This Row],[man minutes]]*1.18</f>
        <v>#REF!</v>
      </c>
      <c r="AH130" s="272"/>
      <c r="AI130" s="229" t="e">
        <f>Table1[[#This Row],[Food cost w/ MU]]+Table1[[#This Row],[labor cost W/ MU]]</f>
        <v>#REF!</v>
      </c>
      <c r="AJ130" s="236">
        <v>20240830</v>
      </c>
    </row>
    <row r="131" spans="1:36" x14ac:dyDescent="0.25">
      <c r="A131" s="219">
        <v>10122</v>
      </c>
      <c r="B131" s="215" t="s">
        <v>417</v>
      </c>
      <c r="C131" s="219">
        <v>1</v>
      </c>
      <c r="I131" s="219"/>
      <c r="J131" s="219"/>
      <c r="K131" s="219"/>
      <c r="L131" s="223"/>
      <c r="M131" s="219"/>
      <c r="N131" s="227"/>
      <c r="O131" s="226">
        <v>0.36901335390946505</v>
      </c>
      <c r="P131" s="226" t="e">
        <f>[5]!Table1[[#This Row],[unit cost]]*1.065</f>
        <v>#REF!</v>
      </c>
      <c r="Q131" s="224">
        <v>1</v>
      </c>
      <c r="R131" s="219">
        <v>1</v>
      </c>
      <c r="S131" s="268">
        <f t="shared" si="28"/>
        <v>0.42</v>
      </c>
      <c r="T131" s="269" t="e">
        <f>[5]!Table1[[#This Row],[man minutes]]*[5]!Table1[[#This Row],[labor rate]]</f>
        <v>#REF!</v>
      </c>
      <c r="U131" s="269" t="e">
        <f t="shared" si="33"/>
        <v>#REF!</v>
      </c>
      <c r="V131" s="218">
        <f t="shared" si="29"/>
        <v>0.13</v>
      </c>
      <c r="W131" s="234">
        <f t="shared" si="30"/>
        <v>0.13</v>
      </c>
      <c r="X131" s="269" t="e">
        <f t="shared" si="34"/>
        <v>#REF!</v>
      </c>
      <c r="Y131" s="269" t="e">
        <f t="shared" si="31"/>
        <v>#REF!</v>
      </c>
      <c r="Z131" s="269" t="str">
        <f t="shared" si="32"/>
        <v xml:space="preserve"> </v>
      </c>
      <c r="AA131" s="270" t="e">
        <f>+[5]!Table1[[#This Row],[calculated sale price]]</f>
        <v>#REF!</v>
      </c>
      <c r="AB131" s="231"/>
      <c r="AC131" s="271"/>
      <c r="AD131" s="272"/>
      <c r="AE131" s="272" t="e">
        <f>[5]!Table1[[#This Row],[cost per quantity]]*(1+'[5]P&amp;L'!$P$8)</f>
        <v>#REF!</v>
      </c>
      <c r="AF131" s="272" t="e">
        <f>$AF$8*[5]!Table1[[#This Row],[man minutes]]*(1+'[5]P&amp;L'!$P$9)</f>
        <v>#REF!</v>
      </c>
      <c r="AG131" s="272" t="e">
        <f>$AF$8*[5]!Table1[[#This Row],[man minutes]]*1.18</f>
        <v>#REF!</v>
      </c>
      <c r="AH131" s="272"/>
      <c r="AI131" s="229" t="e">
        <f>Table1[[#This Row],[Food cost w/ MU]]+Table1[[#This Row],[labor cost W/ MU]]</f>
        <v>#REF!</v>
      </c>
      <c r="AJ131" s="236">
        <v>20240830</v>
      </c>
    </row>
    <row r="132" spans="1:36" x14ac:dyDescent="0.25">
      <c r="A132" s="219">
        <v>10123</v>
      </c>
      <c r="B132" s="215" t="s">
        <v>416</v>
      </c>
      <c r="C132" s="219">
        <v>1</v>
      </c>
      <c r="I132" s="219"/>
      <c r="J132" s="219"/>
      <c r="K132" s="219"/>
      <c r="L132" s="223"/>
      <c r="M132" s="219"/>
      <c r="N132" s="227"/>
      <c r="O132" s="226">
        <v>0.36901335390946505</v>
      </c>
      <c r="P132" s="226" t="e">
        <f>[5]!Table1[[#This Row],[unit cost]]*1.065</f>
        <v>#REF!</v>
      </c>
      <c r="Q132" s="224">
        <v>1</v>
      </c>
      <c r="R132" s="219">
        <v>1</v>
      </c>
      <c r="S132" s="268">
        <f t="shared" si="28"/>
        <v>0.42</v>
      </c>
      <c r="T132" s="269" t="e">
        <f>[5]!Table1[[#This Row],[man minutes]]*[5]!Table1[[#This Row],[labor rate]]</f>
        <v>#REF!</v>
      </c>
      <c r="U132" s="269" t="e">
        <f t="shared" si="33"/>
        <v>#REF!</v>
      </c>
      <c r="V132" s="218">
        <f t="shared" si="29"/>
        <v>0.13</v>
      </c>
      <c r="W132" s="234">
        <f t="shared" si="30"/>
        <v>0.13</v>
      </c>
      <c r="X132" s="269" t="e">
        <f t="shared" si="34"/>
        <v>#REF!</v>
      </c>
      <c r="Y132" s="269" t="e">
        <f t="shared" si="31"/>
        <v>#REF!</v>
      </c>
      <c r="Z132" s="269" t="str">
        <f t="shared" si="32"/>
        <v xml:space="preserve"> </v>
      </c>
      <c r="AA132" s="270" t="e">
        <f>+[5]!Table1[[#This Row],[calculated sale price]]</f>
        <v>#REF!</v>
      </c>
      <c r="AB132" s="231"/>
      <c r="AC132" s="271"/>
      <c r="AD132" s="272"/>
      <c r="AE132" s="272" t="e">
        <f>[5]!Table1[[#This Row],[cost per quantity]]*(1+'[5]P&amp;L'!$P$8)</f>
        <v>#REF!</v>
      </c>
      <c r="AF132" s="272" t="e">
        <f>$AF$8*[5]!Table1[[#This Row],[man minutes]]*(1+'[5]P&amp;L'!$P$9)</f>
        <v>#REF!</v>
      </c>
      <c r="AG132" s="272" t="e">
        <f>$AF$8*[5]!Table1[[#This Row],[man minutes]]*1.18</f>
        <v>#REF!</v>
      </c>
      <c r="AH132" s="272"/>
      <c r="AI132" s="229" t="e">
        <f>Table1[[#This Row],[Food cost w/ MU]]+Table1[[#This Row],[labor cost W/ MU]]</f>
        <v>#REF!</v>
      </c>
      <c r="AJ132" s="236">
        <v>20240830</v>
      </c>
    </row>
    <row r="133" spans="1:36" x14ac:dyDescent="0.25">
      <c r="A133" s="219">
        <v>10124</v>
      </c>
      <c r="B133" s="215" t="s">
        <v>415</v>
      </c>
      <c r="C133" s="219">
        <v>1</v>
      </c>
      <c r="I133" s="219"/>
      <c r="J133" s="219"/>
      <c r="K133" s="219"/>
      <c r="L133" s="223"/>
      <c r="M133" s="219"/>
      <c r="N133" s="227"/>
      <c r="O133" s="226">
        <v>3.4178559000000002</v>
      </c>
      <c r="P133" s="226" t="e">
        <f>[5]!Table1[[#This Row],[unit cost]]*1.065</f>
        <v>#REF!</v>
      </c>
      <c r="Q133" s="224">
        <v>6.5</v>
      </c>
      <c r="R133" s="219">
        <v>1</v>
      </c>
      <c r="S133" s="268">
        <f t="shared" si="28"/>
        <v>0.42</v>
      </c>
      <c r="T133" s="269" t="e">
        <f>[5]!Table1[[#This Row],[man minutes]]*[5]!Table1[[#This Row],[labor rate]]</f>
        <v>#REF!</v>
      </c>
      <c r="U133" s="269" t="e">
        <f t="shared" si="33"/>
        <v>#REF!</v>
      </c>
      <c r="V133" s="218">
        <f t="shared" si="29"/>
        <v>0.13</v>
      </c>
      <c r="W133" s="234">
        <f t="shared" si="30"/>
        <v>0.13</v>
      </c>
      <c r="X133" s="269" t="e">
        <f t="shared" si="34"/>
        <v>#REF!</v>
      </c>
      <c r="Y133" s="269" t="e">
        <f t="shared" si="31"/>
        <v>#REF!</v>
      </c>
      <c r="Z133" s="269" t="str">
        <f t="shared" si="32"/>
        <v xml:space="preserve"> </v>
      </c>
      <c r="AA133" s="270" t="e">
        <f>+[5]!Table1[[#This Row],[calculated sale price]]</f>
        <v>#REF!</v>
      </c>
      <c r="AB133" s="231"/>
      <c r="AC133" s="271"/>
      <c r="AD133" s="272"/>
      <c r="AE133" s="272" t="e">
        <f>[5]!Table1[[#This Row],[cost per quantity]]*(1+'[5]P&amp;L'!$P$8)</f>
        <v>#REF!</v>
      </c>
      <c r="AF133" s="272" t="e">
        <f>$AF$8*[5]!Table1[[#This Row],[man minutes]]*(1+'[5]P&amp;L'!$P$9)</f>
        <v>#REF!</v>
      </c>
      <c r="AG133" s="272" t="e">
        <f>$AF$8*[5]!Table1[[#This Row],[man minutes]]*1.18</f>
        <v>#REF!</v>
      </c>
      <c r="AH133" s="272"/>
      <c r="AI133" s="229" t="e">
        <f>Table1[[#This Row],[Food cost w/ MU]]+Table1[[#This Row],[labor cost W/ MU]]</f>
        <v>#REF!</v>
      </c>
      <c r="AJ133" s="236">
        <v>20240830</v>
      </c>
    </row>
    <row r="134" spans="1:36" x14ac:dyDescent="0.25">
      <c r="A134" s="219">
        <v>10125</v>
      </c>
      <c r="B134" s="215" t="s">
        <v>414</v>
      </c>
      <c r="C134" s="219">
        <v>1</v>
      </c>
      <c r="I134" s="219"/>
      <c r="J134" s="219"/>
      <c r="K134" s="219"/>
      <c r="L134" s="223"/>
      <c r="M134" s="219"/>
      <c r="N134" s="227"/>
      <c r="O134" s="226">
        <v>3.4178559000000002</v>
      </c>
      <c r="P134" s="226" t="e">
        <f>[5]!Table1[[#This Row],[unit cost]]*1.065</f>
        <v>#REF!</v>
      </c>
      <c r="Q134" s="224">
        <v>6.5</v>
      </c>
      <c r="R134" s="219">
        <v>1</v>
      </c>
      <c r="S134" s="268">
        <f t="shared" si="28"/>
        <v>0.42</v>
      </c>
      <c r="T134" s="269" t="e">
        <f>[5]!Table1[[#This Row],[man minutes]]*[5]!Table1[[#This Row],[labor rate]]</f>
        <v>#REF!</v>
      </c>
      <c r="U134" s="269" t="e">
        <f t="shared" si="33"/>
        <v>#REF!</v>
      </c>
      <c r="V134" s="218">
        <f t="shared" si="29"/>
        <v>0.13</v>
      </c>
      <c r="W134" s="234">
        <f t="shared" si="30"/>
        <v>0.13</v>
      </c>
      <c r="X134" s="269" t="e">
        <f t="shared" si="34"/>
        <v>#REF!</v>
      </c>
      <c r="Y134" s="269" t="e">
        <f t="shared" si="31"/>
        <v>#REF!</v>
      </c>
      <c r="Z134" s="269" t="str">
        <f t="shared" si="32"/>
        <v xml:space="preserve"> </v>
      </c>
      <c r="AA134" s="270" t="e">
        <f>+[5]!Table1[[#This Row],[calculated sale price]]</f>
        <v>#REF!</v>
      </c>
      <c r="AB134" s="231"/>
      <c r="AC134" s="271"/>
      <c r="AD134" s="272"/>
      <c r="AE134" s="272" t="e">
        <f>[5]!Table1[[#This Row],[cost per quantity]]*(1+'[5]P&amp;L'!$P$8)</f>
        <v>#REF!</v>
      </c>
      <c r="AF134" s="272" t="e">
        <f>$AF$8*[5]!Table1[[#This Row],[man minutes]]*(1+'[5]P&amp;L'!$P$9)</f>
        <v>#REF!</v>
      </c>
      <c r="AG134" s="272" t="e">
        <f>$AF$8*[5]!Table1[[#This Row],[man minutes]]*1.18</f>
        <v>#REF!</v>
      </c>
      <c r="AH134" s="272"/>
      <c r="AI134" s="229" t="e">
        <f>Table1[[#This Row],[Food cost w/ MU]]+Table1[[#This Row],[labor cost W/ MU]]</f>
        <v>#REF!</v>
      </c>
      <c r="AJ134" s="236">
        <v>20240830</v>
      </c>
    </row>
    <row r="135" spans="1:36" x14ac:dyDescent="0.25">
      <c r="A135" s="219">
        <v>10126</v>
      </c>
      <c r="B135" s="215" t="s">
        <v>413</v>
      </c>
      <c r="C135" s="219">
        <v>1</v>
      </c>
      <c r="I135" s="219"/>
      <c r="J135" s="219"/>
      <c r="K135" s="219"/>
      <c r="L135" s="223"/>
      <c r="M135" s="219"/>
      <c r="N135" s="227"/>
      <c r="O135" s="226">
        <v>7.8656350000000002</v>
      </c>
      <c r="P135" s="226" t="e">
        <f>[5]!Table1[[#This Row],[unit cost]]*1.065</f>
        <v>#REF!</v>
      </c>
      <c r="Q135" s="224">
        <v>8</v>
      </c>
      <c r="R135" s="219">
        <v>1</v>
      </c>
      <c r="S135" s="268">
        <f t="shared" si="28"/>
        <v>0.42</v>
      </c>
      <c r="T135" s="269" t="e">
        <f>[5]!Table1[[#This Row],[man minutes]]*[5]!Table1[[#This Row],[labor rate]]</f>
        <v>#REF!</v>
      </c>
      <c r="U135" s="269" t="e">
        <f t="shared" si="33"/>
        <v>#REF!</v>
      </c>
      <c r="V135" s="218">
        <f t="shared" si="29"/>
        <v>0.13</v>
      </c>
      <c r="W135" s="234">
        <f t="shared" si="30"/>
        <v>0.13</v>
      </c>
      <c r="X135" s="269" t="e">
        <f t="shared" si="34"/>
        <v>#REF!</v>
      </c>
      <c r="Y135" s="269" t="e">
        <f t="shared" si="31"/>
        <v>#REF!</v>
      </c>
      <c r="Z135" s="269" t="str">
        <f t="shared" si="32"/>
        <v xml:space="preserve"> </v>
      </c>
      <c r="AA135" s="270" t="e">
        <f>+[5]!Table1[[#This Row],[calculated sale price]]</f>
        <v>#REF!</v>
      </c>
      <c r="AB135" s="231"/>
      <c r="AC135" s="271"/>
      <c r="AD135" s="272"/>
      <c r="AE135" s="272" t="e">
        <f>[5]!Table1[[#This Row],[cost per quantity]]*(1+'[5]P&amp;L'!$P$8)</f>
        <v>#REF!</v>
      </c>
      <c r="AF135" s="272" t="e">
        <f>$AF$8*[5]!Table1[[#This Row],[man minutes]]*(1+'[5]P&amp;L'!$P$9)</f>
        <v>#REF!</v>
      </c>
      <c r="AG135" s="272" t="e">
        <f>$AF$8*[5]!Table1[[#This Row],[man minutes]]*1.18</f>
        <v>#REF!</v>
      </c>
      <c r="AH135" s="272"/>
      <c r="AI135" s="229" t="e">
        <f>Table1[[#This Row],[Food cost w/ MU]]+Table1[[#This Row],[labor cost W/ MU]]</f>
        <v>#REF!</v>
      </c>
      <c r="AJ135" s="236">
        <v>20240830</v>
      </c>
    </row>
    <row r="136" spans="1:36" x14ac:dyDescent="0.25">
      <c r="A136" s="219">
        <v>10127</v>
      </c>
      <c r="B136" s="215" t="s">
        <v>412</v>
      </c>
      <c r="C136" s="219">
        <v>1</v>
      </c>
      <c r="I136" s="219"/>
      <c r="J136" s="219"/>
      <c r="K136" s="219"/>
      <c r="L136" s="223"/>
      <c r="M136" s="219"/>
      <c r="N136" s="227"/>
      <c r="O136" s="226">
        <v>7.8656350000000002</v>
      </c>
      <c r="P136" s="226" t="e">
        <f>[5]!Table1[[#This Row],[unit cost]]*1.065</f>
        <v>#REF!</v>
      </c>
      <c r="Q136" s="224">
        <v>8</v>
      </c>
      <c r="R136" s="219">
        <v>1</v>
      </c>
      <c r="S136" s="268">
        <f t="shared" si="28"/>
        <v>0.42</v>
      </c>
      <c r="T136" s="269" t="e">
        <f>[5]!Table1[[#This Row],[man minutes]]*[5]!Table1[[#This Row],[labor rate]]</f>
        <v>#REF!</v>
      </c>
      <c r="U136" s="269" t="e">
        <f t="shared" si="33"/>
        <v>#REF!</v>
      </c>
      <c r="V136" s="218">
        <f t="shared" si="29"/>
        <v>0.13</v>
      </c>
      <c r="W136" s="234">
        <f t="shared" si="30"/>
        <v>0.13</v>
      </c>
      <c r="X136" s="269" t="e">
        <f t="shared" si="34"/>
        <v>#REF!</v>
      </c>
      <c r="Y136" s="269" t="e">
        <f t="shared" si="31"/>
        <v>#REF!</v>
      </c>
      <c r="Z136" s="269" t="str">
        <f t="shared" si="32"/>
        <v xml:space="preserve"> </v>
      </c>
      <c r="AA136" s="270" t="e">
        <f>+[5]!Table1[[#This Row],[calculated sale price]]</f>
        <v>#REF!</v>
      </c>
      <c r="AB136" s="231"/>
      <c r="AC136" s="271"/>
      <c r="AD136" s="272"/>
      <c r="AE136" s="272" t="e">
        <f>[5]!Table1[[#This Row],[cost per quantity]]*(1+'[5]P&amp;L'!$P$8)</f>
        <v>#REF!</v>
      </c>
      <c r="AF136" s="272" t="e">
        <f>$AF$8*[5]!Table1[[#This Row],[man minutes]]*(1+'[5]P&amp;L'!$P$9)</f>
        <v>#REF!</v>
      </c>
      <c r="AG136" s="272" t="e">
        <f>$AF$8*[5]!Table1[[#This Row],[man minutes]]*1.18</f>
        <v>#REF!</v>
      </c>
      <c r="AH136" s="272"/>
      <c r="AI136" s="229" t="e">
        <f>Table1[[#This Row],[Food cost w/ MU]]+Table1[[#This Row],[labor cost W/ MU]]</f>
        <v>#REF!</v>
      </c>
      <c r="AJ136" s="236">
        <v>20240830</v>
      </c>
    </row>
    <row r="137" spans="1:36" x14ac:dyDescent="0.25">
      <c r="A137" s="219">
        <v>10128</v>
      </c>
      <c r="B137" s="215" t="s">
        <v>411</v>
      </c>
      <c r="C137" s="219">
        <v>1</v>
      </c>
      <c r="I137" s="219"/>
      <c r="J137" s="219"/>
      <c r="K137" s="219"/>
      <c r="L137" s="223"/>
      <c r="M137" s="219"/>
      <c r="N137" s="227"/>
      <c r="O137" s="226">
        <v>3.1778400000000002</v>
      </c>
      <c r="P137" s="226" t="e">
        <f>[5]!Table1[[#This Row],[unit cost]]*1.065</f>
        <v>#REF!</v>
      </c>
      <c r="Q137" s="224">
        <v>5</v>
      </c>
      <c r="R137" s="219">
        <v>1</v>
      </c>
      <c r="S137" s="268">
        <f t="shared" si="28"/>
        <v>0.42</v>
      </c>
      <c r="T137" s="269" t="e">
        <f>[5]!Table1[[#This Row],[man minutes]]*[5]!Table1[[#This Row],[labor rate]]</f>
        <v>#REF!</v>
      </c>
      <c r="U137" s="269" t="e">
        <f t="shared" si="33"/>
        <v>#REF!</v>
      </c>
      <c r="V137" s="218">
        <f t="shared" si="29"/>
        <v>0.13</v>
      </c>
      <c r="W137" s="234">
        <f t="shared" si="30"/>
        <v>0.13</v>
      </c>
      <c r="X137" s="269" t="e">
        <f t="shared" si="34"/>
        <v>#REF!</v>
      </c>
      <c r="Y137" s="269" t="e">
        <f t="shared" si="31"/>
        <v>#REF!</v>
      </c>
      <c r="Z137" s="269" t="str">
        <f t="shared" si="32"/>
        <v xml:space="preserve"> </v>
      </c>
      <c r="AA137" s="270" t="e">
        <f>+[5]!Table1[[#This Row],[calculated sale price]]</f>
        <v>#REF!</v>
      </c>
      <c r="AB137" s="231"/>
      <c r="AC137" s="271"/>
      <c r="AD137" s="272"/>
      <c r="AE137" s="272" t="e">
        <f>[5]!Table1[[#This Row],[cost per quantity]]*(1+'[5]P&amp;L'!$P$8)</f>
        <v>#REF!</v>
      </c>
      <c r="AF137" s="272" t="e">
        <f>$AF$8*[5]!Table1[[#This Row],[man minutes]]*(1+'[5]P&amp;L'!$P$9)</f>
        <v>#REF!</v>
      </c>
      <c r="AG137" s="272" t="e">
        <f>$AF$8*[5]!Table1[[#This Row],[man minutes]]*1.18</f>
        <v>#REF!</v>
      </c>
      <c r="AH137" s="272"/>
      <c r="AI137" s="229" t="e">
        <f>Table1[[#This Row],[Food cost w/ MU]]+Table1[[#This Row],[labor cost W/ MU]]</f>
        <v>#REF!</v>
      </c>
      <c r="AJ137" s="236">
        <v>20240830</v>
      </c>
    </row>
    <row r="138" spans="1:36" x14ac:dyDescent="0.25">
      <c r="A138" s="219">
        <v>10129</v>
      </c>
      <c r="B138" s="215" t="s">
        <v>410</v>
      </c>
      <c r="C138" s="219">
        <v>1</v>
      </c>
      <c r="I138" s="219"/>
      <c r="J138" s="219"/>
      <c r="K138" s="219"/>
      <c r="L138" s="223"/>
      <c r="M138" s="219"/>
      <c r="N138" s="227"/>
      <c r="O138" s="226">
        <v>3.1778400000000002</v>
      </c>
      <c r="P138" s="226" t="e">
        <f>[5]!Table1[[#This Row],[unit cost]]*1.065</f>
        <v>#REF!</v>
      </c>
      <c r="Q138" s="224">
        <v>5</v>
      </c>
      <c r="R138" s="219">
        <v>1</v>
      </c>
      <c r="S138" s="268">
        <f t="shared" si="28"/>
        <v>0.42</v>
      </c>
      <c r="T138" s="269" t="e">
        <f>[5]!Table1[[#This Row],[man minutes]]*[5]!Table1[[#This Row],[labor rate]]</f>
        <v>#REF!</v>
      </c>
      <c r="U138" s="269" t="e">
        <f t="shared" si="33"/>
        <v>#REF!</v>
      </c>
      <c r="V138" s="218">
        <f t="shared" si="29"/>
        <v>0.13</v>
      </c>
      <c r="W138" s="234">
        <f t="shared" si="30"/>
        <v>0.13</v>
      </c>
      <c r="X138" s="269" t="e">
        <f t="shared" si="34"/>
        <v>#REF!</v>
      </c>
      <c r="Y138" s="269" t="e">
        <f t="shared" si="31"/>
        <v>#REF!</v>
      </c>
      <c r="Z138" s="269" t="str">
        <f t="shared" si="32"/>
        <v xml:space="preserve"> </v>
      </c>
      <c r="AA138" s="270" t="e">
        <f>+[5]!Table1[[#This Row],[calculated sale price]]</f>
        <v>#REF!</v>
      </c>
      <c r="AB138" s="231"/>
      <c r="AC138" s="271"/>
      <c r="AD138" s="272"/>
      <c r="AE138" s="272" t="e">
        <f>[5]!Table1[[#This Row],[cost per quantity]]*(1+'[5]P&amp;L'!$P$8)</f>
        <v>#REF!</v>
      </c>
      <c r="AF138" s="272" t="e">
        <f>$AF$8*[5]!Table1[[#This Row],[man minutes]]*(1+'[5]P&amp;L'!$P$9)</f>
        <v>#REF!</v>
      </c>
      <c r="AG138" s="272" t="e">
        <f>$AF$8*[5]!Table1[[#This Row],[man minutes]]*1.18</f>
        <v>#REF!</v>
      </c>
      <c r="AH138" s="272"/>
      <c r="AI138" s="229" t="e">
        <f>Table1[[#This Row],[Food cost w/ MU]]+Table1[[#This Row],[labor cost W/ MU]]</f>
        <v>#REF!</v>
      </c>
      <c r="AJ138" s="236">
        <v>20240830</v>
      </c>
    </row>
    <row r="139" spans="1:36" x14ac:dyDescent="0.25">
      <c r="A139" s="219">
        <v>10130</v>
      </c>
      <c r="C139" s="219">
        <v>1</v>
      </c>
      <c r="I139" s="219"/>
      <c r="J139" s="219"/>
      <c r="K139" s="219"/>
      <c r="L139" s="223"/>
      <c r="M139" s="219"/>
      <c r="N139" s="227"/>
      <c r="O139" s="226"/>
      <c r="P139" s="226">
        <f>Table1[[#This Row],[unit cost]]*1.065</f>
        <v>0</v>
      </c>
      <c r="Q139" s="224"/>
      <c r="R139" s="219">
        <v>1</v>
      </c>
      <c r="S139" s="235">
        <f t="shared" si="28"/>
        <v>0.42</v>
      </c>
      <c r="T139" s="233">
        <f>Table1[[#This Row],[man minutes]]*Table1[[#This Row],[labor rate]]</f>
        <v>0</v>
      </c>
      <c r="U139" s="233">
        <f t="shared" si="33"/>
        <v>0</v>
      </c>
      <c r="V139" s="218">
        <f t="shared" si="29"/>
        <v>0.13</v>
      </c>
      <c r="W139" s="234">
        <f t="shared" si="30"/>
        <v>0.13</v>
      </c>
      <c r="X139" s="233">
        <f t="shared" si="34"/>
        <v>0</v>
      </c>
      <c r="Y139" s="233">
        <f t="shared" si="31"/>
        <v>0</v>
      </c>
      <c r="Z139" s="233">
        <f t="shared" si="32"/>
        <v>0</v>
      </c>
      <c r="AA139" s="232">
        <f>+Table1[[#This Row],[calculated sale price]]</f>
        <v>0</v>
      </c>
      <c r="AB139" s="231"/>
      <c r="AC139" s="230"/>
      <c r="AD139" s="229"/>
      <c r="AE139" s="229" t="e">
        <f>[5]!Table1[[#This Row],[cost per quantity]]*(1+'[5]P&amp;L'!$P$8)</f>
        <v>#REF!</v>
      </c>
      <c r="AF139" s="229" t="e">
        <f>$AF$8*[5]!Table1[[#This Row],[man minutes]]*(1+'[5]P&amp;L'!$P$9)</f>
        <v>#REF!</v>
      </c>
      <c r="AG139" s="229">
        <f>$AF$8*Table1[[#This Row],[man minutes]]*1.18</f>
        <v>0</v>
      </c>
      <c r="AH139" s="229"/>
      <c r="AI139" s="229" t="e">
        <f>Table1[[#This Row],[Food cost w/ MU]]+Table1[[#This Row],[labor cost W/ MU]]</f>
        <v>#REF!</v>
      </c>
      <c r="AJ139" s="228"/>
    </row>
    <row r="140" spans="1:36" x14ac:dyDescent="0.25">
      <c r="A140" s="219">
        <v>10131</v>
      </c>
      <c r="C140" s="219">
        <v>1</v>
      </c>
      <c r="I140" s="219"/>
      <c r="J140" s="219"/>
      <c r="K140" s="219"/>
      <c r="L140" s="223"/>
      <c r="M140" s="219"/>
      <c r="N140" s="227"/>
      <c r="O140" s="226"/>
      <c r="P140" s="226">
        <f>Table1[[#This Row],[unit cost]]*1.065</f>
        <v>0</v>
      </c>
      <c r="Q140" s="224"/>
      <c r="R140" s="219">
        <v>1</v>
      </c>
      <c r="S140" s="235">
        <f t="shared" si="28"/>
        <v>0.42</v>
      </c>
      <c r="T140" s="233">
        <f>Table1[[#This Row],[man minutes]]*Table1[[#This Row],[labor rate]]</f>
        <v>0</v>
      </c>
      <c r="U140" s="233">
        <f t="shared" si="33"/>
        <v>0</v>
      </c>
      <c r="V140" s="218">
        <f t="shared" si="29"/>
        <v>0.13</v>
      </c>
      <c r="W140" s="234">
        <f t="shared" si="30"/>
        <v>0.13</v>
      </c>
      <c r="X140" s="233">
        <f t="shared" si="34"/>
        <v>0</v>
      </c>
      <c r="Y140" s="233">
        <f t="shared" si="31"/>
        <v>0</v>
      </c>
      <c r="Z140" s="233">
        <f t="shared" si="32"/>
        <v>0</v>
      </c>
      <c r="AA140" s="232">
        <f>+Table1[[#This Row],[calculated sale price]]</f>
        <v>0</v>
      </c>
      <c r="AB140" s="231"/>
      <c r="AC140" s="230"/>
      <c r="AD140" s="229"/>
      <c r="AE140" s="229" t="e">
        <f>[5]!Table1[[#This Row],[cost per quantity]]*(1+'[5]P&amp;L'!$P$8)</f>
        <v>#REF!</v>
      </c>
      <c r="AF140" s="229" t="e">
        <f>$AF$8*[5]!Table1[[#This Row],[man minutes]]*(1+'[5]P&amp;L'!$P$9)</f>
        <v>#REF!</v>
      </c>
      <c r="AG140" s="229">
        <f>$AF$8*Table1[[#This Row],[man minutes]]*1.18</f>
        <v>0</v>
      </c>
      <c r="AH140" s="229"/>
      <c r="AI140" s="229" t="e">
        <f>Table1[[#This Row],[Food cost w/ MU]]+Table1[[#This Row],[labor cost W/ MU]]</f>
        <v>#REF!</v>
      </c>
      <c r="AJ140" s="228"/>
    </row>
    <row r="141" spans="1:36" x14ac:dyDescent="0.25">
      <c r="A141" s="219">
        <v>10132</v>
      </c>
      <c r="C141" s="219">
        <v>1</v>
      </c>
      <c r="I141" s="219"/>
      <c r="J141" s="219"/>
      <c r="K141" s="219"/>
      <c r="L141" s="223"/>
      <c r="M141" s="219"/>
      <c r="N141" s="227"/>
      <c r="O141" s="226"/>
      <c r="P141" s="226">
        <f>Table1[[#This Row],[unit cost]]*1.065</f>
        <v>0</v>
      </c>
      <c r="Q141" s="224"/>
      <c r="R141" s="219">
        <v>1</v>
      </c>
      <c r="S141" s="235">
        <f t="shared" si="28"/>
        <v>0.42</v>
      </c>
      <c r="T141" s="233">
        <f>Table1[[#This Row],[man minutes]]*Table1[[#This Row],[labor rate]]</f>
        <v>0</v>
      </c>
      <c r="U141" s="233">
        <f t="shared" si="33"/>
        <v>0</v>
      </c>
      <c r="V141" s="218">
        <f t="shared" si="29"/>
        <v>0.13</v>
      </c>
      <c r="W141" s="234">
        <f t="shared" si="30"/>
        <v>0.13</v>
      </c>
      <c r="X141" s="233">
        <f t="shared" si="34"/>
        <v>0</v>
      </c>
      <c r="Y141" s="233">
        <f t="shared" si="31"/>
        <v>0</v>
      </c>
      <c r="Z141" s="233">
        <f t="shared" si="32"/>
        <v>0</v>
      </c>
      <c r="AA141" s="232">
        <f>+Table1[[#This Row],[calculated sale price]]</f>
        <v>0</v>
      </c>
      <c r="AB141" s="231"/>
      <c r="AC141" s="230"/>
      <c r="AD141" s="229"/>
      <c r="AE141" s="229" t="e">
        <f>[5]!Table1[[#This Row],[cost per quantity]]*(1+'[5]P&amp;L'!$P$8)</f>
        <v>#REF!</v>
      </c>
      <c r="AF141" s="229" t="e">
        <f>$AF$8*[5]!Table1[[#This Row],[man minutes]]*(1+'[5]P&amp;L'!$P$9)</f>
        <v>#REF!</v>
      </c>
      <c r="AG141" s="229">
        <f>$AF$8*Table1[[#This Row],[man minutes]]*1.18</f>
        <v>0</v>
      </c>
      <c r="AH141" s="229"/>
      <c r="AI141" s="229" t="e">
        <f>Table1[[#This Row],[Food cost w/ MU]]+Table1[[#This Row],[labor cost W/ MU]]</f>
        <v>#REF!</v>
      </c>
      <c r="AJ141" s="228"/>
    </row>
    <row r="142" spans="1:36" x14ac:dyDescent="0.25">
      <c r="A142" s="219">
        <v>10133</v>
      </c>
      <c r="C142" s="219">
        <v>1</v>
      </c>
      <c r="I142" s="219"/>
      <c r="J142" s="219"/>
      <c r="K142" s="219"/>
      <c r="L142" s="223"/>
      <c r="M142" s="219"/>
      <c r="N142" s="227"/>
      <c r="O142" s="226"/>
      <c r="P142" s="226">
        <f>Table1[[#This Row],[unit cost]]*1.065</f>
        <v>0</v>
      </c>
      <c r="Q142" s="224"/>
      <c r="R142" s="219">
        <v>1</v>
      </c>
      <c r="S142" s="235">
        <f t="shared" si="28"/>
        <v>0.42</v>
      </c>
      <c r="T142" s="233">
        <f>Table1[[#This Row],[man minutes]]*Table1[[#This Row],[labor rate]]</f>
        <v>0</v>
      </c>
      <c r="U142" s="233">
        <f t="shared" si="33"/>
        <v>0</v>
      </c>
      <c r="V142" s="218">
        <f t="shared" si="29"/>
        <v>0.13</v>
      </c>
      <c r="W142" s="234">
        <f t="shared" si="30"/>
        <v>0.13</v>
      </c>
      <c r="X142" s="233">
        <f t="shared" si="34"/>
        <v>0</v>
      </c>
      <c r="Y142" s="233">
        <f t="shared" si="31"/>
        <v>0</v>
      </c>
      <c r="Z142" s="233">
        <f t="shared" si="32"/>
        <v>0</v>
      </c>
      <c r="AA142" s="232">
        <f>+Table1[[#This Row],[calculated sale price]]</f>
        <v>0</v>
      </c>
      <c r="AB142" s="231"/>
      <c r="AC142" s="230"/>
      <c r="AD142" s="229"/>
      <c r="AE142" s="229" t="e">
        <f>[5]!Table1[[#This Row],[cost per quantity]]*(1+'[5]P&amp;L'!$P$8)</f>
        <v>#REF!</v>
      </c>
      <c r="AF142" s="229" t="e">
        <f>$AF$8*[5]!Table1[[#This Row],[man minutes]]*(1+'[5]P&amp;L'!$P$9)</f>
        <v>#REF!</v>
      </c>
      <c r="AG142" s="229">
        <f>$AF$8*Table1[[#This Row],[man minutes]]*1.18</f>
        <v>0</v>
      </c>
      <c r="AH142" s="229"/>
      <c r="AI142" s="229" t="e">
        <f>Table1[[#This Row],[Food cost w/ MU]]+Table1[[#This Row],[labor cost W/ MU]]</f>
        <v>#REF!</v>
      </c>
      <c r="AJ142" s="228"/>
    </row>
    <row r="143" spans="1:36" x14ac:dyDescent="0.25">
      <c r="A143" s="219">
        <v>10134</v>
      </c>
      <c r="C143" s="219">
        <v>1</v>
      </c>
      <c r="I143" s="219"/>
      <c r="J143" s="219"/>
      <c r="K143" s="219"/>
      <c r="L143" s="223"/>
      <c r="M143" s="219"/>
      <c r="N143" s="227"/>
      <c r="O143" s="226"/>
      <c r="P143" s="226">
        <f>Table1[[#This Row],[unit cost]]*1.065</f>
        <v>0</v>
      </c>
      <c r="Q143" s="224"/>
      <c r="R143" s="219">
        <v>1</v>
      </c>
      <c r="S143" s="235">
        <f t="shared" si="28"/>
        <v>0.42</v>
      </c>
      <c r="T143" s="233">
        <f>Table1[[#This Row],[man minutes]]*Table1[[#This Row],[labor rate]]</f>
        <v>0</v>
      </c>
      <c r="U143" s="233">
        <f t="shared" si="33"/>
        <v>0</v>
      </c>
      <c r="V143" s="218">
        <f t="shared" si="29"/>
        <v>0.13</v>
      </c>
      <c r="W143" s="234">
        <f t="shared" si="30"/>
        <v>0.13</v>
      </c>
      <c r="X143" s="233">
        <f t="shared" si="34"/>
        <v>0</v>
      </c>
      <c r="Y143" s="233">
        <f t="shared" si="31"/>
        <v>0</v>
      </c>
      <c r="Z143" s="233">
        <f t="shared" si="32"/>
        <v>0</v>
      </c>
      <c r="AA143" s="232">
        <f>+Table1[[#This Row],[calculated sale price]]</f>
        <v>0</v>
      </c>
      <c r="AB143" s="231"/>
      <c r="AC143" s="230"/>
      <c r="AD143" s="229"/>
      <c r="AE143" s="229" t="e">
        <f>[5]!Table1[[#This Row],[cost per quantity]]*(1+'[5]P&amp;L'!$P$8)</f>
        <v>#REF!</v>
      </c>
      <c r="AF143" s="229" t="e">
        <f>$AF$8*[5]!Table1[[#This Row],[man minutes]]*(1+'[5]P&amp;L'!$P$9)</f>
        <v>#REF!</v>
      </c>
      <c r="AG143" s="229">
        <f>$AF$8*Table1[[#This Row],[man minutes]]*1.18</f>
        <v>0</v>
      </c>
      <c r="AH143" s="229"/>
      <c r="AI143" s="229" t="e">
        <f>Table1[[#This Row],[Food cost w/ MU]]+Table1[[#This Row],[labor cost W/ MU]]</f>
        <v>#REF!</v>
      </c>
      <c r="AJ143" s="228"/>
    </row>
    <row r="144" spans="1:36" x14ac:dyDescent="0.25">
      <c r="A144" s="219">
        <v>10135</v>
      </c>
      <c r="C144" s="219">
        <v>1</v>
      </c>
      <c r="I144" s="219"/>
      <c r="J144" s="219"/>
      <c r="K144" s="219"/>
      <c r="L144" s="223"/>
      <c r="M144" s="219"/>
      <c r="N144" s="227"/>
      <c r="O144" s="226"/>
      <c r="P144" s="226">
        <f>Table1[[#This Row],[unit cost]]*1.065</f>
        <v>0</v>
      </c>
      <c r="Q144" s="224"/>
      <c r="R144" s="219">
        <v>1</v>
      </c>
      <c r="S144" s="235">
        <f t="shared" si="28"/>
        <v>0.42</v>
      </c>
      <c r="T144" s="233">
        <f>Table1[[#This Row],[man minutes]]*Table1[[#This Row],[labor rate]]</f>
        <v>0</v>
      </c>
      <c r="U144" s="233">
        <f t="shared" si="33"/>
        <v>0</v>
      </c>
      <c r="V144" s="218">
        <f t="shared" si="29"/>
        <v>0.13</v>
      </c>
      <c r="W144" s="234">
        <f t="shared" si="30"/>
        <v>0.13</v>
      </c>
      <c r="X144" s="233">
        <f t="shared" si="34"/>
        <v>0</v>
      </c>
      <c r="Y144" s="233">
        <f t="shared" si="31"/>
        <v>0</v>
      </c>
      <c r="Z144" s="233">
        <f t="shared" si="32"/>
        <v>0</v>
      </c>
      <c r="AA144" s="232">
        <f>+Table1[[#This Row],[calculated sale price]]</f>
        <v>0</v>
      </c>
      <c r="AB144" s="231"/>
      <c r="AC144" s="230"/>
      <c r="AD144" s="229"/>
      <c r="AE144" s="229" t="e">
        <f>[5]!Table1[[#This Row],[cost per quantity]]*(1+'[5]P&amp;L'!$P$8)</f>
        <v>#REF!</v>
      </c>
      <c r="AF144" s="229" t="e">
        <f>$AF$8*[5]!Table1[[#This Row],[man minutes]]*(1+'[5]P&amp;L'!$P$9)</f>
        <v>#REF!</v>
      </c>
      <c r="AG144" s="229">
        <f>$AF$8*Table1[[#This Row],[man minutes]]*1.18</f>
        <v>0</v>
      </c>
      <c r="AH144" s="229"/>
      <c r="AI144" s="229" t="e">
        <f>Table1[[#This Row],[Food cost w/ MU]]+Table1[[#This Row],[labor cost W/ MU]]</f>
        <v>#REF!</v>
      </c>
      <c r="AJ144" s="228"/>
    </row>
    <row r="145" spans="1:36" x14ac:dyDescent="0.25">
      <c r="A145" s="219">
        <v>10136</v>
      </c>
      <c r="C145" s="219">
        <v>1</v>
      </c>
      <c r="I145" s="219"/>
      <c r="J145" s="219"/>
      <c r="K145" s="219"/>
      <c r="L145" s="223"/>
      <c r="M145" s="219"/>
      <c r="N145" s="227"/>
      <c r="O145" s="226"/>
      <c r="P145" s="226">
        <f>Table1[[#This Row],[unit cost]]*1.065</f>
        <v>0</v>
      </c>
      <c r="Q145" s="224"/>
      <c r="R145" s="219">
        <v>1</v>
      </c>
      <c r="S145" s="235">
        <f t="shared" si="28"/>
        <v>0.42</v>
      </c>
      <c r="T145" s="233">
        <f>Table1[[#This Row],[man minutes]]*Table1[[#This Row],[labor rate]]</f>
        <v>0</v>
      </c>
      <c r="U145" s="233">
        <f t="shared" si="33"/>
        <v>0</v>
      </c>
      <c r="V145" s="218">
        <f t="shared" si="29"/>
        <v>0.13</v>
      </c>
      <c r="W145" s="234">
        <f t="shared" si="30"/>
        <v>0.13</v>
      </c>
      <c r="X145" s="233">
        <f t="shared" si="34"/>
        <v>0</v>
      </c>
      <c r="Y145" s="233">
        <f t="shared" si="31"/>
        <v>0</v>
      </c>
      <c r="Z145" s="233">
        <f t="shared" si="32"/>
        <v>0</v>
      </c>
      <c r="AA145" s="232">
        <f>+Table1[[#This Row],[calculated sale price]]</f>
        <v>0</v>
      </c>
      <c r="AB145" s="231"/>
      <c r="AC145" s="230"/>
      <c r="AD145" s="229"/>
      <c r="AE145" s="229" t="e">
        <f>[5]!Table1[[#This Row],[cost per quantity]]*(1+'[5]P&amp;L'!$P$8)</f>
        <v>#REF!</v>
      </c>
      <c r="AF145" s="229" t="e">
        <f>$AF$8*[5]!Table1[[#This Row],[man minutes]]*(1+'[5]P&amp;L'!$P$9)</f>
        <v>#REF!</v>
      </c>
      <c r="AG145" s="229">
        <f>$AF$8*Table1[[#This Row],[man minutes]]*1.18</f>
        <v>0</v>
      </c>
      <c r="AH145" s="229"/>
      <c r="AI145" s="229" t="e">
        <f>Table1[[#This Row],[Food cost w/ MU]]+Table1[[#This Row],[labor cost W/ MU]]</f>
        <v>#REF!</v>
      </c>
      <c r="AJ145" s="228"/>
    </row>
    <row r="146" spans="1:36" x14ac:dyDescent="0.25">
      <c r="A146" s="219">
        <v>10137</v>
      </c>
      <c r="C146" s="219">
        <v>1</v>
      </c>
      <c r="I146" s="219"/>
      <c r="J146" s="219"/>
      <c r="K146" s="219"/>
      <c r="L146" s="223"/>
      <c r="M146" s="219"/>
      <c r="N146" s="227"/>
      <c r="O146" s="226"/>
      <c r="P146" s="226">
        <f>Table1[[#This Row],[unit cost]]*1.065</f>
        <v>0</v>
      </c>
      <c r="Q146" s="224"/>
      <c r="R146" s="219">
        <v>1</v>
      </c>
      <c r="S146" s="235">
        <f t="shared" si="28"/>
        <v>0.42</v>
      </c>
      <c r="T146" s="233">
        <f>Table1[[#This Row],[man minutes]]*Table1[[#This Row],[labor rate]]</f>
        <v>0</v>
      </c>
      <c r="U146" s="233">
        <f t="shared" si="33"/>
        <v>0</v>
      </c>
      <c r="V146" s="218">
        <f t="shared" si="29"/>
        <v>0.13</v>
      </c>
      <c r="W146" s="234">
        <f t="shared" si="30"/>
        <v>0.13</v>
      </c>
      <c r="X146" s="233">
        <f t="shared" si="34"/>
        <v>0</v>
      </c>
      <c r="Y146" s="233">
        <f t="shared" si="31"/>
        <v>0</v>
      </c>
      <c r="Z146" s="233">
        <f t="shared" si="32"/>
        <v>0</v>
      </c>
      <c r="AA146" s="232">
        <f>+Table1[[#This Row],[calculated sale price]]</f>
        <v>0</v>
      </c>
      <c r="AB146" s="231"/>
      <c r="AC146" s="230"/>
      <c r="AD146" s="229"/>
      <c r="AE146" s="229" t="e">
        <f>[5]!Table1[[#This Row],[cost per quantity]]*(1+'[5]P&amp;L'!$P$8)</f>
        <v>#REF!</v>
      </c>
      <c r="AF146" s="229" t="e">
        <f>$AF$8*[5]!Table1[[#This Row],[man minutes]]*(1+'[5]P&amp;L'!$P$9)</f>
        <v>#REF!</v>
      </c>
      <c r="AG146" s="229">
        <f>$AF$8*Table1[[#This Row],[man minutes]]*1.18</f>
        <v>0</v>
      </c>
      <c r="AH146" s="229"/>
      <c r="AI146" s="229" t="e">
        <f>Table1[[#This Row],[Food cost w/ MU]]+Table1[[#This Row],[labor cost W/ MU]]</f>
        <v>#REF!</v>
      </c>
      <c r="AJ146" s="228"/>
    </row>
    <row r="147" spans="1:36" x14ac:dyDescent="0.25">
      <c r="A147" s="219">
        <v>10138</v>
      </c>
      <c r="C147" s="219">
        <v>1</v>
      </c>
      <c r="I147" s="219"/>
      <c r="J147" s="219"/>
      <c r="K147" s="219"/>
      <c r="L147" s="223"/>
      <c r="M147" s="219"/>
      <c r="N147" s="227"/>
      <c r="O147" s="226"/>
      <c r="P147" s="226">
        <f>Table1[[#This Row],[unit cost]]*1.065</f>
        <v>0</v>
      </c>
      <c r="Q147" s="224"/>
      <c r="R147" s="219">
        <v>1</v>
      </c>
      <c r="S147" s="235">
        <f t="shared" si="28"/>
        <v>0.42</v>
      </c>
      <c r="T147" s="233">
        <f>Table1[[#This Row],[man minutes]]*Table1[[#This Row],[labor rate]]</f>
        <v>0</v>
      </c>
      <c r="U147" s="233">
        <f t="shared" si="33"/>
        <v>0</v>
      </c>
      <c r="V147" s="218">
        <f t="shared" si="29"/>
        <v>0.13</v>
      </c>
      <c r="W147" s="234">
        <f t="shared" si="30"/>
        <v>0.13</v>
      </c>
      <c r="X147" s="233">
        <f t="shared" si="34"/>
        <v>0</v>
      </c>
      <c r="Y147" s="233">
        <f t="shared" si="31"/>
        <v>0</v>
      </c>
      <c r="Z147" s="233">
        <f t="shared" si="32"/>
        <v>0</v>
      </c>
      <c r="AA147" s="232">
        <f>+Table1[[#This Row],[calculated sale price]]</f>
        <v>0</v>
      </c>
      <c r="AB147" s="231"/>
      <c r="AC147" s="230"/>
      <c r="AD147" s="229"/>
      <c r="AE147" s="229" t="e">
        <f>[5]!Table1[[#This Row],[cost per quantity]]*(1+'[5]P&amp;L'!$P$8)</f>
        <v>#REF!</v>
      </c>
      <c r="AF147" s="229" t="e">
        <f>$AF$8*[5]!Table1[[#This Row],[man minutes]]*(1+'[5]P&amp;L'!$P$9)</f>
        <v>#REF!</v>
      </c>
      <c r="AG147" s="229">
        <f>$AF$8*Table1[[#This Row],[man minutes]]*1.18</f>
        <v>0</v>
      </c>
      <c r="AH147" s="229"/>
      <c r="AI147" s="229" t="e">
        <f>Table1[[#This Row],[Food cost w/ MU]]+Table1[[#This Row],[labor cost W/ MU]]</f>
        <v>#REF!</v>
      </c>
      <c r="AJ147" s="228"/>
    </row>
    <row r="148" spans="1:36" x14ac:dyDescent="0.25">
      <c r="A148" s="219">
        <v>10139</v>
      </c>
      <c r="C148" s="219">
        <v>1</v>
      </c>
      <c r="I148" s="219"/>
      <c r="J148" s="219"/>
      <c r="K148" s="219"/>
      <c r="L148" s="223"/>
      <c r="M148" s="219"/>
      <c r="N148" s="227"/>
      <c r="O148" s="226"/>
      <c r="P148" s="226">
        <f>Table1[[#This Row],[unit cost]]*1.065</f>
        <v>0</v>
      </c>
      <c r="Q148" s="224"/>
      <c r="R148" s="219">
        <v>1</v>
      </c>
      <c r="S148" s="235">
        <f t="shared" si="28"/>
        <v>0.42</v>
      </c>
      <c r="T148" s="233">
        <f>Table1[[#This Row],[man minutes]]*Table1[[#This Row],[labor rate]]</f>
        <v>0</v>
      </c>
      <c r="U148" s="233">
        <f t="shared" si="33"/>
        <v>0</v>
      </c>
      <c r="V148" s="218">
        <f t="shared" si="29"/>
        <v>0.13</v>
      </c>
      <c r="W148" s="234">
        <f t="shared" si="30"/>
        <v>0.13</v>
      </c>
      <c r="X148" s="233">
        <f t="shared" si="34"/>
        <v>0</v>
      </c>
      <c r="Y148" s="233">
        <f t="shared" si="31"/>
        <v>0</v>
      </c>
      <c r="Z148" s="233">
        <f t="shared" si="32"/>
        <v>0</v>
      </c>
      <c r="AA148" s="232">
        <f>+Table1[[#This Row],[calculated sale price]]</f>
        <v>0</v>
      </c>
      <c r="AB148" s="231"/>
      <c r="AC148" s="230"/>
      <c r="AD148" s="229"/>
      <c r="AE148" s="229" t="e">
        <f>[5]!Table1[[#This Row],[cost per quantity]]*(1+'[5]P&amp;L'!$P$8)</f>
        <v>#REF!</v>
      </c>
      <c r="AF148" s="229" t="e">
        <f>$AF$8*[5]!Table1[[#This Row],[man minutes]]*(1+'[5]P&amp;L'!$P$9)</f>
        <v>#REF!</v>
      </c>
      <c r="AG148" s="229">
        <f>$AF$8*Table1[[#This Row],[man minutes]]*1.18</f>
        <v>0</v>
      </c>
      <c r="AH148" s="229"/>
      <c r="AI148" s="229" t="e">
        <f>Table1[[#This Row],[Food cost w/ MU]]+Table1[[#This Row],[labor cost W/ MU]]</f>
        <v>#REF!</v>
      </c>
      <c r="AJ148" s="228"/>
    </row>
    <row r="149" spans="1:36" x14ac:dyDescent="0.25">
      <c r="A149" s="219">
        <v>10140</v>
      </c>
      <c r="C149" s="219">
        <v>1</v>
      </c>
      <c r="I149" s="219"/>
      <c r="J149" s="219"/>
      <c r="K149" s="219"/>
      <c r="L149" s="223"/>
      <c r="M149" s="219"/>
      <c r="N149" s="227"/>
      <c r="O149" s="226"/>
      <c r="P149" s="226">
        <f>Table1[[#This Row],[unit cost]]*1.065</f>
        <v>0</v>
      </c>
      <c r="Q149" s="224"/>
      <c r="R149" s="219">
        <v>1</v>
      </c>
      <c r="S149" s="235">
        <f t="shared" si="28"/>
        <v>0.42</v>
      </c>
      <c r="T149" s="233">
        <f>Table1[[#This Row],[man minutes]]*Table1[[#This Row],[labor rate]]</f>
        <v>0</v>
      </c>
      <c r="U149" s="233">
        <f t="shared" si="33"/>
        <v>0</v>
      </c>
      <c r="V149" s="218">
        <f t="shared" si="29"/>
        <v>0.13</v>
      </c>
      <c r="W149" s="234">
        <f t="shared" si="30"/>
        <v>0.13</v>
      </c>
      <c r="X149" s="233">
        <f t="shared" si="34"/>
        <v>0</v>
      </c>
      <c r="Y149" s="233">
        <f t="shared" si="31"/>
        <v>0</v>
      </c>
      <c r="Z149" s="233">
        <f t="shared" si="32"/>
        <v>0</v>
      </c>
      <c r="AA149" s="232">
        <f>+Table1[[#This Row],[calculated sale price]]</f>
        <v>0</v>
      </c>
      <c r="AB149" s="231"/>
      <c r="AC149" s="230"/>
      <c r="AD149" s="229"/>
      <c r="AE149" s="229" t="e">
        <f>[5]!Table1[[#This Row],[cost per quantity]]*(1+'[5]P&amp;L'!$P$8)</f>
        <v>#REF!</v>
      </c>
      <c r="AF149" s="229" t="e">
        <f>$AF$8*[5]!Table1[[#This Row],[man minutes]]*(1+'[5]P&amp;L'!$P$9)</f>
        <v>#REF!</v>
      </c>
      <c r="AG149" s="229">
        <f>$AF$8*Table1[[#This Row],[man minutes]]*1.18</f>
        <v>0</v>
      </c>
      <c r="AH149" s="229"/>
      <c r="AI149" s="229" t="e">
        <f>Table1[[#This Row],[Food cost w/ MU]]+Table1[[#This Row],[labor cost W/ MU]]</f>
        <v>#REF!</v>
      </c>
      <c r="AJ149" s="228"/>
    </row>
    <row r="150" spans="1:36" x14ac:dyDescent="0.25">
      <c r="A150" s="219">
        <v>10141</v>
      </c>
      <c r="C150" s="219">
        <v>1</v>
      </c>
      <c r="I150" s="219"/>
      <c r="J150" s="219"/>
      <c r="K150" s="219"/>
      <c r="L150" s="223"/>
      <c r="M150" s="219"/>
      <c r="N150" s="227"/>
      <c r="O150" s="226"/>
      <c r="P150" s="226">
        <f>Table1[[#This Row],[unit cost]]*1.065</f>
        <v>0</v>
      </c>
      <c r="Q150" s="224"/>
      <c r="R150" s="219">
        <v>1</v>
      </c>
      <c r="S150" s="235">
        <f t="shared" si="28"/>
        <v>0.42</v>
      </c>
      <c r="T150" s="233">
        <f>Table1[[#This Row],[man minutes]]*Table1[[#This Row],[labor rate]]</f>
        <v>0</v>
      </c>
      <c r="U150" s="233">
        <f t="shared" si="33"/>
        <v>0</v>
      </c>
      <c r="V150" s="218">
        <f t="shared" si="29"/>
        <v>0.13</v>
      </c>
      <c r="W150" s="234">
        <f t="shared" si="30"/>
        <v>0.13</v>
      </c>
      <c r="X150" s="233">
        <f t="shared" si="34"/>
        <v>0</v>
      </c>
      <c r="Y150" s="233">
        <f t="shared" si="31"/>
        <v>0</v>
      </c>
      <c r="Z150" s="233">
        <f t="shared" si="32"/>
        <v>0</v>
      </c>
      <c r="AA150" s="232">
        <f>+Table1[[#This Row],[calculated sale price]]</f>
        <v>0</v>
      </c>
      <c r="AB150" s="231"/>
      <c r="AC150" s="230"/>
      <c r="AD150" s="229"/>
      <c r="AE150" s="229" t="e">
        <f>[5]!Table1[[#This Row],[cost per quantity]]*(1+'[5]P&amp;L'!$P$8)</f>
        <v>#REF!</v>
      </c>
      <c r="AF150" s="229" t="e">
        <f>$AF$8*[5]!Table1[[#This Row],[man minutes]]*(1+'[5]P&amp;L'!$P$9)</f>
        <v>#REF!</v>
      </c>
      <c r="AG150" s="229">
        <f>$AF$8*Table1[[#This Row],[man minutes]]*1.18</f>
        <v>0</v>
      </c>
      <c r="AH150" s="229"/>
      <c r="AI150" s="229" t="e">
        <f>Table1[[#This Row],[Food cost w/ MU]]+Table1[[#This Row],[labor cost W/ MU]]</f>
        <v>#REF!</v>
      </c>
      <c r="AJ150" s="228"/>
    </row>
    <row r="151" spans="1:36" x14ac:dyDescent="0.25">
      <c r="A151" s="219">
        <v>10142</v>
      </c>
      <c r="C151" s="219">
        <v>1</v>
      </c>
      <c r="I151" s="219"/>
      <c r="J151" s="219"/>
      <c r="K151" s="219"/>
      <c r="L151" s="223"/>
      <c r="M151" s="219"/>
      <c r="N151" s="227"/>
      <c r="O151" s="226"/>
      <c r="P151" s="226">
        <f>Table1[[#This Row],[unit cost]]*1.065</f>
        <v>0</v>
      </c>
      <c r="Q151" s="224"/>
      <c r="R151" s="219">
        <v>1</v>
      </c>
      <c r="S151" s="235">
        <f t="shared" si="28"/>
        <v>0.42</v>
      </c>
      <c r="T151" s="233">
        <f>Table1[[#This Row],[man minutes]]*Table1[[#This Row],[labor rate]]</f>
        <v>0</v>
      </c>
      <c r="U151" s="233">
        <f t="shared" si="33"/>
        <v>0</v>
      </c>
      <c r="V151" s="218">
        <f t="shared" si="29"/>
        <v>0.13</v>
      </c>
      <c r="W151" s="234">
        <f t="shared" si="30"/>
        <v>0.13</v>
      </c>
      <c r="X151" s="233">
        <f t="shared" si="34"/>
        <v>0</v>
      </c>
      <c r="Y151" s="233">
        <f t="shared" si="31"/>
        <v>0</v>
      </c>
      <c r="Z151" s="233">
        <f t="shared" si="32"/>
        <v>0</v>
      </c>
      <c r="AA151" s="232">
        <f>+Table1[[#This Row],[calculated sale price]]</f>
        <v>0</v>
      </c>
      <c r="AB151" s="231"/>
      <c r="AC151" s="230"/>
      <c r="AD151" s="229"/>
      <c r="AE151" s="229" t="e">
        <f>[5]!Table1[[#This Row],[cost per quantity]]*(1+'[5]P&amp;L'!$P$8)</f>
        <v>#REF!</v>
      </c>
      <c r="AF151" s="229" t="e">
        <f>$AF$8*[5]!Table1[[#This Row],[man minutes]]*(1+'[5]P&amp;L'!$P$9)</f>
        <v>#REF!</v>
      </c>
      <c r="AG151" s="229">
        <f>$AF$8*Table1[[#This Row],[man minutes]]*1.18</f>
        <v>0</v>
      </c>
      <c r="AH151" s="229"/>
      <c r="AI151" s="229" t="e">
        <f>Table1[[#This Row],[Food cost w/ MU]]+Table1[[#This Row],[labor cost W/ MU]]</f>
        <v>#REF!</v>
      </c>
      <c r="AJ151" s="228"/>
    </row>
    <row r="152" spans="1:36" x14ac:dyDescent="0.25">
      <c r="A152" s="219">
        <v>10143</v>
      </c>
      <c r="C152" s="219">
        <v>1</v>
      </c>
      <c r="I152" s="219"/>
      <c r="J152" s="219"/>
      <c r="K152" s="219"/>
      <c r="L152" s="223"/>
      <c r="M152" s="219"/>
      <c r="N152" s="227"/>
      <c r="O152" s="226"/>
      <c r="P152" s="226">
        <f>Table1[[#This Row],[unit cost]]*1.065</f>
        <v>0</v>
      </c>
      <c r="Q152" s="224"/>
      <c r="R152" s="219">
        <v>1</v>
      </c>
      <c r="S152" s="235">
        <f t="shared" si="28"/>
        <v>0.42</v>
      </c>
      <c r="T152" s="233">
        <f>Table1[[#This Row],[man minutes]]*Table1[[#This Row],[labor rate]]</f>
        <v>0</v>
      </c>
      <c r="U152" s="233">
        <f t="shared" si="33"/>
        <v>0</v>
      </c>
      <c r="V152" s="218">
        <f t="shared" si="29"/>
        <v>0.13</v>
      </c>
      <c r="W152" s="234">
        <f t="shared" si="30"/>
        <v>0.13</v>
      </c>
      <c r="X152" s="233">
        <f t="shared" si="34"/>
        <v>0</v>
      </c>
      <c r="Y152" s="233">
        <f t="shared" si="31"/>
        <v>0</v>
      </c>
      <c r="Z152" s="233">
        <f t="shared" si="32"/>
        <v>0</v>
      </c>
      <c r="AA152" s="232">
        <f>+Table1[[#This Row],[calculated sale price]]</f>
        <v>0</v>
      </c>
      <c r="AB152" s="231"/>
      <c r="AC152" s="230"/>
      <c r="AD152" s="229"/>
      <c r="AE152" s="229" t="e">
        <f>[5]!Table1[[#This Row],[cost per quantity]]*(1+'[5]P&amp;L'!$P$8)</f>
        <v>#REF!</v>
      </c>
      <c r="AF152" s="229" t="e">
        <f>$AF$8*[5]!Table1[[#This Row],[man minutes]]*(1+'[5]P&amp;L'!$P$9)</f>
        <v>#REF!</v>
      </c>
      <c r="AG152" s="229">
        <f>$AF$8*Table1[[#This Row],[man minutes]]*1.18</f>
        <v>0</v>
      </c>
      <c r="AH152" s="229"/>
      <c r="AI152" s="229" t="e">
        <f>Table1[[#This Row],[Food cost w/ MU]]+Table1[[#This Row],[labor cost W/ MU]]</f>
        <v>#REF!</v>
      </c>
      <c r="AJ152" s="228"/>
    </row>
    <row r="153" spans="1:36" x14ac:dyDescent="0.25">
      <c r="A153" s="219">
        <v>10144</v>
      </c>
      <c r="C153" s="219">
        <v>1</v>
      </c>
      <c r="I153" s="219"/>
      <c r="J153" s="219"/>
      <c r="K153" s="219"/>
      <c r="L153" s="223"/>
      <c r="M153" s="219"/>
      <c r="N153" s="227"/>
      <c r="O153" s="226"/>
      <c r="P153" s="226">
        <f>Table1[[#This Row],[unit cost]]*1.065</f>
        <v>0</v>
      </c>
      <c r="Q153" s="224"/>
      <c r="R153" s="219">
        <v>1</v>
      </c>
      <c r="S153" s="235">
        <f t="shared" si="28"/>
        <v>0.42</v>
      </c>
      <c r="T153" s="233">
        <f>Table1[[#This Row],[man minutes]]*Table1[[#This Row],[labor rate]]</f>
        <v>0</v>
      </c>
      <c r="U153" s="233">
        <f t="shared" si="33"/>
        <v>0</v>
      </c>
      <c r="V153" s="218">
        <f t="shared" si="29"/>
        <v>0.13</v>
      </c>
      <c r="W153" s="234">
        <f t="shared" si="30"/>
        <v>0.13</v>
      </c>
      <c r="X153" s="233">
        <f t="shared" si="34"/>
        <v>0</v>
      </c>
      <c r="Y153" s="233">
        <f t="shared" si="31"/>
        <v>0</v>
      </c>
      <c r="Z153" s="233">
        <f t="shared" si="32"/>
        <v>0</v>
      </c>
      <c r="AA153" s="232">
        <f>+Table1[[#This Row],[calculated sale price]]</f>
        <v>0</v>
      </c>
      <c r="AB153" s="231"/>
      <c r="AC153" s="230"/>
      <c r="AD153" s="229"/>
      <c r="AE153" s="229" t="e">
        <f>[5]!Table1[[#This Row],[cost per quantity]]*(1+'[5]P&amp;L'!$P$8)</f>
        <v>#REF!</v>
      </c>
      <c r="AF153" s="229" t="e">
        <f>$AF$8*[5]!Table1[[#This Row],[man minutes]]*(1+'[5]P&amp;L'!$P$9)</f>
        <v>#REF!</v>
      </c>
      <c r="AG153" s="229">
        <f>$AF$8*Table1[[#This Row],[man minutes]]*1.18</f>
        <v>0</v>
      </c>
      <c r="AH153" s="229"/>
      <c r="AI153" s="229" t="e">
        <f>Table1[[#This Row],[Food cost w/ MU]]+Table1[[#This Row],[labor cost W/ MU]]</f>
        <v>#REF!</v>
      </c>
      <c r="AJ153" s="228"/>
    </row>
    <row r="154" spans="1:36" x14ac:dyDescent="0.25">
      <c r="A154" s="219">
        <v>10145</v>
      </c>
      <c r="C154" s="219">
        <v>1</v>
      </c>
      <c r="I154" s="219"/>
      <c r="J154" s="219"/>
      <c r="K154" s="219"/>
      <c r="L154" s="223"/>
      <c r="M154" s="219"/>
      <c r="N154" s="227"/>
      <c r="O154" s="226"/>
      <c r="P154" s="226">
        <f>Table1[[#This Row],[unit cost]]*1.065</f>
        <v>0</v>
      </c>
      <c r="Q154" s="224"/>
      <c r="R154" s="219">
        <v>1</v>
      </c>
      <c r="S154" s="235">
        <f t="shared" si="28"/>
        <v>0.42</v>
      </c>
      <c r="T154" s="233">
        <f>Table1[[#This Row],[man minutes]]*Table1[[#This Row],[labor rate]]</f>
        <v>0</v>
      </c>
      <c r="U154" s="233">
        <f t="shared" si="33"/>
        <v>0</v>
      </c>
      <c r="V154" s="218">
        <f t="shared" si="29"/>
        <v>0.13</v>
      </c>
      <c r="W154" s="234">
        <f t="shared" si="30"/>
        <v>0.13</v>
      </c>
      <c r="X154" s="233">
        <f t="shared" si="34"/>
        <v>0</v>
      </c>
      <c r="Y154" s="233">
        <f t="shared" si="31"/>
        <v>0</v>
      </c>
      <c r="Z154" s="233">
        <f t="shared" si="32"/>
        <v>0</v>
      </c>
      <c r="AA154" s="232">
        <f>+Table1[[#This Row],[calculated sale price]]</f>
        <v>0</v>
      </c>
      <c r="AB154" s="231"/>
      <c r="AC154" s="230"/>
      <c r="AD154" s="229"/>
      <c r="AE154" s="229" t="e">
        <f>[5]!Table1[[#This Row],[cost per quantity]]*(1+'[5]P&amp;L'!$P$8)</f>
        <v>#REF!</v>
      </c>
      <c r="AF154" s="229" t="e">
        <f>$AF$8*[5]!Table1[[#This Row],[man minutes]]*(1+'[5]P&amp;L'!$P$9)</f>
        <v>#REF!</v>
      </c>
      <c r="AG154" s="229">
        <f>$AF$8*Table1[[#This Row],[man minutes]]*1.18</f>
        <v>0</v>
      </c>
      <c r="AH154" s="229"/>
      <c r="AI154" s="229" t="e">
        <f>Table1[[#This Row],[Food cost w/ MU]]+Table1[[#This Row],[labor cost W/ MU]]</f>
        <v>#REF!</v>
      </c>
      <c r="AJ154" s="228"/>
    </row>
    <row r="155" spans="1:36" x14ac:dyDescent="0.25">
      <c r="A155" s="219">
        <v>10146</v>
      </c>
      <c r="C155" s="219">
        <v>1</v>
      </c>
      <c r="I155" s="219"/>
      <c r="J155" s="219"/>
      <c r="K155" s="219"/>
      <c r="L155" s="223"/>
      <c r="M155" s="219"/>
      <c r="N155" s="227"/>
      <c r="O155" s="226"/>
      <c r="P155" s="226">
        <f>Table1[[#This Row],[unit cost]]*1.065</f>
        <v>0</v>
      </c>
      <c r="Q155" s="224"/>
      <c r="R155" s="219">
        <v>1</v>
      </c>
      <c r="S155" s="235">
        <f t="shared" si="28"/>
        <v>0.42</v>
      </c>
      <c r="T155" s="233">
        <f>Table1[[#This Row],[man minutes]]*Table1[[#This Row],[labor rate]]</f>
        <v>0</v>
      </c>
      <c r="U155" s="233">
        <f t="shared" si="33"/>
        <v>0</v>
      </c>
      <c r="V155" s="218">
        <f t="shared" si="29"/>
        <v>0.13</v>
      </c>
      <c r="W155" s="234">
        <f t="shared" si="30"/>
        <v>0.13</v>
      </c>
      <c r="X155" s="233">
        <f t="shared" si="34"/>
        <v>0</v>
      </c>
      <c r="Y155" s="233">
        <f t="shared" si="31"/>
        <v>0</v>
      </c>
      <c r="Z155" s="233">
        <f t="shared" si="32"/>
        <v>0</v>
      </c>
      <c r="AA155" s="232">
        <f>+Table1[[#This Row],[calculated sale price]]</f>
        <v>0</v>
      </c>
      <c r="AB155" s="231"/>
      <c r="AC155" s="230"/>
      <c r="AD155" s="229"/>
      <c r="AE155" s="229" t="e">
        <f>[5]!Table1[[#This Row],[cost per quantity]]*(1+'[5]P&amp;L'!$P$8)</f>
        <v>#REF!</v>
      </c>
      <c r="AF155" s="229" t="e">
        <f>$AF$8*[5]!Table1[[#This Row],[man minutes]]*(1+'[5]P&amp;L'!$P$9)</f>
        <v>#REF!</v>
      </c>
      <c r="AG155" s="229">
        <f>$AF$8*Table1[[#This Row],[man minutes]]*1.18</f>
        <v>0</v>
      </c>
      <c r="AH155" s="229"/>
      <c r="AI155" s="229" t="e">
        <f>Table1[[#This Row],[Food cost w/ MU]]+Table1[[#This Row],[labor cost W/ MU]]</f>
        <v>#REF!</v>
      </c>
      <c r="AJ155" s="228"/>
    </row>
    <row r="156" spans="1:36" x14ac:dyDescent="0.25">
      <c r="A156" s="219">
        <v>10147</v>
      </c>
      <c r="C156" s="219">
        <v>1</v>
      </c>
      <c r="I156" s="219"/>
      <c r="J156" s="219"/>
      <c r="K156" s="219"/>
      <c r="L156" s="223"/>
      <c r="M156" s="219"/>
      <c r="N156" s="227"/>
      <c r="O156" s="226"/>
      <c r="P156" s="226">
        <f>Table1[[#This Row],[unit cost]]*1.065</f>
        <v>0</v>
      </c>
      <c r="Q156" s="224"/>
      <c r="R156" s="219">
        <v>1</v>
      </c>
      <c r="S156" s="235">
        <f t="shared" si="28"/>
        <v>0.42</v>
      </c>
      <c r="T156" s="233">
        <f>Table1[[#This Row],[man minutes]]*Table1[[#This Row],[labor rate]]</f>
        <v>0</v>
      </c>
      <c r="U156" s="233">
        <f t="shared" si="33"/>
        <v>0</v>
      </c>
      <c r="V156" s="218">
        <f t="shared" si="29"/>
        <v>0.13</v>
      </c>
      <c r="W156" s="234">
        <f t="shared" si="30"/>
        <v>0.13</v>
      </c>
      <c r="X156" s="233">
        <f t="shared" si="34"/>
        <v>0</v>
      </c>
      <c r="Y156" s="233">
        <f t="shared" si="31"/>
        <v>0</v>
      </c>
      <c r="Z156" s="233">
        <f t="shared" si="32"/>
        <v>0</v>
      </c>
      <c r="AA156" s="232">
        <f>+Table1[[#This Row],[calculated sale price]]</f>
        <v>0</v>
      </c>
      <c r="AB156" s="231"/>
      <c r="AC156" s="230"/>
      <c r="AD156" s="229"/>
      <c r="AE156" s="229" t="e">
        <f>[5]!Table1[[#This Row],[cost per quantity]]*(1+'[5]P&amp;L'!$P$8)</f>
        <v>#REF!</v>
      </c>
      <c r="AF156" s="229" t="e">
        <f>$AF$8*[5]!Table1[[#This Row],[man minutes]]*(1+'[5]P&amp;L'!$P$9)</f>
        <v>#REF!</v>
      </c>
      <c r="AG156" s="229">
        <f>$AF$8*Table1[[#This Row],[man minutes]]*1.18</f>
        <v>0</v>
      </c>
      <c r="AH156" s="229"/>
      <c r="AI156" s="229" t="e">
        <f>Table1[[#This Row],[Food cost w/ MU]]+Table1[[#This Row],[labor cost W/ MU]]</f>
        <v>#REF!</v>
      </c>
      <c r="AJ156" s="228"/>
    </row>
    <row r="157" spans="1:36" x14ac:dyDescent="0.25">
      <c r="A157" s="219">
        <v>10148</v>
      </c>
      <c r="C157" s="219">
        <v>1</v>
      </c>
      <c r="I157" s="219"/>
      <c r="J157" s="219"/>
      <c r="K157" s="219"/>
      <c r="L157" s="223"/>
      <c r="M157" s="219"/>
      <c r="N157" s="227"/>
      <c r="O157" s="226"/>
      <c r="P157" s="226">
        <f>Table1[[#This Row],[unit cost]]*1.065</f>
        <v>0</v>
      </c>
      <c r="Q157" s="224"/>
      <c r="R157" s="219">
        <v>1</v>
      </c>
      <c r="S157" s="235">
        <f t="shared" si="28"/>
        <v>0.42</v>
      </c>
      <c r="T157" s="233">
        <f>Table1[[#This Row],[man minutes]]*Table1[[#This Row],[labor rate]]</f>
        <v>0</v>
      </c>
      <c r="U157" s="233">
        <f t="shared" si="33"/>
        <v>0</v>
      </c>
      <c r="V157" s="218">
        <f t="shared" si="29"/>
        <v>0.13</v>
      </c>
      <c r="W157" s="234">
        <f t="shared" si="30"/>
        <v>0.13</v>
      </c>
      <c r="X157" s="233">
        <f t="shared" si="34"/>
        <v>0</v>
      </c>
      <c r="Y157" s="233">
        <f t="shared" si="31"/>
        <v>0</v>
      </c>
      <c r="Z157" s="233">
        <f t="shared" si="32"/>
        <v>0</v>
      </c>
      <c r="AA157" s="232">
        <f>+Table1[[#This Row],[calculated sale price]]</f>
        <v>0</v>
      </c>
      <c r="AB157" s="231"/>
      <c r="AC157" s="230"/>
      <c r="AD157" s="229"/>
      <c r="AE157" s="229" t="e">
        <f>[5]!Table1[[#This Row],[cost per quantity]]*(1+'[5]P&amp;L'!$P$8)</f>
        <v>#REF!</v>
      </c>
      <c r="AF157" s="229" t="e">
        <f>$AF$8*[5]!Table1[[#This Row],[man minutes]]*(1+'[5]P&amp;L'!$P$9)</f>
        <v>#REF!</v>
      </c>
      <c r="AG157" s="229">
        <f>$AF$8*Table1[[#This Row],[man minutes]]*1.18</f>
        <v>0</v>
      </c>
      <c r="AH157" s="229"/>
      <c r="AI157" s="229" t="e">
        <f>Table1[[#This Row],[Food cost w/ MU]]+Table1[[#This Row],[labor cost W/ MU]]</f>
        <v>#REF!</v>
      </c>
      <c r="AJ157" s="228"/>
    </row>
    <row r="158" spans="1:36" x14ac:dyDescent="0.25">
      <c r="A158" s="219">
        <v>10149</v>
      </c>
      <c r="C158" s="219">
        <v>1</v>
      </c>
      <c r="I158" s="219"/>
      <c r="J158" s="219"/>
      <c r="K158" s="219"/>
      <c r="L158" s="223"/>
      <c r="M158" s="219"/>
      <c r="N158" s="227"/>
      <c r="O158" s="226"/>
      <c r="P158" s="226">
        <f>Table1[[#This Row],[unit cost]]*1.065</f>
        <v>0</v>
      </c>
      <c r="Q158" s="224"/>
      <c r="R158" s="219">
        <v>1</v>
      </c>
      <c r="S158" s="235">
        <f t="shared" si="28"/>
        <v>0.42</v>
      </c>
      <c r="T158" s="233">
        <f>Table1[[#This Row],[man minutes]]*Table1[[#This Row],[labor rate]]</f>
        <v>0</v>
      </c>
      <c r="U158" s="233">
        <f t="shared" si="33"/>
        <v>0</v>
      </c>
      <c r="V158" s="218">
        <f t="shared" si="29"/>
        <v>0.13</v>
      </c>
      <c r="W158" s="234">
        <f t="shared" si="30"/>
        <v>0.13</v>
      </c>
      <c r="X158" s="233">
        <f t="shared" si="34"/>
        <v>0</v>
      </c>
      <c r="Y158" s="233">
        <f t="shared" si="31"/>
        <v>0</v>
      </c>
      <c r="Z158" s="233">
        <f t="shared" si="32"/>
        <v>0</v>
      </c>
      <c r="AA158" s="232">
        <f>+Table1[[#This Row],[calculated sale price]]</f>
        <v>0</v>
      </c>
      <c r="AB158" s="231"/>
      <c r="AC158" s="230"/>
      <c r="AD158" s="229"/>
      <c r="AE158" s="229" t="e">
        <f>[5]!Table1[[#This Row],[cost per quantity]]*(1+'[5]P&amp;L'!$P$8)</f>
        <v>#REF!</v>
      </c>
      <c r="AF158" s="229" t="e">
        <f>$AF$8*[5]!Table1[[#This Row],[man minutes]]*(1+'[5]P&amp;L'!$P$9)</f>
        <v>#REF!</v>
      </c>
      <c r="AG158" s="229">
        <f>$AF$8*Table1[[#This Row],[man minutes]]*1.18</f>
        <v>0</v>
      </c>
      <c r="AH158" s="229"/>
      <c r="AI158" s="229" t="e">
        <f>Table1[[#This Row],[Food cost w/ MU]]+Table1[[#This Row],[labor cost W/ MU]]</f>
        <v>#REF!</v>
      </c>
      <c r="AJ158" s="228"/>
    </row>
    <row r="159" spans="1:36" x14ac:dyDescent="0.25">
      <c r="A159" s="219">
        <v>10150</v>
      </c>
      <c r="C159" s="219">
        <v>1</v>
      </c>
      <c r="I159" s="219"/>
      <c r="J159" s="219"/>
      <c r="K159" s="219"/>
      <c r="L159" s="223"/>
      <c r="M159" s="219"/>
      <c r="N159" s="227"/>
      <c r="O159" s="226"/>
      <c r="P159" s="226">
        <f>Table1[[#This Row],[unit cost]]*1.065</f>
        <v>0</v>
      </c>
      <c r="Q159" s="224"/>
      <c r="R159" s="219">
        <v>1</v>
      </c>
      <c r="S159" s="235">
        <f t="shared" si="28"/>
        <v>0.42</v>
      </c>
      <c r="T159" s="233">
        <f>Table1[[#This Row],[man minutes]]*Table1[[#This Row],[labor rate]]</f>
        <v>0</v>
      </c>
      <c r="U159" s="233">
        <f t="shared" si="33"/>
        <v>0</v>
      </c>
      <c r="V159" s="218">
        <f t="shared" si="29"/>
        <v>0.13</v>
      </c>
      <c r="W159" s="234">
        <f t="shared" si="30"/>
        <v>0.13</v>
      </c>
      <c r="X159" s="233">
        <f t="shared" si="34"/>
        <v>0</v>
      </c>
      <c r="Y159" s="233">
        <f t="shared" si="31"/>
        <v>0</v>
      </c>
      <c r="Z159" s="233">
        <f t="shared" si="32"/>
        <v>0</v>
      </c>
      <c r="AA159" s="232">
        <f>+Table1[[#This Row],[calculated sale price]]</f>
        <v>0</v>
      </c>
      <c r="AB159" s="231"/>
      <c r="AC159" s="230"/>
      <c r="AD159" s="229"/>
      <c r="AE159" s="229" t="e">
        <f>[5]!Table1[[#This Row],[cost per quantity]]*(1+'[5]P&amp;L'!$P$8)</f>
        <v>#REF!</v>
      </c>
      <c r="AF159" s="229" t="e">
        <f>$AF$8*[5]!Table1[[#This Row],[man minutes]]*(1+'[5]P&amp;L'!$P$9)</f>
        <v>#REF!</v>
      </c>
      <c r="AG159" s="229">
        <f>$AF$8*Table1[[#This Row],[man minutes]]*1.18</f>
        <v>0</v>
      </c>
      <c r="AH159" s="229"/>
      <c r="AI159" s="229" t="e">
        <f>Table1[[#This Row],[Food cost w/ MU]]+Table1[[#This Row],[labor cost W/ MU]]</f>
        <v>#REF!</v>
      </c>
      <c r="AJ159" s="228"/>
    </row>
    <row r="160" spans="1:36" x14ac:dyDescent="0.25">
      <c r="A160" s="219">
        <v>10151</v>
      </c>
      <c r="C160" s="219">
        <v>1</v>
      </c>
      <c r="I160" s="219"/>
      <c r="J160" s="219"/>
      <c r="K160" s="219"/>
      <c r="L160" s="223"/>
      <c r="M160" s="219"/>
      <c r="N160" s="227"/>
      <c r="O160" s="226"/>
      <c r="P160" s="226">
        <f>Table1[[#This Row],[unit cost]]*1.065</f>
        <v>0</v>
      </c>
      <c r="Q160" s="224"/>
      <c r="R160" s="219">
        <v>1</v>
      </c>
      <c r="S160" s="235">
        <f t="shared" si="28"/>
        <v>0.42</v>
      </c>
      <c r="T160" s="233">
        <f>Table1[[#This Row],[man minutes]]*Table1[[#This Row],[labor rate]]</f>
        <v>0</v>
      </c>
      <c r="U160" s="233">
        <f t="shared" si="33"/>
        <v>0</v>
      </c>
      <c r="V160" s="218">
        <f t="shared" si="29"/>
        <v>0.13</v>
      </c>
      <c r="W160" s="234">
        <f t="shared" si="30"/>
        <v>0.13</v>
      </c>
      <c r="X160" s="233">
        <f t="shared" si="34"/>
        <v>0</v>
      </c>
      <c r="Y160" s="233">
        <f t="shared" si="31"/>
        <v>0</v>
      </c>
      <c r="Z160" s="233">
        <f t="shared" si="32"/>
        <v>0</v>
      </c>
      <c r="AA160" s="232">
        <f>+Table1[[#This Row],[calculated sale price]]</f>
        <v>0</v>
      </c>
      <c r="AB160" s="231"/>
      <c r="AC160" s="230"/>
      <c r="AD160" s="229"/>
      <c r="AE160" s="229" t="e">
        <f>[5]!Table1[[#This Row],[cost per quantity]]*(1+'[5]P&amp;L'!$P$8)</f>
        <v>#REF!</v>
      </c>
      <c r="AF160" s="229" t="e">
        <f>$AF$8*[5]!Table1[[#This Row],[man minutes]]*(1+'[5]P&amp;L'!$P$9)</f>
        <v>#REF!</v>
      </c>
      <c r="AG160" s="229">
        <f>$AF$8*Table1[[#This Row],[man minutes]]*1.18</f>
        <v>0</v>
      </c>
      <c r="AH160" s="229"/>
      <c r="AI160" s="229" t="e">
        <f>Table1[[#This Row],[Food cost w/ MU]]+Table1[[#This Row],[labor cost W/ MU]]</f>
        <v>#REF!</v>
      </c>
      <c r="AJ160" s="228"/>
    </row>
    <row r="161" spans="1:36" x14ac:dyDescent="0.25">
      <c r="A161" s="219">
        <v>10152</v>
      </c>
      <c r="C161" s="219">
        <v>1</v>
      </c>
      <c r="I161" s="219"/>
      <c r="J161" s="219"/>
      <c r="K161" s="219"/>
      <c r="L161" s="223"/>
      <c r="M161" s="219"/>
      <c r="N161" s="227"/>
      <c r="O161" s="226"/>
      <c r="P161" s="226">
        <f>Table1[[#This Row],[unit cost]]*1.065</f>
        <v>0</v>
      </c>
      <c r="Q161" s="224"/>
      <c r="R161" s="219">
        <v>1</v>
      </c>
      <c r="S161" s="235">
        <f t="shared" ref="S161:S192" si="35">$S$2</f>
        <v>0.42</v>
      </c>
      <c r="T161" s="233">
        <f>Table1[[#This Row],[man minutes]]*Table1[[#This Row],[labor rate]]</f>
        <v>0</v>
      </c>
      <c r="U161" s="233">
        <f t="shared" si="33"/>
        <v>0</v>
      </c>
      <c r="V161" s="218">
        <f t="shared" ref="V161:V192" si="36">$V$2</f>
        <v>0.13</v>
      </c>
      <c r="W161" s="234">
        <f t="shared" ref="W161:W192" si="37">$W$2</f>
        <v>0.13</v>
      </c>
      <c r="X161" s="233">
        <f t="shared" si="34"/>
        <v>0</v>
      </c>
      <c r="Y161" s="233">
        <f t="shared" ref="Y161:Y192" si="38">T161+(T161*W161)</f>
        <v>0</v>
      </c>
      <c r="Z161" s="233">
        <f t="shared" ref="Z161:Z192" si="39">IFERROR(ROUNDUP(X161+Y161,2)," ")</f>
        <v>0</v>
      </c>
      <c r="AA161" s="232">
        <f>+Table1[[#This Row],[calculated sale price]]</f>
        <v>0</v>
      </c>
      <c r="AB161" s="231"/>
      <c r="AC161" s="230"/>
      <c r="AD161" s="229"/>
      <c r="AE161" s="229" t="e">
        <f>[5]!Table1[[#This Row],[cost per quantity]]*(1+'[5]P&amp;L'!$P$8)</f>
        <v>#REF!</v>
      </c>
      <c r="AF161" s="229" t="e">
        <f>$AF$8*[5]!Table1[[#This Row],[man minutes]]*(1+'[5]P&amp;L'!$P$9)</f>
        <v>#REF!</v>
      </c>
      <c r="AG161" s="229">
        <f>$AF$8*Table1[[#This Row],[man minutes]]*1.18</f>
        <v>0</v>
      </c>
      <c r="AH161" s="229"/>
      <c r="AI161" s="229" t="e">
        <f>Table1[[#This Row],[Food cost w/ MU]]+Table1[[#This Row],[labor cost W/ MU]]</f>
        <v>#REF!</v>
      </c>
      <c r="AJ161" s="228"/>
    </row>
    <row r="162" spans="1:36" x14ac:dyDescent="0.25">
      <c r="A162" s="219">
        <v>10153</v>
      </c>
      <c r="C162" s="219">
        <v>1</v>
      </c>
      <c r="I162" s="219"/>
      <c r="J162" s="219"/>
      <c r="K162" s="219"/>
      <c r="L162" s="223"/>
      <c r="M162" s="219"/>
      <c r="N162" s="227"/>
      <c r="O162" s="226"/>
      <c r="P162" s="226">
        <f>Table1[[#This Row],[unit cost]]*1.065</f>
        <v>0</v>
      </c>
      <c r="Q162" s="224"/>
      <c r="R162" s="219">
        <v>1</v>
      </c>
      <c r="S162" s="235">
        <f t="shared" si="35"/>
        <v>0.42</v>
      </c>
      <c r="T162" s="233">
        <f>Table1[[#This Row],[man minutes]]*Table1[[#This Row],[labor rate]]</f>
        <v>0</v>
      </c>
      <c r="U162" s="233">
        <f t="shared" ref="U162:U193" si="40">P162+T162</f>
        <v>0</v>
      </c>
      <c r="V162" s="218">
        <f t="shared" si="36"/>
        <v>0.13</v>
      </c>
      <c r="W162" s="234">
        <f t="shared" si="37"/>
        <v>0.13</v>
      </c>
      <c r="X162" s="233">
        <f t="shared" ref="X162:X193" si="41">P162*(1+V162)</f>
        <v>0</v>
      </c>
      <c r="Y162" s="233">
        <f t="shared" si="38"/>
        <v>0</v>
      </c>
      <c r="Z162" s="233">
        <f t="shared" si="39"/>
        <v>0</v>
      </c>
      <c r="AA162" s="232">
        <f>+Table1[[#This Row],[calculated sale price]]</f>
        <v>0</v>
      </c>
      <c r="AB162" s="231"/>
      <c r="AC162" s="230"/>
      <c r="AD162" s="229"/>
      <c r="AE162" s="229" t="e">
        <f>[5]!Table1[[#This Row],[cost per quantity]]*(1+'[5]P&amp;L'!$P$8)</f>
        <v>#REF!</v>
      </c>
      <c r="AF162" s="229" t="e">
        <f>$AF$8*[5]!Table1[[#This Row],[man minutes]]*(1+'[5]P&amp;L'!$P$9)</f>
        <v>#REF!</v>
      </c>
      <c r="AG162" s="229">
        <f>$AF$8*Table1[[#This Row],[man minutes]]*1.18</f>
        <v>0</v>
      </c>
      <c r="AH162" s="229"/>
      <c r="AI162" s="229" t="e">
        <f>Table1[[#This Row],[Food cost w/ MU]]+Table1[[#This Row],[labor cost W/ MU]]</f>
        <v>#REF!</v>
      </c>
      <c r="AJ162" s="228"/>
    </row>
    <row r="163" spans="1:36" x14ac:dyDescent="0.25">
      <c r="A163" s="219">
        <v>10154</v>
      </c>
      <c r="C163" s="219">
        <v>1</v>
      </c>
      <c r="I163" s="219"/>
      <c r="J163" s="219"/>
      <c r="K163" s="219"/>
      <c r="L163" s="223"/>
      <c r="M163" s="219"/>
      <c r="N163" s="227"/>
      <c r="O163" s="226"/>
      <c r="P163" s="226">
        <f>Table1[[#This Row],[unit cost]]*1.065</f>
        <v>0</v>
      </c>
      <c r="Q163" s="224"/>
      <c r="R163" s="219">
        <v>1</v>
      </c>
      <c r="S163" s="235">
        <f t="shared" si="35"/>
        <v>0.42</v>
      </c>
      <c r="T163" s="233">
        <f>Table1[[#This Row],[man minutes]]*Table1[[#This Row],[labor rate]]</f>
        <v>0</v>
      </c>
      <c r="U163" s="233">
        <f t="shared" si="40"/>
        <v>0</v>
      </c>
      <c r="V163" s="218">
        <f t="shared" si="36"/>
        <v>0.13</v>
      </c>
      <c r="W163" s="234">
        <f t="shared" si="37"/>
        <v>0.13</v>
      </c>
      <c r="X163" s="233">
        <f t="shared" si="41"/>
        <v>0</v>
      </c>
      <c r="Y163" s="233">
        <f t="shared" si="38"/>
        <v>0</v>
      </c>
      <c r="Z163" s="233">
        <f t="shared" si="39"/>
        <v>0</v>
      </c>
      <c r="AA163" s="232">
        <f>+Table1[[#This Row],[calculated sale price]]</f>
        <v>0</v>
      </c>
      <c r="AB163" s="231"/>
      <c r="AC163" s="230"/>
      <c r="AD163" s="229"/>
      <c r="AE163" s="229" t="e">
        <f>[5]!Table1[[#This Row],[cost per quantity]]*(1+'[5]P&amp;L'!$P$8)</f>
        <v>#REF!</v>
      </c>
      <c r="AF163" s="229" t="e">
        <f>$AF$8*[5]!Table1[[#This Row],[man minutes]]*(1+'[5]P&amp;L'!$P$9)</f>
        <v>#REF!</v>
      </c>
      <c r="AG163" s="229">
        <f>$AF$8*Table1[[#This Row],[man minutes]]*1.18</f>
        <v>0</v>
      </c>
      <c r="AH163" s="229"/>
      <c r="AI163" s="229" t="e">
        <f>Table1[[#This Row],[Food cost w/ MU]]+Table1[[#This Row],[labor cost W/ MU]]</f>
        <v>#REF!</v>
      </c>
      <c r="AJ163" s="228"/>
    </row>
    <row r="164" spans="1:36" x14ac:dyDescent="0.25">
      <c r="A164" s="219">
        <v>10155</v>
      </c>
      <c r="C164" s="219">
        <v>1</v>
      </c>
      <c r="I164" s="219"/>
      <c r="J164" s="219"/>
      <c r="K164" s="219"/>
      <c r="L164" s="223"/>
      <c r="M164" s="219"/>
      <c r="N164" s="227"/>
      <c r="O164" s="226"/>
      <c r="P164" s="226">
        <f>Table1[[#This Row],[unit cost]]*1.065</f>
        <v>0</v>
      </c>
      <c r="Q164" s="224"/>
      <c r="R164" s="219">
        <v>1</v>
      </c>
      <c r="S164" s="235">
        <f t="shared" si="35"/>
        <v>0.42</v>
      </c>
      <c r="T164" s="233">
        <f>Table1[[#This Row],[man minutes]]*Table1[[#This Row],[labor rate]]</f>
        <v>0</v>
      </c>
      <c r="U164" s="233">
        <f t="shared" si="40"/>
        <v>0</v>
      </c>
      <c r="V164" s="218">
        <f t="shared" si="36"/>
        <v>0.13</v>
      </c>
      <c r="W164" s="234">
        <f t="shared" si="37"/>
        <v>0.13</v>
      </c>
      <c r="X164" s="233">
        <f t="shared" si="41"/>
        <v>0</v>
      </c>
      <c r="Y164" s="233">
        <f t="shared" si="38"/>
        <v>0</v>
      </c>
      <c r="Z164" s="233">
        <f t="shared" si="39"/>
        <v>0</v>
      </c>
      <c r="AA164" s="232">
        <f>+Table1[[#This Row],[calculated sale price]]</f>
        <v>0</v>
      </c>
      <c r="AB164" s="231"/>
      <c r="AC164" s="230"/>
      <c r="AD164" s="229"/>
      <c r="AE164" s="229" t="e">
        <f>[5]!Table1[[#This Row],[cost per quantity]]*(1+'[5]P&amp;L'!$P$8)</f>
        <v>#REF!</v>
      </c>
      <c r="AF164" s="229" t="e">
        <f>$AF$8*[5]!Table1[[#This Row],[man minutes]]*(1+'[5]P&amp;L'!$P$9)</f>
        <v>#REF!</v>
      </c>
      <c r="AG164" s="229">
        <f>$AF$8*Table1[[#This Row],[man minutes]]*1.18</f>
        <v>0</v>
      </c>
      <c r="AH164" s="229"/>
      <c r="AI164" s="229" t="e">
        <f>Table1[[#This Row],[Food cost w/ MU]]+Table1[[#This Row],[labor cost W/ MU]]</f>
        <v>#REF!</v>
      </c>
      <c r="AJ164" s="228"/>
    </row>
    <row r="165" spans="1:36" x14ac:dyDescent="0.25">
      <c r="A165" s="219">
        <v>10156</v>
      </c>
      <c r="C165" s="219">
        <v>1</v>
      </c>
      <c r="I165" s="219"/>
      <c r="J165" s="219"/>
      <c r="K165" s="219"/>
      <c r="L165" s="223"/>
      <c r="M165" s="219"/>
      <c r="N165" s="227"/>
      <c r="O165" s="226"/>
      <c r="P165" s="226">
        <f>Table1[[#This Row],[unit cost]]*1.065</f>
        <v>0</v>
      </c>
      <c r="Q165" s="224"/>
      <c r="R165" s="219">
        <v>1</v>
      </c>
      <c r="S165" s="235">
        <f t="shared" si="35"/>
        <v>0.42</v>
      </c>
      <c r="T165" s="233">
        <f>Table1[[#This Row],[man minutes]]*Table1[[#This Row],[labor rate]]</f>
        <v>0</v>
      </c>
      <c r="U165" s="233">
        <f t="shared" si="40"/>
        <v>0</v>
      </c>
      <c r="V165" s="218">
        <f t="shared" si="36"/>
        <v>0.13</v>
      </c>
      <c r="W165" s="234">
        <f t="shared" si="37"/>
        <v>0.13</v>
      </c>
      <c r="X165" s="233">
        <f t="shared" si="41"/>
        <v>0</v>
      </c>
      <c r="Y165" s="233">
        <f t="shared" si="38"/>
        <v>0</v>
      </c>
      <c r="Z165" s="233">
        <f t="shared" si="39"/>
        <v>0</v>
      </c>
      <c r="AA165" s="232">
        <f>+Table1[[#This Row],[calculated sale price]]</f>
        <v>0</v>
      </c>
      <c r="AB165" s="231"/>
      <c r="AC165" s="230"/>
      <c r="AD165" s="229"/>
      <c r="AE165" s="229" t="e">
        <f>[5]!Table1[[#This Row],[cost per quantity]]*(1+'[5]P&amp;L'!$P$8)</f>
        <v>#REF!</v>
      </c>
      <c r="AF165" s="229" t="e">
        <f>$AF$8*[5]!Table1[[#This Row],[man minutes]]*(1+'[5]P&amp;L'!$P$9)</f>
        <v>#REF!</v>
      </c>
      <c r="AG165" s="229">
        <f>$AF$8*Table1[[#This Row],[man minutes]]*1.18</f>
        <v>0</v>
      </c>
      <c r="AH165" s="229"/>
      <c r="AI165" s="229" t="e">
        <f>Table1[[#This Row],[Food cost w/ MU]]+Table1[[#This Row],[labor cost W/ MU]]</f>
        <v>#REF!</v>
      </c>
      <c r="AJ165" s="228"/>
    </row>
    <row r="166" spans="1:36" x14ac:dyDescent="0.25">
      <c r="A166" s="219">
        <v>10157</v>
      </c>
      <c r="C166" s="219">
        <v>1</v>
      </c>
      <c r="I166" s="219"/>
      <c r="J166" s="219"/>
      <c r="K166" s="219"/>
      <c r="L166" s="223"/>
      <c r="M166" s="219"/>
      <c r="N166" s="227"/>
      <c r="O166" s="226"/>
      <c r="P166" s="226">
        <f>Table1[[#This Row],[unit cost]]*1.065</f>
        <v>0</v>
      </c>
      <c r="Q166" s="224"/>
      <c r="R166" s="219">
        <v>1</v>
      </c>
      <c r="S166" s="235">
        <f t="shared" si="35"/>
        <v>0.42</v>
      </c>
      <c r="T166" s="233">
        <f>Table1[[#This Row],[man minutes]]*Table1[[#This Row],[labor rate]]</f>
        <v>0</v>
      </c>
      <c r="U166" s="233">
        <f t="shared" si="40"/>
        <v>0</v>
      </c>
      <c r="V166" s="218">
        <f t="shared" si="36"/>
        <v>0.13</v>
      </c>
      <c r="W166" s="234">
        <f t="shared" si="37"/>
        <v>0.13</v>
      </c>
      <c r="X166" s="233">
        <f t="shared" si="41"/>
        <v>0</v>
      </c>
      <c r="Y166" s="233">
        <f t="shared" si="38"/>
        <v>0</v>
      </c>
      <c r="Z166" s="233">
        <f t="shared" si="39"/>
        <v>0</v>
      </c>
      <c r="AA166" s="232">
        <f>+Table1[[#This Row],[calculated sale price]]</f>
        <v>0</v>
      </c>
      <c r="AB166" s="231"/>
      <c r="AC166" s="230"/>
      <c r="AD166" s="229"/>
      <c r="AE166" s="229" t="e">
        <f>[5]!Table1[[#This Row],[cost per quantity]]*(1+'[5]P&amp;L'!$P$8)</f>
        <v>#REF!</v>
      </c>
      <c r="AF166" s="229" t="e">
        <f>$AF$8*[5]!Table1[[#This Row],[man minutes]]*(1+'[5]P&amp;L'!$P$9)</f>
        <v>#REF!</v>
      </c>
      <c r="AG166" s="229">
        <f>$AF$8*Table1[[#This Row],[man minutes]]*1.18</f>
        <v>0</v>
      </c>
      <c r="AH166" s="229"/>
      <c r="AI166" s="229" t="e">
        <f>Table1[[#This Row],[Food cost w/ MU]]+Table1[[#This Row],[labor cost W/ MU]]</f>
        <v>#REF!</v>
      </c>
      <c r="AJ166" s="228"/>
    </row>
    <row r="167" spans="1:36" x14ac:dyDescent="0.25">
      <c r="A167" s="219">
        <v>10158</v>
      </c>
      <c r="C167" s="219">
        <v>1</v>
      </c>
      <c r="I167" s="219"/>
      <c r="J167" s="219"/>
      <c r="K167" s="219"/>
      <c r="L167" s="223"/>
      <c r="M167" s="219"/>
      <c r="N167" s="227"/>
      <c r="O167" s="226"/>
      <c r="P167" s="226">
        <f>Table1[[#This Row],[unit cost]]*1.065</f>
        <v>0</v>
      </c>
      <c r="Q167" s="224"/>
      <c r="R167" s="219">
        <v>1</v>
      </c>
      <c r="S167" s="235">
        <f t="shared" si="35"/>
        <v>0.42</v>
      </c>
      <c r="T167" s="233">
        <f>Table1[[#This Row],[man minutes]]*Table1[[#This Row],[labor rate]]</f>
        <v>0</v>
      </c>
      <c r="U167" s="233">
        <f t="shared" si="40"/>
        <v>0</v>
      </c>
      <c r="V167" s="218">
        <f t="shared" si="36"/>
        <v>0.13</v>
      </c>
      <c r="W167" s="234">
        <f t="shared" si="37"/>
        <v>0.13</v>
      </c>
      <c r="X167" s="233">
        <f t="shared" si="41"/>
        <v>0</v>
      </c>
      <c r="Y167" s="233">
        <f t="shared" si="38"/>
        <v>0</v>
      </c>
      <c r="Z167" s="233">
        <f t="shared" si="39"/>
        <v>0</v>
      </c>
      <c r="AA167" s="232">
        <f>+Table1[[#This Row],[calculated sale price]]</f>
        <v>0</v>
      </c>
      <c r="AB167" s="231"/>
      <c r="AC167" s="230"/>
      <c r="AD167" s="229"/>
      <c r="AE167" s="229" t="e">
        <f>[5]!Table1[[#This Row],[cost per quantity]]*(1+'[5]P&amp;L'!$P$8)</f>
        <v>#REF!</v>
      </c>
      <c r="AF167" s="229" t="e">
        <f>$AF$8*[5]!Table1[[#This Row],[man minutes]]*(1+'[5]P&amp;L'!$P$9)</f>
        <v>#REF!</v>
      </c>
      <c r="AG167" s="229">
        <f>$AF$8*Table1[[#This Row],[man minutes]]*1.18</f>
        <v>0</v>
      </c>
      <c r="AH167" s="229"/>
      <c r="AI167" s="229" t="e">
        <f>Table1[[#This Row],[Food cost w/ MU]]+Table1[[#This Row],[labor cost W/ MU]]</f>
        <v>#REF!</v>
      </c>
      <c r="AJ167" s="228"/>
    </row>
    <row r="168" spans="1:36" x14ac:dyDescent="0.25">
      <c r="A168" s="219">
        <v>10159</v>
      </c>
      <c r="C168" s="219">
        <v>1</v>
      </c>
      <c r="I168" s="219"/>
      <c r="J168" s="219"/>
      <c r="K168" s="219"/>
      <c r="L168" s="223"/>
      <c r="M168" s="219"/>
      <c r="N168" s="227"/>
      <c r="O168" s="226"/>
      <c r="P168" s="226">
        <f>Table1[[#This Row],[unit cost]]*1.065</f>
        <v>0</v>
      </c>
      <c r="Q168" s="224"/>
      <c r="R168" s="219">
        <v>1</v>
      </c>
      <c r="S168" s="235">
        <f t="shared" si="35"/>
        <v>0.42</v>
      </c>
      <c r="T168" s="233">
        <f>Table1[[#This Row],[man minutes]]*Table1[[#This Row],[labor rate]]</f>
        <v>0</v>
      </c>
      <c r="U168" s="233">
        <f t="shared" si="40"/>
        <v>0</v>
      </c>
      <c r="V168" s="218">
        <f t="shared" si="36"/>
        <v>0.13</v>
      </c>
      <c r="W168" s="234">
        <f t="shared" si="37"/>
        <v>0.13</v>
      </c>
      <c r="X168" s="233">
        <f t="shared" si="41"/>
        <v>0</v>
      </c>
      <c r="Y168" s="233">
        <f t="shared" si="38"/>
        <v>0</v>
      </c>
      <c r="Z168" s="233">
        <f t="shared" si="39"/>
        <v>0</v>
      </c>
      <c r="AA168" s="232">
        <f>+Table1[[#This Row],[calculated sale price]]</f>
        <v>0</v>
      </c>
      <c r="AB168" s="231"/>
      <c r="AC168" s="230"/>
      <c r="AD168" s="229"/>
      <c r="AE168" s="229" t="e">
        <f>[5]!Table1[[#This Row],[cost per quantity]]*(1+'[5]P&amp;L'!$P$8)</f>
        <v>#REF!</v>
      </c>
      <c r="AF168" s="229" t="e">
        <f>$AF$8*[5]!Table1[[#This Row],[man minutes]]*(1+'[5]P&amp;L'!$P$9)</f>
        <v>#REF!</v>
      </c>
      <c r="AG168" s="229">
        <f>$AF$8*Table1[[#This Row],[man minutes]]*1.18</f>
        <v>0</v>
      </c>
      <c r="AH168" s="229"/>
      <c r="AI168" s="229" t="e">
        <f>Table1[[#This Row],[Food cost w/ MU]]+Table1[[#This Row],[labor cost W/ MU]]</f>
        <v>#REF!</v>
      </c>
      <c r="AJ168" s="228"/>
    </row>
    <row r="169" spans="1:36" x14ac:dyDescent="0.25">
      <c r="A169" s="219">
        <v>10160</v>
      </c>
      <c r="C169" s="219">
        <v>1</v>
      </c>
      <c r="I169" s="219"/>
      <c r="J169" s="219"/>
      <c r="K169" s="219"/>
      <c r="L169" s="223"/>
      <c r="M169" s="219"/>
      <c r="N169" s="227"/>
      <c r="O169" s="226"/>
      <c r="P169" s="226">
        <f>Table1[[#This Row],[unit cost]]*1.065</f>
        <v>0</v>
      </c>
      <c r="Q169" s="224"/>
      <c r="R169" s="219">
        <v>1</v>
      </c>
      <c r="S169" s="235">
        <f t="shared" si="35"/>
        <v>0.42</v>
      </c>
      <c r="T169" s="233">
        <f>Table1[[#This Row],[man minutes]]*Table1[[#This Row],[labor rate]]</f>
        <v>0</v>
      </c>
      <c r="U169" s="233">
        <f t="shared" si="40"/>
        <v>0</v>
      </c>
      <c r="V169" s="218">
        <f t="shared" si="36"/>
        <v>0.13</v>
      </c>
      <c r="W169" s="234">
        <f t="shared" si="37"/>
        <v>0.13</v>
      </c>
      <c r="X169" s="233">
        <f t="shared" si="41"/>
        <v>0</v>
      </c>
      <c r="Y169" s="233">
        <f t="shared" si="38"/>
        <v>0</v>
      </c>
      <c r="Z169" s="233">
        <f t="shared" si="39"/>
        <v>0</v>
      </c>
      <c r="AA169" s="232">
        <f>+Table1[[#This Row],[calculated sale price]]</f>
        <v>0</v>
      </c>
      <c r="AB169" s="231"/>
      <c r="AC169" s="230"/>
      <c r="AD169" s="229"/>
      <c r="AE169" s="229" t="e">
        <f>[5]!Table1[[#This Row],[cost per quantity]]*(1+'[5]P&amp;L'!$P$8)</f>
        <v>#REF!</v>
      </c>
      <c r="AF169" s="229" t="e">
        <f>$AF$8*[5]!Table1[[#This Row],[man minutes]]*(1+'[5]P&amp;L'!$P$9)</f>
        <v>#REF!</v>
      </c>
      <c r="AG169" s="229">
        <f>$AF$8*Table1[[#This Row],[man minutes]]*1.18</f>
        <v>0</v>
      </c>
      <c r="AH169" s="229"/>
      <c r="AI169" s="229" t="e">
        <f>Table1[[#This Row],[Food cost w/ MU]]+Table1[[#This Row],[labor cost W/ MU]]</f>
        <v>#REF!</v>
      </c>
      <c r="AJ169" s="228"/>
    </row>
    <row r="170" spans="1:36" x14ac:dyDescent="0.25">
      <c r="A170" s="219">
        <v>10161</v>
      </c>
      <c r="C170" s="219">
        <v>1</v>
      </c>
      <c r="I170" s="219"/>
      <c r="J170" s="219"/>
      <c r="K170" s="219"/>
      <c r="L170" s="223"/>
      <c r="M170" s="219"/>
      <c r="N170" s="227"/>
      <c r="O170" s="226"/>
      <c r="P170" s="226">
        <f>Table1[[#This Row],[unit cost]]*1.065</f>
        <v>0</v>
      </c>
      <c r="Q170" s="224"/>
      <c r="R170" s="219">
        <v>1</v>
      </c>
      <c r="S170" s="235">
        <f t="shared" si="35"/>
        <v>0.42</v>
      </c>
      <c r="T170" s="233">
        <f>Table1[[#This Row],[man minutes]]*Table1[[#This Row],[labor rate]]</f>
        <v>0</v>
      </c>
      <c r="U170" s="233">
        <f t="shared" si="40"/>
        <v>0</v>
      </c>
      <c r="V170" s="218">
        <f t="shared" si="36"/>
        <v>0.13</v>
      </c>
      <c r="W170" s="234">
        <f t="shared" si="37"/>
        <v>0.13</v>
      </c>
      <c r="X170" s="233">
        <f t="shared" si="41"/>
        <v>0</v>
      </c>
      <c r="Y170" s="233">
        <f t="shared" si="38"/>
        <v>0</v>
      </c>
      <c r="Z170" s="233">
        <f t="shared" si="39"/>
        <v>0</v>
      </c>
      <c r="AA170" s="232">
        <f>+Table1[[#This Row],[calculated sale price]]</f>
        <v>0</v>
      </c>
      <c r="AB170" s="231"/>
      <c r="AC170" s="230"/>
      <c r="AD170" s="229"/>
      <c r="AE170" s="229" t="e">
        <f>[5]!Table1[[#This Row],[cost per quantity]]*(1+'[5]P&amp;L'!$P$8)</f>
        <v>#REF!</v>
      </c>
      <c r="AF170" s="229" t="e">
        <f>$AF$8*[5]!Table1[[#This Row],[man minutes]]*(1+'[5]P&amp;L'!$P$9)</f>
        <v>#REF!</v>
      </c>
      <c r="AG170" s="229">
        <f>$AF$8*Table1[[#This Row],[man minutes]]*1.18</f>
        <v>0</v>
      </c>
      <c r="AH170" s="229"/>
      <c r="AI170" s="229" t="e">
        <f>Table1[[#This Row],[Food cost w/ MU]]+Table1[[#This Row],[labor cost W/ MU]]</f>
        <v>#REF!</v>
      </c>
      <c r="AJ170" s="228"/>
    </row>
    <row r="171" spans="1:36" x14ac:dyDescent="0.25">
      <c r="A171" s="219">
        <v>10162</v>
      </c>
      <c r="C171" s="219">
        <v>1</v>
      </c>
      <c r="I171" s="219"/>
      <c r="J171" s="219"/>
      <c r="K171" s="219"/>
      <c r="L171" s="223"/>
      <c r="M171" s="219"/>
      <c r="N171" s="227"/>
      <c r="O171" s="226"/>
      <c r="P171" s="226">
        <f>Table1[[#This Row],[unit cost]]*1.065</f>
        <v>0</v>
      </c>
      <c r="Q171" s="224"/>
      <c r="R171" s="219">
        <v>1</v>
      </c>
      <c r="S171" s="235">
        <f t="shared" si="35"/>
        <v>0.42</v>
      </c>
      <c r="T171" s="233">
        <f>Table1[[#This Row],[man minutes]]*Table1[[#This Row],[labor rate]]</f>
        <v>0</v>
      </c>
      <c r="U171" s="233">
        <f t="shared" si="40"/>
        <v>0</v>
      </c>
      <c r="V171" s="218">
        <f t="shared" si="36"/>
        <v>0.13</v>
      </c>
      <c r="W171" s="234">
        <f t="shared" si="37"/>
        <v>0.13</v>
      </c>
      <c r="X171" s="233">
        <f t="shared" si="41"/>
        <v>0</v>
      </c>
      <c r="Y171" s="233">
        <f t="shared" si="38"/>
        <v>0</v>
      </c>
      <c r="Z171" s="233">
        <f t="shared" si="39"/>
        <v>0</v>
      </c>
      <c r="AA171" s="232">
        <f>+Table1[[#This Row],[calculated sale price]]</f>
        <v>0</v>
      </c>
      <c r="AB171" s="231"/>
      <c r="AC171" s="230"/>
      <c r="AD171" s="229"/>
      <c r="AE171" s="229" t="e">
        <f>[5]!Table1[[#This Row],[cost per quantity]]*(1+'[5]P&amp;L'!$P$8)</f>
        <v>#REF!</v>
      </c>
      <c r="AF171" s="229" t="e">
        <f>$AF$8*[5]!Table1[[#This Row],[man minutes]]*(1+'[5]P&amp;L'!$P$9)</f>
        <v>#REF!</v>
      </c>
      <c r="AG171" s="229">
        <f>$AF$8*Table1[[#This Row],[man minutes]]*1.18</f>
        <v>0</v>
      </c>
      <c r="AH171" s="229"/>
      <c r="AI171" s="229" t="e">
        <f>Table1[[#This Row],[Food cost w/ MU]]+Table1[[#This Row],[labor cost W/ MU]]</f>
        <v>#REF!</v>
      </c>
      <c r="AJ171" s="228"/>
    </row>
    <row r="172" spans="1:36" x14ac:dyDescent="0.25">
      <c r="A172" s="219">
        <v>10163</v>
      </c>
      <c r="C172" s="219">
        <v>1</v>
      </c>
      <c r="I172" s="219"/>
      <c r="J172" s="219"/>
      <c r="K172" s="219"/>
      <c r="L172" s="223"/>
      <c r="M172" s="219"/>
      <c r="N172" s="227"/>
      <c r="O172" s="226"/>
      <c r="P172" s="226">
        <f>Table1[[#This Row],[unit cost]]*1.065</f>
        <v>0</v>
      </c>
      <c r="Q172" s="224"/>
      <c r="R172" s="219">
        <v>1</v>
      </c>
      <c r="S172" s="235">
        <f t="shared" si="35"/>
        <v>0.42</v>
      </c>
      <c r="T172" s="233">
        <f>Table1[[#This Row],[man minutes]]*Table1[[#This Row],[labor rate]]</f>
        <v>0</v>
      </c>
      <c r="U172" s="233">
        <f t="shared" si="40"/>
        <v>0</v>
      </c>
      <c r="V172" s="218">
        <f t="shared" si="36"/>
        <v>0.13</v>
      </c>
      <c r="W172" s="234">
        <f t="shared" si="37"/>
        <v>0.13</v>
      </c>
      <c r="X172" s="233">
        <f t="shared" si="41"/>
        <v>0</v>
      </c>
      <c r="Y172" s="233">
        <f t="shared" si="38"/>
        <v>0</v>
      </c>
      <c r="Z172" s="233">
        <f t="shared" si="39"/>
        <v>0</v>
      </c>
      <c r="AA172" s="232">
        <f>+Table1[[#This Row],[calculated sale price]]</f>
        <v>0</v>
      </c>
      <c r="AB172" s="231"/>
      <c r="AC172" s="230"/>
      <c r="AD172" s="229"/>
      <c r="AE172" s="229" t="e">
        <f>[5]!Table1[[#This Row],[cost per quantity]]*(1+'[5]P&amp;L'!$P$8)</f>
        <v>#REF!</v>
      </c>
      <c r="AF172" s="229" t="e">
        <f>$AF$8*[5]!Table1[[#This Row],[man minutes]]*(1+'[5]P&amp;L'!$P$9)</f>
        <v>#REF!</v>
      </c>
      <c r="AG172" s="229">
        <f>$AF$8*Table1[[#This Row],[man minutes]]*1.18</f>
        <v>0</v>
      </c>
      <c r="AH172" s="229"/>
      <c r="AI172" s="229" t="e">
        <f>Table1[[#This Row],[Food cost w/ MU]]+Table1[[#This Row],[labor cost W/ MU]]</f>
        <v>#REF!</v>
      </c>
      <c r="AJ172" s="228"/>
    </row>
    <row r="173" spans="1:36" x14ac:dyDescent="0.25">
      <c r="A173" s="219">
        <v>10164</v>
      </c>
      <c r="C173" s="219">
        <v>1</v>
      </c>
      <c r="I173" s="219"/>
      <c r="J173" s="219"/>
      <c r="K173" s="219"/>
      <c r="L173" s="223"/>
      <c r="M173" s="219"/>
      <c r="N173" s="227"/>
      <c r="O173" s="226"/>
      <c r="P173" s="226">
        <f>Table1[[#This Row],[unit cost]]*1.065</f>
        <v>0</v>
      </c>
      <c r="Q173" s="224"/>
      <c r="R173" s="219">
        <v>1</v>
      </c>
      <c r="S173" s="235">
        <f t="shared" si="35"/>
        <v>0.42</v>
      </c>
      <c r="T173" s="233">
        <f>Table1[[#This Row],[man minutes]]*Table1[[#This Row],[labor rate]]</f>
        <v>0</v>
      </c>
      <c r="U173" s="233">
        <f t="shared" si="40"/>
        <v>0</v>
      </c>
      <c r="V173" s="218">
        <f t="shared" si="36"/>
        <v>0.13</v>
      </c>
      <c r="W173" s="234">
        <f t="shared" si="37"/>
        <v>0.13</v>
      </c>
      <c r="X173" s="233">
        <f t="shared" si="41"/>
        <v>0</v>
      </c>
      <c r="Y173" s="233">
        <f t="shared" si="38"/>
        <v>0</v>
      </c>
      <c r="Z173" s="233">
        <f t="shared" si="39"/>
        <v>0</v>
      </c>
      <c r="AA173" s="232">
        <f>+Table1[[#This Row],[calculated sale price]]</f>
        <v>0</v>
      </c>
      <c r="AB173" s="231"/>
      <c r="AC173" s="230"/>
      <c r="AD173" s="229"/>
      <c r="AE173" s="229" t="e">
        <f>[5]!Table1[[#This Row],[cost per quantity]]*(1+'[5]P&amp;L'!$P$8)</f>
        <v>#REF!</v>
      </c>
      <c r="AF173" s="229" t="e">
        <f>$AF$8*[5]!Table1[[#This Row],[man minutes]]*(1+'[5]P&amp;L'!$P$9)</f>
        <v>#REF!</v>
      </c>
      <c r="AG173" s="229">
        <f>$AF$8*Table1[[#This Row],[man minutes]]*1.18</f>
        <v>0</v>
      </c>
      <c r="AH173" s="229">
        <f>$AF$8*Table1[[#This Row],[man minutes]]*1.18</f>
        <v>0</v>
      </c>
      <c r="AI173" s="229" t="e">
        <f>Table1[[#This Row],[Food cost w/ MU]]+Table1[[#This Row],[labor cost W/ MU]]</f>
        <v>#REF!</v>
      </c>
      <c r="AJ173" s="228"/>
    </row>
    <row r="174" spans="1:36" x14ac:dyDescent="0.25">
      <c r="A174" s="219">
        <v>10165</v>
      </c>
      <c r="C174" s="219">
        <v>1</v>
      </c>
      <c r="I174" s="219"/>
      <c r="J174" s="219"/>
      <c r="K174" s="219"/>
      <c r="L174" s="223"/>
      <c r="M174" s="219"/>
      <c r="N174" s="227"/>
      <c r="O174" s="226"/>
      <c r="P174" s="226">
        <f>Table1[[#This Row],[unit cost]]*1.065</f>
        <v>0</v>
      </c>
      <c r="Q174" s="224"/>
      <c r="R174" s="219">
        <v>1</v>
      </c>
      <c r="S174" s="235">
        <f t="shared" si="35"/>
        <v>0.42</v>
      </c>
      <c r="T174" s="233">
        <f>Table1[[#This Row],[man minutes]]*Table1[[#This Row],[labor rate]]</f>
        <v>0</v>
      </c>
      <c r="U174" s="233">
        <f t="shared" si="40"/>
        <v>0</v>
      </c>
      <c r="V174" s="218">
        <f t="shared" si="36"/>
        <v>0.13</v>
      </c>
      <c r="W174" s="234">
        <f t="shared" si="37"/>
        <v>0.13</v>
      </c>
      <c r="X174" s="233">
        <f t="shared" si="41"/>
        <v>0</v>
      </c>
      <c r="Y174" s="233">
        <f t="shared" si="38"/>
        <v>0</v>
      </c>
      <c r="Z174" s="233">
        <f t="shared" si="39"/>
        <v>0</v>
      </c>
      <c r="AA174" s="232">
        <f>+Table1[[#This Row],[calculated sale price]]</f>
        <v>0</v>
      </c>
      <c r="AB174" s="231"/>
      <c r="AC174" s="230"/>
      <c r="AD174" s="229"/>
      <c r="AE174" s="229" t="e">
        <f>[5]!Table1[[#This Row],[cost per quantity]]*(1+'[5]P&amp;L'!$P$8)</f>
        <v>#REF!</v>
      </c>
      <c r="AF174" s="229" t="e">
        <f>$AF$8*[5]!Table1[[#This Row],[man minutes]]*(1+'[5]P&amp;L'!$P$9)</f>
        <v>#REF!</v>
      </c>
      <c r="AG174" s="229">
        <f>$AF$8*Table1[[#This Row],[man minutes]]*1.18</f>
        <v>0</v>
      </c>
      <c r="AH174" s="229">
        <f>$AF$8*Table1[[#This Row],[man minutes]]*1.18</f>
        <v>0</v>
      </c>
      <c r="AI174" s="229" t="e">
        <f>Table1[[#This Row],[Food cost w/ MU]]+Table1[[#This Row],[labor cost W/ MU]]</f>
        <v>#REF!</v>
      </c>
      <c r="AJ174" s="228"/>
    </row>
    <row r="175" spans="1:36" x14ac:dyDescent="0.25">
      <c r="A175" s="219">
        <v>10166</v>
      </c>
      <c r="C175" s="219">
        <v>1</v>
      </c>
      <c r="I175" s="219"/>
      <c r="J175" s="219"/>
      <c r="K175" s="219"/>
      <c r="L175" s="223"/>
      <c r="M175" s="219"/>
      <c r="N175" s="227"/>
      <c r="O175" s="226"/>
      <c r="P175" s="226">
        <f>Table1[[#This Row],[unit cost]]*1.065</f>
        <v>0</v>
      </c>
      <c r="Q175" s="224"/>
      <c r="R175" s="219">
        <v>1</v>
      </c>
      <c r="S175" s="235">
        <f t="shared" si="35"/>
        <v>0.42</v>
      </c>
      <c r="T175" s="233">
        <f>Table1[[#This Row],[man minutes]]*Table1[[#This Row],[labor rate]]</f>
        <v>0</v>
      </c>
      <c r="U175" s="233">
        <f t="shared" si="40"/>
        <v>0</v>
      </c>
      <c r="V175" s="218">
        <f t="shared" si="36"/>
        <v>0.13</v>
      </c>
      <c r="W175" s="234">
        <f t="shared" si="37"/>
        <v>0.13</v>
      </c>
      <c r="X175" s="233">
        <f t="shared" si="41"/>
        <v>0</v>
      </c>
      <c r="Y175" s="233">
        <f t="shared" si="38"/>
        <v>0</v>
      </c>
      <c r="Z175" s="233">
        <f t="shared" si="39"/>
        <v>0</v>
      </c>
      <c r="AA175" s="232">
        <f>+Table1[[#This Row],[calculated sale price]]</f>
        <v>0</v>
      </c>
      <c r="AB175" s="231"/>
      <c r="AC175" s="230"/>
      <c r="AD175" s="229"/>
      <c r="AE175" s="229" t="e">
        <f>[5]!Table1[[#This Row],[cost per quantity]]*(1+'[5]P&amp;L'!$P$8)</f>
        <v>#REF!</v>
      </c>
      <c r="AF175" s="229" t="e">
        <f>$AF$8*[5]!Table1[[#This Row],[man minutes]]*(1+'[5]P&amp;L'!$P$9)</f>
        <v>#REF!</v>
      </c>
      <c r="AG175" s="229">
        <f>$AF$8*Table1[[#This Row],[man minutes]]*1.18</f>
        <v>0</v>
      </c>
      <c r="AH175" s="229">
        <f>$AF$8*Table1[[#This Row],[man minutes]]*1.18</f>
        <v>0</v>
      </c>
      <c r="AI175" s="229" t="e">
        <f>Table1[[#This Row],[Food cost w/ MU]]+Table1[[#This Row],[labor cost W/ MU]]</f>
        <v>#REF!</v>
      </c>
      <c r="AJ175" s="228"/>
    </row>
    <row r="176" spans="1:36" x14ac:dyDescent="0.25">
      <c r="A176" s="219">
        <v>10167</v>
      </c>
      <c r="C176" s="219">
        <v>1</v>
      </c>
      <c r="I176" s="219"/>
      <c r="J176" s="219"/>
      <c r="K176" s="219"/>
      <c r="L176" s="223"/>
      <c r="M176" s="219"/>
      <c r="N176" s="227"/>
      <c r="O176" s="226"/>
      <c r="P176" s="226">
        <f>Table1[[#This Row],[unit cost]]*1.065</f>
        <v>0</v>
      </c>
      <c r="Q176" s="224"/>
      <c r="R176" s="219">
        <v>1</v>
      </c>
      <c r="S176" s="235">
        <f t="shared" si="35"/>
        <v>0.42</v>
      </c>
      <c r="T176" s="233">
        <f>Table1[[#This Row],[man minutes]]*Table1[[#This Row],[labor rate]]</f>
        <v>0</v>
      </c>
      <c r="U176" s="233">
        <f t="shared" si="40"/>
        <v>0</v>
      </c>
      <c r="V176" s="218">
        <f t="shared" si="36"/>
        <v>0.13</v>
      </c>
      <c r="W176" s="234">
        <f t="shared" si="37"/>
        <v>0.13</v>
      </c>
      <c r="X176" s="233">
        <f t="shared" si="41"/>
        <v>0</v>
      </c>
      <c r="Y176" s="233">
        <f t="shared" si="38"/>
        <v>0</v>
      </c>
      <c r="Z176" s="233">
        <f t="shared" si="39"/>
        <v>0</v>
      </c>
      <c r="AA176" s="232">
        <f>+Table1[[#This Row],[calculated sale price]]</f>
        <v>0</v>
      </c>
      <c r="AB176" s="231"/>
      <c r="AC176" s="230"/>
      <c r="AD176" s="229"/>
      <c r="AE176" s="229" t="e">
        <f>[5]!Table1[[#This Row],[cost per quantity]]*(1+'[5]P&amp;L'!$P$8)</f>
        <v>#REF!</v>
      </c>
      <c r="AF176" s="229" t="e">
        <f>$AF$8*[5]!Table1[[#This Row],[man minutes]]*(1+'[5]P&amp;L'!$P$9)</f>
        <v>#REF!</v>
      </c>
      <c r="AG176" s="229">
        <f>$AF$8*Table1[[#This Row],[man minutes]]*1.18</f>
        <v>0</v>
      </c>
      <c r="AH176" s="229">
        <f>$AF$8*Table1[[#This Row],[man minutes]]*1.18</f>
        <v>0</v>
      </c>
      <c r="AI176" s="229" t="e">
        <f>Table1[[#This Row],[Food cost w/ MU]]+Table1[[#This Row],[labor cost W/ MU]]</f>
        <v>#REF!</v>
      </c>
      <c r="AJ176" s="228"/>
    </row>
    <row r="177" spans="1:36" x14ac:dyDescent="0.25">
      <c r="A177" s="219">
        <v>10168</v>
      </c>
      <c r="C177" s="219">
        <v>1</v>
      </c>
      <c r="I177" s="219"/>
      <c r="J177" s="219"/>
      <c r="K177" s="219"/>
      <c r="L177" s="223"/>
      <c r="M177" s="219"/>
      <c r="N177" s="227"/>
      <c r="O177" s="226"/>
      <c r="P177" s="226">
        <f>Table1[[#This Row],[unit cost]]*1.065</f>
        <v>0</v>
      </c>
      <c r="Q177" s="224"/>
      <c r="R177" s="219">
        <v>1</v>
      </c>
      <c r="S177" s="235">
        <f t="shared" si="35"/>
        <v>0.42</v>
      </c>
      <c r="T177" s="233">
        <f>Table1[[#This Row],[man minutes]]*Table1[[#This Row],[labor rate]]</f>
        <v>0</v>
      </c>
      <c r="U177" s="233">
        <f t="shared" si="40"/>
        <v>0</v>
      </c>
      <c r="V177" s="218">
        <f t="shared" si="36"/>
        <v>0.13</v>
      </c>
      <c r="W177" s="234">
        <f t="shared" si="37"/>
        <v>0.13</v>
      </c>
      <c r="X177" s="233">
        <f t="shared" si="41"/>
        <v>0</v>
      </c>
      <c r="Y177" s="233">
        <f t="shared" si="38"/>
        <v>0</v>
      </c>
      <c r="Z177" s="233">
        <f t="shared" si="39"/>
        <v>0</v>
      </c>
      <c r="AA177" s="232">
        <f>+Table1[[#This Row],[calculated sale price]]</f>
        <v>0</v>
      </c>
      <c r="AB177" s="231"/>
      <c r="AC177" s="230"/>
      <c r="AD177" s="229"/>
      <c r="AE177" s="229" t="e">
        <f>[5]!Table1[[#This Row],[cost per quantity]]*(1+'[5]P&amp;L'!$P$8)</f>
        <v>#REF!</v>
      </c>
      <c r="AF177" s="229" t="e">
        <f>$AF$8*[5]!Table1[[#This Row],[man minutes]]*(1+'[5]P&amp;L'!$P$9)</f>
        <v>#REF!</v>
      </c>
      <c r="AG177" s="229">
        <f>$AF$8*Table1[[#This Row],[man minutes]]*1.18</f>
        <v>0</v>
      </c>
      <c r="AH177" s="229">
        <f>$AF$8*Table1[[#This Row],[man minutes]]*1.18</f>
        <v>0</v>
      </c>
      <c r="AI177" s="229" t="e">
        <f>Table1[[#This Row],[Food cost w/ MU]]+Table1[[#This Row],[labor cost W/ MU]]</f>
        <v>#REF!</v>
      </c>
      <c r="AJ177" s="228"/>
    </row>
    <row r="178" spans="1:36" x14ac:dyDescent="0.25">
      <c r="A178" s="219">
        <v>10169</v>
      </c>
      <c r="C178" s="219">
        <v>1</v>
      </c>
      <c r="I178" s="219"/>
      <c r="J178" s="219"/>
      <c r="K178" s="219"/>
      <c r="L178" s="223"/>
      <c r="M178" s="219"/>
      <c r="N178" s="227"/>
      <c r="O178" s="226"/>
      <c r="P178" s="226">
        <f>Table1[[#This Row],[unit cost]]*1.065</f>
        <v>0</v>
      </c>
      <c r="Q178" s="224"/>
      <c r="R178" s="219">
        <v>1</v>
      </c>
      <c r="S178" s="235">
        <f t="shared" si="35"/>
        <v>0.42</v>
      </c>
      <c r="T178" s="233">
        <f>Table1[[#This Row],[man minutes]]*Table1[[#This Row],[labor rate]]</f>
        <v>0</v>
      </c>
      <c r="U178" s="233">
        <f t="shared" si="40"/>
        <v>0</v>
      </c>
      <c r="V178" s="218">
        <f t="shared" si="36"/>
        <v>0.13</v>
      </c>
      <c r="W178" s="234">
        <f t="shared" si="37"/>
        <v>0.13</v>
      </c>
      <c r="X178" s="233">
        <f t="shared" si="41"/>
        <v>0</v>
      </c>
      <c r="Y178" s="233">
        <f t="shared" si="38"/>
        <v>0</v>
      </c>
      <c r="Z178" s="233">
        <f t="shared" si="39"/>
        <v>0</v>
      </c>
      <c r="AA178" s="232">
        <f>+Table1[[#This Row],[calculated sale price]]</f>
        <v>0</v>
      </c>
      <c r="AB178" s="231"/>
      <c r="AC178" s="230"/>
      <c r="AD178" s="229"/>
      <c r="AE178" s="229" t="e">
        <f>[5]!Table1[[#This Row],[cost per quantity]]*(1+'[5]P&amp;L'!$P$8)</f>
        <v>#REF!</v>
      </c>
      <c r="AF178" s="229" t="e">
        <f>$AF$8*[5]!Table1[[#This Row],[man minutes]]*(1+'[5]P&amp;L'!$P$9)</f>
        <v>#REF!</v>
      </c>
      <c r="AG178" s="229">
        <f>$AF$8*Table1[[#This Row],[man minutes]]*1.18</f>
        <v>0</v>
      </c>
      <c r="AH178" s="229">
        <f>$AF$8*Table1[[#This Row],[man minutes]]*1.18</f>
        <v>0</v>
      </c>
      <c r="AI178" s="229" t="e">
        <f>Table1[[#This Row],[Food cost w/ MU]]+Table1[[#This Row],[labor cost W/ MU]]</f>
        <v>#REF!</v>
      </c>
      <c r="AJ178" s="228"/>
    </row>
    <row r="179" spans="1:36" x14ac:dyDescent="0.25">
      <c r="A179" s="219">
        <v>10170</v>
      </c>
      <c r="C179" s="219">
        <v>1</v>
      </c>
      <c r="I179" s="219"/>
      <c r="J179" s="219"/>
      <c r="K179" s="219"/>
      <c r="L179" s="223"/>
      <c r="M179" s="219"/>
      <c r="N179" s="227"/>
      <c r="O179" s="226"/>
      <c r="P179" s="226">
        <f>Table1[[#This Row],[unit cost]]*1.065</f>
        <v>0</v>
      </c>
      <c r="Q179" s="224"/>
      <c r="R179" s="219">
        <v>1</v>
      </c>
      <c r="S179" s="235">
        <f t="shared" si="35"/>
        <v>0.42</v>
      </c>
      <c r="T179" s="233">
        <f>Table1[[#This Row],[man minutes]]*Table1[[#This Row],[labor rate]]</f>
        <v>0</v>
      </c>
      <c r="U179" s="233">
        <f t="shared" si="40"/>
        <v>0</v>
      </c>
      <c r="V179" s="218">
        <f t="shared" si="36"/>
        <v>0.13</v>
      </c>
      <c r="W179" s="234">
        <f t="shared" si="37"/>
        <v>0.13</v>
      </c>
      <c r="X179" s="233">
        <f t="shared" si="41"/>
        <v>0</v>
      </c>
      <c r="Y179" s="233">
        <f t="shared" si="38"/>
        <v>0</v>
      </c>
      <c r="Z179" s="233">
        <f t="shared" si="39"/>
        <v>0</v>
      </c>
      <c r="AA179" s="232">
        <f>+Table1[[#This Row],[calculated sale price]]</f>
        <v>0</v>
      </c>
      <c r="AB179" s="231"/>
      <c r="AC179" s="230"/>
      <c r="AD179" s="229"/>
      <c r="AE179" s="229" t="e">
        <f>[5]!Table1[[#This Row],[cost per quantity]]*(1+'[5]P&amp;L'!$P$8)</f>
        <v>#REF!</v>
      </c>
      <c r="AF179" s="229" t="e">
        <f>$AF$8*[5]!Table1[[#This Row],[man minutes]]*(1+'[5]P&amp;L'!$P$9)</f>
        <v>#REF!</v>
      </c>
      <c r="AG179" s="229">
        <f>$AF$8*Table1[[#This Row],[man minutes]]*1.18</f>
        <v>0</v>
      </c>
      <c r="AH179" s="229">
        <f>$AF$8*Table1[[#This Row],[man minutes]]*1.18</f>
        <v>0</v>
      </c>
      <c r="AI179" s="229" t="e">
        <f>Table1[[#This Row],[Food cost w/ MU]]+Table1[[#This Row],[labor cost W/ MU]]</f>
        <v>#REF!</v>
      </c>
      <c r="AJ179" s="228"/>
    </row>
    <row r="180" spans="1:36" x14ac:dyDescent="0.25">
      <c r="A180" s="219">
        <v>10171</v>
      </c>
      <c r="C180" s="219">
        <v>1</v>
      </c>
      <c r="I180" s="219"/>
      <c r="J180" s="219"/>
      <c r="K180" s="219"/>
      <c r="L180" s="223"/>
      <c r="M180" s="219"/>
      <c r="N180" s="227"/>
      <c r="O180" s="226"/>
      <c r="P180" s="226">
        <f>Table1[[#This Row],[unit cost]]*1.065</f>
        <v>0</v>
      </c>
      <c r="Q180" s="224"/>
      <c r="R180" s="219">
        <v>1</v>
      </c>
      <c r="S180" s="235">
        <f t="shared" si="35"/>
        <v>0.42</v>
      </c>
      <c r="T180" s="233">
        <f>Table1[[#This Row],[man minutes]]*Table1[[#This Row],[labor rate]]</f>
        <v>0</v>
      </c>
      <c r="U180" s="233">
        <f t="shared" si="40"/>
        <v>0</v>
      </c>
      <c r="V180" s="218">
        <f t="shared" si="36"/>
        <v>0.13</v>
      </c>
      <c r="W180" s="234">
        <f t="shared" si="37"/>
        <v>0.13</v>
      </c>
      <c r="X180" s="233">
        <f t="shared" si="41"/>
        <v>0</v>
      </c>
      <c r="Y180" s="233">
        <f t="shared" si="38"/>
        <v>0</v>
      </c>
      <c r="Z180" s="233">
        <f t="shared" si="39"/>
        <v>0</v>
      </c>
      <c r="AA180" s="232">
        <f>+Table1[[#This Row],[calculated sale price]]</f>
        <v>0</v>
      </c>
      <c r="AB180" s="231"/>
      <c r="AC180" s="230"/>
      <c r="AD180" s="229"/>
      <c r="AE180" s="229" t="e">
        <f>[5]!Table1[[#This Row],[cost per quantity]]*(1+'[5]P&amp;L'!$P$8)</f>
        <v>#REF!</v>
      </c>
      <c r="AF180" s="229" t="e">
        <f>$AF$8*[5]!Table1[[#This Row],[man minutes]]*(1+'[5]P&amp;L'!$P$9)</f>
        <v>#REF!</v>
      </c>
      <c r="AG180" s="229">
        <f>$AF$8*Table1[[#This Row],[man minutes]]*1.18</f>
        <v>0</v>
      </c>
      <c r="AH180" s="229">
        <f>$AF$8*Table1[[#This Row],[man minutes]]*1.18</f>
        <v>0</v>
      </c>
      <c r="AI180" s="229" t="e">
        <f>Table1[[#This Row],[Food cost w/ MU]]+Table1[[#This Row],[labor cost W/ MU]]</f>
        <v>#REF!</v>
      </c>
      <c r="AJ180" s="228"/>
    </row>
    <row r="181" spans="1:36" x14ac:dyDescent="0.25">
      <c r="A181" s="219">
        <v>10172</v>
      </c>
      <c r="C181" s="219">
        <v>1</v>
      </c>
      <c r="I181" s="219"/>
      <c r="J181" s="219"/>
      <c r="K181" s="219"/>
      <c r="L181" s="223"/>
      <c r="M181" s="219"/>
      <c r="N181" s="227"/>
      <c r="O181" s="226"/>
      <c r="P181" s="226">
        <f>Table1[[#This Row],[unit cost]]*1.065</f>
        <v>0</v>
      </c>
      <c r="Q181" s="224"/>
      <c r="R181" s="219">
        <v>1</v>
      </c>
      <c r="S181" s="235">
        <f t="shared" si="35"/>
        <v>0.42</v>
      </c>
      <c r="T181" s="233">
        <f>Table1[[#This Row],[man minutes]]*Table1[[#This Row],[labor rate]]</f>
        <v>0</v>
      </c>
      <c r="U181" s="233">
        <f t="shared" si="40"/>
        <v>0</v>
      </c>
      <c r="V181" s="218">
        <f t="shared" si="36"/>
        <v>0.13</v>
      </c>
      <c r="W181" s="234">
        <f t="shared" si="37"/>
        <v>0.13</v>
      </c>
      <c r="X181" s="233">
        <f t="shared" si="41"/>
        <v>0</v>
      </c>
      <c r="Y181" s="233">
        <f t="shared" si="38"/>
        <v>0</v>
      </c>
      <c r="Z181" s="233">
        <f t="shared" si="39"/>
        <v>0</v>
      </c>
      <c r="AA181" s="232">
        <f>+Table1[[#This Row],[calculated sale price]]</f>
        <v>0</v>
      </c>
      <c r="AB181" s="231"/>
      <c r="AC181" s="230"/>
      <c r="AD181" s="229"/>
      <c r="AE181" s="229" t="e">
        <f>[5]!Table1[[#This Row],[cost per quantity]]*(1+'[5]P&amp;L'!$P$8)</f>
        <v>#REF!</v>
      </c>
      <c r="AF181" s="229" t="e">
        <f>$AF$8*[5]!Table1[[#This Row],[man minutes]]*(1+'[5]P&amp;L'!$P$9)</f>
        <v>#REF!</v>
      </c>
      <c r="AG181" s="229">
        <f>$AF$8*Table1[[#This Row],[man minutes]]*1.18</f>
        <v>0</v>
      </c>
      <c r="AH181" s="229">
        <f>$AF$8*Table1[[#This Row],[man minutes]]*1.18</f>
        <v>0</v>
      </c>
      <c r="AI181" s="229" t="e">
        <f>Table1[[#This Row],[Food cost w/ MU]]+Table1[[#This Row],[labor cost W/ MU]]</f>
        <v>#REF!</v>
      </c>
      <c r="AJ181" s="228"/>
    </row>
    <row r="182" spans="1:36" x14ac:dyDescent="0.25">
      <c r="A182" s="219">
        <v>10173</v>
      </c>
      <c r="C182" s="219">
        <v>1</v>
      </c>
      <c r="I182" s="219"/>
      <c r="J182" s="219"/>
      <c r="K182" s="219"/>
      <c r="L182" s="223"/>
      <c r="M182" s="219"/>
      <c r="N182" s="227"/>
      <c r="O182" s="226"/>
      <c r="P182" s="226">
        <f>Table1[[#This Row],[unit cost]]*1.065</f>
        <v>0</v>
      </c>
      <c r="Q182" s="224"/>
      <c r="R182" s="219">
        <v>1</v>
      </c>
      <c r="S182" s="235">
        <f t="shared" si="35"/>
        <v>0.42</v>
      </c>
      <c r="T182" s="233">
        <f>Table1[[#This Row],[man minutes]]*Table1[[#This Row],[labor rate]]</f>
        <v>0</v>
      </c>
      <c r="U182" s="233">
        <f t="shared" si="40"/>
        <v>0</v>
      </c>
      <c r="V182" s="218">
        <f t="shared" si="36"/>
        <v>0.13</v>
      </c>
      <c r="W182" s="234">
        <f t="shared" si="37"/>
        <v>0.13</v>
      </c>
      <c r="X182" s="233">
        <f t="shared" si="41"/>
        <v>0</v>
      </c>
      <c r="Y182" s="233">
        <f t="shared" si="38"/>
        <v>0</v>
      </c>
      <c r="Z182" s="233">
        <f t="shared" si="39"/>
        <v>0</v>
      </c>
      <c r="AA182" s="232">
        <f>+Table1[[#This Row],[calculated sale price]]</f>
        <v>0</v>
      </c>
      <c r="AB182" s="231"/>
      <c r="AC182" s="230"/>
      <c r="AD182" s="229"/>
      <c r="AE182" s="229" t="e">
        <f>[5]!Table1[[#This Row],[cost per quantity]]*(1+'[5]P&amp;L'!$P$8)</f>
        <v>#REF!</v>
      </c>
      <c r="AF182" s="229" t="e">
        <f>$AF$8*[5]!Table1[[#This Row],[man minutes]]*(1+'[5]P&amp;L'!$P$9)</f>
        <v>#REF!</v>
      </c>
      <c r="AG182" s="229">
        <f>$AF$8*Table1[[#This Row],[man minutes]]*1.18</f>
        <v>0</v>
      </c>
      <c r="AH182" s="229">
        <f>$AF$8*Table1[[#This Row],[man minutes]]*1.18</f>
        <v>0</v>
      </c>
      <c r="AI182" s="229" t="e">
        <f>Table1[[#This Row],[Food cost w/ MU]]+Table1[[#This Row],[labor cost W/ MU]]</f>
        <v>#REF!</v>
      </c>
      <c r="AJ182" s="228"/>
    </row>
    <row r="183" spans="1:36" x14ac:dyDescent="0.25">
      <c r="A183" s="219">
        <v>10174</v>
      </c>
      <c r="C183" s="219">
        <v>1</v>
      </c>
      <c r="I183" s="219"/>
      <c r="J183" s="219"/>
      <c r="K183" s="219"/>
      <c r="L183" s="223"/>
      <c r="M183" s="219"/>
      <c r="N183" s="227"/>
      <c r="O183" s="226"/>
      <c r="P183" s="226">
        <f>Table1[[#This Row],[unit cost]]*1.065</f>
        <v>0</v>
      </c>
      <c r="Q183" s="224"/>
      <c r="R183" s="219">
        <v>1</v>
      </c>
      <c r="S183" s="235">
        <f t="shared" si="35"/>
        <v>0.42</v>
      </c>
      <c r="T183" s="233">
        <f>Table1[[#This Row],[man minutes]]*Table1[[#This Row],[labor rate]]</f>
        <v>0</v>
      </c>
      <c r="U183" s="233">
        <f t="shared" si="40"/>
        <v>0</v>
      </c>
      <c r="V183" s="218">
        <f t="shared" si="36"/>
        <v>0.13</v>
      </c>
      <c r="W183" s="234">
        <f t="shared" si="37"/>
        <v>0.13</v>
      </c>
      <c r="X183" s="233">
        <f t="shared" si="41"/>
        <v>0</v>
      </c>
      <c r="Y183" s="233">
        <f t="shared" si="38"/>
        <v>0</v>
      </c>
      <c r="Z183" s="233">
        <f t="shared" si="39"/>
        <v>0</v>
      </c>
      <c r="AA183" s="232">
        <f>+Table1[[#This Row],[calculated sale price]]</f>
        <v>0</v>
      </c>
      <c r="AB183" s="231"/>
      <c r="AC183" s="230"/>
      <c r="AD183" s="229"/>
      <c r="AE183" s="229" t="e">
        <f>[5]!Table1[[#This Row],[cost per quantity]]*(1+'[5]P&amp;L'!$P$8)</f>
        <v>#REF!</v>
      </c>
      <c r="AF183" s="229" t="e">
        <f>$AF$8*[5]!Table1[[#This Row],[man minutes]]*(1+'[5]P&amp;L'!$P$9)</f>
        <v>#REF!</v>
      </c>
      <c r="AG183" s="229">
        <f>$AF$8*Table1[[#This Row],[man minutes]]*1.18</f>
        <v>0</v>
      </c>
      <c r="AH183" s="229">
        <f>$AF$8*Table1[[#This Row],[man minutes]]*1.18</f>
        <v>0</v>
      </c>
      <c r="AI183" s="229" t="e">
        <f>Table1[[#This Row],[Food cost w/ MU]]+Table1[[#This Row],[labor cost W/ MU]]</f>
        <v>#REF!</v>
      </c>
      <c r="AJ183" s="228"/>
    </row>
    <row r="184" spans="1:36" x14ac:dyDescent="0.25">
      <c r="A184" s="219">
        <v>10175</v>
      </c>
      <c r="C184" s="219">
        <v>1</v>
      </c>
      <c r="I184" s="219"/>
      <c r="J184" s="219"/>
      <c r="K184" s="219"/>
      <c r="L184" s="223"/>
      <c r="M184" s="219"/>
      <c r="N184" s="227"/>
      <c r="O184" s="226"/>
      <c r="P184" s="226">
        <f>Table1[[#This Row],[unit cost]]*1.065</f>
        <v>0</v>
      </c>
      <c r="Q184" s="224"/>
      <c r="R184" s="219">
        <v>1</v>
      </c>
      <c r="S184" s="235">
        <f t="shared" si="35"/>
        <v>0.42</v>
      </c>
      <c r="T184" s="233">
        <f>Table1[[#This Row],[man minutes]]*Table1[[#This Row],[labor rate]]</f>
        <v>0</v>
      </c>
      <c r="U184" s="233">
        <f t="shared" si="40"/>
        <v>0</v>
      </c>
      <c r="V184" s="218">
        <f t="shared" si="36"/>
        <v>0.13</v>
      </c>
      <c r="W184" s="234">
        <f t="shared" si="37"/>
        <v>0.13</v>
      </c>
      <c r="X184" s="233">
        <f t="shared" si="41"/>
        <v>0</v>
      </c>
      <c r="Y184" s="233">
        <f t="shared" si="38"/>
        <v>0</v>
      </c>
      <c r="Z184" s="233">
        <f t="shared" si="39"/>
        <v>0</v>
      </c>
      <c r="AA184" s="232">
        <f>+Table1[[#This Row],[calculated sale price]]</f>
        <v>0</v>
      </c>
      <c r="AB184" s="231"/>
      <c r="AC184" s="230"/>
      <c r="AD184" s="229"/>
      <c r="AE184" s="229" t="e">
        <f>[5]!Table1[[#This Row],[cost per quantity]]*(1+'[5]P&amp;L'!$P$8)</f>
        <v>#REF!</v>
      </c>
      <c r="AF184" s="229" t="e">
        <f>$AF$8*[5]!Table1[[#This Row],[man minutes]]*(1+'[5]P&amp;L'!$P$9)</f>
        <v>#REF!</v>
      </c>
      <c r="AG184" s="229">
        <f>$AF$8*Table1[[#This Row],[man minutes]]*1.18</f>
        <v>0</v>
      </c>
      <c r="AH184" s="229">
        <f>$AF$8*Table1[[#This Row],[man minutes]]*1.18</f>
        <v>0</v>
      </c>
      <c r="AI184" s="229" t="e">
        <f>Table1[[#This Row],[Food cost w/ MU]]+Table1[[#This Row],[labor cost W/ MU]]</f>
        <v>#REF!</v>
      </c>
      <c r="AJ184" s="228"/>
    </row>
    <row r="185" spans="1:36" x14ac:dyDescent="0.25">
      <c r="A185" s="219">
        <v>10176</v>
      </c>
      <c r="C185" s="219">
        <v>1</v>
      </c>
      <c r="I185" s="219"/>
      <c r="J185" s="219"/>
      <c r="K185" s="219"/>
      <c r="L185" s="223"/>
      <c r="M185" s="219"/>
      <c r="N185" s="227"/>
      <c r="O185" s="226"/>
      <c r="P185" s="226">
        <f>Table1[[#This Row],[unit cost]]*1.065</f>
        <v>0</v>
      </c>
      <c r="Q185" s="224"/>
      <c r="R185" s="219">
        <v>1</v>
      </c>
      <c r="S185" s="235">
        <f t="shared" si="35"/>
        <v>0.42</v>
      </c>
      <c r="T185" s="233">
        <f>Table1[[#This Row],[man minutes]]*Table1[[#This Row],[labor rate]]</f>
        <v>0</v>
      </c>
      <c r="U185" s="233">
        <f t="shared" si="40"/>
        <v>0</v>
      </c>
      <c r="V185" s="218">
        <f t="shared" si="36"/>
        <v>0.13</v>
      </c>
      <c r="W185" s="234">
        <f t="shared" si="37"/>
        <v>0.13</v>
      </c>
      <c r="X185" s="233">
        <f t="shared" si="41"/>
        <v>0</v>
      </c>
      <c r="Y185" s="233">
        <f t="shared" si="38"/>
        <v>0</v>
      </c>
      <c r="Z185" s="233">
        <f t="shared" si="39"/>
        <v>0</v>
      </c>
      <c r="AA185" s="232">
        <f>+Table1[[#This Row],[calculated sale price]]</f>
        <v>0</v>
      </c>
      <c r="AB185" s="231"/>
      <c r="AC185" s="230"/>
      <c r="AD185" s="229"/>
      <c r="AE185" s="229" t="e">
        <f>[5]!Table1[[#This Row],[cost per quantity]]*(1+'[5]P&amp;L'!$P$8)</f>
        <v>#REF!</v>
      </c>
      <c r="AF185" s="229" t="e">
        <f>$AF$8*[5]!Table1[[#This Row],[man minutes]]*(1+'[5]P&amp;L'!$P$9)</f>
        <v>#REF!</v>
      </c>
      <c r="AG185" s="229">
        <f>$AF$8*Table1[[#This Row],[man minutes]]*1.18</f>
        <v>0</v>
      </c>
      <c r="AH185" s="229">
        <f>$AF$8*Table1[[#This Row],[man minutes]]*1.18</f>
        <v>0</v>
      </c>
      <c r="AI185" s="229" t="e">
        <f>Table1[[#This Row],[Food cost w/ MU]]+Table1[[#This Row],[labor cost W/ MU]]</f>
        <v>#REF!</v>
      </c>
      <c r="AJ185" s="228"/>
    </row>
    <row r="186" spans="1:36" x14ac:dyDescent="0.25">
      <c r="A186" s="219">
        <v>10177</v>
      </c>
      <c r="C186" s="219">
        <v>1</v>
      </c>
      <c r="I186" s="219"/>
      <c r="J186" s="219"/>
      <c r="K186" s="219"/>
      <c r="L186" s="223"/>
      <c r="M186" s="219"/>
      <c r="N186" s="227"/>
      <c r="O186" s="226"/>
      <c r="P186" s="226">
        <f>Table1[[#This Row],[unit cost]]*1.065</f>
        <v>0</v>
      </c>
      <c r="Q186" s="224"/>
      <c r="R186" s="219">
        <v>1</v>
      </c>
      <c r="S186" s="235">
        <f t="shared" si="35"/>
        <v>0.42</v>
      </c>
      <c r="T186" s="233">
        <f>Table1[[#This Row],[man minutes]]*Table1[[#This Row],[labor rate]]</f>
        <v>0</v>
      </c>
      <c r="U186" s="233">
        <f t="shared" si="40"/>
        <v>0</v>
      </c>
      <c r="V186" s="218">
        <f t="shared" si="36"/>
        <v>0.13</v>
      </c>
      <c r="W186" s="234">
        <f t="shared" si="37"/>
        <v>0.13</v>
      </c>
      <c r="X186" s="233">
        <f t="shared" si="41"/>
        <v>0</v>
      </c>
      <c r="Y186" s="233">
        <f t="shared" si="38"/>
        <v>0</v>
      </c>
      <c r="Z186" s="233">
        <f t="shared" si="39"/>
        <v>0</v>
      </c>
      <c r="AA186" s="232">
        <f>+Table1[[#This Row],[calculated sale price]]</f>
        <v>0</v>
      </c>
      <c r="AB186" s="231"/>
      <c r="AC186" s="230"/>
      <c r="AD186" s="229"/>
      <c r="AE186" s="229" t="e">
        <f>[5]!Table1[[#This Row],[cost per quantity]]*(1+'[5]P&amp;L'!$P$8)</f>
        <v>#REF!</v>
      </c>
      <c r="AF186" s="229" t="e">
        <f>$AF$8*[5]!Table1[[#This Row],[man minutes]]*(1+'[5]P&amp;L'!$P$9)</f>
        <v>#REF!</v>
      </c>
      <c r="AG186" s="229">
        <f>$AF$8*Table1[[#This Row],[man minutes]]*1.18</f>
        <v>0</v>
      </c>
      <c r="AH186" s="229">
        <f>$AF$8*Table1[[#This Row],[man minutes]]*1.18</f>
        <v>0</v>
      </c>
      <c r="AI186" s="229" t="e">
        <f>Table1[[#This Row],[Food cost w/ MU]]+Table1[[#This Row],[labor cost W/ MU]]</f>
        <v>#REF!</v>
      </c>
      <c r="AJ186" s="228"/>
    </row>
    <row r="187" spans="1:36" x14ac:dyDescent="0.25">
      <c r="A187" s="219">
        <v>10178</v>
      </c>
      <c r="C187" s="219">
        <v>1</v>
      </c>
      <c r="I187" s="219"/>
      <c r="J187" s="219"/>
      <c r="K187" s="219"/>
      <c r="L187" s="223"/>
      <c r="M187" s="219"/>
      <c r="N187" s="227"/>
      <c r="O187" s="226"/>
      <c r="P187" s="226">
        <f>Table1[[#This Row],[unit cost]]*1.065</f>
        <v>0</v>
      </c>
      <c r="Q187" s="224"/>
      <c r="R187" s="219">
        <v>1</v>
      </c>
      <c r="S187" s="235">
        <f t="shared" si="35"/>
        <v>0.42</v>
      </c>
      <c r="T187" s="233">
        <f>Table1[[#This Row],[man minutes]]*Table1[[#This Row],[labor rate]]</f>
        <v>0</v>
      </c>
      <c r="U187" s="233">
        <f t="shared" si="40"/>
        <v>0</v>
      </c>
      <c r="V187" s="218">
        <f t="shared" si="36"/>
        <v>0.13</v>
      </c>
      <c r="W187" s="234">
        <f t="shared" si="37"/>
        <v>0.13</v>
      </c>
      <c r="X187" s="233">
        <f t="shared" si="41"/>
        <v>0</v>
      </c>
      <c r="Y187" s="233">
        <f t="shared" si="38"/>
        <v>0</v>
      </c>
      <c r="Z187" s="233">
        <f t="shared" si="39"/>
        <v>0</v>
      </c>
      <c r="AA187" s="232">
        <f>+Table1[[#This Row],[calculated sale price]]</f>
        <v>0</v>
      </c>
      <c r="AB187" s="231"/>
      <c r="AC187" s="230"/>
      <c r="AD187" s="229"/>
      <c r="AE187" s="229" t="e">
        <f>[5]!Table1[[#This Row],[cost per quantity]]*(1+'[5]P&amp;L'!$P$8)</f>
        <v>#REF!</v>
      </c>
      <c r="AF187" s="229" t="e">
        <f>$AF$8*[5]!Table1[[#This Row],[man minutes]]*(1+'[5]P&amp;L'!$P$9)</f>
        <v>#REF!</v>
      </c>
      <c r="AG187" s="229">
        <f>$AF$8*Table1[[#This Row],[man minutes]]*1.18</f>
        <v>0</v>
      </c>
      <c r="AH187" s="229">
        <f>$AF$8*Table1[[#This Row],[man minutes]]*1.18</f>
        <v>0</v>
      </c>
      <c r="AI187" s="229" t="e">
        <f>Table1[[#This Row],[Food cost w/ MU]]+Table1[[#This Row],[labor cost W/ MU]]</f>
        <v>#REF!</v>
      </c>
      <c r="AJ187" s="228"/>
    </row>
    <row r="188" spans="1:36" x14ac:dyDescent="0.25">
      <c r="A188" s="219">
        <v>10179</v>
      </c>
      <c r="C188" s="219">
        <v>1</v>
      </c>
      <c r="I188" s="219"/>
      <c r="J188" s="219"/>
      <c r="K188" s="219"/>
      <c r="L188" s="223"/>
      <c r="M188" s="219"/>
      <c r="N188" s="227"/>
      <c r="O188" s="226"/>
      <c r="P188" s="226">
        <f>Table1[[#This Row],[unit cost]]*1.065</f>
        <v>0</v>
      </c>
      <c r="Q188" s="224"/>
      <c r="R188" s="219">
        <v>1</v>
      </c>
      <c r="S188" s="235">
        <f t="shared" si="35"/>
        <v>0.42</v>
      </c>
      <c r="T188" s="233">
        <f>Table1[[#This Row],[man minutes]]*Table1[[#This Row],[labor rate]]</f>
        <v>0</v>
      </c>
      <c r="U188" s="233">
        <f t="shared" si="40"/>
        <v>0</v>
      </c>
      <c r="V188" s="218">
        <f t="shared" si="36"/>
        <v>0.13</v>
      </c>
      <c r="W188" s="234">
        <f t="shared" si="37"/>
        <v>0.13</v>
      </c>
      <c r="X188" s="233">
        <f t="shared" si="41"/>
        <v>0</v>
      </c>
      <c r="Y188" s="233">
        <f t="shared" si="38"/>
        <v>0</v>
      </c>
      <c r="Z188" s="233">
        <f t="shared" si="39"/>
        <v>0</v>
      </c>
      <c r="AA188" s="232">
        <f>+Table1[[#This Row],[calculated sale price]]</f>
        <v>0</v>
      </c>
      <c r="AB188" s="231"/>
      <c r="AC188" s="230"/>
      <c r="AD188" s="229"/>
      <c r="AE188" s="229" t="e">
        <f>[5]!Table1[[#This Row],[cost per quantity]]*(1+'[5]P&amp;L'!$P$8)</f>
        <v>#REF!</v>
      </c>
      <c r="AF188" s="229" t="e">
        <f>$AF$8*[5]!Table1[[#This Row],[man minutes]]*(1+'[5]P&amp;L'!$P$9)</f>
        <v>#REF!</v>
      </c>
      <c r="AG188" s="229">
        <f>$AF$8*Table1[[#This Row],[man minutes]]*1.18</f>
        <v>0</v>
      </c>
      <c r="AH188" s="229">
        <f>$AF$8*Table1[[#This Row],[man minutes]]*1.18</f>
        <v>0</v>
      </c>
      <c r="AI188" s="229" t="e">
        <f>Table1[[#This Row],[Food cost w/ MU]]+Table1[[#This Row],[labor cost W/ MU]]</f>
        <v>#REF!</v>
      </c>
      <c r="AJ188" s="228"/>
    </row>
    <row r="189" spans="1:36" x14ac:dyDescent="0.25">
      <c r="A189" s="219">
        <v>10180</v>
      </c>
      <c r="C189" s="219">
        <v>1</v>
      </c>
      <c r="I189" s="219"/>
      <c r="J189" s="219"/>
      <c r="K189" s="219"/>
      <c r="L189" s="223"/>
      <c r="M189" s="219"/>
      <c r="N189" s="227"/>
      <c r="O189" s="226"/>
      <c r="P189" s="226">
        <f>Table1[[#This Row],[unit cost]]*1.065</f>
        <v>0</v>
      </c>
      <c r="Q189" s="224"/>
      <c r="R189" s="219">
        <v>1</v>
      </c>
      <c r="S189" s="235">
        <f t="shared" si="35"/>
        <v>0.42</v>
      </c>
      <c r="T189" s="233">
        <f>Table1[[#This Row],[man minutes]]*Table1[[#This Row],[labor rate]]</f>
        <v>0</v>
      </c>
      <c r="U189" s="233">
        <f t="shared" si="40"/>
        <v>0</v>
      </c>
      <c r="V189" s="218">
        <f t="shared" si="36"/>
        <v>0.13</v>
      </c>
      <c r="W189" s="234">
        <f t="shared" si="37"/>
        <v>0.13</v>
      </c>
      <c r="X189" s="233">
        <f t="shared" si="41"/>
        <v>0</v>
      </c>
      <c r="Y189" s="233">
        <f t="shared" si="38"/>
        <v>0</v>
      </c>
      <c r="Z189" s="233">
        <f t="shared" si="39"/>
        <v>0</v>
      </c>
      <c r="AA189" s="232">
        <f>+Table1[[#This Row],[calculated sale price]]</f>
        <v>0</v>
      </c>
      <c r="AB189" s="231"/>
      <c r="AC189" s="230"/>
      <c r="AD189" s="229"/>
      <c r="AE189" s="229" t="e">
        <f>[5]!Table1[[#This Row],[cost per quantity]]*(1+'[5]P&amp;L'!$P$8)</f>
        <v>#REF!</v>
      </c>
      <c r="AF189" s="229" t="e">
        <f>$AF$8*[5]!Table1[[#This Row],[man minutes]]*(1+'[5]P&amp;L'!$P$9)</f>
        <v>#REF!</v>
      </c>
      <c r="AG189" s="229">
        <f>$AF$8*Table1[[#This Row],[man minutes]]*1.18</f>
        <v>0</v>
      </c>
      <c r="AH189" s="229">
        <f>$AF$8*Table1[[#This Row],[man minutes]]*1.18</f>
        <v>0</v>
      </c>
      <c r="AI189" s="229" t="e">
        <f>Table1[[#This Row],[Food cost w/ MU]]+Table1[[#This Row],[labor cost W/ MU]]</f>
        <v>#REF!</v>
      </c>
      <c r="AJ189" s="228"/>
    </row>
    <row r="190" spans="1:36" x14ac:dyDescent="0.25">
      <c r="A190" s="219">
        <v>10181</v>
      </c>
      <c r="C190" s="219">
        <v>1</v>
      </c>
      <c r="I190" s="219"/>
      <c r="J190" s="219"/>
      <c r="K190" s="219"/>
      <c r="L190" s="223"/>
      <c r="M190" s="219"/>
      <c r="N190" s="227"/>
      <c r="O190" s="226"/>
      <c r="P190" s="226">
        <f>Table1[[#This Row],[unit cost]]*1.065</f>
        <v>0</v>
      </c>
      <c r="Q190" s="224"/>
      <c r="R190" s="219">
        <v>1</v>
      </c>
      <c r="S190" s="235">
        <f t="shared" si="35"/>
        <v>0.42</v>
      </c>
      <c r="T190" s="233">
        <f>Table1[[#This Row],[man minutes]]*Table1[[#This Row],[labor rate]]</f>
        <v>0</v>
      </c>
      <c r="U190" s="233">
        <f t="shared" si="40"/>
        <v>0</v>
      </c>
      <c r="V190" s="218">
        <f t="shared" si="36"/>
        <v>0.13</v>
      </c>
      <c r="W190" s="234">
        <f t="shared" si="37"/>
        <v>0.13</v>
      </c>
      <c r="X190" s="233">
        <f t="shared" si="41"/>
        <v>0</v>
      </c>
      <c r="Y190" s="233">
        <f t="shared" si="38"/>
        <v>0</v>
      </c>
      <c r="Z190" s="233">
        <f t="shared" si="39"/>
        <v>0</v>
      </c>
      <c r="AA190" s="232">
        <f>+Table1[[#This Row],[calculated sale price]]</f>
        <v>0</v>
      </c>
      <c r="AB190" s="231"/>
      <c r="AC190" s="230"/>
      <c r="AD190" s="229"/>
      <c r="AE190" s="229" t="e">
        <f>[5]!Table1[[#This Row],[cost per quantity]]*(1+'[5]P&amp;L'!$P$8)</f>
        <v>#REF!</v>
      </c>
      <c r="AF190" s="229" t="e">
        <f>$AF$8*[5]!Table1[[#This Row],[man minutes]]*(1+'[5]P&amp;L'!$P$9)</f>
        <v>#REF!</v>
      </c>
      <c r="AG190" s="229">
        <f>$AF$8*Table1[[#This Row],[man minutes]]*1.18</f>
        <v>0</v>
      </c>
      <c r="AH190" s="229">
        <f>$AF$8*Table1[[#This Row],[man minutes]]*1.18</f>
        <v>0</v>
      </c>
      <c r="AI190" s="229" t="e">
        <f>Table1[[#This Row],[Food cost w/ MU]]+Table1[[#This Row],[labor cost W/ MU]]</f>
        <v>#REF!</v>
      </c>
      <c r="AJ190" s="228"/>
    </row>
    <row r="191" spans="1:36" x14ac:dyDescent="0.25">
      <c r="A191" s="219">
        <v>10182</v>
      </c>
      <c r="C191" s="219">
        <v>1</v>
      </c>
      <c r="I191" s="219"/>
      <c r="J191" s="219"/>
      <c r="K191" s="219"/>
      <c r="L191" s="223"/>
      <c r="M191" s="219"/>
      <c r="N191" s="227"/>
      <c r="O191" s="226"/>
      <c r="P191" s="226">
        <f>Table1[[#This Row],[unit cost]]*1.065</f>
        <v>0</v>
      </c>
      <c r="Q191" s="224"/>
      <c r="R191" s="219">
        <v>1</v>
      </c>
      <c r="S191" s="235">
        <f t="shared" si="35"/>
        <v>0.42</v>
      </c>
      <c r="T191" s="233">
        <f>Table1[[#This Row],[man minutes]]*Table1[[#This Row],[labor rate]]</f>
        <v>0</v>
      </c>
      <c r="U191" s="233">
        <f t="shared" si="40"/>
        <v>0</v>
      </c>
      <c r="V191" s="218">
        <f t="shared" si="36"/>
        <v>0.13</v>
      </c>
      <c r="W191" s="234">
        <f t="shared" si="37"/>
        <v>0.13</v>
      </c>
      <c r="X191" s="233">
        <f t="shared" si="41"/>
        <v>0</v>
      </c>
      <c r="Y191" s="233">
        <f t="shared" si="38"/>
        <v>0</v>
      </c>
      <c r="Z191" s="233">
        <f t="shared" si="39"/>
        <v>0</v>
      </c>
      <c r="AA191" s="232">
        <f>+Table1[[#This Row],[calculated sale price]]</f>
        <v>0</v>
      </c>
      <c r="AB191" s="231"/>
      <c r="AC191" s="230"/>
      <c r="AD191" s="229"/>
      <c r="AE191" s="229" t="e">
        <f>[5]!Table1[[#This Row],[cost per quantity]]*(1+'[5]P&amp;L'!$P$8)</f>
        <v>#REF!</v>
      </c>
      <c r="AF191" s="229" t="e">
        <f>$AF$8*[5]!Table1[[#This Row],[man minutes]]*(1+'[5]P&amp;L'!$P$9)</f>
        <v>#REF!</v>
      </c>
      <c r="AG191" s="229">
        <f>$AF$8*Table1[[#This Row],[man minutes]]*1.18</f>
        <v>0</v>
      </c>
      <c r="AH191" s="229">
        <f>$AF$8*Table1[[#This Row],[man minutes]]*1.18</f>
        <v>0</v>
      </c>
      <c r="AI191" s="229" t="e">
        <f>Table1[[#This Row],[Food cost w/ MU]]+Table1[[#This Row],[labor cost W/ MU]]</f>
        <v>#REF!</v>
      </c>
      <c r="AJ191" s="228"/>
    </row>
    <row r="192" spans="1:36" x14ac:dyDescent="0.25">
      <c r="A192" s="219">
        <v>10183</v>
      </c>
      <c r="C192" s="219">
        <v>1</v>
      </c>
      <c r="I192" s="219"/>
      <c r="J192" s="219"/>
      <c r="K192" s="219"/>
      <c r="L192" s="223"/>
      <c r="M192" s="219"/>
      <c r="N192" s="227"/>
      <c r="O192" s="226"/>
      <c r="P192" s="226">
        <f>Table1[[#This Row],[unit cost]]*1.065</f>
        <v>0</v>
      </c>
      <c r="Q192" s="224"/>
      <c r="R192" s="219">
        <v>1</v>
      </c>
      <c r="S192" s="235">
        <f t="shared" si="35"/>
        <v>0.42</v>
      </c>
      <c r="T192" s="233">
        <f>Table1[[#This Row],[man minutes]]*Table1[[#This Row],[labor rate]]</f>
        <v>0</v>
      </c>
      <c r="U192" s="233">
        <f t="shared" si="40"/>
        <v>0</v>
      </c>
      <c r="V192" s="218">
        <f t="shared" si="36"/>
        <v>0.13</v>
      </c>
      <c r="W192" s="234">
        <f t="shared" si="37"/>
        <v>0.13</v>
      </c>
      <c r="X192" s="233">
        <f t="shared" si="41"/>
        <v>0</v>
      </c>
      <c r="Y192" s="233">
        <f t="shared" si="38"/>
        <v>0</v>
      </c>
      <c r="Z192" s="233">
        <f t="shared" si="39"/>
        <v>0</v>
      </c>
      <c r="AA192" s="232">
        <f>+Table1[[#This Row],[calculated sale price]]</f>
        <v>0</v>
      </c>
      <c r="AB192" s="231"/>
      <c r="AC192" s="230"/>
      <c r="AD192" s="229"/>
      <c r="AE192" s="229" t="e">
        <f>[5]!Table1[[#This Row],[cost per quantity]]*(1+'[5]P&amp;L'!$P$8)</f>
        <v>#REF!</v>
      </c>
      <c r="AF192" s="229" t="e">
        <f>$AF$8*[5]!Table1[[#This Row],[man minutes]]*(1+'[5]P&amp;L'!$P$9)</f>
        <v>#REF!</v>
      </c>
      <c r="AG192" s="229">
        <f>$AF$8*Table1[[#This Row],[man minutes]]*1.18</f>
        <v>0</v>
      </c>
      <c r="AH192" s="229">
        <f>$AF$8*Table1[[#This Row],[man minutes]]*1.18</f>
        <v>0</v>
      </c>
      <c r="AI192" s="229" t="e">
        <f>Table1[[#This Row],[Food cost w/ MU]]+Table1[[#This Row],[labor cost W/ MU]]</f>
        <v>#REF!</v>
      </c>
      <c r="AJ192" s="228"/>
    </row>
    <row r="193" spans="1:36" x14ac:dyDescent="0.25">
      <c r="A193" s="219">
        <v>10184</v>
      </c>
      <c r="C193" s="219">
        <v>1</v>
      </c>
      <c r="I193" s="219"/>
      <c r="J193" s="219"/>
      <c r="K193" s="219"/>
      <c r="L193" s="223"/>
      <c r="M193" s="219"/>
      <c r="N193" s="227"/>
      <c r="O193" s="226"/>
      <c r="P193" s="226">
        <f>Table1[[#This Row],[unit cost]]*1.065</f>
        <v>0</v>
      </c>
      <c r="Q193" s="224"/>
      <c r="R193" s="219">
        <v>1</v>
      </c>
      <c r="S193" s="235">
        <f t="shared" ref="S193:S224" si="42">$S$2</f>
        <v>0.42</v>
      </c>
      <c r="T193" s="233">
        <f>Table1[[#This Row],[man minutes]]*Table1[[#This Row],[labor rate]]</f>
        <v>0</v>
      </c>
      <c r="U193" s="233">
        <f t="shared" si="40"/>
        <v>0</v>
      </c>
      <c r="V193" s="218">
        <f t="shared" ref="V193:V224" si="43">$V$2</f>
        <v>0.13</v>
      </c>
      <c r="W193" s="234">
        <f t="shared" ref="W193:W224" si="44">$W$2</f>
        <v>0.13</v>
      </c>
      <c r="X193" s="233">
        <f t="shared" si="41"/>
        <v>0</v>
      </c>
      <c r="Y193" s="233">
        <f t="shared" ref="Y193:Y224" si="45">T193+(T193*W193)</f>
        <v>0</v>
      </c>
      <c r="Z193" s="233">
        <f t="shared" ref="Z193:Z224" si="46">IFERROR(ROUNDUP(X193+Y193,2)," ")</f>
        <v>0</v>
      </c>
      <c r="AA193" s="232">
        <f>+Table1[[#This Row],[calculated sale price]]</f>
        <v>0</v>
      </c>
      <c r="AB193" s="231"/>
      <c r="AC193" s="230"/>
      <c r="AD193" s="229"/>
      <c r="AE193" s="229" t="e">
        <f>[5]!Table1[[#This Row],[cost per quantity]]*(1+'[5]P&amp;L'!$P$8)</f>
        <v>#REF!</v>
      </c>
      <c r="AF193" s="229" t="e">
        <f>$AF$8*[5]!Table1[[#This Row],[man minutes]]*(1+'[5]P&amp;L'!$P$9)</f>
        <v>#REF!</v>
      </c>
      <c r="AG193" s="229">
        <f>$AF$8*Table1[[#This Row],[man minutes]]*1.18</f>
        <v>0</v>
      </c>
      <c r="AH193" s="229">
        <f>$AF$8*Table1[[#This Row],[man minutes]]*1.18</f>
        <v>0</v>
      </c>
      <c r="AI193" s="229" t="e">
        <f>Table1[[#This Row],[Food cost w/ MU]]+Table1[[#This Row],[labor cost W/ MU]]</f>
        <v>#REF!</v>
      </c>
      <c r="AJ193" s="228"/>
    </row>
    <row r="194" spans="1:36" x14ac:dyDescent="0.25">
      <c r="A194" s="219">
        <v>10185</v>
      </c>
      <c r="C194" s="219">
        <v>1</v>
      </c>
      <c r="I194" s="219"/>
      <c r="J194" s="219"/>
      <c r="K194" s="219"/>
      <c r="L194" s="223"/>
      <c r="M194" s="219"/>
      <c r="N194" s="227"/>
      <c r="O194" s="226"/>
      <c r="P194" s="226">
        <f>Table1[[#This Row],[unit cost]]*1.065</f>
        <v>0</v>
      </c>
      <c r="Q194" s="224"/>
      <c r="R194" s="219">
        <v>1</v>
      </c>
      <c r="S194" s="235">
        <f t="shared" si="42"/>
        <v>0.42</v>
      </c>
      <c r="T194" s="233">
        <f>Table1[[#This Row],[man minutes]]*Table1[[#This Row],[labor rate]]</f>
        <v>0</v>
      </c>
      <c r="U194" s="233">
        <f t="shared" ref="U194:U225" si="47">P194+T194</f>
        <v>0</v>
      </c>
      <c r="V194" s="218">
        <f t="shared" si="43"/>
        <v>0.13</v>
      </c>
      <c r="W194" s="234">
        <f t="shared" si="44"/>
        <v>0.13</v>
      </c>
      <c r="X194" s="233">
        <f t="shared" ref="X194:X225" si="48">P194*(1+V194)</f>
        <v>0</v>
      </c>
      <c r="Y194" s="233">
        <f t="shared" si="45"/>
        <v>0</v>
      </c>
      <c r="Z194" s="233">
        <f t="shared" si="46"/>
        <v>0</v>
      </c>
      <c r="AA194" s="232">
        <f>+Table1[[#This Row],[calculated sale price]]</f>
        <v>0</v>
      </c>
      <c r="AB194" s="231"/>
      <c r="AC194" s="230"/>
      <c r="AD194" s="229"/>
      <c r="AE194" s="229" t="e">
        <f>[5]!Table1[[#This Row],[cost per quantity]]*(1+'[5]P&amp;L'!$P$8)</f>
        <v>#REF!</v>
      </c>
      <c r="AF194" s="229" t="e">
        <f>$AF$8*[5]!Table1[[#This Row],[man minutes]]*(1+'[5]P&amp;L'!$P$9)</f>
        <v>#REF!</v>
      </c>
      <c r="AG194" s="229">
        <f>$AF$8*Table1[[#This Row],[man minutes]]*1.18</f>
        <v>0</v>
      </c>
      <c r="AH194" s="229">
        <f>$AF$8*Table1[[#This Row],[man minutes]]*1.18</f>
        <v>0</v>
      </c>
      <c r="AI194" s="229" t="e">
        <f>Table1[[#This Row],[Food cost w/ MU]]+Table1[[#This Row],[labor cost W/ MU]]</f>
        <v>#REF!</v>
      </c>
      <c r="AJ194" s="228"/>
    </row>
    <row r="195" spans="1:36" x14ac:dyDescent="0.25">
      <c r="A195" s="219">
        <v>10186</v>
      </c>
      <c r="C195" s="219">
        <v>1</v>
      </c>
      <c r="I195" s="219"/>
      <c r="J195" s="219"/>
      <c r="K195" s="219"/>
      <c r="L195" s="223"/>
      <c r="M195" s="219"/>
      <c r="N195" s="227"/>
      <c r="O195" s="226"/>
      <c r="P195" s="226">
        <f>Table1[[#This Row],[unit cost]]*1.065</f>
        <v>0</v>
      </c>
      <c r="Q195" s="224"/>
      <c r="R195" s="219">
        <v>1</v>
      </c>
      <c r="S195" s="235">
        <f t="shared" si="42"/>
        <v>0.42</v>
      </c>
      <c r="T195" s="233">
        <f>Table1[[#This Row],[man minutes]]*Table1[[#This Row],[labor rate]]</f>
        <v>0</v>
      </c>
      <c r="U195" s="233">
        <f t="shared" si="47"/>
        <v>0</v>
      </c>
      <c r="V195" s="218">
        <f t="shared" si="43"/>
        <v>0.13</v>
      </c>
      <c r="W195" s="234">
        <f t="shared" si="44"/>
        <v>0.13</v>
      </c>
      <c r="X195" s="233">
        <f t="shared" si="48"/>
        <v>0</v>
      </c>
      <c r="Y195" s="233">
        <f t="shared" si="45"/>
        <v>0</v>
      </c>
      <c r="Z195" s="233">
        <f t="shared" si="46"/>
        <v>0</v>
      </c>
      <c r="AA195" s="232">
        <f>+Table1[[#This Row],[calculated sale price]]</f>
        <v>0</v>
      </c>
      <c r="AB195" s="231"/>
      <c r="AC195" s="230"/>
      <c r="AD195" s="229"/>
      <c r="AE195" s="229" t="e">
        <f>[5]!Table1[[#This Row],[cost per quantity]]*(1+'[5]P&amp;L'!$P$8)</f>
        <v>#REF!</v>
      </c>
      <c r="AF195" s="229" t="e">
        <f>$AF$8*[5]!Table1[[#This Row],[man minutes]]*(1+'[5]P&amp;L'!$P$9)</f>
        <v>#REF!</v>
      </c>
      <c r="AG195" s="229">
        <f>$AF$8*Table1[[#This Row],[man minutes]]*1.18</f>
        <v>0</v>
      </c>
      <c r="AH195" s="229">
        <f>$AF$8*Table1[[#This Row],[man minutes]]*1.18</f>
        <v>0</v>
      </c>
      <c r="AI195" s="229" t="e">
        <f>Table1[[#This Row],[Food cost w/ MU]]+Table1[[#This Row],[labor cost W/ MU]]</f>
        <v>#REF!</v>
      </c>
      <c r="AJ195" s="228"/>
    </row>
    <row r="196" spans="1:36" x14ac:dyDescent="0.25">
      <c r="A196" s="219">
        <v>10187</v>
      </c>
      <c r="C196" s="219">
        <v>1</v>
      </c>
      <c r="I196" s="219"/>
      <c r="J196" s="219"/>
      <c r="K196" s="219"/>
      <c r="L196" s="223"/>
      <c r="M196" s="219"/>
      <c r="N196" s="227"/>
      <c r="O196" s="226"/>
      <c r="P196" s="226">
        <f>Table1[[#This Row],[unit cost]]*1.065</f>
        <v>0</v>
      </c>
      <c r="Q196" s="224"/>
      <c r="R196" s="219">
        <v>1</v>
      </c>
      <c r="S196" s="235">
        <f t="shared" si="42"/>
        <v>0.42</v>
      </c>
      <c r="T196" s="233">
        <f>Table1[[#This Row],[man minutes]]*Table1[[#This Row],[labor rate]]</f>
        <v>0</v>
      </c>
      <c r="U196" s="233">
        <f t="shared" si="47"/>
        <v>0</v>
      </c>
      <c r="V196" s="218">
        <f t="shared" si="43"/>
        <v>0.13</v>
      </c>
      <c r="W196" s="234">
        <f t="shared" si="44"/>
        <v>0.13</v>
      </c>
      <c r="X196" s="233">
        <f t="shared" si="48"/>
        <v>0</v>
      </c>
      <c r="Y196" s="233">
        <f t="shared" si="45"/>
        <v>0</v>
      </c>
      <c r="Z196" s="233">
        <f t="shared" si="46"/>
        <v>0</v>
      </c>
      <c r="AA196" s="232">
        <f>+Table1[[#This Row],[calculated sale price]]</f>
        <v>0</v>
      </c>
      <c r="AB196" s="231"/>
      <c r="AC196" s="230"/>
      <c r="AD196" s="229"/>
      <c r="AE196" s="229" t="e">
        <f>[5]!Table1[[#This Row],[cost per quantity]]*(1+'[5]P&amp;L'!$P$8)</f>
        <v>#REF!</v>
      </c>
      <c r="AF196" s="229" t="e">
        <f>$AF$8*[5]!Table1[[#This Row],[man minutes]]*(1+'[5]P&amp;L'!$P$9)</f>
        <v>#REF!</v>
      </c>
      <c r="AG196" s="229">
        <f>$AF$8*Table1[[#This Row],[man minutes]]*1.18</f>
        <v>0</v>
      </c>
      <c r="AH196" s="229">
        <f>$AF$8*Table1[[#This Row],[man minutes]]*1.18</f>
        <v>0</v>
      </c>
      <c r="AI196" s="229" t="e">
        <f>Table1[[#This Row],[Food cost w/ MU]]+Table1[[#This Row],[labor cost W/ MU]]</f>
        <v>#REF!</v>
      </c>
      <c r="AJ196" s="228"/>
    </row>
    <row r="197" spans="1:36" x14ac:dyDescent="0.25">
      <c r="A197" s="219">
        <v>10188</v>
      </c>
      <c r="C197" s="219">
        <v>1</v>
      </c>
      <c r="I197" s="219"/>
      <c r="J197" s="219"/>
      <c r="K197" s="219"/>
      <c r="L197" s="223"/>
      <c r="M197" s="219"/>
      <c r="N197" s="227"/>
      <c r="O197" s="226"/>
      <c r="P197" s="226">
        <f>Table1[[#This Row],[unit cost]]*1.065</f>
        <v>0</v>
      </c>
      <c r="Q197" s="224"/>
      <c r="R197" s="219">
        <v>1</v>
      </c>
      <c r="S197" s="235">
        <f t="shared" si="42"/>
        <v>0.42</v>
      </c>
      <c r="T197" s="233">
        <f>Table1[[#This Row],[man minutes]]*Table1[[#This Row],[labor rate]]</f>
        <v>0</v>
      </c>
      <c r="U197" s="233">
        <f t="shared" si="47"/>
        <v>0</v>
      </c>
      <c r="V197" s="218">
        <f t="shared" si="43"/>
        <v>0.13</v>
      </c>
      <c r="W197" s="234">
        <f t="shared" si="44"/>
        <v>0.13</v>
      </c>
      <c r="X197" s="233">
        <f t="shared" si="48"/>
        <v>0</v>
      </c>
      <c r="Y197" s="233">
        <f t="shared" si="45"/>
        <v>0</v>
      </c>
      <c r="Z197" s="233">
        <f t="shared" si="46"/>
        <v>0</v>
      </c>
      <c r="AA197" s="232">
        <f>+Table1[[#This Row],[calculated sale price]]</f>
        <v>0</v>
      </c>
      <c r="AB197" s="231"/>
      <c r="AC197" s="230"/>
      <c r="AD197" s="229"/>
      <c r="AE197" s="229" t="e">
        <f>[5]!Table1[[#This Row],[cost per quantity]]*(1+'[5]P&amp;L'!$P$8)</f>
        <v>#REF!</v>
      </c>
      <c r="AF197" s="229" t="e">
        <f>$AF$8*[5]!Table1[[#This Row],[man minutes]]*(1+'[5]P&amp;L'!$P$9)</f>
        <v>#REF!</v>
      </c>
      <c r="AG197" s="229">
        <f>$AF$8*Table1[[#This Row],[man minutes]]*1.18</f>
        <v>0</v>
      </c>
      <c r="AH197" s="229">
        <f>$AF$8*Table1[[#This Row],[man minutes]]*1.18</f>
        <v>0</v>
      </c>
      <c r="AI197" s="229" t="e">
        <f>Table1[[#This Row],[Food cost w/ MU]]+Table1[[#This Row],[labor cost W/ MU]]</f>
        <v>#REF!</v>
      </c>
      <c r="AJ197" s="228"/>
    </row>
    <row r="198" spans="1:36" x14ac:dyDescent="0.25">
      <c r="A198" s="219">
        <v>10189</v>
      </c>
      <c r="C198" s="219">
        <v>1</v>
      </c>
      <c r="I198" s="219"/>
      <c r="J198" s="219"/>
      <c r="K198" s="219"/>
      <c r="L198" s="223"/>
      <c r="M198" s="219"/>
      <c r="N198" s="227"/>
      <c r="O198" s="226"/>
      <c r="P198" s="226">
        <f>Table1[[#This Row],[unit cost]]*1.065</f>
        <v>0</v>
      </c>
      <c r="Q198" s="224"/>
      <c r="R198" s="219">
        <v>1</v>
      </c>
      <c r="S198" s="235">
        <f t="shared" si="42"/>
        <v>0.42</v>
      </c>
      <c r="T198" s="233">
        <f>Table1[[#This Row],[man minutes]]*Table1[[#This Row],[labor rate]]</f>
        <v>0</v>
      </c>
      <c r="U198" s="233">
        <f t="shared" si="47"/>
        <v>0</v>
      </c>
      <c r="V198" s="218">
        <f t="shared" si="43"/>
        <v>0.13</v>
      </c>
      <c r="W198" s="234">
        <f t="shared" si="44"/>
        <v>0.13</v>
      </c>
      <c r="X198" s="233">
        <f t="shared" si="48"/>
        <v>0</v>
      </c>
      <c r="Y198" s="233">
        <f t="shared" si="45"/>
        <v>0</v>
      </c>
      <c r="Z198" s="233">
        <f t="shared" si="46"/>
        <v>0</v>
      </c>
      <c r="AA198" s="232">
        <f>+Table1[[#This Row],[calculated sale price]]</f>
        <v>0</v>
      </c>
      <c r="AB198" s="231"/>
      <c r="AC198" s="230"/>
      <c r="AD198" s="229"/>
      <c r="AE198" s="229" t="e">
        <f>[5]!Table1[[#This Row],[cost per quantity]]*(1+'[5]P&amp;L'!$P$8)</f>
        <v>#REF!</v>
      </c>
      <c r="AF198" s="229" t="e">
        <f>$AF$8*[5]!Table1[[#This Row],[man minutes]]*(1+'[5]P&amp;L'!$P$9)</f>
        <v>#REF!</v>
      </c>
      <c r="AG198" s="229">
        <f>$AF$8*Table1[[#This Row],[man minutes]]*1.18</f>
        <v>0</v>
      </c>
      <c r="AH198" s="229">
        <f>$AF$8*Table1[[#This Row],[man minutes]]*1.18</f>
        <v>0</v>
      </c>
      <c r="AI198" s="229" t="e">
        <f>Table1[[#This Row],[Food cost w/ MU]]+Table1[[#This Row],[labor cost W/ MU]]</f>
        <v>#REF!</v>
      </c>
      <c r="AJ198" s="228"/>
    </row>
    <row r="199" spans="1:36" x14ac:dyDescent="0.25">
      <c r="A199" s="219">
        <v>10190</v>
      </c>
      <c r="C199" s="219">
        <v>1</v>
      </c>
      <c r="I199" s="219"/>
      <c r="J199" s="219"/>
      <c r="K199" s="219"/>
      <c r="L199" s="223"/>
      <c r="M199" s="219"/>
      <c r="N199" s="227"/>
      <c r="O199" s="226"/>
      <c r="P199" s="226">
        <f>Table1[[#This Row],[unit cost]]*1.065</f>
        <v>0</v>
      </c>
      <c r="Q199" s="224"/>
      <c r="R199" s="219">
        <v>1</v>
      </c>
      <c r="S199" s="235">
        <f t="shared" si="42"/>
        <v>0.42</v>
      </c>
      <c r="T199" s="233">
        <f>Table1[[#This Row],[man minutes]]*Table1[[#This Row],[labor rate]]</f>
        <v>0</v>
      </c>
      <c r="U199" s="233">
        <f t="shared" si="47"/>
        <v>0</v>
      </c>
      <c r="V199" s="218">
        <f t="shared" si="43"/>
        <v>0.13</v>
      </c>
      <c r="W199" s="234">
        <f t="shared" si="44"/>
        <v>0.13</v>
      </c>
      <c r="X199" s="233">
        <f t="shared" si="48"/>
        <v>0</v>
      </c>
      <c r="Y199" s="233">
        <f t="shared" si="45"/>
        <v>0</v>
      </c>
      <c r="Z199" s="233">
        <f t="shared" si="46"/>
        <v>0</v>
      </c>
      <c r="AA199" s="232">
        <f>+Table1[[#This Row],[calculated sale price]]</f>
        <v>0</v>
      </c>
      <c r="AB199" s="231"/>
      <c r="AC199" s="230"/>
      <c r="AD199" s="229"/>
      <c r="AE199" s="229" t="e">
        <f>[5]!Table1[[#This Row],[cost per quantity]]*(1+'[5]P&amp;L'!$P$8)</f>
        <v>#REF!</v>
      </c>
      <c r="AF199" s="229" t="e">
        <f>$AF$8*[5]!Table1[[#This Row],[man minutes]]*(1+'[5]P&amp;L'!$P$9)</f>
        <v>#REF!</v>
      </c>
      <c r="AG199" s="229">
        <f>$AF$8*Table1[[#This Row],[man minutes]]*1.18</f>
        <v>0</v>
      </c>
      <c r="AH199" s="229">
        <f>$AF$8*Table1[[#This Row],[man minutes]]*1.18</f>
        <v>0</v>
      </c>
      <c r="AI199" s="229" t="e">
        <f>Table1[[#This Row],[Food cost w/ MU]]+Table1[[#This Row],[labor cost W/ MU]]</f>
        <v>#REF!</v>
      </c>
      <c r="AJ199" s="228"/>
    </row>
    <row r="200" spans="1:36" x14ac:dyDescent="0.25">
      <c r="A200" s="219">
        <v>10191</v>
      </c>
      <c r="C200" s="219">
        <v>1</v>
      </c>
      <c r="I200" s="219"/>
      <c r="J200" s="219"/>
      <c r="K200" s="219"/>
      <c r="L200" s="223"/>
      <c r="M200" s="219"/>
      <c r="N200" s="227"/>
      <c r="O200" s="226"/>
      <c r="P200" s="226">
        <f>Table1[[#This Row],[unit cost]]*1.065</f>
        <v>0</v>
      </c>
      <c r="Q200" s="224"/>
      <c r="R200" s="219">
        <v>1</v>
      </c>
      <c r="S200" s="235">
        <f t="shared" si="42"/>
        <v>0.42</v>
      </c>
      <c r="T200" s="233">
        <f>Table1[[#This Row],[man minutes]]*Table1[[#This Row],[labor rate]]</f>
        <v>0</v>
      </c>
      <c r="U200" s="233">
        <f t="shared" si="47"/>
        <v>0</v>
      </c>
      <c r="V200" s="218">
        <f t="shared" si="43"/>
        <v>0.13</v>
      </c>
      <c r="W200" s="234">
        <f t="shared" si="44"/>
        <v>0.13</v>
      </c>
      <c r="X200" s="233">
        <f t="shared" si="48"/>
        <v>0</v>
      </c>
      <c r="Y200" s="233">
        <f t="shared" si="45"/>
        <v>0</v>
      </c>
      <c r="Z200" s="233">
        <f t="shared" si="46"/>
        <v>0</v>
      </c>
      <c r="AA200" s="232">
        <f>+Table1[[#This Row],[calculated sale price]]</f>
        <v>0</v>
      </c>
      <c r="AB200" s="231"/>
      <c r="AC200" s="230"/>
      <c r="AD200" s="229"/>
      <c r="AE200" s="229" t="e">
        <f>[5]!Table1[[#This Row],[cost per quantity]]*(1+'[5]P&amp;L'!$P$8)</f>
        <v>#REF!</v>
      </c>
      <c r="AF200" s="229" t="e">
        <f>$AF$8*[5]!Table1[[#This Row],[man minutes]]*(1+'[5]P&amp;L'!$P$9)</f>
        <v>#REF!</v>
      </c>
      <c r="AG200" s="229">
        <f>$AF$8*Table1[[#This Row],[man minutes]]*1.18</f>
        <v>0</v>
      </c>
      <c r="AH200" s="229">
        <f>$AF$8*Table1[[#This Row],[man minutes]]*1.18</f>
        <v>0</v>
      </c>
      <c r="AI200" s="229" t="e">
        <f>Table1[[#This Row],[Food cost w/ MU]]+Table1[[#This Row],[labor cost W/ MU]]</f>
        <v>#REF!</v>
      </c>
      <c r="AJ200" s="228"/>
    </row>
    <row r="201" spans="1:36" x14ac:dyDescent="0.25">
      <c r="A201" s="219">
        <v>10192</v>
      </c>
      <c r="C201" s="219">
        <v>1</v>
      </c>
      <c r="I201" s="219"/>
      <c r="J201" s="219"/>
      <c r="K201" s="219"/>
      <c r="L201" s="223"/>
      <c r="M201" s="219"/>
      <c r="N201" s="227"/>
      <c r="O201" s="226"/>
      <c r="P201" s="226">
        <f>Table1[[#This Row],[unit cost]]*1.065</f>
        <v>0</v>
      </c>
      <c r="Q201" s="224"/>
      <c r="R201" s="219">
        <v>1</v>
      </c>
      <c r="S201" s="235">
        <f t="shared" si="42"/>
        <v>0.42</v>
      </c>
      <c r="T201" s="233">
        <f>Table1[[#This Row],[man minutes]]*Table1[[#This Row],[labor rate]]</f>
        <v>0</v>
      </c>
      <c r="U201" s="233">
        <f t="shared" si="47"/>
        <v>0</v>
      </c>
      <c r="V201" s="218">
        <f t="shared" si="43"/>
        <v>0.13</v>
      </c>
      <c r="W201" s="234">
        <f t="shared" si="44"/>
        <v>0.13</v>
      </c>
      <c r="X201" s="233">
        <f t="shared" si="48"/>
        <v>0</v>
      </c>
      <c r="Y201" s="233">
        <f t="shared" si="45"/>
        <v>0</v>
      </c>
      <c r="Z201" s="233">
        <f t="shared" si="46"/>
        <v>0</v>
      </c>
      <c r="AA201" s="232">
        <f>+Table1[[#This Row],[calculated sale price]]</f>
        <v>0</v>
      </c>
      <c r="AB201" s="231"/>
      <c r="AC201" s="230"/>
      <c r="AD201" s="229"/>
      <c r="AE201" s="229" t="e">
        <f>[5]!Table1[[#This Row],[cost per quantity]]*(1+'[5]P&amp;L'!$P$8)</f>
        <v>#REF!</v>
      </c>
      <c r="AF201" s="229" t="e">
        <f>$AF$8*[5]!Table1[[#This Row],[man minutes]]*(1+'[5]P&amp;L'!$P$9)</f>
        <v>#REF!</v>
      </c>
      <c r="AG201" s="229">
        <f>$AF$8*Table1[[#This Row],[man minutes]]*1.18</f>
        <v>0</v>
      </c>
      <c r="AH201" s="229">
        <f>$AF$8*Table1[[#This Row],[man minutes]]*1.18</f>
        <v>0</v>
      </c>
      <c r="AI201" s="229" t="e">
        <f>Table1[[#This Row],[Food cost w/ MU]]+Table1[[#This Row],[labor cost W/ MU]]</f>
        <v>#REF!</v>
      </c>
      <c r="AJ201" s="228"/>
    </row>
    <row r="202" spans="1:36" x14ac:dyDescent="0.25">
      <c r="A202" s="219">
        <v>10193</v>
      </c>
      <c r="C202" s="219">
        <v>1</v>
      </c>
      <c r="I202" s="219"/>
      <c r="J202" s="219"/>
      <c r="K202" s="219"/>
      <c r="L202" s="223"/>
      <c r="M202" s="219"/>
      <c r="N202" s="227"/>
      <c r="O202" s="226"/>
      <c r="P202" s="226">
        <f>Table1[[#This Row],[unit cost]]*1.065</f>
        <v>0</v>
      </c>
      <c r="Q202" s="224"/>
      <c r="R202" s="219">
        <v>1</v>
      </c>
      <c r="S202" s="235">
        <f t="shared" si="42"/>
        <v>0.42</v>
      </c>
      <c r="T202" s="233">
        <f>Table1[[#This Row],[man minutes]]*Table1[[#This Row],[labor rate]]</f>
        <v>0</v>
      </c>
      <c r="U202" s="233">
        <f t="shared" si="47"/>
        <v>0</v>
      </c>
      <c r="V202" s="218">
        <f t="shared" si="43"/>
        <v>0.13</v>
      </c>
      <c r="W202" s="234">
        <f t="shared" si="44"/>
        <v>0.13</v>
      </c>
      <c r="X202" s="233">
        <f t="shared" si="48"/>
        <v>0</v>
      </c>
      <c r="Y202" s="233">
        <f t="shared" si="45"/>
        <v>0</v>
      </c>
      <c r="Z202" s="233">
        <f t="shared" si="46"/>
        <v>0</v>
      </c>
      <c r="AA202" s="232">
        <f>+Table1[[#This Row],[calculated sale price]]</f>
        <v>0</v>
      </c>
      <c r="AB202" s="231"/>
      <c r="AC202" s="230"/>
      <c r="AD202" s="229"/>
      <c r="AE202" s="229" t="e">
        <f>[5]!Table1[[#This Row],[cost per quantity]]*(1+'[5]P&amp;L'!$P$8)</f>
        <v>#REF!</v>
      </c>
      <c r="AF202" s="229" t="e">
        <f>$AF$8*[5]!Table1[[#This Row],[man minutes]]*(1+'[5]P&amp;L'!$P$9)</f>
        <v>#REF!</v>
      </c>
      <c r="AG202" s="229">
        <f>$AF$8*Table1[[#This Row],[man minutes]]*1.18</f>
        <v>0</v>
      </c>
      <c r="AH202" s="229">
        <f>$AF$8*Table1[[#This Row],[man minutes]]*1.18</f>
        <v>0</v>
      </c>
      <c r="AI202" s="229" t="e">
        <f>Table1[[#This Row],[Food cost w/ MU]]+Table1[[#This Row],[labor cost W/ MU]]</f>
        <v>#REF!</v>
      </c>
      <c r="AJ202" s="228"/>
    </row>
    <row r="203" spans="1:36" x14ac:dyDescent="0.25">
      <c r="A203" s="219">
        <v>10194</v>
      </c>
      <c r="C203" s="219">
        <v>1</v>
      </c>
      <c r="I203" s="219"/>
      <c r="J203" s="219"/>
      <c r="K203" s="219"/>
      <c r="L203" s="223"/>
      <c r="M203" s="219"/>
      <c r="N203" s="227"/>
      <c r="O203" s="226"/>
      <c r="P203" s="226">
        <f>Table1[[#This Row],[unit cost]]*1.065</f>
        <v>0</v>
      </c>
      <c r="Q203" s="224"/>
      <c r="R203" s="219">
        <v>1</v>
      </c>
      <c r="S203" s="235">
        <f t="shared" si="42"/>
        <v>0.42</v>
      </c>
      <c r="T203" s="233">
        <f>Table1[[#This Row],[man minutes]]*Table1[[#This Row],[labor rate]]</f>
        <v>0</v>
      </c>
      <c r="U203" s="233">
        <f t="shared" si="47"/>
        <v>0</v>
      </c>
      <c r="V203" s="218">
        <f t="shared" si="43"/>
        <v>0.13</v>
      </c>
      <c r="W203" s="234">
        <f t="shared" si="44"/>
        <v>0.13</v>
      </c>
      <c r="X203" s="233">
        <f t="shared" si="48"/>
        <v>0</v>
      </c>
      <c r="Y203" s="233">
        <f t="shared" si="45"/>
        <v>0</v>
      </c>
      <c r="Z203" s="233">
        <f t="shared" si="46"/>
        <v>0</v>
      </c>
      <c r="AA203" s="232">
        <f>+Table1[[#This Row],[calculated sale price]]</f>
        <v>0</v>
      </c>
      <c r="AB203" s="231"/>
      <c r="AC203" s="230"/>
      <c r="AD203" s="229"/>
      <c r="AE203" s="229" t="e">
        <f>[5]!Table1[[#This Row],[cost per quantity]]*(1+'[5]P&amp;L'!$P$8)</f>
        <v>#REF!</v>
      </c>
      <c r="AF203" s="229" t="e">
        <f>$AF$8*[5]!Table1[[#This Row],[man minutes]]*(1+'[5]P&amp;L'!$P$9)</f>
        <v>#REF!</v>
      </c>
      <c r="AG203" s="229">
        <f>$AF$8*Table1[[#This Row],[man minutes]]*1.18</f>
        <v>0</v>
      </c>
      <c r="AH203" s="229">
        <f>$AF$8*Table1[[#This Row],[man minutes]]*1.18</f>
        <v>0</v>
      </c>
      <c r="AI203" s="229" t="e">
        <f>Table1[[#This Row],[Food cost w/ MU]]+Table1[[#This Row],[labor cost W/ MU]]</f>
        <v>#REF!</v>
      </c>
      <c r="AJ203" s="228"/>
    </row>
    <row r="204" spans="1:36" x14ac:dyDescent="0.25">
      <c r="A204" s="219">
        <v>10195</v>
      </c>
      <c r="C204" s="219">
        <v>1</v>
      </c>
      <c r="I204" s="219"/>
      <c r="J204" s="219"/>
      <c r="K204" s="219"/>
      <c r="L204" s="223"/>
      <c r="M204" s="219"/>
      <c r="N204" s="227"/>
      <c r="O204" s="226"/>
      <c r="P204" s="226">
        <f>Table1[[#This Row],[unit cost]]*1.065</f>
        <v>0</v>
      </c>
      <c r="Q204" s="224"/>
      <c r="R204" s="219">
        <v>1</v>
      </c>
      <c r="S204" s="235">
        <f t="shared" si="42"/>
        <v>0.42</v>
      </c>
      <c r="T204" s="233">
        <f>Table1[[#This Row],[man minutes]]*Table1[[#This Row],[labor rate]]</f>
        <v>0</v>
      </c>
      <c r="U204" s="233">
        <f t="shared" si="47"/>
        <v>0</v>
      </c>
      <c r="V204" s="218">
        <f t="shared" si="43"/>
        <v>0.13</v>
      </c>
      <c r="W204" s="234">
        <f t="shared" si="44"/>
        <v>0.13</v>
      </c>
      <c r="X204" s="233">
        <f t="shared" si="48"/>
        <v>0</v>
      </c>
      <c r="Y204" s="233">
        <f t="shared" si="45"/>
        <v>0</v>
      </c>
      <c r="Z204" s="233">
        <f t="shared" si="46"/>
        <v>0</v>
      </c>
      <c r="AA204" s="232">
        <f>+Table1[[#This Row],[calculated sale price]]</f>
        <v>0</v>
      </c>
      <c r="AB204" s="231"/>
      <c r="AC204" s="230"/>
      <c r="AD204" s="229"/>
      <c r="AE204" s="229" t="e">
        <f>[5]!Table1[[#This Row],[cost per quantity]]*(1+'[5]P&amp;L'!$P$8)</f>
        <v>#REF!</v>
      </c>
      <c r="AF204" s="229" t="e">
        <f>$AF$8*[5]!Table1[[#This Row],[man minutes]]*(1+'[5]P&amp;L'!$P$9)</f>
        <v>#REF!</v>
      </c>
      <c r="AG204" s="229">
        <f>$AF$8*Table1[[#This Row],[man minutes]]*1.18</f>
        <v>0</v>
      </c>
      <c r="AH204" s="229">
        <f>$AF$8*Table1[[#This Row],[man minutes]]*1.18</f>
        <v>0</v>
      </c>
      <c r="AI204" s="229" t="e">
        <f>Table1[[#This Row],[Food cost w/ MU]]+Table1[[#This Row],[labor cost W/ MU]]</f>
        <v>#REF!</v>
      </c>
      <c r="AJ204" s="228"/>
    </row>
    <row r="205" spans="1:36" x14ac:dyDescent="0.25">
      <c r="A205" s="219">
        <v>10196</v>
      </c>
      <c r="C205" s="219">
        <v>1</v>
      </c>
      <c r="I205" s="219"/>
      <c r="J205" s="219"/>
      <c r="K205" s="219"/>
      <c r="L205" s="223"/>
      <c r="M205" s="219"/>
      <c r="N205" s="227"/>
      <c r="O205" s="226"/>
      <c r="P205" s="226">
        <f>Table1[[#This Row],[unit cost]]*1.065</f>
        <v>0</v>
      </c>
      <c r="Q205" s="224"/>
      <c r="R205" s="219">
        <v>1</v>
      </c>
      <c r="S205" s="235">
        <f t="shared" si="42"/>
        <v>0.42</v>
      </c>
      <c r="T205" s="233">
        <f>Table1[[#This Row],[man minutes]]*Table1[[#This Row],[labor rate]]</f>
        <v>0</v>
      </c>
      <c r="U205" s="233">
        <f t="shared" si="47"/>
        <v>0</v>
      </c>
      <c r="V205" s="218">
        <f t="shared" si="43"/>
        <v>0.13</v>
      </c>
      <c r="W205" s="234">
        <f t="shared" si="44"/>
        <v>0.13</v>
      </c>
      <c r="X205" s="233">
        <f t="shared" si="48"/>
        <v>0</v>
      </c>
      <c r="Y205" s="233">
        <f t="shared" si="45"/>
        <v>0</v>
      </c>
      <c r="Z205" s="233">
        <f t="shared" si="46"/>
        <v>0</v>
      </c>
      <c r="AA205" s="232">
        <f>+Table1[[#This Row],[calculated sale price]]</f>
        <v>0</v>
      </c>
      <c r="AB205" s="231"/>
      <c r="AC205" s="230"/>
      <c r="AD205" s="229"/>
      <c r="AE205" s="229" t="e">
        <f>[5]!Table1[[#This Row],[cost per quantity]]*(1+'[5]P&amp;L'!$P$8)</f>
        <v>#REF!</v>
      </c>
      <c r="AF205" s="229" t="e">
        <f>$AF$8*[5]!Table1[[#This Row],[man minutes]]*(1+'[5]P&amp;L'!$P$9)</f>
        <v>#REF!</v>
      </c>
      <c r="AG205" s="229">
        <f>$AF$8*Table1[[#This Row],[man minutes]]*1.18</f>
        <v>0</v>
      </c>
      <c r="AH205" s="229">
        <f>$AF$8*Table1[[#This Row],[man minutes]]*1.18</f>
        <v>0</v>
      </c>
      <c r="AI205" s="229" t="e">
        <f>Table1[[#This Row],[Food cost w/ MU]]+Table1[[#This Row],[labor cost W/ MU]]</f>
        <v>#REF!</v>
      </c>
      <c r="AJ205" s="228"/>
    </row>
    <row r="206" spans="1:36" x14ac:dyDescent="0.25">
      <c r="A206" s="219">
        <v>10197</v>
      </c>
      <c r="C206" s="219">
        <v>1</v>
      </c>
      <c r="I206" s="219"/>
      <c r="J206" s="219"/>
      <c r="K206" s="219"/>
      <c r="L206" s="223"/>
      <c r="M206" s="219"/>
      <c r="N206" s="227"/>
      <c r="O206" s="226"/>
      <c r="P206" s="226">
        <f>Table1[[#This Row],[unit cost]]*1.065</f>
        <v>0</v>
      </c>
      <c r="Q206" s="224"/>
      <c r="R206" s="219">
        <v>1</v>
      </c>
      <c r="S206" s="235">
        <f t="shared" si="42"/>
        <v>0.42</v>
      </c>
      <c r="T206" s="233">
        <f>Table1[[#This Row],[man minutes]]*Table1[[#This Row],[labor rate]]</f>
        <v>0</v>
      </c>
      <c r="U206" s="233">
        <f t="shared" si="47"/>
        <v>0</v>
      </c>
      <c r="V206" s="218">
        <f t="shared" si="43"/>
        <v>0.13</v>
      </c>
      <c r="W206" s="234">
        <f t="shared" si="44"/>
        <v>0.13</v>
      </c>
      <c r="X206" s="233">
        <f t="shared" si="48"/>
        <v>0</v>
      </c>
      <c r="Y206" s="233">
        <f t="shared" si="45"/>
        <v>0</v>
      </c>
      <c r="Z206" s="233">
        <f t="shared" si="46"/>
        <v>0</v>
      </c>
      <c r="AA206" s="232">
        <f>+Table1[[#This Row],[calculated sale price]]</f>
        <v>0</v>
      </c>
      <c r="AB206" s="231"/>
      <c r="AC206" s="230"/>
      <c r="AD206" s="229"/>
      <c r="AE206" s="229" t="e">
        <f>[5]!Table1[[#This Row],[cost per quantity]]*(1+'[5]P&amp;L'!$P$8)</f>
        <v>#REF!</v>
      </c>
      <c r="AF206" s="229" t="e">
        <f>$AF$8*[5]!Table1[[#This Row],[man minutes]]*(1+'[5]P&amp;L'!$P$9)</f>
        <v>#REF!</v>
      </c>
      <c r="AG206" s="229">
        <f>$AF$8*Table1[[#This Row],[man minutes]]*1.18</f>
        <v>0</v>
      </c>
      <c r="AH206" s="229">
        <f>$AF$8*Table1[[#This Row],[man minutes]]*1.18</f>
        <v>0</v>
      </c>
      <c r="AI206" s="229" t="e">
        <f>Table1[[#This Row],[Food cost w/ MU]]+Table1[[#This Row],[labor cost W/ MU]]</f>
        <v>#REF!</v>
      </c>
      <c r="AJ206" s="228"/>
    </row>
    <row r="207" spans="1:36" x14ac:dyDescent="0.25">
      <c r="A207" s="219">
        <v>10198</v>
      </c>
      <c r="C207" s="219">
        <v>1</v>
      </c>
      <c r="I207" s="219"/>
      <c r="J207" s="219"/>
      <c r="K207" s="219"/>
      <c r="L207" s="223"/>
      <c r="M207" s="219"/>
      <c r="N207" s="227"/>
      <c r="O207" s="226"/>
      <c r="P207" s="226">
        <f>Table1[[#This Row],[unit cost]]*1.065</f>
        <v>0</v>
      </c>
      <c r="Q207" s="224"/>
      <c r="R207" s="219">
        <v>1</v>
      </c>
      <c r="S207" s="235">
        <f t="shared" si="42"/>
        <v>0.42</v>
      </c>
      <c r="T207" s="233">
        <f>Table1[[#This Row],[man minutes]]*Table1[[#This Row],[labor rate]]</f>
        <v>0</v>
      </c>
      <c r="U207" s="233">
        <f t="shared" si="47"/>
        <v>0</v>
      </c>
      <c r="V207" s="218">
        <f t="shared" si="43"/>
        <v>0.13</v>
      </c>
      <c r="W207" s="234">
        <f t="shared" si="44"/>
        <v>0.13</v>
      </c>
      <c r="X207" s="233">
        <f t="shared" si="48"/>
        <v>0</v>
      </c>
      <c r="Y207" s="233">
        <f t="shared" si="45"/>
        <v>0</v>
      </c>
      <c r="Z207" s="233">
        <f t="shared" si="46"/>
        <v>0</v>
      </c>
      <c r="AA207" s="232">
        <f>+Table1[[#This Row],[calculated sale price]]</f>
        <v>0</v>
      </c>
      <c r="AB207" s="231"/>
      <c r="AC207" s="230"/>
      <c r="AD207" s="229"/>
      <c r="AE207" s="229" t="e">
        <f>[5]!Table1[[#This Row],[cost per quantity]]*(1+'[5]P&amp;L'!$P$8)</f>
        <v>#REF!</v>
      </c>
      <c r="AF207" s="229" t="e">
        <f>$AF$8*[5]!Table1[[#This Row],[man minutes]]*(1+'[5]P&amp;L'!$P$9)</f>
        <v>#REF!</v>
      </c>
      <c r="AG207" s="229">
        <f>$AF$8*Table1[[#This Row],[man minutes]]*1.18</f>
        <v>0</v>
      </c>
      <c r="AH207" s="229">
        <f>$AF$8*Table1[[#This Row],[man minutes]]*1.18</f>
        <v>0</v>
      </c>
      <c r="AI207" s="229" t="e">
        <f>Table1[[#This Row],[Food cost w/ MU]]+Table1[[#This Row],[labor cost W/ MU]]</f>
        <v>#REF!</v>
      </c>
      <c r="AJ207" s="228"/>
    </row>
    <row r="208" spans="1:36" x14ac:dyDescent="0.25">
      <c r="A208" s="219">
        <v>10199</v>
      </c>
      <c r="C208" s="219">
        <v>1</v>
      </c>
      <c r="I208" s="219"/>
      <c r="J208" s="219"/>
      <c r="K208" s="219"/>
      <c r="L208" s="223"/>
      <c r="M208" s="219"/>
      <c r="N208" s="227"/>
      <c r="O208" s="226"/>
      <c r="P208" s="226">
        <f>Table1[[#This Row],[unit cost]]*1.065</f>
        <v>0</v>
      </c>
      <c r="Q208" s="224"/>
      <c r="R208" s="219">
        <v>1</v>
      </c>
      <c r="S208" s="235">
        <f t="shared" si="42"/>
        <v>0.42</v>
      </c>
      <c r="T208" s="233">
        <f>Table1[[#This Row],[man minutes]]*Table1[[#This Row],[labor rate]]</f>
        <v>0</v>
      </c>
      <c r="U208" s="233">
        <f t="shared" si="47"/>
        <v>0</v>
      </c>
      <c r="V208" s="218">
        <f t="shared" si="43"/>
        <v>0.13</v>
      </c>
      <c r="W208" s="234">
        <f t="shared" si="44"/>
        <v>0.13</v>
      </c>
      <c r="X208" s="233">
        <f t="shared" si="48"/>
        <v>0</v>
      </c>
      <c r="Y208" s="233">
        <f t="shared" si="45"/>
        <v>0</v>
      </c>
      <c r="Z208" s="233">
        <f t="shared" si="46"/>
        <v>0</v>
      </c>
      <c r="AA208" s="232">
        <f>+Table1[[#This Row],[calculated sale price]]</f>
        <v>0</v>
      </c>
      <c r="AB208" s="231"/>
      <c r="AC208" s="230"/>
      <c r="AD208" s="229"/>
      <c r="AE208" s="229" t="e">
        <f>[5]!Table1[[#This Row],[cost per quantity]]*(1+'[5]P&amp;L'!$P$8)</f>
        <v>#REF!</v>
      </c>
      <c r="AF208" s="229" t="e">
        <f>$AF$8*[5]!Table1[[#This Row],[man minutes]]*(1+'[5]P&amp;L'!$P$9)</f>
        <v>#REF!</v>
      </c>
      <c r="AG208" s="229">
        <f>$AF$8*Table1[[#This Row],[man minutes]]*1.18</f>
        <v>0</v>
      </c>
      <c r="AH208" s="229">
        <f>$AF$8*Table1[[#This Row],[man minutes]]*1.18</f>
        <v>0</v>
      </c>
      <c r="AI208" s="229" t="e">
        <f>Table1[[#This Row],[Food cost w/ MU]]+Table1[[#This Row],[labor cost W/ MU]]</f>
        <v>#REF!</v>
      </c>
      <c r="AJ208" s="228"/>
    </row>
    <row r="209" spans="1:36" x14ac:dyDescent="0.25">
      <c r="A209" s="219">
        <v>10200</v>
      </c>
      <c r="C209" s="219">
        <v>1</v>
      </c>
      <c r="I209" s="219"/>
      <c r="J209" s="219"/>
      <c r="K209" s="219"/>
      <c r="L209" s="223"/>
      <c r="M209" s="219"/>
      <c r="N209" s="227"/>
      <c r="O209" s="226"/>
      <c r="P209" s="226">
        <f>Table1[[#This Row],[unit cost]]*1.065</f>
        <v>0</v>
      </c>
      <c r="Q209" s="224"/>
      <c r="R209" s="219">
        <v>1</v>
      </c>
      <c r="S209" s="235">
        <f t="shared" si="42"/>
        <v>0.42</v>
      </c>
      <c r="T209" s="233">
        <f>Table1[[#This Row],[man minutes]]*Table1[[#This Row],[labor rate]]</f>
        <v>0</v>
      </c>
      <c r="U209" s="233">
        <f t="shared" si="47"/>
        <v>0</v>
      </c>
      <c r="V209" s="218">
        <f t="shared" si="43"/>
        <v>0.13</v>
      </c>
      <c r="W209" s="234">
        <f t="shared" si="44"/>
        <v>0.13</v>
      </c>
      <c r="X209" s="233">
        <f t="shared" si="48"/>
        <v>0</v>
      </c>
      <c r="Y209" s="233">
        <f t="shared" si="45"/>
        <v>0</v>
      </c>
      <c r="Z209" s="233">
        <f t="shared" si="46"/>
        <v>0</v>
      </c>
      <c r="AA209" s="232">
        <f>+Table1[[#This Row],[calculated sale price]]</f>
        <v>0</v>
      </c>
      <c r="AB209" s="231"/>
      <c r="AC209" s="230"/>
      <c r="AD209" s="229"/>
      <c r="AE209" s="229" t="e">
        <f>[5]!Table1[[#This Row],[cost per quantity]]*(1+'[5]P&amp;L'!$P$8)</f>
        <v>#REF!</v>
      </c>
      <c r="AF209" s="229" t="e">
        <f>$AF$8*[5]!Table1[[#This Row],[man minutes]]*(1+'[5]P&amp;L'!$P$9)</f>
        <v>#REF!</v>
      </c>
      <c r="AG209" s="229">
        <f>$AF$8*Table1[[#This Row],[man minutes]]*1.18</f>
        <v>0</v>
      </c>
      <c r="AH209" s="229">
        <f>$AF$8*Table1[[#This Row],[man minutes]]*1.18</f>
        <v>0</v>
      </c>
      <c r="AI209" s="229" t="e">
        <f>Table1[[#This Row],[Food cost w/ MU]]+Table1[[#This Row],[labor cost W/ MU]]</f>
        <v>#REF!</v>
      </c>
      <c r="AJ209" s="228"/>
    </row>
    <row r="210" spans="1:36" x14ac:dyDescent="0.25">
      <c r="A210" s="219">
        <v>10201</v>
      </c>
      <c r="C210" s="219">
        <v>1</v>
      </c>
      <c r="I210" s="219"/>
      <c r="J210" s="219"/>
      <c r="K210" s="219"/>
      <c r="L210" s="223"/>
      <c r="M210" s="219"/>
      <c r="N210" s="227"/>
      <c r="O210" s="226"/>
      <c r="P210" s="226">
        <f>Table1[[#This Row],[unit cost]]*1.065</f>
        <v>0</v>
      </c>
      <c r="Q210" s="224"/>
      <c r="R210" s="219">
        <v>1</v>
      </c>
      <c r="S210" s="235">
        <f t="shared" si="42"/>
        <v>0.42</v>
      </c>
      <c r="T210" s="233">
        <f>Table1[[#This Row],[man minutes]]*Table1[[#This Row],[labor rate]]</f>
        <v>0</v>
      </c>
      <c r="U210" s="233">
        <f t="shared" si="47"/>
        <v>0</v>
      </c>
      <c r="V210" s="218">
        <f t="shared" si="43"/>
        <v>0.13</v>
      </c>
      <c r="W210" s="234">
        <f t="shared" si="44"/>
        <v>0.13</v>
      </c>
      <c r="X210" s="233">
        <f t="shared" si="48"/>
        <v>0</v>
      </c>
      <c r="Y210" s="233">
        <f t="shared" si="45"/>
        <v>0</v>
      </c>
      <c r="Z210" s="233">
        <f t="shared" si="46"/>
        <v>0</v>
      </c>
      <c r="AA210" s="232">
        <f>+Table1[[#This Row],[calculated sale price]]</f>
        <v>0</v>
      </c>
      <c r="AB210" s="231"/>
      <c r="AC210" s="230"/>
      <c r="AD210" s="229"/>
      <c r="AE210" s="229" t="e">
        <f>[5]!Table1[[#This Row],[cost per quantity]]*(1+'[5]P&amp;L'!$P$8)</f>
        <v>#REF!</v>
      </c>
      <c r="AF210" s="229" t="e">
        <f>$AF$8*[5]!Table1[[#This Row],[man minutes]]*(1+'[5]P&amp;L'!$P$9)</f>
        <v>#REF!</v>
      </c>
      <c r="AG210" s="229">
        <f>$AF$8*Table1[[#This Row],[man minutes]]*1.18</f>
        <v>0</v>
      </c>
      <c r="AH210" s="229">
        <f>$AF$8*Table1[[#This Row],[man minutes]]*1.18</f>
        <v>0</v>
      </c>
      <c r="AI210" s="229" t="e">
        <f>Table1[[#This Row],[Food cost w/ MU]]+Table1[[#This Row],[labor cost W/ MU]]</f>
        <v>#REF!</v>
      </c>
      <c r="AJ210" s="228"/>
    </row>
    <row r="211" spans="1:36" x14ac:dyDescent="0.25">
      <c r="A211" s="219">
        <v>10202</v>
      </c>
      <c r="C211" s="219">
        <v>1</v>
      </c>
      <c r="I211" s="219"/>
      <c r="J211" s="219"/>
      <c r="K211" s="219"/>
      <c r="L211" s="223"/>
      <c r="M211" s="219"/>
      <c r="N211" s="227"/>
      <c r="O211" s="226"/>
      <c r="P211" s="226">
        <f>Table1[[#This Row],[unit cost]]*1.065</f>
        <v>0</v>
      </c>
      <c r="Q211" s="224"/>
      <c r="R211" s="219">
        <v>1</v>
      </c>
      <c r="S211" s="235">
        <f t="shared" si="42"/>
        <v>0.42</v>
      </c>
      <c r="T211" s="233">
        <f>Table1[[#This Row],[man minutes]]*Table1[[#This Row],[labor rate]]</f>
        <v>0</v>
      </c>
      <c r="U211" s="233">
        <f t="shared" si="47"/>
        <v>0</v>
      </c>
      <c r="V211" s="218">
        <f t="shared" si="43"/>
        <v>0.13</v>
      </c>
      <c r="W211" s="234">
        <f t="shared" si="44"/>
        <v>0.13</v>
      </c>
      <c r="X211" s="233">
        <f t="shared" si="48"/>
        <v>0</v>
      </c>
      <c r="Y211" s="233">
        <f t="shared" si="45"/>
        <v>0</v>
      </c>
      <c r="Z211" s="233">
        <f t="shared" si="46"/>
        <v>0</v>
      </c>
      <c r="AA211" s="232">
        <f>+Table1[[#This Row],[calculated sale price]]</f>
        <v>0</v>
      </c>
      <c r="AB211" s="231"/>
      <c r="AC211" s="230"/>
      <c r="AD211" s="229"/>
      <c r="AE211" s="229" t="e">
        <f>[5]!Table1[[#This Row],[cost per quantity]]*(1+'[5]P&amp;L'!$P$8)</f>
        <v>#REF!</v>
      </c>
      <c r="AF211" s="229" t="e">
        <f>$AF$8*[5]!Table1[[#This Row],[man minutes]]*(1+'[5]P&amp;L'!$P$9)</f>
        <v>#REF!</v>
      </c>
      <c r="AG211" s="229">
        <f>$AF$8*Table1[[#This Row],[man minutes]]*1.18</f>
        <v>0</v>
      </c>
      <c r="AH211" s="229">
        <f>$AF$8*Table1[[#This Row],[man minutes]]*1.18</f>
        <v>0</v>
      </c>
      <c r="AI211" s="229" t="e">
        <f>Table1[[#This Row],[Food cost w/ MU]]+Table1[[#This Row],[labor cost W/ MU]]</f>
        <v>#REF!</v>
      </c>
      <c r="AJ211" s="228"/>
    </row>
    <row r="212" spans="1:36" x14ac:dyDescent="0.25">
      <c r="A212" s="219">
        <v>10203</v>
      </c>
      <c r="C212" s="219">
        <v>1</v>
      </c>
      <c r="I212" s="219"/>
      <c r="J212" s="219"/>
      <c r="K212" s="219"/>
      <c r="L212" s="223"/>
      <c r="M212" s="219"/>
      <c r="N212" s="227"/>
      <c r="O212" s="226"/>
      <c r="P212" s="226">
        <f>Table1[[#This Row],[unit cost]]*1.065</f>
        <v>0</v>
      </c>
      <c r="Q212" s="224"/>
      <c r="R212" s="219">
        <v>1</v>
      </c>
      <c r="S212" s="235">
        <f t="shared" si="42"/>
        <v>0.42</v>
      </c>
      <c r="T212" s="233">
        <f>Table1[[#This Row],[man minutes]]*Table1[[#This Row],[labor rate]]</f>
        <v>0</v>
      </c>
      <c r="U212" s="233">
        <f t="shared" si="47"/>
        <v>0</v>
      </c>
      <c r="V212" s="218">
        <f t="shared" si="43"/>
        <v>0.13</v>
      </c>
      <c r="W212" s="234">
        <f t="shared" si="44"/>
        <v>0.13</v>
      </c>
      <c r="X212" s="233">
        <f t="shared" si="48"/>
        <v>0</v>
      </c>
      <c r="Y212" s="233">
        <f t="shared" si="45"/>
        <v>0</v>
      </c>
      <c r="Z212" s="233">
        <f t="shared" si="46"/>
        <v>0</v>
      </c>
      <c r="AA212" s="232">
        <f>+Table1[[#This Row],[calculated sale price]]</f>
        <v>0</v>
      </c>
      <c r="AB212" s="231"/>
      <c r="AC212" s="230"/>
      <c r="AD212" s="229"/>
      <c r="AE212" s="229" t="e">
        <f>[5]!Table1[[#This Row],[cost per quantity]]*(1+'[5]P&amp;L'!$P$8)</f>
        <v>#REF!</v>
      </c>
      <c r="AF212" s="229" t="e">
        <f>$AF$8*[5]!Table1[[#This Row],[man minutes]]*(1+'[5]P&amp;L'!$P$9)</f>
        <v>#REF!</v>
      </c>
      <c r="AG212" s="229">
        <f>$AF$8*Table1[[#This Row],[man minutes]]*1.18</f>
        <v>0</v>
      </c>
      <c r="AH212" s="229">
        <f>$AF$8*Table1[[#This Row],[man minutes]]*1.18</f>
        <v>0</v>
      </c>
      <c r="AI212" s="229" t="e">
        <f>Table1[[#This Row],[Food cost w/ MU]]+Table1[[#This Row],[labor cost W/ MU]]</f>
        <v>#REF!</v>
      </c>
      <c r="AJ212" s="228"/>
    </row>
    <row r="213" spans="1:36" x14ac:dyDescent="0.25">
      <c r="A213" s="219">
        <v>10204</v>
      </c>
      <c r="C213" s="219">
        <v>1</v>
      </c>
      <c r="I213" s="219"/>
      <c r="J213" s="219"/>
      <c r="K213" s="219"/>
      <c r="L213" s="223"/>
      <c r="M213" s="219"/>
      <c r="N213" s="227"/>
      <c r="O213" s="226"/>
      <c r="P213" s="226">
        <f>Table1[[#This Row],[unit cost]]*1.065</f>
        <v>0</v>
      </c>
      <c r="Q213" s="224"/>
      <c r="R213" s="219">
        <v>1</v>
      </c>
      <c r="S213" s="235">
        <f t="shared" si="42"/>
        <v>0.42</v>
      </c>
      <c r="T213" s="233">
        <f>Table1[[#This Row],[man minutes]]*Table1[[#This Row],[labor rate]]</f>
        <v>0</v>
      </c>
      <c r="U213" s="233">
        <f t="shared" si="47"/>
        <v>0</v>
      </c>
      <c r="V213" s="218">
        <f t="shared" si="43"/>
        <v>0.13</v>
      </c>
      <c r="W213" s="234">
        <f t="shared" si="44"/>
        <v>0.13</v>
      </c>
      <c r="X213" s="233">
        <f t="shared" si="48"/>
        <v>0</v>
      </c>
      <c r="Y213" s="233">
        <f t="shared" si="45"/>
        <v>0</v>
      </c>
      <c r="Z213" s="233">
        <f t="shared" si="46"/>
        <v>0</v>
      </c>
      <c r="AA213" s="232">
        <f>+Table1[[#This Row],[calculated sale price]]</f>
        <v>0</v>
      </c>
      <c r="AB213" s="231"/>
      <c r="AC213" s="230"/>
      <c r="AD213" s="229"/>
      <c r="AE213" s="229" t="e">
        <f>[5]!Table1[[#This Row],[cost per quantity]]*(1+'[5]P&amp;L'!$P$8)</f>
        <v>#REF!</v>
      </c>
      <c r="AF213" s="229" t="e">
        <f>$AF$8*[5]!Table1[[#This Row],[man minutes]]*(1+'[5]P&amp;L'!$P$9)</f>
        <v>#REF!</v>
      </c>
      <c r="AG213" s="229">
        <f>$AF$8*Table1[[#This Row],[man minutes]]*1.18</f>
        <v>0</v>
      </c>
      <c r="AH213" s="229">
        <f>$AF$8*Table1[[#This Row],[man minutes]]*1.18</f>
        <v>0</v>
      </c>
      <c r="AI213" s="229" t="e">
        <f>Table1[[#This Row],[Food cost w/ MU]]+Table1[[#This Row],[labor cost W/ MU]]</f>
        <v>#REF!</v>
      </c>
      <c r="AJ213" s="228"/>
    </row>
    <row r="214" spans="1:36" x14ac:dyDescent="0.25">
      <c r="A214" s="219">
        <v>10205</v>
      </c>
      <c r="C214" s="219">
        <v>1</v>
      </c>
      <c r="I214" s="219"/>
      <c r="J214" s="219"/>
      <c r="K214" s="219"/>
      <c r="L214" s="223"/>
      <c r="M214" s="219"/>
      <c r="N214" s="227"/>
      <c r="O214" s="226"/>
      <c r="P214" s="226">
        <f>Table1[[#This Row],[unit cost]]*1.065</f>
        <v>0</v>
      </c>
      <c r="Q214" s="224"/>
      <c r="R214" s="219">
        <v>1</v>
      </c>
      <c r="S214" s="235">
        <f t="shared" si="42"/>
        <v>0.42</v>
      </c>
      <c r="T214" s="233">
        <f>Table1[[#This Row],[man minutes]]*Table1[[#This Row],[labor rate]]</f>
        <v>0</v>
      </c>
      <c r="U214" s="233">
        <f t="shared" si="47"/>
        <v>0</v>
      </c>
      <c r="V214" s="218">
        <f t="shared" si="43"/>
        <v>0.13</v>
      </c>
      <c r="W214" s="234">
        <f t="shared" si="44"/>
        <v>0.13</v>
      </c>
      <c r="X214" s="233">
        <f t="shared" si="48"/>
        <v>0</v>
      </c>
      <c r="Y214" s="233">
        <f t="shared" si="45"/>
        <v>0</v>
      </c>
      <c r="Z214" s="233">
        <f t="shared" si="46"/>
        <v>0</v>
      </c>
      <c r="AA214" s="232">
        <f>+Table1[[#This Row],[calculated sale price]]</f>
        <v>0</v>
      </c>
      <c r="AB214" s="231"/>
      <c r="AC214" s="230"/>
      <c r="AD214" s="229"/>
      <c r="AE214" s="229" t="e">
        <f>[5]!Table1[[#This Row],[cost per quantity]]*(1+'[5]P&amp;L'!$P$8)</f>
        <v>#REF!</v>
      </c>
      <c r="AF214" s="229" t="e">
        <f>$AF$8*[5]!Table1[[#This Row],[man minutes]]*(1+'[5]P&amp;L'!$P$9)</f>
        <v>#REF!</v>
      </c>
      <c r="AG214" s="229">
        <f>$AF$8*Table1[[#This Row],[man minutes]]*1.18</f>
        <v>0</v>
      </c>
      <c r="AH214" s="229">
        <f>$AF$8*Table1[[#This Row],[man minutes]]*1.18</f>
        <v>0</v>
      </c>
      <c r="AI214" s="229" t="e">
        <f>Table1[[#This Row],[Food cost w/ MU]]+Table1[[#This Row],[labor cost W/ MU]]</f>
        <v>#REF!</v>
      </c>
      <c r="AJ214" s="228"/>
    </row>
    <row r="215" spans="1:36" x14ac:dyDescent="0.25">
      <c r="A215" s="219">
        <v>10206</v>
      </c>
      <c r="C215" s="219">
        <v>1</v>
      </c>
      <c r="I215" s="219"/>
      <c r="J215" s="219"/>
      <c r="K215" s="219"/>
      <c r="L215" s="223"/>
      <c r="M215" s="219"/>
      <c r="N215" s="227"/>
      <c r="O215" s="226"/>
      <c r="P215" s="226">
        <f>Table1[[#This Row],[unit cost]]*1.065</f>
        <v>0</v>
      </c>
      <c r="Q215" s="224"/>
      <c r="R215" s="219">
        <v>1</v>
      </c>
      <c r="S215" s="235">
        <f t="shared" si="42"/>
        <v>0.42</v>
      </c>
      <c r="T215" s="233">
        <f>Table1[[#This Row],[man minutes]]*Table1[[#This Row],[labor rate]]</f>
        <v>0</v>
      </c>
      <c r="U215" s="233">
        <f t="shared" si="47"/>
        <v>0</v>
      </c>
      <c r="V215" s="218">
        <f t="shared" si="43"/>
        <v>0.13</v>
      </c>
      <c r="W215" s="234">
        <f t="shared" si="44"/>
        <v>0.13</v>
      </c>
      <c r="X215" s="233">
        <f t="shared" si="48"/>
        <v>0</v>
      </c>
      <c r="Y215" s="233">
        <f t="shared" si="45"/>
        <v>0</v>
      </c>
      <c r="Z215" s="233">
        <f t="shared" si="46"/>
        <v>0</v>
      </c>
      <c r="AA215" s="232">
        <f>+Table1[[#This Row],[calculated sale price]]</f>
        <v>0</v>
      </c>
      <c r="AB215" s="231"/>
      <c r="AC215" s="230"/>
      <c r="AD215" s="229"/>
      <c r="AE215" s="229" t="e">
        <f>[5]!Table1[[#This Row],[cost per quantity]]*(1+'[5]P&amp;L'!$P$8)</f>
        <v>#REF!</v>
      </c>
      <c r="AF215" s="229" t="e">
        <f>$AF$8*[5]!Table1[[#This Row],[man minutes]]*(1+'[5]P&amp;L'!$P$9)</f>
        <v>#REF!</v>
      </c>
      <c r="AG215" s="229">
        <f>$AF$8*Table1[[#This Row],[man minutes]]*1.18</f>
        <v>0</v>
      </c>
      <c r="AH215" s="229">
        <f>$AF$8*Table1[[#This Row],[man minutes]]*1.18</f>
        <v>0</v>
      </c>
      <c r="AI215" s="229" t="e">
        <f>Table1[[#This Row],[Food cost w/ MU]]+Table1[[#This Row],[labor cost W/ MU]]</f>
        <v>#REF!</v>
      </c>
      <c r="AJ215" s="228"/>
    </row>
    <row r="216" spans="1:36" x14ac:dyDescent="0.25">
      <c r="A216" s="219">
        <v>10207</v>
      </c>
      <c r="C216" s="219">
        <v>1</v>
      </c>
      <c r="I216" s="219"/>
      <c r="J216" s="219"/>
      <c r="K216" s="219"/>
      <c r="L216" s="223"/>
      <c r="M216" s="219"/>
      <c r="N216" s="227"/>
      <c r="O216" s="226"/>
      <c r="P216" s="226">
        <f>Table1[[#This Row],[unit cost]]*1.065</f>
        <v>0</v>
      </c>
      <c r="Q216" s="224"/>
      <c r="R216" s="219">
        <v>1</v>
      </c>
      <c r="S216" s="235">
        <f t="shared" si="42"/>
        <v>0.42</v>
      </c>
      <c r="T216" s="233">
        <f>Table1[[#This Row],[man minutes]]*Table1[[#This Row],[labor rate]]</f>
        <v>0</v>
      </c>
      <c r="U216" s="233">
        <f t="shared" si="47"/>
        <v>0</v>
      </c>
      <c r="V216" s="218">
        <f t="shared" si="43"/>
        <v>0.13</v>
      </c>
      <c r="W216" s="234">
        <f t="shared" si="44"/>
        <v>0.13</v>
      </c>
      <c r="X216" s="233">
        <f t="shared" si="48"/>
        <v>0</v>
      </c>
      <c r="Y216" s="233">
        <f t="shared" si="45"/>
        <v>0</v>
      </c>
      <c r="Z216" s="233">
        <f t="shared" si="46"/>
        <v>0</v>
      </c>
      <c r="AA216" s="232">
        <f>+Table1[[#This Row],[calculated sale price]]</f>
        <v>0</v>
      </c>
      <c r="AB216" s="231"/>
      <c r="AC216" s="230"/>
      <c r="AD216" s="229"/>
      <c r="AE216" s="229" t="e">
        <f>[5]!Table1[[#This Row],[cost per quantity]]*(1+'[5]P&amp;L'!$P$8)</f>
        <v>#REF!</v>
      </c>
      <c r="AF216" s="229" t="e">
        <f>$AF$8*[5]!Table1[[#This Row],[man minutes]]*(1+'[5]P&amp;L'!$P$9)</f>
        <v>#REF!</v>
      </c>
      <c r="AG216" s="229">
        <f>$AF$8*Table1[[#This Row],[man minutes]]*1.18</f>
        <v>0</v>
      </c>
      <c r="AH216" s="229">
        <f>$AF$8*Table1[[#This Row],[man minutes]]*1.18</f>
        <v>0</v>
      </c>
      <c r="AI216" s="229" t="e">
        <f>Table1[[#This Row],[Food cost w/ MU]]+Table1[[#This Row],[labor cost W/ MU]]</f>
        <v>#REF!</v>
      </c>
      <c r="AJ216" s="228"/>
    </row>
    <row r="217" spans="1:36" x14ac:dyDescent="0.25">
      <c r="A217" s="219">
        <v>10208</v>
      </c>
      <c r="C217" s="219">
        <v>1</v>
      </c>
      <c r="I217" s="219"/>
      <c r="J217" s="219"/>
      <c r="K217" s="219"/>
      <c r="L217" s="223"/>
      <c r="M217" s="219"/>
      <c r="N217" s="227"/>
      <c r="O217" s="226"/>
      <c r="P217" s="226">
        <f>Table1[[#This Row],[unit cost]]*1.065</f>
        <v>0</v>
      </c>
      <c r="Q217" s="224"/>
      <c r="R217" s="219">
        <v>1</v>
      </c>
      <c r="S217" s="235">
        <f t="shared" si="42"/>
        <v>0.42</v>
      </c>
      <c r="T217" s="233">
        <f>Table1[[#This Row],[man minutes]]*Table1[[#This Row],[labor rate]]</f>
        <v>0</v>
      </c>
      <c r="U217" s="233">
        <f t="shared" si="47"/>
        <v>0</v>
      </c>
      <c r="V217" s="218">
        <f t="shared" si="43"/>
        <v>0.13</v>
      </c>
      <c r="W217" s="234">
        <f t="shared" si="44"/>
        <v>0.13</v>
      </c>
      <c r="X217" s="233">
        <f t="shared" si="48"/>
        <v>0</v>
      </c>
      <c r="Y217" s="233">
        <f t="shared" si="45"/>
        <v>0</v>
      </c>
      <c r="Z217" s="233">
        <f t="shared" si="46"/>
        <v>0</v>
      </c>
      <c r="AA217" s="232">
        <f>+Table1[[#This Row],[calculated sale price]]</f>
        <v>0</v>
      </c>
      <c r="AB217" s="231"/>
      <c r="AC217" s="230"/>
      <c r="AD217" s="229"/>
      <c r="AE217" s="229" t="e">
        <f>[5]!Table1[[#This Row],[cost per quantity]]*(1+'[5]P&amp;L'!$P$8)</f>
        <v>#REF!</v>
      </c>
      <c r="AF217" s="229" t="e">
        <f>$AF$8*[5]!Table1[[#This Row],[man minutes]]*(1+'[5]P&amp;L'!$P$9)</f>
        <v>#REF!</v>
      </c>
      <c r="AG217" s="229">
        <f>$AF$8*Table1[[#This Row],[man minutes]]*1.18</f>
        <v>0</v>
      </c>
      <c r="AH217" s="229">
        <f>$AF$8*Table1[[#This Row],[man minutes]]*1.18</f>
        <v>0</v>
      </c>
      <c r="AI217" s="229" t="e">
        <f>Table1[[#This Row],[Food cost w/ MU]]+Table1[[#This Row],[labor cost W/ MU]]</f>
        <v>#REF!</v>
      </c>
      <c r="AJ217" s="228"/>
    </row>
    <row r="218" spans="1:36" x14ac:dyDescent="0.25">
      <c r="A218" s="219">
        <v>10209</v>
      </c>
      <c r="C218" s="219">
        <v>1</v>
      </c>
      <c r="I218" s="219"/>
      <c r="J218" s="219"/>
      <c r="K218" s="219"/>
      <c r="L218" s="223"/>
      <c r="M218" s="219"/>
      <c r="N218" s="227"/>
      <c r="O218" s="226"/>
      <c r="P218" s="226">
        <f>Table1[[#This Row],[unit cost]]*1.065</f>
        <v>0</v>
      </c>
      <c r="Q218" s="224"/>
      <c r="R218" s="219">
        <v>1</v>
      </c>
      <c r="S218" s="235">
        <f t="shared" si="42"/>
        <v>0.42</v>
      </c>
      <c r="T218" s="233">
        <f>Table1[[#This Row],[man minutes]]*Table1[[#This Row],[labor rate]]</f>
        <v>0</v>
      </c>
      <c r="U218" s="233">
        <f t="shared" si="47"/>
        <v>0</v>
      </c>
      <c r="V218" s="218">
        <f t="shared" si="43"/>
        <v>0.13</v>
      </c>
      <c r="W218" s="234">
        <f t="shared" si="44"/>
        <v>0.13</v>
      </c>
      <c r="X218" s="233">
        <f t="shared" si="48"/>
        <v>0</v>
      </c>
      <c r="Y218" s="233">
        <f t="shared" si="45"/>
        <v>0</v>
      </c>
      <c r="Z218" s="233">
        <f t="shared" si="46"/>
        <v>0</v>
      </c>
      <c r="AA218" s="232">
        <f>+Table1[[#This Row],[calculated sale price]]</f>
        <v>0</v>
      </c>
      <c r="AB218" s="231"/>
      <c r="AC218" s="230"/>
      <c r="AD218" s="229"/>
      <c r="AE218" s="229" t="e">
        <f>[5]!Table1[[#This Row],[cost per quantity]]*(1+'[5]P&amp;L'!$P$8)</f>
        <v>#REF!</v>
      </c>
      <c r="AF218" s="229" t="e">
        <f>$AF$8*[5]!Table1[[#This Row],[man minutes]]*(1+'[5]P&amp;L'!$P$9)</f>
        <v>#REF!</v>
      </c>
      <c r="AG218" s="229">
        <f>$AF$8*Table1[[#This Row],[man minutes]]*1.18</f>
        <v>0</v>
      </c>
      <c r="AH218" s="229">
        <f>$AF$8*Table1[[#This Row],[man minutes]]*1.18</f>
        <v>0</v>
      </c>
      <c r="AI218" s="229" t="e">
        <f>Table1[[#This Row],[Food cost w/ MU]]+Table1[[#This Row],[labor cost W/ MU]]</f>
        <v>#REF!</v>
      </c>
      <c r="AJ218" s="228"/>
    </row>
    <row r="219" spans="1:36" x14ac:dyDescent="0.25">
      <c r="A219" s="219">
        <v>10210</v>
      </c>
      <c r="C219" s="219">
        <v>1</v>
      </c>
      <c r="I219" s="219"/>
      <c r="J219" s="219"/>
      <c r="K219" s="219"/>
      <c r="L219" s="223"/>
      <c r="M219" s="219"/>
      <c r="N219" s="227"/>
      <c r="O219" s="226"/>
      <c r="P219" s="226">
        <f>Table1[[#This Row],[unit cost]]*1.065</f>
        <v>0</v>
      </c>
      <c r="Q219" s="224"/>
      <c r="R219" s="219">
        <v>1</v>
      </c>
      <c r="S219" s="235">
        <f t="shared" si="42"/>
        <v>0.42</v>
      </c>
      <c r="T219" s="233">
        <f>Table1[[#This Row],[man minutes]]*Table1[[#This Row],[labor rate]]</f>
        <v>0</v>
      </c>
      <c r="U219" s="233">
        <f t="shared" si="47"/>
        <v>0</v>
      </c>
      <c r="V219" s="218">
        <f t="shared" si="43"/>
        <v>0.13</v>
      </c>
      <c r="W219" s="234">
        <f t="shared" si="44"/>
        <v>0.13</v>
      </c>
      <c r="X219" s="233">
        <f t="shared" si="48"/>
        <v>0</v>
      </c>
      <c r="Y219" s="233">
        <f t="shared" si="45"/>
        <v>0</v>
      </c>
      <c r="Z219" s="233">
        <f t="shared" si="46"/>
        <v>0</v>
      </c>
      <c r="AA219" s="232">
        <f>+Table1[[#This Row],[calculated sale price]]</f>
        <v>0</v>
      </c>
      <c r="AB219" s="231"/>
      <c r="AC219" s="230"/>
      <c r="AD219" s="229"/>
      <c r="AE219" s="229" t="e">
        <f>[5]!Table1[[#This Row],[cost per quantity]]*(1+'[5]P&amp;L'!$P$8)</f>
        <v>#REF!</v>
      </c>
      <c r="AF219" s="229" t="e">
        <f>$AF$8*[5]!Table1[[#This Row],[man minutes]]*(1+'[5]P&amp;L'!$P$9)</f>
        <v>#REF!</v>
      </c>
      <c r="AG219" s="229">
        <f>$AF$8*Table1[[#This Row],[man minutes]]*1.18</f>
        <v>0</v>
      </c>
      <c r="AH219" s="229">
        <f>$AF$8*Table1[[#This Row],[man minutes]]*1.18</f>
        <v>0</v>
      </c>
      <c r="AI219" s="229" t="e">
        <f>Table1[[#This Row],[Food cost w/ MU]]+Table1[[#This Row],[labor cost W/ MU]]</f>
        <v>#REF!</v>
      </c>
      <c r="AJ219" s="228"/>
    </row>
    <row r="220" spans="1:36" x14ac:dyDescent="0.25">
      <c r="A220" s="219">
        <v>10211</v>
      </c>
      <c r="C220" s="219">
        <v>1</v>
      </c>
      <c r="I220" s="219"/>
      <c r="J220" s="219"/>
      <c r="K220" s="219"/>
      <c r="L220" s="223"/>
      <c r="M220" s="219"/>
      <c r="N220" s="227"/>
      <c r="O220" s="226"/>
      <c r="P220" s="226">
        <f>Table1[[#This Row],[unit cost]]*1.065</f>
        <v>0</v>
      </c>
      <c r="Q220" s="224"/>
      <c r="R220" s="219">
        <v>1</v>
      </c>
      <c r="S220" s="235">
        <f t="shared" si="42"/>
        <v>0.42</v>
      </c>
      <c r="T220" s="233">
        <f>Table1[[#This Row],[man minutes]]*Table1[[#This Row],[labor rate]]</f>
        <v>0</v>
      </c>
      <c r="U220" s="233">
        <f t="shared" si="47"/>
        <v>0</v>
      </c>
      <c r="V220" s="218">
        <f t="shared" si="43"/>
        <v>0.13</v>
      </c>
      <c r="W220" s="234">
        <f t="shared" si="44"/>
        <v>0.13</v>
      </c>
      <c r="X220" s="233">
        <f t="shared" si="48"/>
        <v>0</v>
      </c>
      <c r="Y220" s="233">
        <f t="shared" si="45"/>
        <v>0</v>
      </c>
      <c r="Z220" s="233">
        <f t="shared" si="46"/>
        <v>0</v>
      </c>
      <c r="AA220" s="232">
        <f>+Table1[[#This Row],[calculated sale price]]</f>
        <v>0</v>
      </c>
      <c r="AB220" s="231"/>
      <c r="AC220" s="230"/>
      <c r="AD220" s="229"/>
      <c r="AE220" s="229" t="e">
        <f>[5]!Table1[[#This Row],[cost per quantity]]*(1+'[5]P&amp;L'!$P$8)</f>
        <v>#REF!</v>
      </c>
      <c r="AF220" s="229" t="e">
        <f>$AF$8*[5]!Table1[[#This Row],[man minutes]]*(1+'[5]P&amp;L'!$P$9)</f>
        <v>#REF!</v>
      </c>
      <c r="AG220" s="229">
        <f>$AF$8*Table1[[#This Row],[man minutes]]*1.18</f>
        <v>0</v>
      </c>
      <c r="AH220" s="229">
        <f>$AF$8*Table1[[#This Row],[man minutes]]*1.18</f>
        <v>0</v>
      </c>
      <c r="AI220" s="229" t="e">
        <f>Table1[[#This Row],[Food cost w/ MU]]+Table1[[#This Row],[labor cost W/ MU]]</f>
        <v>#REF!</v>
      </c>
      <c r="AJ220" s="228"/>
    </row>
    <row r="221" spans="1:36" x14ac:dyDescent="0.25">
      <c r="A221" s="219">
        <v>10212</v>
      </c>
      <c r="C221" s="219">
        <v>1</v>
      </c>
      <c r="I221" s="219"/>
      <c r="J221" s="219"/>
      <c r="K221" s="219"/>
      <c r="L221" s="223"/>
      <c r="M221" s="219"/>
      <c r="N221" s="227"/>
      <c r="O221" s="226"/>
      <c r="P221" s="226">
        <f>Table1[[#This Row],[unit cost]]*1.065</f>
        <v>0</v>
      </c>
      <c r="Q221" s="224"/>
      <c r="R221" s="219">
        <v>1</v>
      </c>
      <c r="S221" s="235">
        <f t="shared" si="42"/>
        <v>0.42</v>
      </c>
      <c r="T221" s="233">
        <f>Table1[[#This Row],[man minutes]]*Table1[[#This Row],[labor rate]]</f>
        <v>0</v>
      </c>
      <c r="U221" s="233">
        <f t="shared" si="47"/>
        <v>0</v>
      </c>
      <c r="V221" s="218">
        <f t="shared" si="43"/>
        <v>0.13</v>
      </c>
      <c r="W221" s="234">
        <f t="shared" si="44"/>
        <v>0.13</v>
      </c>
      <c r="X221" s="233">
        <f t="shared" si="48"/>
        <v>0</v>
      </c>
      <c r="Y221" s="233">
        <f t="shared" si="45"/>
        <v>0</v>
      </c>
      <c r="Z221" s="233">
        <f t="shared" si="46"/>
        <v>0</v>
      </c>
      <c r="AA221" s="232">
        <f>+Table1[[#This Row],[calculated sale price]]</f>
        <v>0</v>
      </c>
      <c r="AB221" s="231"/>
      <c r="AC221" s="230"/>
      <c r="AD221" s="229"/>
      <c r="AE221" s="229" t="e">
        <f>[5]!Table1[[#This Row],[cost per quantity]]*(1+'[5]P&amp;L'!$P$8)</f>
        <v>#REF!</v>
      </c>
      <c r="AF221" s="229" t="e">
        <f>$AF$8*[5]!Table1[[#This Row],[man minutes]]*(1+'[5]P&amp;L'!$P$9)</f>
        <v>#REF!</v>
      </c>
      <c r="AG221" s="229">
        <f>$AF$8*Table1[[#This Row],[man minutes]]*1.18</f>
        <v>0</v>
      </c>
      <c r="AH221" s="229">
        <f>$AF$8*Table1[[#This Row],[man minutes]]*1.18</f>
        <v>0</v>
      </c>
      <c r="AI221" s="229" t="e">
        <f>Table1[[#This Row],[Food cost w/ MU]]+Table1[[#This Row],[labor cost W/ MU]]</f>
        <v>#REF!</v>
      </c>
      <c r="AJ221" s="228"/>
    </row>
    <row r="222" spans="1:36" x14ac:dyDescent="0.25">
      <c r="A222" s="219">
        <v>10213</v>
      </c>
      <c r="C222" s="219">
        <v>1</v>
      </c>
      <c r="I222" s="219"/>
      <c r="J222" s="219"/>
      <c r="K222" s="219"/>
      <c r="L222" s="223"/>
      <c r="M222" s="219"/>
      <c r="N222" s="227"/>
      <c r="O222" s="226"/>
      <c r="P222" s="226">
        <f>Table1[[#This Row],[unit cost]]*1.065</f>
        <v>0</v>
      </c>
      <c r="Q222" s="224"/>
      <c r="R222" s="219">
        <v>1</v>
      </c>
      <c r="S222" s="235">
        <f t="shared" si="42"/>
        <v>0.42</v>
      </c>
      <c r="T222" s="233">
        <f>Table1[[#This Row],[man minutes]]*Table1[[#This Row],[labor rate]]</f>
        <v>0</v>
      </c>
      <c r="U222" s="233">
        <f t="shared" si="47"/>
        <v>0</v>
      </c>
      <c r="V222" s="218">
        <f t="shared" si="43"/>
        <v>0.13</v>
      </c>
      <c r="W222" s="234">
        <f t="shared" si="44"/>
        <v>0.13</v>
      </c>
      <c r="X222" s="233">
        <f t="shared" si="48"/>
        <v>0</v>
      </c>
      <c r="Y222" s="233">
        <f t="shared" si="45"/>
        <v>0</v>
      </c>
      <c r="Z222" s="233">
        <f t="shared" si="46"/>
        <v>0</v>
      </c>
      <c r="AA222" s="232">
        <f>+Table1[[#This Row],[calculated sale price]]</f>
        <v>0</v>
      </c>
      <c r="AB222" s="231"/>
      <c r="AC222" s="230"/>
      <c r="AD222" s="229"/>
      <c r="AE222" s="229" t="e">
        <f>[5]!Table1[[#This Row],[cost per quantity]]*(1+'[5]P&amp;L'!$P$8)</f>
        <v>#REF!</v>
      </c>
      <c r="AF222" s="229" t="e">
        <f>$AF$8*[5]!Table1[[#This Row],[man minutes]]*(1+'[5]P&amp;L'!$P$9)</f>
        <v>#REF!</v>
      </c>
      <c r="AG222" s="229">
        <f>$AF$8*Table1[[#This Row],[man minutes]]*1.18</f>
        <v>0</v>
      </c>
      <c r="AH222" s="229">
        <f>$AF$8*Table1[[#This Row],[man minutes]]*1.18</f>
        <v>0</v>
      </c>
      <c r="AI222" s="229" t="e">
        <f>Table1[[#This Row],[Food cost w/ MU]]+Table1[[#This Row],[labor cost W/ MU]]</f>
        <v>#REF!</v>
      </c>
      <c r="AJ222" s="228"/>
    </row>
    <row r="223" spans="1:36" x14ac:dyDescent="0.25">
      <c r="A223" s="219">
        <v>10214</v>
      </c>
      <c r="C223" s="219">
        <v>1</v>
      </c>
      <c r="I223" s="219"/>
      <c r="J223" s="219"/>
      <c r="K223" s="219"/>
      <c r="L223" s="223"/>
      <c r="M223" s="219"/>
      <c r="N223" s="227"/>
      <c r="O223" s="226"/>
      <c r="P223" s="226">
        <f>Table1[[#This Row],[unit cost]]*1.065</f>
        <v>0</v>
      </c>
      <c r="Q223" s="224"/>
      <c r="R223" s="219">
        <v>1</v>
      </c>
      <c r="S223" s="235">
        <f t="shared" si="42"/>
        <v>0.42</v>
      </c>
      <c r="T223" s="233">
        <f>Table1[[#This Row],[man minutes]]*Table1[[#This Row],[labor rate]]</f>
        <v>0</v>
      </c>
      <c r="U223" s="233">
        <f t="shared" si="47"/>
        <v>0</v>
      </c>
      <c r="V223" s="218">
        <f t="shared" si="43"/>
        <v>0.13</v>
      </c>
      <c r="W223" s="234">
        <f t="shared" si="44"/>
        <v>0.13</v>
      </c>
      <c r="X223" s="233">
        <f t="shared" si="48"/>
        <v>0</v>
      </c>
      <c r="Y223" s="233">
        <f t="shared" si="45"/>
        <v>0</v>
      </c>
      <c r="Z223" s="233">
        <f t="shared" si="46"/>
        <v>0</v>
      </c>
      <c r="AA223" s="232">
        <f>+Table1[[#This Row],[calculated sale price]]</f>
        <v>0</v>
      </c>
      <c r="AB223" s="231"/>
      <c r="AC223" s="230"/>
      <c r="AD223" s="229"/>
      <c r="AE223" s="229" t="e">
        <f>[5]!Table1[[#This Row],[cost per quantity]]*(1+'[5]P&amp;L'!$P$8)</f>
        <v>#REF!</v>
      </c>
      <c r="AF223" s="229" t="e">
        <f>$AF$8*[5]!Table1[[#This Row],[man minutes]]*(1+'[5]P&amp;L'!$P$9)</f>
        <v>#REF!</v>
      </c>
      <c r="AG223" s="229">
        <f>$AF$8*Table1[[#This Row],[man minutes]]*1.18</f>
        <v>0</v>
      </c>
      <c r="AH223" s="229">
        <f>$AF$8*Table1[[#This Row],[man minutes]]*1.18</f>
        <v>0</v>
      </c>
      <c r="AI223" s="229" t="e">
        <f>Table1[[#This Row],[Food cost w/ MU]]+Table1[[#This Row],[labor cost W/ MU]]</f>
        <v>#REF!</v>
      </c>
      <c r="AJ223" s="228"/>
    </row>
    <row r="224" spans="1:36" x14ac:dyDescent="0.25">
      <c r="A224" s="219">
        <v>10215</v>
      </c>
      <c r="C224" s="219">
        <v>1</v>
      </c>
      <c r="I224" s="219"/>
      <c r="J224" s="219"/>
      <c r="K224" s="219"/>
      <c r="L224" s="223"/>
      <c r="M224" s="219"/>
      <c r="N224" s="227"/>
      <c r="O224" s="226"/>
      <c r="P224" s="226">
        <f>Table1[[#This Row],[unit cost]]*1.065</f>
        <v>0</v>
      </c>
      <c r="Q224" s="224"/>
      <c r="R224" s="219">
        <v>1</v>
      </c>
      <c r="S224" s="235">
        <f t="shared" si="42"/>
        <v>0.42</v>
      </c>
      <c r="T224" s="233">
        <f>Table1[[#This Row],[man minutes]]*Table1[[#This Row],[labor rate]]</f>
        <v>0</v>
      </c>
      <c r="U224" s="233">
        <f t="shared" si="47"/>
        <v>0</v>
      </c>
      <c r="V224" s="218">
        <f t="shared" si="43"/>
        <v>0.13</v>
      </c>
      <c r="W224" s="234">
        <f t="shared" si="44"/>
        <v>0.13</v>
      </c>
      <c r="X224" s="233">
        <f t="shared" si="48"/>
        <v>0</v>
      </c>
      <c r="Y224" s="233">
        <f t="shared" si="45"/>
        <v>0</v>
      </c>
      <c r="Z224" s="233">
        <f t="shared" si="46"/>
        <v>0</v>
      </c>
      <c r="AA224" s="232">
        <f>+Table1[[#This Row],[calculated sale price]]</f>
        <v>0</v>
      </c>
      <c r="AB224" s="231"/>
      <c r="AC224" s="230"/>
      <c r="AD224" s="229"/>
      <c r="AE224" s="229" t="e">
        <f>[5]!Table1[[#This Row],[cost per quantity]]*(1+'[5]P&amp;L'!$P$8)</f>
        <v>#REF!</v>
      </c>
      <c r="AF224" s="229" t="e">
        <f>$AF$8*[5]!Table1[[#This Row],[man minutes]]*(1+'[5]P&amp;L'!$P$9)</f>
        <v>#REF!</v>
      </c>
      <c r="AG224" s="229">
        <f>$AF$8*Table1[[#This Row],[man minutes]]*1.18</f>
        <v>0</v>
      </c>
      <c r="AH224" s="229">
        <f>$AF$8*Table1[[#This Row],[man minutes]]*1.18</f>
        <v>0</v>
      </c>
      <c r="AI224" s="229" t="e">
        <f>Table1[[#This Row],[Food cost w/ MU]]+Table1[[#This Row],[labor cost W/ MU]]</f>
        <v>#REF!</v>
      </c>
      <c r="AJ224" s="228"/>
    </row>
    <row r="225" spans="1:36" x14ac:dyDescent="0.25">
      <c r="A225" s="219">
        <v>10216</v>
      </c>
      <c r="C225" s="219">
        <v>1</v>
      </c>
      <c r="I225" s="219"/>
      <c r="J225" s="219"/>
      <c r="K225" s="219"/>
      <c r="L225" s="223"/>
      <c r="M225" s="219"/>
      <c r="N225" s="227"/>
      <c r="O225" s="226"/>
      <c r="P225" s="226">
        <f>Table1[[#This Row],[unit cost]]*1.065</f>
        <v>0</v>
      </c>
      <c r="Q225" s="224"/>
      <c r="R225" s="219">
        <v>1</v>
      </c>
      <c r="S225" s="235">
        <f t="shared" ref="S225:S234" si="49">$S$2</f>
        <v>0.42</v>
      </c>
      <c r="T225" s="233">
        <f>Table1[[#This Row],[man minutes]]*Table1[[#This Row],[labor rate]]</f>
        <v>0</v>
      </c>
      <c r="U225" s="233">
        <f t="shared" si="47"/>
        <v>0</v>
      </c>
      <c r="V225" s="218">
        <f t="shared" ref="V225:V234" si="50">$V$2</f>
        <v>0.13</v>
      </c>
      <c r="W225" s="234">
        <f t="shared" ref="W225:W234" si="51">$W$2</f>
        <v>0.13</v>
      </c>
      <c r="X225" s="233">
        <f t="shared" si="48"/>
        <v>0</v>
      </c>
      <c r="Y225" s="233">
        <f t="shared" ref="Y225:Y234" si="52">T225+(T225*W225)</f>
        <v>0</v>
      </c>
      <c r="Z225" s="233">
        <f t="shared" ref="Z225:Z234" si="53">IFERROR(ROUNDUP(X225+Y225,2)," ")</f>
        <v>0</v>
      </c>
      <c r="AA225" s="232">
        <f>+Table1[[#This Row],[calculated sale price]]</f>
        <v>0</v>
      </c>
      <c r="AB225" s="231"/>
      <c r="AC225" s="230"/>
      <c r="AD225" s="229"/>
      <c r="AE225" s="229" t="e">
        <f>[5]!Table1[[#This Row],[cost per quantity]]*(1+'[5]P&amp;L'!$P$8)</f>
        <v>#REF!</v>
      </c>
      <c r="AF225" s="229" t="e">
        <f>$AF$8*[5]!Table1[[#This Row],[man minutes]]*(1+'[5]P&amp;L'!$P$9)</f>
        <v>#REF!</v>
      </c>
      <c r="AG225" s="229">
        <f>$AF$8*Table1[[#This Row],[man minutes]]*1.18</f>
        <v>0</v>
      </c>
      <c r="AH225" s="229">
        <f>$AF$8*Table1[[#This Row],[man minutes]]*1.18</f>
        <v>0</v>
      </c>
      <c r="AI225" s="229" t="e">
        <f>Table1[[#This Row],[Food cost w/ MU]]+Table1[[#This Row],[labor cost W/ MU]]</f>
        <v>#REF!</v>
      </c>
      <c r="AJ225" s="228"/>
    </row>
    <row r="226" spans="1:36" x14ac:dyDescent="0.25">
      <c r="A226" s="219">
        <v>10217</v>
      </c>
      <c r="C226" s="219">
        <v>1</v>
      </c>
      <c r="I226" s="219"/>
      <c r="J226" s="219"/>
      <c r="K226" s="219"/>
      <c r="L226" s="223"/>
      <c r="M226" s="219"/>
      <c r="N226" s="227"/>
      <c r="O226" s="226"/>
      <c r="P226" s="226">
        <f>Table1[[#This Row],[unit cost]]*1.065</f>
        <v>0</v>
      </c>
      <c r="Q226" s="224"/>
      <c r="R226" s="219">
        <v>1</v>
      </c>
      <c r="S226" s="235">
        <f t="shared" si="49"/>
        <v>0.42</v>
      </c>
      <c r="T226" s="233">
        <f>Table1[[#This Row],[man minutes]]*Table1[[#This Row],[labor rate]]</f>
        <v>0</v>
      </c>
      <c r="U226" s="233">
        <f t="shared" ref="U226:U234" si="54">P226+T226</f>
        <v>0</v>
      </c>
      <c r="V226" s="218">
        <f t="shared" si="50"/>
        <v>0.13</v>
      </c>
      <c r="W226" s="234">
        <f t="shared" si="51"/>
        <v>0.13</v>
      </c>
      <c r="X226" s="233">
        <f t="shared" ref="X226:X234" si="55">P226*(1+V226)</f>
        <v>0</v>
      </c>
      <c r="Y226" s="233">
        <f t="shared" si="52"/>
        <v>0</v>
      </c>
      <c r="Z226" s="233">
        <f t="shared" si="53"/>
        <v>0</v>
      </c>
      <c r="AA226" s="232">
        <f>+Table1[[#This Row],[calculated sale price]]</f>
        <v>0</v>
      </c>
      <c r="AB226" s="231"/>
      <c r="AC226" s="230"/>
      <c r="AD226" s="229"/>
      <c r="AE226" s="229" t="e">
        <f>[5]!Table1[[#This Row],[cost per quantity]]*(1+'[5]P&amp;L'!$P$8)</f>
        <v>#REF!</v>
      </c>
      <c r="AF226" s="229" t="e">
        <f>$AF$8*[5]!Table1[[#This Row],[man minutes]]*(1+'[5]P&amp;L'!$P$9)</f>
        <v>#REF!</v>
      </c>
      <c r="AG226" s="229">
        <f>$AF$8*Table1[[#This Row],[man minutes]]*1.18</f>
        <v>0</v>
      </c>
      <c r="AH226" s="229">
        <f>$AF$8*Table1[[#This Row],[man minutes]]*1.18</f>
        <v>0</v>
      </c>
      <c r="AI226" s="229" t="e">
        <f>Table1[[#This Row],[Food cost w/ MU]]+Table1[[#This Row],[labor cost W/ MU]]</f>
        <v>#REF!</v>
      </c>
      <c r="AJ226" s="228"/>
    </row>
    <row r="227" spans="1:36" x14ac:dyDescent="0.25">
      <c r="A227" s="219">
        <v>10218</v>
      </c>
      <c r="C227" s="219">
        <v>1</v>
      </c>
      <c r="I227" s="219"/>
      <c r="J227" s="219"/>
      <c r="K227" s="219"/>
      <c r="L227" s="223"/>
      <c r="M227" s="219"/>
      <c r="N227" s="227"/>
      <c r="O227" s="226"/>
      <c r="P227" s="226">
        <f>Table1[[#This Row],[unit cost]]*1.065</f>
        <v>0</v>
      </c>
      <c r="Q227" s="224"/>
      <c r="R227" s="219">
        <v>1</v>
      </c>
      <c r="S227" s="235">
        <f t="shared" si="49"/>
        <v>0.42</v>
      </c>
      <c r="T227" s="233">
        <f>Table1[[#This Row],[man minutes]]*Table1[[#This Row],[labor rate]]</f>
        <v>0</v>
      </c>
      <c r="U227" s="233">
        <f t="shared" si="54"/>
        <v>0</v>
      </c>
      <c r="V227" s="218">
        <f t="shared" si="50"/>
        <v>0.13</v>
      </c>
      <c r="W227" s="234">
        <f t="shared" si="51"/>
        <v>0.13</v>
      </c>
      <c r="X227" s="233">
        <f t="shared" si="55"/>
        <v>0</v>
      </c>
      <c r="Y227" s="233">
        <f t="shared" si="52"/>
        <v>0</v>
      </c>
      <c r="Z227" s="233">
        <f t="shared" si="53"/>
        <v>0</v>
      </c>
      <c r="AA227" s="232">
        <f>+Table1[[#This Row],[calculated sale price]]</f>
        <v>0</v>
      </c>
      <c r="AB227" s="231"/>
      <c r="AC227" s="230"/>
      <c r="AD227" s="229"/>
      <c r="AE227" s="229" t="e">
        <f>[5]!Table1[[#This Row],[cost per quantity]]*(1+'[5]P&amp;L'!$P$8)</f>
        <v>#REF!</v>
      </c>
      <c r="AF227" s="229" t="e">
        <f>$AF$8*[5]!Table1[[#This Row],[man minutes]]*(1+'[5]P&amp;L'!$P$9)</f>
        <v>#REF!</v>
      </c>
      <c r="AG227" s="229">
        <f>$AF$8*Table1[[#This Row],[man minutes]]*1.18</f>
        <v>0</v>
      </c>
      <c r="AH227" s="229">
        <f>$AF$8*Table1[[#This Row],[man minutes]]*1.18</f>
        <v>0</v>
      </c>
      <c r="AI227" s="229" t="e">
        <f>Table1[[#This Row],[Food cost w/ MU]]+Table1[[#This Row],[labor cost W/ MU]]</f>
        <v>#REF!</v>
      </c>
      <c r="AJ227" s="228"/>
    </row>
    <row r="228" spans="1:36" x14ac:dyDescent="0.25">
      <c r="A228" s="219">
        <v>10219</v>
      </c>
      <c r="C228" s="219">
        <v>1</v>
      </c>
      <c r="I228" s="219"/>
      <c r="J228" s="219"/>
      <c r="K228" s="219"/>
      <c r="L228" s="223"/>
      <c r="M228" s="219"/>
      <c r="N228" s="227"/>
      <c r="O228" s="226"/>
      <c r="P228" s="226">
        <f>Table1[[#This Row],[unit cost]]*1.065</f>
        <v>0</v>
      </c>
      <c r="Q228" s="224"/>
      <c r="R228" s="219">
        <v>1</v>
      </c>
      <c r="S228" s="235">
        <f t="shared" si="49"/>
        <v>0.42</v>
      </c>
      <c r="T228" s="233">
        <f>Table1[[#This Row],[man minutes]]*Table1[[#This Row],[labor rate]]</f>
        <v>0</v>
      </c>
      <c r="U228" s="233">
        <f t="shared" si="54"/>
        <v>0</v>
      </c>
      <c r="V228" s="218">
        <f t="shared" si="50"/>
        <v>0.13</v>
      </c>
      <c r="W228" s="234">
        <f t="shared" si="51"/>
        <v>0.13</v>
      </c>
      <c r="X228" s="233">
        <f t="shared" si="55"/>
        <v>0</v>
      </c>
      <c r="Y228" s="233">
        <f t="shared" si="52"/>
        <v>0</v>
      </c>
      <c r="Z228" s="233">
        <f t="shared" si="53"/>
        <v>0</v>
      </c>
      <c r="AA228" s="232">
        <f>+Table1[[#This Row],[calculated sale price]]</f>
        <v>0</v>
      </c>
      <c r="AB228" s="231"/>
      <c r="AC228" s="230"/>
      <c r="AD228" s="229"/>
      <c r="AE228" s="229" t="e">
        <f>[5]!Table1[[#This Row],[cost per quantity]]*(1+'[5]P&amp;L'!$P$8)</f>
        <v>#REF!</v>
      </c>
      <c r="AF228" s="229" t="e">
        <f>$AF$8*[5]!Table1[[#This Row],[man minutes]]*(1+'[5]P&amp;L'!$P$9)</f>
        <v>#REF!</v>
      </c>
      <c r="AG228" s="229">
        <f>$AF$8*Table1[[#This Row],[man minutes]]*1.18</f>
        <v>0</v>
      </c>
      <c r="AH228" s="229">
        <f>$AF$8*Table1[[#This Row],[man minutes]]*1.18</f>
        <v>0</v>
      </c>
      <c r="AI228" s="229" t="e">
        <f>Table1[[#This Row],[Food cost w/ MU]]+Table1[[#This Row],[labor cost W/ MU]]</f>
        <v>#REF!</v>
      </c>
      <c r="AJ228" s="228"/>
    </row>
    <row r="229" spans="1:36" x14ac:dyDescent="0.25">
      <c r="A229" s="219">
        <v>10220</v>
      </c>
      <c r="C229" s="219">
        <v>1</v>
      </c>
      <c r="I229" s="219"/>
      <c r="J229" s="219"/>
      <c r="K229" s="219"/>
      <c r="L229" s="223"/>
      <c r="M229" s="219"/>
      <c r="N229" s="227"/>
      <c r="O229" s="226"/>
      <c r="P229" s="226">
        <f>Table1[[#This Row],[unit cost]]*1.065</f>
        <v>0</v>
      </c>
      <c r="Q229" s="224"/>
      <c r="R229" s="219">
        <v>1</v>
      </c>
      <c r="S229" s="235">
        <f t="shared" si="49"/>
        <v>0.42</v>
      </c>
      <c r="T229" s="233">
        <f>Table1[[#This Row],[man minutes]]*Table1[[#This Row],[labor rate]]</f>
        <v>0</v>
      </c>
      <c r="U229" s="233">
        <f t="shared" si="54"/>
        <v>0</v>
      </c>
      <c r="V229" s="218">
        <f t="shared" si="50"/>
        <v>0.13</v>
      </c>
      <c r="W229" s="234">
        <f t="shared" si="51"/>
        <v>0.13</v>
      </c>
      <c r="X229" s="233">
        <f t="shared" si="55"/>
        <v>0</v>
      </c>
      <c r="Y229" s="233">
        <f t="shared" si="52"/>
        <v>0</v>
      </c>
      <c r="Z229" s="233">
        <f t="shared" si="53"/>
        <v>0</v>
      </c>
      <c r="AA229" s="232">
        <f>+Table1[[#This Row],[calculated sale price]]</f>
        <v>0</v>
      </c>
      <c r="AB229" s="231"/>
      <c r="AC229" s="230"/>
      <c r="AD229" s="229"/>
      <c r="AE229" s="229" t="e">
        <f>[5]!Table1[[#This Row],[cost per quantity]]*(1+'[5]P&amp;L'!$P$8)</f>
        <v>#REF!</v>
      </c>
      <c r="AF229" s="229" t="e">
        <f>$AF$8*[5]!Table1[[#This Row],[man minutes]]*(1+'[5]P&amp;L'!$P$9)</f>
        <v>#REF!</v>
      </c>
      <c r="AG229" s="229">
        <f>$AF$8*Table1[[#This Row],[man minutes]]*1.18</f>
        <v>0</v>
      </c>
      <c r="AH229" s="229">
        <f>$AF$8*Table1[[#This Row],[man minutes]]*1.18</f>
        <v>0</v>
      </c>
      <c r="AI229" s="229" t="e">
        <f>Table1[[#This Row],[Food cost w/ MU]]+Table1[[#This Row],[labor cost W/ MU]]</f>
        <v>#REF!</v>
      </c>
      <c r="AJ229" s="228"/>
    </row>
    <row r="230" spans="1:36" x14ac:dyDescent="0.25">
      <c r="A230" s="219">
        <v>10221</v>
      </c>
      <c r="C230" s="219">
        <v>1</v>
      </c>
      <c r="I230" s="219"/>
      <c r="J230" s="219"/>
      <c r="K230" s="219"/>
      <c r="L230" s="223"/>
      <c r="M230" s="219"/>
      <c r="N230" s="227"/>
      <c r="O230" s="226"/>
      <c r="P230" s="226">
        <f>Table1[[#This Row],[unit cost]]*1.065</f>
        <v>0</v>
      </c>
      <c r="Q230" s="224"/>
      <c r="R230" s="219">
        <v>1</v>
      </c>
      <c r="S230" s="235">
        <f t="shared" si="49"/>
        <v>0.42</v>
      </c>
      <c r="T230" s="233">
        <f>Table1[[#This Row],[man minutes]]*Table1[[#This Row],[labor rate]]</f>
        <v>0</v>
      </c>
      <c r="U230" s="233">
        <f t="shared" si="54"/>
        <v>0</v>
      </c>
      <c r="V230" s="218">
        <f t="shared" si="50"/>
        <v>0.13</v>
      </c>
      <c r="W230" s="234">
        <f t="shared" si="51"/>
        <v>0.13</v>
      </c>
      <c r="X230" s="233">
        <f t="shared" si="55"/>
        <v>0</v>
      </c>
      <c r="Y230" s="233">
        <f t="shared" si="52"/>
        <v>0</v>
      </c>
      <c r="Z230" s="233">
        <f t="shared" si="53"/>
        <v>0</v>
      </c>
      <c r="AA230" s="232">
        <f>+Table1[[#This Row],[calculated sale price]]</f>
        <v>0</v>
      </c>
      <c r="AB230" s="231"/>
      <c r="AC230" s="230"/>
      <c r="AD230" s="229"/>
      <c r="AE230" s="229" t="e">
        <f>[5]!Table1[[#This Row],[cost per quantity]]*(1+'[5]P&amp;L'!$P$8)</f>
        <v>#REF!</v>
      </c>
      <c r="AF230" s="229" t="e">
        <f>$AF$8*[5]!Table1[[#This Row],[man minutes]]*(1+'[5]P&amp;L'!$P$9)</f>
        <v>#REF!</v>
      </c>
      <c r="AG230" s="229">
        <f>$AF$8*Table1[[#This Row],[man minutes]]*1.18</f>
        <v>0</v>
      </c>
      <c r="AH230" s="229">
        <f>$AF$8*Table1[[#This Row],[man minutes]]*1.18</f>
        <v>0</v>
      </c>
      <c r="AI230" s="229" t="e">
        <f>Table1[[#This Row],[Food cost w/ MU]]+Table1[[#This Row],[labor cost W/ MU]]</f>
        <v>#REF!</v>
      </c>
      <c r="AJ230" s="228"/>
    </row>
    <row r="231" spans="1:36" x14ac:dyDescent="0.25">
      <c r="A231" s="219">
        <v>10222</v>
      </c>
      <c r="C231" s="219">
        <v>1</v>
      </c>
      <c r="I231" s="219"/>
      <c r="J231" s="219"/>
      <c r="K231" s="219"/>
      <c r="L231" s="223"/>
      <c r="M231" s="219"/>
      <c r="N231" s="227"/>
      <c r="O231" s="226"/>
      <c r="P231" s="226">
        <f>Table1[[#This Row],[unit cost]]*1.065</f>
        <v>0</v>
      </c>
      <c r="Q231" s="224"/>
      <c r="R231" s="219">
        <v>1</v>
      </c>
      <c r="S231" s="235">
        <f t="shared" si="49"/>
        <v>0.42</v>
      </c>
      <c r="T231" s="233">
        <f>Table1[[#This Row],[man minutes]]*Table1[[#This Row],[labor rate]]</f>
        <v>0</v>
      </c>
      <c r="U231" s="233">
        <f t="shared" si="54"/>
        <v>0</v>
      </c>
      <c r="V231" s="218">
        <f t="shared" si="50"/>
        <v>0.13</v>
      </c>
      <c r="W231" s="234">
        <f t="shared" si="51"/>
        <v>0.13</v>
      </c>
      <c r="X231" s="233">
        <f t="shared" si="55"/>
        <v>0</v>
      </c>
      <c r="Y231" s="233">
        <f t="shared" si="52"/>
        <v>0</v>
      </c>
      <c r="Z231" s="233">
        <f t="shared" si="53"/>
        <v>0</v>
      </c>
      <c r="AA231" s="232">
        <f>+Table1[[#This Row],[calculated sale price]]</f>
        <v>0</v>
      </c>
      <c r="AB231" s="231"/>
      <c r="AC231" s="230"/>
      <c r="AD231" s="229"/>
      <c r="AE231" s="229" t="e">
        <f>[5]!Table1[[#This Row],[cost per quantity]]*(1+'[5]P&amp;L'!$P$8)</f>
        <v>#REF!</v>
      </c>
      <c r="AF231" s="229" t="e">
        <f>$AF$8*[5]!Table1[[#This Row],[man minutes]]*(1+'[5]P&amp;L'!$P$9)</f>
        <v>#REF!</v>
      </c>
      <c r="AG231" s="229">
        <f>$AF$8*Table1[[#This Row],[man minutes]]*1.18</f>
        <v>0</v>
      </c>
      <c r="AH231" s="229">
        <f>$AF$8*Table1[[#This Row],[man minutes]]*1.18</f>
        <v>0</v>
      </c>
      <c r="AI231" s="229" t="e">
        <f>Table1[[#This Row],[Food cost w/ MU]]+Table1[[#This Row],[labor cost W/ MU]]</f>
        <v>#REF!</v>
      </c>
      <c r="AJ231" s="228"/>
    </row>
    <row r="232" spans="1:36" x14ac:dyDescent="0.25">
      <c r="A232" s="219">
        <v>10223</v>
      </c>
      <c r="C232" s="219">
        <v>1</v>
      </c>
      <c r="I232" s="219"/>
      <c r="J232" s="219"/>
      <c r="K232" s="219"/>
      <c r="L232" s="223"/>
      <c r="M232" s="219"/>
      <c r="N232" s="227"/>
      <c r="O232" s="226"/>
      <c r="P232" s="226">
        <f>Table1[[#This Row],[unit cost]]*1.065</f>
        <v>0</v>
      </c>
      <c r="Q232" s="224"/>
      <c r="R232" s="219">
        <v>1</v>
      </c>
      <c r="S232" s="235">
        <f t="shared" si="49"/>
        <v>0.42</v>
      </c>
      <c r="T232" s="233">
        <f>Table1[[#This Row],[man minutes]]*Table1[[#This Row],[labor rate]]</f>
        <v>0</v>
      </c>
      <c r="U232" s="233">
        <f t="shared" si="54"/>
        <v>0</v>
      </c>
      <c r="V232" s="218">
        <f t="shared" si="50"/>
        <v>0.13</v>
      </c>
      <c r="W232" s="234">
        <f t="shared" si="51"/>
        <v>0.13</v>
      </c>
      <c r="X232" s="233">
        <f t="shared" si="55"/>
        <v>0</v>
      </c>
      <c r="Y232" s="233">
        <f t="shared" si="52"/>
        <v>0</v>
      </c>
      <c r="Z232" s="233">
        <f t="shared" si="53"/>
        <v>0</v>
      </c>
      <c r="AA232" s="232">
        <f>+Table1[[#This Row],[calculated sale price]]</f>
        <v>0</v>
      </c>
      <c r="AB232" s="231"/>
      <c r="AC232" s="230"/>
      <c r="AD232" s="229"/>
      <c r="AE232" s="229" t="e">
        <f>[5]!Table1[[#This Row],[cost per quantity]]*(1+'[5]P&amp;L'!$P$8)</f>
        <v>#REF!</v>
      </c>
      <c r="AF232" s="229" t="e">
        <f>$AF$8*[5]!Table1[[#This Row],[man minutes]]*(1+'[5]P&amp;L'!$P$9)</f>
        <v>#REF!</v>
      </c>
      <c r="AG232" s="229">
        <f>$AF$8*Table1[[#This Row],[man minutes]]*1.18</f>
        <v>0</v>
      </c>
      <c r="AH232" s="229">
        <f>$AF$8*Table1[[#This Row],[man minutes]]*1.18</f>
        <v>0</v>
      </c>
      <c r="AI232" s="229" t="e">
        <f>Table1[[#This Row],[Food cost w/ MU]]+Table1[[#This Row],[labor cost W/ MU]]</f>
        <v>#REF!</v>
      </c>
      <c r="AJ232" s="228"/>
    </row>
    <row r="233" spans="1:36" x14ac:dyDescent="0.25">
      <c r="A233" s="219">
        <v>10224</v>
      </c>
      <c r="C233" s="219">
        <v>1</v>
      </c>
      <c r="I233" s="219"/>
      <c r="J233" s="219"/>
      <c r="K233" s="219"/>
      <c r="L233" s="223"/>
      <c r="M233" s="219"/>
      <c r="N233" s="227"/>
      <c r="O233" s="226"/>
      <c r="P233" s="226">
        <f>Table1[[#This Row],[unit cost]]*1.065</f>
        <v>0</v>
      </c>
      <c r="Q233" s="224"/>
      <c r="R233" s="219">
        <v>1</v>
      </c>
      <c r="S233" s="235">
        <f t="shared" si="49"/>
        <v>0.42</v>
      </c>
      <c r="T233" s="233">
        <f>Table1[[#This Row],[man minutes]]*Table1[[#This Row],[labor rate]]</f>
        <v>0</v>
      </c>
      <c r="U233" s="233">
        <f t="shared" si="54"/>
        <v>0</v>
      </c>
      <c r="V233" s="218">
        <f t="shared" si="50"/>
        <v>0.13</v>
      </c>
      <c r="W233" s="234">
        <f t="shared" si="51"/>
        <v>0.13</v>
      </c>
      <c r="X233" s="233">
        <f t="shared" si="55"/>
        <v>0</v>
      </c>
      <c r="Y233" s="233">
        <f t="shared" si="52"/>
        <v>0</v>
      </c>
      <c r="Z233" s="233">
        <f t="shared" si="53"/>
        <v>0</v>
      </c>
      <c r="AA233" s="232">
        <f>+Table1[[#This Row],[calculated sale price]]</f>
        <v>0</v>
      </c>
      <c r="AB233" s="231"/>
      <c r="AC233" s="230"/>
      <c r="AD233" s="229"/>
      <c r="AE233" s="229" t="e">
        <f>[5]!Table1[[#This Row],[cost per quantity]]*(1+'[5]P&amp;L'!$P$8)</f>
        <v>#REF!</v>
      </c>
      <c r="AF233" s="229" t="e">
        <f>$AF$8*[5]!Table1[[#This Row],[man minutes]]*(1+'[5]P&amp;L'!$P$9)</f>
        <v>#REF!</v>
      </c>
      <c r="AG233" s="229">
        <f>$AF$8*Table1[[#This Row],[man minutes]]*1.18</f>
        <v>0</v>
      </c>
      <c r="AH233" s="229">
        <f>$AF$8*Table1[[#This Row],[man minutes]]*1.18</f>
        <v>0</v>
      </c>
      <c r="AI233" s="229" t="e">
        <f>Table1[[#This Row],[Food cost w/ MU]]+Table1[[#This Row],[labor cost W/ MU]]</f>
        <v>#REF!</v>
      </c>
      <c r="AJ233" s="228"/>
    </row>
    <row r="234" spans="1:36" x14ac:dyDescent="0.25">
      <c r="A234" s="219">
        <v>10225</v>
      </c>
      <c r="C234" s="219">
        <v>1</v>
      </c>
      <c r="I234" s="219"/>
      <c r="J234" s="219"/>
      <c r="K234" s="219"/>
      <c r="L234" s="223"/>
      <c r="M234" s="219"/>
      <c r="N234" s="227"/>
      <c r="O234" s="226"/>
      <c r="P234" s="226">
        <f>Table1[[#This Row],[unit cost]]*1.065</f>
        <v>0</v>
      </c>
      <c r="Q234" s="224"/>
      <c r="R234" s="219">
        <v>1</v>
      </c>
      <c r="S234" s="235">
        <f t="shared" si="49"/>
        <v>0.42</v>
      </c>
      <c r="T234" s="233">
        <f>Table1[[#This Row],[man minutes]]*Table1[[#This Row],[labor rate]]</f>
        <v>0</v>
      </c>
      <c r="U234" s="233">
        <f t="shared" si="54"/>
        <v>0</v>
      </c>
      <c r="V234" s="218">
        <f t="shared" si="50"/>
        <v>0.13</v>
      </c>
      <c r="W234" s="234">
        <f t="shared" si="51"/>
        <v>0.13</v>
      </c>
      <c r="X234" s="233">
        <f t="shared" si="55"/>
        <v>0</v>
      </c>
      <c r="Y234" s="233">
        <f t="shared" si="52"/>
        <v>0</v>
      </c>
      <c r="Z234" s="233">
        <f t="shared" si="53"/>
        <v>0</v>
      </c>
      <c r="AA234" s="232">
        <f>+Table1[[#This Row],[calculated sale price]]</f>
        <v>0</v>
      </c>
      <c r="AB234" s="231"/>
      <c r="AC234" s="230"/>
      <c r="AD234" s="229"/>
      <c r="AE234" s="229" t="e">
        <f>[5]!Table1[[#This Row],[cost per quantity]]*(1+'[5]P&amp;L'!$P$8)</f>
        <v>#REF!</v>
      </c>
      <c r="AF234" s="229" t="e">
        <f>$AF$8*[5]!Table1[[#This Row],[man minutes]]*(1+'[5]P&amp;L'!$P$9)</f>
        <v>#REF!</v>
      </c>
      <c r="AG234" s="229">
        <f>$AF$8*Table1[[#This Row],[man minutes]]*1.18</f>
        <v>0</v>
      </c>
      <c r="AH234" s="229">
        <f>$AF$8*Table1[[#This Row],[man minutes]]*1.18</f>
        <v>0</v>
      </c>
      <c r="AI234" s="229" t="e">
        <f>Table1[[#This Row],[Food cost w/ MU]]+Table1[[#This Row],[labor cost W/ MU]]</f>
        <v>#REF!</v>
      </c>
      <c r="AJ234" s="228"/>
    </row>
    <row r="235" spans="1:36" x14ac:dyDescent="0.25">
      <c r="A235" s="219"/>
      <c r="C235" s="219"/>
      <c r="I235" s="219"/>
      <c r="J235" s="219"/>
      <c r="K235" s="219"/>
      <c r="L235" s="223"/>
      <c r="M235" s="219"/>
      <c r="N235" s="227"/>
      <c r="O235" s="226"/>
      <c r="P235" s="226">
        <f>Table1[[#This Row],[unit cost]]*1.065</f>
        <v>0</v>
      </c>
      <c r="Q235" s="224"/>
      <c r="S235" s="235"/>
      <c r="T235" s="233"/>
      <c r="U235" s="233"/>
      <c r="W235" s="234"/>
      <c r="X235" s="233"/>
      <c r="Y235" s="233"/>
      <c r="Z235" s="233"/>
      <c r="AA235" s="232"/>
      <c r="AB235" s="231"/>
      <c r="AC235" s="230"/>
      <c r="AD235" s="229"/>
      <c r="AE235" s="229" t="e">
        <f>[5]!Table1[[#This Row],[cost per quantity]]*(1+'[5]P&amp;L'!$P$8)</f>
        <v>#REF!</v>
      </c>
      <c r="AF235" s="229" t="e">
        <f>$AF$8*[5]!Table1[[#This Row],[man minutes]]*(1+'[5]P&amp;L'!$P$9)</f>
        <v>#REF!</v>
      </c>
      <c r="AG235" s="229">
        <f>$AF$8*Table1[[#This Row],[man minutes]]*1.18</f>
        <v>0</v>
      </c>
      <c r="AH235" s="229">
        <f>$AF$8*Table1[[#This Row],[man minutes]]*1.18</f>
        <v>0</v>
      </c>
      <c r="AI235" s="229" t="e">
        <f>Table1[[#This Row],[Food cost w/ MU]]+Table1[[#This Row],[labor cost W/ MU]]</f>
        <v>#REF!</v>
      </c>
      <c r="AJ235" s="228"/>
    </row>
    <row r="236" spans="1:36" x14ac:dyDescent="0.25">
      <c r="A236" s="219"/>
      <c r="C236" s="219"/>
      <c r="I236" s="219"/>
      <c r="J236" s="219"/>
      <c r="K236" s="219"/>
      <c r="L236" s="223"/>
      <c r="M236" s="219"/>
      <c r="N236" s="227"/>
      <c r="O236" s="226"/>
      <c r="P236" s="226">
        <f>Table1[[#This Row],[unit cost]]*1.065</f>
        <v>0</v>
      </c>
      <c r="Q236" s="224"/>
      <c r="S236" s="235"/>
      <c r="T236" s="233"/>
      <c r="U236" s="233"/>
      <c r="W236" s="234"/>
      <c r="X236" s="233"/>
      <c r="Y236" s="233"/>
      <c r="Z236" s="233"/>
      <c r="AA236" s="232"/>
      <c r="AB236" s="231"/>
      <c r="AC236" s="230"/>
      <c r="AD236" s="229"/>
      <c r="AE236" s="229" t="e">
        <f>[5]!Table1[[#This Row],[cost per quantity]]*(1+'[5]P&amp;L'!$P$8)</f>
        <v>#REF!</v>
      </c>
      <c r="AF236" s="229" t="e">
        <f>$AF$8*[5]!Table1[[#This Row],[man minutes]]*(1+'[5]P&amp;L'!$P$9)</f>
        <v>#REF!</v>
      </c>
      <c r="AG236" s="229">
        <f>$AF$8*Table1[[#This Row],[man minutes]]*1.18</f>
        <v>0</v>
      </c>
      <c r="AH236" s="229">
        <f>$AF$8*Table1[[#This Row],[man minutes]]*1.18</f>
        <v>0</v>
      </c>
      <c r="AI236" s="229" t="e">
        <f>Table1[[#This Row],[Food cost w/ MU]]+Table1[[#This Row],[labor cost W/ MU]]</f>
        <v>#REF!</v>
      </c>
      <c r="AJ236" s="228"/>
    </row>
    <row r="237" spans="1:36" x14ac:dyDescent="0.25">
      <c r="A237" s="219"/>
      <c r="C237" s="219"/>
      <c r="I237" s="219"/>
      <c r="J237" s="219"/>
      <c r="K237" s="219"/>
      <c r="L237" s="223"/>
      <c r="M237" s="219"/>
      <c r="N237" s="227"/>
      <c r="O237" s="226"/>
      <c r="P237" s="226"/>
      <c r="Q237" s="224"/>
      <c r="S237" s="235"/>
      <c r="T237" s="233"/>
      <c r="U237" s="233"/>
      <c r="W237" s="234"/>
      <c r="X237" s="233"/>
      <c r="Y237" s="233"/>
      <c r="Z237" s="233"/>
      <c r="AA237" s="232"/>
      <c r="AB237" s="231"/>
      <c r="AC237" s="230"/>
      <c r="AD237" s="229"/>
      <c r="AE237" s="229" t="e">
        <f>[5]!Table1[[#This Row],[cost per quantity]]*(1+'[5]P&amp;L'!$P$8)</f>
        <v>#REF!</v>
      </c>
      <c r="AF237" s="229" t="e">
        <f>$AF$8*[5]!Table1[[#This Row],[man minutes]]*(1+'[5]P&amp;L'!$P$9)</f>
        <v>#REF!</v>
      </c>
      <c r="AG237" s="229">
        <f>$AF$8*Table1[[#This Row],[man minutes]]*1.18</f>
        <v>0</v>
      </c>
      <c r="AH237" s="229">
        <f>$AF$8*Table1[[#This Row],[man minutes]]*1.18</f>
        <v>0</v>
      </c>
      <c r="AI237" s="229" t="e">
        <f>Table1[[#This Row],[Food cost w/ MU]]+Table1[[#This Row],[labor cost W/ MU]]</f>
        <v>#REF!</v>
      </c>
      <c r="AJ237" s="228"/>
    </row>
    <row r="238" spans="1:36" x14ac:dyDescent="0.25">
      <c r="A238" s="219"/>
      <c r="C238" s="219"/>
      <c r="I238" s="219"/>
      <c r="J238" s="219"/>
      <c r="K238" s="219"/>
      <c r="L238" s="223"/>
      <c r="M238" s="219"/>
      <c r="N238" s="227"/>
      <c r="O238" s="226"/>
      <c r="P238" s="226"/>
      <c r="Q238" s="224"/>
      <c r="S238" s="235"/>
      <c r="T238" s="233"/>
      <c r="U238" s="233"/>
      <c r="W238" s="234"/>
      <c r="X238" s="233"/>
      <c r="Y238" s="233"/>
      <c r="Z238" s="233"/>
      <c r="AA238" s="232"/>
      <c r="AB238" s="231"/>
      <c r="AC238" s="230"/>
      <c r="AD238" s="229"/>
      <c r="AE238" s="229" t="e">
        <f>[5]!Table1[[#This Row],[cost per quantity]]*(1+'[5]P&amp;L'!$P$8)</f>
        <v>#REF!</v>
      </c>
      <c r="AF238" s="229" t="e">
        <f>$AF$8*[5]!Table1[[#This Row],[man minutes]]*(1+'[5]P&amp;L'!$P$9)</f>
        <v>#REF!</v>
      </c>
      <c r="AG238" s="229">
        <f>$AF$8*Table1[[#This Row],[man minutes]]*1.18</f>
        <v>0</v>
      </c>
      <c r="AH238" s="229">
        <f>$AF$8*Table1[[#This Row],[man minutes]]*1.18</f>
        <v>0</v>
      </c>
      <c r="AI238" s="229" t="e">
        <f>Table1[[#This Row],[Food cost w/ MU]]+Table1[[#This Row],[labor cost W/ MU]]</f>
        <v>#REF!</v>
      </c>
      <c r="AJ238" s="228"/>
    </row>
    <row r="239" spans="1:36" x14ac:dyDescent="0.25">
      <c r="A239" s="219"/>
      <c r="C239" s="219"/>
      <c r="I239" s="219"/>
      <c r="J239" s="219"/>
      <c r="K239" s="219"/>
      <c r="L239" s="223"/>
      <c r="M239" s="219"/>
      <c r="N239" s="227"/>
      <c r="O239" s="226"/>
      <c r="P239" s="226"/>
      <c r="Q239" s="224"/>
      <c r="S239" s="233"/>
      <c r="T239" s="233"/>
      <c r="U239" s="233"/>
      <c r="X239" s="233"/>
      <c r="Y239" s="233"/>
      <c r="Z239" s="233"/>
      <c r="AA239" s="232"/>
      <c r="AB239" s="231"/>
      <c r="AC239" s="230"/>
      <c r="AD239" s="229"/>
      <c r="AE239" s="229" t="e">
        <f>[5]!Table1[[#This Row],[cost per quantity]]*(1+'[5]P&amp;L'!$P$8)</f>
        <v>#REF!</v>
      </c>
      <c r="AF239" s="229" t="e">
        <f>$AF$8*[5]!Table1[[#This Row],[man minutes]]*(1+'[5]P&amp;L'!$P$9)</f>
        <v>#REF!</v>
      </c>
      <c r="AG239" s="229">
        <f>$AF$8*Table1[[#This Row],[man minutes]]*1.18</f>
        <v>0</v>
      </c>
      <c r="AH239" s="229">
        <f>$AF$8*Table1[[#This Row],[man minutes]]*1.18</f>
        <v>0</v>
      </c>
      <c r="AI239" s="229" t="e">
        <f>Table1[[#This Row],[Food cost w/ MU]]+Table1[[#This Row],[labor cost W/ MU]]</f>
        <v>#REF!</v>
      </c>
      <c r="AJ239" s="228"/>
    </row>
    <row r="240" spans="1:36" x14ac:dyDescent="0.25">
      <c r="A240" s="219"/>
      <c r="C240" s="219"/>
      <c r="I240" s="219"/>
      <c r="J240" s="219"/>
      <c r="K240" s="219"/>
      <c r="L240" s="223"/>
      <c r="M240" s="219"/>
      <c r="N240" s="227"/>
      <c r="O240" s="226"/>
      <c r="P240" s="226"/>
      <c r="Q240" s="224"/>
      <c r="S240" s="233"/>
      <c r="T240" s="233"/>
      <c r="U240" s="233"/>
      <c r="X240" s="233"/>
      <c r="Y240" s="233"/>
      <c r="Z240" s="233"/>
      <c r="AA240" s="232"/>
      <c r="AB240" s="231"/>
      <c r="AC240" s="230"/>
      <c r="AD240" s="229"/>
      <c r="AE240" s="229" t="e">
        <f>[5]!Table1[[#This Row],[cost per quantity]]*(1+'[5]P&amp;L'!$P$8)</f>
        <v>#REF!</v>
      </c>
      <c r="AF240" s="229" t="e">
        <f>$AF$8*[5]!Table1[[#This Row],[man minutes]]*(1+'[5]P&amp;L'!$P$9)</f>
        <v>#REF!</v>
      </c>
      <c r="AG240" s="229">
        <f>$AF$8*Table1[[#This Row],[man minutes]]*1.18</f>
        <v>0</v>
      </c>
      <c r="AH240" s="229">
        <f>$AF$8*Table1[[#This Row],[man minutes]]*1.18</f>
        <v>0</v>
      </c>
      <c r="AI240" s="229" t="e">
        <f>Table1[[#This Row],[Food cost w/ MU]]+Table1[[#This Row],[labor cost W/ MU]]</f>
        <v>#REF!</v>
      </c>
      <c r="AJ240" s="228"/>
    </row>
    <row r="241" spans="1:36" x14ac:dyDescent="0.25">
      <c r="A241" s="219"/>
      <c r="C241" s="219"/>
      <c r="I241" s="219"/>
      <c r="J241" s="219"/>
      <c r="K241" s="219"/>
      <c r="L241" s="223"/>
      <c r="M241" s="219"/>
      <c r="N241" s="227"/>
      <c r="O241" s="226"/>
      <c r="P241" s="226"/>
      <c r="Q241" s="224"/>
      <c r="S241" s="233"/>
      <c r="T241" s="233"/>
      <c r="U241" s="233"/>
      <c r="X241" s="233"/>
      <c r="Y241" s="233"/>
      <c r="Z241" s="233"/>
      <c r="AA241" s="232"/>
      <c r="AB241" s="231"/>
      <c r="AC241" s="230"/>
      <c r="AD241" s="229"/>
      <c r="AE241" s="229" t="e">
        <f>[5]!Table1[[#This Row],[cost per quantity]]*(1+'[5]P&amp;L'!$P$8)</f>
        <v>#REF!</v>
      </c>
      <c r="AF241" s="229" t="e">
        <f>$AF$8*[5]!Table1[[#This Row],[man minutes]]*(1+'[5]P&amp;L'!$P$9)</f>
        <v>#REF!</v>
      </c>
      <c r="AG241" s="229">
        <f>$AF$8*Table1[[#This Row],[man minutes]]*1.18</f>
        <v>0</v>
      </c>
      <c r="AH241" s="229">
        <f>$AF$8*Table1[[#This Row],[man minutes]]*1.18</f>
        <v>0</v>
      </c>
      <c r="AI241" s="229" t="e">
        <f>Table1[[#This Row],[Food cost w/ MU]]+Table1[[#This Row],[labor cost W/ MU]]</f>
        <v>#REF!</v>
      </c>
      <c r="AJ241" s="228"/>
    </row>
    <row r="242" spans="1:36" x14ac:dyDescent="0.25">
      <c r="A242" s="258"/>
      <c r="B242" s="257"/>
      <c r="C242" s="258"/>
      <c r="D242" s="258"/>
      <c r="E242" s="258"/>
      <c r="F242" s="258"/>
      <c r="G242" s="258"/>
      <c r="H242" s="258"/>
      <c r="I242" s="258"/>
      <c r="J242" s="258"/>
      <c r="K242" s="258"/>
      <c r="L242" s="259"/>
      <c r="M242" s="258"/>
      <c r="N242" s="260"/>
      <c r="O242" s="261"/>
      <c r="P242" s="262"/>
      <c r="Q242" s="263"/>
      <c r="R242" s="258"/>
      <c r="S242" s="264"/>
      <c r="T242" s="264"/>
      <c r="U242" s="264"/>
      <c r="V242" s="265"/>
      <c r="W242" s="259"/>
      <c r="X242" s="264"/>
      <c r="Y242" s="264"/>
      <c r="Z242" s="264"/>
      <c r="AA242" s="266"/>
      <c r="AB242" s="267"/>
      <c r="AC242" s="264"/>
      <c r="AD242" s="257"/>
      <c r="AE242" s="257"/>
      <c r="AF242" s="257"/>
      <c r="AG242" s="257"/>
      <c r="AH242" s="257"/>
      <c r="AI242" s="257"/>
      <c r="AJ242" s="257"/>
    </row>
    <row r="243" spans="1:36" s="221" customFormat="1" x14ac:dyDescent="0.25">
      <c r="A243" s="215"/>
      <c r="B243" s="215"/>
      <c r="C243" s="215"/>
      <c r="D243" s="219"/>
      <c r="E243" s="219"/>
      <c r="F243" s="219"/>
      <c r="G243" s="219"/>
      <c r="H243" s="219"/>
      <c r="I243" s="215"/>
      <c r="J243" s="215"/>
      <c r="K243" s="215"/>
      <c r="L243" s="219"/>
      <c r="M243" s="215"/>
      <c r="N243" s="215"/>
      <c r="O243" s="215"/>
      <c r="P243" s="215"/>
      <c r="Q243" s="220"/>
      <c r="R243" s="219"/>
      <c r="S243" s="215"/>
      <c r="T243" s="215"/>
      <c r="U243" s="215"/>
      <c r="V243" s="218"/>
      <c r="W243" s="217"/>
      <c r="X243" s="215"/>
      <c r="Y243" s="215"/>
      <c r="Z243" s="215"/>
      <c r="AA243" s="216"/>
      <c r="AB243" s="215"/>
      <c r="AC243" s="215"/>
    </row>
    <row r="251" spans="1:36" s="221" customFormat="1" x14ac:dyDescent="0.25">
      <c r="A251" s="215"/>
      <c r="B251" s="215"/>
      <c r="C251" s="215"/>
      <c r="D251" s="219"/>
      <c r="E251" s="219"/>
      <c r="F251" s="219"/>
      <c r="G251" s="219"/>
      <c r="H251" s="219"/>
      <c r="I251" s="215"/>
      <c r="J251" s="215"/>
      <c r="K251" s="215"/>
      <c r="L251" s="219"/>
      <c r="M251" s="215"/>
      <c r="N251" s="215"/>
      <c r="O251" s="215"/>
      <c r="P251" s="215"/>
      <c r="Q251" s="220"/>
      <c r="R251" s="219"/>
      <c r="S251" s="215"/>
      <c r="T251" s="215"/>
      <c r="U251" s="215"/>
      <c r="V251" s="218"/>
      <c r="W251" s="217"/>
      <c r="X251" s="215"/>
      <c r="Y251" s="215"/>
      <c r="Z251" s="215"/>
      <c r="AA251" s="216"/>
      <c r="AB251" s="215"/>
      <c r="AC251" s="215"/>
    </row>
    <row r="254" spans="1:36" s="221" customFormat="1" x14ac:dyDescent="0.25">
      <c r="A254" s="215"/>
      <c r="B254" s="215"/>
      <c r="C254" s="215"/>
      <c r="D254" s="219"/>
      <c r="E254" s="219"/>
      <c r="F254" s="219"/>
      <c r="G254" s="219"/>
      <c r="H254" s="219"/>
      <c r="I254" s="215"/>
      <c r="J254" s="215"/>
      <c r="K254" s="215"/>
      <c r="L254" s="219"/>
      <c r="M254" s="215"/>
      <c r="N254" s="215"/>
      <c r="O254" s="215"/>
      <c r="P254" s="215"/>
      <c r="Q254" s="220"/>
      <c r="R254" s="219"/>
      <c r="S254" s="215"/>
      <c r="T254" s="215"/>
      <c r="U254" s="215"/>
      <c r="V254" s="218"/>
      <c r="W254" s="217"/>
      <c r="X254" s="215"/>
      <c r="Y254" s="215"/>
      <c r="Z254" s="215"/>
      <c r="AA254" s="216"/>
      <c r="AB254" s="215"/>
      <c r="AC254" s="215"/>
    </row>
    <row r="270" spans="30:30" x14ac:dyDescent="0.25">
      <c r="AD270" s="222"/>
    </row>
    <row r="284" spans="1:29" s="221" customFormat="1" x14ac:dyDescent="0.25">
      <c r="A284" s="215"/>
      <c r="B284" s="215"/>
      <c r="C284" s="215"/>
      <c r="D284" s="219"/>
      <c r="E284" s="219"/>
      <c r="F284" s="219"/>
      <c r="G284" s="219"/>
      <c r="H284" s="219"/>
      <c r="I284" s="215"/>
      <c r="J284" s="215"/>
      <c r="K284" s="215"/>
      <c r="L284" s="219"/>
      <c r="M284" s="215"/>
      <c r="N284" s="215"/>
      <c r="O284" s="215"/>
      <c r="P284" s="215"/>
      <c r="Q284" s="220"/>
      <c r="R284" s="219"/>
      <c r="S284" s="215"/>
      <c r="T284" s="215"/>
      <c r="U284" s="215"/>
      <c r="V284" s="218"/>
      <c r="W284" s="217"/>
      <c r="X284" s="215"/>
      <c r="Y284" s="215"/>
      <c r="Z284" s="215"/>
      <c r="AA284" s="216"/>
      <c r="AB284" s="215"/>
      <c r="AC284" s="215"/>
    </row>
    <row r="301" spans="1:29" s="221" customFormat="1" x14ac:dyDescent="0.25">
      <c r="A301" s="215"/>
      <c r="B301" s="215"/>
      <c r="C301" s="215"/>
      <c r="D301" s="219"/>
      <c r="E301" s="219"/>
      <c r="F301" s="219"/>
      <c r="G301" s="219"/>
      <c r="H301" s="219"/>
      <c r="I301" s="215"/>
      <c r="J301" s="215"/>
      <c r="K301" s="215"/>
      <c r="L301" s="219"/>
      <c r="M301" s="215"/>
      <c r="N301" s="215"/>
      <c r="O301" s="215"/>
      <c r="P301" s="215"/>
      <c r="Q301" s="220"/>
      <c r="R301" s="219"/>
      <c r="S301" s="215"/>
      <c r="T301" s="215"/>
      <c r="U301" s="215"/>
      <c r="V301" s="218"/>
      <c r="W301" s="217"/>
      <c r="X301" s="215"/>
      <c r="Y301" s="215"/>
      <c r="Z301" s="215"/>
      <c r="AA301" s="216"/>
      <c r="AB301" s="215"/>
      <c r="AC301" s="215"/>
    </row>
    <row r="313" spans="1:29" s="221" customFormat="1" x14ac:dyDescent="0.25">
      <c r="A313" s="215"/>
      <c r="B313" s="215"/>
      <c r="C313" s="215"/>
      <c r="D313" s="219"/>
      <c r="E313" s="219"/>
      <c r="F313" s="219"/>
      <c r="G313" s="219"/>
      <c r="H313" s="219"/>
      <c r="I313" s="215"/>
      <c r="J313" s="215"/>
      <c r="K313" s="215"/>
      <c r="L313" s="219"/>
      <c r="M313" s="215"/>
      <c r="N313" s="215"/>
      <c r="O313" s="215"/>
      <c r="P313" s="215"/>
      <c r="Q313" s="220"/>
      <c r="R313" s="219"/>
      <c r="S313" s="215"/>
      <c r="T313" s="215"/>
      <c r="U313" s="215"/>
      <c r="V313" s="218"/>
      <c r="W313" s="217"/>
      <c r="X313" s="215"/>
      <c r="Y313" s="215"/>
      <c r="Z313" s="215"/>
      <c r="AA313" s="216"/>
      <c r="AB313" s="215"/>
      <c r="AC313" s="215"/>
    </row>
    <row r="317" spans="1:29" s="221" customFormat="1" x14ac:dyDescent="0.25">
      <c r="A317" s="215"/>
      <c r="B317" s="215"/>
      <c r="C317" s="215"/>
      <c r="D317" s="219"/>
      <c r="E317" s="219"/>
      <c r="F317" s="219"/>
      <c r="G317" s="219"/>
      <c r="H317" s="219"/>
      <c r="I317" s="215"/>
      <c r="J317" s="215"/>
      <c r="K317" s="215"/>
      <c r="L317" s="219"/>
      <c r="M317" s="215"/>
      <c r="N317" s="215"/>
      <c r="O317" s="215"/>
      <c r="P317" s="215"/>
      <c r="Q317" s="220"/>
      <c r="R317" s="219"/>
      <c r="S317" s="215"/>
      <c r="T317" s="215"/>
      <c r="U317" s="215"/>
      <c r="V317" s="218"/>
      <c r="W317" s="217"/>
      <c r="X317" s="215"/>
      <c r="Y317" s="215"/>
      <c r="Z317" s="215"/>
      <c r="AA317" s="216"/>
      <c r="AB317" s="215"/>
      <c r="AC317" s="215"/>
    </row>
    <row r="442" ht="15" customHeight="1" x14ac:dyDescent="0.25"/>
  </sheetData>
  <mergeCells count="1">
    <mergeCell ref="A8:AB8"/>
  </mergeCells>
  <conditionalFormatting sqref="A1:A1048576">
    <cfRule type="duplicateValues" dxfId="16" priority="3"/>
  </conditionalFormatting>
  <conditionalFormatting sqref="A9">
    <cfRule type="duplicateValues" dxfId="15" priority="17"/>
  </conditionalFormatting>
  <conditionalFormatting sqref="A10:A236">
    <cfRule type="duplicateValues" dxfId="14" priority="19"/>
  </conditionalFormatting>
  <conditionalFormatting sqref="A10:A242">
    <cfRule type="duplicateValues" dxfId="13" priority="18"/>
  </conditionalFormatting>
  <conditionalFormatting sqref="A28:A234">
    <cfRule type="duplicateValues" dxfId="12" priority="16"/>
  </conditionalFormatting>
  <conditionalFormatting sqref="A54">
    <cfRule type="duplicateValues" dxfId="11" priority="8"/>
    <cfRule type="duplicateValues" dxfId="10" priority="9"/>
  </conditionalFormatting>
  <conditionalFormatting sqref="A56">
    <cfRule type="duplicateValues" dxfId="9" priority="7"/>
  </conditionalFormatting>
  <conditionalFormatting sqref="A72:A75"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</conditionalFormatting>
  <conditionalFormatting sqref="A86:A87 A91:A94">
    <cfRule type="duplicateValues" dxfId="3" priority="6"/>
  </conditionalFormatting>
  <conditionalFormatting sqref="A88:A90">
    <cfRule type="duplicateValues" dxfId="2" priority="4"/>
  </conditionalFormatting>
  <conditionalFormatting sqref="N10:N242">
    <cfRule type="cellIs" dxfId="1" priority="1" operator="equal">
      <formula>0</formula>
    </cfRule>
  </conditionalFormatting>
  <conditionalFormatting sqref="AA10:AA242">
    <cfRule type="expression" dxfId="0" priority="2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AA10B5CC3FB4EA00E51166B7EAD84" ma:contentTypeVersion="30" ma:contentTypeDescription="Create a new document." ma:contentTypeScope="" ma:versionID="cea9fb23c4542bf558c2ffc0708c7d79">
  <xsd:schema xmlns:xsd="http://www.w3.org/2001/XMLSchema" xmlns:xs="http://www.w3.org/2001/XMLSchema" xmlns:p="http://schemas.microsoft.com/office/2006/metadata/properties" xmlns:ns2="4b7efc86-4f7a-4745-8e5c-68f6370292ce" xmlns:ns3="ce1ada4e-9b1b-4f77-b881-7122a436a660" targetNamespace="http://schemas.microsoft.com/office/2006/metadata/properties" ma:root="true" ma:fieldsID="df13aab8ba798e72755fbdf6f505f352" ns2:_="" ns3:_="">
    <xsd:import namespace="4b7efc86-4f7a-4745-8e5c-68f6370292ce"/>
    <xsd:import namespace="ce1ada4e-9b1b-4f77-b881-7122a436a66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2:_dlc_DocId" minOccurs="0"/>
                <xsd:element ref="ns2:_dlc_DocIdUrl" minOccurs="0"/>
                <xsd:element ref="ns2:_dlc_DocIdPersistId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efc86-4f7a-4745-8e5c-68f6370292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ada4e-9b1b-4f77-b881-7122a436a660" elementFormDefault="qualified">
    <xsd:import namespace="http://schemas.microsoft.com/office/2006/documentManagement/types"/>
    <xsd:import namespace="http://schemas.microsoft.com/office/infopath/2007/PartnerControls"/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0307CE95-123C-42CE-B0AF-2BC21EDD5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7efc86-4f7a-4745-8e5c-68f6370292ce"/>
    <ds:schemaRef ds:uri="ce1ada4e-9b1b-4f77-b881-7122a436a6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76E943-7594-4718-9B96-385C460EBD17}"/>
</file>

<file path=customXml/itemProps3.xml><?xml version="1.0" encoding="utf-8"?>
<ds:datastoreItem xmlns:ds="http://schemas.openxmlformats.org/officeDocument/2006/customXml" ds:itemID="{BADD4CD1-26A7-4B28-827C-CC93FA5EA62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24E6DC3-E04D-445C-AB0E-6553551DB19D}">
  <ds:schemaRefs>
    <ds:schemaRef ds:uri="http://purl.org/dc/elements/1.1/"/>
    <ds:schemaRef ds:uri="http://schemas.microsoft.com/office/2006/documentManagement/types"/>
    <ds:schemaRef ds:uri="ce1ada4e-9b1b-4f77-b881-7122a436a660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b7efc86-4f7a-4745-8e5c-68f6370292c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03012025</vt:lpstr>
      <vt:lpstr>List of All CrewMeal Specs</vt:lpstr>
      <vt:lpstr>Change Record</vt:lpstr>
      <vt:lpstr>List of All Pax Spec codes </vt:lpstr>
      <vt:lpstr>FG MASTER</vt:lpstr>
      <vt:lpstr>'03012025'!Print_Area</vt:lpstr>
      <vt:lpstr>'FG MASTER'!Print_Area</vt:lpstr>
      <vt:lpstr>'List of All CrewMeal Specs'!Print_Area</vt:lpstr>
      <vt:lpstr>'List of All Pax Spec codes '!Print_Area</vt:lpstr>
    </vt:vector>
  </TitlesOfParts>
  <Manager/>
  <Company>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Lillström, My (CPHNM-L)</dc:creator>
  <cp:keywords/>
  <dc:description/>
  <cp:lastModifiedBy>Sue  Lu</cp:lastModifiedBy>
  <cp:revision/>
  <cp:lastPrinted>2024-06-12T07:09:19Z</cp:lastPrinted>
  <dcterms:created xsi:type="dcterms:W3CDTF">2015-05-26T10:02:59Z</dcterms:created>
  <dcterms:modified xsi:type="dcterms:W3CDTF">2025-03-13T15:07:54Z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_dlc_DocIdItemGuid">
    <vt:lpwstr>5277fd36-2788-4da0-b4cb-231663a6d2c7</vt:lpwstr>
  </property>
</Properties>
</file>