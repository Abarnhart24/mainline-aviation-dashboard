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Desktop/"/>
    </mc:Choice>
  </mc:AlternateContent>
  <xr:revisionPtr revIDLastSave="268" documentId="13_ncr:1_{C9748AA8-FB85-484F-9C5F-BAFBEEC7C9FF}" xr6:coauthVersionLast="47" xr6:coauthVersionMax="47" xr10:uidLastSave="{5B4AB3EA-CCC5-469B-A2E0-92AFB3A8AB1E}"/>
  <bookViews>
    <workbookView xWindow="67080" yWindow="-5370" windowWidth="38640" windowHeight="21120" activeTab="2" xr2:uid="{AACAC2DE-DE14-48E2-BB41-7EEDE298DE98}"/>
  </bookViews>
  <sheets>
    <sheet name="CS C C1-4" sheetId="1" r:id="rId1"/>
    <sheet name="CS Y C1-4" sheetId="3" r:id="rId2"/>
    <sheet name="CS M C1-4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19" i="4"/>
  <c r="E18" i="4"/>
  <c r="E17" i="4"/>
  <c r="E26" i="4"/>
  <c r="E25" i="4"/>
  <c r="E24" i="4"/>
  <c r="E34" i="4"/>
  <c r="E33" i="4"/>
  <c r="E32" i="4"/>
  <c r="E31" i="4"/>
  <c r="E30" i="4"/>
  <c r="E63" i="3"/>
  <c r="E61" i="3"/>
  <c r="E64" i="3"/>
  <c r="E65" i="3"/>
  <c r="E67" i="3"/>
  <c r="E68" i="3"/>
  <c r="E66" i="3"/>
  <c r="E43" i="3"/>
  <c r="E41" i="3"/>
  <c r="E37" i="3"/>
  <c r="E36" i="3"/>
  <c r="E35" i="3"/>
  <c r="E31" i="3"/>
  <c r="E30" i="3"/>
  <c r="E29" i="3"/>
  <c r="E28" i="3"/>
  <c r="E27" i="3"/>
  <c r="E22" i="3"/>
  <c r="E21" i="3" l="1"/>
  <c r="E20" i="3"/>
  <c r="E126" i="1"/>
  <c r="F126" i="1" s="1"/>
  <c r="F127" i="1" s="1"/>
  <c r="E121" i="1"/>
  <c r="E120" i="1"/>
  <c r="F120" i="1" s="1"/>
  <c r="E119" i="1"/>
  <c r="E116" i="1"/>
  <c r="F116" i="1" s="1"/>
  <c r="E115" i="1"/>
  <c r="F115" i="1" s="1"/>
  <c r="F96" i="1"/>
  <c r="E114" i="1"/>
  <c r="F114" i="1"/>
  <c r="E113" i="1"/>
  <c r="F113" i="1" s="1"/>
  <c r="E111" i="1"/>
  <c r="F111" i="1" s="1"/>
  <c r="F92" i="1"/>
  <c r="F95" i="1"/>
  <c r="F94" i="1"/>
  <c r="F93" i="1"/>
  <c r="E89" i="1"/>
  <c r="F89" i="1" s="1"/>
  <c r="F90" i="1" s="1"/>
  <c r="E76" i="1"/>
  <c r="E62" i="1"/>
  <c r="E60" i="1"/>
  <c r="F60" i="1" s="1"/>
  <c r="E58" i="1"/>
  <c r="E54" i="1"/>
  <c r="E52" i="1"/>
  <c r="F52" i="1" s="1"/>
  <c r="E48" i="1"/>
  <c r="F48" i="1" s="1"/>
  <c r="F46" i="1"/>
  <c r="F47" i="1"/>
  <c r="E47" i="1"/>
  <c r="E45" i="1"/>
  <c r="F45" i="1" s="1"/>
  <c r="E40" i="1"/>
  <c r="F40" i="1" s="1"/>
  <c r="E39" i="1"/>
  <c r="F39" i="1" s="1"/>
  <c r="E34" i="1"/>
  <c r="F34" i="1" s="1"/>
  <c r="F35" i="1" s="1"/>
  <c r="E30" i="1"/>
  <c r="E28" i="1"/>
  <c r="F28" i="1" s="1"/>
  <c r="E25" i="1"/>
  <c r="F25" i="1" s="1"/>
  <c r="E24" i="1"/>
  <c r="E23" i="1"/>
  <c r="F23" i="1" s="1"/>
  <c r="E22" i="1"/>
  <c r="F22" i="1" s="1"/>
  <c r="E14" i="1"/>
  <c r="F50" i="4"/>
  <c r="F49" i="4"/>
  <c r="F48" i="4"/>
  <c r="F47" i="4"/>
  <c r="F44" i="4"/>
  <c r="F45" i="4" s="1"/>
  <c r="F41" i="4"/>
  <c r="F42" i="4" s="1"/>
  <c r="F38" i="4"/>
  <c r="F37" i="4"/>
  <c r="F39" i="4" s="1"/>
  <c r="F34" i="4"/>
  <c r="F33" i="4"/>
  <c r="F32" i="4"/>
  <c r="F31" i="4"/>
  <c r="F30" i="4"/>
  <c r="F27" i="4"/>
  <c r="F26" i="4"/>
  <c r="F25" i="4"/>
  <c r="F24" i="4"/>
  <c r="F23" i="4"/>
  <c r="F16" i="4"/>
  <c r="F20" i="4"/>
  <c r="F19" i="4"/>
  <c r="F18" i="4"/>
  <c r="F17" i="4"/>
  <c r="F72" i="3"/>
  <c r="F73" i="3" s="1"/>
  <c r="F69" i="3"/>
  <c r="F68" i="3"/>
  <c r="F67" i="3"/>
  <c r="F66" i="3"/>
  <c r="F65" i="3"/>
  <c r="F64" i="3"/>
  <c r="F63" i="3"/>
  <c r="F62" i="3"/>
  <c r="F61" i="3"/>
  <c r="F46" i="3"/>
  <c r="F47" i="3" s="1"/>
  <c r="F43" i="3"/>
  <c r="F42" i="3"/>
  <c r="F41" i="3"/>
  <c r="F38" i="3"/>
  <c r="F37" i="3"/>
  <c r="F36" i="3"/>
  <c r="F35" i="3"/>
  <c r="F39" i="3" s="1"/>
  <c r="F34" i="3"/>
  <c r="F31" i="3"/>
  <c r="F30" i="3"/>
  <c r="F29" i="3"/>
  <c r="F28" i="3"/>
  <c r="F27" i="3"/>
  <c r="F24" i="3"/>
  <c r="F23" i="3"/>
  <c r="F22" i="3"/>
  <c r="F25" i="3" s="1"/>
  <c r="F21" i="3"/>
  <c r="F20" i="3"/>
  <c r="F125" i="1"/>
  <c r="F124" i="1"/>
  <c r="F121" i="1"/>
  <c r="F119" i="1"/>
  <c r="F112" i="1"/>
  <c r="F110" i="1"/>
  <c r="F86" i="1"/>
  <c r="F87" i="1" s="1"/>
  <c r="F85" i="1"/>
  <c r="F82" i="1"/>
  <c r="F81" i="1"/>
  <c r="F80" i="1"/>
  <c r="F79" i="1"/>
  <c r="F83" i="1" s="1"/>
  <c r="F69" i="1"/>
  <c r="F68" i="1"/>
  <c r="F70" i="1" s="1"/>
  <c r="F73" i="1"/>
  <c r="F74" i="1" s="1"/>
  <c r="F72" i="1"/>
  <c r="F65" i="1"/>
  <c r="F62" i="1"/>
  <c r="F61" i="1"/>
  <c r="F59" i="1"/>
  <c r="F58" i="1"/>
  <c r="F55" i="1"/>
  <c r="F54" i="1"/>
  <c r="F53" i="1"/>
  <c r="F51" i="1"/>
  <c r="F44" i="1"/>
  <c r="F41" i="1"/>
  <c r="F38" i="1"/>
  <c r="F37" i="1"/>
  <c r="F31" i="1"/>
  <c r="F30" i="1"/>
  <c r="F29" i="1"/>
  <c r="F24" i="1"/>
  <c r="F21" i="1"/>
  <c r="F18" i="1"/>
  <c r="F17" i="1"/>
  <c r="F19" i="1" s="1"/>
  <c r="F14" i="1"/>
  <c r="F15" i="1" s="1"/>
  <c r="F11" i="1"/>
  <c r="F51" i="4"/>
  <c r="F108" i="1"/>
  <c r="F77" i="1"/>
  <c r="F66" i="1"/>
  <c r="F12" i="1"/>
  <c r="F21" i="4" l="1"/>
  <c r="F28" i="4"/>
  <c r="F35" i="4"/>
  <c r="F70" i="3"/>
  <c r="F44" i="3"/>
  <c r="F32" i="3"/>
  <c r="F122" i="1"/>
  <c r="F117" i="1"/>
  <c r="F63" i="1"/>
  <c r="F56" i="1"/>
  <c r="F49" i="1"/>
  <c r="F42" i="1"/>
  <c r="F32" i="1"/>
  <c r="F26" i="1"/>
</calcChain>
</file>

<file path=xl/sharedStrings.xml><?xml version="1.0" encoding="utf-8"?>
<sst xmlns="http://schemas.openxmlformats.org/spreadsheetml/2006/main" count="428" uniqueCount="225">
  <si>
    <t>SAS IFX Description</t>
  </si>
  <si>
    <t>Weight / Pc</t>
  </si>
  <si>
    <t>Unit of M</t>
  </si>
  <si>
    <t>Load Ratio</t>
  </si>
  <si>
    <t xml:space="preserve">Napkin/Tablecloth, Poly/Cotton, Grey </t>
  </si>
  <si>
    <t>Pc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</si>
  <si>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</si>
  <si>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</si>
  <si>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</si>
  <si>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</si>
  <si>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</si>
  <si>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gm</t>
  </si>
  <si>
    <t>2 Min</t>
  </si>
  <si>
    <t xml:space="preserve">Premium Whipped Butter </t>
  </si>
  <si>
    <t>Maldon Flaky Salt</t>
  </si>
  <si>
    <t>IC C S1 HM - Pre Select ONLY -FISH</t>
  </si>
  <si>
    <t>8x20</t>
  </si>
  <si>
    <t>2 tray min</t>
  </si>
  <si>
    <t>Grapes</t>
  </si>
  <si>
    <t>Honeydew (0,75 inch cubes)</t>
  </si>
  <si>
    <t>Cantaloupe (0,75 inch cubes)</t>
  </si>
  <si>
    <t>Sourdough</t>
  </si>
  <si>
    <t>Multi Grain Beer and Cheese Roll</t>
  </si>
  <si>
    <t>Artisan Baguette Sliced</t>
  </si>
  <si>
    <t>2 FIXED</t>
  </si>
  <si>
    <t>Bar Bulk Load</t>
  </si>
  <si>
    <t xml:space="preserve">Celery Stick </t>
  </si>
  <si>
    <t>Sliced Lemon Half Moon</t>
  </si>
  <si>
    <t>Lemon Wedges</t>
  </si>
  <si>
    <t>Lime Wedges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</si>
  <si>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</si>
  <si>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</si>
  <si>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</si>
  <si>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</si>
  <si>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</si>
  <si>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</si>
  <si>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</si>
  <si>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</si>
  <si>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</si>
  <si>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</si>
  <si>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Gm</t>
  </si>
  <si>
    <t>Leaf Lettuce</t>
  </si>
  <si>
    <t>2x 5</t>
  </si>
  <si>
    <t xml:space="preserve"> </t>
  </si>
  <si>
    <t>Mini Croissant</t>
  </si>
  <si>
    <t>Six Grain Roll</t>
  </si>
  <si>
    <t>Mini Bagel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</si>
  <si>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</si>
  <si>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</si>
  <si>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</si>
  <si>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</si>
  <si>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</si>
  <si>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</si>
  <si>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</si>
  <si>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</si>
  <si>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</si>
  <si>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</si>
  <si>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</si>
  <si>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</si>
  <si>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</si>
  <si>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</si>
  <si>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</si>
  <si>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</si>
  <si>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</si>
  <si>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</si>
  <si>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</si>
  <si>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</si>
  <si>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</si>
  <si>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</si>
  <si>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 xml:space="preserve">Cherry tomato </t>
  </si>
  <si>
    <t>2x 10</t>
  </si>
  <si>
    <t>Cantaloupe Wedge</t>
  </si>
  <si>
    <t>pc</t>
  </si>
  <si>
    <t>GO (ECONOMY) MAX - 174 PAX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</si>
  <si>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</si>
  <si>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</si>
  <si>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</si>
  <si>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</si>
  <si>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</si>
  <si>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</si>
  <si>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</si>
  <si>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</si>
  <si>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Mesclun Mixed Green Mix</t>
  </si>
  <si>
    <t>Honey Wheat Roll</t>
  </si>
  <si>
    <t>PP Juice</t>
  </si>
  <si>
    <t xml:space="preserve">Mesclun Mixed Greens </t>
  </si>
  <si>
    <t>Pre-Select</t>
  </si>
  <si>
    <t>Slices</t>
  </si>
  <si>
    <t>aCup</t>
  </si>
  <si>
    <t xml:space="preserve">IC C S3 BRD </t>
  </si>
  <si>
    <t>SECOND SERVICE</t>
  </si>
  <si>
    <t>Sourdough Roll</t>
  </si>
  <si>
    <t>BUSINESS CLASS - Max 32 +  6 buffer pax</t>
  </si>
  <si>
    <t>PLUS (PREMIUM ECO) MAX - 57 PAX + 6 buffer</t>
  </si>
  <si>
    <t>2x 15</t>
  </si>
  <si>
    <t>Cucumber Rounds</t>
  </si>
  <si>
    <t>2  tray min</t>
  </si>
  <si>
    <t xml:space="preserve">VLML OPTION 1 </t>
  </si>
  <si>
    <t>IC C S1 CUTLERY C1</t>
  </si>
  <si>
    <t>IC C S1 SALAD C1</t>
  </si>
  <si>
    <t>IC C S1 SA GARNISH C1</t>
  </si>
  <si>
    <t>IC C S1+S2 BUTTER C1</t>
  </si>
  <si>
    <t xml:space="preserve">Dehydrated Strawberry </t>
  </si>
  <si>
    <t>Snow Crab Claw</t>
  </si>
  <si>
    <t>Frissee</t>
  </si>
  <si>
    <t>Crab Salad</t>
  </si>
  <si>
    <t>Spotted Trotter Duck Proscuitto</t>
  </si>
  <si>
    <t>IC C S1 ST-A MEAT C1</t>
  </si>
  <si>
    <t>IC C S1 ST-B FISH C1</t>
  </si>
  <si>
    <t>IC C S1 ST GARNISH C1</t>
  </si>
  <si>
    <t>IC C S1 HM-A MEAT C1</t>
  </si>
  <si>
    <t>Sticky Rice</t>
  </si>
  <si>
    <t>Ginger Ponzu Glaze</t>
  </si>
  <si>
    <t>Rosemary Marble Potatoes</t>
  </si>
  <si>
    <t>Lemon Herb Chicken Jus</t>
  </si>
  <si>
    <t>Marinated Haricovert</t>
  </si>
  <si>
    <t>Chopped Parsley</t>
  </si>
  <si>
    <t>Wild Mushroom Conserva</t>
  </si>
  <si>
    <t>Grilled Baby Zuccini</t>
  </si>
  <si>
    <t>Oven Roasted Tomato</t>
  </si>
  <si>
    <t>Tomato Citrus Nage</t>
  </si>
  <si>
    <t>Saffron Cous Cous</t>
  </si>
  <si>
    <t>Blistered Tomato</t>
  </si>
  <si>
    <t>Mild Ponzu Marinated Jalapenos</t>
  </si>
  <si>
    <t>Sweet Grass Dairy Cypress</t>
  </si>
  <si>
    <t>Sweet Grass Heat</t>
  </si>
  <si>
    <t>Matcha Cheese Cake</t>
  </si>
  <si>
    <t>Chocolate Syrup</t>
  </si>
  <si>
    <t>IC C S1 HM-C POULTRY C1</t>
  </si>
  <si>
    <t>IC C S1 HM-D VEG C1</t>
  </si>
  <si>
    <t>IC C S1 HM GARNISH C1</t>
  </si>
  <si>
    <t>IC C S1 DE CHEESE C1</t>
  </si>
  <si>
    <t>IC C S1 DE CAKE C1</t>
  </si>
  <si>
    <t>IC C S1 DE CAKE GARNISH C1</t>
  </si>
  <si>
    <t>IC C S1 DE FRUIT C1</t>
  </si>
  <si>
    <t>IC C S1 BRD Type 1 C1</t>
  </si>
  <si>
    <t>IC C S1 BRD Type 2 C1</t>
  </si>
  <si>
    <t>IC C S2 TSU C1</t>
  </si>
  <si>
    <t>IC C S2 COLD CUTS C1</t>
  </si>
  <si>
    <t>Canadian Bacon</t>
  </si>
  <si>
    <t>Sweet Grass Dairy Fresh Farmer Cheese W/ Lavender</t>
  </si>
  <si>
    <t>Grape Tomato</t>
  </si>
  <si>
    <t>Spotted Trotter Hard Chorizo</t>
  </si>
  <si>
    <t>Cucumber Slices</t>
  </si>
  <si>
    <t>Grape Cluster</t>
  </si>
  <si>
    <t>Over-night Rice Pudding</t>
  </si>
  <si>
    <t>Morello Cherry Compote</t>
  </si>
  <si>
    <t>Quartered Strawberry</t>
  </si>
  <si>
    <t>Hard boiled egg Half</t>
  </si>
  <si>
    <t>IC Y S2 BREAKFAST PLATE C1</t>
  </si>
  <si>
    <t>IC Y S1 TSU C1</t>
  </si>
  <si>
    <t>IC Y S1 ST C1</t>
  </si>
  <si>
    <t>IC Y S1 HM-A C1</t>
  </si>
  <si>
    <t>IC Y/M S1 HM-B C1</t>
  </si>
  <si>
    <t>IC Y S1 DE C1</t>
  </si>
  <si>
    <t>BRD Y S1  C1</t>
  </si>
  <si>
    <t>IC Y S2 TSU C1</t>
  </si>
  <si>
    <t>2x 70</t>
  </si>
  <si>
    <t>Cheese Manicotti</t>
  </si>
  <si>
    <t>Thai Green Curry Sauce</t>
  </si>
  <si>
    <t>Sweet Pepper Slice</t>
  </si>
  <si>
    <t>Strawberry Cheese Cake</t>
  </si>
  <si>
    <t>Crème Fraiche</t>
  </si>
  <si>
    <t>Arugula</t>
  </si>
  <si>
    <t>Balsamic Glaze</t>
  </si>
  <si>
    <t>Grilled Chicken Breast, Diced</t>
  </si>
  <si>
    <t>Oreo Crumbles</t>
  </si>
  <si>
    <t>IC M S2 SW C1</t>
  </si>
  <si>
    <t>IC M S2 JUICE C1</t>
  </si>
  <si>
    <t>IC Y/M S1+S2 BRD Type 1 C1</t>
  </si>
  <si>
    <t>IC M S1 DE C1</t>
  </si>
  <si>
    <t>IC M S1 SALAD C1</t>
  </si>
  <si>
    <t>IC M S1 TSU C1</t>
  </si>
  <si>
    <t>Goat Cheese Crumbles</t>
  </si>
  <si>
    <t>Peppadew Sweer Pepper Drops</t>
  </si>
  <si>
    <t>Jjajangmyeon Short Rib</t>
  </si>
  <si>
    <t>Sesame Stir Fry Vegetables</t>
  </si>
  <si>
    <t>Lemon Roasted Airline Chicken Breast</t>
  </si>
  <si>
    <t>Pesto Shrimp</t>
  </si>
  <si>
    <t>Marinara</t>
  </si>
  <si>
    <t>Mozzarella Cheese</t>
  </si>
  <si>
    <t>Ratattouille</t>
  </si>
  <si>
    <t>Chocolate Mousse</t>
  </si>
  <si>
    <t>Potato Egg and Cheese Hand Pie</t>
  </si>
  <si>
    <t xml:space="preserve">Red Pepper </t>
  </si>
  <si>
    <t>Cucumber</t>
  </si>
  <si>
    <t>Shredded White Cheddar</t>
  </si>
  <si>
    <t>Sliced Provolone Cheese</t>
  </si>
  <si>
    <t>Watermelon (0,75 inch cubes)</t>
  </si>
  <si>
    <t>Canteloupe</t>
  </si>
  <si>
    <t>Shaved Watermelon Radish</t>
  </si>
  <si>
    <t>IC C S2 FRUIT C1</t>
  </si>
  <si>
    <t>Seared Salmon</t>
  </si>
  <si>
    <t>Mango Curry Aioli</t>
  </si>
  <si>
    <t>White Truffle Risotto</t>
  </si>
  <si>
    <t>Herb Orzo Salad</t>
  </si>
  <si>
    <t xml:space="preserve">Food Cost </t>
  </si>
  <si>
    <t>Food Waste</t>
  </si>
  <si>
    <t>c398</t>
  </si>
  <si>
    <t>Raw Material 10-20% buffer</t>
  </si>
  <si>
    <t>20% prep waste</t>
  </si>
  <si>
    <t>c087</t>
  </si>
  <si>
    <t>30% prep waste</t>
  </si>
  <si>
    <t>SYSCO</t>
  </si>
  <si>
    <t>C397</t>
  </si>
  <si>
    <t>D496</t>
  </si>
  <si>
    <t>25% DRAIN</t>
  </si>
  <si>
    <t>D528</t>
  </si>
  <si>
    <t>C040</t>
  </si>
  <si>
    <t>40% WASTE</t>
  </si>
  <si>
    <t>D232</t>
  </si>
  <si>
    <t>F268</t>
  </si>
  <si>
    <t>C239</t>
  </si>
  <si>
    <t>C071</t>
  </si>
  <si>
    <t>C106</t>
  </si>
  <si>
    <t xml:space="preserve">463 COCONUT CHIA OAT PUDDING </t>
  </si>
  <si>
    <t>C303</t>
  </si>
  <si>
    <t>FG138</t>
  </si>
  <si>
    <t>C059</t>
  </si>
  <si>
    <t>P219</t>
  </si>
  <si>
    <t>SR243</t>
  </si>
  <si>
    <t>C387</t>
  </si>
  <si>
    <t>P290</t>
  </si>
  <si>
    <t>c059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</si>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</sst>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12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6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/>
      <protection locked="0"/>
    </xf>
    <xf numFmtId="43" fontId="6" fillId="4" borderId="2" xfId="1" applyFont="1" applyFill="1" applyBorder="1" applyAlignment="1" applyProtection="1">
      <alignment horizontal="center"/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43" fontId="6" fillId="4" borderId="2" xfId="1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left"/>
    </xf>
    <xf numFmtId="43" fontId="6" fillId="4" borderId="2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9" fontId="6" fillId="4" borderId="2" xfId="1" applyNumberFormat="1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left"/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4" borderId="8" xfId="1" applyFont="1" applyFill="1" applyBorder="1" applyAlignment="1" applyProtection="1">
      <alignment horizontal="center"/>
      <protection locked="0"/>
    </xf>
    <xf numFmtId="43" fontId="6" fillId="4" borderId="7" xfId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43" fontId="6" fillId="0" borderId="2" xfId="1" applyFont="1" applyFill="1" applyBorder="1" applyAlignment="1" applyProtection="1">
      <alignment horizontal="center"/>
      <protection locked="0"/>
    </xf>
    <xf numFmtId="0" fontId="10" fillId="6" borderId="9" xfId="0" applyFont="1" applyFill="1" applyBorder="1"/>
    <xf numFmtId="0" fontId="11" fillId="6" borderId="10" xfId="0" applyFont="1" applyFill="1" applyBorder="1"/>
    <xf numFmtId="0" fontId="12" fillId="0" borderId="2" xfId="0" applyFont="1" applyBorder="1"/>
    <xf numFmtId="0" fontId="0" fillId="0" borderId="2" xfId="0" applyBorder="1"/>
    <xf numFmtId="0" fontId="0" fillId="0" borderId="3" xfId="0" applyBorder="1"/>
    <xf numFmtId="9" fontId="0" fillId="0" borderId="0" xfId="0" applyNumberFormat="1"/>
    <xf numFmtId="0" fontId="5" fillId="3" borderId="8" xfId="0" applyFont="1" applyFill="1" applyBorder="1" applyAlignment="1">
      <alignment horizontal="center"/>
    </xf>
    <xf numFmtId="43" fontId="6" fillId="0" borderId="8" xfId="1" applyFont="1" applyFill="1" applyBorder="1" applyAlignment="1" applyProtection="1">
      <alignment horizontal="center"/>
      <protection locked="0"/>
    </xf>
    <xf numFmtId="0" fontId="5" fillId="3" borderId="11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43" fontId="6" fillId="4" borderId="13" xfId="1" applyFont="1" applyFill="1" applyBorder="1" applyAlignment="1" applyProtection="1">
      <alignment horizontal="center" vertical="center"/>
      <protection locked="0"/>
    </xf>
    <xf numFmtId="9" fontId="6" fillId="4" borderId="8" xfId="1" applyNumberFormat="1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>
      <alignment horizontal="center" vertical="center"/>
    </xf>
    <xf numFmtId="43" fontId="6" fillId="4" borderId="8" xfId="1" applyFont="1" applyFill="1" applyBorder="1" applyAlignment="1" applyProtection="1">
      <alignment horizontal="center" vertical="center"/>
      <protection locked="0"/>
    </xf>
    <xf numFmtId="43" fontId="6" fillId="2" borderId="8" xfId="1" applyFont="1" applyFill="1" applyBorder="1" applyAlignment="1" applyProtection="1">
      <alignment horizontal="center"/>
    </xf>
    <xf numFmtId="0" fontId="12" fillId="7" borderId="9" xfId="0" applyFont="1" applyFill="1" applyBorder="1"/>
    <xf numFmtId="0" fontId="9" fillId="7" borderId="9" xfId="0" applyFont="1" applyFill="1" applyBorder="1"/>
    <xf numFmtId="0" fontId="2" fillId="0" borderId="2" xfId="0" applyFont="1" applyBorder="1"/>
    <xf numFmtId="8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9" fontId="6" fillId="4" borderId="11" xfId="1" applyNumberFormat="1" applyFont="1" applyFill="1" applyBorder="1" applyAlignment="1" applyProtection="1">
      <alignment horizontal="center" vertical="center"/>
      <protection locked="0"/>
    </xf>
    <xf numFmtId="43" fontId="6" fillId="4" borderId="14" xfId="1" applyFont="1" applyFill="1" applyBorder="1" applyAlignment="1" applyProtection="1">
      <alignment horizontal="center" vertical="center"/>
      <protection locked="0"/>
    </xf>
    <xf numFmtId="43" fontId="6" fillId="4" borderId="13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4" borderId="12" xfId="1" applyNumberFormat="1" applyFont="1" applyFill="1" applyBorder="1" applyAlignment="1" applyProtection="1">
      <alignment horizontal="center" vertical="center"/>
      <protection locked="0"/>
    </xf>
    <xf numFmtId="43" fontId="6" fillId="4" borderId="12" xfId="1" applyFont="1" applyFill="1" applyBorder="1" applyAlignment="1" applyProtection="1">
      <alignment horizontal="center" vertical="center"/>
      <protection locked="0"/>
    </xf>
    <xf numFmtId="9" fontId="6" fillId="4" borderId="11" xfId="1" applyNumberFormat="1" applyFont="1" applyFill="1" applyBorder="1" applyAlignment="1">
      <alignment horizontal="center" vertical="center"/>
    </xf>
    <xf numFmtId="43" fontId="6" fillId="4" borderId="14" xfId="1" applyFont="1" applyFill="1" applyBorder="1" applyAlignment="1">
      <alignment horizontal="center" vertical="center"/>
    </xf>
    <xf numFmtId="43" fontId="6" fillId="4" borderId="13" xfId="1" applyFont="1" applyFill="1" applyBorder="1" applyAlignment="1">
      <alignment horizontal="center" vertical="center"/>
    </xf>
    <xf numFmtId="43" fontId="6" fillId="4" borderId="11" xfId="1" applyFont="1" applyFill="1" applyBorder="1" applyAlignment="1" applyProtection="1">
      <alignment horizontal="center" vertical="center"/>
      <protection locked="0"/>
    </xf>
    <xf numFmtId="16" fontId="6" fillId="4" borderId="11" xfId="1" applyNumberFormat="1" applyFont="1" applyFill="1" applyBorder="1" applyAlignment="1" applyProtection="1">
      <alignment horizontal="center" vertical="center"/>
      <protection locked="0"/>
    </xf>
    <xf numFmtId="9" fontId="6" fillId="0" borderId="11" xfId="1" applyNumberFormat="1" applyFont="1" applyFill="1" applyBorder="1" applyAlignment="1" applyProtection="1">
      <alignment horizontal="center" vertical="center"/>
    </xf>
    <xf numFmtId="43" fontId="6" fillId="0" borderId="14" xfId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9" fontId="6" fillId="4" borderId="4" xfId="1" applyNumberFormat="1" applyFont="1" applyFill="1" applyBorder="1" applyAlignment="1" applyProtection="1">
      <alignment horizontal="center" vertical="center"/>
      <protection locked="0"/>
    </xf>
    <xf numFmtId="43" fontId="6" fillId="4" borderId="7" xfId="1" applyFont="1" applyFill="1" applyBorder="1" applyAlignment="1" applyProtection="1">
      <alignment horizontal="center" vertical="center"/>
      <protection locked="0"/>
    </xf>
    <xf numFmtId="43" fontId="6" fillId="4" borderId="6" xfId="1" applyFont="1" applyFill="1" applyBorder="1" applyAlignment="1" applyProtection="1">
      <alignment horizontal="center" vertical="center"/>
      <protection locked="0"/>
    </xf>
    <xf numFmtId="9" fontId="6" fillId="4" borderId="6" xfId="1" applyNumberFormat="1" applyFont="1" applyFill="1" applyBorder="1" applyAlignment="1" applyProtection="1">
      <alignment horizontal="center" vertical="center"/>
      <protection locked="0"/>
    </xf>
    <xf numFmtId="9" fontId="6" fillId="4" borderId="4" xfId="1" applyNumberFormat="1" applyFont="1" applyFill="1" applyBorder="1" applyAlignment="1" applyProtection="1">
      <alignment horizontal="center"/>
      <protection locked="0"/>
    </xf>
    <xf numFmtId="43" fontId="6" fillId="4" borderId="6" xfId="1" applyFont="1" applyFill="1" applyBorder="1" applyAlignment="1" applyProtection="1">
      <alignment horizontal="center"/>
      <protection locked="0"/>
    </xf>
    <xf numFmtId="43" fontId="6" fillId="4" borderId="7" xfId="1" applyFont="1" applyFill="1" applyBorder="1" applyAlignment="1" applyProtection="1">
      <alignment horizontal="center"/>
      <protection locked="0"/>
    </xf>
    <xf numFmtId="0" fontId="13" fillId="0" borderId="0" xfId="0" applyFont="1"/>
    <xf numFmtId="9" fontId="14" fillId="0" borderId="0" xfId="0" applyNumberFormat="1" applyFont="1"/>
    <xf numFmtId="0" fontId="12" fillId="7" borderId="3" xfId="0" applyFont="1" applyFill="1" applyBorder="1"/>
    <xf numFmtId="0" fontId="9" fillId="7" borderId="3" xfId="0" applyFont="1" applyFill="1" applyBorder="1"/>
    <xf numFmtId="9" fontId="6" fillId="4" borderId="4" xfId="1" applyNumberFormat="1" applyFont="1" applyFill="1" applyBorder="1" applyAlignment="1" applyProtection="1">
      <alignment vertical="center"/>
      <protection locked="0"/>
    </xf>
    <xf numFmtId="43" fontId="6" fillId="4" borderId="6" xfId="1" applyFont="1" applyFill="1" applyBorder="1" applyAlignment="1" applyProtection="1">
      <alignment vertical="center"/>
      <protection locked="0"/>
    </xf>
    <xf numFmtId="43" fontId="6" fillId="4" borderId="7" xfId="1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43" fontId="6" fillId="0" borderId="7" xfId="1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8" fontId="2" fillId="2" borderId="2" xfId="0" applyNumberFormat="1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12" fillId="0" borderId="3" xfId="0" applyFont="1" applyBorder="1"/>
    <xf numFmtId="0" fontId="15" fillId="0" borderId="3" xfId="0" applyFont="1" applyBorder="1"/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H127"/>
  <sheetViews>
    <sheetView topLeftCell="A92" zoomScale="130" zoomScaleNormal="130" workbookViewId="0">
      <selection activeCell="E111" sqref="E111"/>
    </sheetView>
  </sheetViews>
  <sheetFormatPr defaultRowHeight="15"/>
  <cols>
    <col min="1" max="1" width="40.5703125" customWidth="1"/>
    <col min="2" max="4" width="10.7109375" style="31" customWidth="1"/>
    <col min="5" max="5" width="15.28515625" style="12" bestFit="1" customWidth="1"/>
    <col min="6" max="6" width="16.7109375" customWidth="1"/>
  </cols>
  <sheetData>
    <row r="1" spans="1:8" ht="34.5">
      <c r="A1" s="1" t="s">
        <v>92</v>
      </c>
      <c r="B1" s="2"/>
      <c r="C1" s="2"/>
      <c r="D1" s="2"/>
      <c r="E1" s="12" t="s">
        <v>199</v>
      </c>
    </row>
    <row r="2" spans="1:8">
      <c r="A2" s="3" t="s">
        <v>0</v>
      </c>
      <c r="B2" s="29" t="s">
        <v>1</v>
      </c>
      <c r="C2" s="29" t="s">
        <v>2</v>
      </c>
      <c r="D2" s="29" t="s">
        <v>3</v>
      </c>
      <c r="F2" s="56">
        <v>0.05</v>
      </c>
    </row>
    <row r="3" spans="1:8">
      <c r="A3" s="4" t="s">
        <v>98</v>
      </c>
      <c r="B3" s="30"/>
      <c r="C3" s="30"/>
      <c r="D3" s="30"/>
      <c r="E3" s="51" t="s">
        <v>196</v>
      </c>
      <c r="F3" s="52" t="s">
        <v>197</v>
      </c>
    </row>
    <row r="4" spans="1:8">
      <c r="A4" s="5" t="s">
        <v>4</v>
      </c>
      <c r="B4" s="27">
        <v>1</v>
      </c>
      <c r="C4" s="6" t="s">
        <v>5</v>
      </c>
      <c r="D4" s="74">
        <v>1</v>
      </c>
      <c r="E4" s="53"/>
      <c r="F4" s="54"/>
    </row>
    <row r="5" spans="1:8">
      <c r="A5" s="7" t="s">
        <v>6</v>
      </c>
      <c r="B5" s="27">
        <v>3</v>
      </c>
      <c r="C5" s="6" t="s">
        <v>5</v>
      </c>
      <c r="D5" s="75"/>
      <c r="E5" s="53"/>
      <c r="F5" s="54"/>
    </row>
    <row r="6" spans="1:8">
      <c r="A6" s="7" t="s">
        <v>7</v>
      </c>
      <c r="B6" s="27">
        <v>3</v>
      </c>
      <c r="C6" s="6" t="s">
        <v>5</v>
      </c>
      <c r="D6" s="75"/>
      <c r="E6" s="53"/>
      <c r="F6" s="54"/>
    </row>
    <row r="7" spans="1:8">
      <c r="A7" s="7" t="s">
        <v>8</v>
      </c>
      <c r="B7" s="27">
        <v>1</v>
      </c>
      <c r="C7" s="6" t="s">
        <v>5</v>
      </c>
      <c r="D7" s="75"/>
      <c r="E7" s="53"/>
      <c r="F7" s="54"/>
    </row>
    <row r="8" spans="1:8">
      <c r="A8" s="7" t="s">
        <v>9</v>
      </c>
      <c r="B8" s="27">
        <v>1</v>
      </c>
      <c r="C8" s="6" t="s">
        <v>5</v>
      </c>
      <c r="D8" s="75"/>
      <c r="E8" s="53"/>
      <c r="F8" s="54"/>
    </row>
    <row r="9" spans="1:8">
      <c r="A9" s="7" t="s">
        <v>10</v>
      </c>
      <c r="B9" s="27">
        <v>1</v>
      </c>
      <c r="C9" s="6" t="s">
        <v>5</v>
      </c>
      <c r="D9" s="76"/>
      <c r="E9" s="53"/>
      <c r="F9" s="54"/>
    </row>
    <row r="10" spans="1:8">
      <c r="A10" s="4" t="s">
        <v>99</v>
      </c>
      <c r="B10" s="30"/>
      <c r="C10" s="30"/>
      <c r="D10" s="30"/>
      <c r="E10" s="53"/>
      <c r="F10" s="54"/>
    </row>
    <row r="11" spans="1:8">
      <c r="A11" s="8" t="s">
        <v>85</v>
      </c>
      <c r="B11" s="9">
        <v>250</v>
      </c>
      <c r="C11" s="10" t="s">
        <v>11</v>
      </c>
      <c r="D11" s="10">
        <v>2</v>
      </c>
      <c r="E11" s="53">
        <v>1.4491000000000001</v>
      </c>
      <c r="F11" s="55">
        <f>E11*(1+$F$2)</f>
        <v>1.5215550000000002</v>
      </c>
    </row>
    <row r="12" spans="1:8">
      <c r="A12" s="48"/>
      <c r="B12" s="49"/>
      <c r="C12" s="50"/>
      <c r="D12" s="50"/>
      <c r="E12" s="66"/>
      <c r="F12" s="67">
        <f>SUM(F11)</f>
        <v>1.5215550000000002</v>
      </c>
    </row>
    <row r="13" spans="1:8">
      <c r="A13" s="4" t="s">
        <v>100</v>
      </c>
      <c r="B13" s="30"/>
      <c r="C13" s="30"/>
      <c r="D13" s="57"/>
      <c r="E13" s="68"/>
      <c r="F13" s="54"/>
    </row>
    <row r="14" spans="1:8">
      <c r="A14" s="8" t="s">
        <v>190</v>
      </c>
      <c r="B14" s="11">
        <v>200</v>
      </c>
      <c r="C14" s="10" t="s">
        <v>11</v>
      </c>
      <c r="D14" s="46">
        <v>2</v>
      </c>
      <c r="E14" s="68">
        <f>1.06/0.8*1.1/450*B14</f>
        <v>0.64777777777777779</v>
      </c>
      <c r="F14" s="55">
        <f>E14*(1+$F$2)</f>
        <v>0.6801666666666667</v>
      </c>
      <c r="G14" t="s">
        <v>198</v>
      </c>
      <c r="H14" t="s">
        <v>200</v>
      </c>
    </row>
    <row r="15" spans="1:8">
      <c r="A15" s="48"/>
      <c r="B15" s="49"/>
      <c r="C15" s="50"/>
      <c r="D15" s="58"/>
      <c r="E15" s="66"/>
      <c r="F15" s="67">
        <f>SUM(F14)</f>
        <v>0.6801666666666667</v>
      </c>
    </row>
    <row r="16" spans="1:8">
      <c r="A16" s="44" t="s">
        <v>101</v>
      </c>
      <c r="B16" s="30"/>
      <c r="C16" s="30"/>
      <c r="D16" s="59"/>
      <c r="E16" s="68"/>
      <c r="F16" s="54"/>
    </row>
    <row r="17" spans="1:8">
      <c r="A17" s="42" t="s">
        <v>13</v>
      </c>
      <c r="B17" s="43">
        <v>14</v>
      </c>
      <c r="C17" s="46" t="s">
        <v>11</v>
      </c>
      <c r="D17" s="77">
        <v>1</v>
      </c>
      <c r="E17" s="53">
        <v>7.46E-2</v>
      </c>
      <c r="F17" s="55">
        <f t="shared" ref="F17:F18" si="0">E17*(1+$F$2)</f>
        <v>7.8329999999999997E-2</v>
      </c>
    </row>
    <row r="18" spans="1:8">
      <c r="A18" s="42" t="s">
        <v>14</v>
      </c>
      <c r="B18" s="43">
        <v>1</v>
      </c>
      <c r="C18" s="46" t="s">
        <v>11</v>
      </c>
      <c r="D18" s="78"/>
      <c r="E18" s="53">
        <v>2.3E-3</v>
      </c>
      <c r="F18" s="55">
        <f t="shared" si="0"/>
        <v>2.415E-3</v>
      </c>
    </row>
    <row r="19" spans="1:8">
      <c r="A19" s="48"/>
      <c r="B19" s="49"/>
      <c r="C19" s="50"/>
      <c r="D19" s="58"/>
      <c r="E19" s="66"/>
      <c r="F19" s="67">
        <f>SUM(F17:F18)</f>
        <v>8.0744999999999997E-2</v>
      </c>
    </row>
    <row r="20" spans="1:8">
      <c r="A20" s="45" t="s">
        <v>107</v>
      </c>
      <c r="B20" s="30"/>
      <c r="C20" s="30"/>
      <c r="D20" s="60"/>
      <c r="E20" s="68"/>
      <c r="F20" s="54"/>
    </row>
    <row r="21" spans="1:8">
      <c r="A21" s="8" t="s">
        <v>106</v>
      </c>
      <c r="B21" s="11">
        <v>14</v>
      </c>
      <c r="C21" s="10" t="s">
        <v>11</v>
      </c>
      <c r="D21" s="71">
        <v>0.6</v>
      </c>
      <c r="E21" s="107"/>
      <c r="F21" s="55">
        <f t="shared" ref="F21:F25" si="1">E21*(1+$F$2)</f>
        <v>0</v>
      </c>
    </row>
    <row r="22" spans="1:8">
      <c r="A22" s="8" t="s">
        <v>189</v>
      </c>
      <c r="B22" s="11">
        <v>42</v>
      </c>
      <c r="C22" s="10" t="s">
        <v>11</v>
      </c>
      <c r="D22" s="72"/>
      <c r="E22" s="69">
        <f>29.24/6/0.7*1.1/450*B22</f>
        <v>0.7147555555555557</v>
      </c>
      <c r="F22" s="55">
        <f t="shared" si="1"/>
        <v>0.75049333333333357</v>
      </c>
      <c r="G22" t="s">
        <v>201</v>
      </c>
      <c r="H22" t="s">
        <v>202</v>
      </c>
    </row>
    <row r="23" spans="1:8">
      <c r="A23" s="8" t="s">
        <v>173</v>
      </c>
      <c r="B23" s="11">
        <v>6</v>
      </c>
      <c r="C23" s="10" t="s">
        <v>11</v>
      </c>
      <c r="D23" s="72"/>
      <c r="E23" s="69">
        <f>46.49*1.1/4/450*B23</f>
        <v>0.17046333333333336</v>
      </c>
      <c r="F23" s="55">
        <f t="shared" si="1"/>
        <v>0.17898650000000002</v>
      </c>
      <c r="G23" t="s">
        <v>203</v>
      </c>
    </row>
    <row r="24" spans="1:8">
      <c r="A24" s="8" t="s">
        <v>104</v>
      </c>
      <c r="B24" s="11">
        <v>3</v>
      </c>
      <c r="C24" s="10" t="s">
        <v>11</v>
      </c>
      <c r="D24" s="72"/>
      <c r="E24" s="70">
        <f>32.5/0.8*1.1/3/450*B24</f>
        <v>9.9305555555555564E-2</v>
      </c>
      <c r="F24" s="55">
        <f t="shared" si="1"/>
        <v>0.10427083333333334</v>
      </c>
      <c r="G24" t="s">
        <v>204</v>
      </c>
    </row>
    <row r="25" spans="1:8">
      <c r="A25" s="8" t="s">
        <v>164</v>
      </c>
      <c r="B25" s="11">
        <v>9</v>
      </c>
      <c r="C25" s="10" t="s">
        <v>11</v>
      </c>
      <c r="D25" s="73"/>
      <c r="E25" s="68">
        <f>28.55*1.1/6/12.907/28*B25</f>
        <v>0.13034870336140966</v>
      </c>
      <c r="F25" s="55">
        <f t="shared" si="1"/>
        <v>0.13686613852948015</v>
      </c>
      <c r="G25" t="s">
        <v>205</v>
      </c>
    </row>
    <row r="26" spans="1:8">
      <c r="A26" s="48"/>
      <c r="B26" s="49"/>
      <c r="C26" s="50"/>
      <c r="D26" s="58"/>
      <c r="E26" s="66"/>
      <c r="F26" s="67">
        <f>SUM(F21:F25)</f>
        <v>1.170616805196147</v>
      </c>
    </row>
    <row r="27" spans="1:8">
      <c r="A27" s="4" t="s">
        <v>108</v>
      </c>
      <c r="B27" s="30"/>
      <c r="C27" s="30"/>
      <c r="D27" s="57"/>
      <c r="E27" s="68"/>
      <c r="F27" s="54"/>
    </row>
    <row r="28" spans="1:8">
      <c r="A28" s="8" t="s">
        <v>103</v>
      </c>
      <c r="B28" s="11">
        <v>21</v>
      </c>
      <c r="C28" s="10" t="s">
        <v>11</v>
      </c>
      <c r="D28" s="71">
        <v>0.6</v>
      </c>
      <c r="E28" s="68">
        <f>26*1.1/450*B28</f>
        <v>1.3346666666666667</v>
      </c>
      <c r="F28" s="55">
        <f t="shared" ref="F28:F31" si="2">E28*(1+$F$2)</f>
        <v>1.4014</v>
      </c>
    </row>
    <row r="29" spans="1:8">
      <c r="A29" s="8" t="s">
        <v>105</v>
      </c>
      <c r="B29" s="11">
        <v>21</v>
      </c>
      <c r="C29" s="10" t="s">
        <v>11</v>
      </c>
      <c r="D29" s="72"/>
      <c r="E29" s="108"/>
      <c r="F29" s="55">
        <f t="shared" si="2"/>
        <v>0</v>
      </c>
    </row>
    <row r="30" spans="1:8">
      <c r="A30" s="8" t="s">
        <v>104</v>
      </c>
      <c r="B30" s="11">
        <v>5</v>
      </c>
      <c r="C30" s="10" t="s">
        <v>11</v>
      </c>
      <c r="D30" s="72"/>
      <c r="E30" s="70">
        <f>32.5/0.8*1.1/3/450*B30</f>
        <v>0.16550925925925927</v>
      </c>
      <c r="F30" s="55">
        <f t="shared" si="2"/>
        <v>0.17378472222222224</v>
      </c>
    </row>
    <row r="31" spans="1:8">
      <c r="A31" s="8" t="s">
        <v>193</v>
      </c>
      <c r="B31" s="11">
        <v>14</v>
      </c>
      <c r="C31" s="10" t="s">
        <v>11</v>
      </c>
      <c r="D31" s="73"/>
      <c r="E31" s="108"/>
      <c r="F31" s="55">
        <f t="shared" si="2"/>
        <v>0</v>
      </c>
    </row>
    <row r="32" spans="1:8">
      <c r="A32" s="48"/>
      <c r="B32" s="49"/>
      <c r="C32" s="50"/>
      <c r="D32" s="58"/>
      <c r="E32" s="66"/>
      <c r="F32" s="67">
        <f>SUM(F28:F31)</f>
        <v>1.5751847222222222</v>
      </c>
    </row>
    <row r="33" spans="1:8">
      <c r="A33" s="4" t="s">
        <v>109</v>
      </c>
      <c r="B33" s="30"/>
      <c r="C33" s="30"/>
      <c r="D33" s="57"/>
      <c r="E33" s="68"/>
      <c r="F33" s="54"/>
    </row>
    <row r="34" spans="1:8">
      <c r="A34" s="8" t="s">
        <v>174</v>
      </c>
      <c r="B34" s="11">
        <v>200</v>
      </c>
      <c r="C34" s="10" t="s">
        <v>11</v>
      </c>
      <c r="D34" s="62">
        <v>2</v>
      </c>
      <c r="E34" s="68">
        <f>56.79/0.75*1.1/2/105/28*B34</f>
        <v>2.8330612244897959</v>
      </c>
      <c r="F34" s="55">
        <f>E34*(1+$F$2)</f>
        <v>2.9747142857142856</v>
      </c>
      <c r="G34" t="s">
        <v>203</v>
      </c>
      <c r="H34" t="s">
        <v>206</v>
      </c>
    </row>
    <row r="35" spans="1:8">
      <c r="A35" s="48"/>
      <c r="B35" s="49"/>
      <c r="C35" s="50"/>
      <c r="D35" s="58"/>
      <c r="E35" s="66"/>
      <c r="F35" s="67">
        <f>SUM(F34)</f>
        <v>2.9747142857142856</v>
      </c>
    </row>
    <row r="36" spans="1:8">
      <c r="A36" s="4" t="s">
        <v>110</v>
      </c>
      <c r="B36" s="30"/>
      <c r="C36" s="30"/>
      <c r="D36" s="57"/>
      <c r="E36" s="68"/>
      <c r="F36" s="54"/>
    </row>
    <row r="37" spans="1:8">
      <c r="A37" s="8" t="s">
        <v>175</v>
      </c>
      <c r="B37" s="11">
        <v>90</v>
      </c>
      <c r="C37" s="10" t="s">
        <v>11</v>
      </c>
      <c r="D37" s="71">
        <v>0.5</v>
      </c>
      <c r="E37" s="108"/>
      <c r="F37" s="55">
        <f t="shared" ref="F37:F41" si="3">E37*(1+$F$2)</f>
        <v>0</v>
      </c>
    </row>
    <row r="38" spans="1:8">
      <c r="A38" s="8" t="s">
        <v>112</v>
      </c>
      <c r="B38" s="11">
        <v>28</v>
      </c>
      <c r="C38" s="10" t="s">
        <v>11</v>
      </c>
      <c r="D38" s="72"/>
      <c r="E38" s="108"/>
      <c r="F38" s="55">
        <f t="shared" si="3"/>
        <v>0</v>
      </c>
    </row>
    <row r="39" spans="1:8">
      <c r="A39" s="8" t="s">
        <v>111</v>
      </c>
      <c r="B39" s="11">
        <v>56</v>
      </c>
      <c r="C39" s="10" t="s">
        <v>11</v>
      </c>
      <c r="D39" s="72"/>
      <c r="E39" s="68">
        <f>23.24/15/450*B39</f>
        <v>0.19280592592592591</v>
      </c>
      <c r="F39" s="55">
        <f t="shared" si="3"/>
        <v>0.20244622222222222</v>
      </c>
      <c r="G39" t="s">
        <v>207</v>
      </c>
    </row>
    <row r="40" spans="1:8">
      <c r="A40" s="8" t="s">
        <v>176</v>
      </c>
      <c r="B40" s="11">
        <v>42</v>
      </c>
      <c r="C40" s="10" t="s">
        <v>11</v>
      </c>
      <c r="D40" s="72"/>
      <c r="E40" s="68">
        <f>17.4456*1.3/1.1*1.2/5/450*B40</f>
        <v>0.46183261090909078</v>
      </c>
      <c r="F40" s="55">
        <f t="shared" si="3"/>
        <v>0.48492424145454532</v>
      </c>
      <c r="G40">
        <v>198</v>
      </c>
    </row>
    <row r="41" spans="1:8">
      <c r="A41" s="8"/>
      <c r="B41" s="11"/>
      <c r="C41" s="10"/>
      <c r="D41" s="73"/>
      <c r="E41" s="68"/>
      <c r="F41" s="55">
        <f t="shared" si="3"/>
        <v>0</v>
      </c>
    </row>
    <row r="42" spans="1:8">
      <c r="A42" s="48"/>
      <c r="B42" s="49"/>
      <c r="C42" s="50"/>
      <c r="D42" s="58"/>
      <c r="E42" s="66"/>
      <c r="F42" s="67">
        <f>SUM(F37:F41)</f>
        <v>0.68737046367676757</v>
      </c>
    </row>
    <row r="43" spans="1:8">
      <c r="A43" s="4" t="s">
        <v>128</v>
      </c>
      <c r="B43" s="30"/>
      <c r="C43" s="30"/>
      <c r="D43" s="57"/>
      <c r="E43" s="68"/>
      <c r="F43" s="54"/>
    </row>
    <row r="44" spans="1:8">
      <c r="A44" s="8" t="s">
        <v>177</v>
      </c>
      <c r="B44" s="11">
        <v>90</v>
      </c>
      <c r="C44" s="10" t="s">
        <v>11</v>
      </c>
      <c r="D44" s="71">
        <v>0.5</v>
      </c>
      <c r="E44" s="108"/>
      <c r="F44" s="55">
        <f t="shared" ref="F44:F48" si="4">E44*(1+$F$2)</f>
        <v>0</v>
      </c>
      <c r="G44">
        <v>368</v>
      </c>
    </row>
    <row r="45" spans="1:8">
      <c r="A45" s="8" t="s">
        <v>115</v>
      </c>
      <c r="B45" s="11">
        <v>42</v>
      </c>
      <c r="C45" s="10" t="s">
        <v>11</v>
      </c>
      <c r="D45" s="72"/>
      <c r="E45" s="68">
        <f>6.1767*1.3*1.1*1.2/5/450*B45</f>
        <v>0.19785205440000006</v>
      </c>
      <c r="F45" s="55">
        <f t="shared" si="4"/>
        <v>0.20774465712000006</v>
      </c>
      <c r="G45">
        <v>352</v>
      </c>
    </row>
    <row r="46" spans="1:8">
      <c r="A46" s="8" t="s">
        <v>114</v>
      </c>
      <c r="B46" s="11">
        <v>14</v>
      </c>
      <c r="C46" s="10" t="s">
        <v>11</v>
      </c>
      <c r="D46" s="72"/>
      <c r="E46" s="68"/>
      <c r="F46" s="55">
        <f t="shared" si="4"/>
        <v>0</v>
      </c>
    </row>
    <row r="47" spans="1:8">
      <c r="A47" s="8" t="s">
        <v>113</v>
      </c>
      <c r="B47" s="11">
        <v>56</v>
      </c>
      <c r="C47" s="10" t="s">
        <v>11</v>
      </c>
      <c r="D47" s="72"/>
      <c r="E47" s="68">
        <f>13.7744*1.3*1.1*1.2/5/450*B46</f>
        <v>0.14707386026666666</v>
      </c>
      <c r="F47" s="55">
        <f t="shared" si="4"/>
        <v>0.15442755327999999</v>
      </c>
      <c r="G47">
        <v>469</v>
      </c>
    </row>
    <row r="48" spans="1:8">
      <c r="A48" s="8" t="s">
        <v>116</v>
      </c>
      <c r="B48" s="23">
        <v>1</v>
      </c>
      <c r="C48" s="24" t="s">
        <v>11</v>
      </c>
      <c r="D48" s="73"/>
      <c r="E48" s="68">
        <f>34.92/10/0.6/450*B48</f>
        <v>1.2933333333333333E-2</v>
      </c>
      <c r="F48" s="55">
        <f t="shared" si="4"/>
        <v>1.358E-2</v>
      </c>
      <c r="G48" t="s">
        <v>208</v>
      </c>
      <c r="H48" t="s">
        <v>209</v>
      </c>
    </row>
    <row r="49" spans="1:7">
      <c r="A49" s="48"/>
      <c r="B49" s="49"/>
      <c r="C49" s="50"/>
      <c r="D49" s="58"/>
      <c r="E49" s="66"/>
      <c r="F49" s="67">
        <f>SUM(F44:F48)</f>
        <v>0.37575221040000001</v>
      </c>
    </row>
    <row r="50" spans="1:7">
      <c r="A50" s="4" t="s">
        <v>129</v>
      </c>
      <c r="B50" s="30"/>
      <c r="C50" s="30"/>
      <c r="D50" s="57"/>
      <c r="E50" s="68"/>
      <c r="F50" s="54"/>
    </row>
    <row r="51" spans="1:7">
      <c r="A51" s="8" t="s">
        <v>194</v>
      </c>
      <c r="B51" s="11">
        <v>112</v>
      </c>
      <c r="C51" s="10" t="s">
        <v>11</v>
      </c>
      <c r="D51" s="71">
        <v>0.2</v>
      </c>
      <c r="E51" s="108"/>
      <c r="F51" s="55">
        <f t="shared" ref="F51:F55" si="5">E51*(1+$F$2)</f>
        <v>0</v>
      </c>
    </row>
    <row r="52" spans="1:7">
      <c r="A52" s="8" t="s">
        <v>117</v>
      </c>
      <c r="B52" s="11">
        <v>56</v>
      </c>
      <c r="C52" s="10" t="s">
        <v>11</v>
      </c>
      <c r="D52" s="72"/>
      <c r="E52" s="68">
        <f>16.1708*1.3*1.1/2/450*B52</f>
        <v>1.438841848888889</v>
      </c>
      <c r="F52" s="55">
        <f t="shared" si="5"/>
        <v>1.5107839413333335</v>
      </c>
      <c r="G52">
        <v>459</v>
      </c>
    </row>
    <row r="53" spans="1:7">
      <c r="A53" s="8" t="s">
        <v>118</v>
      </c>
      <c r="B53" s="11">
        <v>42</v>
      </c>
      <c r="C53" s="10" t="s">
        <v>11</v>
      </c>
      <c r="D53" s="72"/>
      <c r="E53" s="108"/>
      <c r="F53" s="55">
        <f t="shared" si="5"/>
        <v>0</v>
      </c>
    </row>
    <row r="54" spans="1:7">
      <c r="A54" s="8" t="s">
        <v>119</v>
      </c>
      <c r="B54" s="11">
        <v>14</v>
      </c>
      <c r="C54" s="10" t="s">
        <v>11</v>
      </c>
      <c r="D54" s="72"/>
      <c r="E54" s="68">
        <f>6.9654*1.3*1.1*1.2/2/450*B54</f>
        <v>0.18592974400000001</v>
      </c>
      <c r="F54" s="55">
        <f t="shared" si="5"/>
        <v>0.19522623120000002</v>
      </c>
      <c r="G54">
        <v>479</v>
      </c>
    </row>
    <row r="55" spans="1:7">
      <c r="A55" s="8"/>
      <c r="B55" s="11"/>
      <c r="C55" s="10" t="s">
        <v>11</v>
      </c>
      <c r="D55" s="73"/>
      <c r="E55" s="68"/>
      <c r="F55" s="55">
        <f t="shared" si="5"/>
        <v>0</v>
      </c>
    </row>
    <row r="56" spans="1:7">
      <c r="A56" s="48"/>
      <c r="B56" s="49"/>
      <c r="C56" s="50"/>
      <c r="D56" s="58"/>
      <c r="E56" s="66"/>
      <c r="F56" s="67">
        <f>SUM(F51:F55)</f>
        <v>1.7060101725333334</v>
      </c>
    </row>
    <row r="57" spans="1:7">
      <c r="A57" s="4" t="s">
        <v>15</v>
      </c>
      <c r="B57" s="30"/>
      <c r="C57" s="30"/>
      <c r="D57" s="57"/>
      <c r="E57" s="68"/>
      <c r="F57" s="54"/>
    </row>
    <row r="58" spans="1:7">
      <c r="A58" s="8" t="s">
        <v>192</v>
      </c>
      <c r="B58" s="11">
        <v>90</v>
      </c>
      <c r="C58" s="10" t="s">
        <v>11</v>
      </c>
      <c r="D58" s="82" t="s">
        <v>86</v>
      </c>
      <c r="E58" s="68">
        <f>70.6536*1.3*1.1*1.1/4.77/450*B58</f>
        <v>4.6598789433962278</v>
      </c>
      <c r="F58" s="55">
        <f t="shared" ref="F58:F62" si="6">E58*(1+$F$2)</f>
        <v>4.8928728905660392</v>
      </c>
      <c r="G58">
        <v>526</v>
      </c>
    </row>
    <row r="59" spans="1:7">
      <c r="A59" s="8" t="s">
        <v>120</v>
      </c>
      <c r="B59" s="11">
        <v>28</v>
      </c>
      <c r="C59" s="10" t="s">
        <v>11</v>
      </c>
      <c r="D59" s="72"/>
      <c r="E59" s="109"/>
      <c r="F59" s="55">
        <f t="shared" si="6"/>
        <v>0</v>
      </c>
    </row>
    <row r="60" spans="1:7">
      <c r="A60" s="8" t="s">
        <v>121</v>
      </c>
      <c r="B60" s="11">
        <v>56</v>
      </c>
      <c r="C60" s="10" t="s">
        <v>11</v>
      </c>
      <c r="D60" s="72"/>
      <c r="E60" s="54">
        <f>11.8521*1.3*1.1*1.5/5/450*B60</f>
        <v>0.63274411200000014</v>
      </c>
      <c r="F60" s="55">
        <f t="shared" si="6"/>
        <v>0.66438131760000019</v>
      </c>
      <c r="G60">
        <v>355</v>
      </c>
    </row>
    <row r="61" spans="1:7">
      <c r="A61" s="8" t="s">
        <v>118</v>
      </c>
      <c r="B61" s="11">
        <v>42</v>
      </c>
      <c r="C61" s="10" t="s">
        <v>11</v>
      </c>
      <c r="D61" s="73"/>
      <c r="E61" s="109"/>
      <c r="F61" s="55">
        <f t="shared" si="6"/>
        <v>0</v>
      </c>
    </row>
    <row r="62" spans="1:7">
      <c r="A62" s="8" t="s">
        <v>122</v>
      </c>
      <c r="B62" s="11">
        <v>14</v>
      </c>
      <c r="C62" s="10" t="s">
        <v>11</v>
      </c>
      <c r="D62" s="61"/>
      <c r="E62" s="68">
        <f>6.9654*1.3*1.1*1.2/2/450*B62</f>
        <v>0.18592974400000001</v>
      </c>
      <c r="F62" s="55">
        <f t="shared" si="6"/>
        <v>0.19522623120000002</v>
      </c>
      <c r="G62">
        <v>479</v>
      </c>
    </row>
    <row r="63" spans="1:7">
      <c r="A63" s="48"/>
      <c r="B63" s="49"/>
      <c r="C63" s="50"/>
      <c r="D63" s="58"/>
      <c r="E63" s="66"/>
      <c r="F63" s="67">
        <f>SUM(F58:F62)</f>
        <v>5.7524804393660398</v>
      </c>
    </row>
    <row r="64" spans="1:7">
      <c r="A64" s="4" t="s">
        <v>130</v>
      </c>
      <c r="B64" s="30"/>
      <c r="C64" s="30"/>
      <c r="D64" s="57"/>
      <c r="E64" s="68"/>
      <c r="F64" s="54"/>
    </row>
    <row r="65" spans="1:7">
      <c r="A65" s="8" t="s">
        <v>123</v>
      </c>
      <c r="B65" s="11">
        <v>200</v>
      </c>
      <c r="C65" s="10" t="s">
        <v>11</v>
      </c>
      <c r="D65" s="46">
        <v>2</v>
      </c>
      <c r="E65" s="108"/>
      <c r="F65" s="55">
        <f>E65*(1+$F$2)</f>
        <v>0</v>
      </c>
    </row>
    <row r="66" spans="1:7">
      <c r="A66" s="48"/>
      <c r="B66" s="49"/>
      <c r="C66" s="50"/>
      <c r="D66" s="58"/>
      <c r="E66" s="66"/>
      <c r="F66" s="67">
        <f>SUM(F65)</f>
        <v>0</v>
      </c>
    </row>
    <row r="67" spans="1:7">
      <c r="A67" s="4" t="s">
        <v>131</v>
      </c>
      <c r="B67" s="30"/>
      <c r="C67" s="30"/>
      <c r="D67" s="57"/>
      <c r="E67" s="68"/>
      <c r="F67" s="54"/>
    </row>
    <row r="68" spans="1:7">
      <c r="A68" s="8" t="s">
        <v>124</v>
      </c>
      <c r="B68" s="11" t="s">
        <v>16</v>
      </c>
      <c r="C68" s="10" t="s">
        <v>11</v>
      </c>
      <c r="D68" s="83" t="s">
        <v>96</v>
      </c>
      <c r="E68" s="108"/>
      <c r="F68" s="55">
        <f t="shared" ref="F68:F69" si="7">E68*(1+$F$2)</f>
        <v>0</v>
      </c>
    </row>
    <row r="69" spans="1:7">
      <c r="A69" s="8" t="s">
        <v>125</v>
      </c>
      <c r="B69" s="11" t="s">
        <v>16</v>
      </c>
      <c r="C69" s="10" t="s">
        <v>11</v>
      </c>
      <c r="D69" s="73"/>
      <c r="E69" s="108"/>
      <c r="F69" s="55">
        <f t="shared" si="7"/>
        <v>0</v>
      </c>
    </row>
    <row r="70" spans="1:7">
      <c r="A70" s="48"/>
      <c r="B70" s="49"/>
      <c r="C70" s="50"/>
      <c r="D70" s="58"/>
      <c r="E70" s="66"/>
      <c r="F70" s="67">
        <f>SUM(F68:F69)</f>
        <v>0</v>
      </c>
    </row>
    <row r="71" spans="1:7">
      <c r="A71" s="4" t="s">
        <v>132</v>
      </c>
      <c r="B71" s="30"/>
      <c r="C71" s="30"/>
      <c r="D71" s="63"/>
      <c r="E71" s="68"/>
      <c r="F71" s="54"/>
    </row>
    <row r="72" spans="1:7">
      <c r="A72" s="8" t="s">
        <v>126</v>
      </c>
      <c r="B72" s="11">
        <v>45</v>
      </c>
      <c r="C72" s="10" t="s">
        <v>11</v>
      </c>
      <c r="D72" s="82" t="s">
        <v>17</v>
      </c>
      <c r="E72" s="108"/>
      <c r="F72" s="55">
        <f t="shared" ref="F72:F73" si="8">E72*(1+$F$2)</f>
        <v>0</v>
      </c>
    </row>
    <row r="73" spans="1:7">
      <c r="A73" s="8" t="s">
        <v>102</v>
      </c>
      <c r="B73" s="11">
        <v>1</v>
      </c>
      <c r="C73" s="10" t="s">
        <v>11</v>
      </c>
      <c r="D73" s="73"/>
      <c r="E73" s="68">
        <v>0.2</v>
      </c>
      <c r="F73" s="55">
        <f t="shared" si="8"/>
        <v>0.21000000000000002</v>
      </c>
    </row>
    <row r="74" spans="1:7">
      <c r="A74" s="48"/>
      <c r="B74" s="49"/>
      <c r="C74" s="50"/>
      <c r="D74" s="58"/>
      <c r="E74" s="66"/>
      <c r="F74" s="67">
        <f>SUM(F72:F73)</f>
        <v>0.21000000000000002</v>
      </c>
    </row>
    <row r="75" spans="1:7">
      <c r="A75" s="4" t="s">
        <v>133</v>
      </c>
      <c r="B75" s="30"/>
      <c r="C75" s="30"/>
      <c r="D75" s="63"/>
      <c r="E75" s="68"/>
      <c r="F75" s="54"/>
    </row>
    <row r="76" spans="1:7">
      <c r="A76" s="8" t="s">
        <v>127</v>
      </c>
      <c r="B76" s="11">
        <v>200</v>
      </c>
      <c r="C76" s="10" t="s">
        <v>11</v>
      </c>
      <c r="D76" s="64">
        <v>2</v>
      </c>
      <c r="E76" s="68">
        <f>4.4*1.2/450*B76</f>
        <v>2.3466666666666667</v>
      </c>
      <c r="F76" s="54"/>
      <c r="G76" t="s">
        <v>210</v>
      </c>
    </row>
    <row r="77" spans="1:7">
      <c r="A77" s="48"/>
      <c r="B77" s="49"/>
      <c r="C77" s="50"/>
      <c r="D77" s="58"/>
      <c r="E77" s="66"/>
      <c r="F77" s="67">
        <f>SUM(F76)</f>
        <v>0</v>
      </c>
    </row>
    <row r="78" spans="1:7">
      <c r="A78" s="4" t="s">
        <v>134</v>
      </c>
      <c r="B78" s="30"/>
      <c r="C78" s="30"/>
      <c r="D78" s="63"/>
      <c r="E78" s="68"/>
      <c r="F78" s="54"/>
    </row>
    <row r="79" spans="1:7">
      <c r="A79" s="8" t="s">
        <v>18</v>
      </c>
      <c r="B79" s="11">
        <v>150</v>
      </c>
      <c r="C79" s="10" t="s">
        <v>11</v>
      </c>
      <c r="D79" s="82" t="s">
        <v>12</v>
      </c>
      <c r="E79" s="110">
        <v>0.85029999999999994</v>
      </c>
      <c r="F79" s="55">
        <f t="shared" ref="F79:F82" si="9">E79*(1+$F$2)</f>
        <v>0.89281500000000003</v>
      </c>
    </row>
    <row r="80" spans="1:7">
      <c r="A80" s="8" t="s">
        <v>19</v>
      </c>
      <c r="B80" s="11">
        <v>150</v>
      </c>
      <c r="C80" s="10" t="s">
        <v>11</v>
      </c>
      <c r="D80" s="72"/>
      <c r="E80" s="110">
        <v>0.85129999999999995</v>
      </c>
      <c r="F80" s="55">
        <f t="shared" si="9"/>
        <v>0.89386500000000002</v>
      </c>
    </row>
    <row r="81" spans="1:6">
      <c r="A81" s="8" t="s">
        <v>20</v>
      </c>
      <c r="B81" s="11">
        <v>150</v>
      </c>
      <c r="C81" s="10" t="s">
        <v>11</v>
      </c>
      <c r="D81" s="72"/>
      <c r="E81" s="110">
        <v>0.35049999999999998</v>
      </c>
      <c r="F81" s="55">
        <f t="shared" si="9"/>
        <v>0.36802499999999999</v>
      </c>
    </row>
    <row r="82" spans="1:6">
      <c r="A82" s="8" t="s">
        <v>188</v>
      </c>
      <c r="B82" s="11">
        <v>150</v>
      </c>
      <c r="C82" s="10" t="s">
        <v>11</v>
      </c>
      <c r="D82" s="73"/>
      <c r="E82" s="110">
        <v>1.2765</v>
      </c>
      <c r="F82" s="55">
        <f t="shared" si="9"/>
        <v>1.340325</v>
      </c>
    </row>
    <row r="83" spans="1:6">
      <c r="A83" s="48"/>
      <c r="B83" s="49"/>
      <c r="C83" s="50"/>
      <c r="D83" s="58"/>
      <c r="E83" s="66"/>
      <c r="F83" s="67">
        <f>SUM(F79:F82)</f>
        <v>3.4950299999999999</v>
      </c>
    </row>
    <row r="84" spans="1:6">
      <c r="A84" s="4" t="s">
        <v>135</v>
      </c>
      <c r="B84" s="30"/>
      <c r="C84" s="30"/>
      <c r="D84" s="57"/>
      <c r="E84" s="68"/>
      <c r="F84" s="54"/>
    </row>
    <row r="85" spans="1:6">
      <c r="A85" s="8" t="s">
        <v>21</v>
      </c>
      <c r="B85" s="11">
        <v>30</v>
      </c>
      <c r="C85" s="10" t="s">
        <v>11</v>
      </c>
      <c r="D85" s="62">
        <v>0.75</v>
      </c>
      <c r="E85" s="110">
        <v>0.49</v>
      </c>
      <c r="F85" s="55">
        <f t="shared" ref="F85:F86" si="10">E85*(1+$F$2)</f>
        <v>0.51449999999999996</v>
      </c>
    </row>
    <row r="86" spans="1:6">
      <c r="A86" s="8" t="s">
        <v>22</v>
      </c>
      <c r="B86" s="11">
        <v>40</v>
      </c>
      <c r="C86" s="10" t="s">
        <v>11</v>
      </c>
      <c r="D86" s="62">
        <v>0.75</v>
      </c>
      <c r="E86" s="110">
        <v>0.51</v>
      </c>
      <c r="F86" s="55">
        <f t="shared" si="10"/>
        <v>0.53550000000000009</v>
      </c>
    </row>
    <row r="87" spans="1:6">
      <c r="A87" s="48"/>
      <c r="B87" s="49"/>
      <c r="C87" s="50"/>
      <c r="D87" s="58"/>
      <c r="E87" s="66"/>
      <c r="F87" s="67">
        <f>SUM(F85:F86)</f>
        <v>1.05</v>
      </c>
    </row>
    <row r="88" spans="1:6">
      <c r="A88" s="4" t="s">
        <v>136</v>
      </c>
      <c r="B88" s="30"/>
      <c r="C88" s="30"/>
      <c r="D88" s="57"/>
      <c r="E88" s="68"/>
      <c r="F88" s="54"/>
    </row>
    <row r="89" spans="1:6">
      <c r="A89" s="8" t="s">
        <v>23</v>
      </c>
      <c r="B89" s="11">
        <v>10</v>
      </c>
      <c r="C89" s="10" t="s">
        <v>87</v>
      </c>
      <c r="D89" s="46" t="s">
        <v>24</v>
      </c>
      <c r="E89" s="110">
        <f>31.45/24/10*16</f>
        <v>2.0966666666666667</v>
      </c>
      <c r="F89" s="55">
        <f>E89*(1+$F$2)</f>
        <v>2.2015000000000002</v>
      </c>
    </row>
    <row r="90" spans="1:6">
      <c r="A90" s="48"/>
      <c r="B90" s="49"/>
      <c r="C90" s="50"/>
      <c r="D90" s="58"/>
      <c r="E90" s="66"/>
      <c r="F90" s="67">
        <f>SUM(F89)</f>
        <v>2.2015000000000002</v>
      </c>
    </row>
    <row r="91" spans="1:6">
      <c r="A91" s="4" t="s">
        <v>25</v>
      </c>
      <c r="B91" s="30"/>
      <c r="C91" s="30"/>
      <c r="D91" s="57"/>
      <c r="E91" s="68"/>
      <c r="F91" s="54"/>
    </row>
    <row r="92" spans="1:6">
      <c r="A92" s="5" t="s">
        <v>26</v>
      </c>
      <c r="B92" s="27">
        <v>1</v>
      </c>
      <c r="C92" s="6" t="s">
        <v>88</v>
      </c>
      <c r="D92" s="84"/>
      <c r="E92" s="110">
        <v>0.33900000000000002</v>
      </c>
      <c r="F92" s="55">
        <f>E92*(1+$F$2)</f>
        <v>0.35595000000000004</v>
      </c>
    </row>
    <row r="93" spans="1:6">
      <c r="A93" s="7" t="s">
        <v>27</v>
      </c>
      <c r="B93" s="27">
        <v>6</v>
      </c>
      <c r="C93" s="6" t="s">
        <v>88</v>
      </c>
      <c r="D93" s="85"/>
      <c r="E93" s="110">
        <v>0.2019</v>
      </c>
      <c r="F93" s="55">
        <f t="shared" ref="F92:F95" si="11">E93*(1+$F$2)</f>
        <v>0.21199500000000002</v>
      </c>
    </row>
    <row r="94" spans="1:6">
      <c r="A94" s="7" t="s">
        <v>28</v>
      </c>
      <c r="B94" s="27">
        <v>1</v>
      </c>
      <c r="C94" s="6" t="s">
        <v>88</v>
      </c>
      <c r="D94" s="85"/>
      <c r="E94" s="110">
        <v>0.40379999999999999</v>
      </c>
      <c r="F94" s="55">
        <f t="shared" si="11"/>
        <v>0.42399000000000003</v>
      </c>
    </row>
    <row r="95" spans="1:6">
      <c r="A95" s="7" t="s">
        <v>29</v>
      </c>
      <c r="B95" s="27">
        <v>1</v>
      </c>
      <c r="C95" s="6" t="s">
        <v>88</v>
      </c>
      <c r="D95" s="85"/>
      <c r="E95" s="110">
        <v>0.4824</v>
      </c>
      <c r="F95" s="55">
        <f t="shared" si="11"/>
        <v>0.50651999999999997</v>
      </c>
    </row>
    <row r="96" spans="1:6">
      <c r="A96" s="48"/>
      <c r="B96" s="49"/>
      <c r="C96" s="50"/>
      <c r="D96" s="58"/>
      <c r="E96" s="66"/>
      <c r="F96" s="67">
        <f>SUM(F92:F95)</f>
        <v>1.4984549999999999</v>
      </c>
    </row>
    <row r="97" spans="1:7">
      <c r="A97" s="4" t="s">
        <v>137</v>
      </c>
      <c r="B97" s="30"/>
      <c r="C97" s="30"/>
      <c r="D97" s="57"/>
      <c r="E97" s="68"/>
      <c r="F97" s="54"/>
    </row>
    <row r="98" spans="1:7">
      <c r="A98" s="32" t="s">
        <v>30</v>
      </c>
      <c r="B98" s="33">
        <v>1</v>
      </c>
      <c r="C98" s="34" t="s">
        <v>5</v>
      </c>
      <c r="D98" s="65"/>
      <c r="E98" s="68"/>
      <c r="F98" s="54"/>
    </row>
    <row r="99" spans="1:7">
      <c r="A99" s="32" t="s">
        <v>31</v>
      </c>
      <c r="B99" s="33">
        <v>1</v>
      </c>
      <c r="C99" s="34" t="s">
        <v>5</v>
      </c>
      <c r="D99" s="65"/>
      <c r="E99" s="68"/>
      <c r="F99" s="54"/>
    </row>
    <row r="100" spans="1:7">
      <c r="A100" s="32" t="s">
        <v>32</v>
      </c>
      <c r="B100" s="33">
        <v>1</v>
      </c>
      <c r="C100" s="34" t="s">
        <v>5</v>
      </c>
      <c r="D100" s="65"/>
      <c r="E100" s="68"/>
      <c r="F100" s="54"/>
    </row>
    <row r="101" spans="1:7">
      <c r="A101" s="32" t="s">
        <v>33</v>
      </c>
      <c r="B101" s="33">
        <v>1</v>
      </c>
      <c r="C101" s="34" t="s">
        <v>5</v>
      </c>
      <c r="D101" s="65"/>
      <c r="E101" s="68"/>
      <c r="F101" s="54"/>
    </row>
    <row r="102" spans="1:7">
      <c r="A102" s="32" t="s">
        <v>34</v>
      </c>
      <c r="B102" s="33">
        <v>1</v>
      </c>
      <c r="C102" s="34" t="s">
        <v>5</v>
      </c>
      <c r="D102" s="65"/>
      <c r="E102" s="68"/>
      <c r="F102" s="54"/>
    </row>
    <row r="103" spans="1:7">
      <c r="A103" s="32" t="s">
        <v>35</v>
      </c>
      <c r="B103" s="33">
        <v>1</v>
      </c>
      <c r="C103" s="34" t="s">
        <v>5</v>
      </c>
      <c r="D103" s="65"/>
      <c r="E103" s="68"/>
      <c r="F103" s="54"/>
    </row>
    <row r="104" spans="1:7">
      <c r="A104" s="32" t="s">
        <v>36</v>
      </c>
      <c r="B104" s="33">
        <v>1</v>
      </c>
      <c r="C104" s="34" t="s">
        <v>5</v>
      </c>
      <c r="D104" s="65"/>
      <c r="E104" s="68"/>
      <c r="F104" s="54"/>
    </row>
    <row r="105" spans="1:7">
      <c r="A105" s="32" t="s">
        <v>37</v>
      </c>
      <c r="B105" s="33">
        <v>1</v>
      </c>
      <c r="C105" s="34" t="s">
        <v>5</v>
      </c>
      <c r="D105" s="65"/>
      <c r="E105" s="68"/>
      <c r="F105" s="54"/>
    </row>
    <row r="106" spans="1:7">
      <c r="A106" s="35" t="s">
        <v>38</v>
      </c>
      <c r="B106" s="33">
        <v>1</v>
      </c>
      <c r="C106" s="34" t="s">
        <v>5</v>
      </c>
      <c r="D106" s="65"/>
      <c r="E106" s="68"/>
      <c r="F106" s="54"/>
    </row>
    <row r="107" spans="1:7">
      <c r="A107" s="36" t="s">
        <v>39</v>
      </c>
      <c r="B107" s="37">
        <v>1</v>
      </c>
      <c r="C107" s="34" t="s">
        <v>5</v>
      </c>
      <c r="D107" s="65"/>
      <c r="E107" s="68"/>
      <c r="F107" s="54"/>
    </row>
    <row r="108" spans="1:7">
      <c r="A108" s="48"/>
      <c r="B108" s="49"/>
      <c r="C108" s="50"/>
      <c r="D108" s="58"/>
      <c r="E108" s="66"/>
      <c r="F108" s="67">
        <f>SUM(F98:F107)</f>
        <v>0</v>
      </c>
    </row>
    <row r="109" spans="1:7">
      <c r="A109" s="4" t="s">
        <v>138</v>
      </c>
      <c r="B109" s="30"/>
      <c r="C109" s="30"/>
      <c r="D109" s="57"/>
      <c r="E109" s="68"/>
      <c r="F109" s="54"/>
    </row>
    <row r="110" spans="1:7">
      <c r="A110" s="8" t="s">
        <v>140</v>
      </c>
      <c r="B110" s="28">
        <v>28</v>
      </c>
      <c r="C110" s="26" t="s">
        <v>40</v>
      </c>
      <c r="D110" s="79">
        <v>1</v>
      </c>
      <c r="E110" s="108"/>
      <c r="F110" s="55">
        <f t="shared" ref="F110:F116" si="12">E110*(1+$F$2)</f>
        <v>0</v>
      </c>
    </row>
    <row r="111" spans="1:7">
      <c r="A111" s="8" t="s">
        <v>139</v>
      </c>
      <c r="B111" s="11">
        <v>28</v>
      </c>
      <c r="C111" s="10" t="s">
        <v>40</v>
      </c>
      <c r="D111" s="80"/>
      <c r="E111" s="68">
        <f>26.5*1.2/11/450*B111</f>
        <v>0.17987878787878786</v>
      </c>
      <c r="F111" s="55">
        <f t="shared" si="12"/>
        <v>0.18887272727272725</v>
      </c>
      <c r="G111" t="s">
        <v>211</v>
      </c>
    </row>
    <row r="112" spans="1:7">
      <c r="A112" s="8" t="s">
        <v>142</v>
      </c>
      <c r="B112" s="11">
        <v>10</v>
      </c>
      <c r="C112" s="10" t="s">
        <v>40</v>
      </c>
      <c r="D112" s="80"/>
      <c r="E112" s="68"/>
      <c r="F112" s="55">
        <f t="shared" si="12"/>
        <v>0</v>
      </c>
    </row>
    <row r="113" spans="1:8">
      <c r="A113" s="8" t="s">
        <v>41</v>
      </c>
      <c r="B113" s="11">
        <v>8</v>
      </c>
      <c r="C113" s="10" t="s">
        <v>40</v>
      </c>
      <c r="D113" s="80"/>
      <c r="E113" s="53">
        <f>30.2/0.8*1.1/10/450*B113</f>
        <v>7.3822222222222234E-2</v>
      </c>
      <c r="F113" s="55">
        <f t="shared" si="12"/>
        <v>7.7513333333333351E-2</v>
      </c>
    </row>
    <row r="114" spans="1:8">
      <c r="A114" s="8" t="s">
        <v>143</v>
      </c>
      <c r="B114" s="11" t="s">
        <v>42</v>
      </c>
      <c r="C114" s="10" t="s">
        <v>40</v>
      </c>
      <c r="D114" s="80"/>
      <c r="E114" s="68">
        <f>15.64/0.8/10/450*10</f>
        <v>4.3444444444444438E-2</v>
      </c>
      <c r="F114" s="55">
        <f t="shared" si="12"/>
        <v>4.561666666666666E-2</v>
      </c>
      <c r="G114" t="s">
        <v>212</v>
      </c>
    </row>
    <row r="115" spans="1:8">
      <c r="A115" s="8" t="s">
        <v>141</v>
      </c>
      <c r="B115" s="11">
        <v>10</v>
      </c>
      <c r="C115" s="10" t="s">
        <v>40</v>
      </c>
      <c r="D115" s="80"/>
      <c r="E115" s="68">
        <f>33.05/20/450*B115</f>
        <v>3.6722222222222219E-2</v>
      </c>
      <c r="F115" s="55">
        <f t="shared" si="12"/>
        <v>3.8558333333333333E-2</v>
      </c>
      <c r="G115" t="s">
        <v>213</v>
      </c>
      <c r="H115" t="s">
        <v>43</v>
      </c>
    </row>
    <row r="116" spans="1:8">
      <c r="A116" s="25" t="s">
        <v>144</v>
      </c>
      <c r="B116" s="28">
        <v>28</v>
      </c>
      <c r="C116" s="26" t="s">
        <v>11</v>
      </c>
      <c r="D116" s="81"/>
      <c r="E116" s="68">
        <f>58.51/0.9/18/450*B116</f>
        <v>0.22472976680384082</v>
      </c>
      <c r="F116" s="55">
        <f t="shared" si="12"/>
        <v>0.23596625514403288</v>
      </c>
      <c r="G116" t="s">
        <v>214</v>
      </c>
    </row>
    <row r="117" spans="1:8">
      <c r="A117" s="48"/>
      <c r="B117" s="49"/>
      <c r="C117" s="50"/>
      <c r="D117" s="58"/>
      <c r="E117" s="66"/>
      <c r="F117" s="67">
        <f>SUM(F110:F116)</f>
        <v>0.58652731575009354</v>
      </c>
    </row>
    <row r="118" spans="1:8">
      <c r="A118" s="4" t="s">
        <v>191</v>
      </c>
      <c r="B118" s="30"/>
      <c r="C118" s="30"/>
      <c r="D118" s="57"/>
      <c r="E118" s="68"/>
      <c r="F118" s="54"/>
    </row>
    <row r="119" spans="1:8">
      <c r="A119" s="8" t="s">
        <v>145</v>
      </c>
      <c r="B119" s="11">
        <v>60</v>
      </c>
      <c r="C119" s="10" t="s">
        <v>11</v>
      </c>
      <c r="D119" s="71">
        <v>1</v>
      </c>
      <c r="E119" s="108">
        <f>15.0553*1.3*1.1*1.2/5/450*B119</f>
        <v>0.68893052800000021</v>
      </c>
      <c r="F119" s="55">
        <f t="shared" ref="F119:F121" si="13">E119*(1+$F$2)</f>
        <v>0.72337705440000022</v>
      </c>
      <c r="G119" t="s">
        <v>215</v>
      </c>
    </row>
    <row r="120" spans="1:8">
      <c r="A120" s="8" t="s">
        <v>146</v>
      </c>
      <c r="B120" s="11">
        <v>28</v>
      </c>
      <c r="C120" s="10" t="s">
        <v>11</v>
      </c>
      <c r="D120" s="72"/>
      <c r="E120" s="68">
        <f>26.85*1.5*1.3*1.1/10/450*B120</f>
        <v>0.35835800000000007</v>
      </c>
      <c r="F120" s="55">
        <f t="shared" si="13"/>
        <v>0.37627590000000011</v>
      </c>
      <c r="G120" t="s">
        <v>217</v>
      </c>
    </row>
    <row r="121" spans="1:8">
      <c r="A121" s="8" t="s">
        <v>147</v>
      </c>
      <c r="B121" s="11">
        <v>2</v>
      </c>
      <c r="C121" s="10" t="s">
        <v>5</v>
      </c>
      <c r="D121" s="73"/>
      <c r="E121" s="68">
        <f>26.7/0.8/8/450*15</f>
        <v>0.13906250000000001</v>
      </c>
      <c r="F121" s="55">
        <f t="shared" si="13"/>
        <v>0.14601562500000001</v>
      </c>
      <c r="G121" t="s">
        <v>216</v>
      </c>
    </row>
    <row r="122" spans="1:8">
      <c r="A122" s="48"/>
      <c r="B122" s="49"/>
      <c r="C122" s="50"/>
      <c r="D122" s="58"/>
      <c r="E122" s="66"/>
      <c r="F122" s="67">
        <f>SUM(F119:F121)</f>
        <v>1.2456685794000002</v>
      </c>
    </row>
    <row r="123" spans="1:8">
      <c r="A123" s="4" t="s">
        <v>89</v>
      </c>
      <c r="B123" s="30"/>
      <c r="C123" s="30"/>
      <c r="D123" s="57"/>
      <c r="E123" s="68"/>
      <c r="F123" s="54"/>
    </row>
    <row r="124" spans="1:8">
      <c r="A124" s="8" t="s">
        <v>44</v>
      </c>
      <c r="B124" s="11">
        <v>30</v>
      </c>
      <c r="C124" s="10" t="s">
        <v>11</v>
      </c>
      <c r="D124" s="62">
        <v>1</v>
      </c>
      <c r="E124" s="110">
        <v>0.69</v>
      </c>
      <c r="F124" s="55">
        <f t="shared" ref="F124:F126" si="14">E124*(1+$F$2)</f>
        <v>0.72449999999999992</v>
      </c>
    </row>
    <row r="125" spans="1:8">
      <c r="A125" s="8" t="s">
        <v>91</v>
      </c>
      <c r="B125" s="11">
        <v>40</v>
      </c>
      <c r="C125" s="10" t="s">
        <v>11</v>
      </c>
      <c r="D125" s="62">
        <v>0.6</v>
      </c>
      <c r="E125" s="110">
        <v>0.45</v>
      </c>
      <c r="F125" s="55">
        <f t="shared" si="14"/>
        <v>0.47250000000000003</v>
      </c>
    </row>
    <row r="126" spans="1:8">
      <c r="A126" s="8" t="s">
        <v>46</v>
      </c>
      <c r="B126" s="11">
        <v>40</v>
      </c>
      <c r="C126" s="10" t="s">
        <v>11</v>
      </c>
      <c r="D126" s="62">
        <v>0.6</v>
      </c>
      <c r="E126" s="110">
        <f>0.185*1.3*1.1</f>
        <v>0.26455000000000001</v>
      </c>
      <c r="F126" s="55">
        <f t="shared" si="14"/>
        <v>0.27777750000000001</v>
      </c>
    </row>
    <row r="127" spans="1:8">
      <c r="A127" s="48"/>
      <c r="B127" s="49"/>
      <c r="C127" s="50"/>
      <c r="D127" s="58"/>
      <c r="E127" s="66"/>
      <c r="F127" s="67">
        <f>SUM(F124:F126)</f>
        <v>1.4747775000000001</v>
      </c>
    </row>
  </sheetData>
  <mergeCells count="14">
    <mergeCell ref="D119:D121"/>
    <mergeCell ref="D44:D48"/>
    <mergeCell ref="D4:D9"/>
    <mergeCell ref="D17:D18"/>
    <mergeCell ref="D21:D25"/>
    <mergeCell ref="D28:D31"/>
    <mergeCell ref="D37:D41"/>
    <mergeCell ref="D110:D116"/>
    <mergeCell ref="D51:D55"/>
    <mergeCell ref="D58:D61"/>
    <mergeCell ref="D68:D69"/>
    <mergeCell ref="D79:D82"/>
    <mergeCell ref="D72:D73"/>
    <mergeCell ref="D92:D95"/>
  </mergeCells>
  <printOptions gridLines="1"/>
  <pageMargins left="0.25" right="0.25" top="0.75" bottom="0.75" header="0.3" footer="0.3"/>
  <pageSetup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G73"/>
  <sheetViews>
    <sheetView topLeftCell="A33" zoomScaleNormal="100" zoomScaleSheetLayoutView="100" workbookViewId="0">
      <selection activeCell="E65" sqref="E65"/>
    </sheetView>
  </sheetViews>
  <sheetFormatPr defaultRowHeight="15"/>
  <cols>
    <col min="1" max="1" width="59.140625" style="13" customWidth="1"/>
    <col min="2" max="4" width="10.7109375" style="14" customWidth="1"/>
    <col min="5" max="5" width="19.7109375" customWidth="1"/>
    <col min="6" max="6" width="18.7109375" customWidth="1"/>
    <col min="8" max="8" width="30.140625" customWidth="1"/>
  </cols>
  <sheetData>
    <row r="1" spans="1:6" ht="17.25">
      <c r="A1" s="15" t="s">
        <v>93</v>
      </c>
      <c r="B1" s="16"/>
      <c r="C1" s="16"/>
      <c r="D1" s="16"/>
    </row>
    <row r="2" spans="1:6">
      <c r="A2" s="3" t="s">
        <v>0</v>
      </c>
      <c r="B2" s="3" t="s">
        <v>1</v>
      </c>
      <c r="C2" s="3" t="s">
        <v>2</v>
      </c>
      <c r="D2" s="3" t="s">
        <v>3</v>
      </c>
      <c r="E2" s="95"/>
      <c r="F2" s="96">
        <v>0.05</v>
      </c>
    </row>
    <row r="3" spans="1:6">
      <c r="A3" s="17" t="s">
        <v>150</v>
      </c>
      <c r="B3" s="18"/>
      <c r="C3" s="18"/>
      <c r="D3" s="18"/>
      <c r="E3" s="51" t="s">
        <v>196</v>
      </c>
      <c r="F3" s="52" t="s">
        <v>197</v>
      </c>
    </row>
    <row r="4" spans="1:6">
      <c r="A4" s="38" t="s">
        <v>30</v>
      </c>
      <c r="B4" s="39">
        <v>1</v>
      </c>
      <c r="C4" s="40" t="s">
        <v>5</v>
      </c>
      <c r="D4" s="40"/>
      <c r="E4" s="54"/>
      <c r="F4" s="54"/>
    </row>
    <row r="5" spans="1:6">
      <c r="A5" s="38" t="s">
        <v>31</v>
      </c>
      <c r="B5" s="39">
        <v>1</v>
      </c>
      <c r="C5" s="40" t="s">
        <v>5</v>
      </c>
      <c r="D5" s="40"/>
      <c r="E5" s="54"/>
      <c r="F5" s="54"/>
    </row>
    <row r="6" spans="1:6">
      <c r="A6" s="38" t="s">
        <v>47</v>
      </c>
      <c r="B6" s="39">
        <v>1</v>
      </c>
      <c r="C6" s="40" t="s">
        <v>5</v>
      </c>
      <c r="D6" s="40"/>
      <c r="E6" s="54"/>
      <c r="F6" s="54"/>
    </row>
    <row r="7" spans="1:6">
      <c r="A7" s="38" t="s">
        <v>48</v>
      </c>
      <c r="B7" s="39">
        <v>1</v>
      </c>
      <c r="C7" s="40" t="s">
        <v>5</v>
      </c>
      <c r="D7" s="40"/>
      <c r="E7" s="54"/>
      <c r="F7" s="54"/>
    </row>
    <row r="8" spans="1:6">
      <c r="A8" s="38" t="s">
        <v>49</v>
      </c>
      <c r="B8" s="39">
        <v>1</v>
      </c>
      <c r="C8" s="40" t="s">
        <v>5</v>
      </c>
      <c r="D8" s="40"/>
      <c r="E8" s="54"/>
      <c r="F8" s="54"/>
    </row>
    <row r="9" spans="1:6">
      <c r="A9" s="38" t="s">
        <v>50</v>
      </c>
      <c r="B9" s="39">
        <v>1</v>
      </c>
      <c r="C9" s="40" t="s">
        <v>5</v>
      </c>
      <c r="D9" s="40"/>
      <c r="E9" s="54"/>
      <c r="F9" s="54"/>
    </row>
    <row r="10" spans="1:6">
      <c r="A10" s="38" t="s">
        <v>51</v>
      </c>
      <c r="B10" s="39">
        <v>1</v>
      </c>
      <c r="C10" s="40" t="s">
        <v>5</v>
      </c>
      <c r="D10" s="40"/>
      <c r="E10" s="54"/>
      <c r="F10" s="54"/>
    </row>
    <row r="11" spans="1:6">
      <c r="A11" s="38" t="s">
        <v>52</v>
      </c>
      <c r="B11" s="39">
        <v>1</v>
      </c>
      <c r="C11" s="40" t="s">
        <v>5</v>
      </c>
      <c r="D11" s="40"/>
      <c r="E11" s="54"/>
      <c r="F11" s="54"/>
    </row>
    <row r="12" spans="1:6">
      <c r="A12" s="38" t="s">
        <v>53</v>
      </c>
      <c r="B12" s="39">
        <v>1</v>
      </c>
      <c r="C12" s="40" t="s">
        <v>5</v>
      </c>
      <c r="D12" s="40"/>
      <c r="E12" s="54"/>
      <c r="F12" s="54"/>
    </row>
    <row r="13" spans="1:6">
      <c r="A13" s="38" t="s">
        <v>54</v>
      </c>
      <c r="B13" s="39">
        <v>1</v>
      </c>
      <c r="C13" s="40" t="s">
        <v>5</v>
      </c>
      <c r="D13" s="40"/>
      <c r="E13" s="54"/>
      <c r="F13" s="54"/>
    </row>
    <row r="14" spans="1:6">
      <c r="A14" s="38" t="s">
        <v>55</v>
      </c>
      <c r="B14" s="39">
        <v>1</v>
      </c>
      <c r="C14" s="40" t="s">
        <v>5</v>
      </c>
      <c r="D14" s="40"/>
      <c r="E14" s="54"/>
      <c r="F14" s="54"/>
    </row>
    <row r="15" spans="1:6">
      <c r="A15" s="38" t="s">
        <v>56</v>
      </c>
      <c r="B15" s="39">
        <v>1</v>
      </c>
      <c r="C15" s="40" t="s">
        <v>5</v>
      </c>
      <c r="D15" s="40"/>
      <c r="E15" s="54"/>
      <c r="F15" s="54"/>
    </row>
    <row r="16" spans="1:6">
      <c r="A16" s="38" t="s">
        <v>57</v>
      </c>
      <c r="B16" s="39">
        <v>1</v>
      </c>
      <c r="C16" s="40" t="s">
        <v>5</v>
      </c>
      <c r="D16" s="40"/>
      <c r="E16" s="54"/>
      <c r="F16" s="54"/>
    </row>
    <row r="17" spans="1:7">
      <c r="A17" s="38" t="s">
        <v>58</v>
      </c>
      <c r="B17" s="39">
        <v>1</v>
      </c>
      <c r="C17" s="40" t="s">
        <v>5</v>
      </c>
      <c r="D17" s="40"/>
      <c r="E17" s="54"/>
      <c r="F17" s="54"/>
    </row>
    <row r="18" spans="1:7">
      <c r="A18" s="19"/>
      <c r="B18" s="20"/>
      <c r="C18" s="21"/>
      <c r="D18" s="21"/>
      <c r="E18" s="54"/>
      <c r="F18" s="54"/>
    </row>
    <row r="19" spans="1:7">
      <c r="A19" s="17" t="s">
        <v>151</v>
      </c>
      <c r="B19" s="18"/>
      <c r="C19" s="18"/>
      <c r="D19" s="18"/>
      <c r="E19" s="54"/>
      <c r="F19" s="54"/>
    </row>
    <row r="20" spans="1:7">
      <c r="A20" s="22" t="s">
        <v>178</v>
      </c>
      <c r="B20" s="23">
        <v>28</v>
      </c>
      <c r="C20" s="24" t="s">
        <v>11</v>
      </c>
      <c r="D20" s="88">
        <v>1</v>
      </c>
      <c r="E20" s="109">
        <f>85.344*1.3*1.1/10/450*B20</f>
        <v>0.75937194666666674</v>
      </c>
      <c r="F20" s="55">
        <f>E20*(1+$F$2)</f>
        <v>0.7973405440000001</v>
      </c>
      <c r="G20">
        <v>378</v>
      </c>
    </row>
    <row r="21" spans="1:7">
      <c r="A21" s="22" t="s">
        <v>195</v>
      </c>
      <c r="B21" s="23">
        <v>56</v>
      </c>
      <c r="C21" s="24" t="s">
        <v>11</v>
      </c>
      <c r="D21" s="91"/>
      <c r="E21" s="54">
        <f>164.825*1.3*1.1*1.1/140/450*B21</f>
        <v>0.23046197777777777</v>
      </c>
      <c r="F21" s="55">
        <f t="shared" ref="F21:F24" si="0">E21*(1+$F$2)</f>
        <v>0.24198507666666666</v>
      </c>
    </row>
    <row r="22" spans="1:7">
      <c r="A22" s="22" t="s">
        <v>163</v>
      </c>
      <c r="B22" s="23">
        <v>8</v>
      </c>
      <c r="C22" s="24" t="s">
        <v>11</v>
      </c>
      <c r="D22" s="89"/>
      <c r="E22" s="54">
        <f>6.87/450*B22</f>
        <v>0.12213333333333333</v>
      </c>
      <c r="F22" s="55">
        <f t="shared" si="0"/>
        <v>0.12823999999999999</v>
      </c>
    </row>
    <row r="23" spans="1:7">
      <c r="A23" s="22"/>
      <c r="B23" s="23"/>
      <c r="C23" s="24" t="s">
        <v>11</v>
      </c>
      <c r="D23" s="47"/>
      <c r="E23" s="54"/>
      <c r="F23" s="55">
        <f t="shared" si="0"/>
        <v>0</v>
      </c>
    </row>
    <row r="24" spans="1:7">
      <c r="A24" s="22"/>
      <c r="B24" s="23"/>
      <c r="C24" s="24" t="s">
        <v>11</v>
      </c>
      <c r="D24" s="47"/>
      <c r="E24" s="54"/>
      <c r="F24" s="55">
        <f t="shared" si="0"/>
        <v>0</v>
      </c>
    </row>
    <row r="25" spans="1:7">
      <c r="A25" s="19"/>
      <c r="B25" s="20"/>
      <c r="C25" s="21"/>
      <c r="D25" s="21"/>
      <c r="E25" s="97"/>
      <c r="F25" s="98">
        <f>SUM(F19:F24)</f>
        <v>1.1675656206666667</v>
      </c>
    </row>
    <row r="26" spans="1:7">
      <c r="A26" s="17" t="s">
        <v>152</v>
      </c>
      <c r="B26" s="18"/>
      <c r="C26" s="18"/>
      <c r="D26" s="18"/>
      <c r="E26" s="54"/>
      <c r="F26" s="54"/>
    </row>
    <row r="27" spans="1:7">
      <c r="A27" s="22" t="s">
        <v>165</v>
      </c>
      <c r="B27" s="23">
        <v>90</v>
      </c>
      <c r="C27" s="24" t="s">
        <v>11</v>
      </c>
      <c r="D27" s="88">
        <v>0.6</v>
      </c>
      <c r="E27" s="54">
        <f>11.5781*1.3*1.1*1.2/5/450*B27*1.5</f>
        <v>1.1920811760000001</v>
      </c>
      <c r="F27" s="55">
        <f t="shared" ref="F27:F31" si="1">E27*(1+$F$2)</f>
        <v>1.2516852348</v>
      </c>
      <c r="G27">
        <v>501</v>
      </c>
    </row>
    <row r="28" spans="1:7">
      <c r="A28" s="22" t="s">
        <v>159</v>
      </c>
      <c r="B28" s="23">
        <v>30</v>
      </c>
      <c r="C28" s="24" t="s">
        <v>11</v>
      </c>
      <c r="D28" s="90"/>
      <c r="E28" s="54">
        <f>1226.4117*1.5*1.3*1.1/1000/450*B28</f>
        <v>0.17537687310000005</v>
      </c>
      <c r="F28" s="55">
        <f t="shared" si="1"/>
        <v>0.18414571675500005</v>
      </c>
      <c r="G28">
        <v>200</v>
      </c>
    </row>
    <row r="29" spans="1:7">
      <c r="A29" s="22" t="s">
        <v>176</v>
      </c>
      <c r="B29" s="23">
        <v>42</v>
      </c>
      <c r="C29" s="24" t="s">
        <v>11</v>
      </c>
      <c r="D29" s="90"/>
      <c r="E29" s="68">
        <f>17.4456*1.3/1.1*1.2/5/450*B29</f>
        <v>0.46183261090909078</v>
      </c>
      <c r="F29" s="55">
        <f t="shared" si="1"/>
        <v>0.48492424145454532</v>
      </c>
      <c r="G29">
        <v>198</v>
      </c>
    </row>
    <row r="30" spans="1:7">
      <c r="A30" s="22" t="s">
        <v>111</v>
      </c>
      <c r="B30" s="23">
        <v>56</v>
      </c>
      <c r="C30" s="24" t="s">
        <v>11</v>
      </c>
      <c r="D30" s="90"/>
      <c r="E30" s="68">
        <f>23.24/15/450*B30</f>
        <v>0.19280592592592591</v>
      </c>
      <c r="F30" s="55">
        <f t="shared" si="1"/>
        <v>0.20244622222222222</v>
      </c>
      <c r="G30" t="s">
        <v>207</v>
      </c>
    </row>
    <row r="31" spans="1:7">
      <c r="A31" s="22" t="s">
        <v>160</v>
      </c>
      <c r="B31" s="23">
        <v>3</v>
      </c>
      <c r="C31" s="24" t="s">
        <v>11</v>
      </c>
      <c r="D31" s="89"/>
      <c r="E31" s="54">
        <f>20/8/450*B31</f>
        <v>1.6666666666666666E-2</v>
      </c>
      <c r="F31" s="55">
        <f t="shared" si="1"/>
        <v>1.7500000000000002E-2</v>
      </c>
      <c r="G31" t="s">
        <v>218</v>
      </c>
    </row>
    <row r="32" spans="1:7">
      <c r="A32" s="19"/>
      <c r="B32" s="20"/>
      <c r="C32" s="21"/>
      <c r="D32" s="21"/>
      <c r="E32" s="97"/>
      <c r="F32" s="98">
        <f>SUM(F27:F31)</f>
        <v>2.1407014152317676</v>
      </c>
    </row>
    <row r="33" spans="1:7">
      <c r="A33" s="17" t="s">
        <v>153</v>
      </c>
      <c r="B33" s="18"/>
      <c r="C33" s="18"/>
      <c r="D33" s="18"/>
      <c r="E33" s="54"/>
      <c r="F33" s="54"/>
    </row>
    <row r="34" spans="1:7" ht="14.25" customHeight="1">
      <c r="A34" s="8" t="s">
        <v>158</v>
      </c>
      <c r="B34" s="11" t="s">
        <v>157</v>
      </c>
      <c r="C34" s="10" t="s">
        <v>11</v>
      </c>
      <c r="D34" s="88">
        <v>0.4</v>
      </c>
      <c r="E34" s="109"/>
      <c r="F34" s="55">
        <f t="shared" ref="F34:F38" si="2">E34*(1+$F$2)</f>
        <v>0</v>
      </c>
    </row>
    <row r="35" spans="1:7">
      <c r="A35" s="8" t="s">
        <v>179</v>
      </c>
      <c r="B35" s="11">
        <v>56</v>
      </c>
      <c r="C35" s="10" t="s">
        <v>11</v>
      </c>
      <c r="D35" s="90"/>
      <c r="E35" s="54">
        <f>37.19*1.1/40/450*B35</f>
        <v>0.12727244444444444</v>
      </c>
      <c r="F35" s="55">
        <f t="shared" si="2"/>
        <v>0.13363606666666666</v>
      </c>
      <c r="G35" t="s">
        <v>219</v>
      </c>
    </row>
    <row r="36" spans="1:7">
      <c r="A36" s="8" t="s">
        <v>181</v>
      </c>
      <c r="B36" s="11">
        <v>28</v>
      </c>
      <c r="C36" s="10" t="s">
        <v>11</v>
      </c>
      <c r="D36" s="90"/>
      <c r="E36" s="54">
        <f>38.1418*1.3*1.3*1.1/25/450*B36</f>
        <v>0.1764761754311111</v>
      </c>
      <c r="F36" s="55">
        <f t="shared" si="2"/>
        <v>0.18529998420266666</v>
      </c>
      <c r="G36" t="s">
        <v>220</v>
      </c>
    </row>
    <row r="37" spans="1:7">
      <c r="A37" s="8" t="s">
        <v>180</v>
      </c>
      <c r="B37" s="11">
        <v>8</v>
      </c>
      <c r="C37" s="10" t="s">
        <v>11</v>
      </c>
      <c r="D37" s="90"/>
      <c r="E37" s="54">
        <f>52.58*1.1/20/450*B37</f>
        <v>5.1411555555555558E-2</v>
      </c>
      <c r="F37" s="55">
        <f t="shared" si="2"/>
        <v>5.3982133333333335E-2</v>
      </c>
      <c r="G37" t="s">
        <v>221</v>
      </c>
    </row>
    <row r="38" spans="1:7">
      <c r="A38" s="8"/>
      <c r="B38" s="23"/>
      <c r="C38" s="10" t="s">
        <v>11</v>
      </c>
      <c r="D38" s="89"/>
      <c r="E38" s="54"/>
      <c r="F38" s="55">
        <f t="shared" si="2"/>
        <v>0</v>
      </c>
    </row>
    <row r="39" spans="1:7">
      <c r="A39" s="19"/>
      <c r="B39" s="20"/>
      <c r="C39" s="21"/>
      <c r="D39" s="21"/>
      <c r="E39" s="97"/>
      <c r="F39" s="98">
        <f>SUM(F34:F38)</f>
        <v>0.37291818420266665</v>
      </c>
    </row>
    <row r="40" spans="1:7">
      <c r="A40" s="17" t="s">
        <v>154</v>
      </c>
      <c r="B40" s="18"/>
      <c r="C40" s="18"/>
      <c r="D40" s="18"/>
      <c r="E40" s="54"/>
      <c r="F40" s="54"/>
    </row>
    <row r="41" spans="1:7">
      <c r="A41" s="22" t="s">
        <v>161</v>
      </c>
      <c r="B41" s="23">
        <v>60</v>
      </c>
      <c r="C41" s="24" t="s">
        <v>11</v>
      </c>
      <c r="D41" s="88">
        <v>1</v>
      </c>
      <c r="E41" s="54">
        <f>5.077*1.3*1.1*1.3/30</f>
        <v>0.31460476666666676</v>
      </c>
      <c r="F41" s="55">
        <f t="shared" ref="F41:F43" si="3">E41*(1+$F$2)</f>
        <v>0.33033500500000013</v>
      </c>
      <c r="G41">
        <v>483</v>
      </c>
    </row>
    <row r="42" spans="1:7">
      <c r="A42" s="22" t="s">
        <v>162</v>
      </c>
      <c r="B42" s="23">
        <v>10</v>
      </c>
      <c r="C42" s="24" t="s">
        <v>11</v>
      </c>
      <c r="D42" s="89"/>
      <c r="E42" s="54">
        <v>0.2</v>
      </c>
      <c r="F42" s="55">
        <f t="shared" si="3"/>
        <v>0.21000000000000002</v>
      </c>
    </row>
    <row r="43" spans="1:7">
      <c r="A43" s="22" t="s">
        <v>147</v>
      </c>
      <c r="B43" s="23">
        <v>1</v>
      </c>
      <c r="C43" s="24" t="s">
        <v>5</v>
      </c>
      <c r="D43" s="47"/>
      <c r="E43" s="68">
        <f>26.7/0.8/8/450*15</f>
        <v>0.13906250000000001</v>
      </c>
      <c r="F43" s="55">
        <f t="shared" si="3"/>
        <v>0.14601562500000001</v>
      </c>
      <c r="G43" t="s">
        <v>216</v>
      </c>
    </row>
    <row r="44" spans="1:7">
      <c r="A44" s="19"/>
      <c r="B44" s="20"/>
      <c r="C44" s="21"/>
      <c r="D44" s="21"/>
      <c r="E44" s="97"/>
      <c r="F44" s="98">
        <f>SUM(F41:F43)</f>
        <v>0.68635063000000018</v>
      </c>
    </row>
    <row r="45" spans="1:7">
      <c r="A45" s="17" t="s">
        <v>155</v>
      </c>
      <c r="B45" s="18"/>
      <c r="C45" s="18"/>
      <c r="D45" s="18"/>
      <c r="E45" s="54"/>
      <c r="F45" s="54"/>
    </row>
    <row r="46" spans="1:7">
      <c r="A46" s="22" t="s">
        <v>45</v>
      </c>
      <c r="B46" s="23">
        <v>40</v>
      </c>
      <c r="C46" s="24" t="s">
        <v>11</v>
      </c>
      <c r="D46" s="41">
        <v>1.2</v>
      </c>
      <c r="E46" s="110">
        <v>0.45</v>
      </c>
      <c r="F46" s="55">
        <f>E46*(1+$F$2)</f>
        <v>0.47250000000000003</v>
      </c>
    </row>
    <row r="47" spans="1:7">
      <c r="A47" s="19"/>
      <c r="B47" s="20"/>
      <c r="C47" s="21"/>
      <c r="D47" s="21"/>
      <c r="E47" s="97"/>
      <c r="F47" s="98">
        <f>SUM(F46)</f>
        <v>0.47250000000000003</v>
      </c>
    </row>
    <row r="48" spans="1:7">
      <c r="A48" s="86" t="s">
        <v>90</v>
      </c>
      <c r="B48" s="87"/>
      <c r="C48" s="87"/>
      <c r="D48" s="18"/>
      <c r="E48" s="54"/>
      <c r="F48" s="54"/>
    </row>
    <row r="49" spans="1:7">
      <c r="A49" s="17" t="s">
        <v>156</v>
      </c>
      <c r="B49" s="18"/>
      <c r="C49" s="18"/>
      <c r="D49" s="21"/>
      <c r="E49" s="54"/>
      <c r="F49" s="54"/>
    </row>
    <row r="50" spans="1:7">
      <c r="A50" s="19" t="s">
        <v>59</v>
      </c>
      <c r="B50" s="20">
        <v>1</v>
      </c>
      <c r="C50" s="21" t="s">
        <v>5</v>
      </c>
      <c r="D50" s="21"/>
      <c r="E50" s="54"/>
      <c r="F50" s="54"/>
    </row>
    <row r="51" spans="1:7">
      <c r="A51" s="19" t="s">
        <v>60</v>
      </c>
      <c r="B51" s="20">
        <v>1</v>
      </c>
      <c r="C51" s="21" t="s">
        <v>5</v>
      </c>
      <c r="D51" s="21"/>
      <c r="E51" s="54"/>
      <c r="F51" s="54"/>
    </row>
    <row r="52" spans="1:7">
      <c r="A52" s="19" t="s">
        <v>61</v>
      </c>
      <c r="B52" s="20">
        <v>1</v>
      </c>
      <c r="C52" s="21" t="s">
        <v>5</v>
      </c>
      <c r="D52" s="21"/>
      <c r="E52" s="54"/>
      <c r="F52" s="54"/>
    </row>
    <row r="53" spans="1:7">
      <c r="A53" s="19" t="s">
        <v>62</v>
      </c>
      <c r="B53" s="20">
        <v>1</v>
      </c>
      <c r="C53" s="21" t="s">
        <v>5</v>
      </c>
      <c r="D53" s="21"/>
      <c r="E53" s="54"/>
      <c r="F53" s="54"/>
    </row>
    <row r="54" spans="1:7">
      <c r="A54" s="19" t="s">
        <v>63</v>
      </c>
      <c r="B54" s="20">
        <v>1</v>
      </c>
      <c r="C54" s="21" t="s">
        <v>5</v>
      </c>
      <c r="D54" s="21"/>
      <c r="E54" s="54"/>
      <c r="F54" s="54"/>
    </row>
    <row r="55" spans="1:7">
      <c r="A55" s="19" t="s">
        <v>64</v>
      </c>
      <c r="B55" s="20">
        <v>1</v>
      </c>
      <c r="C55" s="21" t="s">
        <v>5</v>
      </c>
      <c r="D55" s="21"/>
      <c r="E55" s="54"/>
      <c r="F55" s="54"/>
    </row>
    <row r="56" spans="1:7">
      <c r="A56" s="19" t="s">
        <v>65</v>
      </c>
      <c r="B56" s="20">
        <v>1</v>
      </c>
      <c r="C56" s="21" t="s">
        <v>5</v>
      </c>
      <c r="D56" s="21"/>
      <c r="E56" s="54"/>
      <c r="F56" s="54"/>
    </row>
    <row r="57" spans="1:7">
      <c r="A57" s="19" t="s">
        <v>66</v>
      </c>
      <c r="B57" s="20">
        <v>1</v>
      </c>
      <c r="C57" s="21" t="s">
        <v>5</v>
      </c>
      <c r="D57" s="21"/>
      <c r="E57" s="54"/>
      <c r="F57" s="54"/>
    </row>
    <row r="58" spans="1:7">
      <c r="A58" s="19" t="s">
        <v>67</v>
      </c>
      <c r="B58" s="20">
        <v>1</v>
      </c>
      <c r="C58" s="21" t="s">
        <v>5</v>
      </c>
      <c r="D58" s="21"/>
      <c r="E58" s="54"/>
      <c r="F58" s="54"/>
    </row>
    <row r="59" spans="1:7">
      <c r="A59" s="19" t="s">
        <v>68</v>
      </c>
      <c r="B59" s="20">
        <v>1</v>
      </c>
      <c r="C59" s="21" t="s">
        <v>5</v>
      </c>
      <c r="E59" s="54"/>
      <c r="F59" s="54"/>
    </row>
    <row r="60" spans="1:7">
      <c r="A60" s="17" t="s">
        <v>149</v>
      </c>
      <c r="B60" s="18"/>
      <c r="C60" s="18"/>
      <c r="D60" s="18"/>
      <c r="E60" s="54"/>
      <c r="F60" s="54"/>
    </row>
    <row r="61" spans="1:7">
      <c r="A61" s="8" t="s">
        <v>139</v>
      </c>
      <c r="B61" s="23">
        <v>30</v>
      </c>
      <c r="C61" s="24" t="s">
        <v>40</v>
      </c>
      <c r="D61" s="99">
        <v>1</v>
      </c>
      <c r="E61" s="68">
        <f>26.5*1.2/11/450*B61</f>
        <v>0.19272727272727269</v>
      </c>
      <c r="F61" s="55">
        <f t="shared" ref="F61:F69" si="4">E61*(1+$F$2)</f>
        <v>0.20236363636363633</v>
      </c>
    </row>
    <row r="62" spans="1:7">
      <c r="A62" s="8" t="s">
        <v>187</v>
      </c>
      <c r="B62" s="23" t="s">
        <v>94</v>
      </c>
      <c r="C62" s="24" t="s">
        <v>40</v>
      </c>
      <c r="D62" s="100"/>
      <c r="E62" s="109"/>
      <c r="F62" s="55">
        <f t="shared" si="4"/>
        <v>0</v>
      </c>
    </row>
    <row r="63" spans="1:7">
      <c r="A63" s="22" t="s">
        <v>148</v>
      </c>
      <c r="B63" s="23">
        <v>1</v>
      </c>
      <c r="C63" s="24" t="s">
        <v>5</v>
      </c>
      <c r="D63" s="100"/>
      <c r="E63" s="110">
        <f>48/20/450*60/2</f>
        <v>0.16</v>
      </c>
      <c r="F63" s="55">
        <f t="shared" si="4"/>
        <v>0.16800000000000001</v>
      </c>
      <c r="G63" t="s">
        <v>222</v>
      </c>
    </row>
    <row r="64" spans="1:7">
      <c r="A64" s="22" t="s">
        <v>69</v>
      </c>
      <c r="B64" s="23">
        <v>1</v>
      </c>
      <c r="C64" s="24" t="s">
        <v>5</v>
      </c>
      <c r="D64" s="100"/>
      <c r="E64" s="68">
        <f>33.05/20/450*20</f>
        <v>7.3444444444444437E-2</v>
      </c>
      <c r="F64" s="55">
        <f t="shared" si="4"/>
        <v>7.7116666666666667E-2</v>
      </c>
    </row>
    <row r="65" spans="1:6">
      <c r="A65" s="22" t="s">
        <v>95</v>
      </c>
      <c r="B65" s="23" t="s">
        <v>70</v>
      </c>
      <c r="C65" s="24" t="s">
        <v>11</v>
      </c>
      <c r="D65" s="100"/>
      <c r="E65" s="68">
        <f>15.64/0.8/10/450*10</f>
        <v>4.3444444444444438E-2</v>
      </c>
      <c r="F65" s="55">
        <f t="shared" si="4"/>
        <v>4.561666666666666E-2</v>
      </c>
    </row>
    <row r="66" spans="1:6">
      <c r="A66" s="22" t="s">
        <v>41</v>
      </c>
      <c r="B66" s="23">
        <v>10</v>
      </c>
      <c r="C66" s="24" t="s">
        <v>11</v>
      </c>
      <c r="D66" s="100"/>
      <c r="E66" s="53">
        <f>30.2/0.8*1.1/10/450*B66</f>
        <v>9.2277777777777792E-2</v>
      </c>
      <c r="F66" s="55">
        <f t="shared" si="4"/>
        <v>9.6891666666666681E-2</v>
      </c>
    </row>
    <row r="67" spans="1:6">
      <c r="A67" s="22" t="s">
        <v>71</v>
      </c>
      <c r="B67" s="23">
        <v>28</v>
      </c>
      <c r="C67" s="24" t="s">
        <v>11</v>
      </c>
      <c r="D67" s="100"/>
      <c r="E67" s="69">
        <f>29.24/6/0.7*1.1/450*B67</f>
        <v>0.47650370370370382</v>
      </c>
      <c r="F67" s="55">
        <f t="shared" si="4"/>
        <v>0.50032888888888905</v>
      </c>
    </row>
    <row r="68" spans="1:6">
      <c r="A68" s="22" t="s">
        <v>144</v>
      </c>
      <c r="B68" s="23">
        <v>28</v>
      </c>
      <c r="C68" s="24" t="s">
        <v>11</v>
      </c>
      <c r="D68" s="100"/>
      <c r="E68" s="68">
        <f>58.51/0.9/18/450*B68</f>
        <v>0.22472976680384082</v>
      </c>
      <c r="F68" s="55">
        <f t="shared" si="4"/>
        <v>0.23596625514403288</v>
      </c>
    </row>
    <row r="69" spans="1:6">
      <c r="A69" s="22"/>
      <c r="B69" s="23"/>
      <c r="C69" s="24"/>
      <c r="D69" s="101"/>
      <c r="E69" s="54"/>
      <c r="F69" s="55">
        <f t="shared" si="4"/>
        <v>0</v>
      </c>
    </row>
    <row r="70" spans="1:6">
      <c r="A70" s="19"/>
      <c r="B70" s="20"/>
      <c r="C70" s="21"/>
      <c r="D70" s="21"/>
      <c r="E70" s="97"/>
      <c r="F70" s="98">
        <f>SUM(F61:F69)</f>
        <v>1.3262837803965581</v>
      </c>
    </row>
    <row r="71" spans="1:6">
      <c r="A71" s="17" t="s">
        <v>155</v>
      </c>
      <c r="B71" s="18"/>
      <c r="C71" s="18"/>
      <c r="D71" s="18"/>
      <c r="E71" s="54"/>
      <c r="F71" s="54"/>
    </row>
    <row r="72" spans="1:6">
      <c r="A72" s="22" t="s">
        <v>91</v>
      </c>
      <c r="B72" s="23">
        <v>40</v>
      </c>
      <c r="C72" s="24" t="s">
        <v>11</v>
      </c>
      <c r="D72" s="41">
        <v>1.2</v>
      </c>
      <c r="E72" s="54">
        <v>0.42</v>
      </c>
      <c r="F72" s="55">
        <f>E72*(1+$F$2)</f>
        <v>0.441</v>
      </c>
    </row>
    <row r="73" spans="1:6">
      <c r="A73" s="19"/>
      <c r="B73" s="20"/>
      <c r="C73" s="21"/>
      <c r="D73" s="21"/>
      <c r="E73" s="97"/>
      <c r="F73" s="98">
        <f>SUM(F72)</f>
        <v>0.441</v>
      </c>
    </row>
  </sheetData>
  <mergeCells count="5">
    <mergeCell ref="A48:C48"/>
    <mergeCell ref="D41:D42"/>
    <mergeCell ref="D20:D22"/>
    <mergeCell ref="D27:D31"/>
    <mergeCell ref="D34:D38"/>
  </mergeCells>
  <pageMargins left="0.7" right="0.7" top="0.75" bottom="0.75" header="0.3" footer="0.3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G51"/>
  <sheetViews>
    <sheetView tabSelected="1" zoomScaleNormal="100" workbookViewId="0">
      <selection activeCell="K30" sqref="K30"/>
    </sheetView>
  </sheetViews>
  <sheetFormatPr defaultRowHeight="15"/>
  <cols>
    <col min="1" max="1" width="45.7109375" style="13" customWidth="1"/>
    <col min="2" max="4" width="10.7109375" style="14" customWidth="1"/>
    <col min="5" max="5" width="17.85546875" customWidth="1"/>
    <col min="6" max="6" width="18.85546875" customWidth="1"/>
    <col min="8" max="8" width="29.140625" customWidth="1"/>
  </cols>
  <sheetData>
    <row r="1" spans="1:6" ht="17.25">
      <c r="A1" s="15" t="s">
        <v>73</v>
      </c>
      <c r="B1" s="16"/>
      <c r="C1" s="16"/>
      <c r="D1" s="16"/>
    </row>
    <row r="2" spans="1:6">
      <c r="A2" s="3" t="s">
        <v>0</v>
      </c>
      <c r="B2" s="3" t="s">
        <v>1</v>
      </c>
      <c r="C2" s="3" t="s">
        <v>2</v>
      </c>
      <c r="D2" s="3" t="s">
        <v>3</v>
      </c>
      <c r="E2" s="95"/>
      <c r="F2" s="96">
        <v>0.05</v>
      </c>
    </row>
    <row r="3" spans="1:6">
      <c r="A3" s="17" t="s">
        <v>172</v>
      </c>
      <c r="B3" s="18"/>
      <c r="C3" s="18"/>
      <c r="D3" s="18"/>
      <c r="E3" s="51" t="s">
        <v>196</v>
      </c>
      <c r="F3" s="52" t="s">
        <v>197</v>
      </c>
    </row>
    <row r="4" spans="1:6">
      <c r="A4" s="19" t="s">
        <v>59</v>
      </c>
      <c r="B4" s="20">
        <v>1</v>
      </c>
      <c r="C4" s="21" t="s">
        <v>5</v>
      </c>
      <c r="D4" s="74">
        <v>1</v>
      </c>
      <c r="E4" s="54"/>
      <c r="F4" s="54"/>
    </row>
    <row r="5" spans="1:6">
      <c r="A5" s="19" t="s">
        <v>74</v>
      </c>
      <c r="B5" s="20">
        <v>1</v>
      </c>
      <c r="C5" s="21" t="s">
        <v>5</v>
      </c>
      <c r="D5" s="75"/>
      <c r="E5" s="54"/>
      <c r="F5" s="54"/>
    </row>
    <row r="6" spans="1:6">
      <c r="A6" s="19" t="s">
        <v>75</v>
      </c>
      <c r="B6" s="20">
        <v>1</v>
      </c>
      <c r="C6" s="21" t="s">
        <v>5</v>
      </c>
      <c r="D6" s="75"/>
      <c r="E6" s="54"/>
      <c r="F6" s="54"/>
    </row>
    <row r="7" spans="1:6">
      <c r="A7" s="19" t="s">
        <v>76</v>
      </c>
      <c r="B7" s="20">
        <v>1</v>
      </c>
      <c r="C7" s="21" t="s">
        <v>5</v>
      </c>
      <c r="D7" s="75"/>
      <c r="E7" s="54"/>
      <c r="F7" s="54"/>
    </row>
    <row r="8" spans="1:6">
      <c r="A8" s="19" t="s">
        <v>77</v>
      </c>
      <c r="B8" s="20">
        <v>1</v>
      </c>
      <c r="C8" s="21" t="s">
        <v>5</v>
      </c>
      <c r="D8" s="75"/>
      <c r="E8" s="54"/>
      <c r="F8" s="54"/>
    </row>
    <row r="9" spans="1:6">
      <c r="A9" s="19" t="s">
        <v>78</v>
      </c>
      <c r="B9" s="20">
        <v>1</v>
      </c>
      <c r="C9" s="21" t="s">
        <v>5</v>
      </c>
      <c r="D9" s="75"/>
      <c r="E9" s="54"/>
      <c r="F9" s="54"/>
    </row>
    <row r="10" spans="1:6">
      <c r="A10" s="19" t="s">
        <v>79</v>
      </c>
      <c r="B10" s="20">
        <v>1</v>
      </c>
      <c r="C10" s="21" t="s">
        <v>5</v>
      </c>
      <c r="D10" s="75"/>
      <c r="E10" s="54"/>
      <c r="F10" s="54"/>
    </row>
    <row r="11" spans="1:6">
      <c r="A11" s="19" t="s">
        <v>80</v>
      </c>
      <c r="B11" s="20">
        <v>1</v>
      </c>
      <c r="C11" s="21" t="s">
        <v>5</v>
      </c>
      <c r="D11" s="75"/>
      <c r="E11" s="54"/>
      <c r="F11" s="54"/>
    </row>
    <row r="12" spans="1:6">
      <c r="A12" s="19" t="s">
        <v>81</v>
      </c>
      <c r="B12" s="20">
        <v>1</v>
      </c>
      <c r="C12" s="21" t="s">
        <v>5</v>
      </c>
      <c r="D12" s="75"/>
      <c r="E12" s="54"/>
      <c r="F12" s="54"/>
    </row>
    <row r="13" spans="1:6">
      <c r="A13" s="19" t="s">
        <v>65</v>
      </c>
      <c r="B13" s="20">
        <v>1</v>
      </c>
      <c r="C13" s="21" t="s">
        <v>5</v>
      </c>
      <c r="D13" s="75"/>
      <c r="E13" s="54"/>
      <c r="F13" s="54"/>
    </row>
    <row r="14" spans="1:6">
      <c r="A14" s="19"/>
      <c r="B14" s="20">
        <v>1</v>
      </c>
      <c r="C14" s="21" t="s">
        <v>5</v>
      </c>
      <c r="D14" s="76"/>
      <c r="E14" s="54"/>
      <c r="F14" s="54"/>
    </row>
    <row r="15" spans="1:6">
      <c r="A15" s="17" t="s">
        <v>171</v>
      </c>
      <c r="B15" s="18"/>
      <c r="C15" s="18"/>
      <c r="D15" s="18"/>
      <c r="E15" s="54"/>
      <c r="F15" s="54"/>
    </row>
    <row r="16" spans="1:6">
      <c r="A16" s="22" t="s">
        <v>82</v>
      </c>
      <c r="B16" s="23">
        <v>10</v>
      </c>
      <c r="C16" s="24" t="s">
        <v>11</v>
      </c>
      <c r="D16" s="88">
        <v>1</v>
      </c>
      <c r="E16" s="111">
        <f>46.75/0.9/12/450*B16</f>
        <v>9.6193415637860075E-2</v>
      </c>
      <c r="F16" s="55">
        <f>E16*(1+$F$2)</f>
        <v>0.10100308641975309</v>
      </c>
    </row>
    <row r="17" spans="1:7">
      <c r="A17" s="22" t="s">
        <v>184</v>
      </c>
      <c r="B17" s="23">
        <v>8</v>
      </c>
      <c r="C17" s="24" t="s">
        <v>11</v>
      </c>
      <c r="D17" s="90"/>
      <c r="E17" s="54">
        <f>20*1.1/8/450*B17</f>
        <v>4.8888888888888891E-2</v>
      </c>
      <c r="F17" s="55">
        <f>E17*(1+$F$2)</f>
        <v>5.1333333333333335E-2</v>
      </c>
      <c r="G17" t="s">
        <v>223</v>
      </c>
    </row>
    <row r="18" spans="1:7">
      <c r="A18" s="22" t="s">
        <v>185</v>
      </c>
      <c r="B18" s="23">
        <v>8</v>
      </c>
      <c r="C18" s="24" t="s">
        <v>11</v>
      </c>
      <c r="D18" s="90"/>
      <c r="E18" s="68">
        <f>15.64/0.8/10/450*B18</f>
        <v>3.4755555555555553E-2</v>
      </c>
      <c r="F18" s="55">
        <f>E18*(1+$F$2)</f>
        <v>3.6493333333333336E-2</v>
      </c>
    </row>
    <row r="19" spans="1:7">
      <c r="A19" s="22" t="s">
        <v>186</v>
      </c>
      <c r="B19" s="23">
        <v>14</v>
      </c>
      <c r="C19" s="24" t="s">
        <v>11</v>
      </c>
      <c r="D19" s="89"/>
      <c r="E19" s="54">
        <f>61.1*1.1/20/450*B19</f>
        <v>0.1045488888888889</v>
      </c>
      <c r="F19" s="55">
        <f>E19*(1+$F$2)</f>
        <v>0.10977633333333335</v>
      </c>
      <c r="G19" t="s">
        <v>224</v>
      </c>
    </row>
    <row r="20" spans="1:7">
      <c r="A20" s="22"/>
      <c r="B20" s="23"/>
      <c r="C20" s="24"/>
      <c r="D20" s="47"/>
      <c r="E20" s="54"/>
      <c r="F20" s="55">
        <f>E20*(1+$F$2)</f>
        <v>0</v>
      </c>
    </row>
    <row r="21" spans="1:7" s="106" customFormat="1">
      <c r="A21" s="102"/>
      <c r="B21" s="103"/>
      <c r="C21" s="104"/>
      <c r="D21" s="105"/>
      <c r="E21" s="97"/>
      <c r="F21" s="98">
        <f>SUM(F16:F20)</f>
        <v>0.29860608641975311</v>
      </c>
    </row>
    <row r="22" spans="1:7">
      <c r="A22" s="17" t="s">
        <v>97</v>
      </c>
      <c r="B22" s="18"/>
      <c r="C22" s="18"/>
      <c r="D22" s="18"/>
      <c r="E22" s="54"/>
      <c r="F22" s="54"/>
    </row>
    <row r="23" spans="1:7" ht="15.75" customHeight="1">
      <c r="A23" s="8" t="s">
        <v>158</v>
      </c>
      <c r="B23" s="11" t="s">
        <v>157</v>
      </c>
      <c r="C23" s="10" t="s">
        <v>11</v>
      </c>
      <c r="D23" s="92">
        <v>0.1</v>
      </c>
      <c r="E23" s="109"/>
      <c r="F23" s="55">
        <f t="shared" ref="F23:F27" si="0">E23*(1+$F$2)</f>
        <v>0</v>
      </c>
    </row>
    <row r="24" spans="1:7">
      <c r="A24" s="8" t="s">
        <v>179</v>
      </c>
      <c r="B24" s="11">
        <v>56</v>
      </c>
      <c r="C24" s="10" t="s">
        <v>11</v>
      </c>
      <c r="D24" s="93"/>
      <c r="E24" s="54">
        <f>37.19*1.1/40/450*B24</f>
        <v>0.12727244444444444</v>
      </c>
      <c r="F24" s="55">
        <f t="shared" si="0"/>
        <v>0.13363606666666666</v>
      </c>
      <c r="G24" t="s">
        <v>219</v>
      </c>
    </row>
    <row r="25" spans="1:7">
      <c r="A25" s="8" t="s">
        <v>181</v>
      </c>
      <c r="B25" s="11">
        <v>28</v>
      </c>
      <c r="C25" s="10" t="s">
        <v>11</v>
      </c>
      <c r="D25" s="93"/>
      <c r="E25" s="54">
        <f>38.1418*1.3*1.3*1.1/25/450*B25</f>
        <v>0.1764761754311111</v>
      </c>
      <c r="F25" s="55">
        <f t="shared" si="0"/>
        <v>0.18529998420266666</v>
      </c>
      <c r="G25" t="s">
        <v>220</v>
      </c>
    </row>
    <row r="26" spans="1:7">
      <c r="A26" s="8" t="s">
        <v>180</v>
      </c>
      <c r="B26" s="11">
        <v>8</v>
      </c>
      <c r="C26" s="10" t="s">
        <v>11</v>
      </c>
      <c r="D26" s="93"/>
      <c r="E26" s="54">
        <f>52.58*1.1/20/450*B26</f>
        <v>5.1411555555555558E-2</v>
      </c>
      <c r="F26" s="55">
        <f t="shared" si="0"/>
        <v>5.3982133333333335E-2</v>
      </c>
      <c r="G26" t="s">
        <v>221</v>
      </c>
    </row>
    <row r="27" spans="1:7">
      <c r="A27" s="8"/>
      <c r="B27" s="23"/>
      <c r="C27" s="24" t="s">
        <v>11</v>
      </c>
      <c r="D27" s="94"/>
      <c r="E27" s="54"/>
      <c r="F27" s="55">
        <f t="shared" si="0"/>
        <v>0</v>
      </c>
    </row>
    <row r="28" spans="1:7" s="106" customFormat="1">
      <c r="A28" s="102"/>
      <c r="B28" s="103"/>
      <c r="C28" s="104"/>
      <c r="D28" s="105"/>
      <c r="E28" s="97"/>
      <c r="F28" s="98">
        <f>SUM(F23:F27)</f>
        <v>0.37291818420266665</v>
      </c>
    </row>
    <row r="29" spans="1:7">
      <c r="A29" s="17" t="s">
        <v>152</v>
      </c>
      <c r="B29" s="18"/>
      <c r="C29" s="18"/>
      <c r="D29" s="18"/>
      <c r="E29" s="54"/>
      <c r="F29" s="54"/>
    </row>
    <row r="30" spans="1:7">
      <c r="A30" s="22" t="s">
        <v>165</v>
      </c>
      <c r="B30" s="23">
        <v>90</v>
      </c>
      <c r="C30" s="24" t="s">
        <v>11</v>
      </c>
      <c r="D30" s="88">
        <v>0.9</v>
      </c>
      <c r="E30" s="54">
        <f>11.5781*1.3*1.1*1.2/5/450*B30*1.5</f>
        <v>1.1920811760000001</v>
      </c>
      <c r="F30" s="55">
        <f t="shared" ref="F30:F34" si="1">E30*(1+$F$2)</f>
        <v>1.2516852348</v>
      </c>
      <c r="G30">
        <v>501</v>
      </c>
    </row>
    <row r="31" spans="1:7">
      <c r="A31" s="22" t="s">
        <v>159</v>
      </c>
      <c r="B31" s="23">
        <v>30</v>
      </c>
      <c r="C31" s="24" t="s">
        <v>11</v>
      </c>
      <c r="D31" s="90"/>
      <c r="E31" s="54">
        <f>1226.4117*1.5*1.3*1.1/1000/450*B31</f>
        <v>0.17537687310000005</v>
      </c>
      <c r="F31" s="55">
        <f t="shared" si="1"/>
        <v>0.18414571675500005</v>
      </c>
      <c r="G31">
        <v>200</v>
      </c>
    </row>
    <row r="32" spans="1:7">
      <c r="A32" s="22" t="s">
        <v>176</v>
      </c>
      <c r="B32" s="23">
        <v>42</v>
      </c>
      <c r="C32" s="24" t="s">
        <v>11</v>
      </c>
      <c r="D32" s="90"/>
      <c r="E32" s="68">
        <f>17.4456*1.3/1.1*1.2/5/450*B32</f>
        <v>0.46183261090909078</v>
      </c>
      <c r="F32" s="55">
        <f t="shared" si="1"/>
        <v>0.48492424145454532</v>
      </c>
      <c r="G32">
        <v>198</v>
      </c>
    </row>
    <row r="33" spans="1:7">
      <c r="A33" s="22" t="s">
        <v>111</v>
      </c>
      <c r="B33" s="23">
        <v>56</v>
      </c>
      <c r="C33" s="24" t="s">
        <v>11</v>
      </c>
      <c r="D33" s="90"/>
      <c r="E33" s="68">
        <f>23.24/15/450*B33</f>
        <v>0.19280592592592591</v>
      </c>
      <c r="F33" s="55">
        <f t="shared" si="1"/>
        <v>0.20244622222222222</v>
      </c>
      <c r="G33" t="s">
        <v>207</v>
      </c>
    </row>
    <row r="34" spans="1:7">
      <c r="A34" s="22" t="s">
        <v>160</v>
      </c>
      <c r="B34" s="23">
        <v>3</v>
      </c>
      <c r="C34" s="24" t="s">
        <v>11</v>
      </c>
      <c r="D34" s="89"/>
      <c r="E34" s="54">
        <f>20/8/450*B34</f>
        <v>1.6666666666666666E-2</v>
      </c>
      <c r="F34" s="55">
        <f t="shared" si="1"/>
        <v>1.7500000000000002E-2</v>
      </c>
      <c r="G34" t="s">
        <v>218</v>
      </c>
    </row>
    <row r="35" spans="1:7">
      <c r="A35" s="19"/>
      <c r="B35" s="20"/>
      <c r="C35" s="21"/>
      <c r="D35" s="21"/>
      <c r="E35" s="97"/>
      <c r="F35" s="98">
        <f>SUM(F30:F34)</f>
        <v>2.1407014152317676</v>
      </c>
    </row>
    <row r="36" spans="1:7">
      <c r="A36" s="17" t="s">
        <v>170</v>
      </c>
      <c r="B36" s="18"/>
      <c r="C36" s="18"/>
      <c r="D36" s="18"/>
      <c r="E36" s="54"/>
      <c r="F36" s="54"/>
    </row>
    <row r="37" spans="1:7" ht="14.45" customHeight="1">
      <c r="A37" s="22" t="s">
        <v>182</v>
      </c>
      <c r="B37" s="23">
        <v>45</v>
      </c>
      <c r="C37" s="24" t="s">
        <v>11</v>
      </c>
      <c r="D37" s="88">
        <v>1</v>
      </c>
      <c r="E37" s="110">
        <v>0.50049999999999994</v>
      </c>
      <c r="F37" s="55">
        <f t="shared" ref="F37:F38" si="2">E37*(1+$F$2)</f>
        <v>0.52552500000000002</v>
      </c>
    </row>
    <row r="38" spans="1:7" ht="14.45" customHeight="1">
      <c r="A38" s="22" t="s">
        <v>166</v>
      </c>
      <c r="B38" s="23">
        <v>5</v>
      </c>
      <c r="C38" s="24" t="s">
        <v>11</v>
      </c>
      <c r="D38" s="89"/>
      <c r="E38" s="111">
        <v>0.1028</v>
      </c>
      <c r="F38" s="55">
        <f t="shared" si="2"/>
        <v>0.10794000000000001</v>
      </c>
    </row>
    <row r="39" spans="1:7" s="106" customFormat="1">
      <c r="A39" s="102"/>
      <c r="B39" s="103"/>
      <c r="C39" s="104"/>
      <c r="D39" s="105"/>
      <c r="E39" s="97"/>
      <c r="F39" s="98">
        <f>SUM(F37:F38)</f>
        <v>0.63346500000000006</v>
      </c>
    </row>
    <row r="40" spans="1:7">
      <c r="A40" s="17" t="s">
        <v>169</v>
      </c>
      <c r="B40" s="18"/>
      <c r="C40" s="18"/>
      <c r="D40" s="18"/>
      <c r="E40" s="54"/>
      <c r="F40" s="54"/>
    </row>
    <row r="41" spans="1:7">
      <c r="A41" s="22" t="s">
        <v>83</v>
      </c>
      <c r="B41" s="23">
        <v>40</v>
      </c>
      <c r="C41" s="24" t="s">
        <v>11</v>
      </c>
      <c r="D41" s="41">
        <v>1.2</v>
      </c>
      <c r="E41" s="54">
        <v>0.14000000000000001</v>
      </c>
      <c r="F41" s="55">
        <f>E41*(1+$F$2)</f>
        <v>0.14700000000000002</v>
      </c>
    </row>
    <row r="42" spans="1:7" s="106" customFormat="1">
      <c r="A42" s="102"/>
      <c r="B42" s="103"/>
      <c r="C42" s="104"/>
      <c r="D42" s="105"/>
      <c r="E42" s="97"/>
      <c r="F42" s="98">
        <f>SUM(F41)</f>
        <v>0.14700000000000002</v>
      </c>
    </row>
    <row r="43" spans="1:7">
      <c r="A43" s="17" t="s">
        <v>168</v>
      </c>
      <c r="B43" s="18"/>
      <c r="C43" s="18"/>
      <c r="D43" s="18"/>
      <c r="E43" s="54"/>
      <c r="F43" s="54"/>
    </row>
    <row r="44" spans="1:7">
      <c r="A44" s="22" t="s">
        <v>84</v>
      </c>
      <c r="B44" s="23">
        <v>1</v>
      </c>
      <c r="C44" s="24" t="s">
        <v>72</v>
      </c>
      <c r="D44" s="41">
        <v>1</v>
      </c>
      <c r="E44" s="54"/>
      <c r="F44" s="55">
        <f>E44*(1+$F$2)</f>
        <v>0</v>
      </c>
    </row>
    <row r="45" spans="1:7" s="106" customFormat="1">
      <c r="A45" s="102"/>
      <c r="B45" s="103"/>
      <c r="C45" s="104"/>
      <c r="D45" s="105"/>
      <c r="E45" s="97"/>
      <c r="F45" s="98">
        <f>SUM(F44)</f>
        <v>0</v>
      </c>
    </row>
    <row r="46" spans="1:7">
      <c r="A46" s="17" t="s">
        <v>167</v>
      </c>
      <c r="B46" s="18"/>
      <c r="C46" s="18"/>
      <c r="D46" s="18"/>
      <c r="E46" s="54"/>
      <c r="F46" s="54"/>
    </row>
    <row r="47" spans="1:7">
      <c r="A47" s="22" t="s">
        <v>183</v>
      </c>
      <c r="B47" s="23">
        <v>125</v>
      </c>
      <c r="C47" s="24" t="s">
        <v>11</v>
      </c>
      <c r="D47" s="88">
        <v>1</v>
      </c>
      <c r="E47" s="109"/>
      <c r="F47" s="55">
        <f t="shared" ref="F47:F50" si="3">E47*(1+$F$2)</f>
        <v>0</v>
      </c>
    </row>
    <row r="48" spans="1:7">
      <c r="A48" s="22"/>
      <c r="B48" s="23"/>
      <c r="C48" s="24" t="s">
        <v>11</v>
      </c>
      <c r="D48" s="90"/>
      <c r="E48" s="54"/>
      <c r="F48" s="55">
        <f t="shared" si="3"/>
        <v>0</v>
      </c>
    </row>
    <row r="49" spans="1:6">
      <c r="A49" s="22"/>
      <c r="B49" s="23"/>
      <c r="C49" s="24" t="s">
        <v>11</v>
      </c>
      <c r="D49" s="90"/>
      <c r="E49" s="54"/>
      <c r="F49" s="55">
        <f t="shared" si="3"/>
        <v>0</v>
      </c>
    </row>
    <row r="50" spans="1:6">
      <c r="A50" s="22"/>
      <c r="B50" s="23"/>
      <c r="C50" s="24"/>
      <c r="D50" s="89"/>
      <c r="E50" s="54"/>
      <c r="F50" s="55">
        <f t="shared" si="3"/>
        <v>0</v>
      </c>
    </row>
    <row r="51" spans="1:6" s="106" customFormat="1">
      <c r="A51" s="102"/>
      <c r="B51" s="103"/>
      <c r="C51" s="104"/>
      <c r="D51" s="105"/>
      <c r="E51" s="97"/>
      <c r="F51" s="98">
        <f>SUM(F47:F50)</f>
        <v>0</v>
      </c>
    </row>
  </sheetData>
  <mergeCells count="6">
    <mergeCell ref="D47:D50"/>
    <mergeCell ref="D4:D14"/>
    <mergeCell ref="D16:D19"/>
    <mergeCell ref="D23:D27"/>
    <mergeCell ref="D37:D38"/>
    <mergeCell ref="D30:D34"/>
  </mergeCells>
  <pageMargins left="0.7" right="0.7" top="0.75" bottom="0.75" header="0.3" footer="0.3"/>
  <pageSetup scale="8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 xsi:nil="true"/>
    <TaxCatchAll xmlns="70b03f2f-74c7-4926-a36d-d4bdb9e02d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7" ma:contentTypeDescription="Create a new document." ma:contentTypeScope="" ma:versionID="34bfcac9b65cb23c4ab0dfdf1d68b8dd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c088b8355be0d436791b3b40c2eb9949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C7A03C-6546-469F-8411-4B59EEC417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321509-F9E0-4889-B1CD-7994E04532AC}">
  <ds:schemaRefs>
    <ds:schemaRef ds:uri="8be24d1f-f08e-46a7-9c6b-0452813a2a77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1cca795c-b702-4d9c-a00f-4ea8e3fb1866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20890A6-1111-474A-8EE9-8E92F14A6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 C C1-4</vt:lpstr>
      <vt:lpstr>CS Y C1-4</vt:lpstr>
      <vt:lpstr>CS M C1-4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Sue  Lu</cp:lastModifiedBy>
  <cp:revision/>
  <cp:lastPrinted>2024-09-01T19:10:20Z</cp:lastPrinted>
  <dcterms:created xsi:type="dcterms:W3CDTF">2024-02-23T19:31:22Z</dcterms:created>
  <dcterms:modified xsi:type="dcterms:W3CDTF">2025-01-17T19:28:15Z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