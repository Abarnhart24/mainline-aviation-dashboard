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324" documentId="8_{69E5976A-5F21-42F5-B23A-39E03B4AFDC9}" xr6:coauthVersionLast="47" xr6:coauthVersionMax="47" xr10:uidLastSave="{08231CA2-6CDC-421B-9857-29B89615572B}"/>
  <bookViews>
    <workbookView xWindow="67080" yWindow="-240" windowWidth="38640" windowHeight="21120" activeTab="5" xr2:uid="{AACAC2DE-DE14-48E2-BB41-7EEDE298DE98}"/>
  </bookViews>
  <sheets>
    <sheet name="CS C C1-4" sheetId="1" r:id="rId1"/>
    <sheet name="Express Tray Set Up" sheetId="5" r:id="rId2"/>
    <sheet name="CS Y C1-4" sheetId="3" r:id="rId3"/>
    <sheet name="CS M C1-4" sheetId="4" r:id="rId4"/>
    <sheet name="CS P K" sheetId="6" r:id="rId5"/>
    <sheet name="BC SPML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37" i="1"/>
  <c r="F47" i="4"/>
  <c r="F20" i="3"/>
  <c r="F110" i="1"/>
  <c r="F72" i="1" l="1"/>
  <c r="F112" i="1"/>
  <c r="G14" i="6"/>
  <c r="G28" i="6"/>
  <c r="G36" i="6"/>
  <c r="F30" i="6"/>
  <c r="F10" i="6"/>
  <c r="G10" i="6"/>
  <c r="F16" i="6" l="1"/>
  <c r="F97" i="6" l="1"/>
  <c r="G97" i="6" s="1"/>
  <c r="F103" i="6"/>
  <c r="G103" i="6" s="1"/>
  <c r="F106" i="6"/>
  <c r="F100" i="6"/>
  <c r="G106" i="6"/>
  <c r="F105" i="6"/>
  <c r="G105" i="6" s="1"/>
  <c r="F99" i="6"/>
  <c r="G99" i="6" s="1"/>
  <c r="F104" i="6"/>
  <c r="F98" i="6"/>
  <c r="G98" i="6" s="1"/>
  <c r="F87" i="6"/>
  <c r="F86" i="6"/>
  <c r="F85" i="6"/>
  <c r="G85" i="6" s="1"/>
  <c r="F84" i="6"/>
  <c r="G84" i="6" s="1"/>
  <c r="F83" i="6"/>
  <c r="G83" i="6" s="1"/>
  <c r="F80" i="6"/>
  <c r="G80" i="6" s="1"/>
  <c r="F79" i="6"/>
  <c r="F78" i="6"/>
  <c r="G78" i="6" s="1"/>
  <c r="F77" i="6"/>
  <c r="G77" i="6" s="1"/>
  <c r="F76" i="6"/>
  <c r="G76" i="6" s="1"/>
  <c r="F73" i="6"/>
  <c r="F72" i="6"/>
  <c r="F71" i="6"/>
  <c r="F70" i="6"/>
  <c r="F69" i="6"/>
  <c r="F66" i="6"/>
  <c r="G66" i="6" s="1"/>
  <c r="F65" i="6"/>
  <c r="G65" i="6" s="1"/>
  <c r="F64" i="6"/>
  <c r="F63" i="6"/>
  <c r="G63" i="6"/>
  <c r="G74" i="6"/>
  <c r="G49" i="1"/>
  <c r="G73" i="6"/>
  <c r="G72" i="6"/>
  <c r="F62" i="6"/>
  <c r="G64" i="6"/>
  <c r="F56" i="6"/>
  <c r="F50" i="6"/>
  <c r="F59" i="6"/>
  <c r="F53" i="6"/>
  <c r="F58" i="6"/>
  <c r="F52" i="6"/>
  <c r="G104" i="6"/>
  <c r="G100" i="6"/>
  <c r="G94" i="6"/>
  <c r="G93" i="6"/>
  <c r="G92" i="6"/>
  <c r="G91" i="6"/>
  <c r="G90" i="6"/>
  <c r="G87" i="6"/>
  <c r="G86" i="6"/>
  <c r="G79" i="6"/>
  <c r="G71" i="6"/>
  <c r="G70" i="6"/>
  <c r="G69" i="6"/>
  <c r="G62" i="6"/>
  <c r="G59" i="6"/>
  <c r="G58" i="6"/>
  <c r="G57" i="6"/>
  <c r="G56" i="6"/>
  <c r="G53" i="6"/>
  <c r="G52" i="6"/>
  <c r="G51" i="6"/>
  <c r="G50" i="6"/>
  <c r="G54" i="6" s="1"/>
  <c r="G47" i="6"/>
  <c r="G46" i="6"/>
  <c r="G45" i="6"/>
  <c r="G44" i="6"/>
  <c r="G41" i="6"/>
  <c r="G40" i="6"/>
  <c r="G39" i="6"/>
  <c r="G38" i="6"/>
  <c r="G42" i="6" s="1"/>
  <c r="G35" i="6"/>
  <c r="G34" i="6"/>
  <c r="G33" i="6"/>
  <c r="G32" i="6"/>
  <c r="G31" i="6"/>
  <c r="G30" i="6"/>
  <c r="G26" i="6"/>
  <c r="G25" i="6"/>
  <c r="G24" i="6"/>
  <c r="G23" i="6"/>
  <c r="G22" i="6"/>
  <c r="G7" i="6"/>
  <c r="G6" i="6"/>
  <c r="G5" i="6"/>
  <c r="G19" i="6"/>
  <c r="G18" i="6"/>
  <c r="G17" i="6"/>
  <c r="G16" i="6"/>
  <c r="F23" i="6"/>
  <c r="F22" i="6"/>
  <c r="F24" i="6"/>
  <c r="F32" i="6"/>
  <c r="F18" i="6"/>
  <c r="G13" i="6"/>
  <c r="G12" i="6"/>
  <c r="G11" i="6"/>
  <c r="F11" i="6"/>
  <c r="F12" i="6"/>
  <c r="G20" i="6" l="1"/>
  <c r="G107" i="6"/>
  <c r="G101" i="6"/>
  <c r="G88" i="6"/>
  <c r="G81" i="6"/>
  <c r="G67" i="6"/>
  <c r="G60" i="6"/>
  <c r="G48" i="6"/>
  <c r="F62" i="3" l="1"/>
  <c r="F69" i="1"/>
  <c r="F68" i="1"/>
  <c r="F21" i="1"/>
  <c r="F30" i="4" l="1"/>
  <c r="F34" i="3"/>
  <c r="F33" i="4" l="1"/>
  <c r="F32" i="4"/>
  <c r="F31" i="4"/>
  <c r="F27" i="4"/>
  <c r="F26" i="4"/>
  <c r="F25" i="4"/>
  <c r="F24" i="4"/>
  <c r="F23" i="4"/>
  <c r="F35" i="3"/>
  <c r="F36" i="3"/>
  <c r="F41" i="3"/>
  <c r="F28" i="3"/>
  <c r="F27" i="3"/>
  <c r="F29" i="3"/>
  <c r="F30" i="3"/>
  <c r="F120" i="1"/>
  <c r="F119" i="1"/>
  <c r="F65" i="1"/>
  <c r="F61" i="1"/>
  <c r="F59" i="1"/>
  <c r="F53" i="1"/>
  <c r="F52" i="1"/>
  <c r="F51" i="1"/>
  <c r="F47" i="1"/>
  <c r="F46" i="1"/>
  <c r="F45" i="1"/>
  <c r="F44" i="1"/>
  <c r="F40" i="1"/>
  <c r="F39" i="1"/>
  <c r="F38" i="1"/>
  <c r="F31" i="1"/>
  <c r="F29" i="1"/>
  <c r="F16" i="4"/>
  <c r="F19" i="4"/>
  <c r="F18" i="4"/>
  <c r="F17" i="4"/>
  <c r="F63" i="3"/>
  <c r="F61" i="3"/>
  <c r="F64" i="3"/>
  <c r="F65" i="3"/>
  <c r="F67" i="3"/>
  <c r="F68" i="3"/>
  <c r="F66" i="3"/>
  <c r="F43" i="3"/>
  <c r="F37" i="3"/>
  <c r="F31" i="3"/>
  <c r="F22" i="3"/>
  <c r="F21" i="3" l="1"/>
  <c r="F126" i="1"/>
  <c r="G126" i="1" s="1"/>
  <c r="F121" i="1"/>
  <c r="G120" i="1"/>
  <c r="F116" i="1"/>
  <c r="G116" i="1" s="1"/>
  <c r="F115" i="1"/>
  <c r="G115" i="1" s="1"/>
  <c r="G96" i="1"/>
  <c r="F114" i="1"/>
  <c r="G114" i="1"/>
  <c r="F113" i="1"/>
  <c r="G113" i="1" s="1"/>
  <c r="F111" i="1"/>
  <c r="G111" i="1" s="1"/>
  <c r="G92" i="1"/>
  <c r="G95" i="1"/>
  <c r="G94" i="1"/>
  <c r="G93" i="1"/>
  <c r="F89" i="1"/>
  <c r="G89" i="1" s="1"/>
  <c r="G90" i="1" s="1"/>
  <c r="F76" i="1"/>
  <c r="G76" i="1" s="1"/>
  <c r="F62" i="1"/>
  <c r="F60" i="1"/>
  <c r="G60" i="1" s="1"/>
  <c r="F58" i="1"/>
  <c r="G58" i="1" s="1"/>
  <c r="F54" i="1"/>
  <c r="G54" i="1" s="1"/>
  <c r="G52" i="1"/>
  <c r="F48" i="1"/>
  <c r="G48" i="1" s="1"/>
  <c r="G46" i="1"/>
  <c r="G47" i="1"/>
  <c r="G45" i="1"/>
  <c r="G40" i="1"/>
  <c r="G39" i="1"/>
  <c r="F34" i="1"/>
  <c r="G34" i="1" s="1"/>
  <c r="G35" i="1" s="1"/>
  <c r="F30" i="1"/>
  <c r="G28" i="1"/>
  <c r="F25" i="1"/>
  <c r="G25" i="1" s="1"/>
  <c r="F24" i="1"/>
  <c r="G24" i="1" s="1"/>
  <c r="F23" i="1"/>
  <c r="G23" i="1" s="1"/>
  <c r="F22" i="1"/>
  <c r="G22" i="1" s="1"/>
  <c r="F14" i="1"/>
  <c r="G50" i="4"/>
  <c r="G49" i="4"/>
  <c r="G48" i="4"/>
  <c r="G47" i="4"/>
  <c r="G51" i="4" s="1"/>
  <c r="G44" i="4"/>
  <c r="G45" i="4" s="1"/>
  <c r="G41" i="4"/>
  <c r="G42" i="4" s="1"/>
  <c r="G38" i="4"/>
  <c r="G37" i="4"/>
  <c r="G39" i="4" s="1"/>
  <c r="G27" i="4"/>
  <c r="G26" i="4"/>
  <c r="G25" i="4"/>
  <c r="G24" i="4"/>
  <c r="G23" i="4"/>
  <c r="G34" i="4"/>
  <c r="G33" i="4"/>
  <c r="G32" i="4"/>
  <c r="G31" i="4"/>
  <c r="G30" i="4"/>
  <c r="G16" i="4"/>
  <c r="G20" i="4"/>
  <c r="G19" i="4"/>
  <c r="G18" i="4"/>
  <c r="G17" i="4"/>
  <c r="G72" i="3"/>
  <c r="G73" i="3" s="1"/>
  <c r="G69" i="3"/>
  <c r="G68" i="3"/>
  <c r="G67" i="3"/>
  <c r="G66" i="3"/>
  <c r="G65" i="3"/>
  <c r="G64" i="3"/>
  <c r="G63" i="3"/>
  <c r="G62" i="3"/>
  <c r="G61" i="3"/>
  <c r="G46" i="3"/>
  <c r="G47" i="3" s="1"/>
  <c r="G43" i="3"/>
  <c r="G42" i="3"/>
  <c r="G41" i="3"/>
  <c r="G38" i="3"/>
  <c r="G37" i="3"/>
  <c r="G36" i="3"/>
  <c r="G35" i="3"/>
  <c r="G34" i="3"/>
  <c r="G31" i="3"/>
  <c r="G30" i="3"/>
  <c r="G29" i="3"/>
  <c r="G28" i="3"/>
  <c r="G27" i="3"/>
  <c r="G24" i="3"/>
  <c r="G23" i="3"/>
  <c r="G22" i="3"/>
  <c r="G21" i="3"/>
  <c r="G20" i="3"/>
  <c r="G125" i="1"/>
  <c r="G124" i="1"/>
  <c r="G121" i="1"/>
  <c r="G119" i="1"/>
  <c r="G112" i="1"/>
  <c r="G110" i="1"/>
  <c r="G86" i="1"/>
  <c r="G87" i="1" s="1"/>
  <c r="G85" i="1"/>
  <c r="G82" i="1"/>
  <c r="G81" i="1"/>
  <c r="G80" i="1"/>
  <c r="G79" i="1"/>
  <c r="G69" i="1"/>
  <c r="G68" i="1"/>
  <c r="G73" i="1"/>
  <c r="G72" i="1"/>
  <c r="G65" i="1"/>
  <c r="G62" i="1"/>
  <c r="G61" i="1"/>
  <c r="G59" i="1"/>
  <c r="G55" i="1"/>
  <c r="G53" i="1"/>
  <c r="G51" i="1"/>
  <c r="G44" i="1"/>
  <c r="G41" i="1"/>
  <c r="G38" i="1"/>
  <c r="G37" i="1"/>
  <c r="G31" i="1"/>
  <c r="G30" i="1"/>
  <c r="G29" i="1"/>
  <c r="G21" i="1"/>
  <c r="G18" i="1"/>
  <c r="G17" i="1"/>
  <c r="G19" i="1" s="1"/>
  <c r="G14" i="1"/>
  <c r="G15" i="1" s="1"/>
  <c r="G11" i="1"/>
  <c r="G108" i="1"/>
  <c r="G77" i="1"/>
  <c r="G66" i="1"/>
  <c r="G12" i="1"/>
  <c r="G70" i="1" l="1"/>
  <c r="G25" i="3"/>
  <c r="G83" i="1"/>
  <c r="G127" i="1"/>
  <c r="G39" i="3"/>
  <c r="G74" i="1"/>
  <c r="G21" i="4"/>
  <c r="G35" i="4"/>
  <c r="G28" i="4"/>
  <c r="G70" i="3"/>
  <c r="G44" i="3"/>
  <c r="G32" i="3"/>
  <c r="G122" i="1"/>
  <c r="G117" i="1"/>
  <c r="G63" i="1"/>
  <c r="G56" i="1"/>
  <c r="G42" i="1"/>
  <c r="G32" i="1"/>
  <c r="G26" i="1"/>
</calcChain>
</file>

<file path=xl/sharedStrings.xml><?xml version="1.0" encoding="utf-8"?>
<sst xmlns="http://schemas.openxmlformats.org/spreadsheetml/2006/main" count="1636" uniqueCount="364">
  <si>
    <t>BUSINESS CLASS - Max 32 +  6 buffer pax</t>
  </si>
  <si>
    <t>Raw Material 10-20% buffer</t>
  </si>
  <si>
    <t>SAS IFX Description</t>
  </si>
  <si>
    <t>Weight / Pc</t>
  </si>
  <si>
    <t>Unit of M</t>
  </si>
  <si>
    <t>Load Ratio</t>
  </si>
  <si>
    <t>IC C S1 CUTLERY C1</t>
  </si>
  <si>
    <t xml:space="preserve">Food Cost </t>
  </si>
  <si>
    <t>Food Waste</t>
  </si>
  <si>
    <t xml:space="preserve">Napkin/Tablecloth, Poly/Cotton, Grey </t>
  </si>
  <si>
    <t>Pc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</si>
  <si>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</si>
  <si>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</si>
  <si>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</si>
  <si>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</si>
  <si>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</si>
  <si>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C1</t>
  </si>
  <si>
    <t xml:space="preserve">Mesclun Mixed Greens </t>
  </si>
  <si>
    <t>gm</t>
  </si>
  <si>
    <t>IC C S1 SA GARNISH C1</t>
  </si>
  <si>
    <t>Shaved Watermelon Radish</t>
  </si>
  <si>
    <t>c398</t>
  </si>
  <si>
    <t>20% prep waste</t>
  </si>
  <si>
    <t>IC C S1+S2 BUTTER C1</t>
  </si>
  <si>
    <t xml:space="preserve">Premium Whipped Butter </t>
  </si>
  <si>
    <t>Maldon Flaky Salt</t>
  </si>
  <si>
    <t>IC C S1 ST-A MEAT C1</t>
  </si>
  <si>
    <t>Spotted Trotter Duck Proscuitto</t>
  </si>
  <si>
    <t xml:space="preserve"> PER LB</t>
  </si>
  <si>
    <t>Canteloupe</t>
  </si>
  <si>
    <t>c087</t>
  </si>
  <si>
    <t>30% prep waste</t>
  </si>
  <si>
    <t>Goat Cheese Crumbles</t>
  </si>
  <si>
    <t>SYSCO</t>
  </si>
  <si>
    <t>Frissee</t>
  </si>
  <si>
    <t>C397</t>
  </si>
  <si>
    <t>Balsamic Glaze</t>
  </si>
  <si>
    <t>D496</t>
  </si>
  <si>
    <t>IC C S1 ST-B FISH C1</t>
  </si>
  <si>
    <t>Snow Crab Claw</t>
  </si>
  <si>
    <t>PURCHASE</t>
  </si>
  <si>
    <t>Crab Salad</t>
  </si>
  <si>
    <t>Mango Curry Aioli</t>
  </si>
  <si>
    <t>IC C S1 ST GARNISH C1</t>
  </si>
  <si>
    <t>Peppadew Sweer Pepper Drops</t>
  </si>
  <si>
    <t>25% DRAIN</t>
  </si>
  <si>
    <t>IC C S1 HM-A MEAT C1</t>
  </si>
  <si>
    <t>Jjajangmyeon Short Rib</t>
  </si>
  <si>
    <t>Ginger Ponzu Glaze</t>
  </si>
  <si>
    <t>Sticky Rice</t>
  </si>
  <si>
    <t>Sesame Stir Fry Vegetables</t>
  </si>
  <si>
    <t>IC C S1 HM-C POULTRY C1</t>
  </si>
  <si>
    <t>Lemon Roasted Airline Chicken Breast</t>
  </si>
  <si>
    <t>Marinated Haricovert</t>
  </si>
  <si>
    <t>Lemon Herb Chicken Jus</t>
  </si>
  <si>
    <t>Rosemary Marble Potatoes</t>
  </si>
  <si>
    <t>Chopped Parsley</t>
  </si>
  <si>
    <t>C040</t>
  </si>
  <si>
    <t>40% WASTE</t>
  </si>
  <si>
    <t>IC C S1 HM-D VEG C1</t>
  </si>
  <si>
    <t>White Truffle Risotto</t>
  </si>
  <si>
    <t>Wild Mushroom Conserva</t>
  </si>
  <si>
    <t>Grilled Baby Zuccini</t>
  </si>
  <si>
    <t>Oven Roasted Tomato</t>
  </si>
  <si>
    <t>IC C S1 HM - Pre Select ONLY -FISH</t>
  </si>
  <si>
    <t>Seared Salmon</t>
  </si>
  <si>
    <t>Pre-Select</t>
  </si>
  <si>
    <t>Tomato Citrus Nage</t>
  </si>
  <si>
    <t>Saffron Cous Cous</t>
  </si>
  <si>
    <t>Blistered Tomato</t>
  </si>
  <si>
    <t>IC C S1 HM GARNISH C1</t>
  </si>
  <si>
    <t>Mild Ponzu Marinated Jalapenos</t>
  </si>
  <si>
    <t>IC C S1 DE CHEESE C1</t>
  </si>
  <si>
    <t>Sweet Grass Dairy Cypress</t>
  </si>
  <si>
    <t>8x20</t>
  </si>
  <si>
    <t>2  tray min</t>
  </si>
  <si>
    <t>PER LB</t>
  </si>
  <si>
    <t>Sweet Grass Heat</t>
  </si>
  <si>
    <t>IC C S1 DE CAKE C1</t>
  </si>
  <si>
    <t>Matcha Cheese Cake</t>
  </si>
  <si>
    <t>2 tray min</t>
  </si>
  <si>
    <t xml:space="preserve">Dehydrated Strawberry </t>
  </si>
  <si>
    <t>IC C S1 DE CAKE GARNISH C1</t>
  </si>
  <si>
    <t>Chocolate Syrup</t>
  </si>
  <si>
    <t>D232</t>
  </si>
  <si>
    <t>IC C S1 DE FRUIT C1</t>
  </si>
  <si>
    <t>Grapes</t>
  </si>
  <si>
    <t>2 Min</t>
  </si>
  <si>
    <t>Honeydew (0,75 inch cubes)</t>
  </si>
  <si>
    <t>Cantaloupe (0,75 inch cubes)</t>
  </si>
  <si>
    <t>Watermelon (0,75 inch cubes)</t>
  </si>
  <si>
    <t>IC C S1 BRD Type 1 C1</t>
  </si>
  <si>
    <t>Sourdough</t>
  </si>
  <si>
    <t>Multi Grain Beer and Cheese Roll</t>
  </si>
  <si>
    <t>IC C S1 BRD Type 2 C1</t>
  </si>
  <si>
    <t>Artisan Baguette Sliced</t>
  </si>
  <si>
    <t>Slices</t>
  </si>
  <si>
    <t>2 FIXED</t>
  </si>
  <si>
    <t>Bar Bulk Load</t>
  </si>
  <si>
    <t xml:space="preserve">Celery Stick </t>
  </si>
  <si>
    <t>aCup</t>
  </si>
  <si>
    <t>Sliced Lemon Half Moon</t>
  </si>
  <si>
    <t>Lemon Wedges</t>
  </si>
  <si>
    <t>Lime Wedges</t>
  </si>
  <si>
    <t>IC C S2 TSU C1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</si>
  <si>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</si>
  <si>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</si>
  <si>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</si>
  <si>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</si>
  <si>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</si>
  <si>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</si>
  <si>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</si>
  <si>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</si>
  <si>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</si>
  <si>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</si>
  <si>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C1</t>
  </si>
  <si>
    <t>Sweet Grass Dairy Fresh Farmer Cheese W/ Lavender</t>
  </si>
  <si>
    <t>Gm</t>
  </si>
  <si>
    <t>Canadian Bacon</t>
  </si>
  <si>
    <t>F268</t>
  </si>
  <si>
    <t>Spotted Trotter Hard Chorizo</t>
  </si>
  <si>
    <t>Leaf Lettuce</t>
  </si>
  <si>
    <t>Cucumber Slices</t>
  </si>
  <si>
    <t>2x 5</t>
  </si>
  <si>
    <t>C239</t>
  </si>
  <si>
    <t>Grape Tomato</t>
  </si>
  <si>
    <t>C071</t>
  </si>
  <si>
    <t xml:space="preserve"> </t>
  </si>
  <si>
    <t>Grape Cluster</t>
  </si>
  <si>
    <t>C106</t>
  </si>
  <si>
    <t>IC C S2 FRUIT C1</t>
  </si>
  <si>
    <t>Over-night Rice Pudding</t>
  </si>
  <si>
    <t>Morello Cherry Compote</t>
  </si>
  <si>
    <t>Quartered Strawberry</t>
  </si>
  <si>
    <t>C303</t>
  </si>
  <si>
    <t xml:space="preserve">IC C S3 BRD </t>
  </si>
  <si>
    <t>Mini Croissant</t>
  </si>
  <si>
    <t>Sourdough Roll</t>
  </si>
  <si>
    <t>Mini Bagel</t>
  </si>
  <si>
    <t>BUSINESS CLASS - 1st service express tray 4 TSU per flight</t>
  </si>
  <si>
    <t> </t>
  </si>
  <si>
    <t>IC C S1 CUTLERY C4</t>
  </si>
  <si>
    <t xml:space="preserve"> Pc </t>
  </si>
  <si>
    <t xml:space="preserve"> gm </t>
  </si>
  <si>
    <t>Spiced Pepitas</t>
  </si>
  <si>
    <t>Sweet Grass Dairy Heat</t>
  </si>
  <si>
    <t>Jam</t>
  </si>
  <si>
    <t>PLUS (PREMIUM ECO) MAX - 57 PAX + 6 buffer</t>
  </si>
  <si>
    <t>IC Y S1 TSU C1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</si>
  <si>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</si>
  <si>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</si>
  <si>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</si>
  <si>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</si>
  <si>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</si>
  <si>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</si>
  <si>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</si>
  <si>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</si>
  <si>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</si>
  <si>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</si>
  <si>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</si>
  <si>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</si>
  <si>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C1</t>
  </si>
  <si>
    <t>Pesto Shrimp</t>
  </si>
  <si>
    <t>553 + 465</t>
  </si>
  <si>
    <t>553+465</t>
  </si>
  <si>
    <t>Herb Orzo Salad</t>
  </si>
  <si>
    <t>Arugula</t>
  </si>
  <si>
    <t>IC Y S1 HM-A C1</t>
  </si>
  <si>
    <t>Grilled Chicken Breast, Diced</t>
  </si>
  <si>
    <t>Thai Green Curry Sauce</t>
  </si>
  <si>
    <t>Sweet Pepper Slice</t>
  </si>
  <si>
    <t>C059</t>
  </si>
  <si>
    <t>IC Y/M S1 HM-B C1</t>
  </si>
  <si>
    <t>Cheese Manicotti</t>
  </si>
  <si>
    <t>2x 70</t>
  </si>
  <si>
    <t>PASTA MAMI</t>
  </si>
  <si>
    <t>Marinara</t>
  </si>
  <si>
    <t>PURCHASED</t>
  </si>
  <si>
    <t>P219</t>
  </si>
  <si>
    <t>Ratattouille</t>
  </si>
  <si>
    <t>Mozzarella Cheese</t>
  </si>
  <si>
    <t>Belgioso Vegetarian</t>
  </si>
  <si>
    <t>C387</t>
  </si>
  <si>
    <t>IC Y S1 DE C1</t>
  </si>
  <si>
    <t>Strawberry Cheese Cake</t>
  </si>
  <si>
    <t>Crème Fraiche</t>
  </si>
  <si>
    <t>BRD Y S1  C1</t>
  </si>
  <si>
    <t>Six Grain Roll</t>
  </si>
  <si>
    <t>SECOND SERVICE</t>
  </si>
  <si>
    <t>IC Y S2 TSU C1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</si>
  <si>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</si>
  <si>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</si>
  <si>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</si>
  <si>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</si>
  <si>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</si>
  <si>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</si>
  <si>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</si>
  <si>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</si>
  <si>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</si>
  <si>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</si>
  <si>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C1</t>
  </si>
  <si>
    <t>Sliced Provolone Cheese</t>
  </si>
  <si>
    <t>2x 15</t>
  </si>
  <si>
    <t>per lb</t>
  </si>
  <si>
    <t>Hard boiled egg Half</t>
  </si>
  <si>
    <t>P290</t>
  </si>
  <si>
    <t xml:space="preserve">Cherry tomato </t>
  </si>
  <si>
    <t>Cucumber Rounds</t>
  </si>
  <si>
    <t>2x 10</t>
  </si>
  <si>
    <t>Cantaloupe Wedge</t>
  </si>
  <si>
    <t>GO (ECONOMY) MAX - 174 PAX</t>
  </si>
  <si>
    <t>IC M S1 TSU C1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</si>
  <si>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</si>
  <si>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</si>
  <si>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</si>
  <si>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</si>
  <si>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</si>
  <si>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</si>
  <si>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</si>
  <si>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</si>
  <si>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`1A</t>
  </si>
  <si>
    <t>IC M S1 SALAD C1</t>
  </si>
  <si>
    <t>Mesclun Mixed Green Mix</t>
  </si>
  <si>
    <t xml:space="preserve">Red Pepper </t>
  </si>
  <si>
    <t>c059</t>
  </si>
  <si>
    <t>Cucumber</t>
  </si>
  <si>
    <t>Shredded White Cheddar</t>
  </si>
  <si>
    <t>c015</t>
  </si>
  <si>
    <t xml:space="preserve">VLML OPTION 1 </t>
  </si>
  <si>
    <t>IC M S1 DE C1</t>
  </si>
  <si>
    <t>Chocolate Mousse</t>
  </si>
  <si>
    <t>Oreo Crumbles</t>
  </si>
  <si>
    <t>IC Y/M S1+S2 BRD Type 1 C1</t>
  </si>
  <si>
    <t>Honey Wheat Roll</t>
  </si>
  <si>
    <t>IC M S2 JUICE C1</t>
  </si>
  <si>
    <t>PP Juice</t>
  </si>
  <si>
    <t>pc</t>
  </si>
  <si>
    <t>IC M S2 SW C1</t>
  </si>
  <si>
    <t>Potato Egg and Cheese Hand Pie</t>
  </si>
  <si>
    <t>cost - 0.37$</t>
  </si>
  <si>
    <r>
      <t xml:space="preserve">Concept: </t>
    </r>
    <r>
      <rPr>
        <b/>
        <sz val="10"/>
        <color rgb="FF000000"/>
        <rFont val="Aptos Narrow"/>
        <family val="2"/>
      </rPr>
      <t>01JUN24</t>
    </r>
    <r>
      <rPr>
        <sz val="10"/>
        <color rgb="FF000000"/>
        <rFont val="Aptos Narrow"/>
        <family val="2"/>
      </rPr>
      <t xml:space="preserve"> | Version: 1 | Updated: 15DEC</t>
    </r>
    <r>
      <rPr>
        <b/>
        <sz val="10"/>
        <color rgb="FF000000"/>
        <rFont val="Aptos Narrow"/>
        <family val="2"/>
      </rPr>
      <t>23</t>
    </r>
    <r>
      <rPr>
        <sz val="10"/>
        <color rgb="FF000000"/>
        <rFont val="Aptos Narrow"/>
        <family val="2"/>
      </rPr>
      <t xml:space="preserve"> Currency USD</t>
    </r>
  </si>
  <si>
    <t>Crew Meals  - 8 CREW - 2 PILOT</t>
  </si>
  <si>
    <t>Quality, brand, supplier, origin, comments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</si>
  <si>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</si>
  <si>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</si>
  <si>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</si>
  <si>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</si>
  <si>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</si>
  <si>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</si>
  <si>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</si>
  <si>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Chorizo</t>
  </si>
  <si>
    <t xml:space="preserve"> Gm </t>
  </si>
  <si>
    <t xml:space="preserve"> HEY WOOD HAM </t>
  </si>
  <si>
    <t>Mayo (top and bottom)</t>
  </si>
  <si>
    <t>Wheat Bread</t>
  </si>
  <si>
    <t>50-60</t>
  </si>
  <si>
    <t xml:space="preserve"> Baked in house </t>
  </si>
  <si>
    <t>CRW K CM B</t>
  </si>
  <si>
    <t>Farmers Cheese lil moo sweet grassdairy</t>
  </si>
  <si>
    <t>Red Pepper Strips</t>
  </si>
  <si>
    <t xml:space="preserve">Wheat Bread </t>
  </si>
  <si>
    <t xml:space="preserve"> Baked  in House </t>
  </si>
  <si>
    <t xml:space="preserve">CRW P CM - Poultry or Salmon A </t>
  </si>
  <si>
    <t>Smoked Salmon</t>
  </si>
  <si>
    <t>Sliced Cheese</t>
  </si>
  <si>
    <t xml:space="preserve"> Each </t>
  </si>
  <si>
    <t>Orzo Salad</t>
  </si>
  <si>
    <t xml:space="preserve">CRW P CM - Meat B </t>
  </si>
  <si>
    <t>Povolone Cheese</t>
  </si>
  <si>
    <t>Cherry/Grape Tomato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</si>
  <si>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</si>
  <si>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</si>
  <si>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</si>
  <si>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</si>
  <si>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</si>
  <si>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</si>
  <si>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</si>
  <si>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</si>
  <si>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 xml:space="preserve">CRW K HM Salad </t>
  </si>
  <si>
    <t xml:space="preserve">CRW P HM A </t>
  </si>
  <si>
    <t xml:space="preserve">  Bell and Evans Organic  </t>
  </si>
  <si>
    <t xml:space="preserve">CRW K HM A </t>
  </si>
  <si>
    <t xml:space="preserve"> Bell and Evans Organic 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</si>
  <si>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</si>
  <si>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</si>
  <si>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</si>
  <si>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</si>
  <si>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 CHIBANI YOGURT 4OZ  </t>
  </si>
  <si>
    <t>Portion packed local cheese</t>
  </si>
  <si>
    <t xml:space="preserve">  MINI BRIE WEDGE INVD WRAP, ILE DE GRANCE CHEESE   </t>
  </si>
  <si>
    <t xml:space="preserve">  wheat roll, Baked in house  </t>
  </si>
  <si>
    <t xml:space="preserve">  WHOLESOME FARMS  </t>
  </si>
  <si>
    <t xml:space="preserve">CRW P HB </t>
  </si>
  <si>
    <t>OMELET</t>
  </si>
  <si>
    <t>BLANCH MARINATED KALE</t>
  </si>
  <si>
    <t>BREAKFAST POTATOES</t>
  </si>
  <si>
    <t>CANADIAN BACON</t>
  </si>
  <si>
    <t>2 x 30</t>
  </si>
  <si>
    <t>f268</t>
  </si>
  <si>
    <t xml:space="preserve">CRW K HB </t>
  </si>
  <si>
    <t>AVML</t>
  </si>
  <si>
    <t>CHML</t>
  </si>
  <si>
    <t>LGML</t>
  </si>
  <si>
    <t>VGML</t>
  </si>
  <si>
    <t>VLML</t>
  </si>
  <si>
    <t xml:space="preserve">IC C S1 CUTLERY </t>
  </si>
  <si>
    <t xml:space="preserve">IC C S1+S2 BUTTER </t>
  </si>
  <si>
    <t>VEG MARGARINE CUP</t>
  </si>
  <si>
    <t>SPML - STARTER</t>
  </si>
  <si>
    <t>Green Leaf Lettuce</t>
  </si>
  <si>
    <t>Dark Forest Ham</t>
  </si>
  <si>
    <t>Grilled Eggplant</t>
  </si>
  <si>
    <t>Cherry Tomato</t>
  </si>
  <si>
    <t xml:space="preserve"> PC </t>
  </si>
  <si>
    <t>Grilled Zuchinii</t>
  </si>
  <si>
    <t>Grilled Yellow Squash</t>
  </si>
  <si>
    <t>Celery Stick</t>
  </si>
  <si>
    <t>1 x 10</t>
  </si>
  <si>
    <t>Hummus</t>
  </si>
  <si>
    <t>Ranch Cup</t>
  </si>
  <si>
    <t>HOT MEAL</t>
  </si>
  <si>
    <t>Grilled Tofu Dice</t>
  </si>
  <si>
    <t>Fried Chicken Cutlet</t>
  </si>
  <si>
    <t>Tikka Masala Sauce</t>
  </si>
  <si>
    <t>Ponzu Jalapeno</t>
  </si>
  <si>
    <t>Basmati Rice</t>
  </si>
  <si>
    <t>Mash Potatoes</t>
  </si>
  <si>
    <t>Tumeric Cauliflower</t>
  </si>
  <si>
    <t>Buttered Spring Peas</t>
  </si>
  <si>
    <t>Parmesan Cheeese Shreds</t>
  </si>
  <si>
    <t>Sauteed Shitake</t>
  </si>
  <si>
    <t xml:space="preserve">IC C S1 DE CHEESE </t>
  </si>
  <si>
    <t xml:space="preserve">IC C S1 DE CAKE </t>
  </si>
  <si>
    <t>GF Vegan Cake</t>
  </si>
  <si>
    <t>ea</t>
  </si>
  <si>
    <t>Vegan Cake</t>
  </si>
  <si>
    <t xml:space="preserve">IC C S1 DE CAKE GARNISH </t>
  </si>
  <si>
    <t xml:space="preserve">IC C S1 BRD Type 1 </t>
  </si>
  <si>
    <t>IC C S1 BRD Type 1</t>
  </si>
  <si>
    <t>GLUTEN FREE ROLL</t>
  </si>
  <si>
    <t xml:space="preserve"> GM </t>
  </si>
  <si>
    <t>Gluten Free Roll</t>
  </si>
  <si>
    <t xml:space="preserve">IC C S1 BRD Type 2 </t>
  </si>
  <si>
    <t xml:space="preserve">IC C S2 TSU </t>
  </si>
  <si>
    <t>IC C S2 TSU</t>
  </si>
  <si>
    <t xml:space="preserve">IC C S2 COLD CUTS </t>
  </si>
  <si>
    <t>Cage Free Boiled Egg Half</t>
  </si>
  <si>
    <t>Vegan Cream Cheese</t>
  </si>
  <si>
    <t>Vegan Deli Slices</t>
  </si>
  <si>
    <t>Provolone Cheese</t>
  </si>
  <si>
    <t>Veg Pepperoni</t>
  </si>
  <si>
    <t>Black Forest Ham  (Heywoods)</t>
  </si>
  <si>
    <t>VEgan Pepperoni</t>
  </si>
  <si>
    <t>Melon</t>
  </si>
  <si>
    <t xml:space="preserve">IC C S2 FRUIT </t>
  </si>
  <si>
    <t>Greek Yogurt</t>
  </si>
  <si>
    <t>Mixed Fruit</t>
  </si>
  <si>
    <t>Bercher Muesli</t>
  </si>
  <si>
    <t>Poached Pears</t>
  </si>
  <si>
    <t>IQF Georgia Peaches</t>
  </si>
  <si>
    <t>Toasted Coconut</t>
  </si>
  <si>
    <t>Blueberries</t>
  </si>
  <si>
    <t xml:space="preserve">IC C S2 BRD </t>
  </si>
  <si>
    <t>Six Grain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</si>
</sst>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3"/>
      <name val="Aptos Narrow"/>
      <family val="2"/>
    </font>
    <font>
      <b/>
      <sz val="10"/>
      <color rgb="FF000000"/>
      <name val="Aptos Narrow"/>
      <family val="2"/>
    </font>
    <font>
      <b/>
      <sz val="8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name val="Aptos Narrow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89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/>
      <protection locked="0"/>
    </xf>
    <xf numFmtId="43" fontId="6" fillId="4" borderId="2" xfId="1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43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left"/>
    </xf>
    <xf numFmtId="43" fontId="6" fillId="4" borderId="2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9" fontId="6" fillId="4" borderId="2" xfId="1" applyNumberFormat="1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left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4" borderId="8" xfId="1" applyFont="1" applyFill="1" applyBorder="1" applyAlignment="1" applyProtection="1">
      <alignment horizontal="center"/>
      <protection locked="0"/>
    </xf>
    <xf numFmtId="43" fontId="6" fillId="4" borderId="7" xfId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0" fontId="10" fillId="6" borderId="9" xfId="0" applyFont="1" applyFill="1" applyBorder="1"/>
    <xf numFmtId="0" fontId="11" fillId="6" borderId="10" xfId="0" applyFont="1" applyFill="1" applyBorder="1"/>
    <xf numFmtId="0" fontId="12" fillId="0" borderId="2" xfId="0" applyFont="1" applyBorder="1"/>
    <xf numFmtId="0" fontId="0" fillId="0" borderId="2" xfId="0" applyBorder="1"/>
    <xf numFmtId="0" fontId="0" fillId="0" borderId="3" xfId="0" applyBorder="1"/>
    <xf numFmtId="9" fontId="0" fillId="0" borderId="0" xfId="0" applyNumberFormat="1"/>
    <xf numFmtId="0" fontId="5" fillId="3" borderId="8" xfId="0" applyFont="1" applyFill="1" applyBorder="1" applyAlignment="1">
      <alignment horizontal="center"/>
    </xf>
    <xf numFmtId="43" fontId="6" fillId="0" borderId="8" xfId="1" applyFont="1" applyFill="1" applyBorder="1" applyAlignment="1" applyProtection="1">
      <alignment horizontal="center"/>
      <protection locked="0"/>
    </xf>
    <xf numFmtId="0" fontId="5" fillId="3" borderId="1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43" fontId="6" fillId="4" borderId="13" xfId="1" applyFont="1" applyFill="1" applyBorder="1" applyAlignment="1" applyProtection="1">
      <alignment horizontal="center" vertical="center"/>
      <protection locked="0"/>
    </xf>
    <xf numFmtId="9" fontId="6" fillId="4" borderId="8" xfId="1" applyNumberFormat="1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>
      <alignment horizontal="center" vertical="center"/>
    </xf>
    <xf numFmtId="43" fontId="6" fillId="4" borderId="8" xfId="1" applyFont="1" applyFill="1" applyBorder="1" applyAlignment="1" applyProtection="1">
      <alignment horizontal="center" vertical="center"/>
      <protection locked="0"/>
    </xf>
    <xf numFmtId="43" fontId="6" fillId="2" borderId="8" xfId="1" applyFont="1" applyFill="1" applyBorder="1" applyAlignment="1" applyProtection="1">
      <alignment horizontal="center"/>
    </xf>
    <xf numFmtId="0" fontId="12" fillId="7" borderId="9" xfId="0" applyFont="1" applyFill="1" applyBorder="1"/>
    <xf numFmtId="0" fontId="9" fillId="7" borderId="9" xfId="0" applyFont="1" applyFill="1" applyBorder="1"/>
    <xf numFmtId="0" fontId="2" fillId="0" borderId="2" xfId="0" applyFont="1" applyBorder="1"/>
    <xf numFmtId="8" fontId="2" fillId="0" borderId="2" xfId="0" applyNumberFormat="1" applyFont="1" applyBorder="1"/>
    <xf numFmtId="0" fontId="13" fillId="0" borderId="0" xfId="0" applyFont="1"/>
    <xf numFmtId="9" fontId="14" fillId="0" borderId="0" xfId="0" applyNumberFormat="1" applyFont="1"/>
    <xf numFmtId="0" fontId="12" fillId="7" borderId="3" xfId="0" applyFont="1" applyFill="1" applyBorder="1"/>
    <xf numFmtId="0" fontId="9" fillId="7" borderId="3" xfId="0" applyFont="1" applyFill="1" applyBorder="1"/>
    <xf numFmtId="9" fontId="6" fillId="4" borderId="4" xfId="1" applyNumberFormat="1" applyFont="1" applyFill="1" applyBorder="1" applyAlignment="1" applyProtection="1">
      <alignment vertical="center"/>
      <protection locked="0"/>
    </xf>
    <xf numFmtId="43" fontId="6" fillId="4" borderId="6" xfId="1" applyFont="1" applyFill="1" applyBorder="1" applyAlignment="1" applyProtection="1">
      <alignment vertical="center"/>
      <protection locked="0"/>
    </xf>
    <xf numFmtId="43" fontId="6" fillId="4" borderId="7" xfId="1" applyFont="1" applyFill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43" fontId="6" fillId="0" borderId="7" xfId="1" applyFont="1" applyFill="1" applyBorder="1" applyAlignment="1" applyProtection="1">
      <alignment horizontal="center" vertical="center"/>
      <protection locked="0"/>
    </xf>
    <xf numFmtId="8" fontId="2" fillId="2" borderId="2" xfId="0" applyNumberFormat="1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12" fillId="0" borderId="3" xfId="0" applyFont="1" applyBorder="1"/>
    <xf numFmtId="0" fontId="15" fillId="0" borderId="3" xfId="0" applyFont="1" applyBorder="1"/>
    <xf numFmtId="9" fontId="6" fillId="4" borderId="11" xfId="1" applyNumberFormat="1" applyFont="1" applyFill="1" applyBorder="1" applyAlignment="1" applyProtection="1">
      <alignment horizontal="center" vertical="center"/>
      <protection locked="0"/>
    </xf>
    <xf numFmtId="43" fontId="6" fillId="4" borderId="14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4" borderId="11" xfId="1" applyNumberFormat="1" applyFont="1" applyFill="1" applyBorder="1" applyAlignment="1">
      <alignment horizontal="center" vertical="center"/>
    </xf>
    <xf numFmtId="43" fontId="6" fillId="4" borderId="14" xfId="1" applyFont="1" applyFill="1" applyBorder="1" applyAlignment="1">
      <alignment horizontal="center" vertical="center"/>
    </xf>
    <xf numFmtId="43" fontId="6" fillId="4" borderId="13" xfId="1" applyFont="1" applyFill="1" applyBorder="1" applyAlignment="1">
      <alignment horizontal="center" vertical="center"/>
    </xf>
    <xf numFmtId="43" fontId="6" fillId="4" borderId="11" xfId="1" applyFont="1" applyFill="1" applyBorder="1" applyAlignment="1" applyProtection="1">
      <alignment horizontal="center" vertical="center"/>
      <protection locked="0"/>
    </xf>
    <xf numFmtId="16" fontId="6" fillId="4" borderId="11" xfId="1" applyNumberFormat="1" applyFont="1" applyFill="1" applyBorder="1" applyAlignment="1" applyProtection="1">
      <alignment horizontal="center" vertical="center"/>
      <protection locked="0"/>
    </xf>
    <xf numFmtId="43" fontId="6" fillId="4" borderId="6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right"/>
    </xf>
    <xf numFmtId="8" fontId="0" fillId="0" borderId="2" xfId="0" applyNumberFormat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5" fillId="3" borderId="0" xfId="0" applyFont="1" applyFill="1" applyAlignment="1">
      <alignment horizontal="center"/>
    </xf>
    <xf numFmtId="43" fontId="6" fillId="0" borderId="0" xfId="1" applyFont="1" applyFill="1" applyBorder="1" applyAlignment="1" applyProtection="1">
      <alignment horizontal="center"/>
      <protection locked="0"/>
    </xf>
    <xf numFmtId="9" fontId="6" fillId="4" borderId="0" xfId="1" applyNumberFormat="1" applyFont="1" applyFill="1" applyBorder="1" applyAlignment="1" applyProtection="1">
      <alignment horizontal="center" vertical="center"/>
      <protection locked="0"/>
    </xf>
    <xf numFmtId="43" fontId="6" fillId="4" borderId="0" xfId="1" applyFont="1" applyFill="1" applyBorder="1" applyAlignment="1" applyProtection="1">
      <alignment horizontal="center" vertical="center"/>
      <protection locked="0"/>
    </xf>
    <xf numFmtId="9" fontId="6" fillId="4" borderId="0" xfId="1" applyNumberFormat="1" applyFont="1" applyFill="1" applyBorder="1" applyAlignment="1" applyProtection="1">
      <alignment horizontal="center"/>
      <protection locked="0"/>
    </xf>
    <xf numFmtId="43" fontId="6" fillId="4" borderId="0" xfId="1" applyFont="1" applyFill="1" applyBorder="1" applyAlignment="1" applyProtection="1">
      <alignment horizontal="center"/>
      <protection locked="0"/>
    </xf>
    <xf numFmtId="9" fontId="6" fillId="0" borderId="0" xfId="1" applyNumberFormat="1" applyFont="1" applyFill="1" applyBorder="1" applyAlignment="1" applyProtection="1">
      <alignment horizontal="center" vertical="center"/>
    </xf>
    <xf numFmtId="43" fontId="6" fillId="0" borderId="0" xfId="1" applyFont="1" applyFill="1" applyBorder="1" applyAlignment="1" applyProtection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vertical="center"/>
    </xf>
    <xf numFmtId="43" fontId="6" fillId="4" borderId="0" xfId="1" applyFont="1" applyFill="1" applyBorder="1" applyAlignment="1" applyProtection="1">
      <alignment vertical="center"/>
      <protection locked="0"/>
    </xf>
    <xf numFmtId="9" fontId="16" fillId="8" borderId="3" xfId="0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 applyProtection="1">
      <alignment horizontal="center" vertical="center"/>
      <protection locked="0"/>
    </xf>
    <xf numFmtId="0" fontId="15" fillId="0" borderId="15" xfId="0" applyFont="1" applyBorder="1"/>
    <xf numFmtId="0" fontId="16" fillId="8" borderId="9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10" borderId="7" xfId="0" applyFont="1" applyFill="1" applyBorder="1"/>
    <xf numFmtId="0" fontId="19" fillId="10" borderId="16" xfId="0" applyFont="1" applyFill="1" applyBorder="1"/>
    <xf numFmtId="0" fontId="20" fillId="0" borderId="0" xfId="0" applyFont="1"/>
    <xf numFmtId="0" fontId="20" fillId="0" borderId="7" xfId="0" applyFont="1" applyBorder="1"/>
    <xf numFmtId="0" fontId="20" fillId="0" borderId="16" xfId="0" applyFont="1" applyBorder="1"/>
    <xf numFmtId="0" fontId="20" fillId="0" borderId="2" xfId="0" applyFont="1" applyBorder="1"/>
    <xf numFmtId="0" fontId="18" fillId="10" borderId="2" xfId="0" applyFont="1" applyFill="1" applyBorder="1"/>
    <xf numFmtId="0" fontId="19" fillId="10" borderId="5" xfId="0" applyFont="1" applyFill="1" applyBorder="1"/>
    <xf numFmtId="0" fontId="20" fillId="8" borderId="7" xfId="0" applyFont="1" applyFill="1" applyBorder="1"/>
    <xf numFmtId="0" fontId="20" fillId="8" borderId="16" xfId="0" applyFont="1" applyFill="1" applyBorder="1"/>
    <xf numFmtId="0" fontId="14" fillId="0" borderId="0" xfId="0" applyFont="1"/>
    <xf numFmtId="0" fontId="21" fillId="11" borderId="7" xfId="0" applyFont="1" applyFill="1" applyBorder="1"/>
    <xf numFmtId="0" fontId="18" fillId="11" borderId="0" xfId="0" applyFont="1" applyFill="1"/>
    <xf numFmtId="0" fontId="19" fillId="11" borderId="7" xfId="0" applyFont="1" applyFill="1" applyBorder="1"/>
    <xf numFmtId="0" fontId="19" fillId="11" borderId="16" xfId="0" applyFont="1" applyFill="1" applyBorder="1"/>
    <xf numFmtId="0" fontId="20" fillId="9" borderId="7" xfId="0" applyFont="1" applyFill="1" applyBorder="1"/>
    <xf numFmtId="0" fontId="20" fillId="9" borderId="5" xfId="0" applyFont="1" applyFill="1" applyBorder="1"/>
    <xf numFmtId="0" fontId="20" fillId="9" borderId="16" xfId="0" applyFont="1" applyFill="1" applyBorder="1"/>
    <xf numFmtId="0" fontId="21" fillId="11" borderId="2" xfId="0" applyFont="1" applyFill="1" applyBorder="1"/>
    <xf numFmtId="0" fontId="19" fillId="11" borderId="5" xfId="0" applyFont="1" applyFill="1" applyBorder="1"/>
    <xf numFmtId="0" fontId="20" fillId="9" borderId="18" xfId="0" applyFont="1" applyFill="1" applyBorder="1"/>
    <xf numFmtId="0" fontId="22" fillId="11" borderId="7" xfId="0" applyFont="1" applyFill="1" applyBorder="1"/>
    <xf numFmtId="0" fontId="18" fillId="10" borderId="16" xfId="0" applyFont="1" applyFill="1" applyBorder="1"/>
    <xf numFmtId="0" fontId="20" fillId="0" borderId="5" xfId="0" applyFont="1" applyBorder="1"/>
    <xf numFmtId="0" fontId="18" fillId="10" borderId="6" xfId="0" applyFont="1" applyFill="1" applyBorder="1"/>
    <xf numFmtId="0" fontId="18" fillId="10" borderId="18" xfId="0" applyFont="1" applyFill="1" applyBorder="1"/>
    <xf numFmtId="0" fontId="7" fillId="8" borderId="3" xfId="0" applyFont="1" applyFill="1" applyBorder="1"/>
    <xf numFmtId="0" fontId="20" fillId="8" borderId="19" xfId="0" applyFont="1" applyFill="1" applyBorder="1"/>
    <xf numFmtId="0" fontId="7" fillId="8" borderId="20" xfId="0" applyFont="1" applyFill="1" applyBorder="1"/>
    <xf numFmtId="0" fontId="20" fillId="9" borderId="6" xfId="0" applyFont="1" applyFill="1" applyBorder="1"/>
    <xf numFmtId="0" fontId="20" fillId="9" borderId="3" xfId="0" applyFont="1" applyFill="1" applyBorder="1"/>
    <xf numFmtId="0" fontId="20" fillId="9" borderId="15" xfId="0" applyFont="1" applyFill="1" applyBorder="1"/>
    <xf numFmtId="0" fontId="0" fillId="2" borderId="3" xfId="0" applyFill="1" applyBorder="1"/>
    <xf numFmtId="43" fontId="0" fillId="2" borderId="3" xfId="0" applyNumberFormat="1" applyFill="1" applyBorder="1"/>
    <xf numFmtId="9" fontId="20" fillId="8" borderId="6" xfId="0" applyNumberFormat="1" applyFont="1" applyFill="1" applyBorder="1"/>
    <xf numFmtId="0" fontId="20" fillId="8" borderId="17" xfId="0" applyFont="1" applyFill="1" applyBorder="1"/>
    <xf numFmtId="9" fontId="6" fillId="4" borderId="11" xfId="1" applyNumberFormat="1" applyFont="1" applyFill="1" applyBorder="1" applyAlignment="1" applyProtection="1">
      <alignment horizontal="center" vertical="center"/>
      <protection locked="0"/>
    </xf>
    <xf numFmtId="43" fontId="6" fillId="4" borderId="14" xfId="1" applyFont="1" applyFill="1" applyBorder="1" applyAlignment="1" applyProtection="1">
      <alignment horizontal="center" vertical="center"/>
      <protection locked="0"/>
    </xf>
    <xf numFmtId="43" fontId="6" fillId="4" borderId="13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4" borderId="12" xfId="1" applyNumberFormat="1" applyFont="1" applyFill="1" applyBorder="1" applyAlignment="1" applyProtection="1">
      <alignment horizontal="center" vertical="center"/>
      <protection locked="0"/>
    </xf>
    <xf numFmtId="43" fontId="6" fillId="4" borderId="12" xfId="1" applyFont="1" applyFill="1" applyBorder="1" applyAlignment="1" applyProtection="1">
      <alignment horizontal="center" vertical="center"/>
      <protection locked="0"/>
    </xf>
    <xf numFmtId="9" fontId="6" fillId="4" borderId="11" xfId="1" applyNumberFormat="1" applyFont="1" applyFill="1" applyBorder="1" applyAlignment="1">
      <alignment horizontal="center" vertical="center"/>
    </xf>
    <xf numFmtId="43" fontId="6" fillId="4" borderId="14" xfId="1" applyFont="1" applyFill="1" applyBorder="1" applyAlignment="1">
      <alignment horizontal="center" vertical="center"/>
    </xf>
    <xf numFmtId="43" fontId="6" fillId="4" borderId="13" xfId="1" applyFont="1" applyFill="1" applyBorder="1" applyAlignment="1">
      <alignment horizontal="center" vertical="center"/>
    </xf>
    <xf numFmtId="43" fontId="6" fillId="4" borderId="11" xfId="1" applyFont="1" applyFill="1" applyBorder="1" applyAlignment="1" applyProtection="1">
      <alignment horizontal="center" vertical="center"/>
      <protection locked="0"/>
    </xf>
    <xf numFmtId="16" fontId="6" fillId="4" borderId="11" xfId="1" applyNumberFormat="1" applyFont="1" applyFill="1" applyBorder="1" applyAlignment="1" applyProtection="1">
      <alignment horizontal="center" vertical="center"/>
      <protection locked="0"/>
    </xf>
    <xf numFmtId="9" fontId="6" fillId="0" borderId="11" xfId="1" applyNumberFormat="1" applyFont="1" applyFill="1" applyBorder="1" applyAlignment="1" applyProtection="1">
      <alignment horizontal="center" vertical="center"/>
    </xf>
    <xf numFmtId="43" fontId="6" fillId="0" borderId="14" xfId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6" fillId="4" borderId="4" xfId="1" applyNumberFormat="1" applyFont="1" applyFill="1" applyBorder="1" applyAlignment="1" applyProtection="1">
      <alignment horizontal="center" vertical="center"/>
      <protection locked="0"/>
    </xf>
    <xf numFmtId="43" fontId="6" fillId="4" borderId="7" xfId="1" applyFont="1" applyFill="1" applyBorder="1" applyAlignment="1" applyProtection="1">
      <alignment horizontal="center" vertical="center"/>
      <protection locked="0"/>
    </xf>
    <xf numFmtId="9" fontId="6" fillId="4" borderId="6" xfId="1" applyNumberFormat="1" applyFont="1" applyFill="1" applyBorder="1" applyAlignment="1" applyProtection="1">
      <alignment horizontal="center" vertical="center"/>
      <protection locked="0"/>
    </xf>
    <xf numFmtId="43" fontId="6" fillId="4" borderId="6" xfId="1" applyFont="1" applyFill="1" applyBorder="1" applyAlignment="1" applyProtection="1">
      <alignment horizontal="center" vertical="center"/>
      <protection locked="0"/>
    </xf>
    <xf numFmtId="9" fontId="6" fillId="4" borderId="4" xfId="1" applyNumberFormat="1" applyFont="1" applyFill="1" applyBorder="1" applyAlignment="1" applyProtection="1">
      <alignment horizontal="center"/>
      <protection locked="0"/>
    </xf>
    <xf numFmtId="43" fontId="6" fillId="4" borderId="6" xfId="1" applyFont="1" applyFill="1" applyBorder="1" applyAlignment="1" applyProtection="1">
      <alignment horizontal="center"/>
      <protection locked="0"/>
    </xf>
    <xf numFmtId="43" fontId="6" fillId="4" borderId="7" xfId="1" applyFont="1" applyFill="1" applyBorder="1" applyAlignment="1" applyProtection="1">
      <alignment horizontal="center"/>
      <protection locked="0"/>
    </xf>
    <xf numFmtId="9" fontId="20" fillId="0" borderId="6" xfId="0" applyNumberFormat="1" applyFont="1" applyBorder="1" applyAlignment="1"/>
    <xf numFmtId="0" fontId="20" fillId="0" borderId="6" xfId="0" applyFont="1" applyBorder="1" applyAlignment="1"/>
    <xf numFmtId="0" fontId="20" fillId="0" borderId="17" xfId="0" applyFont="1" applyBorder="1" applyAlignment="1"/>
    <xf numFmtId="9" fontId="20" fillId="8" borderId="6" xfId="0" applyNumberFormat="1" applyFont="1" applyFill="1" applyBorder="1" applyAlignment="1"/>
    <xf numFmtId="0" fontId="20" fillId="8" borderId="6" xfId="0" applyFont="1" applyFill="1" applyBorder="1" applyAlignment="1"/>
    <xf numFmtId="0" fontId="20" fillId="8" borderId="17" xfId="0" applyFont="1" applyFill="1" applyBorder="1" applyAlignment="1"/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27"/>
  <sheetViews>
    <sheetView topLeftCell="A20" zoomScale="145" zoomScaleNormal="145" workbookViewId="0">
      <selection activeCell="F29" sqref="F29"/>
    </sheetView>
  </sheetViews>
  <sheetFormatPr defaultRowHeight="15"/>
  <cols>
    <col min="1" max="1" width="40.5703125" customWidth="1"/>
    <col min="2" max="5" width="10.7109375" style="31" customWidth="1"/>
    <col min="6" max="6" width="15.28515625" style="12" bestFit="1" customWidth="1"/>
    <col min="7" max="7" width="16.7109375" customWidth="1"/>
  </cols>
  <sheetData>
    <row r="1" spans="1:9" ht="34.5">
      <c r="A1" s="1" t="s">
        <v>0</v>
      </c>
      <c r="B1" s="2"/>
      <c r="C1" s="2"/>
      <c r="D1" s="2"/>
      <c r="E1" s="99"/>
      <c r="F1" s="12" t="s">
        <v>1</v>
      </c>
    </row>
    <row r="2" spans="1:9">
      <c r="A2" s="3" t="s">
        <v>2</v>
      </c>
      <c r="B2" s="29" t="s">
        <v>3</v>
      </c>
      <c r="C2" s="29" t="s">
        <v>4</v>
      </c>
      <c r="D2" s="29" t="s">
        <v>5</v>
      </c>
      <c r="E2" s="100"/>
      <c r="G2" s="56">
        <v>0.05</v>
      </c>
    </row>
    <row r="3" spans="1:9">
      <c r="A3" s="4" t="s">
        <v>6</v>
      </c>
      <c r="B3" s="30"/>
      <c r="C3" s="30"/>
      <c r="D3" s="30"/>
      <c r="E3" s="101"/>
      <c r="F3" s="51" t="s">
        <v>7</v>
      </c>
      <c r="G3" s="52" t="s">
        <v>8</v>
      </c>
    </row>
    <row r="4" spans="1:9">
      <c r="A4" s="5" t="s">
        <v>9</v>
      </c>
      <c r="B4" s="27">
        <v>1</v>
      </c>
      <c r="C4" s="6" t="s">
        <v>10</v>
      </c>
      <c r="D4" s="162">
        <v>1</v>
      </c>
      <c r="E4" s="88"/>
      <c r="F4" s="53"/>
      <c r="G4" s="54"/>
    </row>
    <row r="5" spans="1:9">
      <c r="A5" s="7" t="s">
        <v>11</v>
      </c>
      <c r="B5" s="27">
        <v>3</v>
      </c>
      <c r="C5" s="6" t="s">
        <v>10</v>
      </c>
      <c r="D5" s="163"/>
      <c r="E5" s="89"/>
      <c r="F5" s="53"/>
      <c r="G5" s="54"/>
    </row>
    <row r="6" spans="1:9">
      <c r="A6" s="7" t="s">
        <v>12</v>
      </c>
      <c r="B6" s="27">
        <v>3</v>
      </c>
      <c r="C6" s="6" t="s">
        <v>10</v>
      </c>
      <c r="D6" s="163"/>
      <c r="E6" s="89"/>
      <c r="F6" s="53"/>
      <c r="G6" s="54"/>
    </row>
    <row r="7" spans="1:9">
      <c r="A7" s="7" t="s">
        <v>13</v>
      </c>
      <c r="B7" s="27">
        <v>1</v>
      </c>
      <c r="C7" s="6" t="s">
        <v>10</v>
      </c>
      <c r="D7" s="163"/>
      <c r="E7" s="89"/>
      <c r="F7" s="53"/>
      <c r="G7" s="54"/>
    </row>
    <row r="8" spans="1:9">
      <c r="A8" s="7" t="s">
        <v>14</v>
      </c>
      <c r="B8" s="27">
        <v>1</v>
      </c>
      <c r="C8" s="6" t="s">
        <v>10</v>
      </c>
      <c r="D8" s="163"/>
      <c r="E8" s="89"/>
      <c r="F8" s="53"/>
      <c r="G8" s="54"/>
    </row>
    <row r="9" spans="1:9">
      <c r="A9" s="7" t="s">
        <v>15</v>
      </c>
      <c r="B9" s="27">
        <v>1</v>
      </c>
      <c r="C9" s="6" t="s">
        <v>10</v>
      </c>
      <c r="D9" s="164"/>
      <c r="E9" s="90"/>
      <c r="F9" s="53"/>
      <c r="G9" s="54"/>
    </row>
    <row r="10" spans="1:9">
      <c r="A10" s="4" t="s">
        <v>16</v>
      </c>
      <c r="B10" s="30"/>
      <c r="C10" s="30"/>
      <c r="D10" s="30"/>
      <c r="E10" s="30"/>
      <c r="F10" s="53"/>
      <c r="G10" s="54"/>
    </row>
    <row r="11" spans="1:9">
      <c r="A11" s="8" t="s">
        <v>17</v>
      </c>
      <c r="B11" s="9">
        <v>250</v>
      </c>
      <c r="C11" s="10" t="s">
        <v>18</v>
      </c>
      <c r="D11" s="10">
        <v>2</v>
      </c>
      <c r="E11" s="10"/>
      <c r="F11" s="53">
        <v>1.4491000000000001</v>
      </c>
      <c r="G11" s="55">
        <f>F11*(1+$G$2)</f>
        <v>1.5215550000000002</v>
      </c>
    </row>
    <row r="12" spans="1:9">
      <c r="A12" s="48"/>
      <c r="B12" s="49"/>
      <c r="C12" s="50"/>
      <c r="D12" s="50"/>
      <c r="E12" s="102"/>
      <c r="F12" s="66"/>
      <c r="G12" s="67">
        <f>SUM(G11)</f>
        <v>1.5215550000000002</v>
      </c>
    </row>
    <row r="13" spans="1:9">
      <c r="A13" s="4" t="s">
        <v>19</v>
      </c>
      <c r="B13" s="30"/>
      <c r="C13" s="30"/>
      <c r="D13" s="57"/>
      <c r="E13" s="57"/>
      <c r="F13" s="68"/>
      <c r="G13" s="54"/>
    </row>
    <row r="14" spans="1:9">
      <c r="A14" s="8" t="s">
        <v>20</v>
      </c>
      <c r="B14" s="11">
        <v>200</v>
      </c>
      <c r="C14" s="10" t="s">
        <v>18</v>
      </c>
      <c r="D14" s="46">
        <v>2</v>
      </c>
      <c r="E14" s="46"/>
      <c r="F14" s="54">
        <f>1.06/0.8*1.1/450*B14</f>
        <v>0.64777777777777779</v>
      </c>
      <c r="G14" s="55">
        <f>F14*(1+$G$2)</f>
        <v>0.6801666666666667</v>
      </c>
      <c r="H14" t="s">
        <v>21</v>
      </c>
      <c r="I14" t="s">
        <v>22</v>
      </c>
    </row>
    <row r="15" spans="1:9">
      <c r="A15" s="48"/>
      <c r="B15" s="49"/>
      <c r="C15" s="50"/>
      <c r="D15" s="58"/>
      <c r="E15" s="102"/>
      <c r="F15" s="66"/>
      <c r="G15" s="67">
        <f>SUM(G14)</f>
        <v>0.6801666666666667</v>
      </c>
    </row>
    <row r="16" spans="1:9">
      <c r="A16" s="44" t="s">
        <v>23</v>
      </c>
      <c r="B16" s="30"/>
      <c r="C16" s="30"/>
      <c r="D16" s="59"/>
      <c r="E16" s="59"/>
      <c r="F16" s="68"/>
      <c r="G16" s="54"/>
    </row>
    <row r="17" spans="1:9">
      <c r="A17" s="42" t="s">
        <v>24</v>
      </c>
      <c r="B17" s="43">
        <v>14</v>
      </c>
      <c r="C17" s="46" t="s">
        <v>18</v>
      </c>
      <c r="D17" s="165">
        <v>1</v>
      </c>
      <c r="E17" s="103"/>
      <c r="F17" s="53">
        <v>7.46E-2</v>
      </c>
      <c r="G17" s="55">
        <f t="shared" ref="G17:G18" si="0">F17*(1+$G$2)</f>
        <v>7.8329999999999997E-2</v>
      </c>
    </row>
    <row r="18" spans="1:9">
      <c r="A18" s="42" t="s">
        <v>25</v>
      </c>
      <c r="B18" s="43">
        <v>1</v>
      </c>
      <c r="C18" s="46" t="s">
        <v>18</v>
      </c>
      <c r="D18" s="166"/>
      <c r="E18" s="104"/>
      <c r="F18" s="53">
        <v>2.3E-3</v>
      </c>
      <c r="G18" s="55">
        <f t="shared" si="0"/>
        <v>2.415E-3</v>
      </c>
    </row>
    <row r="19" spans="1:9">
      <c r="A19" s="48"/>
      <c r="B19" s="49"/>
      <c r="C19" s="50"/>
      <c r="D19" s="58"/>
      <c r="E19" s="102"/>
      <c r="F19" s="66"/>
      <c r="G19" s="67">
        <f>SUM(G17:G18)</f>
        <v>8.0744999999999997E-2</v>
      </c>
    </row>
    <row r="20" spans="1:9">
      <c r="A20" s="45" t="s">
        <v>26</v>
      </c>
      <c r="B20" s="30"/>
      <c r="C20" s="30"/>
      <c r="D20" s="60"/>
      <c r="E20" s="60"/>
      <c r="F20" s="68"/>
      <c r="G20" s="54"/>
    </row>
    <row r="21" spans="1:9">
      <c r="A21" s="8" t="s">
        <v>27</v>
      </c>
      <c r="B21" s="11">
        <v>14</v>
      </c>
      <c r="C21" s="10" t="s">
        <v>18</v>
      </c>
      <c r="D21" s="159">
        <v>0.6</v>
      </c>
      <c r="E21" s="86"/>
      <c r="F21" s="81">
        <f>69.96*1.25/450*B21</f>
        <v>2.7206666666666663</v>
      </c>
      <c r="G21" s="55">
        <f t="shared" ref="G21:G25" si="1">F21*(1+$G$2)</f>
        <v>2.8566999999999996</v>
      </c>
      <c r="H21">
        <v>69.959999999999994</v>
      </c>
      <c r="I21" t="s">
        <v>28</v>
      </c>
    </row>
    <row r="22" spans="1:9">
      <c r="A22" s="8" t="s">
        <v>29</v>
      </c>
      <c r="B22" s="11">
        <v>42</v>
      </c>
      <c r="C22" s="10" t="s">
        <v>18</v>
      </c>
      <c r="D22" s="160"/>
      <c r="E22" s="87"/>
      <c r="F22" s="98">
        <f>29.24/6/0.7*1.1/450*B22</f>
        <v>0.7147555555555557</v>
      </c>
      <c r="G22" s="55">
        <f t="shared" si="1"/>
        <v>0.75049333333333357</v>
      </c>
      <c r="H22" t="s">
        <v>30</v>
      </c>
      <c r="I22" t="s">
        <v>31</v>
      </c>
    </row>
    <row r="23" spans="1:9">
      <c r="A23" s="8" t="s">
        <v>32</v>
      </c>
      <c r="B23" s="11">
        <v>6</v>
      </c>
      <c r="C23" s="10" t="s">
        <v>18</v>
      </c>
      <c r="D23" s="160"/>
      <c r="E23" s="87"/>
      <c r="F23" s="98">
        <f>46.49*1.1/4/450*B23</f>
        <v>0.17046333333333336</v>
      </c>
      <c r="G23" s="55">
        <f t="shared" si="1"/>
        <v>0.17898650000000002</v>
      </c>
      <c r="H23" t="s">
        <v>33</v>
      </c>
    </row>
    <row r="24" spans="1:9">
      <c r="A24" s="8" t="s">
        <v>34</v>
      </c>
      <c r="B24" s="11">
        <v>3</v>
      </c>
      <c r="C24" s="10" t="s">
        <v>18</v>
      </c>
      <c r="D24" s="160"/>
      <c r="E24" s="87"/>
      <c r="F24" s="97">
        <f>32.5/0.8*1.1/3/450*B24</f>
        <v>9.9305555555555564E-2</v>
      </c>
      <c r="G24" s="55">
        <f t="shared" si="1"/>
        <v>0.10427083333333334</v>
      </c>
      <c r="H24" t="s">
        <v>35</v>
      </c>
    </row>
    <row r="25" spans="1:9">
      <c r="A25" s="8" t="s">
        <v>36</v>
      </c>
      <c r="B25" s="11">
        <v>9</v>
      </c>
      <c r="C25" s="10" t="s">
        <v>18</v>
      </c>
      <c r="D25" s="161"/>
      <c r="E25" s="61"/>
      <c r="F25" s="54">
        <f>28.55*1.1/6/12.907/28*B25</f>
        <v>0.13034870336140966</v>
      </c>
      <c r="G25" s="55">
        <f t="shared" si="1"/>
        <v>0.13686613852948015</v>
      </c>
      <c r="H25" t="s">
        <v>37</v>
      </c>
    </row>
    <row r="26" spans="1:9">
      <c r="A26" s="48"/>
      <c r="B26" s="49"/>
      <c r="C26" s="50"/>
      <c r="D26" s="58"/>
      <c r="E26" s="102"/>
      <c r="F26" s="66"/>
      <c r="G26" s="67">
        <f>SUM(G21:G25)</f>
        <v>4.027316805196147</v>
      </c>
    </row>
    <row r="27" spans="1:9">
      <c r="A27" s="4" t="s">
        <v>38</v>
      </c>
      <c r="B27" s="30"/>
      <c r="C27" s="30"/>
      <c r="D27" s="57"/>
      <c r="E27" s="57"/>
      <c r="F27" s="68"/>
      <c r="G27" s="54"/>
    </row>
    <row r="28" spans="1:9">
      <c r="A28" s="8" t="s">
        <v>39</v>
      </c>
      <c r="B28" s="11">
        <v>21</v>
      </c>
      <c r="C28" s="10" t="s">
        <v>18</v>
      </c>
      <c r="D28" s="159">
        <v>0.6</v>
      </c>
      <c r="E28" s="109" t="s">
        <v>40</v>
      </c>
      <c r="F28" s="54">
        <f>26*1.5/450*B28</f>
        <v>1.82</v>
      </c>
      <c r="G28" s="55">
        <f t="shared" ref="G28:G31" si="2">F28*(1+$G$2)</f>
        <v>1.9110000000000003</v>
      </c>
      <c r="H28" t="s">
        <v>40</v>
      </c>
    </row>
    <row r="29" spans="1:9">
      <c r="A29" s="8" t="s">
        <v>41</v>
      </c>
      <c r="B29" s="11">
        <v>21</v>
      </c>
      <c r="C29" s="10" t="s">
        <v>18</v>
      </c>
      <c r="D29" s="160"/>
      <c r="E29" s="109">
        <v>585</v>
      </c>
      <c r="F29" s="54">
        <f>37.9733*1.3*1.1*1.1/2/450*B29</f>
        <v>1.3937466876666671</v>
      </c>
      <c r="G29" s="55">
        <f t="shared" si="2"/>
        <v>1.4634340220500006</v>
      </c>
      <c r="H29">
        <v>585</v>
      </c>
    </row>
    <row r="30" spans="1:9">
      <c r="A30" s="8" t="s">
        <v>34</v>
      </c>
      <c r="B30" s="11">
        <v>5</v>
      </c>
      <c r="C30" s="10" t="s">
        <v>18</v>
      </c>
      <c r="D30" s="160"/>
      <c r="E30" s="109" t="s">
        <v>40</v>
      </c>
      <c r="F30" s="97">
        <f>32.5/0.8*1.1/3/450*B30</f>
        <v>0.16550925925925927</v>
      </c>
      <c r="G30" s="55">
        <f t="shared" si="2"/>
        <v>0.17378472222222224</v>
      </c>
      <c r="H30" t="s">
        <v>40</v>
      </c>
    </row>
    <row r="31" spans="1:9">
      <c r="A31" s="8" t="s">
        <v>42</v>
      </c>
      <c r="B31" s="11">
        <v>14</v>
      </c>
      <c r="C31" s="10" t="s">
        <v>18</v>
      </c>
      <c r="D31" s="161"/>
      <c r="E31" s="109">
        <v>586</v>
      </c>
      <c r="F31" s="54">
        <f>4.2892*1.3*1.1*1.1/450*B31</f>
        <v>0.20990391644444445</v>
      </c>
      <c r="G31" s="55">
        <f t="shared" si="2"/>
        <v>0.22039911226666667</v>
      </c>
      <c r="H31">
        <v>586</v>
      </c>
    </row>
    <row r="32" spans="1:9">
      <c r="A32" s="48"/>
      <c r="B32" s="49"/>
      <c r="C32" s="50"/>
      <c r="D32" s="58"/>
      <c r="E32" s="102"/>
      <c r="F32" s="66"/>
      <c r="G32" s="67">
        <f>SUM(G28:G31)</f>
        <v>3.7686178565388899</v>
      </c>
    </row>
    <row r="33" spans="1:9">
      <c r="A33" s="4" t="s">
        <v>43</v>
      </c>
      <c r="B33" s="30"/>
      <c r="C33" s="30"/>
      <c r="D33" s="57"/>
      <c r="E33" s="57"/>
      <c r="F33" s="68"/>
      <c r="G33" s="54"/>
    </row>
    <row r="34" spans="1:9">
      <c r="A34" s="8" t="s">
        <v>44</v>
      </c>
      <c r="B34" s="11">
        <v>200</v>
      </c>
      <c r="C34" s="10" t="s">
        <v>18</v>
      </c>
      <c r="D34" s="62">
        <v>2</v>
      </c>
      <c r="E34" s="109" t="s">
        <v>40</v>
      </c>
      <c r="F34" s="54">
        <f>56.79/0.75*1.1/2/105/28*B34</f>
        <v>2.8330612244897959</v>
      </c>
      <c r="G34" s="55">
        <f>F34*(1+$G$2)</f>
        <v>2.9747142857142856</v>
      </c>
      <c r="H34" t="s">
        <v>33</v>
      </c>
      <c r="I34" t="s">
        <v>45</v>
      </c>
    </row>
    <row r="35" spans="1:9">
      <c r="A35" s="48"/>
      <c r="B35" s="49"/>
      <c r="C35" s="50"/>
      <c r="D35" s="58"/>
      <c r="E35" s="102"/>
      <c r="F35" s="66"/>
      <c r="G35" s="67">
        <f>SUM(G34)</f>
        <v>2.9747142857142856</v>
      </c>
    </row>
    <row r="36" spans="1:9">
      <c r="A36" s="4" t="s">
        <v>46</v>
      </c>
      <c r="B36" s="30"/>
      <c r="C36" s="30"/>
      <c r="D36" s="57"/>
      <c r="E36" s="57"/>
      <c r="F36" s="68"/>
      <c r="G36" s="54"/>
    </row>
    <row r="37" spans="1:9">
      <c r="A37" s="8" t="s">
        <v>47</v>
      </c>
      <c r="B37" s="11">
        <v>90</v>
      </c>
      <c r="C37" s="10" t="s">
        <v>18</v>
      </c>
      <c r="D37" s="159">
        <v>0.5</v>
      </c>
      <c r="E37" s="109">
        <v>599</v>
      </c>
      <c r="F37" s="54">
        <f>93.3579*1.3*1.1*1.1/5/450*B37</f>
        <v>5.8740790680000012</v>
      </c>
      <c r="G37" s="55">
        <f t="shared" ref="G37:G41" si="3">F37*(1+$G$2)</f>
        <v>6.1677830214000018</v>
      </c>
      <c r="H37">
        <v>599</v>
      </c>
    </row>
    <row r="38" spans="1:9">
      <c r="A38" s="8" t="s">
        <v>48</v>
      </c>
      <c r="B38" s="11">
        <v>28</v>
      </c>
      <c r="C38" s="10" t="s">
        <v>18</v>
      </c>
      <c r="D38" s="160"/>
      <c r="E38" s="109">
        <v>588</v>
      </c>
      <c r="F38" s="54">
        <f>8.9607*1.3*1.1*1.1/2/450*B38</f>
        <v>0.43851674533333335</v>
      </c>
      <c r="G38" s="55">
        <f t="shared" si="3"/>
        <v>0.46044258260000004</v>
      </c>
      <c r="H38">
        <v>588</v>
      </c>
    </row>
    <row r="39" spans="1:9">
      <c r="A39" s="8" t="s">
        <v>49</v>
      </c>
      <c r="B39" s="11">
        <v>56</v>
      </c>
      <c r="C39" s="10" t="s">
        <v>18</v>
      </c>
      <c r="D39" s="160"/>
      <c r="E39" s="109">
        <v>598</v>
      </c>
      <c r="F39" s="54">
        <f>5.5618*1.3*1.1*1.1/5/450*B39</f>
        <v>0.21774570595555559</v>
      </c>
      <c r="G39" s="55">
        <f t="shared" si="3"/>
        <v>0.22863299125333339</v>
      </c>
      <c r="H39">
        <v>598</v>
      </c>
    </row>
    <row r="40" spans="1:9">
      <c r="A40" s="8" t="s">
        <v>50</v>
      </c>
      <c r="B40" s="11">
        <v>42</v>
      </c>
      <c r="C40" s="10" t="s">
        <v>18</v>
      </c>
      <c r="D40" s="160"/>
      <c r="E40" s="109">
        <v>205</v>
      </c>
      <c r="F40" s="54">
        <f>16.1021*1.3*1.1*1.1/5/450*B40</f>
        <v>0.47280059493333343</v>
      </c>
      <c r="G40" s="55">
        <f t="shared" si="3"/>
        <v>0.49644062468000011</v>
      </c>
      <c r="H40">
        <v>205</v>
      </c>
    </row>
    <row r="41" spans="1:9">
      <c r="A41" s="8"/>
      <c r="B41" s="11"/>
      <c r="C41" s="10"/>
      <c r="D41" s="161"/>
      <c r="E41" s="109"/>
      <c r="F41" s="68"/>
      <c r="G41" s="55">
        <f t="shared" si="3"/>
        <v>0</v>
      </c>
    </row>
    <row r="42" spans="1:9">
      <c r="A42" s="48"/>
      <c r="B42" s="49"/>
      <c r="C42" s="50"/>
      <c r="D42" s="58"/>
      <c r="E42" s="102"/>
      <c r="F42" s="66"/>
      <c r="G42" s="67">
        <f>SUM(G37:G41)</f>
        <v>7.3532992199333354</v>
      </c>
    </row>
    <row r="43" spans="1:9">
      <c r="A43" s="4" t="s">
        <v>51</v>
      </c>
      <c r="B43" s="30"/>
      <c r="C43" s="30"/>
      <c r="D43" s="57"/>
      <c r="E43" s="57"/>
      <c r="F43" s="68"/>
      <c r="G43" s="54"/>
    </row>
    <row r="44" spans="1:9">
      <c r="A44" s="8" t="s">
        <v>52</v>
      </c>
      <c r="B44" s="11">
        <v>90</v>
      </c>
      <c r="C44" s="10" t="s">
        <v>18</v>
      </c>
      <c r="D44" s="159">
        <v>0.5</v>
      </c>
      <c r="E44" s="109">
        <v>602</v>
      </c>
      <c r="F44" s="54">
        <f>45.3549*1.3*1.1*1.1/5/450*B44</f>
        <v>2.8537303080000012</v>
      </c>
      <c r="G44" s="55">
        <f t="shared" ref="G44:G48" si="4">F44*(1+$G$2)</f>
        <v>2.9964168234000015</v>
      </c>
      <c r="H44">
        <v>602</v>
      </c>
    </row>
    <row r="45" spans="1:9">
      <c r="A45" s="8" t="s">
        <v>53</v>
      </c>
      <c r="B45" s="11">
        <v>42</v>
      </c>
      <c r="C45" s="10" t="s">
        <v>18</v>
      </c>
      <c r="D45" s="160"/>
      <c r="E45" s="109">
        <v>352</v>
      </c>
      <c r="F45" s="54">
        <f>5.5787*1.3*1.1*1.1/2/450*B45</f>
        <v>0.4095137713333335</v>
      </c>
      <c r="G45" s="55">
        <f t="shared" si="4"/>
        <v>0.4299894599000002</v>
      </c>
      <c r="H45">
        <v>352</v>
      </c>
    </row>
    <row r="46" spans="1:9">
      <c r="A46" s="8" t="s">
        <v>54</v>
      </c>
      <c r="B46" s="11">
        <v>14</v>
      </c>
      <c r="C46" s="10" t="s">
        <v>18</v>
      </c>
      <c r="D46" s="160"/>
      <c r="E46" s="109">
        <v>580</v>
      </c>
      <c r="F46" s="54">
        <f>19.824*1.3*1.1*1.1/5/450*B46</f>
        <v>0.19402850133333341</v>
      </c>
      <c r="G46" s="55">
        <f t="shared" si="4"/>
        <v>0.20372992640000009</v>
      </c>
      <c r="H46">
        <v>472</v>
      </c>
    </row>
    <row r="47" spans="1:9">
      <c r="A47" s="8" t="s">
        <v>55</v>
      </c>
      <c r="B47" s="11">
        <v>56</v>
      </c>
      <c r="C47" s="10" t="s">
        <v>18</v>
      </c>
      <c r="D47" s="160"/>
      <c r="E47" s="109">
        <v>587</v>
      </c>
      <c r="F47" s="54">
        <f>6.3378*1.3*1.1*1.1/3/450*B47</f>
        <v>0.41354379733333335</v>
      </c>
      <c r="G47" s="55">
        <f t="shared" si="4"/>
        <v>0.43422098720000002</v>
      </c>
      <c r="H47">
        <v>587</v>
      </c>
    </row>
    <row r="48" spans="1:9">
      <c r="A48" s="8" t="s">
        <v>56</v>
      </c>
      <c r="B48" s="23">
        <v>1</v>
      </c>
      <c r="C48" s="24" t="s">
        <v>18</v>
      </c>
      <c r="D48" s="161"/>
      <c r="E48" s="109"/>
      <c r="F48" s="54">
        <f>34.92/10/0.6/450*B48</f>
        <v>1.2933333333333333E-2</v>
      </c>
      <c r="G48" s="55">
        <f t="shared" si="4"/>
        <v>1.358E-2</v>
      </c>
      <c r="H48" t="s">
        <v>57</v>
      </c>
      <c r="I48" t="s">
        <v>58</v>
      </c>
    </row>
    <row r="49" spans="1:8">
      <c r="A49" s="48"/>
      <c r="B49" s="49"/>
      <c r="C49" s="50"/>
      <c r="D49" s="58"/>
      <c r="E49" s="102"/>
      <c r="F49" s="66"/>
      <c r="G49" s="67">
        <f>SUM(G44:G48)</f>
        <v>4.0779371969000016</v>
      </c>
    </row>
    <row r="50" spans="1:8">
      <c r="A50" s="4" t="s">
        <v>59</v>
      </c>
      <c r="B50" s="30"/>
      <c r="C50" s="30"/>
      <c r="D50" s="57"/>
      <c r="E50" s="57"/>
      <c r="F50" s="68"/>
      <c r="G50" s="54"/>
    </row>
    <row r="51" spans="1:8">
      <c r="A51" s="8" t="s">
        <v>60</v>
      </c>
      <c r="B51" s="11">
        <v>112</v>
      </c>
      <c r="C51" s="10" t="s">
        <v>18</v>
      </c>
      <c r="D51" s="159">
        <v>0.2</v>
      </c>
      <c r="E51" s="109">
        <v>589</v>
      </c>
      <c r="F51" s="54">
        <f>14.5777*1.3*1.1*1.1/5/450*B51</f>
        <v>1.141440388977778</v>
      </c>
      <c r="G51" s="55">
        <f t="shared" ref="G51:G55" si="5">F51*(1+$G$2)</f>
        <v>1.198512408426667</v>
      </c>
      <c r="H51">
        <v>589</v>
      </c>
    </row>
    <row r="52" spans="1:8">
      <c r="A52" s="8" t="s">
        <v>61</v>
      </c>
      <c r="B52" s="11">
        <v>56</v>
      </c>
      <c r="C52" s="10" t="s">
        <v>18</v>
      </c>
      <c r="D52" s="160"/>
      <c r="E52" s="109">
        <v>459</v>
      </c>
      <c r="F52" s="54">
        <f>15.9937*1.3*1.1/2/450*B52</f>
        <v>1.4230838844444447</v>
      </c>
      <c r="G52" s="55">
        <f t="shared" si="5"/>
        <v>1.4942380786666669</v>
      </c>
      <c r="H52">
        <v>459</v>
      </c>
    </row>
    <row r="53" spans="1:8">
      <c r="A53" s="8" t="s">
        <v>62</v>
      </c>
      <c r="B53" s="11">
        <v>42</v>
      </c>
      <c r="C53" s="10" t="s">
        <v>18</v>
      </c>
      <c r="D53" s="160"/>
      <c r="E53" s="109">
        <v>590</v>
      </c>
      <c r="F53" s="54">
        <f>1.9835*1.3*1.1*1.1/2/450*B53</f>
        <v>0.14560212333333336</v>
      </c>
      <c r="G53" s="55">
        <f t="shared" si="5"/>
        <v>0.15288222950000002</v>
      </c>
      <c r="H53">
        <v>590</v>
      </c>
    </row>
    <row r="54" spans="1:8">
      <c r="A54" s="8" t="s">
        <v>63</v>
      </c>
      <c r="B54" s="11">
        <v>14</v>
      </c>
      <c r="C54" s="10" t="s">
        <v>18</v>
      </c>
      <c r="D54" s="160"/>
      <c r="E54" s="109">
        <v>479</v>
      </c>
      <c r="F54" s="54">
        <f>6.9654*1.3*1.1*1.2/2/450*B54</f>
        <v>0.18592974400000001</v>
      </c>
      <c r="G54" s="55">
        <f t="shared" si="5"/>
        <v>0.19522623120000002</v>
      </c>
      <c r="H54">
        <v>479</v>
      </c>
    </row>
    <row r="55" spans="1:8">
      <c r="A55" s="8"/>
      <c r="B55" s="11"/>
      <c r="C55" s="10" t="s">
        <v>18</v>
      </c>
      <c r="D55" s="161"/>
      <c r="E55" s="109"/>
      <c r="F55" s="68"/>
      <c r="G55" s="55">
        <f t="shared" si="5"/>
        <v>0</v>
      </c>
    </row>
    <row r="56" spans="1:8">
      <c r="A56" s="48"/>
      <c r="B56" s="49"/>
      <c r="C56" s="50"/>
      <c r="D56" s="58"/>
      <c r="E56" s="102"/>
      <c r="F56" s="66"/>
      <c r="G56" s="67">
        <f>SUM(G51:G55)</f>
        <v>3.0408589477933337</v>
      </c>
    </row>
    <row r="57" spans="1:8">
      <c r="A57" s="4" t="s">
        <v>64</v>
      </c>
      <c r="B57" s="30"/>
      <c r="C57" s="30"/>
      <c r="D57" s="57"/>
      <c r="E57" s="57"/>
      <c r="F57" s="68"/>
      <c r="G57" s="54"/>
    </row>
    <row r="58" spans="1:8">
      <c r="A58" s="8" t="s">
        <v>65</v>
      </c>
      <c r="B58" s="11">
        <v>90</v>
      </c>
      <c r="C58" s="10" t="s">
        <v>18</v>
      </c>
      <c r="D58" s="170" t="s">
        <v>66</v>
      </c>
      <c r="E58" s="109">
        <v>526</v>
      </c>
      <c r="F58" s="54">
        <f>70.6536*1.3*1.1*1.1/4.77/450*B58</f>
        <v>4.6598789433962278</v>
      </c>
      <c r="G58" s="55">
        <f t="shared" ref="G58:G62" si="6">F58*(1+$G$2)</f>
        <v>4.8928728905660392</v>
      </c>
      <c r="H58">
        <v>526</v>
      </c>
    </row>
    <row r="59" spans="1:8">
      <c r="A59" s="8" t="s">
        <v>67</v>
      </c>
      <c r="B59" s="11">
        <v>28</v>
      </c>
      <c r="C59" s="10" t="s">
        <v>18</v>
      </c>
      <c r="D59" s="160"/>
      <c r="E59" s="109">
        <v>591</v>
      </c>
      <c r="F59" s="54">
        <f>3.174*1.3*1.1*1.1/450*B59</f>
        <v>0.3106570133333334</v>
      </c>
      <c r="G59" s="55">
        <f t="shared" si="6"/>
        <v>0.32618986400000011</v>
      </c>
      <c r="H59">
        <v>591</v>
      </c>
    </row>
    <row r="60" spans="1:8">
      <c r="A60" s="8" t="s">
        <v>68</v>
      </c>
      <c r="B60" s="11">
        <v>56</v>
      </c>
      <c r="C60" s="10" t="s">
        <v>18</v>
      </c>
      <c r="D60" s="160"/>
      <c r="E60" s="109">
        <v>592</v>
      </c>
      <c r="F60" s="54">
        <f>11.8521*1.3*1.1*1.5/5/450*B60</f>
        <v>0.63274411200000014</v>
      </c>
      <c r="G60" s="55">
        <f t="shared" si="6"/>
        <v>0.66438131760000019</v>
      </c>
      <c r="H60">
        <v>355</v>
      </c>
    </row>
    <row r="61" spans="1:8">
      <c r="A61" s="8" t="s">
        <v>62</v>
      </c>
      <c r="B61" s="11">
        <v>42</v>
      </c>
      <c r="C61" s="10" t="s">
        <v>18</v>
      </c>
      <c r="D61" s="161"/>
      <c r="E61" s="109">
        <v>590</v>
      </c>
      <c r="F61" s="54">
        <f>1.9835*1.3*1.1*1.1/2/450*B61</f>
        <v>0.14560212333333336</v>
      </c>
      <c r="G61" s="55">
        <f t="shared" si="6"/>
        <v>0.15288222950000002</v>
      </c>
      <c r="H61">
        <v>590</v>
      </c>
    </row>
    <row r="62" spans="1:8">
      <c r="A62" s="8" t="s">
        <v>69</v>
      </c>
      <c r="B62" s="11">
        <v>14</v>
      </c>
      <c r="C62" s="10" t="s">
        <v>18</v>
      </c>
      <c r="D62" s="61"/>
      <c r="E62" s="109">
        <v>479</v>
      </c>
      <c r="F62" s="54">
        <f>6.9654*1.3*1.1*1.2/2/450*B62</f>
        <v>0.18592974400000001</v>
      </c>
      <c r="G62" s="55">
        <f t="shared" si="6"/>
        <v>0.19522623120000002</v>
      </c>
      <c r="H62">
        <v>479</v>
      </c>
    </row>
    <row r="63" spans="1:8">
      <c r="A63" s="48"/>
      <c r="B63" s="49"/>
      <c r="C63" s="50"/>
      <c r="D63" s="58"/>
      <c r="E63" s="102"/>
      <c r="F63" s="66"/>
      <c r="G63" s="67">
        <f>SUM(G58:G62)</f>
        <v>6.2315525328660399</v>
      </c>
    </row>
    <row r="64" spans="1:8">
      <c r="A64" s="4" t="s">
        <v>70</v>
      </c>
      <c r="B64" s="30"/>
      <c r="C64" s="30"/>
      <c r="D64" s="57"/>
      <c r="E64" s="57"/>
      <c r="F64" s="68"/>
      <c r="G64" s="54"/>
    </row>
    <row r="65" spans="1:9">
      <c r="A65" s="8" t="s">
        <v>71</v>
      </c>
      <c r="B65" s="11">
        <v>200</v>
      </c>
      <c r="C65" s="10" t="s">
        <v>18</v>
      </c>
      <c r="D65" s="46">
        <v>2</v>
      </c>
      <c r="E65" s="110">
        <v>593</v>
      </c>
      <c r="F65" s="54">
        <f>4.9479*1.3*1.1*1.1/450*B65</f>
        <v>3.4591318666666671</v>
      </c>
      <c r="G65" s="55">
        <f>F65*(1+$G$2)</f>
        <v>3.6320884600000007</v>
      </c>
      <c r="H65">
        <v>593</v>
      </c>
    </row>
    <row r="66" spans="1:9">
      <c r="A66" s="48"/>
      <c r="B66" s="49"/>
      <c r="C66" s="50"/>
      <c r="D66" s="58"/>
      <c r="E66" s="102"/>
      <c r="F66" s="66"/>
      <c r="G66" s="67">
        <f>SUM(G65)</f>
        <v>3.6320884600000007</v>
      </c>
    </row>
    <row r="67" spans="1:9">
      <c r="A67" s="4" t="s">
        <v>72</v>
      </c>
      <c r="B67" s="30"/>
      <c r="C67" s="30"/>
      <c r="D67" s="57"/>
      <c r="E67" s="57"/>
      <c r="F67" s="68"/>
      <c r="G67" s="54"/>
    </row>
    <row r="68" spans="1:9">
      <c r="A68" s="8" t="s">
        <v>73</v>
      </c>
      <c r="B68" s="11" t="s">
        <v>74</v>
      </c>
      <c r="C68" s="10" t="s">
        <v>18</v>
      </c>
      <c r="D68" s="171" t="s">
        <v>75</v>
      </c>
      <c r="E68" s="95"/>
      <c r="F68" s="82">
        <f>H68*1.2/450*20</f>
        <v>0.86933333333333318</v>
      </c>
      <c r="G68" s="55">
        <f t="shared" ref="G68:G69" si="7">F68*(1+$G$2)</f>
        <v>0.91279999999999983</v>
      </c>
      <c r="H68">
        <v>16.3</v>
      </c>
      <c r="I68" t="s">
        <v>76</v>
      </c>
    </row>
    <row r="69" spans="1:9">
      <c r="A69" s="8" t="s">
        <v>77</v>
      </c>
      <c r="B69" s="11" t="s">
        <v>74</v>
      </c>
      <c r="C69" s="10" t="s">
        <v>18</v>
      </c>
      <c r="D69" s="161"/>
      <c r="E69" s="61"/>
      <c r="F69" s="82">
        <f>H69*1.2/450*20</f>
        <v>0.86933333333333318</v>
      </c>
      <c r="G69" s="55">
        <f t="shared" si="7"/>
        <v>0.91279999999999983</v>
      </c>
      <c r="H69">
        <v>16.3</v>
      </c>
      <c r="I69" t="s">
        <v>76</v>
      </c>
    </row>
    <row r="70" spans="1:9">
      <c r="A70" s="48"/>
      <c r="B70" s="49"/>
      <c r="C70" s="50"/>
      <c r="D70" s="58"/>
      <c r="E70" s="102"/>
      <c r="F70" s="66"/>
      <c r="G70" s="67">
        <f>SUM(G68:G69)</f>
        <v>1.8255999999999997</v>
      </c>
    </row>
    <row r="71" spans="1:9">
      <c r="A71" s="4" t="s">
        <v>78</v>
      </c>
      <c r="B71" s="30"/>
      <c r="C71" s="30"/>
      <c r="D71" s="63"/>
      <c r="E71" s="63"/>
      <c r="F71" s="68"/>
      <c r="G71" s="54"/>
    </row>
    <row r="72" spans="1:9">
      <c r="A72" s="8" t="s">
        <v>79</v>
      </c>
      <c r="B72" s="11">
        <v>45</v>
      </c>
      <c r="C72" s="10" t="s">
        <v>18</v>
      </c>
      <c r="D72" s="170" t="s">
        <v>80</v>
      </c>
      <c r="E72" s="94"/>
      <c r="F72" s="54">
        <f>0.65*1.2</f>
        <v>0.78</v>
      </c>
      <c r="G72" s="55">
        <f t="shared" ref="G72:G73" si="8">F72*(1+$G$2)</f>
        <v>0.81900000000000006</v>
      </c>
    </row>
    <row r="73" spans="1:9">
      <c r="A73" s="8" t="s">
        <v>81</v>
      </c>
      <c r="B73" s="11">
        <v>1</v>
      </c>
      <c r="C73" s="10" t="s">
        <v>18</v>
      </c>
      <c r="D73" s="161"/>
      <c r="E73" s="61"/>
      <c r="F73" s="54">
        <v>0.2</v>
      </c>
      <c r="G73" s="55">
        <f t="shared" si="8"/>
        <v>0.21000000000000002</v>
      </c>
    </row>
    <row r="74" spans="1:9">
      <c r="A74" s="48"/>
      <c r="B74" s="49"/>
      <c r="C74" s="50"/>
      <c r="D74" s="58"/>
      <c r="E74" s="102"/>
      <c r="F74" s="66"/>
      <c r="G74" s="67">
        <f>SUM(G72:G73)</f>
        <v>1.0290000000000001</v>
      </c>
    </row>
    <row r="75" spans="1:9">
      <c r="A75" s="4" t="s">
        <v>82</v>
      </c>
      <c r="B75" s="30"/>
      <c r="C75" s="30"/>
      <c r="D75" s="63"/>
      <c r="E75" s="63"/>
      <c r="F75" s="68"/>
      <c r="G75" s="54"/>
    </row>
    <row r="76" spans="1:9">
      <c r="A76" s="8" t="s">
        <v>83</v>
      </c>
      <c r="B76" s="11">
        <v>200</v>
      </c>
      <c r="C76" s="10" t="s">
        <v>18</v>
      </c>
      <c r="D76" s="64">
        <v>2</v>
      </c>
      <c r="E76" s="64"/>
      <c r="F76" s="54">
        <f>4.4*1.2/450*B76</f>
        <v>2.3466666666666667</v>
      </c>
      <c r="G76" s="55">
        <f t="shared" ref="G76" si="9">F76*(1+$G$2)</f>
        <v>2.464</v>
      </c>
      <c r="H76" t="s">
        <v>84</v>
      </c>
    </row>
    <row r="77" spans="1:9">
      <c r="A77" s="48"/>
      <c r="B77" s="49"/>
      <c r="C77" s="50"/>
      <c r="D77" s="58"/>
      <c r="E77" s="102"/>
      <c r="F77" s="66"/>
      <c r="G77" s="67">
        <f>SUM(G76)</f>
        <v>2.464</v>
      </c>
    </row>
    <row r="78" spans="1:9">
      <c r="A78" s="4" t="s">
        <v>85</v>
      </c>
      <c r="B78" s="30"/>
      <c r="C78" s="30"/>
      <c r="D78" s="63"/>
      <c r="E78" s="63"/>
      <c r="F78" s="68"/>
      <c r="G78" s="54"/>
    </row>
    <row r="79" spans="1:9">
      <c r="A79" s="8" t="s">
        <v>86</v>
      </c>
      <c r="B79" s="11">
        <v>150</v>
      </c>
      <c r="C79" s="10" t="s">
        <v>18</v>
      </c>
      <c r="D79" s="170" t="s">
        <v>87</v>
      </c>
      <c r="E79" s="104"/>
      <c r="F79" s="84">
        <v>0.85029999999999994</v>
      </c>
      <c r="G79" s="55">
        <f t="shared" ref="G79:G82" si="10">F79*(1+$G$2)</f>
        <v>0.89281500000000003</v>
      </c>
    </row>
    <row r="80" spans="1:9">
      <c r="A80" s="8" t="s">
        <v>88</v>
      </c>
      <c r="B80" s="11">
        <v>150</v>
      </c>
      <c r="C80" s="10" t="s">
        <v>18</v>
      </c>
      <c r="D80" s="160"/>
      <c r="E80" s="104"/>
      <c r="F80" s="84">
        <v>0.85129999999999995</v>
      </c>
      <c r="G80" s="55">
        <f t="shared" si="10"/>
        <v>0.89386500000000002</v>
      </c>
    </row>
    <row r="81" spans="1:7">
      <c r="A81" s="8" t="s">
        <v>89</v>
      </c>
      <c r="B81" s="11">
        <v>150</v>
      </c>
      <c r="C81" s="10" t="s">
        <v>18</v>
      </c>
      <c r="D81" s="160"/>
      <c r="E81" s="104"/>
      <c r="F81" s="84">
        <v>0.35049999999999998</v>
      </c>
      <c r="G81" s="55">
        <f t="shared" si="10"/>
        <v>0.36802499999999999</v>
      </c>
    </row>
    <row r="82" spans="1:7">
      <c r="A82" s="8" t="s">
        <v>90</v>
      </c>
      <c r="B82" s="11">
        <v>150</v>
      </c>
      <c r="C82" s="10" t="s">
        <v>18</v>
      </c>
      <c r="D82" s="161"/>
      <c r="E82" s="104"/>
      <c r="F82" s="84">
        <v>1.2765</v>
      </c>
      <c r="G82" s="55">
        <f t="shared" si="10"/>
        <v>1.340325</v>
      </c>
    </row>
    <row r="83" spans="1:7">
      <c r="A83" s="48"/>
      <c r="B83" s="49"/>
      <c r="C83" s="50"/>
      <c r="D83" s="58"/>
      <c r="E83" s="102"/>
      <c r="F83" s="66"/>
      <c r="G83" s="67">
        <f>SUM(G79:G82)</f>
        <v>3.4950299999999999</v>
      </c>
    </row>
    <row r="84" spans="1:7">
      <c r="A84" s="4" t="s">
        <v>91</v>
      </c>
      <c r="B84" s="30"/>
      <c r="C84" s="30"/>
      <c r="D84" s="57"/>
      <c r="E84" s="57"/>
      <c r="F84" s="68"/>
      <c r="G84" s="54"/>
    </row>
    <row r="85" spans="1:7">
      <c r="A85" s="8" t="s">
        <v>92</v>
      </c>
      <c r="B85" s="11">
        <v>30</v>
      </c>
      <c r="C85" s="10" t="s">
        <v>18</v>
      </c>
      <c r="D85" s="62">
        <v>0.75</v>
      </c>
      <c r="E85" s="105"/>
      <c r="F85" s="84">
        <v>0.49</v>
      </c>
      <c r="G85" s="55">
        <f t="shared" ref="G85:G86" si="11">F85*(1+$G$2)</f>
        <v>0.51449999999999996</v>
      </c>
    </row>
    <row r="86" spans="1:7">
      <c r="A86" s="8" t="s">
        <v>93</v>
      </c>
      <c r="B86" s="11">
        <v>40</v>
      </c>
      <c r="C86" s="10" t="s">
        <v>18</v>
      </c>
      <c r="D86" s="62">
        <v>0.75</v>
      </c>
      <c r="E86" s="105"/>
      <c r="F86" s="84">
        <v>0.51</v>
      </c>
      <c r="G86" s="55">
        <f t="shared" si="11"/>
        <v>0.53550000000000009</v>
      </c>
    </row>
    <row r="87" spans="1:7">
      <c r="A87" s="48"/>
      <c r="B87" s="49"/>
      <c r="C87" s="50"/>
      <c r="D87" s="58"/>
      <c r="E87" s="102"/>
      <c r="F87" s="66"/>
      <c r="G87" s="67">
        <f>SUM(G85:G86)</f>
        <v>1.05</v>
      </c>
    </row>
    <row r="88" spans="1:7">
      <c r="A88" s="4" t="s">
        <v>94</v>
      </c>
      <c r="B88" s="30"/>
      <c r="C88" s="30"/>
      <c r="D88" s="57"/>
      <c r="E88" s="57"/>
      <c r="F88" s="68"/>
      <c r="G88" s="54"/>
    </row>
    <row r="89" spans="1:7">
      <c r="A89" s="8" t="s">
        <v>95</v>
      </c>
      <c r="B89" s="11">
        <v>10</v>
      </c>
      <c r="C89" s="10" t="s">
        <v>96</v>
      </c>
      <c r="D89" s="46" t="s">
        <v>97</v>
      </c>
      <c r="E89" s="106"/>
      <c r="F89" s="84">
        <f>31.45/24/10*16</f>
        <v>2.0966666666666667</v>
      </c>
      <c r="G89" s="55">
        <f>F89*(1+$G$2)</f>
        <v>2.2015000000000002</v>
      </c>
    </row>
    <row r="90" spans="1:7">
      <c r="A90" s="48"/>
      <c r="B90" s="49"/>
      <c r="C90" s="50"/>
      <c r="D90" s="58"/>
      <c r="E90" s="102"/>
      <c r="F90" s="66"/>
      <c r="G90" s="67">
        <f>SUM(G89)</f>
        <v>2.2015000000000002</v>
      </c>
    </row>
    <row r="91" spans="1:7">
      <c r="A91" s="4" t="s">
        <v>98</v>
      </c>
      <c r="B91" s="30"/>
      <c r="C91" s="30"/>
      <c r="D91" s="57"/>
      <c r="E91" s="57"/>
      <c r="F91" s="68"/>
      <c r="G91" s="54"/>
    </row>
    <row r="92" spans="1:7">
      <c r="A92" s="5" t="s">
        <v>99</v>
      </c>
      <c r="B92" s="27">
        <v>1</v>
      </c>
      <c r="C92" s="6" t="s">
        <v>100</v>
      </c>
      <c r="D92" s="172"/>
      <c r="E92" s="107"/>
      <c r="F92" s="84">
        <v>0.33900000000000002</v>
      </c>
      <c r="G92" s="55">
        <f>F92*(1+$G$2)</f>
        <v>0.35595000000000004</v>
      </c>
    </row>
    <row r="93" spans="1:7">
      <c r="A93" s="7" t="s">
        <v>101</v>
      </c>
      <c r="B93" s="27">
        <v>6</v>
      </c>
      <c r="C93" s="6" t="s">
        <v>100</v>
      </c>
      <c r="D93" s="173"/>
      <c r="E93" s="108"/>
      <c r="F93" s="84">
        <v>0.2019</v>
      </c>
      <c r="G93" s="55">
        <f t="shared" ref="G93:G95" si="12">F93*(1+$G$2)</f>
        <v>0.21199500000000002</v>
      </c>
    </row>
    <row r="94" spans="1:7">
      <c r="A94" s="7" t="s">
        <v>102</v>
      </c>
      <c r="B94" s="27">
        <v>1</v>
      </c>
      <c r="C94" s="6" t="s">
        <v>100</v>
      </c>
      <c r="D94" s="173"/>
      <c r="E94" s="108"/>
      <c r="F94" s="84">
        <v>0.40379999999999999</v>
      </c>
      <c r="G94" s="55">
        <f t="shared" si="12"/>
        <v>0.42399000000000003</v>
      </c>
    </row>
    <row r="95" spans="1:7">
      <c r="A95" s="7" t="s">
        <v>103</v>
      </c>
      <c r="B95" s="27">
        <v>1</v>
      </c>
      <c r="C95" s="6" t="s">
        <v>100</v>
      </c>
      <c r="D95" s="173"/>
      <c r="E95" s="108"/>
      <c r="F95" s="84">
        <v>0.4824</v>
      </c>
      <c r="G95" s="55">
        <f t="shared" si="12"/>
        <v>0.50651999999999997</v>
      </c>
    </row>
    <row r="96" spans="1:7">
      <c r="A96" s="48"/>
      <c r="B96" s="49"/>
      <c r="C96" s="50"/>
      <c r="D96" s="58"/>
      <c r="E96" s="102"/>
      <c r="F96" s="66"/>
      <c r="G96" s="67">
        <f>SUM(G92:G95)</f>
        <v>1.4984549999999999</v>
      </c>
    </row>
    <row r="97" spans="1:9">
      <c r="A97" s="4" t="s">
        <v>104</v>
      </c>
      <c r="B97" s="30"/>
      <c r="C97" s="30"/>
      <c r="D97" s="57"/>
      <c r="E97" s="57"/>
      <c r="F97" s="68"/>
      <c r="G97" s="54"/>
    </row>
    <row r="98" spans="1:9">
      <c r="A98" s="32" t="s">
        <v>105</v>
      </c>
      <c r="B98" s="33">
        <v>1</v>
      </c>
      <c r="C98" s="34" t="s">
        <v>10</v>
      </c>
      <c r="D98" s="65"/>
      <c r="E98" s="65"/>
      <c r="F98" s="68"/>
      <c r="G98" s="54"/>
    </row>
    <row r="99" spans="1:9">
      <c r="A99" s="32" t="s">
        <v>106</v>
      </c>
      <c r="B99" s="33">
        <v>1</v>
      </c>
      <c r="C99" s="34" t="s">
        <v>10</v>
      </c>
      <c r="D99" s="65"/>
      <c r="E99" s="65"/>
      <c r="F99" s="68"/>
      <c r="G99" s="54"/>
    </row>
    <row r="100" spans="1:9">
      <c r="A100" s="32" t="s">
        <v>107</v>
      </c>
      <c r="B100" s="33">
        <v>1</v>
      </c>
      <c r="C100" s="34" t="s">
        <v>10</v>
      </c>
      <c r="D100" s="65"/>
      <c r="E100" s="65"/>
      <c r="F100" s="68"/>
      <c r="G100" s="54"/>
    </row>
    <row r="101" spans="1:9">
      <c r="A101" s="32" t="s">
        <v>108</v>
      </c>
      <c r="B101" s="33">
        <v>1</v>
      </c>
      <c r="C101" s="34" t="s">
        <v>10</v>
      </c>
      <c r="D101" s="65"/>
      <c r="E101" s="65"/>
      <c r="F101" s="68"/>
      <c r="G101" s="54"/>
    </row>
    <row r="102" spans="1:9">
      <c r="A102" s="32" t="s">
        <v>109</v>
      </c>
      <c r="B102" s="33">
        <v>1</v>
      </c>
      <c r="C102" s="34" t="s">
        <v>10</v>
      </c>
      <c r="D102" s="65"/>
      <c r="E102" s="65"/>
      <c r="F102" s="68"/>
      <c r="G102" s="54"/>
    </row>
    <row r="103" spans="1:9">
      <c r="A103" s="32" t="s">
        <v>110</v>
      </c>
      <c r="B103" s="33">
        <v>1</v>
      </c>
      <c r="C103" s="34" t="s">
        <v>10</v>
      </c>
      <c r="D103" s="65"/>
      <c r="E103" s="65"/>
      <c r="F103" s="68"/>
      <c r="G103" s="54"/>
    </row>
    <row r="104" spans="1:9">
      <c r="A104" s="32" t="s">
        <v>111</v>
      </c>
      <c r="B104" s="33">
        <v>1</v>
      </c>
      <c r="C104" s="34" t="s">
        <v>10</v>
      </c>
      <c r="D104" s="65"/>
      <c r="E104" s="65"/>
      <c r="F104" s="68"/>
      <c r="G104" s="54"/>
    </row>
    <row r="105" spans="1:9">
      <c r="A105" s="32" t="s">
        <v>112</v>
      </c>
      <c r="B105" s="33">
        <v>1</v>
      </c>
      <c r="C105" s="34" t="s">
        <v>10</v>
      </c>
      <c r="D105" s="65"/>
      <c r="E105" s="65"/>
      <c r="F105" s="68"/>
      <c r="G105" s="54"/>
    </row>
    <row r="106" spans="1:9">
      <c r="A106" s="35" t="s">
        <v>113</v>
      </c>
      <c r="B106" s="33">
        <v>1</v>
      </c>
      <c r="C106" s="34" t="s">
        <v>10</v>
      </c>
      <c r="D106" s="65"/>
      <c r="E106" s="65"/>
      <c r="F106" s="68"/>
      <c r="G106" s="54"/>
    </row>
    <row r="107" spans="1:9">
      <c r="A107" s="36" t="s">
        <v>114</v>
      </c>
      <c r="B107" s="37">
        <v>1</v>
      </c>
      <c r="C107" s="34" t="s">
        <v>10</v>
      </c>
      <c r="D107" s="65"/>
      <c r="E107" s="65"/>
      <c r="F107" s="68"/>
      <c r="G107" s="54"/>
    </row>
    <row r="108" spans="1:9">
      <c r="A108" s="48"/>
      <c r="B108" s="49"/>
      <c r="C108" s="50"/>
      <c r="D108" s="58"/>
      <c r="E108" s="102"/>
      <c r="F108" s="66"/>
      <c r="G108" s="67">
        <f>SUM(G98:G107)</f>
        <v>0</v>
      </c>
    </row>
    <row r="109" spans="1:9">
      <c r="A109" s="4" t="s">
        <v>115</v>
      </c>
      <c r="B109" s="30"/>
      <c r="C109" s="30"/>
      <c r="D109" s="57"/>
      <c r="E109" s="57"/>
      <c r="F109" s="68"/>
      <c r="G109" s="54"/>
    </row>
    <row r="110" spans="1:9">
      <c r="A110" s="8" t="s">
        <v>116</v>
      </c>
      <c r="B110" s="28">
        <v>28</v>
      </c>
      <c r="C110" s="26" t="s">
        <v>117</v>
      </c>
      <c r="D110" s="167">
        <v>1</v>
      </c>
      <c r="E110" s="91"/>
      <c r="F110" s="82">
        <f>H110*1.6/450*20</f>
        <v>0.73031111111111102</v>
      </c>
      <c r="G110" s="55">
        <f t="shared" ref="G110:G116" si="13">F110*(1+$G$2)</f>
        <v>0.76682666666666666</v>
      </c>
      <c r="H110">
        <v>10.27</v>
      </c>
      <c r="I110" t="s">
        <v>76</v>
      </c>
    </row>
    <row r="111" spans="1:9">
      <c r="A111" s="8" t="s">
        <v>118</v>
      </c>
      <c r="B111" s="11">
        <v>28</v>
      </c>
      <c r="C111" s="10" t="s">
        <v>117</v>
      </c>
      <c r="D111" s="168"/>
      <c r="E111" s="92"/>
      <c r="F111" s="54">
        <f>26.5*1.2/11/450*B111</f>
        <v>0.17987878787878786</v>
      </c>
      <c r="G111" s="55">
        <f t="shared" si="13"/>
        <v>0.18887272727272725</v>
      </c>
      <c r="H111" t="s">
        <v>119</v>
      </c>
    </row>
    <row r="112" spans="1:9">
      <c r="A112" s="8" t="s">
        <v>120</v>
      </c>
      <c r="B112" s="11">
        <v>10</v>
      </c>
      <c r="C112" s="10" t="s">
        <v>117</v>
      </c>
      <c r="D112" s="168"/>
      <c r="E112" s="92"/>
      <c r="F112" s="156">
        <f>17.8/0.98/450*B112</f>
        <v>0.40362811791383224</v>
      </c>
      <c r="G112" s="55">
        <f t="shared" si="13"/>
        <v>0.42380952380952386</v>
      </c>
    </row>
    <row r="113" spans="1:9">
      <c r="A113" s="8" t="s">
        <v>121</v>
      </c>
      <c r="B113" s="11">
        <v>8</v>
      </c>
      <c r="C113" s="10" t="s">
        <v>117</v>
      </c>
      <c r="D113" s="168"/>
      <c r="E113" s="92"/>
      <c r="F113" s="53">
        <f>30.2/0.8*1.1/10/450*B113</f>
        <v>7.3822222222222234E-2</v>
      </c>
      <c r="G113" s="55">
        <f t="shared" si="13"/>
        <v>7.7513333333333351E-2</v>
      </c>
    </row>
    <row r="114" spans="1:9">
      <c r="A114" s="8" t="s">
        <v>122</v>
      </c>
      <c r="B114" s="11" t="s">
        <v>123</v>
      </c>
      <c r="C114" s="10" t="s">
        <v>117</v>
      </c>
      <c r="D114" s="168"/>
      <c r="E114" s="92"/>
      <c r="F114" s="54">
        <f>15.64/0.8/10/450*10</f>
        <v>4.3444444444444438E-2</v>
      </c>
      <c r="G114" s="55">
        <f t="shared" si="13"/>
        <v>4.561666666666666E-2</v>
      </c>
      <c r="H114" t="s">
        <v>124</v>
      </c>
    </row>
    <row r="115" spans="1:9">
      <c r="A115" s="8" t="s">
        <v>125</v>
      </c>
      <c r="B115" s="11">
        <v>10</v>
      </c>
      <c r="C115" s="10" t="s">
        <v>117</v>
      </c>
      <c r="D115" s="168"/>
      <c r="E115" s="92"/>
      <c r="F115" s="54">
        <f>33.05/20/450*B115</f>
        <v>3.6722222222222219E-2</v>
      </c>
      <c r="G115" s="55">
        <f t="shared" si="13"/>
        <v>3.8558333333333333E-2</v>
      </c>
      <c r="H115" t="s">
        <v>126</v>
      </c>
      <c r="I115" t="s">
        <v>127</v>
      </c>
    </row>
    <row r="116" spans="1:9">
      <c r="A116" s="25" t="s">
        <v>128</v>
      </c>
      <c r="B116" s="28">
        <v>28</v>
      </c>
      <c r="C116" s="26" t="s">
        <v>18</v>
      </c>
      <c r="D116" s="169"/>
      <c r="E116" s="93"/>
      <c r="F116" s="54">
        <f>58.51/0.9/18/450*B116</f>
        <v>0.22472976680384082</v>
      </c>
      <c r="G116" s="55">
        <f t="shared" si="13"/>
        <v>0.23596625514403288</v>
      </c>
      <c r="H116" t="s">
        <v>129</v>
      </c>
    </row>
    <row r="117" spans="1:9">
      <c r="A117" s="48"/>
      <c r="B117" s="49"/>
      <c r="C117" s="50"/>
      <c r="D117" s="58"/>
      <c r="E117" s="102"/>
      <c r="F117" s="66"/>
      <c r="G117" s="67">
        <f>SUM(G110:G116)</f>
        <v>1.7771635062262838</v>
      </c>
    </row>
    <row r="118" spans="1:9">
      <c r="A118" s="4" t="s">
        <v>130</v>
      </c>
      <c r="B118" s="30"/>
      <c r="C118" s="30"/>
      <c r="D118" s="57"/>
      <c r="E118" s="57"/>
      <c r="F118" s="68"/>
      <c r="G118" s="54"/>
    </row>
    <row r="119" spans="1:9">
      <c r="A119" s="8" t="s">
        <v>131</v>
      </c>
      <c r="B119" s="11">
        <v>60</v>
      </c>
      <c r="C119" s="10" t="s">
        <v>18</v>
      </c>
      <c r="D119" s="159">
        <v>1</v>
      </c>
      <c r="E119" s="109">
        <v>594</v>
      </c>
      <c r="F119" s="54">
        <f>13.2174*1.3*1.1*1.5/5/450*B119</f>
        <v>0.7560352800000002</v>
      </c>
      <c r="G119" s="55">
        <f t="shared" ref="G119:G121" si="14">F119*(1+$G$2)</f>
        <v>0.79383704400000021</v>
      </c>
      <c r="H119">
        <v>594</v>
      </c>
    </row>
    <row r="120" spans="1:9">
      <c r="A120" s="8" t="s">
        <v>132</v>
      </c>
      <c r="B120" s="11">
        <v>28</v>
      </c>
      <c r="C120" s="10" t="s">
        <v>18</v>
      </c>
      <c r="D120" s="160"/>
      <c r="E120" s="109">
        <v>595</v>
      </c>
      <c r="F120" s="54">
        <f>8.4946*1.3*1.1*1.3/5/450*B120</f>
        <v>0.19651596408888891</v>
      </c>
      <c r="G120" s="55">
        <f t="shared" si="14"/>
        <v>0.20634176229333337</v>
      </c>
      <c r="H120">
        <v>595</v>
      </c>
    </row>
    <row r="121" spans="1:9">
      <c r="A121" s="8" t="s">
        <v>133</v>
      </c>
      <c r="B121" s="11">
        <v>2</v>
      </c>
      <c r="C121" s="10" t="s">
        <v>10</v>
      </c>
      <c r="D121" s="161"/>
      <c r="E121" s="109"/>
      <c r="F121" s="54">
        <f>26.7/0.8/8/450*15</f>
        <v>0.13906250000000001</v>
      </c>
      <c r="G121" s="55">
        <f t="shared" si="14"/>
        <v>0.14601562500000001</v>
      </c>
      <c r="H121" t="s">
        <v>134</v>
      </c>
    </row>
    <row r="122" spans="1:9">
      <c r="A122" s="48"/>
      <c r="B122" s="49"/>
      <c r="C122" s="50"/>
      <c r="D122" s="58"/>
      <c r="E122" s="102"/>
      <c r="F122" s="66"/>
      <c r="G122" s="67">
        <f>SUM(G119:G121)</f>
        <v>1.1461944312933336</v>
      </c>
    </row>
    <row r="123" spans="1:9">
      <c r="A123" s="4" t="s">
        <v>135</v>
      </c>
      <c r="B123" s="30"/>
      <c r="C123" s="30"/>
      <c r="D123" s="57"/>
      <c r="E123" s="57"/>
      <c r="F123" s="68"/>
      <c r="G123" s="54"/>
    </row>
    <row r="124" spans="1:9">
      <c r="A124" s="8" t="s">
        <v>136</v>
      </c>
      <c r="B124" s="11">
        <v>30</v>
      </c>
      <c r="C124" s="10" t="s">
        <v>18</v>
      </c>
      <c r="D124" s="62">
        <v>1</v>
      </c>
      <c r="E124" s="105"/>
      <c r="F124" s="84">
        <v>0.69</v>
      </c>
      <c r="G124" s="55">
        <f t="shared" ref="G124:G126" si="15">F124*(1+$G$2)</f>
        <v>0.72449999999999992</v>
      </c>
    </row>
    <row r="125" spans="1:9">
      <c r="A125" s="8" t="s">
        <v>137</v>
      </c>
      <c r="B125" s="11">
        <v>40</v>
      </c>
      <c r="C125" s="10" t="s">
        <v>18</v>
      </c>
      <c r="D125" s="62">
        <v>0.6</v>
      </c>
      <c r="E125" s="105"/>
      <c r="F125" s="84">
        <v>0.45</v>
      </c>
      <c r="G125" s="55">
        <f t="shared" si="15"/>
        <v>0.47250000000000003</v>
      </c>
    </row>
    <row r="126" spans="1:9">
      <c r="A126" s="8" t="s">
        <v>138</v>
      </c>
      <c r="B126" s="11">
        <v>40</v>
      </c>
      <c r="C126" s="10" t="s">
        <v>18</v>
      </c>
      <c r="D126" s="62">
        <v>0.6</v>
      </c>
      <c r="E126" s="105"/>
      <c r="F126" s="84">
        <f>0.185*1.3*1.1</f>
        <v>0.26455000000000001</v>
      </c>
      <c r="G126" s="55">
        <f t="shared" si="15"/>
        <v>0.27777750000000001</v>
      </c>
    </row>
    <row r="127" spans="1:9">
      <c r="A127" s="48"/>
      <c r="B127" s="49"/>
      <c r="C127" s="50"/>
      <c r="D127" s="58"/>
      <c r="E127" s="102"/>
      <c r="F127" s="66"/>
      <c r="G127" s="67">
        <f>SUM(G124:G126)</f>
        <v>1.4747775000000001</v>
      </c>
    </row>
  </sheetData>
  <mergeCells count="14">
    <mergeCell ref="D119:D121"/>
    <mergeCell ref="D44:D48"/>
    <mergeCell ref="D4:D9"/>
    <mergeCell ref="D17:D18"/>
    <mergeCell ref="D21:D25"/>
    <mergeCell ref="D28:D31"/>
    <mergeCell ref="D37:D41"/>
    <mergeCell ref="D110:D116"/>
    <mergeCell ref="D51:D55"/>
    <mergeCell ref="D58:D61"/>
    <mergeCell ref="D68:D69"/>
    <mergeCell ref="D79:D82"/>
    <mergeCell ref="D72:D73"/>
    <mergeCell ref="D92:D95"/>
  </mergeCells>
  <printOptions gridLines="1"/>
  <pageMargins left="0.25" right="0.25" top="0.75" bottom="0.75" header="0.3" footer="0.3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5BDB-ADAC-46F8-9ED3-765428FE4744}">
  <dimension ref="A1:D27"/>
  <sheetViews>
    <sheetView workbookViewId="0">
      <selection activeCell="E18" sqref="E18"/>
    </sheetView>
  </sheetViews>
  <sheetFormatPr defaultRowHeight="15"/>
  <cols>
    <col min="1" max="1" width="62.7109375" customWidth="1"/>
  </cols>
  <sheetData>
    <row r="1" spans="1:4" ht="35.25" customHeight="1">
      <c r="A1" s="119" t="s">
        <v>139</v>
      </c>
      <c r="B1" s="120" t="s">
        <v>140</v>
      </c>
      <c r="C1" s="120" t="s">
        <v>140</v>
      </c>
      <c r="D1" s="120" t="s">
        <v>140</v>
      </c>
    </row>
    <row r="2" spans="1:4" ht="27">
      <c r="A2" s="121" t="s">
        <v>2</v>
      </c>
      <c r="B2" s="122" t="s">
        <v>3</v>
      </c>
      <c r="C2" s="122" t="s">
        <v>4</v>
      </c>
      <c r="D2" s="122" t="s">
        <v>5</v>
      </c>
    </row>
    <row r="3" spans="1:4">
      <c r="A3" s="123" t="s">
        <v>141</v>
      </c>
      <c r="B3" s="124" t="s">
        <v>140</v>
      </c>
      <c r="C3" s="124" t="s">
        <v>140</v>
      </c>
      <c r="D3" s="124" t="s">
        <v>140</v>
      </c>
    </row>
    <row r="4" spans="1:4">
      <c r="A4" s="125" t="s">
        <v>9</v>
      </c>
      <c r="B4" s="126">
        <v>1</v>
      </c>
      <c r="C4" s="127" t="s">
        <v>142</v>
      </c>
      <c r="D4" s="183">
        <v>1</v>
      </c>
    </row>
    <row r="5" spans="1:4">
      <c r="A5" s="128" t="s">
        <v>11</v>
      </c>
      <c r="B5" s="127">
        <v>3</v>
      </c>
      <c r="C5" s="127" t="s">
        <v>142</v>
      </c>
      <c r="D5" s="184"/>
    </row>
    <row r="6" spans="1:4">
      <c r="A6" s="126" t="s">
        <v>12</v>
      </c>
      <c r="B6" s="127">
        <v>3</v>
      </c>
      <c r="C6" s="127" t="s">
        <v>142</v>
      </c>
      <c r="D6" s="184"/>
    </row>
    <row r="7" spans="1:4">
      <c r="A7" s="126" t="s">
        <v>13</v>
      </c>
      <c r="B7" s="127">
        <v>1</v>
      </c>
      <c r="C7" s="127" t="s">
        <v>142</v>
      </c>
      <c r="D7" s="184"/>
    </row>
    <row r="8" spans="1:4">
      <c r="A8" s="126" t="s">
        <v>14</v>
      </c>
      <c r="B8" s="127">
        <v>1</v>
      </c>
      <c r="C8" s="127" t="s">
        <v>142</v>
      </c>
      <c r="D8" s="184"/>
    </row>
    <row r="9" spans="1:4">
      <c r="A9" s="126" t="s">
        <v>15</v>
      </c>
      <c r="B9" s="127">
        <v>1</v>
      </c>
      <c r="C9" s="127" t="s">
        <v>142</v>
      </c>
      <c r="D9" s="185"/>
    </row>
    <row r="10" spans="1:4">
      <c r="A10" s="129" t="s">
        <v>16</v>
      </c>
      <c r="B10" s="130" t="s">
        <v>140</v>
      </c>
      <c r="C10" s="130" t="s">
        <v>140</v>
      </c>
      <c r="D10" s="130" t="s">
        <v>140</v>
      </c>
    </row>
    <row r="11" spans="1:4">
      <c r="A11" s="131" t="s">
        <v>17</v>
      </c>
      <c r="B11" s="132">
        <v>30</v>
      </c>
      <c r="C11" s="132" t="s">
        <v>143</v>
      </c>
      <c r="D11" s="157">
        <v>1</v>
      </c>
    </row>
    <row r="12" spans="1:4">
      <c r="A12" s="131" t="s">
        <v>144</v>
      </c>
      <c r="B12" s="132">
        <v>5</v>
      </c>
      <c r="C12" s="132" t="s">
        <v>143</v>
      </c>
      <c r="D12" s="158"/>
    </row>
    <row r="13" spans="1:4">
      <c r="A13" s="123" t="s">
        <v>26</v>
      </c>
      <c r="B13" s="124" t="s">
        <v>140</v>
      </c>
      <c r="C13" s="124" t="s">
        <v>140</v>
      </c>
      <c r="D13" s="124" t="s">
        <v>140</v>
      </c>
    </row>
    <row r="14" spans="1:4">
      <c r="A14" s="131" t="s">
        <v>27</v>
      </c>
      <c r="B14" s="132">
        <v>14</v>
      </c>
      <c r="C14" s="132" t="s">
        <v>143</v>
      </c>
      <c r="D14" s="186">
        <v>0.5</v>
      </c>
    </row>
    <row r="15" spans="1:4">
      <c r="A15" s="131" t="s">
        <v>29</v>
      </c>
      <c r="B15" s="132">
        <v>42</v>
      </c>
      <c r="C15" s="132" t="s">
        <v>143</v>
      </c>
      <c r="D15" s="187"/>
    </row>
    <row r="16" spans="1:4">
      <c r="A16" s="131" t="s">
        <v>32</v>
      </c>
      <c r="B16" s="132">
        <v>6</v>
      </c>
      <c r="C16" s="132" t="s">
        <v>143</v>
      </c>
      <c r="D16" s="187"/>
    </row>
    <row r="17" spans="1:4">
      <c r="A17" s="131" t="s">
        <v>34</v>
      </c>
      <c r="B17" s="132">
        <v>3</v>
      </c>
      <c r="C17" s="132" t="s">
        <v>143</v>
      </c>
      <c r="D17" s="187"/>
    </row>
    <row r="18" spans="1:4">
      <c r="A18" s="131" t="s">
        <v>36</v>
      </c>
      <c r="B18" s="132">
        <v>9</v>
      </c>
      <c r="C18" s="132" t="s">
        <v>143</v>
      </c>
      <c r="D18" s="188"/>
    </row>
    <row r="19" spans="1:4">
      <c r="A19" s="123" t="s">
        <v>38</v>
      </c>
      <c r="B19" s="124" t="s">
        <v>140</v>
      </c>
      <c r="C19" s="124" t="s">
        <v>140</v>
      </c>
      <c r="D19" s="124" t="s">
        <v>140</v>
      </c>
    </row>
    <row r="20" spans="1:4">
      <c r="A20" s="131" t="s">
        <v>39</v>
      </c>
      <c r="B20" s="132">
        <v>21</v>
      </c>
      <c r="C20" s="132" t="s">
        <v>18</v>
      </c>
      <c r="D20" s="186">
        <v>0.5</v>
      </c>
    </row>
    <row r="21" spans="1:4">
      <c r="A21" s="131" t="s">
        <v>41</v>
      </c>
      <c r="B21" s="132">
        <v>21</v>
      </c>
      <c r="C21" s="132" t="s">
        <v>18</v>
      </c>
      <c r="D21" s="187"/>
    </row>
    <row r="22" spans="1:4">
      <c r="A22" s="131" t="s">
        <v>34</v>
      </c>
      <c r="B22" s="132">
        <v>5</v>
      </c>
      <c r="C22" s="132" t="s">
        <v>18</v>
      </c>
      <c r="D22" s="187"/>
    </row>
    <row r="23" spans="1:4">
      <c r="A23" s="131" t="s">
        <v>42</v>
      </c>
      <c r="B23" s="132">
        <v>14</v>
      </c>
      <c r="C23" s="132" t="s">
        <v>18</v>
      </c>
      <c r="D23" s="188"/>
    </row>
    <row r="24" spans="1:4">
      <c r="A24" s="123" t="s">
        <v>72</v>
      </c>
      <c r="B24" s="124" t="s">
        <v>140</v>
      </c>
      <c r="C24" s="124" t="s">
        <v>140</v>
      </c>
      <c r="D24" s="124" t="s">
        <v>140</v>
      </c>
    </row>
    <row r="25" spans="1:4">
      <c r="A25" s="131" t="s">
        <v>73</v>
      </c>
      <c r="B25" s="132">
        <v>20</v>
      </c>
      <c r="C25" s="132" t="s">
        <v>143</v>
      </c>
      <c r="D25" s="186">
        <v>1</v>
      </c>
    </row>
    <row r="26" spans="1:4">
      <c r="A26" s="131" t="s">
        <v>145</v>
      </c>
      <c r="B26" s="132">
        <v>20</v>
      </c>
      <c r="C26" s="132" t="s">
        <v>143</v>
      </c>
      <c r="D26" s="187"/>
    </row>
    <row r="27" spans="1:4">
      <c r="A27" s="131" t="s">
        <v>146</v>
      </c>
      <c r="B27" s="132">
        <v>10</v>
      </c>
      <c r="C27" s="132" t="s">
        <v>143</v>
      </c>
      <c r="D27" s="188"/>
    </row>
  </sheetData>
  <mergeCells count="4">
    <mergeCell ref="D4:D9"/>
    <mergeCell ref="D14:D18"/>
    <mergeCell ref="D20:D23"/>
    <mergeCell ref="D25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I73"/>
  <sheetViews>
    <sheetView topLeftCell="A55" zoomScale="130" zoomScaleNormal="130" zoomScaleSheetLayoutView="100" workbookViewId="0">
      <selection activeCell="A71" sqref="A71:G72"/>
    </sheetView>
  </sheetViews>
  <sheetFormatPr defaultRowHeight="15"/>
  <cols>
    <col min="1" max="1" width="59.140625" style="13" customWidth="1"/>
    <col min="2" max="5" width="10.7109375" style="14" customWidth="1"/>
    <col min="6" max="6" width="19.7109375" customWidth="1"/>
    <col min="7" max="7" width="18.7109375" customWidth="1"/>
    <col min="9" max="9" width="30.140625" customWidth="1"/>
  </cols>
  <sheetData>
    <row r="1" spans="1:7" ht="17.25">
      <c r="A1" s="15" t="s">
        <v>147</v>
      </c>
      <c r="B1" s="16"/>
      <c r="C1" s="16"/>
      <c r="D1" s="16"/>
      <c r="E1" s="111"/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112"/>
      <c r="F2" s="70"/>
      <c r="G2" s="71">
        <v>0.05</v>
      </c>
    </row>
    <row r="3" spans="1:7">
      <c r="A3" s="17" t="s">
        <v>148</v>
      </c>
      <c r="B3" s="18"/>
      <c r="C3" s="18"/>
      <c r="D3" s="18"/>
      <c r="E3" s="113"/>
      <c r="F3" s="51" t="s">
        <v>7</v>
      </c>
      <c r="G3" s="52" t="s">
        <v>8</v>
      </c>
    </row>
    <row r="4" spans="1:7">
      <c r="A4" s="38" t="s">
        <v>105</v>
      </c>
      <c r="B4" s="39">
        <v>1</v>
      </c>
      <c r="C4" s="40" t="s">
        <v>10</v>
      </c>
      <c r="D4" s="40"/>
      <c r="E4" s="40"/>
      <c r="F4" s="54"/>
      <c r="G4" s="54"/>
    </row>
    <row r="5" spans="1:7">
      <c r="A5" s="38" t="s">
        <v>106</v>
      </c>
      <c r="B5" s="39">
        <v>1</v>
      </c>
      <c r="C5" s="40" t="s">
        <v>10</v>
      </c>
      <c r="D5" s="40"/>
      <c r="E5" s="40"/>
      <c r="F5" s="54"/>
      <c r="G5" s="54"/>
    </row>
    <row r="6" spans="1:7">
      <c r="A6" s="38" t="s">
        <v>149</v>
      </c>
      <c r="B6" s="39">
        <v>1</v>
      </c>
      <c r="C6" s="40" t="s">
        <v>10</v>
      </c>
      <c r="D6" s="40"/>
      <c r="E6" s="40"/>
      <c r="F6" s="54"/>
      <c r="G6" s="54"/>
    </row>
    <row r="7" spans="1:7">
      <c r="A7" s="38" t="s">
        <v>150</v>
      </c>
      <c r="B7" s="39">
        <v>1</v>
      </c>
      <c r="C7" s="40" t="s">
        <v>10</v>
      </c>
      <c r="D7" s="40"/>
      <c r="E7" s="40"/>
      <c r="F7" s="54"/>
      <c r="G7" s="54"/>
    </row>
    <row r="8" spans="1:7">
      <c r="A8" s="38" t="s">
        <v>151</v>
      </c>
      <c r="B8" s="39">
        <v>1</v>
      </c>
      <c r="C8" s="40" t="s">
        <v>10</v>
      </c>
      <c r="D8" s="40"/>
      <c r="E8" s="40"/>
      <c r="F8" s="54"/>
      <c r="G8" s="54"/>
    </row>
    <row r="9" spans="1:7">
      <c r="A9" s="38" t="s">
        <v>152</v>
      </c>
      <c r="B9" s="39">
        <v>1</v>
      </c>
      <c r="C9" s="40" t="s">
        <v>10</v>
      </c>
      <c r="D9" s="40"/>
      <c r="E9" s="40"/>
      <c r="F9" s="54"/>
      <c r="G9" s="54"/>
    </row>
    <row r="10" spans="1:7">
      <c r="A10" s="38" t="s">
        <v>153</v>
      </c>
      <c r="B10" s="39">
        <v>1</v>
      </c>
      <c r="C10" s="40" t="s">
        <v>10</v>
      </c>
      <c r="D10" s="40"/>
      <c r="E10" s="40"/>
      <c r="F10" s="54"/>
      <c r="G10" s="54"/>
    </row>
    <row r="11" spans="1:7">
      <c r="A11" s="38" t="s">
        <v>154</v>
      </c>
      <c r="B11" s="39">
        <v>1</v>
      </c>
      <c r="C11" s="40" t="s">
        <v>10</v>
      </c>
      <c r="D11" s="40"/>
      <c r="E11" s="40"/>
      <c r="F11" s="54"/>
      <c r="G11" s="54"/>
    </row>
    <row r="12" spans="1:7">
      <c r="A12" s="38" t="s">
        <v>155</v>
      </c>
      <c r="B12" s="39">
        <v>1</v>
      </c>
      <c r="C12" s="40" t="s">
        <v>10</v>
      </c>
      <c r="D12" s="40"/>
      <c r="E12" s="40"/>
      <c r="F12" s="54"/>
      <c r="G12" s="54"/>
    </row>
    <row r="13" spans="1:7">
      <c r="A13" s="38" t="s">
        <v>156</v>
      </c>
      <c r="B13" s="39">
        <v>1</v>
      </c>
      <c r="C13" s="40" t="s">
        <v>10</v>
      </c>
      <c r="D13" s="40"/>
      <c r="E13" s="40"/>
      <c r="F13" s="54"/>
      <c r="G13" s="54"/>
    </row>
    <row r="14" spans="1:7">
      <c r="A14" s="38" t="s">
        <v>157</v>
      </c>
      <c r="B14" s="39">
        <v>1</v>
      </c>
      <c r="C14" s="40" t="s">
        <v>10</v>
      </c>
      <c r="D14" s="40"/>
      <c r="E14" s="40"/>
      <c r="F14" s="54"/>
      <c r="G14" s="54"/>
    </row>
    <row r="15" spans="1:7">
      <c r="A15" s="38" t="s">
        <v>158</v>
      </c>
      <c r="B15" s="39">
        <v>1</v>
      </c>
      <c r="C15" s="40" t="s">
        <v>10</v>
      </c>
      <c r="D15" s="40"/>
      <c r="E15" s="40"/>
      <c r="F15" s="54"/>
      <c r="G15" s="54"/>
    </row>
    <row r="16" spans="1:7">
      <c r="A16" s="38" t="s">
        <v>159</v>
      </c>
      <c r="B16" s="39">
        <v>1</v>
      </c>
      <c r="C16" s="40" t="s">
        <v>10</v>
      </c>
      <c r="D16" s="40"/>
      <c r="E16" s="40"/>
      <c r="F16" s="54"/>
      <c r="G16" s="54"/>
    </row>
    <row r="17" spans="1:8">
      <c r="A17" s="38" t="s">
        <v>160</v>
      </c>
      <c r="B17" s="39">
        <v>1</v>
      </c>
      <c r="C17" s="40" t="s">
        <v>10</v>
      </c>
      <c r="D17" s="40"/>
      <c r="E17" s="40"/>
      <c r="F17" s="54"/>
      <c r="G17" s="54"/>
    </row>
    <row r="18" spans="1:8">
      <c r="A18" s="19"/>
      <c r="B18" s="20"/>
      <c r="C18" s="21"/>
      <c r="D18" s="21"/>
      <c r="E18" s="21"/>
      <c r="F18" s="54"/>
      <c r="G18" s="54"/>
    </row>
    <row r="19" spans="1:8">
      <c r="A19" s="17" t="s">
        <v>161</v>
      </c>
      <c r="B19" s="18"/>
      <c r="C19" s="18"/>
      <c r="D19" s="18"/>
      <c r="E19" s="18"/>
      <c r="F19" s="54"/>
      <c r="G19" s="54"/>
    </row>
    <row r="20" spans="1:8">
      <c r="A20" s="22" t="s">
        <v>162</v>
      </c>
      <c r="B20" s="23">
        <v>28</v>
      </c>
      <c r="C20" s="24" t="s">
        <v>18</v>
      </c>
      <c r="D20" s="176">
        <v>1</v>
      </c>
      <c r="E20" s="109" t="s">
        <v>163</v>
      </c>
      <c r="F20" s="83">
        <f>85.344*1.1*1.1/10/450*B20</f>
        <v>0.64254549333333344</v>
      </c>
      <c r="G20" s="55">
        <f>F20*(1+$G$2)</f>
        <v>0.67467276800000009</v>
      </c>
      <c r="H20" t="s">
        <v>164</v>
      </c>
    </row>
    <row r="21" spans="1:8">
      <c r="A21" s="22" t="s">
        <v>165</v>
      </c>
      <c r="B21" s="23">
        <v>56</v>
      </c>
      <c r="C21" s="24" t="s">
        <v>18</v>
      </c>
      <c r="D21" s="178"/>
      <c r="E21" s="109">
        <v>596</v>
      </c>
      <c r="F21" s="54">
        <f>164.825*1.3*1.1*1.1/140/450*B21</f>
        <v>0.23046197777777777</v>
      </c>
      <c r="G21" s="55">
        <f t="shared" ref="G21:G24" si="0">F21*(1+$G$2)</f>
        <v>0.24198507666666666</v>
      </c>
    </row>
    <row r="22" spans="1:8">
      <c r="A22" s="22" t="s">
        <v>166</v>
      </c>
      <c r="B22" s="23">
        <v>8</v>
      </c>
      <c r="C22" s="24" t="s">
        <v>18</v>
      </c>
      <c r="D22" s="177"/>
      <c r="E22" s="109"/>
      <c r="F22" s="54">
        <f>6.87/450*B22</f>
        <v>0.12213333333333333</v>
      </c>
      <c r="G22" s="55">
        <f t="shared" si="0"/>
        <v>0.12823999999999999</v>
      </c>
    </row>
    <row r="23" spans="1:8">
      <c r="A23" s="22"/>
      <c r="B23" s="23"/>
      <c r="C23" s="24" t="s">
        <v>18</v>
      </c>
      <c r="D23" s="47"/>
      <c r="E23" s="109"/>
      <c r="F23" s="54"/>
      <c r="G23" s="55">
        <f t="shared" si="0"/>
        <v>0</v>
      </c>
    </row>
    <row r="24" spans="1:8">
      <c r="A24" s="22"/>
      <c r="B24" s="23"/>
      <c r="C24" s="24" t="s">
        <v>18</v>
      </c>
      <c r="D24" s="47"/>
      <c r="E24" s="109"/>
      <c r="F24" s="54"/>
      <c r="G24" s="55">
        <f t="shared" si="0"/>
        <v>0</v>
      </c>
    </row>
    <row r="25" spans="1:8">
      <c r="A25" s="19"/>
      <c r="B25" s="20"/>
      <c r="C25" s="21"/>
      <c r="D25" s="21"/>
      <c r="E25" s="108"/>
      <c r="F25" s="72"/>
      <c r="G25" s="73">
        <f>SUM(G19:G24)</f>
        <v>1.0448978446666668</v>
      </c>
    </row>
    <row r="26" spans="1:8">
      <c r="A26" s="17" t="s">
        <v>167</v>
      </c>
      <c r="B26" s="18"/>
      <c r="C26" s="18"/>
      <c r="D26" s="18"/>
      <c r="E26" s="18"/>
      <c r="F26" s="54"/>
      <c r="G26" s="54"/>
    </row>
    <row r="27" spans="1:8">
      <c r="A27" s="22" t="s">
        <v>168</v>
      </c>
      <c r="B27" s="23">
        <v>90</v>
      </c>
      <c r="C27" s="24" t="s">
        <v>18</v>
      </c>
      <c r="D27" s="176">
        <v>0.6</v>
      </c>
      <c r="E27" s="109">
        <v>551</v>
      </c>
      <c r="F27" s="54">
        <f>15.439*1.3*1.1*1.2/5/450*B27</f>
        <v>1.0597329600000001</v>
      </c>
      <c r="G27" s="55">
        <f t="shared" ref="G27:G31" si="1">F27*(1+$G$2)</f>
        <v>1.1127196080000001</v>
      </c>
      <c r="H27">
        <v>551</v>
      </c>
    </row>
    <row r="28" spans="1:8">
      <c r="A28" s="22" t="s">
        <v>169</v>
      </c>
      <c r="B28" s="23">
        <v>30</v>
      </c>
      <c r="C28" s="24" t="s">
        <v>18</v>
      </c>
      <c r="D28" s="179"/>
      <c r="E28" s="109">
        <v>597</v>
      </c>
      <c r="F28" s="54">
        <f>8.8238*1.3*1.1*1.1/450*B28</f>
        <v>0.9253224933333335</v>
      </c>
      <c r="G28" s="55">
        <f t="shared" si="1"/>
        <v>0.97158861800000018</v>
      </c>
      <c r="H28">
        <v>597</v>
      </c>
    </row>
    <row r="29" spans="1:8">
      <c r="A29" s="22" t="s">
        <v>50</v>
      </c>
      <c r="B29" s="23">
        <v>42</v>
      </c>
      <c r="C29" s="24" t="s">
        <v>18</v>
      </c>
      <c r="D29" s="179"/>
      <c r="E29" s="109">
        <v>205</v>
      </c>
      <c r="F29" s="54">
        <f>16.1021*1.3*1.1*1.1/5/450*B29</f>
        <v>0.47280059493333343</v>
      </c>
      <c r="G29" s="55">
        <f t="shared" si="1"/>
        <v>0.49644062468000011</v>
      </c>
      <c r="H29">
        <v>205</v>
      </c>
    </row>
    <row r="30" spans="1:8">
      <c r="A30" s="22" t="s">
        <v>49</v>
      </c>
      <c r="B30" s="23">
        <v>56</v>
      </c>
      <c r="C30" s="24" t="s">
        <v>18</v>
      </c>
      <c r="D30" s="179"/>
      <c r="E30" s="109">
        <v>598</v>
      </c>
      <c r="F30" s="54">
        <f>5.5618*1.3*1.1*1.1/5/450*B30</f>
        <v>0.21774570595555559</v>
      </c>
      <c r="G30" s="55">
        <f t="shared" si="1"/>
        <v>0.22863299125333339</v>
      </c>
      <c r="H30">
        <v>598</v>
      </c>
    </row>
    <row r="31" spans="1:8">
      <c r="A31" s="22" t="s">
        <v>170</v>
      </c>
      <c r="B31" s="23">
        <v>3</v>
      </c>
      <c r="C31" s="24" t="s">
        <v>18</v>
      </c>
      <c r="D31" s="177"/>
      <c r="E31" s="109"/>
      <c r="F31" s="54">
        <f>20/8/450*B31</f>
        <v>1.6666666666666666E-2</v>
      </c>
      <c r="G31" s="55">
        <f t="shared" si="1"/>
        <v>1.7500000000000002E-2</v>
      </c>
      <c r="H31" t="s">
        <v>171</v>
      </c>
    </row>
    <row r="32" spans="1:8">
      <c r="A32" s="19"/>
      <c r="B32" s="20"/>
      <c r="C32" s="21"/>
      <c r="D32" s="21"/>
      <c r="E32" s="108"/>
      <c r="F32" s="72"/>
      <c r="G32" s="73">
        <f>SUM(G27:G31)</f>
        <v>2.8268818419333335</v>
      </c>
    </row>
    <row r="33" spans="1:8">
      <c r="A33" s="17" t="s">
        <v>172</v>
      </c>
      <c r="B33" s="18"/>
      <c r="C33" s="18"/>
      <c r="D33" s="18"/>
      <c r="E33" s="18"/>
      <c r="F33" s="54"/>
      <c r="G33" s="54"/>
    </row>
    <row r="34" spans="1:8" ht="14.25" customHeight="1">
      <c r="A34" s="8" t="s">
        <v>173</v>
      </c>
      <c r="B34" s="11" t="s">
        <v>174</v>
      </c>
      <c r="C34" s="10" t="s">
        <v>18</v>
      </c>
      <c r="D34" s="176">
        <v>0.4</v>
      </c>
      <c r="E34" s="109" t="s">
        <v>175</v>
      </c>
      <c r="F34" s="83">
        <f>0.6*2*1.2</f>
        <v>1.44</v>
      </c>
      <c r="G34" s="55">
        <f t="shared" ref="G34:G38" si="2">F34*(1+$G$2)</f>
        <v>1.512</v>
      </c>
    </row>
    <row r="35" spans="1:8">
      <c r="A35" s="8" t="s">
        <v>176</v>
      </c>
      <c r="B35" s="11">
        <v>56</v>
      </c>
      <c r="C35" s="10" t="s">
        <v>18</v>
      </c>
      <c r="D35" s="179"/>
      <c r="E35" s="109" t="s">
        <v>177</v>
      </c>
      <c r="F35" s="54">
        <f>37.19*1.5/40/450*B35</f>
        <v>0.17355333333333334</v>
      </c>
      <c r="G35" s="55">
        <f t="shared" si="2"/>
        <v>0.182231</v>
      </c>
      <c r="H35" t="s">
        <v>178</v>
      </c>
    </row>
    <row r="36" spans="1:8">
      <c r="A36" s="8" t="s">
        <v>179</v>
      </c>
      <c r="B36" s="11">
        <v>28</v>
      </c>
      <c r="C36" s="10" t="s">
        <v>18</v>
      </c>
      <c r="D36" s="179"/>
      <c r="E36" s="109">
        <v>210</v>
      </c>
      <c r="F36" s="54">
        <f>11.7927*1.3*1.1*1.1/5/450*B36</f>
        <v>0.23084341280000004</v>
      </c>
      <c r="G36" s="55">
        <f t="shared" si="2"/>
        <v>0.24238558344000005</v>
      </c>
      <c r="H36">
        <v>210</v>
      </c>
    </row>
    <row r="37" spans="1:8">
      <c r="A37" s="8" t="s">
        <v>180</v>
      </c>
      <c r="B37" s="11">
        <v>8</v>
      </c>
      <c r="C37" s="10" t="s">
        <v>18</v>
      </c>
      <c r="D37" s="179"/>
      <c r="E37" s="109" t="s">
        <v>181</v>
      </c>
      <c r="F37" s="54">
        <f>52.58*1.1/20/450*B37</f>
        <v>5.1411555555555558E-2</v>
      </c>
      <c r="G37" s="55">
        <f t="shared" si="2"/>
        <v>5.3982133333333335E-2</v>
      </c>
      <c r="H37" t="s">
        <v>182</v>
      </c>
    </row>
    <row r="38" spans="1:8">
      <c r="A38" s="8"/>
      <c r="B38" s="23"/>
      <c r="C38" s="10" t="s">
        <v>18</v>
      </c>
      <c r="D38" s="177"/>
      <c r="E38" s="47"/>
      <c r="F38" s="54"/>
      <c r="G38" s="55">
        <f t="shared" si="2"/>
        <v>0</v>
      </c>
    </row>
    <row r="39" spans="1:8">
      <c r="A39" s="19"/>
      <c r="B39" s="20"/>
      <c r="C39" s="21"/>
      <c r="D39" s="21"/>
      <c r="E39" s="108"/>
      <c r="F39" s="72"/>
      <c r="G39" s="73">
        <f>SUM(G34:G38)</f>
        <v>1.9905987167733334</v>
      </c>
    </row>
    <row r="40" spans="1:8">
      <c r="A40" s="17" t="s">
        <v>183</v>
      </c>
      <c r="B40" s="18"/>
      <c r="C40" s="18"/>
      <c r="D40" s="18"/>
      <c r="E40" s="18"/>
      <c r="F40" s="54"/>
      <c r="G40" s="54"/>
    </row>
    <row r="41" spans="1:8">
      <c r="A41" s="22" t="s">
        <v>184</v>
      </c>
      <c r="B41" s="23">
        <v>60</v>
      </c>
      <c r="C41" s="24" t="s">
        <v>18</v>
      </c>
      <c r="D41" s="176">
        <v>1</v>
      </c>
      <c r="E41" s="47">
        <v>603</v>
      </c>
      <c r="F41" s="54">
        <f>7.8028*1.3*1.1*1.2/30</f>
        <v>0.44632016000000008</v>
      </c>
      <c r="G41" s="55">
        <f t="shared" ref="G41:G43" si="3">F41*(1+$G$2)</f>
        <v>0.46863616800000008</v>
      </c>
      <c r="H41">
        <v>603</v>
      </c>
    </row>
    <row r="42" spans="1:8">
      <c r="A42" s="22" t="s">
        <v>185</v>
      </c>
      <c r="B42" s="23">
        <v>10</v>
      </c>
      <c r="C42" s="24" t="s">
        <v>18</v>
      </c>
      <c r="D42" s="177"/>
      <c r="E42" s="24"/>
      <c r="F42" s="54">
        <v>0.2</v>
      </c>
      <c r="G42" s="55">
        <f t="shared" si="3"/>
        <v>0.21000000000000002</v>
      </c>
    </row>
    <row r="43" spans="1:8">
      <c r="A43" s="22" t="s">
        <v>133</v>
      </c>
      <c r="B43" s="23">
        <v>1</v>
      </c>
      <c r="C43" s="24" t="s">
        <v>10</v>
      </c>
      <c r="D43" s="47"/>
      <c r="E43" s="47"/>
      <c r="F43" s="68">
        <f>26.7/0.8/8/450*15</f>
        <v>0.13906250000000001</v>
      </c>
      <c r="G43" s="55">
        <f t="shared" si="3"/>
        <v>0.14601562500000001</v>
      </c>
      <c r="H43" t="s">
        <v>134</v>
      </c>
    </row>
    <row r="44" spans="1:8">
      <c r="A44" s="19"/>
      <c r="B44" s="20"/>
      <c r="C44" s="21"/>
      <c r="D44" s="21"/>
      <c r="E44" s="108"/>
      <c r="F44" s="72"/>
      <c r="G44" s="73">
        <f>SUM(G41:G43)</f>
        <v>0.82465179300000013</v>
      </c>
    </row>
    <row r="45" spans="1:8">
      <c r="A45" s="17" t="s">
        <v>186</v>
      </c>
      <c r="B45" s="18"/>
      <c r="C45" s="18"/>
      <c r="D45" s="18"/>
      <c r="E45" s="18"/>
      <c r="F45" s="54"/>
      <c r="G45" s="54"/>
    </row>
    <row r="46" spans="1:8">
      <c r="A46" s="22" t="s">
        <v>187</v>
      </c>
      <c r="B46" s="23">
        <v>40</v>
      </c>
      <c r="C46" s="24" t="s">
        <v>18</v>
      </c>
      <c r="D46" s="41">
        <v>1.2</v>
      </c>
      <c r="E46" s="103"/>
      <c r="F46" s="84">
        <v>0.45</v>
      </c>
      <c r="G46" s="55">
        <f>F46*(1+$G$2)</f>
        <v>0.47250000000000003</v>
      </c>
    </row>
    <row r="47" spans="1:8">
      <c r="A47" s="19"/>
      <c r="B47" s="20"/>
      <c r="C47" s="21"/>
      <c r="D47" s="21"/>
      <c r="E47" s="108"/>
      <c r="F47" s="72"/>
      <c r="G47" s="73">
        <f>SUM(G46)</f>
        <v>0.47250000000000003</v>
      </c>
    </row>
    <row r="48" spans="1:8">
      <c r="A48" s="174" t="s">
        <v>188</v>
      </c>
      <c r="B48" s="175"/>
      <c r="C48" s="175"/>
      <c r="D48" s="18"/>
      <c r="E48" s="18"/>
      <c r="F48" s="54"/>
      <c r="G48" s="54"/>
    </row>
    <row r="49" spans="1:9">
      <c r="A49" s="17" t="s">
        <v>189</v>
      </c>
      <c r="B49" s="18"/>
      <c r="C49" s="18"/>
      <c r="D49" s="21"/>
      <c r="E49" s="21"/>
      <c r="F49" s="54"/>
      <c r="G49" s="54"/>
    </row>
    <row r="50" spans="1:9">
      <c r="A50" s="19" t="s">
        <v>190</v>
      </c>
      <c r="B50" s="20">
        <v>1</v>
      </c>
      <c r="C50" s="21" t="s">
        <v>10</v>
      </c>
      <c r="D50" s="21"/>
      <c r="E50" s="21"/>
      <c r="F50" s="54"/>
      <c r="G50" s="54"/>
    </row>
    <row r="51" spans="1:9">
      <c r="A51" s="19" t="s">
        <v>191</v>
      </c>
      <c r="B51" s="20">
        <v>1</v>
      </c>
      <c r="C51" s="21" t="s">
        <v>10</v>
      </c>
      <c r="D51" s="21"/>
      <c r="E51" s="21"/>
      <c r="F51" s="54"/>
      <c r="G51" s="54"/>
    </row>
    <row r="52" spans="1:9">
      <c r="A52" s="19" t="s">
        <v>192</v>
      </c>
      <c r="B52" s="20">
        <v>1</v>
      </c>
      <c r="C52" s="21" t="s">
        <v>10</v>
      </c>
      <c r="D52" s="21"/>
      <c r="E52" s="21"/>
      <c r="F52" s="54"/>
      <c r="G52" s="54"/>
    </row>
    <row r="53" spans="1:9">
      <c r="A53" s="19" t="s">
        <v>193</v>
      </c>
      <c r="B53" s="20">
        <v>1</v>
      </c>
      <c r="C53" s="21" t="s">
        <v>10</v>
      </c>
      <c r="D53" s="21"/>
      <c r="E53" s="21"/>
      <c r="F53" s="54"/>
      <c r="G53" s="54"/>
    </row>
    <row r="54" spans="1:9">
      <c r="A54" s="19" t="s">
        <v>194</v>
      </c>
      <c r="B54" s="20">
        <v>1</v>
      </c>
      <c r="C54" s="21" t="s">
        <v>10</v>
      </c>
      <c r="D54" s="21"/>
      <c r="E54" s="21"/>
      <c r="F54" s="54"/>
      <c r="G54" s="54"/>
    </row>
    <row r="55" spans="1:9">
      <c r="A55" s="19" t="s">
        <v>195</v>
      </c>
      <c r="B55" s="20">
        <v>1</v>
      </c>
      <c r="C55" s="21" t="s">
        <v>10</v>
      </c>
      <c r="D55" s="21"/>
      <c r="E55" s="21"/>
      <c r="F55" s="54"/>
      <c r="G55" s="54"/>
    </row>
    <row r="56" spans="1:9">
      <c r="A56" s="19" t="s">
        <v>196</v>
      </c>
      <c r="B56" s="20">
        <v>1</v>
      </c>
      <c r="C56" s="21" t="s">
        <v>10</v>
      </c>
      <c r="D56" s="21"/>
      <c r="E56" s="21"/>
      <c r="F56" s="54"/>
      <c r="G56" s="54"/>
    </row>
    <row r="57" spans="1:9">
      <c r="A57" s="19" t="s">
        <v>197</v>
      </c>
      <c r="B57" s="20">
        <v>1</v>
      </c>
      <c r="C57" s="21" t="s">
        <v>10</v>
      </c>
      <c r="D57" s="21"/>
      <c r="E57" s="21"/>
      <c r="F57" s="54"/>
      <c r="G57" s="54"/>
    </row>
    <row r="58" spans="1:9">
      <c r="A58" s="19" t="s">
        <v>198</v>
      </c>
      <c r="B58" s="20">
        <v>1</v>
      </c>
      <c r="C58" s="21" t="s">
        <v>10</v>
      </c>
      <c r="D58" s="21"/>
      <c r="E58" s="21"/>
      <c r="F58" s="54"/>
      <c r="G58" s="54"/>
    </row>
    <row r="59" spans="1:9">
      <c r="A59" s="19" t="s">
        <v>199</v>
      </c>
      <c r="B59" s="20">
        <v>1</v>
      </c>
      <c r="C59" s="21" t="s">
        <v>10</v>
      </c>
      <c r="F59" s="54"/>
      <c r="G59" s="54"/>
    </row>
    <row r="60" spans="1:9">
      <c r="A60" s="17" t="s">
        <v>200</v>
      </c>
      <c r="B60" s="18"/>
      <c r="C60" s="18"/>
      <c r="D60" s="18"/>
      <c r="E60" s="18"/>
      <c r="F60" s="54"/>
      <c r="G60" s="54"/>
    </row>
    <row r="61" spans="1:9">
      <c r="A61" s="8" t="s">
        <v>118</v>
      </c>
      <c r="B61" s="23">
        <v>30</v>
      </c>
      <c r="C61" s="24" t="s">
        <v>117</v>
      </c>
      <c r="D61" s="74">
        <v>1</v>
      </c>
      <c r="E61" s="74"/>
      <c r="F61" s="68">
        <f>26.5*1.2/11/450*B61</f>
        <v>0.19272727272727269</v>
      </c>
      <c r="G61" s="55">
        <f t="shared" ref="G61:G69" si="4">F61*(1+$G$2)</f>
        <v>0.20236363636363633</v>
      </c>
    </row>
    <row r="62" spans="1:9">
      <c r="A62" s="8" t="s">
        <v>201</v>
      </c>
      <c r="B62" s="23" t="s">
        <v>202</v>
      </c>
      <c r="C62" s="24" t="s">
        <v>117</v>
      </c>
      <c r="D62" s="75"/>
      <c r="E62" s="75"/>
      <c r="F62" s="83">
        <f>H62/450*30</f>
        <v>0.20400000000000001</v>
      </c>
      <c r="G62" s="55">
        <f t="shared" si="4"/>
        <v>0.21420000000000003</v>
      </c>
      <c r="H62">
        <v>3.06</v>
      </c>
      <c r="I62" t="s">
        <v>203</v>
      </c>
    </row>
    <row r="63" spans="1:9">
      <c r="A63" s="22" t="s">
        <v>204</v>
      </c>
      <c r="B63" s="23">
        <v>1</v>
      </c>
      <c r="C63" s="24" t="s">
        <v>10</v>
      </c>
      <c r="D63" s="75"/>
      <c r="E63" s="114"/>
      <c r="F63" s="84">
        <f>48/20/450*60/2</f>
        <v>0.16</v>
      </c>
      <c r="G63" s="55">
        <f t="shared" si="4"/>
        <v>0.16800000000000001</v>
      </c>
      <c r="H63" t="s">
        <v>205</v>
      </c>
    </row>
    <row r="64" spans="1:9">
      <c r="A64" s="22" t="s">
        <v>206</v>
      </c>
      <c r="B64" s="23">
        <v>1</v>
      </c>
      <c r="C64" s="24" t="s">
        <v>10</v>
      </c>
      <c r="D64" s="75"/>
      <c r="E64" s="75"/>
      <c r="F64" s="68">
        <f>33.05/20/450*20</f>
        <v>7.3444444444444437E-2</v>
      </c>
      <c r="G64" s="55">
        <f t="shared" si="4"/>
        <v>7.7116666666666667E-2</v>
      </c>
    </row>
    <row r="65" spans="1:7">
      <c r="A65" s="22" t="s">
        <v>207</v>
      </c>
      <c r="B65" s="23" t="s">
        <v>208</v>
      </c>
      <c r="C65" s="24" t="s">
        <v>18</v>
      </c>
      <c r="D65" s="75"/>
      <c r="E65" s="75"/>
      <c r="F65" s="68">
        <f>15.64/0.8/10/450*10</f>
        <v>4.3444444444444438E-2</v>
      </c>
      <c r="G65" s="55">
        <f t="shared" si="4"/>
        <v>4.561666666666666E-2</v>
      </c>
    </row>
    <row r="66" spans="1:7">
      <c r="A66" s="22" t="s">
        <v>121</v>
      </c>
      <c r="B66" s="23">
        <v>10</v>
      </c>
      <c r="C66" s="24" t="s">
        <v>18</v>
      </c>
      <c r="D66" s="75"/>
      <c r="E66" s="75"/>
      <c r="F66" s="53">
        <f>30.2/0.8*1.1/10/450*B66</f>
        <v>9.2277777777777792E-2</v>
      </c>
      <c r="G66" s="55">
        <f t="shared" si="4"/>
        <v>9.6891666666666681E-2</v>
      </c>
    </row>
    <row r="67" spans="1:7">
      <c r="A67" s="22" t="s">
        <v>209</v>
      </c>
      <c r="B67" s="23">
        <v>28</v>
      </c>
      <c r="C67" s="24" t="s">
        <v>18</v>
      </c>
      <c r="D67" s="75"/>
      <c r="E67" s="75"/>
      <c r="F67" s="69">
        <f>29.24/6/0.7*1.1/450*B67</f>
        <v>0.47650370370370382</v>
      </c>
      <c r="G67" s="55">
        <f t="shared" si="4"/>
        <v>0.50032888888888905</v>
      </c>
    </row>
    <row r="68" spans="1:7">
      <c r="A68" s="22" t="s">
        <v>128</v>
      </c>
      <c r="B68" s="23">
        <v>28</v>
      </c>
      <c r="C68" s="24" t="s">
        <v>18</v>
      </c>
      <c r="D68" s="75"/>
      <c r="E68" s="75"/>
      <c r="F68" s="68">
        <f>58.51/0.9/18/450*B68</f>
        <v>0.22472976680384082</v>
      </c>
      <c r="G68" s="55">
        <f t="shared" si="4"/>
        <v>0.23596625514403288</v>
      </c>
    </row>
    <row r="69" spans="1:7">
      <c r="A69" s="22"/>
      <c r="B69" s="23"/>
      <c r="C69" s="24"/>
      <c r="D69" s="76"/>
      <c r="E69" s="76"/>
      <c r="F69" s="54"/>
      <c r="G69" s="55">
        <f t="shared" si="4"/>
        <v>0</v>
      </c>
    </row>
    <row r="70" spans="1:7">
      <c r="A70" s="19"/>
      <c r="B70" s="20"/>
      <c r="C70" s="21"/>
      <c r="D70" s="21"/>
      <c r="E70" s="108"/>
      <c r="F70" s="72"/>
      <c r="G70" s="73">
        <f>SUM(G61:G69)</f>
        <v>1.5404837803965585</v>
      </c>
    </row>
    <row r="71" spans="1:7">
      <c r="A71" s="17" t="s">
        <v>186</v>
      </c>
      <c r="B71" s="18"/>
      <c r="C71" s="18"/>
      <c r="D71" s="18"/>
      <c r="E71" s="18"/>
      <c r="F71" s="54"/>
      <c r="G71" s="54"/>
    </row>
    <row r="72" spans="1:7">
      <c r="A72" s="22" t="s">
        <v>137</v>
      </c>
      <c r="B72" s="23">
        <v>40</v>
      </c>
      <c r="C72" s="24" t="s">
        <v>18</v>
      </c>
      <c r="D72" s="41">
        <v>1.2</v>
      </c>
      <c r="E72" s="41"/>
      <c r="F72" s="54">
        <v>0.42</v>
      </c>
      <c r="G72" s="55">
        <f>F72*(1+$G$2)</f>
        <v>0.441</v>
      </c>
    </row>
    <row r="73" spans="1:7">
      <c r="A73" s="19"/>
      <c r="B73" s="20"/>
      <c r="C73" s="21"/>
      <c r="D73" s="21"/>
      <c r="E73" s="108"/>
      <c r="F73" s="72"/>
      <c r="G73" s="73">
        <f>SUM(G72)</f>
        <v>0.441</v>
      </c>
    </row>
  </sheetData>
  <mergeCells count="5">
    <mergeCell ref="A48:C48"/>
    <mergeCell ref="D41:D42"/>
    <mergeCell ref="D20:D22"/>
    <mergeCell ref="D27:D31"/>
    <mergeCell ref="D34:D38"/>
  </mergeCells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H51"/>
  <sheetViews>
    <sheetView topLeftCell="A25" zoomScale="130" zoomScaleNormal="130" workbookViewId="0">
      <selection activeCell="A46" sqref="A46:G50"/>
    </sheetView>
  </sheetViews>
  <sheetFormatPr defaultRowHeight="15"/>
  <cols>
    <col min="1" max="1" width="45.7109375" style="13" customWidth="1"/>
    <col min="2" max="5" width="10.7109375" style="14" customWidth="1"/>
    <col min="6" max="6" width="17.85546875" customWidth="1"/>
    <col min="7" max="7" width="18.85546875" customWidth="1"/>
    <col min="9" max="9" width="29.140625" customWidth="1"/>
  </cols>
  <sheetData>
    <row r="1" spans="1:7" ht="17.25">
      <c r="A1" s="15" t="s">
        <v>210</v>
      </c>
      <c r="B1" s="16"/>
      <c r="C1" s="16"/>
      <c r="D1" s="16"/>
      <c r="E1" s="111"/>
    </row>
    <row r="2" spans="1:7">
      <c r="A2" s="3" t="s">
        <v>2</v>
      </c>
      <c r="B2" s="3" t="s">
        <v>3</v>
      </c>
      <c r="C2" s="3" t="s">
        <v>4</v>
      </c>
      <c r="D2" s="3" t="s">
        <v>5</v>
      </c>
      <c r="E2" s="112"/>
      <c r="F2" s="70"/>
      <c r="G2" s="71">
        <v>0.05</v>
      </c>
    </row>
    <row r="3" spans="1:7">
      <c r="A3" s="17" t="s">
        <v>211</v>
      </c>
      <c r="B3" s="18"/>
      <c r="C3" s="18"/>
      <c r="D3" s="18"/>
      <c r="E3" s="113"/>
      <c r="F3" s="51" t="s">
        <v>7</v>
      </c>
      <c r="G3" s="52" t="s">
        <v>8</v>
      </c>
    </row>
    <row r="4" spans="1:7">
      <c r="A4" s="19" t="s">
        <v>190</v>
      </c>
      <c r="B4" s="20">
        <v>1</v>
      </c>
      <c r="C4" s="21" t="s">
        <v>10</v>
      </c>
      <c r="D4" s="162">
        <v>1</v>
      </c>
      <c r="E4" s="88"/>
      <c r="F4" s="54"/>
      <c r="G4" s="54"/>
    </row>
    <row r="5" spans="1:7">
      <c r="A5" s="19" t="s">
        <v>212</v>
      </c>
      <c r="B5" s="20">
        <v>1</v>
      </c>
      <c r="C5" s="21" t="s">
        <v>10</v>
      </c>
      <c r="D5" s="163"/>
      <c r="E5" s="89"/>
      <c r="F5" s="54"/>
      <c r="G5" s="54"/>
    </row>
    <row r="6" spans="1:7">
      <c r="A6" s="19" t="s">
        <v>213</v>
      </c>
      <c r="B6" s="20">
        <v>1</v>
      </c>
      <c r="C6" s="21" t="s">
        <v>10</v>
      </c>
      <c r="D6" s="163"/>
      <c r="E6" s="89"/>
      <c r="F6" s="54"/>
      <c r="G6" s="54"/>
    </row>
    <row r="7" spans="1:7">
      <c r="A7" s="19" t="s">
        <v>214</v>
      </c>
      <c r="B7" s="20">
        <v>1</v>
      </c>
      <c r="C7" s="21" t="s">
        <v>10</v>
      </c>
      <c r="D7" s="163"/>
      <c r="E7" s="89"/>
      <c r="F7" s="54"/>
      <c r="G7" s="54"/>
    </row>
    <row r="8" spans="1:7">
      <c r="A8" s="19" t="s">
        <v>215</v>
      </c>
      <c r="B8" s="20">
        <v>1</v>
      </c>
      <c r="C8" s="21" t="s">
        <v>10</v>
      </c>
      <c r="D8" s="163"/>
      <c r="E8" s="89"/>
      <c r="F8" s="54"/>
      <c r="G8" s="54"/>
    </row>
    <row r="9" spans="1:7">
      <c r="A9" s="19" t="s">
        <v>216</v>
      </c>
      <c r="B9" s="20">
        <v>1</v>
      </c>
      <c r="C9" s="21" t="s">
        <v>10</v>
      </c>
      <c r="D9" s="163"/>
      <c r="E9" s="89"/>
      <c r="F9" s="54"/>
      <c r="G9" s="54"/>
    </row>
    <row r="10" spans="1:7">
      <c r="A10" s="19" t="s">
        <v>217</v>
      </c>
      <c r="B10" s="20">
        <v>1</v>
      </c>
      <c r="C10" s="21" t="s">
        <v>10</v>
      </c>
      <c r="D10" s="163"/>
      <c r="E10" s="89"/>
      <c r="F10" s="54"/>
      <c r="G10" s="54"/>
    </row>
    <row r="11" spans="1:7">
      <c r="A11" s="19" t="s">
        <v>218</v>
      </c>
      <c r="B11" s="20">
        <v>1</v>
      </c>
      <c r="C11" s="21" t="s">
        <v>10</v>
      </c>
      <c r="D11" s="163"/>
      <c r="E11" s="89"/>
      <c r="F11" s="54"/>
      <c r="G11" s="54"/>
    </row>
    <row r="12" spans="1:7">
      <c r="A12" s="19" t="s">
        <v>219</v>
      </c>
      <c r="B12" s="20">
        <v>1</v>
      </c>
      <c r="C12" s="21" t="s">
        <v>10</v>
      </c>
      <c r="D12" s="163"/>
      <c r="E12" s="89" t="s">
        <v>220</v>
      </c>
      <c r="F12" s="54"/>
      <c r="G12" s="54"/>
    </row>
    <row r="13" spans="1:7">
      <c r="A13" s="19" t="s">
        <v>196</v>
      </c>
      <c r="B13" s="20">
        <v>1</v>
      </c>
      <c r="C13" s="21" t="s">
        <v>10</v>
      </c>
      <c r="D13" s="163"/>
      <c r="E13" s="89"/>
      <c r="F13" s="54"/>
      <c r="G13" s="54"/>
    </row>
    <row r="14" spans="1:7">
      <c r="A14" s="19"/>
      <c r="B14" s="20">
        <v>1</v>
      </c>
      <c r="C14" s="21" t="s">
        <v>10</v>
      </c>
      <c r="D14" s="164"/>
      <c r="E14" s="90"/>
      <c r="F14" s="54"/>
      <c r="G14" s="54"/>
    </row>
    <row r="15" spans="1:7">
      <c r="A15" s="17" t="s">
        <v>221</v>
      </c>
      <c r="B15" s="18"/>
      <c r="C15" s="18"/>
      <c r="D15" s="18"/>
      <c r="E15" s="18"/>
      <c r="F15" s="54"/>
      <c r="G15" s="54"/>
    </row>
    <row r="16" spans="1:7">
      <c r="A16" s="22" t="s">
        <v>222</v>
      </c>
      <c r="B16" s="23">
        <v>10</v>
      </c>
      <c r="C16" s="24" t="s">
        <v>18</v>
      </c>
      <c r="D16" s="176">
        <v>1</v>
      </c>
      <c r="E16" s="103"/>
      <c r="F16" s="85">
        <f>46.75/0.9/12/450*B16</f>
        <v>9.6193415637860075E-2</v>
      </c>
      <c r="G16" s="55">
        <f>F16*(1+$G$2)</f>
        <v>0.10100308641975309</v>
      </c>
    </row>
    <row r="17" spans="1:8">
      <c r="A17" s="22" t="s">
        <v>223</v>
      </c>
      <c r="B17" s="23">
        <v>8</v>
      </c>
      <c r="C17" s="24" t="s">
        <v>18</v>
      </c>
      <c r="D17" s="179"/>
      <c r="E17" s="96"/>
      <c r="F17" s="54">
        <f>20*1.1/8/450*B17</f>
        <v>4.8888888888888891E-2</v>
      </c>
      <c r="G17" s="55">
        <f>F17*(1+$G$2)</f>
        <v>5.1333333333333335E-2</v>
      </c>
      <c r="H17" t="s">
        <v>224</v>
      </c>
    </row>
    <row r="18" spans="1:8">
      <c r="A18" s="22" t="s">
        <v>225</v>
      </c>
      <c r="B18" s="23">
        <v>8</v>
      </c>
      <c r="C18" s="24" t="s">
        <v>18</v>
      </c>
      <c r="D18" s="179"/>
      <c r="E18" s="96"/>
      <c r="F18" s="68">
        <f>15.64/0.8/10/450*B18</f>
        <v>3.4755555555555553E-2</v>
      </c>
      <c r="G18" s="55">
        <f>F18*(1+$G$2)</f>
        <v>3.6493333333333336E-2</v>
      </c>
    </row>
    <row r="19" spans="1:8">
      <c r="A19" s="22" t="s">
        <v>226</v>
      </c>
      <c r="B19" s="23">
        <v>14</v>
      </c>
      <c r="C19" s="24" t="s">
        <v>18</v>
      </c>
      <c r="D19" s="177"/>
      <c r="E19" s="47"/>
      <c r="F19" s="54">
        <f>61.1*1.1/20/450*B19</f>
        <v>0.1045488888888889</v>
      </c>
      <c r="G19" s="55">
        <f>F19*(1+$G$2)</f>
        <v>0.10977633333333335</v>
      </c>
      <c r="H19" t="s">
        <v>227</v>
      </c>
    </row>
    <row r="20" spans="1:8">
      <c r="A20" s="22"/>
      <c r="B20" s="23"/>
      <c r="C20" s="24"/>
      <c r="D20" s="47"/>
      <c r="E20" s="47"/>
      <c r="F20" s="54"/>
      <c r="G20" s="55">
        <f>F20*(1+$G$2)</f>
        <v>0</v>
      </c>
    </row>
    <row r="21" spans="1:8">
      <c r="A21" s="77"/>
      <c r="B21" s="78"/>
      <c r="C21" s="79"/>
      <c r="D21" s="80"/>
      <c r="E21" s="116"/>
      <c r="F21" s="72"/>
      <c r="G21" s="73">
        <f>SUM(G16:G20)</f>
        <v>0.29860608641975311</v>
      </c>
    </row>
    <row r="22" spans="1:8">
      <c r="A22" s="17" t="s">
        <v>167</v>
      </c>
      <c r="B22" s="18"/>
      <c r="C22" s="18"/>
      <c r="D22" s="18"/>
      <c r="E22" s="18"/>
      <c r="F22" s="54"/>
      <c r="G22" s="54"/>
    </row>
    <row r="23" spans="1:8">
      <c r="A23" s="22" t="s">
        <v>168</v>
      </c>
      <c r="B23" s="23">
        <v>90</v>
      </c>
      <c r="C23" s="24" t="s">
        <v>18</v>
      </c>
      <c r="D23" s="176">
        <v>0.9</v>
      </c>
      <c r="E23" s="115">
        <v>5.51</v>
      </c>
      <c r="F23" s="54">
        <f>15.439*1.3*1.1*1.2/5/450*B23</f>
        <v>1.0597329600000001</v>
      </c>
      <c r="G23" s="55">
        <f t="shared" ref="G23:G27" si="0">F23*(1+$G$2)</f>
        <v>1.1127196080000001</v>
      </c>
      <c r="H23">
        <v>551</v>
      </c>
    </row>
    <row r="24" spans="1:8">
      <c r="A24" s="22" t="s">
        <v>169</v>
      </c>
      <c r="B24" s="23">
        <v>30</v>
      </c>
      <c r="C24" s="24" t="s">
        <v>18</v>
      </c>
      <c r="D24" s="179"/>
      <c r="E24" s="109">
        <v>597</v>
      </c>
      <c r="F24" s="54">
        <f>8.8238*1.3*1.1*1.1/450*B24</f>
        <v>0.9253224933333335</v>
      </c>
      <c r="G24" s="55">
        <f t="shared" si="0"/>
        <v>0.97158861800000018</v>
      </c>
      <c r="H24">
        <v>597</v>
      </c>
    </row>
    <row r="25" spans="1:8">
      <c r="A25" s="22" t="s">
        <v>50</v>
      </c>
      <c r="B25" s="23">
        <v>42</v>
      </c>
      <c r="C25" s="24" t="s">
        <v>18</v>
      </c>
      <c r="D25" s="179"/>
      <c r="E25" s="109">
        <v>205</v>
      </c>
      <c r="F25" s="54">
        <f>16.1021*1.3*1.1*1.1/5/450*B25</f>
        <v>0.47280059493333343</v>
      </c>
      <c r="G25" s="55">
        <f t="shared" si="0"/>
        <v>0.49644062468000011</v>
      </c>
      <c r="H25">
        <v>205</v>
      </c>
    </row>
    <row r="26" spans="1:8">
      <c r="A26" s="22" t="s">
        <v>49</v>
      </c>
      <c r="B26" s="23">
        <v>56</v>
      </c>
      <c r="C26" s="24" t="s">
        <v>18</v>
      </c>
      <c r="D26" s="179"/>
      <c r="E26" s="109">
        <v>598</v>
      </c>
      <c r="F26" s="54">
        <f>5.5618*1.3*1.1*1.1/5/450*B26</f>
        <v>0.21774570595555559</v>
      </c>
      <c r="G26" s="55">
        <f t="shared" si="0"/>
        <v>0.22863299125333339</v>
      </c>
      <c r="H26">
        <v>598</v>
      </c>
    </row>
    <row r="27" spans="1:8">
      <c r="A27" s="22" t="s">
        <v>170</v>
      </c>
      <c r="B27" s="23">
        <v>3</v>
      </c>
      <c r="C27" s="24" t="s">
        <v>18</v>
      </c>
      <c r="D27" s="177"/>
      <c r="E27" s="109"/>
      <c r="F27" s="54">
        <f>20/8/450*B27</f>
        <v>1.6666666666666666E-2</v>
      </c>
      <c r="G27" s="55">
        <f t="shared" si="0"/>
        <v>1.7500000000000002E-2</v>
      </c>
      <c r="H27" t="s">
        <v>171</v>
      </c>
    </row>
    <row r="28" spans="1:8">
      <c r="A28" s="19"/>
      <c r="B28" s="20"/>
      <c r="C28" s="21"/>
      <c r="D28" s="21"/>
      <c r="E28" s="108"/>
      <c r="F28" s="72"/>
      <c r="G28" s="73">
        <f>SUM(G23:G27)</f>
        <v>2.8268818419333335</v>
      </c>
    </row>
    <row r="29" spans="1:8">
      <c r="A29" s="17" t="s">
        <v>228</v>
      </c>
      <c r="B29" s="18"/>
      <c r="C29" s="18"/>
      <c r="D29" s="18"/>
      <c r="E29" s="18"/>
      <c r="F29" s="54"/>
      <c r="G29" s="54"/>
    </row>
    <row r="30" spans="1:8" ht="15.75" customHeight="1">
      <c r="A30" s="8" t="s">
        <v>173</v>
      </c>
      <c r="B30" s="11" t="s">
        <v>174</v>
      </c>
      <c r="C30" s="10" t="s">
        <v>18</v>
      </c>
      <c r="D30" s="180">
        <v>0.1</v>
      </c>
      <c r="E30" s="109" t="s">
        <v>175</v>
      </c>
      <c r="F30" s="83">
        <f>0.6*2*1.2</f>
        <v>1.44</v>
      </c>
      <c r="G30" s="55">
        <f t="shared" ref="G30:G34" si="1">F30*(1+$G$2)</f>
        <v>1.512</v>
      </c>
    </row>
    <row r="31" spans="1:8">
      <c r="A31" s="8" t="s">
        <v>176</v>
      </c>
      <c r="B31" s="11">
        <v>56</v>
      </c>
      <c r="C31" s="10" t="s">
        <v>18</v>
      </c>
      <c r="D31" s="181"/>
      <c r="E31" s="109" t="s">
        <v>177</v>
      </c>
      <c r="F31" s="54">
        <f>37.19*1.5/40/450*B31</f>
        <v>0.17355333333333334</v>
      </c>
      <c r="G31" s="55">
        <f t="shared" si="1"/>
        <v>0.182231</v>
      </c>
      <c r="H31" t="s">
        <v>178</v>
      </c>
    </row>
    <row r="32" spans="1:8">
      <c r="A32" s="8" t="s">
        <v>179</v>
      </c>
      <c r="B32" s="11">
        <v>28</v>
      </c>
      <c r="C32" s="10" t="s">
        <v>18</v>
      </c>
      <c r="D32" s="181"/>
      <c r="E32" s="109">
        <v>210</v>
      </c>
      <c r="F32" s="54">
        <f>11.7927*1.3*1.1*1.1/5/450*B32</f>
        <v>0.23084341280000004</v>
      </c>
      <c r="G32" s="55">
        <f t="shared" si="1"/>
        <v>0.24238558344000005</v>
      </c>
      <c r="H32">
        <v>210</v>
      </c>
    </row>
    <row r="33" spans="1:8">
      <c r="A33" s="8" t="s">
        <v>180</v>
      </c>
      <c r="B33" s="11">
        <v>8</v>
      </c>
      <c r="C33" s="10" t="s">
        <v>18</v>
      </c>
      <c r="D33" s="181"/>
      <c r="E33" s="109" t="s">
        <v>181</v>
      </c>
      <c r="F33" s="54">
        <f>52.58*1.1/20/450*B33</f>
        <v>5.1411555555555558E-2</v>
      </c>
      <c r="G33" s="55">
        <f t="shared" si="1"/>
        <v>5.3982133333333335E-2</v>
      </c>
      <c r="H33" t="s">
        <v>182</v>
      </c>
    </row>
    <row r="34" spans="1:8">
      <c r="A34" s="8"/>
      <c r="B34" s="23"/>
      <c r="C34" s="24" t="s">
        <v>18</v>
      </c>
      <c r="D34" s="182"/>
      <c r="E34" s="109"/>
      <c r="F34" s="54"/>
      <c r="G34" s="55">
        <f t="shared" si="1"/>
        <v>0</v>
      </c>
    </row>
    <row r="35" spans="1:8">
      <c r="A35" s="77"/>
      <c r="B35" s="78"/>
      <c r="C35" s="79"/>
      <c r="D35" s="80"/>
      <c r="E35" s="116"/>
      <c r="F35" s="72"/>
      <c r="G35" s="73">
        <f>SUM(G30:G34)</f>
        <v>1.9905987167733334</v>
      </c>
    </row>
    <row r="36" spans="1:8">
      <c r="A36" s="17" t="s">
        <v>229</v>
      </c>
      <c r="B36" s="18"/>
      <c r="C36" s="18"/>
      <c r="D36" s="18"/>
      <c r="E36" s="18"/>
      <c r="F36" s="54"/>
      <c r="G36" s="54"/>
    </row>
    <row r="37" spans="1:8" ht="14.45" customHeight="1">
      <c r="A37" s="22" t="s">
        <v>230</v>
      </c>
      <c r="B37" s="23">
        <v>45</v>
      </c>
      <c r="C37" s="24" t="s">
        <v>18</v>
      </c>
      <c r="D37" s="176">
        <v>1</v>
      </c>
      <c r="E37" s="118">
        <v>494</v>
      </c>
      <c r="F37" s="84">
        <v>0.50049999999999994</v>
      </c>
      <c r="G37" s="55">
        <f t="shared" ref="G37:G38" si="2">F37*(1+$G$2)</f>
        <v>0.52552500000000002</v>
      </c>
      <c r="H37">
        <v>494</v>
      </c>
    </row>
    <row r="38" spans="1:8" ht="14.45" customHeight="1">
      <c r="A38" s="22" t="s">
        <v>231</v>
      </c>
      <c r="B38" s="23">
        <v>5</v>
      </c>
      <c r="C38" s="24" t="s">
        <v>18</v>
      </c>
      <c r="D38" s="177"/>
      <c r="E38" s="24"/>
      <c r="F38" s="117">
        <v>0.1028</v>
      </c>
      <c r="G38" s="55">
        <f t="shared" si="2"/>
        <v>0.10794000000000001</v>
      </c>
    </row>
    <row r="39" spans="1:8">
      <c r="A39" s="77"/>
      <c r="B39" s="78"/>
      <c r="C39" s="79"/>
      <c r="D39" s="80"/>
      <c r="E39" s="116"/>
      <c r="F39" s="72"/>
      <c r="G39" s="73">
        <f>SUM(G37:G38)</f>
        <v>0.63346500000000006</v>
      </c>
    </row>
    <row r="40" spans="1:8">
      <c r="A40" s="17" t="s">
        <v>232</v>
      </c>
      <c r="B40" s="18"/>
      <c r="C40" s="18"/>
      <c r="D40" s="18"/>
      <c r="E40" s="18"/>
      <c r="F40" s="54"/>
      <c r="G40" s="54"/>
    </row>
    <row r="41" spans="1:8">
      <c r="A41" s="22" t="s">
        <v>233</v>
      </c>
      <c r="B41" s="23">
        <v>40</v>
      </c>
      <c r="C41" s="24" t="s">
        <v>18</v>
      </c>
      <c r="D41" s="41">
        <v>1.2</v>
      </c>
      <c r="E41" s="41"/>
      <c r="F41" s="54">
        <v>0.14000000000000001</v>
      </c>
      <c r="G41" s="55">
        <f>F41*(1+$G$2)</f>
        <v>0.14700000000000002</v>
      </c>
    </row>
    <row r="42" spans="1:8">
      <c r="A42" s="77"/>
      <c r="B42" s="78"/>
      <c r="C42" s="79"/>
      <c r="D42" s="80"/>
      <c r="E42" s="116"/>
      <c r="F42" s="72"/>
      <c r="G42" s="73">
        <f>SUM(G41)</f>
        <v>0.14700000000000002</v>
      </c>
    </row>
    <row r="43" spans="1:8">
      <c r="A43" s="17" t="s">
        <v>234</v>
      </c>
      <c r="B43" s="18"/>
      <c r="C43" s="18"/>
      <c r="D43" s="18"/>
      <c r="E43" s="18"/>
      <c r="F43" s="54"/>
      <c r="G43" s="54"/>
    </row>
    <row r="44" spans="1:8">
      <c r="A44" s="22" t="s">
        <v>235</v>
      </c>
      <c r="B44" s="23">
        <v>1</v>
      </c>
      <c r="C44" s="24" t="s">
        <v>236</v>
      </c>
      <c r="D44" s="41">
        <v>1</v>
      </c>
      <c r="E44" s="41"/>
      <c r="F44" s="54"/>
      <c r="G44" s="55">
        <f>F44*(1+$G$2)</f>
        <v>0</v>
      </c>
    </row>
    <row r="45" spans="1:8">
      <c r="A45" s="77"/>
      <c r="B45" s="78"/>
      <c r="C45" s="79"/>
      <c r="D45" s="80"/>
      <c r="E45" s="116"/>
      <c r="F45" s="72"/>
      <c r="G45" s="73">
        <f>SUM(G44)</f>
        <v>0</v>
      </c>
    </row>
    <row r="46" spans="1:8">
      <c r="A46" s="17" t="s">
        <v>237</v>
      </c>
      <c r="B46" s="18"/>
      <c r="C46" s="18"/>
      <c r="D46" s="18"/>
      <c r="E46" s="18"/>
      <c r="F46" s="54"/>
      <c r="G46" s="54"/>
    </row>
    <row r="47" spans="1:8">
      <c r="A47" s="22" t="s">
        <v>238</v>
      </c>
      <c r="B47" s="23">
        <v>125</v>
      </c>
      <c r="C47" s="24" t="s">
        <v>18</v>
      </c>
      <c r="D47" s="176">
        <v>1</v>
      </c>
      <c r="E47" s="109" t="s">
        <v>239</v>
      </c>
      <c r="F47" s="83">
        <f>0.37*1.8</f>
        <v>0.66600000000000004</v>
      </c>
      <c r="G47" s="55">
        <f t="shared" ref="G47:G50" si="3">F47*(1+$G$2)</f>
        <v>0.69930000000000003</v>
      </c>
    </row>
    <row r="48" spans="1:8">
      <c r="A48" s="22"/>
      <c r="B48" s="23"/>
      <c r="C48" s="24" t="s">
        <v>18</v>
      </c>
      <c r="D48" s="179"/>
      <c r="E48" s="96"/>
      <c r="F48" s="54"/>
      <c r="G48" s="55">
        <f t="shared" si="3"/>
        <v>0</v>
      </c>
    </row>
    <row r="49" spans="1:7">
      <c r="A49" s="22"/>
      <c r="B49" s="23"/>
      <c r="C49" s="24" t="s">
        <v>18</v>
      </c>
      <c r="D49" s="179"/>
      <c r="E49" s="96"/>
      <c r="F49" s="54"/>
      <c r="G49" s="55">
        <f t="shared" si="3"/>
        <v>0</v>
      </c>
    </row>
    <row r="50" spans="1:7">
      <c r="A50" s="22"/>
      <c r="B50" s="23"/>
      <c r="C50" s="24"/>
      <c r="D50" s="177"/>
      <c r="E50" s="47"/>
      <c r="F50" s="54"/>
      <c r="G50" s="55">
        <f t="shared" si="3"/>
        <v>0</v>
      </c>
    </row>
    <row r="51" spans="1:7">
      <c r="A51" s="77"/>
      <c r="B51" s="78"/>
      <c r="C51" s="79"/>
      <c r="D51" s="80"/>
      <c r="E51" s="116"/>
      <c r="F51" s="72"/>
      <c r="G51" s="73">
        <f>SUM(G47:G50)</f>
        <v>0.69930000000000003</v>
      </c>
    </row>
  </sheetData>
  <mergeCells count="6">
    <mergeCell ref="D47:D50"/>
    <mergeCell ref="D4:D14"/>
    <mergeCell ref="D16:D19"/>
    <mergeCell ref="D30:D34"/>
    <mergeCell ref="D37:D38"/>
    <mergeCell ref="D23:D27"/>
  </mergeCells>
  <pageMargins left="0.7" right="0.7" top="0.75" bottom="0.75" header="0.3" footer="0.3"/>
  <pageSetup scale="8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A1BE-6B62-4501-9887-9C641B2B9C1D}">
  <dimension ref="A1:I108"/>
  <sheetViews>
    <sheetView zoomScale="130" zoomScaleNormal="130" workbookViewId="0">
      <selection activeCell="A26" sqref="A26:XFD26"/>
    </sheetView>
  </sheetViews>
  <sheetFormatPr defaultRowHeight="15"/>
  <cols>
    <col min="2" max="2" width="42.28515625" customWidth="1"/>
    <col min="3" max="3" width="7.42578125" customWidth="1"/>
    <col min="4" max="4" width="6.7109375" customWidth="1"/>
    <col min="5" max="5" width="42.7109375" customWidth="1"/>
    <col min="6" max="6" width="14.5703125" customWidth="1"/>
    <col min="7" max="7" width="15.5703125" customWidth="1"/>
  </cols>
  <sheetData>
    <row r="1" spans="1:9">
      <c r="A1" s="133"/>
      <c r="B1" s="125" t="s">
        <v>240</v>
      </c>
      <c r="C1" s="125"/>
      <c r="D1" s="125"/>
      <c r="E1" s="125"/>
    </row>
    <row r="2" spans="1:9" ht="17.25">
      <c r="A2" s="133"/>
      <c r="B2" s="119" t="s">
        <v>241</v>
      </c>
      <c r="C2" s="120" t="s">
        <v>140</v>
      </c>
      <c r="D2" s="120" t="s">
        <v>140</v>
      </c>
      <c r="E2" s="120" t="s">
        <v>140</v>
      </c>
    </row>
    <row r="3" spans="1:9" ht="27">
      <c r="A3" s="133"/>
      <c r="B3" s="121" t="s">
        <v>2</v>
      </c>
      <c r="C3" s="122" t="s">
        <v>3</v>
      </c>
      <c r="D3" s="122" t="s">
        <v>4</v>
      </c>
      <c r="E3" s="122" t="s">
        <v>242</v>
      </c>
      <c r="F3" s="70"/>
      <c r="G3" s="71">
        <v>0.05</v>
      </c>
    </row>
    <row r="4" spans="1:9">
      <c r="A4" s="133"/>
      <c r="B4" s="134" t="s">
        <v>243</v>
      </c>
      <c r="C4" s="135" t="s">
        <v>140</v>
      </c>
      <c r="D4" s="136" t="s">
        <v>140</v>
      </c>
      <c r="E4" s="137" t="s">
        <v>140</v>
      </c>
      <c r="F4" s="51" t="s">
        <v>7</v>
      </c>
      <c r="G4" s="52" t="s">
        <v>8</v>
      </c>
    </row>
    <row r="5" spans="1:9">
      <c r="A5" s="133"/>
      <c r="B5" s="138" t="s">
        <v>244</v>
      </c>
      <c r="C5" s="139">
        <v>1</v>
      </c>
      <c r="D5" s="140" t="s">
        <v>142</v>
      </c>
      <c r="E5" s="140" t="s">
        <v>140</v>
      </c>
      <c r="F5" s="54"/>
      <c r="G5" s="55">
        <f t="shared" ref="G5:G7" si="0">F5*(1+$G$3)</f>
        <v>0</v>
      </c>
    </row>
    <row r="6" spans="1:9">
      <c r="A6" s="133"/>
      <c r="B6" s="138" t="s">
        <v>245</v>
      </c>
      <c r="C6" s="140">
        <v>1</v>
      </c>
      <c r="D6" s="140" t="s">
        <v>142</v>
      </c>
      <c r="E6" s="140" t="s">
        <v>246</v>
      </c>
      <c r="F6" s="54"/>
      <c r="G6" s="55">
        <f t="shared" si="0"/>
        <v>0</v>
      </c>
    </row>
    <row r="7" spans="1:9">
      <c r="A7" s="133"/>
      <c r="B7" s="138" t="s">
        <v>247</v>
      </c>
      <c r="C7" s="140">
        <v>1</v>
      </c>
      <c r="D7" s="140" t="s">
        <v>142</v>
      </c>
      <c r="E7" s="140" t="s">
        <v>248</v>
      </c>
      <c r="F7" s="54"/>
      <c r="G7" s="55">
        <f t="shared" si="0"/>
        <v>0</v>
      </c>
    </row>
    <row r="8" spans="1:9">
      <c r="A8" s="133"/>
      <c r="B8" s="126"/>
      <c r="C8" s="127"/>
      <c r="D8" s="127"/>
      <c r="E8" s="127"/>
      <c r="F8" s="72"/>
      <c r="G8" s="72"/>
    </row>
    <row r="9" spans="1:9">
      <c r="A9" s="133"/>
      <c r="B9" s="134" t="s">
        <v>249</v>
      </c>
      <c r="C9" s="137" t="s">
        <v>140</v>
      </c>
      <c r="D9" s="137" t="s">
        <v>140</v>
      </c>
      <c r="E9" s="137" t="s">
        <v>140</v>
      </c>
      <c r="F9" s="54"/>
      <c r="G9" s="54"/>
    </row>
    <row r="10" spans="1:9">
      <c r="A10" s="133"/>
      <c r="B10" s="138" t="s">
        <v>250</v>
      </c>
      <c r="C10" s="140">
        <v>60</v>
      </c>
      <c r="D10" s="140" t="s">
        <v>251</v>
      </c>
      <c r="E10" s="140" t="s">
        <v>252</v>
      </c>
      <c r="F10" s="155">
        <f>17.8/0.98/450*C10</f>
        <v>2.4217687074829932</v>
      </c>
      <c r="G10" s="55">
        <f t="shared" ref="G10:G13" si="1">F10*(1+$G$3)</f>
        <v>2.5428571428571431</v>
      </c>
    </row>
    <row r="11" spans="1:9">
      <c r="A11" s="133"/>
      <c r="B11" s="138" t="s">
        <v>253</v>
      </c>
      <c r="C11" s="140">
        <v>10</v>
      </c>
      <c r="D11" s="140" t="s">
        <v>251</v>
      </c>
      <c r="E11" s="140" t="s">
        <v>140</v>
      </c>
      <c r="F11" s="54">
        <f>37.3/30/450*C11</f>
        <v>2.7629629629629629E-2</v>
      </c>
      <c r="G11" s="55">
        <f t="shared" si="1"/>
        <v>2.9011111111111113E-2</v>
      </c>
    </row>
    <row r="12" spans="1:9">
      <c r="A12" s="133"/>
      <c r="B12" s="138" t="s">
        <v>121</v>
      </c>
      <c r="C12" s="140">
        <v>3</v>
      </c>
      <c r="D12" s="140" t="s">
        <v>251</v>
      </c>
      <c r="E12" s="140" t="s">
        <v>140</v>
      </c>
      <c r="F12" s="53">
        <f>30.2/0.8*1.1/10/450*C12</f>
        <v>2.7683333333333338E-2</v>
      </c>
      <c r="G12" s="55">
        <f t="shared" si="1"/>
        <v>2.9067500000000007E-2</v>
      </c>
    </row>
    <row r="13" spans="1:9">
      <c r="A13" s="133"/>
      <c r="B13" s="138" t="s">
        <v>254</v>
      </c>
      <c r="C13" s="140" t="s">
        <v>255</v>
      </c>
      <c r="D13" s="140" t="s">
        <v>251</v>
      </c>
      <c r="E13" s="140" t="s">
        <v>256</v>
      </c>
      <c r="F13" s="54">
        <v>0.50560000000000005</v>
      </c>
      <c r="G13" s="55">
        <f t="shared" si="1"/>
        <v>0.53088000000000013</v>
      </c>
    </row>
    <row r="14" spans="1:9">
      <c r="A14" s="133"/>
      <c r="B14" s="126"/>
      <c r="C14" s="127"/>
      <c r="D14" s="127"/>
      <c r="E14" s="127"/>
      <c r="F14" s="72"/>
      <c r="G14" s="73">
        <f>SUM(G10:G13)</f>
        <v>3.1318157539682545</v>
      </c>
    </row>
    <row r="15" spans="1:9">
      <c r="A15" s="133"/>
      <c r="B15" s="134" t="s">
        <v>257</v>
      </c>
      <c r="C15" s="137" t="s">
        <v>140</v>
      </c>
      <c r="D15" s="137" t="s">
        <v>140</v>
      </c>
      <c r="E15" s="137" t="s">
        <v>140</v>
      </c>
      <c r="F15" s="54"/>
      <c r="G15" s="54"/>
    </row>
    <row r="16" spans="1:9">
      <c r="A16" s="133"/>
      <c r="B16" s="138" t="s">
        <v>258</v>
      </c>
      <c r="C16" s="140">
        <v>30</v>
      </c>
      <c r="D16" s="140" t="s">
        <v>251</v>
      </c>
      <c r="E16" s="140" t="s">
        <v>140</v>
      </c>
      <c r="F16" s="82">
        <f>H16*1.2/450*C16</f>
        <v>1.3039999999999998</v>
      </c>
      <c r="G16" s="55">
        <f t="shared" ref="G16:G19" si="2">F16*(1+$G$3)</f>
        <v>1.3692</v>
      </c>
      <c r="H16">
        <v>16.3</v>
      </c>
      <c r="I16" t="s">
        <v>76</v>
      </c>
    </row>
    <row r="17" spans="1:7">
      <c r="A17" s="133"/>
      <c r="B17" s="138" t="s">
        <v>122</v>
      </c>
      <c r="C17" s="140">
        <v>30</v>
      </c>
      <c r="D17" s="140" t="s">
        <v>251</v>
      </c>
      <c r="E17" s="140" t="s">
        <v>140</v>
      </c>
      <c r="F17" s="84">
        <v>8.6E-3</v>
      </c>
      <c r="G17" s="55">
        <f t="shared" si="2"/>
        <v>9.0299999999999998E-3</v>
      </c>
    </row>
    <row r="18" spans="1:7">
      <c r="A18" s="133"/>
      <c r="B18" s="138" t="s">
        <v>259</v>
      </c>
      <c r="C18" s="140">
        <v>10</v>
      </c>
      <c r="D18" s="140" t="s">
        <v>251</v>
      </c>
      <c r="E18" s="140" t="s">
        <v>140</v>
      </c>
      <c r="F18" s="54">
        <f>20/8/0.9/450*C18</f>
        <v>6.1728395061728392E-2</v>
      </c>
      <c r="G18" s="55">
        <f t="shared" si="2"/>
        <v>6.4814814814814811E-2</v>
      </c>
    </row>
    <row r="19" spans="1:7">
      <c r="A19" s="133"/>
      <c r="B19" s="138" t="s">
        <v>260</v>
      </c>
      <c r="C19" s="140" t="s">
        <v>255</v>
      </c>
      <c r="D19" s="140" t="s">
        <v>251</v>
      </c>
      <c r="E19" s="140" t="s">
        <v>261</v>
      </c>
      <c r="F19" s="54">
        <v>0.50560000000000005</v>
      </c>
      <c r="G19" s="55">
        <f t="shared" si="2"/>
        <v>0.53088000000000013</v>
      </c>
    </row>
    <row r="20" spans="1:7">
      <c r="A20" s="133"/>
      <c r="B20" s="126"/>
      <c r="C20" s="127"/>
      <c r="D20" s="127"/>
      <c r="E20" s="127"/>
      <c r="F20" s="72"/>
      <c r="G20" s="73">
        <f>SUM(G16:G19)</f>
        <v>1.973924814814815</v>
      </c>
    </row>
    <row r="21" spans="1:7">
      <c r="A21" s="133"/>
      <c r="B21" s="134" t="s">
        <v>262</v>
      </c>
      <c r="C21" s="137" t="s">
        <v>140</v>
      </c>
      <c r="D21" s="137" t="s">
        <v>140</v>
      </c>
      <c r="E21" s="137" t="s">
        <v>140</v>
      </c>
      <c r="F21" s="54"/>
      <c r="G21" s="54"/>
    </row>
    <row r="22" spans="1:7">
      <c r="A22" s="133"/>
      <c r="B22" s="138" t="s">
        <v>263</v>
      </c>
      <c r="C22" s="140">
        <v>40</v>
      </c>
      <c r="D22" s="140" t="s">
        <v>251</v>
      </c>
      <c r="E22" s="140" t="s">
        <v>140</v>
      </c>
      <c r="F22" s="55">
        <f>17.65/450*C22</f>
        <v>1.5688888888888888</v>
      </c>
      <c r="G22" s="55">
        <f t="shared" ref="G22:G26" si="3">F22*(1+$G$3)</f>
        <v>1.6473333333333333</v>
      </c>
    </row>
    <row r="23" spans="1:7">
      <c r="A23" s="133"/>
      <c r="B23" s="138" t="s">
        <v>264</v>
      </c>
      <c r="C23" s="140">
        <v>30</v>
      </c>
      <c r="D23" s="140" t="s">
        <v>251</v>
      </c>
      <c r="E23" s="140" t="s">
        <v>140</v>
      </c>
      <c r="F23" s="54">
        <f>138.81/17/450*C23</f>
        <v>0.54435294117647059</v>
      </c>
      <c r="G23" s="55">
        <f t="shared" si="3"/>
        <v>0.57157058823529416</v>
      </c>
    </row>
    <row r="24" spans="1:7">
      <c r="A24" s="133"/>
      <c r="B24" s="138" t="s">
        <v>121</v>
      </c>
      <c r="C24" s="140">
        <v>4</v>
      </c>
      <c r="D24" s="140" t="s">
        <v>251</v>
      </c>
      <c r="E24" s="140" t="s">
        <v>140</v>
      </c>
      <c r="F24" s="53">
        <f>30.2/0.8*1.1/10/450*C24</f>
        <v>3.6911111111111117E-2</v>
      </c>
      <c r="G24" s="55">
        <f t="shared" si="3"/>
        <v>3.8756666666666675E-2</v>
      </c>
    </row>
    <row r="25" spans="1:7">
      <c r="A25" s="133"/>
      <c r="B25" s="138" t="s">
        <v>122</v>
      </c>
      <c r="C25" s="140">
        <v>2</v>
      </c>
      <c r="D25" s="140" t="s">
        <v>265</v>
      </c>
      <c r="E25" s="140" t="s">
        <v>140</v>
      </c>
      <c r="F25" s="84">
        <v>8.6E-3</v>
      </c>
      <c r="G25" s="55">
        <f t="shared" si="3"/>
        <v>9.0299999999999998E-3</v>
      </c>
    </row>
    <row r="26" spans="1:7">
      <c r="A26" s="133"/>
      <c r="B26" s="138" t="s">
        <v>86</v>
      </c>
      <c r="C26" s="140">
        <v>30</v>
      </c>
      <c r="D26" s="140" t="s">
        <v>143</v>
      </c>
      <c r="E26" s="140" t="s">
        <v>140</v>
      </c>
      <c r="F26" s="85">
        <v>0.1701</v>
      </c>
      <c r="G26" s="55">
        <f t="shared" si="3"/>
        <v>0.17860500000000001</v>
      </c>
    </row>
    <row r="27" spans="1:7">
      <c r="A27" s="133"/>
      <c r="B27" s="138" t="s">
        <v>266</v>
      </c>
      <c r="C27" s="140">
        <v>100</v>
      </c>
      <c r="D27" s="140" t="s">
        <v>251</v>
      </c>
      <c r="E27" s="140" t="s">
        <v>140</v>
      </c>
      <c r="F27" s="54"/>
      <c r="G27" s="54"/>
    </row>
    <row r="28" spans="1:7">
      <c r="A28" s="133"/>
      <c r="B28" s="126"/>
      <c r="C28" s="127"/>
      <c r="D28" s="127"/>
      <c r="E28" s="127"/>
      <c r="F28" s="72"/>
      <c r="G28" s="73">
        <f>SUM(G22:G27)</f>
        <v>2.4452955882352945</v>
      </c>
    </row>
    <row r="29" spans="1:7">
      <c r="A29" s="133"/>
      <c r="B29" s="134" t="s">
        <v>267</v>
      </c>
      <c r="C29" s="137" t="s">
        <v>140</v>
      </c>
      <c r="D29" s="137" t="s">
        <v>140</v>
      </c>
      <c r="E29" s="137" t="s">
        <v>140</v>
      </c>
      <c r="F29" s="54"/>
      <c r="G29" s="54"/>
    </row>
    <row r="30" spans="1:7">
      <c r="A30" s="133"/>
      <c r="B30" s="138" t="s">
        <v>250</v>
      </c>
      <c r="C30" s="140">
        <v>30</v>
      </c>
      <c r="D30" s="140" t="s">
        <v>251</v>
      </c>
      <c r="E30" s="140" t="s">
        <v>140</v>
      </c>
      <c r="F30" s="155">
        <f>17.8/0.98/450*C30</f>
        <v>1.2108843537414966</v>
      </c>
      <c r="G30" s="55">
        <f t="shared" ref="G30:G35" si="4">F30*(1+$G$3)</f>
        <v>1.2714285714285716</v>
      </c>
    </row>
    <row r="31" spans="1:7">
      <c r="A31" s="133"/>
      <c r="B31" s="138" t="s">
        <v>268</v>
      </c>
      <c r="C31" s="140">
        <v>30</v>
      </c>
      <c r="D31" s="140" t="s">
        <v>251</v>
      </c>
      <c r="E31" s="140" t="s">
        <v>140</v>
      </c>
      <c r="F31" s="55">
        <v>0.40870000000000001</v>
      </c>
      <c r="G31" s="55">
        <f t="shared" si="4"/>
        <v>0.42913500000000004</v>
      </c>
    </row>
    <row r="32" spans="1:7">
      <c r="A32" s="133"/>
      <c r="B32" s="138" t="s">
        <v>121</v>
      </c>
      <c r="C32" s="140">
        <v>4</v>
      </c>
      <c r="D32" s="140" t="s">
        <v>251</v>
      </c>
      <c r="E32" s="140" t="s">
        <v>140</v>
      </c>
      <c r="F32" s="53">
        <f>30.2/0.8*1.1/10/450*C32</f>
        <v>3.6911111111111117E-2</v>
      </c>
      <c r="G32" s="55">
        <f t="shared" si="4"/>
        <v>3.8756666666666675E-2</v>
      </c>
    </row>
    <row r="33" spans="1:7">
      <c r="A33" s="133"/>
      <c r="B33" s="138" t="s">
        <v>269</v>
      </c>
      <c r="C33" s="140">
        <v>2</v>
      </c>
      <c r="D33" s="140" t="s">
        <v>142</v>
      </c>
      <c r="E33" s="140" t="s">
        <v>140</v>
      </c>
      <c r="F33" s="85">
        <v>0.15870000000000001</v>
      </c>
      <c r="G33" s="55">
        <f t="shared" si="4"/>
        <v>0.16663500000000001</v>
      </c>
    </row>
    <row r="34" spans="1:7">
      <c r="A34" s="133"/>
      <c r="B34" s="138" t="s">
        <v>270</v>
      </c>
      <c r="C34" s="140">
        <v>30</v>
      </c>
      <c r="D34" s="140" t="s">
        <v>251</v>
      </c>
      <c r="E34" s="140" t="s">
        <v>140</v>
      </c>
      <c r="F34" s="85">
        <v>0.1701</v>
      </c>
      <c r="G34" s="55">
        <f t="shared" si="4"/>
        <v>0.17860500000000001</v>
      </c>
    </row>
    <row r="35" spans="1:7">
      <c r="A35" s="133"/>
      <c r="B35" s="138" t="s">
        <v>266</v>
      </c>
      <c r="C35" s="140">
        <v>100</v>
      </c>
      <c r="D35" s="140" t="s">
        <v>251</v>
      </c>
      <c r="E35" s="140" t="s">
        <v>140</v>
      </c>
      <c r="F35" s="54"/>
      <c r="G35" s="55">
        <f t="shared" si="4"/>
        <v>0</v>
      </c>
    </row>
    <row r="36" spans="1:7">
      <c r="A36" s="133"/>
      <c r="B36" s="126"/>
      <c r="C36" s="127"/>
      <c r="D36" s="127"/>
      <c r="E36" s="127"/>
      <c r="F36" s="72"/>
      <c r="G36" s="73">
        <f>SUM(G30:G35)</f>
        <v>2.0845602380952384</v>
      </c>
    </row>
    <row r="37" spans="1:7">
      <c r="A37" s="133"/>
      <c r="B37" s="141" t="s">
        <v>271</v>
      </c>
      <c r="C37" s="142" t="s">
        <v>140</v>
      </c>
      <c r="D37" s="142" t="s">
        <v>140</v>
      </c>
      <c r="E37" s="142" t="s">
        <v>140</v>
      </c>
      <c r="F37" s="54"/>
      <c r="G37" s="54"/>
    </row>
    <row r="38" spans="1:7">
      <c r="A38" s="133"/>
      <c r="B38" s="138" t="s">
        <v>272</v>
      </c>
      <c r="C38" s="140">
        <v>1</v>
      </c>
      <c r="D38" s="140" t="s">
        <v>142</v>
      </c>
      <c r="E38" s="140" t="s">
        <v>140</v>
      </c>
      <c r="F38" s="85">
        <v>0.15</v>
      </c>
      <c r="G38" s="55">
        <f t="shared" ref="G38:G41" si="5">F38*(1+$G$3)</f>
        <v>0.1575</v>
      </c>
    </row>
    <row r="39" spans="1:7">
      <c r="A39" s="133"/>
      <c r="B39" s="138" t="s">
        <v>273</v>
      </c>
      <c r="C39" s="140">
        <v>1</v>
      </c>
      <c r="D39" s="140" t="s">
        <v>142</v>
      </c>
      <c r="E39" s="140" t="s">
        <v>246</v>
      </c>
      <c r="F39" s="54"/>
      <c r="G39" s="55">
        <f t="shared" si="5"/>
        <v>0</v>
      </c>
    </row>
    <row r="40" spans="1:7">
      <c r="A40" s="133"/>
      <c r="B40" s="138" t="s">
        <v>274</v>
      </c>
      <c r="C40" s="140">
        <v>1</v>
      </c>
      <c r="D40" s="140" t="s">
        <v>142</v>
      </c>
      <c r="E40" s="140" t="s">
        <v>248</v>
      </c>
      <c r="F40" s="54"/>
      <c r="G40" s="55">
        <f t="shared" si="5"/>
        <v>0</v>
      </c>
    </row>
    <row r="41" spans="1:7">
      <c r="A41" s="133"/>
      <c r="B41" s="138" t="s">
        <v>275</v>
      </c>
      <c r="C41" s="140">
        <v>1</v>
      </c>
      <c r="D41" s="140" t="s">
        <v>142</v>
      </c>
      <c r="E41" s="140" t="s">
        <v>140</v>
      </c>
      <c r="F41" s="54"/>
      <c r="G41" s="55">
        <f t="shared" si="5"/>
        <v>0</v>
      </c>
    </row>
    <row r="42" spans="1:7">
      <c r="A42" s="133"/>
      <c r="B42" s="126"/>
      <c r="C42" s="127"/>
      <c r="D42" s="127"/>
      <c r="E42" s="127"/>
      <c r="F42" s="72"/>
      <c r="G42" s="73">
        <f>SUM(G38:G41)</f>
        <v>0.1575</v>
      </c>
    </row>
    <row r="43" spans="1:7">
      <c r="A43" s="133"/>
      <c r="B43" s="134" t="s">
        <v>276</v>
      </c>
      <c r="C43" s="137" t="s">
        <v>140</v>
      </c>
      <c r="D43" s="137" t="s">
        <v>140</v>
      </c>
      <c r="E43" s="137" t="s">
        <v>140</v>
      </c>
      <c r="F43" s="54"/>
      <c r="G43" s="54"/>
    </row>
    <row r="44" spans="1:7">
      <c r="A44" s="133"/>
      <c r="B44" s="138" t="s">
        <v>272</v>
      </c>
      <c r="C44" s="140">
        <v>1</v>
      </c>
      <c r="D44" s="140" t="s">
        <v>142</v>
      </c>
      <c r="E44" s="140" t="s">
        <v>140</v>
      </c>
      <c r="F44" s="85">
        <v>0.15</v>
      </c>
      <c r="G44" s="55">
        <f t="shared" ref="G44:G47" si="6">F44*(1+$G$3)</f>
        <v>0.1575</v>
      </c>
    </row>
    <row r="45" spans="1:7">
      <c r="A45" s="133"/>
      <c r="B45" s="138" t="s">
        <v>273</v>
      </c>
      <c r="C45" s="140">
        <v>1</v>
      </c>
      <c r="D45" s="140" t="s">
        <v>142</v>
      </c>
      <c r="E45" s="140" t="s">
        <v>246</v>
      </c>
      <c r="F45" s="54"/>
      <c r="G45" s="55">
        <f t="shared" si="6"/>
        <v>0</v>
      </c>
    </row>
    <row r="46" spans="1:7">
      <c r="A46" s="133"/>
      <c r="B46" s="138" t="s">
        <v>274</v>
      </c>
      <c r="C46" s="140">
        <v>1</v>
      </c>
      <c r="D46" s="140" t="s">
        <v>142</v>
      </c>
      <c r="E46" s="140" t="s">
        <v>248</v>
      </c>
      <c r="F46" s="54"/>
      <c r="G46" s="55">
        <f t="shared" si="6"/>
        <v>0</v>
      </c>
    </row>
    <row r="47" spans="1:7">
      <c r="A47" s="133"/>
      <c r="B47" s="138" t="s">
        <v>275</v>
      </c>
      <c r="C47" s="143">
        <v>1</v>
      </c>
      <c r="D47" s="143" t="s">
        <v>142</v>
      </c>
      <c r="E47" s="140" t="s">
        <v>140</v>
      </c>
      <c r="F47" s="54"/>
      <c r="G47" s="55">
        <f t="shared" si="6"/>
        <v>0</v>
      </c>
    </row>
    <row r="48" spans="1:7">
      <c r="A48" s="133"/>
      <c r="B48" s="126"/>
      <c r="C48" s="127"/>
      <c r="D48" s="127"/>
      <c r="E48" s="127"/>
      <c r="F48" s="72"/>
      <c r="G48" s="73">
        <f>SUM(G44:G47)</f>
        <v>0.1575</v>
      </c>
    </row>
    <row r="49" spans="1:7">
      <c r="A49" s="133"/>
      <c r="B49" s="134" t="s">
        <v>277</v>
      </c>
      <c r="C49" s="142" t="s">
        <v>140</v>
      </c>
      <c r="D49" s="142" t="s">
        <v>140</v>
      </c>
      <c r="E49" s="137" t="s">
        <v>140</v>
      </c>
      <c r="F49" s="54"/>
      <c r="G49" s="54"/>
    </row>
    <row r="50" spans="1:7">
      <c r="A50" s="133"/>
      <c r="B50" s="138" t="s">
        <v>222</v>
      </c>
      <c r="C50" s="140">
        <v>10</v>
      </c>
      <c r="D50" s="140" t="s">
        <v>143</v>
      </c>
      <c r="E50" s="140" t="s">
        <v>140</v>
      </c>
      <c r="F50" s="85">
        <f>46.75/0.9/12/450*C50</f>
        <v>9.6193415637860075E-2</v>
      </c>
      <c r="G50" s="55">
        <f t="shared" ref="G50:G53" si="7">F50*(1+$G$3)</f>
        <v>0.10100308641975309</v>
      </c>
    </row>
    <row r="51" spans="1:7">
      <c r="A51" s="133"/>
      <c r="B51" s="138" t="s">
        <v>223</v>
      </c>
      <c r="C51" s="140">
        <v>15</v>
      </c>
      <c r="D51" s="140" t="s">
        <v>143</v>
      </c>
      <c r="E51" s="140" t="s">
        <v>140</v>
      </c>
      <c r="F51" s="54"/>
      <c r="G51" s="55">
        <f t="shared" si="7"/>
        <v>0</v>
      </c>
    </row>
    <row r="52" spans="1:7">
      <c r="A52" s="133"/>
      <c r="B52" s="138" t="s">
        <v>225</v>
      </c>
      <c r="C52" s="140">
        <v>15</v>
      </c>
      <c r="D52" s="140" t="s">
        <v>143</v>
      </c>
      <c r="E52" s="140" t="s">
        <v>140</v>
      </c>
      <c r="F52" s="54">
        <f>12/10/0.8/450*C52</f>
        <v>4.9999999999999989E-2</v>
      </c>
      <c r="G52" s="55">
        <f t="shared" si="7"/>
        <v>5.2499999999999991E-2</v>
      </c>
    </row>
    <row r="53" spans="1:7">
      <c r="A53" s="133"/>
      <c r="B53" s="138" t="s">
        <v>226</v>
      </c>
      <c r="C53" s="140">
        <v>15</v>
      </c>
      <c r="D53" s="140" t="s">
        <v>143</v>
      </c>
      <c r="E53" s="140" t="s">
        <v>140</v>
      </c>
      <c r="F53" s="54">
        <f>37.34/0.9/10/450*C53</f>
        <v>0.13829629629629631</v>
      </c>
      <c r="G53" s="55">
        <f t="shared" si="7"/>
        <v>0.14521111111111112</v>
      </c>
    </row>
    <row r="54" spans="1:7">
      <c r="A54" s="133"/>
      <c r="B54" s="126"/>
      <c r="C54" s="127"/>
      <c r="D54" s="127"/>
      <c r="E54" s="127"/>
      <c r="F54" s="72"/>
      <c r="G54" s="73">
        <f>SUM(G50:G53)</f>
        <v>0.2987141975308642</v>
      </c>
    </row>
    <row r="55" spans="1:7">
      <c r="A55" s="133"/>
      <c r="B55" s="134" t="s">
        <v>278</v>
      </c>
      <c r="C55" s="137" t="s">
        <v>140</v>
      </c>
      <c r="D55" s="137" t="s">
        <v>140</v>
      </c>
      <c r="E55" s="137" t="s">
        <v>140</v>
      </c>
      <c r="F55" s="54"/>
      <c r="G55" s="54"/>
    </row>
    <row r="56" spans="1:7">
      <c r="A56" s="133"/>
      <c r="B56" s="138" t="s">
        <v>222</v>
      </c>
      <c r="C56" s="140">
        <v>10</v>
      </c>
      <c r="D56" s="140" t="s">
        <v>143</v>
      </c>
      <c r="E56" s="140" t="s">
        <v>140</v>
      </c>
      <c r="F56" s="85">
        <f>46.75/0.9/12/450*C56</f>
        <v>9.6193415637860075E-2</v>
      </c>
      <c r="G56" s="55">
        <f t="shared" ref="G56:G59" si="8">F56*(1+$G$3)</f>
        <v>0.10100308641975309</v>
      </c>
    </row>
    <row r="57" spans="1:7">
      <c r="A57" s="133"/>
      <c r="B57" s="138" t="s">
        <v>223</v>
      </c>
      <c r="C57" s="140">
        <v>15</v>
      </c>
      <c r="D57" s="140" t="s">
        <v>143</v>
      </c>
      <c r="E57" s="140" t="s">
        <v>140</v>
      </c>
      <c r="F57" s="54"/>
      <c r="G57" s="55">
        <f t="shared" si="8"/>
        <v>0</v>
      </c>
    </row>
    <row r="58" spans="1:7">
      <c r="A58" s="133"/>
      <c r="B58" s="138" t="s">
        <v>225</v>
      </c>
      <c r="C58" s="140">
        <v>15</v>
      </c>
      <c r="D58" s="140" t="s">
        <v>143</v>
      </c>
      <c r="E58" s="140" t="s">
        <v>140</v>
      </c>
      <c r="F58" s="54">
        <f>12/10/0.8/450*C58</f>
        <v>4.9999999999999989E-2</v>
      </c>
      <c r="G58" s="55">
        <f t="shared" si="8"/>
        <v>5.2499999999999991E-2</v>
      </c>
    </row>
    <row r="59" spans="1:7">
      <c r="A59" s="133"/>
      <c r="B59" s="138" t="s">
        <v>226</v>
      </c>
      <c r="C59" s="140">
        <v>15</v>
      </c>
      <c r="D59" s="140" t="s">
        <v>143</v>
      </c>
      <c r="E59" s="140" t="s">
        <v>140</v>
      </c>
      <c r="F59" s="54">
        <f>37.34/0.9/10/450*C59</f>
        <v>0.13829629629629631</v>
      </c>
      <c r="G59" s="55">
        <f t="shared" si="8"/>
        <v>0.14521111111111112</v>
      </c>
    </row>
    <row r="60" spans="1:7">
      <c r="A60" s="133"/>
      <c r="B60" s="126"/>
      <c r="C60" s="127"/>
      <c r="D60" s="127"/>
      <c r="E60" s="127"/>
      <c r="F60" s="72"/>
      <c r="G60" s="73">
        <f>SUM(G56:G59)</f>
        <v>0.2987141975308642</v>
      </c>
    </row>
    <row r="61" spans="1:7">
      <c r="A61" s="133"/>
      <c r="B61" s="134" t="s">
        <v>279</v>
      </c>
      <c r="C61" s="137" t="s">
        <v>140</v>
      </c>
      <c r="D61" s="137" t="s">
        <v>140</v>
      </c>
      <c r="E61" s="137" t="s">
        <v>140</v>
      </c>
      <c r="F61" s="54"/>
      <c r="G61" s="54"/>
    </row>
    <row r="62" spans="1:7">
      <c r="A62" s="133"/>
      <c r="B62" s="131" t="s">
        <v>52</v>
      </c>
      <c r="C62" s="132">
        <v>90</v>
      </c>
      <c r="D62" s="132" t="s">
        <v>143</v>
      </c>
      <c r="E62" s="132" t="s">
        <v>280</v>
      </c>
      <c r="F62" s="54">
        <f>45.3549*1.3*1.1*1.1/5/450*C62</f>
        <v>2.8537303080000012</v>
      </c>
      <c r="G62" s="55">
        <f t="shared" ref="G62:G66" si="9">F62*(1+$G$3)</f>
        <v>2.9964168234000015</v>
      </c>
    </row>
    <row r="63" spans="1:7">
      <c r="A63" s="133"/>
      <c r="B63" s="131" t="s">
        <v>53</v>
      </c>
      <c r="C63" s="132">
        <v>42</v>
      </c>
      <c r="D63" s="132" t="s">
        <v>143</v>
      </c>
      <c r="E63" s="132" t="s">
        <v>140</v>
      </c>
      <c r="F63" s="54">
        <f>5.5787*1.3*1.1*1.1/2/450*C63</f>
        <v>0.4095137713333335</v>
      </c>
      <c r="G63" s="55">
        <f t="shared" si="9"/>
        <v>0.4299894599000002</v>
      </c>
    </row>
    <row r="64" spans="1:7">
      <c r="A64" s="133"/>
      <c r="B64" s="131" t="s">
        <v>54</v>
      </c>
      <c r="C64" s="132">
        <v>14</v>
      </c>
      <c r="D64" s="132" t="s">
        <v>143</v>
      </c>
      <c r="E64" s="132" t="s">
        <v>140</v>
      </c>
      <c r="F64" s="54">
        <f>19.824*1.3*1.1*1.1/5/450*C64</f>
        <v>0.19402850133333341</v>
      </c>
      <c r="G64" s="55">
        <f t="shared" si="9"/>
        <v>0.20372992640000009</v>
      </c>
    </row>
    <row r="65" spans="1:7">
      <c r="A65" s="133"/>
      <c r="B65" s="131" t="s">
        <v>55</v>
      </c>
      <c r="C65" s="132">
        <v>56</v>
      </c>
      <c r="D65" s="132" t="s">
        <v>143</v>
      </c>
      <c r="E65" s="132" t="s">
        <v>140</v>
      </c>
      <c r="F65" s="54">
        <f>6.3378*1.3*1.1*1.1/3/450*C65</f>
        <v>0.41354379733333335</v>
      </c>
      <c r="G65" s="55">
        <f t="shared" si="9"/>
        <v>0.43422098720000002</v>
      </c>
    </row>
    <row r="66" spans="1:7">
      <c r="A66" s="133"/>
      <c r="B66" s="131" t="s">
        <v>56</v>
      </c>
      <c r="C66" s="132">
        <v>1</v>
      </c>
      <c r="D66" s="132" t="s">
        <v>143</v>
      </c>
      <c r="E66" s="132" t="s">
        <v>140</v>
      </c>
      <c r="F66" s="54">
        <f>34.92/10/0.6/450*C66</f>
        <v>1.2933333333333333E-2</v>
      </c>
      <c r="G66" s="55">
        <f t="shared" si="9"/>
        <v>1.358E-2</v>
      </c>
    </row>
    <row r="67" spans="1:7">
      <c r="A67" s="133"/>
      <c r="B67" s="126"/>
      <c r="C67" s="127"/>
      <c r="D67" s="127"/>
      <c r="E67" s="127"/>
      <c r="F67" s="72"/>
      <c r="G67" s="73">
        <f>SUM(G62:G66)</f>
        <v>4.0779371969000016</v>
      </c>
    </row>
    <row r="68" spans="1:7">
      <c r="A68" s="133"/>
      <c r="B68" s="134" t="s">
        <v>281</v>
      </c>
      <c r="C68" s="137" t="s">
        <v>140</v>
      </c>
      <c r="D68" s="137" t="s">
        <v>140</v>
      </c>
      <c r="E68" s="137" t="s">
        <v>140</v>
      </c>
      <c r="F68" s="54"/>
      <c r="G68" s="54"/>
    </row>
    <row r="69" spans="1:7">
      <c r="A69" s="133"/>
      <c r="B69" s="131" t="s">
        <v>52</v>
      </c>
      <c r="C69" s="132">
        <v>90</v>
      </c>
      <c r="D69" s="132" t="s">
        <v>143</v>
      </c>
      <c r="E69" s="132" t="s">
        <v>282</v>
      </c>
      <c r="F69" s="54">
        <f>45.3549*1.3*1.1*1.1/5/450*C69</f>
        <v>2.8537303080000012</v>
      </c>
      <c r="G69" s="55">
        <f t="shared" ref="G69:G73" si="10">F69*(1+$G$3)</f>
        <v>2.9964168234000015</v>
      </c>
    </row>
    <row r="70" spans="1:7">
      <c r="A70" s="133"/>
      <c r="B70" s="131" t="s">
        <v>53</v>
      </c>
      <c r="C70" s="132">
        <v>42</v>
      </c>
      <c r="D70" s="132" t="s">
        <v>143</v>
      </c>
      <c r="E70" s="132" t="s">
        <v>140</v>
      </c>
      <c r="F70" s="54">
        <f>5.5787*1.3*1.1*1.1/2/450*C70</f>
        <v>0.4095137713333335</v>
      </c>
      <c r="G70" s="55">
        <f t="shared" si="10"/>
        <v>0.4299894599000002</v>
      </c>
    </row>
    <row r="71" spans="1:7">
      <c r="A71" s="133"/>
      <c r="B71" s="131" t="s">
        <v>54</v>
      </c>
      <c r="C71" s="132">
        <v>14</v>
      </c>
      <c r="D71" s="132" t="s">
        <v>143</v>
      </c>
      <c r="E71" s="132" t="s">
        <v>140</v>
      </c>
      <c r="F71" s="54">
        <f>19.824*1.3*1.1*1.1/5/450*C71</f>
        <v>0.19402850133333341</v>
      </c>
      <c r="G71" s="55">
        <f t="shared" si="10"/>
        <v>0.20372992640000009</v>
      </c>
    </row>
    <row r="72" spans="1:7">
      <c r="A72" s="133"/>
      <c r="B72" s="131" t="s">
        <v>55</v>
      </c>
      <c r="C72" s="132">
        <v>56</v>
      </c>
      <c r="D72" s="132" t="s">
        <v>143</v>
      </c>
      <c r="E72" s="132" t="s">
        <v>140</v>
      </c>
      <c r="F72" s="54">
        <f>6.3378*1.3*1.1*1.1/3/450*C72</f>
        <v>0.41354379733333335</v>
      </c>
      <c r="G72" s="55">
        <f t="shared" si="10"/>
        <v>0.43422098720000002</v>
      </c>
    </row>
    <row r="73" spans="1:7">
      <c r="A73" s="133"/>
      <c r="B73" s="131" t="s">
        <v>56</v>
      </c>
      <c r="C73" s="132">
        <v>1</v>
      </c>
      <c r="D73" s="132" t="s">
        <v>143</v>
      </c>
      <c r="E73" s="132" t="s">
        <v>140</v>
      </c>
      <c r="F73" s="54">
        <f>34.92/10/0.6/450*C73</f>
        <v>1.2933333333333333E-2</v>
      </c>
      <c r="G73" s="55">
        <f t="shared" si="10"/>
        <v>1.358E-2</v>
      </c>
    </row>
    <row r="74" spans="1:7">
      <c r="A74" s="133"/>
      <c r="B74" s="126"/>
      <c r="C74" s="127"/>
      <c r="D74" s="127"/>
      <c r="E74" s="127"/>
      <c r="F74" s="72"/>
      <c r="G74" s="73">
        <f>SUM(G69:G73)</f>
        <v>4.0779371969000016</v>
      </c>
    </row>
    <row r="75" spans="1:7">
      <c r="A75" s="133"/>
      <c r="B75" s="134" t="s">
        <v>283</v>
      </c>
      <c r="C75" s="137" t="s">
        <v>140</v>
      </c>
      <c r="D75" s="137" t="s">
        <v>140</v>
      </c>
      <c r="E75" s="137" t="s">
        <v>140</v>
      </c>
      <c r="F75" s="54"/>
      <c r="G75" s="54"/>
    </row>
    <row r="76" spans="1:7">
      <c r="A76" s="133"/>
      <c r="B76" s="131" t="s">
        <v>65</v>
      </c>
      <c r="C76" s="132">
        <v>90</v>
      </c>
      <c r="D76" s="132" t="s">
        <v>143</v>
      </c>
      <c r="E76" s="132" t="s">
        <v>140</v>
      </c>
      <c r="F76" s="54">
        <f>70.6536*1.3*1.1*1.1/4.77/450*C76</f>
        <v>4.6598789433962278</v>
      </c>
      <c r="G76" s="55">
        <f t="shared" ref="G76:G80" si="11">F76*(1+$G$3)</f>
        <v>4.8928728905660392</v>
      </c>
    </row>
    <row r="77" spans="1:7">
      <c r="A77" s="133"/>
      <c r="B77" s="131" t="s">
        <v>67</v>
      </c>
      <c r="C77" s="132">
        <v>28</v>
      </c>
      <c r="D77" s="132" t="s">
        <v>143</v>
      </c>
      <c r="E77" s="132" t="s">
        <v>140</v>
      </c>
      <c r="F77" s="54">
        <f>3.174*1.3*1.1*1.1/450*C77</f>
        <v>0.3106570133333334</v>
      </c>
      <c r="G77" s="55">
        <f t="shared" si="11"/>
        <v>0.32618986400000011</v>
      </c>
    </row>
    <row r="78" spans="1:7">
      <c r="A78" s="133"/>
      <c r="B78" s="131" t="s">
        <v>68</v>
      </c>
      <c r="C78" s="132">
        <v>56</v>
      </c>
      <c r="D78" s="132" t="s">
        <v>143</v>
      </c>
      <c r="E78" s="132" t="s">
        <v>140</v>
      </c>
      <c r="F78" s="54">
        <f>11.8521*1.3*1.1*1.5/5/450*C78</f>
        <v>0.63274411200000014</v>
      </c>
      <c r="G78" s="55">
        <f t="shared" si="11"/>
        <v>0.66438131760000019</v>
      </c>
    </row>
    <row r="79" spans="1:7">
      <c r="A79" s="133"/>
      <c r="B79" s="131" t="s">
        <v>62</v>
      </c>
      <c r="C79" s="132">
        <v>42</v>
      </c>
      <c r="D79" s="132" t="s">
        <v>143</v>
      </c>
      <c r="E79" s="132" t="s">
        <v>140</v>
      </c>
      <c r="F79" s="54">
        <f>1.9835*1.3*1.1*1.1/2/450*C79</f>
        <v>0.14560212333333336</v>
      </c>
      <c r="G79" s="55">
        <f t="shared" si="11"/>
        <v>0.15288222950000002</v>
      </c>
    </row>
    <row r="80" spans="1:7">
      <c r="A80" s="133"/>
      <c r="B80" s="131" t="s">
        <v>69</v>
      </c>
      <c r="C80" s="132">
        <v>14</v>
      </c>
      <c r="D80" s="132" t="s">
        <v>143</v>
      </c>
      <c r="E80" s="132" t="s">
        <v>140</v>
      </c>
      <c r="F80" s="54">
        <f>6.9654*1.3*1.1*1.2/2/450*C80</f>
        <v>0.18592974400000001</v>
      </c>
      <c r="G80" s="55">
        <f t="shared" si="11"/>
        <v>0.19522623120000002</v>
      </c>
    </row>
    <row r="81" spans="1:7">
      <c r="A81" s="133"/>
      <c r="B81" s="126"/>
      <c r="C81" s="127"/>
      <c r="D81" s="127"/>
      <c r="E81" s="127"/>
      <c r="F81" s="72"/>
      <c r="G81" s="73">
        <f>SUM(G76:G80)</f>
        <v>6.2315525328660399</v>
      </c>
    </row>
    <row r="82" spans="1:7">
      <c r="A82" s="133"/>
      <c r="B82" s="134" t="s">
        <v>284</v>
      </c>
      <c r="C82" s="137" t="s">
        <v>140</v>
      </c>
      <c r="D82" s="137" t="s">
        <v>140</v>
      </c>
      <c r="E82" s="137" t="s">
        <v>140</v>
      </c>
      <c r="F82" s="54"/>
      <c r="G82" s="54"/>
    </row>
    <row r="83" spans="1:7">
      <c r="A83" s="133"/>
      <c r="B83" s="131" t="s">
        <v>65</v>
      </c>
      <c r="C83" s="132">
        <v>90</v>
      </c>
      <c r="D83" s="132" t="s">
        <v>143</v>
      </c>
      <c r="E83" s="132" t="s">
        <v>140</v>
      </c>
      <c r="F83" s="54">
        <f>70.6536*1.3*1.1*1.1/4.77/450*C83</f>
        <v>4.6598789433962278</v>
      </c>
      <c r="G83" s="55">
        <f t="shared" ref="G83:G87" si="12">F83*(1+$G$3)</f>
        <v>4.8928728905660392</v>
      </c>
    </row>
    <row r="84" spans="1:7">
      <c r="A84" s="133"/>
      <c r="B84" s="131" t="s">
        <v>67</v>
      </c>
      <c r="C84" s="132">
        <v>28</v>
      </c>
      <c r="D84" s="132" t="s">
        <v>143</v>
      </c>
      <c r="E84" s="132" t="s">
        <v>140</v>
      </c>
      <c r="F84" s="54">
        <f>3.174*1.3*1.1*1.1/450*C84</f>
        <v>0.3106570133333334</v>
      </c>
      <c r="G84" s="55">
        <f t="shared" si="12"/>
        <v>0.32618986400000011</v>
      </c>
    </row>
    <row r="85" spans="1:7">
      <c r="A85" s="133"/>
      <c r="B85" s="131" t="s">
        <v>68</v>
      </c>
      <c r="C85" s="132">
        <v>56</v>
      </c>
      <c r="D85" s="132" t="s">
        <v>143</v>
      </c>
      <c r="E85" s="132" t="s">
        <v>140</v>
      </c>
      <c r="F85" s="54">
        <f>11.8521*1.3*1.1*1.5/5/450*C85</f>
        <v>0.63274411200000014</v>
      </c>
      <c r="G85" s="55">
        <f t="shared" si="12"/>
        <v>0.66438131760000019</v>
      </c>
    </row>
    <row r="86" spans="1:7">
      <c r="A86" s="133"/>
      <c r="B86" s="131" t="s">
        <v>62</v>
      </c>
      <c r="C86" s="132">
        <v>42</v>
      </c>
      <c r="D86" s="132" t="s">
        <v>143</v>
      </c>
      <c r="E86" s="132" t="s">
        <v>140</v>
      </c>
      <c r="F86" s="54">
        <f>1.9835*1.3*1.1*1.1/2/450*C86</f>
        <v>0.14560212333333336</v>
      </c>
      <c r="G86" s="55">
        <f t="shared" si="12"/>
        <v>0.15288222950000002</v>
      </c>
    </row>
    <row r="87" spans="1:7">
      <c r="A87" s="133"/>
      <c r="B87" s="131" t="s">
        <v>69</v>
      </c>
      <c r="C87" s="132">
        <v>14</v>
      </c>
      <c r="D87" s="132" t="s">
        <v>143</v>
      </c>
      <c r="E87" s="132" t="s">
        <v>140</v>
      </c>
      <c r="F87" s="54">
        <f>6.9654*1.3*1.1*1.2/2/450*C87</f>
        <v>0.18592974400000001</v>
      </c>
      <c r="G87" s="55">
        <f t="shared" si="12"/>
        <v>0.19522623120000002</v>
      </c>
    </row>
    <row r="88" spans="1:7">
      <c r="A88" s="133"/>
      <c r="B88" s="126"/>
      <c r="C88" s="127"/>
      <c r="D88" s="127"/>
      <c r="E88" s="127"/>
      <c r="F88" s="72"/>
      <c r="G88" s="73">
        <f>SUM(G83:G87)</f>
        <v>6.2315525328660399</v>
      </c>
    </row>
    <row r="89" spans="1:7">
      <c r="A89" s="133"/>
      <c r="B89" s="134" t="s">
        <v>285</v>
      </c>
      <c r="C89" s="137" t="s">
        <v>140</v>
      </c>
      <c r="D89" s="137" t="s">
        <v>140</v>
      </c>
      <c r="E89" s="137" t="s">
        <v>140</v>
      </c>
      <c r="F89" s="54"/>
      <c r="G89" s="54"/>
    </row>
    <row r="90" spans="1:7">
      <c r="A90" s="133"/>
      <c r="B90" s="126" t="s">
        <v>244</v>
      </c>
      <c r="C90" s="127">
        <v>1</v>
      </c>
      <c r="D90" s="127" t="s">
        <v>142</v>
      </c>
      <c r="E90" s="127" t="s">
        <v>140</v>
      </c>
      <c r="F90" s="54"/>
      <c r="G90" s="55">
        <f t="shared" ref="G90:G94" si="13">F90*(1+$G$3)</f>
        <v>0</v>
      </c>
    </row>
    <row r="91" spans="1:7">
      <c r="A91" s="133"/>
      <c r="B91" s="126" t="s">
        <v>286</v>
      </c>
      <c r="C91" s="127">
        <v>1</v>
      </c>
      <c r="D91" s="127" t="s">
        <v>142</v>
      </c>
      <c r="E91" s="127" t="s">
        <v>287</v>
      </c>
      <c r="F91" s="54"/>
      <c r="G91" s="55">
        <f t="shared" si="13"/>
        <v>0</v>
      </c>
    </row>
    <row r="92" spans="1:7">
      <c r="A92" s="133"/>
      <c r="B92" s="126" t="s">
        <v>288</v>
      </c>
      <c r="C92" s="127">
        <v>1</v>
      </c>
      <c r="D92" s="127" t="s">
        <v>142</v>
      </c>
      <c r="E92" s="127" t="s">
        <v>289</v>
      </c>
      <c r="F92" s="54"/>
      <c r="G92" s="55">
        <f t="shared" si="13"/>
        <v>0</v>
      </c>
    </row>
    <row r="93" spans="1:7">
      <c r="A93" s="133"/>
      <c r="B93" s="126" t="s">
        <v>274</v>
      </c>
      <c r="C93" s="127">
        <v>2</v>
      </c>
      <c r="D93" s="127" t="s">
        <v>142</v>
      </c>
      <c r="E93" s="127" t="s">
        <v>290</v>
      </c>
      <c r="F93" s="54"/>
      <c r="G93" s="55">
        <f t="shared" si="13"/>
        <v>0</v>
      </c>
    </row>
    <row r="94" spans="1:7">
      <c r="A94" s="133"/>
      <c r="B94" s="126" t="s">
        <v>245</v>
      </c>
      <c r="C94" s="127">
        <v>1</v>
      </c>
      <c r="D94" s="127" t="s">
        <v>142</v>
      </c>
      <c r="E94" s="127" t="s">
        <v>291</v>
      </c>
      <c r="F94" s="54"/>
      <c r="G94" s="55">
        <f t="shared" si="13"/>
        <v>0</v>
      </c>
    </row>
    <row r="95" spans="1:7">
      <c r="A95" s="133"/>
      <c r="B95" s="126"/>
      <c r="C95" s="127"/>
      <c r="D95" s="127"/>
      <c r="E95" s="127"/>
      <c r="F95" s="72"/>
      <c r="G95" s="72"/>
    </row>
    <row r="96" spans="1:7">
      <c r="A96" s="133"/>
      <c r="B96" s="134" t="s">
        <v>292</v>
      </c>
      <c r="C96" s="137" t="s">
        <v>140</v>
      </c>
      <c r="D96" s="137" t="s">
        <v>140</v>
      </c>
      <c r="E96" s="137" t="s">
        <v>140</v>
      </c>
      <c r="F96" s="54"/>
      <c r="G96" s="54"/>
    </row>
    <row r="97" spans="1:8">
      <c r="A97" s="133"/>
      <c r="B97" s="126" t="s">
        <v>293</v>
      </c>
      <c r="C97" s="127">
        <v>100</v>
      </c>
      <c r="D97" s="127" t="s">
        <v>143</v>
      </c>
      <c r="E97" s="127" t="s">
        <v>140</v>
      </c>
      <c r="F97" s="54">
        <f>74.95*1.1/15/450*C97</f>
        <v>1.2214074074074075</v>
      </c>
      <c r="G97" s="55">
        <f t="shared" ref="G97:G100" si="14">F97*(1+$G$3)</f>
        <v>1.2824777777777778</v>
      </c>
    </row>
    <row r="98" spans="1:8">
      <c r="A98" s="133"/>
      <c r="B98" s="126" t="s">
        <v>294</v>
      </c>
      <c r="C98" s="127">
        <v>30</v>
      </c>
      <c r="D98" s="127" t="s">
        <v>143</v>
      </c>
      <c r="E98" s="127" t="s">
        <v>140</v>
      </c>
      <c r="F98" s="54">
        <f>17.2049*1.3*1.1*1.1/5/450*C98</f>
        <v>0.36084410266666667</v>
      </c>
      <c r="G98" s="55">
        <f t="shared" si="14"/>
        <v>0.37888630779999999</v>
      </c>
      <c r="H98">
        <v>462</v>
      </c>
    </row>
    <row r="99" spans="1:8">
      <c r="A99" s="133"/>
      <c r="B99" s="126" t="s">
        <v>295</v>
      </c>
      <c r="C99" s="127">
        <v>90</v>
      </c>
      <c r="D99" s="127" t="s">
        <v>143</v>
      </c>
      <c r="E99" s="127" t="s">
        <v>140</v>
      </c>
      <c r="F99" s="54">
        <f>12.2949*1.3*1.1*1.1/6/450*C99</f>
        <v>0.64466259000000004</v>
      </c>
      <c r="G99" s="55">
        <f t="shared" si="14"/>
        <v>0.67689571950000005</v>
      </c>
      <c r="H99">
        <v>411</v>
      </c>
    </row>
    <row r="100" spans="1:8">
      <c r="A100" s="133"/>
      <c r="B100" s="126" t="s">
        <v>296</v>
      </c>
      <c r="C100" s="127" t="s">
        <v>297</v>
      </c>
      <c r="D100" s="127" t="s">
        <v>143</v>
      </c>
      <c r="E100" s="127" t="s">
        <v>140</v>
      </c>
      <c r="F100" s="54">
        <f>6.05*1.1/450*60</f>
        <v>0.88733333333333342</v>
      </c>
      <c r="G100" s="55">
        <f t="shared" si="14"/>
        <v>0.93170000000000008</v>
      </c>
      <c r="H100" s="125" t="s">
        <v>298</v>
      </c>
    </row>
    <row r="101" spans="1:8">
      <c r="A101" s="133"/>
      <c r="B101" s="126" t="s">
        <v>140</v>
      </c>
      <c r="C101" s="127" t="s">
        <v>140</v>
      </c>
      <c r="D101" s="127" t="s">
        <v>140</v>
      </c>
      <c r="E101" s="127" t="s">
        <v>140</v>
      </c>
      <c r="F101" s="72"/>
      <c r="G101" s="73">
        <f>SUM(G96:G100)</f>
        <v>3.2699598050777778</v>
      </c>
    </row>
    <row r="102" spans="1:8">
      <c r="A102" s="133"/>
      <c r="B102" s="144" t="s">
        <v>299</v>
      </c>
      <c r="C102" s="137" t="s">
        <v>140</v>
      </c>
      <c r="D102" s="137" t="s">
        <v>140</v>
      </c>
      <c r="E102" s="137" t="s">
        <v>140</v>
      </c>
      <c r="F102" s="54"/>
      <c r="G102" s="54"/>
    </row>
    <row r="103" spans="1:8">
      <c r="A103" s="133"/>
      <c r="B103" s="126" t="s">
        <v>293</v>
      </c>
      <c r="C103" s="127">
        <v>100</v>
      </c>
      <c r="D103" s="127" t="s">
        <v>143</v>
      </c>
      <c r="E103" s="127" t="s">
        <v>140</v>
      </c>
      <c r="F103" s="54">
        <f>74.95*1.1/15/450*C103</f>
        <v>1.2214074074074075</v>
      </c>
      <c r="G103" s="55">
        <f t="shared" ref="G103:G106" si="15">F103*(1+$G$3)</f>
        <v>1.2824777777777778</v>
      </c>
    </row>
    <row r="104" spans="1:8">
      <c r="A104" s="133"/>
      <c r="B104" s="126" t="s">
        <v>294</v>
      </c>
      <c r="C104" s="127">
        <v>30</v>
      </c>
      <c r="D104" s="127" t="s">
        <v>143</v>
      </c>
      <c r="E104" s="127" t="s">
        <v>140</v>
      </c>
      <c r="F104" s="54">
        <f>17.2049*1.3*1.1*1.1/5/450*C104</f>
        <v>0.36084410266666667</v>
      </c>
      <c r="G104" s="55">
        <f t="shared" si="15"/>
        <v>0.37888630779999999</v>
      </c>
    </row>
    <row r="105" spans="1:8">
      <c r="A105" s="133"/>
      <c r="B105" s="126" t="s">
        <v>295</v>
      </c>
      <c r="C105" s="127">
        <v>90</v>
      </c>
      <c r="D105" s="127" t="s">
        <v>143</v>
      </c>
      <c r="E105" s="127" t="s">
        <v>140</v>
      </c>
      <c r="F105" s="54">
        <f>12.2949*1.3*1.1*1.1/6/450*C105</f>
        <v>0.64466259000000004</v>
      </c>
      <c r="G105" s="55">
        <f t="shared" si="15"/>
        <v>0.67689571950000005</v>
      </c>
    </row>
    <row r="106" spans="1:8">
      <c r="A106" s="133"/>
      <c r="B106" s="126" t="s">
        <v>296</v>
      </c>
      <c r="C106" s="127" t="s">
        <v>297</v>
      </c>
      <c r="D106" s="127" t="s">
        <v>143</v>
      </c>
      <c r="E106" s="127" t="s">
        <v>140</v>
      </c>
      <c r="F106" s="54">
        <f>6.05*1.1/450*60</f>
        <v>0.88733333333333342</v>
      </c>
      <c r="G106" s="55">
        <f t="shared" si="15"/>
        <v>0.93170000000000008</v>
      </c>
    </row>
    <row r="107" spans="1:8">
      <c r="A107" s="133"/>
      <c r="B107" s="126" t="s">
        <v>140</v>
      </c>
      <c r="C107" s="127" t="s">
        <v>140</v>
      </c>
      <c r="D107" s="127" t="s">
        <v>140</v>
      </c>
      <c r="E107" s="127" t="s">
        <v>140</v>
      </c>
      <c r="F107" s="72"/>
      <c r="G107" s="73">
        <f>SUM(G102:G106)</f>
        <v>3.2699598050777778</v>
      </c>
    </row>
    <row r="108" spans="1:8">
      <c r="A108" s="133"/>
      <c r="B108" s="125"/>
      <c r="C108" s="125"/>
      <c r="D108" s="125"/>
      <c r="E108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C467-3EE5-4965-8581-35710CD6275D}">
  <dimension ref="B1:P72"/>
  <sheetViews>
    <sheetView tabSelected="1" zoomScale="115" zoomScaleNormal="115" workbookViewId="0">
      <selection activeCell="N93" sqref="N93"/>
    </sheetView>
  </sheetViews>
  <sheetFormatPr defaultRowHeight="15"/>
  <cols>
    <col min="2" max="2" width="32.140625" customWidth="1"/>
    <col min="3" max="3" width="4.42578125" customWidth="1"/>
    <col min="4" max="4" width="5.28515625" customWidth="1"/>
    <col min="5" max="5" width="30.28515625" customWidth="1"/>
    <col min="8" max="8" width="34.7109375" customWidth="1"/>
    <col min="11" max="11" width="29.42578125" customWidth="1"/>
    <col min="14" max="14" width="29.28515625" customWidth="1"/>
  </cols>
  <sheetData>
    <row r="1" spans="2:16" ht="17.25">
      <c r="B1" s="119" t="s">
        <v>300</v>
      </c>
      <c r="C1" s="120" t="s">
        <v>140</v>
      </c>
      <c r="D1" s="120" t="s">
        <v>140</v>
      </c>
      <c r="E1" s="119" t="s">
        <v>301</v>
      </c>
      <c r="F1" s="120" t="s">
        <v>140</v>
      </c>
      <c r="G1" s="120" t="s">
        <v>140</v>
      </c>
      <c r="H1" s="119" t="s">
        <v>302</v>
      </c>
      <c r="I1" s="120" t="s">
        <v>140</v>
      </c>
      <c r="J1" s="120" t="s">
        <v>140</v>
      </c>
      <c r="K1" s="119" t="s">
        <v>303</v>
      </c>
      <c r="L1" s="120" t="s">
        <v>140</v>
      </c>
      <c r="M1" s="120" t="s">
        <v>140</v>
      </c>
      <c r="N1" s="119" t="s">
        <v>304</v>
      </c>
      <c r="O1" s="120" t="s">
        <v>140</v>
      </c>
    </row>
    <row r="2" spans="2:16" ht="40.5">
      <c r="B2" s="121" t="s">
        <v>2</v>
      </c>
      <c r="C2" s="122" t="s">
        <v>3</v>
      </c>
      <c r="D2" s="122" t="s">
        <v>4</v>
      </c>
      <c r="E2" s="122" t="s">
        <v>2</v>
      </c>
      <c r="F2" s="122" t="s">
        <v>3</v>
      </c>
      <c r="G2" s="122" t="s">
        <v>4</v>
      </c>
      <c r="H2" s="122" t="s">
        <v>2</v>
      </c>
      <c r="I2" s="122" t="s">
        <v>3</v>
      </c>
      <c r="J2" s="122" t="s">
        <v>4</v>
      </c>
      <c r="K2" s="122" t="s">
        <v>2</v>
      </c>
      <c r="L2" s="122" t="s">
        <v>3</v>
      </c>
      <c r="M2" s="122" t="s">
        <v>4</v>
      </c>
      <c r="N2" s="122" t="s">
        <v>2</v>
      </c>
      <c r="O2" s="122" t="s">
        <v>3</v>
      </c>
    </row>
    <row r="3" spans="2:16">
      <c r="B3" s="123" t="s">
        <v>305</v>
      </c>
      <c r="C3" s="124" t="s">
        <v>140</v>
      </c>
      <c r="D3" s="124" t="s">
        <v>140</v>
      </c>
      <c r="E3" s="145" t="s">
        <v>305</v>
      </c>
      <c r="F3" s="124" t="s">
        <v>140</v>
      </c>
      <c r="G3" s="124" t="s">
        <v>140</v>
      </c>
      <c r="H3" s="145" t="s">
        <v>305</v>
      </c>
      <c r="I3" s="124" t="s">
        <v>140</v>
      </c>
      <c r="J3" s="124" t="s">
        <v>140</v>
      </c>
      <c r="K3" s="145" t="s">
        <v>305</v>
      </c>
      <c r="L3" s="124" t="s">
        <v>140</v>
      </c>
      <c r="M3" s="124" t="s">
        <v>140</v>
      </c>
      <c r="N3" s="145" t="s">
        <v>305</v>
      </c>
      <c r="O3" s="124" t="s">
        <v>140</v>
      </c>
    </row>
    <row r="4" spans="2:16">
      <c r="B4" s="125" t="s">
        <v>9</v>
      </c>
      <c r="C4" s="126">
        <v>1</v>
      </c>
      <c r="D4" s="127" t="s">
        <v>142</v>
      </c>
      <c r="E4" s="125" t="s">
        <v>9</v>
      </c>
      <c r="F4" s="126">
        <v>1</v>
      </c>
      <c r="G4" s="127" t="s">
        <v>142</v>
      </c>
      <c r="H4" s="125" t="s">
        <v>9</v>
      </c>
      <c r="I4" s="126">
        <v>1</v>
      </c>
      <c r="J4" s="127" t="s">
        <v>142</v>
      </c>
      <c r="K4" s="125" t="s">
        <v>9</v>
      </c>
      <c r="L4" s="126">
        <v>1</v>
      </c>
      <c r="M4" s="127" t="s">
        <v>142</v>
      </c>
      <c r="N4" s="125" t="s">
        <v>9</v>
      </c>
      <c r="O4" s="126">
        <v>1</v>
      </c>
    </row>
    <row r="5" spans="2:16">
      <c r="B5" s="128" t="s">
        <v>11</v>
      </c>
      <c r="C5" s="127">
        <v>3</v>
      </c>
      <c r="D5" s="127" t="s">
        <v>142</v>
      </c>
      <c r="E5" s="146" t="s">
        <v>11</v>
      </c>
      <c r="F5" s="127">
        <v>3</v>
      </c>
      <c r="G5" s="127" t="s">
        <v>142</v>
      </c>
      <c r="H5" s="146" t="s">
        <v>11</v>
      </c>
      <c r="I5" s="127">
        <v>3</v>
      </c>
      <c r="J5" s="127" t="s">
        <v>142</v>
      </c>
      <c r="K5" s="146" t="s">
        <v>11</v>
      </c>
      <c r="L5" s="127">
        <v>3</v>
      </c>
      <c r="M5" s="127" t="s">
        <v>142</v>
      </c>
      <c r="N5" s="146" t="s">
        <v>11</v>
      </c>
      <c r="O5" s="127">
        <v>3</v>
      </c>
    </row>
    <row r="6" spans="2:16">
      <c r="B6" s="126" t="s">
        <v>12</v>
      </c>
      <c r="C6" s="127">
        <v>3</v>
      </c>
      <c r="D6" s="127" t="s">
        <v>142</v>
      </c>
      <c r="E6" s="127" t="s">
        <v>12</v>
      </c>
      <c r="F6" s="127">
        <v>3</v>
      </c>
      <c r="G6" s="127" t="s">
        <v>142</v>
      </c>
      <c r="H6" s="127" t="s">
        <v>12</v>
      </c>
      <c r="I6" s="127">
        <v>3</v>
      </c>
      <c r="J6" s="127" t="s">
        <v>142</v>
      </c>
      <c r="K6" s="127" t="s">
        <v>12</v>
      </c>
      <c r="L6" s="127">
        <v>3</v>
      </c>
      <c r="M6" s="127" t="s">
        <v>142</v>
      </c>
      <c r="N6" s="127" t="s">
        <v>12</v>
      </c>
      <c r="O6" s="127">
        <v>3</v>
      </c>
    </row>
    <row r="7" spans="2:16">
      <c r="B7" s="126" t="s">
        <v>13</v>
      </c>
      <c r="C7" s="127">
        <v>1</v>
      </c>
      <c r="D7" s="127" t="s">
        <v>142</v>
      </c>
      <c r="E7" s="127" t="s">
        <v>13</v>
      </c>
      <c r="F7" s="127">
        <v>1</v>
      </c>
      <c r="G7" s="127" t="s">
        <v>142</v>
      </c>
      <c r="H7" s="127" t="s">
        <v>13</v>
      </c>
      <c r="I7" s="127">
        <v>1</v>
      </c>
      <c r="J7" s="127" t="s">
        <v>142</v>
      </c>
      <c r="K7" s="127" t="s">
        <v>13</v>
      </c>
      <c r="L7" s="127">
        <v>1</v>
      </c>
      <c r="M7" s="127" t="s">
        <v>142</v>
      </c>
      <c r="N7" s="127" t="s">
        <v>13</v>
      </c>
      <c r="O7" s="127">
        <v>1</v>
      </c>
    </row>
    <row r="8" spans="2:16">
      <c r="B8" s="126" t="s">
        <v>14</v>
      </c>
      <c r="C8" s="127">
        <v>1</v>
      </c>
      <c r="D8" s="127" t="s">
        <v>142</v>
      </c>
      <c r="E8" s="127" t="s">
        <v>14</v>
      </c>
      <c r="F8" s="127">
        <v>1</v>
      </c>
      <c r="G8" s="127" t="s">
        <v>142</v>
      </c>
      <c r="H8" s="127" t="s">
        <v>14</v>
      </c>
      <c r="I8" s="127">
        <v>1</v>
      </c>
      <c r="J8" s="127" t="s">
        <v>142</v>
      </c>
      <c r="K8" s="127" t="s">
        <v>14</v>
      </c>
      <c r="L8" s="127">
        <v>1</v>
      </c>
      <c r="M8" s="127" t="s">
        <v>142</v>
      </c>
      <c r="N8" s="127" t="s">
        <v>14</v>
      </c>
      <c r="O8" s="127">
        <v>1</v>
      </c>
    </row>
    <row r="9" spans="2:16">
      <c r="B9" s="126" t="s">
        <v>15</v>
      </c>
      <c r="C9" s="127">
        <v>1</v>
      </c>
      <c r="D9" s="127" t="s">
        <v>142</v>
      </c>
      <c r="E9" s="127" t="s">
        <v>15</v>
      </c>
      <c r="F9" s="127">
        <v>1</v>
      </c>
      <c r="G9" s="127" t="s">
        <v>142</v>
      </c>
      <c r="H9" s="127" t="s">
        <v>15</v>
      </c>
      <c r="I9" s="127">
        <v>1</v>
      </c>
      <c r="J9" s="127" t="s">
        <v>142</v>
      </c>
      <c r="K9" s="127" t="s">
        <v>15</v>
      </c>
      <c r="L9" s="127">
        <v>1</v>
      </c>
      <c r="M9" s="127" t="s">
        <v>142</v>
      </c>
      <c r="N9" s="127" t="s">
        <v>15</v>
      </c>
      <c r="O9" s="127">
        <v>1</v>
      </c>
    </row>
    <row r="10" spans="2:16">
      <c r="B10" s="147" t="s">
        <v>306</v>
      </c>
      <c r="C10" s="124" t="s">
        <v>140</v>
      </c>
      <c r="D10" s="124" t="s">
        <v>140</v>
      </c>
      <c r="E10" s="148" t="s">
        <v>306</v>
      </c>
      <c r="F10" s="124" t="s">
        <v>140</v>
      </c>
      <c r="G10" s="124" t="s">
        <v>140</v>
      </c>
      <c r="H10" s="148" t="s">
        <v>306</v>
      </c>
      <c r="I10" s="124" t="s">
        <v>140</v>
      </c>
      <c r="J10" s="124" t="s">
        <v>140</v>
      </c>
      <c r="K10" s="148" t="s">
        <v>306</v>
      </c>
      <c r="L10" s="124" t="s">
        <v>140</v>
      </c>
      <c r="M10" s="124" t="s">
        <v>140</v>
      </c>
      <c r="N10" s="148" t="s">
        <v>306</v>
      </c>
      <c r="O10" s="124" t="s">
        <v>140</v>
      </c>
      <c r="P10" s="124" t="s">
        <v>140</v>
      </c>
    </row>
    <row r="11" spans="2:16">
      <c r="B11" s="149" t="s">
        <v>24</v>
      </c>
      <c r="C11" s="132">
        <v>14</v>
      </c>
      <c r="D11" s="150" t="s">
        <v>143</v>
      </c>
      <c r="E11" s="149" t="s">
        <v>24</v>
      </c>
      <c r="F11" s="132">
        <v>14</v>
      </c>
      <c r="G11" s="150" t="s">
        <v>143</v>
      </c>
      <c r="H11" s="149" t="s">
        <v>307</v>
      </c>
      <c r="I11" s="132">
        <v>14</v>
      </c>
      <c r="J11" s="150" t="s">
        <v>143</v>
      </c>
      <c r="K11" s="149" t="s">
        <v>307</v>
      </c>
      <c r="L11" s="132">
        <v>14</v>
      </c>
      <c r="M11" s="150" t="s">
        <v>143</v>
      </c>
      <c r="N11" s="149" t="s">
        <v>24</v>
      </c>
      <c r="O11" s="132">
        <v>14</v>
      </c>
      <c r="P11" s="10" t="s">
        <v>18</v>
      </c>
    </row>
    <row r="12" spans="2:16">
      <c r="B12" s="151" t="s">
        <v>25</v>
      </c>
      <c r="C12" s="132">
        <v>1</v>
      </c>
      <c r="D12" s="150" t="s">
        <v>143</v>
      </c>
      <c r="E12" s="151" t="s">
        <v>25</v>
      </c>
      <c r="F12" s="132">
        <v>1</v>
      </c>
      <c r="G12" s="150" t="s">
        <v>143</v>
      </c>
      <c r="H12" s="151" t="s">
        <v>140</v>
      </c>
      <c r="I12" s="132" t="s">
        <v>140</v>
      </c>
      <c r="J12" s="150" t="s">
        <v>143</v>
      </c>
      <c r="K12" s="151" t="s">
        <v>140</v>
      </c>
      <c r="L12" s="132" t="s">
        <v>140</v>
      </c>
      <c r="M12" s="150" t="s">
        <v>143</v>
      </c>
      <c r="N12" s="151" t="s">
        <v>25</v>
      </c>
      <c r="O12" s="132">
        <v>1</v>
      </c>
      <c r="P12" s="10" t="s">
        <v>18</v>
      </c>
    </row>
    <row r="13" spans="2:16">
      <c r="B13" s="123" t="s">
        <v>308</v>
      </c>
      <c r="C13" s="124" t="s">
        <v>140</v>
      </c>
      <c r="D13" s="124" t="s">
        <v>140</v>
      </c>
      <c r="E13" s="145" t="s">
        <v>308</v>
      </c>
      <c r="F13" s="124" t="s">
        <v>140</v>
      </c>
      <c r="G13" s="124" t="s">
        <v>140</v>
      </c>
      <c r="H13" s="145" t="s">
        <v>308</v>
      </c>
      <c r="I13" s="124" t="s">
        <v>140</v>
      </c>
      <c r="J13" s="124" t="s">
        <v>140</v>
      </c>
      <c r="K13" s="145" t="s">
        <v>308</v>
      </c>
      <c r="L13" s="124" t="s">
        <v>140</v>
      </c>
      <c r="M13" s="124" t="s">
        <v>140</v>
      </c>
      <c r="N13" s="145" t="s">
        <v>308</v>
      </c>
      <c r="O13" s="124" t="s">
        <v>140</v>
      </c>
      <c r="P13" s="124" t="s">
        <v>140</v>
      </c>
    </row>
    <row r="14" spans="2:16">
      <c r="B14" s="131" t="s">
        <v>309</v>
      </c>
      <c r="C14" s="132">
        <v>8</v>
      </c>
      <c r="D14" s="132" t="s">
        <v>143</v>
      </c>
      <c r="E14" s="132" t="s">
        <v>310</v>
      </c>
      <c r="F14" s="132">
        <v>20</v>
      </c>
      <c r="G14" s="132" t="s">
        <v>251</v>
      </c>
      <c r="H14" s="8" t="s">
        <v>39</v>
      </c>
      <c r="I14" s="11">
        <v>21</v>
      </c>
      <c r="J14" s="10" t="s">
        <v>18</v>
      </c>
      <c r="K14" s="132" t="s">
        <v>309</v>
      </c>
      <c r="L14" s="132">
        <v>8</v>
      </c>
      <c r="M14" s="132" t="s">
        <v>143</v>
      </c>
      <c r="N14" s="132" t="s">
        <v>309</v>
      </c>
      <c r="O14" s="132">
        <v>8</v>
      </c>
      <c r="P14" s="10" t="s">
        <v>18</v>
      </c>
    </row>
    <row r="15" spans="2:16">
      <c r="B15" s="131" t="s">
        <v>311</v>
      </c>
      <c r="C15" s="132">
        <v>20</v>
      </c>
      <c r="D15" s="132" t="s">
        <v>143</v>
      </c>
      <c r="E15" s="132" t="s">
        <v>312</v>
      </c>
      <c r="F15" s="132">
        <v>1</v>
      </c>
      <c r="G15" s="132" t="s">
        <v>313</v>
      </c>
      <c r="H15" s="8" t="s">
        <v>41</v>
      </c>
      <c r="I15" s="11">
        <v>21</v>
      </c>
      <c r="J15" s="10" t="s">
        <v>18</v>
      </c>
      <c r="K15" s="132" t="s">
        <v>311</v>
      </c>
      <c r="L15" s="132">
        <v>20</v>
      </c>
      <c r="M15" s="132" t="s">
        <v>143</v>
      </c>
      <c r="N15" s="132" t="s">
        <v>311</v>
      </c>
      <c r="O15" s="132">
        <v>20</v>
      </c>
      <c r="P15" s="10" t="s">
        <v>18</v>
      </c>
    </row>
    <row r="16" spans="2:16">
      <c r="B16" s="131" t="s">
        <v>314</v>
      </c>
      <c r="C16" s="132">
        <v>20</v>
      </c>
      <c r="D16" s="132" t="s">
        <v>143</v>
      </c>
      <c r="E16" s="132" t="s">
        <v>309</v>
      </c>
      <c r="F16" s="132">
        <v>1</v>
      </c>
      <c r="G16" s="132" t="s">
        <v>142</v>
      </c>
      <c r="H16" s="8" t="s">
        <v>34</v>
      </c>
      <c r="I16" s="11">
        <v>5</v>
      </c>
      <c r="J16" s="10" t="s">
        <v>18</v>
      </c>
      <c r="K16" s="132" t="s">
        <v>314</v>
      </c>
      <c r="L16" s="132">
        <v>20</v>
      </c>
      <c r="M16" s="132" t="s">
        <v>143</v>
      </c>
      <c r="N16" s="132" t="s">
        <v>314</v>
      </c>
      <c r="O16" s="132">
        <v>20</v>
      </c>
      <c r="P16" s="10" t="s">
        <v>18</v>
      </c>
    </row>
    <row r="17" spans="2:16">
      <c r="B17" s="131" t="s">
        <v>315</v>
      </c>
      <c r="C17" s="132">
        <v>20</v>
      </c>
      <c r="D17" s="132" t="s">
        <v>143</v>
      </c>
      <c r="E17" s="132" t="s">
        <v>316</v>
      </c>
      <c r="F17" s="132">
        <v>3</v>
      </c>
      <c r="G17" s="132" t="s">
        <v>142</v>
      </c>
      <c r="H17" s="8" t="s">
        <v>42</v>
      </c>
      <c r="I17" s="11">
        <v>14</v>
      </c>
      <c r="J17" s="10" t="s">
        <v>18</v>
      </c>
      <c r="K17" s="132" t="s">
        <v>315</v>
      </c>
      <c r="L17" s="132">
        <v>20</v>
      </c>
      <c r="M17" s="132" t="s">
        <v>143</v>
      </c>
      <c r="N17" s="132" t="s">
        <v>315</v>
      </c>
      <c r="O17" s="132">
        <v>20</v>
      </c>
      <c r="P17" s="10" t="s">
        <v>18</v>
      </c>
    </row>
    <row r="18" spans="2:16">
      <c r="B18" s="131" t="s">
        <v>269</v>
      </c>
      <c r="C18" s="132" t="s">
        <v>317</v>
      </c>
      <c r="D18" s="132" t="s">
        <v>143</v>
      </c>
      <c r="E18" s="132" t="s">
        <v>86</v>
      </c>
      <c r="F18" s="132">
        <v>30</v>
      </c>
      <c r="G18" s="132" t="s">
        <v>143</v>
      </c>
      <c r="H18" s="132" t="s">
        <v>140</v>
      </c>
      <c r="I18" s="132" t="s">
        <v>140</v>
      </c>
      <c r="J18" s="132" t="s">
        <v>140</v>
      </c>
      <c r="K18" s="132" t="s">
        <v>269</v>
      </c>
      <c r="L18" s="132" t="s">
        <v>317</v>
      </c>
      <c r="M18" s="132" t="s">
        <v>143</v>
      </c>
      <c r="N18" s="132" t="s">
        <v>269</v>
      </c>
      <c r="O18" s="132" t="s">
        <v>317</v>
      </c>
      <c r="P18" s="10" t="s">
        <v>18</v>
      </c>
    </row>
    <row r="19" spans="2:16">
      <c r="B19" s="131" t="s">
        <v>318</v>
      </c>
      <c r="C19" s="132">
        <v>45</v>
      </c>
      <c r="D19" s="132" t="s">
        <v>143</v>
      </c>
      <c r="E19" s="132" t="s">
        <v>319</v>
      </c>
      <c r="F19" s="132">
        <v>1</v>
      </c>
      <c r="G19" s="132" t="s">
        <v>142</v>
      </c>
      <c r="H19" s="132" t="s">
        <v>140</v>
      </c>
      <c r="I19" s="132" t="s">
        <v>140</v>
      </c>
      <c r="J19" s="132" t="s">
        <v>140</v>
      </c>
      <c r="K19" s="132" t="s">
        <v>318</v>
      </c>
      <c r="L19" s="132">
        <v>45</v>
      </c>
      <c r="M19" s="132" t="s">
        <v>143</v>
      </c>
      <c r="N19" s="132" t="s">
        <v>318</v>
      </c>
      <c r="O19" s="132">
        <v>45</v>
      </c>
      <c r="P19" s="10" t="s">
        <v>18</v>
      </c>
    </row>
    <row r="20" spans="2:16">
      <c r="B20" s="131" t="s">
        <v>140</v>
      </c>
      <c r="C20" s="132" t="s">
        <v>140</v>
      </c>
      <c r="D20" s="132" t="s">
        <v>140</v>
      </c>
      <c r="E20" s="132" t="s">
        <v>140</v>
      </c>
      <c r="F20" s="132" t="s">
        <v>140</v>
      </c>
      <c r="G20" s="132" t="s">
        <v>140</v>
      </c>
      <c r="H20" s="132" t="s">
        <v>140</v>
      </c>
      <c r="I20" s="132" t="s">
        <v>140</v>
      </c>
      <c r="J20" s="132" t="s">
        <v>140</v>
      </c>
      <c r="K20" s="132" t="s">
        <v>140</v>
      </c>
      <c r="L20" s="132" t="s">
        <v>140</v>
      </c>
      <c r="M20" s="132" t="s">
        <v>140</v>
      </c>
      <c r="N20" s="132" t="s">
        <v>140</v>
      </c>
      <c r="O20" s="132" t="s">
        <v>140</v>
      </c>
      <c r="P20" s="10"/>
    </row>
    <row r="21" spans="2:16">
      <c r="B21" s="131" t="s">
        <v>140</v>
      </c>
      <c r="C21" s="132" t="s">
        <v>140</v>
      </c>
      <c r="D21" s="132" t="s">
        <v>140</v>
      </c>
      <c r="E21" s="132" t="s">
        <v>140</v>
      </c>
      <c r="F21" s="132" t="s">
        <v>140</v>
      </c>
      <c r="G21" s="132" t="s">
        <v>140</v>
      </c>
      <c r="H21" s="132" t="s">
        <v>140</v>
      </c>
      <c r="I21" s="132" t="s">
        <v>140</v>
      </c>
      <c r="J21" s="132" t="s">
        <v>140</v>
      </c>
      <c r="K21" s="132" t="s">
        <v>140</v>
      </c>
      <c r="L21" s="132" t="s">
        <v>140</v>
      </c>
      <c r="M21" s="132" t="s">
        <v>140</v>
      </c>
      <c r="N21" s="132" t="s">
        <v>140</v>
      </c>
      <c r="O21" s="132" t="s">
        <v>140</v>
      </c>
      <c r="P21" s="10"/>
    </row>
    <row r="22" spans="2:16">
      <c r="B22" s="131" t="s">
        <v>140</v>
      </c>
      <c r="C22" s="132" t="s">
        <v>140</v>
      </c>
      <c r="D22" s="132" t="s">
        <v>140</v>
      </c>
      <c r="E22" s="132" t="s">
        <v>140</v>
      </c>
      <c r="F22" s="132" t="s">
        <v>140</v>
      </c>
      <c r="G22" s="132" t="s">
        <v>140</v>
      </c>
      <c r="H22" s="132" t="s">
        <v>140</v>
      </c>
      <c r="I22" s="132" t="s">
        <v>140</v>
      </c>
      <c r="J22" s="132" t="s">
        <v>140</v>
      </c>
      <c r="K22" s="132" t="s">
        <v>140</v>
      </c>
      <c r="L22" s="132" t="s">
        <v>140</v>
      </c>
      <c r="M22" s="132" t="s">
        <v>140</v>
      </c>
      <c r="N22" s="132" t="s">
        <v>140</v>
      </c>
      <c r="O22" s="132" t="s">
        <v>140</v>
      </c>
      <c r="P22" s="10"/>
    </row>
    <row r="23" spans="2:16">
      <c r="B23" s="123" t="s">
        <v>320</v>
      </c>
      <c r="C23" s="124" t="s">
        <v>140</v>
      </c>
      <c r="D23" s="124" t="s">
        <v>140</v>
      </c>
      <c r="E23" s="145" t="s">
        <v>320</v>
      </c>
      <c r="F23" s="124" t="s">
        <v>140</v>
      </c>
      <c r="G23" s="124" t="s">
        <v>140</v>
      </c>
      <c r="H23" s="145" t="s">
        <v>320</v>
      </c>
      <c r="I23" s="124" t="s">
        <v>140</v>
      </c>
      <c r="J23" s="124" t="s">
        <v>140</v>
      </c>
      <c r="K23" s="145" t="s">
        <v>320</v>
      </c>
      <c r="L23" s="124" t="s">
        <v>140</v>
      </c>
      <c r="M23" s="124" t="s">
        <v>140</v>
      </c>
      <c r="N23" s="145" t="s">
        <v>320</v>
      </c>
      <c r="O23" s="124" t="s">
        <v>140</v>
      </c>
      <c r="P23" s="124" t="s">
        <v>140</v>
      </c>
    </row>
    <row r="24" spans="2:16">
      <c r="B24" s="131" t="s">
        <v>321</v>
      </c>
      <c r="C24" s="132">
        <v>90</v>
      </c>
      <c r="D24" s="132" t="s">
        <v>143</v>
      </c>
      <c r="E24" s="132" t="s">
        <v>322</v>
      </c>
      <c r="F24" s="132">
        <v>90</v>
      </c>
      <c r="G24" s="132" t="s">
        <v>143</v>
      </c>
      <c r="H24" s="8" t="s">
        <v>52</v>
      </c>
      <c r="I24" s="11">
        <v>90</v>
      </c>
      <c r="J24" s="10" t="s">
        <v>18</v>
      </c>
      <c r="K24" s="132" t="s">
        <v>321</v>
      </c>
      <c r="L24" s="132">
        <v>90</v>
      </c>
      <c r="M24" s="132" t="s">
        <v>143</v>
      </c>
      <c r="N24" s="8" t="s">
        <v>60</v>
      </c>
      <c r="O24" s="11">
        <v>140</v>
      </c>
      <c r="P24" s="10" t="s">
        <v>18</v>
      </c>
    </row>
    <row r="25" spans="2:16">
      <c r="B25" s="131" t="s">
        <v>323</v>
      </c>
      <c r="C25" s="132">
        <v>56</v>
      </c>
      <c r="D25" s="132" t="s">
        <v>143</v>
      </c>
      <c r="E25" s="132" t="s">
        <v>176</v>
      </c>
      <c r="F25" s="132">
        <v>20</v>
      </c>
      <c r="G25" s="132" t="s">
        <v>143</v>
      </c>
      <c r="H25" s="8" t="s">
        <v>53</v>
      </c>
      <c r="I25" s="11">
        <v>42</v>
      </c>
      <c r="J25" s="10" t="s">
        <v>18</v>
      </c>
      <c r="K25" s="8" t="s">
        <v>324</v>
      </c>
      <c r="L25" s="11">
        <v>10</v>
      </c>
      <c r="M25" s="10" t="s">
        <v>18</v>
      </c>
      <c r="N25" s="8" t="s">
        <v>61</v>
      </c>
      <c r="O25" s="11">
        <v>28</v>
      </c>
      <c r="P25" s="10" t="s">
        <v>18</v>
      </c>
    </row>
    <row r="26" spans="2:16">
      <c r="B26" s="131" t="s">
        <v>325</v>
      </c>
      <c r="C26" s="132">
        <v>84</v>
      </c>
      <c r="D26" s="132" t="s">
        <v>143</v>
      </c>
      <c r="E26" s="132" t="s">
        <v>326</v>
      </c>
      <c r="F26" s="132">
        <v>60</v>
      </c>
      <c r="G26" s="132" t="s">
        <v>143</v>
      </c>
      <c r="H26" s="8" t="s">
        <v>54</v>
      </c>
      <c r="I26" s="11">
        <v>14</v>
      </c>
      <c r="J26" s="10" t="s">
        <v>18</v>
      </c>
      <c r="K26" s="8" t="s">
        <v>48</v>
      </c>
      <c r="L26" s="11">
        <v>42</v>
      </c>
      <c r="M26" s="10" t="s">
        <v>18</v>
      </c>
      <c r="N26" s="8" t="s">
        <v>62</v>
      </c>
      <c r="O26" s="11">
        <v>42</v>
      </c>
      <c r="P26" s="10" t="s">
        <v>18</v>
      </c>
    </row>
    <row r="27" spans="2:16">
      <c r="B27" s="131" t="s">
        <v>327</v>
      </c>
      <c r="C27" s="132">
        <v>56</v>
      </c>
      <c r="D27" s="132" t="s">
        <v>143</v>
      </c>
      <c r="E27" s="132" t="s">
        <v>328</v>
      </c>
      <c r="F27" s="132">
        <v>30</v>
      </c>
      <c r="G27" s="132" t="s">
        <v>143</v>
      </c>
      <c r="H27" s="8" t="s">
        <v>55</v>
      </c>
      <c r="I27" s="11">
        <v>56</v>
      </c>
      <c r="J27" s="10" t="s">
        <v>18</v>
      </c>
      <c r="K27" s="8" t="s">
        <v>49</v>
      </c>
      <c r="L27" s="11">
        <v>56</v>
      </c>
      <c r="M27" s="10" t="s">
        <v>18</v>
      </c>
      <c r="N27" s="8" t="s">
        <v>69</v>
      </c>
      <c r="O27" s="11">
        <v>14</v>
      </c>
      <c r="P27" s="10" t="s">
        <v>18</v>
      </c>
    </row>
    <row r="28" spans="2:16">
      <c r="B28" s="131"/>
      <c r="C28" s="132"/>
      <c r="D28" s="132" t="s">
        <v>143</v>
      </c>
      <c r="E28" s="132" t="s">
        <v>329</v>
      </c>
      <c r="F28" s="132">
        <v>10</v>
      </c>
      <c r="G28" s="132" t="s">
        <v>143</v>
      </c>
      <c r="H28" s="8" t="s">
        <v>56</v>
      </c>
      <c r="I28" s="23">
        <v>1</v>
      </c>
      <c r="J28" s="24" t="s">
        <v>18</v>
      </c>
      <c r="K28" s="8" t="s">
        <v>50</v>
      </c>
      <c r="L28" s="11">
        <v>42</v>
      </c>
      <c r="M28" s="10" t="s">
        <v>18</v>
      </c>
      <c r="N28" s="132" t="s">
        <v>330</v>
      </c>
      <c r="O28" s="132">
        <v>40</v>
      </c>
      <c r="P28" s="10" t="s">
        <v>18</v>
      </c>
    </row>
    <row r="29" spans="2:16">
      <c r="B29" s="131" t="s">
        <v>140</v>
      </c>
      <c r="C29" s="132" t="s">
        <v>140</v>
      </c>
      <c r="D29" s="132" t="s">
        <v>140</v>
      </c>
      <c r="E29" s="132" t="s">
        <v>140</v>
      </c>
      <c r="F29" s="132" t="s">
        <v>140</v>
      </c>
      <c r="G29" s="132" t="s">
        <v>140</v>
      </c>
      <c r="H29" s="132" t="s">
        <v>140</v>
      </c>
      <c r="I29" s="132" t="s">
        <v>140</v>
      </c>
      <c r="J29" s="132" t="s">
        <v>140</v>
      </c>
      <c r="K29" s="132" t="s">
        <v>140</v>
      </c>
      <c r="L29" s="132" t="s">
        <v>140</v>
      </c>
      <c r="M29" s="132" t="s">
        <v>140</v>
      </c>
      <c r="N29" s="132" t="s">
        <v>140</v>
      </c>
      <c r="O29" s="132" t="s">
        <v>140</v>
      </c>
      <c r="P29" s="10" t="s">
        <v>18</v>
      </c>
    </row>
    <row r="30" spans="2:16">
      <c r="B30" s="123" t="s">
        <v>331</v>
      </c>
      <c r="C30" s="124" t="s">
        <v>140</v>
      </c>
      <c r="D30" s="124" t="s">
        <v>140</v>
      </c>
      <c r="E30" s="145" t="s">
        <v>331</v>
      </c>
      <c r="F30" s="124" t="s">
        <v>140</v>
      </c>
      <c r="G30" s="124" t="s">
        <v>140</v>
      </c>
      <c r="H30" s="145" t="s">
        <v>331</v>
      </c>
      <c r="I30" s="124" t="s">
        <v>140</v>
      </c>
      <c r="J30" s="124" t="s">
        <v>140</v>
      </c>
      <c r="K30" s="145" t="s">
        <v>331</v>
      </c>
      <c r="L30" s="124" t="s">
        <v>140</v>
      </c>
      <c r="M30" s="124" t="s">
        <v>140</v>
      </c>
      <c r="N30" s="145" t="s">
        <v>331</v>
      </c>
      <c r="O30" s="124" t="s">
        <v>140</v>
      </c>
      <c r="P30" s="124" t="s">
        <v>140</v>
      </c>
    </row>
    <row r="31" spans="2:16">
      <c r="B31" s="131" t="s">
        <v>73</v>
      </c>
      <c r="C31" s="132">
        <v>20</v>
      </c>
      <c r="D31" s="132" t="s">
        <v>143</v>
      </c>
      <c r="E31" s="131" t="s">
        <v>73</v>
      </c>
      <c r="F31" s="132">
        <v>20</v>
      </c>
      <c r="G31" s="132" t="s">
        <v>143</v>
      </c>
      <c r="H31" s="132" t="s">
        <v>140</v>
      </c>
      <c r="I31" s="132" t="s">
        <v>140</v>
      </c>
      <c r="J31" s="132" t="s">
        <v>140</v>
      </c>
      <c r="K31" s="132" t="s">
        <v>140</v>
      </c>
      <c r="L31" s="132" t="s">
        <v>140</v>
      </c>
      <c r="M31" s="132" t="s">
        <v>140</v>
      </c>
      <c r="N31" s="131" t="s">
        <v>73</v>
      </c>
      <c r="O31" s="132">
        <v>20</v>
      </c>
      <c r="P31" s="132" t="s">
        <v>143</v>
      </c>
    </row>
    <row r="32" spans="2:16">
      <c r="B32" s="131" t="s">
        <v>77</v>
      </c>
      <c r="C32" s="132">
        <v>20</v>
      </c>
      <c r="D32" s="132" t="s">
        <v>143</v>
      </c>
      <c r="E32" s="131" t="s">
        <v>77</v>
      </c>
      <c r="F32" s="132">
        <v>20</v>
      </c>
      <c r="G32" s="132" t="s">
        <v>143</v>
      </c>
      <c r="H32" s="132" t="s">
        <v>140</v>
      </c>
      <c r="I32" s="132" t="s">
        <v>140</v>
      </c>
      <c r="J32" s="132" t="s">
        <v>140</v>
      </c>
      <c r="K32" s="132" t="s">
        <v>140</v>
      </c>
      <c r="L32" s="132" t="s">
        <v>140</v>
      </c>
      <c r="M32" s="132" t="s">
        <v>140</v>
      </c>
      <c r="N32" s="131" t="s">
        <v>77</v>
      </c>
      <c r="O32" s="132">
        <v>20</v>
      </c>
      <c r="P32" s="132" t="s">
        <v>143</v>
      </c>
    </row>
    <row r="33" spans="2:16">
      <c r="B33" s="123" t="s">
        <v>332</v>
      </c>
      <c r="C33" s="124" t="s">
        <v>140</v>
      </c>
      <c r="D33" s="124" t="s">
        <v>140</v>
      </c>
      <c r="E33" s="145" t="s">
        <v>332</v>
      </c>
      <c r="F33" s="124" t="s">
        <v>140</v>
      </c>
      <c r="G33" s="124" t="s">
        <v>140</v>
      </c>
      <c r="H33" s="145" t="s">
        <v>332</v>
      </c>
      <c r="I33" s="124" t="s">
        <v>140</v>
      </c>
      <c r="J33" s="124" t="s">
        <v>140</v>
      </c>
      <c r="K33" s="145" t="s">
        <v>332</v>
      </c>
      <c r="L33" s="124" t="s">
        <v>140</v>
      </c>
      <c r="M33" s="124" t="s">
        <v>140</v>
      </c>
      <c r="N33" s="145" t="s">
        <v>332</v>
      </c>
      <c r="O33" s="124" t="s">
        <v>140</v>
      </c>
      <c r="P33" s="124" t="s">
        <v>140</v>
      </c>
    </row>
    <row r="34" spans="2:16">
      <c r="B34" s="8" t="s">
        <v>79</v>
      </c>
      <c r="C34" s="11">
        <v>45</v>
      </c>
      <c r="D34" s="10" t="s">
        <v>18</v>
      </c>
      <c r="E34" s="8" t="s">
        <v>79</v>
      </c>
      <c r="F34" s="11">
        <v>45</v>
      </c>
      <c r="G34" s="10" t="s">
        <v>18</v>
      </c>
      <c r="H34" s="132" t="s">
        <v>333</v>
      </c>
      <c r="I34" s="132">
        <v>1</v>
      </c>
      <c r="J34" s="132" t="s">
        <v>334</v>
      </c>
      <c r="K34" s="132" t="s">
        <v>335</v>
      </c>
      <c r="L34" s="132">
        <v>1</v>
      </c>
      <c r="M34" s="132" t="s">
        <v>334</v>
      </c>
      <c r="N34" s="8" t="s">
        <v>79</v>
      </c>
      <c r="O34" s="11">
        <v>45</v>
      </c>
      <c r="P34" s="10" t="s">
        <v>18</v>
      </c>
    </row>
    <row r="35" spans="2:16">
      <c r="B35" s="8" t="s">
        <v>81</v>
      </c>
      <c r="C35" s="11">
        <v>1</v>
      </c>
      <c r="D35" s="10" t="s">
        <v>18</v>
      </c>
      <c r="E35" s="8" t="s">
        <v>81</v>
      </c>
      <c r="F35" s="11">
        <v>1</v>
      </c>
      <c r="G35" s="10" t="s">
        <v>18</v>
      </c>
      <c r="H35" s="132"/>
      <c r="I35" s="132"/>
      <c r="J35" s="132"/>
      <c r="K35" s="132"/>
      <c r="L35" s="132"/>
      <c r="M35" s="132"/>
      <c r="N35" s="8" t="s">
        <v>81</v>
      </c>
      <c r="O35" s="11">
        <v>1</v>
      </c>
      <c r="P35" s="10" t="s">
        <v>18</v>
      </c>
    </row>
    <row r="36" spans="2:16">
      <c r="B36" s="131" t="s">
        <v>140</v>
      </c>
      <c r="C36" s="132" t="s">
        <v>140</v>
      </c>
      <c r="D36" s="132" t="s">
        <v>140</v>
      </c>
      <c r="E36" s="132" t="s">
        <v>140</v>
      </c>
      <c r="F36" s="132" t="s">
        <v>140</v>
      </c>
      <c r="G36" s="132" t="s">
        <v>140</v>
      </c>
      <c r="H36" s="132"/>
      <c r="I36" s="132"/>
      <c r="J36" s="132"/>
      <c r="K36" s="132"/>
      <c r="L36" s="132"/>
      <c r="M36" s="132"/>
      <c r="N36" s="132" t="s">
        <v>140</v>
      </c>
      <c r="O36" s="132" t="s">
        <v>140</v>
      </c>
      <c r="P36" s="10"/>
    </row>
    <row r="37" spans="2:16">
      <c r="B37" s="123" t="s">
        <v>336</v>
      </c>
      <c r="C37" s="124" t="s">
        <v>140</v>
      </c>
      <c r="D37" s="124" t="s">
        <v>140</v>
      </c>
      <c r="E37" s="145" t="s">
        <v>336</v>
      </c>
      <c r="F37" s="124" t="s">
        <v>140</v>
      </c>
      <c r="G37" s="124" t="s">
        <v>140</v>
      </c>
      <c r="H37" s="145" t="s">
        <v>336</v>
      </c>
      <c r="I37" s="124" t="s">
        <v>140</v>
      </c>
      <c r="J37" s="124" t="s">
        <v>140</v>
      </c>
      <c r="K37" s="145" t="s">
        <v>336</v>
      </c>
      <c r="L37" s="124" t="s">
        <v>140</v>
      </c>
      <c r="M37" s="124" t="s">
        <v>140</v>
      </c>
      <c r="N37" s="145" t="s">
        <v>336</v>
      </c>
      <c r="O37" s="124" t="s">
        <v>140</v>
      </c>
      <c r="P37" s="124" t="s">
        <v>140</v>
      </c>
    </row>
    <row r="38" spans="2:16">
      <c r="B38" s="8" t="s">
        <v>83</v>
      </c>
      <c r="C38" s="11">
        <v>200</v>
      </c>
      <c r="D38" s="10" t="s">
        <v>18</v>
      </c>
      <c r="E38" s="8" t="s">
        <v>83</v>
      </c>
      <c r="F38" s="11">
        <v>200</v>
      </c>
      <c r="G38" s="10" t="s">
        <v>18</v>
      </c>
      <c r="H38" s="8" t="s">
        <v>83</v>
      </c>
      <c r="I38" s="11">
        <v>200</v>
      </c>
      <c r="J38" s="10" t="s">
        <v>18</v>
      </c>
      <c r="K38" s="8" t="s">
        <v>83</v>
      </c>
      <c r="L38" s="11">
        <v>200</v>
      </c>
      <c r="M38" s="10" t="s">
        <v>18</v>
      </c>
      <c r="N38" s="8" t="s">
        <v>83</v>
      </c>
      <c r="O38" s="11">
        <v>200</v>
      </c>
      <c r="P38" s="10" t="s">
        <v>18</v>
      </c>
    </row>
    <row r="39" spans="2:16">
      <c r="B39" s="123" t="s">
        <v>337</v>
      </c>
      <c r="C39" s="124" t="s">
        <v>140</v>
      </c>
      <c r="D39" s="124" t="s">
        <v>140</v>
      </c>
      <c r="E39" s="145" t="s">
        <v>338</v>
      </c>
      <c r="F39" s="124" t="s">
        <v>140</v>
      </c>
      <c r="G39" s="124" t="s">
        <v>140</v>
      </c>
      <c r="H39" s="145" t="s">
        <v>338</v>
      </c>
      <c r="I39" s="124" t="s">
        <v>140</v>
      </c>
      <c r="J39" s="124" t="s">
        <v>140</v>
      </c>
      <c r="K39" s="145" t="s">
        <v>337</v>
      </c>
      <c r="L39" s="124" t="s">
        <v>140</v>
      </c>
      <c r="M39" s="124" t="s">
        <v>140</v>
      </c>
      <c r="N39" s="145" t="s">
        <v>337</v>
      </c>
      <c r="O39" s="124" t="s">
        <v>140</v>
      </c>
      <c r="P39" s="124" t="s">
        <v>140</v>
      </c>
    </row>
    <row r="40" spans="2:16">
      <c r="B40" s="131" t="s">
        <v>92</v>
      </c>
      <c r="C40" s="132">
        <v>30</v>
      </c>
      <c r="D40" s="132" t="s">
        <v>143</v>
      </c>
      <c r="E40" s="132" t="s">
        <v>92</v>
      </c>
      <c r="F40" s="132">
        <v>30</v>
      </c>
      <c r="G40" s="132" t="s">
        <v>143</v>
      </c>
      <c r="H40" s="132" t="s">
        <v>339</v>
      </c>
      <c r="I40" s="132">
        <v>30</v>
      </c>
      <c r="J40" s="132" t="s">
        <v>340</v>
      </c>
      <c r="K40" s="132" t="s">
        <v>341</v>
      </c>
      <c r="L40" s="132">
        <v>30</v>
      </c>
      <c r="M40" s="132" t="s">
        <v>143</v>
      </c>
      <c r="N40" s="132" t="s">
        <v>92</v>
      </c>
      <c r="O40" s="132">
        <v>30</v>
      </c>
      <c r="P40" s="10" t="s">
        <v>18</v>
      </c>
    </row>
    <row r="41" spans="2:16">
      <c r="B41" s="131" t="s">
        <v>93</v>
      </c>
      <c r="C41" s="132">
        <v>40</v>
      </c>
      <c r="D41" s="132" t="s">
        <v>143</v>
      </c>
      <c r="E41" s="132" t="s">
        <v>93</v>
      </c>
      <c r="F41" s="132">
        <v>40</v>
      </c>
      <c r="G41" s="132" t="s">
        <v>143</v>
      </c>
      <c r="H41" s="132" t="s">
        <v>140</v>
      </c>
      <c r="I41" s="132" t="s">
        <v>140</v>
      </c>
      <c r="J41" s="132" t="s">
        <v>140</v>
      </c>
      <c r="K41" s="132" t="s">
        <v>93</v>
      </c>
      <c r="L41" s="132">
        <v>40</v>
      </c>
      <c r="M41" s="132" t="s">
        <v>143</v>
      </c>
      <c r="N41" s="132" t="s">
        <v>93</v>
      </c>
      <c r="O41" s="132">
        <v>40</v>
      </c>
      <c r="P41" s="10" t="s">
        <v>18</v>
      </c>
    </row>
    <row r="42" spans="2:16">
      <c r="B42" s="123" t="s">
        <v>342</v>
      </c>
      <c r="C42" s="124" t="s">
        <v>140</v>
      </c>
      <c r="D42" s="124" t="s">
        <v>140</v>
      </c>
      <c r="E42" s="145" t="s">
        <v>342</v>
      </c>
      <c r="F42" s="124" t="s">
        <v>140</v>
      </c>
      <c r="G42" s="124" t="s">
        <v>140</v>
      </c>
      <c r="H42" s="145" t="s">
        <v>342</v>
      </c>
      <c r="I42" s="124" t="s">
        <v>140</v>
      </c>
      <c r="J42" s="124" t="s">
        <v>140</v>
      </c>
      <c r="K42" s="145" t="s">
        <v>342</v>
      </c>
      <c r="L42" s="124" t="s">
        <v>140</v>
      </c>
      <c r="M42" s="124" t="s">
        <v>140</v>
      </c>
      <c r="N42" s="145" t="s">
        <v>342</v>
      </c>
      <c r="O42" s="124" t="s">
        <v>140</v>
      </c>
      <c r="P42" s="124" t="s">
        <v>140</v>
      </c>
    </row>
    <row r="43" spans="2:16">
      <c r="B43" s="131" t="s">
        <v>95</v>
      </c>
      <c r="C43" s="132">
        <v>500</v>
      </c>
      <c r="D43" s="132" t="s">
        <v>143</v>
      </c>
      <c r="E43" s="132" t="s">
        <v>95</v>
      </c>
      <c r="F43" s="132">
        <v>500</v>
      </c>
      <c r="G43" s="132" t="s">
        <v>143</v>
      </c>
      <c r="H43" s="132" t="s">
        <v>140</v>
      </c>
      <c r="I43" s="132" t="s">
        <v>140</v>
      </c>
      <c r="J43" s="132" t="s">
        <v>140</v>
      </c>
      <c r="K43" s="132" t="s">
        <v>95</v>
      </c>
      <c r="L43" s="132">
        <v>500</v>
      </c>
      <c r="M43" s="132" t="s">
        <v>143</v>
      </c>
      <c r="N43" s="132" t="s">
        <v>95</v>
      </c>
      <c r="O43" s="132">
        <v>500</v>
      </c>
      <c r="P43" s="10" t="s">
        <v>18</v>
      </c>
    </row>
    <row r="44" spans="2:16">
      <c r="B44" s="123" t="s">
        <v>343</v>
      </c>
      <c r="C44" s="124" t="s">
        <v>140</v>
      </c>
      <c r="D44" s="124" t="s">
        <v>140</v>
      </c>
      <c r="E44" s="145" t="s">
        <v>344</v>
      </c>
      <c r="F44" s="124" t="s">
        <v>140</v>
      </c>
      <c r="G44" s="124" t="s">
        <v>140</v>
      </c>
      <c r="H44" s="145" t="s">
        <v>343</v>
      </c>
      <c r="I44" s="124" t="s">
        <v>140</v>
      </c>
      <c r="J44" s="124" t="s">
        <v>140</v>
      </c>
      <c r="K44" s="145" t="s">
        <v>343</v>
      </c>
      <c r="L44" s="124" t="s">
        <v>140</v>
      </c>
      <c r="M44" s="124" t="s">
        <v>140</v>
      </c>
      <c r="N44" s="145" t="s">
        <v>343</v>
      </c>
      <c r="O44" s="124" t="s">
        <v>140</v>
      </c>
      <c r="P44" s="124" t="s">
        <v>140</v>
      </c>
    </row>
    <row r="45" spans="2:16">
      <c r="B45" s="138" t="s">
        <v>105</v>
      </c>
      <c r="C45" s="140">
        <v>1</v>
      </c>
      <c r="D45" s="140" t="s">
        <v>142</v>
      </c>
      <c r="E45" s="140" t="s">
        <v>105</v>
      </c>
      <c r="F45" s="140">
        <v>1</v>
      </c>
      <c r="G45" s="140" t="s">
        <v>142</v>
      </c>
      <c r="H45" s="140" t="s">
        <v>105</v>
      </c>
      <c r="I45" s="140">
        <v>1</v>
      </c>
      <c r="J45" s="140" t="s">
        <v>142</v>
      </c>
      <c r="K45" s="140" t="s">
        <v>105</v>
      </c>
      <c r="L45" s="140">
        <v>1</v>
      </c>
      <c r="M45" s="140" t="s">
        <v>142</v>
      </c>
      <c r="N45" s="140" t="s">
        <v>105</v>
      </c>
      <c r="O45" s="140">
        <v>1</v>
      </c>
    </row>
    <row r="46" spans="2:16">
      <c r="B46" s="138" t="s">
        <v>106</v>
      </c>
      <c r="C46" s="140">
        <v>1</v>
      </c>
      <c r="D46" s="140" t="s">
        <v>142</v>
      </c>
      <c r="E46" s="140" t="s">
        <v>106</v>
      </c>
      <c r="F46" s="140">
        <v>1</v>
      </c>
      <c r="G46" s="140" t="s">
        <v>142</v>
      </c>
      <c r="H46" s="140" t="s">
        <v>106</v>
      </c>
      <c r="I46" s="140">
        <v>1</v>
      </c>
      <c r="J46" s="140" t="s">
        <v>142</v>
      </c>
      <c r="K46" s="140" t="s">
        <v>106</v>
      </c>
      <c r="L46" s="140">
        <v>1</v>
      </c>
      <c r="M46" s="140" t="s">
        <v>142</v>
      </c>
      <c r="N46" s="140" t="s">
        <v>106</v>
      </c>
      <c r="O46" s="140">
        <v>1</v>
      </c>
    </row>
    <row r="47" spans="2:16">
      <c r="B47" s="138" t="s">
        <v>107</v>
      </c>
      <c r="C47" s="140">
        <v>1</v>
      </c>
      <c r="D47" s="140" t="s">
        <v>142</v>
      </c>
      <c r="E47" s="140" t="s">
        <v>107</v>
      </c>
      <c r="F47" s="140">
        <v>1</v>
      </c>
      <c r="G47" s="140" t="s">
        <v>142</v>
      </c>
      <c r="H47" s="140" t="s">
        <v>107</v>
      </c>
      <c r="I47" s="140">
        <v>1</v>
      </c>
      <c r="J47" s="140" t="s">
        <v>142</v>
      </c>
      <c r="K47" s="140" t="s">
        <v>107</v>
      </c>
      <c r="L47" s="140">
        <v>1</v>
      </c>
      <c r="M47" s="140" t="s">
        <v>142</v>
      </c>
      <c r="N47" s="140" t="s">
        <v>107</v>
      </c>
      <c r="O47" s="140">
        <v>1</v>
      </c>
    </row>
    <row r="48" spans="2:16">
      <c r="B48" s="138" t="s">
        <v>108</v>
      </c>
      <c r="C48" s="140">
        <v>1</v>
      </c>
      <c r="D48" s="140" t="s">
        <v>142</v>
      </c>
      <c r="E48" s="140" t="s">
        <v>108</v>
      </c>
      <c r="F48" s="140">
        <v>1</v>
      </c>
      <c r="G48" s="140" t="s">
        <v>142</v>
      </c>
      <c r="H48" s="140" t="s">
        <v>108</v>
      </c>
      <c r="I48" s="140">
        <v>1</v>
      </c>
      <c r="J48" s="140" t="s">
        <v>142</v>
      </c>
      <c r="K48" s="140" t="s">
        <v>108</v>
      </c>
      <c r="L48" s="140">
        <v>1</v>
      </c>
      <c r="M48" s="140" t="s">
        <v>142</v>
      </c>
      <c r="N48" s="140" t="s">
        <v>108</v>
      </c>
      <c r="O48" s="140">
        <v>1</v>
      </c>
    </row>
    <row r="49" spans="2:16">
      <c r="B49" s="138" t="s">
        <v>109</v>
      </c>
      <c r="C49" s="140">
        <v>1</v>
      </c>
      <c r="D49" s="140" t="s">
        <v>142</v>
      </c>
      <c r="E49" s="140" t="s">
        <v>109</v>
      </c>
      <c r="F49" s="140">
        <v>1</v>
      </c>
      <c r="G49" s="140" t="s">
        <v>142</v>
      </c>
      <c r="H49" s="140" t="s">
        <v>109</v>
      </c>
      <c r="I49" s="140">
        <v>1</v>
      </c>
      <c r="J49" s="140" t="s">
        <v>142</v>
      </c>
      <c r="K49" s="140" t="s">
        <v>109</v>
      </c>
      <c r="L49" s="140">
        <v>1</v>
      </c>
      <c r="M49" s="140" t="s">
        <v>142</v>
      </c>
      <c r="N49" s="140" t="s">
        <v>109</v>
      </c>
      <c r="O49" s="140">
        <v>1</v>
      </c>
    </row>
    <row r="50" spans="2:16">
      <c r="B50" s="138" t="s">
        <v>110</v>
      </c>
      <c r="C50" s="140">
        <v>1</v>
      </c>
      <c r="D50" s="140" t="s">
        <v>142</v>
      </c>
      <c r="E50" s="140" t="s">
        <v>110</v>
      </c>
      <c r="F50" s="140">
        <v>1</v>
      </c>
      <c r="G50" s="140" t="s">
        <v>142</v>
      </c>
      <c r="H50" s="140" t="s">
        <v>110</v>
      </c>
      <c r="I50" s="140">
        <v>1</v>
      </c>
      <c r="J50" s="140" t="s">
        <v>142</v>
      </c>
      <c r="K50" s="140" t="s">
        <v>110</v>
      </c>
      <c r="L50" s="140">
        <v>1</v>
      </c>
      <c r="M50" s="140" t="s">
        <v>142</v>
      </c>
      <c r="N50" s="140" t="s">
        <v>110</v>
      </c>
      <c r="O50" s="140">
        <v>1</v>
      </c>
    </row>
    <row r="51" spans="2:16">
      <c r="B51" s="138" t="s">
        <v>111</v>
      </c>
      <c r="C51" s="140">
        <v>1</v>
      </c>
      <c r="D51" s="140" t="s">
        <v>142</v>
      </c>
      <c r="E51" s="140" t="s">
        <v>111</v>
      </c>
      <c r="F51" s="140">
        <v>1</v>
      </c>
      <c r="G51" s="140" t="s">
        <v>142</v>
      </c>
      <c r="H51" s="140" t="s">
        <v>111</v>
      </c>
      <c r="I51" s="140">
        <v>1</v>
      </c>
      <c r="J51" s="140" t="s">
        <v>142</v>
      </c>
      <c r="K51" s="140" t="s">
        <v>111</v>
      </c>
      <c r="L51" s="140">
        <v>1</v>
      </c>
      <c r="M51" s="140" t="s">
        <v>142</v>
      </c>
      <c r="N51" s="140" t="s">
        <v>111</v>
      </c>
      <c r="O51" s="140">
        <v>1</v>
      </c>
    </row>
    <row r="52" spans="2:16">
      <c r="B52" s="138" t="s">
        <v>112</v>
      </c>
      <c r="C52" s="140">
        <v>1</v>
      </c>
      <c r="D52" s="140" t="s">
        <v>142</v>
      </c>
      <c r="E52" s="140" t="s">
        <v>112</v>
      </c>
      <c r="F52" s="140">
        <v>1</v>
      </c>
      <c r="G52" s="140" t="s">
        <v>142</v>
      </c>
      <c r="H52" s="140" t="s">
        <v>112</v>
      </c>
      <c r="I52" s="140">
        <v>1</v>
      </c>
      <c r="J52" s="140" t="s">
        <v>142</v>
      </c>
      <c r="K52" s="140" t="s">
        <v>112</v>
      </c>
      <c r="L52" s="140">
        <v>1</v>
      </c>
      <c r="M52" s="140" t="s">
        <v>142</v>
      </c>
      <c r="N52" s="140" t="s">
        <v>112</v>
      </c>
      <c r="O52" s="140">
        <v>1</v>
      </c>
    </row>
    <row r="53" spans="2:16">
      <c r="B53" s="152" t="s">
        <v>113</v>
      </c>
      <c r="C53" s="140">
        <v>1</v>
      </c>
      <c r="D53" s="140" t="s">
        <v>142</v>
      </c>
      <c r="E53" s="143" t="s">
        <v>113</v>
      </c>
      <c r="F53" s="140">
        <v>1</v>
      </c>
      <c r="G53" s="140" t="s">
        <v>142</v>
      </c>
      <c r="H53" s="143" t="s">
        <v>113</v>
      </c>
      <c r="I53" s="140">
        <v>1</v>
      </c>
      <c r="J53" s="140" t="s">
        <v>142</v>
      </c>
      <c r="K53" s="143" t="s">
        <v>113</v>
      </c>
      <c r="L53" s="140">
        <v>1</v>
      </c>
      <c r="M53" s="140" t="s">
        <v>142</v>
      </c>
      <c r="N53" s="143" t="s">
        <v>113</v>
      </c>
      <c r="O53" s="140">
        <v>1</v>
      </c>
    </row>
    <row r="54" spans="2:16">
      <c r="B54" s="153" t="s">
        <v>114</v>
      </c>
      <c r="C54" s="140">
        <v>1</v>
      </c>
      <c r="D54" s="140" t="s">
        <v>142</v>
      </c>
      <c r="E54" s="154" t="s">
        <v>114</v>
      </c>
      <c r="F54" s="140">
        <v>1</v>
      </c>
      <c r="G54" s="140" t="s">
        <v>142</v>
      </c>
      <c r="H54" s="154" t="s">
        <v>114</v>
      </c>
      <c r="I54" s="140">
        <v>1</v>
      </c>
      <c r="J54" s="140" t="s">
        <v>142</v>
      </c>
      <c r="K54" s="154" t="s">
        <v>114</v>
      </c>
      <c r="L54" s="140">
        <v>1</v>
      </c>
      <c r="M54" s="140" t="s">
        <v>142</v>
      </c>
      <c r="N54" s="154" t="s">
        <v>114</v>
      </c>
      <c r="O54" s="140">
        <v>1</v>
      </c>
    </row>
    <row r="55" spans="2:16">
      <c r="B55" s="123" t="s">
        <v>345</v>
      </c>
      <c r="C55" s="124" t="s">
        <v>140</v>
      </c>
      <c r="D55" s="124" t="s">
        <v>140</v>
      </c>
      <c r="E55" s="145" t="s">
        <v>345</v>
      </c>
      <c r="F55" s="124" t="s">
        <v>140</v>
      </c>
      <c r="G55" s="124" t="s">
        <v>140</v>
      </c>
      <c r="H55" s="145" t="s">
        <v>345</v>
      </c>
      <c r="I55" s="124" t="s">
        <v>140</v>
      </c>
      <c r="J55" s="124" t="s">
        <v>140</v>
      </c>
      <c r="K55" s="145" t="s">
        <v>345</v>
      </c>
      <c r="L55" s="124" t="s">
        <v>140</v>
      </c>
      <c r="M55" s="124" t="s">
        <v>140</v>
      </c>
      <c r="N55" s="145" t="s">
        <v>345</v>
      </c>
      <c r="O55" s="124" t="s">
        <v>140</v>
      </c>
      <c r="P55" s="124" t="s">
        <v>140</v>
      </c>
    </row>
    <row r="56" spans="2:16">
      <c r="B56" s="8" t="s">
        <v>116</v>
      </c>
      <c r="C56" s="28">
        <v>28</v>
      </c>
      <c r="D56" s="26" t="s">
        <v>117</v>
      </c>
      <c r="E56" s="132" t="s">
        <v>346</v>
      </c>
      <c r="F56" s="132">
        <v>30</v>
      </c>
      <c r="G56" s="132" t="s">
        <v>251</v>
      </c>
      <c r="H56" s="8" t="s">
        <v>347</v>
      </c>
      <c r="I56" s="28">
        <v>28</v>
      </c>
      <c r="J56" s="26" t="s">
        <v>117</v>
      </c>
      <c r="K56" s="8" t="s">
        <v>347</v>
      </c>
      <c r="L56" s="28">
        <v>28</v>
      </c>
      <c r="M56" s="26" t="s">
        <v>117</v>
      </c>
      <c r="N56" s="8" t="s">
        <v>116</v>
      </c>
      <c r="O56" s="28">
        <v>28</v>
      </c>
      <c r="P56" s="26" t="s">
        <v>117</v>
      </c>
    </row>
    <row r="57" spans="2:16">
      <c r="B57" s="8" t="s">
        <v>348</v>
      </c>
      <c r="C57" s="11">
        <v>28</v>
      </c>
      <c r="D57" s="10" t="s">
        <v>117</v>
      </c>
      <c r="E57" s="132" t="s">
        <v>349</v>
      </c>
      <c r="F57" s="132">
        <v>15</v>
      </c>
      <c r="G57" s="132" t="s">
        <v>251</v>
      </c>
      <c r="H57" s="8" t="s">
        <v>118</v>
      </c>
      <c r="I57" s="11">
        <v>28</v>
      </c>
      <c r="J57" s="10" t="s">
        <v>117</v>
      </c>
      <c r="K57" s="8" t="s">
        <v>348</v>
      </c>
      <c r="L57" s="11">
        <v>28</v>
      </c>
      <c r="M57" s="10" t="s">
        <v>117</v>
      </c>
      <c r="N57" s="8" t="s">
        <v>348</v>
      </c>
      <c r="O57" s="11">
        <v>28</v>
      </c>
      <c r="P57" s="10" t="s">
        <v>117</v>
      </c>
    </row>
    <row r="58" spans="2:16">
      <c r="B58" s="8" t="s">
        <v>350</v>
      </c>
      <c r="C58" s="11">
        <v>10</v>
      </c>
      <c r="D58" s="10" t="s">
        <v>117</v>
      </c>
      <c r="E58" s="132" t="s">
        <v>351</v>
      </c>
      <c r="F58" s="132">
        <v>20</v>
      </c>
      <c r="G58" s="132" t="s">
        <v>251</v>
      </c>
      <c r="H58" s="8" t="s">
        <v>120</v>
      </c>
      <c r="I58" s="11">
        <v>10</v>
      </c>
      <c r="J58" s="10" t="s">
        <v>117</v>
      </c>
      <c r="K58" s="8" t="s">
        <v>352</v>
      </c>
      <c r="L58" s="11">
        <v>10</v>
      </c>
      <c r="M58" s="10" t="s">
        <v>117</v>
      </c>
      <c r="N58" s="8" t="s">
        <v>350</v>
      </c>
      <c r="O58" s="11">
        <v>10</v>
      </c>
      <c r="P58" s="10" t="s">
        <v>117</v>
      </c>
    </row>
    <row r="59" spans="2:16">
      <c r="B59" s="8" t="s">
        <v>121</v>
      </c>
      <c r="C59" s="11">
        <v>8</v>
      </c>
      <c r="D59" s="10" t="s">
        <v>117</v>
      </c>
      <c r="E59" s="132" t="s">
        <v>353</v>
      </c>
      <c r="F59" s="132">
        <v>30</v>
      </c>
      <c r="G59" s="132" t="s">
        <v>251</v>
      </c>
      <c r="H59" s="8" t="s">
        <v>121</v>
      </c>
      <c r="I59" s="11">
        <v>8</v>
      </c>
      <c r="J59" s="10" t="s">
        <v>117</v>
      </c>
      <c r="K59" s="8" t="s">
        <v>121</v>
      </c>
      <c r="L59" s="11">
        <v>8</v>
      </c>
      <c r="M59" s="10" t="s">
        <v>117</v>
      </c>
      <c r="N59" s="8" t="s">
        <v>121</v>
      </c>
      <c r="O59" s="11">
        <v>8</v>
      </c>
      <c r="P59" s="10" t="s">
        <v>117</v>
      </c>
    </row>
    <row r="60" spans="2:16">
      <c r="B60" s="8" t="s">
        <v>122</v>
      </c>
      <c r="C60" s="11" t="s">
        <v>123</v>
      </c>
      <c r="D60" s="10" t="s">
        <v>117</v>
      </c>
      <c r="E60" s="132" t="s">
        <v>121</v>
      </c>
      <c r="F60" s="132">
        <v>8</v>
      </c>
      <c r="G60" s="132" t="s">
        <v>251</v>
      </c>
      <c r="H60" s="8" t="s">
        <v>122</v>
      </c>
      <c r="I60" s="11" t="s">
        <v>123</v>
      </c>
      <c r="J60" s="10" t="s">
        <v>117</v>
      </c>
      <c r="K60" s="8" t="s">
        <v>122</v>
      </c>
      <c r="L60" s="11" t="s">
        <v>123</v>
      </c>
      <c r="M60" s="10" t="s">
        <v>117</v>
      </c>
      <c r="N60" s="8" t="s">
        <v>122</v>
      </c>
      <c r="O60" s="11" t="s">
        <v>123</v>
      </c>
      <c r="P60" s="10" t="s">
        <v>117</v>
      </c>
    </row>
    <row r="61" spans="2:16">
      <c r="B61" s="8" t="s">
        <v>125</v>
      </c>
      <c r="C61" s="11">
        <v>10</v>
      </c>
      <c r="D61" s="10" t="s">
        <v>117</v>
      </c>
      <c r="E61" s="132" t="s">
        <v>140</v>
      </c>
      <c r="F61" s="132" t="s">
        <v>140</v>
      </c>
      <c r="G61" s="132" t="s">
        <v>140</v>
      </c>
      <c r="H61" s="8" t="s">
        <v>125</v>
      </c>
      <c r="I61" s="11">
        <v>10</v>
      </c>
      <c r="J61" s="10" t="s">
        <v>117</v>
      </c>
      <c r="K61" s="8" t="s">
        <v>125</v>
      </c>
      <c r="L61" s="11">
        <v>10</v>
      </c>
      <c r="M61" s="10" t="s">
        <v>117</v>
      </c>
      <c r="N61" s="8" t="s">
        <v>125</v>
      </c>
      <c r="O61" s="11">
        <v>10</v>
      </c>
      <c r="P61" s="10" t="s">
        <v>117</v>
      </c>
    </row>
    <row r="62" spans="2:16">
      <c r="B62" s="25" t="s">
        <v>128</v>
      </c>
      <c r="C62" s="28">
        <v>28</v>
      </c>
      <c r="D62" s="26" t="s">
        <v>18</v>
      </c>
      <c r="E62" s="132" t="s">
        <v>140</v>
      </c>
      <c r="F62" s="132" t="s">
        <v>140</v>
      </c>
      <c r="G62" s="132" t="s">
        <v>140</v>
      </c>
      <c r="H62" s="25" t="s">
        <v>128</v>
      </c>
      <c r="I62" s="28">
        <v>28</v>
      </c>
      <c r="J62" s="26" t="s">
        <v>18</v>
      </c>
      <c r="K62" s="25" t="s">
        <v>128</v>
      </c>
      <c r="L62" s="28">
        <v>28</v>
      </c>
      <c r="M62" s="26" t="s">
        <v>18</v>
      </c>
      <c r="N62" s="25" t="s">
        <v>128</v>
      </c>
      <c r="O62" s="28">
        <v>28</v>
      </c>
      <c r="P62" s="26" t="s">
        <v>18</v>
      </c>
    </row>
    <row r="63" spans="2:16">
      <c r="B63" s="131" t="s">
        <v>140</v>
      </c>
      <c r="C63" s="132" t="s">
        <v>140</v>
      </c>
      <c r="D63" s="132" t="s">
        <v>140</v>
      </c>
      <c r="E63" s="132" t="s">
        <v>140</v>
      </c>
      <c r="F63" s="132" t="s">
        <v>140</v>
      </c>
      <c r="G63" s="132" t="s">
        <v>140</v>
      </c>
      <c r="H63" s="132" t="s">
        <v>140</v>
      </c>
      <c r="I63" s="132" t="s">
        <v>140</v>
      </c>
      <c r="J63" s="132" t="s">
        <v>140</v>
      </c>
      <c r="K63" s="132" t="s">
        <v>140</v>
      </c>
      <c r="L63" s="132" t="s">
        <v>140</v>
      </c>
      <c r="M63" s="132" t="s">
        <v>140</v>
      </c>
      <c r="N63" s="131" t="s">
        <v>140</v>
      </c>
      <c r="O63" s="132" t="s">
        <v>140</v>
      </c>
      <c r="P63" s="132" t="s">
        <v>140</v>
      </c>
    </row>
    <row r="64" spans="2:16">
      <c r="B64" s="131" t="s">
        <v>140</v>
      </c>
      <c r="C64" s="132" t="s">
        <v>140</v>
      </c>
      <c r="D64" s="132" t="s">
        <v>140</v>
      </c>
      <c r="E64" s="132" t="s">
        <v>140</v>
      </c>
      <c r="F64" s="132" t="s">
        <v>140</v>
      </c>
      <c r="G64" s="132" t="s">
        <v>140</v>
      </c>
      <c r="H64" s="132" t="s">
        <v>140</v>
      </c>
      <c r="I64" s="132" t="s">
        <v>140</v>
      </c>
      <c r="J64" s="132" t="s">
        <v>140</v>
      </c>
      <c r="K64" s="132" t="s">
        <v>140</v>
      </c>
      <c r="L64" s="132" t="s">
        <v>140</v>
      </c>
      <c r="M64" s="132" t="s">
        <v>140</v>
      </c>
      <c r="N64" s="131" t="s">
        <v>140</v>
      </c>
      <c r="O64" s="132" t="s">
        <v>140</v>
      </c>
      <c r="P64" s="132" t="s">
        <v>140</v>
      </c>
    </row>
    <row r="65" spans="2:16">
      <c r="B65" s="123" t="s">
        <v>354</v>
      </c>
      <c r="C65" s="124" t="s">
        <v>140</v>
      </c>
      <c r="D65" s="124" t="s">
        <v>140</v>
      </c>
      <c r="E65" s="145" t="s">
        <v>354</v>
      </c>
      <c r="F65" s="124" t="s">
        <v>140</v>
      </c>
      <c r="G65" s="124" t="s">
        <v>140</v>
      </c>
      <c r="H65" s="145" t="s">
        <v>354</v>
      </c>
      <c r="I65" s="124" t="s">
        <v>140</v>
      </c>
      <c r="J65" s="124" t="s">
        <v>140</v>
      </c>
      <c r="K65" s="145" t="s">
        <v>354</v>
      </c>
      <c r="L65" s="124" t="s">
        <v>140</v>
      </c>
      <c r="M65" s="124" t="s">
        <v>140</v>
      </c>
      <c r="N65" s="145" t="s">
        <v>354</v>
      </c>
      <c r="O65" s="124" t="s">
        <v>140</v>
      </c>
      <c r="P65" s="124" t="s">
        <v>140</v>
      </c>
    </row>
    <row r="66" spans="2:16">
      <c r="B66" s="131" t="s">
        <v>355</v>
      </c>
      <c r="C66" s="132">
        <v>60</v>
      </c>
      <c r="D66" s="132" t="s">
        <v>143</v>
      </c>
      <c r="E66" s="132" t="s">
        <v>355</v>
      </c>
      <c r="F66" s="132">
        <v>60</v>
      </c>
      <c r="G66" s="132" t="s">
        <v>143</v>
      </c>
      <c r="H66" s="132" t="s">
        <v>356</v>
      </c>
      <c r="I66" s="132">
        <v>90</v>
      </c>
      <c r="J66" s="132" t="s">
        <v>143</v>
      </c>
      <c r="K66" s="132" t="s">
        <v>356</v>
      </c>
      <c r="L66" s="132">
        <v>90</v>
      </c>
      <c r="M66" s="132" t="s">
        <v>143</v>
      </c>
      <c r="N66" s="132" t="s">
        <v>357</v>
      </c>
      <c r="O66" s="132">
        <v>60</v>
      </c>
      <c r="P66" s="132" t="s">
        <v>18</v>
      </c>
    </row>
    <row r="67" spans="2:16">
      <c r="B67" s="131" t="s">
        <v>358</v>
      </c>
      <c r="C67" s="132">
        <v>30</v>
      </c>
      <c r="D67" s="132" t="s">
        <v>143</v>
      </c>
      <c r="E67" s="132" t="s">
        <v>358</v>
      </c>
      <c r="F67" s="132">
        <v>30</v>
      </c>
      <c r="G67" s="132" t="s">
        <v>143</v>
      </c>
      <c r="H67" s="132" t="s">
        <v>140</v>
      </c>
      <c r="I67" s="132" t="s">
        <v>140</v>
      </c>
      <c r="J67" s="132" t="s">
        <v>140</v>
      </c>
      <c r="K67" s="132" t="s">
        <v>140</v>
      </c>
      <c r="L67" s="132" t="s">
        <v>140</v>
      </c>
      <c r="M67" s="132" t="s">
        <v>140</v>
      </c>
      <c r="N67" s="132" t="s">
        <v>359</v>
      </c>
      <c r="O67" s="132">
        <v>15</v>
      </c>
      <c r="P67" s="132" t="s">
        <v>18</v>
      </c>
    </row>
    <row r="68" spans="2:16">
      <c r="B68" s="131" t="s">
        <v>360</v>
      </c>
      <c r="C68" s="132">
        <v>3</v>
      </c>
      <c r="D68" s="132" t="s">
        <v>143</v>
      </c>
      <c r="E68" s="132" t="s">
        <v>360</v>
      </c>
      <c r="F68" s="132">
        <v>3</v>
      </c>
      <c r="G68" s="132" t="s">
        <v>143</v>
      </c>
      <c r="H68" s="132" t="s">
        <v>140</v>
      </c>
      <c r="I68" s="132" t="s">
        <v>140</v>
      </c>
      <c r="J68" s="132" t="s">
        <v>140</v>
      </c>
      <c r="K68" s="132" t="s">
        <v>140</v>
      </c>
      <c r="L68" s="132" t="s">
        <v>140</v>
      </c>
      <c r="M68" s="132" t="s">
        <v>140</v>
      </c>
      <c r="N68" s="132" t="s">
        <v>361</v>
      </c>
      <c r="O68" s="132">
        <v>3</v>
      </c>
      <c r="P68" s="132" t="s">
        <v>18</v>
      </c>
    </row>
    <row r="69" spans="2:16">
      <c r="B69" s="123" t="s">
        <v>362</v>
      </c>
      <c r="C69" s="124" t="s">
        <v>140</v>
      </c>
      <c r="D69" s="124" t="s">
        <v>140</v>
      </c>
      <c r="E69" s="145" t="s">
        <v>362</v>
      </c>
      <c r="F69" s="124" t="s">
        <v>140</v>
      </c>
      <c r="G69" s="124" t="s">
        <v>140</v>
      </c>
      <c r="H69" s="145" t="s">
        <v>362</v>
      </c>
      <c r="I69" s="124" t="s">
        <v>140</v>
      </c>
      <c r="J69" s="124" t="s">
        <v>140</v>
      </c>
      <c r="K69" s="145" t="s">
        <v>362</v>
      </c>
      <c r="L69" s="124" t="s">
        <v>140</v>
      </c>
      <c r="M69" s="124" t="s">
        <v>140</v>
      </c>
      <c r="N69" s="145" t="s">
        <v>362</v>
      </c>
      <c r="O69" s="124" t="s">
        <v>140</v>
      </c>
      <c r="P69" s="124" t="s">
        <v>140</v>
      </c>
    </row>
    <row r="70" spans="2:16">
      <c r="B70" s="131" t="s">
        <v>136</v>
      </c>
      <c r="C70" s="132">
        <v>30</v>
      </c>
      <c r="D70" s="132" t="s">
        <v>143</v>
      </c>
      <c r="E70" s="132" t="s">
        <v>136</v>
      </c>
      <c r="F70" s="132">
        <v>30</v>
      </c>
      <c r="G70" s="132" t="s">
        <v>143</v>
      </c>
      <c r="H70" s="132" t="s">
        <v>339</v>
      </c>
      <c r="I70" s="132">
        <v>30</v>
      </c>
      <c r="J70" s="132" t="s">
        <v>340</v>
      </c>
      <c r="K70" s="132" t="s">
        <v>140</v>
      </c>
      <c r="L70" s="132" t="s">
        <v>140</v>
      </c>
      <c r="M70" s="132" t="s">
        <v>140</v>
      </c>
      <c r="N70" s="132" t="s">
        <v>136</v>
      </c>
      <c r="O70" s="132">
        <v>30</v>
      </c>
      <c r="P70" s="132" t="s">
        <v>18</v>
      </c>
    </row>
    <row r="71" spans="2:16">
      <c r="B71" s="131" t="s">
        <v>363</v>
      </c>
      <c r="C71" s="132">
        <v>40</v>
      </c>
      <c r="D71" s="132" t="s">
        <v>143</v>
      </c>
      <c r="E71" s="132" t="s">
        <v>363</v>
      </c>
      <c r="F71" s="132">
        <v>40</v>
      </c>
      <c r="G71" s="132" t="s">
        <v>143</v>
      </c>
      <c r="H71" s="132" t="s">
        <v>140</v>
      </c>
      <c r="I71" s="132" t="s">
        <v>140</v>
      </c>
      <c r="J71" s="132" t="s">
        <v>140</v>
      </c>
      <c r="K71" s="132" t="s">
        <v>363</v>
      </c>
      <c r="L71" s="132">
        <v>40</v>
      </c>
      <c r="M71" s="132" t="s">
        <v>143</v>
      </c>
      <c r="N71" s="132" t="s">
        <v>363</v>
      </c>
      <c r="O71" s="132">
        <v>40</v>
      </c>
      <c r="P71" s="132" t="s">
        <v>18</v>
      </c>
    </row>
    <row r="72" spans="2:16">
      <c r="B72" s="131" t="s">
        <v>138</v>
      </c>
      <c r="C72" s="132">
        <v>40</v>
      </c>
      <c r="D72" s="132" t="s">
        <v>143</v>
      </c>
      <c r="E72" s="132" t="s">
        <v>138</v>
      </c>
      <c r="F72" s="132">
        <v>40</v>
      </c>
      <c r="G72" s="132" t="s">
        <v>143</v>
      </c>
      <c r="H72" s="132" t="s">
        <v>140</v>
      </c>
      <c r="I72" s="132" t="s">
        <v>140</v>
      </c>
      <c r="J72" s="132" t="s">
        <v>140</v>
      </c>
      <c r="K72" s="132" t="s">
        <v>138</v>
      </c>
      <c r="L72" s="132">
        <v>40</v>
      </c>
      <c r="M72" s="132" t="s">
        <v>143</v>
      </c>
      <c r="N72" s="132" t="s">
        <v>138</v>
      </c>
      <c r="O72" s="132">
        <v>40</v>
      </c>
      <c r="P72" s="13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8" ma:contentTypeDescription="Create a new document." ma:contentTypeScope="" ma:versionID="5e69d1159aa678da6027a2c969f79a8f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079eede416f52f25d70ea86ca9e3bf4f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DFC7EE-9C05-4CB3-8D7A-311F0A6ACA07}"/>
</file>

<file path=customXml/itemProps2.xml><?xml version="1.0" encoding="utf-8"?>
<ds:datastoreItem xmlns:ds="http://schemas.openxmlformats.org/officeDocument/2006/customXml" ds:itemID="{1B321509-F9E0-4889-B1CD-7994E04532AC}"/>
</file>

<file path=customXml/itemProps3.xml><?xml version="1.0" encoding="utf-8"?>
<ds:datastoreItem xmlns:ds="http://schemas.openxmlformats.org/officeDocument/2006/customXml" ds:itemID="{19C7A03C-6546-469F-8411-4B59EEC41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Anthony  Barnhart</cp:lastModifiedBy>
  <cp:revision/>
  <dcterms:created xsi:type="dcterms:W3CDTF">2024-02-23T19:31:22Z</dcterms:created>
  <dcterms:modified xsi:type="dcterms:W3CDTF">2025-04-11T16:27:00Z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