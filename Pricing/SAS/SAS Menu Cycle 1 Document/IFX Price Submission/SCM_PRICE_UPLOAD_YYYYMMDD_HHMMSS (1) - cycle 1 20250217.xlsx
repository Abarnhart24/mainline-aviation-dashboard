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esktop/"/>
    </mc:Choice>
  </mc:AlternateContent>
  <xr:revisionPtr revIDLastSave="0" documentId="8_{DEFA31FF-C842-43C4-BA06-750897E6F1C4}" xr6:coauthVersionLast="47" xr6:coauthVersionMax="47" xr10:uidLastSave="{00000000-0000-0000-0000-000000000000}"/>
  <bookViews>
    <workbookView xWindow="28680" yWindow="-546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1" l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3" i="1" a="1"/>
  <c r="C122" i="1"/>
  <c r="C122" i="1" a="1"/>
  <c r="C121" i="1"/>
  <c r="C121" i="1" a="1"/>
  <c r="C120" i="1"/>
  <c r="C120" i="1" a="1"/>
  <c r="C119" i="1"/>
  <c r="C119" i="1" a="1"/>
  <c r="C118" i="1"/>
  <c r="C118" i="1" a="1"/>
  <c r="C117" i="1"/>
  <c r="C117" i="1" a="1"/>
  <c r="C116" i="1"/>
  <c r="C116" i="1" a="1"/>
  <c r="C115" i="1"/>
  <c r="C115" i="1" a="1"/>
  <c r="C114" i="1"/>
  <c r="C114" i="1" a="1"/>
  <c r="C113" i="1"/>
  <c r="C113" i="1" a="1"/>
  <c r="C112" i="1"/>
  <c r="C112" i="1" a="1"/>
  <c r="C111" i="1"/>
  <c r="C111" i="1" a="1"/>
  <c r="C110" i="1"/>
  <c r="C110" i="1" a="1"/>
  <c r="C109" i="1"/>
  <c r="C109" i="1" a="1"/>
  <c r="C108" i="1"/>
  <c r="C108" i="1" a="1"/>
  <c r="C107" i="1"/>
  <c r="C107" i="1" a="1"/>
  <c r="C106" i="1"/>
  <c r="C106" i="1" a="1"/>
  <c r="C105" i="1"/>
  <c r="C105" i="1" a="1"/>
  <c r="C104" i="1"/>
  <c r="C104" i="1" a="1"/>
  <c r="C103" i="1"/>
  <c r="C103" i="1" a="1"/>
  <c r="C102" i="1"/>
  <c r="C102" i="1" a="1"/>
  <c r="C101" i="1"/>
  <c r="C101" i="1" a="1"/>
  <c r="C100" i="1"/>
  <c r="C100" i="1" a="1"/>
  <c r="C99" i="1"/>
  <c r="C99" i="1" a="1"/>
  <c r="C98" i="1"/>
  <c r="C98" i="1" a="1"/>
  <c r="C97" i="1"/>
  <c r="C97" i="1" a="1"/>
  <c r="C96" i="1"/>
  <c r="C96" i="1" a="1"/>
  <c r="C95" i="1"/>
  <c r="C95" i="1" a="1"/>
  <c r="C94" i="1"/>
  <c r="C94" i="1" a="1"/>
  <c r="C93" i="1"/>
  <c r="C93" i="1" a="1"/>
  <c r="C92" i="1"/>
  <c r="C92" i="1" a="1"/>
  <c r="C91" i="1"/>
  <c r="C91" i="1" a="1"/>
  <c r="C90" i="1"/>
  <c r="C90" i="1" a="1"/>
  <c r="C89" i="1"/>
  <c r="C89" i="1" a="1"/>
  <c r="C88" i="1"/>
  <c r="C88" i="1" a="1"/>
  <c r="C87" i="1"/>
  <c r="C87" i="1" a="1"/>
  <c r="C86" i="1"/>
  <c r="C86" i="1" a="1"/>
  <c r="C85" i="1"/>
  <c r="C85" i="1" a="1"/>
  <c r="C84" i="1"/>
  <c r="C84" i="1" a="1"/>
  <c r="C83" i="1"/>
  <c r="C83" i="1" a="1"/>
  <c r="C82" i="1"/>
  <c r="C82" i="1" a="1"/>
  <c r="C81" i="1"/>
  <c r="C81" i="1" a="1"/>
  <c r="C80" i="1"/>
  <c r="C80" i="1" a="1"/>
  <c r="C79" i="1"/>
  <c r="C79" i="1" a="1"/>
  <c r="C78" i="1"/>
  <c r="C78" i="1" a="1"/>
  <c r="C77" i="1"/>
  <c r="C77" i="1" a="1"/>
  <c r="C76" i="1"/>
  <c r="C76" i="1" a="1"/>
  <c r="C75" i="1"/>
  <c r="C75" i="1" a="1"/>
  <c r="C74" i="1"/>
  <c r="C74" i="1" a="1"/>
  <c r="C73" i="1"/>
  <c r="C73" i="1" a="1"/>
  <c r="C72" i="1"/>
  <c r="C72" i="1" a="1"/>
  <c r="C71" i="1"/>
  <c r="C71" i="1" a="1"/>
  <c r="C70" i="1"/>
  <c r="C70" i="1" a="1"/>
  <c r="C69" i="1"/>
  <c r="C69" i="1" a="1"/>
  <c r="C68" i="1"/>
  <c r="C68" i="1" a="1"/>
  <c r="C67" i="1"/>
  <c r="C67" i="1" a="1"/>
  <c r="C66" i="1"/>
  <c r="C66" i="1" a="1"/>
  <c r="C65" i="1"/>
  <c r="C65" i="1" a="1"/>
  <c r="C64" i="1"/>
  <c r="C64" i="1" a="1"/>
  <c r="C63" i="1"/>
  <c r="C63" i="1" a="1"/>
  <c r="C62" i="1"/>
  <c r="C62" i="1" a="1"/>
  <c r="C61" i="1"/>
  <c r="C61" i="1" a="1"/>
  <c r="C60" i="1"/>
  <c r="C60" i="1" a="1"/>
  <c r="C59" i="1"/>
  <c r="C59" i="1" a="1"/>
  <c r="C58" i="1"/>
  <c r="C58" i="1" a="1"/>
  <c r="C57" i="1"/>
  <c r="C57" i="1" a="1"/>
  <c r="C56" i="1"/>
  <c r="C56" i="1" a="1"/>
  <c r="C55" i="1"/>
  <c r="C55" i="1" a="1"/>
  <c r="C54" i="1"/>
  <c r="C54" i="1" a="1"/>
  <c r="C53" i="1"/>
  <c r="C53" i="1" a="1"/>
  <c r="C52" i="1"/>
  <c r="C52" i="1" a="1"/>
  <c r="C51" i="1"/>
  <c r="C51" i="1" a="1"/>
  <c r="C50" i="1"/>
  <c r="C50" i="1" a="1"/>
  <c r="C49" i="1"/>
  <c r="C49" i="1" a="1"/>
  <c r="C48" i="1"/>
  <c r="C48" i="1" a="1"/>
  <c r="C47" i="1"/>
  <c r="C47" i="1" a="1"/>
  <c r="C46" i="1"/>
  <c r="C46" i="1" a="1"/>
  <c r="C45" i="1"/>
  <c r="C45" i="1" a="1"/>
  <c r="C44" i="1"/>
  <c r="C44" i="1" a="1"/>
  <c r="C43" i="1"/>
  <c r="C43" i="1" a="1"/>
  <c r="C42" i="1"/>
  <c r="C42" i="1" a="1"/>
  <c r="C41" i="1"/>
  <c r="C41" i="1" a="1"/>
  <c r="C40" i="1"/>
  <c r="C40" i="1" a="1"/>
  <c r="C39" i="1"/>
  <c r="C39" i="1" a="1"/>
  <c r="C38" i="1"/>
  <c r="C38" i="1" a="1"/>
  <c r="C37" i="1"/>
  <c r="C37" i="1" a="1"/>
  <c r="C36" i="1"/>
  <c r="C36" i="1" a="1"/>
  <c r="C35" i="1"/>
  <c r="C35" i="1" a="1"/>
  <c r="C34" i="1"/>
  <c r="C34" i="1" a="1"/>
  <c r="C33" i="1"/>
  <c r="C33" i="1" a="1"/>
  <c r="C32" i="1"/>
  <c r="C32" i="1" a="1"/>
  <c r="C31" i="1"/>
  <c r="C31" i="1" a="1"/>
  <c r="C30" i="1"/>
  <c r="C30" i="1" a="1"/>
  <c r="C29" i="1"/>
  <c r="C29" i="1" a="1"/>
  <c r="C28" i="1"/>
  <c r="C28" i="1" a="1"/>
  <c r="C27" i="1"/>
  <c r="C27" i="1" a="1"/>
  <c r="C26" i="1"/>
  <c r="C26" i="1" a="1"/>
  <c r="C25" i="1"/>
  <c r="C25" i="1" a="1"/>
  <c r="C24" i="1"/>
  <c r="C24" i="1" a="1"/>
  <c r="C23" i="1"/>
  <c r="C23" i="1" a="1"/>
  <c r="C22" i="1"/>
  <c r="C22" i="1" a="1"/>
  <c r="C21" i="1"/>
  <c r="C21" i="1" a="1"/>
  <c r="C20" i="1"/>
  <c r="C20" i="1" a="1"/>
  <c r="C19" i="1"/>
  <c r="C19" i="1" a="1"/>
  <c r="C18" i="1"/>
  <c r="C18" i="1" a="1"/>
  <c r="C17" i="1"/>
  <c r="C17" i="1" a="1"/>
  <c r="C16" i="1"/>
  <c r="C16" i="1" a="1"/>
  <c r="C15" i="1"/>
  <c r="C15" i="1" a="1"/>
  <c r="C14" i="1"/>
  <c r="C14" i="1" a="1"/>
  <c r="C13" i="1"/>
  <c r="C13" i="1" a="1"/>
  <c r="C12" i="1"/>
  <c r="C12" i="1" a="1"/>
  <c r="C11" i="1"/>
  <c r="C11" i="1" a="1"/>
  <c r="C10" i="1"/>
  <c r="C10" i="1" a="1"/>
  <c r="C9" i="1"/>
  <c r="C9" i="1" a="1"/>
  <c r="C8" i="1"/>
  <c r="C8" i="1" a="1"/>
  <c r="C7" i="1"/>
  <c r="C7" i="1" a="1"/>
  <c r="C6" i="1"/>
  <c r="C6" i="1" a="1"/>
  <c r="C5" i="1"/>
  <c r="C5" i="1" a="1"/>
  <c r="C4" i="1"/>
  <c r="C4" i="1" a="1"/>
  <c r="C3" i="1"/>
  <c r="C3" i="1" a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<sst xmlns="http://schemas.openxmlformats.org/spreadsheetml/2006/main" count="823" uniqueCount="183">
  <si>
    <t>SPEC CODE</t>
  </si>
  <si>
    <t>SQR CODE</t>
  </si>
  <si>
    <t>PRICE</t>
  </si>
  <si>
    <t>CURRENCY</t>
  </si>
  <si>
    <t>RAW COST</t>
  </si>
  <si>
    <t>FOOD LABOR RATE</t>
  </si>
  <si>
    <t>UTILITY LABOR RATE</t>
  </si>
  <si>
    <t>TRANSPORT LABOR RATE</t>
  </si>
  <si>
    <t>FOOD MAN MINUTES</t>
  </si>
  <si>
    <t>UTILITY MAN MINUTES</t>
  </si>
  <si>
    <t>TRANSPORT MAN MINUTES</t>
  </si>
  <si>
    <t>% YIELD</t>
  </si>
  <si>
    <t>EFFECTIVE DATE (MM/DD/YYYY)</t>
  </si>
  <si>
    <t>END DATE (MM/DD/YYYY)</t>
  </si>
  <si>
    <t>CATERER CODE</t>
  </si>
  <si>
    <t>PRICE GROUP</t>
  </si>
  <si>
    <t>STATION</t>
  </si>
  <si>
    <t>COMMENTS</t>
  </si>
  <si>
    <t>4ATL-411080</t>
  </si>
  <si>
    <t>USD</t>
  </si>
  <si>
    <t>06/31/2025</t>
  </si>
  <si>
    <t>MA-US</t>
  </si>
  <si>
    <t>ATL</t>
  </si>
  <si>
    <t>2ATL-411011</t>
  </si>
  <si>
    <t>2ATL-411021</t>
  </si>
  <si>
    <t>2ATL-411041</t>
  </si>
  <si>
    <t>2ATL-411051</t>
  </si>
  <si>
    <t>2ATL-411181</t>
  </si>
  <si>
    <t>2ATL-411061</t>
  </si>
  <si>
    <t>2ATL-411081</t>
  </si>
  <si>
    <t>2ATL-411091</t>
  </si>
  <si>
    <t>2ATL-411111</t>
  </si>
  <si>
    <t>2ATL-411121</t>
  </si>
  <si>
    <t>2ATL-411141</t>
  </si>
  <si>
    <t>2ATL-411151</t>
  </si>
  <si>
    <t>2ATL-411171</t>
  </si>
  <si>
    <t>4ATL-411040</t>
  </si>
  <si>
    <t>4ATL-411050</t>
  </si>
  <si>
    <t>4ATL-411060</t>
  </si>
  <si>
    <t>4ATL-411070</t>
  </si>
  <si>
    <t>4ATL-411010</t>
  </si>
  <si>
    <t>4ATL-411020</t>
  </si>
  <si>
    <t>4ATL-411030</t>
  </si>
  <si>
    <t>3ATL-411010</t>
  </si>
  <si>
    <t>2ATL-411191</t>
  </si>
  <si>
    <t>2ATL-411221</t>
  </si>
  <si>
    <t>2ATL-411231</t>
  </si>
  <si>
    <t>2ATL-411125</t>
  </si>
  <si>
    <t>3ATL-412010</t>
  </si>
  <si>
    <t>4ATL-412030</t>
  </si>
  <si>
    <t>2ATL-412011</t>
  </si>
  <si>
    <t>2ATL-411050</t>
  </si>
  <si>
    <t>2ATL-412111</t>
  </si>
  <si>
    <t>4ATL-412010</t>
  </si>
  <si>
    <t>4ATL-412015</t>
  </si>
  <si>
    <t>4ATL-412020</t>
  </si>
  <si>
    <t>3ATL-421010</t>
  </si>
  <si>
    <t>2ATL-421011</t>
  </si>
  <si>
    <t>2ATL-421041</t>
  </si>
  <si>
    <t>4ATL-421010</t>
  </si>
  <si>
    <t>3ATL-422010</t>
  </si>
  <si>
    <t>2ATL-422011</t>
  </si>
  <si>
    <t>4ATL-422011</t>
  </si>
  <si>
    <t>3ATL-431010</t>
  </si>
  <si>
    <t>2ATL-431011</t>
  </si>
  <si>
    <t>2ATL-421021</t>
  </si>
  <si>
    <t>2ATL-421031</t>
  </si>
  <si>
    <t>2ATL-431020</t>
  </si>
  <si>
    <t>4ATL-431010</t>
  </si>
  <si>
    <t>2ATL-432020</t>
  </si>
  <si>
    <t>4ATL-432010</t>
  </si>
  <si>
    <t>3ATL-9110BK1</t>
  </si>
  <si>
    <t>3ATL-9120BK1</t>
  </si>
  <si>
    <t>3ATL-9210BK1</t>
  </si>
  <si>
    <t>3ATL-9220BK1</t>
  </si>
  <si>
    <t>3333-IC954</t>
  </si>
  <si>
    <t>3334-IC954</t>
  </si>
  <si>
    <t>3591-IC954</t>
  </si>
  <si>
    <t>3333-IC954-T</t>
  </si>
  <si>
    <t>3334-IC954-T</t>
  </si>
  <si>
    <t>3591-IC954-T</t>
  </si>
  <si>
    <t>3333-IC954-OR</t>
  </si>
  <si>
    <t>3334-IC954-OR</t>
  </si>
  <si>
    <t>3591-IC954-OR</t>
  </si>
  <si>
    <t>8ALL-WETICE3333</t>
  </si>
  <si>
    <t>8ALL-WETICE3334</t>
  </si>
  <si>
    <t>8ALL-WETICE3591</t>
  </si>
  <si>
    <t>8ALL-DRYICE3333</t>
  </si>
  <si>
    <t>8ALL-DRYICE3334</t>
  </si>
  <si>
    <t>8ALL-DRYICE3591</t>
  </si>
  <si>
    <t>8ALL-GARBAGE3333</t>
  </si>
  <si>
    <t>8ALL-GARBAGE3334</t>
  </si>
  <si>
    <t>8ALL-GARBAGE3591</t>
  </si>
  <si>
    <t>8ALL-ACDELIVERY</t>
  </si>
  <si>
    <t>8ATL-OVERHEAD-C</t>
  </si>
  <si>
    <t>8ATL-OVERHEAD-Y</t>
  </si>
  <si>
    <t>8ATL-OVERHEAD-M</t>
  </si>
  <si>
    <t>8ATL-OVERHEAD-P</t>
  </si>
  <si>
    <t>8ATL-OVERHEAD-K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</si>
  <si>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</si>
  <si>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</si>
  <si>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</si>
  <si>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</si>
  <si>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</si>
  <si>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</si>
  <si>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</si>
  <si>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</si>
  <si>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</si>
  <si>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</si>
  <si>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</si>
  <si>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</si>
  <si>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</si>
  <si>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</si>
  <si>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</si>
  <si>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</si>
  <si>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</si>
  <si>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</si>
  <si>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</si>
  <si>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</si>
  <si>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</si>
  <si>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</si>
  <si>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</si>
  <si>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</si>
  <si>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</si>
  <si>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</si>
  <si>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</si>
  <si>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</si>
  <si>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</si>
  <si>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</si>
  <si>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</si>
  <si>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</si>
  <si>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3ATL-9110FI0</t>
  </si>
  <si>
    <t>3ATL-9110CK0</t>
  </si>
  <si>
    <t>3ATL-9110GH0</t>
  </si>
  <si>
    <t>3ATL-9310ME0</t>
  </si>
  <si>
    <t>3ATL-9310FI0</t>
  </si>
  <si>
    <t>3ATL-9310CK0</t>
  </si>
  <si>
    <t>3ATL-9310GH0</t>
  </si>
  <si>
    <t>4ATL-443601</t>
  </si>
  <si>
    <t>4ATL-443602</t>
  </si>
  <si>
    <t>4ATL-443603</t>
  </si>
  <si>
    <t>4ATL-443607</t>
  </si>
  <si>
    <t>4ATL-443608</t>
  </si>
  <si>
    <t>4ATL-443609</t>
  </si>
  <si>
    <t>3ATL-550003</t>
  </si>
  <si>
    <t>2ATL-550025</t>
  </si>
  <si>
    <t>2ATL-550026</t>
  </si>
  <si>
    <t>3ATL-560003</t>
  </si>
  <si>
    <t>3ATL-560004</t>
  </si>
  <si>
    <t>3ATL-550001</t>
  </si>
  <si>
    <t>2ATL-550001</t>
  </si>
  <si>
    <t>2ATL-550010</t>
  </si>
  <si>
    <t>2ATL-550011</t>
  </si>
  <si>
    <t>3ATL-560001</t>
  </si>
  <si>
    <t>2ATL-560001</t>
  </si>
  <si>
    <t>2ATL-560010</t>
  </si>
  <si>
    <t>2ATL-560011</t>
  </si>
  <si>
    <t>3ATL-550002</t>
  </si>
  <si>
    <t>2ATL-550020</t>
  </si>
  <si>
    <t>3ATL-560002</t>
  </si>
  <si>
    <t>2ATL-560020</t>
  </si>
  <si>
    <t>3ATL-35JVG0</t>
  </si>
  <si>
    <t>3ATL-35JVL0</t>
  </si>
  <si>
    <t>3ATL-35JLG0</t>
  </si>
  <si>
    <t>3ATL-36JVG0</t>
  </si>
  <si>
    <t>3ATL-36JVL0</t>
  </si>
  <si>
    <t>3ATL-36JLG0</t>
  </si>
  <si>
    <t>3ATL-35FVG0</t>
  </si>
  <si>
    <t>3ATL-35FVL0</t>
  </si>
  <si>
    <t>3ATL-35FLG0</t>
  </si>
  <si>
    <t>3ATL-36FVG0</t>
  </si>
  <si>
    <t>3ATL-36FVL0</t>
  </si>
  <si>
    <t>3ATL-36FLG0</t>
  </si>
  <si>
    <t>3ATL-35OVG0</t>
  </si>
  <si>
    <t>3ATL-35OVL0</t>
  </si>
  <si>
    <t>3ATL-35OLG0</t>
  </si>
  <si>
    <t>3ATL-36OVG0</t>
  </si>
  <si>
    <t>3ATL-36OVL0</t>
  </si>
  <si>
    <t>3ATL-36OLG0</t>
  </si>
  <si>
    <t>4ATL-453601</t>
  </si>
  <si>
    <t>4ATL-453602</t>
  </si>
  <si>
    <t>4ATL-463601</t>
  </si>
  <si>
    <t>4ATL-463602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</si>
</sst>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4" fontId="5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Desktop/IC%20Item%20List%20ATL_upd%20setup_01232025_%20Cycle%201.xlsx" TargetMode="External"/><Relationship Id="rId1" Type="http://schemas.openxmlformats.org/officeDocument/2006/relationships/externalLinkPath" Target="IC%20Item%20List%20ATL_upd%20setup_01232025_%20Cycl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3012025"/>
      <sheetName val="List of All CrewMeal Specs"/>
      <sheetName val="Change Record"/>
      <sheetName val="List of All Pax Spec codes "/>
      <sheetName val="FG MASTER"/>
    </sheetNames>
    <sheetDataSet>
      <sheetData sheetId="0">
        <row r="1">
          <cell r="A1" t="str">
            <v>Caterer: MA-US | Station: ATL</v>
          </cell>
          <cell r="N1" t="str">
            <v>Concept: 01JUN24 | Version: 1 | Updated: 15JUN24</v>
          </cell>
        </row>
        <row r="2">
          <cell r="A2" t="str">
            <v>Overview PAX Spec Codes</v>
          </cell>
        </row>
        <row r="3">
          <cell r="A3" t="str">
            <v>Spec Code</v>
          </cell>
          <cell r="B3" t="str">
            <v>MATCH</v>
          </cell>
          <cell r="C3" t="str">
            <v>SAS Description</v>
          </cell>
          <cell r="E3" t="str">
            <v>Caterer Description</v>
          </cell>
          <cell r="F3" t="str">
            <v>Class</v>
          </cell>
          <cell r="G3" t="str">
            <v>Loading Instructions (Widebody)</v>
          </cell>
          <cell r="H3" t="str">
            <v>Cycle 1 Price</v>
          </cell>
          <cell r="I3" t="str">
            <v>Cycle 2 Price</v>
          </cell>
          <cell r="J3" t="str">
            <v>Cycle 3 Price</v>
          </cell>
          <cell r="K3" t="str">
            <v xml:space="preserve">Cycle 4 Price </v>
          </cell>
          <cell r="L3" t="str">
            <v xml:space="preserve">LOADING </v>
          </cell>
          <cell r="M3" t="str">
            <v>FULL FLIGHT QTY COUNT</v>
          </cell>
          <cell r="N3" t="str">
            <v>Note</v>
          </cell>
        </row>
        <row r="4">
          <cell r="A4" t="str">
            <v>BUSINESS CLASS</v>
          </cell>
        </row>
        <row r="5">
          <cell r="A5" t="str">
            <v>1st Service</v>
          </cell>
        </row>
        <row r="6">
          <cell r="A6" t="str">
            <v>4ATL-411080</v>
          </cell>
          <cell r="B6" t="b">
            <v>1</v>
          </cell>
          <cell r="C6" t="str">
            <v xml:space="preserve">IC C S1 CUTLERY </v>
          </cell>
          <cell r="D6" t="b">
            <v>1</v>
          </cell>
          <cell r="F6" t="str">
            <v>C</v>
          </cell>
          <cell r="G6" t="str">
            <v>Fix Qty 40</v>
          </cell>
          <cell r="H6">
            <v>1.04</v>
          </cell>
          <cell r="I6">
            <v>1.04</v>
          </cell>
          <cell r="J6">
            <v>1.04</v>
          </cell>
          <cell r="K6">
            <v>1.04</v>
          </cell>
          <cell r="L6">
            <v>40</v>
          </cell>
          <cell r="M6">
            <v>40</v>
          </cell>
        </row>
        <row r="7">
          <cell r="A7" t="str">
            <v>2ATL-411011</v>
          </cell>
          <cell r="B7" t="b">
            <v>1</v>
          </cell>
          <cell r="C7" t="str">
            <v xml:space="preserve">IC C S1 SALAD </v>
          </cell>
          <cell r="D7" t="b">
            <v>1</v>
          </cell>
          <cell r="F7" t="str">
            <v>C</v>
          </cell>
          <cell r="G7" t="str">
            <v>Load Scale IC-27</v>
          </cell>
          <cell r="H7">
            <v>2.96</v>
          </cell>
          <cell r="I7">
            <v>2.96</v>
          </cell>
          <cell r="J7">
            <v>2.96</v>
          </cell>
          <cell r="K7">
            <v>2.96</v>
          </cell>
          <cell r="M7">
            <v>2</v>
          </cell>
        </row>
        <row r="8">
          <cell r="A8" t="str">
            <v>2ATL-411021</v>
          </cell>
          <cell r="B8" t="b">
            <v>1</v>
          </cell>
          <cell r="C8" t="str">
            <v xml:space="preserve">IC C S1 SA GARNISH </v>
          </cell>
          <cell r="D8" t="b">
            <v>1</v>
          </cell>
          <cell r="F8" t="str">
            <v>C</v>
          </cell>
          <cell r="G8" t="str">
            <v>Fix Qty 2</v>
          </cell>
          <cell r="H8">
            <v>1.5</v>
          </cell>
          <cell r="I8">
            <v>0.98</v>
          </cell>
          <cell r="J8">
            <v>2.67</v>
          </cell>
          <cell r="K8">
            <v>4.1500000000000004</v>
          </cell>
          <cell r="L8">
            <v>2</v>
          </cell>
          <cell r="M8">
            <v>2</v>
          </cell>
        </row>
        <row r="9">
          <cell r="A9" t="str">
            <v>2ATL-411050</v>
          </cell>
          <cell r="B9" t="b">
            <v>1</v>
          </cell>
          <cell r="C9" t="str">
            <v xml:space="preserve">IC C S1+S2 BUTTER </v>
          </cell>
          <cell r="D9" t="b">
            <v>1</v>
          </cell>
          <cell r="F9" t="str">
            <v>C</v>
          </cell>
          <cell r="G9">
            <v>1</v>
          </cell>
          <cell r="H9">
            <v>0.44</v>
          </cell>
          <cell r="I9">
            <v>0.44</v>
          </cell>
          <cell r="J9">
            <v>0.44</v>
          </cell>
          <cell r="K9">
            <v>0.44</v>
          </cell>
          <cell r="L9">
            <v>1</v>
          </cell>
          <cell r="M9">
            <v>20</v>
          </cell>
        </row>
        <row r="10">
          <cell r="A10" t="str">
            <v>2ATL-411041</v>
          </cell>
          <cell r="B10" t="b">
            <v>1</v>
          </cell>
          <cell r="C10" t="str">
            <v xml:space="preserve">IC C S1 ST-A MEAT </v>
          </cell>
          <cell r="D10" t="b">
            <v>1</v>
          </cell>
          <cell r="F10" t="str">
            <v>C</v>
          </cell>
          <cell r="G10" t="str">
            <v>60% (U)</v>
          </cell>
          <cell r="H10">
            <v>6.2</v>
          </cell>
          <cell r="I10">
            <v>3.13</v>
          </cell>
          <cell r="J10">
            <v>3.82</v>
          </cell>
          <cell r="K10">
            <v>3.98</v>
          </cell>
          <cell r="L10">
            <v>0.6</v>
          </cell>
          <cell r="M10">
            <v>12</v>
          </cell>
        </row>
        <row r="11">
          <cell r="A11" t="str">
            <v>2ATL-411051</v>
          </cell>
          <cell r="B11" t="b">
            <v>1</v>
          </cell>
          <cell r="C11" t="str">
            <v xml:space="preserve">IC C S1 ST-B FISH </v>
          </cell>
          <cell r="D11" t="b">
            <v>1</v>
          </cell>
          <cell r="F11" t="str">
            <v>C</v>
          </cell>
          <cell r="G11" t="str">
            <v>60% (D)</v>
          </cell>
          <cell r="H11">
            <v>6.12</v>
          </cell>
          <cell r="I11">
            <v>3.62</v>
          </cell>
          <cell r="J11">
            <v>5.24</v>
          </cell>
          <cell r="K11">
            <v>3.43</v>
          </cell>
          <cell r="L11">
            <v>0.6</v>
          </cell>
          <cell r="M11">
            <v>12</v>
          </cell>
        </row>
        <row r="12">
          <cell r="A12" t="str">
            <v>2ATL-411181</v>
          </cell>
          <cell r="B12" t="b">
            <v>1</v>
          </cell>
          <cell r="C12" t="str">
            <v xml:space="preserve">IC C S1 ST GARNISH </v>
          </cell>
          <cell r="D12" t="b">
            <v>1</v>
          </cell>
          <cell r="F12" t="str">
            <v>C</v>
          </cell>
          <cell r="G12" t="str">
            <v>Fix Qty 2</v>
          </cell>
          <cell r="H12">
            <v>4.26</v>
          </cell>
          <cell r="I12">
            <v>1.91</v>
          </cell>
          <cell r="J12">
            <v>1.69</v>
          </cell>
          <cell r="K12">
            <v>9.35</v>
          </cell>
          <cell r="L12">
            <v>2</v>
          </cell>
          <cell r="M12">
            <v>2</v>
          </cell>
        </row>
        <row r="13">
          <cell r="A13" t="str">
            <v>2ATL-411061</v>
          </cell>
          <cell r="B13" t="b">
            <v>1</v>
          </cell>
          <cell r="C13" t="str">
            <v xml:space="preserve">IC C S1 HM-A MEAT </v>
          </cell>
          <cell r="D13" t="b">
            <v>1</v>
          </cell>
          <cell r="F13" t="str">
            <v>C</v>
          </cell>
          <cell r="G13" t="str">
            <v>50% (U)</v>
          </cell>
          <cell r="H13">
            <v>12.24</v>
          </cell>
          <cell r="I13">
            <v>13.5</v>
          </cell>
          <cell r="J13">
            <v>15.69</v>
          </cell>
          <cell r="K13">
            <v>11.94</v>
          </cell>
          <cell r="L13">
            <v>0.5</v>
          </cell>
          <cell r="M13">
            <v>7</v>
          </cell>
        </row>
        <row r="14">
          <cell r="A14" t="str">
            <v>2ATL-411081</v>
          </cell>
          <cell r="B14" t="b">
            <v>1</v>
          </cell>
          <cell r="C14" t="str">
            <v xml:space="preserve">IC C S1 HM-C POULTRY </v>
          </cell>
          <cell r="D14" t="b">
            <v>1</v>
          </cell>
          <cell r="F14" t="str">
            <v>C</v>
          </cell>
          <cell r="G14" t="str">
            <v>40% (D)</v>
          </cell>
          <cell r="H14">
            <v>7.62</v>
          </cell>
          <cell r="I14">
            <v>7.86</v>
          </cell>
          <cell r="J14">
            <v>7.05</v>
          </cell>
          <cell r="K14">
            <v>14.18</v>
          </cell>
          <cell r="L14">
            <v>0.4</v>
          </cell>
          <cell r="M14">
            <v>5</v>
          </cell>
        </row>
        <row r="15">
          <cell r="A15" t="str">
            <v>2ATL-411091</v>
          </cell>
          <cell r="B15" t="b">
            <v>1</v>
          </cell>
          <cell r="C15" t="str">
            <v xml:space="preserve">IC C S1 HM-D VEG </v>
          </cell>
          <cell r="D15" t="b">
            <v>1</v>
          </cell>
          <cell r="F15" t="str">
            <v>C</v>
          </cell>
          <cell r="G15" t="str">
            <v>30% (U)</v>
          </cell>
          <cell r="H15">
            <v>6.15</v>
          </cell>
          <cell r="I15">
            <v>6.56</v>
          </cell>
          <cell r="J15">
            <v>6.73</v>
          </cell>
          <cell r="K15">
            <v>6.96</v>
          </cell>
          <cell r="L15">
            <v>0.3</v>
          </cell>
          <cell r="M15">
            <v>5</v>
          </cell>
        </row>
        <row r="16">
          <cell r="A16" t="str">
            <v>2ATL-411111</v>
          </cell>
          <cell r="B16" t="b">
            <v>1</v>
          </cell>
          <cell r="C16" t="str">
            <v xml:space="preserve">IC C S1 HM GARNISH </v>
          </cell>
          <cell r="D16" t="b">
            <v>1</v>
          </cell>
          <cell r="F16" t="str">
            <v>C</v>
          </cell>
          <cell r="G16" t="str">
            <v>Fix Qty 2</v>
          </cell>
          <cell r="H16">
            <v>5.28</v>
          </cell>
          <cell r="I16">
            <v>10.48</v>
          </cell>
          <cell r="J16">
            <v>3.11</v>
          </cell>
          <cell r="K16">
            <v>2.4900000000000002</v>
          </cell>
          <cell r="L16">
            <v>2</v>
          </cell>
          <cell r="M16">
            <v>2</v>
          </cell>
        </row>
        <row r="17">
          <cell r="A17" t="str">
            <v>2ATL-411121</v>
          </cell>
          <cell r="B17" t="b">
            <v>1</v>
          </cell>
          <cell r="C17" t="str">
            <v xml:space="preserve">IC C S1 DE CHEESE </v>
          </cell>
          <cell r="D17" t="b">
            <v>1</v>
          </cell>
          <cell r="F17" t="str">
            <v>C</v>
          </cell>
          <cell r="G17" t="str">
            <v>Load Scale IC-27</v>
          </cell>
          <cell r="H17">
            <v>24.81</v>
          </cell>
          <cell r="I17">
            <v>30.24</v>
          </cell>
          <cell r="J17">
            <v>21.68</v>
          </cell>
          <cell r="K17">
            <v>23.48</v>
          </cell>
          <cell r="M17">
            <v>2</v>
          </cell>
        </row>
        <row r="18">
          <cell r="A18" t="str">
            <v>2ATL-411141</v>
          </cell>
          <cell r="B18" t="b">
            <v>1</v>
          </cell>
          <cell r="C18" t="str">
            <v xml:space="preserve">IC C S1 DE CAKE </v>
          </cell>
          <cell r="D18" t="b">
            <v>1</v>
          </cell>
          <cell r="F18" t="str">
            <v>C</v>
          </cell>
          <cell r="G18" t="str">
            <v>Load Scale IC-29</v>
          </cell>
          <cell r="H18">
            <v>18.95</v>
          </cell>
          <cell r="I18">
            <v>16.32</v>
          </cell>
          <cell r="J18">
            <v>17.2</v>
          </cell>
          <cell r="K18">
            <v>15.84</v>
          </cell>
          <cell r="M18">
            <v>2</v>
          </cell>
        </row>
        <row r="19">
          <cell r="A19" t="str">
            <v>2ATL-411151</v>
          </cell>
          <cell r="B19" t="b">
            <v>1</v>
          </cell>
          <cell r="C19" t="str">
            <v xml:space="preserve">IC C S1 DE CAKE GARNISH </v>
          </cell>
          <cell r="D19" t="b">
            <v>1</v>
          </cell>
          <cell r="F19" t="str">
            <v>C</v>
          </cell>
          <cell r="G19" t="str">
            <v>Fix Qty 2</v>
          </cell>
          <cell r="H19">
            <v>3.64</v>
          </cell>
          <cell r="I19">
            <v>6.51</v>
          </cell>
          <cell r="J19">
            <v>2.76</v>
          </cell>
          <cell r="K19">
            <v>2.6</v>
          </cell>
          <cell r="L19">
            <v>2</v>
          </cell>
          <cell r="M19">
            <v>2</v>
          </cell>
        </row>
        <row r="20">
          <cell r="A20" t="str">
            <v>2ATL-411171</v>
          </cell>
          <cell r="B20" t="b">
            <v>1</v>
          </cell>
          <cell r="C20" t="str">
            <v xml:space="preserve">IC C S1 DE FRUIT </v>
          </cell>
          <cell r="D20" t="b">
            <v>1</v>
          </cell>
          <cell r="F20" t="str">
            <v>C</v>
          </cell>
          <cell r="G20" t="str">
            <v>Load Scale IC-29</v>
          </cell>
          <cell r="H20">
            <v>4.4800000000000004</v>
          </cell>
          <cell r="I20">
            <v>4.4800000000000004</v>
          </cell>
          <cell r="J20">
            <v>4.4800000000000004</v>
          </cell>
          <cell r="K20">
            <v>4.4800000000000004</v>
          </cell>
          <cell r="M20">
            <v>2</v>
          </cell>
        </row>
        <row r="21">
          <cell r="A21" t="str">
            <v>4ATL-411040</v>
          </cell>
          <cell r="B21" t="b">
            <v>1</v>
          </cell>
          <cell r="C21" t="str">
            <v xml:space="preserve">IC C S1 LEMON WEDGES </v>
          </cell>
          <cell r="D21" t="b">
            <v>1</v>
          </cell>
          <cell r="F21" t="str">
            <v>C</v>
          </cell>
          <cell r="G21" t="str">
            <v>IC-FIX1</v>
          </cell>
          <cell r="H21">
            <v>0.93</v>
          </cell>
          <cell r="I21">
            <v>0.93</v>
          </cell>
          <cell r="J21">
            <v>0.93</v>
          </cell>
          <cell r="K21">
            <v>0.93</v>
          </cell>
          <cell r="L21">
            <v>1</v>
          </cell>
          <cell r="M21">
            <v>1</v>
          </cell>
        </row>
        <row r="22">
          <cell r="A22" t="str">
            <v>4ATL-411050</v>
          </cell>
          <cell r="B22" t="b">
            <v>1</v>
          </cell>
          <cell r="C22" t="str">
            <v xml:space="preserve">IC C S1 LIME WEDGES </v>
          </cell>
          <cell r="D22" t="b">
            <v>1</v>
          </cell>
          <cell r="F22" t="str">
            <v>C</v>
          </cell>
          <cell r="G22" t="str">
            <v>IC-FIX1</v>
          </cell>
          <cell r="H22">
            <v>0.95</v>
          </cell>
          <cell r="I22">
            <v>0.95</v>
          </cell>
          <cell r="J22">
            <v>0.95</v>
          </cell>
          <cell r="K22">
            <v>0.95</v>
          </cell>
          <cell r="L22">
            <v>1</v>
          </cell>
          <cell r="M22">
            <v>1</v>
          </cell>
        </row>
        <row r="23">
          <cell r="A23" t="str">
            <v>4ATL-411060</v>
          </cell>
          <cell r="B23" t="b">
            <v>1</v>
          </cell>
          <cell r="C23" t="str">
            <v xml:space="preserve">IC C S1 CELERY STICKS </v>
          </cell>
          <cell r="D23" t="b">
            <v>1</v>
          </cell>
          <cell r="F23" t="str">
            <v>C</v>
          </cell>
          <cell r="G23" t="str">
            <v>IC-FIX1</v>
          </cell>
          <cell r="H23">
            <v>1.35</v>
          </cell>
          <cell r="I23">
            <v>1.35</v>
          </cell>
          <cell r="J23">
            <v>1.35</v>
          </cell>
          <cell r="K23">
            <v>1.35</v>
          </cell>
          <cell r="L23">
            <v>1</v>
          </cell>
          <cell r="M23">
            <v>1</v>
          </cell>
        </row>
        <row r="24">
          <cell r="A24" t="str">
            <v>4ATL-411070</v>
          </cell>
          <cell r="B24" t="b">
            <v>1</v>
          </cell>
          <cell r="C24" t="str">
            <v xml:space="preserve">IC C S1 LEMON SLICES </v>
          </cell>
          <cell r="D24" t="b">
            <v>1</v>
          </cell>
          <cell r="F24" t="str">
            <v>C</v>
          </cell>
          <cell r="G24" t="str">
            <v>IC-FIX2</v>
          </cell>
          <cell r="H24">
            <v>0.93</v>
          </cell>
          <cell r="I24">
            <v>0.93</v>
          </cell>
          <cell r="J24">
            <v>0.93</v>
          </cell>
          <cell r="K24">
            <v>0.93</v>
          </cell>
          <cell r="L24">
            <v>2</v>
          </cell>
          <cell r="M24">
            <v>2</v>
          </cell>
        </row>
        <row r="25">
          <cell r="A25" t="str">
            <v>4ATL-411010</v>
          </cell>
          <cell r="B25" t="b">
            <v>1</v>
          </cell>
          <cell r="C25" t="str">
            <v xml:space="preserve">IC C S1 BRD Type 1 </v>
          </cell>
          <cell r="D25" t="b">
            <v>1</v>
          </cell>
          <cell r="F25" t="str">
            <v>C</v>
          </cell>
          <cell r="G25" t="str">
            <v>75% (N)</v>
          </cell>
          <cell r="H25">
            <v>0.78</v>
          </cell>
          <cell r="I25">
            <v>0.78</v>
          </cell>
          <cell r="J25">
            <v>0.78</v>
          </cell>
          <cell r="K25">
            <v>0.78</v>
          </cell>
          <cell r="L25">
            <v>0.75</v>
          </cell>
          <cell r="M25">
            <v>15</v>
          </cell>
          <cell r="N25" t="str">
            <v>Min qty 5.</v>
          </cell>
        </row>
        <row r="26">
          <cell r="A26" t="str">
            <v>4ATL-411020</v>
          </cell>
          <cell r="B26" t="b">
            <v>1</v>
          </cell>
          <cell r="C26" t="str">
            <v xml:space="preserve">IC C S1 BRD Type 2 </v>
          </cell>
          <cell r="D26" t="b">
            <v>1</v>
          </cell>
          <cell r="F26" t="str">
            <v>C</v>
          </cell>
          <cell r="G26" t="str">
            <v>75% (N)</v>
          </cell>
          <cell r="H26">
            <v>0.94</v>
          </cell>
          <cell r="I26">
            <v>0.94</v>
          </cell>
          <cell r="J26">
            <v>0.94</v>
          </cell>
          <cell r="K26">
            <v>0.94</v>
          </cell>
          <cell r="L26">
            <v>0.75</v>
          </cell>
          <cell r="M26">
            <v>15</v>
          </cell>
          <cell r="N26" t="str">
            <v>Min qty 5.</v>
          </cell>
        </row>
        <row r="27">
          <cell r="A27" t="str">
            <v>4ATL-411030</v>
          </cell>
          <cell r="B27" t="b">
            <v>1</v>
          </cell>
          <cell r="C27" t="str">
            <v xml:space="preserve">IC C S1 BRD Type 3 </v>
          </cell>
          <cell r="D27" t="b">
            <v>1</v>
          </cell>
          <cell r="F27" t="str">
            <v>C</v>
          </cell>
          <cell r="G27" t="str">
            <v>Fix Qty 2</v>
          </cell>
          <cell r="H27">
            <v>2.36</v>
          </cell>
          <cell r="I27">
            <v>2.36</v>
          </cell>
          <cell r="J27">
            <v>2.36</v>
          </cell>
          <cell r="K27">
            <v>2.36</v>
          </cell>
          <cell r="L27">
            <v>2</v>
          </cell>
          <cell r="M27">
            <v>2</v>
          </cell>
        </row>
        <row r="28">
          <cell r="A28" t="str">
            <v>Express Meal Service</v>
          </cell>
        </row>
        <row r="29">
          <cell r="A29" t="str">
            <v>3ATL-411010</v>
          </cell>
          <cell r="B29" t="b">
            <v>1</v>
          </cell>
          <cell r="C29" t="str">
            <v>IC C S1 XPRS TSU</v>
          </cell>
          <cell r="D29" t="b">
            <v>0</v>
          </cell>
          <cell r="E29" t="str">
            <v xml:space="preserve">Butter, Linen, Coffee Cup </v>
          </cell>
          <cell r="F29" t="str">
            <v>C</v>
          </cell>
          <cell r="G29">
            <v>1</v>
          </cell>
          <cell r="H29">
            <v>0.94</v>
          </cell>
          <cell r="I29">
            <v>0.94</v>
          </cell>
          <cell r="J29">
            <v>0.94</v>
          </cell>
          <cell r="K29">
            <v>0.94</v>
          </cell>
          <cell r="L29">
            <v>4</v>
          </cell>
          <cell r="M29">
            <v>4</v>
          </cell>
          <cell r="N29" t="str">
            <v>Fixed amount 4, code change effective 12/01/2024</v>
          </cell>
        </row>
        <row r="30">
          <cell r="A30" t="str">
            <v>4ATL-411080</v>
          </cell>
          <cell r="B30" t="b">
            <v>1</v>
          </cell>
          <cell r="C30" t="str">
            <v xml:space="preserve">IC C S1 CUTLERY </v>
          </cell>
          <cell r="D30" t="b">
            <v>1</v>
          </cell>
          <cell r="F30" t="str">
            <v>C</v>
          </cell>
          <cell r="G30">
            <v>1</v>
          </cell>
          <cell r="H30">
            <v>1.04</v>
          </cell>
          <cell r="I30">
            <v>1.04</v>
          </cell>
          <cell r="J30">
            <v>1.04</v>
          </cell>
          <cell r="K30">
            <v>1.04</v>
          </cell>
          <cell r="L30">
            <v>4</v>
          </cell>
          <cell r="M30">
            <v>4</v>
          </cell>
          <cell r="N30" t="str">
            <v>Fixed amount 4, code change effective 12/01/2024</v>
          </cell>
        </row>
        <row r="31">
          <cell r="A31" t="str">
            <v>2ATL-411191</v>
          </cell>
          <cell r="B31" t="b">
            <v>1</v>
          </cell>
          <cell r="C31" t="str">
            <v>IC C S1 XPRS SALAD + GARNISH</v>
          </cell>
          <cell r="D31" t="b">
            <v>0</v>
          </cell>
          <cell r="E31" t="str">
            <v xml:space="preserve"> 15g salad with 1 garnish </v>
          </cell>
          <cell r="F31" t="str">
            <v>C</v>
          </cell>
          <cell r="G31">
            <v>1</v>
          </cell>
          <cell r="H31">
            <v>0.8</v>
          </cell>
          <cell r="I31">
            <v>0.79</v>
          </cell>
          <cell r="J31">
            <v>0.8</v>
          </cell>
          <cell r="K31">
            <v>0.79</v>
          </cell>
          <cell r="L31">
            <v>4</v>
          </cell>
          <cell r="M31">
            <v>4</v>
          </cell>
          <cell r="N31" t="str">
            <v>Fixed amount 4, code change effective 12/01/2024</v>
          </cell>
        </row>
        <row r="32">
          <cell r="A32" t="str">
            <v>2ATL-411221</v>
          </cell>
          <cell r="B32" t="b">
            <v>1</v>
          </cell>
          <cell r="C32" t="str">
            <v>IC C S1 XPRS ST-A MEAT + GARNISH</v>
          </cell>
          <cell r="D32" t="b">
            <v>0</v>
          </cell>
          <cell r="F32" t="str">
            <v>C</v>
          </cell>
          <cell r="G32">
            <v>0.5</v>
          </cell>
          <cell r="H32">
            <v>6.3500000000000005</v>
          </cell>
          <cell r="I32">
            <v>3.23</v>
          </cell>
          <cell r="J32">
            <v>3.92</v>
          </cell>
          <cell r="K32">
            <v>4.915</v>
          </cell>
          <cell r="L32">
            <v>2</v>
          </cell>
          <cell r="M32">
            <v>2</v>
          </cell>
          <cell r="N32" t="str">
            <v>Fixed amount 2, code change effective 12/01/2024</v>
          </cell>
        </row>
        <row r="33">
          <cell r="A33" t="str">
            <v>2ATL-411231</v>
          </cell>
          <cell r="B33" t="b">
            <v>1</v>
          </cell>
          <cell r="C33" t="str">
            <v>IC C S1 XPRS ST-B FISH + GARNISH</v>
          </cell>
          <cell r="D33" t="b">
            <v>0</v>
          </cell>
          <cell r="F33" t="str">
            <v>C</v>
          </cell>
          <cell r="G33">
            <v>0.5</v>
          </cell>
          <cell r="H33">
            <v>6.2700000000000005</v>
          </cell>
          <cell r="I33">
            <v>3.72</v>
          </cell>
          <cell r="J33">
            <v>5.34</v>
          </cell>
          <cell r="K33">
            <v>4.3650000000000002</v>
          </cell>
          <cell r="L33">
            <v>2</v>
          </cell>
          <cell r="M33">
            <v>2</v>
          </cell>
          <cell r="N33" t="str">
            <v>Fixed amount 2, code change effective 12/01/2024</v>
          </cell>
        </row>
        <row r="34">
          <cell r="A34" t="str">
            <v>2ATL-411125</v>
          </cell>
          <cell r="B34" t="b">
            <v>1</v>
          </cell>
          <cell r="C34" t="str">
            <v>IC C S1 XPRS CHEESE PLATED</v>
          </cell>
          <cell r="D34" t="b">
            <v>0</v>
          </cell>
          <cell r="F34" t="str">
            <v>C</v>
          </cell>
          <cell r="G34">
            <v>1</v>
          </cell>
          <cell r="H34">
            <v>3.1012499999999998</v>
          </cell>
          <cell r="I34">
            <v>3.78</v>
          </cell>
          <cell r="J34">
            <v>2.71</v>
          </cell>
          <cell r="K34">
            <v>2.9350000000000001</v>
          </cell>
          <cell r="L34">
            <v>4</v>
          </cell>
          <cell r="M34">
            <v>4</v>
          </cell>
          <cell r="N34" t="str">
            <v>Fixed amount 4, code change effective 12/01/2024</v>
          </cell>
        </row>
        <row r="35">
          <cell r="A35" t="str">
            <v>2nd Service</v>
          </cell>
        </row>
        <row r="36">
          <cell r="A36" t="str">
            <v>3ATL-412010</v>
          </cell>
          <cell r="B36" t="b">
            <v>1</v>
          </cell>
          <cell r="C36" t="str">
            <v xml:space="preserve">IC C S2 TSU </v>
          </cell>
          <cell r="D36" t="b">
            <v>1</v>
          </cell>
          <cell r="F36" t="str">
            <v>C</v>
          </cell>
          <cell r="G36">
            <v>1</v>
          </cell>
          <cell r="H36">
            <v>0.54</v>
          </cell>
          <cell r="I36">
            <v>0.54</v>
          </cell>
          <cell r="J36">
            <v>0.54</v>
          </cell>
          <cell r="K36">
            <v>0.54</v>
          </cell>
          <cell r="L36">
            <v>1</v>
          </cell>
          <cell r="M36">
            <v>20</v>
          </cell>
        </row>
        <row r="37">
          <cell r="A37" t="str">
            <v>4ATL-412030</v>
          </cell>
          <cell r="B37" t="b">
            <v>1</v>
          </cell>
          <cell r="C37" t="str">
            <v xml:space="preserve">IC C S2 CUTLERY </v>
          </cell>
          <cell r="D37" t="b">
            <v>1</v>
          </cell>
          <cell r="F37" t="str">
            <v>C</v>
          </cell>
          <cell r="G37">
            <v>1</v>
          </cell>
          <cell r="H37">
            <v>0.80999999999999994</v>
          </cell>
          <cell r="I37">
            <v>0.80999999999999994</v>
          </cell>
          <cell r="J37">
            <v>0.80999999999999994</v>
          </cell>
          <cell r="K37">
            <v>0.80999999999999994</v>
          </cell>
          <cell r="L37">
            <v>1</v>
          </cell>
          <cell r="M37">
            <v>20</v>
          </cell>
        </row>
        <row r="38">
          <cell r="A38" t="str">
            <v>2ATL-412011</v>
          </cell>
          <cell r="B38" t="b">
            <v>1</v>
          </cell>
          <cell r="C38" t="str">
            <v xml:space="preserve">IC C S2 COLD CUTS </v>
          </cell>
          <cell r="D38" t="b">
            <v>1</v>
          </cell>
          <cell r="F38" t="str">
            <v>C</v>
          </cell>
          <cell r="G38">
            <v>1</v>
          </cell>
          <cell r="H38">
            <v>3.49</v>
          </cell>
          <cell r="I38">
            <v>5.69</v>
          </cell>
          <cell r="J38">
            <v>3.87</v>
          </cell>
          <cell r="K38">
            <v>5.23</v>
          </cell>
          <cell r="L38">
            <v>1</v>
          </cell>
          <cell r="M38">
            <v>20</v>
          </cell>
        </row>
        <row r="39">
          <cell r="A39" t="str">
            <v>2ATL-411050</v>
          </cell>
          <cell r="B39" t="b">
            <v>1</v>
          </cell>
          <cell r="C39" t="str">
            <v xml:space="preserve">IC C S1+S2 BUTTER </v>
          </cell>
          <cell r="D39" t="b">
            <v>1</v>
          </cell>
          <cell r="F39" t="str">
            <v>C</v>
          </cell>
          <cell r="G39">
            <v>1</v>
          </cell>
          <cell r="H39">
            <v>0.44</v>
          </cell>
          <cell r="I39">
            <v>0.44</v>
          </cell>
          <cell r="J39">
            <v>0.44</v>
          </cell>
          <cell r="K39">
            <v>0.44</v>
          </cell>
          <cell r="L39">
            <v>1</v>
          </cell>
          <cell r="M39">
            <v>20</v>
          </cell>
        </row>
        <row r="40">
          <cell r="A40" t="str">
            <v>2ATL-412111</v>
          </cell>
          <cell r="B40" t="b">
            <v>1</v>
          </cell>
          <cell r="C40" t="str">
            <v>IC C S2 OVERNIGHT OATS</v>
          </cell>
          <cell r="D40" t="b">
            <v>1</v>
          </cell>
          <cell r="F40" t="str">
            <v>C</v>
          </cell>
          <cell r="G40">
            <v>1</v>
          </cell>
          <cell r="H40">
            <v>2.74</v>
          </cell>
          <cell r="I40">
            <v>2.0499999999999998</v>
          </cell>
          <cell r="J40">
            <v>2.21</v>
          </cell>
          <cell r="K40">
            <v>1.82</v>
          </cell>
          <cell r="L40">
            <v>1</v>
          </cell>
          <cell r="M40">
            <v>20</v>
          </cell>
        </row>
        <row r="41">
          <cell r="A41" t="str">
            <v>4ATL-412010</v>
          </cell>
          <cell r="B41" t="b">
            <v>1</v>
          </cell>
          <cell r="C41" t="str">
            <v xml:space="preserve">IC C S2 BRD Type 1 </v>
          </cell>
          <cell r="D41" t="b">
            <v>1</v>
          </cell>
          <cell r="F41" t="str">
            <v>C</v>
          </cell>
          <cell r="G41" t="str">
            <v>60% (N)</v>
          </cell>
          <cell r="H41">
            <v>0.8</v>
          </cell>
          <cell r="I41">
            <v>0.8</v>
          </cell>
          <cell r="J41">
            <v>0.8</v>
          </cell>
          <cell r="K41">
            <v>0.8</v>
          </cell>
          <cell r="L41">
            <v>0.6</v>
          </cell>
          <cell r="M41">
            <v>12</v>
          </cell>
          <cell r="N41" t="str">
            <v>Min qty 5.</v>
          </cell>
        </row>
        <row r="42">
          <cell r="A42" t="str">
            <v>4ATL-412015</v>
          </cell>
          <cell r="B42" t="b">
            <v>1</v>
          </cell>
          <cell r="C42" t="str">
            <v xml:space="preserve">IC C S2 BRD Type 2 </v>
          </cell>
          <cell r="D42" t="b">
            <v>1</v>
          </cell>
          <cell r="F42" t="str">
            <v>C</v>
          </cell>
          <cell r="G42" t="str">
            <v>60% (N)</v>
          </cell>
          <cell r="H42">
            <v>0.56000000000000005</v>
          </cell>
          <cell r="I42">
            <v>0.56000000000000005</v>
          </cell>
          <cell r="J42">
            <v>0.56000000000000005</v>
          </cell>
          <cell r="K42">
            <v>0.56000000000000005</v>
          </cell>
          <cell r="L42">
            <v>0.6</v>
          </cell>
          <cell r="M42">
            <v>12</v>
          </cell>
          <cell r="N42" t="str">
            <v>Min qty 5.</v>
          </cell>
        </row>
        <row r="43">
          <cell r="A43" t="str">
            <v>4ATL-412020</v>
          </cell>
          <cell r="B43" t="b">
            <v>1</v>
          </cell>
          <cell r="C43" t="str">
            <v xml:space="preserve">IC C S2 BRD Croissant </v>
          </cell>
          <cell r="D43" t="b">
            <v>1</v>
          </cell>
          <cell r="F43" t="str">
            <v>C</v>
          </cell>
          <cell r="G43">
            <v>1</v>
          </cell>
          <cell r="H43">
            <v>0.98</v>
          </cell>
          <cell r="I43">
            <v>0.98</v>
          </cell>
          <cell r="J43">
            <v>0.98</v>
          </cell>
          <cell r="K43">
            <v>0.98</v>
          </cell>
          <cell r="L43">
            <v>1</v>
          </cell>
          <cell r="M43">
            <v>20</v>
          </cell>
          <cell r="N43" t="str">
            <v>Min qty 5.</v>
          </cell>
        </row>
        <row r="44">
          <cell r="A44" t="str">
            <v>In between Service</v>
          </cell>
        </row>
        <row r="45">
          <cell r="A45" t="str">
            <v>2ATL-413011</v>
          </cell>
          <cell r="C45" t="str">
            <v xml:space="preserve">IC C/Y IBS SW </v>
          </cell>
          <cell r="F45" t="str">
            <v>C</v>
          </cell>
          <cell r="G45" t="str">
            <v>50% (N)</v>
          </cell>
          <cell r="I45">
            <v>0</v>
          </cell>
          <cell r="N45" t="str">
            <v>Min qty 5. TBD</v>
          </cell>
        </row>
        <row r="47">
          <cell r="A47" t="str">
            <v>PLUS CLASS</v>
          </cell>
        </row>
        <row r="48">
          <cell r="A48" t="str">
            <v>1st Service</v>
          </cell>
        </row>
        <row r="49">
          <cell r="A49" t="str">
            <v>3ATL-421010</v>
          </cell>
          <cell r="B49" t="b">
            <v>1</v>
          </cell>
          <cell r="C49" t="str">
            <v xml:space="preserve">IC Y S1 TSU </v>
          </cell>
          <cell r="D49" t="b">
            <v>1</v>
          </cell>
          <cell r="F49" t="str">
            <v>Y</v>
          </cell>
          <cell r="G49">
            <v>1</v>
          </cell>
          <cell r="H49">
            <v>2.2999999999999998</v>
          </cell>
          <cell r="I49">
            <v>2.2999999999999998</v>
          </cell>
          <cell r="J49">
            <v>2.2999999999999998</v>
          </cell>
          <cell r="K49">
            <v>2.2999999999999998</v>
          </cell>
          <cell r="L49">
            <v>1</v>
          </cell>
          <cell r="M49">
            <v>19</v>
          </cell>
        </row>
        <row r="50">
          <cell r="A50" t="str">
            <v>2ATL-421011</v>
          </cell>
          <cell r="B50" t="b">
            <v>1</v>
          </cell>
          <cell r="C50" t="str">
            <v xml:space="preserve">IC Y S1 ST </v>
          </cell>
          <cell r="D50" t="b">
            <v>1</v>
          </cell>
          <cell r="F50" t="str">
            <v>Y</v>
          </cell>
          <cell r="G50">
            <v>1</v>
          </cell>
          <cell r="H50">
            <v>2.0499999999999998</v>
          </cell>
          <cell r="I50">
            <v>1.24</v>
          </cell>
          <cell r="J50">
            <v>1.69</v>
          </cell>
          <cell r="K50">
            <v>1.99</v>
          </cell>
          <cell r="L50">
            <v>1</v>
          </cell>
          <cell r="M50">
            <v>19</v>
          </cell>
        </row>
        <row r="51">
          <cell r="A51" t="str">
            <v>2ATL-421021</v>
          </cell>
          <cell r="B51" t="b">
            <v>1</v>
          </cell>
          <cell r="C51" t="str">
            <v>IC Y/M S1 HM-A</v>
          </cell>
          <cell r="D51" t="b">
            <v>1</v>
          </cell>
          <cell r="F51" t="str">
            <v>Y</v>
          </cell>
          <cell r="G51" t="str">
            <v>40% (U)</v>
          </cell>
          <cell r="H51">
            <v>5.1100000000000003</v>
          </cell>
          <cell r="I51">
            <v>7.26</v>
          </cell>
          <cell r="J51">
            <v>7.22</v>
          </cell>
          <cell r="K51">
            <v>6.22</v>
          </cell>
          <cell r="L51">
            <v>0.4</v>
          </cell>
          <cell r="M51">
            <v>8</v>
          </cell>
          <cell r="N51" t="str">
            <v>Veg</v>
          </cell>
        </row>
        <row r="52">
          <cell r="A52" t="str">
            <v>2ATL-421031</v>
          </cell>
          <cell r="B52" t="b">
            <v>1</v>
          </cell>
          <cell r="C52" t="str">
            <v>IC Y/M S1 HM-B</v>
          </cell>
          <cell r="D52" t="b">
            <v>1</v>
          </cell>
          <cell r="F52" t="str">
            <v>Y</v>
          </cell>
          <cell r="G52" t="str">
            <v>60% (D)</v>
          </cell>
          <cell r="H52">
            <v>6.23</v>
          </cell>
          <cell r="I52">
            <v>5.25</v>
          </cell>
          <cell r="J52">
            <v>6.21</v>
          </cell>
          <cell r="K52">
            <v>6.16</v>
          </cell>
          <cell r="L52">
            <v>0.6</v>
          </cell>
          <cell r="M52">
            <v>11</v>
          </cell>
          <cell r="N52" t="str">
            <v>Non-Veg</v>
          </cell>
        </row>
        <row r="53">
          <cell r="A53" t="str">
            <v>2ATL-421041</v>
          </cell>
          <cell r="B53" t="b">
            <v>1</v>
          </cell>
          <cell r="C53" t="str">
            <v xml:space="preserve">IC Y S1 DE </v>
          </cell>
          <cell r="D53" t="b">
            <v>1</v>
          </cell>
          <cell r="F53" t="str">
            <v>Y</v>
          </cell>
          <cell r="G53">
            <v>1</v>
          </cell>
          <cell r="H53">
            <v>2.08</v>
          </cell>
          <cell r="I53">
            <v>1.91</v>
          </cell>
          <cell r="J53">
            <v>2.98</v>
          </cell>
          <cell r="K53">
            <v>2.59</v>
          </cell>
          <cell r="L53">
            <v>1</v>
          </cell>
          <cell r="M53">
            <v>19</v>
          </cell>
        </row>
        <row r="54">
          <cell r="A54" t="str">
            <v>4ATL-421010</v>
          </cell>
          <cell r="B54" t="b">
            <v>1</v>
          </cell>
          <cell r="C54" t="str">
            <v xml:space="preserve">IC Y S1 BRD Type 1 </v>
          </cell>
          <cell r="D54" t="b">
            <v>1</v>
          </cell>
          <cell r="F54" t="str">
            <v>Y</v>
          </cell>
          <cell r="G54" t="str">
            <v>120% (N)</v>
          </cell>
          <cell r="H54">
            <v>0.8</v>
          </cell>
          <cell r="I54">
            <v>0.8</v>
          </cell>
          <cell r="J54">
            <v>0.8</v>
          </cell>
          <cell r="K54">
            <v>0.8</v>
          </cell>
          <cell r="L54">
            <v>1.2</v>
          </cell>
          <cell r="M54">
            <v>23</v>
          </cell>
          <cell r="N54" t="str">
            <v>Min qty 10.</v>
          </cell>
        </row>
        <row r="55">
          <cell r="A55" t="str">
            <v>2nd Service</v>
          </cell>
        </row>
        <row r="56">
          <cell r="A56" t="str">
            <v>3ATL-422010</v>
          </cell>
          <cell r="B56" t="b">
            <v>1</v>
          </cell>
          <cell r="C56" t="str">
            <v xml:space="preserve">IC Y S2 TSU </v>
          </cell>
          <cell r="D56" t="b">
            <v>1</v>
          </cell>
          <cell r="F56" t="str">
            <v>Y</v>
          </cell>
          <cell r="G56">
            <v>1</v>
          </cell>
          <cell r="H56">
            <v>2.92</v>
          </cell>
          <cell r="I56">
            <v>2.92</v>
          </cell>
          <cell r="J56">
            <v>2.92</v>
          </cell>
          <cell r="K56">
            <v>2.92</v>
          </cell>
          <cell r="L56">
            <v>1</v>
          </cell>
          <cell r="M56">
            <v>19</v>
          </cell>
        </row>
        <row r="57">
          <cell r="A57" t="str">
            <v>2ATL-422011</v>
          </cell>
          <cell r="B57" t="b">
            <v>1</v>
          </cell>
          <cell r="C57" t="str">
            <v xml:space="preserve">IC Y S2 BREAKFAST PLATE </v>
          </cell>
          <cell r="D57" t="b">
            <v>1</v>
          </cell>
          <cell r="F57" t="str">
            <v>Y</v>
          </cell>
          <cell r="G57">
            <v>1</v>
          </cell>
          <cell r="H57">
            <v>3.21</v>
          </cell>
          <cell r="I57">
            <v>2.61</v>
          </cell>
          <cell r="J57">
            <v>4.13</v>
          </cell>
          <cell r="K57">
            <v>3.65</v>
          </cell>
          <cell r="L57">
            <v>1</v>
          </cell>
          <cell r="M57">
            <v>19</v>
          </cell>
        </row>
        <row r="58">
          <cell r="A58" t="str">
            <v>4ATL-422011</v>
          </cell>
          <cell r="B58" t="b">
            <v>1</v>
          </cell>
          <cell r="C58" t="str">
            <v xml:space="preserve">IC Y S2 BRD Type 1 </v>
          </cell>
          <cell r="D58" t="b">
            <v>1</v>
          </cell>
          <cell r="F58" t="str">
            <v>Y</v>
          </cell>
          <cell r="G58" t="str">
            <v>120% (N)</v>
          </cell>
          <cell r="H58">
            <v>0.78</v>
          </cell>
          <cell r="I58">
            <v>0.78</v>
          </cell>
          <cell r="J58">
            <v>0.78</v>
          </cell>
          <cell r="K58">
            <v>0.78</v>
          </cell>
          <cell r="L58">
            <v>1.2</v>
          </cell>
          <cell r="M58">
            <v>23</v>
          </cell>
          <cell r="N58" t="str">
            <v>Min qty 10.</v>
          </cell>
        </row>
        <row r="59">
          <cell r="A59" t="str">
            <v>In between Service</v>
          </cell>
        </row>
        <row r="60">
          <cell r="A60" t="str">
            <v>2ATL-413011</v>
          </cell>
          <cell r="C60" t="str">
            <v xml:space="preserve">IC C/Y IBS SW </v>
          </cell>
          <cell r="F60" t="str">
            <v>Y</v>
          </cell>
          <cell r="G60" t="str">
            <v>50% (N)</v>
          </cell>
          <cell r="I60">
            <v>0</v>
          </cell>
          <cell r="N60" t="str">
            <v>Min qty 5. TBD</v>
          </cell>
        </row>
        <row r="62">
          <cell r="A62" t="str">
            <v>GO CLASS</v>
          </cell>
        </row>
        <row r="63">
          <cell r="A63" t="str">
            <v>1st Service</v>
          </cell>
        </row>
        <row r="64">
          <cell r="A64" t="str">
            <v>3ATL-431010</v>
          </cell>
          <cell r="B64" t="b">
            <v>1</v>
          </cell>
          <cell r="C64" t="str">
            <v xml:space="preserve">IC M S1 TSU </v>
          </cell>
          <cell r="D64" t="b">
            <v>1</v>
          </cell>
          <cell r="F64" t="str">
            <v>M</v>
          </cell>
          <cell r="G64">
            <v>1</v>
          </cell>
          <cell r="H64">
            <v>0.87</v>
          </cell>
          <cell r="I64">
            <v>0.87</v>
          </cell>
          <cell r="J64">
            <v>0.87</v>
          </cell>
          <cell r="K64">
            <v>0.87</v>
          </cell>
          <cell r="L64">
            <v>1</v>
          </cell>
          <cell r="M64">
            <v>165</v>
          </cell>
        </row>
        <row r="65">
          <cell r="A65" t="str">
            <v>2ATL-431011</v>
          </cell>
          <cell r="B65" t="b">
            <v>1</v>
          </cell>
          <cell r="C65" t="str">
            <v xml:space="preserve">IC M S1 SALAD </v>
          </cell>
          <cell r="D65" t="b">
            <v>1</v>
          </cell>
          <cell r="F65" t="str">
            <v>M</v>
          </cell>
          <cell r="G65">
            <v>1</v>
          </cell>
          <cell r="H65">
            <v>0.85</v>
          </cell>
          <cell r="I65">
            <v>1</v>
          </cell>
          <cell r="J65">
            <v>0.94</v>
          </cell>
          <cell r="K65">
            <v>0.89</v>
          </cell>
          <cell r="L65">
            <v>1</v>
          </cell>
          <cell r="M65">
            <v>165</v>
          </cell>
        </row>
        <row r="66">
          <cell r="A66" t="str">
            <v>2ATL-421021</v>
          </cell>
          <cell r="B66" t="b">
            <v>1</v>
          </cell>
          <cell r="C66" t="str">
            <v>IC Y/M S1 HM-A</v>
          </cell>
          <cell r="D66" t="b">
            <v>1</v>
          </cell>
          <cell r="F66" t="str">
            <v>M</v>
          </cell>
          <cell r="G66" t="str">
            <v>10%(U)</v>
          </cell>
          <cell r="H66">
            <v>5.1100000000000003</v>
          </cell>
          <cell r="L66">
            <v>0.1</v>
          </cell>
          <cell r="M66">
            <v>2</v>
          </cell>
          <cell r="N66" t="str">
            <v>Veg</v>
          </cell>
        </row>
        <row r="67">
          <cell r="A67" t="str">
            <v>2ATL-421031</v>
          </cell>
          <cell r="B67" t="b">
            <v>1</v>
          </cell>
          <cell r="C67" t="str">
            <v>IC Y/M S1 HM-B</v>
          </cell>
          <cell r="D67" t="b">
            <v>1</v>
          </cell>
          <cell r="F67" t="str">
            <v>M</v>
          </cell>
          <cell r="G67" t="str">
            <v>90%(D)</v>
          </cell>
          <cell r="H67">
            <v>6.23</v>
          </cell>
          <cell r="I67">
            <v>5.25</v>
          </cell>
          <cell r="J67">
            <v>6.21</v>
          </cell>
          <cell r="K67">
            <v>6.16</v>
          </cell>
          <cell r="L67">
            <v>0.9</v>
          </cell>
          <cell r="M67">
            <v>17</v>
          </cell>
          <cell r="N67" t="str">
            <v>Non-Veg</v>
          </cell>
        </row>
        <row r="68">
          <cell r="A68" t="str">
            <v>2ATL-431020</v>
          </cell>
          <cell r="B68" t="b">
            <v>1</v>
          </cell>
          <cell r="C68" t="str">
            <v xml:space="preserve">IC M S1 DE </v>
          </cell>
          <cell r="D68" t="b">
            <v>1</v>
          </cell>
          <cell r="F68" t="str">
            <v>M</v>
          </cell>
          <cell r="G68">
            <v>1</v>
          </cell>
          <cell r="H68">
            <v>1.33</v>
          </cell>
          <cell r="I68">
            <v>1.17</v>
          </cell>
          <cell r="J68">
            <v>1.89</v>
          </cell>
          <cell r="K68">
            <v>1.29</v>
          </cell>
          <cell r="L68">
            <v>1</v>
          </cell>
          <cell r="M68">
            <v>165</v>
          </cell>
        </row>
        <row r="69">
          <cell r="A69" t="str">
            <v>4ATL-431010</v>
          </cell>
          <cell r="B69" t="b">
            <v>1</v>
          </cell>
          <cell r="C69" t="str">
            <v xml:space="preserve">IC M S1 BRD Type 1 </v>
          </cell>
          <cell r="D69" t="b">
            <v>1</v>
          </cell>
          <cell r="F69" t="str">
            <v>M</v>
          </cell>
          <cell r="G69" t="str">
            <v>120% (N)</v>
          </cell>
          <cell r="H69">
            <v>0.28000000000000003</v>
          </cell>
          <cell r="I69">
            <v>0.28000000000000003</v>
          </cell>
          <cell r="J69">
            <v>0.28000000000000003</v>
          </cell>
          <cell r="K69">
            <v>0.28000000000000003</v>
          </cell>
          <cell r="L69">
            <v>1.2</v>
          </cell>
          <cell r="M69">
            <v>198</v>
          </cell>
          <cell r="N69" t="str">
            <v>Min qty 10.</v>
          </cell>
        </row>
        <row r="70">
          <cell r="A70" t="str">
            <v>2nd Service</v>
          </cell>
        </row>
        <row r="71">
          <cell r="A71" t="str">
            <v>2ATL-432020</v>
          </cell>
          <cell r="B71" t="b">
            <v>1</v>
          </cell>
          <cell r="C71" t="str">
            <v xml:space="preserve">IC M S2 SW </v>
          </cell>
          <cell r="D71" t="b">
            <v>1</v>
          </cell>
          <cell r="F71" t="str">
            <v>M</v>
          </cell>
          <cell r="G71">
            <v>1</v>
          </cell>
          <cell r="H71">
            <v>2.08</v>
          </cell>
          <cell r="I71">
            <v>2.04</v>
          </cell>
          <cell r="J71">
            <v>2.04</v>
          </cell>
          <cell r="K71">
            <v>2.1</v>
          </cell>
          <cell r="L71">
            <v>1</v>
          </cell>
          <cell r="M71">
            <v>165</v>
          </cell>
          <cell r="N71" t="str">
            <v>cycle2 and cycle 3 was using the pre-packed items. Will need to be revised for new version of sandwiches.</v>
          </cell>
        </row>
        <row r="72">
          <cell r="A72" t="str">
            <v>4ATL-432010</v>
          </cell>
          <cell r="B72" t="b">
            <v>1</v>
          </cell>
          <cell r="C72" t="str">
            <v xml:space="preserve">IC M S2 JUICE </v>
          </cell>
          <cell r="D72" t="b">
            <v>1</v>
          </cell>
          <cell r="F72" t="str">
            <v>M</v>
          </cell>
          <cell r="G72">
            <v>1</v>
          </cell>
          <cell r="H72">
            <v>0.59</v>
          </cell>
          <cell r="I72">
            <v>0.59</v>
          </cell>
          <cell r="J72">
            <v>0.59</v>
          </cell>
          <cell r="K72">
            <v>0.59</v>
          </cell>
          <cell r="L72">
            <v>1</v>
          </cell>
          <cell r="M72">
            <v>165</v>
          </cell>
        </row>
        <row r="74">
          <cell r="A74" t="str">
            <v>BANK MEALS</v>
          </cell>
        </row>
        <row r="75">
          <cell r="A75" t="str">
            <v>Normal Concept</v>
          </cell>
        </row>
        <row r="76">
          <cell r="A76" t="str">
            <v>3ATL-9110BK1</v>
          </cell>
          <cell r="B76" t="b">
            <v>1</v>
          </cell>
          <cell r="C76" t="str">
            <v>IC C S1 + S2 Used BKML 100%</v>
          </cell>
          <cell r="D76" t="b">
            <v>1</v>
          </cell>
          <cell r="F76" t="str">
            <v>C</v>
          </cell>
          <cell r="G76" t="str">
            <v>-</v>
          </cell>
          <cell r="H76">
            <v>39.01</v>
          </cell>
          <cell r="I76">
            <v>38.39</v>
          </cell>
          <cell r="J76">
            <v>39.01</v>
          </cell>
          <cell r="K76">
            <v>39.25</v>
          </cell>
          <cell r="M76">
            <v>4</v>
          </cell>
        </row>
        <row r="77">
          <cell r="A77" t="str">
            <v>3ATL-9120BK1</v>
          </cell>
          <cell r="B77" t="b">
            <v>1</v>
          </cell>
          <cell r="C77" t="str">
            <v>IC C S1 + S2 Unused BKML 50%</v>
          </cell>
          <cell r="D77" t="b">
            <v>1</v>
          </cell>
          <cell r="F77" t="str">
            <v>C</v>
          </cell>
          <cell r="G77" t="str">
            <v>-</v>
          </cell>
          <cell r="H77">
            <v>19.510000000000002</v>
          </cell>
          <cell r="I77">
            <v>19.195</v>
          </cell>
          <cell r="J77">
            <v>19.510000000000002</v>
          </cell>
          <cell r="K77">
            <v>19.625</v>
          </cell>
          <cell r="M77">
            <v>0</v>
          </cell>
        </row>
        <row r="78">
          <cell r="A78" t="str">
            <v>3ATL-9210BK1</v>
          </cell>
          <cell r="B78" t="b">
            <v>1</v>
          </cell>
          <cell r="C78" t="str">
            <v>IC Y S1 + S2 Used BKML 100%</v>
          </cell>
          <cell r="D78" t="b">
            <v>1</v>
          </cell>
          <cell r="F78" t="str">
            <v>Y</v>
          </cell>
          <cell r="G78" t="str">
            <v>-</v>
          </cell>
          <cell r="H78">
            <v>21.72</v>
          </cell>
          <cell r="I78">
            <v>19.690000000000001</v>
          </cell>
          <cell r="J78">
            <v>21.72</v>
          </cell>
          <cell r="K78">
            <v>20.88</v>
          </cell>
          <cell r="M78">
            <v>4</v>
          </cell>
        </row>
        <row r="79">
          <cell r="A79" t="str">
            <v>3ATL-9220BK1</v>
          </cell>
          <cell r="B79" t="b">
            <v>1</v>
          </cell>
          <cell r="C79" t="str">
            <v>IC Y S1 + S2 Unused BKML 50%</v>
          </cell>
          <cell r="D79" t="b">
            <v>1</v>
          </cell>
          <cell r="F79" t="str">
            <v>Y</v>
          </cell>
          <cell r="G79" t="str">
            <v>-</v>
          </cell>
          <cell r="H79">
            <v>10.86</v>
          </cell>
          <cell r="I79">
            <v>9.8450000000000006</v>
          </cell>
          <cell r="J79">
            <v>10.86</v>
          </cell>
          <cell r="K79">
            <v>10.44</v>
          </cell>
          <cell r="M79">
            <v>0</v>
          </cell>
        </row>
        <row r="80">
          <cell r="A80" t="str">
            <v>HANDLING AND OTHER CHARGES</v>
          </cell>
        </row>
        <row r="81">
          <cell r="A81" t="str">
            <v>Normal Concept</v>
          </cell>
        </row>
        <row r="82">
          <cell r="A82" t="str">
            <v>3333-IC954</v>
          </cell>
          <cell r="B82" t="b">
            <v>1</v>
          </cell>
          <cell r="C82" t="str">
            <v>SK0954-0956-0958</v>
          </cell>
          <cell r="D82" t="b">
            <v>1</v>
          </cell>
          <cell r="F82" t="str">
            <v>X</v>
          </cell>
          <cell r="G82" t="str">
            <v>-</v>
          </cell>
          <cell r="H82">
            <v>560</v>
          </cell>
          <cell r="I82">
            <v>560</v>
          </cell>
          <cell r="J82">
            <v>560</v>
          </cell>
          <cell r="K82">
            <v>560</v>
          </cell>
          <cell r="N82" t="str">
            <v>For split handling use 3333-IC954-T + 3333-IC954-OR. Effective 15 Sep 24</v>
          </cell>
        </row>
        <row r="83">
          <cell r="A83" t="str">
            <v>3334-IC954</v>
          </cell>
          <cell r="B83" t="b">
            <v>1</v>
          </cell>
          <cell r="C83" t="str">
            <v>SK0954-0956-0958</v>
          </cell>
          <cell r="D83" t="b">
            <v>1</v>
          </cell>
          <cell r="F83" t="str">
            <v>X</v>
          </cell>
          <cell r="G83" t="str">
            <v>-</v>
          </cell>
          <cell r="H83">
            <v>560</v>
          </cell>
          <cell r="I83">
            <v>560</v>
          </cell>
          <cell r="J83">
            <v>560</v>
          </cell>
          <cell r="K83">
            <v>560</v>
          </cell>
          <cell r="N83" t="str">
            <v>For split handling use 3334-IC954-T + 3334-IC954-OR. Effective 15 Sep 24</v>
          </cell>
        </row>
        <row r="84">
          <cell r="A84" t="str">
            <v>3591-IC954</v>
          </cell>
          <cell r="B84" t="b">
            <v>1</v>
          </cell>
          <cell r="C84" t="str">
            <v>SK0954-0956-0958</v>
          </cell>
          <cell r="D84" t="b">
            <v>1</v>
          </cell>
          <cell r="F84" t="str">
            <v>X</v>
          </cell>
          <cell r="G84" t="str">
            <v>-</v>
          </cell>
          <cell r="H84">
            <v>560</v>
          </cell>
          <cell r="I84">
            <v>560</v>
          </cell>
          <cell r="J84">
            <v>560</v>
          </cell>
          <cell r="K84">
            <v>560</v>
          </cell>
          <cell r="N84" t="str">
            <v>For split handling use 3591-IC954-T + 3591-IC954-OR. Effective 15 Sep 24</v>
          </cell>
        </row>
        <row r="85">
          <cell r="A85" t="str">
            <v>3333-IC954-T</v>
          </cell>
          <cell r="B85" t="b">
            <v>1</v>
          </cell>
          <cell r="C85" t="str">
            <v>SK0954-0956-0958 Terminating (Offload)</v>
          </cell>
          <cell r="D85" t="b">
            <v>1</v>
          </cell>
          <cell r="F85" t="str">
            <v>X</v>
          </cell>
          <cell r="G85" t="str">
            <v>-</v>
          </cell>
          <cell r="H85">
            <v>425</v>
          </cell>
          <cell r="I85">
            <v>425</v>
          </cell>
          <cell r="J85">
            <v>425</v>
          </cell>
          <cell r="K85">
            <v>425</v>
          </cell>
        </row>
        <row r="86">
          <cell r="A86" t="str">
            <v>3334-IC954-T</v>
          </cell>
          <cell r="B86" t="b">
            <v>1</v>
          </cell>
          <cell r="C86" t="str">
            <v>SK0954-0956-0958 Terminating (Offload)</v>
          </cell>
          <cell r="D86" t="b">
            <v>1</v>
          </cell>
          <cell r="F86" t="str">
            <v>X</v>
          </cell>
          <cell r="G86" t="str">
            <v>-</v>
          </cell>
          <cell r="H86">
            <v>425</v>
          </cell>
          <cell r="I86">
            <v>425</v>
          </cell>
          <cell r="J86">
            <v>425</v>
          </cell>
          <cell r="K86">
            <v>425</v>
          </cell>
        </row>
        <row r="87">
          <cell r="A87" t="str">
            <v>3591-IC954-T</v>
          </cell>
          <cell r="B87" t="b">
            <v>1</v>
          </cell>
          <cell r="C87" t="str">
            <v>SK0954-0956-0958 Terminating (Offload)</v>
          </cell>
          <cell r="D87" t="b">
            <v>1</v>
          </cell>
          <cell r="F87" t="str">
            <v>X</v>
          </cell>
          <cell r="G87" t="str">
            <v>-</v>
          </cell>
          <cell r="H87">
            <v>425</v>
          </cell>
          <cell r="I87">
            <v>425</v>
          </cell>
          <cell r="J87">
            <v>425</v>
          </cell>
          <cell r="K87">
            <v>425</v>
          </cell>
        </row>
        <row r="88">
          <cell r="A88" t="str">
            <v>3333-IC954-OR</v>
          </cell>
          <cell r="B88" t="b">
            <v>1</v>
          </cell>
          <cell r="C88" t="str">
            <v>SK0954-0956-0958 Originating (Reload)</v>
          </cell>
          <cell r="D88" t="b">
            <v>1</v>
          </cell>
          <cell r="F88" t="str">
            <v>X</v>
          </cell>
          <cell r="G88" t="str">
            <v>-</v>
          </cell>
          <cell r="H88">
            <v>285</v>
          </cell>
          <cell r="I88">
            <v>285</v>
          </cell>
          <cell r="J88">
            <v>285</v>
          </cell>
          <cell r="K88">
            <v>285</v>
          </cell>
        </row>
        <row r="89">
          <cell r="A89" t="str">
            <v>3334-IC954-OR</v>
          </cell>
          <cell r="B89" t="b">
            <v>1</v>
          </cell>
          <cell r="C89" t="str">
            <v>SK0954-0956-0958 Originating (Reload)</v>
          </cell>
          <cell r="D89" t="b">
            <v>1</v>
          </cell>
          <cell r="F89" t="str">
            <v>X</v>
          </cell>
          <cell r="G89" t="str">
            <v>-</v>
          </cell>
          <cell r="H89">
            <v>285</v>
          </cell>
          <cell r="I89">
            <v>285</v>
          </cell>
          <cell r="J89">
            <v>285</v>
          </cell>
          <cell r="K89">
            <v>285</v>
          </cell>
        </row>
        <row r="90">
          <cell r="A90" t="str">
            <v>3591-IC954-OR</v>
          </cell>
          <cell r="B90" t="b">
            <v>1</v>
          </cell>
          <cell r="C90" t="str">
            <v>SK0954-0956-0958 Originating (Reload)</v>
          </cell>
          <cell r="D90" t="b">
            <v>1</v>
          </cell>
          <cell r="F90" t="str">
            <v>X</v>
          </cell>
          <cell r="G90" t="str">
            <v>-</v>
          </cell>
          <cell r="H90">
            <v>285</v>
          </cell>
          <cell r="I90">
            <v>285</v>
          </cell>
          <cell r="J90">
            <v>285</v>
          </cell>
          <cell r="K90">
            <v>285</v>
          </cell>
        </row>
        <row r="91">
          <cell r="A91" t="str">
            <v>8ALL-WETICE3333</v>
          </cell>
          <cell r="B91" t="b">
            <v>1</v>
          </cell>
          <cell r="C91" t="str">
            <v>Wet Ice</v>
          </cell>
          <cell r="D91" t="b">
            <v>1</v>
          </cell>
          <cell r="F91" t="str">
            <v>X</v>
          </cell>
          <cell r="G91" t="str">
            <v>-</v>
          </cell>
          <cell r="H91">
            <v>9.36</v>
          </cell>
          <cell r="I91">
            <v>9.36</v>
          </cell>
          <cell r="J91">
            <v>9.36</v>
          </cell>
          <cell r="K91">
            <v>9.36</v>
          </cell>
          <cell r="N91" t="str">
            <v>CHANGE EFF. 01/01/2025, Price reflects STD loading quantity of 16kg=36lbs</v>
          </cell>
        </row>
        <row r="92">
          <cell r="A92" t="str">
            <v>8ALL-WETICE3334</v>
          </cell>
          <cell r="B92" t="b">
            <v>1</v>
          </cell>
          <cell r="C92" t="str">
            <v>Wet Ice</v>
          </cell>
          <cell r="D92" t="b">
            <v>1</v>
          </cell>
          <cell r="F92" t="str">
            <v>X</v>
          </cell>
          <cell r="G92" t="str">
            <v>-</v>
          </cell>
          <cell r="H92">
            <v>9.36</v>
          </cell>
          <cell r="I92">
            <v>9.36</v>
          </cell>
          <cell r="J92">
            <v>9.36</v>
          </cell>
          <cell r="K92">
            <v>9.36</v>
          </cell>
          <cell r="N92" t="str">
            <v>CHANGE EFF. 01/01/2025, Price reflects STD loading quantity of 16kg=36lbs</v>
          </cell>
        </row>
        <row r="93">
          <cell r="A93" t="str">
            <v>8ALL-WETICE3591</v>
          </cell>
          <cell r="B93" t="b">
            <v>1</v>
          </cell>
          <cell r="C93" t="str">
            <v>Wet Ice</v>
          </cell>
          <cell r="D93" t="b">
            <v>1</v>
          </cell>
          <cell r="F93" t="str">
            <v>X</v>
          </cell>
          <cell r="G93" t="str">
            <v>-</v>
          </cell>
          <cell r="H93">
            <v>9.36</v>
          </cell>
          <cell r="I93">
            <v>9.36</v>
          </cell>
          <cell r="J93">
            <v>9.36</v>
          </cell>
          <cell r="K93">
            <v>9.36</v>
          </cell>
          <cell r="N93" t="str">
            <v>CHANGE EFF. 01/01/2025, Price reflects STD loading quantity of 16kg=36lbs</v>
          </cell>
        </row>
        <row r="94">
          <cell r="A94" t="str">
            <v>8ALL-DRYICE3333</v>
          </cell>
          <cell r="B94" t="b">
            <v>1</v>
          </cell>
          <cell r="C94" t="str">
            <v>Dry Ice</v>
          </cell>
          <cell r="D94" t="b">
            <v>1</v>
          </cell>
          <cell r="F94" t="str">
            <v>X</v>
          </cell>
          <cell r="G94" t="str">
            <v>-</v>
          </cell>
          <cell r="H94">
            <v>8.91</v>
          </cell>
          <cell r="I94">
            <v>8.91</v>
          </cell>
          <cell r="J94">
            <v>8.91</v>
          </cell>
          <cell r="K94">
            <v>8.91</v>
          </cell>
          <cell r="N94" t="str">
            <v>CHANGE EFF. 01/01/2025, Price reflects STD loading quantity of 4kg=9lbs</v>
          </cell>
        </row>
        <row r="95">
          <cell r="A95" t="str">
            <v>8ALL-DRYICE3334</v>
          </cell>
          <cell r="B95" t="b">
            <v>1</v>
          </cell>
          <cell r="C95" t="str">
            <v>Dry Ice</v>
          </cell>
          <cell r="D95" t="b">
            <v>1</v>
          </cell>
          <cell r="F95" t="str">
            <v>X</v>
          </cell>
          <cell r="G95" t="str">
            <v>-</v>
          </cell>
          <cell r="H95">
            <v>8.91</v>
          </cell>
          <cell r="I95">
            <v>8.91</v>
          </cell>
          <cell r="J95">
            <v>8.91</v>
          </cell>
          <cell r="K95">
            <v>8.91</v>
          </cell>
          <cell r="N95" t="str">
            <v>CHANGE EFF. 01/01/2025, Price reflects STD loading quantity of 4kg=9lbs</v>
          </cell>
        </row>
        <row r="96">
          <cell r="A96" t="str">
            <v>8ALL-DRYICE3591</v>
          </cell>
          <cell r="B96" t="b">
            <v>1</v>
          </cell>
          <cell r="C96" t="str">
            <v>Dry Ice</v>
          </cell>
          <cell r="D96" t="b">
            <v>1</v>
          </cell>
          <cell r="F96" t="str">
            <v>X</v>
          </cell>
          <cell r="G96" t="str">
            <v>-</v>
          </cell>
          <cell r="H96">
            <v>8.91</v>
          </cell>
          <cell r="I96">
            <v>8.91</v>
          </cell>
          <cell r="J96">
            <v>8.91</v>
          </cell>
          <cell r="K96">
            <v>8.91</v>
          </cell>
          <cell r="N96" t="str">
            <v>CHANGE EFF. 01/01/2025, Price reflects STD loading quantity of 4kg=9lbs</v>
          </cell>
        </row>
        <row r="97">
          <cell r="A97" t="str">
            <v>8ALL-GARBAGE3333</v>
          </cell>
          <cell r="B97" t="b">
            <v>1</v>
          </cell>
          <cell r="C97" t="str">
            <v>International Garbage Charge (3333)</v>
          </cell>
          <cell r="D97" t="b">
            <v>1</v>
          </cell>
          <cell r="E97" t="str">
            <v>If needed</v>
          </cell>
          <cell r="F97" t="str">
            <v>X</v>
          </cell>
          <cell r="G97" t="str">
            <v>-</v>
          </cell>
          <cell r="H97">
            <v>200</v>
          </cell>
          <cell r="I97">
            <v>200</v>
          </cell>
          <cell r="J97">
            <v>200</v>
          </cell>
          <cell r="K97">
            <v>200</v>
          </cell>
        </row>
        <row r="98">
          <cell r="A98" t="str">
            <v>8ALL-GARBAGE3334</v>
          </cell>
          <cell r="B98" t="b">
            <v>1</v>
          </cell>
          <cell r="C98" t="str">
            <v>International Garbage Charge (3334)</v>
          </cell>
          <cell r="D98" t="b">
            <v>1</v>
          </cell>
          <cell r="E98" t="str">
            <v>If needed</v>
          </cell>
          <cell r="F98" t="str">
            <v>X</v>
          </cell>
          <cell r="G98" t="str">
            <v>-</v>
          </cell>
          <cell r="H98">
            <v>200</v>
          </cell>
          <cell r="I98">
            <v>200</v>
          </cell>
          <cell r="J98">
            <v>200</v>
          </cell>
          <cell r="K98">
            <v>200</v>
          </cell>
        </row>
        <row r="99">
          <cell r="A99" t="str">
            <v>8ALL-GARBAGE3591</v>
          </cell>
          <cell r="B99" t="b">
            <v>1</v>
          </cell>
          <cell r="C99" t="str">
            <v>International Garbage Charge (3591)</v>
          </cell>
          <cell r="D99" t="b">
            <v>1</v>
          </cell>
          <cell r="E99" t="str">
            <v>If needed</v>
          </cell>
          <cell r="F99" t="str">
            <v>X</v>
          </cell>
          <cell r="G99" t="str">
            <v>-</v>
          </cell>
          <cell r="H99">
            <v>260</v>
          </cell>
          <cell r="I99">
            <v>260</v>
          </cell>
          <cell r="J99">
            <v>260</v>
          </cell>
          <cell r="K99">
            <v>260</v>
          </cell>
        </row>
        <row r="100">
          <cell r="A100" t="str">
            <v>8ALL-ACDELIVERY</v>
          </cell>
          <cell r="B100" t="b">
            <v>1</v>
          </cell>
          <cell r="C100" t="str">
            <v>Aircraft Delivery Charge</v>
          </cell>
          <cell r="D100" t="b">
            <v>1</v>
          </cell>
          <cell r="E100" t="str">
            <v>If needed</v>
          </cell>
          <cell r="F100" t="str">
            <v>X</v>
          </cell>
          <cell r="G100" t="str">
            <v>-</v>
          </cell>
          <cell r="H100">
            <v>55</v>
          </cell>
          <cell r="I100">
            <v>55</v>
          </cell>
          <cell r="J100">
            <v>55</v>
          </cell>
          <cell r="K100">
            <v>55</v>
          </cell>
        </row>
        <row r="101">
          <cell r="A101" t="str">
            <v>8ATL-OVERHEAD-C</v>
          </cell>
          <cell r="B101" t="b">
            <v>1</v>
          </cell>
          <cell r="C101" t="str">
            <v>IC C Overhead</v>
          </cell>
          <cell r="D101" t="b">
            <v>1</v>
          </cell>
          <cell r="F101" t="str">
            <v>X</v>
          </cell>
          <cell r="G101" t="str">
            <v>-</v>
          </cell>
          <cell r="H101">
            <v>4</v>
          </cell>
          <cell r="I101">
            <v>4</v>
          </cell>
          <cell r="J101">
            <v>4</v>
          </cell>
          <cell r="K101">
            <v>4</v>
          </cell>
          <cell r="M101">
            <v>20</v>
          </cell>
        </row>
        <row r="102">
          <cell r="A102" t="str">
            <v>8ATL-OVERHEAD-Y</v>
          </cell>
          <cell r="B102" t="b">
            <v>1</v>
          </cell>
          <cell r="C102" t="str">
            <v>IC Y Overhead</v>
          </cell>
          <cell r="D102" t="b">
            <v>1</v>
          </cell>
          <cell r="F102" t="str">
            <v>X</v>
          </cell>
          <cell r="G102" t="str">
            <v>-</v>
          </cell>
          <cell r="H102">
            <v>3</v>
          </cell>
          <cell r="I102">
            <v>3</v>
          </cell>
          <cell r="J102">
            <v>3</v>
          </cell>
          <cell r="K102">
            <v>3</v>
          </cell>
          <cell r="M102">
            <v>19</v>
          </cell>
        </row>
        <row r="103">
          <cell r="A103" t="str">
            <v>8ATL-OVERHEAD-M</v>
          </cell>
          <cell r="B103" t="b">
            <v>1</v>
          </cell>
          <cell r="C103" t="str">
            <v>IC M Overhead</v>
          </cell>
          <cell r="D103" t="b">
            <v>1</v>
          </cell>
          <cell r="F103" t="str">
            <v>X</v>
          </cell>
          <cell r="G103" t="str">
            <v>-</v>
          </cell>
          <cell r="H103">
            <v>2.5</v>
          </cell>
          <cell r="I103">
            <v>2.5</v>
          </cell>
          <cell r="J103">
            <v>2.5</v>
          </cell>
          <cell r="K103">
            <v>2.5</v>
          </cell>
          <cell r="M103">
            <v>174</v>
          </cell>
        </row>
        <row r="104">
          <cell r="A104" t="str">
            <v>8ATL-OVERHEAD-P</v>
          </cell>
          <cell r="B104" t="b">
            <v>0</v>
          </cell>
          <cell r="C104" t="str">
            <v>IC P Overhead</v>
          </cell>
          <cell r="D104" t="b">
            <v>0</v>
          </cell>
          <cell r="F104" t="str">
            <v>X</v>
          </cell>
          <cell r="G104" t="str">
            <v>-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M104">
            <v>2</v>
          </cell>
        </row>
        <row r="105">
          <cell r="A105" t="str">
            <v>8ATL-OVERHEAD-K</v>
          </cell>
          <cell r="B105" t="b">
            <v>0</v>
          </cell>
          <cell r="C105" t="str">
            <v>IC K Overhead</v>
          </cell>
          <cell r="D105" t="b">
            <v>0</v>
          </cell>
          <cell r="F105" t="str">
            <v>X</v>
          </cell>
          <cell r="G105" t="str">
            <v>-</v>
          </cell>
          <cell r="H105">
            <v>3</v>
          </cell>
          <cell r="I105">
            <v>3</v>
          </cell>
          <cell r="J105">
            <v>3</v>
          </cell>
          <cell r="K105">
            <v>3</v>
          </cell>
          <cell r="M105">
            <v>0</v>
          </cell>
        </row>
        <row r="107">
          <cell r="A107" t="str">
            <v>SPML</v>
          </cell>
        </row>
        <row r="108">
          <cell r="A108" t="str">
            <v>Normal Concept</v>
          </cell>
        </row>
        <row r="109">
          <cell r="A109" t="str">
            <v>3ATL-9110AV0</v>
          </cell>
          <cell r="B109" t="b">
            <v>1</v>
          </cell>
          <cell r="C109" t="str">
            <v xml:space="preserve">IC C S1 AVML </v>
          </cell>
          <cell r="D109" t="b">
            <v>1</v>
          </cell>
          <cell r="F109" t="str">
            <v>C</v>
          </cell>
          <cell r="G109" t="str">
            <v>-</v>
          </cell>
          <cell r="H109">
            <v>25.44</v>
          </cell>
          <cell r="I109">
            <v>25.44</v>
          </cell>
          <cell r="J109">
            <v>25.44</v>
          </cell>
          <cell r="K109">
            <v>25.44</v>
          </cell>
        </row>
        <row r="110">
          <cell r="A110" t="str">
            <v>3ATL-9110CH0</v>
          </cell>
          <cell r="B110" t="b">
            <v>1</v>
          </cell>
          <cell r="C110" t="str">
            <v xml:space="preserve">IC C S1 CHML </v>
          </cell>
          <cell r="D110" t="b">
            <v>1</v>
          </cell>
          <cell r="F110" t="str">
            <v>C</v>
          </cell>
          <cell r="G110" t="str">
            <v>-</v>
          </cell>
          <cell r="H110">
            <v>21.62</v>
          </cell>
          <cell r="I110">
            <v>21.62</v>
          </cell>
          <cell r="J110">
            <v>21.62</v>
          </cell>
          <cell r="K110">
            <v>21.62</v>
          </cell>
        </row>
        <row r="111">
          <cell r="A111" t="str">
            <v>3ATL-9110LG0</v>
          </cell>
          <cell r="B111" t="b">
            <v>1</v>
          </cell>
          <cell r="C111" t="str">
            <v xml:space="preserve">IC C S1 LGML </v>
          </cell>
          <cell r="D111" t="b">
            <v>1</v>
          </cell>
          <cell r="F111" t="str">
            <v>C</v>
          </cell>
          <cell r="G111" t="str">
            <v>-</v>
          </cell>
          <cell r="H111">
            <v>26.2</v>
          </cell>
          <cell r="I111">
            <v>26.2</v>
          </cell>
          <cell r="J111">
            <v>26.2</v>
          </cell>
          <cell r="K111">
            <v>26.2</v>
          </cell>
        </row>
        <row r="112">
          <cell r="A112" t="str">
            <v>3ATL-9110VG0</v>
          </cell>
          <cell r="B112" t="b">
            <v>1</v>
          </cell>
          <cell r="C112" t="str">
            <v xml:space="preserve">IC C S1 VGML </v>
          </cell>
          <cell r="D112" t="b">
            <v>1</v>
          </cell>
          <cell r="F112" t="str">
            <v>C</v>
          </cell>
          <cell r="G112" t="str">
            <v>-</v>
          </cell>
          <cell r="H112">
            <v>25.44</v>
          </cell>
          <cell r="I112">
            <v>25.44</v>
          </cell>
          <cell r="J112">
            <v>25.44</v>
          </cell>
          <cell r="K112">
            <v>25.44</v>
          </cell>
        </row>
        <row r="113">
          <cell r="A113" t="str">
            <v>3ATL-9110VL0</v>
          </cell>
          <cell r="B113" t="b">
            <v>1</v>
          </cell>
          <cell r="C113" t="str">
            <v xml:space="preserve">IC C S1 VLML </v>
          </cell>
          <cell r="D113" t="b">
            <v>1</v>
          </cell>
          <cell r="F113" t="str">
            <v>C</v>
          </cell>
          <cell r="G113" t="str">
            <v>-</v>
          </cell>
          <cell r="H113">
            <v>25.44</v>
          </cell>
          <cell r="I113">
            <v>25.44</v>
          </cell>
          <cell r="J113">
            <v>25.44</v>
          </cell>
          <cell r="K113">
            <v>25.44</v>
          </cell>
        </row>
        <row r="114">
          <cell r="A114" t="str">
            <v>3ATL-9120AV0</v>
          </cell>
          <cell r="B114" t="b">
            <v>1</v>
          </cell>
          <cell r="C114" t="str">
            <v xml:space="preserve">IC C S2 AVML </v>
          </cell>
          <cell r="D114" t="b">
            <v>1</v>
          </cell>
          <cell r="F114" t="str">
            <v>C</v>
          </cell>
          <cell r="G114" t="str">
            <v>-</v>
          </cell>
          <cell r="H114">
            <v>13.7</v>
          </cell>
          <cell r="I114">
            <v>13.7</v>
          </cell>
          <cell r="J114">
            <v>13.7</v>
          </cell>
          <cell r="K114">
            <v>13.7</v>
          </cell>
        </row>
        <row r="115">
          <cell r="A115" t="str">
            <v>3ATL-9120CH0</v>
          </cell>
          <cell r="B115" t="b">
            <v>1</v>
          </cell>
          <cell r="C115" t="str">
            <v xml:space="preserve">IC C S2 CHML </v>
          </cell>
          <cell r="D115" t="b">
            <v>1</v>
          </cell>
          <cell r="F115" t="str">
            <v>C</v>
          </cell>
          <cell r="G115" t="str">
            <v>-</v>
          </cell>
          <cell r="H115">
            <v>11.64</v>
          </cell>
          <cell r="I115">
            <v>11.64</v>
          </cell>
          <cell r="J115">
            <v>11.64</v>
          </cell>
          <cell r="K115">
            <v>11.64</v>
          </cell>
        </row>
        <row r="116">
          <cell r="A116" t="str">
            <v>3ATL-9120LG0</v>
          </cell>
          <cell r="B116" t="b">
            <v>1</v>
          </cell>
          <cell r="C116" t="str">
            <v xml:space="preserve">IC C S2 LGML </v>
          </cell>
          <cell r="D116" t="b">
            <v>1</v>
          </cell>
          <cell r="F116" t="str">
            <v>C</v>
          </cell>
          <cell r="G116" t="str">
            <v>-</v>
          </cell>
          <cell r="H116">
            <v>14.11</v>
          </cell>
          <cell r="I116">
            <v>14.11</v>
          </cell>
          <cell r="J116">
            <v>14.11</v>
          </cell>
          <cell r="K116">
            <v>14.11</v>
          </cell>
        </row>
        <row r="117">
          <cell r="A117" t="str">
            <v>3ATL-9120VG0</v>
          </cell>
          <cell r="B117" t="b">
            <v>1</v>
          </cell>
          <cell r="C117" t="str">
            <v>IC C S2 VGML</v>
          </cell>
          <cell r="D117" t="b">
            <v>1</v>
          </cell>
          <cell r="F117" t="str">
            <v>C</v>
          </cell>
          <cell r="G117" t="str">
            <v>-</v>
          </cell>
          <cell r="H117">
            <v>13.7</v>
          </cell>
          <cell r="I117">
            <v>13.7</v>
          </cell>
          <cell r="J117">
            <v>13.7</v>
          </cell>
          <cell r="K117">
            <v>13.7</v>
          </cell>
        </row>
        <row r="118">
          <cell r="A118" t="str">
            <v>3ATL-9120VL0</v>
          </cell>
          <cell r="B118" t="b">
            <v>1</v>
          </cell>
          <cell r="C118" t="str">
            <v xml:space="preserve">IC C S2 VLML </v>
          </cell>
          <cell r="D118" t="b">
            <v>1</v>
          </cell>
          <cell r="F118" t="str">
            <v>C</v>
          </cell>
          <cell r="G118" t="str">
            <v>-</v>
          </cell>
          <cell r="H118">
            <v>13.7</v>
          </cell>
          <cell r="I118">
            <v>13.7</v>
          </cell>
          <cell r="J118">
            <v>13.7</v>
          </cell>
          <cell r="K118">
            <v>13.7</v>
          </cell>
        </row>
        <row r="119">
          <cell r="A119" t="str">
            <v>3ATL-9210AV0</v>
          </cell>
          <cell r="B119" t="b">
            <v>1</v>
          </cell>
          <cell r="C119" t="str">
            <v xml:space="preserve">IC Y S1 AVML </v>
          </cell>
          <cell r="D119" t="b">
            <v>1</v>
          </cell>
          <cell r="F119" t="str">
            <v>Y</v>
          </cell>
          <cell r="G119" t="str">
            <v>-</v>
          </cell>
          <cell r="H119">
            <v>12.8</v>
          </cell>
          <cell r="I119">
            <v>12.8</v>
          </cell>
          <cell r="J119">
            <v>12.8</v>
          </cell>
          <cell r="K119">
            <v>12.8</v>
          </cell>
        </row>
        <row r="120">
          <cell r="A120" t="str">
            <v>3ATL-9210CH0</v>
          </cell>
          <cell r="B120" t="b">
            <v>1</v>
          </cell>
          <cell r="C120" t="str">
            <v xml:space="preserve">IC Y S1 CHML </v>
          </cell>
          <cell r="D120" t="b">
            <v>1</v>
          </cell>
          <cell r="F120" t="str">
            <v>Y</v>
          </cell>
          <cell r="G120" t="str">
            <v>-</v>
          </cell>
          <cell r="H120">
            <v>10.88</v>
          </cell>
          <cell r="I120">
            <v>10.88</v>
          </cell>
          <cell r="J120">
            <v>10.88</v>
          </cell>
          <cell r="K120">
            <v>10.88</v>
          </cell>
        </row>
        <row r="121">
          <cell r="A121" t="str">
            <v>3ATL-9210LG0</v>
          </cell>
          <cell r="B121" t="b">
            <v>1</v>
          </cell>
          <cell r="C121" t="str">
            <v xml:space="preserve">IC Y S1 LGML </v>
          </cell>
          <cell r="D121" t="b">
            <v>1</v>
          </cell>
          <cell r="F121" t="str">
            <v>Y</v>
          </cell>
          <cell r="G121" t="str">
            <v>-</v>
          </cell>
          <cell r="H121">
            <v>13.18</v>
          </cell>
          <cell r="I121">
            <v>13.18</v>
          </cell>
          <cell r="J121">
            <v>13.18</v>
          </cell>
          <cell r="K121">
            <v>13.18</v>
          </cell>
        </row>
        <row r="122">
          <cell r="A122" t="str">
            <v>3ATL-9210VG0</v>
          </cell>
          <cell r="B122" t="b">
            <v>1</v>
          </cell>
          <cell r="C122" t="str">
            <v xml:space="preserve">IC Y S1 VGML </v>
          </cell>
          <cell r="D122" t="b">
            <v>1</v>
          </cell>
          <cell r="F122" t="str">
            <v>Y</v>
          </cell>
          <cell r="G122" t="str">
            <v>-</v>
          </cell>
          <cell r="H122">
            <v>12.8</v>
          </cell>
          <cell r="I122">
            <v>12.8</v>
          </cell>
          <cell r="J122">
            <v>12.8</v>
          </cell>
          <cell r="K122">
            <v>12.8</v>
          </cell>
        </row>
        <row r="123">
          <cell r="A123" t="str">
            <v>3ATL-9210VL0</v>
          </cell>
          <cell r="B123" t="b">
            <v>1</v>
          </cell>
          <cell r="C123" t="str">
            <v xml:space="preserve">IC Y S1 VLML </v>
          </cell>
          <cell r="D123" t="b">
            <v>1</v>
          </cell>
          <cell r="F123" t="str">
            <v>Y</v>
          </cell>
          <cell r="G123" t="str">
            <v>-</v>
          </cell>
          <cell r="H123">
            <v>12.8</v>
          </cell>
          <cell r="I123">
            <v>12.8</v>
          </cell>
          <cell r="J123">
            <v>12.8</v>
          </cell>
          <cell r="K123">
            <v>12.8</v>
          </cell>
        </row>
        <row r="124">
          <cell r="A124" t="str">
            <v>3ATL-9220AV0</v>
          </cell>
          <cell r="B124" t="b">
            <v>1</v>
          </cell>
          <cell r="C124" t="str">
            <v xml:space="preserve">IC Y S2 AVML </v>
          </cell>
          <cell r="D124" t="b">
            <v>1</v>
          </cell>
          <cell r="F124" t="str">
            <v>Y</v>
          </cell>
          <cell r="G124" t="str">
            <v>-</v>
          </cell>
          <cell r="H124">
            <v>6.89</v>
          </cell>
          <cell r="I124">
            <v>6.89</v>
          </cell>
          <cell r="J124">
            <v>6.89</v>
          </cell>
          <cell r="K124">
            <v>6.89</v>
          </cell>
        </row>
        <row r="125">
          <cell r="A125" t="str">
            <v>3ATL-9220CH0</v>
          </cell>
          <cell r="B125" t="b">
            <v>1</v>
          </cell>
          <cell r="C125" t="str">
            <v xml:space="preserve">IC Y S2 CHML </v>
          </cell>
          <cell r="D125" t="b">
            <v>1</v>
          </cell>
          <cell r="F125" t="str">
            <v>Y</v>
          </cell>
          <cell r="G125" t="str">
            <v>-</v>
          </cell>
          <cell r="H125">
            <v>5.86</v>
          </cell>
          <cell r="I125">
            <v>5.86</v>
          </cell>
          <cell r="J125">
            <v>5.86</v>
          </cell>
          <cell r="K125">
            <v>5.86</v>
          </cell>
        </row>
        <row r="126">
          <cell r="A126" t="str">
            <v>3ATL-9220LG0</v>
          </cell>
          <cell r="B126" t="b">
            <v>1</v>
          </cell>
          <cell r="C126" t="str">
            <v xml:space="preserve">IC Y S2 LGML </v>
          </cell>
          <cell r="D126" t="b">
            <v>1</v>
          </cell>
          <cell r="F126" t="str">
            <v>Y</v>
          </cell>
          <cell r="G126" t="str">
            <v>-</v>
          </cell>
          <cell r="H126">
            <v>7.1</v>
          </cell>
          <cell r="I126">
            <v>7.1</v>
          </cell>
          <cell r="J126">
            <v>7.1</v>
          </cell>
          <cell r="K126">
            <v>7.1</v>
          </cell>
        </row>
        <row r="127">
          <cell r="A127" t="str">
            <v>3ATL-9220VG0</v>
          </cell>
          <cell r="B127" t="b">
            <v>1</v>
          </cell>
          <cell r="C127" t="str">
            <v xml:space="preserve">IC Y S2 VGML </v>
          </cell>
          <cell r="D127" t="b">
            <v>1</v>
          </cell>
          <cell r="F127" t="str">
            <v>Y</v>
          </cell>
          <cell r="G127" t="str">
            <v>-</v>
          </cell>
          <cell r="H127">
            <v>6.89</v>
          </cell>
          <cell r="I127">
            <v>6.89</v>
          </cell>
          <cell r="J127">
            <v>6.89</v>
          </cell>
          <cell r="K127">
            <v>6.89</v>
          </cell>
        </row>
        <row r="128">
          <cell r="A128" t="str">
            <v>3ATL-9220VL0</v>
          </cell>
          <cell r="B128" t="b">
            <v>1</v>
          </cell>
          <cell r="C128" t="str">
            <v xml:space="preserve">IC Y S2 VLML </v>
          </cell>
          <cell r="D128" t="b">
            <v>1</v>
          </cell>
          <cell r="F128" t="str">
            <v>Y</v>
          </cell>
          <cell r="G128" t="str">
            <v>-</v>
          </cell>
          <cell r="H128">
            <v>6.89</v>
          </cell>
          <cell r="I128">
            <v>6.89</v>
          </cell>
          <cell r="J128">
            <v>6.89</v>
          </cell>
          <cell r="K128">
            <v>6.89</v>
          </cell>
        </row>
        <row r="129">
          <cell r="A129" t="str">
            <v>3ATL-9310AD0</v>
          </cell>
          <cell r="B129" t="b">
            <v>1</v>
          </cell>
          <cell r="C129" t="str">
            <v xml:space="preserve">IC M S1 ADML </v>
          </cell>
          <cell r="D129" t="b">
            <v>1</v>
          </cell>
          <cell r="F129" t="str">
            <v>M</v>
          </cell>
          <cell r="G129" t="str">
            <v>-</v>
          </cell>
          <cell r="H129">
            <v>9.4700000000000006</v>
          </cell>
          <cell r="I129">
            <v>9.4700000000000006</v>
          </cell>
          <cell r="J129">
            <v>9.4700000000000006</v>
          </cell>
          <cell r="K129">
            <v>9.4700000000000006</v>
          </cell>
        </row>
        <row r="130">
          <cell r="A130" t="str">
            <v>3ATL-9310CD0</v>
          </cell>
          <cell r="B130" t="b">
            <v>1</v>
          </cell>
          <cell r="C130" t="str">
            <v xml:space="preserve">IC M S1 CDML </v>
          </cell>
          <cell r="D130" t="b">
            <v>1</v>
          </cell>
          <cell r="F130" t="str">
            <v>M</v>
          </cell>
          <cell r="G130" t="str">
            <v>-</v>
          </cell>
          <cell r="H130">
            <v>11.47</v>
          </cell>
          <cell r="I130">
            <v>11.47</v>
          </cell>
          <cell r="J130">
            <v>11.47</v>
          </cell>
          <cell r="K130">
            <v>11.47</v>
          </cell>
        </row>
        <row r="131">
          <cell r="A131" t="str">
            <v>3ATL-9310GC0</v>
          </cell>
          <cell r="B131" t="b">
            <v>1</v>
          </cell>
          <cell r="C131" t="str">
            <v xml:space="preserve">IC M S1 GCML </v>
          </cell>
          <cell r="D131" t="b">
            <v>1</v>
          </cell>
          <cell r="F131" t="str">
            <v>M</v>
          </cell>
          <cell r="G131" t="str">
            <v>-</v>
          </cell>
          <cell r="H131">
            <v>11.14</v>
          </cell>
          <cell r="I131">
            <v>11.14</v>
          </cell>
          <cell r="J131">
            <v>11.14</v>
          </cell>
          <cell r="K131">
            <v>11.14</v>
          </cell>
        </row>
        <row r="132">
          <cell r="A132" t="str">
            <v>3ATL-9310VV0</v>
          </cell>
          <cell r="B132" t="b">
            <v>1</v>
          </cell>
          <cell r="C132" t="str">
            <v xml:space="preserve">IC M S1 VVML </v>
          </cell>
          <cell r="D132" t="b">
            <v>1</v>
          </cell>
          <cell r="F132" t="str">
            <v>M</v>
          </cell>
          <cell r="G132" t="str">
            <v>-</v>
          </cell>
          <cell r="H132">
            <v>11.14</v>
          </cell>
          <cell r="I132">
            <v>11.14</v>
          </cell>
          <cell r="J132">
            <v>11.14</v>
          </cell>
          <cell r="K132">
            <v>11.14</v>
          </cell>
        </row>
        <row r="133">
          <cell r="A133" t="str">
            <v>3ATL-9310EV0</v>
          </cell>
          <cell r="B133" t="b">
            <v>1</v>
          </cell>
          <cell r="C133" t="str">
            <v xml:space="preserve">IC M S1 EVML </v>
          </cell>
          <cell r="D133" t="b">
            <v>1</v>
          </cell>
          <cell r="F133" t="str">
            <v>M</v>
          </cell>
          <cell r="G133" t="str">
            <v>-</v>
          </cell>
          <cell r="H133">
            <v>11.14</v>
          </cell>
          <cell r="I133">
            <v>11.14</v>
          </cell>
          <cell r="J133">
            <v>11.14</v>
          </cell>
          <cell r="K133">
            <v>11.14</v>
          </cell>
        </row>
        <row r="134">
          <cell r="A134" t="str">
            <v>3ATL-9320AD0</v>
          </cell>
          <cell r="B134" t="b">
            <v>1</v>
          </cell>
          <cell r="C134" t="str">
            <v xml:space="preserve">IC M S2 ADML </v>
          </cell>
          <cell r="D134" t="b">
            <v>1</v>
          </cell>
          <cell r="F134" t="str">
            <v>M</v>
          </cell>
          <cell r="G134" t="str">
            <v>-</v>
          </cell>
          <cell r="H134">
            <v>2.37</v>
          </cell>
          <cell r="I134">
            <v>2.37</v>
          </cell>
          <cell r="J134">
            <v>2.37</v>
          </cell>
          <cell r="K134">
            <v>2.37</v>
          </cell>
        </row>
        <row r="135">
          <cell r="A135" t="str">
            <v>3ATL-9320CD0</v>
          </cell>
          <cell r="B135" t="b">
            <v>1</v>
          </cell>
          <cell r="C135" t="str">
            <v xml:space="preserve">IC M S2 CDML </v>
          </cell>
          <cell r="D135" t="b">
            <v>1</v>
          </cell>
          <cell r="F135" t="str">
            <v>M</v>
          </cell>
          <cell r="G135" t="str">
            <v>-</v>
          </cell>
          <cell r="H135">
            <v>2.87</v>
          </cell>
          <cell r="I135">
            <v>2.87</v>
          </cell>
          <cell r="J135">
            <v>2.87</v>
          </cell>
          <cell r="K135">
            <v>2.87</v>
          </cell>
        </row>
        <row r="136">
          <cell r="A136" t="str">
            <v>3ATL-9320GC0</v>
          </cell>
          <cell r="B136" t="b">
            <v>1</v>
          </cell>
          <cell r="C136" t="str">
            <v xml:space="preserve">IC M S2 GCML </v>
          </cell>
          <cell r="D136" t="b">
            <v>1</v>
          </cell>
          <cell r="F136" t="str">
            <v>M</v>
          </cell>
          <cell r="G136" t="str">
            <v>-</v>
          </cell>
          <cell r="H136">
            <v>2.78</v>
          </cell>
          <cell r="I136">
            <v>2.78</v>
          </cell>
          <cell r="J136">
            <v>2.78</v>
          </cell>
          <cell r="K136">
            <v>2.78</v>
          </cell>
        </row>
        <row r="137">
          <cell r="A137" t="str">
            <v>3ATL-9320VV0</v>
          </cell>
          <cell r="B137" t="b">
            <v>1</v>
          </cell>
          <cell r="C137" t="str">
            <v xml:space="preserve">IC M S2 VVML </v>
          </cell>
          <cell r="D137" t="b">
            <v>1</v>
          </cell>
          <cell r="F137" t="str">
            <v>M</v>
          </cell>
          <cell r="G137" t="str">
            <v>-</v>
          </cell>
          <cell r="H137">
            <v>2.78</v>
          </cell>
          <cell r="I137">
            <v>2.78</v>
          </cell>
          <cell r="J137">
            <v>2.78</v>
          </cell>
          <cell r="K137">
            <v>2.78</v>
          </cell>
        </row>
        <row r="138">
          <cell r="A138" t="str">
            <v>3ATL-9320EV0</v>
          </cell>
          <cell r="B138" t="b">
            <v>1</v>
          </cell>
          <cell r="C138" t="str">
            <v xml:space="preserve">IC M S2 EVML </v>
          </cell>
          <cell r="D138" t="b">
            <v>1</v>
          </cell>
          <cell r="F138" t="str">
            <v>M</v>
          </cell>
          <cell r="G138" t="str">
            <v>-</v>
          </cell>
          <cell r="H138">
            <v>2.78</v>
          </cell>
          <cell r="I138">
            <v>2.78</v>
          </cell>
          <cell r="J138">
            <v>2.78</v>
          </cell>
          <cell r="K138">
            <v>2.78</v>
          </cell>
        </row>
        <row r="139">
          <cell r="A139" t="str">
            <v>3ATL-9320GH0</v>
          </cell>
          <cell r="B139" t="b">
            <v>1</v>
          </cell>
          <cell r="C139" t="str">
            <v xml:space="preserve">IC M S2 GHML </v>
          </cell>
          <cell r="D139" t="b">
            <v>1</v>
          </cell>
          <cell r="F139" t="str">
            <v>M</v>
          </cell>
          <cell r="G139" t="str">
            <v>-</v>
          </cell>
          <cell r="H139">
            <v>6.89</v>
          </cell>
          <cell r="I139">
            <v>6.89</v>
          </cell>
          <cell r="J139">
            <v>6.89</v>
          </cell>
          <cell r="K139">
            <v>6.89</v>
          </cell>
        </row>
        <row r="140">
          <cell r="A140" t="str">
            <v>PSML and P0ML</v>
          </cell>
        </row>
        <row r="141">
          <cell r="A141" t="str">
            <v>Normal Concept</v>
          </cell>
        </row>
        <row r="142">
          <cell r="A142" t="str">
            <v>3ATL-9110ME0</v>
          </cell>
          <cell r="B142" t="b">
            <v>1</v>
          </cell>
          <cell r="C142" t="str">
            <v>IC M S1 BMML</v>
          </cell>
          <cell r="D142" t="b">
            <v>1</v>
          </cell>
          <cell r="E142" t="str">
            <v>C Hotmeal 1st Meat Option</v>
          </cell>
          <cell r="F142" t="str">
            <v>C</v>
          </cell>
          <cell r="G142" t="str">
            <v>-</v>
          </cell>
          <cell r="H142">
            <v>12.24</v>
          </cell>
          <cell r="I142">
            <v>13.5</v>
          </cell>
          <cell r="J142">
            <v>15.69</v>
          </cell>
          <cell r="K142">
            <v>11.94</v>
          </cell>
          <cell r="N142" t="str">
            <v>Pre-Select Business Hot Meal - C meat A option</v>
          </cell>
        </row>
        <row r="143">
          <cell r="A143" t="str">
            <v>3ATL-9110FI0</v>
          </cell>
          <cell r="B143" t="b">
            <v>1</v>
          </cell>
          <cell r="C143" t="str">
            <v>IC M S1 BFML</v>
          </cell>
          <cell r="D143" t="b">
            <v>1</v>
          </cell>
          <cell r="E143" t="str">
            <v>C Hotmeal 1st Fish Option</v>
          </cell>
          <cell r="F143" t="str">
            <v>C</v>
          </cell>
          <cell r="G143" t="str">
            <v>-</v>
          </cell>
          <cell r="H143">
            <v>10.210000000000001</v>
          </cell>
          <cell r="I143">
            <v>17.79</v>
          </cell>
          <cell r="J143">
            <v>13.08</v>
          </cell>
          <cell r="K143">
            <v>12.75</v>
          </cell>
          <cell r="N143" t="str">
            <v>Pre-Select Business Hot Meal - c fish B option</v>
          </cell>
        </row>
        <row r="144">
          <cell r="A144" t="str">
            <v>3ATL-9110CK0</v>
          </cell>
          <cell r="B144" t="b">
            <v>1</v>
          </cell>
          <cell r="C144" t="str">
            <v>IC M S1 BPML</v>
          </cell>
          <cell r="D144" t="b">
            <v>1</v>
          </cell>
          <cell r="E144" t="str">
            <v>C Hotmeal 1st Poultry Option</v>
          </cell>
          <cell r="F144" t="str">
            <v>C</v>
          </cell>
          <cell r="G144" t="str">
            <v>-</v>
          </cell>
          <cell r="H144">
            <v>7.62</v>
          </cell>
          <cell r="I144">
            <v>7.86</v>
          </cell>
          <cell r="J144">
            <v>7.05</v>
          </cell>
          <cell r="K144">
            <v>14.18</v>
          </cell>
          <cell r="N144" t="str">
            <v>Pre-Select Business Hot Meal - C Poultry C Option</v>
          </cell>
        </row>
        <row r="145">
          <cell r="A145" t="str">
            <v>3ATL-9110GH0</v>
          </cell>
          <cell r="B145" t="b">
            <v>1</v>
          </cell>
          <cell r="C145" t="str">
            <v>IC M S1 BVML</v>
          </cell>
          <cell r="D145" t="b">
            <v>1</v>
          </cell>
          <cell r="E145" t="str">
            <v>C Hotmeal 1st Veg Option</v>
          </cell>
          <cell r="F145" t="str">
            <v>C</v>
          </cell>
          <cell r="G145" t="str">
            <v>-</v>
          </cell>
          <cell r="H145">
            <v>6.15</v>
          </cell>
          <cell r="I145">
            <v>6.56</v>
          </cell>
          <cell r="J145">
            <v>6.73</v>
          </cell>
          <cell r="K145">
            <v>6.96</v>
          </cell>
          <cell r="N145" t="str">
            <v>Pre-Select Business Hot Meal - C Veg D option</v>
          </cell>
        </row>
        <row r="146">
          <cell r="A146" t="str">
            <v>3ATL-9310ME0</v>
          </cell>
          <cell r="B146" t="b">
            <v>1</v>
          </cell>
          <cell r="C146" t="str">
            <v xml:space="preserve">IC M S1 MEML </v>
          </cell>
          <cell r="D146" t="b">
            <v>1</v>
          </cell>
          <cell r="F146" t="str">
            <v>M</v>
          </cell>
          <cell r="G146" t="str">
            <v>-</v>
          </cell>
          <cell r="H146">
            <v>21.550000000000004</v>
          </cell>
          <cell r="I146">
            <v>18.95</v>
          </cell>
          <cell r="J146">
            <v>21.259999999999998</v>
          </cell>
          <cell r="K146">
            <v>21.720000000000002</v>
          </cell>
          <cell r="N146" t="str">
            <v>Premium Economy Meal PY TSU +PY ST+ PY DE + PY BRD + BC Beef + YC BRK SW</v>
          </cell>
        </row>
        <row r="147">
          <cell r="A147" t="str">
            <v>3ATL-9310FI0</v>
          </cell>
          <cell r="B147" t="b">
            <v>1</v>
          </cell>
          <cell r="C147" t="str">
            <v xml:space="preserve">IC M S1 FIML </v>
          </cell>
          <cell r="D147" t="b">
            <v>1</v>
          </cell>
          <cell r="F147" t="str">
            <v>M</v>
          </cell>
          <cell r="G147" t="str">
            <v>-</v>
          </cell>
          <cell r="H147">
            <v>19.52</v>
          </cell>
          <cell r="I147">
            <v>23.24</v>
          </cell>
          <cell r="J147">
            <v>18.649999999999999</v>
          </cell>
          <cell r="K147">
            <v>22.53</v>
          </cell>
          <cell r="N147" t="str">
            <v>Premium Economy Meal PY TSU +PY ST+ PY DE + PY BRD + BC fish + YC BRK SW</v>
          </cell>
        </row>
        <row r="148">
          <cell r="A148" t="str">
            <v>3ATL-9310CK0</v>
          </cell>
          <cell r="B148" t="b">
            <v>1</v>
          </cell>
          <cell r="C148" t="str">
            <v xml:space="preserve">IC M S1 CKML </v>
          </cell>
          <cell r="D148" t="b">
            <v>1</v>
          </cell>
          <cell r="F148" t="str">
            <v>M</v>
          </cell>
          <cell r="G148" t="str">
            <v>-</v>
          </cell>
          <cell r="H148">
            <v>16.93</v>
          </cell>
          <cell r="I148">
            <v>13.31</v>
          </cell>
          <cell r="J148">
            <v>12.620000000000001</v>
          </cell>
          <cell r="K148">
            <v>23.96</v>
          </cell>
          <cell r="N148" t="str">
            <v>Premium Economy Meal PY TSU +PY ST+ PY DE + PY BRD + BC poultry + YC BRK SW</v>
          </cell>
        </row>
        <row r="149">
          <cell r="A149" t="str">
            <v>3ATL-9310GH0</v>
          </cell>
          <cell r="B149" t="b">
            <v>1</v>
          </cell>
          <cell r="C149" t="str">
            <v xml:space="preserve">IC M S1 GHML </v>
          </cell>
          <cell r="D149" t="b">
            <v>1</v>
          </cell>
          <cell r="F149" t="str">
            <v>M</v>
          </cell>
          <cell r="G149" t="str">
            <v>-</v>
          </cell>
          <cell r="H149">
            <v>15.459999999999999</v>
          </cell>
          <cell r="I149">
            <v>12.01</v>
          </cell>
          <cell r="J149">
            <v>12.3</v>
          </cell>
          <cell r="K149">
            <v>16.739999999999998</v>
          </cell>
          <cell r="N149" t="str">
            <v>Premium Economy Meal PY TSU +PY ST+ PY DE + PY BRD + BC veg + YC BRK SW</v>
          </cell>
        </row>
        <row r="150">
          <cell r="A150" t="str">
            <v>Standard Load</v>
          </cell>
        </row>
        <row r="151">
          <cell r="A151" t="str">
            <v>4ATL-443601</v>
          </cell>
          <cell r="B151" t="b">
            <v>1</v>
          </cell>
          <cell r="C151" t="str">
            <v>Replenish Water Bottle 0,5L</v>
          </cell>
          <cell r="D151" t="b">
            <v>1</v>
          </cell>
          <cell r="F151" t="str">
            <v>X</v>
          </cell>
          <cell r="G151">
            <v>1</v>
          </cell>
          <cell r="H151">
            <v>0.35</v>
          </cell>
          <cell r="I151">
            <v>0.35</v>
          </cell>
          <cell r="J151">
            <v>0.35</v>
          </cell>
          <cell r="K151">
            <v>0.35</v>
          </cell>
          <cell r="N151" t="str">
            <v>Replenish</v>
          </cell>
        </row>
        <row r="152">
          <cell r="A152" t="str">
            <v>4ATL-443602</v>
          </cell>
          <cell r="B152" t="b">
            <v>1</v>
          </cell>
          <cell r="C152" t="str">
            <v>Replenish Still Water Bottle 1,5L</v>
          </cell>
          <cell r="D152" t="b">
            <v>1</v>
          </cell>
          <cell r="F152" t="str">
            <v>X</v>
          </cell>
          <cell r="G152">
            <v>1</v>
          </cell>
          <cell r="H152">
            <v>1.25</v>
          </cell>
          <cell r="I152">
            <v>1.25</v>
          </cell>
          <cell r="J152">
            <v>1.25</v>
          </cell>
          <cell r="K152">
            <v>1.25</v>
          </cell>
          <cell r="N152" t="str">
            <v>Replenish</v>
          </cell>
        </row>
        <row r="153">
          <cell r="A153" t="str">
            <v>4ATL-443603</v>
          </cell>
          <cell r="B153" t="b">
            <v>1</v>
          </cell>
          <cell r="C153" t="str">
            <v>Replenish Sparkling Water Bottle 1,0L</v>
          </cell>
          <cell r="D153" t="b">
            <v>1</v>
          </cell>
          <cell r="F153" t="str">
            <v>X</v>
          </cell>
          <cell r="G153">
            <v>1</v>
          </cell>
          <cell r="H153">
            <v>1.94</v>
          </cell>
          <cell r="I153">
            <v>1.94</v>
          </cell>
          <cell r="J153">
            <v>1.94</v>
          </cell>
          <cell r="K153">
            <v>1.94</v>
          </cell>
          <cell r="N153" t="str">
            <v>Replenish</v>
          </cell>
        </row>
        <row r="154">
          <cell r="A154" t="str">
            <v>4ATL-443607</v>
          </cell>
          <cell r="B154" t="b">
            <v>1</v>
          </cell>
          <cell r="C154" t="str">
            <v>Standard Load C Milk Tetra 0,25L</v>
          </cell>
          <cell r="D154" t="b">
            <v>1</v>
          </cell>
          <cell r="F154" t="str">
            <v>C</v>
          </cell>
          <cell r="G154">
            <v>8</v>
          </cell>
          <cell r="H154">
            <v>1.5</v>
          </cell>
          <cell r="I154">
            <v>1.5</v>
          </cell>
          <cell r="J154">
            <v>1.5</v>
          </cell>
          <cell r="K154">
            <v>1.5</v>
          </cell>
        </row>
        <row r="155">
          <cell r="A155" t="str">
            <v>4ATL-443608</v>
          </cell>
          <cell r="B155" t="b">
            <v>1</v>
          </cell>
          <cell r="C155" t="str">
            <v>Standard Load Y/M Milk Tetra 0,25L</v>
          </cell>
          <cell r="D155" t="b">
            <v>1</v>
          </cell>
          <cell r="F155" t="str">
            <v>Y/M</v>
          </cell>
          <cell r="G155">
            <v>6</v>
          </cell>
          <cell r="H155">
            <v>1.5</v>
          </cell>
          <cell r="I155">
            <v>1.5</v>
          </cell>
          <cell r="J155">
            <v>1.5</v>
          </cell>
          <cell r="K155">
            <v>1.5</v>
          </cell>
        </row>
        <row r="156">
          <cell r="A156" t="str">
            <v>4ATL-443609</v>
          </cell>
          <cell r="B156" t="b">
            <v>1</v>
          </cell>
          <cell r="C156" t="str">
            <v xml:space="preserve">Standard Load Y/M Lemon Slices </v>
          </cell>
          <cell r="D156" t="b">
            <v>1</v>
          </cell>
          <cell r="F156" t="str">
            <v>Y/M</v>
          </cell>
          <cell r="G156">
            <v>4</v>
          </cell>
          <cell r="H156">
            <v>0.93</v>
          </cell>
          <cell r="I156">
            <v>0.93</v>
          </cell>
          <cell r="J156">
            <v>0.93</v>
          </cell>
          <cell r="K156">
            <v>0.93</v>
          </cell>
        </row>
      </sheetData>
      <sheetData sheetId="1">
        <row r="1">
          <cell r="A1" t="str">
            <v>Caterer: MA-US | Station: ATL</v>
          </cell>
          <cell r="K1" t="str">
            <v>Concept: 01JUN24 | Version: 1 | Updated: 15JUN24</v>
          </cell>
        </row>
        <row r="2">
          <cell r="A2" t="str">
            <v>IFX Codes for IC Crew Meal Concept (eff 01JUN24, UFN)</v>
          </cell>
        </row>
        <row r="3">
          <cell r="A3" t="str">
            <v>America -&gt; Scan</v>
          </cell>
        </row>
        <row r="4">
          <cell r="A4" t="str">
            <v>Spec Code</v>
          </cell>
          <cell r="B4" t="str">
            <v>MATCH</v>
          </cell>
          <cell r="C4" t="str">
            <v>SAS Description</v>
          </cell>
          <cell r="D4" t="str">
            <v>Caterer Description</v>
          </cell>
          <cell r="E4" t="str">
            <v>Class</v>
          </cell>
          <cell r="F4" t="str">
            <v>Loading Instructions</v>
          </cell>
          <cell r="G4" t="str">
            <v>Cycle 1 Price</v>
          </cell>
          <cell r="H4" t="str">
            <v>Cycle 2 Price</v>
          </cell>
          <cell r="I4" t="str">
            <v>Cycle 3 Price</v>
          </cell>
          <cell r="J4" t="str">
            <v xml:space="preserve">Cycle 4 Price </v>
          </cell>
          <cell r="K4" t="str">
            <v>Note</v>
          </cell>
        </row>
        <row r="6">
          <cell r="A6" t="str">
            <v>1st Service FD/CC - Cold Meal/Sandwich (O)</v>
          </cell>
        </row>
        <row r="7">
          <cell r="A7" t="str">
            <v>3ATL-550003</v>
          </cell>
          <cell r="B7" t="b">
            <v>1</v>
          </cell>
          <cell r="C7" t="str">
            <v xml:space="preserve">CRW P CM TSU </v>
          </cell>
          <cell r="E7" t="str">
            <v>P</v>
          </cell>
          <cell r="F7">
            <v>1</v>
          </cell>
          <cell r="G7">
            <v>1.19</v>
          </cell>
          <cell r="H7">
            <v>1.19</v>
          </cell>
          <cell r="I7">
            <v>1.19</v>
          </cell>
          <cell r="J7">
            <v>1.19</v>
          </cell>
          <cell r="K7" t="str">
            <v>Bulk; disposable cutlery, PP local butter and bread</v>
          </cell>
        </row>
        <row r="8">
          <cell r="A8" t="str">
            <v>2ATL-550025</v>
          </cell>
          <cell r="B8" t="b">
            <v>1</v>
          </cell>
          <cell r="C8" t="str">
            <v xml:space="preserve">CRW P CM - Poultry or Salmon A </v>
          </cell>
          <cell r="E8" t="str">
            <v>P</v>
          </cell>
          <cell r="F8">
            <v>0.5</v>
          </cell>
          <cell r="G8">
            <v>4.3</v>
          </cell>
          <cell r="H8">
            <v>3.87</v>
          </cell>
          <cell r="I8">
            <v>6.08</v>
          </cell>
          <cell r="J8">
            <v>5.31</v>
          </cell>
        </row>
        <row r="9">
          <cell r="A9" t="str">
            <v>2ATL-550026</v>
          </cell>
          <cell r="B9" t="b">
            <v>1</v>
          </cell>
          <cell r="C9" t="str">
            <v xml:space="preserve">CRW P CM - Meat B </v>
          </cell>
          <cell r="E9" t="str">
            <v>P</v>
          </cell>
          <cell r="F9">
            <v>0.5</v>
          </cell>
          <cell r="G9">
            <v>3.86</v>
          </cell>
          <cell r="H9">
            <v>3.64</v>
          </cell>
          <cell r="I9">
            <v>4.96</v>
          </cell>
          <cell r="J9">
            <v>4.68</v>
          </cell>
        </row>
        <row r="10">
          <cell r="A10" t="str">
            <v>3ATL-560003</v>
          </cell>
          <cell r="B10" t="b">
            <v>1</v>
          </cell>
          <cell r="C10" t="str">
            <v>CRW K CM A</v>
          </cell>
          <cell r="E10" t="str">
            <v>K</v>
          </cell>
          <cell r="F10">
            <v>0.5</v>
          </cell>
          <cell r="G10">
            <v>4.9000000000000004</v>
          </cell>
          <cell r="H10">
            <v>2.75</v>
          </cell>
          <cell r="I10">
            <v>2.0699999999999998</v>
          </cell>
          <cell r="J10">
            <v>3.51</v>
          </cell>
          <cell r="K10" t="str">
            <v>Sandwich Type A - Cheese and Ham</v>
          </cell>
        </row>
        <row r="11">
          <cell r="A11" t="str">
            <v>3ATL-560004</v>
          </cell>
          <cell r="B11" t="b">
            <v>1</v>
          </cell>
          <cell r="C11" t="str">
            <v>CRW K CM B</v>
          </cell>
          <cell r="E11" t="str">
            <v>K</v>
          </cell>
          <cell r="F11">
            <v>0.5</v>
          </cell>
          <cell r="G11">
            <v>3.51</v>
          </cell>
          <cell r="H11">
            <v>3.29</v>
          </cell>
          <cell r="I11">
            <v>2.4300000000000002</v>
          </cell>
          <cell r="J11">
            <v>2.74</v>
          </cell>
          <cell r="K11" t="str">
            <v>Sandwich Type B - Cheese</v>
          </cell>
        </row>
        <row r="12">
          <cell r="A12" t="str">
            <v>2nd Service FD/CC - Hot Meal (J)</v>
          </cell>
        </row>
        <row r="13">
          <cell r="A13" t="str">
            <v>3ATL-550001</v>
          </cell>
          <cell r="B13" t="b">
            <v>1</v>
          </cell>
          <cell r="C13" t="str">
            <v xml:space="preserve">CRW P HM TSU </v>
          </cell>
          <cell r="E13" t="str">
            <v>P</v>
          </cell>
          <cell r="F13">
            <v>1</v>
          </cell>
          <cell r="G13">
            <v>1.4</v>
          </cell>
          <cell r="H13">
            <v>1.4</v>
          </cell>
          <cell r="I13">
            <v>1.4</v>
          </cell>
          <cell r="J13">
            <v>1.4</v>
          </cell>
          <cell r="K13" t="str">
            <v>Bulk: Vinaigrette dressing, PP local butter, bread, dessert (PP chocolate piece), disposable cutlery</v>
          </cell>
        </row>
        <row r="14">
          <cell r="A14" t="str">
            <v>2ATL-550001</v>
          </cell>
          <cell r="B14" t="b">
            <v>1</v>
          </cell>
          <cell r="C14" t="str">
            <v xml:space="preserve">CRW P HM Salad </v>
          </cell>
          <cell r="E14" t="str">
            <v>P</v>
          </cell>
          <cell r="F14">
            <v>1</v>
          </cell>
          <cell r="G14">
            <v>0.81</v>
          </cell>
          <cell r="H14">
            <v>0.82</v>
          </cell>
          <cell r="I14">
            <v>0.9</v>
          </cell>
          <cell r="J14">
            <v>0.86</v>
          </cell>
        </row>
        <row r="15">
          <cell r="A15" t="str">
            <v>2ATL-550010</v>
          </cell>
          <cell r="B15" t="b">
            <v>1</v>
          </cell>
          <cell r="C15" t="str">
            <v xml:space="preserve">CRW P HM A </v>
          </cell>
          <cell r="E15" t="str">
            <v>P</v>
          </cell>
          <cell r="F15">
            <v>0.5</v>
          </cell>
          <cell r="G15">
            <v>7.62</v>
          </cell>
          <cell r="H15">
            <v>7.86</v>
          </cell>
          <cell r="I15">
            <v>7.05</v>
          </cell>
          <cell r="J15">
            <v>14.18</v>
          </cell>
        </row>
        <row r="16">
          <cell r="A16" t="str">
            <v>2ATL-550011</v>
          </cell>
          <cell r="B16" t="b">
            <v>1</v>
          </cell>
          <cell r="C16" t="str">
            <v xml:space="preserve">CRW P HM B </v>
          </cell>
          <cell r="E16" t="str">
            <v>P</v>
          </cell>
          <cell r="F16">
            <v>0.5</v>
          </cell>
          <cell r="G16">
            <v>10.210000000000001</v>
          </cell>
          <cell r="H16">
            <v>17.79</v>
          </cell>
          <cell r="I16">
            <v>13.08</v>
          </cell>
          <cell r="J16">
            <v>12.75</v>
          </cell>
        </row>
        <row r="17">
          <cell r="A17" t="str">
            <v>3ATL-560001</v>
          </cell>
          <cell r="B17" t="b">
            <v>1</v>
          </cell>
          <cell r="C17" t="str">
            <v xml:space="preserve">CRW K HM TSU </v>
          </cell>
          <cell r="E17" t="str">
            <v>K</v>
          </cell>
          <cell r="F17">
            <v>1</v>
          </cell>
          <cell r="G17">
            <v>1.4</v>
          </cell>
          <cell r="H17">
            <v>1.4</v>
          </cell>
          <cell r="I17">
            <v>1.4</v>
          </cell>
          <cell r="J17">
            <v>1.4</v>
          </cell>
          <cell r="K17" t="str">
            <v>Bulk: Vinaigrette dressing, PP local butter, bread, dessert (PP chocolate piece), disposable cutlery</v>
          </cell>
        </row>
        <row r="18">
          <cell r="A18" t="str">
            <v>2ATL-560001</v>
          </cell>
          <cell r="B18" t="b">
            <v>1</v>
          </cell>
          <cell r="C18" t="str">
            <v xml:space="preserve">CRW K HM Salad </v>
          </cell>
          <cell r="E18" t="str">
            <v>K</v>
          </cell>
          <cell r="F18">
            <v>1</v>
          </cell>
          <cell r="G18">
            <v>0.81</v>
          </cell>
          <cell r="H18">
            <v>0.82</v>
          </cell>
          <cell r="I18">
            <v>0.9</v>
          </cell>
          <cell r="J18">
            <v>0.86</v>
          </cell>
        </row>
        <row r="19">
          <cell r="A19" t="str">
            <v>2ATL-560010</v>
          </cell>
          <cell r="B19" t="b">
            <v>1</v>
          </cell>
          <cell r="C19" t="str">
            <v xml:space="preserve">CRW K HM A </v>
          </cell>
          <cell r="E19" t="str">
            <v>K</v>
          </cell>
          <cell r="F19">
            <v>0.5</v>
          </cell>
          <cell r="G19">
            <v>7.62</v>
          </cell>
          <cell r="H19">
            <v>7.86</v>
          </cell>
          <cell r="I19">
            <v>7.05</v>
          </cell>
          <cell r="J19">
            <v>14.18</v>
          </cell>
        </row>
        <row r="20">
          <cell r="A20" t="str">
            <v>2ATL-560011</v>
          </cell>
          <cell r="B20" t="b">
            <v>1</v>
          </cell>
          <cell r="C20" t="str">
            <v xml:space="preserve">CRW K HM B </v>
          </cell>
          <cell r="E20" t="str">
            <v>K</v>
          </cell>
          <cell r="F20">
            <v>0.5</v>
          </cell>
          <cell r="G20">
            <v>10.210000000000001</v>
          </cell>
          <cell r="H20">
            <v>17.79</v>
          </cell>
          <cell r="I20">
            <v>13.08</v>
          </cell>
          <cell r="J20">
            <v>12.75</v>
          </cell>
        </row>
        <row r="21">
          <cell r="A21" t="str">
            <v>3rd Service FD/CC - Hot Breakfast (F)</v>
          </cell>
        </row>
        <row r="22">
          <cell r="A22" t="str">
            <v>3ATL-550002</v>
          </cell>
          <cell r="B22" t="b">
            <v>1</v>
          </cell>
          <cell r="C22" t="str">
            <v xml:space="preserve">CRW P HB TSU </v>
          </cell>
          <cell r="E22" t="str">
            <v>P</v>
          </cell>
          <cell r="F22">
            <v>1</v>
          </cell>
          <cell r="G22">
            <v>4.1900000000000004</v>
          </cell>
          <cell r="H22">
            <v>4.1900000000000004</v>
          </cell>
          <cell r="I22">
            <v>4.1900000000000004</v>
          </cell>
          <cell r="J22">
            <v>4.1900000000000004</v>
          </cell>
          <cell r="K22" t="str">
            <v>Bulk: PP Local yoghurt, PP local cheese, bread, PP local butter and disposable cutlery</v>
          </cell>
        </row>
        <row r="23">
          <cell r="A23" t="str">
            <v>2ATL-550020</v>
          </cell>
          <cell r="B23" t="b">
            <v>1</v>
          </cell>
          <cell r="C23" t="str">
            <v xml:space="preserve">CRW P HB </v>
          </cell>
          <cell r="E23" t="str">
            <v>P</v>
          </cell>
          <cell r="F23">
            <v>1</v>
          </cell>
          <cell r="G23">
            <v>5.57</v>
          </cell>
          <cell r="H23">
            <v>3.8</v>
          </cell>
          <cell r="I23">
            <v>5.24</v>
          </cell>
          <cell r="J23">
            <v>5.24</v>
          </cell>
        </row>
        <row r="24">
          <cell r="A24" t="str">
            <v>3ATL-560002</v>
          </cell>
          <cell r="B24" t="b">
            <v>1</v>
          </cell>
          <cell r="C24" t="str">
            <v xml:space="preserve">CRW K HB TSU </v>
          </cell>
          <cell r="E24" t="str">
            <v>K</v>
          </cell>
          <cell r="F24">
            <v>1</v>
          </cell>
          <cell r="G24">
            <v>4.1900000000000004</v>
          </cell>
          <cell r="H24">
            <v>4.1900000000000004</v>
          </cell>
          <cell r="I24">
            <v>4.1900000000000004</v>
          </cell>
          <cell r="J24">
            <v>4.1900000000000004</v>
          </cell>
          <cell r="K24" t="str">
            <v>Bulk: PP Local yoghurt, PP local cheese, bread, PP local butter and disposable cutlery</v>
          </cell>
        </row>
        <row r="25">
          <cell r="A25" t="str">
            <v>2ATL-560020</v>
          </cell>
          <cell r="B25" t="b">
            <v>1</v>
          </cell>
          <cell r="C25" t="str">
            <v xml:space="preserve">CRW K HB </v>
          </cell>
          <cell r="E25" t="str">
            <v>K</v>
          </cell>
          <cell r="F25">
            <v>1</v>
          </cell>
          <cell r="G25">
            <v>5.57</v>
          </cell>
          <cell r="H25">
            <v>3.8</v>
          </cell>
          <cell r="I25">
            <v>5.24</v>
          </cell>
          <cell r="J25">
            <v>5.24</v>
          </cell>
        </row>
        <row r="27">
          <cell r="A27" t="str">
            <v>SPML</v>
          </cell>
        </row>
        <row r="28">
          <cell r="A28" t="str">
            <v>3ATL-35JVG0</v>
          </cell>
          <cell r="B28" t="b">
            <v>1</v>
          </cell>
          <cell r="C28" t="str">
            <v>CRW P HM VGML (JVG)</v>
          </cell>
          <cell r="E28" t="str">
            <v>P</v>
          </cell>
          <cell r="F28" t="str">
            <v>-</v>
          </cell>
          <cell r="G28">
            <v>17.16</v>
          </cell>
          <cell r="H28">
            <v>17.16</v>
          </cell>
          <cell r="I28">
            <v>17.16</v>
          </cell>
          <cell r="J28">
            <v>17.16</v>
          </cell>
        </row>
        <row r="29">
          <cell r="A29" t="str">
            <v>3ATL-35JVL0</v>
          </cell>
          <cell r="B29" t="b">
            <v>1</v>
          </cell>
          <cell r="C29" t="str">
            <v>CRW P HM VLML (JVL)</v>
          </cell>
          <cell r="E29" t="str">
            <v>P</v>
          </cell>
          <cell r="F29" t="str">
            <v>-</v>
          </cell>
          <cell r="G29">
            <v>17.16</v>
          </cell>
          <cell r="H29">
            <v>17.16</v>
          </cell>
          <cell r="I29">
            <v>17.16</v>
          </cell>
          <cell r="J29">
            <v>17.16</v>
          </cell>
        </row>
        <row r="30">
          <cell r="A30" t="str">
            <v>3ATL-35JLG0</v>
          </cell>
          <cell r="B30" t="b">
            <v>1</v>
          </cell>
          <cell r="C30" t="str">
            <v>CRW P HM LGML (JLG)</v>
          </cell>
          <cell r="E30" t="str">
            <v>P</v>
          </cell>
          <cell r="F30" t="str">
            <v>-</v>
          </cell>
          <cell r="G30">
            <v>17.16</v>
          </cell>
          <cell r="H30">
            <v>17.16</v>
          </cell>
          <cell r="I30">
            <v>17.16</v>
          </cell>
          <cell r="J30">
            <v>17.16</v>
          </cell>
        </row>
        <row r="31">
          <cell r="A31" t="str">
            <v>3ATL-36JVG0</v>
          </cell>
          <cell r="B31" t="b">
            <v>1</v>
          </cell>
          <cell r="C31" t="str">
            <v>CRW K HM VGML (JVG)</v>
          </cell>
          <cell r="E31" t="str">
            <v>K</v>
          </cell>
          <cell r="F31" t="str">
            <v>-</v>
          </cell>
          <cell r="G31">
            <v>17.16</v>
          </cell>
          <cell r="H31">
            <v>17.16</v>
          </cell>
          <cell r="I31">
            <v>17.16</v>
          </cell>
          <cell r="J31">
            <v>17.16</v>
          </cell>
        </row>
        <row r="32">
          <cell r="A32" t="str">
            <v>3ATL-36JVL0</v>
          </cell>
          <cell r="B32" t="b">
            <v>1</v>
          </cell>
          <cell r="C32" t="str">
            <v>CRW K HM VLML (JVL)</v>
          </cell>
          <cell r="E32" t="str">
            <v>K</v>
          </cell>
          <cell r="F32" t="str">
            <v>-</v>
          </cell>
          <cell r="G32">
            <v>17.16</v>
          </cell>
          <cell r="H32">
            <v>17.16</v>
          </cell>
          <cell r="I32">
            <v>17.16</v>
          </cell>
          <cell r="J32">
            <v>17.16</v>
          </cell>
        </row>
        <row r="33">
          <cell r="A33" t="str">
            <v>3ATL-36JLG0</v>
          </cell>
          <cell r="B33" t="b">
            <v>1</v>
          </cell>
          <cell r="C33" t="str">
            <v>CRW K HM LGML (JLG)</v>
          </cell>
          <cell r="E33" t="str">
            <v>K</v>
          </cell>
          <cell r="F33" t="str">
            <v>-</v>
          </cell>
          <cell r="G33">
            <v>17.16</v>
          </cell>
          <cell r="H33">
            <v>17.16</v>
          </cell>
          <cell r="I33">
            <v>17.16</v>
          </cell>
          <cell r="J33">
            <v>17.16</v>
          </cell>
        </row>
        <row r="34">
          <cell r="A34" t="str">
            <v>3ATL-35FVG0</v>
          </cell>
          <cell r="B34" t="b">
            <v>1</v>
          </cell>
          <cell r="C34" t="str">
            <v>CRW P HB VGML (FVG)</v>
          </cell>
          <cell r="E34" t="str">
            <v>P</v>
          </cell>
          <cell r="F34" t="str">
            <v>-</v>
          </cell>
          <cell r="G34">
            <v>7.8</v>
          </cell>
          <cell r="H34">
            <v>7.8</v>
          </cell>
          <cell r="I34">
            <v>7.8</v>
          </cell>
          <cell r="J34">
            <v>7.8</v>
          </cell>
        </row>
        <row r="35">
          <cell r="A35" t="str">
            <v>3ATL-35FVL0</v>
          </cell>
          <cell r="B35" t="b">
            <v>1</v>
          </cell>
          <cell r="C35" t="str">
            <v>CRW P HB VLML (FVL)</v>
          </cell>
          <cell r="E35" t="str">
            <v>P</v>
          </cell>
          <cell r="F35" t="str">
            <v>-</v>
          </cell>
          <cell r="G35">
            <v>7.8</v>
          </cell>
          <cell r="H35">
            <v>7.8</v>
          </cell>
          <cell r="I35">
            <v>7.8</v>
          </cell>
          <cell r="J35">
            <v>7.8</v>
          </cell>
        </row>
        <row r="36">
          <cell r="A36" t="str">
            <v>3ATL-35FLG0</v>
          </cell>
          <cell r="B36" t="b">
            <v>1</v>
          </cell>
          <cell r="C36" t="str">
            <v>CRW P HB LGML (FLG)</v>
          </cell>
          <cell r="E36" t="str">
            <v>P</v>
          </cell>
          <cell r="F36" t="str">
            <v>-</v>
          </cell>
          <cell r="G36">
            <v>7.8</v>
          </cell>
          <cell r="H36">
            <v>7.8</v>
          </cell>
          <cell r="I36">
            <v>7.8</v>
          </cell>
          <cell r="J36">
            <v>7.8</v>
          </cell>
        </row>
        <row r="37">
          <cell r="A37" t="str">
            <v>3ATL-36FVG0</v>
          </cell>
          <cell r="B37" t="b">
            <v>1</v>
          </cell>
          <cell r="C37" t="str">
            <v>CRW K HB VGML (FVG)</v>
          </cell>
          <cell r="E37" t="str">
            <v>K</v>
          </cell>
          <cell r="F37" t="str">
            <v>-</v>
          </cell>
          <cell r="G37">
            <v>7.8</v>
          </cell>
          <cell r="H37">
            <v>7.8</v>
          </cell>
          <cell r="I37">
            <v>7.8</v>
          </cell>
          <cell r="J37">
            <v>7.8</v>
          </cell>
        </row>
        <row r="38">
          <cell r="A38" t="str">
            <v>3ATL-36FVL0</v>
          </cell>
          <cell r="B38" t="b">
            <v>1</v>
          </cell>
          <cell r="C38" t="str">
            <v>CRW K HB VLML (FVL)</v>
          </cell>
          <cell r="E38" t="str">
            <v>K</v>
          </cell>
          <cell r="F38" t="str">
            <v>-</v>
          </cell>
          <cell r="G38">
            <v>7.8</v>
          </cell>
          <cell r="H38">
            <v>7.8</v>
          </cell>
          <cell r="I38">
            <v>7.8</v>
          </cell>
          <cell r="J38">
            <v>7.8</v>
          </cell>
        </row>
        <row r="39">
          <cell r="A39" t="str">
            <v>3ATL-36FLG0</v>
          </cell>
          <cell r="B39" t="b">
            <v>1</v>
          </cell>
          <cell r="C39" t="str">
            <v>CRW K HB LGML (FLG)</v>
          </cell>
          <cell r="E39" t="str">
            <v>K</v>
          </cell>
          <cell r="F39" t="str">
            <v>-</v>
          </cell>
          <cell r="G39">
            <v>7.8</v>
          </cell>
          <cell r="H39">
            <v>7.8</v>
          </cell>
          <cell r="I39">
            <v>7.8</v>
          </cell>
          <cell r="J39">
            <v>7.8</v>
          </cell>
        </row>
        <row r="40">
          <cell r="A40" t="str">
            <v>3ATL-35OVG0</v>
          </cell>
          <cell r="B40" t="b">
            <v>1</v>
          </cell>
          <cell r="C40" t="str">
            <v>CRW P CM VGML (OVG)</v>
          </cell>
          <cell r="E40" t="str">
            <v>P</v>
          </cell>
          <cell r="F40" t="str">
            <v>-</v>
          </cell>
          <cell r="G40">
            <v>6.24</v>
          </cell>
          <cell r="H40">
            <v>6.24</v>
          </cell>
          <cell r="I40">
            <v>6.24</v>
          </cell>
          <cell r="J40">
            <v>6.24</v>
          </cell>
        </row>
        <row r="41">
          <cell r="A41" t="str">
            <v>3ATL-35OVL0</v>
          </cell>
          <cell r="B41" t="b">
            <v>1</v>
          </cell>
          <cell r="C41" t="str">
            <v>CRW P CM VLML (OVL)</v>
          </cell>
          <cell r="E41" t="str">
            <v>P</v>
          </cell>
          <cell r="F41" t="str">
            <v>-</v>
          </cell>
          <cell r="G41">
            <v>6.24</v>
          </cell>
          <cell r="H41">
            <v>6.24</v>
          </cell>
          <cell r="I41">
            <v>6.24</v>
          </cell>
          <cell r="J41">
            <v>6.24</v>
          </cell>
        </row>
        <row r="42">
          <cell r="A42" t="str">
            <v>3ATL-35OLG0</v>
          </cell>
          <cell r="B42" t="b">
            <v>1</v>
          </cell>
          <cell r="C42" t="str">
            <v>CRW P CM LGML (OLG)</v>
          </cell>
          <cell r="E42" t="str">
            <v>P</v>
          </cell>
          <cell r="F42" t="str">
            <v>-</v>
          </cell>
          <cell r="G42">
            <v>6.24</v>
          </cell>
          <cell r="H42">
            <v>6.24</v>
          </cell>
          <cell r="I42">
            <v>6.24</v>
          </cell>
          <cell r="J42">
            <v>6.24</v>
          </cell>
        </row>
        <row r="43">
          <cell r="A43" t="str">
            <v>3ATL-36OVG0</v>
          </cell>
          <cell r="B43" t="b">
            <v>1</v>
          </cell>
          <cell r="C43" t="str">
            <v>CRW K SWD VGML (OVG)</v>
          </cell>
          <cell r="E43" t="str">
            <v>K</v>
          </cell>
          <cell r="F43" t="str">
            <v>-</v>
          </cell>
          <cell r="G43">
            <v>5.27</v>
          </cell>
          <cell r="H43">
            <v>5.27</v>
          </cell>
          <cell r="I43">
            <v>5.27</v>
          </cell>
          <cell r="J43">
            <v>5.27</v>
          </cell>
        </row>
        <row r="44">
          <cell r="A44" t="str">
            <v>3ATL-36OVL0</v>
          </cell>
          <cell r="B44" t="b">
            <v>1</v>
          </cell>
          <cell r="C44" t="str">
            <v>CRW K SWD VLML (OVL)</v>
          </cell>
          <cell r="E44" t="str">
            <v>K</v>
          </cell>
          <cell r="F44" t="str">
            <v>-</v>
          </cell>
          <cell r="G44">
            <v>5.27</v>
          </cell>
          <cell r="H44">
            <v>5.27</v>
          </cell>
          <cell r="I44">
            <v>5.27</v>
          </cell>
          <cell r="J44">
            <v>5.27</v>
          </cell>
        </row>
        <row r="45">
          <cell r="A45" t="str">
            <v>3ATL-36OLG0</v>
          </cell>
          <cell r="B45" t="b">
            <v>1</v>
          </cell>
          <cell r="C45" t="str">
            <v>CRW K SWD LGML (OLG)</v>
          </cell>
          <cell r="E45" t="str">
            <v>K</v>
          </cell>
          <cell r="F45" t="str">
            <v>-</v>
          </cell>
          <cell r="G45">
            <v>5.27</v>
          </cell>
          <cell r="H45">
            <v>5.27</v>
          </cell>
          <cell r="I45">
            <v>5.27</v>
          </cell>
          <cell r="J45">
            <v>5.27</v>
          </cell>
        </row>
        <row r="46">
          <cell r="A46" t="str">
            <v>Standard Load</v>
          </cell>
        </row>
        <row r="47">
          <cell r="A47" t="str">
            <v>4ATL-453601</v>
          </cell>
          <cell r="B47" t="b">
            <v>1</v>
          </cell>
          <cell r="C47" t="str">
            <v>CRW P Water Bottle 0,5L</v>
          </cell>
          <cell r="E47" t="str">
            <v>P</v>
          </cell>
          <cell r="F47">
            <v>6</v>
          </cell>
          <cell r="G47">
            <v>0.35</v>
          </cell>
          <cell r="H47">
            <v>0.35</v>
          </cell>
          <cell r="I47">
            <v>0.35</v>
          </cell>
          <cell r="J47">
            <v>0.35</v>
          </cell>
          <cell r="K47" t="str">
            <v>Standard Load</v>
          </cell>
        </row>
        <row r="48">
          <cell r="A48" t="str">
            <v>4ATL-453602</v>
          </cell>
          <cell r="B48" t="b">
            <v>1</v>
          </cell>
          <cell r="C48" t="str">
            <v>CRW P Milk Tetra 0,25L</v>
          </cell>
          <cell r="E48" t="str">
            <v>P</v>
          </cell>
          <cell r="F48">
            <v>1</v>
          </cell>
          <cell r="G48">
            <v>1.5</v>
          </cell>
          <cell r="H48">
            <v>1.5</v>
          </cell>
          <cell r="I48">
            <v>1.5</v>
          </cell>
          <cell r="J48">
            <v>1.5</v>
          </cell>
          <cell r="K48" t="str">
            <v>Standard Load</v>
          </cell>
        </row>
        <row r="49">
          <cell r="A49" t="str">
            <v>4ATL-463601</v>
          </cell>
          <cell r="B49" t="b">
            <v>1</v>
          </cell>
          <cell r="C49" t="str">
            <v>CRW K Water Bottle 0,5L</v>
          </cell>
          <cell r="E49" t="str">
            <v>K</v>
          </cell>
          <cell r="F49">
            <v>20</v>
          </cell>
          <cell r="G49">
            <v>0.35</v>
          </cell>
          <cell r="H49">
            <v>0.35</v>
          </cell>
          <cell r="I49">
            <v>0.35</v>
          </cell>
          <cell r="J49">
            <v>0.35</v>
          </cell>
          <cell r="K49" t="str">
            <v>Standard Load</v>
          </cell>
        </row>
        <row r="50">
          <cell r="A50" t="str">
            <v>4ATL-463602</v>
          </cell>
          <cell r="B50" t="b">
            <v>1</v>
          </cell>
          <cell r="C50" t="str">
            <v>CRW K Milk Tetra 0,25L</v>
          </cell>
          <cell r="E50" t="str">
            <v>K</v>
          </cell>
          <cell r="F50">
            <v>4</v>
          </cell>
          <cell r="G50">
            <v>1.5</v>
          </cell>
          <cell r="H50">
            <v>1.5</v>
          </cell>
          <cell r="I50">
            <v>1.5</v>
          </cell>
          <cell r="J50">
            <v>1.5</v>
          </cell>
          <cell r="K50" t="str">
            <v>Standard Load</v>
          </cell>
        </row>
        <row r="72">
          <cell r="C72" t="str">
            <v>IC C S1 + S2 Used BKML 100%</v>
          </cell>
        </row>
        <row r="73">
          <cell r="C73" t="str">
            <v>IC C S1 + S2 Unused BKML 50%</v>
          </cell>
        </row>
        <row r="74">
          <cell r="C74" t="str">
            <v>IC Y S1 + S2 Used BKML 100%</v>
          </cell>
        </row>
        <row r="75">
          <cell r="C75" t="str">
            <v>IC Y S1 + S2 Unused BKML 50%</v>
          </cell>
        </row>
        <row r="78">
          <cell r="A78" t="str">
            <v>3333-IC902</v>
          </cell>
          <cell r="C78" t="str">
            <v>SK0902-0904-0908-0910-0926-0928-0944-0946</v>
          </cell>
        </row>
        <row r="79">
          <cell r="A79" t="str">
            <v>3334-IC902</v>
          </cell>
          <cell r="C79" t="str">
            <v>SK0902-0904-0908-0910-0926-0928-0944-0946</v>
          </cell>
        </row>
        <row r="80">
          <cell r="A80" t="str">
            <v>3591-IC902</v>
          </cell>
          <cell r="C80" t="str">
            <v>SK0902-0904-0908-0910-0926-0928-0944-0946</v>
          </cell>
        </row>
        <row r="81">
          <cell r="A81" t="str">
            <v>3333-IC954-T</v>
          </cell>
          <cell r="C81" t="str">
            <v>SK0954-0956-0958 Terminating (Offload)</v>
          </cell>
        </row>
        <row r="82">
          <cell r="A82" t="str">
            <v>3333-IC954-T</v>
          </cell>
          <cell r="C82" t="str">
            <v>SK0954-0956-0958 Terminating (Offload)</v>
          </cell>
        </row>
        <row r="83">
          <cell r="A83" t="str">
            <v>3333-IC954-T</v>
          </cell>
          <cell r="C83" t="str">
            <v>SK0954-0956-0958 Terminating (Offload)</v>
          </cell>
        </row>
        <row r="84">
          <cell r="A84" t="str">
            <v>3333-IC954-OR</v>
          </cell>
          <cell r="C84" t="str">
            <v>SK0954-0956-0958 Originating (Reload)</v>
          </cell>
        </row>
        <row r="85">
          <cell r="A85" t="str">
            <v>3333-IC954-OR</v>
          </cell>
          <cell r="C85" t="str">
            <v>SK0954-0956-0958 Originating (Reload)</v>
          </cell>
        </row>
        <row r="86">
          <cell r="A86" t="str">
            <v>3333-IC954-OR</v>
          </cell>
          <cell r="C86" t="str">
            <v>SK0954-0956-0958 Originating (Reload)</v>
          </cell>
        </row>
        <row r="87">
          <cell r="A87" t="str">
            <v>8ALL-WETICE3333</v>
          </cell>
        </row>
        <row r="88">
          <cell r="A88" t="str">
            <v>8ALL-WETICE3334</v>
          </cell>
        </row>
        <row r="89">
          <cell r="A89" t="str">
            <v>8ALL-WETICE3591</v>
          </cell>
        </row>
        <row r="90">
          <cell r="A90" t="str">
            <v>8ALL-DRYICE3333</v>
          </cell>
        </row>
        <row r="91">
          <cell r="A91" t="str">
            <v>8ALL-DRYICE3334</v>
          </cell>
        </row>
        <row r="92">
          <cell r="A92" t="str">
            <v>8ALL-DRYICE3591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"/>
  <sheetViews>
    <sheetView tabSelected="1" topLeftCell="G1" zoomScale="175" zoomScaleNormal="175" workbookViewId="0">
      <pane ySplit="1" topLeftCell="A2" activePane="bottomLeft" state="frozen"/>
      <selection pane="bottomLeft" activeCell="R20" sqref="R20"/>
    </sheetView>
  </sheetViews>
  <sheetFormatPr defaultRowHeight="12.75"/>
  <cols>
    <col min="1" max="1" width="9.5703125" bestFit="1" customWidth="1"/>
    <col min="2" max="2" width="8.7109375" bestFit="1" customWidth="1"/>
    <col min="3" max="3" width="6.5703125" bestFit="1" customWidth="1"/>
    <col min="5" max="5" width="9.28515625" bestFit="1" customWidth="1"/>
    <col min="6" max="6" width="15.42578125" bestFit="1" customWidth="1"/>
    <col min="7" max="7" width="20.7109375" bestFit="1" customWidth="1"/>
    <col min="8" max="8" width="21.28515625" customWidth="1"/>
    <col min="9" max="9" width="16.42578125" bestFit="1" customWidth="1"/>
    <col min="10" max="10" width="21.85546875" bestFit="1" customWidth="1"/>
    <col min="11" max="11" width="22.28515625" customWidth="1"/>
    <col min="12" max="12" width="8.28515625" customWidth="1"/>
    <col min="13" max="13" width="25.7109375" customWidth="1"/>
    <col min="14" max="14" width="21.28515625" customWidth="1"/>
    <col min="15" max="15" width="13.7109375" customWidth="1"/>
    <col min="16" max="16" width="11.140625" bestFit="1" customWidth="1"/>
    <col min="17" max="17" width="7.7109375" bestFit="1" customWidth="1"/>
    <col min="18" max="18" width="24" customWidth="1"/>
  </cols>
  <sheetData>
    <row r="1" spans="1:18" s="1" customFormat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</row>
    <row r="2" spans="1:18">
      <c r="A2" s="5" t="s">
        <v>18</v>
      </c>
      <c r="C2" s="4" cm="1">
        <f t="array" ref="C2">VLOOKUP(A2,+'[1]03012025'!$A:$N,8,0)</f>
        <v>1.04</v>
      </c>
      <c r="D2" s="5" t="s">
        <v>19</v>
      </c>
      <c r="M2" s="6">
        <v>45717</v>
      </c>
      <c r="N2" s="5" t="s">
        <v>20</v>
      </c>
      <c r="O2" t="s">
        <v>21</v>
      </c>
      <c r="Q2" t="s">
        <v>22</v>
      </c>
    </row>
    <row r="3" spans="1:18">
      <c r="A3" s="4" t="s">
        <v>23</v>
      </c>
      <c r="C3" s="4" cm="1">
        <f t="array" ref="C3">VLOOKUP(A3,+'[1]03012025'!$A:$N,8,0)</f>
        <v>2.96</v>
      </c>
      <c r="D3" s="5" t="s">
        <v>19</v>
      </c>
      <c r="M3" s="6">
        <v>45717</v>
      </c>
      <c r="N3" s="5" t="s">
        <v>20</v>
      </c>
      <c r="O3" t="s">
        <v>21</v>
      </c>
      <c r="Q3" t="s">
        <v>22</v>
      </c>
    </row>
    <row r="4" spans="1:18">
      <c r="A4" s="5" t="s">
        <v>24</v>
      </c>
      <c r="C4" s="4" cm="1">
        <f t="array" ref="C4">VLOOKUP(A4,+'[1]03012025'!$A:$N,8,0)</f>
        <v>1.5</v>
      </c>
      <c r="D4" s="5" t="s">
        <v>19</v>
      </c>
      <c r="M4" s="6">
        <v>45717</v>
      </c>
      <c r="N4" s="5" t="s">
        <v>20</v>
      </c>
      <c r="O4" t="s">
        <v>21</v>
      </c>
      <c r="Q4" t="s">
        <v>22</v>
      </c>
    </row>
    <row r="5" spans="1:18">
      <c r="A5" t="s">
        <v>25</v>
      </c>
      <c r="C5" s="4" cm="1">
        <f t="array" ref="C5">VLOOKUP(A5,+'[1]03012025'!$A:$N,8,0)</f>
        <v>6.2</v>
      </c>
      <c r="D5" s="5" t="s">
        <v>19</v>
      </c>
      <c r="M5" s="6">
        <v>45717</v>
      </c>
      <c r="N5" s="5" t="s">
        <v>20</v>
      </c>
      <c r="O5" t="s">
        <v>21</v>
      </c>
      <c r="Q5" t="s">
        <v>22</v>
      </c>
    </row>
    <row r="6" spans="1:18">
      <c r="A6" t="s">
        <v>26</v>
      </c>
      <c r="C6" s="4" cm="1">
        <f t="array" ref="C6">VLOOKUP(A6,+'[1]03012025'!$A:$N,8,0)</f>
        <v>6.12</v>
      </c>
      <c r="D6" s="5" t="s">
        <v>19</v>
      </c>
      <c r="M6" s="6">
        <v>45717</v>
      </c>
      <c r="N6" s="5" t="s">
        <v>20</v>
      </c>
      <c r="O6" t="s">
        <v>21</v>
      </c>
      <c r="Q6" t="s">
        <v>22</v>
      </c>
    </row>
    <row r="7" spans="1:18">
      <c r="A7" t="s">
        <v>27</v>
      </c>
      <c r="C7" s="4" cm="1">
        <f t="array" ref="C7">VLOOKUP(A7,+'[1]03012025'!$A:$N,8,0)</f>
        <v>4.26</v>
      </c>
      <c r="D7" s="5" t="s">
        <v>19</v>
      </c>
      <c r="M7" s="6">
        <v>45717</v>
      </c>
      <c r="N7" s="5" t="s">
        <v>20</v>
      </c>
      <c r="O7" t="s">
        <v>21</v>
      </c>
      <c r="Q7" t="s">
        <v>22</v>
      </c>
    </row>
    <row r="8" spans="1:18">
      <c r="A8" t="s">
        <v>28</v>
      </c>
      <c r="C8" s="4" cm="1">
        <f t="array" ref="C8">VLOOKUP(A8,+'[1]03012025'!$A:$N,8,0)</f>
        <v>12.24</v>
      </c>
      <c r="D8" s="5" t="s">
        <v>19</v>
      </c>
      <c r="M8" s="6">
        <v>45717</v>
      </c>
      <c r="N8" s="5" t="s">
        <v>20</v>
      </c>
      <c r="O8" t="s">
        <v>21</v>
      </c>
      <c r="Q8" t="s">
        <v>22</v>
      </c>
    </row>
    <row r="9" spans="1:18">
      <c r="A9" t="s">
        <v>29</v>
      </c>
      <c r="C9" s="4" cm="1">
        <f t="array" ref="C9">VLOOKUP(A9,+'[1]03012025'!$A:$N,8,0)</f>
        <v>7.62</v>
      </c>
      <c r="D9" s="5" t="s">
        <v>19</v>
      </c>
      <c r="M9" s="6">
        <v>45717</v>
      </c>
      <c r="N9" s="5" t="s">
        <v>20</v>
      </c>
      <c r="O9" t="s">
        <v>21</v>
      </c>
      <c r="Q9" t="s">
        <v>22</v>
      </c>
    </row>
    <row r="10" spans="1:18">
      <c r="A10" t="s">
        <v>30</v>
      </c>
      <c r="C10" s="4" cm="1">
        <f t="array" ref="C10">VLOOKUP(A10,+'[1]03012025'!$A:$N,8,0)</f>
        <v>6.15</v>
      </c>
      <c r="D10" s="5" t="s">
        <v>19</v>
      </c>
      <c r="M10" s="6">
        <v>45717</v>
      </c>
      <c r="N10" s="5" t="s">
        <v>20</v>
      </c>
      <c r="O10" t="s">
        <v>21</v>
      </c>
      <c r="Q10" t="s">
        <v>22</v>
      </c>
    </row>
    <row r="11" spans="1:18">
      <c r="A11" t="s">
        <v>31</v>
      </c>
      <c r="C11" s="4" cm="1">
        <f t="array" ref="C11">VLOOKUP(A11,+'[1]03012025'!$A:$N,8,0)</f>
        <v>5.28</v>
      </c>
      <c r="D11" s="5" t="s">
        <v>19</v>
      </c>
      <c r="M11" s="6">
        <v>45717</v>
      </c>
      <c r="N11" s="5" t="s">
        <v>20</v>
      </c>
      <c r="O11" t="s">
        <v>21</v>
      </c>
      <c r="Q11" t="s">
        <v>22</v>
      </c>
    </row>
    <row r="12" spans="1:18">
      <c r="A12" t="s">
        <v>32</v>
      </c>
      <c r="C12" s="4" cm="1">
        <f t="array" ref="C12">VLOOKUP(A12,+'[1]03012025'!$A:$N,8,0)</f>
        <v>24.81</v>
      </c>
      <c r="D12" s="5" t="s">
        <v>19</v>
      </c>
      <c r="M12" s="6">
        <v>45717</v>
      </c>
      <c r="N12" s="5" t="s">
        <v>20</v>
      </c>
      <c r="O12" t="s">
        <v>21</v>
      </c>
      <c r="Q12" t="s">
        <v>22</v>
      </c>
    </row>
    <row r="13" spans="1:18">
      <c r="A13" t="s">
        <v>33</v>
      </c>
      <c r="C13" s="4" cm="1">
        <f t="array" ref="C13">VLOOKUP(A13,+'[1]03012025'!$A:$N,8,0)</f>
        <v>18.95</v>
      </c>
      <c r="D13" s="5" t="s">
        <v>19</v>
      </c>
      <c r="M13" s="6">
        <v>45717</v>
      </c>
      <c r="N13" s="5" t="s">
        <v>20</v>
      </c>
      <c r="O13" t="s">
        <v>21</v>
      </c>
      <c r="Q13" t="s">
        <v>22</v>
      </c>
    </row>
    <row r="14" spans="1:18">
      <c r="A14" t="s">
        <v>34</v>
      </c>
      <c r="C14" s="4" cm="1">
        <f t="array" ref="C14">VLOOKUP(A14,+'[1]03012025'!$A:$N,8,0)</f>
        <v>3.64</v>
      </c>
      <c r="D14" s="5" t="s">
        <v>19</v>
      </c>
      <c r="M14" s="6">
        <v>45717</v>
      </c>
      <c r="N14" s="5" t="s">
        <v>20</v>
      </c>
      <c r="O14" t="s">
        <v>21</v>
      </c>
      <c r="Q14" t="s">
        <v>22</v>
      </c>
    </row>
    <row r="15" spans="1:18">
      <c r="A15" t="s">
        <v>35</v>
      </c>
      <c r="C15" s="4" cm="1">
        <f t="array" ref="C15">VLOOKUP(A15,+'[1]03012025'!$A:$N,8,0)</f>
        <v>4.4800000000000004</v>
      </c>
      <c r="D15" s="5" t="s">
        <v>19</v>
      </c>
      <c r="M15" s="6">
        <v>45717</v>
      </c>
      <c r="N15" s="5" t="s">
        <v>20</v>
      </c>
      <c r="O15" t="s">
        <v>21</v>
      </c>
      <c r="Q15" t="s">
        <v>22</v>
      </c>
    </row>
    <row r="16" spans="1:18">
      <c r="A16" t="s">
        <v>36</v>
      </c>
      <c r="C16" s="4" cm="1">
        <f t="array" ref="C16">VLOOKUP(A16,+'[1]03012025'!$A:$N,8,0)</f>
        <v>0.93</v>
      </c>
      <c r="D16" s="5" t="s">
        <v>19</v>
      </c>
      <c r="M16" s="6">
        <v>45717</v>
      </c>
      <c r="N16" s="5" t="s">
        <v>20</v>
      </c>
      <c r="O16" t="s">
        <v>21</v>
      </c>
      <c r="Q16" t="s">
        <v>22</v>
      </c>
    </row>
    <row r="17" spans="1:17">
      <c r="A17" t="s">
        <v>37</v>
      </c>
      <c r="C17" s="4" cm="1">
        <f t="array" ref="C17">VLOOKUP(A17,+'[1]03012025'!$A:$N,8,0)</f>
        <v>0.95</v>
      </c>
      <c r="D17" s="5" t="s">
        <v>19</v>
      </c>
      <c r="M17" s="6">
        <v>45717</v>
      </c>
      <c r="N17" s="5" t="s">
        <v>20</v>
      </c>
      <c r="O17" t="s">
        <v>21</v>
      </c>
      <c r="Q17" t="s">
        <v>22</v>
      </c>
    </row>
    <row r="18" spans="1:17">
      <c r="A18" t="s">
        <v>38</v>
      </c>
      <c r="C18" s="4" cm="1">
        <f t="array" ref="C18">VLOOKUP(A18,+'[1]03012025'!$A:$N,8,0)</f>
        <v>1.35</v>
      </c>
      <c r="D18" s="5" t="s">
        <v>19</v>
      </c>
      <c r="M18" s="6">
        <v>45717</v>
      </c>
      <c r="N18" s="5" t="s">
        <v>20</v>
      </c>
      <c r="O18" t="s">
        <v>21</v>
      </c>
      <c r="Q18" t="s">
        <v>22</v>
      </c>
    </row>
    <row r="19" spans="1:17">
      <c r="A19" t="s">
        <v>39</v>
      </c>
      <c r="C19" s="4" cm="1">
        <f t="array" ref="C19">VLOOKUP(A19,+'[1]03012025'!$A:$N,8,0)</f>
        <v>0.93</v>
      </c>
      <c r="D19" s="5" t="s">
        <v>19</v>
      </c>
      <c r="M19" s="6">
        <v>45717</v>
      </c>
      <c r="N19" s="5" t="s">
        <v>20</v>
      </c>
      <c r="O19" t="s">
        <v>21</v>
      </c>
      <c r="Q19" t="s">
        <v>22</v>
      </c>
    </row>
    <row r="20" spans="1:17">
      <c r="A20" t="s">
        <v>40</v>
      </c>
      <c r="C20" s="4" cm="1">
        <f t="array" ref="C20">VLOOKUP(A20,+'[1]03012025'!$A:$N,8,0)</f>
        <v>0.78</v>
      </c>
      <c r="D20" s="5" t="s">
        <v>19</v>
      </c>
      <c r="M20" s="6">
        <v>45717</v>
      </c>
      <c r="N20" s="5" t="s">
        <v>20</v>
      </c>
      <c r="O20" t="s">
        <v>21</v>
      </c>
      <c r="Q20" t="s">
        <v>22</v>
      </c>
    </row>
    <row r="21" spans="1:17">
      <c r="A21" t="s">
        <v>41</v>
      </c>
      <c r="C21" s="4" cm="1">
        <f t="array" ref="C21">VLOOKUP(A21,+'[1]03012025'!$A:$N,8,0)</f>
        <v>0.94</v>
      </c>
      <c r="D21" s="5" t="s">
        <v>19</v>
      </c>
      <c r="M21" s="6">
        <v>45717</v>
      </c>
      <c r="N21" s="5" t="s">
        <v>20</v>
      </c>
      <c r="O21" t="s">
        <v>21</v>
      </c>
      <c r="Q21" t="s">
        <v>22</v>
      </c>
    </row>
    <row r="22" spans="1:17">
      <c r="A22" t="s">
        <v>42</v>
      </c>
      <c r="C22" s="4" cm="1">
        <f t="array" ref="C22">VLOOKUP(A22,+'[1]03012025'!$A:$N,8,0)</f>
        <v>2.36</v>
      </c>
      <c r="D22" s="5" t="s">
        <v>19</v>
      </c>
      <c r="M22" s="6">
        <v>45717</v>
      </c>
      <c r="N22" s="5" t="s">
        <v>20</v>
      </c>
      <c r="O22" t="s">
        <v>21</v>
      </c>
      <c r="Q22" t="s">
        <v>22</v>
      </c>
    </row>
    <row r="23" spans="1:17">
      <c r="A23" t="s">
        <v>43</v>
      </c>
      <c r="C23" s="4" cm="1">
        <f t="array" ref="C23">VLOOKUP(A23,+'[1]03012025'!$A:$N,8,0)</f>
        <v>0.94</v>
      </c>
      <c r="D23" s="5" t="s">
        <v>19</v>
      </c>
      <c r="M23" s="6">
        <v>45717</v>
      </c>
      <c r="N23" s="5" t="s">
        <v>20</v>
      </c>
      <c r="O23" t="s">
        <v>21</v>
      </c>
      <c r="Q23" t="s">
        <v>22</v>
      </c>
    </row>
    <row r="24" spans="1:17">
      <c r="A24" t="s">
        <v>44</v>
      </c>
      <c r="C24" s="4" cm="1">
        <f t="array" ref="C24">VLOOKUP(A24,+'[1]03012025'!$A:$N,8,0)</f>
        <v>0.8</v>
      </c>
      <c r="D24" s="5" t="s">
        <v>19</v>
      </c>
      <c r="M24" s="6">
        <v>45717</v>
      </c>
      <c r="N24" s="5" t="s">
        <v>20</v>
      </c>
      <c r="O24" t="s">
        <v>21</v>
      </c>
      <c r="Q24" t="s">
        <v>22</v>
      </c>
    </row>
    <row r="25" spans="1:17">
      <c r="A25" t="s">
        <v>45</v>
      </c>
      <c r="C25" s="4" cm="1">
        <f t="array" ref="C25">VLOOKUP(A25,+'[1]03012025'!$A:$N,8,0)</f>
        <v>6.3500000000000005</v>
      </c>
      <c r="D25" s="5" t="s">
        <v>19</v>
      </c>
      <c r="M25" s="6">
        <v>45717</v>
      </c>
      <c r="N25" s="5" t="s">
        <v>20</v>
      </c>
      <c r="O25" t="s">
        <v>21</v>
      </c>
      <c r="Q25" t="s">
        <v>22</v>
      </c>
    </row>
    <row r="26" spans="1:17">
      <c r="A26" t="s">
        <v>46</v>
      </c>
      <c r="C26" s="4" cm="1">
        <f t="array" ref="C26">VLOOKUP(A26,+'[1]03012025'!$A:$N,8,0)</f>
        <v>6.2700000000000005</v>
      </c>
      <c r="D26" s="5" t="s">
        <v>19</v>
      </c>
      <c r="M26" s="6">
        <v>45717</v>
      </c>
      <c r="N26" s="5" t="s">
        <v>20</v>
      </c>
      <c r="O26" t="s">
        <v>21</v>
      </c>
      <c r="Q26" t="s">
        <v>22</v>
      </c>
    </row>
    <row r="27" spans="1:17">
      <c r="A27" t="s">
        <v>47</v>
      </c>
      <c r="C27" s="4" cm="1">
        <f t="array" ref="C27">VLOOKUP(A27,+'[1]03012025'!$A:$N,8,0)</f>
        <v>3.1012499999999998</v>
      </c>
      <c r="D27" s="5" t="s">
        <v>19</v>
      </c>
      <c r="M27" s="6">
        <v>45717</v>
      </c>
      <c r="N27" s="5" t="s">
        <v>20</v>
      </c>
      <c r="O27" t="s">
        <v>21</v>
      </c>
      <c r="Q27" t="s">
        <v>22</v>
      </c>
    </row>
    <row r="28" spans="1:17">
      <c r="A28" t="s">
        <v>48</v>
      </c>
      <c r="C28" s="4" cm="1">
        <f t="array" ref="C28">VLOOKUP(A28,+'[1]03012025'!$A:$N,8,0)</f>
        <v>0.54</v>
      </c>
      <c r="D28" s="5" t="s">
        <v>19</v>
      </c>
      <c r="M28" s="6">
        <v>45717</v>
      </c>
      <c r="N28" s="5" t="s">
        <v>20</v>
      </c>
      <c r="O28" t="s">
        <v>21</v>
      </c>
      <c r="Q28" t="s">
        <v>22</v>
      </c>
    </row>
    <row r="29" spans="1:17">
      <c r="A29" t="s">
        <v>49</v>
      </c>
      <c r="C29" s="4" cm="1">
        <f t="array" ref="C29">VLOOKUP(A29,+'[1]03012025'!$A:$N,8,0)</f>
        <v>0.80999999999999994</v>
      </c>
      <c r="D29" s="5" t="s">
        <v>19</v>
      </c>
      <c r="M29" s="6">
        <v>45717</v>
      </c>
      <c r="N29" s="5" t="s">
        <v>20</v>
      </c>
      <c r="O29" t="s">
        <v>21</v>
      </c>
      <c r="Q29" t="s">
        <v>22</v>
      </c>
    </row>
    <row r="30" spans="1:17">
      <c r="A30" t="s">
        <v>50</v>
      </c>
      <c r="C30" s="4" cm="1">
        <f t="array" ref="C30">VLOOKUP(A30,+'[1]03012025'!$A:$N,8,0)</f>
        <v>3.49</v>
      </c>
      <c r="D30" s="5" t="s">
        <v>19</v>
      </c>
      <c r="M30" s="6">
        <v>45717</v>
      </c>
      <c r="N30" s="5" t="s">
        <v>20</v>
      </c>
      <c r="O30" t="s">
        <v>21</v>
      </c>
      <c r="Q30" t="s">
        <v>22</v>
      </c>
    </row>
    <row r="31" spans="1:17">
      <c r="A31" t="s">
        <v>51</v>
      </c>
      <c r="C31" s="4" cm="1">
        <f t="array" ref="C31">VLOOKUP(A31,+'[1]03012025'!$A:$N,8,0)</f>
        <v>0.44</v>
      </c>
      <c r="D31" s="5" t="s">
        <v>19</v>
      </c>
      <c r="M31" s="6">
        <v>45717</v>
      </c>
      <c r="N31" s="5" t="s">
        <v>20</v>
      </c>
      <c r="O31" t="s">
        <v>21</v>
      </c>
      <c r="Q31" t="s">
        <v>22</v>
      </c>
    </row>
    <row r="32" spans="1:17">
      <c r="A32" t="s">
        <v>52</v>
      </c>
      <c r="C32" s="4" cm="1">
        <f t="array" ref="C32">VLOOKUP(A32,+'[1]03012025'!$A:$N,8,0)</f>
        <v>2.74</v>
      </c>
      <c r="D32" s="5" t="s">
        <v>19</v>
      </c>
      <c r="M32" s="6">
        <v>45717</v>
      </c>
      <c r="N32" s="5" t="s">
        <v>20</v>
      </c>
      <c r="O32" t="s">
        <v>21</v>
      </c>
      <c r="Q32" t="s">
        <v>22</v>
      </c>
    </row>
    <row r="33" spans="1:17">
      <c r="A33" t="s">
        <v>53</v>
      </c>
      <c r="C33" s="4" cm="1">
        <f t="array" ref="C33">VLOOKUP(A33,+'[1]03012025'!$A:$N,8,0)</f>
        <v>0.8</v>
      </c>
      <c r="D33" s="5" t="s">
        <v>19</v>
      </c>
      <c r="M33" s="6">
        <v>45717</v>
      </c>
      <c r="N33" s="5" t="s">
        <v>20</v>
      </c>
      <c r="O33" t="s">
        <v>21</v>
      </c>
      <c r="Q33" t="s">
        <v>22</v>
      </c>
    </row>
    <row r="34" spans="1:17">
      <c r="A34" t="s">
        <v>54</v>
      </c>
      <c r="C34" s="4" cm="1">
        <f t="array" ref="C34">VLOOKUP(A34,+'[1]03012025'!$A:$N,8,0)</f>
        <v>0.56000000000000005</v>
      </c>
      <c r="D34" s="5" t="s">
        <v>19</v>
      </c>
      <c r="M34" s="6">
        <v>45717</v>
      </c>
      <c r="N34" s="5" t="s">
        <v>20</v>
      </c>
      <c r="O34" t="s">
        <v>21</v>
      </c>
      <c r="Q34" t="s">
        <v>22</v>
      </c>
    </row>
    <row r="35" spans="1:17">
      <c r="A35" t="s">
        <v>55</v>
      </c>
      <c r="C35" s="4" cm="1">
        <f t="array" ref="C35">VLOOKUP(A35,+'[1]03012025'!$A:$N,8,0)</f>
        <v>0.98</v>
      </c>
      <c r="D35" s="5" t="s">
        <v>19</v>
      </c>
      <c r="M35" s="6">
        <v>45717</v>
      </c>
      <c r="N35" s="5" t="s">
        <v>20</v>
      </c>
      <c r="O35" t="s">
        <v>21</v>
      </c>
      <c r="Q35" t="s">
        <v>22</v>
      </c>
    </row>
    <row r="36" spans="1:17">
      <c r="A36" t="s">
        <v>56</v>
      </c>
      <c r="C36" s="4" cm="1">
        <f t="array" ref="C36">VLOOKUP(A36,+'[1]03012025'!$A:$N,8,0)</f>
        <v>2.2999999999999998</v>
      </c>
      <c r="D36" s="5" t="s">
        <v>19</v>
      </c>
      <c r="M36" s="6">
        <v>45717</v>
      </c>
      <c r="N36" s="5" t="s">
        <v>20</v>
      </c>
      <c r="O36" t="s">
        <v>21</v>
      </c>
      <c r="Q36" t="s">
        <v>22</v>
      </c>
    </row>
    <row r="37" spans="1:17">
      <c r="A37" t="s">
        <v>57</v>
      </c>
      <c r="C37" s="4" cm="1">
        <f t="array" ref="C37">VLOOKUP(A37,+'[1]03012025'!$A:$N,8,0)</f>
        <v>2.0499999999999998</v>
      </c>
      <c r="D37" s="5" t="s">
        <v>19</v>
      </c>
      <c r="M37" s="6">
        <v>45717</v>
      </c>
      <c r="N37" s="5" t="s">
        <v>20</v>
      </c>
      <c r="O37" t="s">
        <v>21</v>
      </c>
      <c r="Q37" t="s">
        <v>22</v>
      </c>
    </row>
    <row r="38" spans="1:17">
      <c r="A38" t="s">
        <v>58</v>
      </c>
      <c r="C38" s="4" cm="1">
        <f t="array" ref="C38">VLOOKUP(A38,+'[1]03012025'!$A:$N,8,0)</f>
        <v>2.08</v>
      </c>
      <c r="D38" s="5" t="s">
        <v>19</v>
      </c>
      <c r="M38" s="6">
        <v>45717</v>
      </c>
      <c r="N38" s="5" t="s">
        <v>20</v>
      </c>
      <c r="O38" t="s">
        <v>21</v>
      </c>
      <c r="Q38" t="s">
        <v>22</v>
      </c>
    </row>
    <row r="39" spans="1:17">
      <c r="A39" t="s">
        <v>59</v>
      </c>
      <c r="C39" s="4" cm="1">
        <f t="array" ref="C39">VLOOKUP(A39,+'[1]03012025'!$A:$N,8,0)</f>
        <v>0.8</v>
      </c>
      <c r="D39" s="5" t="s">
        <v>19</v>
      </c>
      <c r="M39" s="6">
        <v>45717</v>
      </c>
      <c r="N39" s="5" t="s">
        <v>20</v>
      </c>
      <c r="O39" t="s">
        <v>21</v>
      </c>
      <c r="Q39" t="s">
        <v>22</v>
      </c>
    </row>
    <row r="40" spans="1:17">
      <c r="A40" t="s">
        <v>60</v>
      </c>
      <c r="C40" s="4" cm="1">
        <f t="array" ref="C40">VLOOKUP(A40,+'[1]03012025'!$A:$N,8,0)</f>
        <v>2.92</v>
      </c>
      <c r="D40" s="5" t="s">
        <v>19</v>
      </c>
      <c r="M40" s="6">
        <v>45717</v>
      </c>
      <c r="N40" s="5" t="s">
        <v>20</v>
      </c>
      <c r="O40" t="s">
        <v>21</v>
      </c>
      <c r="Q40" t="s">
        <v>22</v>
      </c>
    </row>
    <row r="41" spans="1:17">
      <c r="A41" t="s">
        <v>61</v>
      </c>
      <c r="C41" s="4" cm="1">
        <f t="array" ref="C41">VLOOKUP(A41,+'[1]03012025'!$A:$N,8,0)</f>
        <v>3.21</v>
      </c>
      <c r="D41" s="5" t="s">
        <v>19</v>
      </c>
      <c r="M41" s="6">
        <v>45717</v>
      </c>
      <c r="N41" s="5" t="s">
        <v>20</v>
      </c>
      <c r="O41" t="s">
        <v>21</v>
      </c>
      <c r="Q41" t="s">
        <v>22</v>
      </c>
    </row>
    <row r="42" spans="1:17">
      <c r="A42" t="s">
        <v>62</v>
      </c>
      <c r="C42" s="4" cm="1">
        <f t="array" ref="C42">VLOOKUP(A42,+'[1]03012025'!$A:$N,8,0)</f>
        <v>0.78</v>
      </c>
      <c r="D42" s="5" t="s">
        <v>19</v>
      </c>
      <c r="M42" s="6">
        <v>45717</v>
      </c>
      <c r="N42" s="5" t="s">
        <v>20</v>
      </c>
      <c r="O42" t="s">
        <v>21</v>
      </c>
      <c r="Q42" t="s">
        <v>22</v>
      </c>
    </row>
    <row r="43" spans="1:17">
      <c r="A43" t="s">
        <v>63</v>
      </c>
      <c r="C43" s="4" cm="1">
        <f t="array" ref="C43">VLOOKUP(A43,+'[1]03012025'!$A:$N,8,0)</f>
        <v>0.87</v>
      </c>
      <c r="D43" s="5" t="s">
        <v>19</v>
      </c>
      <c r="M43" s="6">
        <v>45717</v>
      </c>
      <c r="N43" s="5" t="s">
        <v>20</v>
      </c>
      <c r="O43" t="s">
        <v>21</v>
      </c>
      <c r="Q43" t="s">
        <v>22</v>
      </c>
    </row>
    <row r="44" spans="1:17">
      <c r="A44" t="s">
        <v>64</v>
      </c>
      <c r="C44" s="4" cm="1">
        <f t="array" ref="C44">VLOOKUP(A44,+'[1]03012025'!$A:$N,8,0)</f>
        <v>0.85</v>
      </c>
      <c r="D44" s="5" t="s">
        <v>19</v>
      </c>
      <c r="M44" s="6">
        <v>45717</v>
      </c>
      <c r="N44" s="5" t="s">
        <v>20</v>
      </c>
      <c r="O44" t="s">
        <v>21</v>
      </c>
      <c r="Q44" t="s">
        <v>22</v>
      </c>
    </row>
    <row r="45" spans="1:17">
      <c r="A45" t="s">
        <v>65</v>
      </c>
      <c r="C45" s="4" cm="1">
        <f t="array" ref="C45">VLOOKUP(A45,+'[1]03012025'!$A:$N,8,0)</f>
        <v>5.1100000000000003</v>
      </c>
      <c r="D45" s="5" t="s">
        <v>19</v>
      </c>
      <c r="M45" s="6">
        <v>45717</v>
      </c>
      <c r="N45" s="5" t="s">
        <v>20</v>
      </c>
      <c r="O45" t="s">
        <v>21</v>
      </c>
      <c r="Q45" t="s">
        <v>22</v>
      </c>
    </row>
    <row r="46" spans="1:17">
      <c r="A46" t="s">
        <v>66</v>
      </c>
      <c r="C46" s="4" cm="1">
        <f t="array" ref="C46">VLOOKUP(A46,+'[1]03012025'!$A:$N,8,0)</f>
        <v>6.23</v>
      </c>
      <c r="D46" s="5" t="s">
        <v>19</v>
      </c>
      <c r="M46" s="6">
        <v>45717</v>
      </c>
      <c r="N46" s="5" t="s">
        <v>20</v>
      </c>
      <c r="O46" t="s">
        <v>21</v>
      </c>
      <c r="Q46" t="s">
        <v>22</v>
      </c>
    </row>
    <row r="47" spans="1:17">
      <c r="A47" t="s">
        <v>67</v>
      </c>
      <c r="C47" s="4" cm="1">
        <f t="array" ref="C47">VLOOKUP(A47,+'[1]03012025'!$A:$N,8,0)</f>
        <v>1.33</v>
      </c>
      <c r="D47" s="5" t="s">
        <v>19</v>
      </c>
      <c r="M47" s="6">
        <v>45717</v>
      </c>
      <c r="N47" s="5" t="s">
        <v>20</v>
      </c>
      <c r="O47" t="s">
        <v>21</v>
      </c>
      <c r="Q47" t="s">
        <v>22</v>
      </c>
    </row>
    <row r="48" spans="1:17">
      <c r="A48" t="s">
        <v>68</v>
      </c>
      <c r="C48" s="4" cm="1">
        <f t="array" ref="C48">VLOOKUP(A48,+'[1]03012025'!$A:$N,8,0)</f>
        <v>0.28000000000000003</v>
      </c>
      <c r="D48" s="5" t="s">
        <v>19</v>
      </c>
      <c r="M48" s="6">
        <v>45717</v>
      </c>
      <c r="N48" s="5" t="s">
        <v>20</v>
      </c>
      <c r="O48" t="s">
        <v>21</v>
      </c>
      <c r="Q48" t="s">
        <v>22</v>
      </c>
    </row>
    <row r="49" spans="1:17">
      <c r="A49" t="s">
        <v>69</v>
      </c>
      <c r="C49" s="4" cm="1">
        <f t="array" ref="C49">VLOOKUP(A49,+'[1]03012025'!$A:$N,8,0)</f>
        <v>2.08</v>
      </c>
      <c r="D49" s="5" t="s">
        <v>19</v>
      </c>
      <c r="M49" s="6">
        <v>45717</v>
      </c>
      <c r="N49" s="5" t="s">
        <v>20</v>
      </c>
      <c r="O49" t="s">
        <v>21</v>
      </c>
      <c r="Q49" t="s">
        <v>22</v>
      </c>
    </row>
    <row r="50" spans="1:17">
      <c r="A50" t="s">
        <v>70</v>
      </c>
      <c r="C50" s="4" cm="1">
        <f t="array" ref="C50">VLOOKUP(A50,+'[1]03012025'!$A:$N,8,0)</f>
        <v>0.59</v>
      </c>
      <c r="D50" s="5" t="s">
        <v>19</v>
      </c>
      <c r="M50" s="6">
        <v>45717</v>
      </c>
      <c r="N50" s="5" t="s">
        <v>20</v>
      </c>
      <c r="O50" t="s">
        <v>21</v>
      </c>
      <c r="Q50" t="s">
        <v>22</v>
      </c>
    </row>
    <row r="51" spans="1:17">
      <c r="A51" t="s">
        <v>71</v>
      </c>
      <c r="C51" s="4" cm="1">
        <f t="array" ref="C51">VLOOKUP(A51,+'[1]03012025'!$A:$N,8,0)</f>
        <v>39.01</v>
      </c>
      <c r="D51" s="5" t="s">
        <v>19</v>
      </c>
      <c r="M51" s="6">
        <v>45717</v>
      </c>
      <c r="N51" s="5" t="s">
        <v>20</v>
      </c>
      <c r="O51" t="s">
        <v>21</v>
      </c>
      <c r="Q51" t="s">
        <v>22</v>
      </c>
    </row>
    <row r="52" spans="1:17">
      <c r="A52" t="s">
        <v>72</v>
      </c>
      <c r="C52" s="4" cm="1">
        <f t="array" ref="C52">VLOOKUP(A52,+'[1]03012025'!$A:$N,8,0)</f>
        <v>19.510000000000002</v>
      </c>
      <c r="D52" s="5" t="s">
        <v>19</v>
      </c>
      <c r="M52" s="6">
        <v>45717</v>
      </c>
      <c r="N52" s="5" t="s">
        <v>20</v>
      </c>
      <c r="O52" t="s">
        <v>21</v>
      </c>
      <c r="Q52" t="s">
        <v>22</v>
      </c>
    </row>
    <row r="53" spans="1:17">
      <c r="A53" t="s">
        <v>73</v>
      </c>
      <c r="C53" s="4" cm="1">
        <f t="array" ref="C53">VLOOKUP(A53,+'[1]03012025'!$A:$N,8,0)</f>
        <v>21.72</v>
      </c>
      <c r="D53" s="5" t="s">
        <v>19</v>
      </c>
      <c r="M53" s="6">
        <v>45717</v>
      </c>
      <c r="N53" s="5" t="s">
        <v>20</v>
      </c>
      <c r="O53" t="s">
        <v>21</v>
      </c>
      <c r="Q53" t="s">
        <v>22</v>
      </c>
    </row>
    <row r="54" spans="1:17">
      <c r="A54" t="s">
        <v>74</v>
      </c>
      <c r="C54" s="4" cm="1">
        <f t="array" ref="C54">VLOOKUP(A54,+'[1]03012025'!$A:$N,8,0)</f>
        <v>10.86</v>
      </c>
      <c r="D54" s="5" t="s">
        <v>19</v>
      </c>
      <c r="M54" s="6">
        <v>45717</v>
      </c>
      <c r="N54" s="5" t="s">
        <v>20</v>
      </c>
      <c r="O54" t="s">
        <v>21</v>
      </c>
      <c r="Q54" t="s">
        <v>22</v>
      </c>
    </row>
    <row r="55" spans="1:17">
      <c r="A55" t="s">
        <v>75</v>
      </c>
      <c r="C55" s="4" cm="1">
        <f t="array" ref="C55">VLOOKUP(A55,+'[1]03012025'!$A:$N,8,0)</f>
        <v>560</v>
      </c>
      <c r="D55" s="5" t="s">
        <v>19</v>
      </c>
      <c r="M55" s="6">
        <v>45717</v>
      </c>
      <c r="N55" s="5" t="s">
        <v>20</v>
      </c>
      <c r="O55" t="s">
        <v>21</v>
      </c>
      <c r="Q55" t="s">
        <v>22</v>
      </c>
    </row>
    <row r="56" spans="1:17">
      <c r="A56" t="s">
        <v>76</v>
      </c>
      <c r="C56" s="4" cm="1">
        <f t="array" ref="C56">VLOOKUP(A56,+'[1]03012025'!$A:$N,8,0)</f>
        <v>560</v>
      </c>
      <c r="D56" s="5" t="s">
        <v>19</v>
      </c>
      <c r="M56" s="6">
        <v>45717</v>
      </c>
      <c r="N56" s="5" t="s">
        <v>20</v>
      </c>
      <c r="O56" t="s">
        <v>21</v>
      </c>
      <c r="Q56" t="s">
        <v>22</v>
      </c>
    </row>
    <row r="57" spans="1:17">
      <c r="A57" t="s">
        <v>77</v>
      </c>
      <c r="C57" s="4" cm="1">
        <f t="array" ref="C57">VLOOKUP(A57,+'[1]03012025'!$A:$N,8,0)</f>
        <v>560</v>
      </c>
      <c r="D57" s="5" t="s">
        <v>19</v>
      </c>
      <c r="M57" s="6">
        <v>45717</v>
      </c>
      <c r="N57" s="5" t="s">
        <v>20</v>
      </c>
      <c r="O57" t="s">
        <v>21</v>
      </c>
      <c r="Q57" t="s">
        <v>22</v>
      </c>
    </row>
    <row r="58" spans="1:17">
      <c r="A58" t="s">
        <v>78</v>
      </c>
      <c r="C58" s="4" cm="1">
        <f t="array" ref="C58">VLOOKUP(A58,+'[1]03012025'!$A:$N,8,0)</f>
        <v>425</v>
      </c>
      <c r="D58" s="5" t="s">
        <v>19</v>
      </c>
      <c r="M58" s="6">
        <v>45717</v>
      </c>
      <c r="N58" s="5" t="s">
        <v>20</v>
      </c>
      <c r="O58" t="s">
        <v>21</v>
      </c>
      <c r="Q58" t="s">
        <v>22</v>
      </c>
    </row>
    <row r="59" spans="1:17">
      <c r="A59" t="s">
        <v>79</v>
      </c>
      <c r="C59" s="4" cm="1">
        <f t="array" ref="C59">VLOOKUP(A59,+'[1]03012025'!$A:$N,8,0)</f>
        <v>425</v>
      </c>
      <c r="D59" s="5" t="s">
        <v>19</v>
      </c>
      <c r="M59" s="6">
        <v>45717</v>
      </c>
      <c r="N59" s="5" t="s">
        <v>20</v>
      </c>
      <c r="O59" t="s">
        <v>21</v>
      </c>
      <c r="Q59" t="s">
        <v>22</v>
      </c>
    </row>
    <row r="60" spans="1:17">
      <c r="A60" t="s">
        <v>80</v>
      </c>
      <c r="C60" s="4" cm="1">
        <f t="array" ref="C60">VLOOKUP(A60,+'[1]03012025'!$A:$N,8,0)</f>
        <v>425</v>
      </c>
      <c r="D60" s="5" t="s">
        <v>19</v>
      </c>
      <c r="M60" s="6">
        <v>45717</v>
      </c>
      <c r="N60" s="5" t="s">
        <v>20</v>
      </c>
      <c r="O60" t="s">
        <v>21</v>
      </c>
      <c r="Q60" t="s">
        <v>22</v>
      </c>
    </row>
    <row r="61" spans="1:17">
      <c r="A61" t="s">
        <v>81</v>
      </c>
      <c r="C61" s="4" cm="1">
        <f t="array" ref="C61">VLOOKUP(A61,+'[1]03012025'!$A:$N,8,0)</f>
        <v>285</v>
      </c>
      <c r="D61" s="5" t="s">
        <v>19</v>
      </c>
      <c r="M61" s="6">
        <v>45717</v>
      </c>
      <c r="N61" s="5" t="s">
        <v>20</v>
      </c>
      <c r="O61" t="s">
        <v>21</v>
      </c>
      <c r="Q61" t="s">
        <v>22</v>
      </c>
    </row>
    <row r="62" spans="1:17">
      <c r="A62" t="s">
        <v>82</v>
      </c>
      <c r="C62" s="4" cm="1">
        <f t="array" ref="C62">VLOOKUP(A62,+'[1]03012025'!$A:$N,8,0)</f>
        <v>285</v>
      </c>
      <c r="D62" s="5" t="s">
        <v>19</v>
      </c>
      <c r="M62" s="6">
        <v>45717</v>
      </c>
      <c r="N62" s="5" t="s">
        <v>20</v>
      </c>
      <c r="O62" t="s">
        <v>21</v>
      </c>
      <c r="Q62" t="s">
        <v>22</v>
      </c>
    </row>
    <row r="63" spans="1:17">
      <c r="A63" t="s">
        <v>83</v>
      </c>
      <c r="C63" s="4" cm="1">
        <f t="array" ref="C63">VLOOKUP(A63,+'[1]03012025'!$A:$N,8,0)</f>
        <v>285</v>
      </c>
      <c r="D63" s="5" t="s">
        <v>19</v>
      </c>
      <c r="M63" s="6">
        <v>45717</v>
      </c>
      <c r="N63" s="5" t="s">
        <v>20</v>
      </c>
      <c r="O63" t="s">
        <v>21</v>
      </c>
      <c r="Q63" t="s">
        <v>22</v>
      </c>
    </row>
    <row r="64" spans="1:17">
      <c r="A64" t="s">
        <v>84</v>
      </c>
      <c r="C64" s="4" cm="1">
        <f t="array" ref="C64">VLOOKUP(A64,+'[1]03012025'!$A:$N,8,0)</f>
        <v>9.36</v>
      </c>
      <c r="D64" s="5" t="s">
        <v>19</v>
      </c>
      <c r="M64" s="6">
        <v>45717</v>
      </c>
      <c r="N64" s="5" t="s">
        <v>20</v>
      </c>
      <c r="O64" t="s">
        <v>21</v>
      </c>
      <c r="Q64" t="s">
        <v>22</v>
      </c>
    </row>
    <row r="65" spans="1:17">
      <c r="A65" t="s">
        <v>85</v>
      </c>
      <c r="C65" s="4" cm="1">
        <f t="array" ref="C65">VLOOKUP(A65,+'[1]03012025'!$A:$N,8,0)</f>
        <v>9.36</v>
      </c>
      <c r="D65" s="5" t="s">
        <v>19</v>
      </c>
      <c r="M65" s="6">
        <v>45717</v>
      </c>
      <c r="N65" s="5" t="s">
        <v>20</v>
      </c>
      <c r="O65" t="s">
        <v>21</v>
      </c>
      <c r="Q65" t="s">
        <v>22</v>
      </c>
    </row>
    <row r="66" spans="1:17">
      <c r="A66" t="s">
        <v>86</v>
      </c>
      <c r="C66" s="4" cm="1">
        <f t="array" ref="C66">VLOOKUP(A66,+'[1]03012025'!$A:$N,8,0)</f>
        <v>9.36</v>
      </c>
      <c r="D66" s="5" t="s">
        <v>19</v>
      </c>
      <c r="M66" s="6">
        <v>45717</v>
      </c>
      <c r="N66" s="5" t="s">
        <v>20</v>
      </c>
      <c r="O66" t="s">
        <v>21</v>
      </c>
      <c r="Q66" t="s">
        <v>22</v>
      </c>
    </row>
    <row r="67" spans="1:17">
      <c r="A67" t="s">
        <v>87</v>
      </c>
      <c r="C67" s="4" cm="1">
        <f t="array" ref="C67">VLOOKUP(A67,+'[1]03012025'!$A:$N,8,0)</f>
        <v>8.91</v>
      </c>
      <c r="D67" s="5" t="s">
        <v>19</v>
      </c>
      <c r="M67" s="6">
        <v>45717</v>
      </c>
      <c r="N67" s="5" t="s">
        <v>20</v>
      </c>
      <c r="O67" t="s">
        <v>21</v>
      </c>
      <c r="Q67" t="s">
        <v>22</v>
      </c>
    </row>
    <row r="68" spans="1:17">
      <c r="A68" t="s">
        <v>88</v>
      </c>
      <c r="C68" s="4" cm="1">
        <f t="array" ref="C68">VLOOKUP(A68,+'[1]03012025'!$A:$N,8,0)</f>
        <v>8.91</v>
      </c>
      <c r="D68" s="5" t="s">
        <v>19</v>
      </c>
      <c r="M68" s="6">
        <v>45717</v>
      </c>
      <c r="N68" s="5" t="s">
        <v>20</v>
      </c>
      <c r="O68" t="s">
        <v>21</v>
      </c>
      <c r="Q68" t="s">
        <v>22</v>
      </c>
    </row>
    <row r="69" spans="1:17">
      <c r="A69" t="s">
        <v>89</v>
      </c>
      <c r="C69" s="4" cm="1">
        <f t="array" ref="C69">VLOOKUP(A69,+'[1]03012025'!$A:$N,8,0)</f>
        <v>8.91</v>
      </c>
      <c r="D69" s="5" t="s">
        <v>19</v>
      </c>
      <c r="M69" s="6">
        <v>45717</v>
      </c>
      <c r="N69" s="5" t="s">
        <v>20</v>
      </c>
      <c r="O69" t="s">
        <v>21</v>
      </c>
      <c r="Q69" t="s">
        <v>22</v>
      </c>
    </row>
    <row r="70" spans="1:17">
      <c r="A70" t="s">
        <v>90</v>
      </c>
      <c r="C70" s="4" cm="1">
        <f t="array" ref="C70">VLOOKUP(A70,+'[1]03012025'!$A:$N,8,0)</f>
        <v>200</v>
      </c>
      <c r="D70" s="5" t="s">
        <v>19</v>
      </c>
      <c r="M70" s="6">
        <v>45717</v>
      </c>
      <c r="N70" s="5" t="s">
        <v>20</v>
      </c>
      <c r="O70" t="s">
        <v>21</v>
      </c>
      <c r="Q70" t="s">
        <v>22</v>
      </c>
    </row>
    <row r="71" spans="1:17">
      <c r="A71" t="s">
        <v>91</v>
      </c>
      <c r="C71" s="4" cm="1">
        <f t="array" ref="C71">VLOOKUP(A71,+'[1]03012025'!$A:$N,8,0)</f>
        <v>200</v>
      </c>
      <c r="D71" s="5" t="s">
        <v>19</v>
      </c>
      <c r="M71" s="6">
        <v>45717</v>
      </c>
      <c r="N71" s="5" t="s">
        <v>20</v>
      </c>
      <c r="O71" t="s">
        <v>21</v>
      </c>
      <c r="Q71" t="s">
        <v>22</v>
      </c>
    </row>
    <row r="72" spans="1:17">
      <c r="A72" t="s">
        <v>92</v>
      </c>
      <c r="C72" s="4" cm="1">
        <f t="array" ref="C72">VLOOKUP(A72,+'[1]03012025'!$A:$N,8,0)</f>
        <v>260</v>
      </c>
      <c r="D72" s="5" t="s">
        <v>19</v>
      </c>
      <c r="M72" s="6">
        <v>45717</v>
      </c>
      <c r="N72" s="5" t="s">
        <v>20</v>
      </c>
      <c r="O72" t="s">
        <v>21</v>
      </c>
      <c r="Q72" t="s">
        <v>22</v>
      </c>
    </row>
    <row r="73" spans="1:17">
      <c r="A73" t="s">
        <v>93</v>
      </c>
      <c r="C73" s="4" cm="1">
        <f t="array" ref="C73">VLOOKUP(A73,+'[1]03012025'!$A:$N,8,0)</f>
        <v>55</v>
      </c>
      <c r="D73" s="5" t="s">
        <v>19</v>
      </c>
      <c r="M73" s="6">
        <v>45717</v>
      </c>
      <c r="N73" s="5" t="s">
        <v>20</v>
      </c>
      <c r="O73" t="s">
        <v>21</v>
      </c>
      <c r="Q73" t="s">
        <v>22</v>
      </c>
    </row>
    <row r="74" spans="1:17">
      <c r="A74" t="s">
        <v>94</v>
      </c>
      <c r="C74" s="4" cm="1">
        <f t="array" ref="C74">VLOOKUP(A74,+'[1]03012025'!$A:$N,8,0)</f>
        <v>4</v>
      </c>
      <c r="D74" s="5" t="s">
        <v>19</v>
      </c>
      <c r="M74" s="6">
        <v>45717</v>
      </c>
      <c r="N74" s="5" t="s">
        <v>20</v>
      </c>
      <c r="O74" t="s">
        <v>21</v>
      </c>
      <c r="Q74" t="s">
        <v>22</v>
      </c>
    </row>
    <row r="75" spans="1:17">
      <c r="A75" t="s">
        <v>95</v>
      </c>
      <c r="C75" s="4" cm="1">
        <f t="array" ref="C75">VLOOKUP(A75,+'[1]03012025'!$A:$N,8,0)</f>
        <v>3</v>
      </c>
      <c r="D75" s="5" t="s">
        <v>19</v>
      </c>
      <c r="M75" s="6">
        <v>45717</v>
      </c>
      <c r="N75" s="5" t="s">
        <v>20</v>
      </c>
      <c r="O75" t="s">
        <v>21</v>
      </c>
      <c r="Q75" t="s">
        <v>22</v>
      </c>
    </row>
    <row r="76" spans="1:17">
      <c r="A76" t="s">
        <v>96</v>
      </c>
      <c r="C76" s="4" cm="1">
        <f t="array" ref="C76">VLOOKUP(A76,+'[1]03012025'!$A:$N,8,0)</f>
        <v>2.5</v>
      </c>
      <c r="D76" s="5" t="s">
        <v>19</v>
      </c>
      <c r="M76" s="6">
        <v>45717</v>
      </c>
      <c r="N76" s="5" t="s">
        <v>20</v>
      </c>
      <c r="O76" t="s">
        <v>21</v>
      </c>
      <c r="Q76" t="s">
        <v>22</v>
      </c>
    </row>
    <row r="77" spans="1:17">
      <c r="A77" t="s">
        <v>97</v>
      </c>
      <c r="C77" s="4" cm="1">
        <f t="array" ref="C77">VLOOKUP(A77,+'[1]03012025'!$A:$N,8,0)</f>
        <v>3</v>
      </c>
      <c r="D77" s="5" t="s">
        <v>19</v>
      </c>
      <c r="M77" s="6">
        <v>45717</v>
      </c>
      <c r="N77" s="5" t="s">
        <v>20</v>
      </c>
      <c r="O77" t="s">
        <v>21</v>
      </c>
      <c r="Q77" t="s">
        <v>22</v>
      </c>
    </row>
    <row r="78" spans="1:17">
      <c r="A78" t="s">
        <v>98</v>
      </c>
      <c r="C78" s="4" cm="1">
        <f t="array" ref="C78">VLOOKUP(A78,+'[1]03012025'!$A:$N,8,0)</f>
        <v>3</v>
      </c>
      <c r="D78" s="5" t="s">
        <v>19</v>
      </c>
      <c r="M78" s="6">
        <v>45717</v>
      </c>
      <c r="N78" s="5" t="s">
        <v>20</v>
      </c>
      <c r="O78" t="s">
        <v>21</v>
      </c>
      <c r="Q78" t="s">
        <v>22</v>
      </c>
    </row>
    <row r="79" spans="1:17">
      <c r="A79" t="s">
        <v>99</v>
      </c>
      <c r="C79" s="4" cm="1">
        <f t="array" ref="C79">VLOOKUP(A79,+'[1]03012025'!$A:$N,8,0)</f>
        <v>25.44</v>
      </c>
      <c r="D79" s="5" t="s">
        <v>19</v>
      </c>
      <c r="M79" s="6">
        <v>45717</v>
      </c>
      <c r="N79" s="5" t="s">
        <v>20</v>
      </c>
      <c r="O79" t="s">
        <v>21</v>
      </c>
      <c r="Q79" t="s">
        <v>22</v>
      </c>
    </row>
    <row r="80" spans="1:17">
      <c r="A80" t="s">
        <v>100</v>
      </c>
      <c r="C80" s="4" cm="1">
        <f t="array" ref="C80">VLOOKUP(A80,+'[1]03012025'!$A:$N,8,0)</f>
        <v>21.62</v>
      </c>
      <c r="D80" s="5" t="s">
        <v>19</v>
      </c>
      <c r="M80" s="6">
        <v>45717</v>
      </c>
      <c r="N80" s="5" t="s">
        <v>20</v>
      </c>
      <c r="O80" t="s">
        <v>21</v>
      </c>
      <c r="Q80" t="s">
        <v>22</v>
      </c>
    </row>
    <row r="81" spans="1:17">
      <c r="A81" t="s">
        <v>101</v>
      </c>
      <c r="C81" s="4" cm="1">
        <f t="array" ref="C81">VLOOKUP(A81,+'[1]03012025'!$A:$N,8,0)</f>
        <v>26.2</v>
      </c>
      <c r="D81" s="5" t="s">
        <v>19</v>
      </c>
      <c r="M81" s="6">
        <v>45717</v>
      </c>
      <c r="N81" s="5" t="s">
        <v>20</v>
      </c>
      <c r="O81" t="s">
        <v>21</v>
      </c>
      <c r="Q81" t="s">
        <v>22</v>
      </c>
    </row>
    <row r="82" spans="1:17">
      <c r="A82" t="s">
        <v>102</v>
      </c>
      <c r="C82" s="4" cm="1">
        <f t="array" ref="C82">VLOOKUP(A82,+'[1]03012025'!$A:$N,8,0)</f>
        <v>25.44</v>
      </c>
      <c r="D82" s="5" t="s">
        <v>19</v>
      </c>
      <c r="M82" s="6">
        <v>45717</v>
      </c>
      <c r="N82" s="5" t="s">
        <v>20</v>
      </c>
      <c r="O82" t="s">
        <v>21</v>
      </c>
      <c r="Q82" t="s">
        <v>22</v>
      </c>
    </row>
    <row r="83" spans="1:17">
      <c r="A83" t="s">
        <v>103</v>
      </c>
      <c r="C83" s="4" cm="1">
        <f t="array" ref="C83">VLOOKUP(A83,+'[1]03012025'!$A:$N,8,0)</f>
        <v>25.44</v>
      </c>
      <c r="D83" s="5" t="s">
        <v>19</v>
      </c>
      <c r="M83" s="6">
        <v>45717</v>
      </c>
      <c r="N83" s="5" t="s">
        <v>20</v>
      </c>
      <c r="O83" t="s">
        <v>21</v>
      </c>
      <c r="Q83" t="s">
        <v>22</v>
      </c>
    </row>
    <row r="84" spans="1:17">
      <c r="A84" t="s">
        <v>104</v>
      </c>
      <c r="C84" s="4" cm="1">
        <f t="array" ref="C84">VLOOKUP(A84,+'[1]03012025'!$A:$N,8,0)</f>
        <v>13.7</v>
      </c>
      <c r="D84" s="5" t="s">
        <v>19</v>
      </c>
      <c r="M84" s="6">
        <v>45717</v>
      </c>
      <c r="N84" s="5" t="s">
        <v>20</v>
      </c>
      <c r="O84" t="s">
        <v>21</v>
      </c>
      <c r="Q84" t="s">
        <v>22</v>
      </c>
    </row>
    <row r="85" spans="1:17">
      <c r="A85" t="s">
        <v>105</v>
      </c>
      <c r="C85" s="4" cm="1">
        <f t="array" ref="C85">VLOOKUP(A85,+'[1]03012025'!$A:$N,8,0)</f>
        <v>11.64</v>
      </c>
      <c r="D85" s="5" t="s">
        <v>19</v>
      </c>
      <c r="M85" s="6">
        <v>45717</v>
      </c>
      <c r="N85" s="5" t="s">
        <v>20</v>
      </c>
      <c r="O85" t="s">
        <v>21</v>
      </c>
      <c r="Q85" t="s">
        <v>22</v>
      </c>
    </row>
    <row r="86" spans="1:17">
      <c r="A86" t="s">
        <v>106</v>
      </c>
      <c r="C86" s="4" cm="1">
        <f t="array" ref="C86">VLOOKUP(A86,+'[1]03012025'!$A:$N,8,0)</f>
        <v>14.11</v>
      </c>
      <c r="D86" s="5" t="s">
        <v>19</v>
      </c>
      <c r="M86" s="6">
        <v>45717</v>
      </c>
      <c r="N86" s="5" t="s">
        <v>20</v>
      </c>
      <c r="O86" t="s">
        <v>21</v>
      </c>
      <c r="Q86" t="s">
        <v>22</v>
      </c>
    </row>
    <row r="87" spans="1:17">
      <c r="A87" t="s">
        <v>107</v>
      </c>
      <c r="C87" s="4" cm="1">
        <f t="array" ref="C87">VLOOKUP(A87,+'[1]03012025'!$A:$N,8,0)</f>
        <v>13.7</v>
      </c>
      <c r="D87" s="5" t="s">
        <v>19</v>
      </c>
      <c r="M87" s="6">
        <v>45717</v>
      </c>
      <c r="N87" s="5" t="s">
        <v>20</v>
      </c>
      <c r="O87" t="s">
        <v>21</v>
      </c>
      <c r="Q87" t="s">
        <v>22</v>
      </c>
    </row>
    <row r="88" spans="1:17">
      <c r="A88" t="s">
        <v>108</v>
      </c>
      <c r="C88" s="4" cm="1">
        <f t="array" ref="C88">VLOOKUP(A88,+'[1]03012025'!$A:$N,8,0)</f>
        <v>13.7</v>
      </c>
      <c r="D88" s="5" t="s">
        <v>19</v>
      </c>
      <c r="M88" s="6">
        <v>45717</v>
      </c>
      <c r="N88" s="5" t="s">
        <v>20</v>
      </c>
      <c r="O88" t="s">
        <v>21</v>
      </c>
      <c r="Q88" t="s">
        <v>22</v>
      </c>
    </row>
    <row r="89" spans="1:17">
      <c r="A89" t="s">
        <v>109</v>
      </c>
      <c r="C89" s="4" cm="1">
        <f t="array" ref="C89">VLOOKUP(A89,+'[1]03012025'!$A:$N,8,0)</f>
        <v>12.8</v>
      </c>
      <c r="D89" s="5" t="s">
        <v>19</v>
      </c>
      <c r="M89" s="6">
        <v>45717</v>
      </c>
      <c r="N89" s="5" t="s">
        <v>20</v>
      </c>
      <c r="O89" t="s">
        <v>21</v>
      </c>
      <c r="Q89" t="s">
        <v>22</v>
      </c>
    </row>
    <row r="90" spans="1:17">
      <c r="A90" t="s">
        <v>110</v>
      </c>
      <c r="C90" s="4" cm="1">
        <f t="array" ref="C90">VLOOKUP(A90,+'[1]03012025'!$A:$N,8,0)</f>
        <v>10.88</v>
      </c>
      <c r="D90" s="5" t="s">
        <v>19</v>
      </c>
      <c r="M90" s="6">
        <v>45717</v>
      </c>
      <c r="N90" s="5" t="s">
        <v>20</v>
      </c>
      <c r="O90" t="s">
        <v>21</v>
      </c>
      <c r="Q90" t="s">
        <v>22</v>
      </c>
    </row>
    <row r="91" spans="1:17">
      <c r="A91" t="s">
        <v>111</v>
      </c>
      <c r="C91" s="4" cm="1">
        <f t="array" ref="C91">VLOOKUP(A91,+'[1]03012025'!$A:$N,8,0)</f>
        <v>13.18</v>
      </c>
      <c r="D91" s="5" t="s">
        <v>19</v>
      </c>
      <c r="M91" s="6">
        <v>45717</v>
      </c>
      <c r="N91" s="5" t="s">
        <v>20</v>
      </c>
      <c r="O91" t="s">
        <v>21</v>
      </c>
      <c r="Q91" t="s">
        <v>22</v>
      </c>
    </row>
    <row r="92" spans="1:17">
      <c r="A92" t="s">
        <v>112</v>
      </c>
      <c r="C92" s="4" cm="1">
        <f t="array" ref="C92">VLOOKUP(A92,+'[1]03012025'!$A:$N,8,0)</f>
        <v>12.8</v>
      </c>
      <c r="D92" s="5" t="s">
        <v>19</v>
      </c>
      <c r="M92" s="6">
        <v>45717</v>
      </c>
      <c r="N92" s="5" t="s">
        <v>20</v>
      </c>
      <c r="O92" t="s">
        <v>21</v>
      </c>
      <c r="Q92" t="s">
        <v>22</v>
      </c>
    </row>
    <row r="93" spans="1:17">
      <c r="A93" t="s">
        <v>113</v>
      </c>
      <c r="C93" s="4" cm="1">
        <f t="array" ref="C93">VLOOKUP(A93,+'[1]03012025'!$A:$N,8,0)</f>
        <v>12.8</v>
      </c>
      <c r="D93" s="5" t="s">
        <v>19</v>
      </c>
      <c r="M93" s="6">
        <v>45717</v>
      </c>
      <c r="N93" s="5" t="s">
        <v>20</v>
      </c>
      <c r="O93" t="s">
        <v>21</v>
      </c>
      <c r="Q93" t="s">
        <v>22</v>
      </c>
    </row>
    <row r="94" spans="1:17">
      <c r="A94" t="s">
        <v>114</v>
      </c>
      <c r="C94" s="4" cm="1">
        <f t="array" ref="C94">VLOOKUP(A94,+'[1]03012025'!$A:$N,8,0)</f>
        <v>6.89</v>
      </c>
      <c r="D94" s="5" t="s">
        <v>19</v>
      </c>
      <c r="M94" s="6">
        <v>45717</v>
      </c>
      <c r="N94" s="5" t="s">
        <v>20</v>
      </c>
      <c r="O94" t="s">
        <v>21</v>
      </c>
      <c r="Q94" t="s">
        <v>22</v>
      </c>
    </row>
    <row r="95" spans="1:17">
      <c r="A95" t="s">
        <v>115</v>
      </c>
      <c r="C95" s="4" cm="1">
        <f t="array" ref="C95">VLOOKUP(A95,+'[1]03012025'!$A:$N,8,0)</f>
        <v>5.86</v>
      </c>
      <c r="D95" s="5" t="s">
        <v>19</v>
      </c>
      <c r="M95" s="6">
        <v>45717</v>
      </c>
      <c r="N95" s="5" t="s">
        <v>20</v>
      </c>
      <c r="O95" t="s">
        <v>21</v>
      </c>
      <c r="Q95" t="s">
        <v>22</v>
      </c>
    </row>
    <row r="96" spans="1:17">
      <c r="A96" t="s">
        <v>116</v>
      </c>
      <c r="C96" s="4" cm="1">
        <f t="array" ref="C96">VLOOKUP(A96,+'[1]03012025'!$A:$N,8,0)</f>
        <v>7.1</v>
      </c>
      <c r="D96" s="5" t="s">
        <v>19</v>
      </c>
      <c r="M96" s="6">
        <v>45717</v>
      </c>
      <c r="N96" s="5" t="s">
        <v>20</v>
      </c>
      <c r="O96" t="s">
        <v>21</v>
      </c>
      <c r="Q96" t="s">
        <v>22</v>
      </c>
    </row>
    <row r="97" spans="1:17">
      <c r="A97" t="s">
        <v>117</v>
      </c>
      <c r="C97" s="4" cm="1">
        <f t="array" ref="C97">VLOOKUP(A97,+'[1]03012025'!$A:$N,8,0)</f>
        <v>6.89</v>
      </c>
      <c r="D97" s="5" t="s">
        <v>19</v>
      </c>
      <c r="M97" s="6">
        <v>45717</v>
      </c>
      <c r="N97" s="5" t="s">
        <v>20</v>
      </c>
      <c r="O97" t="s">
        <v>21</v>
      </c>
      <c r="Q97" t="s">
        <v>22</v>
      </c>
    </row>
    <row r="98" spans="1:17">
      <c r="A98" t="s">
        <v>118</v>
      </c>
      <c r="C98" s="4" cm="1">
        <f t="array" ref="C98">VLOOKUP(A98,+'[1]03012025'!$A:$N,8,0)</f>
        <v>6.89</v>
      </c>
      <c r="D98" s="5" t="s">
        <v>19</v>
      </c>
      <c r="M98" s="6">
        <v>45717</v>
      </c>
      <c r="N98" s="5" t="s">
        <v>20</v>
      </c>
      <c r="O98" t="s">
        <v>21</v>
      </c>
      <c r="Q98" t="s">
        <v>22</v>
      </c>
    </row>
    <row r="99" spans="1:17">
      <c r="A99" t="s">
        <v>119</v>
      </c>
      <c r="C99" s="4" cm="1">
        <f t="array" ref="C99">VLOOKUP(A99,+'[1]03012025'!$A:$N,8,0)</f>
        <v>9.4700000000000006</v>
      </c>
      <c r="D99" s="5" t="s">
        <v>19</v>
      </c>
      <c r="M99" s="6">
        <v>45717</v>
      </c>
      <c r="N99" s="5" t="s">
        <v>20</v>
      </c>
      <c r="O99" t="s">
        <v>21</v>
      </c>
      <c r="Q99" t="s">
        <v>22</v>
      </c>
    </row>
    <row r="100" spans="1:17">
      <c r="A100" t="s">
        <v>120</v>
      </c>
      <c r="C100" s="4" cm="1">
        <f t="array" ref="C100">VLOOKUP(A100,+'[1]03012025'!$A:$N,8,0)</f>
        <v>11.47</v>
      </c>
      <c r="D100" s="5" t="s">
        <v>19</v>
      </c>
      <c r="M100" s="6">
        <v>45717</v>
      </c>
      <c r="N100" s="5" t="s">
        <v>20</v>
      </c>
      <c r="O100" t="s">
        <v>21</v>
      </c>
      <c r="Q100" t="s">
        <v>22</v>
      </c>
    </row>
    <row r="101" spans="1:17">
      <c r="A101" t="s">
        <v>121</v>
      </c>
      <c r="C101" s="4" cm="1">
        <f t="array" ref="C101">VLOOKUP(A101,+'[1]03012025'!$A:$N,8,0)</f>
        <v>11.14</v>
      </c>
      <c r="D101" s="5" t="s">
        <v>19</v>
      </c>
      <c r="M101" s="6">
        <v>45717</v>
      </c>
      <c r="N101" s="5" t="s">
        <v>20</v>
      </c>
      <c r="O101" t="s">
        <v>21</v>
      </c>
      <c r="Q101" t="s">
        <v>22</v>
      </c>
    </row>
    <row r="102" spans="1:17">
      <c r="A102" t="s">
        <v>122</v>
      </c>
      <c r="C102" s="4" cm="1">
        <f t="array" ref="C102">VLOOKUP(A102,+'[1]03012025'!$A:$N,8,0)</f>
        <v>11.14</v>
      </c>
      <c r="D102" s="5" t="s">
        <v>19</v>
      </c>
      <c r="M102" s="6">
        <v>45717</v>
      </c>
      <c r="N102" s="5" t="s">
        <v>20</v>
      </c>
      <c r="O102" t="s">
        <v>21</v>
      </c>
      <c r="Q102" t="s">
        <v>22</v>
      </c>
    </row>
    <row r="103" spans="1:17">
      <c r="A103" t="s">
        <v>123</v>
      </c>
      <c r="C103" s="4" cm="1">
        <f t="array" ref="C103">VLOOKUP(A103,+'[1]03012025'!$A:$N,8,0)</f>
        <v>11.14</v>
      </c>
      <c r="D103" s="5" t="s">
        <v>19</v>
      </c>
      <c r="M103" s="6">
        <v>45717</v>
      </c>
      <c r="N103" s="5" t="s">
        <v>20</v>
      </c>
      <c r="O103" t="s">
        <v>21</v>
      </c>
      <c r="Q103" t="s">
        <v>22</v>
      </c>
    </row>
    <row r="104" spans="1:17">
      <c r="A104" t="s">
        <v>124</v>
      </c>
      <c r="C104" s="4" cm="1">
        <f t="array" ref="C104">VLOOKUP(A104,+'[1]03012025'!$A:$N,8,0)</f>
        <v>2.37</v>
      </c>
      <c r="D104" s="5" t="s">
        <v>19</v>
      </c>
      <c r="M104" s="6">
        <v>45717</v>
      </c>
      <c r="N104" s="5" t="s">
        <v>20</v>
      </c>
      <c r="O104" t="s">
        <v>21</v>
      </c>
      <c r="Q104" t="s">
        <v>22</v>
      </c>
    </row>
    <row r="105" spans="1:17">
      <c r="A105" t="s">
        <v>125</v>
      </c>
      <c r="C105" s="4" cm="1">
        <f t="array" ref="C105">VLOOKUP(A105,+'[1]03012025'!$A:$N,8,0)</f>
        <v>2.87</v>
      </c>
      <c r="D105" s="5" t="s">
        <v>19</v>
      </c>
      <c r="M105" s="6">
        <v>45717</v>
      </c>
      <c r="N105" s="5" t="s">
        <v>20</v>
      </c>
      <c r="O105" t="s">
        <v>21</v>
      </c>
      <c r="Q105" t="s">
        <v>22</v>
      </c>
    </row>
    <row r="106" spans="1:17">
      <c r="A106" t="s">
        <v>126</v>
      </c>
      <c r="C106" s="4" cm="1">
        <f t="array" ref="C106">VLOOKUP(A106,+'[1]03012025'!$A:$N,8,0)</f>
        <v>2.78</v>
      </c>
      <c r="D106" s="5" t="s">
        <v>19</v>
      </c>
      <c r="M106" s="6">
        <v>45717</v>
      </c>
      <c r="N106" s="5" t="s">
        <v>20</v>
      </c>
      <c r="O106" t="s">
        <v>21</v>
      </c>
      <c r="Q106" t="s">
        <v>22</v>
      </c>
    </row>
    <row r="107" spans="1:17">
      <c r="A107" t="s">
        <v>127</v>
      </c>
      <c r="C107" s="4" cm="1">
        <f t="array" ref="C107">VLOOKUP(A107,+'[1]03012025'!$A:$N,8,0)</f>
        <v>2.78</v>
      </c>
      <c r="D107" s="5" t="s">
        <v>19</v>
      </c>
      <c r="M107" s="6">
        <v>45717</v>
      </c>
      <c r="N107" s="5" t="s">
        <v>20</v>
      </c>
      <c r="O107" t="s">
        <v>21</v>
      </c>
      <c r="Q107" t="s">
        <v>22</v>
      </c>
    </row>
    <row r="108" spans="1:17">
      <c r="A108" t="s">
        <v>128</v>
      </c>
      <c r="C108" s="4" cm="1">
        <f t="array" ref="C108">VLOOKUP(A108,+'[1]03012025'!$A:$N,8,0)</f>
        <v>2.78</v>
      </c>
      <c r="D108" s="5" t="s">
        <v>19</v>
      </c>
      <c r="M108" s="6">
        <v>45717</v>
      </c>
      <c r="N108" s="5" t="s">
        <v>20</v>
      </c>
      <c r="O108" t="s">
        <v>21</v>
      </c>
      <c r="Q108" t="s">
        <v>22</v>
      </c>
    </row>
    <row r="109" spans="1:17">
      <c r="A109" t="s">
        <v>129</v>
      </c>
      <c r="C109" s="4" cm="1">
        <f t="array" ref="C109">VLOOKUP(A109,+'[1]03012025'!$A:$N,8,0)</f>
        <v>6.89</v>
      </c>
      <c r="D109" s="5" t="s">
        <v>19</v>
      </c>
      <c r="M109" s="6">
        <v>45717</v>
      </c>
      <c r="N109" s="5" t="s">
        <v>20</v>
      </c>
      <c r="O109" t="s">
        <v>21</v>
      </c>
      <c r="Q109" t="s">
        <v>22</v>
      </c>
    </row>
    <row r="110" spans="1:17">
      <c r="A110" t="s">
        <v>130</v>
      </c>
      <c r="C110" s="4" cm="1">
        <f t="array" ref="C110">VLOOKUP(A110,+'[1]03012025'!$A:$N,8,0)</f>
        <v>12.24</v>
      </c>
      <c r="D110" s="5" t="s">
        <v>19</v>
      </c>
      <c r="M110" s="6">
        <v>45717</v>
      </c>
      <c r="N110" s="5" t="s">
        <v>20</v>
      </c>
      <c r="O110" t="s">
        <v>21</v>
      </c>
      <c r="Q110" t="s">
        <v>22</v>
      </c>
    </row>
    <row r="111" spans="1:17">
      <c r="A111" t="s">
        <v>131</v>
      </c>
      <c r="C111" s="4" cm="1">
        <f t="array" ref="C111">VLOOKUP(A111,+'[1]03012025'!$A:$N,8,0)</f>
        <v>10.210000000000001</v>
      </c>
      <c r="D111" s="5" t="s">
        <v>19</v>
      </c>
      <c r="M111" s="6">
        <v>45717</v>
      </c>
      <c r="N111" s="5" t="s">
        <v>20</v>
      </c>
      <c r="O111" t="s">
        <v>21</v>
      </c>
      <c r="Q111" t="s">
        <v>22</v>
      </c>
    </row>
    <row r="112" spans="1:17">
      <c r="A112" t="s">
        <v>132</v>
      </c>
      <c r="C112" s="4" cm="1">
        <f t="array" ref="C112">VLOOKUP(A112,+'[1]03012025'!$A:$N,8,0)</f>
        <v>7.62</v>
      </c>
      <c r="D112" s="5" t="s">
        <v>19</v>
      </c>
      <c r="M112" s="6">
        <v>45717</v>
      </c>
      <c r="N112" s="5" t="s">
        <v>20</v>
      </c>
      <c r="O112" t="s">
        <v>21</v>
      </c>
      <c r="Q112" t="s">
        <v>22</v>
      </c>
    </row>
    <row r="113" spans="1:17">
      <c r="A113" t="s">
        <v>133</v>
      </c>
      <c r="C113" s="4" cm="1">
        <f t="array" ref="C113">VLOOKUP(A113,+'[1]03012025'!$A:$N,8,0)</f>
        <v>6.15</v>
      </c>
      <c r="D113" s="5" t="s">
        <v>19</v>
      </c>
      <c r="M113" s="7">
        <v>45717</v>
      </c>
      <c r="N113" s="5" t="s">
        <v>20</v>
      </c>
      <c r="O113" t="s">
        <v>21</v>
      </c>
      <c r="Q113" t="s">
        <v>22</v>
      </c>
    </row>
    <row r="114" spans="1:17">
      <c r="A114" t="s">
        <v>134</v>
      </c>
      <c r="C114" s="4" cm="1">
        <f t="array" ref="C114">VLOOKUP(A114,+'[1]03012025'!$A:$N,8,0)</f>
        <v>21.550000000000004</v>
      </c>
      <c r="D114" s="5" t="s">
        <v>19</v>
      </c>
      <c r="M114" s="7">
        <v>45717</v>
      </c>
      <c r="N114" s="5" t="s">
        <v>20</v>
      </c>
      <c r="O114" t="s">
        <v>21</v>
      </c>
      <c r="Q114" t="s">
        <v>22</v>
      </c>
    </row>
    <row r="115" spans="1:17">
      <c r="A115" t="s">
        <v>135</v>
      </c>
      <c r="C115" s="4" cm="1">
        <f t="array" ref="C115">VLOOKUP(A115,+'[1]03012025'!$A:$N,8,0)</f>
        <v>19.52</v>
      </c>
      <c r="D115" s="5" t="s">
        <v>19</v>
      </c>
      <c r="M115" s="7">
        <v>45717</v>
      </c>
      <c r="N115" s="5" t="s">
        <v>20</v>
      </c>
      <c r="O115" t="s">
        <v>21</v>
      </c>
      <c r="Q115" t="s">
        <v>22</v>
      </c>
    </row>
    <row r="116" spans="1:17">
      <c r="A116" t="s">
        <v>136</v>
      </c>
      <c r="C116" s="4" cm="1">
        <f t="array" ref="C116">VLOOKUP(A116,+'[1]03012025'!$A:$N,8,0)</f>
        <v>16.93</v>
      </c>
      <c r="D116" s="5" t="s">
        <v>19</v>
      </c>
      <c r="M116" s="7">
        <v>45717</v>
      </c>
      <c r="N116" s="5" t="s">
        <v>20</v>
      </c>
      <c r="O116" t="s">
        <v>21</v>
      </c>
      <c r="Q116" t="s">
        <v>22</v>
      </c>
    </row>
    <row r="117" spans="1:17">
      <c r="A117" t="s">
        <v>137</v>
      </c>
      <c r="C117" s="4" cm="1">
        <f t="array" ref="C117">VLOOKUP(A117,+'[1]03012025'!$A:$N,8,0)</f>
        <v>15.459999999999999</v>
      </c>
      <c r="D117" s="5" t="s">
        <v>19</v>
      </c>
      <c r="M117" s="7">
        <v>45717</v>
      </c>
      <c r="N117" s="5" t="s">
        <v>20</v>
      </c>
      <c r="O117" t="s">
        <v>21</v>
      </c>
      <c r="Q117" t="s">
        <v>22</v>
      </c>
    </row>
    <row r="118" spans="1:17">
      <c r="A118" t="s">
        <v>138</v>
      </c>
      <c r="C118" s="4" cm="1">
        <f t="array" ref="C118">VLOOKUP(A118,+'[1]03012025'!$A:$N,8,0)</f>
        <v>0.35</v>
      </c>
      <c r="D118" s="5" t="s">
        <v>19</v>
      </c>
      <c r="M118" s="7">
        <v>45717</v>
      </c>
      <c r="N118" s="5" t="s">
        <v>20</v>
      </c>
      <c r="O118" t="s">
        <v>21</v>
      </c>
      <c r="Q118" t="s">
        <v>22</v>
      </c>
    </row>
    <row r="119" spans="1:17">
      <c r="A119" t="s">
        <v>139</v>
      </c>
      <c r="C119" s="4" cm="1">
        <f t="array" ref="C119">VLOOKUP(A119,+'[1]03012025'!$A:$N,8,0)</f>
        <v>1.25</v>
      </c>
      <c r="D119" s="5" t="s">
        <v>19</v>
      </c>
      <c r="M119" s="7">
        <v>45717</v>
      </c>
      <c r="N119" s="5" t="s">
        <v>20</v>
      </c>
      <c r="O119" t="s">
        <v>21</v>
      </c>
      <c r="Q119" t="s">
        <v>22</v>
      </c>
    </row>
    <row r="120" spans="1:17">
      <c r="A120" t="s">
        <v>140</v>
      </c>
      <c r="C120" s="4" cm="1">
        <f t="array" ref="C120">VLOOKUP(A120,+'[1]03012025'!$A:$N,8,0)</f>
        <v>1.94</v>
      </c>
      <c r="D120" s="5" t="s">
        <v>19</v>
      </c>
      <c r="M120" s="7">
        <v>45717</v>
      </c>
      <c r="N120" s="5" t="s">
        <v>20</v>
      </c>
      <c r="O120" t="s">
        <v>21</v>
      </c>
      <c r="Q120" t="s">
        <v>22</v>
      </c>
    </row>
    <row r="121" spans="1:17">
      <c r="A121" t="s">
        <v>141</v>
      </c>
      <c r="C121" s="4" cm="1">
        <f t="array" ref="C121">VLOOKUP(A121,+'[1]03012025'!$A:$N,8,0)</f>
        <v>1.5</v>
      </c>
      <c r="D121" s="5" t="s">
        <v>19</v>
      </c>
      <c r="M121" s="7">
        <v>45717</v>
      </c>
      <c r="N121" s="5" t="s">
        <v>20</v>
      </c>
      <c r="O121" t="s">
        <v>21</v>
      </c>
      <c r="Q121" t="s">
        <v>22</v>
      </c>
    </row>
    <row r="122" spans="1:17">
      <c r="A122" t="s">
        <v>142</v>
      </c>
      <c r="C122" s="4" cm="1">
        <f t="array" ref="C122">VLOOKUP(A122,+'[1]03012025'!$A:$N,8,0)</f>
        <v>1.5</v>
      </c>
      <c r="D122" s="5" t="s">
        <v>19</v>
      </c>
      <c r="M122" s="7">
        <v>45717</v>
      </c>
      <c r="N122" s="5" t="s">
        <v>20</v>
      </c>
      <c r="O122" t="s">
        <v>21</v>
      </c>
      <c r="Q122" t="s">
        <v>22</v>
      </c>
    </row>
    <row r="123" spans="1:17">
      <c r="A123" t="s">
        <v>143</v>
      </c>
      <c r="C123" s="4" cm="1">
        <f t="array" ref="C123">VLOOKUP(A123,+'[1]03012025'!$A:$N,8,0)</f>
        <v>0.93</v>
      </c>
      <c r="D123" s="5" t="s">
        <v>19</v>
      </c>
      <c r="M123" s="7">
        <v>45717</v>
      </c>
      <c r="N123" s="5" t="s">
        <v>20</v>
      </c>
      <c r="O123" t="s">
        <v>21</v>
      </c>
      <c r="Q123" t="s">
        <v>22</v>
      </c>
    </row>
    <row r="124" spans="1:17">
      <c r="A124" t="s">
        <v>144</v>
      </c>
      <c r="C124" s="4">
        <f>VLOOKUP(A124,'[1]List of All CrewMeal Specs'!$A:$K,7,0)</f>
        <v>1.19</v>
      </c>
      <c r="D124" s="5" t="s">
        <v>19</v>
      </c>
      <c r="M124" s="7">
        <v>45717</v>
      </c>
      <c r="N124" s="5" t="s">
        <v>20</v>
      </c>
      <c r="O124" t="s">
        <v>21</v>
      </c>
      <c r="Q124" t="s">
        <v>22</v>
      </c>
    </row>
    <row r="125" spans="1:17">
      <c r="A125" t="s">
        <v>145</v>
      </c>
      <c r="C125" s="4">
        <f>VLOOKUP(A125,'[1]List of All CrewMeal Specs'!$A:$K,7,0)</f>
        <v>4.3</v>
      </c>
      <c r="D125" s="5" t="s">
        <v>19</v>
      </c>
      <c r="M125" s="7">
        <v>45717</v>
      </c>
      <c r="N125" s="5" t="s">
        <v>20</v>
      </c>
      <c r="O125" t="s">
        <v>21</v>
      </c>
      <c r="Q125" t="s">
        <v>22</v>
      </c>
    </row>
    <row r="126" spans="1:17">
      <c r="A126" t="s">
        <v>146</v>
      </c>
      <c r="C126" s="4">
        <f>VLOOKUP(A126,'[1]List of All CrewMeal Specs'!$A:$K,7,0)</f>
        <v>3.86</v>
      </c>
      <c r="D126" s="5" t="s">
        <v>19</v>
      </c>
      <c r="M126" s="7">
        <v>45717</v>
      </c>
      <c r="N126" s="5" t="s">
        <v>20</v>
      </c>
      <c r="O126" t="s">
        <v>21</v>
      </c>
      <c r="Q126" t="s">
        <v>22</v>
      </c>
    </row>
    <row r="127" spans="1:17">
      <c r="A127" t="s">
        <v>147</v>
      </c>
      <c r="C127" s="4">
        <f>VLOOKUP(A127,'[1]List of All CrewMeal Specs'!$A:$K,7,0)</f>
        <v>4.9000000000000004</v>
      </c>
      <c r="D127" s="5" t="s">
        <v>19</v>
      </c>
      <c r="M127" s="7">
        <v>45717</v>
      </c>
      <c r="N127" s="5" t="s">
        <v>20</v>
      </c>
      <c r="O127" t="s">
        <v>21</v>
      </c>
      <c r="Q127" t="s">
        <v>22</v>
      </c>
    </row>
    <row r="128" spans="1:17">
      <c r="A128" t="s">
        <v>148</v>
      </c>
      <c r="C128" s="4">
        <f>VLOOKUP(A128,'[1]List of All CrewMeal Specs'!$A:$K,7,0)</f>
        <v>3.51</v>
      </c>
      <c r="D128" s="5" t="s">
        <v>19</v>
      </c>
      <c r="M128" s="7">
        <v>45717</v>
      </c>
      <c r="N128" s="5" t="s">
        <v>20</v>
      </c>
      <c r="O128" t="s">
        <v>21</v>
      </c>
      <c r="Q128" t="s">
        <v>22</v>
      </c>
    </row>
    <row r="129" spans="1:17">
      <c r="A129" t="s">
        <v>149</v>
      </c>
      <c r="C129" s="4">
        <f>VLOOKUP(A129,'[1]List of All CrewMeal Specs'!$A:$K,7,0)</f>
        <v>1.4</v>
      </c>
      <c r="D129" s="5" t="s">
        <v>19</v>
      </c>
      <c r="M129" s="7">
        <v>45717</v>
      </c>
      <c r="N129" s="5" t="s">
        <v>20</v>
      </c>
      <c r="O129" t="s">
        <v>21</v>
      </c>
      <c r="Q129" t="s">
        <v>22</v>
      </c>
    </row>
    <row r="130" spans="1:17">
      <c r="A130" t="s">
        <v>150</v>
      </c>
      <c r="C130" s="4">
        <f>VLOOKUP(A130,'[1]List of All CrewMeal Specs'!$A:$K,7,0)</f>
        <v>0.81</v>
      </c>
      <c r="D130" s="5" t="s">
        <v>19</v>
      </c>
      <c r="M130" s="7">
        <v>45717</v>
      </c>
      <c r="N130" s="5" t="s">
        <v>20</v>
      </c>
      <c r="O130" t="s">
        <v>21</v>
      </c>
      <c r="Q130" t="s">
        <v>22</v>
      </c>
    </row>
    <row r="131" spans="1:17">
      <c r="A131" t="s">
        <v>151</v>
      </c>
      <c r="C131" s="4">
        <f>VLOOKUP(A131,'[1]List of All CrewMeal Specs'!$A:$K,7,0)</f>
        <v>7.62</v>
      </c>
      <c r="D131" s="5" t="s">
        <v>19</v>
      </c>
      <c r="M131" s="7">
        <v>45717</v>
      </c>
      <c r="N131" s="5" t="s">
        <v>20</v>
      </c>
      <c r="O131" t="s">
        <v>21</v>
      </c>
      <c r="Q131" t="s">
        <v>22</v>
      </c>
    </row>
    <row r="132" spans="1:17">
      <c r="A132" t="s">
        <v>152</v>
      </c>
      <c r="C132" s="4">
        <f>VLOOKUP(A132,'[1]List of All CrewMeal Specs'!$A:$K,7,0)</f>
        <v>10.210000000000001</v>
      </c>
      <c r="D132" s="5" t="s">
        <v>19</v>
      </c>
      <c r="M132" s="7">
        <v>45717</v>
      </c>
      <c r="N132" s="5" t="s">
        <v>20</v>
      </c>
      <c r="O132" t="s">
        <v>21</v>
      </c>
      <c r="Q132" t="s">
        <v>22</v>
      </c>
    </row>
    <row r="133" spans="1:17">
      <c r="A133" t="s">
        <v>153</v>
      </c>
      <c r="C133" s="4">
        <f>VLOOKUP(A133,'[1]List of All CrewMeal Specs'!$A:$K,7,0)</f>
        <v>1.4</v>
      </c>
      <c r="D133" s="5" t="s">
        <v>19</v>
      </c>
      <c r="M133" s="7">
        <v>45717</v>
      </c>
      <c r="N133" s="5" t="s">
        <v>20</v>
      </c>
      <c r="O133" t="s">
        <v>21</v>
      </c>
      <c r="Q133" t="s">
        <v>22</v>
      </c>
    </row>
    <row r="134" spans="1:17">
      <c r="A134" t="s">
        <v>154</v>
      </c>
      <c r="C134" s="4">
        <f>VLOOKUP(A134,'[1]List of All CrewMeal Specs'!$A:$K,7,0)</f>
        <v>0.81</v>
      </c>
      <c r="D134" s="5" t="s">
        <v>19</v>
      </c>
      <c r="M134" s="7">
        <v>45717</v>
      </c>
      <c r="N134" s="5" t="s">
        <v>20</v>
      </c>
      <c r="O134" t="s">
        <v>21</v>
      </c>
      <c r="Q134" t="s">
        <v>22</v>
      </c>
    </row>
    <row r="135" spans="1:17">
      <c r="A135" t="s">
        <v>155</v>
      </c>
      <c r="C135" s="4">
        <f>VLOOKUP(A135,'[1]List of All CrewMeal Specs'!$A:$K,7,0)</f>
        <v>7.62</v>
      </c>
      <c r="D135" s="5" t="s">
        <v>19</v>
      </c>
      <c r="M135" s="7">
        <v>45717</v>
      </c>
      <c r="N135" s="5" t="s">
        <v>20</v>
      </c>
      <c r="O135" t="s">
        <v>21</v>
      </c>
      <c r="Q135" t="s">
        <v>22</v>
      </c>
    </row>
    <row r="136" spans="1:17">
      <c r="A136" t="s">
        <v>156</v>
      </c>
      <c r="C136" s="4">
        <f>VLOOKUP(A136,'[1]List of All CrewMeal Specs'!$A:$K,7,0)</f>
        <v>10.210000000000001</v>
      </c>
      <c r="D136" s="5" t="s">
        <v>19</v>
      </c>
      <c r="M136" s="7">
        <v>45717</v>
      </c>
      <c r="N136" s="5" t="s">
        <v>20</v>
      </c>
      <c r="O136" t="s">
        <v>21</v>
      </c>
      <c r="Q136" t="s">
        <v>22</v>
      </c>
    </row>
    <row r="137" spans="1:17">
      <c r="A137" t="s">
        <v>157</v>
      </c>
      <c r="C137" s="4">
        <f>VLOOKUP(A137,'[1]List of All CrewMeal Specs'!$A:$K,7,0)</f>
        <v>4.1900000000000004</v>
      </c>
      <c r="D137" s="5" t="s">
        <v>19</v>
      </c>
      <c r="M137" s="7">
        <v>45717</v>
      </c>
      <c r="N137" s="5" t="s">
        <v>20</v>
      </c>
      <c r="O137" t="s">
        <v>21</v>
      </c>
      <c r="Q137" t="s">
        <v>22</v>
      </c>
    </row>
    <row r="138" spans="1:17">
      <c r="A138" t="s">
        <v>158</v>
      </c>
      <c r="C138" s="4">
        <f>VLOOKUP(A138,'[1]List of All CrewMeal Specs'!$A:$K,7,0)</f>
        <v>5.57</v>
      </c>
      <c r="D138" s="5" t="s">
        <v>19</v>
      </c>
      <c r="M138" s="7">
        <v>45717</v>
      </c>
      <c r="N138" s="5" t="s">
        <v>20</v>
      </c>
      <c r="O138" t="s">
        <v>21</v>
      </c>
      <c r="Q138" t="s">
        <v>22</v>
      </c>
    </row>
    <row r="139" spans="1:17">
      <c r="A139" t="s">
        <v>159</v>
      </c>
      <c r="C139" s="4">
        <f>VLOOKUP(A139,'[1]List of All CrewMeal Specs'!$A:$K,7,0)</f>
        <v>4.1900000000000004</v>
      </c>
      <c r="D139" s="5" t="s">
        <v>19</v>
      </c>
      <c r="M139" s="7">
        <v>45717</v>
      </c>
      <c r="N139" s="5" t="s">
        <v>20</v>
      </c>
      <c r="O139" t="s">
        <v>21</v>
      </c>
      <c r="Q139" t="s">
        <v>22</v>
      </c>
    </row>
    <row r="140" spans="1:17">
      <c r="A140" t="s">
        <v>160</v>
      </c>
      <c r="C140" s="4">
        <f>VLOOKUP(A140,'[1]List of All CrewMeal Specs'!$A:$K,7,0)</f>
        <v>5.57</v>
      </c>
      <c r="D140" s="5" t="s">
        <v>19</v>
      </c>
      <c r="M140" s="7">
        <v>45717</v>
      </c>
      <c r="N140" s="5" t="s">
        <v>20</v>
      </c>
      <c r="O140" t="s">
        <v>21</v>
      </c>
      <c r="Q140" t="s">
        <v>22</v>
      </c>
    </row>
    <row r="141" spans="1:17">
      <c r="A141" t="s">
        <v>161</v>
      </c>
      <c r="C141" s="4">
        <f>VLOOKUP(A141,'[1]List of All CrewMeal Specs'!$A:$K,7,0)</f>
        <v>17.16</v>
      </c>
      <c r="D141" s="5" t="s">
        <v>19</v>
      </c>
      <c r="M141" s="7">
        <v>45717</v>
      </c>
      <c r="N141" s="5" t="s">
        <v>20</v>
      </c>
      <c r="O141" t="s">
        <v>21</v>
      </c>
      <c r="Q141" t="s">
        <v>22</v>
      </c>
    </row>
    <row r="142" spans="1:17">
      <c r="A142" t="s">
        <v>162</v>
      </c>
      <c r="C142" s="4">
        <f>VLOOKUP(A142,'[1]List of All CrewMeal Specs'!$A:$K,7,0)</f>
        <v>17.16</v>
      </c>
      <c r="D142" s="5" t="s">
        <v>19</v>
      </c>
      <c r="M142" s="7">
        <v>45717</v>
      </c>
      <c r="N142" s="5" t="s">
        <v>20</v>
      </c>
      <c r="O142" t="s">
        <v>21</v>
      </c>
      <c r="Q142" t="s">
        <v>22</v>
      </c>
    </row>
    <row r="143" spans="1:17">
      <c r="A143" t="s">
        <v>163</v>
      </c>
      <c r="C143" s="4">
        <f>VLOOKUP(A143,'[1]List of All CrewMeal Specs'!$A:$K,7,0)</f>
        <v>17.16</v>
      </c>
      <c r="D143" s="5" t="s">
        <v>19</v>
      </c>
      <c r="M143" s="7">
        <v>45717</v>
      </c>
      <c r="N143" s="5" t="s">
        <v>20</v>
      </c>
      <c r="O143" t="s">
        <v>21</v>
      </c>
      <c r="Q143" t="s">
        <v>22</v>
      </c>
    </row>
    <row r="144" spans="1:17">
      <c r="A144" t="s">
        <v>164</v>
      </c>
      <c r="C144" s="4">
        <f>VLOOKUP(A144,'[1]List of All CrewMeal Specs'!$A:$K,7,0)</f>
        <v>17.16</v>
      </c>
      <c r="D144" s="5" t="s">
        <v>19</v>
      </c>
      <c r="M144" s="7">
        <v>45717</v>
      </c>
      <c r="N144" s="5" t="s">
        <v>20</v>
      </c>
      <c r="O144" t="s">
        <v>21</v>
      </c>
      <c r="Q144" t="s">
        <v>22</v>
      </c>
    </row>
    <row r="145" spans="1:17">
      <c r="A145" t="s">
        <v>165</v>
      </c>
      <c r="C145" s="4">
        <f>VLOOKUP(A145,'[1]List of All CrewMeal Specs'!$A:$K,7,0)</f>
        <v>17.16</v>
      </c>
      <c r="D145" s="5" t="s">
        <v>19</v>
      </c>
      <c r="M145" s="7">
        <v>45717</v>
      </c>
      <c r="N145" s="5" t="s">
        <v>20</v>
      </c>
      <c r="O145" t="s">
        <v>21</v>
      </c>
      <c r="Q145" t="s">
        <v>22</v>
      </c>
    </row>
    <row r="146" spans="1:17">
      <c r="A146" t="s">
        <v>166</v>
      </c>
      <c r="C146" s="4">
        <f>VLOOKUP(A146,'[1]List of All CrewMeal Specs'!$A:$K,7,0)</f>
        <v>17.16</v>
      </c>
      <c r="D146" s="5" t="s">
        <v>19</v>
      </c>
      <c r="M146" s="7">
        <v>45717</v>
      </c>
      <c r="N146" s="5" t="s">
        <v>20</v>
      </c>
      <c r="O146" t="s">
        <v>21</v>
      </c>
      <c r="Q146" t="s">
        <v>22</v>
      </c>
    </row>
    <row r="147" spans="1:17">
      <c r="A147" t="s">
        <v>167</v>
      </c>
      <c r="C147" s="4">
        <f>VLOOKUP(A147,'[1]List of All CrewMeal Specs'!$A:$K,7,0)</f>
        <v>7.8</v>
      </c>
      <c r="D147" s="5" t="s">
        <v>19</v>
      </c>
      <c r="M147" s="7">
        <v>45717</v>
      </c>
      <c r="N147" s="5" t="s">
        <v>20</v>
      </c>
      <c r="O147" t="s">
        <v>21</v>
      </c>
      <c r="Q147" t="s">
        <v>22</v>
      </c>
    </row>
    <row r="148" spans="1:17">
      <c r="A148" t="s">
        <v>168</v>
      </c>
      <c r="C148" s="4">
        <f>VLOOKUP(A148,'[1]List of All CrewMeal Specs'!$A:$K,7,0)</f>
        <v>7.8</v>
      </c>
      <c r="D148" s="5" t="s">
        <v>19</v>
      </c>
      <c r="M148" s="7">
        <v>45717</v>
      </c>
      <c r="N148" s="5" t="s">
        <v>20</v>
      </c>
      <c r="O148" t="s">
        <v>21</v>
      </c>
      <c r="Q148" t="s">
        <v>22</v>
      </c>
    </row>
    <row r="149" spans="1:17">
      <c r="A149" t="s">
        <v>169</v>
      </c>
      <c r="C149" s="4">
        <f>VLOOKUP(A149,'[1]List of All CrewMeal Specs'!$A:$K,7,0)</f>
        <v>7.8</v>
      </c>
      <c r="D149" s="5" t="s">
        <v>19</v>
      </c>
      <c r="M149" s="7">
        <v>45717</v>
      </c>
      <c r="N149" s="5" t="s">
        <v>20</v>
      </c>
      <c r="O149" t="s">
        <v>21</v>
      </c>
      <c r="Q149" t="s">
        <v>22</v>
      </c>
    </row>
    <row r="150" spans="1:17">
      <c r="A150" t="s">
        <v>170</v>
      </c>
      <c r="C150" s="4">
        <f>VLOOKUP(A150,'[1]List of All CrewMeal Specs'!$A:$K,7,0)</f>
        <v>7.8</v>
      </c>
      <c r="D150" s="5" t="s">
        <v>19</v>
      </c>
      <c r="M150" s="7">
        <v>45717</v>
      </c>
      <c r="N150" s="5" t="s">
        <v>20</v>
      </c>
      <c r="O150" t="s">
        <v>21</v>
      </c>
      <c r="Q150" t="s">
        <v>22</v>
      </c>
    </row>
    <row r="151" spans="1:17">
      <c r="A151" t="s">
        <v>171</v>
      </c>
      <c r="C151" s="4">
        <f>VLOOKUP(A151,'[1]List of All CrewMeal Specs'!$A:$K,7,0)</f>
        <v>7.8</v>
      </c>
      <c r="D151" s="5" t="s">
        <v>19</v>
      </c>
      <c r="M151" s="7">
        <v>45717</v>
      </c>
      <c r="N151" s="5" t="s">
        <v>20</v>
      </c>
      <c r="O151" t="s">
        <v>21</v>
      </c>
      <c r="Q151" t="s">
        <v>22</v>
      </c>
    </row>
    <row r="152" spans="1:17">
      <c r="A152" t="s">
        <v>172</v>
      </c>
      <c r="C152" s="4">
        <f>VLOOKUP(A152,'[1]List of All CrewMeal Specs'!$A:$K,7,0)</f>
        <v>7.8</v>
      </c>
      <c r="D152" s="5" t="s">
        <v>19</v>
      </c>
      <c r="M152" s="7">
        <v>45717</v>
      </c>
      <c r="N152" s="5" t="s">
        <v>20</v>
      </c>
      <c r="O152" t="s">
        <v>21</v>
      </c>
      <c r="Q152" t="s">
        <v>22</v>
      </c>
    </row>
    <row r="153" spans="1:17">
      <c r="A153" t="s">
        <v>173</v>
      </c>
      <c r="C153" s="4">
        <f>VLOOKUP(A153,'[1]List of All CrewMeal Specs'!$A:$K,7,0)</f>
        <v>6.24</v>
      </c>
      <c r="D153" s="5" t="s">
        <v>19</v>
      </c>
      <c r="M153" s="7">
        <v>45717</v>
      </c>
      <c r="N153" s="5" t="s">
        <v>20</v>
      </c>
      <c r="O153" t="s">
        <v>21</v>
      </c>
      <c r="Q153" t="s">
        <v>22</v>
      </c>
    </row>
    <row r="154" spans="1:17">
      <c r="A154" t="s">
        <v>174</v>
      </c>
      <c r="C154" s="4">
        <f>VLOOKUP(A154,'[1]List of All CrewMeal Specs'!$A:$K,7,0)</f>
        <v>6.24</v>
      </c>
      <c r="D154" s="5" t="s">
        <v>19</v>
      </c>
      <c r="M154" s="7">
        <v>45717</v>
      </c>
      <c r="N154" s="5" t="s">
        <v>20</v>
      </c>
      <c r="O154" t="s">
        <v>21</v>
      </c>
      <c r="Q154" t="s">
        <v>22</v>
      </c>
    </row>
    <row r="155" spans="1:17">
      <c r="A155" t="s">
        <v>175</v>
      </c>
      <c r="C155" s="4">
        <f>VLOOKUP(A155,'[1]List of All CrewMeal Specs'!$A:$K,7,0)</f>
        <v>6.24</v>
      </c>
      <c r="D155" s="5" t="s">
        <v>19</v>
      </c>
      <c r="M155" s="7">
        <v>45717</v>
      </c>
      <c r="N155" s="5" t="s">
        <v>20</v>
      </c>
      <c r="O155" t="s">
        <v>21</v>
      </c>
      <c r="Q155" t="s">
        <v>22</v>
      </c>
    </row>
    <row r="156" spans="1:17">
      <c r="A156" t="s">
        <v>176</v>
      </c>
      <c r="C156" s="4">
        <f>VLOOKUP(A156,'[1]List of All CrewMeal Specs'!$A:$K,7,0)</f>
        <v>5.27</v>
      </c>
      <c r="D156" s="5" t="s">
        <v>19</v>
      </c>
      <c r="M156" s="7">
        <v>45717</v>
      </c>
      <c r="N156" s="5" t="s">
        <v>20</v>
      </c>
      <c r="O156" t="s">
        <v>21</v>
      </c>
      <c r="Q156" t="s">
        <v>22</v>
      </c>
    </row>
    <row r="157" spans="1:17">
      <c r="A157" t="s">
        <v>177</v>
      </c>
      <c r="C157" s="4">
        <f>VLOOKUP(A157,'[1]List of All CrewMeal Specs'!$A:$K,7,0)</f>
        <v>5.27</v>
      </c>
      <c r="D157" s="5" t="s">
        <v>19</v>
      </c>
      <c r="M157" s="7">
        <v>45717</v>
      </c>
      <c r="N157" s="5" t="s">
        <v>20</v>
      </c>
      <c r="O157" t="s">
        <v>21</v>
      </c>
      <c r="Q157" t="s">
        <v>22</v>
      </c>
    </row>
    <row r="158" spans="1:17">
      <c r="A158" t="s">
        <v>178</v>
      </c>
      <c r="C158" s="4">
        <f>VLOOKUP(A158,'[1]List of All CrewMeal Specs'!$A:$K,7,0)</f>
        <v>5.27</v>
      </c>
      <c r="D158" s="5" t="s">
        <v>19</v>
      </c>
      <c r="M158" s="7">
        <v>45717</v>
      </c>
      <c r="N158" s="5" t="s">
        <v>20</v>
      </c>
      <c r="O158" t="s">
        <v>21</v>
      </c>
      <c r="Q158" t="s">
        <v>22</v>
      </c>
    </row>
    <row r="159" spans="1:17">
      <c r="A159" t="s">
        <v>179</v>
      </c>
      <c r="C159" s="4">
        <f>VLOOKUP(A159,'[1]List of All CrewMeal Specs'!$A:$K,7,0)</f>
        <v>0.35</v>
      </c>
      <c r="D159" s="5" t="s">
        <v>19</v>
      </c>
      <c r="M159" s="7">
        <v>45717</v>
      </c>
      <c r="N159" s="5" t="s">
        <v>20</v>
      </c>
      <c r="O159" t="s">
        <v>21</v>
      </c>
      <c r="Q159" t="s">
        <v>22</v>
      </c>
    </row>
    <row r="160" spans="1:17">
      <c r="A160" t="s">
        <v>180</v>
      </c>
      <c r="C160" s="4">
        <f>VLOOKUP(A160,'[1]List of All CrewMeal Specs'!$A:$K,7,0)</f>
        <v>1.5</v>
      </c>
      <c r="D160" s="5" t="s">
        <v>19</v>
      </c>
      <c r="M160" s="7">
        <v>45717</v>
      </c>
      <c r="N160" s="5" t="s">
        <v>20</v>
      </c>
      <c r="O160" t="s">
        <v>21</v>
      </c>
      <c r="Q160" t="s">
        <v>22</v>
      </c>
    </row>
    <row r="161" spans="1:17">
      <c r="A161" t="s">
        <v>181</v>
      </c>
      <c r="C161" s="4">
        <f>VLOOKUP(A161,'[1]List of All CrewMeal Specs'!$A:$K,7,0)</f>
        <v>0.35</v>
      </c>
      <c r="D161" s="5" t="s">
        <v>19</v>
      </c>
      <c r="M161" s="7">
        <v>45717</v>
      </c>
      <c r="N161" s="5" t="s">
        <v>20</v>
      </c>
      <c r="O161" t="s">
        <v>21</v>
      </c>
      <c r="Q161" t="s">
        <v>22</v>
      </c>
    </row>
    <row r="162" spans="1:17">
      <c r="A162" t="s">
        <v>182</v>
      </c>
      <c r="C162" s="4">
        <f>VLOOKUP(A162,'[1]List of All CrewMeal Specs'!$A:$K,7,0)</f>
        <v>1.5</v>
      </c>
      <c r="D162" s="5" t="s">
        <v>19</v>
      </c>
      <c r="M162" s="7">
        <v>45717</v>
      </c>
      <c r="N162" s="5" t="s">
        <v>20</v>
      </c>
      <c r="O162" t="s">
        <v>21</v>
      </c>
      <c r="Q162" t="s">
        <v>22</v>
      </c>
    </row>
  </sheetData>
  <phoneticPr fontId="1" type="noConversion"/>
  <conditionalFormatting sqref="A1:A1048576">
    <cfRule type="duplicateValues" dxfId="0" priority="1"/>
  </conditionalFormatting>
  <pageMargins left="0.75" right="0.75" top="1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8E9E9CA5-ED88-468A-9520-1CB5B47E0D3E}"/>
</file>

<file path=customXml/itemProps2.xml><?xml version="1.0" encoding="utf-8"?>
<ds:datastoreItem xmlns:ds="http://schemas.openxmlformats.org/officeDocument/2006/customXml" ds:itemID="{045C55E7-EE6E-45AE-90D5-5C2B9F269F73}"/>
</file>

<file path=customXml/itemProps3.xml><?xml version="1.0" encoding="utf-8"?>
<ds:datastoreItem xmlns:ds="http://schemas.openxmlformats.org/officeDocument/2006/customXml" ds:itemID="{D9222B4C-9D88-419E-A029-870CA24B1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Gate Gourmet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Rodney Duty</dc:creator>
  <cp:keywords/>
  <dc:description/>
  <cp:lastModifiedBy>Kendell Gill</cp:lastModifiedBy>
  <cp:revision/>
  <dcterms:created xsi:type="dcterms:W3CDTF">2010-02-02T19:26:14Z</dcterms:created>
  <dcterms:modified xsi:type="dcterms:W3CDTF">2025-04-21T14:17:00Z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543c9c-c477-4599-9a17-3a5b9dbdff65_Enabled">
    <vt:lpwstr>True</vt:lpwstr>
  </property>
  <property fmtid="{D5CDD505-2E9C-101B-9397-08002B2CF9AE}" pid="3" name="MSIP_Label_0c543c9c-c477-4599-9a17-3a5b9dbdff65_SiteId">
    <vt:lpwstr>cc6b2eea-c864-4839-85f5-94736facc3be</vt:lpwstr>
  </property>
  <property fmtid="{D5CDD505-2E9C-101B-9397-08002B2CF9AE}" pid="4" name="MSIP_Label_0c543c9c-c477-4599-9a17-3a5b9dbdff65_Owner">
    <vt:lpwstr>SouravNaredra@CPS-L-101708</vt:lpwstr>
  </property>
  <property fmtid="{D5CDD505-2E9C-101B-9397-08002B2CF9AE}" pid="5" name="MSIP_Label_0c543c9c-c477-4599-9a17-3a5b9dbdff65_SetDate">
    <vt:lpwstr>2022-10-27T18:03:10.5594573Z</vt:lpwstr>
  </property>
  <property fmtid="{D5CDD505-2E9C-101B-9397-08002B2CF9AE}" pid="6" name="MSIP_Label_0c543c9c-c477-4599-9a17-3a5b9dbdff65_Name">
    <vt:lpwstr>Public</vt:lpwstr>
  </property>
  <property fmtid="{D5CDD505-2E9C-101B-9397-08002B2CF9AE}" pid="7" name="MSIP_Label_0c543c9c-c477-4599-9a17-3a5b9dbdff65_Application">
    <vt:lpwstr>Microsoft Azure Information Protection</vt:lpwstr>
  </property>
  <property fmtid="{D5CDD505-2E9C-101B-9397-08002B2CF9AE}" pid="8" name="MSIP_Label_0c543c9c-c477-4599-9a17-3a5b9dbdff65_ActionId">
    <vt:lpwstr>2f1cde1d-ac0a-4370-9e29-f55263ad412b</vt:lpwstr>
  </property>
  <property fmtid="{D5CDD505-2E9C-101B-9397-08002B2CF9AE}" pid="9" name="MSIP_Label_0c543c9c-c477-4599-9a17-3a5b9dbdff65_Extended_MSFT_Method">
    <vt:lpwstr>Automatic</vt:lpwstr>
  </property>
  <property fmtid="{D5CDD505-2E9C-101B-9397-08002B2CF9AE}" pid="10" name="Sensitivity">
    <vt:lpwstr>Public</vt:lpwstr>
  </property>
  <property fmtid="{D5CDD505-2E9C-101B-9397-08002B2CF9AE}" pid="11" name="ContentTypeId">
    <vt:lpwstr>0x0101000B5DB4063CA6254CA7AE1C6AB1A0E203</vt:lpwstr>
  </property>
  <property fmtid="{D5CDD505-2E9C-101B-9397-08002B2CF9AE}" pid="12" name="MediaServiceImageTags">
    <vt:lpwstr/>
  </property>
</Properties>
</file>