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ldberggroup-my.sharepoint.com/personal/chuynh_goldbergsgroup_com/Documents/Documents/Sulivan rd/Batch Formulas Sulivan Rd/Commissary Joseph/"/>
    </mc:Choice>
  </mc:AlternateContent>
  <xr:revisionPtr revIDLastSave="47" documentId="8_{9762D380-319F-4A2C-A9D6-72C6A764178C}" xr6:coauthVersionLast="47" xr6:coauthVersionMax="47" xr10:uidLastSave="{E64B596D-C171-40F5-B104-E2BBCCFFF186}"/>
  <bookViews>
    <workbookView xWindow="10140" yWindow="0" windowWidth="10455" windowHeight="10905" xr2:uid="{9D773142-25FF-402D-A059-87F5C56EFE7F}"/>
  </bookViews>
  <sheets>
    <sheet name="Shitake Sticky Rice" sheetId="5" r:id="rId1"/>
    <sheet name="Cooked Rice " sheetId="8" r:id="rId2"/>
    <sheet name="Cooked Shitake" sheetId="7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8" l="1"/>
  <c r="F9" i="8" s="1"/>
  <c r="G9" i="8" s="1"/>
  <c r="F8" i="8"/>
  <c r="G8" i="8" s="1"/>
  <c r="F7" i="8" l="1"/>
  <c r="G7" i="8" l="1"/>
  <c r="G10" i="8" s="1"/>
  <c r="G11" i="8" s="1"/>
  <c r="F10" i="8"/>
  <c r="D23" i="7"/>
  <c r="F22" i="7" s="1"/>
  <c r="G22" i="7" s="1"/>
  <c r="F21" i="7"/>
  <c r="G21" i="7" s="1"/>
  <c r="F19" i="7"/>
  <c r="G19" i="7" s="1"/>
  <c r="F17" i="7"/>
  <c r="G17" i="7" s="1"/>
  <c r="F15" i="7"/>
  <c r="G15" i="7" s="1"/>
  <c r="F13" i="7"/>
  <c r="G13" i="7" s="1"/>
  <c r="F11" i="7"/>
  <c r="G11" i="7" s="1"/>
  <c r="F9" i="7"/>
  <c r="G9" i="7" s="1"/>
  <c r="F7" i="7" l="1"/>
  <c r="F8" i="7"/>
  <c r="G8" i="7" s="1"/>
  <c r="F10" i="7"/>
  <c r="G10" i="7" s="1"/>
  <c r="F12" i="7"/>
  <c r="G12" i="7" s="1"/>
  <c r="F14" i="7"/>
  <c r="G14" i="7" s="1"/>
  <c r="F16" i="7"/>
  <c r="G16" i="7" s="1"/>
  <c r="F18" i="7"/>
  <c r="G18" i="7" s="1"/>
  <c r="F20" i="7"/>
  <c r="G20" i="7" s="1"/>
  <c r="G7" i="7" l="1"/>
  <c r="G23" i="7" s="1"/>
  <c r="G24" i="7" s="1"/>
  <c r="F23" i="7"/>
  <c r="D24" i="5" l="1"/>
  <c r="F21" i="5" l="1"/>
  <c r="G21" i="5" s="1"/>
  <c r="F10" i="5"/>
  <c r="F9" i="5"/>
  <c r="G9" i="5" s="1"/>
  <c r="F12" i="5"/>
  <c r="G12" i="5" s="1"/>
  <c r="F19" i="5"/>
  <c r="G19" i="5" s="1"/>
  <c r="G10" i="5"/>
  <c r="F13" i="5"/>
  <c r="G13" i="5" s="1"/>
  <c r="F16" i="5"/>
  <c r="G16" i="5" s="1"/>
  <c r="F8" i="5"/>
  <c r="G8" i="5" s="1"/>
  <c r="F15" i="5"/>
  <c r="G15" i="5" s="1"/>
  <c r="F18" i="5"/>
  <c r="G18" i="5" s="1"/>
  <c r="F7" i="5"/>
  <c r="G7" i="5" s="1"/>
  <c r="F11" i="5"/>
  <c r="G11" i="5" s="1"/>
  <c r="F14" i="5"/>
  <c r="G14" i="5" s="1"/>
  <c r="F17" i="5"/>
  <c r="G17" i="5" s="1"/>
  <c r="F22" i="5"/>
  <c r="G22" i="5" s="1"/>
  <c r="F20" i="5"/>
  <c r="G20" i="5" s="1"/>
  <c r="F23" i="5"/>
  <c r="G23" i="5" s="1"/>
  <c r="G24" i="5" l="1"/>
  <c r="G25" i="5" s="1"/>
  <c r="F24" i="5"/>
</calcChain>
</file>

<file path=xl/sharedStrings.xml><?xml version="1.0" encoding="utf-8"?>
<sst xmlns="http://schemas.openxmlformats.org/spreadsheetml/2006/main" count="142" uniqueCount="53">
  <si>
    <t>Formula Name:</t>
  </si>
  <si>
    <t>R&amp;D ID Number:</t>
  </si>
  <si>
    <t>Version #:</t>
  </si>
  <si>
    <t>Batch Number:</t>
  </si>
  <si>
    <t>Item Number</t>
  </si>
  <si>
    <t>Description</t>
  </si>
  <si>
    <t>Original Fromula</t>
  </si>
  <si>
    <t>UOM</t>
  </si>
  <si>
    <t>%</t>
  </si>
  <si>
    <t>Desired (lb)</t>
  </si>
  <si>
    <t>Lot Code</t>
  </si>
  <si>
    <t>Notes</t>
  </si>
  <si>
    <t>Total Sample Formula Weight:</t>
  </si>
  <si>
    <t>Total Weight</t>
  </si>
  <si>
    <t>Procedure</t>
  </si>
  <si>
    <t>Batch Formula Instructions</t>
  </si>
  <si>
    <t xml:space="preserve">By signing this sheet the operator is confirming that all information recorded is accurate and that all steps and procedures have been followed as listed. </t>
  </si>
  <si>
    <t>Operator Signature</t>
  </si>
  <si>
    <t>Date</t>
  </si>
  <si>
    <t xml:space="preserve">                    Reviewed By</t>
  </si>
  <si>
    <t xml:space="preserve">                                          Date</t>
  </si>
  <si>
    <t>Desired QTY (lb):</t>
  </si>
  <si>
    <t>Yield Loss:</t>
  </si>
  <si>
    <t>lb</t>
  </si>
  <si>
    <t>Weight After Yield Loss</t>
  </si>
  <si>
    <t>Cooked Shitake</t>
  </si>
  <si>
    <t>Slice  Shitake Mushrooms and toss together with oil and seasonings</t>
  </si>
  <si>
    <t>Roast at 400F for 8- 12 Minutes</t>
  </si>
  <si>
    <t xml:space="preserve">Cool and Store below 40f </t>
  </si>
  <si>
    <t>Tawara Rice</t>
  </si>
  <si>
    <t xml:space="preserve">Japanese Short Grain Rice </t>
  </si>
  <si>
    <t xml:space="preserve">Yamasho - Tamaki Gold </t>
  </si>
  <si>
    <t>Water</t>
  </si>
  <si>
    <t xml:space="preserve">QA to sign off on Batch Sheet to make sure all measurements are correct. </t>
  </si>
  <si>
    <t xml:space="preserve">Place rice cooker on scale and weigh out rice. Tare scale to keep original weight of cooker and rice. </t>
  </si>
  <si>
    <t xml:space="preserve">Take to the sink and rinse rice thoroughly, until water runs clear. </t>
  </si>
  <si>
    <t xml:space="preserve">Place back on the scale and fill with remaining water to equal the total amount needed for the recipe. </t>
  </si>
  <si>
    <t xml:space="preserve">Tun on rice cooker. Once cooked, fluff rice and let sit for 10 minutes. </t>
  </si>
  <si>
    <t xml:space="preserve">Remove from cooker and lay out on sheet pans to cool. </t>
  </si>
  <si>
    <t>Chill to 70 degrees in 2 hours and to 41 degrees or lower in 4 or less hours.</t>
  </si>
  <si>
    <t xml:space="preserve">Label and pack into bags, making sure it is kept at 41 degrees or less. </t>
  </si>
  <si>
    <t>Shitake Sticky Rice</t>
  </si>
  <si>
    <t>Cooked JPN Short Grain Rice</t>
  </si>
  <si>
    <t>C208</t>
  </si>
  <si>
    <t>MUSHROOM SHITAKE</t>
  </si>
  <si>
    <t>D089</t>
  </si>
  <si>
    <t>SALT EVAPORATED</t>
  </si>
  <si>
    <t>D321</t>
  </si>
  <si>
    <t>SPICE PEPPER BLACK FINE L</t>
  </si>
  <si>
    <t>F065</t>
  </si>
  <si>
    <t>SCALLIONS ICELESS</t>
  </si>
  <si>
    <t>D074</t>
  </si>
  <si>
    <t>OIL SESAME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</si>
</sst>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7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 applyProtection="1">
      <alignment horizontal="left"/>
      <protection locked="0"/>
    </xf>
    <xf numFmtId="0" fontId="2" fillId="0" borderId="0" xfId="0" applyFont="1"/>
    <xf numFmtId="0" fontId="0" fillId="3" borderId="0" xfId="0" applyFill="1" applyAlignment="1" applyProtection="1">
      <alignment horizontal="center"/>
      <protection locked="0"/>
    </xf>
    <xf numFmtId="0" fontId="2" fillId="0" borderId="4" xfId="0" applyFont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10" fontId="0" fillId="0" borderId="4" xfId="2" applyNumberFormat="1" applyFont="1" applyBorder="1" applyAlignment="1">
      <alignment horizontal="center"/>
    </xf>
    <xf numFmtId="2" fontId="0" fillId="3" borderId="4" xfId="1" applyNumberFormat="1" applyFont="1" applyFill="1" applyBorder="1" applyAlignment="1">
      <alignment horizontal="center"/>
    </xf>
    <xf numFmtId="0" fontId="0" fillId="0" borderId="4" xfId="0" applyBorder="1" applyProtection="1">
      <protection locked="0"/>
    </xf>
    <xf numFmtId="0" fontId="2" fillId="0" borderId="0" xfId="0" applyFont="1" applyAlignment="1">
      <alignment horizontal="right"/>
    </xf>
    <xf numFmtId="10" fontId="2" fillId="0" borderId="0" xfId="0" applyNumberFormat="1" applyFont="1" applyAlignment="1">
      <alignment horizontal="center"/>
    </xf>
    <xf numFmtId="0" fontId="0" fillId="4" borderId="0" xfId="0" applyFill="1"/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9" fontId="0" fillId="6" borderId="0" xfId="2" applyFont="1" applyFill="1" applyAlignment="1">
      <alignment horizontal="center"/>
    </xf>
    <xf numFmtId="2" fontId="0" fillId="4" borderId="0" xfId="0" applyNumberFormat="1" applyFill="1" applyAlignment="1">
      <alignment horizontal="center"/>
    </xf>
    <xf numFmtId="2" fontId="0" fillId="3" borderId="4" xfId="3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 applyProtection="1">
      <alignment horizontal="left"/>
      <protection locked="0"/>
    </xf>
    <xf numFmtId="0" fontId="4" fillId="0" borderId="0" xfId="0" applyFont="1" applyAlignment="1">
      <alignment horizontal="center"/>
    </xf>
    <xf numFmtId="0" fontId="5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5" fillId="3" borderId="0" xfId="0" applyFont="1" applyFill="1" applyAlignment="1" applyProtection="1">
      <alignment horizontal="center"/>
      <protection locked="0"/>
    </xf>
    <xf numFmtId="9" fontId="5" fillId="6" borderId="0" xfId="2" applyFont="1" applyFill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4" xfId="0" applyFont="1" applyBorder="1"/>
    <xf numFmtId="0" fontId="5" fillId="0" borderId="4" xfId="0" applyFont="1" applyBorder="1" applyAlignment="1">
      <alignment horizontal="center"/>
    </xf>
    <xf numFmtId="10" fontId="5" fillId="0" borderId="4" xfId="2" applyNumberFormat="1" applyFont="1" applyBorder="1" applyAlignment="1">
      <alignment horizontal="center"/>
    </xf>
    <xf numFmtId="2" fontId="5" fillId="3" borderId="4" xfId="1" applyNumberFormat="1" applyFont="1" applyFill="1" applyBorder="1" applyAlignment="1">
      <alignment horizontal="center"/>
    </xf>
    <xf numFmtId="0" fontId="5" fillId="0" borderId="4" xfId="0" applyFont="1" applyBorder="1" applyProtection="1">
      <protection locked="0"/>
    </xf>
    <xf numFmtId="0" fontId="4" fillId="0" borderId="0" xfId="0" applyFont="1" applyAlignment="1">
      <alignment horizontal="right"/>
    </xf>
    <xf numFmtId="10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9" fontId="6" fillId="4" borderId="0" xfId="2" applyFont="1" applyFill="1" applyAlignment="1">
      <alignment horizontal="center"/>
    </xf>
    <xf numFmtId="2" fontId="5" fillId="4" borderId="0" xfId="0" applyNumberFormat="1" applyFont="1" applyFill="1" applyAlignment="1">
      <alignment horizontal="center"/>
    </xf>
    <xf numFmtId="0" fontId="4" fillId="0" borderId="0" xfId="0" applyFont="1" applyAlignment="1">
      <alignment horizontal="left"/>
    </xf>
    <xf numFmtId="0" fontId="0" fillId="0" borderId="4" xfId="0" applyBorder="1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44" fontId="0" fillId="0" borderId="5" xfId="1" applyFont="1" applyBorder="1" applyAlignment="1" applyProtection="1">
      <alignment horizontal="center"/>
      <protection locked="0"/>
    </xf>
    <xf numFmtId="44" fontId="0" fillId="0" borderId="6" xfId="1" applyFont="1" applyBorder="1" applyAlignment="1" applyProtection="1">
      <alignment horizontal="center"/>
      <protection locked="0"/>
    </xf>
    <xf numFmtId="0" fontId="3" fillId="2" borderId="4" xfId="0" applyFont="1" applyFill="1" applyBorder="1" applyAlignment="1">
      <alignment horizontal="center"/>
    </xf>
    <xf numFmtId="0" fontId="0" fillId="0" borderId="5" xfId="0" applyBorder="1"/>
    <xf numFmtId="0" fontId="0" fillId="0" borderId="9" xfId="0" applyBorder="1"/>
    <xf numFmtId="0" fontId="0" fillId="0" borderId="6" xfId="0" applyBorder="1"/>
    <xf numFmtId="0" fontId="0" fillId="5" borderId="5" xfId="0" applyFill="1" applyBorder="1"/>
    <xf numFmtId="0" fontId="0" fillId="5" borderId="9" xfId="0" applyFill="1" applyBorder="1"/>
    <xf numFmtId="0" fontId="0" fillId="5" borderId="6" xfId="0" applyFill="1" applyBorder="1"/>
    <xf numFmtId="0" fontId="0" fillId="2" borderId="2" xfId="0" applyFill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5" fillId="0" borderId="4" xfId="0" applyFont="1" applyBorder="1"/>
    <xf numFmtId="0" fontId="5" fillId="2" borderId="2" xfId="0" applyFont="1" applyFill="1" applyBorder="1" applyAlignment="1">
      <alignment horizontal="left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44" fontId="5" fillId="0" borderId="5" xfId="1" applyFont="1" applyBorder="1" applyAlignment="1" applyProtection="1">
      <alignment horizontal="center"/>
      <protection locked="0"/>
    </xf>
    <xf numFmtId="44" fontId="5" fillId="0" borderId="6" xfId="1" applyFont="1" applyBorder="1" applyAlignment="1" applyProtection="1">
      <alignment horizontal="center"/>
      <protection locked="0"/>
    </xf>
    <xf numFmtId="0" fontId="4" fillId="2" borderId="4" xfId="0" applyFont="1" applyFill="1" applyBorder="1" applyAlignment="1">
      <alignment horizontal="center"/>
    </xf>
    <xf numFmtId="44" fontId="0" fillId="0" borderId="5" xfId="3" applyFont="1" applyBorder="1" applyAlignment="1" applyProtection="1">
      <alignment horizontal="center"/>
      <protection locked="0"/>
    </xf>
    <xf numFmtId="44" fontId="0" fillId="0" borderId="6" xfId="3" applyFont="1" applyBorder="1" applyAlignment="1" applyProtection="1">
      <alignment horizontal="center"/>
      <protection locked="0"/>
    </xf>
    <xf numFmtId="0" fontId="0" fillId="5" borderId="4" xfId="0" applyFill="1" applyBorder="1"/>
  </cellXfs>
  <cellStyles count="4">
    <cellStyle name="Currency" xfId="1" builtinId="4"/>
    <cellStyle name="Currency 2" xfId="3" xr:uid="{C39DE7B2-446F-4627-AD5A-0841B066D885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AA8B0-DF78-49B8-8EE0-E3DA5999D50F}">
  <sheetPr>
    <pageSetUpPr fitToPage="1"/>
  </sheetPr>
  <dimension ref="A1:J43"/>
  <sheetViews>
    <sheetView tabSelected="1" topLeftCell="C1" zoomScale="70" zoomScaleNormal="70" workbookViewId="0">
      <selection activeCell="G9" sqref="G9:G11"/>
    </sheetView>
  </sheetViews>
  <sheetFormatPr defaultRowHeight="15" x14ac:dyDescent="0.25"/>
  <cols>
    <col min="1" max="1" width="3.5703125" style="1" customWidth="1"/>
    <col min="2" max="2" width="21.42578125" customWidth="1"/>
    <col min="3" max="3" width="38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3" t="s">
        <v>0</v>
      </c>
      <c r="C2" s="4" t="s">
        <v>41</v>
      </c>
      <c r="D2" s="5" t="s">
        <v>1</v>
      </c>
      <c r="E2" s="64"/>
      <c r="F2" s="64"/>
      <c r="G2" s="4"/>
      <c r="H2" s="6" t="s">
        <v>2</v>
      </c>
      <c r="I2" s="7"/>
      <c r="J2" s="8" t="s">
        <v>3</v>
      </c>
    </row>
    <row r="3" spans="1:10" ht="5.25" customHeight="1" x14ac:dyDescent="0.25">
      <c r="B3" s="1"/>
      <c r="D3" s="9"/>
      <c r="F3" s="2"/>
      <c r="H3" s="1"/>
      <c r="I3" s="1"/>
      <c r="J3" s="2"/>
    </row>
    <row r="4" spans="1:10" x14ac:dyDescent="0.25">
      <c r="B4" s="2" t="s">
        <v>21</v>
      </c>
      <c r="C4" s="10">
        <v>15</v>
      </c>
      <c r="D4" s="9"/>
      <c r="F4" s="2" t="s">
        <v>22</v>
      </c>
      <c r="G4" s="25">
        <v>0</v>
      </c>
      <c r="I4" s="1"/>
      <c r="J4" s="2"/>
    </row>
    <row r="5" spans="1:10" ht="5.25" customHeight="1" x14ac:dyDescent="0.25">
      <c r="B5" s="1"/>
      <c r="D5" s="9"/>
      <c r="F5" s="2"/>
      <c r="H5" s="1"/>
      <c r="I5" s="1"/>
      <c r="J5" s="2"/>
    </row>
    <row r="6" spans="1:10" x14ac:dyDescent="0.25"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65" t="s">
        <v>10</v>
      </c>
      <c r="I6" s="66"/>
      <c r="J6" s="11" t="s">
        <v>11</v>
      </c>
    </row>
    <row r="7" spans="1:10" x14ac:dyDescent="0.25">
      <c r="A7" s="1">
        <v>1</v>
      </c>
      <c r="B7" s="12"/>
      <c r="C7" s="12" t="s">
        <v>42</v>
      </c>
      <c r="D7" s="13">
        <v>100</v>
      </c>
      <c r="E7" s="13" t="s">
        <v>23</v>
      </c>
      <c r="F7" s="14">
        <f t="shared" ref="F7:F23" si="0">D7/D$24</f>
        <v>0.70175438596491224</v>
      </c>
      <c r="G7" s="15">
        <f>C4*F7</f>
        <v>10.526315789473683</v>
      </c>
      <c r="H7" s="55"/>
      <c r="I7" s="56"/>
      <c r="J7" s="16"/>
    </row>
    <row r="8" spans="1:10" x14ac:dyDescent="0.25">
      <c r="A8" s="1">
        <v>2</v>
      </c>
      <c r="B8" s="12"/>
      <c r="C8" s="12" t="s">
        <v>25</v>
      </c>
      <c r="D8" s="13">
        <v>25</v>
      </c>
      <c r="E8" s="13" t="s">
        <v>23</v>
      </c>
      <c r="F8" s="14">
        <f t="shared" si="0"/>
        <v>0.17543859649122806</v>
      </c>
      <c r="G8" s="15">
        <f>C4*F8</f>
        <v>2.6315789473684208</v>
      </c>
      <c r="H8" s="55"/>
      <c r="I8" s="56"/>
      <c r="J8" s="16"/>
    </row>
    <row r="9" spans="1:10" x14ac:dyDescent="0.25">
      <c r="A9" s="1">
        <v>3</v>
      </c>
      <c r="B9" s="12" t="s">
        <v>49</v>
      </c>
      <c r="C9" s="12" t="s">
        <v>50</v>
      </c>
      <c r="D9" s="13">
        <v>8</v>
      </c>
      <c r="E9" s="13" t="s">
        <v>23</v>
      </c>
      <c r="F9" s="14">
        <f t="shared" si="0"/>
        <v>5.6140350877192984E-2</v>
      </c>
      <c r="G9" s="15">
        <f>C4*F9</f>
        <v>0.8421052631578948</v>
      </c>
      <c r="H9" s="55"/>
      <c r="I9" s="56"/>
      <c r="J9" s="16"/>
    </row>
    <row r="10" spans="1:10" x14ac:dyDescent="0.25">
      <c r="A10" s="1">
        <v>4</v>
      </c>
      <c r="B10" s="12" t="s">
        <v>51</v>
      </c>
      <c r="C10" s="12" t="s">
        <v>52</v>
      </c>
      <c r="D10" s="13">
        <v>8</v>
      </c>
      <c r="E10" s="13" t="s">
        <v>23</v>
      </c>
      <c r="F10" s="14">
        <f>D10/D$24</f>
        <v>5.6140350877192984E-2</v>
      </c>
      <c r="G10" s="15">
        <f>C4*F10</f>
        <v>0.8421052631578948</v>
      </c>
      <c r="H10" s="55"/>
      <c r="I10" s="56"/>
      <c r="J10" s="16"/>
    </row>
    <row r="11" spans="1:10" x14ac:dyDescent="0.25">
      <c r="A11" s="1">
        <v>5</v>
      </c>
      <c r="B11" s="12" t="s">
        <v>45</v>
      </c>
      <c r="C11" s="12" t="s">
        <v>46</v>
      </c>
      <c r="D11" s="13">
        <v>1.5</v>
      </c>
      <c r="E11" s="13" t="s">
        <v>23</v>
      </c>
      <c r="F11" s="14">
        <f t="shared" si="0"/>
        <v>1.0526315789473684E-2</v>
      </c>
      <c r="G11" s="15">
        <f>C4*F11</f>
        <v>0.15789473684210525</v>
      </c>
      <c r="H11" s="55"/>
      <c r="I11" s="56"/>
      <c r="J11" s="16"/>
    </row>
    <row r="12" spans="1:10" x14ac:dyDescent="0.25">
      <c r="A12" s="1">
        <v>6</v>
      </c>
      <c r="B12" s="12"/>
      <c r="C12" s="12"/>
      <c r="D12" s="13"/>
      <c r="E12" s="13" t="s">
        <v>23</v>
      </c>
      <c r="F12" s="14">
        <f t="shared" si="0"/>
        <v>0</v>
      </c>
      <c r="G12" s="15">
        <f>C4*F12</f>
        <v>0</v>
      </c>
      <c r="H12" s="55"/>
      <c r="I12" s="56"/>
      <c r="J12" s="16"/>
    </row>
    <row r="13" spans="1:10" x14ac:dyDescent="0.25">
      <c r="A13" s="1">
        <v>7</v>
      </c>
      <c r="B13" s="12"/>
      <c r="C13" s="12"/>
      <c r="D13" s="13"/>
      <c r="E13" s="13" t="s">
        <v>23</v>
      </c>
      <c r="F13" s="14">
        <f t="shared" si="0"/>
        <v>0</v>
      </c>
      <c r="G13" s="15">
        <f>C4*F13</f>
        <v>0</v>
      </c>
      <c r="H13" s="55"/>
      <c r="I13" s="56"/>
      <c r="J13" s="16"/>
    </row>
    <row r="14" spans="1:10" x14ac:dyDescent="0.25">
      <c r="A14" s="1">
        <v>8</v>
      </c>
      <c r="B14" s="12"/>
      <c r="C14" s="12"/>
      <c r="D14" s="13"/>
      <c r="E14" s="13" t="s">
        <v>23</v>
      </c>
      <c r="F14" s="14">
        <f t="shared" si="0"/>
        <v>0</v>
      </c>
      <c r="G14" s="15">
        <f>C4*F14</f>
        <v>0</v>
      </c>
      <c r="H14" s="55"/>
      <c r="I14" s="56"/>
      <c r="J14" s="16"/>
    </row>
    <row r="15" spans="1:10" x14ac:dyDescent="0.25">
      <c r="A15" s="1">
        <v>9</v>
      </c>
      <c r="B15" s="12"/>
      <c r="C15" s="12"/>
      <c r="D15" s="13"/>
      <c r="E15" s="13" t="s">
        <v>23</v>
      </c>
      <c r="F15" s="14">
        <f t="shared" si="0"/>
        <v>0</v>
      </c>
      <c r="G15" s="15">
        <f>C4*F15</f>
        <v>0</v>
      </c>
      <c r="H15" s="55"/>
      <c r="I15" s="56"/>
      <c r="J15" s="16"/>
    </row>
    <row r="16" spans="1:10" x14ac:dyDescent="0.25">
      <c r="A16" s="1">
        <v>10</v>
      </c>
      <c r="B16" s="12"/>
      <c r="C16" s="12"/>
      <c r="D16" s="13"/>
      <c r="E16" s="13" t="s">
        <v>23</v>
      </c>
      <c r="F16" s="14">
        <f t="shared" si="0"/>
        <v>0</v>
      </c>
      <c r="G16" s="15">
        <f>C4*F16</f>
        <v>0</v>
      </c>
      <c r="H16" s="55"/>
      <c r="I16" s="56"/>
      <c r="J16" s="16"/>
    </row>
    <row r="17" spans="1:10" x14ac:dyDescent="0.25">
      <c r="A17" s="1">
        <v>11</v>
      </c>
      <c r="B17" s="12"/>
      <c r="C17" s="12"/>
      <c r="D17" s="13"/>
      <c r="E17" s="13" t="s">
        <v>23</v>
      </c>
      <c r="F17" s="14">
        <f t="shared" si="0"/>
        <v>0</v>
      </c>
      <c r="G17" s="15">
        <f>C4*F17</f>
        <v>0</v>
      </c>
      <c r="H17" s="55"/>
      <c r="I17" s="56"/>
      <c r="J17" s="16"/>
    </row>
    <row r="18" spans="1:10" x14ac:dyDescent="0.25">
      <c r="A18" s="1">
        <v>12</v>
      </c>
      <c r="B18" s="12"/>
      <c r="C18" s="12"/>
      <c r="D18" s="13"/>
      <c r="E18" s="13" t="s">
        <v>23</v>
      </c>
      <c r="F18" s="14">
        <f t="shared" si="0"/>
        <v>0</v>
      </c>
      <c r="G18" s="15">
        <f>C4*F18</f>
        <v>0</v>
      </c>
      <c r="H18" s="55"/>
      <c r="I18" s="56"/>
      <c r="J18" s="16"/>
    </row>
    <row r="19" spans="1:10" x14ac:dyDescent="0.25">
      <c r="A19" s="1">
        <v>13</v>
      </c>
      <c r="B19" s="12"/>
      <c r="C19" s="12"/>
      <c r="D19" s="13"/>
      <c r="E19" s="13" t="s">
        <v>23</v>
      </c>
      <c r="F19" s="14">
        <f t="shared" si="0"/>
        <v>0</v>
      </c>
      <c r="G19" s="15">
        <f>C4*F19</f>
        <v>0</v>
      </c>
      <c r="H19" s="55"/>
      <c r="I19" s="56"/>
      <c r="J19" s="16"/>
    </row>
    <row r="20" spans="1:10" x14ac:dyDescent="0.25">
      <c r="A20" s="1">
        <v>14</v>
      </c>
      <c r="B20" s="12"/>
      <c r="C20" s="12"/>
      <c r="D20" s="13"/>
      <c r="E20" s="13" t="s">
        <v>23</v>
      </c>
      <c r="F20" s="14">
        <f t="shared" si="0"/>
        <v>0</v>
      </c>
      <c r="G20" s="15">
        <f>C4*F20</f>
        <v>0</v>
      </c>
      <c r="H20" s="55"/>
      <c r="I20" s="56"/>
      <c r="J20" s="16"/>
    </row>
    <row r="21" spans="1:10" x14ac:dyDescent="0.25">
      <c r="A21" s="1">
        <v>15</v>
      </c>
      <c r="B21" s="12"/>
      <c r="C21" s="12"/>
      <c r="D21" s="13"/>
      <c r="E21" s="13" t="s">
        <v>23</v>
      </c>
      <c r="F21" s="14">
        <f t="shared" si="0"/>
        <v>0</v>
      </c>
      <c r="G21" s="15">
        <f>C4*F21</f>
        <v>0</v>
      </c>
      <c r="H21" s="55"/>
      <c r="I21" s="56"/>
      <c r="J21" s="16"/>
    </row>
    <row r="22" spans="1:10" x14ac:dyDescent="0.25">
      <c r="A22" s="1">
        <v>16</v>
      </c>
      <c r="B22" s="12"/>
      <c r="C22" s="12"/>
      <c r="D22" s="13"/>
      <c r="E22" s="13" t="s">
        <v>23</v>
      </c>
      <c r="F22" s="14">
        <f t="shared" si="0"/>
        <v>0</v>
      </c>
      <c r="G22" s="15">
        <f>C4*F22</f>
        <v>0</v>
      </c>
      <c r="H22" s="55"/>
      <c r="I22" s="56"/>
      <c r="J22" s="16"/>
    </row>
    <row r="23" spans="1:10" x14ac:dyDescent="0.25">
      <c r="A23" s="1">
        <v>17</v>
      </c>
      <c r="B23" s="12"/>
      <c r="C23" s="12"/>
      <c r="D23" s="13"/>
      <c r="E23" s="13" t="s">
        <v>23</v>
      </c>
      <c r="F23" s="14">
        <f t="shared" si="0"/>
        <v>0</v>
      </c>
      <c r="G23" s="15">
        <f>C4*F23</f>
        <v>0</v>
      </c>
      <c r="H23" s="55"/>
      <c r="I23" s="56"/>
      <c r="J23" s="16"/>
    </row>
    <row r="24" spans="1:10" x14ac:dyDescent="0.25">
      <c r="C24" s="17" t="s">
        <v>12</v>
      </c>
      <c r="D24" s="1">
        <f>SUM(D7:D23)</f>
        <v>142.5</v>
      </c>
      <c r="E24" s="1" t="s">
        <v>23</v>
      </c>
      <c r="F24" s="18">
        <f>SUM(F7:F23)</f>
        <v>0.99999999999999989</v>
      </c>
      <c r="G24" s="26">
        <f>SUM(G7:G23)</f>
        <v>15</v>
      </c>
      <c r="H24" s="19" t="s">
        <v>13</v>
      </c>
    </row>
    <row r="25" spans="1:10" x14ac:dyDescent="0.25">
      <c r="F25" s="25" t="s">
        <v>24</v>
      </c>
      <c r="G25" s="20">
        <f>-G24*G4+C4</f>
        <v>15</v>
      </c>
    </row>
    <row r="26" spans="1:10" ht="15.75" x14ac:dyDescent="0.25">
      <c r="A26"/>
      <c r="B26" s="57" t="s">
        <v>14</v>
      </c>
      <c r="C26" s="57"/>
      <c r="D26" s="57"/>
      <c r="E26" s="57"/>
      <c r="F26" s="57"/>
      <c r="G26" s="57"/>
      <c r="H26" s="57"/>
      <c r="I26" s="57"/>
      <c r="J26" s="57"/>
    </row>
    <row r="27" spans="1:10" ht="15.75" x14ac:dyDescent="0.25">
      <c r="A27"/>
      <c r="B27" s="21" t="s">
        <v>15</v>
      </c>
      <c r="C27" s="22"/>
      <c r="D27" s="22"/>
      <c r="E27" s="22"/>
      <c r="F27" s="22"/>
      <c r="G27" s="22"/>
      <c r="H27" s="22"/>
      <c r="I27" s="22"/>
      <c r="J27" s="22"/>
    </row>
    <row r="28" spans="1:10" x14ac:dyDescent="0.25">
      <c r="A28" s="1">
        <v>1</v>
      </c>
      <c r="B28" s="58"/>
      <c r="C28" s="59"/>
      <c r="D28" s="59"/>
      <c r="E28" s="59"/>
      <c r="F28" s="59"/>
      <c r="G28" s="59"/>
      <c r="H28" s="59"/>
      <c r="I28" s="59"/>
      <c r="J28" s="60"/>
    </row>
    <row r="29" spans="1:10" x14ac:dyDescent="0.25">
      <c r="A29" s="1">
        <v>2</v>
      </c>
      <c r="B29" s="58"/>
      <c r="C29" s="59"/>
      <c r="D29" s="59"/>
      <c r="E29" s="59"/>
      <c r="F29" s="59"/>
      <c r="G29" s="59"/>
      <c r="H29" s="59"/>
      <c r="I29" s="59"/>
      <c r="J29" s="60"/>
    </row>
    <row r="30" spans="1:10" x14ac:dyDescent="0.25">
      <c r="A30" s="1">
        <v>3</v>
      </c>
      <c r="B30" s="61"/>
      <c r="C30" s="62"/>
      <c r="D30" s="62"/>
      <c r="E30" s="62"/>
      <c r="F30" s="62"/>
      <c r="G30" s="62"/>
      <c r="H30" s="62"/>
      <c r="I30" s="62"/>
      <c r="J30" s="63"/>
    </row>
    <row r="31" spans="1:10" x14ac:dyDescent="0.25">
      <c r="A31" s="1">
        <v>4</v>
      </c>
      <c r="B31" s="52"/>
      <c r="C31" s="52"/>
      <c r="D31" s="52"/>
      <c r="E31" s="52"/>
      <c r="F31" s="52"/>
      <c r="G31" s="52"/>
      <c r="H31" s="52"/>
      <c r="I31" s="52"/>
      <c r="J31" s="52"/>
    </row>
    <row r="32" spans="1:10" x14ac:dyDescent="0.25">
      <c r="A32" s="1">
        <v>5</v>
      </c>
      <c r="B32" s="52"/>
      <c r="C32" s="52"/>
      <c r="D32" s="52"/>
      <c r="E32" s="52"/>
      <c r="F32" s="52"/>
      <c r="G32" s="52"/>
      <c r="H32" s="52"/>
      <c r="I32" s="52"/>
      <c r="J32" s="52"/>
    </row>
    <row r="33" spans="1:10" x14ac:dyDescent="0.25">
      <c r="A33" s="1">
        <v>6</v>
      </c>
      <c r="B33" s="52"/>
      <c r="C33" s="52"/>
      <c r="D33" s="52"/>
      <c r="E33" s="52"/>
      <c r="F33" s="52"/>
      <c r="G33" s="52"/>
      <c r="H33" s="52"/>
      <c r="I33" s="52"/>
      <c r="J33" s="52"/>
    </row>
    <row r="34" spans="1:10" x14ac:dyDescent="0.25">
      <c r="A34" s="1">
        <v>7</v>
      </c>
      <c r="B34" s="52"/>
      <c r="C34" s="52"/>
      <c r="D34" s="52"/>
      <c r="E34" s="52"/>
      <c r="F34" s="52"/>
      <c r="G34" s="52"/>
      <c r="H34" s="52"/>
      <c r="I34" s="52"/>
      <c r="J34" s="52"/>
    </row>
    <row r="35" spans="1:10" x14ac:dyDescent="0.25">
      <c r="A35" s="1">
        <v>8</v>
      </c>
      <c r="B35" s="52"/>
      <c r="C35" s="52"/>
      <c r="D35" s="52"/>
      <c r="E35" s="52"/>
      <c r="F35" s="52"/>
      <c r="G35" s="52"/>
      <c r="H35" s="52"/>
      <c r="I35" s="52"/>
      <c r="J35" s="52"/>
    </row>
    <row r="36" spans="1:10" x14ac:dyDescent="0.25">
      <c r="A36" s="1">
        <v>9</v>
      </c>
      <c r="B36" s="52"/>
      <c r="C36" s="52"/>
      <c r="D36" s="52"/>
      <c r="E36" s="52"/>
      <c r="F36" s="52"/>
      <c r="G36" s="52"/>
      <c r="H36" s="52"/>
      <c r="I36" s="52"/>
      <c r="J36" s="52"/>
    </row>
    <row r="37" spans="1:10" x14ac:dyDescent="0.25">
      <c r="A37" s="1">
        <v>10</v>
      </c>
      <c r="B37" s="52"/>
      <c r="C37" s="52"/>
      <c r="D37" s="52"/>
      <c r="E37" s="52"/>
      <c r="F37" s="52"/>
      <c r="G37" s="52"/>
      <c r="H37" s="52"/>
      <c r="I37" s="52"/>
      <c r="J37" s="52"/>
    </row>
    <row r="38" spans="1:10" x14ac:dyDescent="0.25">
      <c r="A38" s="1">
        <v>11</v>
      </c>
      <c r="B38" s="52"/>
      <c r="C38" s="52"/>
      <c r="D38" s="52"/>
      <c r="E38" s="52"/>
      <c r="F38" s="52"/>
      <c r="G38" s="52"/>
      <c r="H38" s="52"/>
      <c r="I38" s="52"/>
      <c r="J38" s="52"/>
    </row>
    <row r="40" spans="1:10" x14ac:dyDescent="0.25">
      <c r="B40" t="s">
        <v>16</v>
      </c>
    </row>
    <row r="42" spans="1:10" x14ac:dyDescent="0.25">
      <c r="B42" s="23"/>
      <c r="C42" s="23"/>
      <c r="D42" s="24"/>
      <c r="E42" s="24"/>
      <c r="F42" s="23"/>
      <c r="H42" s="23"/>
      <c r="I42" s="23"/>
      <c r="J42" s="23"/>
    </row>
    <row r="43" spans="1:10" x14ac:dyDescent="0.25">
      <c r="B43" s="53" t="s">
        <v>17</v>
      </c>
      <c r="C43" s="53"/>
      <c r="E43" s="53" t="s">
        <v>18</v>
      </c>
      <c r="F43" s="53"/>
      <c r="H43" s="54" t="s">
        <v>19</v>
      </c>
      <c r="I43" s="54"/>
      <c r="J43" s="2" t="s">
        <v>20</v>
      </c>
    </row>
  </sheetData>
  <mergeCells count="34">
    <mergeCell ref="H16:I16"/>
    <mergeCell ref="E2:F2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B31:J31"/>
    <mergeCell ref="H17:I17"/>
    <mergeCell ref="H18:I18"/>
    <mergeCell ref="H19:I19"/>
    <mergeCell ref="H20:I20"/>
    <mergeCell ref="H21:I21"/>
    <mergeCell ref="H22:I22"/>
    <mergeCell ref="H23:I23"/>
    <mergeCell ref="B26:J26"/>
    <mergeCell ref="B28:J28"/>
    <mergeCell ref="B29:J29"/>
    <mergeCell ref="B30:J30"/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</mergeCells>
  <pageMargins left="0.7" right="0.7" top="0.75" bottom="0.75" header="0.3" footer="0.3"/>
  <pageSetup scale="6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9F0B5-0C11-4840-B9C6-AA1EE761223C}">
  <sheetPr>
    <pageSetUpPr fitToPage="1"/>
  </sheetPr>
  <dimension ref="A1:J26"/>
  <sheetViews>
    <sheetView topLeftCell="B1" zoomScale="70" zoomScaleNormal="70" workbookViewId="0">
      <selection activeCell="G7" sqref="G7"/>
    </sheetView>
  </sheetViews>
  <sheetFormatPr defaultRowHeight="15" x14ac:dyDescent="0.25"/>
  <cols>
    <col min="1" max="1" width="3.5703125" style="1" customWidth="1"/>
    <col min="2" max="2" width="21.42578125" customWidth="1"/>
    <col min="3" max="3" width="39.28515625" customWidth="1"/>
    <col min="4" max="4" width="20.8554687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9.5" thickBot="1" x14ac:dyDescent="0.35">
      <c r="B2" s="28" t="s">
        <v>0</v>
      </c>
      <c r="C2" s="29" t="s">
        <v>29</v>
      </c>
      <c r="D2" s="30" t="s">
        <v>1</v>
      </c>
      <c r="E2" s="68"/>
      <c r="F2" s="68"/>
      <c r="G2" s="29"/>
      <c r="H2" s="31" t="s">
        <v>2</v>
      </c>
      <c r="I2" s="32"/>
      <c r="J2" s="33" t="s">
        <v>3</v>
      </c>
    </row>
    <row r="3" spans="1:10" ht="5.25" customHeight="1" x14ac:dyDescent="0.3">
      <c r="B3" s="34"/>
      <c r="C3" s="35"/>
      <c r="D3" s="36"/>
      <c r="E3" s="37"/>
      <c r="F3" s="37"/>
      <c r="G3" s="37"/>
      <c r="H3" s="34"/>
      <c r="I3" s="34"/>
      <c r="J3" s="37"/>
    </row>
    <row r="4" spans="1:10" ht="18.75" x14ac:dyDescent="0.3">
      <c r="B4" s="37" t="s">
        <v>21</v>
      </c>
      <c r="C4" s="38">
        <v>12</v>
      </c>
      <c r="D4" s="36"/>
      <c r="E4" s="37"/>
      <c r="F4" s="37" t="s">
        <v>22</v>
      </c>
      <c r="G4" s="39">
        <v>0.06</v>
      </c>
      <c r="H4" s="35"/>
      <c r="I4" s="34"/>
      <c r="J4" s="37"/>
    </row>
    <row r="5" spans="1:10" ht="5.25" customHeight="1" x14ac:dyDescent="0.3">
      <c r="B5" s="34"/>
      <c r="C5" s="35"/>
      <c r="D5" s="36"/>
      <c r="E5" s="37"/>
      <c r="F5" s="37"/>
      <c r="G5" s="37"/>
      <c r="H5" s="34"/>
      <c r="I5" s="34"/>
      <c r="J5" s="37"/>
    </row>
    <row r="6" spans="1:10" ht="15.75" x14ac:dyDescent="0.25">
      <c r="B6" s="40" t="s">
        <v>4</v>
      </c>
      <c r="C6" s="40" t="s">
        <v>5</v>
      </c>
      <c r="D6" s="40" t="s">
        <v>6</v>
      </c>
      <c r="E6" s="40" t="s">
        <v>7</v>
      </c>
      <c r="F6" s="40" t="s">
        <v>8</v>
      </c>
      <c r="G6" s="40" t="s">
        <v>9</v>
      </c>
      <c r="H6" s="69" t="s">
        <v>10</v>
      </c>
      <c r="I6" s="70"/>
      <c r="J6" s="40" t="s">
        <v>11</v>
      </c>
    </row>
    <row r="7" spans="1:10" ht="18.75" x14ac:dyDescent="0.3">
      <c r="A7" s="1">
        <v>1</v>
      </c>
      <c r="B7" s="41"/>
      <c r="C7" s="41" t="s">
        <v>30</v>
      </c>
      <c r="D7" s="42">
        <v>15</v>
      </c>
      <c r="E7" s="42" t="s">
        <v>23</v>
      </c>
      <c r="F7" s="43">
        <f>D7/D$10</f>
        <v>0.46554934823091249</v>
      </c>
      <c r="G7" s="44">
        <f>C4*F7</f>
        <v>5.5865921787709496</v>
      </c>
      <c r="H7" s="71"/>
      <c r="I7" s="72"/>
      <c r="J7" s="45" t="s">
        <v>31</v>
      </c>
    </row>
    <row r="8" spans="1:10" ht="18.75" x14ac:dyDescent="0.3">
      <c r="A8" s="1">
        <v>2</v>
      </c>
      <c r="B8" s="41"/>
      <c r="C8" s="41" t="s">
        <v>32</v>
      </c>
      <c r="D8" s="42">
        <v>17.22</v>
      </c>
      <c r="E8" s="42" t="s">
        <v>23</v>
      </c>
      <c r="F8" s="43">
        <f>D8/D$10</f>
        <v>0.53445065176908746</v>
      </c>
      <c r="G8" s="44">
        <f>C4*F8</f>
        <v>6.4134078212290495</v>
      </c>
      <c r="H8" s="71"/>
      <c r="I8" s="72"/>
      <c r="J8" s="45"/>
    </row>
    <row r="9" spans="1:10" ht="18.75" x14ac:dyDescent="0.3">
      <c r="A9" s="1">
        <v>3</v>
      </c>
      <c r="B9" s="41"/>
      <c r="C9" s="41"/>
      <c r="D9" s="42"/>
      <c r="E9" s="42" t="s">
        <v>23</v>
      </c>
      <c r="F9" s="43">
        <f>D9/D$10</f>
        <v>0</v>
      </c>
      <c r="G9" s="44">
        <f>C4*F9</f>
        <v>0</v>
      </c>
      <c r="H9" s="71"/>
      <c r="I9" s="72"/>
      <c r="J9" s="45"/>
    </row>
    <row r="10" spans="1:10" ht="18.75" x14ac:dyDescent="0.3">
      <c r="B10" s="35"/>
      <c r="C10" s="46" t="s">
        <v>12</v>
      </c>
      <c r="D10" s="34">
        <f>SUM(D7:D9)</f>
        <v>32.22</v>
      </c>
      <c r="E10" s="34" t="s">
        <v>23</v>
      </c>
      <c r="F10" s="47">
        <f>SUM(F7:F9)</f>
        <v>1</v>
      </c>
      <c r="G10" s="48">
        <f>SUM(G7:G9)</f>
        <v>12</v>
      </c>
      <c r="H10" s="35" t="s">
        <v>13</v>
      </c>
      <c r="I10" s="35"/>
      <c r="J10" s="35"/>
    </row>
    <row r="11" spans="1:10" ht="18.75" x14ac:dyDescent="0.3">
      <c r="B11" s="35"/>
      <c r="C11" s="35"/>
      <c r="D11" s="37"/>
      <c r="E11" s="37"/>
      <c r="F11" s="49" t="s">
        <v>24</v>
      </c>
      <c r="G11" s="50">
        <f>-G10*G4+C4</f>
        <v>11.28</v>
      </c>
      <c r="H11" s="35"/>
      <c r="I11" s="35"/>
      <c r="J11" s="35"/>
    </row>
    <row r="12" spans="1:10" ht="18.75" x14ac:dyDescent="0.3">
      <c r="A12"/>
      <c r="B12" s="73" t="s">
        <v>14</v>
      </c>
      <c r="C12" s="73"/>
      <c r="D12" s="73"/>
      <c r="E12" s="73"/>
      <c r="F12" s="73"/>
      <c r="G12" s="73"/>
      <c r="H12" s="73"/>
      <c r="I12" s="73"/>
      <c r="J12" s="73"/>
    </row>
    <row r="13" spans="1:10" ht="18.75" x14ac:dyDescent="0.3">
      <c r="A13"/>
      <c r="B13" s="51" t="s">
        <v>15</v>
      </c>
      <c r="C13" s="34"/>
      <c r="D13" s="34"/>
      <c r="E13" s="34"/>
      <c r="F13" s="34"/>
      <c r="G13" s="34"/>
      <c r="H13" s="34"/>
      <c r="I13" s="34"/>
      <c r="J13" s="34"/>
    </row>
    <row r="14" spans="1:10" ht="18.75" x14ac:dyDescent="0.3">
      <c r="A14" s="1">
        <v>1</v>
      </c>
      <c r="B14" s="67" t="s">
        <v>33</v>
      </c>
      <c r="C14" s="67"/>
      <c r="D14" s="67"/>
      <c r="E14" s="67"/>
      <c r="F14" s="67"/>
      <c r="G14" s="67"/>
      <c r="H14" s="67"/>
      <c r="I14" s="67"/>
      <c r="J14" s="67"/>
    </row>
    <row r="15" spans="1:10" ht="18.75" x14ac:dyDescent="0.3">
      <c r="A15" s="1">
        <v>2</v>
      </c>
      <c r="B15" s="67" t="s">
        <v>34</v>
      </c>
      <c r="C15" s="67"/>
      <c r="D15" s="67"/>
      <c r="E15" s="67"/>
      <c r="F15" s="67"/>
      <c r="G15" s="67"/>
      <c r="H15" s="67"/>
      <c r="I15" s="67"/>
      <c r="J15" s="67"/>
    </row>
    <row r="16" spans="1:10" ht="18.75" x14ac:dyDescent="0.3">
      <c r="A16" s="1">
        <v>3</v>
      </c>
      <c r="B16" s="67" t="s">
        <v>35</v>
      </c>
      <c r="C16" s="67"/>
      <c r="D16" s="67"/>
      <c r="E16" s="67"/>
      <c r="F16" s="67"/>
      <c r="G16" s="67"/>
      <c r="H16" s="67"/>
      <c r="I16" s="67"/>
      <c r="J16" s="67"/>
    </row>
    <row r="17" spans="1:10" ht="18.75" x14ac:dyDescent="0.3">
      <c r="A17" s="1">
        <v>4</v>
      </c>
      <c r="B17" s="67" t="s">
        <v>36</v>
      </c>
      <c r="C17" s="67"/>
      <c r="D17" s="67"/>
      <c r="E17" s="67"/>
      <c r="F17" s="67"/>
      <c r="G17" s="67"/>
      <c r="H17" s="67"/>
      <c r="I17" s="67"/>
      <c r="J17" s="67"/>
    </row>
    <row r="18" spans="1:10" ht="18.75" x14ac:dyDescent="0.3">
      <c r="A18" s="1">
        <v>5</v>
      </c>
      <c r="B18" s="67" t="s">
        <v>37</v>
      </c>
      <c r="C18" s="67"/>
      <c r="D18" s="67"/>
      <c r="E18" s="67"/>
      <c r="F18" s="67"/>
      <c r="G18" s="67"/>
      <c r="H18" s="67"/>
      <c r="I18" s="67"/>
      <c r="J18" s="67"/>
    </row>
    <row r="19" spans="1:10" ht="18.75" x14ac:dyDescent="0.3">
      <c r="B19" s="67" t="s">
        <v>38</v>
      </c>
      <c r="C19" s="67"/>
      <c r="D19" s="67"/>
      <c r="E19" s="67"/>
      <c r="F19" s="67"/>
      <c r="G19" s="67"/>
      <c r="H19" s="67"/>
      <c r="I19" s="67"/>
      <c r="J19" s="67"/>
    </row>
    <row r="20" spans="1:10" ht="18.75" x14ac:dyDescent="0.3">
      <c r="B20" s="67" t="s">
        <v>39</v>
      </c>
      <c r="C20" s="67"/>
      <c r="D20" s="67"/>
      <c r="E20" s="67"/>
      <c r="F20" s="67"/>
      <c r="G20" s="67"/>
      <c r="H20" s="67"/>
      <c r="I20" s="67"/>
      <c r="J20" s="67"/>
    </row>
    <row r="21" spans="1:10" ht="18.75" x14ac:dyDescent="0.3">
      <c r="A21" s="1">
        <v>6</v>
      </c>
      <c r="B21" s="67" t="s">
        <v>40</v>
      </c>
      <c r="C21" s="67"/>
      <c r="D21" s="67"/>
      <c r="E21" s="67"/>
      <c r="F21" s="67"/>
      <c r="G21" s="67"/>
      <c r="H21" s="67"/>
      <c r="I21" s="67"/>
      <c r="J21" s="67"/>
    </row>
    <row r="23" spans="1:10" x14ac:dyDescent="0.25">
      <c r="B23" t="s">
        <v>16</v>
      </c>
    </row>
    <row r="25" spans="1:10" x14ac:dyDescent="0.25">
      <c r="B25" s="23"/>
      <c r="C25" s="23"/>
      <c r="D25" s="24"/>
      <c r="E25" s="24"/>
      <c r="F25" s="23"/>
      <c r="H25" s="23"/>
      <c r="I25" s="23"/>
      <c r="J25" s="23"/>
    </row>
    <row r="26" spans="1:10" x14ac:dyDescent="0.25">
      <c r="B26" s="53" t="s">
        <v>17</v>
      </c>
      <c r="C26" s="53"/>
      <c r="E26" s="53" t="s">
        <v>18</v>
      </c>
      <c r="F26" s="53"/>
      <c r="H26" s="54" t="s">
        <v>19</v>
      </c>
      <c r="I26" s="54"/>
      <c r="J26" s="2" t="s">
        <v>20</v>
      </c>
    </row>
  </sheetData>
  <mergeCells count="17">
    <mergeCell ref="B20:J20"/>
    <mergeCell ref="B21:J21"/>
    <mergeCell ref="B26:C26"/>
    <mergeCell ref="E26:F26"/>
    <mergeCell ref="H26:I26"/>
    <mergeCell ref="B19:J19"/>
    <mergeCell ref="E2:F2"/>
    <mergeCell ref="H6:I6"/>
    <mergeCell ref="H7:I7"/>
    <mergeCell ref="H8:I8"/>
    <mergeCell ref="H9:I9"/>
    <mergeCell ref="B12:J12"/>
    <mergeCell ref="B14:J14"/>
    <mergeCell ref="B15:J15"/>
    <mergeCell ref="B16:J16"/>
    <mergeCell ref="B17:J17"/>
    <mergeCell ref="B18:J18"/>
  </mergeCells>
  <pageMargins left="0.7" right="0.7" top="0.75" bottom="0.75" header="0.3" footer="0.3"/>
  <pageSetup scale="65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56857-06E6-4CC3-A4ED-CEB7AC14DE8C}">
  <sheetPr>
    <pageSetUpPr fitToPage="1"/>
  </sheetPr>
  <dimension ref="A1:J42"/>
  <sheetViews>
    <sheetView topLeftCell="D1" zoomScale="80" zoomScaleNormal="80" workbookViewId="0">
      <selection activeCell="G7" sqref="G7:G9"/>
    </sheetView>
  </sheetViews>
  <sheetFormatPr defaultRowHeight="15" x14ac:dyDescent="0.25"/>
  <cols>
    <col min="1" max="1" width="3.5703125" style="1" customWidth="1"/>
    <col min="2" max="2" width="21.42578125" customWidth="1"/>
    <col min="3" max="3" width="38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3" t="s">
        <v>0</v>
      </c>
      <c r="C2" s="4" t="s">
        <v>25</v>
      </c>
      <c r="D2" s="5" t="s">
        <v>1</v>
      </c>
      <c r="E2" s="64"/>
      <c r="F2" s="64"/>
      <c r="G2" s="4"/>
      <c r="H2" s="6" t="s">
        <v>2</v>
      </c>
      <c r="I2" s="7"/>
      <c r="J2" s="8" t="s">
        <v>3</v>
      </c>
    </row>
    <row r="3" spans="1:10" ht="5.25" customHeight="1" x14ac:dyDescent="0.25">
      <c r="B3" s="1"/>
      <c r="D3" s="9"/>
      <c r="F3" s="2"/>
      <c r="H3" s="1"/>
      <c r="I3" s="1"/>
      <c r="J3" s="2"/>
    </row>
    <row r="4" spans="1:10" x14ac:dyDescent="0.25">
      <c r="B4" s="2" t="s">
        <v>21</v>
      </c>
      <c r="C4" s="10">
        <v>3.2</v>
      </c>
      <c r="D4" s="9"/>
      <c r="F4" s="2" t="s">
        <v>22</v>
      </c>
      <c r="G4" s="25">
        <v>0.15</v>
      </c>
      <c r="I4" s="1"/>
      <c r="J4" s="2"/>
    </row>
    <row r="5" spans="1:10" ht="5.25" customHeight="1" x14ac:dyDescent="0.25">
      <c r="B5" s="1"/>
      <c r="D5" s="9"/>
      <c r="F5" s="2"/>
      <c r="H5" s="1"/>
      <c r="I5" s="1"/>
      <c r="J5" s="2"/>
    </row>
    <row r="6" spans="1:10" x14ac:dyDescent="0.25"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65" t="s">
        <v>10</v>
      </c>
      <c r="I6" s="66"/>
      <c r="J6" s="11" t="s">
        <v>11</v>
      </c>
    </row>
    <row r="7" spans="1:10" x14ac:dyDescent="0.25">
      <c r="A7" s="1">
        <v>1</v>
      </c>
      <c r="B7" s="12" t="s">
        <v>43</v>
      </c>
      <c r="C7" s="12" t="s">
        <v>44</v>
      </c>
      <c r="D7" s="13">
        <v>4.75</v>
      </c>
      <c r="E7" s="13" t="s">
        <v>23</v>
      </c>
      <c r="F7" s="14">
        <f t="shared" ref="F7:F22" si="0">D7/D$23</f>
        <v>0.97938144329896915</v>
      </c>
      <c r="G7" s="27">
        <f>C4*F7</f>
        <v>3.1340206185567014</v>
      </c>
      <c r="H7" s="74"/>
      <c r="I7" s="75"/>
      <c r="J7" s="16"/>
    </row>
    <row r="8" spans="1:10" x14ac:dyDescent="0.25">
      <c r="A8" s="1">
        <v>3</v>
      </c>
      <c r="B8" s="12" t="s">
        <v>45</v>
      </c>
      <c r="C8" s="12" t="s">
        <v>46</v>
      </c>
      <c r="D8" s="13">
        <v>8.5000000000000006E-2</v>
      </c>
      <c r="E8" s="13" t="s">
        <v>23</v>
      </c>
      <c r="F8" s="14">
        <f t="shared" si="0"/>
        <v>1.7525773195876292E-2</v>
      </c>
      <c r="G8" s="27">
        <f>C4*F8</f>
        <v>5.6082474226804138E-2</v>
      </c>
      <c r="H8" s="74"/>
      <c r="I8" s="75"/>
      <c r="J8" s="16"/>
    </row>
    <row r="9" spans="1:10" x14ac:dyDescent="0.25">
      <c r="A9" s="1">
        <v>4</v>
      </c>
      <c r="B9" s="12" t="s">
        <v>47</v>
      </c>
      <c r="C9" s="12" t="s">
        <v>48</v>
      </c>
      <c r="D9" s="13">
        <v>1.4999999999999999E-2</v>
      </c>
      <c r="E9" s="13" t="s">
        <v>23</v>
      </c>
      <c r="F9" s="14">
        <f t="shared" si="0"/>
        <v>3.0927835051546395E-3</v>
      </c>
      <c r="G9" s="27">
        <f>C4*F9</f>
        <v>9.8969072164948463E-3</v>
      </c>
      <c r="H9" s="74"/>
      <c r="I9" s="75"/>
      <c r="J9" s="16"/>
    </row>
    <row r="10" spans="1:10" x14ac:dyDescent="0.25">
      <c r="A10" s="1">
        <v>5</v>
      </c>
      <c r="B10" s="12"/>
      <c r="C10" s="12"/>
      <c r="D10" s="13"/>
      <c r="E10" s="13" t="s">
        <v>23</v>
      </c>
      <c r="F10" s="14">
        <f t="shared" si="0"/>
        <v>0</v>
      </c>
      <c r="G10" s="27">
        <f>C4*F10</f>
        <v>0</v>
      </c>
      <c r="H10" s="74"/>
      <c r="I10" s="75"/>
      <c r="J10" s="16"/>
    </row>
    <row r="11" spans="1:10" x14ac:dyDescent="0.25">
      <c r="A11" s="1">
        <v>6</v>
      </c>
      <c r="B11" s="12"/>
      <c r="C11" s="12"/>
      <c r="D11" s="13"/>
      <c r="E11" s="13" t="s">
        <v>23</v>
      </c>
      <c r="F11" s="14">
        <f t="shared" si="0"/>
        <v>0</v>
      </c>
      <c r="G11" s="27">
        <f>C4*F11</f>
        <v>0</v>
      </c>
      <c r="H11" s="74"/>
      <c r="I11" s="75"/>
      <c r="J11" s="16"/>
    </row>
    <row r="12" spans="1:10" x14ac:dyDescent="0.25">
      <c r="A12" s="1">
        <v>7</v>
      </c>
      <c r="B12" s="12"/>
      <c r="C12" s="12"/>
      <c r="D12" s="13"/>
      <c r="E12" s="13" t="s">
        <v>23</v>
      </c>
      <c r="F12" s="14">
        <f t="shared" si="0"/>
        <v>0</v>
      </c>
      <c r="G12" s="27">
        <f>C4*F12</f>
        <v>0</v>
      </c>
      <c r="H12" s="74"/>
      <c r="I12" s="75"/>
      <c r="J12" s="16"/>
    </row>
    <row r="13" spans="1:10" x14ac:dyDescent="0.25">
      <c r="A13" s="1">
        <v>8</v>
      </c>
      <c r="B13" s="12"/>
      <c r="C13" s="12"/>
      <c r="D13" s="13"/>
      <c r="E13" s="13" t="s">
        <v>23</v>
      </c>
      <c r="F13" s="14">
        <f t="shared" si="0"/>
        <v>0</v>
      </c>
      <c r="G13" s="27">
        <f>C4*F13</f>
        <v>0</v>
      </c>
      <c r="H13" s="74"/>
      <c r="I13" s="75"/>
      <c r="J13" s="16"/>
    </row>
    <row r="14" spans="1:10" x14ac:dyDescent="0.25">
      <c r="A14" s="1">
        <v>9</v>
      </c>
      <c r="B14" s="12"/>
      <c r="C14" s="12"/>
      <c r="D14" s="13"/>
      <c r="E14" s="13" t="s">
        <v>23</v>
      </c>
      <c r="F14" s="14">
        <f t="shared" si="0"/>
        <v>0</v>
      </c>
      <c r="G14" s="27">
        <f>C4*F14</f>
        <v>0</v>
      </c>
      <c r="H14" s="74"/>
      <c r="I14" s="75"/>
      <c r="J14" s="16"/>
    </row>
    <row r="15" spans="1:10" x14ac:dyDescent="0.25">
      <c r="A15" s="1">
        <v>10</v>
      </c>
      <c r="B15" s="12"/>
      <c r="C15" s="12"/>
      <c r="D15" s="13"/>
      <c r="E15" s="13" t="s">
        <v>23</v>
      </c>
      <c r="F15" s="14">
        <f t="shared" si="0"/>
        <v>0</v>
      </c>
      <c r="G15" s="27">
        <f>C4*F15</f>
        <v>0</v>
      </c>
      <c r="H15" s="74"/>
      <c r="I15" s="75"/>
      <c r="J15" s="16"/>
    </row>
    <row r="16" spans="1:10" x14ac:dyDescent="0.25">
      <c r="A16" s="1">
        <v>11</v>
      </c>
      <c r="B16" s="12"/>
      <c r="C16" s="12"/>
      <c r="D16" s="13"/>
      <c r="E16" s="13" t="s">
        <v>23</v>
      </c>
      <c r="F16" s="14">
        <f t="shared" si="0"/>
        <v>0</v>
      </c>
      <c r="G16" s="27">
        <f>C4*F16</f>
        <v>0</v>
      </c>
      <c r="H16" s="74"/>
      <c r="I16" s="75"/>
      <c r="J16" s="16"/>
    </row>
    <row r="17" spans="1:10" x14ac:dyDescent="0.25">
      <c r="A17" s="1">
        <v>12</v>
      </c>
      <c r="B17" s="12"/>
      <c r="C17" s="12"/>
      <c r="D17" s="13"/>
      <c r="E17" s="13" t="s">
        <v>23</v>
      </c>
      <c r="F17" s="14">
        <f t="shared" si="0"/>
        <v>0</v>
      </c>
      <c r="G17" s="27">
        <f>C4*F17</f>
        <v>0</v>
      </c>
      <c r="H17" s="74"/>
      <c r="I17" s="75"/>
      <c r="J17" s="16"/>
    </row>
    <row r="18" spans="1:10" x14ac:dyDescent="0.25">
      <c r="A18" s="1">
        <v>13</v>
      </c>
      <c r="B18" s="12"/>
      <c r="C18" s="12"/>
      <c r="D18" s="13"/>
      <c r="E18" s="13" t="s">
        <v>23</v>
      </c>
      <c r="F18" s="14">
        <f t="shared" si="0"/>
        <v>0</v>
      </c>
      <c r="G18" s="27">
        <f>C4*F18</f>
        <v>0</v>
      </c>
      <c r="H18" s="74"/>
      <c r="I18" s="75"/>
      <c r="J18" s="16"/>
    </row>
    <row r="19" spans="1:10" x14ac:dyDescent="0.25">
      <c r="A19" s="1">
        <v>14</v>
      </c>
      <c r="B19" s="12"/>
      <c r="C19" s="12"/>
      <c r="D19" s="13"/>
      <c r="E19" s="13" t="s">
        <v>23</v>
      </c>
      <c r="F19" s="14">
        <f t="shared" si="0"/>
        <v>0</v>
      </c>
      <c r="G19" s="27">
        <f>C4*F19</f>
        <v>0</v>
      </c>
      <c r="H19" s="74"/>
      <c r="I19" s="75"/>
      <c r="J19" s="16"/>
    </row>
    <row r="20" spans="1:10" x14ac:dyDescent="0.25">
      <c r="A20" s="1">
        <v>15</v>
      </c>
      <c r="B20" s="12"/>
      <c r="C20" s="12"/>
      <c r="D20" s="13"/>
      <c r="E20" s="13" t="s">
        <v>23</v>
      </c>
      <c r="F20" s="14">
        <f t="shared" si="0"/>
        <v>0</v>
      </c>
      <c r="G20" s="27">
        <f>C4*F20</f>
        <v>0</v>
      </c>
      <c r="H20" s="74"/>
      <c r="I20" s="75"/>
      <c r="J20" s="16"/>
    </row>
    <row r="21" spans="1:10" x14ac:dyDescent="0.25">
      <c r="A21" s="1">
        <v>16</v>
      </c>
      <c r="B21" s="12"/>
      <c r="C21" s="12"/>
      <c r="D21" s="13"/>
      <c r="E21" s="13" t="s">
        <v>23</v>
      </c>
      <c r="F21" s="14">
        <f t="shared" si="0"/>
        <v>0</v>
      </c>
      <c r="G21" s="27">
        <f>C4*F21</f>
        <v>0</v>
      </c>
      <c r="H21" s="74"/>
      <c r="I21" s="75"/>
      <c r="J21" s="16"/>
    </row>
    <row r="22" spans="1:10" x14ac:dyDescent="0.25">
      <c r="A22" s="1">
        <v>17</v>
      </c>
      <c r="B22" s="12"/>
      <c r="C22" s="12"/>
      <c r="D22" s="13"/>
      <c r="E22" s="13" t="s">
        <v>23</v>
      </c>
      <c r="F22" s="14">
        <f t="shared" si="0"/>
        <v>0</v>
      </c>
      <c r="G22" s="27">
        <f>C4*F22</f>
        <v>0</v>
      </c>
      <c r="H22" s="74"/>
      <c r="I22" s="75"/>
      <c r="J22" s="16"/>
    </row>
    <row r="23" spans="1:10" x14ac:dyDescent="0.25">
      <c r="C23" s="17" t="s">
        <v>12</v>
      </c>
      <c r="D23" s="1">
        <f>SUM(D7:D22)</f>
        <v>4.8499999999999996</v>
      </c>
      <c r="E23" s="1" t="s">
        <v>23</v>
      </c>
      <c r="F23" s="18">
        <f>SUM(F7:F22)</f>
        <v>1.0000000000000002</v>
      </c>
      <c r="G23" s="26">
        <f>SUM(G7:G22)</f>
        <v>3.2</v>
      </c>
      <c r="H23" s="19" t="s">
        <v>13</v>
      </c>
    </row>
    <row r="24" spans="1:10" x14ac:dyDescent="0.25">
      <c r="F24" s="25" t="s">
        <v>24</v>
      </c>
      <c r="G24" s="20">
        <f>-G23*G4+C4</f>
        <v>2.72</v>
      </c>
    </row>
    <row r="25" spans="1:10" ht="15.75" x14ac:dyDescent="0.25">
      <c r="A25"/>
      <c r="B25" s="57" t="s">
        <v>14</v>
      </c>
      <c r="C25" s="57"/>
      <c r="D25" s="57"/>
      <c r="E25" s="57"/>
      <c r="F25" s="57"/>
      <c r="G25" s="57"/>
      <c r="H25" s="57"/>
      <c r="I25" s="57"/>
      <c r="J25" s="57"/>
    </row>
    <row r="26" spans="1:10" ht="15.75" x14ac:dyDescent="0.25">
      <c r="A26"/>
      <c r="B26" s="21" t="s">
        <v>15</v>
      </c>
      <c r="C26" s="22"/>
      <c r="D26" s="22"/>
      <c r="E26" s="22"/>
      <c r="F26" s="22"/>
      <c r="G26" s="22"/>
      <c r="H26" s="22"/>
      <c r="I26" s="22"/>
      <c r="J26" s="22"/>
    </row>
    <row r="27" spans="1:10" x14ac:dyDescent="0.25">
      <c r="A27" s="1">
        <v>1</v>
      </c>
      <c r="B27" s="52" t="s">
        <v>26</v>
      </c>
      <c r="C27" s="52"/>
      <c r="D27" s="52"/>
      <c r="E27" s="52"/>
      <c r="F27" s="52"/>
      <c r="G27" s="52"/>
      <c r="H27" s="52"/>
      <c r="I27" s="52"/>
      <c r="J27" s="52"/>
    </row>
    <row r="28" spans="1:10" x14ac:dyDescent="0.25">
      <c r="A28" s="1">
        <v>2</v>
      </c>
      <c r="B28" s="52" t="s">
        <v>27</v>
      </c>
      <c r="C28" s="52"/>
      <c r="D28" s="52"/>
      <c r="E28" s="52"/>
      <c r="F28" s="52"/>
      <c r="G28" s="52"/>
      <c r="H28" s="52"/>
      <c r="I28" s="52"/>
      <c r="J28" s="52"/>
    </row>
    <row r="29" spans="1:10" x14ac:dyDescent="0.25">
      <c r="A29" s="1">
        <v>3</v>
      </c>
      <c r="B29" s="76" t="s">
        <v>28</v>
      </c>
      <c r="C29" s="76"/>
      <c r="D29" s="76"/>
      <c r="E29" s="76"/>
      <c r="F29" s="76"/>
      <c r="G29" s="76"/>
      <c r="H29" s="76"/>
      <c r="I29" s="76"/>
      <c r="J29" s="76"/>
    </row>
    <row r="30" spans="1:10" x14ac:dyDescent="0.25">
      <c r="A30" s="1">
        <v>4</v>
      </c>
      <c r="B30" s="52"/>
      <c r="C30" s="52"/>
      <c r="D30" s="52"/>
      <c r="E30" s="52"/>
      <c r="F30" s="52"/>
      <c r="G30" s="52"/>
      <c r="H30" s="52"/>
      <c r="I30" s="52"/>
      <c r="J30" s="52"/>
    </row>
    <row r="31" spans="1:10" x14ac:dyDescent="0.25">
      <c r="A31" s="1">
        <v>5</v>
      </c>
      <c r="B31" s="52"/>
      <c r="C31" s="52"/>
      <c r="D31" s="52"/>
      <c r="E31" s="52"/>
      <c r="F31" s="52"/>
      <c r="G31" s="52"/>
      <c r="H31" s="52"/>
      <c r="I31" s="52"/>
      <c r="J31" s="52"/>
    </row>
    <row r="32" spans="1:10" x14ac:dyDescent="0.25">
      <c r="A32" s="1">
        <v>6</v>
      </c>
      <c r="B32" s="52"/>
      <c r="C32" s="52"/>
      <c r="D32" s="52"/>
      <c r="E32" s="52"/>
      <c r="F32" s="52"/>
      <c r="G32" s="52"/>
      <c r="H32" s="52"/>
      <c r="I32" s="52"/>
      <c r="J32" s="52"/>
    </row>
    <row r="33" spans="1:10" x14ac:dyDescent="0.25">
      <c r="A33" s="1">
        <v>7</v>
      </c>
      <c r="B33" s="52"/>
      <c r="C33" s="52"/>
      <c r="D33" s="52"/>
      <c r="E33" s="52"/>
      <c r="F33" s="52"/>
      <c r="G33" s="52"/>
      <c r="H33" s="52"/>
      <c r="I33" s="52"/>
      <c r="J33" s="52"/>
    </row>
    <row r="34" spans="1:10" x14ac:dyDescent="0.25">
      <c r="A34" s="1">
        <v>8</v>
      </c>
      <c r="B34" s="52"/>
      <c r="C34" s="52"/>
      <c r="D34" s="52"/>
      <c r="E34" s="52"/>
      <c r="F34" s="52"/>
      <c r="G34" s="52"/>
      <c r="H34" s="52"/>
      <c r="I34" s="52"/>
      <c r="J34" s="52"/>
    </row>
    <row r="35" spans="1:10" x14ac:dyDescent="0.25">
      <c r="A35" s="1">
        <v>9</v>
      </c>
      <c r="B35" s="52"/>
      <c r="C35" s="52"/>
      <c r="D35" s="52"/>
      <c r="E35" s="52"/>
      <c r="F35" s="52"/>
      <c r="G35" s="52"/>
      <c r="H35" s="52"/>
      <c r="I35" s="52"/>
      <c r="J35" s="52"/>
    </row>
    <row r="36" spans="1:10" x14ac:dyDescent="0.25">
      <c r="A36" s="1">
        <v>10</v>
      </c>
      <c r="B36" s="52"/>
      <c r="C36" s="52"/>
      <c r="D36" s="52"/>
      <c r="E36" s="52"/>
      <c r="F36" s="52"/>
      <c r="G36" s="52"/>
      <c r="H36" s="52"/>
      <c r="I36" s="52"/>
      <c r="J36" s="52"/>
    </row>
    <row r="37" spans="1:10" x14ac:dyDescent="0.25">
      <c r="A37" s="1">
        <v>11</v>
      </c>
      <c r="B37" s="52"/>
      <c r="C37" s="52"/>
      <c r="D37" s="52"/>
      <c r="E37" s="52"/>
      <c r="F37" s="52"/>
      <c r="G37" s="52"/>
      <c r="H37" s="52"/>
      <c r="I37" s="52"/>
      <c r="J37" s="52"/>
    </row>
    <row r="39" spans="1:10" x14ac:dyDescent="0.25">
      <c r="B39" t="s">
        <v>16</v>
      </c>
    </row>
    <row r="41" spans="1:10" x14ac:dyDescent="0.25">
      <c r="B41" s="23"/>
      <c r="C41" s="23"/>
      <c r="D41" s="24"/>
      <c r="E41" s="24"/>
      <c r="F41" s="23"/>
      <c r="H41" s="23"/>
      <c r="I41" s="23"/>
      <c r="J41" s="23"/>
    </row>
    <row r="42" spans="1:10" x14ac:dyDescent="0.25">
      <c r="B42" s="53" t="s">
        <v>17</v>
      </c>
      <c r="C42" s="53"/>
      <c r="E42" s="53" t="s">
        <v>18</v>
      </c>
      <c r="F42" s="53"/>
      <c r="H42" s="54" t="s">
        <v>19</v>
      </c>
      <c r="I42" s="54"/>
      <c r="J42" s="2" t="s">
        <v>20</v>
      </c>
    </row>
  </sheetData>
  <mergeCells count="33">
    <mergeCell ref="B37:J37"/>
    <mergeCell ref="B42:C42"/>
    <mergeCell ref="E42:F42"/>
    <mergeCell ref="H42:I42"/>
    <mergeCell ref="B31:J31"/>
    <mergeCell ref="B32:J32"/>
    <mergeCell ref="B33:J33"/>
    <mergeCell ref="B34:J34"/>
    <mergeCell ref="B35:J35"/>
    <mergeCell ref="B36:J36"/>
    <mergeCell ref="B30:J30"/>
    <mergeCell ref="H16:I16"/>
    <mergeCell ref="H17:I17"/>
    <mergeCell ref="H18:I18"/>
    <mergeCell ref="H19:I19"/>
    <mergeCell ref="H20:I20"/>
    <mergeCell ref="H21:I21"/>
    <mergeCell ref="H22:I22"/>
    <mergeCell ref="B25:J25"/>
    <mergeCell ref="B27:J27"/>
    <mergeCell ref="B28:J28"/>
    <mergeCell ref="B29:J29"/>
    <mergeCell ref="H15:I15"/>
    <mergeCell ref="E2:F2"/>
    <mergeCell ref="H6:I6"/>
    <mergeCell ref="H7:I7"/>
    <mergeCell ref="H8:I8"/>
    <mergeCell ref="H9:I9"/>
    <mergeCell ref="H10:I10"/>
    <mergeCell ref="H11:I11"/>
    <mergeCell ref="H12:I12"/>
    <mergeCell ref="H13:I13"/>
    <mergeCell ref="H14:I14"/>
  </mergeCells>
  <pageMargins left="0.7" right="0.7" top="0.75" bottom="0.75" header="0.3" footer="0.3"/>
  <pageSetup scale="66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5DB4063CA6254CA7AE1C6AB1A0E203" ma:contentTypeVersion="14" ma:contentTypeDescription="Create a new document." ma:contentTypeScope="" ma:versionID="aa6a2207218d003a33197d42270b06a6">
  <xsd:schema xmlns:xsd="http://www.w3.org/2001/XMLSchema" xmlns:xs="http://www.w3.org/2001/XMLSchema" xmlns:p="http://schemas.microsoft.com/office/2006/metadata/properties" xmlns:ns2="8be24d1f-f08e-46a7-9c6b-0452813a2a77" xmlns:ns3="1cca795c-b702-4d9c-a00f-4ea8e3fb1866" targetNamespace="http://schemas.microsoft.com/office/2006/metadata/properties" ma:root="true" ma:fieldsID="36946071ae238f9df883a13be9ca226d" ns2:_="" ns3:_="">
    <xsd:import namespace="8be24d1f-f08e-46a7-9c6b-0452813a2a77"/>
    <xsd:import namespace="1cca795c-b702-4d9c-a00f-4ea8e3fb18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e24d1f-f08e-46a7-9c6b-0452813a2a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5be1fd7-7535-4a18-99f7-c6c8bb01b2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ca795c-b702-4d9c-a00f-4ea8e3fb186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3a427014-70be-4e72-952d-11e5995fb69d}" ma:internalName="TaxCatchAll" ma:showField="CatchAllData" ma:web="1cca795c-b702-4d9c-a00f-4ea8e3fb18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be24d1f-f08e-46a7-9c6b-0452813a2a77">
      <Terms xmlns="http://schemas.microsoft.com/office/infopath/2007/PartnerControls"/>
    </lcf76f155ced4ddcb4097134ff3c332f>
    <TaxCatchAll xmlns="1cca795c-b702-4d9c-a00f-4ea8e3fb1866" xsi:nil="true"/>
  </documentManagement>
</p:properties>
</file>

<file path=customXml/itemProps1.xml><?xml version="1.0" encoding="utf-8"?>
<ds:datastoreItem xmlns:ds="http://schemas.openxmlformats.org/officeDocument/2006/customXml" ds:itemID="{13F9A86A-84EA-4C54-B3E4-B8FDAFE274D4}"/>
</file>

<file path=customXml/itemProps2.xml><?xml version="1.0" encoding="utf-8"?>
<ds:datastoreItem xmlns:ds="http://schemas.openxmlformats.org/officeDocument/2006/customXml" ds:itemID="{FF48B9DF-B103-4C81-9B08-3DE8331D208C}"/>
</file>

<file path=customXml/itemProps3.xml><?xml version="1.0" encoding="utf-8"?>
<ds:datastoreItem xmlns:ds="http://schemas.openxmlformats.org/officeDocument/2006/customXml" ds:itemID="{083D735E-D843-4D47-96FA-8287B55BEA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Shitake Sticky Rice</vt:lpstr>
      <vt:lpstr>Cooked Rice </vt:lpstr>
      <vt:lpstr>Cooked Shitake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Huynh</dc:creator>
  <cp:lastModifiedBy>Christian Huynh</cp:lastModifiedBy>
  <cp:lastPrinted>2024-08-27T13:11:56Z</cp:lastPrinted>
  <dcterms:created xsi:type="dcterms:W3CDTF">2023-08-17T15:10:54Z</dcterms:created>
  <dcterms:modified xsi:type="dcterms:W3CDTF">2024-10-10T03:48:32Z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0x0101000B5DB4063CA6254CA7AE1C6AB1A0E203</vt:lpwstr>
  </property>
</Properties>
</file>