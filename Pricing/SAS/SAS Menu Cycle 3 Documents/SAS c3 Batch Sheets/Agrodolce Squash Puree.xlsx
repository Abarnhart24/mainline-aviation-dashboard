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FALL SEPT - NOV 1 BATCH SHEETS/"/>
    </mc:Choice>
  </mc:AlternateContent>
  <xr:revisionPtr revIDLastSave="40" documentId="8_{CD0DEB9D-193F-444C-A573-4B32B0524CC8}" xr6:coauthVersionLast="47" xr6:coauthVersionMax="47" xr10:uidLastSave="{10C7B875-D6FB-4CF7-AAD3-215E8A740140}"/>
  <bookViews>
    <workbookView xWindow="10140" yWindow="0" windowWidth="10455" windowHeight="10905" xr2:uid="{A7CAD8E3-4471-434B-B03C-E7D80ACAF5E0}"/>
  </bookViews>
  <sheets>
    <sheet name="Squash Agrodol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F23" i="1" s="1"/>
  <c r="G23" i="1" s="1"/>
  <c r="F8" i="1" l="1"/>
  <c r="G8" i="1" s="1"/>
  <c r="F10" i="1"/>
  <c r="G10" i="1" s="1"/>
  <c r="F14" i="1"/>
  <c r="G14" i="1" s="1"/>
  <c r="F22" i="1"/>
  <c r="G22" i="1" s="1"/>
  <c r="F16" i="1"/>
  <c r="G16" i="1" s="1"/>
  <c r="F18" i="1"/>
  <c r="G18" i="1" s="1"/>
  <c r="F12" i="1"/>
  <c r="G12" i="1" s="1"/>
  <c r="F20" i="1"/>
  <c r="G20" i="1" s="1"/>
  <c r="F7" i="1"/>
  <c r="F9" i="1"/>
  <c r="G9" i="1" s="1"/>
  <c r="F11" i="1"/>
  <c r="G11" i="1" s="1"/>
  <c r="F13" i="1"/>
  <c r="G13" i="1" s="1"/>
  <c r="F15" i="1"/>
  <c r="G15" i="1" s="1"/>
  <c r="F17" i="1"/>
  <c r="G17" i="1" s="1"/>
  <c r="F19" i="1"/>
  <c r="G19" i="1" s="1"/>
  <c r="F21" i="1"/>
  <c r="G21" i="1" s="1"/>
  <c r="G7" i="1" l="1"/>
  <c r="G24" i="1" s="1"/>
  <c r="G25" i="1" s="1"/>
  <c r="F24" i="1"/>
</calcChain>
</file>

<file path=xl/sharedStrings.xml><?xml version="1.0" encoding="utf-8"?>
<sst xmlns="http://schemas.openxmlformats.org/spreadsheetml/2006/main" count="66" uniqueCount="49">
  <si>
    <t>Formula Name:</t>
  </si>
  <si>
    <t>R&amp;D ID Number:</t>
  </si>
  <si>
    <t>Version #:</t>
  </si>
  <si>
    <t>Batch Number:</t>
  </si>
  <si>
    <t>Desired QTY (lb):</t>
  </si>
  <si>
    <t>Yield Loss:</t>
  </si>
  <si>
    <t>%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</si>
  <si>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</si>
  <si>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</si>
  <si>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</si>
  <si>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</si>
  <si>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</si>
  <si>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</si>
  <si>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</si>
  <si>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</si>
  <si>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</si>
  <si>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</si>
  <si>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</si>
  <si>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</si>
  <si>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</si>
  <si>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</si>
  <si>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</si>
  <si>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</si>
  <si>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</si>
  <si>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</si>
  <si>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Squash Agrodolce</t>
  </si>
  <si>
    <t>Water</t>
  </si>
  <si>
    <t>Butternut Squash</t>
  </si>
  <si>
    <t>Combine all ingredients Highlighted in Blue together into a pot</t>
  </si>
  <si>
    <t>Reserve some liquid from mixture for thermflo slurry set aside</t>
  </si>
  <si>
    <t xml:space="preserve">Bring the mixture in pot to a boil </t>
  </si>
  <si>
    <t>QA to temp mixture at 180F before adding thermflo slurry</t>
  </si>
  <si>
    <t>Once thickened remove from heat</t>
  </si>
  <si>
    <t>Blend with stick blender until sauce is smooth</t>
  </si>
  <si>
    <t>Store below 40F until ready for pack out</t>
  </si>
  <si>
    <t>C057</t>
  </si>
  <si>
    <t>ONION WHOLE YELLOW</t>
  </si>
  <si>
    <t>D257</t>
  </si>
  <si>
    <t>OIL BLENDED 75%/25%</t>
  </si>
  <si>
    <t>D322</t>
  </si>
  <si>
    <t>VINEGAR, WHITE BALSAMIC</t>
  </si>
  <si>
    <t>D160</t>
  </si>
  <si>
    <t>SUGAR GRANULATED</t>
  </si>
  <si>
    <t>D089</t>
  </si>
  <si>
    <t>SALT EVAPORATED</t>
  </si>
  <si>
    <t>D218</t>
  </si>
  <si>
    <t>STARCH THERM FLOR</t>
  </si>
  <si>
    <t>D151</t>
  </si>
  <si>
    <t>SPICE TURMERIC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</si>
</sst>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2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7" borderId="4" xfId="0" applyFill="1" applyBorder="1"/>
    <xf numFmtId="0" fontId="0" fillId="8" borderId="4" xfId="0" applyFill="1" applyBorder="1"/>
    <xf numFmtId="2" fontId="0" fillId="8" borderId="4" xfId="1" applyNumberFormat="1" applyFont="1" applyFill="1" applyBorder="1" applyAlignment="1">
      <alignment horizontal="center"/>
    </xf>
    <xf numFmtId="2" fontId="0" fillId="7" borderId="4" xfId="1" applyNumberFormat="1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6" borderId="5" xfId="0" applyFill="1" applyBorder="1"/>
    <xf numFmtId="0" fontId="0" fillId="6" borderId="7" xfId="0" applyFill="1" applyBorder="1"/>
    <xf numFmtId="0" fontId="0" fillId="6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90BC-F695-4557-8609-FFA0E35BC479}">
  <sheetPr>
    <pageSetUpPr fitToPage="1"/>
  </sheetPr>
  <dimension ref="A1:J43"/>
  <sheetViews>
    <sheetView tabSelected="1" topLeftCell="B1" zoomScale="80" zoomScaleNormal="80" workbookViewId="0">
      <selection activeCell="G8" sqref="G8:G1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43"/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4</v>
      </c>
      <c r="C4" s="10">
        <v>12.2</v>
      </c>
      <c r="D4" s="9"/>
      <c r="F4" s="2" t="s">
        <v>5</v>
      </c>
      <c r="G4" s="11">
        <v>0.18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7</v>
      </c>
      <c r="C6" s="12" t="s">
        <v>8</v>
      </c>
      <c r="D6" s="12" t="s">
        <v>9</v>
      </c>
      <c r="E6" s="12" t="s">
        <v>10</v>
      </c>
      <c r="F6" s="12" t="s">
        <v>6</v>
      </c>
      <c r="G6" s="12" t="s">
        <v>11</v>
      </c>
      <c r="H6" s="44" t="s">
        <v>12</v>
      </c>
      <c r="I6" s="45"/>
      <c r="J6" s="12" t="s">
        <v>13</v>
      </c>
    </row>
    <row r="7" spans="1:10" x14ac:dyDescent="0.25">
      <c r="A7" s="1">
        <v>1</v>
      </c>
      <c r="B7" s="13"/>
      <c r="C7" s="28" t="s">
        <v>26</v>
      </c>
      <c r="D7" s="14">
        <v>350</v>
      </c>
      <c r="E7" s="14" t="s">
        <v>14</v>
      </c>
      <c r="F7" s="15">
        <f t="shared" ref="F7:F23" si="0">D7/D$24</f>
        <v>0.49645390070921985</v>
      </c>
      <c r="G7" s="29">
        <f>C4*F7</f>
        <v>6.0567375886524815</v>
      </c>
      <c r="H7" s="34"/>
      <c r="I7" s="35"/>
      <c r="J7" s="17"/>
    </row>
    <row r="8" spans="1:10" x14ac:dyDescent="0.25">
      <c r="A8" s="1">
        <v>2</v>
      </c>
      <c r="B8" s="13"/>
      <c r="C8" s="28" t="s">
        <v>27</v>
      </c>
      <c r="D8" s="14">
        <v>200</v>
      </c>
      <c r="E8" s="14" t="s">
        <v>14</v>
      </c>
      <c r="F8" s="15">
        <f t="shared" si="0"/>
        <v>0.28368794326241137</v>
      </c>
      <c r="G8" s="29">
        <f>C4*F8</f>
        <v>3.4609929078014185</v>
      </c>
      <c r="H8" s="34"/>
      <c r="I8" s="35"/>
      <c r="J8" s="17"/>
    </row>
    <row r="9" spans="1:10" x14ac:dyDescent="0.25">
      <c r="A9" s="1">
        <v>3</v>
      </c>
      <c r="B9" s="13" t="s">
        <v>35</v>
      </c>
      <c r="C9" s="28" t="s">
        <v>36</v>
      </c>
      <c r="D9" s="14">
        <v>80</v>
      </c>
      <c r="E9" s="14" t="s">
        <v>14</v>
      </c>
      <c r="F9" s="15">
        <f t="shared" si="0"/>
        <v>0.11347517730496454</v>
      </c>
      <c r="G9" s="29">
        <f>C4*F9</f>
        <v>1.3843971631205672</v>
      </c>
      <c r="H9" s="34"/>
      <c r="I9" s="35"/>
      <c r="J9" s="17"/>
    </row>
    <row r="10" spans="1:10" x14ac:dyDescent="0.25">
      <c r="A10" s="1">
        <v>4</v>
      </c>
      <c r="B10" s="13" t="s">
        <v>37</v>
      </c>
      <c r="C10" s="28" t="s">
        <v>38</v>
      </c>
      <c r="D10" s="14">
        <v>30</v>
      </c>
      <c r="E10" s="14" t="s">
        <v>14</v>
      </c>
      <c r="F10" s="15">
        <f t="shared" si="0"/>
        <v>4.2553191489361701E-2</v>
      </c>
      <c r="G10" s="29">
        <f>C4*F10</f>
        <v>0.51914893617021274</v>
      </c>
      <c r="H10" s="34"/>
      <c r="I10" s="35"/>
      <c r="J10" s="17"/>
    </row>
    <row r="11" spans="1:10" x14ac:dyDescent="0.25">
      <c r="A11" s="1">
        <v>5</v>
      </c>
      <c r="B11" s="13" t="s">
        <v>39</v>
      </c>
      <c r="C11" s="28" t="s">
        <v>40</v>
      </c>
      <c r="D11" s="14">
        <v>24</v>
      </c>
      <c r="E11" s="14" t="s">
        <v>14</v>
      </c>
      <c r="F11" s="15">
        <f t="shared" si="0"/>
        <v>3.4042553191489362E-2</v>
      </c>
      <c r="G11" s="29">
        <f>C4*F11</f>
        <v>0.41531914893617017</v>
      </c>
      <c r="H11" s="34"/>
      <c r="I11" s="35"/>
      <c r="J11" s="17"/>
    </row>
    <row r="12" spans="1:10" x14ac:dyDescent="0.25">
      <c r="A12" s="1">
        <v>6</v>
      </c>
      <c r="B12" s="13" t="s">
        <v>41</v>
      </c>
      <c r="C12" s="28" t="s">
        <v>42</v>
      </c>
      <c r="D12" s="14">
        <v>10</v>
      </c>
      <c r="E12" s="14" t="s">
        <v>14</v>
      </c>
      <c r="F12" s="15">
        <f t="shared" si="0"/>
        <v>1.4184397163120567E-2</v>
      </c>
      <c r="G12" s="29">
        <f>C4*F12</f>
        <v>0.17304964539007089</v>
      </c>
      <c r="H12" s="34"/>
      <c r="I12" s="35"/>
      <c r="J12" s="17"/>
    </row>
    <row r="13" spans="1:10" x14ac:dyDescent="0.25">
      <c r="A13" s="1">
        <v>7</v>
      </c>
      <c r="B13" s="13" t="s">
        <v>43</v>
      </c>
      <c r="C13" s="28" t="s">
        <v>44</v>
      </c>
      <c r="D13" s="14">
        <v>5</v>
      </c>
      <c r="E13" s="14" t="s">
        <v>14</v>
      </c>
      <c r="F13" s="15">
        <f t="shared" si="0"/>
        <v>7.0921985815602835E-3</v>
      </c>
      <c r="G13" s="29">
        <f>C4*F13</f>
        <v>8.6524822695035447E-2</v>
      </c>
      <c r="H13" s="34"/>
      <c r="I13" s="35"/>
      <c r="J13" s="17"/>
    </row>
    <row r="14" spans="1:10" x14ac:dyDescent="0.25">
      <c r="A14" s="1">
        <v>8</v>
      </c>
      <c r="B14" s="13" t="s">
        <v>45</v>
      </c>
      <c r="C14" s="27" t="s">
        <v>46</v>
      </c>
      <c r="D14" s="14">
        <v>5</v>
      </c>
      <c r="E14" s="14" t="s">
        <v>14</v>
      </c>
      <c r="F14" s="15">
        <f t="shared" si="0"/>
        <v>7.0921985815602835E-3</v>
      </c>
      <c r="G14" s="30">
        <f>C4*F14</f>
        <v>8.6524822695035447E-2</v>
      </c>
      <c r="H14" s="34"/>
      <c r="I14" s="35"/>
      <c r="J14" s="17"/>
    </row>
    <row r="15" spans="1:10" x14ac:dyDescent="0.25">
      <c r="A15" s="1">
        <v>9</v>
      </c>
      <c r="B15" s="13" t="s">
        <v>47</v>
      </c>
      <c r="C15" s="28" t="s">
        <v>48</v>
      </c>
      <c r="D15" s="14">
        <v>1</v>
      </c>
      <c r="E15" s="14" t="s">
        <v>14</v>
      </c>
      <c r="F15" s="15">
        <f t="shared" si="0"/>
        <v>1.4184397163120568E-3</v>
      </c>
      <c r="G15" s="29">
        <f>C4*F15</f>
        <v>1.7304964539007092E-2</v>
      </c>
      <c r="H15" s="34"/>
      <c r="I15" s="35"/>
      <c r="J15" s="17"/>
    </row>
    <row r="16" spans="1:10" x14ac:dyDescent="0.25">
      <c r="A16" s="1">
        <v>10</v>
      </c>
      <c r="B16" s="13"/>
      <c r="C16" s="13"/>
      <c r="D16" s="14"/>
      <c r="E16" s="14" t="s">
        <v>14</v>
      </c>
      <c r="F16" s="15">
        <f t="shared" si="0"/>
        <v>0</v>
      </c>
      <c r="G16" s="16">
        <f>C4*F16</f>
        <v>0</v>
      </c>
      <c r="H16" s="34"/>
      <c r="I16" s="35"/>
      <c r="J16" s="17"/>
    </row>
    <row r="17" spans="1:10" x14ac:dyDescent="0.25">
      <c r="A17" s="1">
        <v>11</v>
      </c>
      <c r="B17" s="13"/>
      <c r="C17" s="13"/>
      <c r="D17" s="14"/>
      <c r="E17" s="14" t="s">
        <v>14</v>
      </c>
      <c r="F17" s="15">
        <f t="shared" si="0"/>
        <v>0</v>
      </c>
      <c r="G17" s="16">
        <f>C4*F17</f>
        <v>0</v>
      </c>
      <c r="H17" s="34"/>
      <c r="I17" s="35"/>
      <c r="J17" s="17"/>
    </row>
    <row r="18" spans="1:10" x14ac:dyDescent="0.25">
      <c r="A18" s="1">
        <v>12</v>
      </c>
      <c r="B18" s="13"/>
      <c r="C18" s="13"/>
      <c r="D18" s="14"/>
      <c r="E18" s="14" t="s">
        <v>14</v>
      </c>
      <c r="F18" s="15">
        <f t="shared" si="0"/>
        <v>0</v>
      </c>
      <c r="G18" s="16">
        <f>C4*F18</f>
        <v>0</v>
      </c>
      <c r="H18" s="34"/>
      <c r="I18" s="35"/>
      <c r="J18" s="17"/>
    </row>
    <row r="19" spans="1:10" x14ac:dyDescent="0.25">
      <c r="A19" s="1">
        <v>13</v>
      </c>
      <c r="B19" s="13"/>
      <c r="C19" s="13"/>
      <c r="D19" s="14"/>
      <c r="E19" s="14" t="s">
        <v>14</v>
      </c>
      <c r="F19" s="15">
        <f t="shared" si="0"/>
        <v>0</v>
      </c>
      <c r="G19" s="16">
        <f>C4*F19</f>
        <v>0</v>
      </c>
      <c r="H19" s="34"/>
      <c r="I19" s="35"/>
      <c r="J19" s="17"/>
    </row>
    <row r="20" spans="1:10" x14ac:dyDescent="0.25">
      <c r="A20" s="1">
        <v>14</v>
      </c>
      <c r="B20" s="13"/>
      <c r="C20" s="13"/>
      <c r="D20" s="14"/>
      <c r="E20" s="14" t="s">
        <v>14</v>
      </c>
      <c r="F20" s="15">
        <f t="shared" si="0"/>
        <v>0</v>
      </c>
      <c r="G20" s="16">
        <f>C4*F20</f>
        <v>0</v>
      </c>
      <c r="H20" s="34"/>
      <c r="I20" s="35"/>
      <c r="J20" s="17"/>
    </row>
    <row r="21" spans="1:10" x14ac:dyDescent="0.25">
      <c r="A21" s="1">
        <v>15</v>
      </c>
      <c r="B21" s="13"/>
      <c r="C21" s="13"/>
      <c r="D21" s="14"/>
      <c r="E21" s="14" t="s">
        <v>14</v>
      </c>
      <c r="F21" s="15">
        <f t="shared" si="0"/>
        <v>0</v>
      </c>
      <c r="G21" s="16">
        <f>C4*F21</f>
        <v>0</v>
      </c>
      <c r="H21" s="34"/>
      <c r="I21" s="35"/>
      <c r="J21" s="17"/>
    </row>
    <row r="22" spans="1:10" x14ac:dyDescent="0.25">
      <c r="A22" s="1">
        <v>16</v>
      </c>
      <c r="B22" s="13"/>
      <c r="C22" s="13"/>
      <c r="D22" s="14"/>
      <c r="E22" s="14" t="s">
        <v>14</v>
      </c>
      <c r="F22" s="15">
        <f t="shared" si="0"/>
        <v>0</v>
      </c>
      <c r="G22" s="16">
        <f>C4*F22</f>
        <v>0</v>
      </c>
      <c r="H22" s="34"/>
      <c r="I22" s="35"/>
      <c r="J22" s="17"/>
    </row>
    <row r="23" spans="1:10" x14ac:dyDescent="0.25">
      <c r="A23" s="1">
        <v>17</v>
      </c>
      <c r="B23" s="13"/>
      <c r="C23" s="13"/>
      <c r="D23" s="14"/>
      <c r="E23" s="14" t="s">
        <v>14</v>
      </c>
      <c r="F23" s="15">
        <f t="shared" si="0"/>
        <v>0</v>
      </c>
      <c r="G23" s="16">
        <f>C4*F23</f>
        <v>0</v>
      </c>
      <c r="H23" s="34"/>
      <c r="I23" s="35"/>
      <c r="J23" s="17"/>
    </row>
    <row r="24" spans="1:10" x14ac:dyDescent="0.25">
      <c r="C24" s="18" t="s">
        <v>15</v>
      </c>
      <c r="D24" s="1">
        <f>SUM(D7:D23)</f>
        <v>705</v>
      </c>
      <c r="E24" s="1" t="s">
        <v>14</v>
      </c>
      <c r="F24" s="19">
        <f>SUM(F7:F23)</f>
        <v>1</v>
      </c>
      <c r="G24" s="20">
        <f>SUM(G7:G23)</f>
        <v>12.199999999999998</v>
      </c>
      <c r="H24" s="21" t="s">
        <v>16</v>
      </c>
    </row>
    <row r="25" spans="1:10" x14ac:dyDescent="0.25">
      <c r="F25" s="11" t="s">
        <v>17</v>
      </c>
      <c r="G25" s="22">
        <f>-G24*G4+C4</f>
        <v>10.004</v>
      </c>
    </row>
    <row r="26" spans="1:10" ht="15.75" x14ac:dyDescent="0.25">
      <c r="A26"/>
      <c r="B26" s="36" t="s">
        <v>18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3" t="s">
        <v>19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1">
        <v>1</v>
      </c>
      <c r="B28" s="37" t="s">
        <v>28</v>
      </c>
      <c r="C28" s="38"/>
      <c r="D28" s="38"/>
      <c r="E28" s="38"/>
      <c r="F28" s="38"/>
      <c r="G28" s="38"/>
      <c r="H28" s="38"/>
      <c r="I28" s="38"/>
      <c r="J28" s="39"/>
    </row>
    <row r="29" spans="1:10" x14ac:dyDescent="0.25">
      <c r="A29" s="1">
        <v>2</v>
      </c>
      <c r="B29" s="37" t="s">
        <v>29</v>
      </c>
      <c r="C29" s="38"/>
      <c r="D29" s="38"/>
      <c r="E29" s="38"/>
      <c r="F29" s="38"/>
      <c r="G29" s="38"/>
      <c r="H29" s="38"/>
      <c r="I29" s="38"/>
      <c r="J29" s="39"/>
    </row>
    <row r="30" spans="1:10" x14ac:dyDescent="0.25">
      <c r="A30" s="1">
        <v>3</v>
      </c>
      <c r="B30" s="40" t="s">
        <v>30</v>
      </c>
      <c r="C30" s="41"/>
      <c r="D30" s="41"/>
      <c r="E30" s="41"/>
      <c r="F30" s="41"/>
      <c r="G30" s="41"/>
      <c r="H30" s="41"/>
      <c r="I30" s="41"/>
      <c r="J30" s="42"/>
    </row>
    <row r="31" spans="1:10" x14ac:dyDescent="0.25">
      <c r="A31" s="1">
        <v>4</v>
      </c>
      <c r="B31" s="31" t="s">
        <v>31</v>
      </c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 t="s">
        <v>32</v>
      </c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 t="s">
        <v>33</v>
      </c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 t="s">
        <v>34</v>
      </c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20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32" t="s">
        <v>21</v>
      </c>
      <c r="C43" s="32"/>
      <c r="E43" s="32" t="s">
        <v>22</v>
      </c>
      <c r="F43" s="32"/>
      <c r="H43" s="33" t="s">
        <v>23</v>
      </c>
      <c r="I43" s="33"/>
      <c r="J43" s="2" t="s">
        <v>24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C2DD15CF-B61C-4AF0-8EDF-0FF3A4B205E9}"/>
</file>

<file path=customXml/itemProps2.xml><?xml version="1.0" encoding="utf-8"?>
<ds:datastoreItem xmlns:ds="http://schemas.openxmlformats.org/officeDocument/2006/customXml" ds:itemID="{56A2C5EB-DFDA-4E1F-ADA2-A9E49FFC90DD}"/>
</file>

<file path=customXml/itemProps3.xml><?xml version="1.0" encoding="utf-8"?>
<ds:datastoreItem xmlns:ds="http://schemas.openxmlformats.org/officeDocument/2006/customXml" ds:itemID="{62F7031D-A436-4150-87EE-6E9119664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Squash Agrodolce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2024-08-14T02:45:06Z</dcterms:created>
  <dcterms:modified xsi:type="dcterms:W3CDTF">2024-10-09T18:34:10Z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