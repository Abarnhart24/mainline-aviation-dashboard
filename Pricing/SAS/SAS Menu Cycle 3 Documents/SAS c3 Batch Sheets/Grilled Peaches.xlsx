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Sulivan rd/Batch Formulas Sulivan Rd/Commissary Joseph/"/>
    </mc:Choice>
  </mc:AlternateContent>
  <xr:revisionPtr revIDLastSave="15" documentId="8_{B518540A-88DA-4C35-8ED4-F51310B6CF9E}" xr6:coauthVersionLast="47" xr6:coauthVersionMax="47" xr10:uidLastSave="{F202DF5E-1681-40CF-91B7-E17CBF1FA0BB}"/>
  <bookViews>
    <workbookView xWindow="10140" yWindow="0" windowWidth="10455" windowHeight="10905" xr2:uid="{9D773142-25FF-402D-A059-87F5C56EFE7F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F21" i="5" s="1"/>
  <c r="G21" i="5" s="1"/>
  <c r="F9" i="5" l="1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<sst xmlns="http://schemas.openxmlformats.org/spreadsheetml/2006/main" count="50" uniqueCount="33">
  <si>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</si>
  <si>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</si>
  <si>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</si>
  <si>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</si>
  <si>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</si>
  <si>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</si>
  <si>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</si>
  <si>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</si>
  <si>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</si>
  <si>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</si>
  <si>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</si>
  <si>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</si>
  <si>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</si>
  <si>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</si>
  <si>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</si>
  <si>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</si>
  <si>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</si>
  <si>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</si>
  <si>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</si>
  <si>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</si>
  <si>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</si>
  <si>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</si>
  <si>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</si>
  <si>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</si>
  <si>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</si>
  <si>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Grilled Peaches</t>
  </si>
  <si>
    <t>Spray peaches with cooking spray</t>
  </si>
  <si>
    <t>grill on both sides</t>
  </si>
  <si>
    <t>Cool and Store below 40F</t>
  </si>
  <si>
    <t>C365</t>
  </si>
  <si>
    <t>PEACH WHOLE</t>
  </si>
  <si>
    <t>D023</t>
  </si>
  <si>
    <t>WHITE CAP BAKERY RELEASE SPRAY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</si>
</sst>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4" xfId="0" applyBorder="1"/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topLeftCell="C1" workbookViewId="0">
      <selection activeCell="G7" sqref="G7:G8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25</v>
      </c>
      <c r="D2" s="5" t="s">
        <v>1</v>
      </c>
      <c r="E2" s="29"/>
      <c r="F2" s="2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28</v>
      </c>
      <c r="D4" s="9"/>
      <c r="F4" s="2" t="s">
        <v>22</v>
      </c>
      <c r="G4" s="25">
        <v>0.1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30" t="s">
        <v>10</v>
      </c>
      <c r="I6" s="31"/>
      <c r="J6" s="11" t="s">
        <v>11</v>
      </c>
    </row>
    <row r="7" spans="1:10" x14ac:dyDescent="0.25">
      <c r="A7" s="1">
        <v>1</v>
      </c>
      <c r="B7" s="12" t="s">
        <v>29</v>
      </c>
      <c r="C7" s="12" t="s">
        <v>30</v>
      </c>
      <c r="D7" s="13">
        <v>1</v>
      </c>
      <c r="E7" s="13" t="s">
        <v>23</v>
      </c>
      <c r="F7" s="14">
        <f t="shared" ref="F7:F23" si="0">D7/D$24</f>
        <v>0.99009900990099009</v>
      </c>
      <c r="G7" s="15">
        <f>C4*F7</f>
        <v>27.722772277227723</v>
      </c>
      <c r="H7" s="27"/>
      <c r="I7" s="28"/>
      <c r="J7" s="16"/>
    </row>
    <row r="8" spans="1:10" x14ac:dyDescent="0.25">
      <c r="A8" s="1">
        <v>2</v>
      </c>
      <c r="B8" s="12" t="s">
        <v>31</v>
      </c>
      <c r="C8" s="12" t="s">
        <v>32</v>
      </c>
      <c r="D8" s="13">
        <v>0.01</v>
      </c>
      <c r="E8" s="13" t="s">
        <v>23</v>
      </c>
      <c r="F8" s="14">
        <f t="shared" si="0"/>
        <v>9.9009900990099011E-3</v>
      </c>
      <c r="G8" s="15">
        <f>C4*F8</f>
        <v>0.27722772277227725</v>
      </c>
      <c r="H8" s="27"/>
      <c r="I8" s="28"/>
      <c r="J8" s="16"/>
    </row>
    <row r="9" spans="1:10" x14ac:dyDescent="0.25">
      <c r="A9" s="1">
        <v>3</v>
      </c>
      <c r="B9" s="12"/>
      <c r="C9" s="12"/>
      <c r="D9" s="13"/>
      <c r="E9" s="13" t="s">
        <v>23</v>
      </c>
      <c r="F9" s="14">
        <f t="shared" si="0"/>
        <v>0</v>
      </c>
      <c r="G9" s="15">
        <f>C4*F9</f>
        <v>0</v>
      </c>
      <c r="H9" s="27"/>
      <c r="I9" s="28"/>
      <c r="J9" s="16"/>
    </row>
    <row r="10" spans="1:10" x14ac:dyDescent="0.25">
      <c r="A10" s="1">
        <v>4</v>
      </c>
      <c r="B10" s="12"/>
      <c r="C10" s="12"/>
      <c r="D10" s="13"/>
      <c r="E10" s="13" t="s">
        <v>23</v>
      </c>
      <c r="F10" s="14">
        <f t="shared" si="0"/>
        <v>0</v>
      </c>
      <c r="G10" s="15">
        <f>C4*F10</f>
        <v>0</v>
      </c>
      <c r="H10" s="27"/>
      <c r="I10" s="28"/>
      <c r="J10" s="16"/>
    </row>
    <row r="11" spans="1:10" x14ac:dyDescent="0.25">
      <c r="A11" s="1">
        <v>5</v>
      </c>
      <c r="B11" s="12"/>
      <c r="C11" s="12"/>
      <c r="D11" s="13"/>
      <c r="E11" s="13" t="s">
        <v>23</v>
      </c>
      <c r="F11" s="14">
        <f t="shared" si="0"/>
        <v>0</v>
      </c>
      <c r="G11" s="15">
        <f>C4*F11</f>
        <v>0</v>
      </c>
      <c r="H11" s="27"/>
      <c r="I11" s="28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27"/>
      <c r="I12" s="28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27"/>
      <c r="I13" s="28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27"/>
      <c r="I14" s="28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27"/>
      <c r="I15" s="28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27"/>
      <c r="I16" s="28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27"/>
      <c r="I17" s="28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27"/>
      <c r="I18" s="28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27"/>
      <c r="I19" s="28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27"/>
      <c r="I20" s="28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27"/>
      <c r="I21" s="28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27"/>
      <c r="I22" s="28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27"/>
      <c r="I23" s="28"/>
      <c r="J23" s="16"/>
    </row>
    <row r="24" spans="1:10" x14ac:dyDescent="0.25">
      <c r="C24" s="17" t="s">
        <v>12</v>
      </c>
      <c r="D24" s="1">
        <f>SUM(D7:D23)</f>
        <v>1.01</v>
      </c>
      <c r="E24" s="1" t="s">
        <v>23</v>
      </c>
      <c r="F24" s="18">
        <f>SUM(F7:F23)</f>
        <v>1</v>
      </c>
      <c r="G24" s="26">
        <f>SUM(G7:G23)</f>
        <v>28</v>
      </c>
      <c r="H24" s="19" t="s">
        <v>13</v>
      </c>
    </row>
    <row r="25" spans="1:10" x14ac:dyDescent="0.25">
      <c r="F25" s="25" t="s">
        <v>24</v>
      </c>
      <c r="G25" s="20">
        <f>-G24*G4+C4</f>
        <v>25.2</v>
      </c>
    </row>
    <row r="26" spans="1:10" ht="15.75" x14ac:dyDescent="0.25">
      <c r="A26"/>
      <c r="B26" s="33" t="s">
        <v>14</v>
      </c>
      <c r="C26" s="33"/>
      <c r="D26" s="33"/>
      <c r="E26" s="33"/>
      <c r="F26" s="33"/>
      <c r="G26" s="33"/>
      <c r="H26" s="33"/>
      <c r="I26" s="33"/>
      <c r="J26" s="33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4" t="s">
        <v>26</v>
      </c>
      <c r="C28" s="35"/>
      <c r="D28" s="35"/>
      <c r="E28" s="35"/>
      <c r="F28" s="35"/>
      <c r="G28" s="35"/>
      <c r="H28" s="35"/>
      <c r="I28" s="35"/>
      <c r="J28" s="36"/>
    </row>
    <row r="29" spans="1:10" x14ac:dyDescent="0.25">
      <c r="A29" s="1">
        <v>2</v>
      </c>
      <c r="B29" s="34" t="s">
        <v>27</v>
      </c>
      <c r="C29" s="35"/>
      <c r="D29" s="35"/>
      <c r="E29" s="35"/>
      <c r="F29" s="35"/>
      <c r="G29" s="35"/>
      <c r="H29" s="35"/>
      <c r="I29" s="35"/>
      <c r="J29" s="36"/>
    </row>
    <row r="30" spans="1:10" x14ac:dyDescent="0.25">
      <c r="A30" s="1">
        <v>3</v>
      </c>
      <c r="B30" s="37" t="s">
        <v>28</v>
      </c>
      <c r="C30" s="38"/>
      <c r="D30" s="38"/>
      <c r="E30" s="38"/>
      <c r="F30" s="38"/>
      <c r="G30" s="38"/>
      <c r="H30" s="38"/>
      <c r="I30" s="38"/>
      <c r="J30" s="39"/>
    </row>
    <row r="31" spans="1:10" x14ac:dyDescent="0.25">
      <c r="A31" s="1">
        <v>4</v>
      </c>
      <c r="B31" s="32"/>
      <c r="C31" s="32"/>
      <c r="D31" s="32"/>
      <c r="E31" s="32"/>
      <c r="F31" s="32"/>
      <c r="G31" s="32"/>
      <c r="H31" s="32"/>
      <c r="I31" s="32"/>
      <c r="J31" s="32"/>
    </row>
    <row r="32" spans="1:10" x14ac:dyDescent="0.25">
      <c r="A32" s="1">
        <v>5</v>
      </c>
      <c r="B32" s="32"/>
      <c r="C32" s="32"/>
      <c r="D32" s="32"/>
      <c r="E32" s="32"/>
      <c r="F32" s="32"/>
      <c r="G32" s="32"/>
      <c r="H32" s="32"/>
      <c r="I32" s="32"/>
      <c r="J32" s="32"/>
    </row>
    <row r="33" spans="1:10" x14ac:dyDescent="0.25">
      <c r="A33" s="1">
        <v>6</v>
      </c>
      <c r="B33" s="32"/>
      <c r="C33" s="32"/>
      <c r="D33" s="32"/>
      <c r="E33" s="32"/>
      <c r="F33" s="32"/>
      <c r="G33" s="32"/>
      <c r="H33" s="32"/>
      <c r="I33" s="32"/>
      <c r="J33" s="32"/>
    </row>
    <row r="34" spans="1:10" x14ac:dyDescent="0.25">
      <c r="A34" s="1">
        <v>7</v>
      </c>
      <c r="B34" s="32"/>
      <c r="C34" s="32"/>
      <c r="D34" s="32"/>
      <c r="E34" s="32"/>
      <c r="F34" s="32"/>
      <c r="G34" s="32"/>
      <c r="H34" s="32"/>
      <c r="I34" s="32"/>
      <c r="J34" s="32"/>
    </row>
    <row r="35" spans="1:10" x14ac:dyDescent="0.25">
      <c r="A35" s="1">
        <v>8</v>
      </c>
      <c r="B35" s="32"/>
      <c r="C35" s="32"/>
      <c r="D35" s="32"/>
      <c r="E35" s="32"/>
      <c r="F35" s="32"/>
      <c r="G35" s="32"/>
      <c r="H35" s="32"/>
      <c r="I35" s="32"/>
      <c r="J35" s="32"/>
    </row>
    <row r="36" spans="1:10" x14ac:dyDescent="0.25">
      <c r="A36" s="1">
        <v>9</v>
      </c>
      <c r="B36" s="32"/>
      <c r="C36" s="32"/>
      <c r="D36" s="32"/>
      <c r="E36" s="32"/>
      <c r="F36" s="32"/>
      <c r="G36" s="32"/>
      <c r="H36" s="32"/>
      <c r="I36" s="32"/>
      <c r="J36" s="32"/>
    </row>
    <row r="37" spans="1:10" x14ac:dyDescent="0.25">
      <c r="A37" s="1">
        <v>10</v>
      </c>
      <c r="B37" s="32"/>
      <c r="C37" s="32"/>
      <c r="D37" s="32"/>
      <c r="E37" s="32"/>
      <c r="F37" s="32"/>
      <c r="G37" s="32"/>
      <c r="H37" s="32"/>
      <c r="I37" s="32"/>
      <c r="J37" s="32"/>
    </row>
    <row r="38" spans="1:10" x14ac:dyDescent="0.25">
      <c r="A38" s="1">
        <v>11</v>
      </c>
      <c r="B38" s="32"/>
      <c r="C38" s="32"/>
      <c r="D38" s="32"/>
      <c r="E38" s="32"/>
      <c r="F38" s="32"/>
      <c r="G38" s="32"/>
      <c r="H38" s="32"/>
      <c r="I38" s="32"/>
      <c r="J38" s="32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40" t="s">
        <v>17</v>
      </c>
      <c r="C43" s="40"/>
      <c r="E43" s="40" t="s">
        <v>18</v>
      </c>
      <c r="F43" s="40"/>
      <c r="H43" s="41" t="s">
        <v>19</v>
      </c>
      <c r="I43" s="41"/>
      <c r="J43" s="2" t="s">
        <v>20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8FAF8342-2C3F-4772-BE38-90495AA7CFDC}"/>
</file>

<file path=customXml/itemProps2.xml><?xml version="1.0" encoding="utf-8"?>
<ds:datastoreItem xmlns:ds="http://schemas.openxmlformats.org/officeDocument/2006/customXml" ds:itemID="{22C7084E-ABFF-4DB3-B993-136A33F0194E}"/>
</file>

<file path=customXml/itemProps3.xml><?xml version="1.0" encoding="utf-8"?>
<ds:datastoreItem xmlns:ds="http://schemas.openxmlformats.org/officeDocument/2006/customXml" ds:itemID="{FBA297E6-902E-4C97-8BD6-9919866517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dcterms:created xsi:type="dcterms:W3CDTF">2023-08-17T15:10:54Z</dcterms:created>
  <dcterms:modified xsi:type="dcterms:W3CDTF">2024-10-09T19:17:51Z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