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45" documentId="13_ncr:1_{7ED70FE7-C16D-4B97-8EB8-ADB94EE136D1}" xr6:coauthVersionLast="47" xr6:coauthVersionMax="47" xr10:uidLastSave="{6C4AADB2-5CA9-463B-A3C3-E897FBA08E71}"/>
  <bookViews>
    <workbookView xWindow="10140" yWindow="0" windowWidth="10455" windowHeight="10905" xr2:uid="{00000000-000D-0000-FFFF-FFFF00000000}"/>
  </bookViews>
  <sheets>
    <sheet name="Seared Tuna" sheetId="3" r:id="rId1"/>
    <sheet name="Spice Blen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4" i="3" l="1"/>
  <c r="F23" i="3" s="1"/>
  <c r="G23" i="3" s="1"/>
  <c r="D23" i="2"/>
  <c r="F16" i="2" s="1"/>
  <c r="G16" i="2" s="1"/>
  <c r="F8" i="3" l="1"/>
  <c r="G8" i="3" s="1"/>
  <c r="F10" i="3"/>
  <c r="G10" i="3" s="1"/>
  <c r="F12" i="3"/>
  <c r="G12" i="3" s="1"/>
  <c r="F14" i="3"/>
  <c r="G14" i="3" s="1"/>
  <c r="F16" i="3"/>
  <c r="G16" i="3" s="1"/>
  <c r="F18" i="3"/>
  <c r="G18" i="3" s="1"/>
  <c r="F20" i="3"/>
  <c r="G20" i="3" s="1"/>
  <c r="F22" i="3"/>
  <c r="G22" i="3" s="1"/>
  <c r="F7" i="3"/>
  <c r="F9" i="3"/>
  <c r="G9" i="3" s="1"/>
  <c r="F11" i="3"/>
  <c r="G11" i="3" s="1"/>
  <c r="F13" i="3"/>
  <c r="G13" i="3" s="1"/>
  <c r="F15" i="3"/>
  <c r="G15" i="3" s="1"/>
  <c r="F17" i="3"/>
  <c r="G17" i="3" s="1"/>
  <c r="F19" i="3"/>
  <c r="G19" i="3" s="1"/>
  <c r="F21" i="3"/>
  <c r="G21" i="3" s="1"/>
  <c r="F7" i="2"/>
  <c r="G7" i="2" s="1"/>
  <c r="F9" i="2"/>
  <c r="G9" i="2" s="1"/>
  <c r="F11" i="2"/>
  <c r="G11" i="2" s="1"/>
  <c r="F13" i="2"/>
  <c r="G13" i="2" s="1"/>
  <c r="F15" i="2"/>
  <c r="G15" i="2" s="1"/>
  <c r="F17" i="2"/>
  <c r="G17" i="2" s="1"/>
  <c r="F19" i="2"/>
  <c r="G19" i="2" s="1"/>
  <c r="F21" i="2"/>
  <c r="G21" i="2" s="1"/>
  <c r="F12" i="2"/>
  <c r="G12" i="2" s="1"/>
  <c r="F14" i="2"/>
  <c r="G14" i="2" s="1"/>
  <c r="F18" i="2"/>
  <c r="G18" i="2" s="1"/>
  <c r="F20" i="2"/>
  <c r="G20" i="2" s="1"/>
  <c r="F22" i="2"/>
  <c r="G22" i="2" s="1"/>
  <c r="F8" i="2"/>
  <c r="G8" i="2" s="1"/>
  <c r="F10" i="2"/>
  <c r="G10" i="2" s="1"/>
  <c r="G7" i="3" l="1"/>
  <c r="G24" i="3" s="1"/>
  <c r="F24" i="3"/>
  <c r="G23" i="2"/>
  <c r="G24" i="2" s="1"/>
  <c r="F23" i="2"/>
</calcChain>
</file>

<file path=xl/sharedStrings.xml><?xml version="1.0" encoding="utf-8"?>
<sst xmlns="http://schemas.openxmlformats.org/spreadsheetml/2006/main" count="98" uniqueCount="43">
  <si>
    <t>%</t>
  </si>
  <si>
    <t>Formula Name:</t>
  </si>
  <si>
    <t>R&amp;D ID Number:</t>
  </si>
  <si>
    <t>Version #:</t>
  </si>
  <si>
    <t>Batch Number:</t>
  </si>
  <si>
    <t>Desired QTY (lb):</t>
  </si>
  <si>
    <t>Yield Loss:</t>
  </si>
  <si>
    <t>Item Number</t>
  </si>
  <si>
    <t>Description</t>
  </si>
  <si>
    <t>Original Fromula</t>
  </si>
  <si>
    <t>UOM</t>
  </si>
  <si>
    <t>Desired (lb)</t>
  </si>
  <si>
    <t>Lot Code</t>
  </si>
  <si>
    <t>Notes</t>
  </si>
  <si>
    <t>lb</t>
  </si>
  <si>
    <t>Total Sample Formula Weight:</t>
  </si>
  <si>
    <t>Total Weight</t>
  </si>
  <si>
    <t>Weight After Yield Loss</t>
  </si>
  <si>
    <t>Procedure</t>
  </si>
  <si>
    <t>Batch Formula Instructions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</si>
  <si>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</si>
  <si>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</si>
  <si>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</si>
  <si>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</si>
  <si>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</si>
  <si>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>Seared Ahi Tuna</t>
  </si>
  <si>
    <t>Mixed together well</t>
  </si>
  <si>
    <t>Desired BOWLS (ea):</t>
  </si>
  <si>
    <t>oz</t>
  </si>
  <si>
    <t>Seared Ahi Tuna spice blend</t>
  </si>
  <si>
    <t>KBBQ Spice Blend</t>
  </si>
  <si>
    <t>Coat Tuna on all sides with spice blend</t>
  </si>
  <si>
    <t>Heat up oil in sautee pan</t>
  </si>
  <si>
    <t>Sear tuna on all sides for 20 seconds each side</t>
  </si>
  <si>
    <t>Cool down below 40F until ready for pack out</t>
  </si>
  <si>
    <t>F262</t>
  </si>
  <si>
    <t>TUNA SAKU BLOCKS</t>
  </si>
  <si>
    <t>D257</t>
  </si>
  <si>
    <t>OIL BLENDED 75%/25%</t>
  </si>
  <si>
    <t>D480</t>
  </si>
  <si>
    <t>SPICE BBQ KOREAN SPICEOLOGY</t>
  </si>
  <si>
    <t>D105</t>
  </si>
  <si>
    <t>SEED SESAME HULLED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</si>
</sst>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5">
    <xf numFmtId="0" fontId="0" fillId="0" borderId="0" xfId="0"/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2" fillId="2" borderId="6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left"/>
    </xf>
    <xf numFmtId="0" fontId="2" fillId="2" borderId="7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0" fillId="3" borderId="0" xfId="0" applyFill="1" applyAlignment="1" applyProtection="1">
      <alignment horizontal="center"/>
      <protection locked="0"/>
    </xf>
    <xf numFmtId="9" fontId="0" fillId="4" borderId="0" xfId="1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2" fontId="0" fillId="3" borderId="1" xfId="2" applyNumberFormat="1" applyFont="1" applyFill="1" applyBorder="1" applyAlignment="1">
      <alignment horizontal="center"/>
    </xf>
    <xf numFmtId="0" fontId="0" fillId="0" borderId="1" xfId="0" applyBorder="1" applyProtection="1">
      <protection locked="0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9" fontId="0" fillId="0" borderId="0" xfId="1" applyFont="1" applyFill="1" applyAlignment="1">
      <alignment horizontal="center"/>
    </xf>
    <xf numFmtId="0" fontId="0" fillId="6" borderId="1" xfId="0" applyFill="1" applyBorder="1" applyProtection="1">
      <protection locked="0"/>
    </xf>
    <xf numFmtId="164" fontId="0" fillId="5" borderId="0" xfId="0" applyNumberFormat="1" applyFill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44" fontId="0" fillId="0" borderId="2" xfId="2" applyFont="1" applyBorder="1" applyAlignment="1" applyProtection="1">
      <alignment horizontal="center"/>
      <protection locked="0"/>
    </xf>
    <xf numFmtId="44" fontId="0" fillId="0" borderId="3" xfId="2" applyFont="1" applyBorder="1" applyAlignment="1" applyProtection="1">
      <alignment horizontal="center"/>
      <protection locked="0"/>
    </xf>
    <xf numFmtId="0" fontId="3" fillId="2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6" borderId="2" xfId="0" applyFill="1" applyBorder="1"/>
    <xf numFmtId="0" fontId="0" fillId="6" borderId="4" xfId="0" applyFill="1" applyBorder="1"/>
    <xf numFmtId="0" fontId="0" fillId="6" borderId="3" xfId="0" applyFill="1" applyBorder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8FECB-9203-4073-BC07-C39BA2D838A3}">
  <sheetPr>
    <pageSetUpPr fitToPage="1"/>
  </sheetPr>
  <dimension ref="A1:J43"/>
  <sheetViews>
    <sheetView tabSelected="1" zoomScale="71" zoomScaleNormal="71" workbookViewId="0">
      <selection activeCell="G9" sqref="G9"/>
    </sheetView>
  </sheetViews>
  <sheetFormatPr defaultRowHeight="15" x14ac:dyDescent="0.25"/>
  <cols>
    <col min="1" max="1" width="3.5703125" style="2" customWidth="1"/>
    <col min="2" max="2" width="21.42578125" customWidth="1"/>
    <col min="3" max="3" width="41.7109375" bestFit="1" customWidth="1"/>
    <col min="4" max="4" width="17.5703125" style="3" customWidth="1"/>
    <col min="5" max="5" width="6.5703125" style="3" customWidth="1"/>
    <col min="6" max="6" width="21.85546875" customWidth="1"/>
    <col min="7" max="7" width="12.5703125" style="3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4" t="s">
        <v>1</v>
      </c>
      <c r="C2" s="5" t="s">
        <v>25</v>
      </c>
      <c r="D2" s="6" t="s">
        <v>2</v>
      </c>
      <c r="E2" s="36"/>
      <c r="F2" s="36"/>
      <c r="G2" s="5"/>
      <c r="H2" s="7" t="s">
        <v>3</v>
      </c>
      <c r="I2" s="8"/>
      <c r="J2" s="9" t="s">
        <v>4</v>
      </c>
    </row>
    <row r="3" spans="1:10" ht="5.25" customHeight="1" x14ac:dyDescent="0.25">
      <c r="B3" s="2"/>
      <c r="D3" s="10"/>
      <c r="F3" s="3"/>
      <c r="H3" s="2"/>
      <c r="I3" s="2"/>
      <c r="J3" s="3"/>
    </row>
    <row r="4" spans="1:10" x14ac:dyDescent="0.25">
      <c r="B4" s="3" t="s">
        <v>27</v>
      </c>
      <c r="C4" s="11">
        <v>25</v>
      </c>
      <c r="D4" s="10"/>
      <c r="F4" s="3"/>
      <c r="G4" s="27"/>
      <c r="I4" s="2"/>
      <c r="J4" s="3"/>
    </row>
    <row r="5" spans="1:10" ht="5.25" customHeight="1" x14ac:dyDescent="0.25">
      <c r="B5" s="2"/>
      <c r="D5" s="10"/>
      <c r="F5" s="3"/>
      <c r="H5" s="2"/>
      <c r="I5" s="2"/>
      <c r="J5" s="3"/>
    </row>
    <row r="6" spans="1:10" x14ac:dyDescent="0.25">
      <c r="B6" s="13" t="s">
        <v>7</v>
      </c>
      <c r="C6" s="13" t="s">
        <v>8</v>
      </c>
      <c r="D6" s="13" t="s">
        <v>9</v>
      </c>
      <c r="E6" s="13" t="s">
        <v>10</v>
      </c>
      <c r="F6" s="13" t="s">
        <v>0</v>
      </c>
      <c r="G6" s="13" t="s">
        <v>11</v>
      </c>
      <c r="H6" s="37" t="s">
        <v>12</v>
      </c>
      <c r="I6" s="38"/>
      <c r="J6" s="13" t="s">
        <v>13</v>
      </c>
    </row>
    <row r="7" spans="1:10" x14ac:dyDescent="0.25">
      <c r="A7" s="2">
        <v>1</v>
      </c>
      <c r="B7" s="14" t="s">
        <v>35</v>
      </c>
      <c r="C7" s="14" t="s">
        <v>36</v>
      </c>
      <c r="D7" s="15">
        <v>9</v>
      </c>
      <c r="E7" s="15" t="s">
        <v>28</v>
      </c>
      <c r="F7" s="16">
        <f>D7/D$24</f>
        <v>0.8571428571428571</v>
      </c>
      <c r="G7" s="17">
        <f>F7*D24*C4/16</f>
        <v>14.0625</v>
      </c>
      <c r="H7" s="33"/>
      <c r="I7" s="34"/>
      <c r="J7" s="28"/>
    </row>
    <row r="8" spans="1:10" x14ac:dyDescent="0.25">
      <c r="A8" s="2">
        <v>2</v>
      </c>
      <c r="B8" s="14"/>
      <c r="C8" s="14" t="s">
        <v>30</v>
      </c>
      <c r="D8" s="3">
        <v>0.5</v>
      </c>
      <c r="E8" s="15" t="s">
        <v>28</v>
      </c>
      <c r="F8" s="16">
        <f>D8/D$24</f>
        <v>4.7619047619047616E-2</v>
      </c>
      <c r="G8" s="17">
        <f>F8*D24*C4/16</f>
        <v>0.78125</v>
      </c>
      <c r="H8" s="33"/>
      <c r="I8" s="34"/>
      <c r="J8" s="18"/>
    </row>
    <row r="9" spans="1:10" x14ac:dyDescent="0.25">
      <c r="A9" s="2">
        <v>3</v>
      </c>
      <c r="B9" s="14" t="s">
        <v>37</v>
      </c>
      <c r="C9" s="14" t="s">
        <v>38</v>
      </c>
      <c r="D9" s="15">
        <v>1</v>
      </c>
      <c r="E9" s="15" t="s">
        <v>28</v>
      </c>
      <c r="F9" s="16">
        <f t="shared" ref="F9:F23" si="0">D9/D$24</f>
        <v>9.5238095238095233E-2</v>
      </c>
      <c r="G9" s="17">
        <f>F9*D24*C4/16</f>
        <v>1.5625</v>
      </c>
      <c r="H9" s="33"/>
      <c r="I9" s="34"/>
      <c r="J9" s="18"/>
    </row>
    <row r="10" spans="1:10" x14ac:dyDescent="0.25">
      <c r="A10" s="2">
        <v>4</v>
      </c>
      <c r="B10" s="14"/>
      <c r="C10" s="14"/>
      <c r="D10" s="15"/>
      <c r="E10" s="15" t="s">
        <v>28</v>
      </c>
      <c r="F10" s="16">
        <f t="shared" si="0"/>
        <v>0</v>
      </c>
      <c r="G10" s="17">
        <f>C4*D24*F10/16</f>
        <v>0</v>
      </c>
      <c r="H10" s="33"/>
      <c r="I10" s="34"/>
      <c r="J10" s="18"/>
    </row>
    <row r="11" spans="1:10" x14ac:dyDescent="0.25">
      <c r="A11" s="2">
        <v>5</v>
      </c>
      <c r="B11" s="14"/>
      <c r="C11" s="14"/>
      <c r="D11" s="15"/>
      <c r="E11" s="15" t="s">
        <v>28</v>
      </c>
      <c r="F11" s="16">
        <f t="shared" si="0"/>
        <v>0</v>
      </c>
      <c r="G11" s="17">
        <f>C4*F11*D24/16</f>
        <v>0</v>
      </c>
      <c r="H11" s="33"/>
      <c r="I11" s="34"/>
      <c r="J11" s="18"/>
    </row>
    <row r="12" spans="1:10" x14ac:dyDescent="0.25">
      <c r="A12" s="2">
        <v>6</v>
      </c>
      <c r="B12" s="14"/>
      <c r="C12" s="14"/>
      <c r="D12" s="15"/>
      <c r="E12" s="15" t="s">
        <v>28</v>
      </c>
      <c r="F12" s="16">
        <f t="shared" si="0"/>
        <v>0</v>
      </c>
      <c r="G12" s="17">
        <f>C4*F12*D24/16</f>
        <v>0</v>
      </c>
      <c r="H12" s="33"/>
      <c r="I12" s="34"/>
      <c r="J12" s="18"/>
    </row>
    <row r="13" spans="1:10" x14ac:dyDescent="0.25">
      <c r="A13" s="2">
        <v>7</v>
      </c>
      <c r="B13" s="14"/>
      <c r="C13" s="14"/>
      <c r="D13" s="15"/>
      <c r="E13" s="15" t="s">
        <v>28</v>
      </c>
      <c r="F13" s="16">
        <f t="shared" si="0"/>
        <v>0</v>
      </c>
      <c r="G13" s="17">
        <f>C4*F13*D24/16</f>
        <v>0</v>
      </c>
      <c r="H13" s="33"/>
      <c r="I13" s="34"/>
      <c r="J13" s="18"/>
    </row>
    <row r="14" spans="1:10" x14ac:dyDescent="0.25">
      <c r="A14" s="2">
        <v>8</v>
      </c>
      <c r="B14" s="14"/>
      <c r="C14" s="14"/>
      <c r="D14" s="15"/>
      <c r="E14" s="15" t="s">
        <v>28</v>
      </c>
      <c r="F14" s="16">
        <f t="shared" si="0"/>
        <v>0</v>
      </c>
      <c r="G14" s="17">
        <f>C4*F14*D24/16</f>
        <v>0</v>
      </c>
      <c r="H14" s="33"/>
      <c r="I14" s="34"/>
      <c r="J14" s="18"/>
    </row>
    <row r="15" spans="1:10" x14ac:dyDescent="0.25">
      <c r="A15" s="2">
        <v>9</v>
      </c>
      <c r="B15" s="14"/>
      <c r="C15" s="14"/>
      <c r="D15" s="15"/>
      <c r="E15" s="15" t="s">
        <v>28</v>
      </c>
      <c r="F15" s="16">
        <f t="shared" si="0"/>
        <v>0</v>
      </c>
      <c r="G15" s="17">
        <f>C4*F15*D24/16</f>
        <v>0</v>
      </c>
      <c r="H15" s="33"/>
      <c r="I15" s="34"/>
      <c r="J15" s="18"/>
    </row>
    <row r="16" spans="1:10" x14ac:dyDescent="0.25">
      <c r="A16" s="2">
        <v>10</v>
      </c>
      <c r="B16" s="14"/>
      <c r="C16" s="14"/>
      <c r="D16" s="15"/>
      <c r="E16" s="15" t="s">
        <v>28</v>
      </c>
      <c r="F16" s="16">
        <f t="shared" si="0"/>
        <v>0</v>
      </c>
      <c r="G16" s="17">
        <f>C4*F16*D24/16</f>
        <v>0</v>
      </c>
      <c r="H16" s="33"/>
      <c r="I16" s="34"/>
      <c r="J16" s="18"/>
    </row>
    <row r="17" spans="1:10" x14ac:dyDescent="0.25">
      <c r="A17" s="2">
        <v>11</v>
      </c>
      <c r="B17" s="14"/>
      <c r="C17" s="14"/>
      <c r="D17" s="15"/>
      <c r="E17" s="15" t="s">
        <v>28</v>
      </c>
      <c r="F17" s="16">
        <f t="shared" si="0"/>
        <v>0</v>
      </c>
      <c r="G17" s="17">
        <f>C4*F17*D24/16</f>
        <v>0</v>
      </c>
      <c r="H17" s="33"/>
      <c r="I17" s="34"/>
      <c r="J17" s="18"/>
    </row>
    <row r="18" spans="1:10" x14ac:dyDescent="0.25">
      <c r="A18" s="2">
        <v>12</v>
      </c>
      <c r="B18" s="14"/>
      <c r="C18" s="14"/>
      <c r="D18" s="15"/>
      <c r="E18" s="15" t="s">
        <v>28</v>
      </c>
      <c r="F18" s="16">
        <f t="shared" si="0"/>
        <v>0</v>
      </c>
      <c r="G18" s="17">
        <f>C4*F18*D24/16</f>
        <v>0</v>
      </c>
      <c r="H18" s="33"/>
      <c r="I18" s="34"/>
      <c r="J18" s="18"/>
    </row>
    <row r="19" spans="1:10" x14ac:dyDescent="0.25">
      <c r="A19" s="2">
        <v>13</v>
      </c>
      <c r="B19" s="14"/>
      <c r="C19" s="14"/>
      <c r="D19" s="15"/>
      <c r="E19" s="15" t="s">
        <v>28</v>
      </c>
      <c r="F19" s="16">
        <f t="shared" si="0"/>
        <v>0</v>
      </c>
      <c r="G19" s="17">
        <f>C4*F19*D24/16</f>
        <v>0</v>
      </c>
      <c r="H19" s="33"/>
      <c r="I19" s="34"/>
      <c r="J19" s="18"/>
    </row>
    <row r="20" spans="1:10" x14ac:dyDescent="0.25">
      <c r="A20" s="2">
        <v>14</v>
      </c>
      <c r="B20" s="14"/>
      <c r="C20" s="14"/>
      <c r="D20" s="15"/>
      <c r="E20" s="15" t="s">
        <v>28</v>
      </c>
      <c r="F20" s="16">
        <f t="shared" si="0"/>
        <v>0</v>
      </c>
      <c r="G20" s="17">
        <f>C4*F20*D24/16</f>
        <v>0</v>
      </c>
      <c r="H20" s="33"/>
      <c r="I20" s="34"/>
      <c r="J20" s="18"/>
    </row>
    <row r="21" spans="1:10" x14ac:dyDescent="0.25">
      <c r="A21" s="2">
        <v>15</v>
      </c>
      <c r="B21" s="14"/>
      <c r="C21" s="14"/>
      <c r="D21" s="15"/>
      <c r="E21" s="15" t="s">
        <v>28</v>
      </c>
      <c r="F21" s="16">
        <f>D21/D$24</f>
        <v>0</v>
      </c>
      <c r="G21" s="17">
        <f>C4*F21*D24/16</f>
        <v>0</v>
      </c>
      <c r="H21" s="33"/>
      <c r="I21" s="34"/>
      <c r="J21" s="18"/>
    </row>
    <row r="22" spans="1:10" x14ac:dyDescent="0.25">
      <c r="A22" s="2">
        <v>16</v>
      </c>
      <c r="B22" s="14"/>
      <c r="C22" s="14"/>
      <c r="D22" s="15"/>
      <c r="E22" s="15" t="s">
        <v>28</v>
      </c>
      <c r="F22" s="16">
        <f t="shared" si="0"/>
        <v>0</v>
      </c>
      <c r="G22" s="17">
        <f>C4*F22*D24/16</f>
        <v>0</v>
      </c>
      <c r="H22" s="33"/>
      <c r="I22" s="34"/>
      <c r="J22" s="18"/>
    </row>
    <row r="23" spans="1:10" x14ac:dyDescent="0.25">
      <c r="A23" s="2">
        <v>17</v>
      </c>
      <c r="B23" s="14"/>
      <c r="C23" s="14"/>
      <c r="D23" s="15"/>
      <c r="E23" s="15" t="s">
        <v>28</v>
      </c>
      <c r="F23" s="16">
        <f t="shared" si="0"/>
        <v>0</v>
      </c>
      <c r="G23" s="17">
        <f>C4*F23*D24/16</f>
        <v>0</v>
      </c>
      <c r="H23" s="33"/>
      <c r="I23" s="34"/>
      <c r="J23" s="18"/>
    </row>
    <row r="24" spans="1:10" x14ac:dyDescent="0.25">
      <c r="C24" s="19" t="s">
        <v>15</v>
      </c>
      <c r="D24" s="2">
        <f>SUM(D7:D23)</f>
        <v>10.5</v>
      </c>
      <c r="E24" s="2" t="s">
        <v>28</v>
      </c>
      <c r="F24" s="20">
        <f>SUM(F7:F23)</f>
        <v>0.99999999999999989</v>
      </c>
      <c r="G24" s="29">
        <f>SUM(G7:G23)</f>
        <v>16.40625</v>
      </c>
      <c r="H24" s="22" t="s">
        <v>16</v>
      </c>
    </row>
    <row r="25" spans="1:10" x14ac:dyDescent="0.25">
      <c r="F25" s="27"/>
      <c r="G25" s="1"/>
    </row>
    <row r="26" spans="1:10" ht="15.75" x14ac:dyDescent="0.25">
      <c r="A26"/>
      <c r="B26" s="35" t="s">
        <v>18</v>
      </c>
      <c r="C26" s="35"/>
      <c r="D26" s="35"/>
      <c r="E26" s="35"/>
      <c r="F26" s="35"/>
      <c r="G26" s="35"/>
      <c r="H26" s="35"/>
      <c r="I26" s="35"/>
      <c r="J26" s="35"/>
    </row>
    <row r="27" spans="1:10" ht="15.75" x14ac:dyDescent="0.25">
      <c r="A27"/>
      <c r="B27" s="23" t="s">
        <v>19</v>
      </c>
      <c r="C27" s="24"/>
      <c r="D27" s="24"/>
      <c r="E27" s="24"/>
      <c r="F27" s="24"/>
      <c r="G27" s="24"/>
      <c r="H27" s="24"/>
      <c r="I27" s="24"/>
      <c r="J27" s="24"/>
    </row>
    <row r="28" spans="1:10" x14ac:dyDescent="0.25">
      <c r="A28" s="2">
        <v>1</v>
      </c>
      <c r="B28" s="30" t="s">
        <v>31</v>
      </c>
      <c r="C28" s="30"/>
      <c r="D28" s="30"/>
      <c r="E28" s="30"/>
      <c r="F28" s="30"/>
      <c r="G28" s="30"/>
      <c r="H28" s="30"/>
      <c r="I28" s="30"/>
      <c r="J28" s="30"/>
    </row>
    <row r="29" spans="1:10" x14ac:dyDescent="0.25">
      <c r="A29" s="2">
        <v>2</v>
      </c>
      <c r="B29" s="30" t="s">
        <v>32</v>
      </c>
      <c r="C29" s="30"/>
      <c r="D29" s="30"/>
      <c r="E29" s="30"/>
      <c r="F29" s="30"/>
      <c r="G29" s="30"/>
      <c r="H29" s="30"/>
      <c r="I29" s="30"/>
      <c r="J29" s="30"/>
    </row>
    <row r="30" spans="1:10" x14ac:dyDescent="0.25">
      <c r="A30" s="2">
        <v>3</v>
      </c>
      <c r="B30" s="30" t="s">
        <v>33</v>
      </c>
      <c r="C30" s="30"/>
      <c r="D30" s="30"/>
      <c r="E30" s="30"/>
      <c r="F30" s="30"/>
      <c r="G30" s="30"/>
      <c r="H30" s="30"/>
      <c r="I30" s="30"/>
      <c r="J30" s="30"/>
    </row>
    <row r="31" spans="1:10" x14ac:dyDescent="0.25">
      <c r="A31" s="2">
        <v>4</v>
      </c>
      <c r="B31" s="30" t="s">
        <v>34</v>
      </c>
      <c r="C31" s="30"/>
      <c r="D31" s="30"/>
      <c r="E31" s="30"/>
      <c r="F31" s="30"/>
      <c r="G31" s="30"/>
      <c r="H31" s="30"/>
      <c r="I31" s="30"/>
      <c r="J31" s="30"/>
    </row>
    <row r="32" spans="1:10" x14ac:dyDescent="0.25">
      <c r="A32" s="2">
        <v>5</v>
      </c>
      <c r="B32" s="30"/>
      <c r="C32" s="30"/>
      <c r="D32" s="30"/>
      <c r="E32" s="30"/>
      <c r="F32" s="30"/>
      <c r="G32" s="30"/>
      <c r="H32" s="30"/>
      <c r="I32" s="30"/>
      <c r="J32" s="30"/>
    </row>
    <row r="33" spans="1:10" x14ac:dyDescent="0.25">
      <c r="A33" s="2">
        <v>6</v>
      </c>
      <c r="B33" s="30"/>
      <c r="C33" s="30"/>
      <c r="D33" s="30"/>
      <c r="E33" s="30"/>
      <c r="F33" s="30"/>
      <c r="G33" s="30"/>
      <c r="H33" s="30"/>
      <c r="I33" s="30"/>
      <c r="J33" s="30"/>
    </row>
    <row r="34" spans="1:10" x14ac:dyDescent="0.25">
      <c r="A34" s="2">
        <v>7</v>
      </c>
      <c r="B34" s="30"/>
      <c r="C34" s="30"/>
      <c r="D34" s="30"/>
      <c r="E34" s="30"/>
      <c r="F34" s="30"/>
      <c r="G34" s="30"/>
      <c r="H34" s="30"/>
      <c r="I34" s="30"/>
      <c r="J34" s="30"/>
    </row>
    <row r="35" spans="1:10" x14ac:dyDescent="0.25">
      <c r="A35" s="2">
        <v>8</v>
      </c>
      <c r="B35" s="30"/>
      <c r="C35" s="30"/>
      <c r="D35" s="30"/>
      <c r="E35" s="30"/>
      <c r="F35" s="30"/>
      <c r="G35" s="30"/>
      <c r="H35" s="30"/>
      <c r="I35" s="30"/>
      <c r="J35" s="30"/>
    </row>
    <row r="36" spans="1:10" x14ac:dyDescent="0.25">
      <c r="A36" s="2">
        <v>9</v>
      </c>
      <c r="B36" s="30"/>
      <c r="C36" s="30"/>
      <c r="D36" s="30"/>
      <c r="E36" s="30"/>
      <c r="F36" s="30"/>
      <c r="G36" s="30"/>
      <c r="H36" s="30"/>
      <c r="I36" s="30"/>
      <c r="J36" s="30"/>
    </row>
    <row r="37" spans="1:10" x14ac:dyDescent="0.25">
      <c r="A37" s="2">
        <v>10</v>
      </c>
      <c r="B37" s="30"/>
      <c r="C37" s="30"/>
      <c r="D37" s="30"/>
      <c r="E37" s="30"/>
      <c r="F37" s="30"/>
      <c r="G37" s="30"/>
      <c r="H37" s="30"/>
      <c r="I37" s="30"/>
      <c r="J37" s="30"/>
    </row>
    <row r="38" spans="1:10" x14ac:dyDescent="0.25">
      <c r="A38" s="2">
        <v>11</v>
      </c>
      <c r="B38" s="30"/>
      <c r="C38" s="30"/>
      <c r="D38" s="30"/>
      <c r="E38" s="30"/>
      <c r="F38" s="30"/>
      <c r="G38" s="30"/>
      <c r="H38" s="30"/>
      <c r="I38" s="30"/>
      <c r="J38" s="30"/>
    </row>
    <row r="40" spans="1:10" x14ac:dyDescent="0.25">
      <c r="B40" t="s">
        <v>20</v>
      </c>
    </row>
    <row r="42" spans="1:10" x14ac:dyDescent="0.25">
      <c r="B42" s="25"/>
      <c r="C42" s="25"/>
      <c r="D42" s="26"/>
      <c r="E42" s="26"/>
      <c r="F42" s="25"/>
      <c r="H42" s="25"/>
      <c r="I42" s="25"/>
      <c r="J42" s="25"/>
    </row>
    <row r="43" spans="1:10" x14ac:dyDescent="0.25">
      <c r="B43" s="31" t="s">
        <v>21</v>
      </c>
      <c r="C43" s="31"/>
      <c r="E43" s="31" t="s">
        <v>22</v>
      </c>
      <c r="F43" s="31"/>
      <c r="H43" s="32" t="s">
        <v>23</v>
      </c>
      <c r="I43" s="32"/>
      <c r="J43" s="3" t="s">
        <v>24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0FFF2-6816-47F2-ACE6-2F409D74F8B1}">
  <sheetPr>
    <pageSetUpPr fitToPage="1"/>
  </sheetPr>
  <dimension ref="A1:J42"/>
  <sheetViews>
    <sheetView topLeftCell="C1" workbookViewId="0">
      <selection activeCell="G7" sqref="G7:G8"/>
    </sheetView>
  </sheetViews>
  <sheetFormatPr defaultRowHeight="15" x14ac:dyDescent="0.25"/>
  <cols>
    <col min="1" max="1" width="3.5703125" style="2" customWidth="1"/>
    <col min="2" max="2" width="21.42578125" customWidth="1"/>
    <col min="3" max="3" width="38" customWidth="1"/>
    <col min="4" max="4" width="17.5703125" style="3" customWidth="1"/>
    <col min="5" max="5" width="6.5703125" style="3" customWidth="1"/>
    <col min="6" max="6" width="21.85546875" customWidth="1"/>
    <col min="7" max="7" width="12.5703125" style="3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4" t="s">
        <v>1</v>
      </c>
      <c r="C2" s="5" t="s">
        <v>29</v>
      </c>
      <c r="D2" s="6" t="s">
        <v>2</v>
      </c>
      <c r="E2" s="36"/>
      <c r="F2" s="36"/>
      <c r="G2" s="5"/>
      <c r="H2" s="7" t="s">
        <v>3</v>
      </c>
      <c r="I2" s="8"/>
      <c r="J2" s="9" t="s">
        <v>4</v>
      </c>
    </row>
    <row r="3" spans="1:10" ht="5.25" customHeight="1" x14ac:dyDescent="0.25">
      <c r="B3" s="2"/>
      <c r="D3" s="10"/>
      <c r="F3" s="3"/>
      <c r="H3" s="2"/>
      <c r="I3" s="2"/>
      <c r="J3" s="3"/>
    </row>
    <row r="4" spans="1:10" x14ac:dyDescent="0.25">
      <c r="B4" s="3" t="s">
        <v>5</v>
      </c>
      <c r="C4" s="11">
        <v>0.44</v>
      </c>
      <c r="D4" s="10"/>
      <c r="F4" s="3" t="s">
        <v>6</v>
      </c>
      <c r="G4" s="12" t="s">
        <v>0</v>
      </c>
      <c r="I4" s="2"/>
      <c r="J4" s="3"/>
    </row>
    <row r="5" spans="1:10" ht="5.25" customHeight="1" x14ac:dyDescent="0.25">
      <c r="B5" s="2"/>
      <c r="D5" s="10"/>
      <c r="F5" s="3"/>
      <c r="H5" s="2"/>
      <c r="I5" s="2"/>
      <c r="J5" s="3"/>
    </row>
    <row r="6" spans="1:10" x14ac:dyDescent="0.25">
      <c r="B6" s="13" t="s">
        <v>7</v>
      </c>
      <c r="C6" s="13" t="s">
        <v>8</v>
      </c>
      <c r="D6" s="13" t="s">
        <v>9</v>
      </c>
      <c r="E6" s="13" t="s">
        <v>10</v>
      </c>
      <c r="F6" s="13" t="s">
        <v>0</v>
      </c>
      <c r="G6" s="13" t="s">
        <v>11</v>
      </c>
      <c r="H6" s="37" t="s">
        <v>12</v>
      </c>
      <c r="I6" s="38"/>
      <c r="J6" s="13" t="s">
        <v>13</v>
      </c>
    </row>
    <row r="7" spans="1:10" x14ac:dyDescent="0.25">
      <c r="A7" s="2">
        <v>2</v>
      </c>
      <c r="B7" s="14" t="s">
        <v>39</v>
      </c>
      <c r="C7" s="14" t="s">
        <v>40</v>
      </c>
      <c r="D7" s="15">
        <v>1</v>
      </c>
      <c r="E7" s="15" t="s">
        <v>14</v>
      </c>
      <c r="F7" s="16">
        <f t="shared" ref="F7:F22" si="0">D7/D$23</f>
        <v>0.4</v>
      </c>
      <c r="G7" s="17">
        <f>C4*F7</f>
        <v>0.17600000000000002</v>
      </c>
      <c r="H7" s="33"/>
      <c r="I7" s="34"/>
      <c r="J7" s="18"/>
    </row>
    <row r="8" spans="1:10" x14ac:dyDescent="0.25">
      <c r="A8" s="2">
        <v>3</v>
      </c>
      <c r="B8" s="14" t="s">
        <v>41</v>
      </c>
      <c r="C8" s="14" t="s">
        <v>42</v>
      </c>
      <c r="D8" s="15">
        <v>1.5</v>
      </c>
      <c r="E8" s="15" t="s">
        <v>14</v>
      </c>
      <c r="F8" s="16">
        <f t="shared" si="0"/>
        <v>0.6</v>
      </c>
      <c r="G8" s="17">
        <f>C4*F8</f>
        <v>0.26400000000000001</v>
      </c>
      <c r="H8" s="33"/>
      <c r="I8" s="34"/>
      <c r="J8" s="18"/>
    </row>
    <row r="9" spans="1:10" x14ac:dyDescent="0.25">
      <c r="A9" s="2">
        <v>4</v>
      </c>
      <c r="B9" s="14"/>
      <c r="C9" s="14"/>
      <c r="D9" s="15"/>
      <c r="E9" s="15" t="s">
        <v>14</v>
      </c>
      <c r="F9" s="16">
        <f t="shared" si="0"/>
        <v>0</v>
      </c>
      <c r="G9" s="17">
        <f>C4*F9</f>
        <v>0</v>
      </c>
      <c r="H9" s="33"/>
      <c r="I9" s="34"/>
      <c r="J9" s="18"/>
    </row>
    <row r="10" spans="1:10" x14ac:dyDescent="0.25">
      <c r="A10" s="2">
        <v>5</v>
      </c>
      <c r="B10" s="14"/>
      <c r="C10" s="14"/>
      <c r="D10" s="15"/>
      <c r="E10" s="15" t="s">
        <v>14</v>
      </c>
      <c r="F10" s="16">
        <f t="shared" si="0"/>
        <v>0</v>
      </c>
      <c r="G10" s="17">
        <f>C4*F10</f>
        <v>0</v>
      </c>
      <c r="H10" s="33"/>
      <c r="I10" s="34"/>
      <c r="J10" s="18"/>
    </row>
    <row r="11" spans="1:10" x14ac:dyDescent="0.25">
      <c r="A11" s="2">
        <v>6</v>
      </c>
      <c r="B11" s="14"/>
      <c r="C11" s="14"/>
      <c r="D11" s="15"/>
      <c r="E11" s="15" t="s">
        <v>14</v>
      </c>
      <c r="F11" s="16">
        <f t="shared" si="0"/>
        <v>0</v>
      </c>
      <c r="G11" s="17">
        <f>C4*F11</f>
        <v>0</v>
      </c>
      <c r="H11" s="33"/>
      <c r="I11" s="34"/>
      <c r="J11" s="18"/>
    </row>
    <row r="12" spans="1:10" x14ac:dyDescent="0.25">
      <c r="A12" s="2">
        <v>7</v>
      </c>
      <c r="B12" s="14"/>
      <c r="C12" s="14"/>
      <c r="D12" s="15"/>
      <c r="E12" s="15" t="s">
        <v>14</v>
      </c>
      <c r="F12" s="16">
        <f t="shared" si="0"/>
        <v>0</v>
      </c>
      <c r="G12" s="17">
        <f>C4*F12</f>
        <v>0</v>
      </c>
      <c r="H12" s="33"/>
      <c r="I12" s="34"/>
      <c r="J12" s="18"/>
    </row>
    <row r="13" spans="1:10" x14ac:dyDescent="0.25">
      <c r="A13" s="2">
        <v>8</v>
      </c>
      <c r="B13" s="14"/>
      <c r="C13" s="14"/>
      <c r="D13" s="15"/>
      <c r="E13" s="15" t="s">
        <v>14</v>
      </c>
      <c r="F13" s="16">
        <f t="shared" si="0"/>
        <v>0</v>
      </c>
      <c r="G13" s="17">
        <f>C4*F13</f>
        <v>0</v>
      </c>
      <c r="H13" s="33"/>
      <c r="I13" s="34"/>
      <c r="J13" s="18"/>
    </row>
    <row r="14" spans="1:10" x14ac:dyDescent="0.25">
      <c r="A14" s="2">
        <v>9</v>
      </c>
      <c r="B14" s="14"/>
      <c r="C14" s="14"/>
      <c r="D14" s="15"/>
      <c r="E14" s="15" t="s">
        <v>14</v>
      </c>
      <c r="F14" s="16">
        <f t="shared" si="0"/>
        <v>0</v>
      </c>
      <c r="G14" s="17">
        <f>C4*F14</f>
        <v>0</v>
      </c>
      <c r="H14" s="33"/>
      <c r="I14" s="34"/>
      <c r="J14" s="18"/>
    </row>
    <row r="15" spans="1:10" x14ac:dyDescent="0.25">
      <c r="A15" s="2">
        <v>10</v>
      </c>
      <c r="B15" s="14"/>
      <c r="C15" s="14"/>
      <c r="D15" s="15"/>
      <c r="E15" s="15" t="s">
        <v>14</v>
      </c>
      <c r="F15" s="16">
        <f t="shared" si="0"/>
        <v>0</v>
      </c>
      <c r="G15" s="17">
        <f>C4*F15</f>
        <v>0</v>
      </c>
      <c r="H15" s="33"/>
      <c r="I15" s="34"/>
      <c r="J15" s="18"/>
    </row>
    <row r="16" spans="1:10" x14ac:dyDescent="0.25">
      <c r="A16" s="2">
        <v>11</v>
      </c>
      <c r="B16" s="14"/>
      <c r="C16" s="14"/>
      <c r="D16" s="15"/>
      <c r="E16" s="15" t="s">
        <v>14</v>
      </c>
      <c r="F16" s="16">
        <f t="shared" si="0"/>
        <v>0</v>
      </c>
      <c r="G16" s="17">
        <f>C4*F16</f>
        <v>0</v>
      </c>
      <c r="H16" s="33"/>
      <c r="I16" s="34"/>
      <c r="J16" s="18"/>
    </row>
    <row r="17" spans="1:10" x14ac:dyDescent="0.25">
      <c r="A17" s="2">
        <v>12</v>
      </c>
      <c r="B17" s="14"/>
      <c r="C17" s="14"/>
      <c r="D17" s="15"/>
      <c r="E17" s="15" t="s">
        <v>14</v>
      </c>
      <c r="F17" s="16">
        <f t="shared" si="0"/>
        <v>0</v>
      </c>
      <c r="G17" s="17">
        <f>C4*F17</f>
        <v>0</v>
      </c>
      <c r="H17" s="33"/>
      <c r="I17" s="34"/>
      <c r="J17" s="18"/>
    </row>
    <row r="18" spans="1:10" x14ac:dyDescent="0.25">
      <c r="A18" s="2">
        <v>13</v>
      </c>
      <c r="B18" s="14"/>
      <c r="C18" s="14"/>
      <c r="D18" s="15"/>
      <c r="E18" s="15" t="s">
        <v>14</v>
      </c>
      <c r="F18" s="16">
        <f t="shared" si="0"/>
        <v>0</v>
      </c>
      <c r="G18" s="17">
        <f>C4*F18</f>
        <v>0</v>
      </c>
      <c r="H18" s="33"/>
      <c r="I18" s="34"/>
      <c r="J18" s="18"/>
    </row>
    <row r="19" spans="1:10" x14ac:dyDescent="0.25">
      <c r="A19" s="2">
        <v>14</v>
      </c>
      <c r="B19" s="14"/>
      <c r="C19" s="14"/>
      <c r="D19" s="15"/>
      <c r="E19" s="15" t="s">
        <v>14</v>
      </c>
      <c r="F19" s="16">
        <f t="shared" si="0"/>
        <v>0</v>
      </c>
      <c r="G19" s="17">
        <f>C4*F19</f>
        <v>0</v>
      </c>
      <c r="H19" s="33"/>
      <c r="I19" s="34"/>
      <c r="J19" s="18"/>
    </row>
    <row r="20" spans="1:10" x14ac:dyDescent="0.25">
      <c r="A20" s="2">
        <v>15</v>
      </c>
      <c r="B20" s="14"/>
      <c r="C20" s="14"/>
      <c r="D20" s="15"/>
      <c r="E20" s="15" t="s">
        <v>14</v>
      </c>
      <c r="F20" s="16">
        <f t="shared" si="0"/>
        <v>0</v>
      </c>
      <c r="G20" s="17">
        <f>C4*F20</f>
        <v>0</v>
      </c>
      <c r="H20" s="33"/>
      <c r="I20" s="34"/>
      <c r="J20" s="18"/>
    </row>
    <row r="21" spans="1:10" x14ac:dyDescent="0.25">
      <c r="A21" s="2">
        <v>16</v>
      </c>
      <c r="B21" s="14"/>
      <c r="C21" s="14"/>
      <c r="D21" s="15"/>
      <c r="E21" s="15" t="s">
        <v>14</v>
      </c>
      <c r="F21" s="16">
        <f t="shared" si="0"/>
        <v>0</v>
      </c>
      <c r="G21" s="17">
        <f>C4*F21</f>
        <v>0</v>
      </c>
      <c r="H21" s="33"/>
      <c r="I21" s="34"/>
      <c r="J21" s="18"/>
    </row>
    <row r="22" spans="1:10" x14ac:dyDescent="0.25">
      <c r="A22" s="2">
        <v>17</v>
      </c>
      <c r="B22" s="14"/>
      <c r="C22" s="14"/>
      <c r="D22" s="15"/>
      <c r="E22" s="15" t="s">
        <v>14</v>
      </c>
      <c r="F22" s="16">
        <f t="shared" si="0"/>
        <v>0</v>
      </c>
      <c r="G22" s="17">
        <f>C4*F22</f>
        <v>0</v>
      </c>
      <c r="H22" s="33"/>
      <c r="I22" s="34"/>
      <c r="J22" s="18"/>
    </row>
    <row r="23" spans="1:10" x14ac:dyDescent="0.25">
      <c r="C23" s="19" t="s">
        <v>15</v>
      </c>
      <c r="D23" s="2">
        <f>SUM(D7:D22)</f>
        <v>2.5</v>
      </c>
      <c r="E23" s="2" t="s">
        <v>14</v>
      </c>
      <c r="F23" s="20">
        <f>SUM(F7:F22)</f>
        <v>1</v>
      </c>
      <c r="G23" s="21">
        <f>SUM(G7:G22)</f>
        <v>0.44000000000000006</v>
      </c>
      <c r="H23" s="22" t="s">
        <v>16</v>
      </c>
    </row>
    <row r="24" spans="1:10" x14ac:dyDescent="0.25">
      <c r="F24" s="12" t="s">
        <v>17</v>
      </c>
      <c r="G24" s="1" t="e">
        <f>-G23*G4+C4</f>
        <v>#VALUE!</v>
      </c>
    </row>
    <row r="25" spans="1:10" ht="15.75" x14ac:dyDescent="0.25">
      <c r="A25"/>
      <c r="B25" s="35" t="s">
        <v>18</v>
      </c>
      <c r="C25" s="35"/>
      <c r="D25" s="35"/>
      <c r="E25" s="35"/>
      <c r="F25" s="35"/>
      <c r="G25" s="35"/>
      <c r="H25" s="35"/>
      <c r="I25" s="35"/>
      <c r="J25" s="35"/>
    </row>
    <row r="26" spans="1:10" ht="15.75" x14ac:dyDescent="0.25">
      <c r="A26"/>
      <c r="B26" s="23" t="s">
        <v>19</v>
      </c>
      <c r="C26" s="24"/>
      <c r="D26" s="24"/>
      <c r="E26" s="24"/>
      <c r="F26" s="24"/>
      <c r="G26" s="24"/>
      <c r="H26" s="24"/>
      <c r="I26" s="24"/>
      <c r="J26" s="24"/>
    </row>
    <row r="27" spans="1:10" x14ac:dyDescent="0.25">
      <c r="A27" s="2">
        <v>1</v>
      </c>
      <c r="B27" s="39" t="s">
        <v>26</v>
      </c>
      <c r="C27" s="40"/>
      <c r="D27" s="40"/>
      <c r="E27" s="40"/>
      <c r="F27" s="40"/>
      <c r="G27" s="40"/>
      <c r="H27" s="40"/>
      <c r="I27" s="40"/>
      <c r="J27" s="41"/>
    </row>
    <row r="28" spans="1:10" x14ac:dyDescent="0.25">
      <c r="A28" s="2">
        <v>2</v>
      </c>
      <c r="B28" s="39"/>
      <c r="C28" s="40"/>
      <c r="D28" s="40"/>
      <c r="E28" s="40"/>
      <c r="F28" s="40"/>
      <c r="G28" s="40"/>
      <c r="H28" s="40"/>
      <c r="I28" s="40"/>
      <c r="J28" s="41"/>
    </row>
    <row r="29" spans="1:10" x14ac:dyDescent="0.25">
      <c r="A29" s="2">
        <v>3</v>
      </c>
      <c r="B29" s="42"/>
      <c r="C29" s="43"/>
      <c r="D29" s="43"/>
      <c r="E29" s="43"/>
      <c r="F29" s="43"/>
      <c r="G29" s="43"/>
      <c r="H29" s="43"/>
      <c r="I29" s="43"/>
      <c r="J29" s="44"/>
    </row>
    <row r="30" spans="1:10" x14ac:dyDescent="0.25">
      <c r="A30" s="2">
        <v>4</v>
      </c>
      <c r="B30" s="30"/>
      <c r="C30" s="30"/>
      <c r="D30" s="30"/>
      <c r="E30" s="30"/>
      <c r="F30" s="30"/>
      <c r="G30" s="30"/>
      <c r="H30" s="30"/>
      <c r="I30" s="30"/>
      <c r="J30" s="30"/>
    </row>
    <row r="31" spans="1:10" x14ac:dyDescent="0.25">
      <c r="A31" s="2">
        <v>5</v>
      </c>
      <c r="B31" s="30"/>
      <c r="C31" s="30"/>
      <c r="D31" s="30"/>
      <c r="E31" s="30"/>
      <c r="F31" s="30"/>
      <c r="G31" s="30"/>
      <c r="H31" s="30"/>
      <c r="I31" s="30"/>
      <c r="J31" s="30"/>
    </row>
    <row r="32" spans="1:10" x14ac:dyDescent="0.25">
      <c r="A32" s="2">
        <v>6</v>
      </c>
      <c r="B32" s="30"/>
      <c r="C32" s="30"/>
      <c r="D32" s="30"/>
      <c r="E32" s="30"/>
      <c r="F32" s="30"/>
      <c r="G32" s="30"/>
      <c r="H32" s="30"/>
      <c r="I32" s="30"/>
      <c r="J32" s="30"/>
    </row>
    <row r="33" spans="1:10" x14ac:dyDescent="0.25">
      <c r="A33" s="2">
        <v>7</v>
      </c>
      <c r="B33" s="30"/>
      <c r="C33" s="30"/>
      <c r="D33" s="30"/>
      <c r="E33" s="30"/>
      <c r="F33" s="30"/>
      <c r="G33" s="30"/>
      <c r="H33" s="30"/>
      <c r="I33" s="30"/>
      <c r="J33" s="30"/>
    </row>
    <row r="34" spans="1:10" x14ac:dyDescent="0.25">
      <c r="A34" s="2">
        <v>8</v>
      </c>
      <c r="B34" s="30"/>
      <c r="C34" s="30"/>
      <c r="D34" s="30"/>
      <c r="E34" s="30"/>
      <c r="F34" s="30"/>
      <c r="G34" s="30"/>
      <c r="H34" s="30"/>
      <c r="I34" s="30"/>
      <c r="J34" s="30"/>
    </row>
    <row r="35" spans="1:10" x14ac:dyDescent="0.25">
      <c r="A35" s="2">
        <v>9</v>
      </c>
      <c r="B35" s="30"/>
      <c r="C35" s="30"/>
      <c r="D35" s="30"/>
      <c r="E35" s="30"/>
      <c r="F35" s="30"/>
      <c r="G35" s="30"/>
      <c r="H35" s="30"/>
      <c r="I35" s="30"/>
      <c r="J35" s="30"/>
    </row>
    <row r="36" spans="1:10" x14ac:dyDescent="0.25">
      <c r="A36" s="2">
        <v>10</v>
      </c>
      <c r="B36" s="30"/>
      <c r="C36" s="30"/>
      <c r="D36" s="30"/>
      <c r="E36" s="30"/>
      <c r="F36" s="30"/>
      <c r="G36" s="30"/>
      <c r="H36" s="30"/>
      <c r="I36" s="30"/>
      <c r="J36" s="30"/>
    </row>
    <row r="37" spans="1:10" x14ac:dyDescent="0.25">
      <c r="A37" s="2">
        <v>11</v>
      </c>
      <c r="B37" s="30"/>
      <c r="C37" s="30"/>
      <c r="D37" s="30"/>
      <c r="E37" s="30"/>
      <c r="F37" s="30"/>
      <c r="G37" s="30"/>
      <c r="H37" s="30"/>
      <c r="I37" s="30"/>
      <c r="J37" s="30"/>
    </row>
    <row r="39" spans="1:10" x14ac:dyDescent="0.25">
      <c r="B39" t="s">
        <v>20</v>
      </c>
    </row>
    <row r="41" spans="1:10" x14ac:dyDescent="0.25">
      <c r="B41" s="25"/>
      <c r="C41" s="25"/>
      <c r="D41" s="26"/>
      <c r="E41" s="26"/>
      <c r="F41" s="25"/>
      <c r="H41" s="25"/>
      <c r="I41" s="25"/>
      <c r="J41" s="25"/>
    </row>
    <row r="42" spans="1:10" x14ac:dyDescent="0.25">
      <c r="B42" s="31" t="s">
        <v>21</v>
      </c>
      <c r="C42" s="31"/>
      <c r="E42" s="31" t="s">
        <v>22</v>
      </c>
      <c r="F42" s="31"/>
      <c r="H42" s="32" t="s">
        <v>23</v>
      </c>
      <c r="I42" s="32"/>
      <c r="J42" s="3" t="s">
        <v>24</v>
      </c>
    </row>
  </sheetData>
  <mergeCells count="33">
    <mergeCell ref="H15:I15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B30:J30"/>
    <mergeCell ref="H16:I16"/>
    <mergeCell ref="H17:I17"/>
    <mergeCell ref="H18:I18"/>
    <mergeCell ref="H19:I19"/>
    <mergeCell ref="H20:I20"/>
    <mergeCell ref="H21:I21"/>
    <mergeCell ref="H22:I22"/>
    <mergeCell ref="B25:J25"/>
    <mergeCell ref="B27:J27"/>
    <mergeCell ref="B28:J28"/>
    <mergeCell ref="B29:J29"/>
    <mergeCell ref="B37:J37"/>
    <mergeCell ref="B42:C42"/>
    <mergeCell ref="E42:F42"/>
    <mergeCell ref="H42:I42"/>
    <mergeCell ref="B31:J31"/>
    <mergeCell ref="B32:J32"/>
    <mergeCell ref="B33:J33"/>
    <mergeCell ref="B34:J34"/>
    <mergeCell ref="B35:J35"/>
    <mergeCell ref="B36:J36"/>
  </mergeCells>
  <pageMargins left="0.7" right="0.7" top="0.75" bottom="0.75" header="0.3" footer="0.3"/>
  <pageSetup scale="6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cca795c-b702-4d9c-a00f-4ea8e3fb1866" xsi:nil="true"/>
    <lcf76f155ced4ddcb4097134ff3c332f xmlns="8be24d1f-f08e-46a7-9c6b-0452813a2a7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DB4063CA6254CA7AE1C6AB1A0E203" ma:contentTypeVersion="14" ma:contentTypeDescription="Create a new document." ma:contentTypeScope="" ma:versionID="aa6a2207218d003a33197d42270b06a6">
  <xsd:schema xmlns:xsd="http://www.w3.org/2001/XMLSchema" xmlns:xs="http://www.w3.org/2001/XMLSchema" xmlns:p="http://schemas.microsoft.com/office/2006/metadata/properties" xmlns:ns2="8be24d1f-f08e-46a7-9c6b-0452813a2a77" xmlns:ns3="1cca795c-b702-4d9c-a00f-4ea8e3fb1866" targetNamespace="http://schemas.microsoft.com/office/2006/metadata/properties" ma:root="true" ma:fieldsID="36946071ae238f9df883a13be9ca226d" ns2:_="" ns3:_="">
    <xsd:import namespace="8be24d1f-f08e-46a7-9c6b-0452813a2a77"/>
    <xsd:import namespace="1cca795c-b702-4d9c-a00f-4ea8e3fb1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24d1f-f08e-46a7-9c6b-0452813a2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5be1fd7-7535-4a18-99f7-c6c8bb01b2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a795c-b702-4d9c-a00f-4ea8e3fb1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a427014-70be-4e72-952d-11e5995fb69d}" ma:internalName="TaxCatchAll" ma:showField="CatchAllData" ma:web="1cca795c-b702-4d9c-a00f-4ea8e3fb1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9A6B3E-5D43-4F9C-B7BF-8156B22C5E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D44F05-9AE1-4A53-B8F4-8458A7FF45D1}">
  <ds:schemaRefs>
    <ds:schemaRef ds:uri="374e9f3f-5602-4c64-9487-40f39f273410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terms/"/>
    <ds:schemaRef ds:uri="http://schemas.openxmlformats.org/package/2006/metadata/core-properties"/>
    <ds:schemaRef ds:uri="826e4ca9-683e-460e-9129-1a62b2e7bbb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4B7E23D-CE42-41F2-882E-1DE08CB28E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Seared Tuna</vt:lpstr>
      <vt:lpstr>Spice Blend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2024-10-09T19:06:13Z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0x0101000B5DB4063CA6254CA7AE1C6AB1A0E203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