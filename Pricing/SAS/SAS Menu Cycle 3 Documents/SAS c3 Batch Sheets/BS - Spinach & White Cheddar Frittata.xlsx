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16" documentId="13_ncr:1_{32EBDFEF-F03F-4D4F-A8EC-6F011041E84B}" xr6:coauthVersionLast="47" xr6:coauthVersionMax="47" xr10:uidLastSave="{6DF5F089-1D5C-446D-AF45-A2844125D81D}"/>
  <bookViews>
    <workbookView xWindow="-105" yWindow="0" windowWidth="10455" windowHeight="10905" firstSheet="1" activeTab="1" xr2:uid="{00000000-000D-0000-FFFF-FFFF00000000}"/>
  </bookViews>
  <sheets>
    <sheet name="BUILD OUT" sheetId="8" r:id="rId1"/>
    <sheet name="Spinach&amp; White Cheddar Frittata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3" l="1"/>
  <c r="D16" i="13"/>
  <c r="F10" i="13" s="1"/>
  <c r="G10" i="13" s="1"/>
  <c r="F7" i="13" l="1"/>
  <c r="F9" i="13"/>
  <c r="G9" i="13" s="1"/>
  <c r="F11" i="13"/>
  <c r="G11" i="13" s="1"/>
  <c r="F13" i="13"/>
  <c r="G13" i="13" s="1"/>
  <c r="F15" i="13"/>
  <c r="G15" i="13" s="1"/>
  <c r="F8" i="13"/>
  <c r="G8" i="13" s="1"/>
  <c r="F12" i="13"/>
  <c r="G12" i="13" s="1"/>
  <c r="F14" i="13"/>
  <c r="G14" i="13" s="1"/>
  <c r="F16" i="13" l="1"/>
  <c r="G7" i="13"/>
  <c r="G16" i="13" s="1"/>
  <c r="G17" i="13" s="1"/>
  <c r="G11" i="8" l="1"/>
  <c r="G10" i="8"/>
  <c r="G9" i="8"/>
  <c r="G8" i="8"/>
  <c r="G7" i="8"/>
  <c r="D12" i="8"/>
  <c r="F10" i="8" l="1"/>
  <c r="F11" i="8"/>
  <c r="F8" i="8"/>
  <c r="F7" i="8"/>
  <c r="F9" i="8"/>
  <c r="G12" i="8" l="1"/>
  <c r="G13" i="8" s="1"/>
  <c r="F12" i="8"/>
</calcChain>
</file>

<file path=xl/sharedStrings.xml><?xml version="1.0" encoding="utf-8"?>
<sst xmlns="http://schemas.openxmlformats.org/spreadsheetml/2006/main" count="100" uniqueCount="56">
  <si>
    <t>Formula Name:</t>
  </si>
  <si>
    <t xml:space="preserve">Spinach &amp; White Cheddar Frittata - BUILD/mold </t>
  </si>
  <si>
    <t>R&amp;D ID Number:</t>
  </si>
  <si>
    <t>Version #:</t>
  </si>
  <si>
    <t>Batch Number:</t>
  </si>
  <si>
    <t>Desired (ea):</t>
  </si>
  <si>
    <t>Yield Loss:</t>
  </si>
  <si>
    <t>Item Number</t>
  </si>
  <si>
    <t>Description</t>
  </si>
  <si>
    <t>Original Formula</t>
  </si>
  <si>
    <t>UOM</t>
  </si>
  <si>
    <t>%</t>
  </si>
  <si>
    <t>Desired (lb)</t>
  </si>
  <si>
    <t>Lot Code</t>
  </si>
  <si>
    <t>Notes</t>
  </si>
  <si>
    <t xml:space="preserve">Custard Base </t>
  </si>
  <si>
    <t>oz</t>
  </si>
  <si>
    <t xml:space="preserve">Spinach, Chopped </t>
  </si>
  <si>
    <t>Sysco - 2523833 or 2282234</t>
  </si>
  <si>
    <t xml:space="preserve">Cheese, White Cheddar, Shredded 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</si>
  <si>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</si>
  <si>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</si>
  <si>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</si>
  <si>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</si>
  <si>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</si>
  <si>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Lay silicone molds out on sheet pans and pan spray. </t>
  </si>
  <si>
    <t>Fill molds with 3 oz egg mixture. Top each mold with 0.5 oz spinach and 0.25 oz shredded white cheddar cheese.</t>
  </si>
  <si>
    <t xml:space="preserve">Place in combi oven at 300F low fan on 70% fan for 12-15 minutes until middle is set. </t>
  </si>
  <si>
    <t xml:space="preserve">Place in blast chiller until internal temperature reaches 40 F.  </t>
  </si>
  <si>
    <t>Chill to 70 degrees in 2 hours and to 41 degrees or lower in 4 or less hours.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</si>
  <si>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</si>
  <si>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</si>
  <si>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</si>
  <si>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>Reviewed By</t>
  </si>
  <si>
    <t>Spinach &amp; White Cheddar Frittata</t>
  </si>
  <si>
    <t>Desired QTY (lb):</t>
  </si>
  <si>
    <t>lb</t>
  </si>
  <si>
    <t># of pieces:</t>
  </si>
  <si>
    <t xml:space="preserve">QA to sign off on Batch Sheet to make sure all measurements are correct. </t>
  </si>
  <si>
    <t xml:space="preserve">Combine egg, cream, salt and pepper in Cambro and mix with immersion blender. </t>
  </si>
  <si>
    <t xml:space="preserve">Add xanthan gum and continue to blend until mixture thickens. </t>
  </si>
  <si>
    <t xml:space="preserve">Label and pack 12 ea per pan (2 layers of 6), making sure it is kept at 41 degrees or less. </t>
  </si>
  <si>
    <t>P292</t>
  </si>
  <si>
    <t>EGGS LIQUID WHOLE</t>
  </si>
  <si>
    <t>C110</t>
  </si>
  <si>
    <t>HEAVY WHIPPING CREAM 36%</t>
  </si>
  <si>
    <t>D090</t>
  </si>
  <si>
    <t>SALT KOSHER</t>
  </si>
  <si>
    <t>D321</t>
  </si>
  <si>
    <t>SPICE PEPPER BLACK FINE L</t>
  </si>
  <si>
    <t>D172</t>
  </si>
  <si>
    <t>XANTHAN GUM</t>
  </si>
  <si>
    <t>F037</t>
  </si>
  <si>
    <t>SPINACH CHOPPED FROZEN</t>
  </si>
  <si>
    <t>P294</t>
  </si>
  <si>
    <t>CHEESE CHEDDAR WHITE SHARP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</si>
</sst>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9" fontId="0" fillId="3" borderId="0" xfId="1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Protection="1">
      <protection locked="0"/>
    </xf>
    <xf numFmtId="2" fontId="0" fillId="5" borderId="1" xfId="2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9" fontId="0" fillId="4" borderId="0" xfId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/>
    <xf numFmtId="164" fontId="0" fillId="5" borderId="1" xfId="2" applyNumberFormat="1" applyFont="1" applyFill="1" applyBorder="1" applyAlignment="1">
      <alignment horizontal="center"/>
    </xf>
    <xf numFmtId="0" fontId="0" fillId="7" borderId="9" xfId="0" applyFill="1" applyBorder="1"/>
    <xf numFmtId="0" fontId="0" fillId="2" borderId="7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2" borderId="10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BD3E-1E2F-4747-97AD-9FD4CA66BA80}">
  <sheetPr>
    <pageSetUpPr fitToPage="1"/>
  </sheetPr>
  <dimension ref="A1:J31"/>
  <sheetViews>
    <sheetView topLeftCell="B1" zoomScale="70" zoomScaleNormal="70" workbookViewId="0">
      <selection activeCell="C5" sqref="C5"/>
    </sheetView>
  </sheetViews>
  <sheetFormatPr defaultRowHeight="15" x14ac:dyDescent="0.25"/>
  <cols>
    <col min="1" max="1" width="3.5703125" style="3" customWidth="1"/>
    <col min="2" max="2" width="21.42578125" customWidth="1"/>
    <col min="3" max="3" width="47.5703125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8" width="12.5703125" customWidth="1"/>
    <col min="9" max="9" width="4.5703125" customWidth="1"/>
    <col min="10" max="10" width="22.140625" customWidth="1"/>
  </cols>
  <sheetData>
    <row r="1" spans="1:10" ht="15.75" thickBot="1" x14ac:dyDescent="0.3"/>
    <row r="2" spans="1:10" ht="15.75" thickBot="1" x14ac:dyDescent="0.3">
      <c r="B2" s="26" t="s">
        <v>0</v>
      </c>
      <c r="C2" s="24" t="s">
        <v>1</v>
      </c>
      <c r="D2" s="25" t="s">
        <v>2</v>
      </c>
      <c r="E2" s="34"/>
      <c r="F2" s="34"/>
      <c r="G2" s="24"/>
      <c r="H2" s="23" t="s">
        <v>3</v>
      </c>
      <c r="I2" s="22">
        <v>1</v>
      </c>
      <c r="J2" s="21" t="s">
        <v>4</v>
      </c>
    </row>
    <row r="3" spans="1:10" ht="5.25" customHeight="1" x14ac:dyDescent="0.25">
      <c r="B3" s="3"/>
      <c r="D3" s="19"/>
      <c r="F3" s="2"/>
      <c r="H3" s="3"/>
      <c r="I3" s="3"/>
      <c r="J3" s="2"/>
    </row>
    <row r="4" spans="1:10" x14ac:dyDescent="0.25">
      <c r="B4" s="2" t="s">
        <v>5</v>
      </c>
      <c r="C4" s="20">
        <v>120</v>
      </c>
      <c r="D4" s="19"/>
      <c r="F4" s="2" t="s">
        <v>6</v>
      </c>
      <c r="G4" s="9">
        <v>0</v>
      </c>
      <c r="I4" s="3"/>
      <c r="J4" s="2"/>
    </row>
    <row r="5" spans="1:10" ht="5.25" customHeight="1" x14ac:dyDescent="0.25">
      <c r="B5" s="3"/>
      <c r="D5" s="19"/>
      <c r="F5" s="2"/>
      <c r="H5" s="3"/>
      <c r="I5" s="3"/>
      <c r="J5" s="2"/>
    </row>
    <row r="6" spans="1:10" x14ac:dyDescent="0.25"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35" t="s">
        <v>13</v>
      </c>
      <c r="I6" s="36"/>
      <c r="J6" s="18" t="s">
        <v>14</v>
      </c>
    </row>
    <row r="7" spans="1:10" x14ac:dyDescent="0.25">
      <c r="A7" s="3">
        <v>1</v>
      </c>
      <c r="B7" s="6"/>
      <c r="C7" s="6" t="s">
        <v>15</v>
      </c>
      <c r="D7" s="17">
        <v>3</v>
      </c>
      <c r="E7" s="17" t="s">
        <v>16</v>
      </c>
      <c r="F7" s="16">
        <f>D7/D$12</f>
        <v>0.8</v>
      </c>
      <c r="G7" s="15">
        <f>C4*D7/16</f>
        <v>22.5</v>
      </c>
      <c r="H7" s="37"/>
      <c r="I7" s="38"/>
      <c r="J7" s="14"/>
    </row>
    <row r="8" spans="1:10" x14ac:dyDescent="0.25">
      <c r="A8" s="3">
        <v>2</v>
      </c>
      <c r="B8" s="6"/>
      <c r="C8" s="6" t="s">
        <v>17</v>
      </c>
      <c r="D8" s="17">
        <v>0.5</v>
      </c>
      <c r="E8" s="17" t="s">
        <v>16</v>
      </c>
      <c r="F8" s="16">
        <f>D8/D$12</f>
        <v>0.13333333333333333</v>
      </c>
      <c r="G8" s="15">
        <f>C4*D8/16</f>
        <v>3.75</v>
      </c>
      <c r="H8" s="37"/>
      <c r="I8" s="38"/>
      <c r="J8" s="14" t="s">
        <v>18</v>
      </c>
    </row>
    <row r="9" spans="1:10" x14ac:dyDescent="0.25">
      <c r="A9" s="3">
        <v>3</v>
      </c>
      <c r="B9" s="6"/>
      <c r="C9" s="6" t="s">
        <v>19</v>
      </c>
      <c r="D9" s="17">
        <v>0.25</v>
      </c>
      <c r="E9" s="17" t="s">
        <v>16</v>
      </c>
      <c r="F9" s="16">
        <f>D9/D$12</f>
        <v>6.6666666666666666E-2</v>
      </c>
      <c r="G9" s="15">
        <f>C4*D9/16</f>
        <v>1.875</v>
      </c>
      <c r="H9" s="37"/>
      <c r="I9" s="38"/>
      <c r="J9" s="14"/>
    </row>
    <row r="10" spans="1:10" x14ac:dyDescent="0.25">
      <c r="A10" s="3">
        <v>4</v>
      </c>
      <c r="B10" s="6"/>
      <c r="C10" s="6"/>
      <c r="D10" s="17"/>
      <c r="E10" s="17" t="s">
        <v>16</v>
      </c>
      <c r="F10" s="16">
        <f>D10/D$12</f>
        <v>0</v>
      </c>
      <c r="G10" s="15">
        <f>C4*D10/16</f>
        <v>0</v>
      </c>
      <c r="H10" s="37"/>
      <c r="I10" s="38"/>
      <c r="J10" s="14"/>
    </row>
    <row r="11" spans="1:10" x14ac:dyDescent="0.25">
      <c r="A11" s="3">
        <v>5</v>
      </c>
      <c r="B11" s="6"/>
      <c r="C11" s="6"/>
      <c r="D11" s="17"/>
      <c r="E11" s="17" t="s">
        <v>16</v>
      </c>
      <c r="F11" s="16">
        <f>D11/D$12</f>
        <v>0</v>
      </c>
      <c r="G11" s="15">
        <f>C4*D11/16</f>
        <v>0</v>
      </c>
      <c r="H11" s="37"/>
      <c r="I11" s="38"/>
      <c r="J11" s="14"/>
    </row>
    <row r="12" spans="1:10" x14ac:dyDescent="0.25">
      <c r="C12" s="13" t="s">
        <v>20</v>
      </c>
      <c r="D12" s="3">
        <f>SUM(D7:D11)</f>
        <v>3.75</v>
      </c>
      <c r="E12" s="3" t="s">
        <v>16</v>
      </c>
      <c r="F12" s="12">
        <f>SUM(F7:F11)</f>
        <v>1</v>
      </c>
      <c r="G12" s="11">
        <f>SUM(G7:G11)</f>
        <v>28.125</v>
      </c>
      <c r="H12" s="10" t="s">
        <v>21</v>
      </c>
    </row>
    <row r="13" spans="1:10" x14ac:dyDescent="0.25">
      <c r="F13" s="9" t="s">
        <v>22</v>
      </c>
      <c r="G13" s="1">
        <f>-G12*G4+C4</f>
        <v>120</v>
      </c>
    </row>
    <row r="14" spans="1:10" ht="15.75" x14ac:dyDescent="0.25">
      <c r="A14"/>
      <c r="B14" s="40" t="s">
        <v>23</v>
      </c>
      <c r="C14" s="40"/>
      <c r="D14" s="40"/>
      <c r="E14" s="40"/>
      <c r="F14" s="40"/>
      <c r="G14" s="40"/>
      <c r="H14" s="40"/>
      <c r="I14" s="40"/>
      <c r="J14" s="40"/>
    </row>
    <row r="15" spans="1:10" ht="15.75" x14ac:dyDescent="0.25">
      <c r="A15"/>
      <c r="B15" s="8" t="s">
        <v>24</v>
      </c>
      <c r="C15" s="7"/>
      <c r="D15" s="7"/>
      <c r="E15" s="7"/>
      <c r="F15" s="7"/>
      <c r="G15" s="7"/>
      <c r="H15" s="7"/>
      <c r="I15" s="7"/>
      <c r="J15" s="7"/>
    </row>
    <row r="16" spans="1:10" ht="18.75" x14ac:dyDescent="0.3">
      <c r="A16" s="3">
        <v>1</v>
      </c>
      <c r="B16" s="39" t="s">
        <v>25</v>
      </c>
      <c r="C16" s="39"/>
      <c r="D16" s="39"/>
      <c r="E16" s="39"/>
      <c r="F16" s="39"/>
      <c r="G16" s="39"/>
      <c r="H16" s="39"/>
      <c r="I16" s="39"/>
      <c r="J16" s="39"/>
    </row>
    <row r="17" spans="1:10" ht="18.75" x14ac:dyDescent="0.3">
      <c r="A17" s="3">
        <v>2</v>
      </c>
      <c r="B17" s="39" t="s">
        <v>26</v>
      </c>
      <c r="C17" s="39"/>
      <c r="D17" s="39"/>
      <c r="E17" s="39"/>
      <c r="F17" s="39"/>
      <c r="G17" s="39"/>
      <c r="H17" s="39"/>
      <c r="I17" s="39"/>
      <c r="J17" s="39"/>
    </row>
    <row r="18" spans="1:10" ht="18.75" x14ac:dyDescent="0.3">
      <c r="A18" s="3">
        <v>3</v>
      </c>
      <c r="B18" s="39" t="s">
        <v>27</v>
      </c>
      <c r="C18" s="39"/>
      <c r="D18" s="39"/>
      <c r="E18" s="39"/>
      <c r="F18" s="39"/>
      <c r="G18" s="39"/>
      <c r="H18" s="39"/>
      <c r="I18" s="39"/>
      <c r="J18" s="39"/>
    </row>
    <row r="19" spans="1:10" ht="18.75" x14ac:dyDescent="0.3">
      <c r="A19" s="3">
        <v>4</v>
      </c>
      <c r="B19" s="39" t="s">
        <v>28</v>
      </c>
      <c r="C19" s="39"/>
      <c r="D19" s="39"/>
      <c r="E19" s="39"/>
      <c r="F19" s="39"/>
      <c r="G19" s="39"/>
      <c r="H19" s="39"/>
      <c r="I19" s="39"/>
      <c r="J19" s="39"/>
    </row>
    <row r="20" spans="1:10" ht="18.75" x14ac:dyDescent="0.3">
      <c r="A20" s="3">
        <v>5</v>
      </c>
      <c r="B20" s="39" t="s">
        <v>29</v>
      </c>
      <c r="C20" s="39"/>
      <c r="D20" s="39"/>
      <c r="E20" s="39"/>
      <c r="F20" s="39"/>
      <c r="G20" s="39"/>
      <c r="H20" s="39"/>
      <c r="I20" s="39"/>
      <c r="J20" s="39"/>
    </row>
    <row r="21" spans="1:10" x14ac:dyDescent="0.25">
      <c r="A21" s="3">
        <v>6</v>
      </c>
      <c r="B21" s="41"/>
      <c r="C21" s="41"/>
      <c r="D21" s="41"/>
      <c r="E21" s="41"/>
      <c r="F21" s="41"/>
      <c r="G21" s="41"/>
      <c r="H21" s="41"/>
      <c r="I21" s="41"/>
      <c r="J21" s="41"/>
    </row>
    <row r="22" spans="1:10" x14ac:dyDescent="0.25">
      <c r="A22" s="3">
        <v>7</v>
      </c>
      <c r="B22" s="41"/>
      <c r="C22" s="41"/>
      <c r="D22" s="41"/>
      <c r="E22" s="41"/>
      <c r="F22" s="41"/>
      <c r="G22" s="41"/>
      <c r="H22" s="41"/>
      <c r="I22" s="41"/>
      <c r="J22" s="41"/>
    </row>
    <row r="23" spans="1:10" x14ac:dyDescent="0.25">
      <c r="A23" s="3">
        <v>8</v>
      </c>
      <c r="B23" s="41"/>
      <c r="C23" s="41"/>
      <c r="D23" s="41"/>
      <c r="E23" s="41"/>
      <c r="F23" s="41"/>
      <c r="G23" s="41"/>
      <c r="H23" s="41"/>
      <c r="I23" s="41"/>
      <c r="J23" s="41"/>
    </row>
    <row r="24" spans="1:10" x14ac:dyDescent="0.25">
      <c r="A24" s="3">
        <v>9</v>
      </c>
      <c r="B24" s="41"/>
      <c r="C24" s="41"/>
      <c r="D24" s="41"/>
      <c r="E24" s="41"/>
      <c r="F24" s="41"/>
      <c r="G24" s="41"/>
      <c r="H24" s="41"/>
      <c r="I24" s="41"/>
      <c r="J24" s="41"/>
    </row>
    <row r="25" spans="1:10" x14ac:dyDescent="0.25">
      <c r="A25" s="3">
        <v>10</v>
      </c>
      <c r="B25" s="41"/>
      <c r="C25" s="41"/>
      <c r="D25" s="41"/>
      <c r="E25" s="41"/>
      <c r="F25" s="41"/>
      <c r="G25" s="41"/>
      <c r="H25" s="41"/>
      <c r="I25" s="41"/>
      <c r="J25" s="41"/>
    </row>
    <row r="26" spans="1:10" x14ac:dyDescent="0.25">
      <c r="A26" s="3">
        <v>11</v>
      </c>
      <c r="B26" s="41"/>
      <c r="C26" s="41"/>
      <c r="D26" s="41"/>
      <c r="E26" s="41"/>
      <c r="F26" s="41"/>
      <c r="G26" s="41"/>
      <c r="H26" s="41"/>
      <c r="I26" s="41"/>
      <c r="J26" s="41"/>
    </row>
    <row r="28" spans="1:10" x14ac:dyDescent="0.25">
      <c r="B28" t="s">
        <v>30</v>
      </c>
    </row>
    <row r="30" spans="1:10" x14ac:dyDescent="0.25">
      <c r="B30" s="4"/>
      <c r="C30" s="4"/>
      <c r="D30" s="5"/>
      <c r="E30" s="5"/>
      <c r="F30" s="4"/>
      <c r="G30" s="5"/>
      <c r="H30" s="4"/>
      <c r="I30" s="4"/>
      <c r="J30" s="4"/>
    </row>
    <row r="31" spans="1:10" x14ac:dyDescent="0.25">
      <c r="B31" s="42" t="s">
        <v>31</v>
      </c>
      <c r="C31" s="42"/>
      <c r="E31" s="42" t="s">
        <v>32</v>
      </c>
      <c r="F31" s="42"/>
      <c r="G31" s="43" t="s">
        <v>33</v>
      </c>
      <c r="H31" s="43"/>
      <c r="I31" s="27"/>
      <c r="J31" s="28" t="s">
        <v>32</v>
      </c>
    </row>
  </sheetData>
  <mergeCells count="22">
    <mergeCell ref="B26:J26"/>
    <mergeCell ref="B31:C31"/>
    <mergeCell ref="E31:F31"/>
    <mergeCell ref="B20:J20"/>
    <mergeCell ref="B21:J21"/>
    <mergeCell ref="B22:J22"/>
    <mergeCell ref="B23:J23"/>
    <mergeCell ref="B24:J24"/>
    <mergeCell ref="B25:J25"/>
    <mergeCell ref="G31:H31"/>
    <mergeCell ref="H10:I10"/>
    <mergeCell ref="H11:I11"/>
    <mergeCell ref="B19:J19"/>
    <mergeCell ref="B14:J14"/>
    <mergeCell ref="B16:J16"/>
    <mergeCell ref="B17:J17"/>
    <mergeCell ref="B18:J18"/>
    <mergeCell ref="E2:F2"/>
    <mergeCell ref="H6:I6"/>
    <mergeCell ref="H7:I7"/>
    <mergeCell ref="H8:I8"/>
    <mergeCell ref="H9:I9"/>
  </mergeCells>
  <pageMargins left="0.7" right="0.7" top="0.75" bottom="0.75" header="0.3" footer="0.3"/>
  <pageSetup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0AC0-A919-4FE6-9656-911088ACBCAB}">
  <sheetPr>
    <pageSetUpPr fitToPage="1"/>
  </sheetPr>
  <dimension ref="A1:J34"/>
  <sheetViews>
    <sheetView tabSelected="1" zoomScale="70" zoomScaleNormal="70" workbookViewId="0">
      <selection activeCell="G7" sqref="G7:G13"/>
    </sheetView>
  </sheetViews>
  <sheetFormatPr defaultRowHeight="15" x14ac:dyDescent="0.25"/>
  <cols>
    <col min="1" max="1" width="3.5703125" style="3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26" t="s">
        <v>0</v>
      </c>
      <c r="C2" s="24" t="s">
        <v>34</v>
      </c>
      <c r="D2" s="25" t="s">
        <v>2</v>
      </c>
      <c r="E2" s="34"/>
      <c r="F2" s="34"/>
      <c r="G2" s="24"/>
      <c r="H2" s="23" t="s">
        <v>3</v>
      </c>
      <c r="I2" s="22">
        <v>1</v>
      </c>
      <c r="J2" s="21" t="s">
        <v>4</v>
      </c>
    </row>
    <row r="3" spans="1:10" ht="5.25" customHeight="1" x14ac:dyDescent="0.25">
      <c r="B3" s="3"/>
      <c r="D3" s="19"/>
      <c r="F3" s="2"/>
      <c r="H3" s="3"/>
      <c r="I3" s="3"/>
      <c r="J3" s="2"/>
    </row>
    <row r="4" spans="1:10" x14ac:dyDescent="0.25">
      <c r="B4" s="2" t="s">
        <v>35</v>
      </c>
      <c r="C4" s="20">
        <v>23</v>
      </c>
      <c r="D4" s="19"/>
      <c r="F4" s="2" t="s">
        <v>6</v>
      </c>
      <c r="G4" s="9">
        <v>0</v>
      </c>
      <c r="I4" s="3"/>
      <c r="J4" s="2"/>
    </row>
    <row r="5" spans="1:10" ht="5.25" customHeight="1" x14ac:dyDescent="0.25">
      <c r="B5" s="3"/>
      <c r="D5" s="19"/>
      <c r="F5" s="2"/>
      <c r="H5" s="3"/>
      <c r="I5" s="3"/>
      <c r="J5" s="2"/>
    </row>
    <row r="6" spans="1:10" x14ac:dyDescent="0.25"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35" t="s">
        <v>13</v>
      </c>
      <c r="I6" s="36"/>
      <c r="J6" s="18" t="s">
        <v>14</v>
      </c>
    </row>
    <row r="7" spans="1:10" x14ac:dyDescent="0.25">
      <c r="A7" s="3">
        <v>1</v>
      </c>
      <c r="B7" s="6" t="s">
        <v>42</v>
      </c>
      <c r="C7" s="6" t="s">
        <v>43</v>
      </c>
      <c r="D7" s="17">
        <v>3.2440000000000002</v>
      </c>
      <c r="E7" s="17" t="s">
        <v>36</v>
      </c>
      <c r="F7" s="16">
        <f t="shared" ref="F7:F15" si="0">D7/D$16</f>
        <v>0.49564553093964864</v>
      </c>
      <c r="G7" s="32">
        <f>C4*F7</f>
        <v>11.399847211611918</v>
      </c>
      <c r="H7" s="37"/>
      <c r="I7" s="38"/>
      <c r="J7" s="14"/>
    </row>
    <row r="8" spans="1:10" x14ac:dyDescent="0.25">
      <c r="A8" s="3">
        <v>2</v>
      </c>
      <c r="B8" s="6" t="s">
        <v>44</v>
      </c>
      <c r="C8" s="6" t="s">
        <v>45</v>
      </c>
      <c r="D8" s="17">
        <v>0.95399999999999996</v>
      </c>
      <c r="E8" s="17" t="s">
        <v>36</v>
      </c>
      <c r="F8" s="16">
        <f t="shared" si="0"/>
        <v>0.14576012223071047</v>
      </c>
      <c r="G8" s="32">
        <f>C4*F8</f>
        <v>3.352482811306341</v>
      </c>
      <c r="H8" s="37"/>
      <c r="I8" s="38"/>
      <c r="J8" s="14"/>
    </row>
    <row r="9" spans="1:10" x14ac:dyDescent="0.25">
      <c r="A9" s="3">
        <v>3</v>
      </c>
      <c r="B9" s="6" t="s">
        <v>46</v>
      </c>
      <c r="C9" s="6" t="s">
        <v>47</v>
      </c>
      <c r="D9" s="17">
        <v>8.2000000000000003E-2</v>
      </c>
      <c r="E9" s="17" t="s">
        <v>36</v>
      </c>
      <c r="F9" s="16">
        <f t="shared" si="0"/>
        <v>1.2528647822765471E-2</v>
      </c>
      <c r="G9" s="32">
        <f>C4*F9</f>
        <v>0.28815889992360583</v>
      </c>
      <c r="H9" s="37"/>
      <c r="I9" s="38"/>
      <c r="J9" s="14"/>
    </row>
    <row r="10" spans="1:10" x14ac:dyDescent="0.25">
      <c r="A10" s="3">
        <v>4</v>
      </c>
      <c r="B10" s="6" t="s">
        <v>48</v>
      </c>
      <c r="C10" s="6" t="s">
        <v>49</v>
      </c>
      <c r="D10" s="17">
        <v>3.0000000000000001E-3</v>
      </c>
      <c r="E10" s="17" t="s">
        <v>36</v>
      </c>
      <c r="F10" s="16">
        <f t="shared" si="0"/>
        <v>4.5836516424751719E-4</v>
      </c>
      <c r="G10" s="32">
        <f>C4*F10</f>
        <v>1.0542398777692896E-2</v>
      </c>
      <c r="H10" s="37"/>
      <c r="I10" s="38"/>
      <c r="J10" s="14"/>
    </row>
    <row r="11" spans="1:10" x14ac:dyDescent="0.25">
      <c r="A11" s="3">
        <v>5</v>
      </c>
      <c r="B11" s="6" t="s">
        <v>50</v>
      </c>
      <c r="C11" s="6" t="s">
        <v>51</v>
      </c>
      <c r="D11" s="17">
        <v>1.2E-2</v>
      </c>
      <c r="E11" s="17" t="s">
        <v>36</v>
      </c>
      <c r="F11" s="16">
        <f t="shared" si="0"/>
        <v>1.8334606569900688E-3</v>
      </c>
      <c r="G11" s="32">
        <f>C4*F11</f>
        <v>4.2169595110771584E-2</v>
      </c>
      <c r="H11" s="37"/>
      <c r="I11" s="38"/>
      <c r="J11" s="14"/>
    </row>
    <row r="12" spans="1:10" x14ac:dyDescent="0.25">
      <c r="A12" s="3">
        <v>6</v>
      </c>
      <c r="B12" s="6" t="s">
        <v>52</v>
      </c>
      <c r="C12" s="6" t="s">
        <v>53</v>
      </c>
      <c r="D12" s="17">
        <v>1.5</v>
      </c>
      <c r="E12" s="17" t="s">
        <v>36</v>
      </c>
      <c r="F12" s="16">
        <f t="shared" si="0"/>
        <v>0.22918258212375861</v>
      </c>
      <c r="G12" s="32">
        <f>C4*F12</f>
        <v>5.2711993888464477</v>
      </c>
      <c r="H12" s="37"/>
      <c r="I12" s="38"/>
      <c r="J12" s="14" t="s">
        <v>18</v>
      </c>
    </row>
    <row r="13" spans="1:10" x14ac:dyDescent="0.25">
      <c r="A13" s="3">
        <v>7</v>
      </c>
      <c r="B13" s="6" t="s">
        <v>54</v>
      </c>
      <c r="C13" s="6" t="s">
        <v>55</v>
      </c>
      <c r="D13" s="17">
        <v>0.75</v>
      </c>
      <c r="E13" s="17" t="s">
        <v>36</v>
      </c>
      <c r="F13" s="16">
        <f t="shared" si="0"/>
        <v>0.11459129106187931</v>
      </c>
      <c r="G13" s="32">
        <f>C4*F13</f>
        <v>2.6355996944232238</v>
      </c>
      <c r="H13" s="37"/>
      <c r="I13" s="38"/>
      <c r="J13" s="14"/>
    </row>
    <row r="14" spans="1:10" x14ac:dyDescent="0.25">
      <c r="A14" s="3">
        <v>8</v>
      </c>
      <c r="B14" s="6"/>
      <c r="C14" s="6"/>
      <c r="D14" s="17"/>
      <c r="E14" s="17" t="s">
        <v>36</v>
      </c>
      <c r="F14" s="16">
        <f t="shared" si="0"/>
        <v>0</v>
      </c>
      <c r="G14" s="15">
        <f>C4*F14</f>
        <v>0</v>
      </c>
      <c r="H14" s="37"/>
      <c r="I14" s="38"/>
      <c r="J14" s="14"/>
    </row>
    <row r="15" spans="1:10" x14ac:dyDescent="0.25">
      <c r="A15" s="3">
        <v>9</v>
      </c>
      <c r="B15" s="6"/>
      <c r="C15" s="6"/>
      <c r="D15" s="17"/>
      <c r="E15" s="17" t="s">
        <v>36</v>
      </c>
      <c r="F15" s="16">
        <f t="shared" si="0"/>
        <v>0</v>
      </c>
      <c r="G15" s="15">
        <f>C4*F15</f>
        <v>0</v>
      </c>
      <c r="H15" s="37"/>
      <c r="I15" s="38"/>
      <c r="J15" s="14"/>
    </row>
    <row r="16" spans="1:10" x14ac:dyDescent="0.25">
      <c r="C16" s="13" t="s">
        <v>20</v>
      </c>
      <c r="D16" s="3">
        <f>SUM(D7:D15)</f>
        <v>6.5449999999999999</v>
      </c>
      <c r="E16" s="3" t="s">
        <v>36</v>
      </c>
      <c r="F16" s="12">
        <f>SUM(F7:F15)</f>
        <v>1.0000000000000002</v>
      </c>
      <c r="G16" s="30">
        <f>SUM(G7:G15)</f>
        <v>23</v>
      </c>
      <c r="H16" s="31" t="s">
        <v>21</v>
      </c>
    </row>
    <row r="17" spans="1:10" x14ac:dyDescent="0.25">
      <c r="F17" s="29" t="s">
        <v>22</v>
      </c>
      <c r="G17" s="11">
        <f>-G16*G4+C4</f>
        <v>23</v>
      </c>
      <c r="H17" s="33" t="s">
        <v>37</v>
      </c>
      <c r="I17" s="33">
        <f>C4*16/3.75</f>
        <v>98.13333333333334</v>
      </c>
    </row>
    <row r="18" spans="1:10" ht="15.75" x14ac:dyDescent="0.25">
      <c r="B18" s="40" t="s">
        <v>23</v>
      </c>
      <c r="C18" s="40"/>
      <c r="D18" s="40"/>
      <c r="E18" s="40"/>
      <c r="F18" s="40"/>
      <c r="G18" s="40"/>
      <c r="H18" s="44"/>
      <c r="I18" s="44"/>
      <c r="J18" s="40"/>
    </row>
    <row r="19" spans="1:10" ht="15.75" x14ac:dyDescent="0.25">
      <c r="B19" s="8" t="s">
        <v>24</v>
      </c>
      <c r="C19" s="7"/>
      <c r="D19" s="7"/>
      <c r="E19" s="7"/>
      <c r="F19" s="7"/>
      <c r="G19" s="7"/>
      <c r="H19" s="7"/>
      <c r="I19" s="7"/>
      <c r="J19" s="7"/>
    </row>
    <row r="20" spans="1:10" ht="18.75" x14ac:dyDescent="0.3">
      <c r="A20" s="3">
        <v>1</v>
      </c>
      <c r="B20" s="39" t="s">
        <v>38</v>
      </c>
      <c r="C20" s="39"/>
      <c r="D20" s="39"/>
      <c r="E20" s="39"/>
      <c r="F20" s="39"/>
      <c r="G20" s="39"/>
      <c r="H20" s="39"/>
      <c r="I20" s="39"/>
      <c r="J20" s="39"/>
    </row>
    <row r="21" spans="1:10" ht="18.75" x14ac:dyDescent="0.3">
      <c r="A21" s="3">
        <v>2</v>
      </c>
      <c r="B21" s="39" t="s">
        <v>39</v>
      </c>
      <c r="C21" s="39"/>
      <c r="D21" s="39"/>
      <c r="E21" s="39"/>
      <c r="F21" s="39"/>
      <c r="G21" s="39"/>
      <c r="H21" s="39"/>
      <c r="I21" s="39"/>
      <c r="J21" s="39"/>
    </row>
    <row r="22" spans="1:10" ht="18.75" x14ac:dyDescent="0.3">
      <c r="A22" s="3">
        <v>3</v>
      </c>
      <c r="B22" s="39" t="s">
        <v>40</v>
      </c>
      <c r="C22" s="39"/>
      <c r="D22" s="39"/>
      <c r="E22" s="39"/>
      <c r="F22" s="39"/>
      <c r="G22" s="39"/>
      <c r="H22" s="39"/>
      <c r="I22" s="39"/>
      <c r="J22" s="39"/>
    </row>
    <row r="23" spans="1:10" ht="18.75" x14ac:dyDescent="0.3">
      <c r="A23" s="3">
        <v>4</v>
      </c>
      <c r="B23" s="39" t="s">
        <v>25</v>
      </c>
      <c r="C23" s="39"/>
      <c r="D23" s="39"/>
      <c r="E23" s="39"/>
      <c r="F23" s="39"/>
      <c r="G23" s="39"/>
      <c r="H23" s="39"/>
      <c r="I23" s="39"/>
      <c r="J23" s="39"/>
    </row>
    <row r="24" spans="1:10" ht="18.75" x14ac:dyDescent="0.3">
      <c r="A24" s="3">
        <v>5</v>
      </c>
      <c r="B24" s="39" t="s">
        <v>26</v>
      </c>
      <c r="C24" s="39"/>
      <c r="D24" s="39"/>
      <c r="E24" s="39"/>
      <c r="F24" s="39"/>
      <c r="G24" s="39"/>
      <c r="H24" s="39"/>
      <c r="I24" s="39"/>
      <c r="J24" s="39"/>
    </row>
    <row r="25" spans="1:10" ht="18.75" x14ac:dyDescent="0.3">
      <c r="A25" s="3">
        <v>6</v>
      </c>
      <c r="B25" s="39" t="s">
        <v>27</v>
      </c>
      <c r="C25" s="39"/>
      <c r="D25" s="39"/>
      <c r="E25" s="39"/>
      <c r="F25" s="39"/>
      <c r="G25" s="39"/>
      <c r="H25" s="39"/>
      <c r="I25" s="39"/>
      <c r="J25" s="39"/>
    </row>
    <row r="26" spans="1:10" ht="18.75" x14ac:dyDescent="0.3">
      <c r="A26" s="3">
        <v>7</v>
      </c>
      <c r="B26" s="39" t="s">
        <v>28</v>
      </c>
      <c r="C26" s="39"/>
      <c r="D26" s="39"/>
      <c r="E26" s="39"/>
      <c r="F26" s="39"/>
      <c r="G26" s="39"/>
      <c r="H26" s="39"/>
      <c r="I26" s="39"/>
      <c r="J26" s="39"/>
    </row>
    <row r="27" spans="1:10" ht="18.75" x14ac:dyDescent="0.3">
      <c r="A27" s="3">
        <v>8</v>
      </c>
      <c r="B27" s="39" t="s">
        <v>29</v>
      </c>
      <c r="C27" s="39"/>
      <c r="D27" s="39"/>
      <c r="E27" s="39"/>
      <c r="F27" s="39"/>
      <c r="G27" s="39"/>
      <c r="H27" s="39"/>
      <c r="I27" s="39"/>
      <c r="J27" s="39"/>
    </row>
    <row r="28" spans="1:10" ht="18.75" x14ac:dyDescent="0.3">
      <c r="A28" s="3">
        <v>9</v>
      </c>
      <c r="B28" s="39" t="s">
        <v>41</v>
      </c>
      <c r="C28" s="39"/>
      <c r="D28" s="39"/>
      <c r="E28" s="39"/>
      <c r="F28" s="39"/>
      <c r="G28" s="39"/>
      <c r="H28" s="39"/>
      <c r="I28" s="39"/>
      <c r="J28" s="39"/>
    </row>
    <row r="29" spans="1:10" ht="18.75" x14ac:dyDescent="0.3">
      <c r="A29" s="3">
        <v>10</v>
      </c>
      <c r="B29" s="39"/>
      <c r="C29" s="39"/>
      <c r="D29" s="39"/>
      <c r="E29" s="39"/>
      <c r="F29" s="39"/>
      <c r="G29" s="39"/>
      <c r="H29" s="39"/>
      <c r="I29" s="39"/>
      <c r="J29" s="39"/>
    </row>
    <row r="31" spans="1:10" x14ac:dyDescent="0.25">
      <c r="B31" t="s">
        <v>30</v>
      </c>
    </row>
    <row r="33" spans="2:10" x14ac:dyDescent="0.25">
      <c r="B33" s="4"/>
      <c r="C33" s="4"/>
      <c r="D33" s="5"/>
      <c r="E33" s="5"/>
      <c r="F33" s="4"/>
      <c r="G33" s="5"/>
      <c r="H33" s="4"/>
      <c r="I33" s="4"/>
      <c r="J33" s="4"/>
    </row>
    <row r="34" spans="2:10" x14ac:dyDescent="0.25">
      <c r="B34" s="42" t="s">
        <v>31</v>
      </c>
      <c r="C34" s="42"/>
      <c r="E34" s="42" t="s">
        <v>32</v>
      </c>
      <c r="F34" s="42"/>
      <c r="G34" s="43" t="s">
        <v>33</v>
      </c>
      <c r="H34" s="43"/>
      <c r="I34" s="27"/>
      <c r="J34" s="28" t="s">
        <v>32</v>
      </c>
    </row>
  </sheetData>
  <mergeCells count="25">
    <mergeCell ref="B27:J27"/>
    <mergeCell ref="B28:J28"/>
    <mergeCell ref="B29:J29"/>
    <mergeCell ref="B34:C34"/>
    <mergeCell ref="E34:F34"/>
    <mergeCell ref="G34:H34"/>
    <mergeCell ref="H15:I15"/>
    <mergeCell ref="B26:J26"/>
    <mergeCell ref="B18:J18"/>
    <mergeCell ref="B20:J20"/>
    <mergeCell ref="B21:J21"/>
    <mergeCell ref="B22:J22"/>
    <mergeCell ref="B23:J23"/>
    <mergeCell ref="B24:J24"/>
    <mergeCell ref="B25:J25"/>
    <mergeCell ref="H10:I10"/>
    <mergeCell ref="H11:I11"/>
    <mergeCell ref="H12:I12"/>
    <mergeCell ref="H13:I13"/>
    <mergeCell ref="H14:I14"/>
    <mergeCell ref="E2:F2"/>
    <mergeCell ref="H6:I6"/>
    <mergeCell ref="H7:I7"/>
    <mergeCell ref="H8:I8"/>
    <mergeCell ref="H9:I9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795AC-854C-4AD1-BCF5-1A3D4955BD2F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customXml/itemProps2.xml><?xml version="1.0" encoding="utf-8"?>
<ds:datastoreItem xmlns:ds="http://schemas.openxmlformats.org/officeDocument/2006/customXml" ds:itemID="{C696C307-4E1A-4A17-86D3-029E9DB0E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3243D-8657-49A7-95C0-D5F2018C0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 OUT</vt:lpstr>
      <vt:lpstr>Spinach&amp; White Cheddar Frittata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2024-10-10T16:56:16Z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