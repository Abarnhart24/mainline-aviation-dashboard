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FALL SEPT - NOV 1 BATCH SHEETS/"/>
    </mc:Choice>
  </mc:AlternateContent>
  <xr:revisionPtr revIDLastSave="43" documentId="8_{4D705DDF-658C-46EA-A103-FA89FD4F137A}" xr6:coauthVersionLast="47" xr6:coauthVersionMax="47" xr10:uidLastSave="{15E0DB41-552C-4F36-ADF2-4E65B46A0D17}"/>
  <bookViews>
    <workbookView xWindow="10140" yWindow="0" windowWidth="10455" windowHeight="10905" xr2:uid="{9D773142-25FF-402D-A059-87F5C56EFE7F}"/>
  </bookViews>
  <sheets>
    <sheet name="Hot Honey Glaz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<sst xmlns="http://schemas.openxmlformats.org/spreadsheetml/2006/main" count="61" uniqueCount="44">
  <si>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</si>
  <si>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</si>
  <si>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</si>
  <si>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</si>
  <si>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</si>
  <si>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</si>
  <si>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</si>
  <si>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</si>
  <si>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</si>
  <si>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</si>
  <si>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</si>
  <si>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</si>
  <si>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</si>
  <si>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</si>
  <si>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</si>
  <si>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</si>
  <si>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</si>
  <si>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</si>
  <si>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</si>
  <si>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</si>
  <si>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</si>
  <si>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</si>
  <si>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</si>
  <si>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</si>
  <si>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</si>
  <si>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Hot Honey Glaze</t>
  </si>
  <si>
    <t>Water</t>
  </si>
  <si>
    <t>Combine all ingredients highlighted in blue into pot (reserve liquid for thermflo slurry set aside)</t>
  </si>
  <si>
    <t>Bring Mixture to a boil</t>
  </si>
  <si>
    <t>QA to temp mixture at 180 before whisking in thermflo slurry</t>
  </si>
  <si>
    <t>Once thickened remove from heat</t>
  </si>
  <si>
    <t>Cool and store below 40F</t>
  </si>
  <si>
    <t>D157</t>
  </si>
  <si>
    <t>SUGAR BROWN DARK</t>
  </si>
  <si>
    <t>D056</t>
  </si>
  <si>
    <t>HONEY AMBER DAWN FOODS</t>
  </si>
  <si>
    <t>D089</t>
  </si>
  <si>
    <t>SALT EVAPORATED</t>
  </si>
  <si>
    <t>D096</t>
  </si>
  <si>
    <t>SAUCE SRIRACHA CHILI</t>
  </si>
  <si>
    <t>D137</t>
  </si>
  <si>
    <t>SPICE PAPRIKA GROUND L</t>
  </si>
  <si>
    <t>D218</t>
  </si>
  <si>
    <t>STARCH THERM 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</si>
</sst>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7" borderId="4" xfId="0" applyFill="1" applyBorder="1"/>
    <xf numFmtId="2" fontId="0" fillId="7" borderId="4" xfId="1" applyNumberFormat="1" applyFont="1" applyFill="1" applyBorder="1" applyAlignment="1">
      <alignment horizontal="center"/>
    </xf>
    <xf numFmtId="0" fontId="0" fillId="8" borderId="4" xfId="0" applyFill="1" applyBorder="1"/>
    <xf numFmtId="2" fontId="0" fillId="8" borderId="4" xfId="1" applyNumberFormat="1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workbookViewId="0">
      <selection activeCell="G8" sqref="G8:G1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43"/>
      <c r="F2" s="4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7</v>
      </c>
      <c r="D4" s="9"/>
      <c r="F4" s="2" t="s">
        <v>22</v>
      </c>
      <c r="G4" s="25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4" t="s">
        <v>10</v>
      </c>
      <c r="I6" s="45"/>
      <c r="J6" s="11" t="s">
        <v>11</v>
      </c>
    </row>
    <row r="7" spans="1:10" x14ac:dyDescent="0.25">
      <c r="A7" s="1">
        <v>1</v>
      </c>
      <c r="B7" s="12"/>
      <c r="C7" s="27" t="s">
        <v>26</v>
      </c>
      <c r="D7" s="13">
        <v>240</v>
      </c>
      <c r="E7" s="13" t="s">
        <v>23</v>
      </c>
      <c r="F7" s="14">
        <f t="shared" ref="F7:F23" si="0">D7/D$24</f>
        <v>0.50314465408805031</v>
      </c>
      <c r="G7" s="28">
        <f>C4*F7</f>
        <v>3.5220125786163523</v>
      </c>
      <c r="H7" s="34"/>
      <c r="I7" s="35"/>
      <c r="J7" s="16"/>
    </row>
    <row r="8" spans="1:10" x14ac:dyDescent="0.25">
      <c r="A8" s="1">
        <v>2</v>
      </c>
      <c r="B8" s="12" t="s">
        <v>32</v>
      </c>
      <c r="C8" s="27" t="s">
        <v>33</v>
      </c>
      <c r="D8" s="13">
        <v>100</v>
      </c>
      <c r="E8" s="13" t="s">
        <v>23</v>
      </c>
      <c r="F8" s="14">
        <f t="shared" si="0"/>
        <v>0.20964360587002095</v>
      </c>
      <c r="G8" s="28">
        <f>C4*F8</f>
        <v>1.4675052410901466</v>
      </c>
      <c r="H8" s="34"/>
      <c r="I8" s="35"/>
      <c r="J8" s="16"/>
    </row>
    <row r="9" spans="1:10" x14ac:dyDescent="0.25">
      <c r="A9" s="1">
        <v>3</v>
      </c>
      <c r="B9" s="12" t="s">
        <v>34</v>
      </c>
      <c r="C9" s="27" t="s">
        <v>35</v>
      </c>
      <c r="D9" s="13">
        <v>80</v>
      </c>
      <c r="E9" s="13" t="s">
        <v>23</v>
      </c>
      <c r="F9" s="14">
        <f t="shared" si="0"/>
        <v>0.16771488469601678</v>
      </c>
      <c r="G9" s="28">
        <f>C4*F9</f>
        <v>1.1740041928721174</v>
      </c>
      <c r="H9" s="34"/>
      <c r="I9" s="35"/>
      <c r="J9" s="16"/>
    </row>
    <row r="10" spans="1:10" x14ac:dyDescent="0.25">
      <c r="A10" s="1">
        <v>4</v>
      </c>
      <c r="B10" s="12" t="s">
        <v>36</v>
      </c>
      <c r="C10" s="27" t="s">
        <v>37</v>
      </c>
      <c r="D10" s="13">
        <v>10</v>
      </c>
      <c r="E10" s="13" t="s">
        <v>23</v>
      </c>
      <c r="F10" s="14">
        <f t="shared" si="0"/>
        <v>2.0964360587002098E-2</v>
      </c>
      <c r="G10" s="28">
        <f>C4*F10</f>
        <v>0.14675052410901468</v>
      </c>
      <c r="H10" s="34"/>
      <c r="I10" s="35"/>
      <c r="J10" s="16"/>
    </row>
    <row r="11" spans="1:10" x14ac:dyDescent="0.25">
      <c r="A11" s="1">
        <v>5</v>
      </c>
      <c r="B11" s="12" t="s">
        <v>38</v>
      </c>
      <c r="C11" s="27" t="s">
        <v>39</v>
      </c>
      <c r="D11" s="13">
        <v>30</v>
      </c>
      <c r="E11" s="13" t="s">
        <v>23</v>
      </c>
      <c r="F11" s="14">
        <f t="shared" si="0"/>
        <v>6.2893081761006289E-2</v>
      </c>
      <c r="G11" s="28">
        <f>C4*F11</f>
        <v>0.44025157232704404</v>
      </c>
      <c r="H11" s="34"/>
      <c r="I11" s="35"/>
      <c r="J11" s="16"/>
    </row>
    <row r="12" spans="1:10" x14ac:dyDescent="0.25">
      <c r="A12" s="1">
        <v>6</v>
      </c>
      <c r="B12" s="12" t="s">
        <v>40</v>
      </c>
      <c r="C12" s="27" t="s">
        <v>41</v>
      </c>
      <c r="D12" s="13">
        <v>3</v>
      </c>
      <c r="E12" s="13" t="s">
        <v>23</v>
      </c>
      <c r="F12" s="14">
        <f t="shared" si="0"/>
        <v>6.2893081761006293E-3</v>
      </c>
      <c r="G12" s="28">
        <f>C4*F12</f>
        <v>4.4025157232704407E-2</v>
      </c>
      <c r="H12" s="34"/>
      <c r="I12" s="35"/>
      <c r="J12" s="16"/>
    </row>
    <row r="13" spans="1:10" x14ac:dyDescent="0.25">
      <c r="A13" s="1">
        <v>7</v>
      </c>
      <c r="B13" s="12" t="s">
        <v>42</v>
      </c>
      <c r="C13" s="29" t="s">
        <v>43</v>
      </c>
      <c r="D13" s="13">
        <v>14</v>
      </c>
      <c r="E13" s="13" t="s">
        <v>23</v>
      </c>
      <c r="F13" s="14">
        <f t="shared" si="0"/>
        <v>2.9350104821802937E-2</v>
      </c>
      <c r="G13" s="30">
        <f>C4*F13</f>
        <v>0.20545073375262055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477</v>
      </c>
      <c r="E24" s="1" t="s">
        <v>23</v>
      </c>
      <c r="F24" s="18">
        <f>SUM(F7:F23)</f>
        <v>1</v>
      </c>
      <c r="G24" s="26">
        <f>SUM(G7:G23)</f>
        <v>7.0000000000000009</v>
      </c>
      <c r="H24" s="19" t="s">
        <v>13</v>
      </c>
    </row>
    <row r="25" spans="1:10" x14ac:dyDescent="0.25">
      <c r="F25" s="25" t="s">
        <v>24</v>
      </c>
      <c r="G25" s="20">
        <f>-G24*G4+C4</f>
        <v>5.95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7" t="s">
        <v>27</v>
      </c>
      <c r="C28" s="38"/>
      <c r="D28" s="38"/>
      <c r="E28" s="38"/>
      <c r="F28" s="38"/>
      <c r="G28" s="38"/>
      <c r="H28" s="38"/>
      <c r="I28" s="38"/>
      <c r="J28" s="39"/>
    </row>
    <row r="29" spans="1:10" x14ac:dyDescent="0.25">
      <c r="A29" s="1">
        <v>2</v>
      </c>
      <c r="B29" s="37" t="s">
        <v>28</v>
      </c>
      <c r="C29" s="38"/>
      <c r="D29" s="38"/>
      <c r="E29" s="38"/>
      <c r="F29" s="38"/>
      <c r="G29" s="38"/>
      <c r="H29" s="38"/>
      <c r="I29" s="38"/>
      <c r="J29" s="39"/>
    </row>
    <row r="30" spans="1:10" x14ac:dyDescent="0.25">
      <c r="A30" s="1">
        <v>3</v>
      </c>
      <c r="B30" s="40" t="s">
        <v>29</v>
      </c>
      <c r="C30" s="41"/>
      <c r="D30" s="41"/>
      <c r="E30" s="41"/>
      <c r="F30" s="41"/>
      <c r="G30" s="41"/>
      <c r="H30" s="41"/>
      <c r="I30" s="41"/>
      <c r="J30" s="42"/>
    </row>
    <row r="31" spans="1:10" x14ac:dyDescent="0.25">
      <c r="A31" s="1">
        <v>4</v>
      </c>
      <c r="B31" s="31" t="s">
        <v>30</v>
      </c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 t="s">
        <v>31</v>
      </c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D55B179F-1DD4-4278-B062-1130931A5CE9}"/>
</file>

<file path=customXml/itemProps2.xml><?xml version="1.0" encoding="utf-8"?>
<ds:datastoreItem xmlns:ds="http://schemas.openxmlformats.org/officeDocument/2006/customXml" ds:itemID="{BCB0427D-E960-4339-8A8B-4AB5514381A9}"/>
</file>

<file path=customXml/itemProps3.xml><?xml version="1.0" encoding="utf-8"?>
<ds:datastoreItem xmlns:ds="http://schemas.openxmlformats.org/officeDocument/2006/customXml" ds:itemID="{14950C23-85DA-4572-9C1D-7A8535ED4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 Honey Glaze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2024-08-28T15:31:54Z</cp:lastPrinted>
  <dcterms:created xsi:type="dcterms:W3CDTF">2023-08-17T15:10:54Z</dcterms:created>
  <dcterms:modified xsi:type="dcterms:W3CDTF">2024-10-09T18:36:13Z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