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ary/"/>
    </mc:Choice>
  </mc:AlternateContent>
  <xr:revisionPtr revIDLastSave="29" documentId="14_{313DC12D-43A9-4CAF-B640-842D3C41324F}" xr6:coauthVersionLast="47" xr6:coauthVersionMax="47" xr10:uidLastSave="{A69F51A9-AE9D-4183-A230-857E89502B85}"/>
  <bookViews>
    <workbookView xWindow="10140" yWindow="0" windowWidth="10455" windowHeight="10905" firstSheet="2" activeTab="2" xr2:uid="{9D773142-25FF-402D-A059-87F5C56EFE7F}"/>
  </bookViews>
  <sheets>
    <sheet name="Rice Sauce Mix" sheetId="8" r:id="rId1"/>
    <sheet name="Al Dente Arborio" sheetId="7" r:id="rId2"/>
    <sheet name="Sweet Potato Rissotto Sauc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8" l="1"/>
  <c r="F22" i="8" s="1"/>
  <c r="G22" i="8" s="1"/>
  <c r="D24" i="7"/>
  <c r="F23" i="7" s="1"/>
  <c r="G23" i="7" s="1"/>
  <c r="F10" i="7" l="1"/>
  <c r="G10" i="7" s="1"/>
  <c r="F7" i="7"/>
  <c r="G7" i="7" s="1"/>
  <c r="F8" i="7"/>
  <c r="G8" i="7" s="1"/>
  <c r="F15" i="7"/>
  <c r="G15" i="7" s="1"/>
  <c r="F11" i="7"/>
  <c r="G11" i="7" s="1"/>
  <c r="F9" i="7"/>
  <c r="G9" i="7" s="1"/>
  <c r="F16" i="7"/>
  <c r="G16" i="7" s="1"/>
  <c r="F8" i="8"/>
  <c r="G8" i="8" s="1"/>
  <c r="F10" i="8"/>
  <c r="G10" i="8" s="1"/>
  <c r="F14" i="8"/>
  <c r="G14" i="8" s="1"/>
  <c r="F16" i="8"/>
  <c r="G16" i="8" s="1"/>
  <c r="F18" i="8"/>
  <c r="G18" i="8" s="1"/>
  <c r="F20" i="8"/>
  <c r="G20" i="8" s="1"/>
  <c r="F7" i="8"/>
  <c r="F9" i="8"/>
  <c r="G9" i="8" s="1"/>
  <c r="F11" i="8"/>
  <c r="G11" i="8" s="1"/>
  <c r="F13" i="8"/>
  <c r="G13" i="8" s="1"/>
  <c r="F15" i="8"/>
  <c r="G15" i="8" s="1"/>
  <c r="F17" i="8"/>
  <c r="G17" i="8" s="1"/>
  <c r="F19" i="8"/>
  <c r="G19" i="8" s="1"/>
  <c r="F21" i="8"/>
  <c r="G21" i="8" s="1"/>
  <c r="F23" i="8"/>
  <c r="G23" i="8" s="1"/>
  <c r="F12" i="8"/>
  <c r="G12" i="8" s="1"/>
  <c r="F12" i="7"/>
  <c r="G12" i="7" s="1"/>
  <c r="F18" i="7"/>
  <c r="G18" i="7" s="1"/>
  <c r="F13" i="7"/>
  <c r="G13" i="7" s="1"/>
  <c r="F19" i="7"/>
  <c r="G19" i="7" s="1"/>
  <c r="F20" i="7"/>
  <c r="G20" i="7" s="1"/>
  <c r="F14" i="7"/>
  <c r="G14" i="7" s="1"/>
  <c r="F17" i="7"/>
  <c r="G17" i="7" s="1"/>
  <c r="F21" i="7"/>
  <c r="G21" i="7" s="1"/>
  <c r="F22" i="7"/>
  <c r="G22" i="7" s="1"/>
  <c r="D24" i="5"/>
  <c r="F21" i="5" s="1"/>
  <c r="G21" i="5" s="1"/>
  <c r="G7" i="8" l="1"/>
  <c r="G24" i="8" s="1"/>
  <c r="G25" i="8" s="1"/>
  <c r="F24" i="8"/>
  <c r="G24" i="7"/>
  <c r="G25" i="7" s="1"/>
  <c r="F24" i="7"/>
  <c r="F9" i="5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<sst xmlns="http://schemas.openxmlformats.org/spreadsheetml/2006/main" count="160" uniqueCount="54">
  <si>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</si>
  <si>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</si>
  <si>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</si>
  <si>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</si>
  <si>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</si>
  <si>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</si>
  <si>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</si>
  <si>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</si>
  <si>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</si>
  <si>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</si>
  <si>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</si>
  <si>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</si>
  <si>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</si>
  <si>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</si>
  <si>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</si>
  <si>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</si>
  <si>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</si>
  <si>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</si>
  <si>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</si>
  <si>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</si>
  <si>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</si>
  <si>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</si>
  <si>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</si>
  <si>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</si>
  <si>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</si>
  <si>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Al Dente Arborio</t>
  </si>
  <si>
    <t>Water</t>
  </si>
  <si>
    <t>Combine all Ingredients into Rice Cooker</t>
  </si>
  <si>
    <t>Set to Cook</t>
  </si>
  <si>
    <t>Once Rice Cooker cycle finishes Fluff up rice onto sheet pan to cool</t>
  </si>
  <si>
    <t>Cool below 40F until ready for use</t>
  </si>
  <si>
    <t>Sweet Potato Rissotto Sauce</t>
  </si>
  <si>
    <t xml:space="preserve">Water </t>
  </si>
  <si>
    <t>Chicken Base</t>
  </si>
  <si>
    <t>Sweet Potato Rissotto Mix</t>
  </si>
  <si>
    <t>Al Dente Arborio Rice</t>
  </si>
  <si>
    <t>C110</t>
  </si>
  <si>
    <t>HEAVY WHIPPING CREAM 36%</t>
  </si>
  <si>
    <t>C330</t>
  </si>
  <si>
    <t>POTATO SWEET WHOLE</t>
  </si>
  <si>
    <t>P291</t>
  </si>
  <si>
    <t>CHEESE PARMESAN SHREDDED</t>
  </si>
  <si>
    <t>C057</t>
  </si>
  <si>
    <t>ONION WHOLE YELLOW</t>
  </si>
  <si>
    <t>D257</t>
  </si>
  <si>
    <t>OIL BLENDED 75%/25%</t>
  </si>
  <si>
    <t>D218</t>
  </si>
  <si>
    <t>STARCH THERM FLOR</t>
  </si>
  <si>
    <t>D051</t>
  </si>
  <si>
    <t>SPICE GARLIC DEHYDRATED MINCED</t>
  </si>
  <si>
    <t>D089</t>
  </si>
  <si>
    <t>SALT EVAPORATED</t>
  </si>
  <si>
    <t>D491</t>
  </si>
  <si>
    <t>RICE ARBORIO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</si>
</sst>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B64D-B2FB-4631-8DF6-5821C4E2D42A}">
  <sheetPr>
    <pageSetUpPr fitToPage="1"/>
  </sheetPr>
  <dimension ref="A1:J43"/>
  <sheetViews>
    <sheetView topLeftCell="B1" zoomScale="70" zoomScaleNormal="70" workbookViewId="0">
      <selection activeCell="F17" sqref="F17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34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22</v>
      </c>
      <c r="D4" s="9"/>
      <c r="F4" s="2" t="s">
        <v>22</v>
      </c>
      <c r="G4" s="25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/>
      <c r="C7" s="12" t="s">
        <v>35</v>
      </c>
      <c r="D7" s="13">
        <v>300</v>
      </c>
      <c r="E7" s="13" t="s">
        <v>23</v>
      </c>
      <c r="F7" s="14">
        <f t="shared" ref="F7:F23" si="0">D7/D$24</f>
        <v>0.4</v>
      </c>
      <c r="G7" s="15">
        <f>C4*F7</f>
        <v>8.8000000000000007</v>
      </c>
      <c r="H7" s="27"/>
      <c r="I7" s="28"/>
      <c r="J7" s="16"/>
    </row>
    <row r="8" spans="1:10" x14ac:dyDescent="0.25">
      <c r="A8" s="1">
        <v>2</v>
      </c>
      <c r="B8" s="12"/>
      <c r="C8" s="12" t="s">
        <v>31</v>
      </c>
      <c r="D8" s="13">
        <v>450</v>
      </c>
      <c r="E8" s="13" t="s">
        <v>23</v>
      </c>
      <c r="F8" s="14">
        <f t="shared" si="0"/>
        <v>0.6</v>
      </c>
      <c r="G8" s="15">
        <f>C4*F8</f>
        <v>13.2</v>
      </c>
      <c r="H8" s="27"/>
      <c r="I8" s="28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27"/>
      <c r="I9" s="28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27"/>
      <c r="I10" s="28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750</v>
      </c>
      <c r="E24" s="1" t="s">
        <v>23</v>
      </c>
      <c r="F24" s="18">
        <f>SUM(F7:F23)</f>
        <v>1</v>
      </c>
      <c r="G24" s="26">
        <f>SUM(G7:G23)</f>
        <v>22</v>
      </c>
      <c r="H24" s="19" t="s">
        <v>13</v>
      </c>
    </row>
    <row r="25" spans="1:10" x14ac:dyDescent="0.25">
      <c r="F25" s="25" t="s">
        <v>24</v>
      </c>
      <c r="G25" s="20">
        <f>-G24*G4+C4</f>
        <v>22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616E-2100-4F45-8A2F-1A261911ED3A}">
  <sheetPr>
    <pageSetUpPr fitToPage="1"/>
  </sheetPr>
  <dimension ref="A1:J43"/>
  <sheetViews>
    <sheetView zoomScale="70" zoomScaleNormal="70" workbookViewId="0">
      <selection activeCell="G10" sqref="G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10</v>
      </c>
      <c r="D4" s="9"/>
      <c r="F4" s="2" t="s">
        <v>22</v>
      </c>
      <c r="G4" s="25">
        <v>0.05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52</v>
      </c>
      <c r="C7" s="12" t="s">
        <v>53</v>
      </c>
      <c r="D7" s="13">
        <v>300</v>
      </c>
      <c r="E7" s="13" t="s">
        <v>23</v>
      </c>
      <c r="F7" s="14">
        <f t="shared" ref="F7:F23" si="0">D7/D$24</f>
        <v>0.39840637450199201</v>
      </c>
      <c r="G7" s="15">
        <f>C4*F7</f>
        <v>3.9840637450199203</v>
      </c>
      <c r="H7" s="27"/>
      <c r="I7" s="28"/>
      <c r="J7" s="16"/>
    </row>
    <row r="8" spans="1:10" x14ac:dyDescent="0.25">
      <c r="A8" s="1">
        <v>2</v>
      </c>
      <c r="B8" s="12" t="s">
        <v>38</v>
      </c>
      <c r="C8" s="12" t="s">
        <v>39</v>
      </c>
      <c r="D8" s="13">
        <v>150</v>
      </c>
      <c r="E8" s="13" t="s">
        <v>23</v>
      </c>
      <c r="F8" s="14">
        <f t="shared" si="0"/>
        <v>0.19920318725099601</v>
      </c>
      <c r="G8" s="15">
        <f>C4*F8</f>
        <v>1.9920318725099602</v>
      </c>
      <c r="H8" s="27"/>
      <c r="I8" s="28"/>
      <c r="J8" s="16"/>
    </row>
    <row r="9" spans="1:10" x14ac:dyDescent="0.25">
      <c r="A9" s="1">
        <v>3</v>
      </c>
      <c r="B9" s="12"/>
      <c r="C9" s="12" t="s">
        <v>26</v>
      </c>
      <c r="D9" s="13">
        <v>300</v>
      </c>
      <c r="E9" s="13" t="s">
        <v>23</v>
      </c>
      <c r="F9" s="14">
        <f t="shared" si="0"/>
        <v>0.39840637450199201</v>
      </c>
      <c r="G9" s="15">
        <f>C4*F9</f>
        <v>3.9840637450199203</v>
      </c>
      <c r="H9" s="27"/>
      <c r="I9" s="28"/>
      <c r="J9" s="16"/>
    </row>
    <row r="10" spans="1:10" x14ac:dyDescent="0.25">
      <c r="A10" s="1">
        <v>4</v>
      </c>
      <c r="B10" s="12" t="s">
        <v>50</v>
      </c>
      <c r="C10" s="12" t="s">
        <v>51</v>
      </c>
      <c r="D10" s="13">
        <v>3</v>
      </c>
      <c r="E10" s="13" t="s">
        <v>23</v>
      </c>
      <c r="F10" s="14">
        <f t="shared" si="0"/>
        <v>3.9840637450199202E-3</v>
      </c>
      <c r="G10" s="15">
        <f>C4*F10</f>
        <v>3.9840637450199202E-2</v>
      </c>
      <c r="H10" s="27"/>
      <c r="I10" s="28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753</v>
      </c>
      <c r="E24" s="1" t="s">
        <v>23</v>
      </c>
      <c r="F24" s="18">
        <f>SUM(F7:F23)</f>
        <v>0.99999999999999989</v>
      </c>
      <c r="G24" s="26">
        <f>SUM(G7:G23)</f>
        <v>10</v>
      </c>
      <c r="H24" s="19" t="s">
        <v>13</v>
      </c>
    </row>
    <row r="25" spans="1:10" x14ac:dyDescent="0.25">
      <c r="F25" s="25" t="s">
        <v>24</v>
      </c>
      <c r="G25" s="20">
        <f>-G24*G4+C4</f>
        <v>9.5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 t="s">
        <v>27</v>
      </c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 t="s">
        <v>28</v>
      </c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 t="s">
        <v>29</v>
      </c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 t="s">
        <v>30</v>
      </c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B1" zoomScale="70" zoomScaleNormal="70" workbookViewId="0">
      <selection activeCell="G8" sqref="G8:G1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31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16</v>
      </c>
      <c r="D4" s="9"/>
      <c r="F4" s="2" t="s">
        <v>22</v>
      </c>
      <c r="G4" s="25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/>
      <c r="C7" s="12" t="s">
        <v>32</v>
      </c>
      <c r="D7" s="13">
        <v>400</v>
      </c>
      <c r="E7" s="13" t="s">
        <v>23</v>
      </c>
      <c r="F7" s="14">
        <f t="shared" ref="F7:F23" si="0">D7/D$24</f>
        <v>0.4024144869215292</v>
      </c>
      <c r="G7" s="15">
        <f>C4*F7</f>
        <v>6.4386317907444672</v>
      </c>
      <c r="H7" s="27"/>
      <c r="I7" s="28"/>
      <c r="J7" s="16"/>
    </row>
    <row r="8" spans="1:10" x14ac:dyDescent="0.25">
      <c r="A8" s="1">
        <v>2</v>
      </c>
      <c r="B8" s="12" t="s">
        <v>36</v>
      </c>
      <c r="C8" s="12" t="s">
        <v>37</v>
      </c>
      <c r="D8" s="13">
        <v>250</v>
      </c>
      <c r="E8" s="13" t="s">
        <v>23</v>
      </c>
      <c r="F8" s="14">
        <f t="shared" si="0"/>
        <v>0.25150905432595572</v>
      </c>
      <c r="G8" s="15">
        <f>C4*F8</f>
        <v>4.0241448692152915</v>
      </c>
      <c r="H8" s="27"/>
      <c r="I8" s="28"/>
      <c r="J8" s="16"/>
    </row>
    <row r="9" spans="1:10" x14ac:dyDescent="0.25">
      <c r="A9" s="1">
        <v>3</v>
      </c>
      <c r="B9" s="12" t="s">
        <v>38</v>
      </c>
      <c r="C9" s="12" t="s">
        <v>39</v>
      </c>
      <c r="D9" s="13">
        <v>150</v>
      </c>
      <c r="E9" s="13" t="s">
        <v>23</v>
      </c>
      <c r="F9" s="14">
        <f t="shared" si="0"/>
        <v>0.15090543259557343</v>
      </c>
      <c r="G9" s="15">
        <f>C4*F9</f>
        <v>2.4144869215291749</v>
      </c>
      <c r="H9" s="27"/>
      <c r="I9" s="28"/>
      <c r="J9" s="16"/>
    </row>
    <row r="10" spans="1:10" x14ac:dyDescent="0.25">
      <c r="A10" s="1">
        <v>4</v>
      </c>
      <c r="B10" s="12" t="s">
        <v>40</v>
      </c>
      <c r="C10" s="12" t="s">
        <v>41</v>
      </c>
      <c r="D10" s="13">
        <v>75</v>
      </c>
      <c r="E10" s="13" t="s">
        <v>23</v>
      </c>
      <c r="F10" s="14">
        <f t="shared" si="0"/>
        <v>7.5452716297786715E-2</v>
      </c>
      <c r="G10" s="15">
        <f>C4*F10</f>
        <v>1.2072434607645874</v>
      </c>
      <c r="H10" s="27"/>
      <c r="I10" s="28"/>
      <c r="J10" s="16"/>
    </row>
    <row r="11" spans="1:10" x14ac:dyDescent="0.25">
      <c r="A11" s="1">
        <v>5</v>
      </c>
      <c r="B11" s="12" t="s">
        <v>42</v>
      </c>
      <c r="C11" s="12" t="s">
        <v>43</v>
      </c>
      <c r="D11" s="13">
        <v>60</v>
      </c>
      <c r="E11" s="13" t="s">
        <v>23</v>
      </c>
      <c r="F11" s="14">
        <f t="shared" si="0"/>
        <v>6.0362173038229376E-2</v>
      </c>
      <c r="G11" s="15">
        <f>C4*F11</f>
        <v>0.96579476861167002</v>
      </c>
      <c r="H11" s="27"/>
      <c r="I11" s="28"/>
      <c r="J11" s="16"/>
    </row>
    <row r="12" spans="1:10" x14ac:dyDescent="0.25">
      <c r="A12" s="1">
        <v>6</v>
      </c>
      <c r="B12" s="12" t="s">
        <v>44</v>
      </c>
      <c r="C12" s="12" t="s">
        <v>45</v>
      </c>
      <c r="D12" s="13">
        <v>20</v>
      </c>
      <c r="E12" s="13" t="s">
        <v>23</v>
      </c>
      <c r="F12" s="14">
        <f t="shared" si="0"/>
        <v>2.0120724346076459E-2</v>
      </c>
      <c r="G12" s="15">
        <f>C4*F12</f>
        <v>0.32193158953722334</v>
      </c>
      <c r="H12" s="27"/>
      <c r="I12" s="28"/>
      <c r="J12" s="16"/>
    </row>
    <row r="13" spans="1:10" x14ac:dyDescent="0.25">
      <c r="A13" s="1">
        <v>7</v>
      </c>
      <c r="B13" s="12"/>
      <c r="C13" s="12" t="s">
        <v>33</v>
      </c>
      <c r="D13" s="13">
        <v>16</v>
      </c>
      <c r="E13" s="13" t="s">
        <v>23</v>
      </c>
      <c r="F13" s="14">
        <f t="shared" si="0"/>
        <v>1.6096579476861168E-2</v>
      </c>
      <c r="G13" s="15">
        <f>C4*F13</f>
        <v>0.25754527162977869</v>
      </c>
      <c r="H13" s="27"/>
      <c r="I13" s="28"/>
      <c r="J13" s="16"/>
    </row>
    <row r="14" spans="1:10" x14ac:dyDescent="0.25">
      <c r="A14" s="1">
        <v>8</v>
      </c>
      <c r="B14" s="12" t="s">
        <v>46</v>
      </c>
      <c r="C14" s="12" t="s">
        <v>47</v>
      </c>
      <c r="D14" s="13">
        <v>13</v>
      </c>
      <c r="E14" s="13" t="s">
        <v>23</v>
      </c>
      <c r="F14" s="14">
        <f t="shared" si="0"/>
        <v>1.3078470824949699E-2</v>
      </c>
      <c r="G14" s="15">
        <f>C4*F14</f>
        <v>0.20925553319919518</v>
      </c>
      <c r="H14" s="27"/>
      <c r="I14" s="28"/>
      <c r="J14" s="16"/>
    </row>
    <row r="15" spans="1:10" x14ac:dyDescent="0.25">
      <c r="A15" s="1">
        <v>9</v>
      </c>
      <c r="B15" s="12" t="s">
        <v>48</v>
      </c>
      <c r="C15" s="12" t="s">
        <v>49</v>
      </c>
      <c r="D15" s="13">
        <v>6</v>
      </c>
      <c r="E15" s="13" t="s">
        <v>23</v>
      </c>
      <c r="F15" s="14">
        <f t="shared" si="0"/>
        <v>6.0362173038229373E-3</v>
      </c>
      <c r="G15" s="15">
        <f>C4*F15</f>
        <v>9.6579476861166996E-2</v>
      </c>
      <c r="H15" s="27"/>
      <c r="I15" s="28"/>
      <c r="J15" s="16"/>
    </row>
    <row r="16" spans="1:10" x14ac:dyDescent="0.25">
      <c r="A16" s="1">
        <v>10</v>
      </c>
      <c r="B16" s="12" t="s">
        <v>50</v>
      </c>
      <c r="C16" s="12" t="s">
        <v>51</v>
      </c>
      <c r="D16" s="13">
        <v>4</v>
      </c>
      <c r="E16" s="13" t="s">
        <v>23</v>
      </c>
      <c r="F16" s="14">
        <f t="shared" si="0"/>
        <v>4.0241448692152921E-3</v>
      </c>
      <c r="G16" s="15">
        <f>C4*F16</f>
        <v>6.4386317907444673E-2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994</v>
      </c>
      <c r="E24" s="1" t="s">
        <v>23</v>
      </c>
      <c r="F24" s="18">
        <f>SUM(F7:F23)</f>
        <v>1</v>
      </c>
      <c r="G24" s="26">
        <f>SUM(G7:G23)</f>
        <v>16</v>
      </c>
      <c r="H24" s="19" t="s">
        <v>13</v>
      </c>
    </row>
    <row r="25" spans="1:10" x14ac:dyDescent="0.25">
      <c r="F25" s="25" t="s">
        <v>24</v>
      </c>
      <c r="G25" s="20">
        <f>-G24*G4+C4</f>
        <v>14.4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/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/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/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CBBECE2D-1960-4E64-A0BC-E1C4031C25FE}"/>
</file>

<file path=customXml/itemProps2.xml><?xml version="1.0" encoding="utf-8"?>
<ds:datastoreItem xmlns:ds="http://schemas.openxmlformats.org/officeDocument/2006/customXml" ds:itemID="{5EAD2CE6-D1B5-43C3-96D2-94E6BC169FD4}"/>
</file>

<file path=customXml/itemProps3.xml><?xml version="1.0" encoding="utf-8"?>
<ds:datastoreItem xmlns:ds="http://schemas.openxmlformats.org/officeDocument/2006/customXml" ds:itemID="{86D41A63-DF11-48CF-934D-A6AD486676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Rice Sauce Mix</vt:lpstr>
      <vt:lpstr>Al Dente Arborio</vt:lpstr>
      <vt:lpstr>Sweet Potato Rissotto Sauce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2024-08-27T13:10:31Z</cp:lastPrinted>
  <dcterms:created xsi:type="dcterms:W3CDTF">2023-08-17T15:10:54Z</dcterms:created>
  <dcterms:modified xsi:type="dcterms:W3CDTF">2024-10-09T20:11:03Z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