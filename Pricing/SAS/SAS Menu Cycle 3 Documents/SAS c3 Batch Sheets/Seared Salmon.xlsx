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Commissary Joseph/"/>
    </mc:Choice>
  </mc:AlternateContent>
  <xr:revisionPtr revIDLastSave="9" documentId="8_{FDAC714A-69F0-4488-BD2F-D79442ECE026}" xr6:coauthVersionLast="47" xr6:coauthVersionMax="47" xr10:uidLastSave="{2B9BB7B5-9393-4AAA-9A87-16370202F1E9}"/>
  <bookViews>
    <workbookView xWindow="10140" yWindow="0" windowWidth="10455" windowHeight="10905" xr2:uid="{9D773142-25FF-402D-A059-87F5C56EFE7F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<sst xmlns="http://schemas.openxmlformats.org/spreadsheetml/2006/main" count="51" uniqueCount="34">
  <si>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</si>
  <si>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</si>
  <si>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</si>
  <si>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</si>
  <si>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</si>
  <si>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</si>
  <si>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</si>
  <si>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</si>
  <si>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</si>
  <si>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</si>
  <si>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</si>
  <si>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</si>
  <si>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</si>
  <si>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</si>
  <si>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</si>
  <si>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</si>
  <si>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</si>
  <si>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</si>
  <si>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</si>
  <si>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</si>
  <si>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</si>
  <si>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</si>
  <si>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</si>
  <si>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</si>
  <si>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</si>
  <si>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Seared Salmon</t>
  </si>
  <si>
    <t>P145</t>
  </si>
  <si>
    <t>SALMON FILET S/O 8OZ</t>
  </si>
  <si>
    <t>D257</t>
  </si>
  <si>
    <t>OIL BLENDED 75%/25%</t>
  </si>
  <si>
    <t>D089</t>
  </si>
  <si>
    <t>SALT EVAPORATED</t>
  </si>
  <si>
    <t>D142</t>
  </si>
  <si>
    <t>SPICE PEPPER WHITE GROUND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</si>
</sst>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C1" workbookViewId="0">
      <selection activeCell="G7" sqref="G7:G10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29"/>
      <c r="F2" s="2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12</v>
      </c>
      <c r="D4" s="9"/>
      <c r="F4" s="2" t="s">
        <v>22</v>
      </c>
      <c r="G4" s="25">
        <v>0.15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0" t="s">
        <v>10</v>
      </c>
      <c r="I6" s="31"/>
      <c r="J6" s="11" t="s">
        <v>11</v>
      </c>
    </row>
    <row r="7" spans="1:10" x14ac:dyDescent="0.25">
      <c r="A7" s="1">
        <v>1</v>
      </c>
      <c r="B7" s="12" t="s">
        <v>26</v>
      </c>
      <c r="C7" s="12" t="s">
        <v>27</v>
      </c>
      <c r="D7" s="13">
        <v>9.5306710580485792</v>
      </c>
      <c r="E7" s="13" t="s">
        <v>23</v>
      </c>
      <c r="F7" s="14">
        <f t="shared" ref="F7:F23" si="0">D7/D$24</f>
        <v>0.95306710580485787</v>
      </c>
      <c r="G7" s="15">
        <f>C4*F7</f>
        <v>11.436805269658294</v>
      </c>
      <c r="H7" s="27"/>
      <c r="I7" s="28"/>
      <c r="J7" s="16"/>
    </row>
    <row r="8" spans="1:10" x14ac:dyDescent="0.25">
      <c r="A8" s="1">
        <v>2</v>
      </c>
      <c r="B8" s="12" t="s">
        <v>28</v>
      </c>
      <c r="C8" s="12" t="s">
        <v>29</v>
      </c>
      <c r="D8" s="13">
        <v>0.31700288184438041</v>
      </c>
      <c r="E8" s="13" t="s">
        <v>23</v>
      </c>
      <c r="F8" s="14">
        <f t="shared" si="0"/>
        <v>3.1700288184438041E-2</v>
      </c>
      <c r="G8" s="15">
        <f>C4*F8</f>
        <v>0.3804034582132565</v>
      </c>
      <c r="H8" s="27"/>
      <c r="I8" s="28"/>
      <c r="J8" s="16"/>
    </row>
    <row r="9" spans="1:10" x14ac:dyDescent="0.25">
      <c r="A9" s="1">
        <v>3</v>
      </c>
      <c r="B9" s="12" t="s">
        <v>30</v>
      </c>
      <c r="C9" s="12" t="s">
        <v>31</v>
      </c>
      <c r="D9" s="13">
        <v>0.12762453684643887</v>
      </c>
      <c r="E9" s="13" t="s">
        <v>23</v>
      </c>
      <c r="F9" s="14">
        <f t="shared" si="0"/>
        <v>1.2762453684643887E-2</v>
      </c>
      <c r="G9" s="15">
        <f>C4*F9</f>
        <v>0.15314944421572663</v>
      </c>
      <c r="H9" s="27"/>
      <c r="I9" s="28"/>
      <c r="J9" s="16"/>
    </row>
    <row r="10" spans="1:10" x14ac:dyDescent="0.25">
      <c r="A10" s="1">
        <v>4</v>
      </c>
      <c r="B10" s="12" t="s">
        <v>32</v>
      </c>
      <c r="C10" s="12" t="s">
        <v>33</v>
      </c>
      <c r="D10" s="13">
        <v>2.4701523260601072E-2</v>
      </c>
      <c r="E10" s="13" t="s">
        <v>23</v>
      </c>
      <c r="F10" s="14">
        <f t="shared" si="0"/>
        <v>2.4701523260601071E-3</v>
      </c>
      <c r="G10" s="15">
        <f>C4*F10</f>
        <v>2.9641827912721283E-2</v>
      </c>
      <c r="H10" s="27"/>
      <c r="I10" s="28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27"/>
      <c r="I11" s="28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27"/>
      <c r="I12" s="28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27"/>
      <c r="I13" s="28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27"/>
      <c r="I14" s="28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27"/>
      <c r="I15" s="28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27"/>
      <c r="I16" s="28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27"/>
      <c r="I17" s="28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27"/>
      <c r="I18" s="28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27"/>
      <c r="I19" s="28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27"/>
      <c r="I20" s="28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27"/>
      <c r="I21" s="28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27"/>
      <c r="I22" s="28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27"/>
      <c r="I23" s="28"/>
      <c r="J23" s="16"/>
    </row>
    <row r="24" spans="1:10" x14ac:dyDescent="0.25">
      <c r="C24" s="17" t="s">
        <v>12</v>
      </c>
      <c r="D24" s="1">
        <f>SUM(D7:D23)</f>
        <v>10</v>
      </c>
      <c r="E24" s="1" t="s">
        <v>23</v>
      </c>
      <c r="F24" s="18">
        <f>SUM(F7:F23)</f>
        <v>0.99999999999999989</v>
      </c>
      <c r="G24" s="26">
        <f>SUM(G7:G23)</f>
        <v>11.999999999999998</v>
      </c>
      <c r="H24" s="19" t="s">
        <v>13</v>
      </c>
    </row>
    <row r="25" spans="1:10" x14ac:dyDescent="0.25">
      <c r="F25" s="25" t="s">
        <v>24</v>
      </c>
      <c r="G25" s="20">
        <f>-G24*G4+C4</f>
        <v>10.200000000000001</v>
      </c>
    </row>
    <row r="26" spans="1:10" ht="15.75" x14ac:dyDescent="0.25">
      <c r="A26"/>
      <c r="B26" s="33" t="s">
        <v>14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4"/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1">
        <v>2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1">
        <v>3</v>
      </c>
      <c r="B30" s="37"/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1">
        <v>4</v>
      </c>
      <c r="B31" s="32"/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5</v>
      </c>
      <c r="B32" s="32"/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1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E4158D89-D04F-48D2-932A-333899804D81}"/>
</file>

<file path=customXml/itemProps2.xml><?xml version="1.0" encoding="utf-8"?>
<ds:datastoreItem xmlns:ds="http://schemas.openxmlformats.org/officeDocument/2006/customXml" ds:itemID="{DF543E11-C006-4386-A507-3142AB3F57C2}"/>
</file>

<file path=customXml/itemProps3.xml><?xml version="1.0" encoding="utf-8"?>
<ds:datastoreItem xmlns:ds="http://schemas.openxmlformats.org/officeDocument/2006/customXml" ds:itemID="{5E26B95B-8918-4377-ACEC-AA4349402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2024-10-09T19:15:49Z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