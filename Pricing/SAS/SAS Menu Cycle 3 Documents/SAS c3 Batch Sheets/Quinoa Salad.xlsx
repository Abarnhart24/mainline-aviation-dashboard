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65" documentId="8_{E208D36B-30A1-40B4-B4DD-3C5FCBD83E0B}" xr6:coauthVersionLast="47" xr6:coauthVersionMax="47" xr10:uidLastSave="{05D65FA3-41F8-4702-ABCF-2C006DBCC9A5}"/>
  <bookViews>
    <workbookView xWindow="10140" yWindow="0" windowWidth="10455" windowHeight="10905" xr2:uid="{9D773142-25FF-402D-A059-87F5C56EFE7F}"/>
  </bookViews>
  <sheets>
    <sheet name="quinoa mix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<sst xmlns="http://schemas.openxmlformats.org/spreadsheetml/2006/main" count="50" uniqueCount="33">
  <si>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</si>
  <si>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</si>
  <si>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</si>
  <si>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</si>
  <si>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</si>
  <si>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</si>
  <si>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</si>
  <si>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</si>
  <si>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</si>
  <si>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</si>
  <si>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</si>
  <si>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</si>
  <si>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</si>
  <si>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</si>
  <si>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</si>
  <si>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</si>
  <si>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</si>
  <si>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</si>
  <si>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</si>
  <si>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</si>
  <si>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</si>
  <si>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</si>
  <si>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</si>
  <si>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</si>
  <si>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</si>
  <si>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Quinoa Salad</t>
  </si>
  <si>
    <t>IQF Quinoa mix red and white</t>
  </si>
  <si>
    <t>FG361</t>
  </si>
  <si>
    <t>DOUX SOUTH CORN AND TOMATO SALAD</t>
  </si>
  <si>
    <t>D089</t>
  </si>
  <si>
    <t>SALT EVAPORATED</t>
  </si>
  <si>
    <t>D257</t>
  </si>
  <si>
    <t>OIL BLENDED 75%/25%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</si>
</sst>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zoomScale="85" zoomScaleNormal="85" workbookViewId="0">
      <selection activeCell="D21" sqref="D21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44</v>
      </c>
      <c r="D4" s="9"/>
      <c r="F4" s="2" t="s">
        <v>22</v>
      </c>
      <c r="G4" s="25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26</v>
      </c>
      <c r="D7" s="13">
        <v>824</v>
      </c>
      <c r="E7" s="13" t="s">
        <v>23</v>
      </c>
      <c r="F7" s="14">
        <f t="shared" ref="F7:F23" si="0">D7/D$24</f>
        <v>0.53161290322580645</v>
      </c>
      <c r="G7" s="15">
        <f>C4*F7</f>
        <v>23.390967741935484</v>
      </c>
      <c r="H7" s="30"/>
      <c r="I7" s="31"/>
      <c r="J7" s="16"/>
    </row>
    <row r="8" spans="1:10" x14ac:dyDescent="0.25">
      <c r="A8" s="1">
        <v>2</v>
      </c>
      <c r="B8" s="12" t="s">
        <v>27</v>
      </c>
      <c r="C8" s="12" t="s">
        <v>28</v>
      </c>
      <c r="D8" s="13">
        <v>700</v>
      </c>
      <c r="E8" s="13" t="s">
        <v>23</v>
      </c>
      <c r="F8" s="14">
        <f t="shared" si="0"/>
        <v>0.45161290322580644</v>
      </c>
      <c r="G8" s="15">
        <f>C4*F8</f>
        <v>19.870967741935484</v>
      </c>
      <c r="H8" s="30"/>
      <c r="I8" s="31"/>
      <c r="J8" s="16"/>
    </row>
    <row r="9" spans="1:10" x14ac:dyDescent="0.25">
      <c r="A9" s="1">
        <v>3</v>
      </c>
      <c r="B9" s="12" t="s">
        <v>29</v>
      </c>
      <c r="C9" s="12" t="s">
        <v>30</v>
      </c>
      <c r="D9" s="13">
        <v>8</v>
      </c>
      <c r="E9" s="13" t="s">
        <v>23</v>
      </c>
      <c r="F9" s="14">
        <f t="shared" si="0"/>
        <v>5.1612903225806452E-3</v>
      </c>
      <c r="G9" s="15">
        <f>C4*F9</f>
        <v>0.2270967741935484</v>
      </c>
      <c r="H9" s="30"/>
      <c r="I9" s="31"/>
      <c r="J9" s="16"/>
    </row>
    <row r="10" spans="1:10" x14ac:dyDescent="0.25">
      <c r="A10" s="1">
        <v>4</v>
      </c>
      <c r="B10" s="12" t="s">
        <v>31</v>
      </c>
      <c r="C10" s="12" t="s">
        <v>32</v>
      </c>
      <c r="D10" s="13">
        <v>18</v>
      </c>
      <c r="E10" s="13" t="s">
        <v>23</v>
      </c>
      <c r="F10" s="14">
        <f t="shared" si="0"/>
        <v>1.1612903225806452E-2</v>
      </c>
      <c r="G10" s="15">
        <f>C4*F10</f>
        <v>0.51096774193548389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1550</v>
      </c>
      <c r="E24" s="1" t="s">
        <v>23</v>
      </c>
      <c r="F24" s="18">
        <f>SUM(F7:F23)</f>
        <v>0.99999999999999989</v>
      </c>
      <c r="G24" s="26">
        <f>SUM(G7:G23)</f>
        <v>44</v>
      </c>
      <c r="H24" s="19" t="s">
        <v>13</v>
      </c>
    </row>
    <row r="25" spans="1:10" x14ac:dyDescent="0.25">
      <c r="F25" s="25" t="s">
        <v>24</v>
      </c>
      <c r="G25" s="20">
        <f>-G24*G4+C4</f>
        <v>44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D2C11096-74BA-44B2-A2B5-5A9842D9B4FF}"/>
</file>

<file path=customXml/itemProps2.xml><?xml version="1.0" encoding="utf-8"?>
<ds:datastoreItem xmlns:ds="http://schemas.openxmlformats.org/officeDocument/2006/customXml" ds:itemID="{95CFF4DF-8D07-463C-839B-4839C00A2797}"/>
</file>

<file path=customXml/itemProps3.xml><?xml version="1.0" encoding="utf-8"?>
<ds:datastoreItem xmlns:ds="http://schemas.openxmlformats.org/officeDocument/2006/customXml" ds:itemID="{3C66D628-EEA1-4A52-80E4-65F6BB5BE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quinoa 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2024-09-27T15:01:35Z</cp:lastPrinted>
  <dcterms:created xsi:type="dcterms:W3CDTF">2023-08-17T15:10:54Z</dcterms:created>
  <dcterms:modified xsi:type="dcterms:W3CDTF">2024-10-09T16:57:29Z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