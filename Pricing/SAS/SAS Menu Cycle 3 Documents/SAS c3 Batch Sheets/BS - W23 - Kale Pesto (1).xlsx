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2" documentId="8_{AE5CCBCD-4B36-4F13-9E30-8E6EC9827144}" xr6:coauthVersionLast="47" xr6:coauthVersionMax="47" xr10:uidLastSave="{51740669-352C-4662-804A-20FAE10705E5}"/>
  <bookViews>
    <workbookView xWindow="10140" yWindow="0" windowWidth="10455" windowHeight="10905" xr2:uid="{00000000-000D-0000-FFFF-FFFF00000000}"/>
  </bookViews>
  <sheets>
    <sheet name="Kale Basil Pesto 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1" l="1"/>
  <c r="F21" i="11" s="1"/>
  <c r="G21" i="11" s="1"/>
  <c r="F8" i="11" l="1"/>
  <c r="G8" i="11" s="1"/>
  <c r="F10" i="11"/>
  <c r="G10" i="11" s="1"/>
  <c r="F11" i="11"/>
  <c r="G11" i="11" s="1"/>
  <c r="F7" i="11"/>
  <c r="G7" i="11" s="1"/>
  <c r="F12" i="11"/>
  <c r="G12" i="11" s="1"/>
  <c r="F14" i="11"/>
  <c r="G14" i="11" s="1"/>
  <c r="F15" i="11"/>
  <c r="G15" i="11" s="1"/>
  <c r="F18" i="11"/>
  <c r="G18" i="11" s="1"/>
  <c r="F19" i="11"/>
  <c r="G19" i="11" s="1"/>
  <c r="F20" i="11"/>
  <c r="G20" i="11" s="1"/>
  <c r="F16" i="11"/>
  <c r="G16" i="11" s="1"/>
  <c r="F22" i="11"/>
  <c r="G22" i="11" s="1"/>
  <c r="F23" i="11"/>
  <c r="G23" i="11" s="1"/>
  <c r="F9" i="11"/>
  <c r="G9" i="11" s="1"/>
  <c r="F13" i="11"/>
  <c r="G13" i="11" s="1"/>
  <c r="F17" i="11"/>
  <c r="G17" i="11" s="1"/>
  <c r="F24" i="11" l="1"/>
  <c r="G24" i="11"/>
  <c r="G25" i="11" s="1"/>
</calcChain>
</file>

<file path=xl/sharedStrings.xml><?xml version="1.0" encoding="utf-8"?>
<sst xmlns="http://schemas.openxmlformats.org/spreadsheetml/2006/main" count="58" uniqueCount="41">
  <si>
    <t>Formula Name:</t>
  </si>
  <si>
    <t xml:space="preserve">Kale Basil Pesto 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</si>
  <si>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</si>
  <si>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</si>
  <si>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</si>
  <si>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</si>
  <si>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</si>
  <si>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</si>
  <si>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</si>
  <si>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Formula</t>
  </si>
  <si>
    <t>UOM</t>
  </si>
  <si>
    <t>%</t>
  </si>
  <si>
    <t>Desired (lb)</t>
  </si>
  <si>
    <t>Lot Code</t>
  </si>
  <si>
    <t>Notes</t>
  </si>
  <si>
    <t xml:space="preserve">Curly Kale, Chopped and Washed </t>
  </si>
  <si>
    <t>lb</t>
  </si>
  <si>
    <t xml:space="preserve">Herb, Fresh, Basil Leaves </t>
  </si>
  <si>
    <t xml:space="preserve">Herb, Fresh, Parsley Leaves </t>
  </si>
  <si>
    <t xml:space="preserve">Garlic, minced </t>
  </si>
  <si>
    <t xml:space="preserve">Lemon Juice </t>
  </si>
  <si>
    <t xml:space="preserve">Oil, Blended </t>
  </si>
  <si>
    <t>Salt, Kosher</t>
  </si>
  <si>
    <t xml:space="preserve">Xanthan Gum, Instant 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</si>
  <si>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</si>
  <si>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</si>
  <si>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</si>
  <si>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</si>
  <si>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</si>
  <si>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QA to sign off on Batch Sheet to make sure all measurements are correct. </t>
  </si>
  <si>
    <t xml:space="preserve">Place kale, basil, parsley, garlic, salt and olive oil in cambro container. </t>
  </si>
  <si>
    <t xml:space="preserve">Blend smooth using an immersion blender. Do not over blend. If herbs heat the mix will discolor and turn brown. </t>
  </si>
  <si>
    <t xml:space="preserve">Add lemon juice and xanthan gum and blend for 1 more minute to combine. </t>
  </si>
  <si>
    <t>Chill the sauce to 70 degrees in 2 or less hours and then to 41 degrees in 4 or less hours</t>
  </si>
  <si>
    <t xml:space="preserve">Mix well before packing so there is even distribution of oil to solids in each bag. </t>
  </si>
  <si>
    <t xml:space="preserve">Pack into 5# bags, label and reserve until pack out making sure the sauce is kept at 41 degrees or less. 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</si>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</sst>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0" fillId="3" borderId="0" xfId="1" applyFont="1" applyFill="1" applyAlignment="1">
      <alignment horizontal="center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Protection="1">
      <protection locked="0"/>
    </xf>
    <xf numFmtId="2" fontId="0" fillId="5" borderId="1" xfId="2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5" borderId="0" xfId="0" applyFill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047A-0653-44B9-A7FC-08C2070C7410}">
  <sheetPr>
    <pageSetUpPr fitToPage="1"/>
  </sheetPr>
  <dimension ref="A1:J43"/>
  <sheetViews>
    <sheetView tabSelected="1" topLeftCell="C1" zoomScaleNormal="100" workbookViewId="0">
      <selection activeCell="G7" sqref="G7:G14"/>
    </sheetView>
  </sheetViews>
  <sheetFormatPr defaultRowHeight="15" x14ac:dyDescent="0.25"/>
  <cols>
    <col min="1" max="1" width="3.5703125" style="3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26" t="s">
        <v>0</v>
      </c>
      <c r="C2" s="24" t="s">
        <v>1</v>
      </c>
      <c r="D2" s="25" t="s">
        <v>2</v>
      </c>
      <c r="E2" s="38"/>
      <c r="F2" s="38"/>
      <c r="G2" s="24"/>
      <c r="H2" s="23" t="s">
        <v>3</v>
      </c>
      <c r="I2" s="22">
        <v>1</v>
      </c>
      <c r="J2" s="21" t="s">
        <v>4</v>
      </c>
    </row>
    <row r="3" spans="1:10" ht="5.25" customHeight="1" x14ac:dyDescent="0.25">
      <c r="B3" s="3"/>
      <c r="D3" s="19"/>
      <c r="F3" s="2"/>
      <c r="H3" s="3"/>
      <c r="I3" s="3"/>
      <c r="J3" s="2"/>
    </row>
    <row r="4" spans="1:10" x14ac:dyDescent="0.25">
      <c r="B4" s="2" t="s">
        <v>5</v>
      </c>
      <c r="C4" s="20">
        <v>8</v>
      </c>
      <c r="D4" s="19"/>
      <c r="F4" s="2" t="s">
        <v>6</v>
      </c>
      <c r="G4" s="9"/>
      <c r="I4" s="3"/>
      <c r="J4" s="2"/>
    </row>
    <row r="5" spans="1:10" ht="5.25" customHeight="1" x14ac:dyDescent="0.25">
      <c r="B5" s="3"/>
      <c r="D5" s="19"/>
      <c r="F5" s="2"/>
      <c r="H5" s="3"/>
      <c r="I5" s="3"/>
      <c r="J5" s="2"/>
    </row>
    <row r="6" spans="1:10" x14ac:dyDescent="0.25"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39" t="s">
        <v>13</v>
      </c>
      <c r="I6" s="40"/>
      <c r="J6" s="18" t="s">
        <v>14</v>
      </c>
    </row>
    <row r="7" spans="1:10" x14ac:dyDescent="0.25">
      <c r="A7" s="3">
        <v>1</v>
      </c>
      <c r="B7" s="6"/>
      <c r="C7" s="6" t="s">
        <v>15</v>
      </c>
      <c r="D7" s="27">
        <v>0.53690800094289637</v>
      </c>
      <c r="E7" s="17" t="s">
        <v>16</v>
      </c>
      <c r="F7" s="16">
        <f>D7/D$24</f>
        <v>0.26845932071583833</v>
      </c>
      <c r="G7" s="15">
        <f>C4*F7</f>
        <v>2.1476745657267067</v>
      </c>
      <c r="H7" s="35"/>
      <c r="I7" s="36"/>
      <c r="J7" s="14"/>
    </row>
    <row r="8" spans="1:10" x14ac:dyDescent="0.25">
      <c r="A8" s="3">
        <v>2</v>
      </c>
      <c r="B8" s="6"/>
      <c r="C8" s="6" t="s">
        <v>17</v>
      </c>
      <c r="D8" s="27">
        <v>0.17896933364763212</v>
      </c>
      <c r="E8" s="17" t="s">
        <v>16</v>
      </c>
      <c r="F8" s="16">
        <f t="shared" ref="F8:F23" si="0">D8/D$24</f>
        <v>8.9486440238612769E-2</v>
      </c>
      <c r="G8" s="15">
        <f>C4*F8</f>
        <v>0.71589152190890215</v>
      </c>
      <c r="H8" s="35"/>
      <c r="I8" s="36"/>
      <c r="J8" s="14"/>
    </row>
    <row r="9" spans="1:10" x14ac:dyDescent="0.25">
      <c r="A9" s="3">
        <v>3</v>
      </c>
      <c r="B9" s="6"/>
      <c r="C9" t="s">
        <v>18</v>
      </c>
      <c r="D9" s="27">
        <v>4.4742333411908031E-2</v>
      </c>
      <c r="E9" s="17" t="s">
        <v>16</v>
      </c>
      <c r="F9" s="16">
        <f t="shared" si="0"/>
        <v>2.2371610059653192E-2</v>
      </c>
      <c r="G9" s="15">
        <f>C4*F9</f>
        <v>0.17897288047722554</v>
      </c>
      <c r="H9" s="35"/>
      <c r="I9" s="36"/>
      <c r="J9" s="14"/>
    </row>
    <row r="10" spans="1:10" x14ac:dyDescent="0.25">
      <c r="A10" s="3">
        <v>4</v>
      </c>
      <c r="B10" s="6"/>
      <c r="C10" s="6" t="s">
        <v>19</v>
      </c>
      <c r="D10" s="27">
        <v>4.4742333411908031E-2</v>
      </c>
      <c r="E10" s="17" t="s">
        <v>16</v>
      </c>
      <c r="F10" s="16">
        <f t="shared" si="0"/>
        <v>2.2371610059653192E-2</v>
      </c>
      <c r="G10" s="15">
        <f>C4*F10</f>
        <v>0.17897288047722554</v>
      </c>
      <c r="H10" s="35"/>
      <c r="I10" s="36"/>
      <c r="J10" s="14"/>
    </row>
    <row r="11" spans="1:10" x14ac:dyDescent="0.25">
      <c r="A11" s="3">
        <v>5</v>
      </c>
      <c r="B11" s="6"/>
      <c r="C11" s="6" t="s">
        <v>20</v>
      </c>
      <c r="D11" s="27">
        <v>8.9484666823816061E-2</v>
      </c>
      <c r="E11" s="17" t="s">
        <v>16</v>
      </c>
      <c r="F11" s="16">
        <f t="shared" si="0"/>
        <v>4.4743220119306384E-2</v>
      </c>
      <c r="G11" s="15">
        <f>C4*F11</f>
        <v>0.35794576095445108</v>
      </c>
      <c r="H11" s="35"/>
      <c r="I11" s="36"/>
      <c r="J11" s="14"/>
    </row>
    <row r="12" spans="1:10" x14ac:dyDescent="0.25">
      <c r="A12" s="3">
        <v>6</v>
      </c>
      <c r="B12" s="6"/>
      <c r="C12" s="6" t="s">
        <v>21</v>
      </c>
      <c r="D12" s="27">
        <v>1.079394759503014</v>
      </c>
      <c r="E12" s="17" t="s">
        <v>16</v>
      </c>
      <c r="F12" s="16">
        <f t="shared" si="0"/>
        <v>0.53970807552043554</v>
      </c>
      <c r="G12" s="15">
        <f>C4*F12</f>
        <v>4.3176646041634843</v>
      </c>
      <c r="H12" s="35"/>
      <c r="I12" s="36"/>
      <c r="J12" s="14"/>
    </row>
    <row r="13" spans="1:10" x14ac:dyDescent="0.25">
      <c r="A13" s="3">
        <v>7</v>
      </c>
      <c r="B13" s="6"/>
      <c r="C13" s="6" t="s">
        <v>22</v>
      </c>
      <c r="D13" s="27">
        <v>1.8938821237526268E-2</v>
      </c>
      <c r="E13" s="17" t="s">
        <v>16</v>
      </c>
      <c r="F13" s="16">
        <f t="shared" si="0"/>
        <v>9.4695982843543847E-3</v>
      </c>
      <c r="G13" s="15">
        <f>C4*F13</f>
        <v>7.5756786274835078E-2</v>
      </c>
      <c r="H13" s="35"/>
      <c r="I13" s="36"/>
      <c r="J13" s="14"/>
    </row>
    <row r="14" spans="1:10" x14ac:dyDescent="0.25">
      <c r="A14" s="3">
        <v>8</v>
      </c>
      <c r="B14" s="6"/>
      <c r="C14" s="6" t="s">
        <v>23</v>
      </c>
      <c r="D14" s="27">
        <v>6.7801156353795057E-3</v>
      </c>
      <c r="E14" s="17" t="s">
        <v>16</v>
      </c>
      <c r="F14" s="16">
        <f t="shared" si="0"/>
        <v>3.3901250021461408E-3</v>
      </c>
      <c r="G14" s="15">
        <f>C4*F14</f>
        <v>2.7121000017169127E-2</v>
      </c>
      <c r="H14" s="35"/>
      <c r="I14" s="36"/>
      <c r="J14" s="14"/>
    </row>
    <row r="15" spans="1:10" x14ac:dyDescent="0.25">
      <c r="A15" s="3">
        <v>9</v>
      </c>
      <c r="B15" s="6"/>
      <c r="C15" s="6"/>
      <c r="D15" s="27"/>
      <c r="E15" s="17" t="s">
        <v>16</v>
      </c>
      <c r="F15" s="16">
        <f t="shared" si="0"/>
        <v>0</v>
      </c>
      <c r="G15" s="15">
        <f>C4*F15</f>
        <v>0</v>
      </c>
      <c r="H15" s="35"/>
      <c r="I15" s="36"/>
      <c r="J15" s="14"/>
    </row>
    <row r="16" spans="1:10" x14ac:dyDescent="0.25">
      <c r="A16" s="3">
        <v>10</v>
      </c>
      <c r="B16" s="6"/>
      <c r="C16" s="6"/>
      <c r="D16" s="27"/>
      <c r="E16" s="17" t="s">
        <v>16</v>
      </c>
      <c r="F16" s="16">
        <f t="shared" si="0"/>
        <v>0</v>
      </c>
      <c r="G16" s="15">
        <f>C4*F16</f>
        <v>0</v>
      </c>
      <c r="H16" s="35"/>
      <c r="I16" s="36"/>
      <c r="J16" s="14"/>
    </row>
    <row r="17" spans="1:10" x14ac:dyDescent="0.25">
      <c r="A17" s="3">
        <v>11</v>
      </c>
      <c r="B17" s="6"/>
      <c r="C17" s="6"/>
      <c r="D17" s="27"/>
      <c r="E17" s="17" t="s">
        <v>16</v>
      </c>
      <c r="F17" s="16">
        <f t="shared" si="0"/>
        <v>0</v>
      </c>
      <c r="G17" s="15">
        <f>C4*F17</f>
        <v>0</v>
      </c>
      <c r="H17" s="35"/>
      <c r="I17" s="36"/>
      <c r="J17" s="14"/>
    </row>
    <row r="18" spans="1:10" x14ac:dyDescent="0.25">
      <c r="A18" s="3">
        <v>12</v>
      </c>
      <c r="B18" s="6"/>
      <c r="C18" s="6"/>
      <c r="D18" s="27"/>
      <c r="E18" s="17" t="s">
        <v>16</v>
      </c>
      <c r="F18" s="16">
        <f t="shared" si="0"/>
        <v>0</v>
      </c>
      <c r="G18" s="15">
        <f>C4*F18</f>
        <v>0</v>
      </c>
      <c r="H18" s="35"/>
      <c r="I18" s="36"/>
      <c r="J18" s="14"/>
    </row>
    <row r="19" spans="1:10" x14ac:dyDescent="0.25">
      <c r="A19" s="3">
        <v>13</v>
      </c>
      <c r="B19" s="6"/>
      <c r="C19" s="6"/>
      <c r="D19" s="27"/>
      <c r="E19" s="17" t="s">
        <v>16</v>
      </c>
      <c r="F19" s="16">
        <f t="shared" si="0"/>
        <v>0</v>
      </c>
      <c r="G19" s="15">
        <f>C4*F19</f>
        <v>0</v>
      </c>
      <c r="H19" s="35"/>
      <c r="I19" s="36"/>
      <c r="J19" s="14"/>
    </row>
    <row r="20" spans="1:10" x14ac:dyDescent="0.25">
      <c r="A20" s="3">
        <v>14</v>
      </c>
      <c r="B20" s="6"/>
      <c r="C20" s="6"/>
      <c r="D20" s="27"/>
      <c r="E20" s="17" t="s">
        <v>16</v>
      </c>
      <c r="F20" s="16">
        <f t="shared" si="0"/>
        <v>0</v>
      </c>
      <c r="G20" s="15">
        <f>C4*F20</f>
        <v>0</v>
      </c>
      <c r="H20" s="35"/>
      <c r="I20" s="36"/>
      <c r="J20" s="14"/>
    </row>
    <row r="21" spans="1:10" x14ac:dyDescent="0.25">
      <c r="A21" s="3">
        <v>15</v>
      </c>
      <c r="B21" s="6"/>
      <c r="C21" s="6"/>
      <c r="D21" s="27"/>
      <c r="E21" s="17" t="s">
        <v>16</v>
      </c>
      <c r="F21" s="16">
        <f>D21/D$24</f>
        <v>0</v>
      </c>
      <c r="G21" s="15">
        <f>C4*F21</f>
        <v>0</v>
      </c>
      <c r="H21" s="35"/>
      <c r="I21" s="36"/>
      <c r="J21" s="14"/>
    </row>
    <row r="22" spans="1:10" x14ac:dyDescent="0.25">
      <c r="A22" s="3">
        <v>16</v>
      </c>
      <c r="B22" s="6"/>
      <c r="C22" s="6"/>
      <c r="D22" s="27"/>
      <c r="E22" s="17" t="s">
        <v>16</v>
      </c>
      <c r="F22" s="16">
        <f t="shared" si="0"/>
        <v>0</v>
      </c>
      <c r="G22" s="15">
        <f>C4*F22</f>
        <v>0</v>
      </c>
      <c r="H22" s="35"/>
      <c r="I22" s="36"/>
      <c r="J22" s="14"/>
    </row>
    <row r="23" spans="1:10" x14ac:dyDescent="0.25">
      <c r="A23" s="3">
        <v>17</v>
      </c>
      <c r="B23" s="6"/>
      <c r="C23" s="6"/>
      <c r="D23" s="27"/>
      <c r="E23" s="17" t="s">
        <v>16</v>
      </c>
      <c r="F23" s="16">
        <f t="shared" si="0"/>
        <v>0</v>
      </c>
      <c r="G23" s="15">
        <f>C4*F23</f>
        <v>0</v>
      </c>
      <c r="H23" s="35"/>
      <c r="I23" s="36"/>
      <c r="J23" s="14"/>
    </row>
    <row r="24" spans="1:10" x14ac:dyDescent="0.25">
      <c r="C24" s="13" t="s">
        <v>24</v>
      </c>
      <c r="D24" s="28">
        <f>SUM(D7:D23)</f>
        <v>1.9999603646140804</v>
      </c>
      <c r="E24" s="3" t="s">
        <v>16</v>
      </c>
      <c r="F24" s="12">
        <f>SUM(F7:F23)</f>
        <v>0.99999999999999989</v>
      </c>
      <c r="G24" s="11">
        <f>SUM(G7:G23)</f>
        <v>7.9999999999999991</v>
      </c>
      <c r="H24" s="10" t="s">
        <v>25</v>
      </c>
    </row>
    <row r="25" spans="1:10" x14ac:dyDescent="0.25">
      <c r="F25" s="9" t="s">
        <v>26</v>
      </c>
      <c r="G25" s="1">
        <f>-G24*G4+C4</f>
        <v>8</v>
      </c>
    </row>
    <row r="26" spans="1:10" ht="15.75" x14ac:dyDescent="0.25">
      <c r="A26"/>
      <c r="B26" s="37" t="s">
        <v>27</v>
      </c>
      <c r="C26" s="37"/>
      <c r="D26" s="37"/>
      <c r="E26" s="37"/>
      <c r="F26" s="37"/>
      <c r="G26" s="37"/>
      <c r="H26" s="37"/>
      <c r="I26" s="37"/>
      <c r="J26" s="37"/>
    </row>
    <row r="27" spans="1:10" ht="15.75" x14ac:dyDescent="0.25">
      <c r="A27"/>
      <c r="B27" s="8" t="s">
        <v>28</v>
      </c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3">
        <v>1</v>
      </c>
      <c r="B28" s="29" t="s">
        <v>29</v>
      </c>
      <c r="C28" s="29"/>
      <c r="D28" s="29"/>
      <c r="E28" s="29"/>
      <c r="F28" s="29"/>
      <c r="G28" s="29"/>
      <c r="H28" s="29"/>
      <c r="I28" s="29"/>
      <c r="J28" s="29"/>
    </row>
    <row r="29" spans="1:10" x14ac:dyDescent="0.25">
      <c r="A29" s="3">
        <v>2</v>
      </c>
      <c r="B29" s="29" t="s">
        <v>30</v>
      </c>
      <c r="C29" s="29"/>
      <c r="D29" s="29"/>
      <c r="E29" s="29"/>
      <c r="F29" s="29"/>
      <c r="G29" s="29"/>
      <c r="H29" s="29"/>
      <c r="I29" s="29"/>
      <c r="J29" s="29"/>
    </row>
    <row r="30" spans="1:10" x14ac:dyDescent="0.25">
      <c r="A30" s="3">
        <v>3</v>
      </c>
      <c r="B30" s="29" t="s">
        <v>31</v>
      </c>
      <c r="C30" s="29"/>
      <c r="D30" s="29"/>
      <c r="E30" s="29"/>
      <c r="F30" s="29"/>
      <c r="G30" s="29"/>
      <c r="H30" s="29"/>
      <c r="I30" s="29"/>
      <c r="J30" s="29"/>
    </row>
    <row r="31" spans="1:10" x14ac:dyDescent="0.25">
      <c r="A31" s="3">
        <v>4</v>
      </c>
      <c r="B31" s="29" t="s">
        <v>32</v>
      </c>
      <c r="C31" s="29"/>
      <c r="D31" s="29"/>
      <c r="E31" s="29"/>
      <c r="F31" s="29"/>
      <c r="G31" s="29"/>
      <c r="H31" s="29"/>
      <c r="I31" s="29"/>
      <c r="J31" s="29"/>
    </row>
    <row r="32" spans="1:10" x14ac:dyDescent="0.25">
      <c r="A32" s="3">
        <v>5</v>
      </c>
      <c r="B32" s="29" t="s">
        <v>33</v>
      </c>
      <c r="C32" s="29"/>
      <c r="D32" s="29"/>
      <c r="E32" s="29"/>
      <c r="F32" s="29"/>
      <c r="G32" s="29"/>
      <c r="H32" s="29"/>
      <c r="I32" s="29"/>
      <c r="J32" s="29"/>
    </row>
    <row r="33" spans="1:10" x14ac:dyDescent="0.25">
      <c r="A33" s="3">
        <v>6</v>
      </c>
      <c r="B33" s="29" t="s">
        <v>34</v>
      </c>
      <c r="C33" s="29"/>
      <c r="D33" s="29"/>
      <c r="E33" s="29"/>
      <c r="F33" s="29"/>
      <c r="G33" s="29"/>
      <c r="H33" s="29"/>
      <c r="I33" s="29"/>
      <c r="J33" s="29"/>
    </row>
    <row r="34" spans="1:10" x14ac:dyDescent="0.25">
      <c r="A34" s="3">
        <v>7</v>
      </c>
      <c r="B34" s="29" t="s">
        <v>35</v>
      </c>
      <c r="C34" s="29"/>
      <c r="D34" s="29"/>
      <c r="E34" s="29"/>
      <c r="F34" s="29"/>
      <c r="G34" s="29"/>
      <c r="H34" s="29"/>
      <c r="I34" s="29"/>
      <c r="J34" s="29"/>
    </row>
    <row r="35" spans="1:10" x14ac:dyDescent="0.25">
      <c r="A35" s="3">
        <v>8</v>
      </c>
      <c r="B35" s="30"/>
      <c r="C35" s="31"/>
      <c r="D35" s="31"/>
      <c r="E35" s="31"/>
      <c r="F35" s="31"/>
      <c r="G35" s="31"/>
      <c r="H35" s="31"/>
      <c r="I35" s="31"/>
      <c r="J35" s="32"/>
    </row>
    <row r="36" spans="1:10" x14ac:dyDescent="0.25">
      <c r="A36" s="3">
        <v>9</v>
      </c>
      <c r="B36" s="29"/>
      <c r="C36" s="29"/>
      <c r="D36" s="29"/>
      <c r="E36" s="29"/>
      <c r="F36" s="29"/>
      <c r="G36" s="29"/>
      <c r="H36" s="29"/>
      <c r="I36" s="29"/>
      <c r="J36" s="29"/>
    </row>
    <row r="37" spans="1:10" x14ac:dyDescent="0.25">
      <c r="A37" s="3">
        <v>10</v>
      </c>
      <c r="B37" s="29"/>
      <c r="C37" s="29"/>
      <c r="D37" s="29"/>
      <c r="E37" s="29"/>
      <c r="F37" s="29"/>
      <c r="G37" s="29"/>
      <c r="H37" s="29"/>
      <c r="I37" s="29"/>
      <c r="J37" s="29"/>
    </row>
    <row r="38" spans="1:10" x14ac:dyDescent="0.25">
      <c r="A38" s="3">
        <v>11</v>
      </c>
      <c r="B38" s="29"/>
      <c r="C38" s="29"/>
      <c r="D38" s="29"/>
      <c r="E38" s="29"/>
      <c r="F38" s="29"/>
      <c r="G38" s="29"/>
      <c r="H38" s="29"/>
      <c r="I38" s="29"/>
      <c r="J38" s="29"/>
    </row>
    <row r="40" spans="1:10" x14ac:dyDescent="0.25">
      <c r="B40" t="s">
        <v>36</v>
      </c>
    </row>
    <row r="42" spans="1:10" x14ac:dyDescent="0.25">
      <c r="B42" s="4"/>
      <c r="C42" s="4"/>
      <c r="D42" s="5"/>
      <c r="E42" s="5"/>
      <c r="F42" s="4"/>
      <c r="H42" s="4"/>
      <c r="I42" s="4"/>
      <c r="J42" s="4"/>
    </row>
    <row r="43" spans="1:10" x14ac:dyDescent="0.25">
      <c r="B43" s="33" t="s">
        <v>37</v>
      </c>
      <c r="C43" s="33"/>
      <c r="E43" s="33" t="s">
        <v>38</v>
      </c>
      <c r="F43" s="33"/>
      <c r="H43" s="34" t="s">
        <v>39</v>
      </c>
      <c r="I43" s="34"/>
      <c r="J43" s="2" t="s">
        <v>40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43:C43"/>
    <mergeCell ref="E43:F43"/>
    <mergeCell ref="H43:I43"/>
    <mergeCell ref="B33:J33"/>
    <mergeCell ref="B34:J34"/>
    <mergeCell ref="B32:J32"/>
    <mergeCell ref="B36:J36"/>
    <mergeCell ref="B37:J37"/>
    <mergeCell ref="B35:J35"/>
    <mergeCell ref="B38:J38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CFD815-E4DF-4289-880A-CA8401E19D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A5D1D-15D8-481E-A314-2FE9FEFBA520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customXml/itemProps3.xml><?xml version="1.0" encoding="utf-8"?>
<ds:datastoreItem xmlns:ds="http://schemas.openxmlformats.org/officeDocument/2006/customXml" ds:itemID="{929038C3-A254-454C-8894-03F89BA56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 Basil Pesto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2024-10-09T16:42:23Z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