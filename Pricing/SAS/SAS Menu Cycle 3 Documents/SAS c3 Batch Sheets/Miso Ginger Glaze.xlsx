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sary Joseph/"/>
    </mc:Choice>
  </mc:AlternateContent>
  <xr:revisionPtr revIDLastSave="39" documentId="8_{164B0AB9-46ED-43CB-B5E0-F82C319698F5}" xr6:coauthVersionLast="47" xr6:coauthVersionMax="47" xr10:uidLastSave="{52E13DC9-C039-4393-8ABF-673BBD0CB4A8}"/>
  <bookViews>
    <workbookView xWindow="10140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<sst xmlns="http://schemas.openxmlformats.org/spreadsheetml/2006/main" count="61" uniqueCount="44">
  <si>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</si>
  <si>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</si>
  <si>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</si>
  <si>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</si>
  <si>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</si>
  <si>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</si>
  <si>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</si>
  <si>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</si>
  <si>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</si>
  <si>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</si>
  <si>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</si>
  <si>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</si>
  <si>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</si>
  <si>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</si>
  <si>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</si>
  <si>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</si>
  <si>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</si>
  <si>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</si>
  <si>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</si>
  <si>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</si>
  <si>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</si>
  <si>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</si>
  <si>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</si>
  <si>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</si>
  <si>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</si>
  <si>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Miso Ginger Glaze</t>
  </si>
  <si>
    <t>Water</t>
  </si>
  <si>
    <t>Miso</t>
  </si>
  <si>
    <t>Combine all ingredients highlighted in green into pot (reserve water for slurry)</t>
  </si>
  <si>
    <t>Bring Mixture to a boil, have QA temp at 180F</t>
  </si>
  <si>
    <t xml:space="preserve">Once at temperature whisk in slurry of reserved liquid and Thermflo </t>
  </si>
  <si>
    <t>Remove from heat and cool mixture down</t>
  </si>
  <si>
    <t>Once cooled Blend with pickled ginger until smooth</t>
  </si>
  <si>
    <t>Store below 40F until ready for pack out</t>
  </si>
  <si>
    <t>D326</t>
  </si>
  <si>
    <t>SAUCE SOY</t>
  </si>
  <si>
    <t>D056</t>
  </si>
  <si>
    <t>HONEY AMBER DAWN FOODS</t>
  </si>
  <si>
    <t>D257</t>
  </si>
  <si>
    <t>OIL BLENDED 75%/25%</t>
  </si>
  <si>
    <t>D218</t>
  </si>
  <si>
    <t>STARCH THERM FLOR</t>
  </si>
  <si>
    <t>D479</t>
  </si>
  <si>
    <t>PICKLED 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</si>
</sst>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2" fontId="0" fillId="7" borderId="4" xfId="1" applyNumberFormat="1" applyFont="1" applyFill="1" applyBorder="1" applyAlignment="1">
      <alignment horizontal="center"/>
    </xf>
    <xf numFmtId="2" fontId="0" fillId="8" borderId="4" xfId="1" applyNumberFormat="1" applyFont="1" applyFill="1" applyBorder="1" applyAlignment="1">
      <alignment horizontal="center"/>
    </xf>
    <xf numFmtId="2" fontId="0" fillId="9" borderId="4" xfId="1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C1" zoomScale="80" zoomScaleNormal="80" workbookViewId="0">
      <selection activeCell="G8" sqref="G8:G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8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/>
      <c r="C7" s="27" t="s">
        <v>26</v>
      </c>
      <c r="D7" s="13">
        <v>300</v>
      </c>
      <c r="E7" s="13" t="s">
        <v>23</v>
      </c>
      <c r="F7" s="14">
        <f t="shared" ref="F7:F23" si="0">D7/D$24</f>
        <v>0.61855670103092786</v>
      </c>
      <c r="G7" s="30">
        <f>C4*F7</f>
        <v>4.9484536082474229</v>
      </c>
      <c r="H7" s="36"/>
      <c r="I7" s="37"/>
      <c r="J7" s="16"/>
    </row>
    <row r="8" spans="1:10" x14ac:dyDescent="0.25">
      <c r="A8" s="1">
        <v>2</v>
      </c>
      <c r="B8" s="12"/>
      <c r="C8" s="27" t="s">
        <v>27</v>
      </c>
      <c r="D8" s="13">
        <v>50</v>
      </c>
      <c r="E8" s="13" t="s">
        <v>23</v>
      </c>
      <c r="F8" s="14">
        <f t="shared" si="0"/>
        <v>0.10309278350515463</v>
      </c>
      <c r="G8" s="30">
        <f>C4*F8</f>
        <v>0.82474226804123707</v>
      </c>
      <c r="H8" s="36"/>
      <c r="I8" s="37"/>
      <c r="J8" s="16"/>
    </row>
    <row r="9" spans="1:10" x14ac:dyDescent="0.25">
      <c r="A9" s="1">
        <v>3</v>
      </c>
      <c r="B9" s="12" t="s">
        <v>34</v>
      </c>
      <c r="C9" s="27" t="s">
        <v>35</v>
      </c>
      <c r="D9" s="13">
        <v>35</v>
      </c>
      <c r="E9" s="13" t="s">
        <v>23</v>
      </c>
      <c r="F9" s="14">
        <f t="shared" si="0"/>
        <v>7.2164948453608241E-2</v>
      </c>
      <c r="G9" s="30">
        <f>C4*F9</f>
        <v>0.57731958762886593</v>
      </c>
      <c r="H9" s="36"/>
      <c r="I9" s="37"/>
      <c r="J9" s="16"/>
    </row>
    <row r="10" spans="1:10" x14ac:dyDescent="0.25">
      <c r="A10" s="1">
        <v>4</v>
      </c>
      <c r="B10" s="12" t="s">
        <v>36</v>
      </c>
      <c r="C10" s="27" t="s">
        <v>37</v>
      </c>
      <c r="D10" s="13">
        <v>20</v>
      </c>
      <c r="E10" s="13" t="s">
        <v>23</v>
      </c>
      <c r="F10" s="14">
        <f t="shared" si="0"/>
        <v>4.1237113402061855E-2</v>
      </c>
      <c r="G10" s="30">
        <f>C4*F10</f>
        <v>0.32989690721649484</v>
      </c>
      <c r="H10" s="36"/>
      <c r="I10" s="37"/>
      <c r="J10" s="16"/>
    </row>
    <row r="11" spans="1:10" x14ac:dyDescent="0.25">
      <c r="A11" s="1">
        <v>5</v>
      </c>
      <c r="B11" s="12" t="s">
        <v>38</v>
      </c>
      <c r="C11" s="27" t="s">
        <v>39</v>
      </c>
      <c r="D11" s="13">
        <v>18</v>
      </c>
      <c r="E11" s="13" t="s">
        <v>23</v>
      </c>
      <c r="F11" s="14">
        <f t="shared" si="0"/>
        <v>3.711340206185567E-2</v>
      </c>
      <c r="G11" s="30">
        <f>C4*F11</f>
        <v>0.29690721649484536</v>
      </c>
      <c r="H11" s="36"/>
      <c r="I11" s="37"/>
      <c r="J11" s="16"/>
    </row>
    <row r="12" spans="1:10" x14ac:dyDescent="0.25">
      <c r="A12" s="1">
        <v>6</v>
      </c>
      <c r="B12" s="12" t="s">
        <v>40</v>
      </c>
      <c r="C12" s="28" t="s">
        <v>41</v>
      </c>
      <c r="D12" s="13">
        <v>12</v>
      </c>
      <c r="E12" s="13" t="s">
        <v>23</v>
      </c>
      <c r="F12" s="14">
        <f t="shared" si="0"/>
        <v>2.4742268041237112E-2</v>
      </c>
      <c r="G12" s="31">
        <f>C4*F12</f>
        <v>0.1979381443298969</v>
      </c>
      <c r="H12" s="36"/>
      <c r="I12" s="37"/>
      <c r="J12" s="16"/>
    </row>
    <row r="13" spans="1:10" x14ac:dyDescent="0.25">
      <c r="A13" s="1">
        <v>7</v>
      </c>
      <c r="B13" s="12" t="s">
        <v>42</v>
      </c>
      <c r="C13" s="29" t="s">
        <v>43</v>
      </c>
      <c r="D13" s="13">
        <v>50</v>
      </c>
      <c r="E13" s="13" t="s">
        <v>23</v>
      </c>
      <c r="F13" s="14">
        <f t="shared" si="0"/>
        <v>0.10309278350515463</v>
      </c>
      <c r="G13" s="32">
        <f>C4*F13</f>
        <v>0.82474226804123707</v>
      </c>
      <c r="H13" s="36"/>
      <c r="I13" s="37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6"/>
      <c r="I14" s="37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6"/>
      <c r="I15" s="37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6"/>
      <c r="I16" s="37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6"/>
      <c r="I17" s="37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6"/>
      <c r="I18" s="37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6"/>
      <c r="I19" s="37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6"/>
      <c r="I20" s="37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6"/>
      <c r="I21" s="37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6"/>
      <c r="I22" s="37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6"/>
      <c r="I23" s="37"/>
      <c r="J23" s="16"/>
    </row>
    <row r="24" spans="1:10" x14ac:dyDescent="0.25">
      <c r="C24" s="17" t="s">
        <v>12</v>
      </c>
      <c r="D24" s="1">
        <f>SUM(D7:D23)</f>
        <v>485</v>
      </c>
      <c r="E24" s="1" t="s">
        <v>23</v>
      </c>
      <c r="F24" s="18">
        <f>SUM(F7:F23)</f>
        <v>0.99999999999999989</v>
      </c>
      <c r="G24" s="26">
        <f>SUM(G7:G23)</f>
        <v>7.9999999999999991</v>
      </c>
      <c r="H24" s="19" t="s">
        <v>13</v>
      </c>
    </row>
    <row r="25" spans="1:10" x14ac:dyDescent="0.25">
      <c r="F25" s="25" t="s">
        <v>24</v>
      </c>
      <c r="G25" s="20">
        <f>-G24*G4+C4</f>
        <v>6.8000000000000007</v>
      </c>
    </row>
    <row r="26" spans="1:10" ht="15.75" x14ac:dyDescent="0.25">
      <c r="A26"/>
      <c r="B26" s="38" t="s">
        <v>14</v>
      </c>
      <c r="C26" s="38"/>
      <c r="D26" s="38"/>
      <c r="E26" s="38"/>
      <c r="F26" s="38"/>
      <c r="G26" s="38"/>
      <c r="H26" s="38"/>
      <c r="I26" s="38"/>
      <c r="J26" s="38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9" t="s">
        <v>28</v>
      </c>
      <c r="C28" s="40"/>
      <c r="D28" s="40"/>
      <c r="E28" s="40"/>
      <c r="F28" s="40"/>
      <c r="G28" s="40"/>
      <c r="H28" s="40"/>
      <c r="I28" s="40"/>
      <c r="J28" s="41"/>
    </row>
    <row r="29" spans="1:10" x14ac:dyDescent="0.25">
      <c r="A29" s="1">
        <v>2</v>
      </c>
      <c r="B29" s="39" t="s">
        <v>29</v>
      </c>
      <c r="C29" s="40"/>
      <c r="D29" s="40"/>
      <c r="E29" s="40"/>
      <c r="F29" s="40"/>
      <c r="G29" s="40"/>
      <c r="H29" s="40"/>
      <c r="I29" s="40"/>
      <c r="J29" s="41"/>
    </row>
    <row r="30" spans="1:10" x14ac:dyDescent="0.25">
      <c r="A30" s="1">
        <v>3</v>
      </c>
      <c r="B30" s="42" t="s">
        <v>30</v>
      </c>
      <c r="C30" s="43"/>
      <c r="D30" s="43"/>
      <c r="E30" s="43"/>
      <c r="F30" s="43"/>
      <c r="G30" s="43"/>
      <c r="H30" s="43"/>
      <c r="I30" s="43"/>
      <c r="J30" s="44"/>
    </row>
    <row r="31" spans="1:10" x14ac:dyDescent="0.25">
      <c r="A31" s="1">
        <v>4</v>
      </c>
      <c r="B31" s="33" t="s">
        <v>31</v>
      </c>
      <c r="C31" s="33"/>
      <c r="D31" s="33"/>
      <c r="E31" s="33"/>
      <c r="F31" s="33"/>
      <c r="G31" s="33"/>
      <c r="H31" s="33"/>
      <c r="I31" s="33"/>
      <c r="J31" s="33"/>
    </row>
    <row r="32" spans="1:10" x14ac:dyDescent="0.25">
      <c r="A32" s="1">
        <v>5</v>
      </c>
      <c r="B32" s="33" t="s">
        <v>32</v>
      </c>
      <c r="C32" s="33"/>
      <c r="D32" s="33"/>
      <c r="E32" s="33"/>
      <c r="F32" s="33"/>
      <c r="G32" s="33"/>
      <c r="H32" s="33"/>
      <c r="I32" s="33"/>
      <c r="J32" s="33"/>
    </row>
    <row r="33" spans="1:10" x14ac:dyDescent="0.25">
      <c r="A33" s="1">
        <v>6</v>
      </c>
      <c r="B33" s="33" t="s">
        <v>33</v>
      </c>
      <c r="C33" s="33"/>
      <c r="D33" s="33"/>
      <c r="E33" s="33"/>
      <c r="F33" s="33"/>
      <c r="G33" s="33"/>
      <c r="H33" s="33"/>
      <c r="I33" s="33"/>
      <c r="J33" s="33"/>
    </row>
    <row r="34" spans="1:10" x14ac:dyDescent="0.25">
      <c r="A34" s="1">
        <v>7</v>
      </c>
      <c r="B34" s="33"/>
      <c r="C34" s="33"/>
      <c r="D34" s="33"/>
      <c r="E34" s="33"/>
      <c r="F34" s="33"/>
      <c r="G34" s="33"/>
      <c r="H34" s="33"/>
      <c r="I34" s="33"/>
      <c r="J34" s="33"/>
    </row>
    <row r="35" spans="1:10" x14ac:dyDescent="0.25">
      <c r="A35" s="1">
        <v>8</v>
      </c>
      <c r="B35" s="33"/>
      <c r="C35" s="33"/>
      <c r="D35" s="33"/>
      <c r="E35" s="33"/>
      <c r="F35" s="33"/>
      <c r="G35" s="33"/>
      <c r="H35" s="33"/>
      <c r="I35" s="33"/>
      <c r="J35" s="33"/>
    </row>
    <row r="36" spans="1:10" x14ac:dyDescent="0.25">
      <c r="A36" s="1">
        <v>9</v>
      </c>
      <c r="B36" s="33"/>
      <c r="C36" s="33"/>
      <c r="D36" s="33"/>
      <c r="E36" s="33"/>
      <c r="F36" s="33"/>
      <c r="G36" s="33"/>
      <c r="H36" s="33"/>
      <c r="I36" s="33"/>
      <c r="J36" s="33"/>
    </row>
    <row r="37" spans="1:10" x14ac:dyDescent="0.25">
      <c r="A37" s="1">
        <v>10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0" x14ac:dyDescent="0.25">
      <c r="A38" s="1">
        <v>11</v>
      </c>
      <c r="B38" s="33"/>
      <c r="C38" s="33"/>
      <c r="D38" s="33"/>
      <c r="E38" s="33"/>
      <c r="F38" s="33"/>
      <c r="G38" s="33"/>
      <c r="H38" s="33"/>
      <c r="I38" s="33"/>
      <c r="J38" s="33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4" t="s">
        <v>17</v>
      </c>
      <c r="C43" s="34"/>
      <c r="E43" s="34" t="s">
        <v>18</v>
      </c>
      <c r="F43" s="34"/>
      <c r="H43" s="35" t="s">
        <v>19</v>
      </c>
      <c r="I43" s="35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D906FD1E-10E7-4EB7-90F6-1023319EF33D}"/>
</file>

<file path=customXml/itemProps2.xml><?xml version="1.0" encoding="utf-8"?>
<ds:datastoreItem xmlns:ds="http://schemas.openxmlformats.org/officeDocument/2006/customXml" ds:itemID="{FACB6BC1-CB31-4DB5-AF93-5767F06411F2}"/>
</file>

<file path=customXml/itemProps3.xml><?xml version="1.0" encoding="utf-8"?>
<ds:datastoreItem xmlns:ds="http://schemas.openxmlformats.org/officeDocument/2006/customXml" ds:itemID="{BF894A33-5C87-4058-BE20-5B5C6F8AC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2024-08-27T13:09:17Z</cp:lastPrinted>
  <dcterms:created xsi:type="dcterms:W3CDTF">2023-08-17T15:10:54Z</dcterms:created>
  <dcterms:modified xsi:type="dcterms:W3CDTF">2024-10-09T19:23:37Z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