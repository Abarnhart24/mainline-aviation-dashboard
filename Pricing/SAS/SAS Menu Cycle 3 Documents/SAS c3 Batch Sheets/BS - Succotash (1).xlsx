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37" documentId="13_ncr:1_{1005AE9A-A637-4FEE-AC4C-36736C7B9D7B}" xr6:coauthVersionLast="47" xr6:coauthVersionMax="47" xr10:uidLastSave="{528D5528-4C09-4FC8-A5F7-C5DC341A40F7}"/>
  <bookViews>
    <workbookView xWindow="-105" yWindow="0" windowWidth="10530" windowHeight="10905" xr2:uid="{00000000-000D-0000-FFFF-FFFF00000000}"/>
  </bookViews>
  <sheets>
    <sheet name="Lady Pea Succotash " sheetId="13" r:id="rId1"/>
    <sheet name="Roasted Veg for Succotash" sheetId="12" r:id="rId2"/>
    <sheet name="Blanched Corn and Lady Peas 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2" l="1"/>
  <c r="D16" i="13"/>
  <c r="F9" i="13" s="1"/>
  <c r="G9" i="13" s="1"/>
  <c r="D21" i="12"/>
  <c r="F20" i="12" s="1"/>
  <c r="G20" i="12" s="1"/>
  <c r="D21" i="11"/>
  <c r="F19" i="11" s="1"/>
  <c r="G19" i="11" s="1"/>
  <c r="F9" i="11" l="1"/>
  <c r="G9" i="11" s="1"/>
  <c r="F10" i="11"/>
  <c r="G10" i="11" s="1"/>
  <c r="F13" i="11"/>
  <c r="G13" i="11" s="1"/>
  <c r="F17" i="11"/>
  <c r="G17" i="11" s="1"/>
  <c r="F8" i="13"/>
  <c r="G8" i="13" s="1"/>
  <c r="F7" i="13"/>
  <c r="G7" i="13" s="1"/>
  <c r="F19" i="12"/>
  <c r="G19" i="12" s="1"/>
  <c r="F18" i="12"/>
  <c r="G18" i="12" s="1"/>
  <c r="F10" i="13"/>
  <c r="G10" i="13" s="1"/>
  <c r="F13" i="13"/>
  <c r="G13" i="13" s="1"/>
  <c r="F14" i="13"/>
  <c r="G14" i="13" s="1"/>
  <c r="F11" i="13"/>
  <c r="G11" i="13" s="1"/>
  <c r="F15" i="13"/>
  <c r="G15" i="13" s="1"/>
  <c r="F12" i="13"/>
  <c r="G12" i="13" s="1"/>
  <c r="F11" i="12"/>
  <c r="G11" i="12" s="1"/>
  <c r="F13" i="12"/>
  <c r="G13" i="12" s="1"/>
  <c r="F17" i="12"/>
  <c r="G17" i="12" s="1"/>
  <c r="F9" i="12"/>
  <c r="G9" i="12" s="1"/>
  <c r="F7" i="12"/>
  <c r="G7" i="12" s="1"/>
  <c r="F15" i="12"/>
  <c r="G15" i="12" s="1"/>
  <c r="F8" i="12"/>
  <c r="F10" i="12"/>
  <c r="G10" i="12" s="1"/>
  <c r="F12" i="12"/>
  <c r="G12" i="12" s="1"/>
  <c r="F14" i="12"/>
  <c r="G14" i="12" s="1"/>
  <c r="F16" i="12"/>
  <c r="G16" i="12" s="1"/>
  <c r="F14" i="11"/>
  <c r="G14" i="11" s="1"/>
  <c r="F7" i="11"/>
  <c r="F11" i="11"/>
  <c r="G11" i="11" s="1"/>
  <c r="F15" i="11"/>
  <c r="G15" i="11" s="1"/>
  <c r="F8" i="11"/>
  <c r="G8" i="11" s="1"/>
  <c r="F12" i="11"/>
  <c r="G12" i="11" s="1"/>
  <c r="F16" i="11"/>
  <c r="G16" i="11" s="1"/>
  <c r="F20" i="11"/>
  <c r="G20" i="11" s="1"/>
  <c r="F18" i="11"/>
  <c r="G18" i="11" s="1"/>
  <c r="G7" i="11"/>
  <c r="G21" i="11" l="1"/>
  <c r="G22" i="11" s="1"/>
  <c r="F21" i="11"/>
  <c r="F16" i="13"/>
  <c r="G16" i="13"/>
  <c r="G17" i="13" s="1"/>
  <c r="G21" i="12"/>
  <c r="G22" i="12" s="1"/>
  <c r="F21" i="12"/>
</calcChain>
</file>

<file path=xl/sharedStrings.xml><?xml version="1.0" encoding="utf-8"?>
<sst xmlns="http://schemas.openxmlformats.org/spreadsheetml/2006/main" count="162" uniqueCount="68">
  <si>
    <t>Formula Name:</t>
  </si>
  <si>
    <t xml:space="preserve">Lady Pea Succotash 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</si>
  <si>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</si>
  <si>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</si>
  <si>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</si>
  <si>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</si>
  <si>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</si>
  <si>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</si>
  <si>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</si>
  <si>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Formula</t>
  </si>
  <si>
    <t>UOM</t>
  </si>
  <si>
    <t>%</t>
  </si>
  <si>
    <t>Desired (lb)</t>
  </si>
  <si>
    <t>Lot Code</t>
  </si>
  <si>
    <t>Notes</t>
  </si>
  <si>
    <t xml:space="preserve">Blanched Corn and Lady Peas </t>
  </si>
  <si>
    <t>lb</t>
  </si>
  <si>
    <t xml:space="preserve">SUB RECIPE </t>
  </si>
  <si>
    <t xml:space="preserve">Cherry Tomatoes, Halved </t>
  </si>
  <si>
    <t xml:space="preserve">Roasted Veg for Succotash 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</si>
  <si>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</si>
  <si>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</si>
  <si>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</si>
  <si>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</si>
  <si>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</si>
  <si>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QA to sign off on Batch Sheet to make sure all measurements are correct. </t>
  </si>
  <si>
    <t xml:space="preserve">Combine all ingredients and mix thuroughly. </t>
  </si>
  <si>
    <t>Chill to 70 degrees in 2 hours and to 41 degrees or lower in 4 or less hours.</t>
  </si>
  <si>
    <t xml:space="preserve">Label and pack into 5# bags, making sure it is kept at 41 degrees or less. 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</si>
  <si>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</si>
  <si>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</si>
  <si>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</si>
  <si>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>Reviewed By</t>
  </si>
  <si>
    <t xml:space="preserve">In mixing bowl combine garlic, onion, celery, peppers, paprika, cayenne, salt, pepper, thyme, and oil. </t>
  </si>
  <si>
    <t xml:space="preserve">Spread evenly onto a baking sheet and roast in oven at 350F for 15 minutes. </t>
  </si>
  <si>
    <t xml:space="preserve">Remove from oven and place in blast chiller until internal temperature reaches 40F. </t>
  </si>
  <si>
    <t xml:space="preserve">Label and refrigerate. Use for Lady Pea Succotash. </t>
  </si>
  <si>
    <t>Water</t>
  </si>
  <si>
    <t>Salt, Kosher</t>
  </si>
  <si>
    <t xml:space="preserve">Lady Peas, IQF </t>
  </si>
  <si>
    <t xml:space="preserve">Royal Food Service </t>
  </si>
  <si>
    <t xml:space="preserve">Sysco </t>
  </si>
  <si>
    <t xml:space="preserve">Bring water and salt up a a boil in tilt skillet. </t>
  </si>
  <si>
    <t xml:space="preserve">Add corn and peas and cook for 8-10 minutes until tender. </t>
  </si>
  <si>
    <t xml:space="preserve">Strain from water, transfer to sheet pans and place in blast chiller. </t>
  </si>
  <si>
    <t xml:space="preserve">Reserve for Lady Pea Succotash. </t>
  </si>
  <si>
    <t>F220</t>
  </si>
  <si>
    <t>IQF CORN KERNAL</t>
  </si>
  <si>
    <t>D257</t>
  </si>
  <si>
    <t>OIL BLENDED 75%/25%</t>
  </si>
  <si>
    <t>C057</t>
  </si>
  <si>
    <t>ONION WHOLE YELLOW</t>
  </si>
  <si>
    <t>C134</t>
  </si>
  <si>
    <t>PEPPER BELL RED</t>
  </si>
  <si>
    <t>C092</t>
  </si>
  <si>
    <t>CELERY 1/4" DICED</t>
  </si>
  <si>
    <t>D051</t>
  </si>
  <si>
    <t>SPICE GARLIC DEHYDRATED MINCED</t>
  </si>
  <si>
    <t>D137</t>
  </si>
  <si>
    <t>SPICE PAPRIKA GROUND L</t>
  </si>
  <si>
    <t>D114</t>
  </si>
  <si>
    <t>SPICE CAYENE</t>
  </si>
  <si>
    <t>D150</t>
  </si>
  <si>
    <t>SPICE THYME LEAF</t>
  </si>
  <si>
    <t>D090</t>
  </si>
  <si>
    <t>SALT KOSHER</t>
  </si>
  <si>
    <t>D321</t>
  </si>
  <si>
    <t>SPICE PEPPER BLACK FINE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</si>
</sst>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0.0000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0" fillId="3" borderId="0" xfId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Protection="1">
      <protection locked="0"/>
    </xf>
    <xf numFmtId="2" fontId="0" fillId="5" borderId="1" xfId="2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5" borderId="0" xfId="0" applyFill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9" fontId="0" fillId="4" borderId="0" xfId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0" fontId="0" fillId="0" borderId="9" xfId="0" applyBorder="1"/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Protection="1">
      <protection locked="0"/>
    </xf>
    <xf numFmtId="165" fontId="0" fillId="5" borderId="1" xfId="2" applyNumberFormat="1" applyFont="1" applyFill="1" applyBorder="1" applyAlignment="1">
      <alignment horizontal="center"/>
    </xf>
    <xf numFmtId="166" fontId="0" fillId="5" borderId="1" xfId="2" applyNumberFormat="1" applyFont="1" applyFill="1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FFE1-DCEF-4BF4-A771-5217AE2DF143}">
  <sheetPr>
    <pageSetUpPr fitToPage="1"/>
  </sheetPr>
  <dimension ref="A1:J35"/>
  <sheetViews>
    <sheetView tabSelected="1" topLeftCell="B1" zoomScale="80" zoomScaleNormal="80" workbookViewId="0">
      <selection activeCell="D17" sqref="D17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1" customWidth="1"/>
    <col min="5" max="5" width="6.5703125" style="1" customWidth="1"/>
    <col min="6" max="6" width="21.85546875" customWidth="1"/>
    <col min="7" max="7" width="12.5703125" style="1" customWidth="1"/>
    <col min="8" max="8" width="12.5703125" customWidth="1"/>
    <col min="9" max="9" width="5" customWidth="1"/>
    <col min="10" max="10" width="23.85546875" customWidth="1"/>
  </cols>
  <sheetData>
    <row r="1" spans="1:10" ht="15.75" thickBot="1" x14ac:dyDescent="0.3"/>
    <row r="2" spans="1:10" ht="15.75" thickBot="1" x14ac:dyDescent="0.3">
      <c r="B2" s="24" t="s">
        <v>0</v>
      </c>
      <c r="C2" s="22" t="s">
        <v>1</v>
      </c>
      <c r="D2" s="23" t="s">
        <v>2</v>
      </c>
      <c r="E2" s="38"/>
      <c r="F2" s="38"/>
      <c r="G2" s="22"/>
      <c r="H2" s="21" t="s">
        <v>3</v>
      </c>
      <c r="I2" s="20">
        <v>1</v>
      </c>
      <c r="J2" s="19" t="s">
        <v>4</v>
      </c>
    </row>
    <row r="3" spans="1:10" ht="5.25" customHeight="1" x14ac:dyDescent="0.25">
      <c r="B3" s="2"/>
      <c r="D3" s="17"/>
      <c r="F3" s="1"/>
      <c r="H3" s="2"/>
      <c r="I3" s="2"/>
      <c r="J3" s="1"/>
    </row>
    <row r="4" spans="1:10" x14ac:dyDescent="0.25">
      <c r="B4" s="1" t="s">
        <v>5</v>
      </c>
      <c r="C4" s="18">
        <v>55</v>
      </c>
      <c r="D4" s="17"/>
      <c r="F4" s="1" t="s">
        <v>6</v>
      </c>
      <c r="G4" s="8">
        <v>0</v>
      </c>
      <c r="I4" s="2"/>
      <c r="J4" s="1"/>
    </row>
    <row r="5" spans="1:10" ht="5.25" customHeight="1" x14ac:dyDescent="0.25">
      <c r="B5" s="2"/>
      <c r="D5" s="17"/>
      <c r="F5" s="1"/>
      <c r="H5" s="2"/>
      <c r="I5" s="2"/>
      <c r="J5" s="1"/>
    </row>
    <row r="6" spans="1:10" x14ac:dyDescent="0.25">
      <c r="B6" s="16" t="s">
        <v>7</v>
      </c>
      <c r="C6" s="16" t="s">
        <v>8</v>
      </c>
      <c r="D6" s="16" t="s">
        <v>9</v>
      </c>
      <c r="E6" s="16" t="s">
        <v>10</v>
      </c>
      <c r="F6" s="16" t="s">
        <v>11</v>
      </c>
      <c r="G6" s="16" t="s">
        <v>12</v>
      </c>
      <c r="H6" s="39" t="s">
        <v>13</v>
      </c>
      <c r="I6" s="40"/>
      <c r="J6" s="16" t="s">
        <v>14</v>
      </c>
    </row>
    <row r="7" spans="1:10" x14ac:dyDescent="0.25">
      <c r="A7" s="2">
        <v>1</v>
      </c>
      <c r="B7" s="5"/>
      <c r="C7" s="5" t="s">
        <v>15</v>
      </c>
      <c r="D7" s="31">
        <v>0.5625</v>
      </c>
      <c r="E7" s="15" t="s">
        <v>16</v>
      </c>
      <c r="F7" s="14">
        <f t="shared" ref="F7:F15" si="0">D7/D$16</f>
        <v>0.35573122529644269</v>
      </c>
      <c r="G7" s="34">
        <f>C4*F7</f>
        <v>19.565217391304348</v>
      </c>
      <c r="H7" s="36"/>
      <c r="I7" s="37"/>
      <c r="J7" s="33" t="s">
        <v>17</v>
      </c>
    </row>
    <row r="8" spans="1:10" x14ac:dyDescent="0.25">
      <c r="A8" s="2">
        <v>2</v>
      </c>
      <c r="B8" s="5"/>
      <c r="C8" s="5" t="s">
        <v>18</v>
      </c>
      <c r="D8" s="31">
        <v>0.46875</v>
      </c>
      <c r="E8" s="15" t="s">
        <v>16</v>
      </c>
      <c r="F8" s="14">
        <f t="shared" si="0"/>
        <v>0.29644268774703558</v>
      </c>
      <c r="G8" s="34">
        <f>C4*F8</f>
        <v>16.304347826086957</v>
      </c>
      <c r="H8" s="36"/>
      <c r="I8" s="37"/>
      <c r="J8" s="33"/>
    </row>
    <row r="9" spans="1:10" x14ac:dyDescent="0.25">
      <c r="A9" s="2">
        <v>3</v>
      </c>
      <c r="B9" s="5"/>
      <c r="C9" s="5" t="s">
        <v>19</v>
      </c>
      <c r="D9" s="31">
        <v>0.55000000000000004</v>
      </c>
      <c r="E9" s="15" t="s">
        <v>16</v>
      </c>
      <c r="F9" s="14">
        <f t="shared" si="0"/>
        <v>0.34782608695652178</v>
      </c>
      <c r="G9" s="34">
        <f>C4*F9</f>
        <v>19.130434782608699</v>
      </c>
      <c r="H9" s="36"/>
      <c r="I9" s="37"/>
      <c r="J9" s="33" t="s">
        <v>17</v>
      </c>
    </row>
    <row r="10" spans="1:10" x14ac:dyDescent="0.25">
      <c r="A10" s="2">
        <v>4</v>
      </c>
      <c r="B10" s="5"/>
      <c r="C10" s="5"/>
      <c r="D10" s="15"/>
      <c r="E10" s="15" t="s">
        <v>16</v>
      </c>
      <c r="F10" s="14">
        <f t="shared" si="0"/>
        <v>0</v>
      </c>
      <c r="G10" s="13">
        <f>C4*F10</f>
        <v>0</v>
      </c>
      <c r="H10" s="36"/>
      <c r="I10" s="37"/>
      <c r="J10" s="12"/>
    </row>
    <row r="11" spans="1:10" x14ac:dyDescent="0.25">
      <c r="A11" s="2">
        <v>5</v>
      </c>
      <c r="B11" s="5"/>
      <c r="C11" s="5"/>
      <c r="D11" s="15"/>
      <c r="E11" s="15" t="s">
        <v>16</v>
      </c>
      <c r="F11" s="14">
        <f t="shared" si="0"/>
        <v>0</v>
      </c>
      <c r="G11" s="13">
        <f>C4*F11</f>
        <v>0</v>
      </c>
      <c r="H11" s="36"/>
      <c r="I11" s="37"/>
      <c r="J11" s="12"/>
    </row>
    <row r="12" spans="1:10" x14ac:dyDescent="0.25">
      <c r="A12" s="2">
        <v>6</v>
      </c>
      <c r="B12" s="5"/>
      <c r="C12" s="5"/>
      <c r="D12" s="15"/>
      <c r="E12" s="15" t="s">
        <v>16</v>
      </c>
      <c r="F12" s="14">
        <f t="shared" si="0"/>
        <v>0</v>
      </c>
      <c r="G12" s="13">
        <f>C4*F12</f>
        <v>0</v>
      </c>
      <c r="H12" s="36"/>
      <c r="I12" s="37"/>
      <c r="J12" s="12"/>
    </row>
    <row r="13" spans="1:10" x14ac:dyDescent="0.25">
      <c r="A13" s="2">
        <v>7</v>
      </c>
      <c r="B13" s="5"/>
      <c r="C13" s="5"/>
      <c r="D13" s="15"/>
      <c r="E13" s="15" t="s">
        <v>16</v>
      </c>
      <c r="F13" s="14">
        <f t="shared" si="0"/>
        <v>0</v>
      </c>
      <c r="G13" s="13">
        <f>C4*F13</f>
        <v>0</v>
      </c>
      <c r="H13" s="36"/>
      <c r="I13" s="37"/>
      <c r="J13" s="12"/>
    </row>
    <row r="14" spans="1:10" x14ac:dyDescent="0.25">
      <c r="A14" s="2">
        <v>8</v>
      </c>
      <c r="B14" s="5"/>
      <c r="C14" s="5"/>
      <c r="D14" s="15"/>
      <c r="E14" s="15" t="s">
        <v>16</v>
      </c>
      <c r="F14" s="14">
        <f t="shared" si="0"/>
        <v>0</v>
      </c>
      <c r="G14" s="13">
        <f>C4*F14</f>
        <v>0</v>
      </c>
      <c r="H14" s="36"/>
      <c r="I14" s="37"/>
      <c r="J14" s="12"/>
    </row>
    <row r="15" spans="1:10" x14ac:dyDescent="0.25">
      <c r="A15" s="2">
        <v>9</v>
      </c>
      <c r="B15" s="5"/>
      <c r="C15" s="5"/>
      <c r="D15" s="15"/>
      <c r="E15" s="15" t="s">
        <v>16</v>
      </c>
      <c r="F15" s="14">
        <f t="shared" si="0"/>
        <v>0</v>
      </c>
      <c r="G15" s="13">
        <f>C4*F15</f>
        <v>0</v>
      </c>
      <c r="H15" s="36"/>
      <c r="I15" s="37"/>
      <c r="J15" s="12"/>
    </row>
    <row r="16" spans="1:10" x14ac:dyDescent="0.25">
      <c r="C16" s="11" t="s">
        <v>20</v>
      </c>
      <c r="D16" s="2">
        <f>SUM(D7:D15)</f>
        <v>1.58125</v>
      </c>
      <c r="E16" s="2" t="s">
        <v>16</v>
      </c>
      <c r="F16" s="10">
        <f>SUM(F7:F15)</f>
        <v>1</v>
      </c>
      <c r="G16" s="28">
        <f>SUM(G7:G15)</f>
        <v>55</v>
      </c>
      <c r="H16" s="29" t="s">
        <v>21</v>
      </c>
    </row>
    <row r="17" spans="1:10" x14ac:dyDescent="0.25">
      <c r="F17" s="27" t="s">
        <v>22</v>
      </c>
      <c r="G17" s="9">
        <f>-G16*G4+C4</f>
        <v>55</v>
      </c>
    </row>
    <row r="18" spans="1:10" ht="15.75" x14ac:dyDescent="0.25">
      <c r="B18" s="42" t="s">
        <v>23</v>
      </c>
      <c r="C18" s="42"/>
      <c r="D18" s="42"/>
      <c r="E18" s="42"/>
      <c r="F18" s="42"/>
      <c r="G18" s="42"/>
      <c r="H18" s="42"/>
      <c r="I18" s="42"/>
      <c r="J18" s="42"/>
    </row>
    <row r="19" spans="1:10" ht="15.75" x14ac:dyDescent="0.25">
      <c r="B19" s="7" t="s">
        <v>24</v>
      </c>
      <c r="C19" s="6"/>
      <c r="D19" s="6"/>
      <c r="E19" s="6"/>
      <c r="F19" s="6"/>
      <c r="G19" s="6"/>
      <c r="H19" s="6"/>
      <c r="I19" s="6"/>
      <c r="J19" s="6"/>
    </row>
    <row r="20" spans="1:10" ht="18.75" x14ac:dyDescent="0.3">
      <c r="A20" s="2">
        <v>1</v>
      </c>
      <c r="B20" s="43" t="s">
        <v>25</v>
      </c>
      <c r="C20" s="43"/>
      <c r="D20" s="43"/>
      <c r="E20" s="43"/>
      <c r="F20" s="43"/>
      <c r="G20" s="43"/>
      <c r="H20" s="43"/>
      <c r="I20" s="43"/>
      <c r="J20" s="43"/>
    </row>
    <row r="21" spans="1:10" ht="18.75" x14ac:dyDescent="0.3">
      <c r="A21" s="2">
        <v>2</v>
      </c>
      <c r="B21" s="43" t="s">
        <v>26</v>
      </c>
      <c r="C21" s="43"/>
      <c r="D21" s="43"/>
      <c r="E21" s="43"/>
      <c r="F21" s="43"/>
      <c r="G21" s="43"/>
      <c r="H21" s="43"/>
      <c r="I21" s="43"/>
      <c r="J21" s="43"/>
    </row>
    <row r="22" spans="1:10" ht="18.75" x14ac:dyDescent="0.3">
      <c r="A22" s="2">
        <v>3</v>
      </c>
      <c r="B22" s="43" t="s">
        <v>27</v>
      </c>
      <c r="C22" s="43"/>
      <c r="D22" s="43"/>
      <c r="E22" s="43"/>
      <c r="F22" s="43"/>
      <c r="G22" s="43"/>
      <c r="H22" s="43"/>
      <c r="I22" s="43"/>
      <c r="J22" s="43"/>
    </row>
    <row r="23" spans="1:10" ht="18.75" x14ac:dyDescent="0.3">
      <c r="A23" s="2">
        <v>4</v>
      </c>
      <c r="B23" s="43" t="s">
        <v>28</v>
      </c>
      <c r="C23" s="43"/>
      <c r="D23" s="43"/>
      <c r="E23" s="43"/>
      <c r="F23" s="43"/>
      <c r="G23" s="43"/>
      <c r="H23" s="43"/>
      <c r="I23" s="43"/>
      <c r="J23" s="43"/>
    </row>
    <row r="24" spans="1:10" x14ac:dyDescent="0.25">
      <c r="A24" s="2">
        <v>5</v>
      </c>
      <c r="B24" s="41"/>
      <c r="C24" s="41"/>
      <c r="D24" s="41"/>
      <c r="E24" s="41"/>
      <c r="F24" s="41"/>
      <c r="G24" s="41"/>
      <c r="H24" s="41"/>
      <c r="I24" s="41"/>
      <c r="J24" s="41"/>
    </row>
    <row r="25" spans="1:10" x14ac:dyDescent="0.25">
      <c r="A25" s="2">
        <v>6</v>
      </c>
      <c r="B25" s="41"/>
      <c r="C25" s="41"/>
      <c r="D25" s="41"/>
      <c r="E25" s="41"/>
      <c r="F25" s="41"/>
      <c r="G25" s="41"/>
      <c r="H25" s="41"/>
      <c r="I25" s="41"/>
      <c r="J25" s="41"/>
    </row>
    <row r="26" spans="1:10" x14ac:dyDescent="0.25">
      <c r="A26" s="2">
        <v>7</v>
      </c>
      <c r="B26" s="41"/>
      <c r="C26" s="41"/>
      <c r="D26" s="41"/>
      <c r="E26" s="41"/>
      <c r="F26" s="41"/>
      <c r="G26" s="41"/>
      <c r="H26" s="41"/>
      <c r="I26" s="41"/>
      <c r="J26" s="41"/>
    </row>
    <row r="27" spans="1:10" x14ac:dyDescent="0.25">
      <c r="A27" s="2">
        <v>8</v>
      </c>
      <c r="B27" s="41"/>
      <c r="C27" s="41"/>
      <c r="D27" s="41"/>
      <c r="E27" s="41"/>
      <c r="F27" s="41"/>
      <c r="G27" s="41"/>
      <c r="H27" s="41"/>
      <c r="I27" s="41"/>
      <c r="J27" s="41"/>
    </row>
    <row r="28" spans="1:10" x14ac:dyDescent="0.25">
      <c r="A28" s="2">
        <v>9</v>
      </c>
      <c r="B28" s="41"/>
      <c r="C28" s="41"/>
      <c r="D28" s="41"/>
      <c r="E28" s="41"/>
      <c r="F28" s="41"/>
      <c r="G28" s="41"/>
      <c r="H28" s="41"/>
      <c r="I28" s="41"/>
      <c r="J28" s="41"/>
    </row>
    <row r="29" spans="1:10" ht="18.75" x14ac:dyDescent="0.3">
      <c r="A29" s="2">
        <v>10</v>
      </c>
      <c r="B29" s="43"/>
      <c r="C29" s="43"/>
      <c r="D29" s="43"/>
      <c r="E29" s="43"/>
      <c r="F29" s="43"/>
      <c r="G29" s="43"/>
      <c r="H29" s="43"/>
      <c r="I29" s="43"/>
      <c r="J29" s="43"/>
    </row>
    <row r="30" spans="1:10" ht="18.75" x14ac:dyDescent="0.3">
      <c r="A30" s="2">
        <v>11</v>
      </c>
      <c r="B30" s="43"/>
      <c r="C30" s="43"/>
      <c r="D30" s="43"/>
      <c r="E30" s="43"/>
      <c r="F30" s="43"/>
      <c r="G30" s="43"/>
      <c r="H30" s="43"/>
      <c r="I30" s="43"/>
      <c r="J30" s="43"/>
    </row>
    <row r="32" spans="1:10" x14ac:dyDescent="0.25">
      <c r="B32" t="s">
        <v>29</v>
      </c>
    </row>
    <row r="34" spans="2:10" x14ac:dyDescent="0.25">
      <c r="B34" s="3"/>
      <c r="C34" s="3"/>
      <c r="D34" s="4"/>
      <c r="E34" s="4"/>
      <c r="F34" s="3"/>
      <c r="G34" s="4"/>
      <c r="H34" s="3"/>
      <c r="I34" s="3"/>
      <c r="J34" s="3"/>
    </row>
    <row r="35" spans="2:10" x14ac:dyDescent="0.25">
      <c r="B35" s="44" t="s">
        <v>30</v>
      </c>
      <c r="C35" s="44"/>
      <c r="E35" s="44" t="s">
        <v>31</v>
      </c>
      <c r="F35" s="44"/>
      <c r="G35" s="45" t="s">
        <v>32</v>
      </c>
      <c r="H35" s="45"/>
      <c r="I35" s="25"/>
      <c r="J35" s="26" t="s">
        <v>31</v>
      </c>
    </row>
  </sheetData>
  <mergeCells count="26">
    <mergeCell ref="B27:J27"/>
    <mergeCell ref="B28:J28"/>
    <mergeCell ref="B29:J29"/>
    <mergeCell ref="B30:J30"/>
    <mergeCell ref="B35:C35"/>
    <mergeCell ref="E35:F35"/>
    <mergeCell ref="G35:H35"/>
    <mergeCell ref="B26:J26"/>
    <mergeCell ref="B18:J18"/>
    <mergeCell ref="B20:J20"/>
    <mergeCell ref="H11:I11"/>
    <mergeCell ref="H12:I12"/>
    <mergeCell ref="H13:I13"/>
    <mergeCell ref="H14:I14"/>
    <mergeCell ref="H15:I15"/>
    <mergeCell ref="B21:J21"/>
    <mergeCell ref="B22:J22"/>
    <mergeCell ref="B23:J23"/>
    <mergeCell ref="B24:J24"/>
    <mergeCell ref="B25:J25"/>
    <mergeCell ref="H10:I10"/>
    <mergeCell ref="E2:F2"/>
    <mergeCell ref="H6:I6"/>
    <mergeCell ref="H7:I7"/>
    <mergeCell ref="H8:I8"/>
    <mergeCell ref="H9:I9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7FE6-5BD5-4689-8EFB-C4E71735B40D}">
  <sheetPr>
    <pageSetUpPr fitToPage="1"/>
  </sheetPr>
  <dimension ref="A1:J40"/>
  <sheetViews>
    <sheetView topLeftCell="B1" zoomScale="80" zoomScaleNormal="80" workbookViewId="0">
      <selection activeCell="G7" sqref="G7:G16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1" customWidth="1"/>
    <col min="5" max="5" width="6.5703125" style="1" customWidth="1"/>
    <col min="6" max="6" width="21.85546875" customWidth="1"/>
    <col min="7" max="7" width="12.5703125" style="1" customWidth="1"/>
    <col min="8" max="8" width="12.5703125" customWidth="1"/>
    <col min="9" max="9" width="5" customWidth="1"/>
    <col min="10" max="10" width="23.85546875" customWidth="1"/>
  </cols>
  <sheetData>
    <row r="1" spans="1:10" ht="15.75" thickBot="1" x14ac:dyDescent="0.3"/>
    <row r="2" spans="1:10" ht="15.75" thickBot="1" x14ac:dyDescent="0.3">
      <c r="B2" s="24" t="s">
        <v>0</v>
      </c>
      <c r="C2" s="22" t="s">
        <v>19</v>
      </c>
      <c r="D2" s="23" t="s">
        <v>2</v>
      </c>
      <c r="E2" s="38"/>
      <c r="F2" s="38"/>
      <c r="G2" s="22"/>
      <c r="H2" s="21" t="s">
        <v>3</v>
      </c>
      <c r="I2" s="20">
        <v>1</v>
      </c>
      <c r="J2" s="19" t="s">
        <v>4</v>
      </c>
    </row>
    <row r="3" spans="1:10" ht="5.25" customHeight="1" x14ac:dyDescent="0.25">
      <c r="B3" s="2"/>
      <c r="D3" s="17"/>
      <c r="F3" s="1"/>
      <c r="H3" s="2"/>
      <c r="I3" s="2"/>
      <c r="J3" s="1"/>
    </row>
    <row r="4" spans="1:10" x14ac:dyDescent="0.25">
      <c r="B4" s="1" t="s">
        <v>5</v>
      </c>
      <c r="C4" s="18">
        <v>20</v>
      </c>
      <c r="D4" s="17"/>
      <c r="F4" s="1" t="s">
        <v>6</v>
      </c>
      <c r="G4" s="8">
        <v>0.3</v>
      </c>
      <c r="I4" s="2"/>
      <c r="J4" s="1"/>
    </row>
    <row r="5" spans="1:10" ht="5.25" customHeight="1" x14ac:dyDescent="0.25">
      <c r="B5" s="2"/>
      <c r="D5" s="17"/>
      <c r="F5" s="1"/>
      <c r="H5" s="2"/>
      <c r="I5" s="2"/>
      <c r="J5" s="1"/>
    </row>
    <row r="6" spans="1:10" x14ac:dyDescent="0.25">
      <c r="B6" s="16" t="s">
        <v>7</v>
      </c>
      <c r="C6" s="16" t="s">
        <v>8</v>
      </c>
      <c r="D6" s="16" t="s">
        <v>9</v>
      </c>
      <c r="E6" s="16" t="s">
        <v>10</v>
      </c>
      <c r="F6" s="16" t="s">
        <v>11</v>
      </c>
      <c r="G6" s="16" t="s">
        <v>12</v>
      </c>
      <c r="H6" s="39" t="s">
        <v>13</v>
      </c>
      <c r="I6" s="40"/>
      <c r="J6" s="16" t="s">
        <v>14</v>
      </c>
    </row>
    <row r="7" spans="1:10" x14ac:dyDescent="0.25">
      <c r="A7" s="2">
        <v>1</v>
      </c>
      <c r="B7" s="5" t="s">
        <v>48</v>
      </c>
      <c r="C7" s="5" t="s">
        <v>49</v>
      </c>
      <c r="D7" s="31">
        <v>4.6875E-2</v>
      </c>
      <c r="E7" s="15" t="s">
        <v>16</v>
      </c>
      <c r="F7" s="14">
        <f t="shared" ref="F7:F20" si="0">D7/D$21</f>
        <v>5.9866082504480875E-2</v>
      </c>
      <c r="G7" s="35">
        <f>C4*F7</f>
        <v>1.1973216500896176</v>
      </c>
      <c r="H7" s="36"/>
      <c r="I7" s="37"/>
      <c r="J7" s="12"/>
    </row>
    <row r="8" spans="1:10" x14ac:dyDescent="0.25">
      <c r="A8" s="2">
        <v>2</v>
      </c>
      <c r="B8" s="5" t="s">
        <v>50</v>
      </c>
      <c r="C8" s="5" t="s">
        <v>51</v>
      </c>
      <c r="D8" s="31">
        <v>0.22500000000000001</v>
      </c>
      <c r="E8" s="15" t="s">
        <v>16</v>
      </c>
      <c r="F8" s="14">
        <f t="shared" si="0"/>
        <v>0.28735719602150822</v>
      </c>
      <c r="G8" s="35">
        <f>C4*F8</f>
        <v>5.7471439204301644</v>
      </c>
      <c r="H8" s="36"/>
      <c r="I8" s="37"/>
      <c r="J8" s="12"/>
    </row>
    <row r="9" spans="1:10" x14ac:dyDescent="0.25">
      <c r="A9" s="2">
        <v>3</v>
      </c>
      <c r="B9" s="5" t="s">
        <v>52</v>
      </c>
      <c r="C9" s="5" t="s">
        <v>53</v>
      </c>
      <c r="D9" s="31">
        <v>0.22500000000000001</v>
      </c>
      <c r="E9" s="15" t="s">
        <v>16</v>
      </c>
      <c r="F9" s="14">
        <f t="shared" si="0"/>
        <v>0.28735719602150822</v>
      </c>
      <c r="G9" s="35">
        <f>C4*F9</f>
        <v>5.7471439204301644</v>
      </c>
      <c r="H9" s="36"/>
      <c r="I9" s="37"/>
      <c r="J9" s="12"/>
    </row>
    <row r="10" spans="1:10" x14ac:dyDescent="0.25">
      <c r="A10" s="2">
        <v>4</v>
      </c>
      <c r="B10" s="5" t="s">
        <v>54</v>
      </c>
      <c r="C10" s="5" t="s">
        <v>55</v>
      </c>
      <c r="D10" s="31">
        <v>0.22500000000000001</v>
      </c>
      <c r="E10" s="15" t="s">
        <v>16</v>
      </c>
      <c r="F10" s="14">
        <f t="shared" si="0"/>
        <v>0.28735719602150822</v>
      </c>
      <c r="G10" s="35">
        <f>C4*F10</f>
        <v>5.7471439204301644</v>
      </c>
      <c r="H10" s="36"/>
      <c r="I10" s="37"/>
      <c r="J10" s="12"/>
    </row>
    <row r="11" spans="1:10" x14ac:dyDescent="0.25">
      <c r="A11" s="2">
        <v>5</v>
      </c>
      <c r="B11" s="5" t="s">
        <v>56</v>
      </c>
      <c r="C11" s="5" t="s">
        <v>57</v>
      </c>
      <c r="D11" s="31">
        <v>3.125E-2</v>
      </c>
      <c r="E11" s="15" t="s">
        <v>16</v>
      </c>
      <c r="F11" s="14">
        <f t="shared" si="0"/>
        <v>3.9910721669653919E-2</v>
      </c>
      <c r="G11" s="35">
        <f>C4*F11</f>
        <v>0.7982144333930784</v>
      </c>
      <c r="H11" s="36"/>
      <c r="I11" s="37"/>
      <c r="J11" s="12"/>
    </row>
    <row r="12" spans="1:10" x14ac:dyDescent="0.25">
      <c r="A12" s="2">
        <v>6</v>
      </c>
      <c r="B12" s="5" t="s">
        <v>58</v>
      </c>
      <c r="C12" s="5" t="s">
        <v>59</v>
      </c>
      <c r="D12" s="31">
        <v>4.40925E-3</v>
      </c>
      <c r="E12" s="15" t="s">
        <v>16</v>
      </c>
      <c r="F12" s="14">
        <f t="shared" si="0"/>
        <v>5.6312431847014887E-3</v>
      </c>
      <c r="G12" s="35">
        <f>C4*F12</f>
        <v>0.11262486369402977</v>
      </c>
      <c r="H12" s="36"/>
      <c r="I12" s="37"/>
      <c r="J12" s="12"/>
    </row>
    <row r="13" spans="1:10" x14ac:dyDescent="0.25">
      <c r="A13" s="2">
        <v>7</v>
      </c>
      <c r="B13" s="5" t="s">
        <v>66</v>
      </c>
      <c r="C13" s="5" t="s">
        <v>67</v>
      </c>
      <c r="D13" s="31">
        <v>1.10231E-3</v>
      </c>
      <c r="E13" s="15" t="s">
        <v>16</v>
      </c>
      <c r="F13" s="14">
        <f t="shared" si="0"/>
        <v>1.4078076033176388E-3</v>
      </c>
      <c r="G13" s="35">
        <f>C4*F13</f>
        <v>2.8156152066352774E-2</v>
      </c>
      <c r="H13" s="36"/>
      <c r="I13" s="37"/>
      <c r="J13" s="12"/>
    </row>
    <row r="14" spans="1:10" x14ac:dyDescent="0.25">
      <c r="A14" s="2">
        <v>8</v>
      </c>
      <c r="B14" s="5" t="s">
        <v>60</v>
      </c>
      <c r="C14" s="5" t="s">
        <v>61</v>
      </c>
      <c r="D14" s="31">
        <v>7.7161799999999996E-4</v>
      </c>
      <c r="E14" s="15" t="s">
        <v>16</v>
      </c>
      <c r="F14" s="14">
        <f t="shared" si="0"/>
        <v>9.8546659946544056E-4</v>
      </c>
      <c r="G14" s="35">
        <f>C4*F14</f>
        <v>1.9709331989308812E-2</v>
      </c>
      <c r="H14" s="36"/>
      <c r="I14" s="37"/>
      <c r="J14" s="12"/>
    </row>
    <row r="15" spans="1:10" x14ac:dyDescent="0.25">
      <c r="A15" s="2">
        <v>9</v>
      </c>
      <c r="B15" s="5" t="s">
        <v>62</v>
      </c>
      <c r="C15" s="5" t="s">
        <v>63</v>
      </c>
      <c r="D15" s="31">
        <v>1.54324E-3</v>
      </c>
      <c r="E15" s="15" t="s">
        <v>16</v>
      </c>
      <c r="F15" s="14">
        <f t="shared" si="0"/>
        <v>1.9709383075032548E-3</v>
      </c>
      <c r="G15" s="35">
        <f>C4*F15</f>
        <v>3.9418766150065093E-2</v>
      </c>
      <c r="H15" s="36"/>
      <c r="I15" s="37"/>
      <c r="J15" s="12"/>
    </row>
    <row r="16" spans="1:10" x14ac:dyDescent="0.25">
      <c r="A16" s="2">
        <v>10</v>
      </c>
      <c r="B16" s="5" t="s">
        <v>64</v>
      </c>
      <c r="C16" s="30" t="s">
        <v>65</v>
      </c>
      <c r="D16" s="31">
        <v>2.2046199999999998E-2</v>
      </c>
      <c r="E16" s="15" t="s">
        <v>16</v>
      </c>
      <c r="F16" s="14">
        <f t="shared" si="0"/>
        <v>2.8156152066352771E-2</v>
      </c>
      <c r="G16" s="35">
        <f>C4*F16</f>
        <v>0.56312304132705537</v>
      </c>
      <c r="H16" s="36"/>
      <c r="I16" s="37"/>
      <c r="J16" s="12"/>
    </row>
    <row r="17" spans="1:10" x14ac:dyDescent="0.25">
      <c r="A17" s="2">
        <v>11</v>
      </c>
      <c r="B17" s="5"/>
      <c r="C17" s="5"/>
      <c r="D17" s="31"/>
      <c r="E17" s="15" t="s">
        <v>16</v>
      </c>
      <c r="F17" s="14">
        <f t="shared" si="0"/>
        <v>0</v>
      </c>
      <c r="G17" s="13">
        <f>C4*F17</f>
        <v>0</v>
      </c>
      <c r="H17" s="36"/>
      <c r="I17" s="37"/>
      <c r="J17" s="12"/>
    </row>
    <row r="18" spans="1:10" x14ac:dyDescent="0.25">
      <c r="A18" s="2">
        <v>12</v>
      </c>
      <c r="B18" s="5"/>
      <c r="C18" s="5"/>
      <c r="D18" s="31"/>
      <c r="E18" s="15" t="s">
        <v>16</v>
      </c>
      <c r="F18" s="14">
        <f t="shared" si="0"/>
        <v>0</v>
      </c>
      <c r="G18" s="13">
        <f>C4*F18</f>
        <v>0</v>
      </c>
      <c r="H18" s="36"/>
      <c r="I18" s="37"/>
      <c r="J18" s="12"/>
    </row>
    <row r="19" spans="1:10" x14ac:dyDescent="0.25">
      <c r="A19" s="2">
        <v>13</v>
      </c>
      <c r="B19" s="5"/>
      <c r="C19" s="5"/>
      <c r="D19" s="31"/>
      <c r="E19" s="15" t="s">
        <v>16</v>
      </c>
      <c r="F19" s="14">
        <f t="shared" si="0"/>
        <v>0</v>
      </c>
      <c r="G19" s="13">
        <f>C4*F19</f>
        <v>0</v>
      </c>
      <c r="H19" s="36"/>
      <c r="I19" s="37"/>
      <c r="J19" s="12"/>
    </row>
    <row r="20" spans="1:10" x14ac:dyDescent="0.25">
      <c r="A20" s="2">
        <v>14</v>
      </c>
      <c r="B20" s="5"/>
      <c r="C20" s="5"/>
      <c r="D20" s="31"/>
      <c r="E20" s="15" t="s">
        <v>16</v>
      </c>
      <c r="F20" s="14">
        <f t="shared" si="0"/>
        <v>0</v>
      </c>
      <c r="G20" s="13">
        <f>C4*F20</f>
        <v>0</v>
      </c>
      <c r="H20" s="36"/>
      <c r="I20" s="37"/>
      <c r="J20" s="12"/>
    </row>
    <row r="21" spans="1:10" x14ac:dyDescent="0.25">
      <c r="C21" s="11" t="s">
        <v>20</v>
      </c>
      <c r="D21" s="32">
        <f>SUM(D7:D20)</f>
        <v>0.78299761800000001</v>
      </c>
      <c r="E21" s="2" t="s">
        <v>16</v>
      </c>
      <c r="F21" s="10">
        <f>SUM(F7:F20)</f>
        <v>1</v>
      </c>
      <c r="G21" s="28">
        <f>SUM(G7:G20)</f>
        <v>20</v>
      </c>
      <c r="H21" s="29" t="s">
        <v>21</v>
      </c>
    </row>
    <row r="22" spans="1:10" x14ac:dyDescent="0.25">
      <c r="F22" s="27" t="s">
        <v>22</v>
      </c>
      <c r="G22" s="9">
        <f>-G21*G4+C4</f>
        <v>14</v>
      </c>
    </row>
    <row r="23" spans="1:10" ht="15.75" x14ac:dyDescent="0.25">
      <c r="B23" s="42" t="s">
        <v>23</v>
      </c>
      <c r="C23" s="42"/>
      <c r="D23" s="42"/>
      <c r="E23" s="42"/>
      <c r="F23" s="42"/>
      <c r="G23" s="42"/>
      <c r="H23" s="42"/>
      <c r="I23" s="42"/>
      <c r="J23" s="42"/>
    </row>
    <row r="24" spans="1:10" ht="15.75" x14ac:dyDescent="0.25">
      <c r="B24" s="7" t="s">
        <v>24</v>
      </c>
      <c r="C24" s="6"/>
      <c r="D24" s="6"/>
      <c r="E24" s="6"/>
      <c r="F24" s="6"/>
      <c r="G24" s="6"/>
      <c r="H24" s="6"/>
      <c r="I24" s="6"/>
      <c r="J24" s="6"/>
    </row>
    <row r="25" spans="1:10" ht="18.75" x14ac:dyDescent="0.3">
      <c r="A25" s="2">
        <v>1</v>
      </c>
      <c r="B25" s="43" t="s">
        <v>25</v>
      </c>
      <c r="C25" s="43"/>
      <c r="D25" s="43"/>
      <c r="E25" s="43"/>
      <c r="F25" s="43"/>
      <c r="G25" s="43"/>
      <c r="H25" s="43"/>
      <c r="I25" s="43"/>
      <c r="J25" s="43"/>
    </row>
    <row r="26" spans="1:10" ht="18.75" x14ac:dyDescent="0.3">
      <c r="A26" s="2">
        <v>2</v>
      </c>
      <c r="B26" s="43" t="s">
        <v>33</v>
      </c>
      <c r="C26" s="43"/>
      <c r="D26" s="43"/>
      <c r="E26" s="43"/>
      <c r="F26" s="43"/>
      <c r="G26" s="43"/>
      <c r="H26" s="43"/>
      <c r="I26" s="43"/>
      <c r="J26" s="43"/>
    </row>
    <row r="27" spans="1:10" ht="18.75" x14ac:dyDescent="0.3">
      <c r="A27" s="2">
        <v>3</v>
      </c>
      <c r="B27" s="43" t="s">
        <v>34</v>
      </c>
      <c r="C27" s="43"/>
      <c r="D27" s="43"/>
      <c r="E27" s="43"/>
      <c r="F27" s="43"/>
      <c r="G27" s="43"/>
      <c r="H27" s="43"/>
      <c r="I27" s="43"/>
      <c r="J27" s="43"/>
    </row>
    <row r="28" spans="1:10" ht="18.75" x14ac:dyDescent="0.3">
      <c r="A28" s="2">
        <v>4</v>
      </c>
      <c r="B28" s="43" t="s">
        <v>35</v>
      </c>
      <c r="C28" s="43"/>
      <c r="D28" s="43"/>
      <c r="E28" s="43"/>
      <c r="F28" s="43"/>
      <c r="G28" s="43"/>
      <c r="H28" s="43"/>
      <c r="I28" s="43"/>
      <c r="J28" s="43"/>
    </row>
    <row r="29" spans="1:10" ht="18.75" x14ac:dyDescent="0.3">
      <c r="A29" s="2">
        <v>5</v>
      </c>
      <c r="B29" s="43" t="s">
        <v>36</v>
      </c>
      <c r="C29" s="43"/>
      <c r="D29" s="43"/>
      <c r="E29" s="43"/>
      <c r="F29" s="43"/>
      <c r="G29" s="43"/>
      <c r="H29" s="43"/>
      <c r="I29" s="43"/>
      <c r="J29" s="43"/>
    </row>
    <row r="30" spans="1:10" ht="18.75" x14ac:dyDescent="0.3">
      <c r="A30" s="2">
        <v>6</v>
      </c>
      <c r="B30" s="43"/>
      <c r="C30" s="43"/>
      <c r="D30" s="43"/>
      <c r="E30" s="43"/>
      <c r="F30" s="43"/>
      <c r="G30" s="43"/>
      <c r="H30" s="43"/>
      <c r="I30" s="43"/>
      <c r="J30" s="43"/>
    </row>
    <row r="31" spans="1:10" x14ac:dyDescent="0.25">
      <c r="A31" s="2">
        <v>7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2">
        <v>8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2">
        <v>9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ht="18.75" x14ac:dyDescent="0.3">
      <c r="A34" s="2">
        <v>10</v>
      </c>
      <c r="B34" s="43"/>
      <c r="C34" s="43"/>
      <c r="D34" s="43"/>
      <c r="E34" s="43"/>
      <c r="F34" s="43"/>
      <c r="G34" s="43"/>
      <c r="H34" s="43"/>
      <c r="I34" s="43"/>
      <c r="J34" s="43"/>
    </row>
    <row r="35" spans="1:10" ht="18.75" x14ac:dyDescent="0.3">
      <c r="A35" s="2">
        <v>11</v>
      </c>
      <c r="B35" s="43"/>
      <c r="C35" s="43"/>
      <c r="D35" s="43"/>
      <c r="E35" s="43"/>
      <c r="F35" s="43"/>
      <c r="G35" s="43"/>
      <c r="H35" s="43"/>
      <c r="I35" s="43"/>
      <c r="J35" s="43"/>
    </row>
    <row r="37" spans="1:10" x14ac:dyDescent="0.25">
      <c r="B37" t="s">
        <v>29</v>
      </c>
    </row>
    <row r="39" spans="1:10" x14ac:dyDescent="0.25">
      <c r="B39" s="3"/>
      <c r="C39" s="3"/>
      <c r="D39" s="4"/>
      <c r="E39" s="4"/>
      <c r="F39" s="3"/>
      <c r="G39" s="4"/>
      <c r="H39" s="3"/>
      <c r="I39" s="3"/>
      <c r="J39" s="3"/>
    </row>
    <row r="40" spans="1:10" x14ac:dyDescent="0.25">
      <c r="B40" s="44" t="s">
        <v>30</v>
      </c>
      <c r="C40" s="44"/>
      <c r="E40" s="44" t="s">
        <v>31</v>
      </c>
      <c r="F40" s="44"/>
      <c r="G40" s="45" t="s">
        <v>32</v>
      </c>
      <c r="H40" s="45"/>
      <c r="I40" s="25"/>
      <c r="J40" s="26" t="s">
        <v>31</v>
      </c>
    </row>
  </sheetData>
  <mergeCells count="31">
    <mergeCell ref="B32:J32"/>
    <mergeCell ref="B33:J33"/>
    <mergeCell ref="B34:J34"/>
    <mergeCell ref="B35:J35"/>
    <mergeCell ref="B40:C40"/>
    <mergeCell ref="E40:F40"/>
    <mergeCell ref="G40:H40"/>
    <mergeCell ref="B31:J31"/>
    <mergeCell ref="H17:I17"/>
    <mergeCell ref="H18:I18"/>
    <mergeCell ref="H19:I19"/>
    <mergeCell ref="H20:I20"/>
    <mergeCell ref="B23:J23"/>
    <mergeCell ref="B25:J25"/>
    <mergeCell ref="B26:J26"/>
    <mergeCell ref="B27:J27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047A-0653-44B9-A7FC-08C2070C7410}">
  <sheetPr>
    <pageSetUpPr fitToPage="1"/>
  </sheetPr>
  <dimension ref="A1:J38"/>
  <sheetViews>
    <sheetView zoomScale="70" zoomScaleNormal="70" workbookViewId="0">
      <selection activeCell="B8" sqref="B8:C10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1" customWidth="1"/>
    <col min="5" max="5" width="6.5703125" style="1" customWidth="1"/>
    <col min="6" max="6" width="21.85546875" customWidth="1"/>
    <col min="7" max="7" width="12.5703125" style="1" customWidth="1"/>
    <col min="8" max="8" width="12.5703125" customWidth="1"/>
    <col min="9" max="9" width="5" customWidth="1"/>
    <col min="10" max="10" width="23.85546875" customWidth="1"/>
  </cols>
  <sheetData>
    <row r="1" spans="1:10" ht="15.75" thickBot="1" x14ac:dyDescent="0.3"/>
    <row r="2" spans="1:10" ht="15.75" thickBot="1" x14ac:dyDescent="0.3">
      <c r="B2" s="24" t="s">
        <v>0</v>
      </c>
      <c r="C2" s="22" t="s">
        <v>15</v>
      </c>
      <c r="D2" s="23" t="s">
        <v>2</v>
      </c>
      <c r="E2" s="38"/>
      <c r="F2" s="38"/>
      <c r="G2" s="22"/>
      <c r="H2" s="21" t="s">
        <v>3</v>
      </c>
      <c r="I2" s="20">
        <v>1</v>
      </c>
      <c r="J2" s="19" t="s">
        <v>4</v>
      </c>
    </row>
    <row r="3" spans="1:10" ht="5.25" customHeight="1" x14ac:dyDescent="0.25">
      <c r="B3" s="2"/>
      <c r="D3" s="17"/>
      <c r="F3" s="1"/>
      <c r="H3" s="2"/>
      <c r="I3" s="2"/>
      <c r="J3" s="1"/>
    </row>
    <row r="4" spans="1:10" x14ac:dyDescent="0.25">
      <c r="B4" s="1" t="s">
        <v>5</v>
      </c>
      <c r="C4" s="18">
        <v>100</v>
      </c>
      <c r="D4" s="17"/>
      <c r="F4" s="1" t="s">
        <v>6</v>
      </c>
      <c r="G4" s="8">
        <v>0.8</v>
      </c>
      <c r="I4" s="2"/>
      <c r="J4" s="1"/>
    </row>
    <row r="5" spans="1:10" ht="5.25" customHeight="1" x14ac:dyDescent="0.25">
      <c r="B5" s="2"/>
      <c r="D5" s="17"/>
      <c r="F5" s="1"/>
      <c r="H5" s="2"/>
      <c r="I5" s="2"/>
      <c r="J5" s="1"/>
    </row>
    <row r="6" spans="1:10" x14ac:dyDescent="0.25">
      <c r="B6" s="16" t="s">
        <v>7</v>
      </c>
      <c r="C6" s="16" t="s">
        <v>8</v>
      </c>
      <c r="D6" s="16" t="s">
        <v>9</v>
      </c>
      <c r="E6" s="16" t="s">
        <v>10</v>
      </c>
      <c r="F6" s="16" t="s">
        <v>11</v>
      </c>
      <c r="G6" s="16" t="s">
        <v>12</v>
      </c>
      <c r="H6" s="39" t="s">
        <v>13</v>
      </c>
      <c r="I6" s="40"/>
      <c r="J6" s="16" t="s">
        <v>14</v>
      </c>
    </row>
    <row r="7" spans="1:10" x14ac:dyDescent="0.25">
      <c r="A7" s="2">
        <v>1</v>
      </c>
      <c r="B7" s="5"/>
      <c r="C7" s="5" t="s">
        <v>37</v>
      </c>
      <c r="D7" s="15">
        <v>16</v>
      </c>
      <c r="E7" s="15" t="s">
        <v>16</v>
      </c>
      <c r="F7" s="14">
        <f t="shared" ref="F7:F20" si="0">D7/D$21</f>
        <v>0.79129574678536108</v>
      </c>
      <c r="G7" s="34">
        <f>C4*F7</f>
        <v>79.129574678536102</v>
      </c>
      <c r="H7" s="36"/>
      <c r="I7" s="37"/>
      <c r="J7" s="12"/>
    </row>
    <row r="8" spans="1:10" x14ac:dyDescent="0.25">
      <c r="A8" s="2">
        <v>2</v>
      </c>
      <c r="B8" s="5"/>
      <c r="C8" s="5" t="s">
        <v>38</v>
      </c>
      <c r="D8" s="15">
        <v>0.22</v>
      </c>
      <c r="E8" s="15" t="s">
        <v>16</v>
      </c>
      <c r="F8" s="14">
        <f t="shared" si="0"/>
        <v>1.0880316518298714E-2</v>
      </c>
      <c r="G8" s="34">
        <f>C4*F8</f>
        <v>1.0880316518298714</v>
      </c>
      <c r="H8" s="36"/>
      <c r="I8" s="37"/>
      <c r="J8" s="12"/>
    </row>
    <row r="9" spans="1:10" x14ac:dyDescent="0.25">
      <c r="A9" s="2">
        <v>3</v>
      </c>
      <c r="B9" s="5"/>
      <c r="C9" s="5" t="s">
        <v>39</v>
      </c>
      <c r="D9" s="15">
        <v>2</v>
      </c>
      <c r="E9" s="15" t="s">
        <v>16</v>
      </c>
      <c r="F9" s="14">
        <f t="shared" si="0"/>
        <v>9.8911968348170135E-2</v>
      </c>
      <c r="G9" s="34">
        <f>C4*F9</f>
        <v>9.8911968348170127</v>
      </c>
      <c r="H9" s="36"/>
      <c r="I9" s="37"/>
      <c r="J9" s="12" t="s">
        <v>40</v>
      </c>
    </row>
    <row r="10" spans="1:10" x14ac:dyDescent="0.25">
      <c r="A10" s="2">
        <v>4</v>
      </c>
      <c r="B10" s="5" t="s">
        <v>46</v>
      </c>
      <c r="C10" s="5" t="s">
        <v>47</v>
      </c>
      <c r="D10" s="15">
        <v>2</v>
      </c>
      <c r="E10" s="15" t="s">
        <v>16</v>
      </c>
      <c r="F10" s="14">
        <f t="shared" si="0"/>
        <v>9.8911968348170135E-2</v>
      </c>
      <c r="G10" s="34">
        <f>C4*F10</f>
        <v>9.8911968348170127</v>
      </c>
      <c r="H10" s="36"/>
      <c r="I10" s="37"/>
      <c r="J10" s="12" t="s">
        <v>41</v>
      </c>
    </row>
    <row r="11" spans="1:10" x14ac:dyDescent="0.25">
      <c r="A11" s="2">
        <v>5</v>
      </c>
      <c r="B11" s="5"/>
      <c r="C11" s="5"/>
      <c r="D11" s="15"/>
      <c r="E11" s="15" t="s">
        <v>16</v>
      </c>
      <c r="F11" s="14">
        <f t="shared" si="0"/>
        <v>0</v>
      </c>
      <c r="G11" s="13">
        <f>C4*F11</f>
        <v>0</v>
      </c>
      <c r="H11" s="36"/>
      <c r="I11" s="37"/>
      <c r="J11" s="12"/>
    </row>
    <row r="12" spans="1:10" x14ac:dyDescent="0.25">
      <c r="A12" s="2">
        <v>6</v>
      </c>
      <c r="B12" s="5"/>
      <c r="C12" s="5"/>
      <c r="D12" s="15"/>
      <c r="E12" s="15" t="s">
        <v>16</v>
      </c>
      <c r="F12" s="14">
        <f t="shared" si="0"/>
        <v>0</v>
      </c>
      <c r="G12" s="13">
        <f>C4*F12</f>
        <v>0</v>
      </c>
      <c r="H12" s="36"/>
      <c r="I12" s="37"/>
      <c r="J12" s="12"/>
    </row>
    <row r="13" spans="1:10" x14ac:dyDescent="0.25">
      <c r="A13" s="2">
        <v>7</v>
      </c>
      <c r="B13" s="5"/>
      <c r="C13" s="5"/>
      <c r="D13" s="15"/>
      <c r="E13" s="15" t="s">
        <v>16</v>
      </c>
      <c r="F13" s="14">
        <f t="shared" si="0"/>
        <v>0</v>
      </c>
      <c r="G13" s="13">
        <f>C4*F13</f>
        <v>0</v>
      </c>
      <c r="H13" s="36"/>
      <c r="I13" s="37"/>
      <c r="J13" s="12"/>
    </row>
    <row r="14" spans="1:10" x14ac:dyDescent="0.25">
      <c r="A14" s="2">
        <v>8</v>
      </c>
      <c r="B14" s="5"/>
      <c r="C14" s="5"/>
      <c r="D14" s="15"/>
      <c r="E14" s="15" t="s">
        <v>16</v>
      </c>
      <c r="F14" s="14">
        <f t="shared" si="0"/>
        <v>0</v>
      </c>
      <c r="G14" s="13">
        <f>C4*F14</f>
        <v>0</v>
      </c>
      <c r="H14" s="36"/>
      <c r="I14" s="37"/>
      <c r="J14" s="12"/>
    </row>
    <row r="15" spans="1:10" x14ac:dyDescent="0.25">
      <c r="A15" s="2">
        <v>9</v>
      </c>
      <c r="B15" s="5"/>
      <c r="C15" s="5"/>
      <c r="D15" s="15"/>
      <c r="E15" s="15" t="s">
        <v>16</v>
      </c>
      <c r="F15" s="14">
        <f t="shared" si="0"/>
        <v>0</v>
      </c>
      <c r="G15" s="13">
        <f>C4*F15</f>
        <v>0</v>
      </c>
      <c r="H15" s="36"/>
      <c r="I15" s="37"/>
      <c r="J15" s="12"/>
    </row>
    <row r="16" spans="1:10" x14ac:dyDescent="0.25">
      <c r="A16" s="2">
        <v>10</v>
      </c>
      <c r="B16" s="5"/>
      <c r="C16" s="5"/>
      <c r="D16" s="15"/>
      <c r="E16" s="15" t="s">
        <v>16</v>
      </c>
      <c r="F16" s="14">
        <f t="shared" si="0"/>
        <v>0</v>
      </c>
      <c r="G16" s="13">
        <f>C4*F16</f>
        <v>0</v>
      </c>
      <c r="H16" s="36"/>
      <c r="I16" s="37"/>
      <c r="J16" s="12"/>
    </row>
    <row r="17" spans="1:10" x14ac:dyDescent="0.25">
      <c r="A17" s="2">
        <v>11</v>
      </c>
      <c r="B17" s="5"/>
      <c r="C17" s="5"/>
      <c r="D17" s="15"/>
      <c r="E17" s="15" t="s">
        <v>16</v>
      </c>
      <c r="F17" s="14">
        <f t="shared" si="0"/>
        <v>0</v>
      </c>
      <c r="G17" s="13">
        <f>C4*F17</f>
        <v>0</v>
      </c>
      <c r="H17" s="36"/>
      <c r="I17" s="37"/>
      <c r="J17" s="12"/>
    </row>
    <row r="18" spans="1:10" x14ac:dyDescent="0.25">
      <c r="A18" s="2">
        <v>12</v>
      </c>
      <c r="B18" s="5"/>
      <c r="C18" s="5"/>
      <c r="D18" s="15"/>
      <c r="E18" s="15" t="s">
        <v>16</v>
      </c>
      <c r="F18" s="14">
        <f t="shared" si="0"/>
        <v>0</v>
      </c>
      <c r="G18" s="13">
        <f>C4*F18</f>
        <v>0</v>
      </c>
      <c r="H18" s="36"/>
      <c r="I18" s="37"/>
      <c r="J18" s="12"/>
    </row>
    <row r="19" spans="1:10" x14ac:dyDescent="0.25">
      <c r="A19" s="2">
        <v>13</v>
      </c>
      <c r="B19" s="5"/>
      <c r="C19" s="5"/>
      <c r="D19" s="15"/>
      <c r="E19" s="15" t="s">
        <v>16</v>
      </c>
      <c r="F19" s="14">
        <f t="shared" si="0"/>
        <v>0</v>
      </c>
      <c r="G19" s="13">
        <f>C4*F19</f>
        <v>0</v>
      </c>
      <c r="H19" s="36"/>
      <c r="I19" s="37"/>
      <c r="J19" s="12"/>
    </row>
    <row r="20" spans="1:10" x14ac:dyDescent="0.25">
      <c r="A20" s="2">
        <v>14</v>
      </c>
      <c r="B20" s="5"/>
      <c r="C20" s="5"/>
      <c r="D20" s="15"/>
      <c r="E20" s="15" t="s">
        <v>16</v>
      </c>
      <c r="F20" s="14">
        <f t="shared" si="0"/>
        <v>0</v>
      </c>
      <c r="G20" s="13">
        <f>C4*F20</f>
        <v>0</v>
      </c>
      <c r="H20" s="36"/>
      <c r="I20" s="37"/>
      <c r="J20" s="12"/>
    </row>
    <row r="21" spans="1:10" x14ac:dyDescent="0.25">
      <c r="C21" s="11" t="s">
        <v>20</v>
      </c>
      <c r="D21" s="2">
        <f>SUM(D7:D20)</f>
        <v>20.22</v>
      </c>
      <c r="E21" s="2" t="s">
        <v>16</v>
      </c>
      <c r="F21" s="10">
        <f>SUM(F7:F20)</f>
        <v>1</v>
      </c>
      <c r="G21" s="28">
        <f>SUM(G7:G20)</f>
        <v>99.999999999999986</v>
      </c>
      <c r="H21" s="29" t="s">
        <v>21</v>
      </c>
    </row>
    <row r="22" spans="1:10" x14ac:dyDescent="0.25">
      <c r="F22" s="27" t="s">
        <v>22</v>
      </c>
      <c r="G22" s="9">
        <f>-G21*G4+C4</f>
        <v>20</v>
      </c>
    </row>
    <row r="23" spans="1:10" ht="15.75" x14ac:dyDescent="0.25">
      <c r="B23" s="42" t="s">
        <v>23</v>
      </c>
      <c r="C23" s="42"/>
      <c r="D23" s="42"/>
      <c r="E23" s="42"/>
      <c r="F23" s="42"/>
      <c r="G23" s="42"/>
      <c r="H23" s="42"/>
      <c r="I23" s="42"/>
      <c r="J23" s="42"/>
    </row>
    <row r="24" spans="1:10" ht="15.75" x14ac:dyDescent="0.25">
      <c r="B24" s="7" t="s">
        <v>24</v>
      </c>
      <c r="C24" s="6"/>
      <c r="D24" s="6"/>
      <c r="E24" s="6"/>
      <c r="F24" s="6"/>
      <c r="G24" s="6"/>
      <c r="H24" s="6"/>
      <c r="I24" s="6"/>
      <c r="J24" s="6"/>
    </row>
    <row r="25" spans="1:10" ht="18.75" x14ac:dyDescent="0.3">
      <c r="A25" s="2">
        <v>1</v>
      </c>
      <c r="B25" s="43" t="s">
        <v>25</v>
      </c>
      <c r="C25" s="43"/>
      <c r="D25" s="43"/>
      <c r="E25" s="43"/>
      <c r="F25" s="43"/>
      <c r="G25" s="43"/>
      <c r="H25" s="43"/>
      <c r="I25" s="43"/>
      <c r="J25" s="43"/>
    </row>
    <row r="26" spans="1:10" ht="18.75" x14ac:dyDescent="0.3">
      <c r="A26" s="2">
        <v>2</v>
      </c>
      <c r="B26" s="43" t="s">
        <v>42</v>
      </c>
      <c r="C26" s="43"/>
      <c r="D26" s="43"/>
      <c r="E26" s="43"/>
      <c r="F26" s="43"/>
      <c r="G26" s="43"/>
      <c r="H26" s="43"/>
      <c r="I26" s="43"/>
      <c r="J26" s="43"/>
    </row>
    <row r="27" spans="1:10" ht="18.75" x14ac:dyDescent="0.3">
      <c r="A27" s="2">
        <v>3</v>
      </c>
      <c r="B27" s="43" t="s">
        <v>43</v>
      </c>
      <c r="C27" s="43"/>
      <c r="D27" s="43"/>
      <c r="E27" s="43"/>
      <c r="F27" s="43"/>
      <c r="G27" s="43"/>
      <c r="H27" s="43"/>
      <c r="I27" s="43"/>
      <c r="J27" s="43"/>
    </row>
    <row r="28" spans="1:10" ht="18.75" x14ac:dyDescent="0.3">
      <c r="A28" s="2">
        <v>4</v>
      </c>
      <c r="B28" s="43" t="s">
        <v>44</v>
      </c>
      <c r="C28" s="43"/>
      <c r="D28" s="43"/>
      <c r="E28" s="43"/>
      <c r="F28" s="43"/>
      <c r="G28" s="43"/>
      <c r="H28" s="43"/>
      <c r="I28" s="43"/>
      <c r="J28" s="43"/>
    </row>
    <row r="29" spans="1:10" ht="18.75" x14ac:dyDescent="0.3">
      <c r="A29" s="2">
        <v>5</v>
      </c>
      <c r="B29" s="43" t="s">
        <v>27</v>
      </c>
      <c r="C29" s="43"/>
      <c r="D29" s="43"/>
      <c r="E29" s="43"/>
      <c r="F29" s="43"/>
      <c r="G29" s="43"/>
      <c r="H29" s="43"/>
      <c r="I29" s="43"/>
      <c r="J29" s="43"/>
    </row>
    <row r="30" spans="1:10" ht="18.75" x14ac:dyDescent="0.3">
      <c r="A30" s="2">
        <v>6</v>
      </c>
      <c r="B30" s="43" t="s">
        <v>45</v>
      </c>
      <c r="C30" s="43"/>
      <c r="D30" s="43"/>
      <c r="E30" s="43"/>
      <c r="F30" s="43"/>
      <c r="G30" s="43"/>
      <c r="H30" s="43"/>
      <c r="I30" s="43"/>
      <c r="J30" s="43"/>
    </row>
    <row r="31" spans="1:10" x14ac:dyDescent="0.25">
      <c r="A31" s="2">
        <v>7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2">
        <v>8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2">
        <v>9</v>
      </c>
      <c r="B33" s="41"/>
      <c r="C33" s="41"/>
      <c r="D33" s="41"/>
      <c r="E33" s="41"/>
      <c r="F33" s="41"/>
      <c r="G33" s="41"/>
      <c r="H33" s="41"/>
      <c r="I33" s="41"/>
      <c r="J33" s="41"/>
    </row>
    <row r="35" spans="1:10" x14ac:dyDescent="0.25">
      <c r="B35" t="s">
        <v>29</v>
      </c>
    </row>
    <row r="37" spans="1:10" x14ac:dyDescent="0.25">
      <c r="B37" s="3"/>
      <c r="C37" s="3"/>
      <c r="D37" s="4"/>
      <c r="E37" s="4"/>
      <c r="F37" s="3"/>
      <c r="G37" s="4"/>
      <c r="H37" s="3"/>
      <c r="I37" s="3"/>
      <c r="J37" s="3"/>
    </row>
    <row r="38" spans="1:10" x14ac:dyDescent="0.25">
      <c r="B38" s="44" t="s">
        <v>30</v>
      </c>
      <c r="C38" s="44"/>
      <c r="E38" s="44" t="s">
        <v>31</v>
      </c>
      <c r="F38" s="44"/>
      <c r="G38" s="45" t="s">
        <v>32</v>
      </c>
      <c r="H38" s="45"/>
      <c r="I38" s="25"/>
      <c r="J38" s="26" t="s">
        <v>31</v>
      </c>
    </row>
  </sheetData>
  <mergeCells count="29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28:J28"/>
    <mergeCell ref="H17:I17"/>
    <mergeCell ref="H18:I18"/>
    <mergeCell ref="H19:I19"/>
    <mergeCell ref="H20:I20"/>
    <mergeCell ref="B23:J23"/>
    <mergeCell ref="B25:J25"/>
    <mergeCell ref="B26:J26"/>
    <mergeCell ref="B27:J27"/>
    <mergeCell ref="B38:C38"/>
    <mergeCell ref="E38:F38"/>
    <mergeCell ref="B29:J29"/>
    <mergeCell ref="B30:J30"/>
    <mergeCell ref="B31:J31"/>
    <mergeCell ref="B32:J32"/>
    <mergeCell ref="B33:J33"/>
    <mergeCell ref="G38:H38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196115DB-2C17-4B99-98F5-5E09C6C99D58}"/>
</file>

<file path=customXml/itemProps2.xml><?xml version="1.0" encoding="utf-8"?>
<ds:datastoreItem xmlns:ds="http://schemas.openxmlformats.org/officeDocument/2006/customXml" ds:itemID="{CDA4A178-F18B-408A-B184-E4171DBB7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7D942F-1B62-4D44-88DA-2E4B85365B66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Lady Pea Succotash </vt:lpstr>
      <vt:lpstr>Roasted Veg for Succotash</vt:lpstr>
      <vt:lpstr>Blanched Corn and Lady Peas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2024-10-10T16:50:16Z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