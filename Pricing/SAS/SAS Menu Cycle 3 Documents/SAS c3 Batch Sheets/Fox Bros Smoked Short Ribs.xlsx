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https://goldberggroup-my.sharepoint.com/personal/chuynh_goldbergsgroup_com/Documents/Documents/Sulivan rd/Batch Formulas Sulivan Rd/Sulivan Batch Sheets Nov 1 - December 1/"/>
    </mc:Choice>
  </mc:AlternateContent>
  <xr:revisionPtr revIDLastSave="54" documentId="8_{29DD17CC-F1EE-4CC9-827A-E4C61F12D4D6}" xr6:coauthVersionLast="47" xr6:coauthVersionMax="47" xr10:uidLastSave="{A75C526E-4D59-4542-87E5-4C0B09D322CA}"/>
  <bookViews>
    <workbookView xWindow="-105" yWindow="0" windowWidth="10455" windowHeight="10905" firstSheet="1" activeTab="1" xr2:uid="{4F97E6FF-AE63-45FF-871F-5DA637F020D9}"/>
  </bookViews>
  <sheets>
    <sheet name="Smoked Short Rib" sheetId="2" r:id="rId1"/>
    <sheet name="BBQ Short Rib"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2" l="1"/>
  <c r="O12" i="2"/>
  <c r="D12" i="3"/>
  <c r="F11" i="3" s="1"/>
  <c r="G11" i="3" s="1"/>
  <c r="D12" i="2"/>
  <c r="F11" i="2" s="1"/>
  <c r="G11" i="2" s="1"/>
  <c r="F8" i="3" l="1"/>
  <c r="G8" i="3" s="1"/>
  <c r="F10" i="3"/>
  <c r="G10" i="3" s="1"/>
  <c r="F7" i="3"/>
  <c r="F9" i="3"/>
  <c r="G9" i="3" s="1"/>
  <c r="F7" i="2"/>
  <c r="F8" i="2"/>
  <c r="G8" i="2" s="1"/>
  <c r="F9" i="2"/>
  <c r="G9" i="2" s="1"/>
  <c r="F10" i="2"/>
  <c r="G10" i="2" s="1"/>
  <c r="G7" i="3" l="1"/>
  <c r="G12" i="3" s="1"/>
  <c r="G13" i="3" s="1"/>
  <c r="F12" i="3"/>
  <c r="G12" i="2"/>
  <c r="G13" i="2" s="1"/>
  <c r="F12" i="2"/>
</calcChain>
</file>

<file path=xl/sharedStrings.xml><?xml version="1.0" encoding="utf-8"?>
<sst xmlns="http://schemas.openxmlformats.org/spreadsheetml/2006/main" count="81" uniqueCount="45">
  <si>
    <t>Description</t>
  </si>
  <si>
    <t>%</t>
  </si>
  <si>
    <t>Beef, Chuck Flap, Denoted, (Buckhead Beef)</t>
  </si>
  <si>
    <t>Formula Name:</t>
  </si>
  <si>
    <t>R&amp;D ID Number:</t>
  </si>
  <si>
    <t>Version #:</t>
  </si>
  <si>
    <t>Batch Number:</t>
  </si>
  <si>
    <t>Desired QTY (lb):</t>
  </si>
  <si>
    <t>Yield Loss:</t>
  </si>
  <si>
    <t>Item Number</t>
  </si>
  <si>
    <t>Original Formula</t>
  </si>
  <si>
    <t>UOM</t>
  </si>
  <si>
    <t>Desired (lb)</t>
  </si>
  <si>
    <t>Lot Code</t>
  </si>
  <si>
    <t>Notes</t>
  </si>
  <si>
    <t>lb</t>
  </si>
  <si>
    <t>Total Sample Formula Weight:</t>
  </si>
  <si>
    <t>Total Weight</t>
  </si>
  <si>
    <t>Weight After Yield Loss</t>
  </si>
  <si>
    <t>Procedure</t>
  </si>
  <si>
    <t>Batch Formula Instructions</t>
  </si>
  <si>
    <t xml:space="preserve">By signing this sheet the operator is confirming that all information recorded is accurate and that all steps and procedures have been followed as listed. </t>
  </si>
  <si>
    <t>Operator Signature</t>
  </si>
  <si>
    <t>Date</t>
  </si>
  <si>
    <t>Reviewed By</t>
  </si>
  <si>
    <t>Load Smoker with Sheet pans of Beef and smoke at 300 for 2 hours.</t>
  </si>
  <si>
    <t>Cook on 225 with 40% humidy for 6 to 8 hours or until 203 Degrees internal has been attained.</t>
  </si>
  <si>
    <t>Hold at 41F until pack out.</t>
  </si>
  <si>
    <t>Pour 4oz of Fox Bros BBQ Sauce into the bag.</t>
  </si>
  <si>
    <t>Carefully place 14 pieces of the Chuck Flap in the Bag</t>
  </si>
  <si>
    <t>Vacuum Seal the bag.</t>
  </si>
  <si>
    <t>BBQ Sauce, (Fox Bros)</t>
  </si>
  <si>
    <t>Fox Bros Smoked Short Rib with Sauce</t>
  </si>
  <si>
    <t xml:space="preserve">Smoked Short Rib </t>
  </si>
  <si>
    <t>BBQ Seasoning, (Fox Bros BBQ Seasoing: Sydney's Spices)</t>
  </si>
  <si>
    <t>Marinate the seasoned Chuck Flaps over night in Lexans overnight at 41F.</t>
  </si>
  <si>
    <t>Evenly coat each Chuck Flap with the correct amount of spice and place in designated Fox Bros Lexans.</t>
  </si>
  <si>
    <t>Remove Chuck Flaps from cooler and place on sheet pans.</t>
  </si>
  <si>
    <t>Load Smoker with 3-4 wood logs pending on size.</t>
  </si>
  <si>
    <t>Remove the Chuck Flaps from the smoker and carefully drain off excess fat/liquid from pans</t>
  </si>
  <si>
    <t>Load the Chuck Flaps in a Cvap making sure there is a "4 hundred" hotel pan located in the bottom of the oven.</t>
  </si>
  <si>
    <t>Smoked Short Ribs</t>
  </si>
  <si>
    <t>Remove the Chuck Flaps from the Cvap and cool to 80F in 1.5 hours and then 40F in five more hours.</t>
  </si>
  <si>
    <t>Remove from Cooler and slice off the ends and reserve for the Smoked Short Rib Trim.  The trimed up flaps can now be portioned.</t>
  </si>
  <si>
    <t>Take the Cleaned Flaps that has the Trim cut away and Slice into 4oz portions.  These will measure between .75 of an inch for thick flaps and 1.25 inches for smaller flaps.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</si>
</sst>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b/>
      <sz val="12"/>
      <color theme="1"/>
      <name val="Aptos Narrow"/>
      <family val="2"/>
      <scheme val="minor"/>
    </font>
    <font>
      <b/>
      <sz val="14"/>
      <color theme="1"/>
      <name val="Aptos Narrow"/>
      <family val="2"/>
      <scheme val="minor"/>
    </font>
    <font>
      <sz val="12"/>
      <color theme="1"/>
      <name val="Aptos Narrow"/>
      <family val="2"/>
      <scheme val="minor"/>
    </font>
    <font>
      <sz val="14"/>
      <color theme="1"/>
      <name val="Aptos Narrow"/>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9" tint="0.39997558519241921"/>
        <bgColor indexed="64"/>
      </patternFill>
    </fill>
  </fills>
  <borders count="10">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41">
    <xf numFmtId="0" fontId="0" fillId="0" borderId="0" xfId="0"/>
    <xf numFmtId="0" fontId="0" fillId="0" borderId="0" xfId="0" applyAlignment="1">
      <alignment horizontal="center"/>
    </xf>
    <xf numFmtId="0" fontId="0" fillId="0" borderId="2" xfId="0" applyBorder="1"/>
    <xf numFmtId="0" fontId="0" fillId="0" borderId="1" xfId="0" applyBorder="1"/>
    <xf numFmtId="0" fontId="2" fillId="0" borderId="0" xfId="0" applyFont="1" applyAlignment="1">
      <alignment horizontal="center"/>
    </xf>
    <xf numFmtId="0" fontId="2" fillId="2" borderId="3" xfId="0" applyFont="1" applyFill="1" applyBorder="1" applyAlignment="1">
      <alignment horizontal="center"/>
    </xf>
    <xf numFmtId="0" fontId="0" fillId="2" borderId="4" xfId="0" applyFill="1" applyBorder="1" applyAlignment="1">
      <alignment horizontal="center"/>
    </xf>
    <xf numFmtId="0" fontId="2" fillId="2" borderId="4" xfId="0" applyFont="1" applyFill="1" applyBorder="1"/>
    <xf numFmtId="0" fontId="2" fillId="2" borderId="4" xfId="0" applyFont="1" applyFill="1" applyBorder="1" applyAlignment="1">
      <alignment horizontal="center"/>
    </xf>
    <xf numFmtId="0" fontId="2" fillId="2" borderId="4" xfId="0" applyFont="1" applyFill="1" applyBorder="1" applyAlignment="1">
      <alignment horizontal="left"/>
    </xf>
    <xf numFmtId="0" fontId="2" fillId="2" borderId="5" xfId="0" applyFont="1" applyFill="1" applyBorder="1" applyAlignment="1" applyProtection="1">
      <alignment horizontal="left"/>
      <protection locked="0"/>
    </xf>
    <xf numFmtId="0" fontId="2" fillId="0" borderId="0" xfId="0" applyFont="1"/>
    <xf numFmtId="0" fontId="0" fillId="3" borderId="0" xfId="0" applyFill="1" applyAlignment="1" applyProtection="1">
      <alignment horizontal="center"/>
      <protection locked="0"/>
    </xf>
    <xf numFmtId="9" fontId="0" fillId="4" borderId="0" xfId="2" applyFont="1" applyFill="1" applyAlignment="1">
      <alignment horizontal="center"/>
    </xf>
    <xf numFmtId="0" fontId="2" fillId="0" borderId="2" xfId="0" applyFont="1" applyBorder="1" applyAlignment="1">
      <alignment horizontal="center"/>
    </xf>
    <xf numFmtId="0" fontId="5" fillId="0" borderId="2" xfId="0" applyFont="1" applyBorder="1"/>
    <xf numFmtId="0" fontId="5" fillId="0" borderId="2" xfId="0" applyFont="1" applyBorder="1" applyAlignment="1">
      <alignment horizontal="center"/>
    </xf>
    <xf numFmtId="10" fontId="5" fillId="0" borderId="2" xfId="2" applyNumberFormat="1" applyFont="1" applyBorder="1" applyAlignment="1">
      <alignment horizontal="center"/>
    </xf>
    <xf numFmtId="2" fontId="5" fillId="3" borderId="2" xfId="1" applyNumberFormat="1" applyFont="1" applyFill="1" applyBorder="1" applyAlignment="1">
      <alignment horizontal="center"/>
    </xf>
    <xf numFmtId="0" fontId="5" fillId="0" borderId="2" xfId="0" applyFont="1" applyBorder="1" applyProtection="1">
      <protection locked="0"/>
    </xf>
    <xf numFmtId="0" fontId="2" fillId="0" borderId="0" xfId="0" applyFont="1" applyAlignment="1">
      <alignment horizontal="right"/>
    </xf>
    <xf numFmtId="10" fontId="2" fillId="0" borderId="0" xfId="0" applyNumberFormat="1" applyFont="1" applyAlignment="1">
      <alignment horizontal="center"/>
    </xf>
    <xf numFmtId="2" fontId="0" fillId="0" borderId="0" xfId="0" applyNumberFormat="1" applyAlignment="1">
      <alignment horizontal="center"/>
    </xf>
    <xf numFmtId="9" fontId="0" fillId="5" borderId="0" xfId="2" applyFont="1" applyFill="1" applyAlignment="1">
      <alignment horizontal="center"/>
    </xf>
    <xf numFmtId="2" fontId="0" fillId="5" borderId="0" xfId="0" applyNumberFormat="1" applyFill="1" applyAlignment="1">
      <alignment horizontal="center"/>
    </xf>
    <xf numFmtId="0" fontId="3" fillId="0" borderId="0" xfId="0" applyFont="1" applyAlignment="1">
      <alignment horizontal="left"/>
    </xf>
    <xf numFmtId="0" fontId="3" fillId="0" borderId="0" xfId="0" applyFont="1" applyAlignment="1">
      <alignment horizontal="center"/>
    </xf>
    <xf numFmtId="0" fontId="4" fillId="0" borderId="0" xfId="0" applyFont="1" applyAlignment="1">
      <alignment horizontal="center"/>
    </xf>
    <xf numFmtId="0" fontId="0" fillId="0" borderId="8" xfId="0" applyBorder="1"/>
    <xf numFmtId="0" fontId="0" fillId="0" borderId="8" xfId="0" applyBorder="1" applyAlignment="1">
      <alignment horizontal="center"/>
    </xf>
    <xf numFmtId="0" fontId="0" fillId="0" borderId="2" xfId="0" applyBorder="1" applyAlignment="1">
      <alignment wrapText="1"/>
    </xf>
    <xf numFmtId="0" fontId="6" fillId="0" borderId="2" xfId="0" applyFont="1" applyBorder="1"/>
    <xf numFmtId="0" fontId="0" fillId="0" borderId="0" xfId="0" applyAlignment="1">
      <alignment horizontal="center"/>
    </xf>
    <xf numFmtId="0" fontId="0" fillId="0" borderId="9" xfId="0" applyBorder="1" applyAlignment="1">
      <alignment horizontal="center"/>
    </xf>
    <xf numFmtId="0" fontId="6" fillId="0" borderId="2" xfId="0" applyFont="1" applyBorder="1" applyAlignment="1">
      <alignment wrapText="1"/>
    </xf>
    <xf numFmtId="44" fontId="5" fillId="0" borderId="6" xfId="1" applyFont="1" applyBorder="1" applyAlignment="1" applyProtection="1">
      <alignment horizontal="center"/>
      <protection locked="0"/>
    </xf>
    <xf numFmtId="44" fontId="5" fillId="0" borderId="7" xfId="1" applyFont="1" applyBorder="1" applyAlignment="1" applyProtection="1">
      <alignment horizontal="center"/>
      <protection locked="0"/>
    </xf>
    <xf numFmtId="0" fontId="3" fillId="2" borderId="2" xfId="0" applyFont="1" applyFill="1" applyBorder="1" applyAlignment="1">
      <alignment horizontal="center"/>
    </xf>
    <xf numFmtId="0" fontId="0" fillId="2" borderId="4" xfId="0" applyFill="1" applyBorder="1" applyAlignment="1">
      <alignment horizontal="left"/>
    </xf>
    <xf numFmtId="0" fontId="2" fillId="0" borderId="6" xfId="0" applyFont="1" applyBorder="1" applyAlignment="1">
      <alignment horizontal="center"/>
    </xf>
    <xf numFmtId="0" fontId="2" fillId="0" borderId="7" xfId="0" applyFont="1" applyBorder="1" applyAlignment="1">
      <alignment horizontal="center"/>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AB143-A43B-4619-BCE6-941940AA7E35}">
  <dimension ref="A1:O32"/>
  <sheetViews>
    <sheetView topLeftCell="D1" zoomScale="80" zoomScaleNormal="80" workbookViewId="0">
      <selection activeCell="G7" sqref="G7:G8"/>
    </sheetView>
  </sheetViews>
  <sheetFormatPr defaultRowHeight="15" x14ac:dyDescent="0.25"/>
  <cols>
    <col min="1" max="1" width="3.5703125" style="4" customWidth="1"/>
    <col min="2" max="2" width="21.42578125" customWidth="1"/>
    <col min="3" max="3" width="38" customWidth="1"/>
    <col min="4" max="4" width="17.5703125" style="1" customWidth="1"/>
    <col min="5" max="5" width="6.5703125" style="1" customWidth="1"/>
    <col min="6" max="6" width="21.85546875" customWidth="1"/>
    <col min="7" max="7" width="12.5703125" style="1" customWidth="1"/>
    <col min="8" max="8" width="12.5703125" customWidth="1"/>
    <col min="9" max="9" width="5.85546875" customWidth="1"/>
    <col min="10" max="10" width="26.5703125" customWidth="1"/>
  </cols>
  <sheetData>
    <row r="1" spans="1:15" ht="15.75" thickBot="1" x14ac:dyDescent="0.3"/>
    <row r="2" spans="1:15" ht="15.75" thickBot="1" x14ac:dyDescent="0.3">
      <c r="B2" s="5" t="s">
        <v>3</v>
      </c>
      <c r="C2" s="6" t="s">
        <v>33</v>
      </c>
      <c r="D2" s="7" t="s">
        <v>4</v>
      </c>
      <c r="E2" s="38"/>
      <c r="F2" s="38"/>
      <c r="G2" s="6"/>
      <c r="H2" s="8" t="s">
        <v>5</v>
      </c>
      <c r="I2" s="9">
        <v>1</v>
      </c>
      <c r="J2" s="10" t="s">
        <v>6</v>
      </c>
    </row>
    <row r="3" spans="1:15" x14ac:dyDescent="0.25">
      <c r="B3" s="4"/>
      <c r="D3" s="11"/>
      <c r="F3" s="1"/>
      <c r="H3" s="4"/>
      <c r="I3" s="4"/>
      <c r="J3" s="1"/>
    </row>
    <row r="4" spans="1:15" x14ac:dyDescent="0.25">
      <c r="B4" s="1" t="s">
        <v>7</v>
      </c>
      <c r="C4" s="12">
        <v>18</v>
      </c>
      <c r="D4" s="11"/>
      <c r="F4" s="1" t="s">
        <v>8</v>
      </c>
      <c r="G4" s="13">
        <v>0.42499999999999999</v>
      </c>
      <c r="I4" s="4"/>
      <c r="J4" s="1"/>
    </row>
    <row r="5" spans="1:15" x14ac:dyDescent="0.25">
      <c r="B5" s="4"/>
      <c r="D5" s="11"/>
      <c r="F5" s="1"/>
      <c r="H5" s="4"/>
      <c r="I5" s="4"/>
      <c r="J5" s="1"/>
    </row>
    <row r="6" spans="1:15" x14ac:dyDescent="0.25">
      <c r="B6" s="14" t="s">
        <v>9</v>
      </c>
      <c r="C6" s="14" t="s">
        <v>0</v>
      </c>
      <c r="D6" s="14" t="s">
        <v>10</v>
      </c>
      <c r="E6" s="14" t="s">
        <v>11</v>
      </c>
      <c r="F6" s="14" t="s">
        <v>1</v>
      </c>
      <c r="G6" s="14" t="s">
        <v>12</v>
      </c>
      <c r="H6" s="39" t="s">
        <v>13</v>
      </c>
      <c r="I6" s="40"/>
      <c r="J6" s="14" t="s">
        <v>14</v>
      </c>
    </row>
    <row r="7" spans="1:15" ht="15.75" x14ac:dyDescent="0.25">
      <c r="A7" s="4">
        <v>1</v>
      </c>
      <c r="B7" s="15"/>
      <c r="C7" s="2" t="s">
        <v>2</v>
      </c>
      <c r="D7" s="16">
        <v>976</v>
      </c>
      <c r="E7" s="16" t="s">
        <v>15</v>
      </c>
      <c r="F7" s="17">
        <f>D7/D$12</f>
        <v>0.97599999999999998</v>
      </c>
      <c r="G7" s="18">
        <f>C$4*F7</f>
        <v>17.567999999999998</v>
      </c>
      <c r="H7" s="35"/>
      <c r="I7" s="36"/>
      <c r="J7" s="19"/>
    </row>
    <row r="8" spans="1:15" ht="30" x14ac:dyDescent="0.25">
      <c r="A8" s="4">
        <v>2</v>
      </c>
      <c r="B8" s="15"/>
      <c r="C8" s="30" t="s">
        <v>34</v>
      </c>
      <c r="D8" s="16">
        <v>24</v>
      </c>
      <c r="E8" s="16" t="s">
        <v>15</v>
      </c>
      <c r="F8" s="17">
        <f>D8/D$12</f>
        <v>2.4E-2</v>
      </c>
      <c r="G8" s="18">
        <f t="shared" ref="G8:G10" si="0">C$4*F8</f>
        <v>0.432</v>
      </c>
      <c r="H8" s="35"/>
      <c r="I8" s="36"/>
      <c r="J8" s="19"/>
    </row>
    <row r="9" spans="1:15" ht="15.75" x14ac:dyDescent="0.25">
      <c r="A9" s="4">
        <v>3</v>
      </c>
      <c r="B9" s="15"/>
      <c r="C9" s="2"/>
      <c r="D9" s="16"/>
      <c r="E9" s="16" t="s">
        <v>15</v>
      </c>
      <c r="F9" s="17">
        <f>D9/D$12</f>
        <v>0</v>
      </c>
      <c r="G9" s="18">
        <f t="shared" si="0"/>
        <v>0</v>
      </c>
      <c r="H9" s="35"/>
      <c r="I9" s="36"/>
      <c r="J9" s="19"/>
    </row>
    <row r="10" spans="1:15" ht="15.75" x14ac:dyDescent="0.25">
      <c r="A10" s="4">
        <v>4</v>
      </c>
      <c r="B10" s="15"/>
      <c r="C10" s="3"/>
      <c r="D10" s="16"/>
      <c r="E10" s="16" t="s">
        <v>15</v>
      </c>
      <c r="F10" s="17">
        <f>D10/D$12</f>
        <v>0</v>
      </c>
      <c r="G10" s="18">
        <f t="shared" si="0"/>
        <v>0</v>
      </c>
      <c r="H10" s="35"/>
      <c r="I10" s="36"/>
      <c r="J10" s="19"/>
      <c r="O10">
        <v>2.2799999999999998</v>
      </c>
    </row>
    <row r="11" spans="1:15" ht="15.75" x14ac:dyDescent="0.25">
      <c r="A11" s="4">
        <v>5</v>
      </c>
      <c r="B11" s="15"/>
      <c r="C11" s="15"/>
      <c r="D11" s="16"/>
      <c r="E11" s="16" t="s">
        <v>15</v>
      </c>
      <c r="F11" s="17">
        <f>D11/D$12</f>
        <v>0</v>
      </c>
      <c r="G11" s="18">
        <f>C4*F11</f>
        <v>0</v>
      </c>
      <c r="H11" s="35"/>
      <c r="I11" s="36"/>
      <c r="J11" s="19"/>
      <c r="O11">
        <v>0.06</v>
      </c>
    </row>
    <row r="12" spans="1:15" x14ac:dyDescent="0.25">
      <c r="C12" s="20" t="s">
        <v>16</v>
      </c>
      <c r="D12" s="4">
        <f>SUM(D7:D11)</f>
        <v>1000</v>
      </c>
      <c r="E12" s="4" t="s">
        <v>15</v>
      </c>
      <c r="F12" s="21">
        <f>SUM(F7:F11)</f>
        <v>1</v>
      </c>
      <c r="G12" s="22">
        <f>SUM(G7:G11)</f>
        <v>17.999999999999996</v>
      </c>
      <c r="H12" t="s">
        <v>17</v>
      </c>
      <c r="O12">
        <f>SUM(O10:O11)</f>
        <v>2.34</v>
      </c>
    </row>
    <row r="13" spans="1:15" x14ac:dyDescent="0.25">
      <c r="F13" s="23" t="s">
        <v>18</v>
      </c>
      <c r="G13" s="24">
        <f>-G12*G4+C4</f>
        <v>10.350000000000001</v>
      </c>
    </row>
    <row r="14" spans="1:15" ht="15.75" x14ac:dyDescent="0.25">
      <c r="A14"/>
      <c r="B14" s="37" t="s">
        <v>19</v>
      </c>
      <c r="C14" s="37"/>
      <c r="D14" s="37"/>
      <c r="E14" s="37"/>
      <c r="F14" s="37"/>
      <c r="G14" s="37"/>
      <c r="H14" s="37"/>
      <c r="I14" s="37"/>
      <c r="J14" s="37"/>
    </row>
    <row r="15" spans="1:15" ht="15.75" x14ac:dyDescent="0.25">
      <c r="A15"/>
      <c r="B15" s="25" t="s">
        <v>20</v>
      </c>
      <c r="C15" s="26"/>
      <c r="D15" s="26"/>
      <c r="E15" s="26"/>
      <c r="F15" s="26"/>
      <c r="G15" s="26"/>
      <c r="H15" s="26"/>
      <c r="I15" s="26"/>
      <c r="J15" s="26"/>
    </row>
    <row r="16" spans="1:15" ht="18.75" x14ac:dyDescent="0.3">
      <c r="A16" s="27">
        <v>1</v>
      </c>
      <c r="B16" s="31" t="s">
        <v>36</v>
      </c>
      <c r="C16" s="31"/>
      <c r="D16" s="31"/>
      <c r="E16" s="31"/>
      <c r="F16" s="31"/>
      <c r="G16" s="31"/>
      <c r="H16" s="31"/>
      <c r="I16" s="31"/>
      <c r="J16" s="31"/>
    </row>
    <row r="17" spans="1:10" ht="18.75" x14ac:dyDescent="0.3">
      <c r="A17" s="27">
        <v>2</v>
      </c>
      <c r="B17" s="31" t="s">
        <v>35</v>
      </c>
      <c r="C17" s="31"/>
      <c r="D17" s="31"/>
      <c r="E17" s="31"/>
      <c r="F17" s="31"/>
      <c r="G17" s="31"/>
      <c r="H17" s="31"/>
      <c r="I17" s="31"/>
      <c r="J17" s="31"/>
    </row>
    <row r="18" spans="1:10" ht="18.75" x14ac:dyDescent="0.3">
      <c r="A18" s="27">
        <v>3</v>
      </c>
      <c r="B18" s="31" t="s">
        <v>37</v>
      </c>
      <c r="C18" s="31"/>
      <c r="D18" s="31"/>
      <c r="E18" s="31"/>
      <c r="F18" s="31"/>
      <c r="G18" s="31"/>
      <c r="H18" s="31"/>
      <c r="I18" s="31"/>
      <c r="J18" s="31"/>
    </row>
    <row r="19" spans="1:10" ht="18.75" x14ac:dyDescent="0.3">
      <c r="A19" s="27">
        <v>4</v>
      </c>
      <c r="B19" s="31" t="s">
        <v>38</v>
      </c>
      <c r="C19" s="31"/>
      <c r="D19" s="31"/>
      <c r="E19" s="31"/>
      <c r="F19" s="31"/>
      <c r="G19" s="31"/>
      <c r="H19" s="31"/>
      <c r="I19" s="31"/>
      <c r="J19" s="31"/>
    </row>
    <row r="20" spans="1:10" ht="18.75" x14ac:dyDescent="0.3">
      <c r="A20" s="27">
        <v>5</v>
      </c>
      <c r="B20" s="31" t="s">
        <v>25</v>
      </c>
      <c r="C20" s="31"/>
      <c r="D20" s="31"/>
      <c r="E20" s="31"/>
      <c r="F20" s="31"/>
      <c r="G20" s="31"/>
      <c r="H20" s="31"/>
      <c r="I20" s="31"/>
      <c r="J20" s="31"/>
    </row>
    <row r="21" spans="1:10" ht="18.75" x14ac:dyDescent="0.3">
      <c r="A21" s="27">
        <v>6</v>
      </c>
      <c r="B21" s="31" t="s">
        <v>39</v>
      </c>
      <c r="C21" s="31"/>
      <c r="D21" s="31"/>
      <c r="E21" s="31"/>
      <c r="F21" s="31"/>
      <c r="G21" s="31"/>
      <c r="H21" s="31"/>
      <c r="I21" s="31"/>
      <c r="J21" s="31"/>
    </row>
    <row r="22" spans="1:10" ht="18.75" x14ac:dyDescent="0.3">
      <c r="A22" s="27">
        <v>7</v>
      </c>
      <c r="B22" s="31" t="s">
        <v>40</v>
      </c>
      <c r="C22" s="31"/>
      <c r="D22" s="31"/>
      <c r="E22" s="31"/>
      <c r="F22" s="31"/>
      <c r="G22" s="31"/>
      <c r="H22" s="31"/>
      <c r="I22" s="31"/>
      <c r="J22" s="31"/>
    </row>
    <row r="23" spans="1:10" ht="18.75" x14ac:dyDescent="0.3">
      <c r="A23" s="27">
        <v>8</v>
      </c>
      <c r="B23" s="31" t="s">
        <v>26</v>
      </c>
      <c r="C23" s="31"/>
      <c r="D23" s="31"/>
      <c r="E23" s="31"/>
      <c r="F23" s="31"/>
      <c r="G23" s="31"/>
      <c r="H23" s="31"/>
      <c r="I23" s="31"/>
      <c r="J23" s="31"/>
    </row>
    <row r="24" spans="1:10" ht="18.75" x14ac:dyDescent="0.3">
      <c r="A24" s="27"/>
      <c r="B24" s="31" t="s">
        <v>42</v>
      </c>
      <c r="C24" s="31"/>
      <c r="D24" s="31"/>
      <c r="E24" s="31"/>
      <c r="F24" s="31"/>
      <c r="G24" s="31"/>
      <c r="H24" s="31"/>
      <c r="I24" s="31"/>
      <c r="J24" s="31"/>
    </row>
    <row r="25" spans="1:10" ht="18.75" x14ac:dyDescent="0.3">
      <c r="A25" s="27"/>
      <c r="B25" s="31" t="s">
        <v>43</v>
      </c>
      <c r="C25" s="31"/>
      <c r="D25" s="31"/>
      <c r="E25" s="31"/>
      <c r="F25" s="31"/>
      <c r="G25" s="31"/>
      <c r="H25" s="31"/>
      <c r="I25" s="31"/>
      <c r="J25" s="31"/>
    </row>
    <row r="26" spans="1:10" ht="35.25" customHeight="1" x14ac:dyDescent="0.3">
      <c r="A26" s="27"/>
      <c r="B26" s="34" t="s">
        <v>44</v>
      </c>
      <c r="C26" s="34"/>
      <c r="D26" s="34"/>
      <c r="E26" s="34"/>
      <c r="F26" s="34"/>
      <c r="G26" s="34"/>
      <c r="H26" s="34"/>
      <c r="I26" s="34"/>
      <c r="J26" s="34"/>
    </row>
    <row r="27" spans="1:10" ht="18.75" x14ac:dyDescent="0.3">
      <c r="A27" s="27"/>
      <c r="B27" s="31" t="s">
        <v>27</v>
      </c>
      <c r="C27" s="31"/>
      <c r="D27" s="31"/>
      <c r="E27" s="31"/>
      <c r="F27" s="31"/>
      <c r="G27" s="31"/>
      <c r="H27" s="31"/>
      <c r="I27" s="31"/>
      <c r="J27" s="31"/>
    </row>
    <row r="29" spans="1:10" x14ac:dyDescent="0.25">
      <c r="B29" t="s">
        <v>21</v>
      </c>
    </row>
    <row r="31" spans="1:10" x14ac:dyDescent="0.25">
      <c r="B31" s="28"/>
      <c r="C31" s="28"/>
      <c r="D31" s="29"/>
      <c r="E31" s="29"/>
      <c r="F31" s="28"/>
      <c r="G31" s="29"/>
      <c r="H31" s="28"/>
      <c r="I31" s="28"/>
      <c r="J31" s="28"/>
    </row>
    <row r="32" spans="1:10" x14ac:dyDescent="0.25">
      <c r="B32" s="32" t="s">
        <v>22</v>
      </c>
      <c r="C32" s="32"/>
      <c r="E32" s="32" t="s">
        <v>23</v>
      </c>
      <c r="F32" s="32"/>
      <c r="H32" s="33" t="s">
        <v>24</v>
      </c>
      <c r="I32" s="33"/>
      <c r="J32" s="1" t="s">
        <v>23</v>
      </c>
    </row>
  </sheetData>
  <mergeCells count="23">
    <mergeCell ref="E2:F2"/>
    <mergeCell ref="H6:I6"/>
    <mergeCell ref="H7:I7"/>
    <mergeCell ref="H8:I8"/>
    <mergeCell ref="H9:I9"/>
    <mergeCell ref="B22:J22"/>
    <mergeCell ref="H10:I10"/>
    <mergeCell ref="H11:I11"/>
    <mergeCell ref="B14:J14"/>
    <mergeCell ref="B16:J16"/>
    <mergeCell ref="B17:J17"/>
    <mergeCell ref="B18:J18"/>
    <mergeCell ref="B19:J19"/>
    <mergeCell ref="B20:J20"/>
    <mergeCell ref="B21:J21"/>
    <mergeCell ref="B23:J23"/>
    <mergeCell ref="B27:J27"/>
    <mergeCell ref="B32:C32"/>
    <mergeCell ref="E32:F32"/>
    <mergeCell ref="H32:I32"/>
    <mergeCell ref="B24:J24"/>
    <mergeCell ref="B25:J25"/>
    <mergeCell ref="B26:J2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F8B7C-5C32-4339-989D-46BD02C54696}">
  <dimension ref="A1:J29"/>
  <sheetViews>
    <sheetView tabSelected="1" topLeftCell="C1" workbookViewId="0">
      <selection activeCell="G8" sqref="G8"/>
    </sheetView>
  </sheetViews>
  <sheetFormatPr defaultRowHeight="15" x14ac:dyDescent="0.25"/>
  <cols>
    <col min="1" max="1" width="3.5703125" style="4" customWidth="1"/>
    <col min="2" max="2" width="21.42578125" customWidth="1"/>
    <col min="3" max="3" width="38" customWidth="1"/>
    <col min="4" max="4" width="17.5703125" style="1" customWidth="1"/>
    <col min="5" max="5" width="6.5703125" style="1" customWidth="1"/>
    <col min="6" max="6" width="21.85546875" customWidth="1"/>
    <col min="7" max="7" width="12.5703125" style="1" customWidth="1"/>
    <col min="8" max="8" width="12.5703125" customWidth="1"/>
    <col min="9" max="9" width="5.85546875" customWidth="1"/>
    <col min="10" max="10" width="26.5703125" customWidth="1"/>
  </cols>
  <sheetData>
    <row r="1" spans="1:10" ht="15.75" thickBot="1" x14ac:dyDescent="0.3"/>
    <row r="2" spans="1:10" ht="15.75" thickBot="1" x14ac:dyDescent="0.3">
      <c r="B2" s="5" t="s">
        <v>3</v>
      </c>
      <c r="C2" s="6" t="s">
        <v>32</v>
      </c>
      <c r="D2" s="7" t="s">
        <v>4</v>
      </c>
      <c r="E2" s="38"/>
      <c r="F2" s="38"/>
      <c r="G2" s="6"/>
      <c r="H2" s="8" t="s">
        <v>5</v>
      </c>
      <c r="I2" s="9">
        <v>1</v>
      </c>
      <c r="J2" s="10" t="s">
        <v>6</v>
      </c>
    </row>
    <row r="3" spans="1:10" x14ac:dyDescent="0.25">
      <c r="B3" s="4"/>
      <c r="D3" s="11"/>
      <c r="F3" s="1"/>
      <c r="H3" s="4"/>
      <c r="I3" s="4"/>
      <c r="J3" s="1"/>
    </row>
    <row r="4" spans="1:10" x14ac:dyDescent="0.25">
      <c r="B4" s="1" t="s">
        <v>7</v>
      </c>
      <c r="C4" s="12">
        <v>11</v>
      </c>
      <c r="D4" s="11"/>
      <c r="F4" s="1" t="s">
        <v>8</v>
      </c>
      <c r="G4" s="13">
        <v>0.06</v>
      </c>
      <c r="I4" s="4"/>
      <c r="J4" s="1"/>
    </row>
    <row r="5" spans="1:10" x14ac:dyDescent="0.25">
      <c r="B5" s="4"/>
      <c r="D5" s="11"/>
      <c r="F5" s="1"/>
      <c r="H5" s="4"/>
      <c r="I5" s="4"/>
      <c r="J5" s="1"/>
    </row>
    <row r="6" spans="1:10" x14ac:dyDescent="0.25">
      <c r="B6" s="14" t="s">
        <v>9</v>
      </c>
      <c r="C6" s="14" t="s">
        <v>0</v>
      </c>
      <c r="D6" s="14" t="s">
        <v>10</v>
      </c>
      <c r="E6" s="14" t="s">
        <v>11</v>
      </c>
      <c r="F6" s="14" t="s">
        <v>1</v>
      </c>
      <c r="G6" s="14" t="s">
        <v>12</v>
      </c>
      <c r="H6" s="39" t="s">
        <v>13</v>
      </c>
      <c r="I6" s="40"/>
      <c r="J6" s="14" t="s">
        <v>14</v>
      </c>
    </row>
    <row r="7" spans="1:10" ht="15.75" x14ac:dyDescent="0.25">
      <c r="A7" s="4">
        <v>1</v>
      </c>
      <c r="B7" s="15"/>
      <c r="C7" s="2" t="s">
        <v>41</v>
      </c>
      <c r="D7" s="16">
        <v>3.5</v>
      </c>
      <c r="E7" s="16" t="s">
        <v>15</v>
      </c>
      <c r="F7" s="17">
        <f>D7/D$12</f>
        <v>0.93333333333333335</v>
      </c>
      <c r="G7" s="18">
        <f>C$4*F7</f>
        <v>10.266666666666667</v>
      </c>
      <c r="H7" s="35"/>
      <c r="I7" s="36"/>
      <c r="J7" s="19"/>
    </row>
    <row r="8" spans="1:10" ht="15.75" x14ac:dyDescent="0.25">
      <c r="A8" s="4">
        <v>2</v>
      </c>
      <c r="B8" s="15"/>
      <c r="C8" s="2" t="s">
        <v>31</v>
      </c>
      <c r="D8" s="16">
        <v>0.25</v>
      </c>
      <c r="E8" s="16" t="s">
        <v>15</v>
      </c>
      <c r="F8" s="17">
        <f>D8/D$12</f>
        <v>6.6666666666666666E-2</v>
      </c>
      <c r="G8" s="18">
        <f t="shared" ref="G8:G10" si="0">C$4*F8</f>
        <v>0.73333333333333328</v>
      </c>
      <c r="H8" s="35"/>
      <c r="I8" s="36"/>
      <c r="J8" s="19"/>
    </row>
    <row r="9" spans="1:10" ht="15.75" x14ac:dyDescent="0.25">
      <c r="A9" s="4">
        <v>3</v>
      </c>
      <c r="B9" s="15"/>
      <c r="C9" s="2"/>
      <c r="D9" s="16"/>
      <c r="E9" s="16" t="s">
        <v>15</v>
      </c>
      <c r="F9" s="17">
        <f>D9/D$12</f>
        <v>0</v>
      </c>
      <c r="G9" s="18">
        <f t="shared" si="0"/>
        <v>0</v>
      </c>
      <c r="H9" s="35"/>
      <c r="I9" s="36"/>
      <c r="J9" s="19"/>
    </row>
    <row r="10" spans="1:10" ht="15.75" x14ac:dyDescent="0.25">
      <c r="A10" s="4">
        <v>4</v>
      </c>
      <c r="B10" s="15"/>
      <c r="C10" s="3"/>
      <c r="D10" s="16"/>
      <c r="E10" s="16" t="s">
        <v>15</v>
      </c>
      <c r="F10" s="17">
        <f>D10/D$12</f>
        <v>0</v>
      </c>
      <c r="G10" s="18">
        <f t="shared" si="0"/>
        <v>0</v>
      </c>
      <c r="H10" s="35"/>
      <c r="I10" s="36"/>
      <c r="J10" s="19"/>
    </row>
    <row r="11" spans="1:10" ht="15.75" x14ac:dyDescent="0.25">
      <c r="A11" s="4">
        <v>5</v>
      </c>
      <c r="B11" s="15"/>
      <c r="C11" s="15"/>
      <c r="D11" s="16"/>
      <c r="E11" s="16" t="s">
        <v>15</v>
      </c>
      <c r="F11" s="17">
        <f>D11/D$12</f>
        <v>0</v>
      </c>
      <c r="G11" s="18">
        <f>C4*F11</f>
        <v>0</v>
      </c>
      <c r="H11" s="35"/>
      <c r="I11" s="36"/>
      <c r="J11" s="19"/>
    </row>
    <row r="12" spans="1:10" x14ac:dyDescent="0.25">
      <c r="C12" s="20" t="s">
        <v>16</v>
      </c>
      <c r="D12" s="4">
        <f>SUM(D7:D11)</f>
        <v>3.75</v>
      </c>
      <c r="E12" s="4" t="s">
        <v>15</v>
      </c>
      <c r="F12" s="21">
        <f>SUM(F7:F11)</f>
        <v>1</v>
      </c>
      <c r="G12" s="22">
        <f>SUM(G7:G11)</f>
        <v>11</v>
      </c>
      <c r="H12" t="s">
        <v>17</v>
      </c>
    </row>
    <row r="13" spans="1:10" x14ac:dyDescent="0.25">
      <c r="F13" s="23" t="s">
        <v>18</v>
      </c>
      <c r="G13" s="24">
        <f>-G12*G4+C4</f>
        <v>10.34</v>
      </c>
    </row>
    <row r="14" spans="1:10" ht="15.75" x14ac:dyDescent="0.25">
      <c r="A14"/>
      <c r="B14" s="37" t="s">
        <v>19</v>
      </c>
      <c r="C14" s="37"/>
      <c r="D14" s="37"/>
      <c r="E14" s="37"/>
      <c r="F14" s="37"/>
      <c r="G14" s="37"/>
      <c r="H14" s="37"/>
      <c r="I14" s="37"/>
      <c r="J14" s="37"/>
    </row>
    <row r="15" spans="1:10" ht="15.75" x14ac:dyDescent="0.25">
      <c r="A15"/>
      <c r="B15" s="25" t="s">
        <v>20</v>
      </c>
      <c r="C15" s="26"/>
      <c r="D15" s="26"/>
      <c r="E15" s="26"/>
      <c r="F15" s="26"/>
      <c r="G15" s="26"/>
      <c r="H15" s="26"/>
      <c r="I15" s="26"/>
      <c r="J15" s="26"/>
    </row>
    <row r="16" spans="1:10" ht="18.75" x14ac:dyDescent="0.3">
      <c r="A16" s="27">
        <v>1</v>
      </c>
      <c r="B16" s="31" t="s">
        <v>28</v>
      </c>
      <c r="C16" s="31"/>
      <c r="D16" s="31"/>
      <c r="E16" s="31"/>
      <c r="F16" s="31"/>
      <c r="G16" s="31"/>
      <c r="H16" s="31"/>
      <c r="I16" s="31"/>
      <c r="J16" s="31"/>
    </row>
    <row r="17" spans="1:10" ht="18.75" x14ac:dyDescent="0.3">
      <c r="A17" s="27">
        <v>2</v>
      </c>
      <c r="B17" s="31" t="s">
        <v>29</v>
      </c>
      <c r="C17" s="31"/>
      <c r="D17" s="31"/>
      <c r="E17" s="31"/>
      <c r="F17" s="31"/>
      <c r="G17" s="31"/>
      <c r="H17" s="31"/>
      <c r="I17" s="31"/>
      <c r="J17" s="31"/>
    </row>
    <row r="18" spans="1:10" ht="18.75" x14ac:dyDescent="0.3">
      <c r="A18" s="27">
        <v>3</v>
      </c>
      <c r="B18" s="31" t="s">
        <v>30</v>
      </c>
      <c r="C18" s="31"/>
      <c r="D18" s="31"/>
      <c r="E18" s="31"/>
      <c r="F18" s="31"/>
      <c r="G18" s="31"/>
      <c r="H18" s="31"/>
      <c r="I18" s="31"/>
      <c r="J18" s="31"/>
    </row>
    <row r="19" spans="1:10" ht="18.75" x14ac:dyDescent="0.3">
      <c r="A19" s="27">
        <v>4</v>
      </c>
      <c r="B19" s="31"/>
      <c r="C19" s="31"/>
      <c r="D19" s="31"/>
      <c r="E19" s="31"/>
      <c r="F19" s="31"/>
      <c r="G19" s="31"/>
      <c r="H19" s="31"/>
      <c r="I19" s="31"/>
      <c r="J19" s="31"/>
    </row>
    <row r="20" spans="1:10" ht="18.75" x14ac:dyDescent="0.3">
      <c r="A20" s="27">
        <v>5</v>
      </c>
      <c r="B20" s="31"/>
      <c r="C20" s="31"/>
      <c r="D20" s="31"/>
      <c r="E20" s="31"/>
      <c r="F20" s="31"/>
      <c r="G20" s="31"/>
      <c r="H20" s="31"/>
      <c r="I20" s="31"/>
      <c r="J20" s="31"/>
    </row>
    <row r="21" spans="1:10" ht="18.75" x14ac:dyDescent="0.3">
      <c r="A21" s="27">
        <v>6</v>
      </c>
      <c r="B21" s="31"/>
      <c r="C21" s="31"/>
      <c r="D21" s="31"/>
      <c r="E21" s="31"/>
      <c r="F21" s="31"/>
      <c r="G21" s="31"/>
      <c r="H21" s="31"/>
      <c r="I21" s="31"/>
      <c r="J21" s="31"/>
    </row>
    <row r="22" spans="1:10" ht="18.75" x14ac:dyDescent="0.3">
      <c r="A22" s="27">
        <v>7</v>
      </c>
      <c r="B22" s="31"/>
      <c r="C22" s="31"/>
      <c r="D22" s="31"/>
      <c r="E22" s="31"/>
      <c r="F22" s="31"/>
      <c r="G22" s="31"/>
      <c r="H22" s="31"/>
      <c r="I22" s="31"/>
      <c r="J22" s="31"/>
    </row>
    <row r="23" spans="1:10" ht="18.75" x14ac:dyDescent="0.3">
      <c r="A23" s="27">
        <v>8</v>
      </c>
      <c r="B23" s="31"/>
      <c r="C23" s="31"/>
      <c r="D23" s="31"/>
      <c r="E23" s="31"/>
      <c r="F23" s="31"/>
      <c r="G23" s="31"/>
      <c r="H23" s="31"/>
      <c r="I23" s="31"/>
      <c r="J23" s="31"/>
    </row>
    <row r="24" spans="1:10" ht="18.75" x14ac:dyDescent="0.3">
      <c r="A24" s="27"/>
      <c r="B24" s="31"/>
      <c r="C24" s="31"/>
      <c r="D24" s="31"/>
      <c r="E24" s="31"/>
      <c r="F24" s="31"/>
      <c r="G24" s="31"/>
      <c r="H24" s="31"/>
      <c r="I24" s="31"/>
      <c r="J24" s="31"/>
    </row>
    <row r="26" spans="1:10" x14ac:dyDescent="0.25">
      <c r="B26" t="s">
        <v>21</v>
      </c>
    </row>
    <row r="28" spans="1:10" x14ac:dyDescent="0.25">
      <c r="B28" s="28"/>
      <c r="C28" s="28"/>
      <c r="D28" s="29"/>
      <c r="E28" s="29"/>
      <c r="F28" s="28"/>
      <c r="G28" s="29"/>
      <c r="H28" s="28"/>
      <c r="I28" s="28"/>
      <c r="J28" s="28"/>
    </row>
    <row r="29" spans="1:10" x14ac:dyDescent="0.25">
      <c r="B29" s="32" t="s">
        <v>22</v>
      </c>
      <c r="C29" s="32"/>
      <c r="E29" s="32" t="s">
        <v>23</v>
      </c>
      <c r="F29" s="32"/>
      <c r="H29" s="33" t="s">
        <v>24</v>
      </c>
      <c r="I29" s="33"/>
      <c r="J29" s="1" t="s">
        <v>23</v>
      </c>
    </row>
  </sheetData>
  <mergeCells count="20">
    <mergeCell ref="H10:I10"/>
    <mergeCell ref="E2:F2"/>
    <mergeCell ref="H6:I6"/>
    <mergeCell ref="H7:I7"/>
    <mergeCell ref="H8:I8"/>
    <mergeCell ref="H9:I9"/>
    <mergeCell ref="B29:C29"/>
    <mergeCell ref="E29:F29"/>
    <mergeCell ref="H29:I29"/>
    <mergeCell ref="H11:I11"/>
    <mergeCell ref="B14:J14"/>
    <mergeCell ref="B16:J16"/>
    <mergeCell ref="B17:J17"/>
    <mergeCell ref="B18:J18"/>
    <mergeCell ref="B19:J19"/>
    <mergeCell ref="B20:J20"/>
    <mergeCell ref="B21:J21"/>
    <mergeCell ref="B22:J22"/>
    <mergeCell ref="B23:J23"/>
    <mergeCell ref="B24:J2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5DB4063CA6254CA7AE1C6AB1A0E203" ma:contentTypeVersion="14" ma:contentTypeDescription="Create a new document." ma:contentTypeScope="" ma:versionID="aa6a2207218d003a33197d42270b06a6">
  <xsd:schema xmlns:xsd="http://www.w3.org/2001/XMLSchema" xmlns:xs="http://www.w3.org/2001/XMLSchema" xmlns:p="http://schemas.microsoft.com/office/2006/metadata/properties" xmlns:ns2="8be24d1f-f08e-46a7-9c6b-0452813a2a77" xmlns:ns3="1cca795c-b702-4d9c-a00f-4ea8e3fb1866" targetNamespace="http://schemas.microsoft.com/office/2006/metadata/properties" ma:root="true" ma:fieldsID="36946071ae238f9df883a13be9ca226d" ns2:_="" ns3:_="">
    <xsd:import namespace="8be24d1f-f08e-46a7-9c6b-0452813a2a77"/>
    <xsd:import namespace="1cca795c-b702-4d9c-a00f-4ea8e3fb186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e24d1f-f08e-46a7-9c6b-0452813a2a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c5be1fd7-7535-4a18-99f7-c6c8bb01b25e"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cca795c-b702-4d9c-a00f-4ea8e3fb186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3a427014-70be-4e72-952d-11e5995fb69d}" ma:internalName="TaxCatchAll" ma:showField="CatchAllData" ma:web="1cca795c-b702-4d9c-a00f-4ea8e3fb186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be24d1f-f08e-46a7-9c6b-0452813a2a77">
      <Terms xmlns="http://schemas.microsoft.com/office/infopath/2007/PartnerControls"/>
    </lcf76f155ced4ddcb4097134ff3c332f>
    <TaxCatchAll xmlns="1cca795c-b702-4d9c-a00f-4ea8e3fb1866" xsi:nil="true"/>
  </documentManagement>
</p:properties>
</file>

<file path=customXml/itemProps1.xml><?xml version="1.0" encoding="utf-8"?>
<ds:datastoreItem xmlns:ds="http://schemas.openxmlformats.org/officeDocument/2006/customXml" ds:itemID="{BBF9A98E-7468-4352-9110-E63A408283F0}"/>
</file>

<file path=customXml/itemProps2.xml><?xml version="1.0" encoding="utf-8"?>
<ds:datastoreItem xmlns:ds="http://schemas.openxmlformats.org/officeDocument/2006/customXml" ds:itemID="{9067ACC3-84A9-4A5A-AE64-3EED9BA033A8}"/>
</file>

<file path=customXml/itemProps3.xml><?xml version="1.0" encoding="utf-8"?>
<ds:datastoreItem xmlns:ds="http://schemas.openxmlformats.org/officeDocument/2006/customXml" ds:itemID="{9B0D2755-9061-4C95-9B7B-F423B841098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Smoked Short Rib</vt:lpstr>
      <vt:lpstr>BBQ Short Rib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Caleb Cunningham</dc:creator>
  <cp:lastModifiedBy>Christian Huynh</cp:lastModifiedBy>
  <dcterms:created xsi:type="dcterms:W3CDTF">2024-03-21T16:49:55Z</dcterms:created>
  <dcterms:modified xsi:type="dcterms:W3CDTF">2024-10-08T18:40:40Z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0x0101000B5DB4063CA6254CA7AE1C6AB1A0E203</vt:lpwstr>
  </property>
</Properties>
</file>