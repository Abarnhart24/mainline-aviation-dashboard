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11" documentId="13_ncr:1_{37451DD4-80B5-469F-8957-34C330B688F5}" xr6:coauthVersionLast="47" xr6:coauthVersionMax="47" xr10:uidLastSave="{9B758C66-ED36-4ECC-BEAF-8D83D78A5DB2}"/>
  <bookViews>
    <workbookView xWindow="-105" yWindow="0" windowWidth="10425" windowHeight="10905" xr2:uid="{00000000-000D-0000-FFFF-FFFF00000000}"/>
  </bookViews>
  <sheets>
    <sheet name="Etouffee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3" l="1"/>
  <c r="F10" i="13" s="1"/>
  <c r="G10" i="13" s="1"/>
  <c r="F7" i="13" l="1"/>
  <c r="F9" i="13"/>
  <c r="G9" i="13" s="1"/>
  <c r="F11" i="13"/>
  <c r="G11" i="13" s="1"/>
  <c r="F13" i="13"/>
  <c r="G13" i="13" s="1"/>
  <c r="F15" i="13"/>
  <c r="G15" i="13" s="1"/>
  <c r="F17" i="13"/>
  <c r="G17" i="13" s="1"/>
  <c r="F19" i="13"/>
  <c r="G19" i="13" s="1"/>
  <c r="F8" i="13"/>
  <c r="G8" i="13" s="1"/>
  <c r="F12" i="13"/>
  <c r="G12" i="13" s="1"/>
  <c r="F14" i="13"/>
  <c r="G14" i="13" s="1"/>
  <c r="F16" i="13"/>
  <c r="G16" i="13" s="1"/>
  <c r="F18" i="13"/>
  <c r="G18" i="13" s="1"/>
  <c r="F20" i="13"/>
  <c r="G20" i="13" s="1"/>
  <c r="F21" i="13" l="1"/>
  <c r="G7" i="13"/>
  <c r="G21" i="13" s="1"/>
  <c r="G22" i="13" s="1"/>
</calcChain>
</file>

<file path=xl/sharedStrings.xml><?xml version="1.0" encoding="utf-8"?>
<sst xmlns="http://schemas.openxmlformats.org/spreadsheetml/2006/main" count="75" uniqueCount="60">
  <si>
    <t>Formula Name:</t>
  </si>
  <si>
    <t xml:space="preserve">Etouffee </t>
  </si>
  <si>
    <t>R&amp;D ID Number:</t>
  </si>
  <si>
    <t>Version #:</t>
  </si>
  <si>
    <t>Batch Number:</t>
  </si>
  <si>
    <t>Desired QTY (lb):</t>
  </si>
  <si>
    <t>Yield Loss:</t>
  </si>
  <si>
    <t>Item Number</t>
  </si>
  <si>
    <t>Description</t>
  </si>
  <si>
    <t>Original Formula</t>
  </si>
  <si>
    <t>UOM</t>
  </si>
  <si>
    <t>%</t>
  </si>
  <si>
    <t>Desired (lb)</t>
  </si>
  <si>
    <t>Lot Code</t>
  </si>
  <si>
    <t>Notes</t>
  </si>
  <si>
    <t>C169</t>
  </si>
  <si>
    <t>Butter, Unsalted</t>
  </si>
  <si>
    <t>lb</t>
  </si>
  <si>
    <t xml:space="preserve">Flour, All Purpose </t>
  </si>
  <si>
    <t xml:space="preserve">Yellow Onion, Diced 0.25" </t>
  </si>
  <si>
    <t>Red Bell Pepper, Diced 0.25"</t>
  </si>
  <si>
    <t>D051</t>
  </si>
  <si>
    <t xml:space="preserve">Garlic, Minced </t>
  </si>
  <si>
    <t>Spice, Creole Seasoning</t>
  </si>
  <si>
    <t>D114</t>
  </si>
  <si>
    <t xml:space="preserve">Spice, Cayenne, Ground </t>
  </si>
  <si>
    <t>D090</t>
  </si>
  <si>
    <t>Salt, Kosher</t>
  </si>
  <si>
    <t>D321</t>
  </si>
  <si>
    <t xml:space="preserve">Spice, Black Pepper, Ground </t>
  </si>
  <si>
    <t>Shrimp Paste, Minors</t>
  </si>
  <si>
    <t xml:space="preserve">Water </t>
  </si>
  <si>
    <t>P284</t>
  </si>
  <si>
    <t xml:space="preserve">Lemon Juice </t>
  </si>
  <si>
    <t>Total Sample Formula Weight:</t>
  </si>
  <si>
    <t>Total Weight</t>
  </si>
  <si>
    <t>Weight After Yield Loss</t>
  </si>
  <si>
    <t>Procedure</t>
  </si>
  <si>
    <t>Batch Formula Instructions</t>
  </si>
  <si>
    <t xml:space="preserve">QA to sign off on Batch Sheet to make sure all measurements are correct. </t>
  </si>
  <si>
    <t xml:space="preserve">In tilt skillet, heat butter and flour to make a light roux. </t>
  </si>
  <si>
    <t xml:space="preserve">Add onion, bell peppers and celery. Cook on low heat until vegetables are translucent. </t>
  </si>
  <si>
    <t xml:space="preserve">Add garlic, creole seasoning, cayenne, salt and pepper and cook for 2 more minutes or until fragrant. </t>
  </si>
  <si>
    <t xml:space="preserve">Add shrimp paste and water. Whisk continuously until mixture thickens. </t>
  </si>
  <si>
    <t xml:space="preserve">Cook for 20 minutes to infuse flavors and cook out raw flour. </t>
  </si>
  <si>
    <t xml:space="preserve">Turn off heat and add lemon juice. </t>
  </si>
  <si>
    <t>Remove from heat and place in blast chiller until internal temperature reaches 40F.</t>
  </si>
  <si>
    <t>Chill to 70 degrees in 2 hours and to 41 degrees or lower in 4 or less hours.</t>
  </si>
  <si>
    <t xml:space="preserve">Label and pack into X # bags, making sure it is kept at 41 degrees or less. 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</si>
  <si>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</si>
  <si>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</si>
  <si>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</si>
  <si>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>Reviewed By</t>
  </si>
  <si>
    <t>C205</t>
  </si>
  <si>
    <t>PEPPER BELL GREEN</t>
  </si>
  <si>
    <t>C092</t>
  </si>
  <si>
    <t>CELERY 1/4" DICED</t>
  </si>
  <si>
    <t>D040</t>
  </si>
  <si>
    <t>C057</t>
  </si>
  <si>
    <t>C134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</si>
</sst>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"/>
    <numFmt numFmtId="165" formatCode="0.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9" fontId="0" fillId="3" borderId="0" xfId="1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1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0" fillId="0" borderId="1" xfId="0" applyBorder="1" applyProtection="1">
      <protection locked="0"/>
    </xf>
    <xf numFmtId="10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0" fillId="5" borderId="0" xfId="0" applyFill="1" applyAlignment="1" applyProtection="1">
      <alignment horizontal="center"/>
      <protection locked="0"/>
    </xf>
    <xf numFmtId="0" fontId="2" fillId="2" borderId="6" xfId="0" applyFont="1" applyFill="1" applyBorder="1" applyAlignment="1" applyProtection="1">
      <alignment horizontal="left"/>
      <protection locked="0"/>
    </xf>
    <xf numFmtId="0" fontId="2" fillId="2" borderId="7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2" fillId="2" borderId="7" xfId="0" applyFont="1" applyFill="1" applyBorder="1"/>
    <xf numFmtId="0" fontId="2" fillId="2" borderId="8" xfId="0" applyFont="1" applyFill="1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left"/>
    </xf>
    <xf numFmtId="9" fontId="0" fillId="4" borderId="0" xfId="1" applyFon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6" borderId="0" xfId="0" applyFill="1"/>
    <xf numFmtId="164" fontId="0" fillId="0" borderId="1" xfId="0" applyNumberForma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5" fontId="0" fillId="5" borderId="1" xfId="2" applyNumberFormat="1" applyFont="1" applyFill="1" applyBorder="1" applyAlignment="1">
      <alignment horizontal="center"/>
    </xf>
    <xf numFmtId="0" fontId="4" fillId="0" borderId="1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44" fontId="0" fillId="0" borderId="2" xfId="2" applyFont="1" applyBorder="1" applyAlignment="1" applyProtection="1">
      <alignment horizontal="center"/>
      <protection locked="0"/>
    </xf>
    <xf numFmtId="44" fontId="0" fillId="0" borderId="3" xfId="2" applyFont="1" applyBorder="1" applyAlignment="1" applyProtection="1">
      <alignment horizontal="center"/>
      <protection locked="0"/>
    </xf>
    <xf numFmtId="0" fontId="3" fillId="2" borderId="1" xfId="0" applyFont="1" applyFill="1" applyBorder="1" applyAlignment="1">
      <alignment horizontal="center"/>
    </xf>
    <xf numFmtId="0" fontId="0" fillId="2" borderId="7" xfId="0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0AC0-A919-4FE6-9656-911088ACBCAB}">
  <sheetPr>
    <pageSetUpPr fitToPage="1"/>
  </sheetPr>
  <dimension ref="A1:J40"/>
  <sheetViews>
    <sheetView tabSelected="1" zoomScale="70" zoomScaleNormal="70" workbookViewId="0">
      <selection activeCell="G7" sqref="G7:G20"/>
    </sheetView>
  </sheetViews>
  <sheetFormatPr defaultRowHeight="15" x14ac:dyDescent="0.25"/>
  <cols>
    <col min="1" max="1" width="3.5703125" style="2" customWidth="1"/>
    <col min="2" max="2" width="21.42578125" customWidth="1"/>
    <col min="3" max="3" width="38" customWidth="1"/>
    <col min="4" max="4" width="17.5703125" style="1" customWidth="1"/>
    <col min="5" max="5" width="6.5703125" style="1" customWidth="1"/>
    <col min="6" max="6" width="21.85546875" customWidth="1"/>
    <col min="7" max="7" width="12.5703125" style="1" customWidth="1"/>
    <col min="8" max="8" width="12.5703125" customWidth="1"/>
    <col min="9" max="9" width="2.28515625" customWidth="1"/>
    <col min="10" max="10" width="23.85546875" customWidth="1"/>
  </cols>
  <sheetData>
    <row r="1" spans="1:10" ht="15.75" thickBot="1" x14ac:dyDescent="0.3"/>
    <row r="2" spans="1:10" ht="15.75" thickBot="1" x14ac:dyDescent="0.3">
      <c r="B2" s="23" t="s">
        <v>0</v>
      </c>
      <c r="C2" s="21" t="s">
        <v>1</v>
      </c>
      <c r="D2" s="22" t="s">
        <v>2</v>
      </c>
      <c r="E2" s="38"/>
      <c r="F2" s="38"/>
      <c r="G2" s="21"/>
      <c r="H2" s="20" t="s">
        <v>3</v>
      </c>
      <c r="I2" s="19">
        <v>1</v>
      </c>
      <c r="J2" s="18" t="s">
        <v>4</v>
      </c>
    </row>
    <row r="3" spans="1:10" ht="5.25" customHeight="1" x14ac:dyDescent="0.25">
      <c r="B3" s="2"/>
      <c r="D3" s="16"/>
      <c r="F3" s="1"/>
      <c r="H3" s="2"/>
      <c r="I3" s="2"/>
      <c r="J3" s="1"/>
    </row>
    <row r="4" spans="1:10" x14ac:dyDescent="0.25">
      <c r="B4" s="1" t="s">
        <v>5</v>
      </c>
      <c r="C4" s="17">
        <v>30</v>
      </c>
      <c r="D4" s="16"/>
      <c r="F4" s="1" t="s">
        <v>6</v>
      </c>
      <c r="G4" s="8">
        <v>0.25</v>
      </c>
      <c r="I4" s="2"/>
      <c r="J4" s="1"/>
    </row>
    <row r="5" spans="1:10" ht="5.25" customHeight="1" x14ac:dyDescent="0.25">
      <c r="B5" s="2"/>
      <c r="D5" s="16"/>
      <c r="F5" s="1"/>
      <c r="H5" s="2"/>
      <c r="I5" s="2"/>
      <c r="J5" s="1"/>
    </row>
    <row r="6" spans="1:10" x14ac:dyDescent="0.25">
      <c r="B6" s="15" t="s">
        <v>7</v>
      </c>
      <c r="C6" s="15" t="s">
        <v>8</v>
      </c>
      <c r="D6" s="15" t="s">
        <v>9</v>
      </c>
      <c r="E6" s="15" t="s">
        <v>10</v>
      </c>
      <c r="F6" s="15" t="s">
        <v>11</v>
      </c>
      <c r="G6" s="15" t="s">
        <v>12</v>
      </c>
      <c r="H6" s="39" t="s">
        <v>13</v>
      </c>
      <c r="I6" s="40"/>
      <c r="J6" s="15" t="s">
        <v>14</v>
      </c>
    </row>
    <row r="7" spans="1:10" x14ac:dyDescent="0.25">
      <c r="A7" s="2">
        <v>1</v>
      </c>
      <c r="B7" s="14" t="s">
        <v>15</v>
      </c>
      <c r="C7" s="5" t="s">
        <v>16</v>
      </c>
      <c r="D7" s="29">
        <v>0.5625</v>
      </c>
      <c r="E7" s="14" t="s">
        <v>17</v>
      </c>
      <c r="F7" s="13">
        <f t="shared" ref="F7:F20" si="0">D7/D$21</f>
        <v>0.12004840044181909</v>
      </c>
      <c r="G7" s="31">
        <f>C4*F7</f>
        <v>3.6014520132545726</v>
      </c>
      <c r="H7" s="35"/>
      <c r="I7" s="36"/>
      <c r="J7" s="12"/>
    </row>
    <row r="8" spans="1:10" x14ac:dyDescent="0.25">
      <c r="A8" s="2">
        <v>2</v>
      </c>
      <c r="B8" s="14" t="s">
        <v>57</v>
      </c>
      <c r="C8" s="5" t="s">
        <v>18</v>
      </c>
      <c r="D8" s="29">
        <v>0.2</v>
      </c>
      <c r="E8" s="14" t="s">
        <v>17</v>
      </c>
      <c r="F8" s="13">
        <f t="shared" si="0"/>
        <v>4.2683875712646792E-2</v>
      </c>
      <c r="G8" s="31">
        <f>C4*F8</f>
        <v>1.2805162713794038</v>
      </c>
      <c r="H8" s="35"/>
      <c r="I8" s="36"/>
      <c r="J8" s="12"/>
    </row>
    <row r="9" spans="1:10" x14ac:dyDescent="0.25">
      <c r="A9" s="2">
        <v>3</v>
      </c>
      <c r="B9" s="14" t="s">
        <v>58</v>
      </c>
      <c r="C9" s="5" t="s">
        <v>19</v>
      </c>
      <c r="D9" s="29">
        <v>0.875</v>
      </c>
      <c r="E9" s="14" t="s">
        <v>17</v>
      </c>
      <c r="F9" s="13">
        <f t="shared" si="0"/>
        <v>0.18674195624282972</v>
      </c>
      <c r="G9" s="31">
        <f>C4*F9</f>
        <v>5.6022586872848912</v>
      </c>
      <c r="H9" s="35"/>
      <c r="I9" s="36"/>
      <c r="J9" s="12"/>
    </row>
    <row r="10" spans="1:10" x14ac:dyDescent="0.25">
      <c r="A10" s="2">
        <v>4</v>
      </c>
      <c r="B10" s="14" t="s">
        <v>59</v>
      </c>
      <c r="C10" s="5" t="s">
        <v>20</v>
      </c>
      <c r="D10" s="29">
        <v>0.33124999999999999</v>
      </c>
      <c r="E10" s="14" t="s">
        <v>17</v>
      </c>
      <c r="F10" s="13">
        <f t="shared" si="0"/>
        <v>7.0695169149071244E-2</v>
      </c>
      <c r="G10" s="31">
        <f>C4*F10</f>
        <v>2.1208550744721375</v>
      </c>
      <c r="H10" s="35"/>
      <c r="I10" s="36"/>
      <c r="J10" s="12"/>
    </row>
    <row r="11" spans="1:10" x14ac:dyDescent="0.25">
      <c r="A11" s="2">
        <v>5</v>
      </c>
      <c r="B11" s="14" t="s">
        <v>53</v>
      </c>
      <c r="C11" s="5" t="s">
        <v>54</v>
      </c>
      <c r="D11" s="29">
        <v>0.21875</v>
      </c>
      <c r="E11" s="14" t="s">
        <v>17</v>
      </c>
      <c r="F11" s="13">
        <f t="shared" si="0"/>
        <v>4.6685489060707429E-2</v>
      </c>
      <c r="G11" s="31">
        <f>C4*F11</f>
        <v>1.4005646718212228</v>
      </c>
      <c r="H11" s="35"/>
      <c r="I11" s="36"/>
      <c r="J11" s="12"/>
    </row>
    <row r="12" spans="1:10" x14ac:dyDescent="0.25">
      <c r="A12" s="2">
        <v>6</v>
      </c>
      <c r="B12" s="14" t="s">
        <v>55</v>
      </c>
      <c r="C12" s="5" t="s">
        <v>56</v>
      </c>
      <c r="D12" s="29">
        <v>0.18124999999999999</v>
      </c>
      <c r="E12" s="14" t="s">
        <v>17</v>
      </c>
      <c r="F12" s="13">
        <f t="shared" si="0"/>
        <v>3.8682262364586155E-2</v>
      </c>
      <c r="G12" s="31">
        <f>C4*F12</f>
        <v>1.1604678709375846</v>
      </c>
      <c r="H12" s="35"/>
      <c r="I12" s="36"/>
      <c r="J12" s="12"/>
    </row>
    <row r="13" spans="1:10" x14ac:dyDescent="0.25">
      <c r="A13" s="2">
        <v>7</v>
      </c>
      <c r="B13" s="14" t="s">
        <v>21</v>
      </c>
      <c r="C13" s="5" t="s">
        <v>22</v>
      </c>
      <c r="D13" s="29">
        <v>4.6875E-2</v>
      </c>
      <c r="E13" s="14" t="s">
        <v>17</v>
      </c>
      <c r="F13" s="13">
        <f t="shared" si="0"/>
        <v>1.0004033370151591E-2</v>
      </c>
      <c r="G13" s="31">
        <f>C4*F13</f>
        <v>0.3001210011045477</v>
      </c>
      <c r="H13" s="35"/>
      <c r="I13" s="36"/>
      <c r="J13" s="12"/>
    </row>
    <row r="14" spans="1:10" x14ac:dyDescent="0.25">
      <c r="A14" s="2">
        <v>8</v>
      </c>
      <c r="B14" s="14"/>
      <c r="C14" s="5" t="s">
        <v>23</v>
      </c>
      <c r="D14" s="29">
        <v>2.64555E-2</v>
      </c>
      <c r="E14" s="14" t="s">
        <v>17</v>
      </c>
      <c r="F14" s="13">
        <f t="shared" si="0"/>
        <v>5.6461163695796356E-3</v>
      </c>
      <c r="G14" s="31">
        <f>C4*F14</f>
        <v>0.16938349108738907</v>
      </c>
      <c r="H14" s="35"/>
      <c r="I14" s="36"/>
      <c r="J14" s="12"/>
    </row>
    <row r="15" spans="1:10" x14ac:dyDescent="0.25">
      <c r="A15" s="2">
        <v>9</v>
      </c>
      <c r="B15" s="14" t="s">
        <v>24</v>
      </c>
      <c r="C15" s="5" t="s">
        <v>25</v>
      </c>
      <c r="D15" s="29">
        <v>2.20462E-3</v>
      </c>
      <c r="E15" s="14" t="s">
        <v>17</v>
      </c>
      <c r="F15" s="13">
        <f t="shared" si="0"/>
        <v>4.7050863036807682E-4</v>
      </c>
      <c r="G15" s="31">
        <f>C4*F15</f>
        <v>1.4115258911042304E-2</v>
      </c>
      <c r="H15" s="35"/>
      <c r="I15" s="36"/>
      <c r="J15" s="12"/>
    </row>
    <row r="16" spans="1:10" x14ac:dyDescent="0.25">
      <c r="A16" s="2">
        <v>10</v>
      </c>
      <c r="B16" s="14" t="s">
        <v>26</v>
      </c>
      <c r="C16" s="5" t="s">
        <v>27</v>
      </c>
      <c r="D16" s="29">
        <v>1.0999999999999999E-2</v>
      </c>
      <c r="E16" s="14" t="s">
        <v>17</v>
      </c>
      <c r="F16" s="13">
        <f t="shared" si="0"/>
        <v>2.3476131641955735E-3</v>
      </c>
      <c r="G16" s="31">
        <f>C4*F16</f>
        <v>7.0428394925867208E-2</v>
      </c>
      <c r="H16" s="35"/>
      <c r="I16" s="36"/>
      <c r="J16" s="12"/>
    </row>
    <row r="17" spans="1:10" x14ac:dyDescent="0.25">
      <c r="A17" s="2">
        <v>11</v>
      </c>
      <c r="B17" s="14" t="s">
        <v>28</v>
      </c>
      <c r="C17" s="5" t="s">
        <v>29</v>
      </c>
      <c r="D17" s="29">
        <v>2.2000000000000001E-3</v>
      </c>
      <c r="E17" s="14" t="s">
        <v>17</v>
      </c>
      <c r="F17" s="13">
        <f t="shared" si="0"/>
        <v>4.6952263283911471E-4</v>
      </c>
      <c r="G17" s="31">
        <f>C4*F17</f>
        <v>1.4085678985173442E-2</v>
      </c>
      <c r="H17" s="35"/>
      <c r="I17" s="36"/>
      <c r="J17" s="12"/>
    </row>
    <row r="18" spans="1:10" x14ac:dyDescent="0.25">
      <c r="A18" s="2">
        <v>12</v>
      </c>
      <c r="B18" s="14"/>
      <c r="C18" s="5" t="s">
        <v>30</v>
      </c>
      <c r="D18" s="29">
        <v>0.13437499999999999</v>
      </c>
      <c r="E18" s="14" t="s">
        <v>17</v>
      </c>
      <c r="F18" s="13">
        <f t="shared" si="0"/>
        <v>2.8678228994434559E-2</v>
      </c>
      <c r="G18" s="31">
        <f>C4*F18</f>
        <v>0.86034686983303676</v>
      </c>
      <c r="H18" s="35"/>
      <c r="I18" s="36"/>
      <c r="J18" s="12"/>
    </row>
    <row r="19" spans="1:10" x14ac:dyDescent="0.25">
      <c r="A19" s="2">
        <v>13</v>
      </c>
      <c r="B19" s="14"/>
      <c r="C19" s="5" t="s">
        <v>31</v>
      </c>
      <c r="D19" s="29">
        <v>2</v>
      </c>
      <c r="E19" s="14" t="s">
        <v>17</v>
      </c>
      <c r="F19" s="13">
        <f t="shared" si="0"/>
        <v>0.4268387571264679</v>
      </c>
      <c r="G19" s="31">
        <f>C4*F19</f>
        <v>12.805162713794036</v>
      </c>
      <c r="H19" s="35"/>
      <c r="I19" s="36"/>
      <c r="J19" s="12"/>
    </row>
    <row r="20" spans="1:10" x14ac:dyDescent="0.25">
      <c r="A20" s="2">
        <v>14</v>
      </c>
      <c r="B20" s="14" t="s">
        <v>32</v>
      </c>
      <c r="C20" s="5" t="s">
        <v>33</v>
      </c>
      <c r="D20" s="29">
        <v>9.375E-2</v>
      </c>
      <c r="E20" s="14" t="s">
        <v>17</v>
      </c>
      <c r="F20" s="13">
        <f t="shared" si="0"/>
        <v>2.0008066740303181E-2</v>
      </c>
      <c r="G20" s="31">
        <f>C4*F20</f>
        <v>0.6002420022090954</v>
      </c>
      <c r="H20" s="35"/>
      <c r="I20" s="36"/>
      <c r="J20" s="12"/>
    </row>
    <row r="21" spans="1:10" x14ac:dyDescent="0.25">
      <c r="C21" s="11" t="s">
        <v>34</v>
      </c>
      <c r="D21" s="30">
        <f>SUM(D7:D20)</f>
        <v>4.6856101199999998</v>
      </c>
      <c r="E21" s="2" t="s">
        <v>17</v>
      </c>
      <c r="F21" s="10">
        <f>SUM(F7:F20)</f>
        <v>1</v>
      </c>
      <c r="G21" s="27">
        <f>SUM(G7:G20)</f>
        <v>30.000000000000004</v>
      </c>
      <c r="H21" s="28" t="s">
        <v>35</v>
      </c>
    </row>
    <row r="22" spans="1:10" x14ac:dyDescent="0.25">
      <c r="F22" s="26" t="s">
        <v>36</v>
      </c>
      <c r="G22" s="9">
        <f>-G21*G4+C4</f>
        <v>22.5</v>
      </c>
    </row>
    <row r="23" spans="1:10" ht="15.75" x14ac:dyDescent="0.25">
      <c r="B23" s="37" t="s">
        <v>37</v>
      </c>
      <c r="C23" s="37"/>
      <c r="D23" s="37"/>
      <c r="E23" s="37"/>
      <c r="F23" s="37"/>
      <c r="G23" s="37"/>
      <c r="H23" s="37"/>
      <c r="I23" s="37"/>
      <c r="J23" s="37"/>
    </row>
    <row r="24" spans="1:10" ht="15.75" x14ac:dyDescent="0.25">
      <c r="B24" s="7" t="s">
        <v>38</v>
      </c>
      <c r="C24" s="6"/>
      <c r="D24" s="6"/>
      <c r="E24" s="6"/>
      <c r="F24" s="6"/>
      <c r="G24" s="6"/>
      <c r="H24" s="6"/>
      <c r="I24" s="6"/>
      <c r="J24" s="6"/>
    </row>
    <row r="25" spans="1:10" ht="18.75" x14ac:dyDescent="0.3">
      <c r="A25" s="2">
        <v>1</v>
      </c>
      <c r="B25" s="32" t="s">
        <v>39</v>
      </c>
      <c r="C25" s="32"/>
      <c r="D25" s="32"/>
      <c r="E25" s="32"/>
      <c r="F25" s="32"/>
      <c r="G25" s="32"/>
      <c r="H25" s="32"/>
      <c r="I25" s="32"/>
      <c r="J25" s="32"/>
    </row>
    <row r="26" spans="1:10" ht="18.75" x14ac:dyDescent="0.3">
      <c r="A26" s="2">
        <v>2</v>
      </c>
      <c r="B26" s="32" t="s">
        <v>40</v>
      </c>
      <c r="C26" s="32"/>
      <c r="D26" s="32"/>
      <c r="E26" s="32"/>
      <c r="F26" s="32"/>
      <c r="G26" s="32"/>
      <c r="H26" s="32"/>
      <c r="I26" s="32"/>
      <c r="J26" s="32"/>
    </row>
    <row r="27" spans="1:10" ht="18.75" x14ac:dyDescent="0.3">
      <c r="A27" s="2">
        <v>3</v>
      </c>
      <c r="B27" s="32" t="s">
        <v>41</v>
      </c>
      <c r="C27" s="32"/>
      <c r="D27" s="32"/>
      <c r="E27" s="32"/>
      <c r="F27" s="32"/>
      <c r="G27" s="32"/>
      <c r="H27" s="32"/>
      <c r="I27" s="32"/>
      <c r="J27" s="32"/>
    </row>
    <row r="28" spans="1:10" ht="18.75" x14ac:dyDescent="0.3">
      <c r="A28" s="2">
        <v>4</v>
      </c>
      <c r="B28" s="32" t="s">
        <v>42</v>
      </c>
      <c r="C28" s="32"/>
      <c r="D28" s="32"/>
      <c r="E28" s="32"/>
      <c r="F28" s="32"/>
      <c r="G28" s="32"/>
      <c r="H28" s="32"/>
      <c r="I28" s="32"/>
      <c r="J28" s="32"/>
    </row>
    <row r="29" spans="1:10" ht="18.75" x14ac:dyDescent="0.3">
      <c r="A29" s="2">
        <v>5</v>
      </c>
      <c r="B29" s="32" t="s">
        <v>43</v>
      </c>
      <c r="C29" s="32"/>
      <c r="D29" s="32"/>
      <c r="E29" s="32"/>
      <c r="F29" s="32"/>
      <c r="G29" s="32"/>
      <c r="H29" s="32"/>
      <c r="I29" s="32"/>
      <c r="J29" s="32"/>
    </row>
    <row r="30" spans="1:10" ht="18.75" x14ac:dyDescent="0.3">
      <c r="A30" s="2">
        <v>6</v>
      </c>
      <c r="B30" s="32" t="s">
        <v>44</v>
      </c>
      <c r="C30" s="32"/>
      <c r="D30" s="32"/>
      <c r="E30" s="32"/>
      <c r="F30" s="32"/>
      <c r="G30" s="32"/>
      <c r="H30" s="32"/>
      <c r="I30" s="32"/>
      <c r="J30" s="32"/>
    </row>
    <row r="31" spans="1:10" ht="18.75" x14ac:dyDescent="0.3">
      <c r="A31" s="2">
        <v>7</v>
      </c>
      <c r="B31" s="32" t="s">
        <v>45</v>
      </c>
      <c r="C31" s="32"/>
      <c r="D31" s="32"/>
      <c r="E31" s="32"/>
      <c r="F31" s="32"/>
      <c r="G31" s="32"/>
      <c r="H31" s="32"/>
      <c r="I31" s="32"/>
      <c r="J31" s="32"/>
    </row>
    <row r="32" spans="1:10" ht="18.75" x14ac:dyDescent="0.3">
      <c r="A32" s="2">
        <v>8</v>
      </c>
      <c r="B32" s="32" t="s">
        <v>46</v>
      </c>
      <c r="C32" s="32"/>
      <c r="D32" s="32"/>
      <c r="E32" s="32"/>
      <c r="F32" s="32"/>
      <c r="G32" s="32"/>
      <c r="H32" s="32"/>
      <c r="I32" s="32"/>
      <c r="J32" s="32"/>
    </row>
    <row r="33" spans="1:10" ht="18.75" x14ac:dyDescent="0.3">
      <c r="A33" s="2">
        <v>9</v>
      </c>
      <c r="B33" s="32" t="s">
        <v>47</v>
      </c>
      <c r="C33" s="32"/>
      <c r="D33" s="32"/>
      <c r="E33" s="32"/>
      <c r="F33" s="32"/>
      <c r="G33" s="32"/>
      <c r="H33" s="32"/>
      <c r="I33" s="32"/>
      <c r="J33" s="32"/>
    </row>
    <row r="34" spans="1:10" ht="18.75" x14ac:dyDescent="0.3">
      <c r="A34" s="2">
        <v>10</v>
      </c>
      <c r="B34" s="32" t="s">
        <v>48</v>
      </c>
      <c r="C34" s="32"/>
      <c r="D34" s="32"/>
      <c r="E34" s="32"/>
      <c r="F34" s="32"/>
      <c r="G34" s="32"/>
      <c r="H34" s="32"/>
      <c r="I34" s="32"/>
      <c r="J34" s="32"/>
    </row>
    <row r="35" spans="1:10" x14ac:dyDescent="0.25">
      <c r="A35" s="2">
        <v>11</v>
      </c>
    </row>
    <row r="37" spans="1:10" x14ac:dyDescent="0.25">
      <c r="B37" t="s">
        <v>49</v>
      </c>
    </row>
    <row r="39" spans="1:10" x14ac:dyDescent="0.25">
      <c r="B39" s="3"/>
      <c r="C39" s="3"/>
      <c r="D39" s="4"/>
      <c r="E39" s="4"/>
      <c r="F39" s="3"/>
      <c r="G39" s="4"/>
      <c r="H39" s="3"/>
      <c r="I39" s="3"/>
      <c r="J39" s="3"/>
    </row>
    <row r="40" spans="1:10" x14ac:dyDescent="0.25">
      <c r="B40" s="33" t="s">
        <v>50</v>
      </c>
      <c r="C40" s="33"/>
      <c r="E40" s="33" t="s">
        <v>51</v>
      </c>
      <c r="F40" s="33"/>
      <c r="G40" s="34" t="s">
        <v>52</v>
      </c>
      <c r="H40" s="34"/>
      <c r="I40" s="24"/>
      <c r="J40" s="25" t="s">
        <v>51</v>
      </c>
    </row>
  </sheetData>
  <mergeCells count="30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B23:J23"/>
    <mergeCell ref="B25:J25"/>
    <mergeCell ref="B26:J26"/>
    <mergeCell ref="B27:J27"/>
    <mergeCell ref="B28:J28"/>
    <mergeCell ref="B29:J29"/>
    <mergeCell ref="B30:J30"/>
    <mergeCell ref="B32:J32"/>
    <mergeCell ref="B33:J33"/>
    <mergeCell ref="B34:J34"/>
    <mergeCell ref="B40:C40"/>
    <mergeCell ref="E40:F40"/>
    <mergeCell ref="G40:H40"/>
  </mergeCells>
  <pageMargins left="0.7" right="0.7" top="0.75" bottom="0.75" header="0.3" footer="0.3"/>
  <pageSetup scale="7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E3720C-BECF-483C-90AA-93D42EDDC692}">
  <ds:schemaRefs>
    <ds:schemaRef ds:uri="http://schemas.microsoft.com/office/2006/metadata/properties"/>
    <ds:schemaRef ds:uri="http://schemas.microsoft.com/office/infopath/2007/PartnerControls"/>
    <ds:schemaRef ds:uri="374e9f3f-5602-4c64-9487-40f39f273410"/>
    <ds:schemaRef ds:uri="826e4ca9-683e-460e-9129-1a62b2e7bbb5"/>
  </ds:schemaRefs>
</ds:datastoreItem>
</file>

<file path=customXml/itemProps2.xml><?xml version="1.0" encoding="utf-8"?>
<ds:datastoreItem xmlns:ds="http://schemas.openxmlformats.org/officeDocument/2006/customXml" ds:itemID="{BCB2CDC5-BA03-4355-AE5A-5C41112F387A}"/>
</file>

<file path=customXml/itemProps3.xml><?xml version="1.0" encoding="utf-8"?>
<ds:datastoreItem xmlns:ds="http://schemas.openxmlformats.org/officeDocument/2006/customXml" ds:itemID="{D24D5BEB-19D0-4D02-837C-9CA965F98E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Etouffee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2024-10-10T16:27:33Z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