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sary Joseph/"/>
    </mc:Choice>
  </mc:AlternateContent>
  <xr:revisionPtr revIDLastSave="24" documentId="8_{F7584CFD-4E09-4C0F-B308-52AADA87F6DF}" xr6:coauthVersionLast="47" xr6:coauthVersionMax="47" xr10:uidLastSave="{00FA9B2A-EF8C-48F3-9F0A-AE5B345F220B}"/>
  <bookViews>
    <workbookView xWindow="10140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<sst xmlns="http://schemas.openxmlformats.org/spreadsheetml/2006/main" count="54" uniqueCount="37">
  <si>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</si>
  <si>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</si>
  <si>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</si>
  <si>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</si>
  <si>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</si>
  <si>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</si>
  <si>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</si>
  <si>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</si>
  <si>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</si>
  <si>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</si>
  <si>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</si>
  <si>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</si>
  <si>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</si>
  <si>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</si>
  <si>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</si>
  <si>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</si>
  <si>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</si>
  <si>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</si>
  <si>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</si>
  <si>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</si>
  <si>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</si>
  <si>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</si>
  <si>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</si>
  <si>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</si>
  <si>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</si>
  <si>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Old Bay Seasoning</t>
  </si>
  <si>
    <t>Okra and Peppers</t>
  </si>
  <si>
    <t>C364</t>
  </si>
  <si>
    <t>OKRA FRESH</t>
  </si>
  <si>
    <t>C134</t>
  </si>
  <si>
    <t>PEPPER BELL RED</t>
  </si>
  <si>
    <t>C057</t>
  </si>
  <si>
    <t>ONION WHOLE YELLOW</t>
  </si>
  <si>
    <t>C205</t>
  </si>
  <si>
    <t>PEPPER BELL GREEN</t>
  </si>
  <si>
    <t>D257</t>
  </si>
  <si>
    <t>OIL BLENDED 75%/25%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</si>
</sst>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zoomScale="90" zoomScaleNormal="90" workbookViewId="0">
      <selection activeCell="C18" sqref="C18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26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30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27</v>
      </c>
      <c r="C7" s="12" t="s">
        <v>28</v>
      </c>
      <c r="D7" s="13">
        <v>1261.74</v>
      </c>
      <c r="E7" s="13" t="s">
        <v>23</v>
      </c>
      <c r="F7" s="14">
        <f t="shared" ref="F7:F23" si="0">D7/D$24</f>
        <v>0.77885185185185191</v>
      </c>
      <c r="G7" s="15">
        <f>C4*F7</f>
        <v>23.365555555555556</v>
      </c>
      <c r="H7" s="27"/>
      <c r="I7" s="28"/>
      <c r="J7" s="16"/>
    </row>
    <row r="8" spans="1:10" x14ac:dyDescent="0.25">
      <c r="A8" s="1">
        <v>2</v>
      </c>
      <c r="B8" s="12" t="s">
        <v>29</v>
      </c>
      <c r="C8" s="12" t="s">
        <v>30</v>
      </c>
      <c r="D8" s="13">
        <v>100.54</v>
      </c>
      <c r="E8" s="13" t="s">
        <v>23</v>
      </c>
      <c r="F8" s="14">
        <f t="shared" si="0"/>
        <v>6.206172839506173E-2</v>
      </c>
      <c r="G8" s="15">
        <f>C4*F8</f>
        <v>1.8618518518518519</v>
      </c>
      <c r="H8" s="27"/>
      <c r="I8" s="28"/>
      <c r="J8" s="16"/>
    </row>
    <row r="9" spans="1:10" x14ac:dyDescent="0.25">
      <c r="A9" s="1">
        <v>3</v>
      </c>
      <c r="B9" s="12" t="s">
        <v>31</v>
      </c>
      <c r="C9" s="12" t="s">
        <v>32</v>
      </c>
      <c r="D9" s="13">
        <v>100.54</v>
      </c>
      <c r="E9" s="13" t="s">
        <v>23</v>
      </c>
      <c r="F9" s="14">
        <f t="shared" si="0"/>
        <v>6.206172839506173E-2</v>
      </c>
      <c r="G9" s="15">
        <f>C4*F9</f>
        <v>1.8618518518518519</v>
      </c>
      <c r="H9" s="27"/>
      <c r="I9" s="28"/>
      <c r="J9" s="16"/>
    </row>
    <row r="10" spans="1:10" x14ac:dyDescent="0.25">
      <c r="A10" s="1">
        <v>4</v>
      </c>
      <c r="B10" s="12" t="s">
        <v>33</v>
      </c>
      <c r="C10" s="12" t="s">
        <v>34</v>
      </c>
      <c r="D10" s="13">
        <v>100.54</v>
      </c>
      <c r="E10" s="13" t="s">
        <v>23</v>
      </c>
      <c r="F10" s="14">
        <f t="shared" si="0"/>
        <v>6.206172839506173E-2</v>
      </c>
      <c r="G10" s="15">
        <f>C4*F10</f>
        <v>1.8618518518518519</v>
      </c>
      <c r="H10" s="27"/>
      <c r="I10" s="28"/>
      <c r="J10" s="16"/>
    </row>
    <row r="11" spans="1:10" x14ac:dyDescent="0.25">
      <c r="A11" s="1">
        <v>5</v>
      </c>
      <c r="B11" s="12"/>
      <c r="C11" s="12" t="s">
        <v>25</v>
      </c>
      <c r="D11" s="13">
        <v>6.64</v>
      </c>
      <c r="E11" s="13" t="s">
        <v>23</v>
      </c>
      <c r="F11" s="14">
        <f t="shared" si="0"/>
        <v>4.0987654320987655E-3</v>
      </c>
      <c r="G11" s="15">
        <f>C4*F11</f>
        <v>0.12296296296296297</v>
      </c>
      <c r="H11" s="27"/>
      <c r="I11" s="28"/>
      <c r="J11" s="16"/>
    </row>
    <row r="12" spans="1:10" x14ac:dyDescent="0.25">
      <c r="A12" s="1">
        <v>6</v>
      </c>
      <c r="B12" s="12" t="s">
        <v>35</v>
      </c>
      <c r="C12" s="12" t="s">
        <v>36</v>
      </c>
      <c r="D12" s="13">
        <v>50</v>
      </c>
      <c r="E12" s="13" t="s">
        <v>23</v>
      </c>
      <c r="F12" s="14">
        <f t="shared" si="0"/>
        <v>3.0864197530864196E-2</v>
      </c>
      <c r="G12" s="15">
        <f>C4*F12</f>
        <v>0.92592592592592582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1620</v>
      </c>
      <c r="E24" s="1" t="s">
        <v>23</v>
      </c>
      <c r="F24" s="18">
        <f>SUM(F7:F23)</f>
        <v>1</v>
      </c>
      <c r="G24" s="26">
        <f>SUM(G7:G23)</f>
        <v>30.000000000000004</v>
      </c>
      <c r="H24" s="19" t="s">
        <v>13</v>
      </c>
    </row>
    <row r="25" spans="1:10" x14ac:dyDescent="0.25">
      <c r="F25" s="25" t="s">
        <v>24</v>
      </c>
      <c r="G25" s="20">
        <f>-G24*G4+C4</f>
        <v>25.5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86083781-25B6-43F9-AE01-1141158C3A87}"/>
</file>

<file path=customXml/itemProps2.xml><?xml version="1.0" encoding="utf-8"?>
<ds:datastoreItem xmlns:ds="http://schemas.openxmlformats.org/officeDocument/2006/customXml" ds:itemID="{2E1A16CF-17EC-45CE-8161-EF853B64C318}"/>
</file>

<file path=customXml/itemProps3.xml><?xml version="1.0" encoding="utf-8"?>
<ds:datastoreItem xmlns:ds="http://schemas.openxmlformats.org/officeDocument/2006/customXml" ds:itemID="{45AF7311-F569-4FAC-90E2-A1E2A63CD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2024-08-27T13:09:38Z</cp:lastPrinted>
  <dcterms:created xsi:type="dcterms:W3CDTF">2023-08-17T15:10:54Z</dcterms:created>
  <dcterms:modified xsi:type="dcterms:W3CDTF">2024-10-09T19:21:18Z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