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1" documentId="13_ncr:1_{73DA2904-4B58-4C77-9109-4013AD3F613C}" xr6:coauthVersionLast="47" xr6:coauthVersionMax="47" xr10:uidLastSave="{9D8D4703-B839-445B-B3FD-F9D8BEBBDC8A}"/>
  <bookViews>
    <workbookView xWindow="-105" yWindow="0" windowWidth="10425" windowHeight="10905" xr2:uid="{00000000-000D-0000-FFFF-FFFF00000000}"/>
  </bookViews>
  <sheets>
    <sheet name="Garlic Jasmine Rice 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3" l="1"/>
  <c r="F10" i="13" s="1"/>
  <c r="G10" i="13" s="1"/>
  <c r="F7" i="13" l="1"/>
  <c r="F9" i="13"/>
  <c r="G9" i="13" s="1"/>
  <c r="F11" i="13"/>
  <c r="G11" i="13" s="1"/>
  <c r="F13" i="13"/>
  <c r="G13" i="13" s="1"/>
  <c r="F8" i="13"/>
  <c r="G8" i="13" s="1"/>
  <c r="F12" i="13"/>
  <c r="G12" i="13" s="1"/>
  <c r="F14" i="13"/>
  <c r="G14" i="13" s="1"/>
  <c r="F15" i="13" l="1"/>
  <c r="G7" i="13"/>
  <c r="G15" i="13" s="1"/>
  <c r="G16" i="13" s="1"/>
</calcChain>
</file>

<file path=xl/sharedStrings.xml><?xml version="1.0" encoding="utf-8"?>
<sst xmlns="http://schemas.openxmlformats.org/spreadsheetml/2006/main" count="50" uniqueCount="41">
  <si>
    <t>Formula Name:</t>
  </si>
  <si>
    <t>R&amp;D ID Number:</t>
  </si>
  <si>
    <t>Version #:</t>
  </si>
  <si>
    <t>Batch Number:</t>
  </si>
  <si>
    <t>Yield Loss:</t>
  </si>
  <si>
    <t>Item Number</t>
  </si>
  <si>
    <t>Description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</si>
  <si>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</si>
  <si>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</si>
  <si>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</si>
  <si>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</si>
  <si>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</si>
  <si>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</si>
  <si>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</si>
  <si>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Weight After Yield Loss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</si>
  <si>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</si>
  <si>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</si>
  <si>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</si>
  <si>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</si>
  <si>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</si>
  <si>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>Desired QTY (lb):</t>
  </si>
  <si>
    <t>lb</t>
  </si>
  <si>
    <t>Reviewed By</t>
  </si>
  <si>
    <t>Original Formula</t>
  </si>
  <si>
    <t xml:space="preserve">QA to sign off on Batch Sheet to make sure all measurements are correct. </t>
  </si>
  <si>
    <t>Chill to 70 degrees in 2 hours and to 41 degrees or lower in 4 or less hours.</t>
  </si>
  <si>
    <t xml:space="preserve">Garlic Jasmine Rice </t>
  </si>
  <si>
    <t xml:space="preserve">IQF Jasmine Rice </t>
  </si>
  <si>
    <t>Salt, Kosher</t>
  </si>
  <si>
    <t>Spice, Red Chili Flake</t>
  </si>
  <si>
    <t>Spice, Thyme Dried</t>
  </si>
  <si>
    <t>Spice, Garlic Powder</t>
  </si>
  <si>
    <t xml:space="preserve">Oil, Blended </t>
  </si>
  <si>
    <t xml:space="preserve">Place rice into large mixing bowl and cover with remaining ingredients. </t>
  </si>
  <si>
    <t xml:space="preserve">Label and pack into 5# bags, making sure it is kept at 41 degrees or less. </t>
  </si>
  <si>
    <t>D090</t>
  </si>
  <si>
    <t>D141</t>
  </si>
  <si>
    <t>D150</t>
  </si>
  <si>
    <t>D123</t>
  </si>
  <si>
    <t>D109</t>
  </si>
  <si>
    <t xml:space="preserve">Mix all ingredients together until rice is evenly coated with seasoning.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</si>
</sst>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9" fontId="0" fillId="3" borderId="0" xfId="1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1" xfId="0" applyBorder="1" applyProtection="1">
      <protection locked="0"/>
    </xf>
    <xf numFmtId="2" fontId="0" fillId="5" borderId="1" xfId="2" applyNumberFormat="1" applyFont="1" applyFill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5" borderId="0" xfId="0" applyFill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horizontal="left"/>
      <protection locked="0"/>
    </xf>
    <xf numFmtId="0" fontId="2" fillId="2" borderId="7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left"/>
    </xf>
    <xf numFmtId="9" fontId="0" fillId="4" borderId="0" xfId="1" applyFon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6" borderId="0" xfId="0" applyFill="1"/>
    <xf numFmtId="0" fontId="0" fillId="2" borderId="7" xfId="0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4" fontId="0" fillId="0" borderId="2" xfId="2" applyFont="1" applyBorder="1" applyAlignment="1" applyProtection="1">
      <alignment horizontal="center"/>
      <protection locked="0"/>
    </xf>
    <xf numFmtId="44" fontId="0" fillId="0" borderId="3" xfId="2" applyFont="1" applyBorder="1" applyAlignment="1" applyProtection="1">
      <alignment horizontal="center"/>
      <protection locked="0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0AC0-A919-4FE6-9656-911088ACBCAB}">
  <sheetPr>
    <pageSetUpPr fitToPage="1"/>
  </sheetPr>
  <dimension ref="A1:J30"/>
  <sheetViews>
    <sheetView tabSelected="1" topLeftCell="B1" zoomScale="80" zoomScaleNormal="80" workbookViewId="0">
      <selection activeCell="G12" sqref="G7:G12"/>
    </sheetView>
  </sheetViews>
  <sheetFormatPr defaultRowHeight="15" x14ac:dyDescent="0.25"/>
  <cols>
    <col min="1" max="1" width="3.5703125" style="2" customWidth="1"/>
    <col min="2" max="2" width="21.42578125" customWidth="1"/>
    <col min="3" max="3" width="38" customWidth="1"/>
    <col min="4" max="4" width="17.5703125" style="1" customWidth="1"/>
    <col min="5" max="5" width="6.5703125" style="1" customWidth="1"/>
    <col min="6" max="6" width="21.85546875" customWidth="1"/>
    <col min="7" max="7" width="12.5703125" style="1" customWidth="1"/>
    <col min="8" max="8" width="12.5703125" customWidth="1"/>
    <col min="9" max="9" width="5" customWidth="1"/>
    <col min="10" max="10" width="23.85546875" customWidth="1"/>
  </cols>
  <sheetData>
    <row r="1" spans="1:10" ht="15.75" thickBot="1" x14ac:dyDescent="0.3"/>
    <row r="2" spans="1:10" ht="15.75" thickBot="1" x14ac:dyDescent="0.3">
      <c r="B2" s="24" t="s">
        <v>0</v>
      </c>
      <c r="C2" s="22" t="s">
        <v>26</v>
      </c>
      <c r="D2" s="23" t="s">
        <v>1</v>
      </c>
      <c r="E2" s="30"/>
      <c r="F2" s="30"/>
      <c r="G2" s="22"/>
      <c r="H2" s="21" t="s">
        <v>2</v>
      </c>
      <c r="I2" s="20">
        <v>1</v>
      </c>
      <c r="J2" s="19" t="s">
        <v>3</v>
      </c>
    </row>
    <row r="3" spans="1:10" ht="5.25" customHeight="1" x14ac:dyDescent="0.25">
      <c r="B3" s="2"/>
      <c r="D3" s="17"/>
      <c r="F3" s="1"/>
      <c r="H3" s="2"/>
      <c r="I3" s="2"/>
      <c r="J3" s="1"/>
    </row>
    <row r="4" spans="1:10" x14ac:dyDescent="0.25">
      <c r="B4" s="1" t="s">
        <v>20</v>
      </c>
      <c r="C4" s="18">
        <v>150</v>
      </c>
      <c r="D4" s="17"/>
      <c r="F4" s="1" t="s">
        <v>4</v>
      </c>
      <c r="G4" s="8">
        <v>0</v>
      </c>
      <c r="I4" s="2"/>
      <c r="J4" s="1"/>
    </row>
    <row r="5" spans="1:10" ht="5.25" customHeight="1" x14ac:dyDescent="0.25">
      <c r="B5" s="2"/>
      <c r="D5" s="17"/>
      <c r="F5" s="1"/>
      <c r="H5" s="2"/>
      <c r="I5" s="2"/>
      <c r="J5" s="1"/>
    </row>
    <row r="6" spans="1:10" x14ac:dyDescent="0.25">
      <c r="B6" s="16" t="s">
        <v>5</v>
      </c>
      <c r="C6" s="16" t="s">
        <v>6</v>
      </c>
      <c r="D6" s="16" t="s">
        <v>23</v>
      </c>
      <c r="E6" s="16" t="s">
        <v>7</v>
      </c>
      <c r="F6" s="16" t="s">
        <v>8</v>
      </c>
      <c r="G6" s="16" t="s">
        <v>9</v>
      </c>
      <c r="H6" s="31" t="s">
        <v>10</v>
      </c>
      <c r="I6" s="32"/>
      <c r="J6" s="16" t="s">
        <v>11</v>
      </c>
    </row>
    <row r="7" spans="1:10" x14ac:dyDescent="0.25">
      <c r="A7" s="2">
        <v>1</v>
      </c>
      <c r="B7" s="15"/>
      <c r="C7" s="5" t="s">
        <v>27</v>
      </c>
      <c r="D7" s="15">
        <v>5.8578999999999999</v>
      </c>
      <c r="E7" s="15" t="s">
        <v>21</v>
      </c>
      <c r="F7" s="14">
        <f t="shared" ref="F7:F14" si="0">D7/D$15</f>
        <v>0.97626785327400301</v>
      </c>
      <c r="G7" s="13">
        <f>C4*F7</f>
        <v>146.44017799110046</v>
      </c>
      <c r="H7" s="33"/>
      <c r="I7" s="34"/>
      <c r="J7" s="12"/>
    </row>
    <row r="8" spans="1:10" x14ac:dyDescent="0.25">
      <c r="A8" s="2">
        <v>2</v>
      </c>
      <c r="B8" s="15" t="s">
        <v>35</v>
      </c>
      <c r="C8" s="5" t="s">
        <v>28</v>
      </c>
      <c r="D8" s="15">
        <v>6.2600000000000003E-2</v>
      </c>
      <c r="E8" s="15" t="s">
        <v>21</v>
      </c>
      <c r="F8" s="14">
        <f t="shared" si="0"/>
        <v>1.0432811692748697E-2</v>
      </c>
      <c r="G8" s="13">
        <f>C4*F8</f>
        <v>1.5649217539123046</v>
      </c>
      <c r="H8" s="33"/>
      <c r="I8" s="34"/>
      <c r="J8" s="12"/>
    </row>
    <row r="9" spans="1:10" x14ac:dyDescent="0.25">
      <c r="A9" s="2">
        <v>3</v>
      </c>
      <c r="B9" s="15" t="s">
        <v>36</v>
      </c>
      <c r="C9" s="5" t="s">
        <v>29</v>
      </c>
      <c r="D9" s="15">
        <v>6.4999999999999997E-3</v>
      </c>
      <c r="E9" s="15" t="s">
        <v>21</v>
      </c>
      <c r="F9" s="14">
        <f t="shared" si="0"/>
        <v>1.0832791693748648E-3</v>
      </c>
      <c r="G9" s="13">
        <f>C4*F9</f>
        <v>0.16249187540622972</v>
      </c>
      <c r="H9" s="33"/>
      <c r="I9" s="34"/>
      <c r="J9" s="12"/>
    </row>
    <row r="10" spans="1:10" x14ac:dyDescent="0.25">
      <c r="A10" s="2">
        <v>4</v>
      </c>
      <c r="B10" s="15" t="s">
        <v>37</v>
      </c>
      <c r="C10" s="5" t="s">
        <v>30</v>
      </c>
      <c r="D10" s="15">
        <v>3.5000000000000001E-3</v>
      </c>
      <c r="E10" s="15" t="s">
        <v>21</v>
      </c>
      <c r="F10" s="14">
        <f t="shared" si="0"/>
        <v>5.8330416812492716E-4</v>
      </c>
      <c r="G10" s="13">
        <f>C4*F10</f>
        <v>8.7495625218739076E-2</v>
      </c>
      <c r="H10" s="33"/>
      <c r="I10" s="34"/>
      <c r="J10" s="12"/>
    </row>
    <row r="11" spans="1:10" x14ac:dyDescent="0.25">
      <c r="A11" s="2">
        <v>5</v>
      </c>
      <c r="B11" s="15" t="s">
        <v>38</v>
      </c>
      <c r="C11" s="5" t="s">
        <v>31</v>
      </c>
      <c r="D11" s="15">
        <v>1.7600000000000001E-2</v>
      </c>
      <c r="E11" s="15" t="s">
        <v>21</v>
      </c>
      <c r="F11" s="14">
        <f t="shared" si="0"/>
        <v>2.9331866739996338E-3</v>
      </c>
      <c r="G11" s="13">
        <f>C4*F11</f>
        <v>0.43997800109994506</v>
      </c>
      <c r="H11" s="33"/>
      <c r="I11" s="34"/>
      <c r="J11" s="12"/>
    </row>
    <row r="12" spans="1:10" x14ac:dyDescent="0.25">
      <c r="A12" s="2">
        <v>6</v>
      </c>
      <c r="B12" s="15" t="s">
        <v>39</v>
      </c>
      <c r="C12" s="5" t="s">
        <v>32</v>
      </c>
      <c r="D12" s="15">
        <v>5.2200000000000003E-2</v>
      </c>
      <c r="E12" s="15" t="s">
        <v>21</v>
      </c>
      <c r="F12" s="14">
        <f t="shared" si="0"/>
        <v>8.6995650217489146E-3</v>
      </c>
      <c r="G12" s="13">
        <f>C4*F12</f>
        <v>1.3049347532623372</v>
      </c>
      <c r="H12" s="33"/>
      <c r="I12" s="34"/>
      <c r="J12" s="12"/>
    </row>
    <row r="13" spans="1:10" x14ac:dyDescent="0.25">
      <c r="A13" s="2">
        <v>7</v>
      </c>
      <c r="B13" s="5"/>
      <c r="C13" s="5"/>
      <c r="D13" s="15"/>
      <c r="E13" s="15" t="s">
        <v>21</v>
      </c>
      <c r="F13" s="14">
        <f t="shared" si="0"/>
        <v>0</v>
      </c>
      <c r="G13" s="13">
        <f>C4*F13</f>
        <v>0</v>
      </c>
      <c r="H13" s="33"/>
      <c r="I13" s="34"/>
      <c r="J13" s="12"/>
    </row>
    <row r="14" spans="1:10" x14ac:dyDescent="0.25">
      <c r="A14" s="2">
        <v>8</v>
      </c>
      <c r="B14" s="5"/>
      <c r="C14" s="5"/>
      <c r="D14" s="15"/>
      <c r="E14" s="15" t="s">
        <v>21</v>
      </c>
      <c r="F14" s="14">
        <f t="shared" si="0"/>
        <v>0</v>
      </c>
      <c r="G14" s="13">
        <f>C4*F14</f>
        <v>0</v>
      </c>
      <c r="H14" s="33"/>
      <c r="I14" s="34"/>
      <c r="J14" s="12"/>
    </row>
    <row r="15" spans="1:10" x14ac:dyDescent="0.25">
      <c r="C15" s="11" t="s">
        <v>12</v>
      </c>
      <c r="D15" s="2">
        <f>SUM(D7:D14)</f>
        <v>6.0002999999999993</v>
      </c>
      <c r="E15" s="2" t="s">
        <v>21</v>
      </c>
      <c r="F15" s="10">
        <f>SUM(F7:F14)</f>
        <v>1</v>
      </c>
      <c r="G15" s="28">
        <f>SUM(G7:G14)</f>
        <v>150</v>
      </c>
      <c r="H15" s="29" t="s">
        <v>13</v>
      </c>
    </row>
    <row r="16" spans="1:10" x14ac:dyDescent="0.25">
      <c r="F16" s="27" t="s">
        <v>14</v>
      </c>
      <c r="G16" s="9">
        <f>-G15*G4+C4</f>
        <v>150</v>
      </c>
    </row>
    <row r="17" spans="1:10" ht="15.75" x14ac:dyDescent="0.25">
      <c r="B17" s="36" t="s">
        <v>15</v>
      </c>
      <c r="C17" s="36"/>
      <c r="D17" s="36"/>
      <c r="E17" s="36"/>
      <c r="F17" s="36"/>
      <c r="G17" s="36"/>
      <c r="H17" s="36"/>
      <c r="I17" s="36"/>
      <c r="J17" s="36"/>
    </row>
    <row r="18" spans="1:10" ht="15.75" x14ac:dyDescent="0.25">
      <c r="B18" s="7" t="s">
        <v>16</v>
      </c>
      <c r="C18" s="6"/>
      <c r="D18" s="6"/>
      <c r="E18" s="6"/>
      <c r="F18" s="6"/>
      <c r="G18" s="6"/>
      <c r="H18" s="6"/>
      <c r="I18" s="6"/>
      <c r="J18" s="6"/>
    </row>
    <row r="19" spans="1:10" ht="18.75" x14ac:dyDescent="0.3">
      <c r="A19" s="2">
        <v>1</v>
      </c>
      <c r="B19" s="37" t="s">
        <v>24</v>
      </c>
      <c r="C19" s="37"/>
      <c r="D19" s="37"/>
      <c r="E19" s="37"/>
      <c r="F19" s="37"/>
      <c r="G19" s="37"/>
      <c r="H19" s="37"/>
      <c r="I19" s="37"/>
      <c r="J19" s="37"/>
    </row>
    <row r="20" spans="1:10" ht="18.75" x14ac:dyDescent="0.3">
      <c r="A20" s="2">
        <v>2</v>
      </c>
      <c r="B20" s="37" t="s">
        <v>33</v>
      </c>
      <c r="C20" s="37"/>
      <c r="D20" s="37"/>
      <c r="E20" s="37"/>
      <c r="F20" s="37"/>
      <c r="G20" s="37"/>
      <c r="H20" s="37"/>
      <c r="I20" s="37"/>
      <c r="J20" s="37"/>
    </row>
    <row r="21" spans="1:10" ht="18.75" x14ac:dyDescent="0.3">
      <c r="A21" s="2">
        <v>3</v>
      </c>
      <c r="B21" s="37" t="s">
        <v>40</v>
      </c>
      <c r="C21" s="37"/>
      <c r="D21" s="37"/>
      <c r="E21" s="37"/>
      <c r="F21" s="37"/>
      <c r="G21" s="37"/>
      <c r="H21" s="37"/>
      <c r="I21" s="37"/>
      <c r="J21" s="37"/>
    </row>
    <row r="22" spans="1:10" ht="18.75" x14ac:dyDescent="0.3">
      <c r="A22" s="2">
        <v>4</v>
      </c>
      <c r="B22" s="37" t="s">
        <v>25</v>
      </c>
      <c r="C22" s="37"/>
      <c r="D22" s="37"/>
      <c r="E22" s="37"/>
      <c r="F22" s="37"/>
      <c r="G22" s="37"/>
      <c r="H22" s="37"/>
      <c r="I22" s="37"/>
      <c r="J22" s="37"/>
    </row>
    <row r="23" spans="1:10" ht="18.75" x14ac:dyDescent="0.3">
      <c r="A23" s="2">
        <v>5</v>
      </c>
      <c r="B23" s="37" t="s">
        <v>34</v>
      </c>
      <c r="C23" s="37"/>
      <c r="D23" s="37"/>
      <c r="E23" s="37"/>
      <c r="F23" s="37"/>
      <c r="G23" s="37"/>
      <c r="H23" s="37"/>
      <c r="I23" s="37"/>
      <c r="J23" s="37"/>
    </row>
    <row r="24" spans="1:10" x14ac:dyDescent="0.25">
      <c r="A24" s="2">
        <v>6</v>
      </c>
      <c r="B24" s="35"/>
      <c r="C24" s="35"/>
      <c r="D24" s="35"/>
      <c r="E24" s="35"/>
      <c r="F24" s="35"/>
      <c r="G24" s="35"/>
      <c r="H24" s="35"/>
      <c r="I24" s="35"/>
      <c r="J24" s="35"/>
    </row>
    <row r="25" spans="1:10" x14ac:dyDescent="0.25">
      <c r="A25" s="2">
        <v>7</v>
      </c>
      <c r="B25" s="35"/>
      <c r="C25" s="35"/>
      <c r="D25" s="35"/>
      <c r="E25" s="35"/>
      <c r="F25" s="35"/>
      <c r="G25" s="35"/>
      <c r="H25" s="35"/>
      <c r="I25" s="35"/>
      <c r="J25" s="35"/>
    </row>
    <row r="27" spans="1:10" x14ac:dyDescent="0.25">
      <c r="B27" t="s">
        <v>17</v>
      </c>
    </row>
    <row r="29" spans="1:10" x14ac:dyDescent="0.25">
      <c r="B29" s="3"/>
      <c r="C29" s="3"/>
      <c r="D29" s="4"/>
      <c r="E29" s="4"/>
      <c r="F29" s="3"/>
      <c r="G29" s="4"/>
      <c r="H29" s="3"/>
      <c r="I29" s="3"/>
      <c r="J29" s="3"/>
    </row>
    <row r="30" spans="1:10" x14ac:dyDescent="0.25">
      <c r="B30" s="38" t="s">
        <v>18</v>
      </c>
      <c r="C30" s="38"/>
      <c r="E30" s="38" t="s">
        <v>19</v>
      </c>
      <c r="F30" s="38"/>
      <c r="G30" s="39" t="s">
        <v>22</v>
      </c>
      <c r="H30" s="39"/>
      <c r="I30" s="25"/>
      <c r="J30" s="26" t="s">
        <v>19</v>
      </c>
    </row>
  </sheetData>
  <mergeCells count="21">
    <mergeCell ref="B30:C30"/>
    <mergeCell ref="E30:F30"/>
    <mergeCell ref="G30:H30"/>
    <mergeCell ref="B25:J25"/>
    <mergeCell ref="B17:J17"/>
    <mergeCell ref="B19:J19"/>
    <mergeCell ref="B20:J20"/>
    <mergeCell ref="B21:J21"/>
    <mergeCell ref="B24:J24"/>
    <mergeCell ref="B22:J22"/>
    <mergeCell ref="B23:J23"/>
    <mergeCell ref="H10:I10"/>
    <mergeCell ref="H11:I11"/>
    <mergeCell ref="H12:I12"/>
    <mergeCell ref="H13:I13"/>
    <mergeCell ref="H14:I14"/>
    <mergeCell ref="E2:F2"/>
    <mergeCell ref="H6:I6"/>
    <mergeCell ref="H7:I7"/>
    <mergeCell ref="H8:I8"/>
    <mergeCell ref="H9:I9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022631CF-FC48-464B-ACD3-D45FBEC959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21455A-4A6C-4709-B09C-E8E7CCDC3368}"/>
</file>

<file path=customXml/itemProps3.xml><?xml version="1.0" encoding="utf-8"?>
<ds:datastoreItem xmlns:ds="http://schemas.openxmlformats.org/officeDocument/2006/customXml" ds:itemID="{5530FC2F-1500-4859-86F3-625A54E8D6ED}">
  <ds:schemaRefs>
    <ds:schemaRef ds:uri="http://schemas.microsoft.com/office/2006/metadata/properties"/>
    <ds:schemaRef ds:uri="http://schemas.microsoft.com/office/infopath/2007/PartnerControls"/>
    <ds:schemaRef ds:uri="374e9f3f-5602-4c64-9487-40f39f273410"/>
    <ds:schemaRef ds:uri="826e4ca9-683e-460e-9129-1a62b2e7bbb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Garlic Jasmine Rice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2024-10-10T16:41:38Z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