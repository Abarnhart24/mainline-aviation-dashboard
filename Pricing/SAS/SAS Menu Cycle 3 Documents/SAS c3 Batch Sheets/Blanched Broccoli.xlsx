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16" documentId="8_{2BA765F6-36E8-4195-9B42-BEC31BBDE4D8}" xr6:coauthVersionLast="47" xr6:coauthVersionMax="47" xr10:uidLastSave="{577F74D0-206E-4958-841C-DE649E155474}"/>
  <bookViews>
    <workbookView xWindow="10140" yWindow="0" windowWidth="10455" windowHeight="10905" xr2:uid="{00000000-000D-0000-FFFF-FFFF00000000}"/>
  </bookViews>
  <sheets>
    <sheet name="Marinated Broccoli" sheetId="4" r:id="rId1"/>
    <sheet name="Blanched Broccoli" sheetId="2" r:id="rId2"/>
    <sheet name="Garlic Caper Marina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4" i="4" l="1"/>
  <c r="F22" i="4" s="1"/>
  <c r="G22" i="4" s="1"/>
  <c r="D13" i="3"/>
  <c r="D11" i="2"/>
  <c r="F10" i="2" s="1"/>
  <c r="G10" i="2" s="1"/>
  <c r="F8" i="3" l="1"/>
  <c r="G8" i="3" s="1"/>
  <c r="F7" i="4"/>
  <c r="F9" i="4"/>
  <c r="G9" i="4" s="1"/>
  <c r="F11" i="4"/>
  <c r="G11" i="4" s="1"/>
  <c r="F13" i="4"/>
  <c r="G13" i="4" s="1"/>
  <c r="F15" i="4"/>
  <c r="G15" i="4" s="1"/>
  <c r="F17" i="4"/>
  <c r="G17" i="4" s="1"/>
  <c r="F19" i="4"/>
  <c r="G19" i="4" s="1"/>
  <c r="F21" i="4"/>
  <c r="G21" i="4" s="1"/>
  <c r="F23" i="4"/>
  <c r="G23" i="4" s="1"/>
  <c r="F8" i="4"/>
  <c r="G8" i="4" s="1"/>
  <c r="F10" i="4"/>
  <c r="G10" i="4" s="1"/>
  <c r="F12" i="4"/>
  <c r="G12" i="4" s="1"/>
  <c r="F14" i="4"/>
  <c r="G14" i="4" s="1"/>
  <c r="F16" i="4"/>
  <c r="G16" i="4" s="1"/>
  <c r="F18" i="4"/>
  <c r="G18" i="4" s="1"/>
  <c r="F20" i="4"/>
  <c r="G20" i="4" s="1"/>
  <c r="F7" i="3"/>
  <c r="F9" i="3"/>
  <c r="G9" i="3" s="1"/>
  <c r="F11" i="3"/>
  <c r="G11" i="3" s="1"/>
  <c r="F10" i="3"/>
  <c r="G10" i="3" s="1"/>
  <c r="F12" i="3"/>
  <c r="G12" i="3" s="1"/>
  <c r="F8" i="2"/>
  <c r="G8" i="2" s="1"/>
  <c r="F7" i="2"/>
  <c r="F9" i="2"/>
  <c r="G9" i="2" s="1"/>
  <c r="G7" i="4" l="1"/>
  <c r="G24" i="4" s="1"/>
  <c r="G25" i="4" s="1"/>
  <c r="F24" i="4"/>
  <c r="G7" i="3"/>
  <c r="G13" i="3" s="1"/>
  <c r="G14" i="3" s="1"/>
  <c r="F13" i="3"/>
  <c r="G7" i="2"/>
  <c r="G11" i="2" s="1"/>
  <c r="G12" i="2" s="1"/>
  <c r="F11" i="2"/>
</calcChain>
</file>

<file path=xl/sharedStrings.xml><?xml version="1.0" encoding="utf-8"?>
<sst xmlns="http://schemas.openxmlformats.org/spreadsheetml/2006/main" count="124" uniqueCount="45">
  <si>
    <t>%</t>
  </si>
  <si>
    <t>Water</t>
  </si>
  <si>
    <t>Formula Name: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</si>
  <si>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</si>
  <si>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</si>
  <si>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</si>
  <si>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</si>
  <si>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</si>
  <si>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</si>
  <si>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</si>
  <si>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</si>
  <si>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</si>
  <si>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</si>
  <si>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</si>
  <si>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</si>
  <si>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</si>
  <si>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</si>
  <si>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</si>
  <si>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</si>
  <si>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</si>
  <si>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</si>
  <si>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</si>
  <si>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</si>
  <si>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</si>
  <si>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</si>
  <si>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</si>
  <si>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Combine Water And Salt and Bring to a Rolling Boil</t>
  </si>
  <si>
    <t>Garlic Caper Marinade</t>
  </si>
  <si>
    <t>Blended Oil</t>
  </si>
  <si>
    <t>Garlice Mince, Rehydrated</t>
  </si>
  <si>
    <t xml:space="preserve">Capers </t>
  </si>
  <si>
    <t>Black Pepper Fine</t>
  </si>
  <si>
    <t>Blend all ingredients together in a blender or stick blender</t>
  </si>
  <si>
    <t xml:space="preserve">Toss Ingredients together </t>
  </si>
  <si>
    <t>Store Below 40F until ready for pack out</t>
  </si>
  <si>
    <t>D090</t>
  </si>
  <si>
    <t>D051</t>
  </si>
  <si>
    <t>D109</t>
  </si>
  <si>
    <t>P244</t>
  </si>
  <si>
    <t>D321</t>
  </si>
  <si>
    <t>Salt, Kosher</t>
  </si>
  <si>
    <t xml:space="preserve">Broccoli Florets ,Fresh, </t>
  </si>
  <si>
    <t>Blanched Broccoli</t>
  </si>
  <si>
    <t>Dunk Broccoli in for 30 seconds and immediately remove and cool in to Ice Bath</t>
  </si>
  <si>
    <t>Marinated Broccoli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</si>
</sst>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4" borderId="0" xfId="0" applyFill="1" applyAlignment="1" applyProtection="1">
      <alignment horizontal="center"/>
      <protection locked="0"/>
    </xf>
    <xf numFmtId="9" fontId="0" fillId="5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4" borderId="1" xfId="2" applyNumberFormat="1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0" fontId="0" fillId="3" borderId="6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6BD0-57C7-4E6A-9BE3-B55415DE4DA7}">
  <sheetPr>
    <pageSetUpPr fitToPage="1"/>
  </sheetPr>
  <dimension ref="A1:J43"/>
  <sheetViews>
    <sheetView tabSelected="1" topLeftCell="B1" zoomScale="80" zoomScaleNormal="80" workbookViewId="0">
      <selection activeCell="C5" sqref="C5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2</v>
      </c>
      <c r="C2" s="5" t="s">
        <v>44</v>
      </c>
      <c r="D2" s="6" t="s">
        <v>3</v>
      </c>
      <c r="E2" s="39"/>
      <c r="F2" s="39"/>
      <c r="G2" s="5"/>
      <c r="H2" s="7" t="s">
        <v>4</v>
      </c>
      <c r="I2" s="8"/>
      <c r="J2" s="9" t="s">
        <v>5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6</v>
      </c>
      <c r="C4" s="11">
        <v>7</v>
      </c>
      <c r="D4" s="10"/>
      <c r="F4" s="3" t="s">
        <v>7</v>
      </c>
      <c r="G4" s="12">
        <v>0.1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8</v>
      </c>
      <c r="C6" s="13" t="s">
        <v>9</v>
      </c>
      <c r="D6" s="13" t="s">
        <v>10</v>
      </c>
      <c r="E6" s="13" t="s">
        <v>11</v>
      </c>
      <c r="F6" s="13" t="s">
        <v>0</v>
      </c>
      <c r="G6" s="13" t="s">
        <v>12</v>
      </c>
      <c r="H6" s="40" t="s">
        <v>13</v>
      </c>
      <c r="I6" s="41"/>
      <c r="J6" s="13" t="s">
        <v>14</v>
      </c>
    </row>
    <row r="7" spans="1:10" x14ac:dyDescent="0.25">
      <c r="A7" s="2">
        <v>1</v>
      </c>
      <c r="B7" s="14"/>
      <c r="C7" s="14" t="s">
        <v>42</v>
      </c>
      <c r="D7" s="15">
        <v>0.92</v>
      </c>
      <c r="E7" s="15" t="s">
        <v>15</v>
      </c>
      <c r="F7" s="16">
        <f t="shared" ref="F7:F23" si="0">D7/D$24</f>
        <v>0.92</v>
      </c>
      <c r="G7" s="17">
        <f>C4*F7</f>
        <v>6.44</v>
      </c>
      <c r="H7" s="33"/>
      <c r="I7" s="34"/>
      <c r="J7" s="18"/>
    </row>
    <row r="8" spans="1:10" x14ac:dyDescent="0.25">
      <c r="A8" s="2">
        <v>2</v>
      </c>
      <c r="B8" s="14"/>
      <c r="C8" s="14" t="s">
        <v>27</v>
      </c>
      <c r="D8" s="15">
        <v>0.08</v>
      </c>
      <c r="E8" s="15" t="s">
        <v>15</v>
      </c>
      <c r="F8" s="16">
        <f t="shared" si="0"/>
        <v>0.08</v>
      </c>
      <c r="G8" s="17">
        <f>C4*F8</f>
        <v>0.56000000000000005</v>
      </c>
      <c r="H8" s="33"/>
      <c r="I8" s="34"/>
      <c r="J8" s="18"/>
    </row>
    <row r="9" spans="1:10" x14ac:dyDescent="0.25">
      <c r="A9" s="2">
        <v>3</v>
      </c>
      <c r="B9" s="14"/>
      <c r="C9" s="14"/>
      <c r="D9" s="15"/>
      <c r="E9" s="15" t="s">
        <v>15</v>
      </c>
      <c r="F9" s="16">
        <f t="shared" si="0"/>
        <v>0</v>
      </c>
      <c r="G9" s="17">
        <f>C4*F9</f>
        <v>0</v>
      </c>
      <c r="H9" s="33"/>
      <c r="I9" s="34"/>
      <c r="J9" s="18"/>
    </row>
    <row r="10" spans="1:10" x14ac:dyDescent="0.25">
      <c r="A10" s="2">
        <v>4</v>
      </c>
      <c r="B10" s="14"/>
      <c r="C10" s="14"/>
      <c r="D10" s="15"/>
      <c r="E10" s="15" t="s">
        <v>15</v>
      </c>
      <c r="F10" s="16">
        <f t="shared" si="0"/>
        <v>0</v>
      </c>
      <c r="G10" s="17">
        <f>C4*F10</f>
        <v>0</v>
      </c>
      <c r="H10" s="33"/>
      <c r="I10" s="34"/>
      <c r="J10" s="18"/>
    </row>
    <row r="11" spans="1:10" x14ac:dyDescent="0.25">
      <c r="A11" s="2">
        <v>5</v>
      </c>
      <c r="B11" s="14"/>
      <c r="C11" s="14"/>
      <c r="D11" s="15"/>
      <c r="E11" s="15" t="s">
        <v>15</v>
      </c>
      <c r="F11" s="16">
        <f t="shared" si="0"/>
        <v>0</v>
      </c>
      <c r="G11" s="17">
        <f>C4*F11</f>
        <v>0</v>
      </c>
      <c r="H11" s="33"/>
      <c r="I11" s="34"/>
      <c r="J11" s="18"/>
    </row>
    <row r="12" spans="1:10" x14ac:dyDescent="0.25">
      <c r="A12" s="2">
        <v>6</v>
      </c>
      <c r="B12" s="14"/>
      <c r="C12" s="14"/>
      <c r="D12" s="15"/>
      <c r="E12" s="15" t="s">
        <v>15</v>
      </c>
      <c r="F12" s="16">
        <f t="shared" si="0"/>
        <v>0</v>
      </c>
      <c r="G12" s="17">
        <f>C4*F12</f>
        <v>0</v>
      </c>
      <c r="H12" s="33"/>
      <c r="I12" s="34"/>
      <c r="J12" s="18"/>
    </row>
    <row r="13" spans="1:10" x14ac:dyDescent="0.25">
      <c r="A13" s="2">
        <v>7</v>
      </c>
      <c r="B13" s="14"/>
      <c r="C13" s="14"/>
      <c r="D13" s="15"/>
      <c r="E13" s="15" t="s">
        <v>15</v>
      </c>
      <c r="F13" s="16">
        <f t="shared" si="0"/>
        <v>0</v>
      </c>
      <c r="G13" s="17">
        <f>C4*F13</f>
        <v>0</v>
      </c>
      <c r="H13" s="33"/>
      <c r="I13" s="34"/>
      <c r="J13" s="18"/>
    </row>
    <row r="14" spans="1:10" x14ac:dyDescent="0.25">
      <c r="A14" s="2">
        <v>8</v>
      </c>
      <c r="B14" s="14"/>
      <c r="C14" s="14"/>
      <c r="D14" s="15"/>
      <c r="E14" s="15" t="s">
        <v>15</v>
      </c>
      <c r="F14" s="16">
        <f t="shared" si="0"/>
        <v>0</v>
      </c>
      <c r="G14" s="17">
        <f>C4*F14</f>
        <v>0</v>
      </c>
      <c r="H14" s="33"/>
      <c r="I14" s="34"/>
      <c r="J14" s="18"/>
    </row>
    <row r="15" spans="1:10" x14ac:dyDescent="0.25">
      <c r="A15" s="2">
        <v>9</v>
      </c>
      <c r="B15" s="14"/>
      <c r="C15" s="14"/>
      <c r="D15" s="15"/>
      <c r="E15" s="15" t="s">
        <v>15</v>
      </c>
      <c r="F15" s="16">
        <f t="shared" si="0"/>
        <v>0</v>
      </c>
      <c r="G15" s="17">
        <f>C4*F15</f>
        <v>0</v>
      </c>
      <c r="H15" s="33"/>
      <c r="I15" s="34"/>
      <c r="J15" s="18"/>
    </row>
    <row r="16" spans="1:10" x14ac:dyDescent="0.25">
      <c r="A16" s="2">
        <v>10</v>
      </c>
      <c r="B16" s="14"/>
      <c r="C16" s="14"/>
      <c r="D16" s="15"/>
      <c r="E16" s="15" t="s">
        <v>15</v>
      </c>
      <c r="F16" s="16">
        <f t="shared" si="0"/>
        <v>0</v>
      </c>
      <c r="G16" s="17">
        <f>C4*F16</f>
        <v>0</v>
      </c>
      <c r="H16" s="33"/>
      <c r="I16" s="34"/>
      <c r="J16" s="18"/>
    </row>
    <row r="17" spans="1:10" x14ac:dyDescent="0.25">
      <c r="A17" s="2">
        <v>11</v>
      </c>
      <c r="B17" s="14"/>
      <c r="C17" s="14"/>
      <c r="D17" s="15"/>
      <c r="E17" s="15" t="s">
        <v>15</v>
      </c>
      <c r="F17" s="16">
        <f t="shared" si="0"/>
        <v>0</v>
      </c>
      <c r="G17" s="17">
        <f>C4*F17</f>
        <v>0</v>
      </c>
      <c r="H17" s="33"/>
      <c r="I17" s="34"/>
      <c r="J17" s="18"/>
    </row>
    <row r="18" spans="1:10" x14ac:dyDescent="0.25">
      <c r="A18" s="2">
        <v>12</v>
      </c>
      <c r="B18" s="14"/>
      <c r="C18" s="14"/>
      <c r="D18" s="15"/>
      <c r="E18" s="15" t="s">
        <v>15</v>
      </c>
      <c r="F18" s="16">
        <f t="shared" si="0"/>
        <v>0</v>
      </c>
      <c r="G18" s="17">
        <f>C4*F18</f>
        <v>0</v>
      </c>
      <c r="H18" s="33"/>
      <c r="I18" s="34"/>
      <c r="J18" s="18"/>
    </row>
    <row r="19" spans="1:10" x14ac:dyDescent="0.25">
      <c r="A19" s="2">
        <v>13</v>
      </c>
      <c r="B19" s="14"/>
      <c r="C19" s="14"/>
      <c r="D19" s="15"/>
      <c r="E19" s="15" t="s">
        <v>15</v>
      </c>
      <c r="F19" s="16">
        <f t="shared" si="0"/>
        <v>0</v>
      </c>
      <c r="G19" s="17">
        <f>C4*F19</f>
        <v>0</v>
      </c>
      <c r="H19" s="33"/>
      <c r="I19" s="34"/>
      <c r="J19" s="18"/>
    </row>
    <row r="20" spans="1:10" x14ac:dyDescent="0.25">
      <c r="A20" s="2">
        <v>14</v>
      </c>
      <c r="B20" s="14"/>
      <c r="C20" s="14"/>
      <c r="D20" s="15"/>
      <c r="E20" s="15" t="s">
        <v>15</v>
      </c>
      <c r="F20" s="16">
        <f t="shared" si="0"/>
        <v>0</v>
      </c>
      <c r="G20" s="17">
        <f>C4*F20</f>
        <v>0</v>
      </c>
      <c r="H20" s="33"/>
      <c r="I20" s="34"/>
      <c r="J20" s="18"/>
    </row>
    <row r="21" spans="1:10" x14ac:dyDescent="0.25">
      <c r="A21" s="2">
        <v>15</v>
      </c>
      <c r="B21" s="14"/>
      <c r="C21" s="14"/>
      <c r="D21" s="15"/>
      <c r="E21" s="15" t="s">
        <v>15</v>
      </c>
      <c r="F21" s="16">
        <f t="shared" si="0"/>
        <v>0</v>
      </c>
      <c r="G21" s="17">
        <f>C4*F21</f>
        <v>0</v>
      </c>
      <c r="H21" s="33"/>
      <c r="I21" s="34"/>
      <c r="J21" s="18"/>
    </row>
    <row r="22" spans="1:10" x14ac:dyDescent="0.25">
      <c r="A22" s="2">
        <v>16</v>
      </c>
      <c r="B22" s="14"/>
      <c r="C22" s="14"/>
      <c r="D22" s="15"/>
      <c r="E22" s="15" t="s">
        <v>15</v>
      </c>
      <c r="F22" s="16">
        <f t="shared" si="0"/>
        <v>0</v>
      </c>
      <c r="G22" s="17">
        <f>C4*F22</f>
        <v>0</v>
      </c>
      <c r="H22" s="33"/>
      <c r="I22" s="34"/>
      <c r="J22" s="18"/>
    </row>
    <row r="23" spans="1:10" x14ac:dyDescent="0.25">
      <c r="A23" s="2">
        <v>17</v>
      </c>
      <c r="B23" s="14"/>
      <c r="C23" s="14"/>
      <c r="D23" s="15"/>
      <c r="E23" s="15" t="s">
        <v>15</v>
      </c>
      <c r="F23" s="16">
        <f t="shared" si="0"/>
        <v>0</v>
      </c>
      <c r="G23" s="17">
        <f>C4*F23</f>
        <v>0</v>
      </c>
      <c r="H23" s="33"/>
      <c r="I23" s="34"/>
      <c r="J23" s="18"/>
    </row>
    <row r="24" spans="1:10" x14ac:dyDescent="0.25">
      <c r="C24" s="19" t="s">
        <v>16</v>
      </c>
      <c r="D24" s="2">
        <f>SUM(D7:D23)</f>
        <v>1</v>
      </c>
      <c r="E24" s="2" t="s">
        <v>15</v>
      </c>
      <c r="F24" s="20">
        <f>SUM(F7:F23)</f>
        <v>1</v>
      </c>
      <c r="G24" s="21">
        <f>SUM(G7:G23)</f>
        <v>7</v>
      </c>
      <c r="H24" s="22" t="s">
        <v>17</v>
      </c>
    </row>
    <row r="25" spans="1:10" x14ac:dyDescent="0.25">
      <c r="F25" s="12" t="s">
        <v>18</v>
      </c>
      <c r="G25" s="1">
        <f>-G24*G4+C4</f>
        <v>6.3</v>
      </c>
    </row>
    <row r="26" spans="1:10" ht="15.75" x14ac:dyDescent="0.25">
      <c r="A26"/>
      <c r="B26" s="35" t="s">
        <v>19</v>
      </c>
      <c r="C26" s="35"/>
      <c r="D26" s="35"/>
      <c r="E26" s="35"/>
      <c r="F26" s="35"/>
      <c r="G26" s="35"/>
      <c r="H26" s="35"/>
      <c r="I26" s="35"/>
      <c r="J26" s="35"/>
    </row>
    <row r="27" spans="1:10" ht="15.75" x14ac:dyDescent="0.25">
      <c r="A27"/>
      <c r="B27" s="23" t="s">
        <v>20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">
        <v>1</v>
      </c>
      <c r="B28" s="30" t="s">
        <v>33</v>
      </c>
      <c r="C28" s="31"/>
      <c r="D28" s="31"/>
      <c r="E28" s="31"/>
      <c r="F28" s="31"/>
      <c r="G28" s="31"/>
      <c r="H28" s="31"/>
      <c r="I28" s="31"/>
      <c r="J28" s="32"/>
    </row>
    <row r="29" spans="1:10" x14ac:dyDescent="0.25">
      <c r="A29" s="2">
        <v>2</v>
      </c>
      <c r="B29" s="30" t="s">
        <v>34</v>
      </c>
      <c r="C29" s="31"/>
      <c r="D29" s="31"/>
      <c r="E29" s="31"/>
      <c r="F29" s="31"/>
      <c r="G29" s="31"/>
      <c r="H29" s="31"/>
      <c r="I29" s="31"/>
      <c r="J29" s="32"/>
    </row>
    <row r="30" spans="1:10" x14ac:dyDescent="0.25">
      <c r="A30" s="2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2">
        <v>4</v>
      </c>
      <c r="B31" s="30"/>
      <c r="C31" s="31"/>
      <c r="D31" s="31"/>
      <c r="E31" s="31"/>
      <c r="F31" s="31"/>
      <c r="G31" s="31"/>
      <c r="H31" s="31"/>
      <c r="I31" s="31"/>
      <c r="J31" s="32"/>
    </row>
    <row r="32" spans="1:10" x14ac:dyDescent="0.25">
      <c r="A32" s="2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2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2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2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2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2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2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21</v>
      </c>
    </row>
    <row r="42" spans="1:10" x14ac:dyDescent="0.25">
      <c r="B42" s="25"/>
      <c r="C42" s="25"/>
      <c r="D42" s="26"/>
      <c r="E42" s="26"/>
      <c r="F42" s="25"/>
      <c r="H42" s="25"/>
      <c r="I42" s="25"/>
      <c r="J42" s="25"/>
    </row>
    <row r="43" spans="1:10" x14ac:dyDescent="0.25">
      <c r="B43" s="28" t="s">
        <v>22</v>
      </c>
      <c r="C43" s="28"/>
      <c r="E43" s="28" t="s">
        <v>23</v>
      </c>
      <c r="F43" s="28"/>
      <c r="H43" s="29" t="s">
        <v>24</v>
      </c>
      <c r="I43" s="29"/>
      <c r="J43" s="3" t="s">
        <v>25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5065-8250-4B59-88C6-57861C13B0ED}">
  <sheetPr>
    <pageSetUpPr fitToPage="1"/>
  </sheetPr>
  <dimension ref="A1:J30"/>
  <sheetViews>
    <sheetView topLeftCell="D1" zoomScale="90" zoomScaleNormal="90" workbookViewId="0">
      <selection activeCell="G7" sqref="G7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2</v>
      </c>
      <c r="C2" s="5" t="s">
        <v>42</v>
      </c>
      <c r="D2" s="6" t="s">
        <v>3</v>
      </c>
      <c r="E2" s="39"/>
      <c r="F2" s="39"/>
      <c r="G2" s="5"/>
      <c r="H2" s="7" t="s">
        <v>4</v>
      </c>
      <c r="I2" s="8"/>
      <c r="J2" s="9" t="s">
        <v>5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6</v>
      </c>
      <c r="C4" s="11">
        <v>15</v>
      </c>
      <c r="D4" s="10"/>
      <c r="F4" s="3" t="s">
        <v>7</v>
      </c>
      <c r="G4" s="12">
        <v>0.56999999999999995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8</v>
      </c>
      <c r="C6" s="13" t="s">
        <v>9</v>
      </c>
      <c r="D6" s="13" t="s">
        <v>10</v>
      </c>
      <c r="E6" s="13" t="s">
        <v>11</v>
      </c>
      <c r="F6" s="13" t="s">
        <v>0</v>
      </c>
      <c r="G6" s="13" t="s">
        <v>12</v>
      </c>
      <c r="H6" s="40" t="s">
        <v>13</v>
      </c>
      <c r="I6" s="41"/>
      <c r="J6" s="13" t="s">
        <v>14</v>
      </c>
    </row>
    <row r="7" spans="1:10" x14ac:dyDescent="0.25">
      <c r="A7" s="2">
        <v>1</v>
      </c>
      <c r="B7" s="14"/>
      <c r="C7" s="14" t="s">
        <v>41</v>
      </c>
      <c r="D7" s="15">
        <v>21.4</v>
      </c>
      <c r="E7" s="15" t="s">
        <v>15</v>
      </c>
      <c r="F7" s="16">
        <f>D7/D$11</f>
        <v>0.42971887550200805</v>
      </c>
      <c r="G7" s="17">
        <f>C4*F7</f>
        <v>6.4457831325301207</v>
      </c>
      <c r="H7" s="33"/>
      <c r="I7" s="34"/>
      <c r="J7" s="18"/>
    </row>
    <row r="8" spans="1:10" x14ac:dyDescent="0.25">
      <c r="A8" s="2">
        <v>2</v>
      </c>
      <c r="B8" s="14"/>
      <c r="C8" s="14" t="s">
        <v>1</v>
      </c>
      <c r="D8" s="15">
        <v>28.4</v>
      </c>
      <c r="E8" s="15" t="s">
        <v>15</v>
      </c>
      <c r="F8" s="16">
        <f>D8/D$11</f>
        <v>0.57028112449799195</v>
      </c>
      <c r="G8" s="17">
        <f>C4*F8</f>
        <v>8.5542168674698793</v>
      </c>
      <c r="H8" s="33"/>
      <c r="I8" s="34"/>
      <c r="J8" s="18"/>
    </row>
    <row r="9" spans="1:10" x14ac:dyDescent="0.25">
      <c r="A9" s="2">
        <v>3</v>
      </c>
      <c r="B9" s="14"/>
      <c r="C9" s="14"/>
      <c r="D9" s="15"/>
      <c r="E9" s="15" t="s">
        <v>15</v>
      </c>
      <c r="F9" s="16">
        <f>D9/D$11</f>
        <v>0</v>
      </c>
      <c r="G9" s="17">
        <f>C4*F9</f>
        <v>0</v>
      </c>
      <c r="H9" s="33"/>
      <c r="I9" s="34"/>
      <c r="J9" s="18"/>
    </row>
    <row r="10" spans="1:10" x14ac:dyDescent="0.25">
      <c r="A10" s="2">
        <v>17</v>
      </c>
      <c r="B10" s="14"/>
      <c r="C10" s="14"/>
      <c r="D10" s="15"/>
      <c r="E10" s="15" t="s">
        <v>15</v>
      </c>
      <c r="F10" s="16">
        <f>D10/D$11</f>
        <v>0</v>
      </c>
      <c r="G10" s="17">
        <f>C4*F10</f>
        <v>0</v>
      </c>
      <c r="H10" s="33"/>
      <c r="I10" s="34"/>
      <c r="J10" s="18"/>
    </row>
    <row r="11" spans="1:10" x14ac:dyDescent="0.25">
      <c r="C11" s="19" t="s">
        <v>16</v>
      </c>
      <c r="D11" s="2">
        <f>SUM(D7:D10)</f>
        <v>49.8</v>
      </c>
      <c r="E11" s="2" t="s">
        <v>15</v>
      </c>
      <c r="F11" s="20">
        <f>SUM(F7:F10)</f>
        <v>1</v>
      </c>
      <c r="G11" s="21">
        <f>SUM(G7:G10)</f>
        <v>15</v>
      </c>
      <c r="H11" s="22" t="s">
        <v>17</v>
      </c>
    </row>
    <row r="12" spans="1:10" x14ac:dyDescent="0.25">
      <c r="F12" s="12" t="s">
        <v>18</v>
      </c>
      <c r="G12" s="1">
        <f>-G11*G4+C4</f>
        <v>6.4500000000000011</v>
      </c>
    </row>
    <row r="13" spans="1:10" ht="15.75" x14ac:dyDescent="0.25">
      <c r="A13"/>
      <c r="B13" s="35" t="s">
        <v>19</v>
      </c>
      <c r="C13" s="35"/>
      <c r="D13" s="35"/>
      <c r="E13" s="35"/>
      <c r="F13" s="35"/>
      <c r="G13" s="35"/>
      <c r="H13" s="35"/>
      <c r="I13" s="35"/>
      <c r="J13" s="35"/>
    </row>
    <row r="14" spans="1:10" ht="15.75" x14ac:dyDescent="0.25">
      <c r="A14"/>
      <c r="B14" s="23" t="s">
        <v>20</v>
      </c>
      <c r="C14" s="24"/>
      <c r="D14" s="24"/>
      <c r="E14" s="24"/>
      <c r="F14" s="24"/>
      <c r="G14" s="24"/>
      <c r="H14" s="24"/>
      <c r="I14" s="24"/>
      <c r="J14" s="24"/>
    </row>
    <row r="15" spans="1:10" x14ac:dyDescent="0.25">
      <c r="A15" s="2">
        <v>1</v>
      </c>
      <c r="B15" s="30" t="s">
        <v>26</v>
      </c>
      <c r="C15" s="31"/>
      <c r="D15" s="31"/>
      <c r="E15" s="31"/>
      <c r="F15" s="31"/>
      <c r="G15" s="31"/>
      <c r="H15" s="31"/>
      <c r="I15" s="31"/>
      <c r="J15" s="32"/>
    </row>
    <row r="16" spans="1:10" x14ac:dyDescent="0.25">
      <c r="A16" s="2">
        <v>2</v>
      </c>
      <c r="B16" s="30" t="s">
        <v>43</v>
      </c>
      <c r="C16" s="31"/>
      <c r="D16" s="31"/>
      <c r="E16" s="31"/>
      <c r="F16" s="31"/>
      <c r="G16" s="31"/>
      <c r="H16" s="31"/>
      <c r="I16" s="31"/>
      <c r="J16" s="32"/>
    </row>
    <row r="17" spans="1:10" x14ac:dyDescent="0.25">
      <c r="A17" s="2">
        <v>3</v>
      </c>
      <c r="B17" s="36"/>
      <c r="C17" s="37"/>
      <c r="D17" s="37"/>
      <c r="E17" s="37"/>
      <c r="F17" s="37"/>
      <c r="G17" s="37"/>
      <c r="H17" s="37"/>
      <c r="I17" s="37"/>
      <c r="J17" s="38"/>
    </row>
    <row r="18" spans="1:10" x14ac:dyDescent="0.25">
      <c r="A18" s="2">
        <v>4</v>
      </c>
      <c r="B18" s="30"/>
      <c r="C18" s="31"/>
      <c r="D18" s="31"/>
      <c r="E18" s="31"/>
      <c r="F18" s="31"/>
      <c r="G18" s="31"/>
      <c r="H18" s="31"/>
      <c r="I18" s="31"/>
      <c r="J18" s="32"/>
    </row>
    <row r="19" spans="1:10" x14ac:dyDescent="0.25">
      <c r="A19" s="2">
        <v>5</v>
      </c>
      <c r="B19" s="27"/>
      <c r="C19" s="27"/>
      <c r="D19" s="27"/>
      <c r="E19" s="27"/>
      <c r="F19" s="27"/>
      <c r="G19" s="27"/>
      <c r="H19" s="27"/>
      <c r="I19" s="27"/>
      <c r="J19" s="27"/>
    </row>
    <row r="20" spans="1:10" x14ac:dyDescent="0.25">
      <c r="A20" s="2">
        <v>6</v>
      </c>
      <c r="B20" s="27"/>
      <c r="C20" s="27"/>
      <c r="D20" s="27"/>
      <c r="E20" s="27"/>
      <c r="F20" s="27"/>
      <c r="G20" s="27"/>
      <c r="H20" s="27"/>
      <c r="I20" s="27"/>
      <c r="J20" s="27"/>
    </row>
    <row r="21" spans="1:10" x14ac:dyDescent="0.25">
      <c r="A21" s="2">
        <v>7</v>
      </c>
      <c r="B21" s="27"/>
      <c r="C21" s="27"/>
      <c r="D21" s="27"/>
      <c r="E21" s="27"/>
      <c r="F21" s="27"/>
      <c r="G21" s="27"/>
      <c r="H21" s="27"/>
      <c r="I21" s="27"/>
      <c r="J21" s="27"/>
    </row>
    <row r="22" spans="1:10" x14ac:dyDescent="0.25">
      <c r="A22" s="2">
        <v>8</v>
      </c>
      <c r="B22" s="27"/>
      <c r="C22" s="27"/>
      <c r="D22" s="27"/>
      <c r="E22" s="27"/>
      <c r="F22" s="27"/>
      <c r="G22" s="27"/>
      <c r="H22" s="27"/>
      <c r="I22" s="27"/>
      <c r="J22" s="27"/>
    </row>
    <row r="23" spans="1:10" x14ac:dyDescent="0.25">
      <c r="A23" s="2">
        <v>9</v>
      </c>
      <c r="B23" s="27"/>
      <c r="C23" s="27"/>
      <c r="D23" s="27"/>
      <c r="E23" s="27"/>
      <c r="F23" s="27"/>
      <c r="G23" s="27"/>
      <c r="H23" s="27"/>
      <c r="I23" s="27"/>
      <c r="J23" s="27"/>
    </row>
    <row r="24" spans="1:10" x14ac:dyDescent="0.25">
      <c r="A24" s="2">
        <v>10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x14ac:dyDescent="0.25">
      <c r="A25" s="2">
        <v>11</v>
      </c>
      <c r="B25" s="27"/>
      <c r="C25" s="27"/>
      <c r="D25" s="27"/>
      <c r="E25" s="27"/>
      <c r="F25" s="27"/>
      <c r="G25" s="27"/>
      <c r="H25" s="27"/>
      <c r="I25" s="27"/>
      <c r="J25" s="27"/>
    </row>
    <row r="27" spans="1:10" x14ac:dyDescent="0.25">
      <c r="B27" t="s">
        <v>21</v>
      </c>
    </row>
    <row r="29" spans="1:10" x14ac:dyDescent="0.25">
      <c r="B29" s="25"/>
      <c r="C29" s="25"/>
      <c r="D29" s="26"/>
      <c r="E29" s="26"/>
      <c r="F29" s="25"/>
      <c r="H29" s="25"/>
      <c r="I29" s="25"/>
      <c r="J29" s="25"/>
    </row>
    <row r="30" spans="1:10" x14ac:dyDescent="0.25">
      <c r="B30" s="28" t="s">
        <v>22</v>
      </c>
      <c r="C30" s="28"/>
      <c r="E30" s="28" t="s">
        <v>23</v>
      </c>
      <c r="F30" s="28"/>
      <c r="H30" s="29" t="s">
        <v>24</v>
      </c>
      <c r="I30" s="29"/>
      <c r="J30" s="3" t="s">
        <v>25</v>
      </c>
    </row>
  </sheetData>
  <mergeCells count="21">
    <mergeCell ref="B18:J18"/>
    <mergeCell ref="E2:F2"/>
    <mergeCell ref="H6:I6"/>
    <mergeCell ref="H7:I7"/>
    <mergeCell ref="H8:I8"/>
    <mergeCell ref="H9:I9"/>
    <mergeCell ref="H10:I10"/>
    <mergeCell ref="B13:J13"/>
    <mergeCell ref="B15:J15"/>
    <mergeCell ref="B16:J16"/>
    <mergeCell ref="B17:J17"/>
    <mergeCell ref="B25:J25"/>
    <mergeCell ref="B30:C30"/>
    <mergeCell ref="E30:F30"/>
    <mergeCell ref="H30:I30"/>
    <mergeCell ref="B19:J19"/>
    <mergeCell ref="B20:J20"/>
    <mergeCell ref="B21:J21"/>
    <mergeCell ref="B22:J22"/>
    <mergeCell ref="B23:J23"/>
    <mergeCell ref="B24:J24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05E2-C05E-4C27-B49D-B537A87766B0}">
  <sheetPr>
    <pageSetUpPr fitToPage="1"/>
  </sheetPr>
  <dimension ref="A1:J32"/>
  <sheetViews>
    <sheetView workbookViewId="0">
      <selection activeCell="G7" sqref="G7:G11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2</v>
      </c>
      <c r="C2" s="5" t="s">
        <v>27</v>
      </c>
      <c r="D2" s="6" t="s">
        <v>3</v>
      </c>
      <c r="E2" s="39"/>
      <c r="F2" s="39"/>
      <c r="G2" s="5"/>
      <c r="H2" s="7" t="s">
        <v>4</v>
      </c>
      <c r="I2" s="8"/>
      <c r="J2" s="9" t="s">
        <v>5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6</v>
      </c>
      <c r="C4" s="11">
        <v>0.56000000000000005</v>
      </c>
      <c r="D4" s="10"/>
      <c r="F4" s="3" t="s">
        <v>7</v>
      </c>
      <c r="G4" s="12">
        <v>0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8</v>
      </c>
      <c r="C6" s="13" t="s">
        <v>9</v>
      </c>
      <c r="D6" s="13" t="s">
        <v>10</v>
      </c>
      <c r="E6" s="13" t="s">
        <v>11</v>
      </c>
      <c r="F6" s="13" t="s">
        <v>0</v>
      </c>
      <c r="G6" s="13" t="s">
        <v>12</v>
      </c>
      <c r="H6" s="40" t="s">
        <v>13</v>
      </c>
      <c r="I6" s="41"/>
      <c r="J6" s="13" t="s">
        <v>14</v>
      </c>
    </row>
    <row r="7" spans="1:10" x14ac:dyDescent="0.25">
      <c r="A7" s="2">
        <v>1</v>
      </c>
      <c r="B7" s="14" t="s">
        <v>37</v>
      </c>
      <c r="C7" s="14" t="s">
        <v>28</v>
      </c>
      <c r="D7" s="15">
        <v>0.7</v>
      </c>
      <c r="E7" s="15" t="s">
        <v>15</v>
      </c>
      <c r="F7" s="16">
        <f t="shared" ref="F7:F12" si="0">D7/D$13</f>
        <v>0.7</v>
      </c>
      <c r="G7" s="17">
        <f>C4*F7</f>
        <v>0.39200000000000002</v>
      </c>
      <c r="H7" s="33"/>
      <c r="I7" s="34"/>
      <c r="J7" s="18"/>
    </row>
    <row r="8" spans="1:10" x14ac:dyDescent="0.25">
      <c r="A8" s="2">
        <v>2</v>
      </c>
      <c r="B8" s="14" t="s">
        <v>36</v>
      </c>
      <c r="C8" s="14" t="s">
        <v>29</v>
      </c>
      <c r="D8" s="15">
        <v>0.125</v>
      </c>
      <c r="E8" s="15" t="s">
        <v>15</v>
      </c>
      <c r="F8" s="16">
        <f t="shared" si="0"/>
        <v>0.125</v>
      </c>
      <c r="G8" s="17">
        <f>C4*F8</f>
        <v>7.0000000000000007E-2</v>
      </c>
      <c r="H8" s="33"/>
      <c r="I8" s="34"/>
      <c r="J8" s="18"/>
    </row>
    <row r="9" spans="1:10" x14ac:dyDescent="0.25">
      <c r="A9" s="2">
        <v>3</v>
      </c>
      <c r="B9" s="14" t="s">
        <v>38</v>
      </c>
      <c r="C9" s="14" t="s">
        <v>30</v>
      </c>
      <c r="D9" s="15">
        <v>0.125</v>
      </c>
      <c r="E9" s="15" t="s">
        <v>15</v>
      </c>
      <c r="F9" s="16">
        <f t="shared" si="0"/>
        <v>0.125</v>
      </c>
      <c r="G9" s="17">
        <f>C4*F9</f>
        <v>7.0000000000000007E-2</v>
      </c>
      <c r="H9" s="33"/>
      <c r="I9" s="34"/>
      <c r="J9" s="18"/>
    </row>
    <row r="10" spans="1:10" x14ac:dyDescent="0.25">
      <c r="A10" s="2">
        <v>4</v>
      </c>
      <c r="B10" s="14" t="s">
        <v>39</v>
      </c>
      <c r="C10" s="14" t="s">
        <v>31</v>
      </c>
      <c r="D10" s="15">
        <v>6.0000000000000001E-3</v>
      </c>
      <c r="E10" s="15" t="s">
        <v>15</v>
      </c>
      <c r="F10" s="16">
        <f t="shared" si="0"/>
        <v>6.0000000000000001E-3</v>
      </c>
      <c r="G10" s="17">
        <f>C4*F10</f>
        <v>3.3600000000000006E-3</v>
      </c>
      <c r="H10" s="33"/>
      <c r="I10" s="34"/>
      <c r="J10" s="18"/>
    </row>
    <row r="11" spans="1:10" x14ac:dyDescent="0.25">
      <c r="A11" s="2">
        <v>5</v>
      </c>
      <c r="B11" s="14" t="s">
        <v>35</v>
      </c>
      <c r="C11" s="14" t="s">
        <v>40</v>
      </c>
      <c r="D11" s="15">
        <v>4.3999999999999997E-2</v>
      </c>
      <c r="E11" s="15" t="s">
        <v>15</v>
      </c>
      <c r="F11" s="16">
        <f t="shared" si="0"/>
        <v>4.3999999999999997E-2</v>
      </c>
      <c r="G11" s="17">
        <f>C4*F11</f>
        <v>2.4640000000000002E-2</v>
      </c>
      <c r="H11" s="33"/>
      <c r="I11" s="34"/>
      <c r="J11" s="18"/>
    </row>
    <row r="12" spans="1:10" x14ac:dyDescent="0.25">
      <c r="A12" s="2">
        <v>6</v>
      </c>
      <c r="B12" s="14"/>
      <c r="C12" s="14"/>
      <c r="D12" s="15"/>
      <c r="E12" s="15" t="s">
        <v>15</v>
      </c>
      <c r="F12" s="16">
        <f t="shared" si="0"/>
        <v>0</v>
      </c>
      <c r="G12" s="17">
        <f>C4*F12</f>
        <v>0</v>
      </c>
      <c r="H12" s="33"/>
      <c r="I12" s="34"/>
      <c r="J12" s="18"/>
    </row>
    <row r="13" spans="1:10" x14ac:dyDescent="0.25">
      <c r="C13" s="19" t="s">
        <v>16</v>
      </c>
      <c r="D13" s="2">
        <f>SUM(D7:D12)</f>
        <v>1</v>
      </c>
      <c r="E13" s="2" t="s">
        <v>15</v>
      </c>
      <c r="F13" s="20">
        <f>SUM(F7:F12)</f>
        <v>1</v>
      </c>
      <c r="G13" s="21">
        <f>SUM(G7:G12)</f>
        <v>0.56000000000000005</v>
      </c>
      <c r="H13" s="22" t="s">
        <v>17</v>
      </c>
    </row>
    <row r="14" spans="1:10" x14ac:dyDescent="0.25">
      <c r="F14" s="12" t="s">
        <v>18</v>
      </c>
      <c r="G14" s="1">
        <f>-G13*G4+C4</f>
        <v>0.56000000000000005</v>
      </c>
    </row>
    <row r="15" spans="1:10" ht="15.75" x14ac:dyDescent="0.25">
      <c r="A15"/>
      <c r="B15" s="35" t="s">
        <v>19</v>
      </c>
      <c r="C15" s="35"/>
      <c r="D15" s="35"/>
      <c r="E15" s="35"/>
      <c r="F15" s="35"/>
      <c r="G15" s="35"/>
      <c r="H15" s="35"/>
      <c r="I15" s="35"/>
      <c r="J15" s="35"/>
    </row>
    <row r="16" spans="1:10" ht="15.75" x14ac:dyDescent="0.25">
      <c r="A16"/>
      <c r="B16" s="23" t="s">
        <v>20</v>
      </c>
      <c r="C16" s="24"/>
      <c r="D16" s="24"/>
      <c r="E16" s="24"/>
      <c r="F16" s="24"/>
      <c r="G16" s="24"/>
      <c r="H16" s="24"/>
      <c r="I16" s="24"/>
      <c r="J16" s="24"/>
    </row>
    <row r="17" spans="1:10" x14ac:dyDescent="0.25">
      <c r="A17" s="2">
        <v>1</v>
      </c>
      <c r="B17" s="30" t="s">
        <v>32</v>
      </c>
      <c r="C17" s="31"/>
      <c r="D17" s="31"/>
      <c r="E17" s="31"/>
      <c r="F17" s="31"/>
      <c r="G17" s="31"/>
      <c r="H17" s="31"/>
      <c r="I17" s="31"/>
      <c r="J17" s="32"/>
    </row>
    <row r="18" spans="1:10" x14ac:dyDescent="0.25">
      <c r="A18" s="2">
        <v>2</v>
      </c>
      <c r="B18" s="30"/>
      <c r="C18" s="31"/>
      <c r="D18" s="31"/>
      <c r="E18" s="31"/>
      <c r="F18" s="31"/>
      <c r="G18" s="31"/>
      <c r="H18" s="31"/>
      <c r="I18" s="31"/>
      <c r="J18" s="32"/>
    </row>
    <row r="19" spans="1:10" x14ac:dyDescent="0.25">
      <c r="A19" s="2">
        <v>3</v>
      </c>
      <c r="B19" s="36"/>
      <c r="C19" s="37"/>
      <c r="D19" s="37"/>
      <c r="E19" s="37"/>
      <c r="F19" s="37"/>
      <c r="G19" s="37"/>
      <c r="H19" s="37"/>
      <c r="I19" s="37"/>
      <c r="J19" s="38"/>
    </row>
    <row r="20" spans="1:10" x14ac:dyDescent="0.25">
      <c r="A20" s="2">
        <v>4</v>
      </c>
      <c r="B20" s="30"/>
      <c r="C20" s="31"/>
      <c r="D20" s="31"/>
      <c r="E20" s="31"/>
      <c r="F20" s="31"/>
      <c r="G20" s="31"/>
      <c r="H20" s="31"/>
      <c r="I20" s="31"/>
      <c r="J20" s="32"/>
    </row>
    <row r="21" spans="1:10" x14ac:dyDescent="0.25">
      <c r="A21" s="2">
        <v>5</v>
      </c>
      <c r="B21" s="27"/>
      <c r="C21" s="27"/>
      <c r="D21" s="27"/>
      <c r="E21" s="27"/>
      <c r="F21" s="27"/>
      <c r="G21" s="27"/>
      <c r="H21" s="27"/>
      <c r="I21" s="27"/>
      <c r="J21" s="27"/>
    </row>
    <row r="22" spans="1:10" x14ac:dyDescent="0.25">
      <c r="A22" s="2">
        <v>6</v>
      </c>
      <c r="B22" s="27"/>
      <c r="C22" s="27"/>
      <c r="D22" s="27"/>
      <c r="E22" s="27"/>
      <c r="F22" s="27"/>
      <c r="G22" s="27"/>
      <c r="H22" s="27"/>
      <c r="I22" s="27"/>
      <c r="J22" s="27"/>
    </row>
    <row r="23" spans="1:10" x14ac:dyDescent="0.25">
      <c r="A23" s="2">
        <v>7</v>
      </c>
      <c r="B23" s="27"/>
      <c r="C23" s="27"/>
      <c r="D23" s="27"/>
      <c r="E23" s="27"/>
      <c r="F23" s="27"/>
      <c r="G23" s="27"/>
      <c r="H23" s="27"/>
      <c r="I23" s="27"/>
      <c r="J23" s="27"/>
    </row>
    <row r="24" spans="1:10" x14ac:dyDescent="0.25">
      <c r="A24" s="2">
        <v>8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x14ac:dyDescent="0.25">
      <c r="A25" s="2">
        <v>9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0" x14ac:dyDescent="0.25">
      <c r="A26" s="2">
        <v>10</v>
      </c>
      <c r="B26" s="27"/>
      <c r="C26" s="27"/>
      <c r="D26" s="27"/>
      <c r="E26" s="27"/>
      <c r="F26" s="27"/>
      <c r="G26" s="27"/>
      <c r="H26" s="27"/>
      <c r="I26" s="27"/>
      <c r="J26" s="27"/>
    </row>
    <row r="27" spans="1:10" x14ac:dyDescent="0.25">
      <c r="A27" s="2">
        <v>11</v>
      </c>
      <c r="B27" s="27"/>
      <c r="C27" s="27"/>
      <c r="D27" s="27"/>
      <c r="E27" s="27"/>
      <c r="F27" s="27"/>
      <c r="G27" s="27"/>
      <c r="H27" s="27"/>
      <c r="I27" s="27"/>
      <c r="J27" s="27"/>
    </row>
    <row r="29" spans="1:10" x14ac:dyDescent="0.25">
      <c r="B29" t="s">
        <v>21</v>
      </c>
    </row>
    <row r="31" spans="1:10" x14ac:dyDescent="0.25">
      <c r="B31" s="25"/>
      <c r="C31" s="25"/>
      <c r="D31" s="26"/>
      <c r="E31" s="26"/>
      <c r="F31" s="25"/>
      <c r="H31" s="25"/>
      <c r="I31" s="25"/>
      <c r="J31" s="25"/>
    </row>
    <row r="32" spans="1:10" x14ac:dyDescent="0.25">
      <c r="B32" s="28" t="s">
        <v>22</v>
      </c>
      <c r="C32" s="28"/>
      <c r="E32" s="28" t="s">
        <v>23</v>
      </c>
      <c r="F32" s="28"/>
      <c r="H32" s="29" t="s">
        <v>24</v>
      </c>
      <c r="I32" s="29"/>
      <c r="J32" s="3" t="s">
        <v>25</v>
      </c>
    </row>
  </sheetData>
  <mergeCells count="23">
    <mergeCell ref="E2:F2"/>
    <mergeCell ref="H6:I6"/>
    <mergeCell ref="H7:I7"/>
    <mergeCell ref="H8:I8"/>
    <mergeCell ref="H9:I9"/>
    <mergeCell ref="H10:I10"/>
    <mergeCell ref="H11:I11"/>
    <mergeCell ref="H12:I12"/>
    <mergeCell ref="B20:J20"/>
    <mergeCell ref="B15:J15"/>
    <mergeCell ref="B17:J17"/>
    <mergeCell ref="B18:J18"/>
    <mergeCell ref="B19:J19"/>
    <mergeCell ref="B27:J27"/>
    <mergeCell ref="B32:C32"/>
    <mergeCell ref="E32:F32"/>
    <mergeCell ref="H32:I32"/>
    <mergeCell ref="B21:J21"/>
    <mergeCell ref="B22:J22"/>
    <mergeCell ref="B23:J23"/>
    <mergeCell ref="B24:J24"/>
    <mergeCell ref="B25:J25"/>
    <mergeCell ref="B26:J26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ca795c-b702-4d9c-a00f-4ea8e3fb1866" xsi:nil="true"/>
    <lcf76f155ced4ddcb4097134ff3c332f xmlns="8be24d1f-f08e-46a7-9c6b-0452813a2a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0D958-4E48-4C1D-B84F-C02F2C644978}"/>
</file>

<file path=customXml/itemProps2.xml><?xml version="1.0" encoding="utf-8"?>
<ds:datastoreItem xmlns:ds="http://schemas.openxmlformats.org/officeDocument/2006/customXml" ds:itemID="{F2F63482-9900-455C-BBE2-13699C540EBC}">
  <ds:schemaRefs>
    <ds:schemaRef ds:uri="826e4ca9-683e-460e-9129-1a62b2e7bbb5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74e9f3f-5602-4c64-9487-40f39f273410"/>
  </ds:schemaRefs>
</ds:datastoreItem>
</file>

<file path=customXml/itemProps3.xml><?xml version="1.0" encoding="utf-8"?>
<ds:datastoreItem xmlns:ds="http://schemas.openxmlformats.org/officeDocument/2006/customXml" ds:itemID="{B3E7B688-36DD-489F-9E6F-006B25D2E0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Marinated Broccoli</vt:lpstr>
      <vt:lpstr>Blanched Broccoli</vt:lpstr>
      <vt:lpstr>Garlic Caper Marinade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2024-10-09T17:48:24Z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</Properties>
</file>