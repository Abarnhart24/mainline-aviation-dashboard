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ldberggroup.sharepoint.com/sites/ScandinavianAirlines/Shared Documents/General/SAS Menu Cycle 3 Documents/PnL/"/>
    </mc:Choice>
  </mc:AlternateContent>
  <xr:revisionPtr revIDLastSave="682" documentId="8_{6263B002-345B-41FE-B29D-E2A0FBF8DCC9}" xr6:coauthVersionLast="47" xr6:coauthVersionMax="47" xr10:uidLastSave="{6EAABD11-CD3A-4DEF-A346-7553883A5497}"/>
  <bookViews>
    <workbookView xWindow="28680" yWindow="-5460" windowWidth="38640" windowHeight="21120" tabRatio="729" activeTab="15" xr2:uid="{557CA74F-562A-48FA-AA89-16AC4759ED15}"/>
  </bookViews>
  <sheets>
    <sheet name="P&amp;L" sheetId="21" r:id="rId1"/>
    <sheet name="Bid Assumption " sheetId="9" state="hidden" r:id="rId2"/>
    <sheet name="Summary " sheetId="29" r:id="rId3"/>
    <sheet name="Summary Short Haul" sheetId="56" state="hidden" r:id="rId4"/>
    <sheet name="Summary Long Haul" sheetId="57" state="hidden" r:id="rId5"/>
    <sheet name="Summary  735" sheetId="43" state="hidden" r:id="rId6"/>
    <sheet name="Summary 2221" sheetId="44" state="hidden" r:id="rId7"/>
    <sheet name="Summary 2439" sheetId="45" state="hidden" r:id="rId8"/>
    <sheet name="Summary 2682" sheetId="46" state="hidden" r:id="rId9"/>
    <sheet name="Summary 2855" sheetId="47" state="hidden" r:id="rId10"/>
    <sheet name="Summary" sheetId="48" r:id="rId11"/>
    <sheet name="Summary 2037" sheetId="54" state="hidden" r:id="rId12"/>
    <sheet name="Summary 2817" sheetId="55" state="hidden" r:id="rId13"/>
    <sheet name="Handling" sheetId="2" r:id="rId14"/>
    <sheet name="FlightConfig" sheetId="3" r:id="rId15"/>
    <sheet name="Food" sheetId="1" r:id="rId16"/>
    <sheet name="FG MASTER" sheetId="58" r:id="rId17"/>
    <sheet name="Avg Per Flight" sheetId="8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Fill" hidden="1">[1]OVERLAND!#REF!</definedName>
    <definedName name="_Fill1" hidden="1">[1]OVERLAND!#REF!</definedName>
    <definedName name="_xlnm._FilterDatabase" localSheetId="15" hidden="1">Food!$A$3:$AI$217</definedName>
    <definedName name="_Order1" hidden="1">0</definedName>
    <definedName name="_Order2" hidden="1">0</definedName>
    <definedName name="_Sort" hidden="1">#REF!</definedName>
    <definedName name="_Sort1" hidden="1">#REF!</definedName>
    <definedName name="COMMERCIAL_ITEMS" localSheetId="16">[2]POLICY!$G$3:$G$348</definedName>
    <definedName name="COMMERCIAL_ITEMS">[3]POLICY!$G$3:$G$317</definedName>
    <definedName name="_xlnm.Print_Area" localSheetId="16">'FG MASTER'!$A$1:$AB$9</definedName>
    <definedName name="SAPBEXrevision" hidden="1">1</definedName>
    <definedName name="SAPBEXsysID" hidden="1">"P17"</definedName>
    <definedName name="SAPBEXwbID" hidden="1">"40XL7TJW6JQIMI6CJDUSVHGJV"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9" i="1" l="1"/>
  <c r="K159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8" i="1"/>
  <c r="K157" i="1"/>
  <c r="O157" i="1" s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O125" i="1" s="1"/>
  <c r="K124" i="1"/>
  <c r="K123" i="1"/>
  <c r="K122" i="1"/>
  <c r="K121" i="1"/>
  <c r="O121" i="1" s="1"/>
  <c r="K120" i="1"/>
  <c r="K119" i="1"/>
  <c r="K118" i="1"/>
  <c r="K117" i="1"/>
  <c r="K116" i="1"/>
  <c r="K115" i="1"/>
  <c r="K114" i="1"/>
  <c r="K113" i="1"/>
  <c r="O113" i="1" s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96" i="1"/>
  <c r="O112" i="58"/>
  <c r="Q112" i="58"/>
  <c r="G16" i="1"/>
  <c r="G120" i="1"/>
  <c r="J120" i="1"/>
  <c r="S120" i="1" s="1"/>
  <c r="AD120" i="1"/>
  <c r="C120" i="1"/>
  <c r="V120" i="1" l="1"/>
  <c r="AE120" i="1" s="1"/>
  <c r="W120" i="1"/>
  <c r="AF120" i="1" s="1"/>
  <c r="T120" i="1"/>
  <c r="AD95" i="1"/>
  <c r="J95" i="1"/>
  <c r="G95" i="1"/>
  <c r="C95" i="1"/>
  <c r="P110" i="58"/>
  <c r="P111" i="58"/>
  <c r="S111" i="58"/>
  <c r="T111" i="58"/>
  <c r="U111" i="58"/>
  <c r="V111" i="58"/>
  <c r="W111" i="58"/>
  <c r="X111" i="58"/>
  <c r="Y111" i="58"/>
  <c r="Z111" i="58"/>
  <c r="AA111" i="58"/>
  <c r="AE111" i="58"/>
  <c r="P112" i="58"/>
  <c r="AE112" i="58" s="1"/>
  <c r="S112" i="58"/>
  <c r="T112" i="58"/>
  <c r="U112" i="58"/>
  <c r="V112" i="58"/>
  <c r="W112" i="58"/>
  <c r="X112" i="58"/>
  <c r="Y112" i="58"/>
  <c r="Z112" i="58"/>
  <c r="AA112" i="58" s="1"/>
  <c r="P113" i="58"/>
  <c r="S113" i="58"/>
  <c r="T113" i="58"/>
  <c r="U113" i="58"/>
  <c r="V113" i="58"/>
  <c r="W113" i="58"/>
  <c r="X113" i="58"/>
  <c r="Y113" i="58"/>
  <c r="Z113" i="58"/>
  <c r="AA113" i="58"/>
  <c r="AE113" i="58"/>
  <c r="P114" i="58"/>
  <c r="S114" i="58"/>
  <c r="T114" i="58"/>
  <c r="U114" i="58"/>
  <c r="V114" i="58"/>
  <c r="W114" i="58"/>
  <c r="X114" i="58"/>
  <c r="Y114" i="58"/>
  <c r="Z114" i="58"/>
  <c r="AA114" i="58"/>
  <c r="AE114" i="58"/>
  <c r="P115" i="58"/>
  <c r="S115" i="58"/>
  <c r="T115" i="58"/>
  <c r="U115" i="58"/>
  <c r="V115" i="58"/>
  <c r="W115" i="58"/>
  <c r="X115" i="58"/>
  <c r="Y115" i="58"/>
  <c r="Z115" i="58"/>
  <c r="AA115" i="58"/>
  <c r="AE115" i="58"/>
  <c r="P116" i="58"/>
  <c r="S116" i="58"/>
  <c r="T116" i="58"/>
  <c r="U116" i="58"/>
  <c r="V116" i="58"/>
  <c r="W116" i="58"/>
  <c r="X116" i="58"/>
  <c r="Y116" i="58"/>
  <c r="Z116" i="58"/>
  <c r="AA116" i="58"/>
  <c r="AE116" i="58"/>
  <c r="P117" i="58"/>
  <c r="X117" i="58" s="1"/>
  <c r="Z117" i="58" s="1"/>
  <c r="AA117" i="58" s="1"/>
  <c r="S117" i="58"/>
  <c r="T117" i="58"/>
  <c r="U117" i="58"/>
  <c r="V117" i="58"/>
  <c r="W117" i="58"/>
  <c r="Y117" i="58"/>
  <c r="AE117" i="58"/>
  <c r="P118" i="58"/>
  <c r="S118" i="58"/>
  <c r="T118" i="58"/>
  <c r="U118" i="58"/>
  <c r="V118" i="58"/>
  <c r="W118" i="58"/>
  <c r="X118" i="58"/>
  <c r="Y118" i="58"/>
  <c r="Z118" i="58"/>
  <c r="AA118" i="58"/>
  <c r="AE118" i="58"/>
  <c r="P119" i="58"/>
  <c r="S119" i="58"/>
  <c r="T119" i="58"/>
  <c r="U119" i="58"/>
  <c r="V119" i="58"/>
  <c r="W119" i="58"/>
  <c r="X119" i="58"/>
  <c r="Y119" i="58"/>
  <c r="Z119" i="58"/>
  <c r="AA119" i="58"/>
  <c r="AE119" i="58"/>
  <c r="P120" i="58"/>
  <c r="X120" i="58" s="1"/>
  <c r="Z120" i="58" s="1"/>
  <c r="AA120" i="58" s="1"/>
  <c r="S120" i="58"/>
  <c r="T120" i="58"/>
  <c r="U120" i="58"/>
  <c r="V120" i="58"/>
  <c r="W120" i="58"/>
  <c r="Y120" i="58"/>
  <c r="AE120" i="58"/>
  <c r="P121" i="58"/>
  <c r="X121" i="58" s="1"/>
  <c r="S121" i="58"/>
  <c r="T121" i="58"/>
  <c r="Y121" i="58" s="1"/>
  <c r="V121" i="58"/>
  <c r="W121" i="58"/>
  <c r="AE121" i="58"/>
  <c r="P122" i="58"/>
  <c r="S122" i="58"/>
  <c r="T122" i="58"/>
  <c r="U122" i="58"/>
  <c r="V122" i="58"/>
  <c r="W122" i="58"/>
  <c r="X122" i="58"/>
  <c r="Y122" i="58"/>
  <c r="Z122" i="58"/>
  <c r="AA122" i="58"/>
  <c r="AE122" i="58"/>
  <c r="P123" i="58"/>
  <c r="U124" i="58" s="1"/>
  <c r="S123" i="58"/>
  <c r="T123" i="58"/>
  <c r="U123" i="58"/>
  <c r="V123" i="58"/>
  <c r="W123" i="58"/>
  <c r="X123" i="58"/>
  <c r="Y123" i="58"/>
  <c r="Z123" i="58"/>
  <c r="AA123" i="58"/>
  <c r="AE123" i="58"/>
  <c r="AG123" i="58"/>
  <c r="P124" i="58"/>
  <c r="AE124" i="58" s="1"/>
  <c r="S124" i="58"/>
  <c r="T124" i="58" s="1"/>
  <c r="Y124" i="58" s="1"/>
  <c r="Z124" i="58" s="1"/>
  <c r="AA124" i="58" s="1"/>
  <c r="V124" i="58"/>
  <c r="W124" i="58"/>
  <c r="X124" i="58"/>
  <c r="O125" i="58"/>
  <c r="P125" i="58"/>
  <c r="AE125" i="58" s="1"/>
  <c r="S125" i="58"/>
  <c r="T125" i="58" s="1"/>
  <c r="Y125" i="58" s="1"/>
  <c r="Z125" i="58" s="1"/>
  <c r="AA125" i="58" s="1"/>
  <c r="V125" i="58"/>
  <c r="W125" i="58"/>
  <c r="X125" i="58"/>
  <c r="P126" i="58"/>
  <c r="S126" i="58"/>
  <c r="T126" i="58"/>
  <c r="Y126" i="58" s="1"/>
  <c r="U126" i="58"/>
  <c r="V126" i="58"/>
  <c r="W126" i="58"/>
  <c r="X126" i="58"/>
  <c r="AE126" i="58"/>
  <c r="AG126" i="58"/>
  <c r="P127" i="58"/>
  <c r="AE127" i="58" s="1"/>
  <c r="S127" i="58"/>
  <c r="T127" i="58"/>
  <c r="Y127" i="58" s="1"/>
  <c r="U127" i="58"/>
  <c r="V127" i="58"/>
  <c r="X127" i="58" s="1"/>
  <c r="Z127" i="58" s="1"/>
  <c r="AA127" i="58" s="1"/>
  <c r="W127" i="58"/>
  <c r="P128" i="58"/>
  <c r="U129" i="58" s="1"/>
  <c r="AE128" i="58"/>
  <c r="P129" i="58"/>
  <c r="AE129" i="58" s="1"/>
  <c r="S129" i="58"/>
  <c r="T129" i="58" s="1"/>
  <c r="Y129" i="58" s="1"/>
  <c r="V129" i="58"/>
  <c r="W129" i="58"/>
  <c r="P130" i="58"/>
  <c r="S130" i="58"/>
  <c r="T130" i="58" s="1"/>
  <c r="Y130" i="58" s="1"/>
  <c r="V130" i="58"/>
  <c r="W130" i="58"/>
  <c r="P131" i="58"/>
  <c r="U131" i="58" s="1"/>
  <c r="S131" i="58"/>
  <c r="T131" i="58" s="1"/>
  <c r="Y131" i="58" s="1"/>
  <c r="V131" i="58"/>
  <c r="W131" i="58"/>
  <c r="P132" i="58"/>
  <c r="S132" i="58"/>
  <c r="T132" i="58"/>
  <c r="U132" i="58"/>
  <c r="V132" i="58"/>
  <c r="W132" i="58"/>
  <c r="X132" i="58"/>
  <c r="Y132" i="58"/>
  <c r="Z132" i="58"/>
  <c r="AA132" i="58"/>
  <c r="AE132" i="58"/>
  <c r="P133" i="58"/>
  <c r="U133" i="58" s="1"/>
  <c r="S133" i="58"/>
  <c r="T133" i="58"/>
  <c r="V133" i="58"/>
  <c r="W133" i="58"/>
  <c r="X133" i="58"/>
  <c r="Y133" i="58"/>
  <c r="Z133" i="58"/>
  <c r="AA133" i="58"/>
  <c r="AE133" i="58"/>
  <c r="P134" i="58"/>
  <c r="AE134" i="58" s="1"/>
  <c r="S134" i="58"/>
  <c r="T134" i="58" s="1"/>
  <c r="Y134" i="58" s="1"/>
  <c r="Z134" i="58" s="1"/>
  <c r="AA134" i="58" s="1"/>
  <c r="V134" i="58"/>
  <c r="W134" i="58"/>
  <c r="X134" i="58"/>
  <c r="P135" i="58"/>
  <c r="AE135" i="58" s="1"/>
  <c r="S135" i="58"/>
  <c r="T135" i="58" s="1"/>
  <c r="Y135" i="58" s="1"/>
  <c r="Z135" i="58" s="1"/>
  <c r="AA135" i="58" s="1"/>
  <c r="V135" i="58"/>
  <c r="W135" i="58"/>
  <c r="X135" i="58"/>
  <c r="P136" i="58"/>
  <c r="S136" i="58"/>
  <c r="T136" i="58"/>
  <c r="U136" i="58"/>
  <c r="V136" i="58"/>
  <c r="W136" i="58"/>
  <c r="X136" i="58"/>
  <c r="Z136" i="58" s="1"/>
  <c r="AA136" i="58" s="1"/>
  <c r="Y136" i="58"/>
  <c r="AE136" i="58"/>
  <c r="P137" i="58"/>
  <c r="S137" i="58"/>
  <c r="T137" i="58"/>
  <c r="Y137" i="58" s="1"/>
  <c r="U137" i="58"/>
  <c r="V137" i="58"/>
  <c r="W137" i="58"/>
  <c r="X137" i="58"/>
  <c r="AE137" i="58"/>
  <c r="P138" i="58"/>
  <c r="AE138" i="58" s="1"/>
  <c r="S138" i="58"/>
  <c r="T138" i="58"/>
  <c r="Y138" i="58" s="1"/>
  <c r="U138" i="58"/>
  <c r="V138" i="58"/>
  <c r="X138" i="58" s="1"/>
  <c r="W138" i="58"/>
  <c r="AE241" i="58"/>
  <c r="AE240" i="58"/>
  <c r="AE239" i="58"/>
  <c r="AE238" i="58"/>
  <c r="AE237" i="58"/>
  <c r="P236" i="58"/>
  <c r="AE236" i="58" s="1"/>
  <c r="AE235" i="58"/>
  <c r="P235" i="58"/>
  <c r="AE234" i="58"/>
  <c r="S234" i="58"/>
  <c r="T234" i="58" s="1"/>
  <c r="U234" i="58" s="1"/>
  <c r="P234" i="58"/>
  <c r="AE233" i="58"/>
  <c r="S233" i="58"/>
  <c r="T233" i="58" s="1"/>
  <c r="P233" i="58"/>
  <c r="AE232" i="58"/>
  <c r="T232" i="58"/>
  <c r="S232" i="58"/>
  <c r="P232" i="58"/>
  <c r="AE231" i="58"/>
  <c r="T231" i="58"/>
  <c r="U231" i="58" s="1"/>
  <c r="S231" i="58"/>
  <c r="P231" i="58"/>
  <c r="AE230" i="58"/>
  <c r="T230" i="58"/>
  <c r="U230" i="58" s="1"/>
  <c r="S230" i="58"/>
  <c r="P230" i="58"/>
  <c r="AE229" i="58"/>
  <c r="S229" i="58"/>
  <c r="T229" i="58" s="1"/>
  <c r="P229" i="58"/>
  <c r="AE228" i="58"/>
  <c r="S228" i="58"/>
  <c r="T228" i="58" s="1"/>
  <c r="P228" i="58"/>
  <c r="AE227" i="58"/>
  <c r="S227" i="58"/>
  <c r="T227" i="58" s="1"/>
  <c r="U227" i="58" s="1"/>
  <c r="P227" i="58"/>
  <c r="AE226" i="58"/>
  <c r="S226" i="58"/>
  <c r="T226" i="58" s="1"/>
  <c r="P226" i="58"/>
  <c r="AE225" i="58"/>
  <c r="S225" i="58"/>
  <c r="T225" i="58" s="1"/>
  <c r="P225" i="58"/>
  <c r="AE224" i="58"/>
  <c r="S224" i="58"/>
  <c r="T224" i="58" s="1"/>
  <c r="U224" i="58" s="1"/>
  <c r="P224" i="58"/>
  <c r="AE223" i="58"/>
  <c r="S223" i="58"/>
  <c r="T223" i="58" s="1"/>
  <c r="U223" i="58" s="1"/>
  <c r="P223" i="58"/>
  <c r="AE222" i="58"/>
  <c r="S222" i="58"/>
  <c r="T222" i="58" s="1"/>
  <c r="U222" i="58" s="1"/>
  <c r="P222" i="58"/>
  <c r="AE221" i="58"/>
  <c r="S221" i="58"/>
  <c r="T221" i="58" s="1"/>
  <c r="P221" i="58"/>
  <c r="AE220" i="58"/>
  <c r="T220" i="58"/>
  <c r="U220" i="58" s="1"/>
  <c r="S220" i="58"/>
  <c r="P220" i="58"/>
  <c r="AE219" i="58"/>
  <c r="T219" i="58"/>
  <c r="S219" i="58"/>
  <c r="P219" i="58"/>
  <c r="AE218" i="58"/>
  <c r="T218" i="58"/>
  <c r="U218" i="58" s="1"/>
  <c r="S218" i="58"/>
  <c r="P218" i="58"/>
  <c r="AE217" i="58"/>
  <c r="S217" i="58"/>
  <c r="T217" i="58" s="1"/>
  <c r="P217" i="58"/>
  <c r="AE216" i="58"/>
  <c r="S216" i="58"/>
  <c r="T216" i="58" s="1"/>
  <c r="P216" i="58"/>
  <c r="AE215" i="58"/>
  <c r="U215" i="58"/>
  <c r="S215" i="58"/>
  <c r="T215" i="58" s="1"/>
  <c r="P215" i="58"/>
  <c r="AE214" i="58"/>
  <c r="S214" i="58"/>
  <c r="T214" i="58" s="1"/>
  <c r="P214" i="58"/>
  <c r="S213" i="58"/>
  <c r="T213" i="58" s="1"/>
  <c r="P213" i="58"/>
  <c r="T212" i="58"/>
  <c r="S212" i="58"/>
  <c r="P212" i="58"/>
  <c r="AE211" i="58"/>
  <c r="T211" i="58"/>
  <c r="S211" i="58"/>
  <c r="P211" i="58"/>
  <c r="AE210" i="58"/>
  <c r="V210" i="58"/>
  <c r="X210" i="58" s="1"/>
  <c r="T210" i="58"/>
  <c r="S210" i="58"/>
  <c r="P210" i="58"/>
  <c r="S209" i="58"/>
  <c r="T209" i="58" s="1"/>
  <c r="P209" i="58"/>
  <c r="T208" i="58"/>
  <c r="S208" i="58"/>
  <c r="P208" i="58"/>
  <c r="AE207" i="58"/>
  <c r="T207" i="58"/>
  <c r="S207" i="58"/>
  <c r="P207" i="58"/>
  <c r="AE206" i="58"/>
  <c r="T206" i="58"/>
  <c r="S206" i="58"/>
  <c r="P206" i="58"/>
  <c r="S205" i="58"/>
  <c r="T205" i="58" s="1"/>
  <c r="P205" i="58"/>
  <c r="T204" i="58"/>
  <c r="S204" i="58"/>
  <c r="P204" i="58"/>
  <c r="U204" i="58" s="1"/>
  <c r="AE203" i="58"/>
  <c r="S203" i="58"/>
  <c r="T203" i="58" s="1"/>
  <c r="P203" i="58"/>
  <c r="AE202" i="58"/>
  <c r="T202" i="58"/>
  <c r="S202" i="58"/>
  <c r="P202" i="58"/>
  <c r="S201" i="58"/>
  <c r="T201" i="58" s="1"/>
  <c r="P201" i="58"/>
  <c r="T200" i="58"/>
  <c r="S200" i="58"/>
  <c r="P200" i="58"/>
  <c r="T199" i="58"/>
  <c r="S199" i="58"/>
  <c r="P199" i="58"/>
  <c r="AE198" i="58"/>
  <c r="S198" i="58"/>
  <c r="T198" i="58" s="1"/>
  <c r="P198" i="58"/>
  <c r="S197" i="58"/>
  <c r="T197" i="58" s="1"/>
  <c r="P197" i="58"/>
  <c r="T196" i="58"/>
  <c r="S196" i="58"/>
  <c r="P196" i="58"/>
  <c r="V195" i="58"/>
  <c r="T195" i="58"/>
  <c r="S195" i="58"/>
  <c r="P195" i="58"/>
  <c r="AE194" i="58"/>
  <c r="U194" i="58"/>
  <c r="S194" i="58"/>
  <c r="T194" i="58" s="1"/>
  <c r="P194" i="58"/>
  <c r="S193" i="58"/>
  <c r="T193" i="58" s="1"/>
  <c r="P193" i="58"/>
  <c r="AE193" i="58" s="1"/>
  <c r="AE192" i="58"/>
  <c r="T192" i="58"/>
  <c r="U192" i="58" s="1"/>
  <c r="S192" i="58"/>
  <c r="P192" i="58"/>
  <c r="AE191" i="58"/>
  <c r="S191" i="58"/>
  <c r="T191" i="58" s="1"/>
  <c r="P191" i="58"/>
  <c r="AE190" i="58"/>
  <c r="T190" i="58"/>
  <c r="U190" i="58" s="1"/>
  <c r="S190" i="58"/>
  <c r="P190" i="58"/>
  <c r="AE189" i="58"/>
  <c r="S189" i="58"/>
  <c r="T189" i="58" s="1"/>
  <c r="P189" i="58"/>
  <c r="U189" i="58" s="1"/>
  <c r="AE188" i="58"/>
  <c r="S188" i="58"/>
  <c r="T188" i="58" s="1"/>
  <c r="U188" i="58" s="1"/>
  <c r="P188" i="58"/>
  <c r="AE187" i="58"/>
  <c r="T187" i="58"/>
  <c r="S187" i="58"/>
  <c r="P187" i="58"/>
  <c r="U187" i="58" s="1"/>
  <c r="AE186" i="58"/>
  <c r="S186" i="58"/>
  <c r="T186" i="58" s="1"/>
  <c r="U186" i="58" s="1"/>
  <c r="P186" i="58"/>
  <c r="S185" i="58"/>
  <c r="T185" i="58" s="1"/>
  <c r="P185" i="58"/>
  <c r="AE184" i="58"/>
  <c r="S184" i="58"/>
  <c r="T184" i="58" s="1"/>
  <c r="P184" i="58"/>
  <c r="T183" i="58"/>
  <c r="S183" i="58"/>
  <c r="P183" i="58"/>
  <c r="AE182" i="58"/>
  <c r="T182" i="58"/>
  <c r="S182" i="58"/>
  <c r="P182" i="58"/>
  <c r="S181" i="58"/>
  <c r="T181" i="58" s="1"/>
  <c r="P181" i="58"/>
  <c r="S180" i="58"/>
  <c r="T180" i="58" s="1"/>
  <c r="P180" i="58"/>
  <c r="AE179" i="58"/>
  <c r="S179" i="58"/>
  <c r="T179" i="58" s="1"/>
  <c r="P179" i="58"/>
  <c r="AE178" i="58"/>
  <c r="S178" i="58"/>
  <c r="T178" i="58" s="1"/>
  <c r="U178" i="58" s="1"/>
  <c r="P178" i="58"/>
  <c r="AE177" i="58"/>
  <c r="S177" i="58"/>
  <c r="T177" i="58" s="1"/>
  <c r="P177" i="58"/>
  <c r="AE176" i="58"/>
  <c r="S176" i="58"/>
  <c r="T176" i="58" s="1"/>
  <c r="P176" i="58"/>
  <c r="S175" i="58"/>
  <c r="T175" i="58" s="1"/>
  <c r="P175" i="58"/>
  <c r="AE174" i="58"/>
  <c r="T174" i="58"/>
  <c r="S174" i="58"/>
  <c r="P174" i="58"/>
  <c r="AE173" i="58"/>
  <c r="S173" i="58"/>
  <c r="T173" i="58" s="1"/>
  <c r="P173" i="58"/>
  <c r="T172" i="58"/>
  <c r="U172" i="58" s="1"/>
  <c r="S172" i="58"/>
  <c r="P172" i="58"/>
  <c r="AE172" i="58" s="1"/>
  <c r="AE171" i="58"/>
  <c r="U171" i="58"/>
  <c r="T171" i="58"/>
  <c r="S171" i="58"/>
  <c r="P171" i="58"/>
  <c r="AE170" i="58"/>
  <c r="T170" i="58"/>
  <c r="S170" i="58"/>
  <c r="P170" i="58"/>
  <c r="U170" i="58" s="1"/>
  <c r="AE169" i="58"/>
  <c r="S169" i="58"/>
  <c r="T169" i="58" s="1"/>
  <c r="P169" i="58"/>
  <c r="U169" i="58" s="1"/>
  <c r="AE168" i="58"/>
  <c r="T168" i="58"/>
  <c r="S168" i="58"/>
  <c r="P168" i="58"/>
  <c r="U168" i="58" s="1"/>
  <c r="AE167" i="58"/>
  <c r="S167" i="58"/>
  <c r="T167" i="58" s="1"/>
  <c r="P167" i="58"/>
  <c r="S166" i="58"/>
  <c r="T166" i="58" s="1"/>
  <c r="P166" i="58"/>
  <c r="S165" i="58"/>
  <c r="T165" i="58" s="1"/>
  <c r="P165" i="58"/>
  <c r="S164" i="58"/>
  <c r="T164" i="58" s="1"/>
  <c r="P164" i="58"/>
  <c r="S163" i="58"/>
  <c r="T163" i="58" s="1"/>
  <c r="P163" i="58"/>
  <c r="T162" i="58"/>
  <c r="S162" i="58"/>
  <c r="P162" i="58"/>
  <c r="AE162" i="58" s="1"/>
  <c r="AE161" i="58"/>
  <c r="T161" i="58"/>
  <c r="S161" i="58"/>
  <c r="P161" i="58"/>
  <c r="V160" i="58"/>
  <c r="X160" i="58" s="1"/>
  <c r="T160" i="58"/>
  <c r="S160" i="58"/>
  <c r="P160" i="58"/>
  <c r="AE160" i="58" s="1"/>
  <c r="AE159" i="58"/>
  <c r="U159" i="58"/>
  <c r="T159" i="58"/>
  <c r="S159" i="58"/>
  <c r="P159" i="58"/>
  <c r="AE158" i="58"/>
  <c r="T158" i="58"/>
  <c r="S158" i="58"/>
  <c r="P158" i="58"/>
  <c r="U158" i="58" s="1"/>
  <c r="AE157" i="58"/>
  <c r="S157" i="58"/>
  <c r="T157" i="58" s="1"/>
  <c r="P157" i="58"/>
  <c r="U157" i="58" s="1"/>
  <c r="AE156" i="58"/>
  <c r="T156" i="58"/>
  <c r="S156" i="58"/>
  <c r="P156" i="58"/>
  <c r="U156" i="58" s="1"/>
  <c r="S155" i="58"/>
  <c r="T155" i="58" s="1"/>
  <c r="P155" i="58"/>
  <c r="S154" i="58"/>
  <c r="T154" i="58" s="1"/>
  <c r="P154" i="58"/>
  <c r="AE153" i="58"/>
  <c r="T153" i="58"/>
  <c r="S153" i="58"/>
  <c r="P153" i="58"/>
  <c r="S152" i="58"/>
  <c r="T152" i="58" s="1"/>
  <c r="P152" i="58"/>
  <c r="S151" i="58"/>
  <c r="T151" i="58" s="1"/>
  <c r="P151" i="58"/>
  <c r="AE151" i="58" s="1"/>
  <c r="U150" i="58"/>
  <c r="T150" i="58"/>
  <c r="S150" i="58"/>
  <c r="P150" i="58"/>
  <c r="AE150" i="58" s="1"/>
  <c r="AE149" i="58"/>
  <c r="S149" i="58"/>
  <c r="T149" i="58" s="1"/>
  <c r="P149" i="58"/>
  <c r="S148" i="58"/>
  <c r="T148" i="58" s="1"/>
  <c r="P148" i="58"/>
  <c r="T147" i="58"/>
  <c r="S147" i="58"/>
  <c r="P147" i="58"/>
  <c r="S146" i="58"/>
  <c r="T146" i="58" s="1"/>
  <c r="P146" i="58"/>
  <c r="T145" i="58"/>
  <c r="U145" i="58" s="1"/>
  <c r="S145" i="58"/>
  <c r="P145" i="58"/>
  <c r="AE145" i="58" s="1"/>
  <c r="AE144" i="58"/>
  <c r="U144" i="58"/>
  <c r="T144" i="58"/>
  <c r="S144" i="58"/>
  <c r="P144" i="58"/>
  <c r="AE143" i="58"/>
  <c r="S143" i="58"/>
  <c r="T143" i="58" s="1"/>
  <c r="P143" i="58"/>
  <c r="AE142" i="58"/>
  <c r="S142" i="58"/>
  <c r="T142" i="58" s="1"/>
  <c r="P142" i="58"/>
  <c r="S141" i="58"/>
  <c r="T141" i="58" s="1"/>
  <c r="P141" i="58"/>
  <c r="T140" i="58"/>
  <c r="S140" i="58"/>
  <c r="P140" i="58"/>
  <c r="S139" i="58"/>
  <c r="T139" i="58" s="1"/>
  <c r="P139" i="58"/>
  <c r="AE139" i="58" s="1"/>
  <c r="S110" i="58"/>
  <c r="T110" i="58" s="1"/>
  <c r="AE109" i="58"/>
  <c r="S109" i="58"/>
  <c r="T109" i="58" s="1"/>
  <c r="P109" i="58"/>
  <c r="AE108" i="58"/>
  <c r="T108" i="58"/>
  <c r="S108" i="58"/>
  <c r="P108" i="58"/>
  <c r="U108" i="58" s="1"/>
  <c r="V107" i="58"/>
  <c r="T107" i="58"/>
  <c r="S107" i="58"/>
  <c r="P107" i="58"/>
  <c r="S106" i="58"/>
  <c r="T106" i="58" s="1"/>
  <c r="P106" i="58"/>
  <c r="W105" i="58"/>
  <c r="S105" i="58"/>
  <c r="T105" i="58" s="1"/>
  <c r="P105" i="58"/>
  <c r="AE105" i="58" s="1"/>
  <c r="T104" i="58"/>
  <c r="S104" i="58"/>
  <c r="P104" i="58"/>
  <c r="AE104" i="58" s="1"/>
  <c r="AE103" i="58"/>
  <c r="S103" i="58"/>
  <c r="T103" i="58" s="1"/>
  <c r="U103" i="58" s="1"/>
  <c r="P103" i="58"/>
  <c r="AE102" i="58"/>
  <c r="T102" i="58"/>
  <c r="S102" i="58"/>
  <c r="P102" i="58"/>
  <c r="U102" i="58" s="1"/>
  <c r="AE101" i="58"/>
  <c r="S101" i="58"/>
  <c r="T101" i="58" s="1"/>
  <c r="U101" i="58" s="1"/>
  <c r="P101" i="58"/>
  <c r="AE100" i="58"/>
  <c r="S100" i="58"/>
  <c r="T100" i="58" s="1"/>
  <c r="P100" i="58"/>
  <c r="U100" i="58" s="1"/>
  <c r="T99" i="58"/>
  <c r="S99" i="58"/>
  <c r="P99" i="58"/>
  <c r="AE98" i="58"/>
  <c r="S98" i="58"/>
  <c r="T98" i="58" s="1"/>
  <c r="P98" i="58"/>
  <c r="S97" i="58"/>
  <c r="T97" i="58" s="1"/>
  <c r="P97" i="58"/>
  <c r="AE96" i="58"/>
  <c r="T96" i="58"/>
  <c r="S96" i="58"/>
  <c r="P96" i="58"/>
  <c r="S95" i="58"/>
  <c r="T95" i="58" s="1"/>
  <c r="P95" i="58"/>
  <c r="AE95" i="58" s="1"/>
  <c r="U94" i="58"/>
  <c r="T94" i="58"/>
  <c r="S94" i="58"/>
  <c r="P94" i="58"/>
  <c r="S93" i="58"/>
  <c r="T93" i="58" s="1"/>
  <c r="U93" i="58" s="1"/>
  <c r="P93" i="58"/>
  <c r="AE93" i="58" s="1"/>
  <c r="T92" i="58"/>
  <c r="S92" i="58"/>
  <c r="P92" i="58"/>
  <c r="W91" i="58"/>
  <c r="S91" i="58"/>
  <c r="T91" i="58" s="1"/>
  <c r="U91" i="58" s="1"/>
  <c r="P91" i="58"/>
  <c r="AE91" i="58" s="1"/>
  <c r="T90" i="58"/>
  <c r="S90" i="58"/>
  <c r="P90" i="58"/>
  <c r="U90" i="58" s="1"/>
  <c r="AE89" i="58"/>
  <c r="U89" i="58"/>
  <c r="T89" i="58"/>
  <c r="S89" i="58"/>
  <c r="P89" i="58"/>
  <c r="AE88" i="58"/>
  <c r="V88" i="58"/>
  <c r="X88" i="58" s="1"/>
  <c r="T88" i="58"/>
  <c r="S88" i="58"/>
  <c r="P88" i="58"/>
  <c r="U88" i="58" s="1"/>
  <c r="T87" i="58"/>
  <c r="S87" i="58"/>
  <c r="P87" i="58"/>
  <c r="S86" i="58"/>
  <c r="T86" i="58" s="1"/>
  <c r="P86" i="58"/>
  <c r="U86" i="58" s="1"/>
  <c r="T85" i="58"/>
  <c r="S85" i="58"/>
  <c r="P85" i="58"/>
  <c r="S84" i="58"/>
  <c r="T84" i="58" s="1"/>
  <c r="P84" i="58"/>
  <c r="S83" i="58"/>
  <c r="T83" i="58" s="1"/>
  <c r="P83" i="58"/>
  <c r="AE83" i="58" s="1"/>
  <c r="V82" i="58"/>
  <c r="T82" i="58"/>
  <c r="S82" i="58"/>
  <c r="P82" i="58"/>
  <c r="U81" i="58"/>
  <c r="S81" i="58"/>
  <c r="T81" i="58" s="1"/>
  <c r="P81" i="58"/>
  <c r="AE81" i="58" s="1"/>
  <c r="V80" i="58"/>
  <c r="X80" i="58" s="1"/>
  <c r="T80" i="58"/>
  <c r="S80" i="58"/>
  <c r="P80" i="58"/>
  <c r="S79" i="58"/>
  <c r="T79" i="58" s="1"/>
  <c r="P79" i="58"/>
  <c r="AE79" i="58" s="1"/>
  <c r="T78" i="58"/>
  <c r="S78" i="58"/>
  <c r="P78" i="58"/>
  <c r="AE77" i="58"/>
  <c r="U77" i="58"/>
  <c r="T77" i="58"/>
  <c r="S77" i="58"/>
  <c r="P77" i="58"/>
  <c r="AE76" i="58"/>
  <c r="T76" i="58"/>
  <c r="S76" i="58"/>
  <c r="P76" i="58"/>
  <c r="U76" i="58" s="1"/>
  <c r="S75" i="58"/>
  <c r="T75" i="58" s="1"/>
  <c r="P75" i="58"/>
  <c r="AG74" i="58"/>
  <c r="AE74" i="58"/>
  <c r="U74" i="58"/>
  <c r="T74" i="58"/>
  <c r="S74" i="58"/>
  <c r="P74" i="58"/>
  <c r="U73" i="58"/>
  <c r="S73" i="58"/>
  <c r="T73" i="58" s="1"/>
  <c r="P73" i="58"/>
  <c r="AG73" i="58" s="1"/>
  <c r="AE72" i="58"/>
  <c r="V72" i="58"/>
  <c r="X72" i="58" s="1"/>
  <c r="T72" i="58"/>
  <c r="S72" i="58"/>
  <c r="P72" i="58"/>
  <c r="U72" i="58" s="1"/>
  <c r="S71" i="58"/>
  <c r="T71" i="58" s="1"/>
  <c r="P71" i="58"/>
  <c r="AG70" i="58"/>
  <c r="AE70" i="58"/>
  <c r="W70" i="58"/>
  <c r="T70" i="58"/>
  <c r="S70" i="58"/>
  <c r="P70" i="58"/>
  <c r="S69" i="58"/>
  <c r="T69" i="58" s="1"/>
  <c r="U69" i="58" s="1"/>
  <c r="P69" i="58"/>
  <c r="AG69" i="58" s="1"/>
  <c r="AE68" i="58"/>
  <c r="T68" i="58"/>
  <c r="S68" i="58"/>
  <c r="P68" i="58"/>
  <c r="U68" i="58" s="1"/>
  <c r="T67" i="58"/>
  <c r="S67" i="58"/>
  <c r="O67" i="58"/>
  <c r="P67" i="58" s="1"/>
  <c r="U66" i="58"/>
  <c r="T66" i="58"/>
  <c r="S66" i="58"/>
  <c r="P66" i="58"/>
  <c r="AE66" i="58" s="1"/>
  <c r="W65" i="58"/>
  <c r="V65" i="58"/>
  <c r="T65" i="58"/>
  <c r="S65" i="58"/>
  <c r="P65" i="58"/>
  <c r="T64" i="58"/>
  <c r="S64" i="58"/>
  <c r="P64" i="58"/>
  <c r="W63" i="58"/>
  <c r="V63" i="58"/>
  <c r="X63" i="58" s="1"/>
  <c r="S63" i="58"/>
  <c r="T63" i="58" s="1"/>
  <c r="Y63" i="58" s="1"/>
  <c r="P63" i="58"/>
  <c r="AG63" i="58" s="1"/>
  <c r="W62" i="58"/>
  <c r="T62" i="58"/>
  <c r="S62" i="58"/>
  <c r="P62" i="58"/>
  <c r="AE62" i="58" s="1"/>
  <c r="W61" i="58"/>
  <c r="Y61" i="58" s="1"/>
  <c r="U61" i="58"/>
  <c r="T61" i="58"/>
  <c r="S61" i="58"/>
  <c r="P61" i="58"/>
  <c r="AE61" i="58" s="1"/>
  <c r="V60" i="58"/>
  <c r="X60" i="58" s="1"/>
  <c r="S60" i="58"/>
  <c r="T60" i="58" s="1"/>
  <c r="U60" i="58" s="1"/>
  <c r="P60" i="58"/>
  <c r="AE60" i="58" s="1"/>
  <c r="AE59" i="58"/>
  <c r="W59" i="58"/>
  <c r="Y59" i="58" s="1"/>
  <c r="T59" i="58"/>
  <c r="U59" i="58" s="1"/>
  <c r="S59" i="58"/>
  <c r="P59" i="58"/>
  <c r="AE58" i="58"/>
  <c r="U58" i="58"/>
  <c r="T58" i="58"/>
  <c r="S58" i="58"/>
  <c r="P58" i="58"/>
  <c r="AE57" i="58"/>
  <c r="T57" i="58"/>
  <c r="S57" i="58"/>
  <c r="P57" i="58"/>
  <c r="S56" i="58"/>
  <c r="T56" i="58" s="1"/>
  <c r="P56" i="58"/>
  <c r="S55" i="58"/>
  <c r="T55" i="58" s="1"/>
  <c r="P55" i="58"/>
  <c r="S54" i="58"/>
  <c r="T54" i="58" s="1"/>
  <c r="P54" i="58"/>
  <c r="AE54" i="58" s="1"/>
  <c r="S53" i="58"/>
  <c r="T53" i="58" s="1"/>
  <c r="P53" i="58"/>
  <c r="AE53" i="58" s="1"/>
  <c r="V52" i="58"/>
  <c r="T52" i="58"/>
  <c r="S52" i="58"/>
  <c r="P52" i="58"/>
  <c r="U52" i="58" s="1"/>
  <c r="W51" i="58"/>
  <c r="V51" i="58"/>
  <c r="X51" i="58" s="1"/>
  <c r="U51" i="58"/>
  <c r="S51" i="58"/>
  <c r="T51" i="58" s="1"/>
  <c r="P51" i="58"/>
  <c r="AE51" i="58" s="1"/>
  <c r="V50" i="58"/>
  <c r="X50" i="58" s="1"/>
  <c r="T50" i="58"/>
  <c r="S50" i="58"/>
  <c r="P50" i="58"/>
  <c r="AE50" i="58" s="1"/>
  <c r="W49" i="58"/>
  <c r="Y49" i="58" s="1"/>
  <c r="U49" i="58"/>
  <c r="T49" i="58"/>
  <c r="S49" i="58"/>
  <c r="P49" i="58"/>
  <c r="AE49" i="58" s="1"/>
  <c r="AE48" i="58"/>
  <c r="V48" i="58"/>
  <c r="X48" i="58" s="1"/>
  <c r="S48" i="58"/>
  <c r="T48" i="58" s="1"/>
  <c r="U48" i="58" s="1"/>
  <c r="X47" i="58"/>
  <c r="V47" i="58"/>
  <c r="S47" i="58"/>
  <c r="T47" i="58" s="1"/>
  <c r="U47" i="58" s="1"/>
  <c r="P47" i="58"/>
  <c r="AE47" i="58" s="1"/>
  <c r="AE46" i="58"/>
  <c r="W46" i="58"/>
  <c r="Y46" i="58" s="1"/>
  <c r="T46" i="58"/>
  <c r="S46" i="58"/>
  <c r="P46" i="58"/>
  <c r="U46" i="58" s="1"/>
  <c r="AE45" i="58"/>
  <c r="T45" i="58"/>
  <c r="S45" i="58"/>
  <c r="O45" i="58"/>
  <c r="P45" i="58" s="1"/>
  <c r="U45" i="58" s="1"/>
  <c r="S44" i="58"/>
  <c r="T44" i="58" s="1"/>
  <c r="P44" i="58"/>
  <c r="S43" i="58"/>
  <c r="T43" i="58" s="1"/>
  <c r="P43" i="58"/>
  <c r="S42" i="58"/>
  <c r="T42" i="58" s="1"/>
  <c r="P42" i="58"/>
  <c r="AE42" i="58" s="1"/>
  <c r="S41" i="58"/>
  <c r="T41" i="58" s="1"/>
  <c r="P41" i="58"/>
  <c r="AE41" i="58" s="1"/>
  <c r="V40" i="58"/>
  <c r="T40" i="58"/>
  <c r="S40" i="58"/>
  <c r="P40" i="58"/>
  <c r="U40" i="58" s="1"/>
  <c r="W39" i="58"/>
  <c r="V39" i="58"/>
  <c r="X39" i="58" s="1"/>
  <c r="U39" i="58"/>
  <c r="S39" i="58"/>
  <c r="T39" i="58" s="1"/>
  <c r="P39" i="58"/>
  <c r="AE39" i="58" s="1"/>
  <c r="W38" i="58"/>
  <c r="V38" i="58"/>
  <c r="X38" i="58" s="1"/>
  <c r="T38" i="58"/>
  <c r="S38" i="58"/>
  <c r="P38" i="58"/>
  <c r="AE38" i="58" s="1"/>
  <c r="W37" i="58"/>
  <c r="Y37" i="58" s="1"/>
  <c r="U37" i="58"/>
  <c r="T37" i="58"/>
  <c r="S37" i="58"/>
  <c r="P37" i="58"/>
  <c r="AE37" i="58" s="1"/>
  <c r="U36" i="58"/>
  <c r="T36" i="58"/>
  <c r="S36" i="58"/>
  <c r="P36" i="58"/>
  <c r="AE36" i="58" s="1"/>
  <c r="AE35" i="58"/>
  <c r="W35" i="58"/>
  <c r="S35" i="58"/>
  <c r="T35" i="58" s="1"/>
  <c r="Y35" i="58" s="1"/>
  <c r="P35" i="58"/>
  <c r="AE34" i="58"/>
  <c r="T34" i="58"/>
  <c r="S34" i="58"/>
  <c r="P34" i="58"/>
  <c r="U34" i="58" s="1"/>
  <c r="AE33" i="58"/>
  <c r="T33" i="58"/>
  <c r="S33" i="58"/>
  <c r="P33" i="58"/>
  <c r="AE32" i="58"/>
  <c r="S32" i="58"/>
  <c r="T32" i="58" s="1"/>
  <c r="P32" i="58"/>
  <c r="S31" i="58"/>
  <c r="T31" i="58" s="1"/>
  <c r="P31" i="58"/>
  <c r="S30" i="58"/>
  <c r="T30" i="58" s="1"/>
  <c r="P30" i="58"/>
  <c r="AE30" i="58" s="1"/>
  <c r="S29" i="58"/>
  <c r="T29" i="58" s="1"/>
  <c r="P29" i="58"/>
  <c r="AE29" i="58" s="1"/>
  <c r="W28" i="58"/>
  <c r="V28" i="58"/>
  <c r="T28" i="58"/>
  <c r="Y28" i="58" s="1"/>
  <c r="S28" i="58"/>
  <c r="P28" i="58"/>
  <c r="W27" i="58"/>
  <c r="S27" i="58"/>
  <c r="T27" i="58" s="1"/>
  <c r="P27" i="58"/>
  <c r="AE27" i="58" s="1"/>
  <c r="O27" i="58"/>
  <c r="W26" i="58"/>
  <c r="Y26" i="58" s="1"/>
  <c r="U26" i="58"/>
  <c r="T26" i="58"/>
  <c r="S26" i="58"/>
  <c r="P26" i="58"/>
  <c r="AE26" i="58" s="1"/>
  <c r="AE25" i="58"/>
  <c r="V25" i="58"/>
  <c r="X25" i="58" s="1"/>
  <c r="S25" i="58"/>
  <c r="T25" i="58" s="1"/>
  <c r="U25" i="58" s="1"/>
  <c r="P25" i="58"/>
  <c r="O25" i="58"/>
  <c r="AE24" i="58"/>
  <c r="T24" i="58"/>
  <c r="S24" i="58"/>
  <c r="P24" i="58"/>
  <c r="U24" i="58" s="1"/>
  <c r="AE23" i="58"/>
  <c r="S23" i="58"/>
  <c r="T23" i="58" s="1"/>
  <c r="P23" i="58"/>
  <c r="S22" i="58"/>
  <c r="T22" i="58" s="1"/>
  <c r="P22" i="58"/>
  <c r="AE22" i="58" s="1"/>
  <c r="S21" i="58"/>
  <c r="T21" i="58" s="1"/>
  <c r="P21" i="58"/>
  <c r="S20" i="58"/>
  <c r="T20" i="58" s="1"/>
  <c r="P20" i="58"/>
  <c r="U20" i="58" s="1"/>
  <c r="V19" i="58"/>
  <c r="U19" i="58"/>
  <c r="S19" i="58"/>
  <c r="T19" i="58" s="1"/>
  <c r="P19" i="58"/>
  <c r="AE19" i="58" s="1"/>
  <c r="W18" i="58"/>
  <c r="T18" i="58"/>
  <c r="Y18" i="58" s="1"/>
  <c r="S18" i="58"/>
  <c r="P18" i="58"/>
  <c r="U18" i="58" s="1"/>
  <c r="X17" i="58"/>
  <c r="W17" i="58"/>
  <c r="V17" i="58"/>
  <c r="U17" i="58"/>
  <c r="S17" i="58"/>
  <c r="T17" i="58" s="1"/>
  <c r="P17" i="58"/>
  <c r="AE17" i="58" s="1"/>
  <c r="W16" i="58"/>
  <c r="V16" i="58"/>
  <c r="X16" i="58" s="1"/>
  <c r="T16" i="58"/>
  <c r="U16" i="58" s="1"/>
  <c r="S16" i="58"/>
  <c r="P16" i="58"/>
  <c r="AE16" i="58" s="1"/>
  <c r="U15" i="58"/>
  <c r="T15" i="58"/>
  <c r="S15" i="58"/>
  <c r="P15" i="58"/>
  <c r="AE15" i="58" s="1"/>
  <c r="V14" i="58"/>
  <c r="X14" i="58" s="1"/>
  <c r="U14" i="58"/>
  <c r="T14" i="58"/>
  <c r="S14" i="58"/>
  <c r="P14" i="58"/>
  <c r="AE14" i="58" s="1"/>
  <c r="AE13" i="58"/>
  <c r="W13" i="58"/>
  <c r="Y13" i="58" s="1"/>
  <c r="T13" i="58"/>
  <c r="S13" i="58"/>
  <c r="P13" i="58"/>
  <c r="U13" i="58" s="1"/>
  <c r="AE12" i="58"/>
  <c r="S12" i="58"/>
  <c r="T12" i="58" s="1"/>
  <c r="P12" i="58"/>
  <c r="U12" i="58" s="1"/>
  <c r="AE11" i="58"/>
  <c r="T11" i="58"/>
  <c r="S11" i="58"/>
  <c r="P11" i="58"/>
  <c r="AE10" i="58"/>
  <c r="S10" i="58"/>
  <c r="T10" i="58" s="1"/>
  <c r="P10" i="58"/>
  <c r="W2" i="58"/>
  <c r="W87" i="58" s="1"/>
  <c r="Y87" i="58" s="1"/>
  <c r="V2" i="58"/>
  <c r="V76" i="58" s="1"/>
  <c r="X76" i="58" s="1"/>
  <c r="U121" i="58" l="1"/>
  <c r="Z121" i="58"/>
  <c r="W95" i="1"/>
  <c r="AF95" i="1" s="1"/>
  <c r="V95" i="1"/>
  <c r="AE95" i="1" s="1"/>
  <c r="T95" i="1"/>
  <c r="Z137" i="58"/>
  <c r="U130" i="58"/>
  <c r="Z138" i="58"/>
  <c r="Z126" i="58"/>
  <c r="AA126" i="58" s="1"/>
  <c r="AE131" i="58"/>
  <c r="U135" i="58"/>
  <c r="U125" i="58"/>
  <c r="AE130" i="58"/>
  <c r="U134" i="58"/>
  <c r="X131" i="58"/>
  <c r="Z131" i="58" s="1"/>
  <c r="AA131" i="58" s="1"/>
  <c r="X130" i="58"/>
  <c r="Z130" i="58" s="1"/>
  <c r="AA130" i="58" s="1"/>
  <c r="X129" i="58"/>
  <c r="Z129" i="58" s="1"/>
  <c r="AA129" i="58" s="1"/>
  <c r="AG125" i="58"/>
  <c r="U41" i="58"/>
  <c r="Z80" i="58"/>
  <c r="AA80" i="58" s="1"/>
  <c r="Y10" i="58"/>
  <c r="Y21" i="58"/>
  <c r="U53" i="58"/>
  <c r="U29" i="58"/>
  <c r="Y42" i="58"/>
  <c r="AE28" i="58"/>
  <c r="X28" i="58"/>
  <c r="Z28" i="58" s="1"/>
  <c r="AA28" i="58" s="1"/>
  <c r="U28" i="58"/>
  <c r="U202" i="58"/>
  <c r="Z60" i="58"/>
  <c r="AA60" i="58" s="1"/>
  <c r="U32" i="58"/>
  <c r="Y79" i="58"/>
  <c r="X82" i="58"/>
  <c r="AE82" i="58"/>
  <c r="U179" i="58"/>
  <c r="X10" i="58"/>
  <c r="U10" i="58"/>
  <c r="Y39" i="58"/>
  <c r="Y51" i="58"/>
  <c r="Y65" i="58"/>
  <c r="U79" i="58"/>
  <c r="X99" i="58"/>
  <c r="Z99" i="58" s="1"/>
  <c r="AA99" i="58" s="1"/>
  <c r="U99" i="58"/>
  <c r="AE99" i="58"/>
  <c r="Y154" i="58"/>
  <c r="V212" i="58"/>
  <c r="X212" i="58" s="1"/>
  <c r="Y75" i="58"/>
  <c r="X31" i="58"/>
  <c r="U31" i="58"/>
  <c r="AE31" i="58"/>
  <c r="V36" i="58"/>
  <c r="X36" i="58" s="1"/>
  <c r="Y76" i="58"/>
  <c r="Z76" i="58" s="1"/>
  <c r="AA76" i="58" s="1"/>
  <c r="V83" i="58"/>
  <c r="X87" i="58"/>
  <c r="Z87" i="58" s="1"/>
  <c r="AA87" i="58" s="1"/>
  <c r="U87" i="58"/>
  <c r="AE87" i="58"/>
  <c r="U152" i="58"/>
  <c r="W195" i="58"/>
  <c r="U71" i="58"/>
  <c r="AE71" i="58"/>
  <c r="AG71" i="58"/>
  <c r="U83" i="58"/>
  <c r="U11" i="58"/>
  <c r="V18" i="58"/>
  <c r="X18" i="58" s="1"/>
  <c r="Z18" i="58" s="1"/>
  <c r="AA18" i="58" s="1"/>
  <c r="Y31" i="58"/>
  <c r="U35" i="58"/>
  <c r="Y38" i="58"/>
  <c r="Z38" i="58" s="1"/>
  <c r="AA38" i="58" s="1"/>
  <c r="U38" i="58"/>
  <c r="U50" i="58"/>
  <c r="AG64" i="58"/>
  <c r="AE64" i="58"/>
  <c r="U64" i="58"/>
  <c r="W69" i="58"/>
  <c r="Y69" i="58" s="1"/>
  <c r="Y91" i="58"/>
  <c r="W94" i="58"/>
  <c r="Y94" i="58" s="1"/>
  <c r="W103" i="58"/>
  <c r="Y141" i="58"/>
  <c r="Y16" i="58"/>
  <c r="Z16" i="58" s="1"/>
  <c r="AA16" i="58" s="1"/>
  <c r="U56" i="58"/>
  <c r="Y96" i="58"/>
  <c r="U96" i="58"/>
  <c r="Z39" i="58"/>
  <c r="AA39" i="58" s="1"/>
  <c r="Y44" i="58"/>
  <c r="U75" i="58"/>
  <c r="AE75" i="58"/>
  <c r="AG75" i="58"/>
  <c r="AE18" i="58"/>
  <c r="U42" i="58"/>
  <c r="U63" i="58"/>
  <c r="AE40" i="58"/>
  <c r="X40" i="58"/>
  <c r="AE52" i="58"/>
  <c r="X52" i="58"/>
  <c r="X97" i="58"/>
  <c r="U97" i="58"/>
  <c r="AE97" i="58"/>
  <c r="Y147" i="58"/>
  <c r="Y27" i="58"/>
  <c r="U43" i="58"/>
  <c r="AE43" i="58"/>
  <c r="U55" i="58"/>
  <c r="AE55" i="58"/>
  <c r="X84" i="58"/>
  <c r="AE84" i="58"/>
  <c r="U84" i="58"/>
  <c r="V232" i="58"/>
  <c r="X232" i="58" s="1"/>
  <c r="Z232" i="58" s="1"/>
  <c r="AA232" i="58" s="1"/>
  <c r="V231" i="58"/>
  <c r="X231" i="58" s="1"/>
  <c r="Z231" i="58" s="1"/>
  <c r="AA231" i="58" s="1"/>
  <c r="V226" i="58"/>
  <c r="X226" i="58" s="1"/>
  <c r="V225" i="58"/>
  <c r="V188" i="58"/>
  <c r="V169" i="58"/>
  <c r="X169" i="58" s="1"/>
  <c r="V157" i="58"/>
  <c r="X157" i="58" s="1"/>
  <c r="V149" i="58"/>
  <c r="X149" i="58" s="1"/>
  <c r="V143" i="58"/>
  <c r="X143" i="58" s="1"/>
  <c r="V230" i="58"/>
  <c r="X230" i="58" s="1"/>
  <c r="Z230" i="58" s="1"/>
  <c r="AA230" i="58" s="1"/>
  <c r="V229" i="58"/>
  <c r="V189" i="58"/>
  <c r="X189" i="58" s="1"/>
  <c r="Z189" i="58" s="1"/>
  <c r="AA189" i="58" s="1"/>
  <c r="V187" i="58"/>
  <c r="X187" i="58" s="1"/>
  <c r="Z187" i="58" s="1"/>
  <c r="AA187" i="58" s="1"/>
  <c r="V177" i="58"/>
  <c r="X177" i="58" s="1"/>
  <c r="Z177" i="58" s="1"/>
  <c r="AA177" i="58" s="1"/>
  <c r="V168" i="58"/>
  <c r="V156" i="58"/>
  <c r="X156" i="58" s="1"/>
  <c r="V234" i="58"/>
  <c r="X234" i="58" s="1"/>
  <c r="Z234" i="58" s="1"/>
  <c r="AA234" i="58" s="1"/>
  <c r="V233" i="58"/>
  <c r="V186" i="58"/>
  <c r="X186" i="58" s="1"/>
  <c r="V176" i="58"/>
  <c r="V148" i="58"/>
  <c r="V142" i="58"/>
  <c r="V184" i="58"/>
  <c r="V167" i="58"/>
  <c r="X167" i="58" s="1"/>
  <c r="V166" i="58"/>
  <c r="X166" i="58" s="1"/>
  <c r="Z166" i="58" s="1"/>
  <c r="AA166" i="58" s="1"/>
  <c r="V155" i="58"/>
  <c r="X155" i="58" s="1"/>
  <c r="Z155" i="58" s="1"/>
  <c r="AA155" i="58" s="1"/>
  <c r="V154" i="58"/>
  <c r="V200" i="58"/>
  <c r="V199" i="58"/>
  <c r="V185" i="58"/>
  <c r="V183" i="58"/>
  <c r="V175" i="58"/>
  <c r="V165" i="58"/>
  <c r="V153" i="58"/>
  <c r="X153" i="58" s="1"/>
  <c r="Z153" i="58" s="1"/>
  <c r="AA153" i="58" s="1"/>
  <c r="V147" i="58"/>
  <c r="V204" i="58"/>
  <c r="X204" i="58" s="1"/>
  <c r="Z204" i="58" s="1"/>
  <c r="AA204" i="58" s="1"/>
  <c r="V203" i="58"/>
  <c r="X203" i="58" s="1"/>
  <c r="Z203" i="58" s="1"/>
  <c r="AA203" i="58" s="1"/>
  <c r="V198" i="58"/>
  <c r="X198" i="58" s="1"/>
  <c r="Z198" i="58" s="1"/>
  <c r="AA198" i="58" s="1"/>
  <c r="V224" i="58"/>
  <c r="X224" i="58" s="1"/>
  <c r="Z224" i="58" s="1"/>
  <c r="AA224" i="58" s="1"/>
  <c r="V223" i="58"/>
  <c r="X223" i="58" s="1"/>
  <c r="V218" i="58"/>
  <c r="X218" i="58" s="1"/>
  <c r="V217" i="58"/>
  <c r="X217" i="58" s="1"/>
  <c r="Z217" i="58" s="1"/>
  <c r="AA217" i="58" s="1"/>
  <c r="V193" i="58"/>
  <c r="X193" i="58" s="1"/>
  <c r="V191" i="58"/>
  <c r="X191" i="58" s="1"/>
  <c r="V215" i="58"/>
  <c r="X215" i="58" s="1"/>
  <c r="V162" i="58"/>
  <c r="X162" i="58" s="1"/>
  <c r="V211" i="58"/>
  <c r="X211" i="58" s="1"/>
  <c r="V201" i="58"/>
  <c r="X201" i="58" s="1"/>
  <c r="Z201" i="58" s="1"/>
  <c r="AA201" i="58" s="1"/>
  <c r="V173" i="58"/>
  <c r="X173" i="58" s="1"/>
  <c r="Z173" i="58" s="1"/>
  <c r="AA173" i="58" s="1"/>
  <c r="V150" i="58"/>
  <c r="X150" i="58" s="1"/>
  <c r="Z150" i="58" s="1"/>
  <c r="AA150" i="58" s="1"/>
  <c r="V146" i="58"/>
  <c r="V139" i="58"/>
  <c r="X139" i="58" s="1"/>
  <c r="V213" i="58"/>
  <c r="V207" i="58"/>
  <c r="X207" i="58" s="1"/>
  <c r="V196" i="58"/>
  <c r="X196" i="58" s="1"/>
  <c r="Z196" i="58" s="1"/>
  <c r="AA196" i="58" s="1"/>
  <c r="V182" i="58"/>
  <c r="X182" i="58" s="1"/>
  <c r="V178" i="58"/>
  <c r="X178" i="58" s="1"/>
  <c r="Z178" i="58" s="1"/>
  <c r="AA178" i="58" s="1"/>
  <c r="V174" i="58"/>
  <c r="X174" i="58" s="1"/>
  <c r="Z174" i="58" s="1"/>
  <c r="AA174" i="58" s="1"/>
  <c r="V140" i="58"/>
  <c r="V110" i="58"/>
  <c r="V228" i="58"/>
  <c r="X228" i="58" s="1"/>
  <c r="Z228" i="58" s="1"/>
  <c r="AA228" i="58" s="1"/>
  <c r="V209" i="58"/>
  <c r="V179" i="58"/>
  <c r="X179" i="58" s="1"/>
  <c r="V158" i="58"/>
  <c r="X158" i="58" s="1"/>
  <c r="V151" i="58"/>
  <c r="X151" i="58" s="1"/>
  <c r="V109" i="58"/>
  <c r="X109" i="58" s="1"/>
  <c r="Z109" i="58" s="1"/>
  <c r="AA109" i="58" s="1"/>
  <c r="V205" i="58"/>
  <c r="V163" i="58"/>
  <c r="V159" i="58"/>
  <c r="X159" i="58" s="1"/>
  <c r="V221" i="58"/>
  <c r="V216" i="58"/>
  <c r="V194" i="58"/>
  <c r="X194" i="58" s="1"/>
  <c r="V180" i="58"/>
  <c r="V227" i="58"/>
  <c r="X227" i="58" s="1"/>
  <c r="V222" i="58"/>
  <c r="X222" i="58" s="1"/>
  <c r="Z222" i="58" s="1"/>
  <c r="AA222" i="58" s="1"/>
  <c r="V206" i="58"/>
  <c r="X206" i="58" s="1"/>
  <c r="Z206" i="58" s="1"/>
  <c r="AA206" i="58" s="1"/>
  <c r="V197" i="58"/>
  <c r="V161" i="58"/>
  <c r="X161" i="58" s="1"/>
  <c r="Z161" i="58" s="1"/>
  <c r="AA161" i="58" s="1"/>
  <c r="V144" i="58"/>
  <c r="X144" i="58" s="1"/>
  <c r="V105" i="58"/>
  <c r="X105" i="58" s="1"/>
  <c r="V101" i="58"/>
  <c r="X101" i="58" s="1"/>
  <c r="V89" i="58"/>
  <c r="X89" i="58" s="1"/>
  <c r="V77" i="58"/>
  <c r="X77" i="58" s="1"/>
  <c r="Z77" i="58" s="1"/>
  <c r="AA77" i="58" s="1"/>
  <c r="V64" i="58"/>
  <c r="X64" i="58" s="1"/>
  <c r="Z64" i="58" s="1"/>
  <c r="AA64" i="58" s="1"/>
  <c r="V219" i="58"/>
  <c r="X219" i="58" s="1"/>
  <c r="V164" i="58"/>
  <c r="X164" i="58" s="1"/>
  <c r="Z164" i="58" s="1"/>
  <c r="AA164" i="58" s="1"/>
  <c r="V100" i="58"/>
  <c r="X100" i="58" s="1"/>
  <c r="V171" i="58"/>
  <c r="X171" i="58" s="1"/>
  <c r="V99" i="58"/>
  <c r="V87" i="58"/>
  <c r="V214" i="58"/>
  <c r="X214" i="58" s="1"/>
  <c r="V106" i="58"/>
  <c r="X106" i="58" s="1"/>
  <c r="Z106" i="58" s="1"/>
  <c r="AA106" i="58" s="1"/>
  <c r="V98" i="58"/>
  <c r="V86" i="58"/>
  <c r="X86" i="58" s="1"/>
  <c r="Z86" i="58" s="1"/>
  <c r="AA86" i="58" s="1"/>
  <c r="V208" i="58"/>
  <c r="V152" i="58"/>
  <c r="V97" i="58"/>
  <c r="V85" i="58"/>
  <c r="V75" i="58"/>
  <c r="X75" i="58" s="1"/>
  <c r="Z75" i="58" s="1"/>
  <c r="AA75" i="58" s="1"/>
  <c r="V71" i="58"/>
  <c r="X71" i="58" s="1"/>
  <c r="Z71" i="58" s="1"/>
  <c r="AA71" i="58" s="1"/>
  <c r="V67" i="58"/>
  <c r="X67" i="58" s="1"/>
  <c r="Z67" i="58" s="1"/>
  <c r="AA67" i="58" s="1"/>
  <c r="V96" i="58"/>
  <c r="V84" i="58"/>
  <c r="V192" i="58"/>
  <c r="V181" i="58"/>
  <c r="X181" i="58" s="1"/>
  <c r="V103" i="58"/>
  <c r="X103" i="58" s="1"/>
  <c r="V91" i="58"/>
  <c r="X91" i="58" s="1"/>
  <c r="V79" i="58"/>
  <c r="X79" i="58" s="1"/>
  <c r="Z79" i="58" s="1"/>
  <c r="AA79" i="58" s="1"/>
  <c r="V73" i="58"/>
  <c r="X73" i="58" s="1"/>
  <c r="V69" i="58"/>
  <c r="X69" i="58" s="1"/>
  <c r="V141" i="58"/>
  <c r="V172" i="58"/>
  <c r="X172" i="58" s="1"/>
  <c r="Z172" i="58" s="1"/>
  <c r="AA172" i="58" s="1"/>
  <c r="V70" i="58"/>
  <c r="V59" i="58"/>
  <c r="X59" i="58" s="1"/>
  <c r="Z59" i="58" s="1"/>
  <c r="AA59" i="58" s="1"/>
  <c r="V46" i="58"/>
  <c r="X46" i="58" s="1"/>
  <c r="Z46" i="58" s="1"/>
  <c r="AA46" i="58" s="1"/>
  <c r="V35" i="58"/>
  <c r="X35" i="58" s="1"/>
  <c r="Z35" i="58" s="1"/>
  <c r="AA35" i="58" s="1"/>
  <c r="V13" i="58"/>
  <c r="X13" i="58" s="1"/>
  <c r="Z13" i="58" s="1"/>
  <c r="AA13" i="58" s="1"/>
  <c r="V104" i="58"/>
  <c r="X104" i="58" s="1"/>
  <c r="V74" i="58"/>
  <c r="V58" i="58"/>
  <c r="X58" i="58" s="1"/>
  <c r="V45" i="58"/>
  <c r="X45" i="58" s="1"/>
  <c r="Z45" i="58" s="1"/>
  <c r="AA45" i="58" s="1"/>
  <c r="V34" i="58"/>
  <c r="X34" i="58" s="1"/>
  <c r="Z34" i="58" s="1"/>
  <c r="AA34" i="58" s="1"/>
  <c r="V24" i="58"/>
  <c r="X24" i="58" s="1"/>
  <c r="Z24" i="58" s="1"/>
  <c r="AA24" i="58" s="1"/>
  <c r="V12" i="58"/>
  <c r="X12" i="58" s="1"/>
  <c r="V92" i="58"/>
  <c r="X92" i="58" s="1"/>
  <c r="Z92" i="58" s="1"/>
  <c r="AA92" i="58" s="1"/>
  <c r="V78" i="58"/>
  <c r="X78" i="58" s="1"/>
  <c r="Z78" i="58" s="1"/>
  <c r="AA78" i="58" s="1"/>
  <c r="V57" i="58"/>
  <c r="X57" i="58" s="1"/>
  <c r="Z57" i="58" s="1"/>
  <c r="AA57" i="58" s="1"/>
  <c r="V33" i="58"/>
  <c r="V23" i="58"/>
  <c r="V11" i="58"/>
  <c r="X11" i="58" s="1"/>
  <c r="Z11" i="58" s="1"/>
  <c r="AA11" i="58" s="1"/>
  <c r="V220" i="58"/>
  <c r="V95" i="58"/>
  <c r="X95" i="58" s="1"/>
  <c r="Z95" i="58" s="1"/>
  <c r="AA95" i="58" s="1"/>
  <c r="V81" i="58"/>
  <c r="X81" i="58" s="1"/>
  <c r="Z81" i="58" s="1"/>
  <c r="AA81" i="58" s="1"/>
  <c r="V56" i="58"/>
  <c r="X56" i="58" s="1"/>
  <c r="Z56" i="58" s="1"/>
  <c r="AA56" i="58" s="1"/>
  <c r="V44" i="58"/>
  <c r="V32" i="58"/>
  <c r="X32" i="58" s="1"/>
  <c r="V22" i="58"/>
  <c r="X22" i="58" s="1"/>
  <c r="V10" i="58"/>
  <c r="V55" i="58"/>
  <c r="X55" i="58" s="1"/>
  <c r="V43" i="58"/>
  <c r="X43" i="58" s="1"/>
  <c r="Z43" i="58" s="1"/>
  <c r="AA43" i="58" s="1"/>
  <c r="V31" i="58"/>
  <c r="V21" i="58"/>
  <c r="X21" i="58" s="1"/>
  <c r="Z21" i="58" s="1"/>
  <c r="AA21" i="58" s="1"/>
  <c r="V145" i="58"/>
  <c r="X145" i="58" s="1"/>
  <c r="V108" i="58"/>
  <c r="X108" i="58" s="1"/>
  <c r="Z108" i="58" s="1"/>
  <c r="AA108" i="58" s="1"/>
  <c r="V90" i="58"/>
  <c r="X90" i="58" s="1"/>
  <c r="V54" i="58"/>
  <c r="X54" i="58" s="1"/>
  <c r="V42" i="58"/>
  <c r="X42" i="58" s="1"/>
  <c r="Z42" i="58" s="1"/>
  <c r="AA42" i="58" s="1"/>
  <c r="V30" i="58"/>
  <c r="V20" i="58"/>
  <c r="X20" i="58" s="1"/>
  <c r="V190" i="58"/>
  <c r="X190" i="58" s="1"/>
  <c r="V102" i="58"/>
  <c r="X102" i="58" s="1"/>
  <c r="V93" i="58"/>
  <c r="X93" i="58" s="1"/>
  <c r="V68" i="58"/>
  <c r="X68" i="58" s="1"/>
  <c r="V53" i="58"/>
  <c r="V41" i="58"/>
  <c r="V29" i="58"/>
  <c r="V202" i="58"/>
  <c r="X202" i="58" s="1"/>
  <c r="V170" i="58"/>
  <c r="X170" i="58" s="1"/>
  <c r="Z170" i="58" s="1"/>
  <c r="AA170" i="58" s="1"/>
  <c r="V94" i="58"/>
  <c r="V66" i="58"/>
  <c r="V61" i="58"/>
  <c r="X61" i="58" s="1"/>
  <c r="Z61" i="58" s="1"/>
  <c r="AA61" i="58" s="1"/>
  <c r="V49" i="58"/>
  <c r="X49" i="58" s="1"/>
  <c r="Z49" i="58" s="1"/>
  <c r="AA49" i="58" s="1"/>
  <c r="V37" i="58"/>
  <c r="X37" i="58" s="1"/>
  <c r="Z37" i="58" s="1"/>
  <c r="AA37" i="58" s="1"/>
  <c r="V26" i="58"/>
  <c r="X26" i="58" s="1"/>
  <c r="Z26" i="58" s="1"/>
  <c r="AA26" i="58" s="1"/>
  <c r="V15" i="58"/>
  <c r="X15" i="58" s="1"/>
  <c r="U27" i="58"/>
  <c r="Y43" i="58"/>
  <c r="W50" i="58"/>
  <c r="Y50" i="58" s="1"/>
  <c r="Z50" i="58" s="1"/>
  <c r="AA50" i="58" s="1"/>
  <c r="Y62" i="58"/>
  <c r="U62" i="58"/>
  <c r="Y64" i="58"/>
  <c r="U67" i="58"/>
  <c r="AE67" i="58"/>
  <c r="AG67" i="58"/>
  <c r="Y84" i="58"/>
  <c r="Y103" i="58"/>
  <c r="X30" i="58"/>
  <c r="U30" i="58"/>
  <c r="X44" i="58"/>
  <c r="Z44" i="58" s="1"/>
  <c r="AA44" i="58" s="1"/>
  <c r="U44" i="58"/>
  <c r="Y93" i="58"/>
  <c r="Y198" i="58"/>
  <c r="U198" i="58"/>
  <c r="Z51" i="58"/>
  <c r="AA51" i="58" s="1"/>
  <c r="Y56" i="58"/>
  <c r="U82" i="58"/>
  <c r="Y90" i="58"/>
  <c r="Y180" i="58"/>
  <c r="U180" i="58"/>
  <c r="U54" i="58"/>
  <c r="U22" i="58"/>
  <c r="AE44" i="58"/>
  <c r="AE56" i="58"/>
  <c r="Z63" i="58"/>
  <c r="AA63" i="58" s="1"/>
  <c r="U105" i="58"/>
  <c r="Y105" i="58"/>
  <c r="Y195" i="58"/>
  <c r="U195" i="58"/>
  <c r="X33" i="58"/>
  <c r="AE20" i="58"/>
  <c r="W172" i="58"/>
  <c r="Y172" i="58" s="1"/>
  <c r="W166" i="58"/>
  <c r="W160" i="58"/>
  <c r="Y160" i="58" s="1"/>
  <c r="Z160" i="58" s="1"/>
  <c r="AA160" i="58" s="1"/>
  <c r="W154" i="58"/>
  <c r="W232" i="58"/>
  <c r="Y232" i="58" s="1"/>
  <c r="W228" i="58"/>
  <c r="W224" i="58"/>
  <c r="Y224" i="58" s="1"/>
  <c r="W220" i="58"/>
  <c r="Y220" i="58" s="1"/>
  <c r="W216" i="58"/>
  <c r="W212" i="58"/>
  <c r="Y212" i="58" s="1"/>
  <c r="W208" i="58"/>
  <c r="Y208" i="58" s="1"/>
  <c r="W204" i="58"/>
  <c r="Y204" i="58" s="1"/>
  <c r="W200" i="58"/>
  <c r="Y200" i="58" s="1"/>
  <c r="W196" i="58"/>
  <c r="W192" i="58"/>
  <c r="Y192" i="58" s="1"/>
  <c r="W188" i="58"/>
  <c r="Y188" i="58" s="1"/>
  <c r="W184" i="58"/>
  <c r="W180" i="58"/>
  <c r="W230" i="58"/>
  <c r="Y230" i="58" s="1"/>
  <c r="W229" i="58"/>
  <c r="Y229" i="58" s="1"/>
  <c r="W189" i="58"/>
  <c r="Y189" i="58" s="1"/>
  <c r="W187" i="58"/>
  <c r="Y187" i="58" s="1"/>
  <c r="W177" i="58"/>
  <c r="Y177" i="58" s="1"/>
  <c r="W168" i="58"/>
  <c r="Y168" i="58" s="1"/>
  <c r="W156" i="58"/>
  <c r="Y156" i="58" s="1"/>
  <c r="W234" i="58"/>
  <c r="Y234" i="58" s="1"/>
  <c r="W233" i="58"/>
  <c r="Y233" i="58" s="1"/>
  <c r="W186" i="58"/>
  <c r="Y186" i="58" s="1"/>
  <c r="W176" i="58"/>
  <c r="W148" i="58"/>
  <c r="Y148" i="58" s="1"/>
  <c r="W142" i="58"/>
  <c r="Y142" i="58" s="1"/>
  <c r="W167" i="58"/>
  <c r="Y167" i="58" s="1"/>
  <c r="W155" i="58"/>
  <c r="W199" i="58"/>
  <c r="Y199" i="58" s="1"/>
  <c r="W185" i="58"/>
  <c r="W183" i="58"/>
  <c r="Y183" i="58" s="1"/>
  <c r="W175" i="58"/>
  <c r="Y175" i="58" s="1"/>
  <c r="W165" i="58"/>
  <c r="W153" i="58"/>
  <c r="W147" i="58"/>
  <c r="W141" i="58"/>
  <c r="W203" i="58"/>
  <c r="W198" i="58"/>
  <c r="W182" i="58"/>
  <c r="Y182" i="58" s="1"/>
  <c r="W164" i="58"/>
  <c r="W207" i="58"/>
  <c r="Y207" i="58" s="1"/>
  <c r="W202" i="58"/>
  <c r="Y202" i="58" s="1"/>
  <c r="W201" i="58"/>
  <c r="W227" i="58"/>
  <c r="Y227" i="58" s="1"/>
  <c r="W222" i="58"/>
  <c r="Y222" i="58" s="1"/>
  <c r="W221" i="58"/>
  <c r="Y221" i="58" s="1"/>
  <c r="W190" i="58"/>
  <c r="Y190" i="58" s="1"/>
  <c r="W225" i="58"/>
  <c r="Y225" i="58" s="1"/>
  <c r="W211" i="58"/>
  <c r="W193" i="58"/>
  <c r="Y193" i="58" s="1"/>
  <c r="W173" i="58"/>
  <c r="W150" i="58"/>
  <c r="Y150" i="58" s="1"/>
  <c r="W149" i="58"/>
  <c r="Y149" i="58" s="1"/>
  <c r="W146" i="58"/>
  <c r="Y146" i="58" s="1"/>
  <c r="W139" i="58"/>
  <c r="Y139" i="58" s="1"/>
  <c r="W223" i="58"/>
  <c r="Y223" i="58" s="1"/>
  <c r="W213" i="58"/>
  <c r="Y213" i="58" s="1"/>
  <c r="W178" i="58"/>
  <c r="Y178" i="58" s="1"/>
  <c r="W174" i="58"/>
  <c r="W157" i="58"/>
  <c r="Y157" i="58" s="1"/>
  <c r="W140" i="58"/>
  <c r="W110" i="58"/>
  <c r="Y110" i="58" s="1"/>
  <c r="W209" i="58"/>
  <c r="Y209" i="58" s="1"/>
  <c r="W191" i="58"/>
  <c r="Y191" i="58" s="1"/>
  <c r="W179" i="58"/>
  <c r="Y179" i="58" s="1"/>
  <c r="W158" i="58"/>
  <c r="Y158" i="58" s="1"/>
  <c r="W151" i="58"/>
  <c r="W109" i="58"/>
  <c r="W218" i="58"/>
  <c r="W205" i="58"/>
  <c r="W163" i="58"/>
  <c r="Y163" i="58" s="1"/>
  <c r="W159" i="58"/>
  <c r="Y159" i="58" s="1"/>
  <c r="W108" i="58"/>
  <c r="W231" i="58"/>
  <c r="Y231" i="58" s="1"/>
  <c r="W194" i="58"/>
  <c r="W169" i="58"/>
  <c r="W226" i="58"/>
  <c r="W170" i="58"/>
  <c r="Y170" i="58" s="1"/>
  <c r="W152" i="58"/>
  <c r="Y152" i="58" s="1"/>
  <c r="W181" i="58"/>
  <c r="W145" i="58"/>
  <c r="Y145" i="58" s="1"/>
  <c r="W143" i="58"/>
  <c r="W219" i="58"/>
  <c r="Y219" i="58" s="1"/>
  <c r="W217" i="58"/>
  <c r="Y217" i="58" s="1"/>
  <c r="W197" i="58"/>
  <c r="W100" i="58"/>
  <c r="W88" i="58"/>
  <c r="Y88" i="58" s="1"/>
  <c r="Z88" i="58" s="1"/>
  <c r="AA88" i="58" s="1"/>
  <c r="W76" i="58"/>
  <c r="W72" i="58"/>
  <c r="Y72" i="58" s="1"/>
  <c r="Z72" i="58" s="1"/>
  <c r="AA72" i="58" s="1"/>
  <c r="W68" i="58"/>
  <c r="Y68" i="58" s="1"/>
  <c r="W171" i="58"/>
  <c r="Y171" i="58" s="1"/>
  <c r="W99" i="58"/>
  <c r="Y99" i="58" s="1"/>
  <c r="W214" i="58"/>
  <c r="W106" i="58"/>
  <c r="W98" i="58"/>
  <c r="W86" i="58"/>
  <c r="W206" i="58"/>
  <c r="W144" i="58"/>
  <c r="Y144" i="58" s="1"/>
  <c r="W97" i="58"/>
  <c r="Y97" i="58" s="1"/>
  <c r="W85" i="58"/>
  <c r="Y85" i="58" s="1"/>
  <c r="W75" i="58"/>
  <c r="W71" i="58"/>
  <c r="Y71" i="58" s="1"/>
  <c r="W67" i="58"/>
  <c r="Y67" i="58" s="1"/>
  <c r="W96" i="58"/>
  <c r="W84" i="58"/>
  <c r="W161" i="58"/>
  <c r="W107" i="58"/>
  <c r="Y107" i="58" s="1"/>
  <c r="W95" i="58"/>
  <c r="Y95" i="58" s="1"/>
  <c r="W83" i="58"/>
  <c r="Y83" i="58" s="1"/>
  <c r="W66" i="58"/>
  <c r="W102" i="58"/>
  <c r="Y102" i="58" s="1"/>
  <c r="W90" i="58"/>
  <c r="W78" i="58"/>
  <c r="Y78" i="58" s="1"/>
  <c r="W162" i="58"/>
  <c r="Y162" i="58" s="1"/>
  <c r="W104" i="58"/>
  <c r="Y104" i="58" s="1"/>
  <c r="W74" i="58"/>
  <c r="Y74" i="58" s="1"/>
  <c r="W58" i="58"/>
  <c r="Y58" i="58" s="1"/>
  <c r="W45" i="58"/>
  <c r="Y45" i="58" s="1"/>
  <c r="W34" i="58"/>
  <c r="Y34" i="58" s="1"/>
  <c r="W24" i="58"/>
  <c r="Y24" i="58" s="1"/>
  <c r="W12" i="58"/>
  <c r="Y12" i="58" s="1"/>
  <c r="W92" i="58"/>
  <c r="Y92" i="58" s="1"/>
  <c r="W89" i="58"/>
  <c r="Y89" i="58" s="1"/>
  <c r="W57" i="58"/>
  <c r="Y57" i="58" s="1"/>
  <c r="W33" i="58"/>
  <c r="Y33" i="58" s="1"/>
  <c r="W23" i="58"/>
  <c r="Y23" i="58" s="1"/>
  <c r="W11" i="58"/>
  <c r="Y11" i="58" s="1"/>
  <c r="W101" i="58"/>
  <c r="Y101" i="58" s="1"/>
  <c r="W81" i="58"/>
  <c r="W56" i="58"/>
  <c r="W44" i="58"/>
  <c r="W32" i="58"/>
  <c r="Y32" i="58" s="1"/>
  <c r="W22" i="58"/>
  <c r="Y22" i="58" s="1"/>
  <c r="W10" i="58"/>
  <c r="W55" i="58"/>
  <c r="Y55" i="58" s="1"/>
  <c r="W43" i="58"/>
  <c r="W31" i="58"/>
  <c r="W21" i="58"/>
  <c r="W54" i="58"/>
  <c r="Y54" i="58" s="1"/>
  <c r="W42" i="58"/>
  <c r="W30" i="58"/>
  <c r="Y30" i="58" s="1"/>
  <c r="W20" i="58"/>
  <c r="Y20" i="58" s="1"/>
  <c r="W93" i="58"/>
  <c r="W64" i="58"/>
  <c r="W53" i="58"/>
  <c r="Y53" i="58" s="1"/>
  <c r="W41" i="58"/>
  <c r="Y41" i="58" s="1"/>
  <c r="W29" i="58"/>
  <c r="Y29" i="58" s="1"/>
  <c r="W19" i="58"/>
  <c r="Y19" i="58" s="1"/>
  <c r="W210" i="58"/>
  <c r="W82" i="58"/>
  <c r="Y82" i="58" s="1"/>
  <c r="W79" i="58"/>
  <c r="W52" i="58"/>
  <c r="Y52" i="58" s="1"/>
  <c r="W40" i="58"/>
  <c r="Y40" i="58" s="1"/>
  <c r="W215" i="58"/>
  <c r="W80" i="58"/>
  <c r="Y80" i="58" s="1"/>
  <c r="W77" i="58"/>
  <c r="Y77" i="58" s="1"/>
  <c r="W73" i="58"/>
  <c r="Y73" i="58" s="1"/>
  <c r="W60" i="58"/>
  <c r="W48" i="58"/>
  <c r="Y48" i="58" s="1"/>
  <c r="Z48" i="58" s="1"/>
  <c r="AA48" i="58" s="1"/>
  <c r="W47" i="58"/>
  <c r="Y47" i="58" s="1"/>
  <c r="Z47" i="58" s="1"/>
  <c r="AA47" i="58" s="1"/>
  <c r="W36" i="58"/>
  <c r="Y36" i="58" s="1"/>
  <c r="W25" i="58"/>
  <c r="Y25" i="58" s="1"/>
  <c r="Z25" i="58" s="1"/>
  <c r="AA25" i="58" s="1"/>
  <c r="W14" i="58"/>
  <c r="Y14" i="58" s="1"/>
  <c r="Z14" i="58" s="1"/>
  <c r="AA14" i="58" s="1"/>
  <c r="W15" i="58"/>
  <c r="Y15" i="58" s="1"/>
  <c r="Y17" i="58"/>
  <c r="Z17" i="58" s="1"/>
  <c r="AA17" i="58" s="1"/>
  <c r="U21" i="58"/>
  <c r="AE21" i="58"/>
  <c r="X23" i="58"/>
  <c r="U23" i="58"/>
  <c r="V27" i="58"/>
  <c r="X27" i="58" s="1"/>
  <c r="Z27" i="58" s="1"/>
  <c r="AA27" i="58" s="1"/>
  <c r="Y60" i="58"/>
  <c r="V62" i="58"/>
  <c r="X62" i="58" s="1"/>
  <c r="Z62" i="58" s="1"/>
  <c r="AA62" i="58" s="1"/>
  <c r="AE65" i="58"/>
  <c r="U65" i="58"/>
  <c r="AG65" i="58"/>
  <c r="X65" i="58"/>
  <c r="U95" i="58"/>
  <c r="U107" i="58"/>
  <c r="X110" i="58"/>
  <c r="U110" i="58"/>
  <c r="AE110" i="58"/>
  <c r="Y100" i="58"/>
  <c r="X148" i="58"/>
  <c r="Z148" i="58" s="1"/>
  <c r="AA148" i="58" s="1"/>
  <c r="U148" i="58"/>
  <c r="AE148" i="58"/>
  <c r="AE163" i="58"/>
  <c r="X163" i="58"/>
  <c r="U163" i="58"/>
  <c r="Y108" i="58"/>
  <c r="X74" i="58"/>
  <c r="U78" i="58"/>
  <c r="Y81" i="58"/>
  <c r="Y86" i="58"/>
  <c r="AE92" i="58"/>
  <c r="U92" i="58"/>
  <c r="Y161" i="58"/>
  <c r="Y165" i="58"/>
  <c r="Y184" i="58"/>
  <c r="X19" i="58"/>
  <c r="X29" i="58"/>
  <c r="X41" i="58"/>
  <c r="X53" i="58"/>
  <c r="X70" i="58"/>
  <c r="Z70" i="58" s="1"/>
  <c r="AA70" i="58" s="1"/>
  <c r="AE106" i="58"/>
  <c r="U106" i="58"/>
  <c r="Y143" i="58"/>
  <c r="U33" i="58"/>
  <c r="U57" i="58"/>
  <c r="Y106" i="58"/>
  <c r="AE140" i="58"/>
  <c r="X140" i="58"/>
  <c r="U140" i="58"/>
  <c r="AE63" i="58"/>
  <c r="Y70" i="58"/>
  <c r="AE80" i="58"/>
  <c r="U80" i="58"/>
  <c r="AE86" i="58"/>
  <c r="AE94" i="58"/>
  <c r="X94" i="58"/>
  <c r="U166" i="58"/>
  <c r="AE166" i="58"/>
  <c r="U70" i="58"/>
  <c r="X85" i="58"/>
  <c r="U85" i="58"/>
  <c r="AE85" i="58"/>
  <c r="X96" i="58"/>
  <c r="Z96" i="58" s="1"/>
  <c r="AA96" i="58" s="1"/>
  <c r="X98" i="58"/>
  <c r="U98" i="58"/>
  <c r="Y166" i="58"/>
  <c r="X205" i="58"/>
  <c r="U205" i="58"/>
  <c r="AE205" i="58"/>
  <c r="U208" i="58"/>
  <c r="Y66" i="58"/>
  <c r="Y98" i="58"/>
  <c r="Y109" i="58"/>
  <c r="U109" i="58"/>
  <c r="U104" i="58"/>
  <c r="X107" i="58"/>
  <c r="X147" i="58"/>
  <c r="AE147" i="58"/>
  <c r="U147" i="58"/>
  <c r="Y151" i="58"/>
  <c r="U151" i="58"/>
  <c r="U160" i="58"/>
  <c r="U183" i="58"/>
  <c r="U212" i="58"/>
  <c r="AG68" i="58"/>
  <c r="AG72" i="58"/>
  <c r="AE78" i="58"/>
  <c r="AE90" i="58"/>
  <c r="Y140" i="58"/>
  <c r="U155" i="58"/>
  <c r="AE155" i="58"/>
  <c r="Y216" i="58"/>
  <c r="X66" i="58"/>
  <c r="Z66" i="58" s="1"/>
  <c r="AA66" i="58" s="1"/>
  <c r="AE69" i="58"/>
  <c r="AE73" i="58"/>
  <c r="X83" i="58"/>
  <c r="AE107" i="58"/>
  <c r="Y155" i="58"/>
  <c r="X175" i="58"/>
  <c r="AE175" i="58"/>
  <c r="U175" i="58"/>
  <c r="X180" i="58"/>
  <c r="AE180" i="58"/>
  <c r="U206" i="58"/>
  <c r="Y206" i="58"/>
  <c r="U214" i="58"/>
  <c r="Y214" i="58"/>
  <c r="U216" i="58"/>
  <c r="Y164" i="58"/>
  <c r="Y173" i="58"/>
  <c r="X200" i="58"/>
  <c r="AE200" i="58"/>
  <c r="U200" i="58"/>
  <c r="Y203" i="58"/>
  <c r="U203" i="58"/>
  <c r="U226" i="58"/>
  <c r="Y226" i="58"/>
  <c r="X141" i="58"/>
  <c r="Z141" i="58" s="1"/>
  <c r="AA141" i="58" s="1"/>
  <c r="AE141" i="58"/>
  <c r="U141" i="58"/>
  <c r="U164" i="58"/>
  <c r="U185" i="58"/>
  <c r="X185" i="58"/>
  <c r="AE185" i="58"/>
  <c r="Y194" i="58"/>
  <c r="U219" i="58"/>
  <c r="Y153" i="58"/>
  <c r="U153" i="58"/>
  <c r="Y169" i="58"/>
  <c r="X176" i="58"/>
  <c r="Z176" i="58" s="1"/>
  <c r="AA176" i="58" s="1"/>
  <c r="U176" i="58"/>
  <c r="Y197" i="58"/>
  <c r="AE204" i="58"/>
  <c r="X142" i="58"/>
  <c r="U142" i="58"/>
  <c r="AE152" i="58"/>
  <c r="X152" i="58"/>
  <c r="Y176" i="58"/>
  <c r="AE183" i="58"/>
  <c r="X183" i="58"/>
  <c r="U210" i="58"/>
  <c r="Y210" i="58"/>
  <c r="Z210" i="58" s="1"/>
  <c r="AA210" i="58" s="1"/>
  <c r="AE212" i="58"/>
  <c r="AE146" i="58"/>
  <c r="X146" i="58"/>
  <c r="X154" i="58"/>
  <c r="Z154" i="58" s="1"/>
  <c r="AA154" i="58" s="1"/>
  <c r="U154" i="58"/>
  <c r="Y185" i="58"/>
  <c r="Y205" i="58"/>
  <c r="X165" i="58"/>
  <c r="Z165" i="58" s="1"/>
  <c r="AA165" i="58" s="1"/>
  <c r="Y174" i="58"/>
  <c r="Y196" i="58"/>
  <c r="X213" i="58"/>
  <c r="U213" i="58"/>
  <c r="AE213" i="58"/>
  <c r="Y228" i="58"/>
  <c r="U174" i="58"/>
  <c r="U182" i="58"/>
  <c r="U191" i="58"/>
  <c r="U196" i="58"/>
  <c r="U201" i="58"/>
  <c r="AE201" i="58"/>
  <c r="U207" i="58"/>
  <c r="Y211" i="58"/>
  <c r="U139" i="58"/>
  <c r="U146" i="58"/>
  <c r="U149" i="58"/>
  <c r="X184" i="58"/>
  <c r="U184" i="58"/>
  <c r="Y201" i="58"/>
  <c r="U211" i="58"/>
  <c r="Y215" i="58"/>
  <c r="AE154" i="58"/>
  <c r="U162" i="58"/>
  <c r="U165" i="58"/>
  <c r="X168" i="58"/>
  <c r="U181" i="58"/>
  <c r="AE181" i="58"/>
  <c r="AE195" i="58"/>
  <c r="X195" i="58"/>
  <c r="AE199" i="58"/>
  <c r="X199" i="58"/>
  <c r="U199" i="58"/>
  <c r="Y218" i="58"/>
  <c r="U143" i="58"/>
  <c r="AE164" i="58"/>
  <c r="AE165" i="58"/>
  <c r="U167" i="58"/>
  <c r="Y181" i="58"/>
  <c r="U197" i="58"/>
  <c r="AE197" i="58"/>
  <c r="X197" i="58"/>
  <c r="Z197" i="58" s="1"/>
  <c r="AA197" i="58" s="1"/>
  <c r="X208" i="58"/>
  <c r="X209" i="58"/>
  <c r="U209" i="58"/>
  <c r="U177" i="58"/>
  <c r="X188" i="58"/>
  <c r="Z188" i="58" s="1"/>
  <c r="AA188" i="58" s="1"/>
  <c r="X233" i="58"/>
  <c r="U233" i="58"/>
  <c r="AE208" i="58"/>
  <c r="AE209" i="58"/>
  <c r="X229" i="58"/>
  <c r="U229" i="58"/>
  <c r="AE196" i="58"/>
  <c r="X225" i="58"/>
  <c r="Z225" i="58" s="1"/>
  <c r="AA225" i="58" s="1"/>
  <c r="U225" i="58"/>
  <c r="X192" i="58"/>
  <c r="Z192" i="58" s="1"/>
  <c r="AA192" i="58" s="1"/>
  <c r="X220" i="58"/>
  <c r="Z220" i="58" s="1"/>
  <c r="AA220" i="58" s="1"/>
  <c r="X221" i="58"/>
  <c r="Z221" i="58" s="1"/>
  <c r="AA221" i="58" s="1"/>
  <c r="U221" i="58"/>
  <c r="U232" i="58"/>
  <c r="U161" i="58"/>
  <c r="U173" i="58"/>
  <c r="U193" i="58"/>
  <c r="X216" i="58"/>
  <c r="Z216" i="58" s="1"/>
  <c r="AA216" i="58" s="1"/>
  <c r="U217" i="58"/>
  <c r="U228" i="58"/>
  <c r="AD157" i="1"/>
  <c r="J157" i="1"/>
  <c r="G157" i="1"/>
  <c r="C157" i="1"/>
  <c r="AD156" i="1"/>
  <c r="J156" i="1"/>
  <c r="G156" i="1"/>
  <c r="C156" i="1"/>
  <c r="AD155" i="1"/>
  <c r="J155" i="1"/>
  <c r="G155" i="1"/>
  <c r="C155" i="1"/>
  <c r="AD154" i="1"/>
  <c r="J154" i="1"/>
  <c r="G154" i="1"/>
  <c r="C154" i="1"/>
  <c r="AD153" i="1"/>
  <c r="J153" i="1"/>
  <c r="G153" i="1"/>
  <c r="C153" i="1"/>
  <c r="AD152" i="1"/>
  <c r="J152" i="1"/>
  <c r="G152" i="1"/>
  <c r="C152" i="1"/>
  <c r="AD151" i="1"/>
  <c r="J151" i="1"/>
  <c r="G151" i="1"/>
  <c r="C151" i="1"/>
  <c r="AD150" i="1"/>
  <c r="J150" i="1"/>
  <c r="G150" i="1"/>
  <c r="C150" i="1"/>
  <c r="AD149" i="1"/>
  <c r="J149" i="1"/>
  <c r="G149" i="1"/>
  <c r="C149" i="1"/>
  <c r="AD148" i="1"/>
  <c r="J148" i="1"/>
  <c r="G148" i="1"/>
  <c r="C148" i="1"/>
  <c r="AD147" i="1"/>
  <c r="J147" i="1"/>
  <c r="G147" i="1"/>
  <c r="C147" i="1"/>
  <c r="AD146" i="1"/>
  <c r="J146" i="1"/>
  <c r="G146" i="1"/>
  <c r="C146" i="1"/>
  <c r="AD145" i="1"/>
  <c r="J145" i="1"/>
  <c r="G145" i="1"/>
  <c r="C145" i="1"/>
  <c r="AD144" i="1"/>
  <c r="J144" i="1"/>
  <c r="S144" i="1" s="1"/>
  <c r="G144" i="1"/>
  <c r="C144" i="1"/>
  <c r="AD143" i="1"/>
  <c r="J143" i="1"/>
  <c r="G143" i="1"/>
  <c r="C143" i="1"/>
  <c r="AD142" i="1"/>
  <c r="J142" i="1"/>
  <c r="G142" i="1"/>
  <c r="C142" i="1"/>
  <c r="AD141" i="1"/>
  <c r="J141" i="1"/>
  <c r="G141" i="1"/>
  <c r="C141" i="1"/>
  <c r="AD140" i="1"/>
  <c r="J140" i="1"/>
  <c r="G140" i="1"/>
  <c r="C140" i="1"/>
  <c r="AD139" i="1"/>
  <c r="J139" i="1"/>
  <c r="G139" i="1"/>
  <c r="C139" i="1"/>
  <c r="AD138" i="1"/>
  <c r="J138" i="1"/>
  <c r="G138" i="1"/>
  <c r="C138" i="1"/>
  <c r="AD137" i="1"/>
  <c r="J137" i="1"/>
  <c r="G137" i="1"/>
  <c r="C137" i="1"/>
  <c r="AD136" i="1"/>
  <c r="J136" i="1"/>
  <c r="G136" i="1"/>
  <c r="C136" i="1"/>
  <c r="AD135" i="1"/>
  <c r="J135" i="1"/>
  <c r="G135" i="1"/>
  <c r="C135" i="1"/>
  <c r="AD134" i="1"/>
  <c r="J134" i="1"/>
  <c r="S134" i="1" s="1"/>
  <c r="G134" i="1"/>
  <c r="C134" i="1"/>
  <c r="AD133" i="1"/>
  <c r="J133" i="1"/>
  <c r="S133" i="1" s="1"/>
  <c r="G133" i="1"/>
  <c r="C133" i="1"/>
  <c r="AD132" i="1"/>
  <c r="J132" i="1"/>
  <c r="G132" i="1"/>
  <c r="C132" i="1"/>
  <c r="AD131" i="1"/>
  <c r="J131" i="1"/>
  <c r="G131" i="1"/>
  <c r="C131" i="1"/>
  <c r="AD130" i="1"/>
  <c r="J130" i="1"/>
  <c r="G130" i="1"/>
  <c r="C130" i="1"/>
  <c r="AD129" i="1"/>
  <c r="J129" i="1"/>
  <c r="G129" i="1"/>
  <c r="C129" i="1"/>
  <c r="AD128" i="1"/>
  <c r="O128" i="1"/>
  <c r="J128" i="1"/>
  <c r="G128" i="1"/>
  <c r="C128" i="1"/>
  <c r="AD127" i="1"/>
  <c r="O127" i="1"/>
  <c r="J127" i="1"/>
  <c r="G127" i="1"/>
  <c r="C127" i="1"/>
  <c r="AD126" i="1"/>
  <c r="J126" i="1"/>
  <c r="G126" i="1"/>
  <c r="C126" i="1"/>
  <c r="AD125" i="1"/>
  <c r="J125" i="1"/>
  <c r="G125" i="1"/>
  <c r="C125" i="1"/>
  <c r="AD124" i="1"/>
  <c r="O124" i="1"/>
  <c r="J124" i="1"/>
  <c r="G124" i="1"/>
  <c r="C124" i="1"/>
  <c r="AD123" i="1"/>
  <c r="J123" i="1"/>
  <c r="G123" i="1"/>
  <c r="C123" i="1"/>
  <c r="AD122" i="1"/>
  <c r="O122" i="1"/>
  <c r="J122" i="1"/>
  <c r="G122" i="1"/>
  <c r="C122" i="1"/>
  <c r="AD121" i="1"/>
  <c r="J121" i="1"/>
  <c r="G121" i="1"/>
  <c r="C121" i="1"/>
  <c r="AD119" i="1"/>
  <c r="J119" i="1"/>
  <c r="G119" i="1"/>
  <c r="C119" i="1"/>
  <c r="AD118" i="1"/>
  <c r="J118" i="1"/>
  <c r="G118" i="1"/>
  <c r="C118" i="1"/>
  <c r="AD117" i="1"/>
  <c r="J117" i="1"/>
  <c r="G117" i="1"/>
  <c r="C117" i="1"/>
  <c r="AD116" i="1"/>
  <c r="J116" i="1"/>
  <c r="G116" i="1"/>
  <c r="C116" i="1"/>
  <c r="AD115" i="1"/>
  <c r="J115" i="1"/>
  <c r="G115" i="1"/>
  <c r="C115" i="1"/>
  <c r="AD114" i="1"/>
  <c r="J114" i="1"/>
  <c r="G114" i="1"/>
  <c r="C114" i="1"/>
  <c r="AD113" i="1"/>
  <c r="J113" i="1"/>
  <c r="G113" i="1"/>
  <c r="C113" i="1"/>
  <c r="AD112" i="1"/>
  <c r="J112" i="1"/>
  <c r="G112" i="1"/>
  <c r="C112" i="1"/>
  <c r="AD110" i="1"/>
  <c r="J110" i="1"/>
  <c r="G110" i="1"/>
  <c r="C110" i="1"/>
  <c r="AD111" i="1"/>
  <c r="J111" i="1"/>
  <c r="G111" i="1"/>
  <c r="C111" i="1"/>
  <c r="AD109" i="1"/>
  <c r="J109" i="1"/>
  <c r="G109" i="1"/>
  <c r="C109" i="1"/>
  <c r="AD108" i="1"/>
  <c r="J108" i="1"/>
  <c r="G108" i="1"/>
  <c r="C108" i="1"/>
  <c r="AD107" i="1"/>
  <c r="J107" i="1"/>
  <c r="G107" i="1"/>
  <c r="C107" i="1"/>
  <c r="AD106" i="1"/>
  <c r="J106" i="1"/>
  <c r="G106" i="1"/>
  <c r="C106" i="1"/>
  <c r="AD105" i="1"/>
  <c r="J105" i="1"/>
  <c r="G105" i="1"/>
  <c r="C105" i="1"/>
  <c r="AD104" i="1"/>
  <c r="J104" i="1"/>
  <c r="G104" i="1"/>
  <c r="C104" i="1"/>
  <c r="AD103" i="1"/>
  <c r="J103" i="1"/>
  <c r="G103" i="1"/>
  <c r="C103" i="1"/>
  <c r="AD102" i="1"/>
  <c r="J102" i="1"/>
  <c r="G102" i="1"/>
  <c r="C102" i="1"/>
  <c r="AD101" i="1"/>
  <c r="J101" i="1"/>
  <c r="G101" i="1"/>
  <c r="C101" i="1"/>
  <c r="AD100" i="1"/>
  <c r="J100" i="1"/>
  <c r="T100" i="1" s="1"/>
  <c r="G100" i="1"/>
  <c r="C100" i="1"/>
  <c r="AD99" i="1"/>
  <c r="J99" i="1"/>
  <c r="G99" i="1"/>
  <c r="C99" i="1"/>
  <c r="AD98" i="1"/>
  <c r="J98" i="1"/>
  <c r="G98" i="1"/>
  <c r="C98" i="1"/>
  <c r="AD97" i="1"/>
  <c r="J97" i="1"/>
  <c r="G97" i="1"/>
  <c r="C97" i="1"/>
  <c r="AD96" i="1"/>
  <c r="O96" i="1"/>
  <c r="J96" i="1"/>
  <c r="G96" i="1"/>
  <c r="C96" i="1"/>
  <c r="AD94" i="1"/>
  <c r="J94" i="1"/>
  <c r="G94" i="1"/>
  <c r="C94" i="1"/>
  <c r="AD93" i="1"/>
  <c r="J93" i="1"/>
  <c r="G93" i="1"/>
  <c r="C93" i="1"/>
  <c r="AD92" i="1"/>
  <c r="J92" i="1"/>
  <c r="G92" i="1"/>
  <c r="C92" i="1"/>
  <c r="AD91" i="1"/>
  <c r="O91" i="1"/>
  <c r="J91" i="1"/>
  <c r="G91" i="1"/>
  <c r="C91" i="1"/>
  <c r="AD90" i="1"/>
  <c r="J90" i="1"/>
  <c r="G90" i="1"/>
  <c r="C90" i="1"/>
  <c r="AD89" i="1"/>
  <c r="J89" i="1"/>
  <c r="S89" i="1" s="1"/>
  <c r="G89" i="1"/>
  <c r="C89" i="1"/>
  <c r="AD88" i="1"/>
  <c r="J88" i="1"/>
  <c r="G88" i="1"/>
  <c r="C88" i="1"/>
  <c r="AD87" i="1"/>
  <c r="J87" i="1"/>
  <c r="G87" i="1"/>
  <c r="C87" i="1"/>
  <c r="AD86" i="1"/>
  <c r="J86" i="1"/>
  <c r="G86" i="1"/>
  <c r="C86" i="1"/>
  <c r="AD85" i="1"/>
  <c r="J85" i="1"/>
  <c r="G85" i="1"/>
  <c r="C85" i="1"/>
  <c r="AD84" i="1"/>
  <c r="J84" i="1"/>
  <c r="G84" i="1"/>
  <c r="C84" i="1"/>
  <c r="I27" i="21"/>
  <c r="I21" i="21"/>
  <c r="M33" i="21"/>
  <c r="L33" i="21"/>
  <c r="K33" i="21"/>
  <c r="V83" i="1"/>
  <c r="J41" i="1"/>
  <c r="S41" i="1" s="1"/>
  <c r="G41" i="1"/>
  <c r="C41" i="1"/>
  <c r="Y83" i="1"/>
  <c r="AB83" i="1"/>
  <c r="C43" i="1"/>
  <c r="J43" i="1"/>
  <c r="G43" i="1"/>
  <c r="J40" i="1"/>
  <c r="G40" i="1"/>
  <c r="C40" i="1"/>
  <c r="J39" i="1"/>
  <c r="G39" i="1"/>
  <c r="C39" i="1"/>
  <c r="J38" i="1"/>
  <c r="G38" i="1"/>
  <c r="C38" i="1"/>
  <c r="J30" i="1"/>
  <c r="G30" i="1"/>
  <c r="C30" i="1"/>
  <c r="J32" i="1"/>
  <c r="S32" i="1" s="1"/>
  <c r="G32" i="1"/>
  <c r="C32" i="1"/>
  <c r="Z140" i="58" l="1"/>
  <c r="AA140" i="58" s="1"/>
  <c r="AA138" i="58"/>
  <c r="AA137" i="58"/>
  <c r="AA121" i="58"/>
  <c r="T89" i="1"/>
  <c r="V87" i="1"/>
  <c r="AE87" i="1" s="1"/>
  <c r="T87" i="1"/>
  <c r="W100" i="1"/>
  <c r="AF100" i="1" s="1"/>
  <c r="V100" i="1"/>
  <c r="AE100" i="1" s="1"/>
  <c r="V96" i="1"/>
  <c r="AE96" i="1" s="1"/>
  <c r="T96" i="1"/>
  <c r="V109" i="1"/>
  <c r="AE109" i="1" s="1"/>
  <c r="V113" i="1"/>
  <c r="AE113" i="1" s="1"/>
  <c r="V115" i="1"/>
  <c r="AE115" i="1" s="1"/>
  <c r="V117" i="1"/>
  <c r="AE117" i="1" s="1"/>
  <c r="Z122" i="1"/>
  <c r="Z128" i="1"/>
  <c r="V132" i="1"/>
  <c r="AE132" i="1" s="1"/>
  <c r="V146" i="1"/>
  <c r="AE146" i="1" s="1"/>
  <c r="V148" i="1"/>
  <c r="AE148" i="1" s="1"/>
  <c r="V153" i="1"/>
  <c r="AE153" i="1" s="1"/>
  <c r="Z124" i="1"/>
  <c r="T115" i="1"/>
  <c r="W153" i="1"/>
  <c r="AF153" i="1" s="1"/>
  <c r="V112" i="1"/>
  <c r="AE112" i="1" s="1"/>
  <c r="W114" i="1"/>
  <c r="AF114" i="1" s="1"/>
  <c r="T107" i="1"/>
  <c r="W110" i="1"/>
  <c r="AF110" i="1" s="1"/>
  <c r="W113" i="1"/>
  <c r="AF113" i="1" s="1"/>
  <c r="W119" i="1"/>
  <c r="AF119" i="1" s="1"/>
  <c r="T136" i="1"/>
  <c r="W142" i="1"/>
  <c r="AF142" i="1" s="1"/>
  <c r="W146" i="1"/>
  <c r="AF146" i="1" s="1"/>
  <c r="V94" i="1"/>
  <c r="AE94" i="1" s="1"/>
  <c r="V99" i="1"/>
  <c r="AE99" i="1" s="1"/>
  <c r="T92" i="1"/>
  <c r="T97" i="1"/>
  <c r="V105" i="1"/>
  <c r="AE105" i="1" s="1"/>
  <c r="Z125" i="1"/>
  <c r="Z127" i="1"/>
  <c r="T105" i="1"/>
  <c r="W112" i="1"/>
  <c r="AF112" i="1" s="1"/>
  <c r="T116" i="1"/>
  <c r="W109" i="1"/>
  <c r="AF109" i="1" s="1"/>
  <c r="W117" i="1"/>
  <c r="AF117" i="1" s="1"/>
  <c r="W148" i="1"/>
  <c r="AF148" i="1" s="1"/>
  <c r="V86" i="1"/>
  <c r="AE86" i="1" s="1"/>
  <c r="V97" i="1"/>
  <c r="AE97" i="1" s="1"/>
  <c r="T99" i="1"/>
  <c r="V116" i="1"/>
  <c r="AE116" i="1" s="1"/>
  <c r="W111" i="1"/>
  <c r="AF111" i="1" s="1"/>
  <c r="T118" i="1"/>
  <c r="W127" i="1"/>
  <c r="AF127" i="1" s="1"/>
  <c r="T133" i="1"/>
  <c r="V141" i="1"/>
  <c r="AE141" i="1" s="1"/>
  <c r="V145" i="1"/>
  <c r="AE145" i="1" s="1"/>
  <c r="V151" i="1"/>
  <c r="AE151" i="1" s="1"/>
  <c r="W135" i="1"/>
  <c r="AF135" i="1" s="1"/>
  <c r="W137" i="1"/>
  <c r="AF137" i="1" s="1"/>
  <c r="W139" i="1"/>
  <c r="AF139" i="1" s="1"/>
  <c r="W141" i="1"/>
  <c r="AF141" i="1" s="1"/>
  <c r="W143" i="1"/>
  <c r="AF143" i="1" s="1"/>
  <c r="W145" i="1"/>
  <c r="AF145" i="1" s="1"/>
  <c r="W149" i="1"/>
  <c r="AF149" i="1" s="1"/>
  <c r="W156" i="1"/>
  <c r="AF156" i="1" s="1"/>
  <c r="V149" i="1"/>
  <c r="AE149" i="1" s="1"/>
  <c r="V154" i="1"/>
  <c r="AE154" i="1" s="1"/>
  <c r="V93" i="1"/>
  <c r="AE93" i="1" s="1"/>
  <c r="V92" i="1"/>
  <c r="AE92" i="1" s="1"/>
  <c r="V91" i="1"/>
  <c r="AE91" i="1" s="1"/>
  <c r="W91" i="1"/>
  <c r="AF91" i="1" s="1"/>
  <c r="Z167" i="58"/>
  <c r="AA167" i="58" s="1"/>
  <c r="Z212" i="58"/>
  <c r="AA212" i="58" s="1"/>
  <c r="Z55" i="58"/>
  <c r="AA55" i="58" s="1"/>
  <c r="Z20" i="58"/>
  <c r="AA20" i="58" s="1"/>
  <c r="Z22" i="58"/>
  <c r="AA22" i="58" s="1"/>
  <c r="Z162" i="58"/>
  <c r="AA162" i="58" s="1"/>
  <c r="Z32" i="58"/>
  <c r="AA32" i="58" s="1"/>
  <c r="Z54" i="58"/>
  <c r="AA54" i="58" s="1"/>
  <c r="Z202" i="58"/>
  <c r="AA202" i="58" s="1"/>
  <c r="Z19" i="58"/>
  <c r="AA19" i="58" s="1"/>
  <c r="Z209" i="58"/>
  <c r="AA209" i="58" s="1"/>
  <c r="Z98" i="58"/>
  <c r="AA98" i="58" s="1"/>
  <c r="Z53" i="58"/>
  <c r="AA53" i="58" s="1"/>
  <c r="Z65" i="58"/>
  <c r="AA65" i="58" s="1"/>
  <c r="Z223" i="58"/>
  <c r="AA223" i="58" s="1"/>
  <c r="Z156" i="58"/>
  <c r="AA156" i="58" s="1"/>
  <c r="Z36" i="58"/>
  <c r="AA36" i="58" s="1"/>
  <c r="Z205" i="58"/>
  <c r="AA205" i="58" s="1"/>
  <c r="Z83" i="58"/>
  <c r="AA83" i="58" s="1"/>
  <c r="Z41" i="58"/>
  <c r="AA41" i="58" s="1"/>
  <c r="Z12" i="58"/>
  <c r="AA12" i="58" s="1"/>
  <c r="Z144" i="58"/>
  <c r="AA144" i="58" s="1"/>
  <c r="Z226" i="58"/>
  <c r="AA226" i="58" s="1"/>
  <c r="Z10" i="58"/>
  <c r="AA10" i="58" s="1"/>
  <c r="Z29" i="58"/>
  <c r="AA29" i="58" s="1"/>
  <c r="Z163" i="58"/>
  <c r="AA163" i="58" s="1"/>
  <c r="Z30" i="58"/>
  <c r="AA30" i="58" s="1"/>
  <c r="Z90" i="58"/>
  <c r="AA90" i="58" s="1"/>
  <c r="Z233" i="58"/>
  <c r="AA233" i="58" s="1"/>
  <c r="Z110" i="58"/>
  <c r="AA110" i="58" s="1"/>
  <c r="Z23" i="58"/>
  <c r="AA23" i="58" s="1"/>
  <c r="Z69" i="58"/>
  <c r="AA69" i="58" s="1"/>
  <c r="Z219" i="58"/>
  <c r="AA219" i="58" s="1"/>
  <c r="Z211" i="58"/>
  <c r="AA211" i="58" s="1"/>
  <c r="Z31" i="58"/>
  <c r="AA31" i="58" s="1"/>
  <c r="Z213" i="58"/>
  <c r="AA213" i="58" s="1"/>
  <c r="Z183" i="58"/>
  <c r="AA183" i="58" s="1"/>
  <c r="Z15" i="58"/>
  <c r="AA15" i="58" s="1"/>
  <c r="Z145" i="58"/>
  <c r="AA145" i="58" s="1"/>
  <c r="Z58" i="58"/>
  <c r="AA58" i="58" s="1"/>
  <c r="Z73" i="58"/>
  <c r="AA73" i="58" s="1"/>
  <c r="Z214" i="58"/>
  <c r="AA214" i="58" s="1"/>
  <c r="Z182" i="58"/>
  <c r="AA182" i="58" s="1"/>
  <c r="Z184" i="58"/>
  <c r="AA184" i="58" s="1"/>
  <c r="Z185" i="58"/>
  <c r="AA185" i="58" s="1"/>
  <c r="Z74" i="58"/>
  <c r="AA74" i="58" s="1"/>
  <c r="Z68" i="58"/>
  <c r="AA68" i="58" s="1"/>
  <c r="Z227" i="58"/>
  <c r="AA227" i="58" s="1"/>
  <c r="Z84" i="58"/>
  <c r="AA84" i="58" s="1"/>
  <c r="Z97" i="58"/>
  <c r="AA97" i="58" s="1"/>
  <c r="Z199" i="58"/>
  <c r="AA199" i="58" s="1"/>
  <c r="Z147" i="58"/>
  <c r="AA147" i="58" s="1"/>
  <c r="Z93" i="58"/>
  <c r="AA93" i="58" s="1"/>
  <c r="Z104" i="58"/>
  <c r="AA104" i="58" s="1"/>
  <c r="Z91" i="58"/>
  <c r="AA91" i="58" s="1"/>
  <c r="Z89" i="58"/>
  <c r="AA89" i="58" s="1"/>
  <c r="Z151" i="58"/>
  <c r="AA151" i="58" s="1"/>
  <c r="Z207" i="58"/>
  <c r="AA207" i="58" s="1"/>
  <c r="Z215" i="58"/>
  <c r="AA215" i="58" s="1"/>
  <c r="Z143" i="58"/>
  <c r="AA143" i="58" s="1"/>
  <c r="Z52" i="58"/>
  <c r="AA52" i="58" s="1"/>
  <c r="Z195" i="58"/>
  <c r="AA195" i="58" s="1"/>
  <c r="Z146" i="58"/>
  <c r="AA146" i="58" s="1"/>
  <c r="Z33" i="58"/>
  <c r="AA33" i="58" s="1"/>
  <c r="Z102" i="58"/>
  <c r="AA102" i="58" s="1"/>
  <c r="Z103" i="58"/>
  <c r="AA103" i="58" s="1"/>
  <c r="Z101" i="58"/>
  <c r="AA101" i="58" s="1"/>
  <c r="Z194" i="58"/>
  <c r="AA194" i="58" s="1"/>
  <c r="Z158" i="58"/>
  <c r="AA158" i="58" s="1"/>
  <c r="Z191" i="58"/>
  <c r="AA191" i="58" s="1"/>
  <c r="Z149" i="58"/>
  <c r="AA149" i="58" s="1"/>
  <c r="Z171" i="58"/>
  <c r="AA171" i="58" s="1"/>
  <c r="Z105" i="58"/>
  <c r="AA105" i="58" s="1"/>
  <c r="Z179" i="58"/>
  <c r="AA179" i="58" s="1"/>
  <c r="Z193" i="58"/>
  <c r="AA193" i="58" s="1"/>
  <c r="Z186" i="58"/>
  <c r="AA186" i="58" s="1"/>
  <c r="Z157" i="58"/>
  <c r="AA157" i="58" s="1"/>
  <c r="Z40" i="58"/>
  <c r="AA40" i="58" s="1"/>
  <c r="Z82" i="58"/>
  <c r="AA82" i="58" s="1"/>
  <c r="Z190" i="58"/>
  <c r="AA190" i="58" s="1"/>
  <c r="Z181" i="58"/>
  <c r="AA181" i="58" s="1"/>
  <c r="Z100" i="58"/>
  <c r="AA100" i="58" s="1"/>
  <c r="Z169" i="58"/>
  <c r="AA169" i="58" s="1"/>
  <c r="Z142" i="58"/>
  <c r="AA142" i="58" s="1"/>
  <c r="Z175" i="58"/>
  <c r="AA175" i="58" s="1"/>
  <c r="Z107" i="58"/>
  <c r="AA107" i="58" s="1"/>
  <c r="Z168" i="58"/>
  <c r="AA168" i="58" s="1"/>
  <c r="Z94" i="58"/>
  <c r="AA94" i="58" s="1"/>
  <c r="Z85" i="58"/>
  <c r="AA85" i="58" s="1"/>
  <c r="Z200" i="58"/>
  <c r="AA200" i="58" s="1"/>
  <c r="Z229" i="58"/>
  <c r="AA229" i="58" s="1"/>
  <c r="Z208" i="58"/>
  <c r="AA208" i="58" s="1"/>
  <c r="Z152" i="58"/>
  <c r="AA152" i="58" s="1"/>
  <c r="Z180" i="58"/>
  <c r="AA180" i="58" s="1"/>
  <c r="Z159" i="58"/>
  <c r="AA159" i="58" s="1"/>
  <c r="Z139" i="58"/>
  <c r="AA139" i="58" s="1"/>
  <c r="Z218" i="58"/>
  <c r="AA218" i="58" s="1"/>
  <c r="T132" i="1"/>
  <c r="V133" i="1"/>
  <c r="AE133" i="1" s="1"/>
  <c r="W133" i="1"/>
  <c r="AF133" i="1" s="1"/>
  <c r="T103" i="1"/>
  <c r="W132" i="1"/>
  <c r="AF132" i="1" s="1"/>
  <c r="V85" i="1"/>
  <c r="AE85" i="1" s="1"/>
  <c r="W107" i="1"/>
  <c r="AF107" i="1" s="1"/>
  <c r="W101" i="1"/>
  <c r="AF101" i="1" s="1"/>
  <c r="V119" i="1"/>
  <c r="AE119" i="1" s="1"/>
  <c r="W105" i="1"/>
  <c r="AF105" i="1" s="1"/>
  <c r="V84" i="1"/>
  <c r="AE84" i="1" s="1"/>
  <c r="W116" i="1"/>
  <c r="AF116" i="1" s="1"/>
  <c r="T101" i="1"/>
  <c r="V101" i="1"/>
  <c r="AE101" i="1" s="1"/>
  <c r="V107" i="1"/>
  <c r="AE107" i="1" s="1"/>
  <c r="T108" i="1"/>
  <c r="V118" i="1"/>
  <c r="AE118" i="1" s="1"/>
  <c r="V108" i="1"/>
  <c r="AE108" i="1" s="1"/>
  <c r="W108" i="1"/>
  <c r="AF108" i="1" s="1"/>
  <c r="T121" i="1"/>
  <c r="T139" i="1"/>
  <c r="V103" i="1"/>
  <c r="AE103" i="1" s="1"/>
  <c r="W118" i="1"/>
  <c r="AF118" i="1" s="1"/>
  <c r="W103" i="1"/>
  <c r="AF103" i="1" s="1"/>
  <c r="T122" i="1"/>
  <c r="W121" i="1"/>
  <c r="AF121" i="1" s="1"/>
  <c r="W115" i="1"/>
  <c r="AF115" i="1" s="1"/>
  <c r="V156" i="1"/>
  <c r="AE156" i="1" s="1"/>
  <c r="T109" i="1"/>
  <c r="T134" i="1"/>
  <c r="T138" i="1"/>
  <c r="V89" i="1"/>
  <c r="AE89" i="1" s="1"/>
  <c r="W134" i="1"/>
  <c r="AF134" i="1" s="1"/>
  <c r="T143" i="1"/>
  <c r="W129" i="1"/>
  <c r="AF129" i="1" s="1"/>
  <c r="T127" i="1"/>
  <c r="T112" i="1"/>
  <c r="T113" i="1"/>
  <c r="T114" i="1"/>
  <c r="T123" i="1"/>
  <c r="T142" i="1"/>
  <c r="T91" i="1"/>
  <c r="W99" i="1"/>
  <c r="AF99" i="1" s="1"/>
  <c r="V114" i="1"/>
  <c r="AE114" i="1" s="1"/>
  <c r="T117" i="1"/>
  <c r="W122" i="1"/>
  <c r="AF122" i="1" s="1"/>
  <c r="W123" i="1"/>
  <c r="AF123" i="1" s="1"/>
  <c r="T141" i="1"/>
  <c r="T129" i="1"/>
  <c r="T128" i="1"/>
  <c r="T137" i="1"/>
  <c r="W128" i="1"/>
  <c r="AF128" i="1" s="1"/>
  <c r="W89" i="1"/>
  <c r="AF89" i="1" s="1"/>
  <c r="T119" i="1"/>
  <c r="W94" i="1"/>
  <c r="AF94" i="1" s="1"/>
  <c r="T94" i="1"/>
  <c r="V90" i="1"/>
  <c r="AE90" i="1" s="1"/>
  <c r="T90" i="1"/>
  <c r="W90" i="1"/>
  <c r="AF90" i="1" s="1"/>
  <c r="T98" i="1"/>
  <c r="W98" i="1"/>
  <c r="AF98" i="1" s="1"/>
  <c r="V111" i="1"/>
  <c r="AE111" i="1" s="1"/>
  <c r="T111" i="1"/>
  <c r="W88" i="1"/>
  <c r="AF88" i="1" s="1"/>
  <c r="T88" i="1"/>
  <c r="V123" i="1"/>
  <c r="AE123" i="1" s="1"/>
  <c r="V126" i="1"/>
  <c r="AE126" i="1" s="1"/>
  <c r="O126" i="1"/>
  <c r="Z126" i="1" s="1"/>
  <c r="W102" i="1"/>
  <c r="AF102" i="1" s="1"/>
  <c r="T102" i="1"/>
  <c r="V102" i="1"/>
  <c r="AE102" i="1" s="1"/>
  <c r="V104" i="1"/>
  <c r="AE104" i="1" s="1"/>
  <c r="W86" i="1"/>
  <c r="AF86" i="1" s="1"/>
  <c r="T86" i="1"/>
  <c r="V88" i="1"/>
  <c r="AE88" i="1" s="1"/>
  <c r="S88" i="1"/>
  <c r="W140" i="1"/>
  <c r="AF140" i="1" s="1"/>
  <c r="T140" i="1"/>
  <c r="V106" i="1"/>
  <c r="AE106" i="1" s="1"/>
  <c r="T106" i="1"/>
  <c r="T126" i="1"/>
  <c r="V130" i="1"/>
  <c r="AE130" i="1" s="1"/>
  <c r="V144" i="1"/>
  <c r="AE144" i="1" s="1"/>
  <c r="T154" i="1"/>
  <c r="T157" i="1"/>
  <c r="V129" i="1"/>
  <c r="AE129" i="1" s="1"/>
  <c r="O129" i="1"/>
  <c r="Z129" i="1" s="1"/>
  <c r="T144" i="1"/>
  <c r="W144" i="1"/>
  <c r="AF144" i="1" s="1"/>
  <c r="V150" i="1"/>
  <c r="AE150" i="1" s="1"/>
  <c r="W93" i="1"/>
  <c r="AF93" i="1" s="1"/>
  <c r="T150" i="1"/>
  <c r="W150" i="1"/>
  <c r="AF150" i="1" s="1"/>
  <c r="T151" i="1"/>
  <c r="W151" i="1"/>
  <c r="AF151" i="1" s="1"/>
  <c r="V157" i="1"/>
  <c r="AE157" i="1" s="1"/>
  <c r="T146" i="1"/>
  <c r="T147" i="1"/>
  <c r="W147" i="1"/>
  <c r="AF147" i="1" s="1"/>
  <c r="W154" i="1"/>
  <c r="AF154" i="1" s="1"/>
  <c r="W157" i="1"/>
  <c r="AF157" i="1" s="1"/>
  <c r="V140" i="1"/>
  <c r="AE140" i="1" s="1"/>
  <c r="W85" i="1"/>
  <c r="AF85" i="1" s="1"/>
  <c r="W96" i="1"/>
  <c r="AF96" i="1" s="1"/>
  <c r="V152" i="1"/>
  <c r="AE152" i="1" s="1"/>
  <c r="T110" i="1"/>
  <c r="V110" i="1"/>
  <c r="AE110" i="1" s="1"/>
  <c r="S110" i="1"/>
  <c r="T152" i="1"/>
  <c r="W152" i="1"/>
  <c r="AF152" i="1" s="1"/>
  <c r="W126" i="1"/>
  <c r="AF126" i="1" s="1"/>
  <c r="T155" i="1"/>
  <c r="W155" i="1"/>
  <c r="AF155" i="1" s="1"/>
  <c r="V98" i="1"/>
  <c r="AE98" i="1" s="1"/>
  <c r="T130" i="1"/>
  <c r="W130" i="1"/>
  <c r="AF130" i="1" s="1"/>
  <c r="T156" i="1"/>
  <c r="W84" i="1"/>
  <c r="AF84" i="1" s="1"/>
  <c r="T84" i="1"/>
  <c r="T85" i="1"/>
  <c r="T93" i="1"/>
  <c r="W104" i="1"/>
  <c r="AF104" i="1" s="1"/>
  <c r="T104" i="1"/>
  <c r="W106" i="1"/>
  <c r="AF106" i="1" s="1"/>
  <c r="T135" i="1"/>
  <c r="T148" i="1"/>
  <c r="T149" i="1"/>
  <c r="V124" i="1"/>
  <c r="AE124" i="1" s="1"/>
  <c r="W87" i="1"/>
  <c r="AF87" i="1" s="1"/>
  <c r="T124" i="1"/>
  <c r="W124" i="1"/>
  <c r="AF124" i="1" s="1"/>
  <c r="T145" i="1"/>
  <c r="T153" i="1"/>
  <c r="W92" i="1"/>
  <c r="AF92" i="1" s="1"/>
  <c r="W97" i="1"/>
  <c r="AF97" i="1" s="1"/>
  <c r="V135" i="1"/>
  <c r="AE135" i="1" s="1"/>
  <c r="V136" i="1"/>
  <c r="AE136" i="1" s="1"/>
  <c r="V147" i="1"/>
  <c r="AE147" i="1" s="1"/>
  <c r="V155" i="1"/>
  <c r="AE155" i="1" s="1"/>
  <c r="V122" i="1"/>
  <c r="AE122" i="1" s="1"/>
  <c r="V128" i="1"/>
  <c r="AE128" i="1" s="1"/>
  <c r="W136" i="1"/>
  <c r="AF136" i="1" s="1"/>
  <c r="V125" i="1"/>
  <c r="AE125" i="1" s="1"/>
  <c r="V131" i="1"/>
  <c r="AE131" i="1" s="1"/>
  <c r="V138" i="1"/>
  <c r="AE138" i="1" s="1"/>
  <c r="W125" i="1"/>
  <c r="AF125" i="1" s="1"/>
  <c r="T125" i="1"/>
  <c r="W131" i="1"/>
  <c r="AF131" i="1" s="1"/>
  <c r="T131" i="1"/>
  <c r="W138" i="1"/>
  <c r="AF138" i="1" s="1"/>
  <c r="V143" i="1"/>
  <c r="AE143" i="1" s="1"/>
  <c r="V121" i="1"/>
  <c r="AE121" i="1" s="1"/>
  <c r="V134" i="1"/>
  <c r="AE134" i="1" s="1"/>
  <c r="V127" i="1"/>
  <c r="AE127" i="1" s="1"/>
  <c r="V137" i="1"/>
  <c r="AE137" i="1" s="1"/>
  <c r="V139" i="1"/>
  <c r="AE139" i="1" s="1"/>
  <c r="V142" i="1"/>
  <c r="AE142" i="1" s="1"/>
  <c r="T41" i="1"/>
  <c r="W41" i="1"/>
  <c r="W43" i="1"/>
  <c r="T38" i="1"/>
  <c r="T43" i="1"/>
  <c r="T39" i="1"/>
  <c r="T40" i="1"/>
  <c r="W39" i="1"/>
  <c r="W38" i="1"/>
  <c r="W40" i="1"/>
  <c r="W30" i="1"/>
  <c r="T32" i="1"/>
  <c r="T30" i="1"/>
  <c r="W32" i="1"/>
  <c r="E27" i="21"/>
  <c r="L32" i="21"/>
  <c r="J82" i="1" l="1"/>
  <c r="G82" i="1"/>
  <c r="C82" i="1"/>
  <c r="J81" i="1"/>
  <c r="G81" i="1"/>
  <c r="C81" i="1"/>
  <c r="J80" i="1"/>
  <c r="G80" i="1"/>
  <c r="C80" i="1"/>
  <c r="J79" i="1"/>
  <c r="G79" i="1"/>
  <c r="C79" i="1"/>
  <c r="J78" i="1"/>
  <c r="G78" i="1"/>
  <c r="C78" i="1"/>
  <c r="J77" i="1"/>
  <c r="G77" i="1"/>
  <c r="C77" i="1"/>
  <c r="J67" i="1"/>
  <c r="G67" i="1"/>
  <c r="C67" i="1"/>
  <c r="J66" i="1"/>
  <c r="G66" i="1"/>
  <c r="C66" i="1"/>
  <c r="J65" i="1"/>
  <c r="G65" i="1"/>
  <c r="C65" i="1"/>
  <c r="J64" i="1"/>
  <c r="G64" i="1"/>
  <c r="C64" i="1"/>
  <c r="J63" i="1"/>
  <c r="G63" i="1"/>
  <c r="C63" i="1"/>
  <c r="J62" i="1"/>
  <c r="G62" i="1"/>
  <c r="C62" i="1"/>
  <c r="J61" i="1"/>
  <c r="G61" i="1"/>
  <c r="C61" i="1"/>
  <c r="J60" i="1"/>
  <c r="G60" i="1"/>
  <c r="C60" i="1"/>
  <c r="K40" i="1" l="1"/>
  <c r="V40" i="1" s="1"/>
  <c r="K41" i="1"/>
  <c r="K32" i="1"/>
  <c r="K38" i="1"/>
  <c r="K43" i="1"/>
  <c r="K39" i="1"/>
  <c r="K30" i="1"/>
  <c r="T61" i="1"/>
  <c r="T67" i="1"/>
  <c r="T60" i="1"/>
  <c r="T64" i="1"/>
  <c r="T79" i="1"/>
  <c r="T82" i="1"/>
  <c r="T62" i="1"/>
  <c r="T65" i="1"/>
  <c r="T77" i="1"/>
  <c r="T80" i="1"/>
  <c r="T63" i="1"/>
  <c r="T66" i="1"/>
  <c r="T78" i="1"/>
  <c r="T81" i="1"/>
  <c r="W77" i="1"/>
  <c r="W79" i="1"/>
  <c r="W81" i="1"/>
  <c r="W78" i="1"/>
  <c r="W80" i="1"/>
  <c r="W82" i="1"/>
  <c r="W67" i="1"/>
  <c r="W60" i="1"/>
  <c r="W62" i="1"/>
  <c r="W64" i="1"/>
  <c r="W66" i="1"/>
  <c r="W65" i="1"/>
  <c r="W61" i="1"/>
  <c r="W63" i="1"/>
  <c r="V41" i="1" l="1"/>
  <c r="V32" i="1"/>
  <c r="V30" i="1"/>
  <c r="V39" i="1"/>
  <c r="V43" i="1"/>
  <c r="V38" i="1"/>
  <c r="J27" i="1"/>
  <c r="G27" i="1"/>
  <c r="C27" i="1"/>
  <c r="T27" i="1" l="1"/>
  <c r="W27" i="1"/>
  <c r="J76" i="1" l="1"/>
  <c r="G76" i="1"/>
  <c r="C76" i="1"/>
  <c r="J75" i="1"/>
  <c r="G75" i="1"/>
  <c r="C75" i="1"/>
  <c r="J74" i="1"/>
  <c r="G74" i="1"/>
  <c r="C74" i="1"/>
  <c r="J73" i="1"/>
  <c r="G73" i="1"/>
  <c r="C73" i="1"/>
  <c r="J72" i="1"/>
  <c r="G72" i="1"/>
  <c r="C72" i="1"/>
  <c r="J71" i="1"/>
  <c r="G71" i="1"/>
  <c r="C71" i="1"/>
  <c r="J70" i="1"/>
  <c r="G70" i="1"/>
  <c r="C70" i="1"/>
  <c r="J69" i="1"/>
  <c r="G69" i="1"/>
  <c r="C69" i="1"/>
  <c r="J68" i="1"/>
  <c r="S68" i="1" s="1"/>
  <c r="G68" i="1"/>
  <c r="C68" i="1"/>
  <c r="J59" i="1"/>
  <c r="G59" i="1"/>
  <c r="C59" i="1"/>
  <c r="J58" i="1"/>
  <c r="G58" i="1"/>
  <c r="C58" i="1"/>
  <c r="J57" i="1"/>
  <c r="G57" i="1"/>
  <c r="C57" i="1"/>
  <c r="J56" i="1"/>
  <c r="G56" i="1"/>
  <c r="C56" i="1"/>
  <c r="J55" i="1"/>
  <c r="G55" i="1"/>
  <c r="C55" i="1"/>
  <c r="J54" i="1"/>
  <c r="S54" i="1" s="1"/>
  <c r="G54" i="1"/>
  <c r="C54" i="1"/>
  <c r="J53" i="1"/>
  <c r="S53" i="1" s="1"/>
  <c r="G53" i="1"/>
  <c r="C53" i="1"/>
  <c r="J52" i="1"/>
  <c r="G52" i="1"/>
  <c r="C52" i="1"/>
  <c r="J51" i="1"/>
  <c r="G51" i="1"/>
  <c r="C51" i="1"/>
  <c r="J50" i="1"/>
  <c r="G50" i="1"/>
  <c r="C50" i="1"/>
  <c r="T50" i="1" l="1"/>
  <c r="T53" i="1"/>
  <c r="T56" i="1"/>
  <c r="T59" i="1"/>
  <c r="T70" i="1"/>
  <c r="T75" i="1"/>
  <c r="T73" i="1"/>
  <c r="T76" i="1"/>
  <c r="T54" i="1"/>
  <c r="T68" i="1"/>
  <c r="T74" i="1"/>
  <c r="T55" i="1"/>
  <c r="T58" i="1"/>
  <c r="T69" i="1"/>
  <c r="T72" i="1"/>
  <c r="T51" i="1"/>
  <c r="T57" i="1"/>
  <c r="T71" i="1"/>
  <c r="T52" i="1"/>
  <c r="W75" i="1"/>
  <c r="W76" i="1"/>
  <c r="W51" i="1"/>
  <c r="W52" i="1"/>
  <c r="W70" i="1"/>
  <c r="W50" i="1"/>
  <c r="W56" i="1"/>
  <c r="W58" i="1"/>
  <c r="W68" i="1"/>
  <c r="W72" i="1"/>
  <c r="W57" i="1"/>
  <c r="W69" i="1"/>
  <c r="W71" i="1"/>
  <c r="W73" i="1"/>
  <c r="W53" i="1"/>
  <c r="W59" i="1"/>
  <c r="W54" i="1"/>
  <c r="W55" i="1"/>
  <c r="W74" i="1"/>
  <c r="B61" i="2" l="1"/>
  <c r="G18" i="21"/>
  <c r="G16" i="21"/>
  <c r="G37" i="21" s="1"/>
  <c r="G24" i="21"/>
  <c r="G36" i="21"/>
  <c r="G27" i="21"/>
  <c r="M2" i="1"/>
  <c r="M120" i="1" s="1"/>
  <c r="G7" i="21"/>
  <c r="G13" i="21"/>
  <c r="N120" i="1" l="1"/>
  <c r="X120" i="1"/>
  <c r="AG120" i="1" s="1"/>
  <c r="AF8" i="58"/>
  <c r="M95" i="1"/>
  <c r="M107" i="1"/>
  <c r="M105" i="1"/>
  <c r="M92" i="1"/>
  <c r="M85" i="1"/>
  <c r="M145" i="1"/>
  <c r="M93" i="1"/>
  <c r="M84" i="1"/>
  <c r="M128" i="1"/>
  <c r="M140" i="1"/>
  <c r="M122" i="1"/>
  <c r="M103" i="1"/>
  <c r="M110" i="1"/>
  <c r="M119" i="1"/>
  <c r="M94" i="1"/>
  <c r="M134" i="1"/>
  <c r="M87" i="1"/>
  <c r="M132" i="1"/>
  <c r="M104" i="1"/>
  <c r="M155" i="1"/>
  <c r="M102" i="1"/>
  <c r="M111" i="1"/>
  <c r="M112" i="1"/>
  <c r="M88" i="1"/>
  <c r="M150" i="1"/>
  <c r="M148" i="1"/>
  <c r="M153" i="1"/>
  <c r="M98" i="1"/>
  <c r="M86" i="1"/>
  <c r="M108" i="1"/>
  <c r="M101" i="1"/>
  <c r="M139" i="1"/>
  <c r="M113" i="1"/>
  <c r="M126" i="1"/>
  <c r="M97" i="1"/>
  <c r="M133" i="1"/>
  <c r="M115" i="1"/>
  <c r="M154" i="1"/>
  <c r="M121" i="1"/>
  <c r="M142" i="1"/>
  <c r="M144" i="1"/>
  <c r="M141" i="1"/>
  <c r="M143" i="1"/>
  <c r="M137" i="1"/>
  <c r="M127" i="1"/>
  <c r="M157" i="1"/>
  <c r="M135" i="1"/>
  <c r="M106" i="1"/>
  <c r="M147" i="1"/>
  <c r="M114" i="1"/>
  <c r="M136" i="1"/>
  <c r="M89" i="1"/>
  <c r="M149" i="1"/>
  <c r="M130" i="1"/>
  <c r="M99" i="1"/>
  <c r="M116" i="1"/>
  <c r="M96" i="1"/>
  <c r="P96" i="1" s="1"/>
  <c r="M151" i="1"/>
  <c r="M123" i="1"/>
  <c r="M118" i="1"/>
  <c r="M124" i="1"/>
  <c r="M131" i="1"/>
  <c r="M100" i="1"/>
  <c r="M90" i="1"/>
  <c r="M152" i="1"/>
  <c r="M129" i="1"/>
  <c r="M138" i="1"/>
  <c r="M109" i="1"/>
  <c r="M125" i="1"/>
  <c r="P125" i="1" s="1"/>
  <c r="M91" i="1"/>
  <c r="M146" i="1"/>
  <c r="M117" i="1"/>
  <c r="M156" i="1"/>
  <c r="M43" i="1"/>
  <c r="X43" i="1" s="1"/>
  <c r="M41" i="1"/>
  <c r="M30" i="1"/>
  <c r="X30" i="1" s="1"/>
  <c r="M40" i="1"/>
  <c r="M39" i="1"/>
  <c r="M38" i="1"/>
  <c r="M32" i="1"/>
  <c r="K27" i="1"/>
  <c r="K74" i="1"/>
  <c r="K64" i="1"/>
  <c r="K79" i="1"/>
  <c r="K66" i="1"/>
  <c r="K81" i="1"/>
  <c r="K56" i="1"/>
  <c r="K51" i="1"/>
  <c r="K71" i="1"/>
  <c r="K67" i="1"/>
  <c r="K77" i="1"/>
  <c r="K62" i="1"/>
  <c r="K50" i="1"/>
  <c r="K57" i="1"/>
  <c r="K72" i="1"/>
  <c r="K82" i="1"/>
  <c r="K55" i="1"/>
  <c r="K70" i="1"/>
  <c r="K78" i="1"/>
  <c r="K63" i="1"/>
  <c r="K80" i="1"/>
  <c r="K65" i="1"/>
  <c r="K58" i="1"/>
  <c r="K52" i="1"/>
  <c r="K73" i="1"/>
  <c r="K76" i="1"/>
  <c r="K68" i="1"/>
  <c r="K54" i="1"/>
  <c r="K59" i="1"/>
  <c r="K61" i="1"/>
  <c r="K60" i="1"/>
  <c r="K69" i="1"/>
  <c r="K75" i="1"/>
  <c r="K53" i="1"/>
  <c r="M78" i="1"/>
  <c r="M81" i="1"/>
  <c r="M77" i="1"/>
  <c r="M80" i="1"/>
  <c r="M79" i="1"/>
  <c r="M82" i="1"/>
  <c r="M66" i="1"/>
  <c r="M65" i="1"/>
  <c r="M67" i="1"/>
  <c r="M27" i="1"/>
  <c r="X27" i="1" s="1"/>
  <c r="M60" i="1"/>
  <c r="M63" i="1"/>
  <c r="M62" i="1"/>
  <c r="M64" i="1"/>
  <c r="M61" i="1"/>
  <c r="M75" i="1"/>
  <c r="M76" i="1"/>
  <c r="M70" i="1"/>
  <c r="M51" i="1"/>
  <c r="M59" i="1"/>
  <c r="M57" i="1"/>
  <c r="M50" i="1"/>
  <c r="M55" i="1"/>
  <c r="M56" i="1"/>
  <c r="M72" i="1"/>
  <c r="M54" i="1"/>
  <c r="M73" i="1"/>
  <c r="M52" i="1"/>
  <c r="M71" i="1"/>
  <c r="M69" i="1"/>
  <c r="M68" i="1"/>
  <c r="M58" i="1"/>
  <c r="M53" i="1"/>
  <c r="M74" i="1"/>
  <c r="C26" i="29"/>
  <c r="D26" i="29" s="1"/>
  <c r="B26" i="29"/>
  <c r="I25" i="29"/>
  <c r="B26" i="48"/>
  <c r="C26" i="48" s="1"/>
  <c r="I25" i="48"/>
  <c r="B27" i="2"/>
  <c r="C27" i="2" s="1"/>
  <c r="C28" i="2" s="1"/>
  <c r="P17" i="21" s="1"/>
  <c r="K23" i="1"/>
  <c r="K5" i="1"/>
  <c r="J6" i="1"/>
  <c r="J49" i="1"/>
  <c r="J48" i="1"/>
  <c r="J47" i="1"/>
  <c r="J46" i="1"/>
  <c r="J45" i="1"/>
  <c r="J44" i="1"/>
  <c r="J42" i="1"/>
  <c r="J37" i="1"/>
  <c r="J36" i="1"/>
  <c r="J35" i="1"/>
  <c r="J34" i="1"/>
  <c r="J33" i="1"/>
  <c r="J31" i="1"/>
  <c r="J29" i="1"/>
  <c r="J28" i="1"/>
  <c r="J26" i="1"/>
  <c r="J25" i="1"/>
  <c r="J24" i="1"/>
  <c r="J23" i="1"/>
  <c r="J22" i="1"/>
  <c r="J21" i="1"/>
  <c r="J20" i="1"/>
  <c r="T20" i="1" s="1"/>
  <c r="J19" i="1"/>
  <c r="J18" i="1"/>
  <c r="J17" i="1"/>
  <c r="J16" i="1"/>
  <c r="J15" i="1"/>
  <c r="J14" i="1"/>
  <c r="J13" i="1"/>
  <c r="J12" i="1"/>
  <c r="S12" i="1" s="1"/>
  <c r="J11" i="1"/>
  <c r="J10" i="1"/>
  <c r="S10" i="1" s="1"/>
  <c r="J9" i="1"/>
  <c r="S9" i="1" s="1"/>
  <c r="J8" i="1"/>
  <c r="J7" i="1"/>
  <c r="Y120" i="1" l="1"/>
  <c r="AH120" i="1" s="1"/>
  <c r="N104" i="1"/>
  <c r="X104" i="1"/>
  <c r="AG104" i="1" s="1"/>
  <c r="X132" i="1"/>
  <c r="AG132" i="1" s="1"/>
  <c r="N132" i="1"/>
  <c r="X87" i="1"/>
  <c r="AG87" i="1" s="1"/>
  <c r="N87" i="1"/>
  <c r="X134" i="1"/>
  <c r="AG134" i="1" s="1"/>
  <c r="N134" i="1"/>
  <c r="X117" i="1"/>
  <c r="AG117" i="1" s="1"/>
  <c r="N117" i="1"/>
  <c r="N154" i="1"/>
  <c r="X154" i="1"/>
  <c r="AG154" i="1" s="1"/>
  <c r="X85" i="1"/>
  <c r="AG85" i="1" s="1"/>
  <c r="N85" i="1"/>
  <c r="X94" i="1"/>
  <c r="AG94" i="1" s="1"/>
  <c r="N94" i="1"/>
  <c r="X119" i="1"/>
  <c r="AG119" i="1" s="1"/>
  <c r="N119" i="1"/>
  <c r="X116" i="1"/>
  <c r="AG116" i="1" s="1"/>
  <c r="N116" i="1"/>
  <c r="X127" i="1"/>
  <c r="AG127" i="1" s="1"/>
  <c r="N127" i="1"/>
  <c r="P127" i="1"/>
  <c r="AA127" i="1" s="1"/>
  <c r="N113" i="1"/>
  <c r="X113" i="1"/>
  <c r="AG113" i="1" s="1"/>
  <c r="X102" i="1"/>
  <c r="AG102" i="1" s="1"/>
  <c r="N102" i="1"/>
  <c r="N103" i="1"/>
  <c r="X103" i="1"/>
  <c r="AG103" i="1" s="1"/>
  <c r="N129" i="1"/>
  <c r="P129" i="1"/>
  <c r="AA129" i="1" s="1"/>
  <c r="X129" i="1"/>
  <c r="AG129" i="1" s="1"/>
  <c r="N130" i="1"/>
  <c r="X130" i="1"/>
  <c r="AG130" i="1" s="1"/>
  <c r="N143" i="1"/>
  <c r="X143" i="1"/>
  <c r="AG143" i="1" s="1"/>
  <c r="N101" i="1"/>
  <c r="X101" i="1"/>
  <c r="AG101" i="1" s="1"/>
  <c r="N140" i="1"/>
  <c r="X140" i="1"/>
  <c r="AG140" i="1" s="1"/>
  <c r="N152" i="1"/>
  <c r="X152" i="1"/>
  <c r="AG152" i="1" s="1"/>
  <c r="N149" i="1"/>
  <c r="X149" i="1"/>
  <c r="AG149" i="1" s="1"/>
  <c r="X141" i="1"/>
  <c r="AG141" i="1" s="1"/>
  <c r="N141" i="1"/>
  <c r="X108" i="1"/>
  <c r="AG108" i="1" s="1"/>
  <c r="N108" i="1"/>
  <c r="P128" i="1"/>
  <c r="AA128" i="1" s="1"/>
  <c r="N128" i="1"/>
  <c r="X128" i="1"/>
  <c r="AG128" i="1" s="1"/>
  <c r="N90" i="1"/>
  <c r="X90" i="1"/>
  <c r="AG90" i="1" s="1"/>
  <c r="X89" i="1"/>
  <c r="AG89" i="1" s="1"/>
  <c r="N89" i="1"/>
  <c r="N144" i="1"/>
  <c r="X144" i="1"/>
  <c r="AG144" i="1" s="1"/>
  <c r="X86" i="1"/>
  <c r="AG86" i="1" s="1"/>
  <c r="N86" i="1"/>
  <c r="X84" i="1"/>
  <c r="AG84" i="1" s="1"/>
  <c r="N84" i="1"/>
  <c r="X100" i="1"/>
  <c r="AG100" i="1" s="1"/>
  <c r="N100" i="1"/>
  <c r="N142" i="1"/>
  <c r="X142" i="1"/>
  <c r="AG142" i="1" s="1"/>
  <c r="X98" i="1"/>
  <c r="AG98" i="1" s="1"/>
  <c r="N98" i="1"/>
  <c r="N93" i="1"/>
  <c r="X93" i="1"/>
  <c r="AG93" i="1" s="1"/>
  <c r="N156" i="1"/>
  <c r="X156" i="1"/>
  <c r="AG156" i="1" s="1"/>
  <c r="X131" i="1"/>
  <c r="AG131" i="1" s="1"/>
  <c r="N131" i="1"/>
  <c r="N136" i="1"/>
  <c r="X136" i="1"/>
  <c r="AG136" i="1" s="1"/>
  <c r="N121" i="1"/>
  <c r="X121" i="1"/>
  <c r="AG121" i="1" s="1"/>
  <c r="X153" i="1"/>
  <c r="AG153" i="1" s="1"/>
  <c r="N153" i="1"/>
  <c r="X145" i="1"/>
  <c r="AG145" i="1" s="1"/>
  <c r="N145" i="1"/>
  <c r="N124" i="1"/>
  <c r="P124" i="1"/>
  <c r="AA124" i="1" s="1"/>
  <c r="X124" i="1"/>
  <c r="AG124" i="1" s="1"/>
  <c r="N114" i="1"/>
  <c r="X114" i="1"/>
  <c r="AG114" i="1" s="1"/>
  <c r="N148" i="1"/>
  <c r="X148" i="1"/>
  <c r="AG148" i="1" s="1"/>
  <c r="N146" i="1"/>
  <c r="X146" i="1"/>
  <c r="AG146" i="1" s="1"/>
  <c r="N118" i="1"/>
  <c r="X118" i="1"/>
  <c r="AG118" i="1" s="1"/>
  <c r="X147" i="1"/>
  <c r="AG147" i="1" s="1"/>
  <c r="N147" i="1"/>
  <c r="N115" i="1"/>
  <c r="X115" i="1"/>
  <c r="AG115" i="1" s="1"/>
  <c r="N150" i="1"/>
  <c r="X150" i="1"/>
  <c r="AG150" i="1" s="1"/>
  <c r="X92" i="1"/>
  <c r="AG92" i="1" s="1"/>
  <c r="N92" i="1"/>
  <c r="N91" i="1"/>
  <c r="X91" i="1"/>
  <c r="AG91" i="1" s="1"/>
  <c r="X123" i="1"/>
  <c r="AG123" i="1" s="1"/>
  <c r="N123" i="1"/>
  <c r="X106" i="1"/>
  <c r="AG106" i="1" s="1"/>
  <c r="N106" i="1"/>
  <c r="N133" i="1"/>
  <c r="X133" i="1"/>
  <c r="AG133" i="1" s="1"/>
  <c r="N88" i="1"/>
  <c r="X88" i="1"/>
  <c r="AG88" i="1" s="1"/>
  <c r="N105" i="1"/>
  <c r="X105" i="1"/>
  <c r="AG105" i="1" s="1"/>
  <c r="X125" i="1"/>
  <c r="AG125" i="1" s="1"/>
  <c r="AA125" i="1"/>
  <c r="N125" i="1"/>
  <c r="N151" i="1"/>
  <c r="X151" i="1"/>
  <c r="AG151" i="1" s="1"/>
  <c r="N135" i="1"/>
  <c r="X135" i="1"/>
  <c r="AG135" i="1" s="1"/>
  <c r="N97" i="1"/>
  <c r="X97" i="1"/>
  <c r="AG97" i="1" s="1"/>
  <c r="X112" i="1"/>
  <c r="AG112" i="1" s="1"/>
  <c r="N112" i="1"/>
  <c r="N107" i="1"/>
  <c r="X107" i="1"/>
  <c r="AG107" i="1" s="1"/>
  <c r="N109" i="1"/>
  <c r="X109" i="1"/>
  <c r="AG109" i="1" s="1"/>
  <c r="N96" i="1"/>
  <c r="Q96" i="1" s="1"/>
  <c r="X96" i="1"/>
  <c r="AG96" i="1" s="1"/>
  <c r="N157" i="1"/>
  <c r="X157" i="1"/>
  <c r="AG157" i="1" s="1"/>
  <c r="P126" i="1"/>
  <c r="AA126" i="1" s="1"/>
  <c r="X126" i="1"/>
  <c r="AG126" i="1" s="1"/>
  <c r="N126" i="1"/>
  <c r="N111" i="1"/>
  <c r="X111" i="1"/>
  <c r="AG111" i="1" s="1"/>
  <c r="N110" i="1"/>
  <c r="X110" i="1"/>
  <c r="AG110" i="1" s="1"/>
  <c r="X95" i="1"/>
  <c r="AG95" i="1" s="1"/>
  <c r="N95" i="1"/>
  <c r="N138" i="1"/>
  <c r="X138" i="1"/>
  <c r="AG138" i="1" s="1"/>
  <c r="X99" i="1"/>
  <c r="AG99" i="1" s="1"/>
  <c r="N99" i="1"/>
  <c r="N137" i="1"/>
  <c r="X137" i="1"/>
  <c r="AG137" i="1" s="1"/>
  <c r="X139" i="1"/>
  <c r="AG139" i="1" s="1"/>
  <c r="N139" i="1"/>
  <c r="N155" i="1"/>
  <c r="X155" i="1"/>
  <c r="AG155" i="1" s="1"/>
  <c r="X122" i="1"/>
  <c r="AG122" i="1" s="1"/>
  <c r="N122" i="1"/>
  <c r="P122" i="1"/>
  <c r="AA122" i="1" s="1"/>
  <c r="AF127" i="58"/>
  <c r="AI127" i="58" s="1"/>
  <c r="AF21" i="58"/>
  <c r="AI21" i="58" s="1"/>
  <c r="AF130" i="58"/>
  <c r="AI130" i="58" s="1"/>
  <c r="AF121" i="58"/>
  <c r="AI121" i="58" s="1"/>
  <c r="AF122" i="58"/>
  <c r="AI122" i="58" s="1"/>
  <c r="AF123" i="58"/>
  <c r="AI123" i="58" s="1"/>
  <c r="AG130" i="58"/>
  <c r="AF53" i="58"/>
  <c r="AI53" i="58" s="1"/>
  <c r="AF124" i="58"/>
  <c r="AI124" i="58" s="1"/>
  <c r="AG138" i="58"/>
  <c r="AF176" i="58"/>
  <c r="AI176" i="58" s="1"/>
  <c r="AF19" i="58"/>
  <c r="AI19" i="58" s="1"/>
  <c r="AF11" i="58"/>
  <c r="AI11" i="58" s="1"/>
  <c r="AF131" i="58"/>
  <c r="AI131" i="58" s="1"/>
  <c r="AF137" i="58"/>
  <c r="AI137" i="58" s="1"/>
  <c r="AF85" i="58"/>
  <c r="AI85" i="58" s="1"/>
  <c r="AF23" i="58"/>
  <c r="AI23" i="58" s="1"/>
  <c r="AF117" i="58"/>
  <c r="AI117" i="58" s="1"/>
  <c r="AF118" i="58"/>
  <c r="AI118" i="58" s="1"/>
  <c r="AF119" i="58"/>
  <c r="AI119" i="58" s="1"/>
  <c r="AF112" i="58"/>
  <c r="AI112" i="58" s="1"/>
  <c r="AF115" i="58"/>
  <c r="AI115" i="58" s="1"/>
  <c r="AF134" i="58"/>
  <c r="AI134" i="58" s="1"/>
  <c r="AF138" i="58"/>
  <c r="AI138" i="58" s="1"/>
  <c r="AF57" i="58"/>
  <c r="AI57" i="58" s="1"/>
  <c r="AG134" i="58"/>
  <c r="AF111" i="58"/>
  <c r="AI111" i="58" s="1"/>
  <c r="AF113" i="58"/>
  <c r="AI113" i="58" s="1"/>
  <c r="AF114" i="58"/>
  <c r="AI114" i="58" s="1"/>
  <c r="AF116" i="58"/>
  <c r="AI116" i="58" s="1"/>
  <c r="AF128" i="58"/>
  <c r="AI128" i="58" s="1"/>
  <c r="AF126" i="58"/>
  <c r="AI126" i="58" s="1"/>
  <c r="AH123" i="58"/>
  <c r="AF136" i="58"/>
  <c r="AI136" i="58" s="1"/>
  <c r="AH125" i="58"/>
  <c r="AF32" i="58"/>
  <c r="AI32" i="58" s="1"/>
  <c r="AG131" i="58"/>
  <c r="AF132" i="58"/>
  <c r="AI132" i="58" s="1"/>
  <c r="AF133" i="58"/>
  <c r="AI133" i="58" s="1"/>
  <c r="AF135" i="58"/>
  <c r="AI135" i="58" s="1"/>
  <c r="AG136" i="58"/>
  <c r="AG132" i="58"/>
  <c r="AG133" i="58"/>
  <c r="AG135" i="58"/>
  <c r="AH126" i="58"/>
  <c r="AF125" i="58"/>
  <c r="AI125" i="58" s="1"/>
  <c r="AF129" i="58"/>
  <c r="AI129" i="58" s="1"/>
  <c r="AF41" i="58"/>
  <c r="AI41" i="58" s="1"/>
  <c r="AF120" i="58"/>
  <c r="AI120" i="58" s="1"/>
  <c r="AG137" i="58"/>
  <c r="AG231" i="58"/>
  <c r="AG230" i="58"/>
  <c r="AG182" i="58"/>
  <c r="AF218" i="58"/>
  <c r="AI218" i="58" s="1"/>
  <c r="AH209" i="58"/>
  <c r="AF181" i="58"/>
  <c r="AI181" i="58" s="1"/>
  <c r="AH211" i="58"/>
  <c r="AG179" i="58"/>
  <c r="AG212" i="58"/>
  <c r="AG160" i="58"/>
  <c r="AF212" i="58"/>
  <c r="AI212" i="58" s="1"/>
  <c r="AH237" i="58"/>
  <c r="AH190" i="58"/>
  <c r="AH227" i="58"/>
  <c r="AH200" i="58"/>
  <c r="AF154" i="58"/>
  <c r="AI154" i="58" s="1"/>
  <c r="AH205" i="58"/>
  <c r="AF175" i="58"/>
  <c r="AI175" i="58" s="1"/>
  <c r="AH176" i="58"/>
  <c r="AF148" i="58"/>
  <c r="AI148" i="58" s="1"/>
  <c r="AF146" i="58"/>
  <c r="AI146" i="58" s="1"/>
  <c r="AF177" i="58"/>
  <c r="AI177" i="58" s="1"/>
  <c r="AH64" i="58"/>
  <c r="AF225" i="58"/>
  <c r="AI225" i="58" s="1"/>
  <c r="AF84" i="58"/>
  <c r="AI84" i="58" s="1"/>
  <c r="AF40" i="58"/>
  <c r="AI40" i="58" s="1"/>
  <c r="AF27" i="58"/>
  <c r="AI27" i="58" s="1"/>
  <c r="AF16" i="58"/>
  <c r="AI16" i="58" s="1"/>
  <c r="AF26" i="58"/>
  <c r="AI26" i="58" s="1"/>
  <c r="AF158" i="58"/>
  <c r="AI158" i="58" s="1"/>
  <c r="AF45" i="58"/>
  <c r="AI45" i="58" s="1"/>
  <c r="AF183" i="58"/>
  <c r="AI183" i="58" s="1"/>
  <c r="AF152" i="58"/>
  <c r="AI152" i="58" s="1"/>
  <c r="AF174" i="58"/>
  <c r="AI174" i="58" s="1"/>
  <c r="AG227" i="58"/>
  <c r="AG226" i="58"/>
  <c r="AG178" i="58"/>
  <c r="AF214" i="58"/>
  <c r="AI214" i="58" s="1"/>
  <c r="AH208" i="58"/>
  <c r="AG180" i="58"/>
  <c r="AH210" i="58"/>
  <c r="AG173" i="58"/>
  <c r="AF211" i="58"/>
  <c r="AI211" i="58" s="1"/>
  <c r="AG150" i="58"/>
  <c r="AF193" i="58"/>
  <c r="AI193" i="58" s="1"/>
  <c r="AH225" i="58"/>
  <c r="AH189" i="58"/>
  <c r="AH226" i="58"/>
  <c r="AH199" i="58"/>
  <c r="AG141" i="58"/>
  <c r="AF185" i="58"/>
  <c r="AI185" i="58" s="1"/>
  <c r="AF166" i="58"/>
  <c r="AI166" i="58" s="1"/>
  <c r="AG156" i="58"/>
  <c r="AH236" i="58"/>
  <c r="AF110" i="58"/>
  <c r="AI110" i="58" s="1"/>
  <c r="AF92" i="58"/>
  <c r="AI92" i="58" s="1"/>
  <c r="AF237" i="58"/>
  <c r="AI237" i="58" s="1"/>
  <c r="AH202" i="58"/>
  <c r="AH74" i="58"/>
  <c r="AF28" i="58"/>
  <c r="AI28" i="58" s="1"/>
  <c r="AF17" i="58"/>
  <c r="AI17" i="58" s="1"/>
  <c r="AF232" i="58"/>
  <c r="AI232" i="58" s="1"/>
  <c r="AF15" i="58"/>
  <c r="AI15" i="58" s="1"/>
  <c r="AG139" i="58"/>
  <c r="AF34" i="58"/>
  <c r="AI34" i="58" s="1"/>
  <c r="AF55" i="58"/>
  <c r="AI55" i="58" s="1"/>
  <c r="AF22" i="58"/>
  <c r="AI22" i="58" s="1"/>
  <c r="AF98" i="58"/>
  <c r="AI98" i="58" s="1"/>
  <c r="AG223" i="58"/>
  <c r="AG222" i="58"/>
  <c r="AG174" i="58"/>
  <c r="AF210" i="58"/>
  <c r="AI210" i="58" s="1"/>
  <c r="AH207" i="58"/>
  <c r="AH179" i="58"/>
  <c r="AG209" i="58"/>
  <c r="AG161" i="58"/>
  <c r="AF209" i="58"/>
  <c r="AI209" i="58" s="1"/>
  <c r="AG144" i="58"/>
  <c r="AG192" i="58"/>
  <c r="AH224" i="58"/>
  <c r="AH177" i="58"/>
  <c r="AG225" i="58"/>
  <c r="AH198" i="58"/>
  <c r="AF105" i="58"/>
  <c r="AI105" i="58" s="1"/>
  <c r="AG175" i="58"/>
  <c r="AG155" i="58"/>
  <c r="AF155" i="58"/>
  <c r="AI155" i="58" s="1"/>
  <c r="AG233" i="58"/>
  <c r="AF106" i="58"/>
  <c r="AI106" i="58" s="1"/>
  <c r="AF80" i="58"/>
  <c r="AI80" i="58" s="1"/>
  <c r="AG184" i="58"/>
  <c r="AH70" i="58"/>
  <c r="AF18" i="58"/>
  <c r="AI18" i="58" s="1"/>
  <c r="AH204" i="58"/>
  <c r="AH181" i="58"/>
  <c r="AG181" i="58"/>
  <c r="AF100" i="58"/>
  <c r="AI100" i="58" s="1"/>
  <c r="AG154" i="58"/>
  <c r="AG219" i="58"/>
  <c r="AG218" i="58"/>
  <c r="AF169" i="58"/>
  <c r="AI169" i="58" s="1"/>
  <c r="AF206" i="58"/>
  <c r="AI206" i="58" s="1"/>
  <c r="AH206" i="58"/>
  <c r="AH173" i="58"/>
  <c r="AG208" i="58"/>
  <c r="AF151" i="58"/>
  <c r="AI151" i="58" s="1"/>
  <c r="AF208" i="58"/>
  <c r="AI208" i="58" s="1"/>
  <c r="AF235" i="58"/>
  <c r="AI235" i="58" s="1"/>
  <c r="AH191" i="58"/>
  <c r="AH223" i="58"/>
  <c r="AF171" i="58"/>
  <c r="AI171" i="58" s="1"/>
  <c r="AG224" i="58"/>
  <c r="AH197" i="58"/>
  <c r="AF240" i="58"/>
  <c r="AI240" i="58" s="1"/>
  <c r="AG166" i="58"/>
  <c r="AG152" i="58"/>
  <c r="AF199" i="58"/>
  <c r="AI199" i="58" s="1"/>
  <c r="AF94" i="58"/>
  <c r="AI94" i="58" s="1"/>
  <c r="AF65" i="58"/>
  <c r="AI65" i="58" s="1"/>
  <c r="AH184" i="58"/>
  <c r="AG197" i="58"/>
  <c r="AG188" i="58"/>
  <c r="AF165" i="58"/>
  <c r="AI165" i="58" s="1"/>
  <c r="AH69" i="58"/>
  <c r="AG228" i="58"/>
  <c r="AG207" i="58"/>
  <c r="AG190" i="58"/>
  <c r="AF194" i="58"/>
  <c r="AI194" i="58" s="1"/>
  <c r="AG196" i="58"/>
  <c r="AF204" i="58"/>
  <c r="AI204" i="58" s="1"/>
  <c r="AH214" i="58"/>
  <c r="AH219" i="58"/>
  <c r="AF144" i="58"/>
  <c r="AI144" i="58" s="1"/>
  <c r="AG158" i="58"/>
  <c r="AF239" i="58"/>
  <c r="AI239" i="58" s="1"/>
  <c r="AG185" i="58"/>
  <c r="AF189" i="58"/>
  <c r="AI189" i="58" s="1"/>
  <c r="AF229" i="58"/>
  <c r="AI229" i="58" s="1"/>
  <c r="AG187" i="58"/>
  <c r="AF107" i="58"/>
  <c r="AI107" i="58" s="1"/>
  <c r="AH68" i="58"/>
  <c r="AG164" i="58"/>
  <c r="AF51" i="58"/>
  <c r="AI51" i="58" s="1"/>
  <c r="AF93" i="58"/>
  <c r="AI93" i="58" s="1"/>
  <c r="AF25" i="58"/>
  <c r="AI25" i="58" s="1"/>
  <c r="AF30" i="58"/>
  <c r="AI30" i="58" s="1"/>
  <c r="AH63" i="58"/>
  <c r="AF109" i="58"/>
  <c r="AI109" i="58" s="1"/>
  <c r="AF62" i="58"/>
  <c r="AI62" i="58" s="1"/>
  <c r="AH75" i="58"/>
  <c r="AG165" i="58"/>
  <c r="AG203" i="58"/>
  <c r="AG186" i="58"/>
  <c r="AF190" i="58"/>
  <c r="AI190" i="58" s="1"/>
  <c r="AH195" i="58"/>
  <c r="AF196" i="58"/>
  <c r="AI196" i="58" s="1"/>
  <c r="AG213" i="58"/>
  <c r="AH218" i="58"/>
  <c r="AH240" i="58"/>
  <c r="AG149" i="58"/>
  <c r="AH201" i="58"/>
  <c r="AH175" i="58"/>
  <c r="AH180" i="58"/>
  <c r="AG200" i="58"/>
  <c r="AF164" i="58"/>
  <c r="AI164" i="58" s="1"/>
  <c r="AF103" i="58"/>
  <c r="AI103" i="58" s="1"/>
  <c r="AH230" i="58"/>
  <c r="AF153" i="58"/>
  <c r="AI153" i="58" s="1"/>
  <c r="AF39" i="58"/>
  <c r="AI39" i="58" s="1"/>
  <c r="AF76" i="58"/>
  <c r="AI76" i="58" s="1"/>
  <c r="AF14" i="58"/>
  <c r="AI14" i="58" s="1"/>
  <c r="AF20" i="58"/>
  <c r="AI20" i="58" s="1"/>
  <c r="AF241" i="58"/>
  <c r="AI241" i="58" s="1"/>
  <c r="AF157" i="58"/>
  <c r="AI157" i="58" s="1"/>
  <c r="AF182" i="58"/>
  <c r="AI182" i="58" s="1"/>
  <c r="AG151" i="58"/>
  <c r="AH194" i="58"/>
  <c r="AG193" i="58"/>
  <c r="AG216" i="58"/>
  <c r="AG221" i="58"/>
  <c r="AG237" i="58"/>
  <c r="AF228" i="58"/>
  <c r="AI228" i="58" s="1"/>
  <c r="AF141" i="58"/>
  <c r="AI141" i="58" s="1"/>
  <c r="AF142" i="58"/>
  <c r="AI142" i="58" s="1"/>
  <c r="AG183" i="58"/>
  <c r="AF74" i="58"/>
  <c r="AI74" i="58" s="1"/>
  <c r="AF79" i="58"/>
  <c r="AI79" i="58" s="1"/>
  <c r="AF101" i="58"/>
  <c r="AI101" i="58" s="1"/>
  <c r="AF81" i="58"/>
  <c r="AI81" i="58" s="1"/>
  <c r="AF108" i="58"/>
  <c r="AI108" i="58" s="1"/>
  <c r="AF61" i="58"/>
  <c r="AI61" i="58" s="1"/>
  <c r="AF29" i="58"/>
  <c r="AI29" i="58" s="1"/>
  <c r="AG236" i="58"/>
  <c r="AH238" i="58"/>
  <c r="AH241" i="58"/>
  <c r="AG145" i="58"/>
  <c r="AH193" i="58"/>
  <c r="AH192" i="58"/>
  <c r="AF215" i="58"/>
  <c r="AI215" i="58" s="1"/>
  <c r="AG220" i="58"/>
  <c r="AH229" i="58"/>
  <c r="AH203" i="58"/>
  <c r="AG176" i="58"/>
  <c r="AF70" i="58"/>
  <c r="AI70" i="58" s="1"/>
  <c r="AF73" i="58"/>
  <c r="AI73" i="58" s="1"/>
  <c r="AF89" i="58"/>
  <c r="AI89" i="58" s="1"/>
  <c r="AH71" i="58"/>
  <c r="AF95" i="58"/>
  <c r="AI95" i="58" s="1"/>
  <c r="AF49" i="58"/>
  <c r="AI49" i="58" s="1"/>
  <c r="AF35" i="58"/>
  <c r="AI35" i="58" s="1"/>
  <c r="AF10" i="58"/>
  <c r="AI10" i="58" s="1"/>
  <c r="AF83" i="58"/>
  <c r="AI83" i="58" s="1"/>
  <c r="AG234" i="58"/>
  <c r="AF236" i="58"/>
  <c r="AI236" i="58" s="1"/>
  <c r="AG238" i="58"/>
  <c r="AG241" i="58"/>
  <c r="AF180" i="58"/>
  <c r="AI180" i="58" s="1"/>
  <c r="AF179" i="58"/>
  <c r="AI179" i="58" s="1"/>
  <c r="AF213" i="58"/>
  <c r="AI213" i="58" s="1"/>
  <c r="AF219" i="58"/>
  <c r="AI219" i="58" s="1"/>
  <c r="AH228" i="58"/>
  <c r="AG201" i="58"/>
  <c r="AF104" i="58"/>
  <c r="AI104" i="58" s="1"/>
  <c r="AF156" i="58"/>
  <c r="AI156" i="58" s="1"/>
  <c r="AH65" i="58"/>
  <c r="AF69" i="58"/>
  <c r="AI69" i="58" s="1"/>
  <c r="AF77" i="58"/>
  <c r="AI77" i="58" s="1"/>
  <c r="AF52" i="58"/>
  <c r="AI52" i="58" s="1"/>
  <c r="AF72" i="58"/>
  <c r="AI72" i="58" s="1"/>
  <c r="AF37" i="58"/>
  <c r="AI37" i="58" s="1"/>
  <c r="AF13" i="58"/>
  <c r="AI13" i="58" s="1"/>
  <c r="AF43" i="58"/>
  <c r="AI43" i="58" s="1"/>
  <c r="AG214" i="58"/>
  <c r="AF234" i="58"/>
  <c r="AI234" i="58" s="1"/>
  <c r="AG205" i="58"/>
  <c r="AF238" i="58"/>
  <c r="AI238" i="58" s="1"/>
  <c r="AF145" i="58"/>
  <c r="AI145" i="58" s="1"/>
  <c r="AH178" i="58"/>
  <c r="AF178" i="58"/>
  <c r="AI178" i="58" s="1"/>
  <c r="AF217" i="58"/>
  <c r="AI217" i="58" s="1"/>
  <c r="AF223" i="58"/>
  <c r="AI223" i="58" s="1"/>
  <c r="AF188" i="58"/>
  <c r="AI188" i="58" s="1"/>
  <c r="AG163" i="58"/>
  <c r="AH239" i="58"/>
  <c r="AF184" i="58"/>
  <c r="AI184" i="58" s="1"/>
  <c r="AF187" i="58"/>
  <c r="AI187" i="58" s="1"/>
  <c r="AF168" i="58"/>
  <c r="AI168" i="58" s="1"/>
  <c r="AF64" i="58"/>
  <c r="AI64" i="58" s="1"/>
  <c r="AF99" i="58"/>
  <c r="AI99" i="58" s="1"/>
  <c r="AF71" i="58"/>
  <c r="AI71" i="58" s="1"/>
  <c r="AF149" i="58"/>
  <c r="AI149" i="58" s="1"/>
  <c r="AF31" i="58"/>
  <c r="AI31" i="58" s="1"/>
  <c r="AG210" i="58"/>
  <c r="AF230" i="58"/>
  <c r="AI230" i="58" s="1"/>
  <c r="AG204" i="58"/>
  <c r="AH235" i="58"/>
  <c r="AF139" i="58"/>
  <c r="AI139" i="58" s="1"/>
  <c r="AF173" i="58"/>
  <c r="AI173" i="58" s="1"/>
  <c r="AF172" i="58"/>
  <c r="AI172" i="58" s="1"/>
  <c r="AF216" i="58"/>
  <c r="AI216" i="58" s="1"/>
  <c r="AF221" i="58"/>
  <c r="AI221" i="58" s="1"/>
  <c r="AH185" i="58"/>
  <c r="AF147" i="58"/>
  <c r="AI147" i="58" s="1"/>
  <c r="AH232" i="58"/>
  <c r="AH174" i="58"/>
  <c r="AG177" i="58"/>
  <c r="AF140" i="58"/>
  <c r="AI140" i="58" s="1"/>
  <c r="AG167" i="58"/>
  <c r="AF86" i="58"/>
  <c r="AI86" i="58" s="1"/>
  <c r="AF87" i="58"/>
  <c r="AI87" i="58" s="1"/>
  <c r="AF88" i="58"/>
  <c r="AI88" i="58" s="1"/>
  <c r="AH67" i="58"/>
  <c r="AG206" i="58"/>
  <c r="AF226" i="58"/>
  <c r="AI226" i="58" s="1"/>
  <c r="AF203" i="58"/>
  <c r="AI203" i="58" s="1"/>
  <c r="AH213" i="58"/>
  <c r="AG235" i="58"/>
  <c r="AG172" i="58"/>
  <c r="AG171" i="58"/>
  <c r="AF192" i="58"/>
  <c r="AI192" i="58" s="1"/>
  <c r="AF220" i="58"/>
  <c r="AI220" i="58" s="1"/>
  <c r="AH182" i="58"/>
  <c r="AG142" i="58"/>
  <c r="AG229" i="58"/>
  <c r="AG169" i="58"/>
  <c r="AG157" i="58"/>
  <c r="AF102" i="58"/>
  <c r="AI102" i="58" s="1"/>
  <c r="AG153" i="58"/>
  <c r="AF50" i="58"/>
  <c r="AI50" i="58" s="1"/>
  <c r="AF60" i="58"/>
  <c r="AI60" i="58" s="1"/>
  <c r="AH73" i="58"/>
  <c r="AF44" i="58"/>
  <c r="AI44" i="58" s="1"/>
  <c r="AG239" i="58"/>
  <c r="AG202" i="58"/>
  <c r="AF222" i="58"/>
  <c r="AI222" i="58" s="1"/>
  <c r="AF201" i="58"/>
  <c r="AI201" i="58" s="1"/>
  <c r="AH212" i="58"/>
  <c r="AH217" i="58"/>
  <c r="AF161" i="58"/>
  <c r="AI161" i="58" s="1"/>
  <c r="AF160" i="58"/>
  <c r="AI160" i="58" s="1"/>
  <c r="AG191" i="58"/>
  <c r="AF191" i="58"/>
  <c r="AI191" i="58" s="1"/>
  <c r="AF170" i="58"/>
  <c r="AI170" i="58" s="1"/>
  <c r="AH183" i="58"/>
  <c r="AH233" i="58"/>
  <c r="AF90" i="58"/>
  <c r="AI90" i="58" s="1"/>
  <c r="AF96" i="58"/>
  <c r="AI96" i="58" s="1"/>
  <c r="AF68" i="58"/>
  <c r="AI68" i="58" s="1"/>
  <c r="AF38" i="58"/>
  <c r="AI38" i="58" s="1"/>
  <c r="AF48" i="58"/>
  <c r="AI48" i="58" s="1"/>
  <c r="AF58" i="58"/>
  <c r="AI58" i="58" s="1"/>
  <c r="AG162" i="58"/>
  <c r="AG215" i="58"/>
  <c r="AG198" i="58"/>
  <c r="AF202" i="58"/>
  <c r="AI202" i="58" s="1"/>
  <c r="AF200" i="58"/>
  <c r="AI200" i="58" s="1"/>
  <c r="AF207" i="58"/>
  <c r="AI207" i="58" s="1"/>
  <c r="AH216" i="58"/>
  <c r="AH221" i="58"/>
  <c r="AG159" i="58"/>
  <c r="AG170" i="58"/>
  <c r="AG189" i="58"/>
  <c r="AF231" i="58"/>
  <c r="AI231" i="58" s="1"/>
  <c r="AH234" i="58"/>
  <c r="AG199" i="58"/>
  <c r="AF163" i="58"/>
  <c r="AI163" i="58" s="1"/>
  <c r="AF186" i="58"/>
  <c r="AI186" i="58" s="1"/>
  <c r="AF162" i="58"/>
  <c r="AI162" i="58" s="1"/>
  <c r="AG195" i="58"/>
  <c r="AF195" i="58"/>
  <c r="AI195" i="58" s="1"/>
  <c r="AG217" i="58"/>
  <c r="AH222" i="58"/>
  <c r="AG240" i="58"/>
  <c r="AH231" i="58"/>
  <c r="AG147" i="58"/>
  <c r="AG143" i="58"/>
  <c r="AH186" i="58"/>
  <c r="AF82" i="58"/>
  <c r="AI82" i="58" s="1"/>
  <c r="AF91" i="58"/>
  <c r="AI91" i="58" s="1"/>
  <c r="AF227" i="58"/>
  <c r="AI227" i="58" s="1"/>
  <c r="AF143" i="58"/>
  <c r="AI143" i="58" s="1"/>
  <c r="AF75" i="58"/>
  <c r="AI75" i="58" s="1"/>
  <c r="AF59" i="58"/>
  <c r="AI59" i="58" s="1"/>
  <c r="AF24" i="58"/>
  <c r="AI24" i="58" s="1"/>
  <c r="AF46" i="58"/>
  <c r="AI46" i="58" s="1"/>
  <c r="AG211" i="58"/>
  <c r="AG148" i="58"/>
  <c r="AF33" i="58"/>
  <c r="AI33" i="58" s="1"/>
  <c r="AF197" i="58"/>
  <c r="AI197" i="58" s="1"/>
  <c r="AG194" i="58"/>
  <c r="AG232" i="58"/>
  <c r="AF97" i="58"/>
  <c r="AI97" i="58" s="1"/>
  <c r="AF56" i="58"/>
  <c r="AI56" i="58" s="1"/>
  <c r="AF198" i="58"/>
  <c r="AI198" i="58" s="1"/>
  <c r="AG146" i="58"/>
  <c r="AF47" i="58"/>
  <c r="AI47" i="58" s="1"/>
  <c r="AG140" i="58"/>
  <c r="AF36" i="58"/>
  <c r="AI36" i="58" s="1"/>
  <c r="AF205" i="58"/>
  <c r="AI205" i="58" s="1"/>
  <c r="AF233" i="58"/>
  <c r="AI233" i="58" s="1"/>
  <c r="AF54" i="58"/>
  <c r="AI54" i="58" s="1"/>
  <c r="AH215" i="58"/>
  <c r="AG168" i="58"/>
  <c r="AF42" i="58"/>
  <c r="AI42" i="58" s="1"/>
  <c r="AH220" i="58"/>
  <c r="AF78" i="58"/>
  <c r="AI78" i="58" s="1"/>
  <c r="AF150" i="58"/>
  <c r="AI150" i="58" s="1"/>
  <c r="AH72" i="58"/>
  <c r="AF159" i="58"/>
  <c r="AI159" i="58" s="1"/>
  <c r="AH187" i="58"/>
  <c r="AH188" i="58"/>
  <c r="AF167" i="58"/>
  <c r="AI167" i="58" s="1"/>
  <c r="AH196" i="58"/>
  <c r="AF67" i="58"/>
  <c r="AI67" i="58" s="1"/>
  <c r="AF224" i="58"/>
  <c r="AI224" i="58" s="1"/>
  <c r="AF63" i="58"/>
  <c r="AI63" i="58" s="1"/>
  <c r="AF12" i="58"/>
  <c r="AI12" i="58" s="1"/>
  <c r="AF66" i="58"/>
  <c r="AI66" i="58" s="1"/>
  <c r="N43" i="1"/>
  <c r="Y43" i="1" s="1"/>
  <c r="V23" i="1"/>
  <c r="V53" i="1"/>
  <c r="V75" i="1"/>
  <c r="V69" i="1"/>
  <c r="V60" i="1"/>
  <c r="V61" i="1"/>
  <c r="V59" i="1"/>
  <c r="V54" i="1"/>
  <c r="V68" i="1"/>
  <c r="V76" i="1"/>
  <c r="V73" i="1"/>
  <c r="V52" i="1"/>
  <c r="V58" i="1"/>
  <c r="V65" i="1"/>
  <c r="V80" i="1"/>
  <c r="V63" i="1"/>
  <c r="V78" i="1"/>
  <c r="V70" i="1"/>
  <c r="V55" i="1"/>
  <c r="V82" i="1"/>
  <c r="V72" i="1"/>
  <c r="V57" i="1"/>
  <c r="V50" i="1"/>
  <c r="V62" i="1"/>
  <c r="V77" i="1"/>
  <c r="V67" i="1"/>
  <c r="V71" i="1"/>
  <c r="V51" i="1"/>
  <c r="V56" i="1"/>
  <c r="V81" i="1"/>
  <c r="V66" i="1"/>
  <c r="V79" i="1"/>
  <c r="V64" i="1"/>
  <c r="V74" i="1"/>
  <c r="V27" i="1"/>
  <c r="X41" i="1"/>
  <c r="N41" i="1"/>
  <c r="N30" i="1"/>
  <c r="X38" i="1"/>
  <c r="N38" i="1"/>
  <c r="Y38" i="1" s="1"/>
  <c r="X39" i="1"/>
  <c r="N39" i="1"/>
  <c r="Y39" i="1" s="1"/>
  <c r="X40" i="1"/>
  <c r="N40" i="1"/>
  <c r="Y40" i="1" s="1"/>
  <c r="X32" i="1"/>
  <c r="N32" i="1"/>
  <c r="Y32" i="1" s="1"/>
  <c r="T31" i="1"/>
  <c r="T17" i="1"/>
  <c r="T12" i="1"/>
  <c r="T42" i="1"/>
  <c r="T14" i="1"/>
  <c r="T45" i="1"/>
  <c r="T33" i="1"/>
  <c r="T34" i="1"/>
  <c r="T13" i="1"/>
  <c r="T24" i="1"/>
  <c r="T46" i="1"/>
  <c r="T9" i="1"/>
  <c r="T10" i="1"/>
  <c r="T21" i="1"/>
  <c r="T35" i="1"/>
  <c r="T11" i="1"/>
  <c r="T22" i="1"/>
  <c r="T36" i="1"/>
  <c r="T23" i="1"/>
  <c r="T37" i="1"/>
  <c r="T25" i="1"/>
  <c r="T44" i="1"/>
  <c r="T15" i="1"/>
  <c r="T26" i="1"/>
  <c r="T16" i="1"/>
  <c r="T28" i="1"/>
  <c r="T47" i="1"/>
  <c r="T6" i="1"/>
  <c r="T18" i="1"/>
  <c r="T29" i="1"/>
  <c r="T48" i="1"/>
  <c r="T7" i="1"/>
  <c r="T19" i="1"/>
  <c r="T49" i="1"/>
  <c r="T8" i="1"/>
  <c r="X82" i="1"/>
  <c r="N82" i="1"/>
  <c r="Y82" i="1" s="1"/>
  <c r="N27" i="1"/>
  <c r="Y27" i="1" s="1"/>
  <c r="X80" i="1"/>
  <c r="N80" i="1"/>
  <c r="Y80" i="1" s="1"/>
  <c r="X77" i="1"/>
  <c r="N77" i="1"/>
  <c r="Y77" i="1" s="1"/>
  <c r="X81" i="1"/>
  <c r="N81" i="1"/>
  <c r="Y81" i="1" s="1"/>
  <c r="X79" i="1"/>
  <c r="N79" i="1"/>
  <c r="Y79" i="1" s="1"/>
  <c r="X78" i="1"/>
  <c r="N78" i="1"/>
  <c r="Y78" i="1" s="1"/>
  <c r="X67" i="1"/>
  <c r="N67" i="1"/>
  <c r="Y67" i="1" s="1"/>
  <c r="X65" i="1"/>
  <c r="N65" i="1"/>
  <c r="Y65" i="1" s="1"/>
  <c r="X66" i="1"/>
  <c r="N66" i="1"/>
  <c r="Y66" i="1" s="1"/>
  <c r="X64" i="1"/>
  <c r="N64" i="1"/>
  <c r="Y64" i="1" s="1"/>
  <c r="X62" i="1"/>
  <c r="N62" i="1"/>
  <c r="Y62" i="1" s="1"/>
  <c r="X63" i="1"/>
  <c r="N63" i="1"/>
  <c r="Y63" i="1" s="1"/>
  <c r="X60" i="1"/>
  <c r="N60" i="1"/>
  <c r="Y60" i="1" s="1"/>
  <c r="X61" i="1"/>
  <c r="N61" i="1"/>
  <c r="Y61" i="1" s="1"/>
  <c r="X76" i="1"/>
  <c r="N76" i="1"/>
  <c r="Y76" i="1" s="1"/>
  <c r="N75" i="1"/>
  <c r="Y75" i="1" s="1"/>
  <c r="X75" i="1"/>
  <c r="N57" i="1"/>
  <c r="Y57" i="1" s="1"/>
  <c r="X57" i="1"/>
  <c r="X59" i="1"/>
  <c r="N59" i="1"/>
  <c r="Y59" i="1" s="1"/>
  <c r="X52" i="1"/>
  <c r="N52" i="1"/>
  <c r="Y52" i="1" s="1"/>
  <c r="X73" i="1"/>
  <c r="N73" i="1"/>
  <c r="Y73" i="1" s="1"/>
  <c r="X54" i="1"/>
  <c r="N54" i="1"/>
  <c r="Y54" i="1" s="1"/>
  <c r="X72" i="1"/>
  <c r="N72" i="1"/>
  <c r="Y72" i="1" s="1"/>
  <c r="X56" i="1"/>
  <c r="N56" i="1"/>
  <c r="Y56" i="1" s="1"/>
  <c r="X74" i="1"/>
  <c r="N74" i="1"/>
  <c r="Y74" i="1" s="1"/>
  <c r="X55" i="1"/>
  <c r="N55" i="1"/>
  <c r="Y55" i="1" s="1"/>
  <c r="X53" i="1"/>
  <c r="N53" i="1"/>
  <c r="Y53" i="1" s="1"/>
  <c r="N50" i="1"/>
  <c r="Y50" i="1" s="1"/>
  <c r="X50" i="1"/>
  <c r="X58" i="1"/>
  <c r="N58" i="1"/>
  <c r="Y58" i="1" s="1"/>
  <c r="X68" i="1"/>
  <c r="N68" i="1"/>
  <c r="Y68" i="1" s="1"/>
  <c r="X69" i="1"/>
  <c r="N69" i="1"/>
  <c r="Y69" i="1" s="1"/>
  <c r="X51" i="1"/>
  <c r="N51" i="1"/>
  <c r="Y51" i="1" s="1"/>
  <c r="N71" i="1"/>
  <c r="Y71" i="1" s="1"/>
  <c r="X71" i="1"/>
  <c r="X70" i="1"/>
  <c r="N70" i="1"/>
  <c r="Y70" i="1" s="1"/>
  <c r="D26" i="48"/>
  <c r="M49" i="1"/>
  <c r="P49" i="1" s="1"/>
  <c r="G49" i="1"/>
  <c r="C49" i="1"/>
  <c r="M48" i="1"/>
  <c r="P48" i="1" s="1"/>
  <c r="G48" i="1"/>
  <c r="C48" i="1"/>
  <c r="G47" i="1"/>
  <c r="C47" i="1"/>
  <c r="M46" i="1"/>
  <c r="P46" i="1" s="1"/>
  <c r="G46" i="1"/>
  <c r="C46" i="1"/>
  <c r="G45" i="1"/>
  <c r="C45" i="1"/>
  <c r="M44" i="1"/>
  <c r="P44" i="1" s="1"/>
  <c r="G44" i="1"/>
  <c r="C44" i="1"/>
  <c r="M42" i="1"/>
  <c r="P42" i="1" s="1"/>
  <c r="G42" i="1"/>
  <c r="C42" i="1"/>
  <c r="M37" i="1"/>
  <c r="G37" i="1"/>
  <c r="C37" i="1"/>
  <c r="G36" i="1"/>
  <c r="C36" i="1"/>
  <c r="M35" i="1"/>
  <c r="G35" i="1"/>
  <c r="C35" i="1"/>
  <c r="M34" i="1"/>
  <c r="G34" i="1"/>
  <c r="C34" i="1"/>
  <c r="W33" i="1"/>
  <c r="G33" i="1"/>
  <c r="C33" i="1"/>
  <c r="G31" i="1"/>
  <c r="C31" i="1"/>
  <c r="M29" i="1"/>
  <c r="G29" i="1"/>
  <c r="C29" i="1"/>
  <c r="W28" i="1"/>
  <c r="G28" i="1"/>
  <c r="C28" i="1"/>
  <c r="G26" i="1"/>
  <c r="C26" i="1"/>
  <c r="M25" i="1"/>
  <c r="G25" i="1"/>
  <c r="C25" i="1"/>
  <c r="G24" i="1"/>
  <c r="C24" i="1"/>
  <c r="M23" i="1"/>
  <c r="N23" i="1" s="1"/>
  <c r="Y23" i="1" s="1"/>
  <c r="G23" i="1"/>
  <c r="C23" i="1"/>
  <c r="M22" i="1"/>
  <c r="G22" i="1"/>
  <c r="C22" i="1"/>
  <c r="M21" i="1"/>
  <c r="G21" i="1"/>
  <c r="C21" i="1"/>
  <c r="M20" i="1"/>
  <c r="G20" i="1"/>
  <c r="C20" i="1"/>
  <c r="G19" i="1"/>
  <c r="C19" i="1"/>
  <c r="M18" i="1"/>
  <c r="X18" i="1" s="1"/>
  <c r="G18" i="1"/>
  <c r="C18" i="1"/>
  <c r="M17" i="1"/>
  <c r="G17" i="1"/>
  <c r="C17" i="1"/>
  <c r="M16" i="1"/>
  <c r="C16" i="1"/>
  <c r="G15" i="1"/>
  <c r="C15" i="1"/>
  <c r="M14" i="1"/>
  <c r="G14" i="1"/>
  <c r="C14" i="1"/>
  <c r="G13" i="1"/>
  <c r="C13" i="1"/>
  <c r="M12" i="1"/>
  <c r="G12" i="1"/>
  <c r="C12" i="1"/>
  <c r="M11" i="1"/>
  <c r="G11" i="1"/>
  <c r="C11" i="1"/>
  <c r="G10" i="1"/>
  <c r="C10" i="1"/>
  <c r="M9" i="1"/>
  <c r="G9" i="1"/>
  <c r="C9" i="1"/>
  <c r="M8" i="1"/>
  <c r="G8" i="1"/>
  <c r="C8" i="1"/>
  <c r="G7" i="1"/>
  <c r="C7" i="1"/>
  <c r="M6" i="1"/>
  <c r="G6" i="1"/>
  <c r="C6" i="1"/>
  <c r="M5" i="1"/>
  <c r="N5" i="1" s="1"/>
  <c r="J5" i="1"/>
  <c r="T5" i="1" s="1"/>
  <c r="G5" i="1"/>
  <c r="C5" i="1"/>
  <c r="Y138" i="1" l="1"/>
  <c r="AH138" i="1" s="1"/>
  <c r="Y107" i="1"/>
  <c r="AH107" i="1" s="1"/>
  <c r="Y135" i="1"/>
  <c r="AH135" i="1" s="1"/>
  <c r="Y91" i="1"/>
  <c r="AH91" i="1" s="1"/>
  <c r="Y152" i="1"/>
  <c r="AH152" i="1" s="1"/>
  <c r="Y130" i="1"/>
  <c r="AH130" i="1" s="1"/>
  <c r="Y85" i="1"/>
  <c r="AH85" i="1" s="1"/>
  <c r="Y139" i="1"/>
  <c r="AH139" i="1" s="1"/>
  <c r="Y103" i="1"/>
  <c r="AH103" i="1" s="1"/>
  <c r="Y133" i="1"/>
  <c r="AH133" i="1" s="1"/>
  <c r="Y118" i="1"/>
  <c r="AH118" i="1" s="1"/>
  <c r="Y114" i="1"/>
  <c r="AH114" i="1" s="1"/>
  <c r="Y121" i="1"/>
  <c r="AH121" i="1" s="1"/>
  <c r="Y93" i="1"/>
  <c r="AH93" i="1" s="1"/>
  <c r="Y144" i="1"/>
  <c r="AH144" i="1" s="1"/>
  <c r="Y129" i="1"/>
  <c r="AH129" i="1" s="1"/>
  <c r="Q129" i="1"/>
  <c r="AB129" i="1" s="1"/>
  <c r="AI129" i="1" s="1"/>
  <c r="Y102" i="1"/>
  <c r="AH102" i="1" s="1"/>
  <c r="Y141" i="1"/>
  <c r="AH141" i="1" s="1"/>
  <c r="Y112" i="1"/>
  <c r="AH112" i="1" s="1"/>
  <c r="Y106" i="1"/>
  <c r="AH106" i="1" s="1"/>
  <c r="Y98" i="1"/>
  <c r="AH98" i="1" s="1"/>
  <c r="Y137" i="1"/>
  <c r="AH137" i="1" s="1"/>
  <c r="Y110" i="1"/>
  <c r="AH110" i="1" s="1"/>
  <c r="Y96" i="1"/>
  <c r="AH96" i="1" s="1"/>
  <c r="Y150" i="1"/>
  <c r="AH150" i="1" s="1"/>
  <c r="Y146" i="1"/>
  <c r="AH146" i="1" s="1"/>
  <c r="Y124" i="1"/>
  <c r="AH124" i="1" s="1"/>
  <c r="Q124" i="1"/>
  <c r="AB124" i="1" s="1"/>
  <c r="AI124" i="1" s="1"/>
  <c r="Y136" i="1"/>
  <c r="AH136" i="1" s="1"/>
  <c r="Y123" i="1"/>
  <c r="AH123" i="1" s="1"/>
  <c r="Y131" i="1"/>
  <c r="AH131" i="1" s="1"/>
  <c r="Y117" i="1"/>
  <c r="AH117" i="1" s="1"/>
  <c r="Y88" i="1"/>
  <c r="AH88" i="1" s="1"/>
  <c r="Y116" i="1"/>
  <c r="AH116" i="1" s="1"/>
  <c r="Y95" i="1"/>
  <c r="AH95" i="1" s="1"/>
  <c r="Y108" i="1"/>
  <c r="AH108" i="1" s="1"/>
  <c r="Y151" i="1"/>
  <c r="AH151" i="1" s="1"/>
  <c r="Y140" i="1"/>
  <c r="AH140" i="1" s="1"/>
  <c r="Y132" i="1"/>
  <c r="AH132" i="1" s="1"/>
  <c r="Q125" i="1"/>
  <c r="AB125" i="1" s="1"/>
  <c r="AI125" i="1" s="1"/>
  <c r="Y125" i="1"/>
  <c r="AH125" i="1" s="1"/>
  <c r="Y89" i="1"/>
  <c r="AH89" i="1" s="1"/>
  <c r="Y154" i="1"/>
  <c r="AH154" i="1" s="1"/>
  <c r="Y101" i="1"/>
  <c r="AH101" i="1" s="1"/>
  <c r="Y145" i="1"/>
  <c r="AH145" i="1" s="1"/>
  <c r="Y113" i="1"/>
  <c r="AH113" i="1" s="1"/>
  <c r="Y111" i="1"/>
  <c r="AH111" i="1" s="1"/>
  <c r="Y97" i="1"/>
  <c r="AH97" i="1" s="1"/>
  <c r="Y149" i="1"/>
  <c r="AH149" i="1" s="1"/>
  <c r="Y94" i="1"/>
  <c r="AH94" i="1" s="1"/>
  <c r="Y134" i="1"/>
  <c r="AH134" i="1" s="1"/>
  <c r="Q126" i="1"/>
  <c r="AB126" i="1" s="1"/>
  <c r="AI126" i="1" s="1"/>
  <c r="Y126" i="1"/>
  <c r="AH126" i="1" s="1"/>
  <c r="Y153" i="1"/>
  <c r="AH153" i="1" s="1"/>
  <c r="Y86" i="1"/>
  <c r="AH86" i="1" s="1"/>
  <c r="Y127" i="1"/>
  <c r="AH127" i="1" s="1"/>
  <c r="Q127" i="1"/>
  <c r="AB127" i="1" s="1"/>
  <c r="AI127" i="1" s="1"/>
  <c r="Y87" i="1"/>
  <c r="AH87" i="1" s="1"/>
  <c r="Y100" i="1"/>
  <c r="AH100" i="1" s="1"/>
  <c r="Y92" i="1"/>
  <c r="AH92" i="1" s="1"/>
  <c r="Y157" i="1"/>
  <c r="AH157" i="1" s="1"/>
  <c r="Y119" i="1"/>
  <c r="AH119" i="1" s="1"/>
  <c r="Y99" i="1"/>
  <c r="AH99" i="1" s="1"/>
  <c r="Y84" i="1"/>
  <c r="AH84" i="1" s="1"/>
  <c r="Y122" i="1"/>
  <c r="AH122" i="1" s="1"/>
  <c r="Q122" i="1"/>
  <c r="AB122" i="1" s="1"/>
  <c r="AI122" i="1" s="1"/>
  <c r="Y109" i="1"/>
  <c r="AH109" i="1" s="1"/>
  <c r="Y105" i="1"/>
  <c r="AH105" i="1" s="1"/>
  <c r="Y115" i="1"/>
  <c r="AH115" i="1" s="1"/>
  <c r="Y142" i="1"/>
  <c r="AH142" i="1" s="1"/>
  <c r="Y90" i="1"/>
  <c r="AH90" i="1" s="1"/>
  <c r="Y143" i="1"/>
  <c r="AH143" i="1" s="1"/>
  <c r="Y155" i="1"/>
  <c r="AH155" i="1" s="1"/>
  <c r="Y147" i="1"/>
  <c r="AH147" i="1" s="1"/>
  <c r="Y148" i="1"/>
  <c r="AH148" i="1" s="1"/>
  <c r="Y156" i="1"/>
  <c r="AH156" i="1" s="1"/>
  <c r="Q128" i="1"/>
  <c r="AB128" i="1" s="1"/>
  <c r="AI128" i="1" s="1"/>
  <c r="Y128" i="1"/>
  <c r="AH128" i="1" s="1"/>
  <c r="Y104" i="1"/>
  <c r="AH104" i="1" s="1"/>
  <c r="Y5" i="1"/>
  <c r="V5" i="1"/>
  <c r="Y41" i="1"/>
  <c r="Y30" i="1"/>
  <c r="T83" i="1"/>
  <c r="U83" i="1" s="1"/>
  <c r="W18" i="1"/>
  <c r="W42" i="1"/>
  <c r="W44" i="1"/>
  <c r="X34" i="1"/>
  <c r="W13" i="1"/>
  <c r="M33" i="1"/>
  <c r="X44" i="1"/>
  <c r="W49" i="1"/>
  <c r="X6" i="1"/>
  <c r="W47" i="1"/>
  <c r="W17" i="1"/>
  <c r="W21" i="1"/>
  <c r="X21" i="1"/>
  <c r="W34" i="1"/>
  <c r="W31" i="1"/>
  <c r="W19" i="1"/>
  <c r="X48" i="1"/>
  <c r="W36" i="1"/>
  <c r="W26" i="1"/>
  <c r="W45" i="1"/>
  <c r="W8" i="1"/>
  <c r="W5" i="1"/>
  <c r="W15" i="1"/>
  <c r="W14" i="1"/>
  <c r="X46" i="1"/>
  <c r="W46" i="1"/>
  <c r="M45" i="1"/>
  <c r="P45" i="1" s="1"/>
  <c r="W48" i="1"/>
  <c r="M36" i="1"/>
  <c r="X36" i="1" s="1"/>
  <c r="W25" i="1"/>
  <c r="M26" i="1"/>
  <c r="X26" i="1" s="1"/>
  <c r="X16" i="1"/>
  <c r="W16" i="1"/>
  <c r="M15" i="1"/>
  <c r="X15" i="1" s="1"/>
  <c r="W11" i="1"/>
  <c r="X5" i="1"/>
  <c r="W10" i="1"/>
  <c r="M10" i="1"/>
  <c r="X8" i="1"/>
  <c r="W7" i="1"/>
  <c r="M7" i="1"/>
  <c r="X49" i="1"/>
  <c r="X14" i="1"/>
  <c r="X12" i="1"/>
  <c r="X17" i="1"/>
  <c r="X42" i="1"/>
  <c r="X11" i="1"/>
  <c r="X22" i="1"/>
  <c r="X9" i="1"/>
  <c r="W20" i="1"/>
  <c r="W23" i="1"/>
  <c r="M28" i="1"/>
  <c r="M47" i="1"/>
  <c r="P47" i="1" s="1"/>
  <c r="X20" i="1"/>
  <c r="X23" i="1"/>
  <c r="W29" i="1"/>
  <c r="X25" i="1"/>
  <c r="M31" i="1"/>
  <c r="W6" i="1"/>
  <c r="W9" i="1"/>
  <c r="W12" i="1"/>
  <c r="M19" i="1"/>
  <c r="W24" i="1"/>
  <c r="W35" i="1"/>
  <c r="M13" i="1"/>
  <c r="W37" i="1"/>
  <c r="M24" i="1"/>
  <c r="X29" i="1"/>
  <c r="W22" i="1"/>
  <c r="X35" i="1"/>
  <c r="X37" i="1"/>
  <c r="B34" i="48"/>
  <c r="B33" i="29" s="1"/>
  <c r="L217" i="1"/>
  <c r="M217" i="1" s="1"/>
  <c r="J217" i="1"/>
  <c r="G217" i="1"/>
  <c r="M216" i="1"/>
  <c r="J216" i="1"/>
  <c r="G216" i="1"/>
  <c r="J215" i="1"/>
  <c r="G215" i="1"/>
  <c r="J214" i="1"/>
  <c r="G214" i="1"/>
  <c r="M213" i="1"/>
  <c r="J213" i="1"/>
  <c r="G213" i="1"/>
  <c r="M212" i="1"/>
  <c r="J212" i="1"/>
  <c r="G212" i="1"/>
  <c r="M211" i="1"/>
  <c r="J211" i="1"/>
  <c r="G211" i="1"/>
  <c r="J210" i="1"/>
  <c r="G210" i="1"/>
  <c r="M209" i="1"/>
  <c r="J209" i="1"/>
  <c r="G209" i="1"/>
  <c r="M208" i="1"/>
  <c r="J208" i="1"/>
  <c r="G208" i="1"/>
  <c r="M207" i="1"/>
  <c r="J207" i="1"/>
  <c r="G207" i="1"/>
  <c r="M206" i="1"/>
  <c r="J206" i="1"/>
  <c r="G206" i="1"/>
  <c r="M205" i="1"/>
  <c r="J205" i="1"/>
  <c r="G205" i="1"/>
  <c r="M204" i="1"/>
  <c r="J204" i="1"/>
  <c r="G204" i="1"/>
  <c r="M203" i="1"/>
  <c r="J203" i="1"/>
  <c r="G203" i="1"/>
  <c r="M202" i="1"/>
  <c r="J202" i="1"/>
  <c r="G202" i="1"/>
  <c r="M201" i="1"/>
  <c r="J201" i="1"/>
  <c r="G201" i="1"/>
  <c r="J200" i="1"/>
  <c r="G200" i="1"/>
  <c r="J199" i="1"/>
  <c r="G199" i="1"/>
  <c r="M198" i="1"/>
  <c r="J198" i="1"/>
  <c r="G198" i="1"/>
  <c r="J197" i="1"/>
  <c r="G197" i="1"/>
  <c r="M196" i="1"/>
  <c r="J196" i="1"/>
  <c r="G196" i="1"/>
  <c r="J195" i="1"/>
  <c r="G195" i="1"/>
  <c r="M194" i="1"/>
  <c r="J194" i="1"/>
  <c r="G194" i="1"/>
  <c r="J193" i="1"/>
  <c r="G193" i="1"/>
  <c r="M192" i="1"/>
  <c r="J192" i="1"/>
  <c r="G192" i="1"/>
  <c r="M191" i="1"/>
  <c r="J191" i="1"/>
  <c r="G191" i="1"/>
  <c r="M190" i="1"/>
  <c r="J190" i="1"/>
  <c r="G190" i="1"/>
  <c r="J189" i="1"/>
  <c r="G189" i="1"/>
  <c r="J188" i="1"/>
  <c r="G188" i="1"/>
  <c r="J187" i="1"/>
  <c r="G187" i="1"/>
  <c r="J186" i="1"/>
  <c r="G186" i="1"/>
  <c r="M185" i="1"/>
  <c r="J185" i="1"/>
  <c r="G185" i="1"/>
  <c r="J184" i="1"/>
  <c r="G184" i="1"/>
  <c r="J183" i="1"/>
  <c r="G183" i="1"/>
  <c r="M182" i="1"/>
  <c r="J182" i="1"/>
  <c r="G182" i="1"/>
  <c r="J181" i="1"/>
  <c r="G181" i="1"/>
  <c r="M180" i="1"/>
  <c r="J180" i="1"/>
  <c r="G180" i="1"/>
  <c r="J179" i="1"/>
  <c r="G179" i="1"/>
  <c r="J178" i="1"/>
  <c r="G178" i="1"/>
  <c r="M177" i="1"/>
  <c r="J177" i="1"/>
  <c r="G177" i="1"/>
  <c r="M176" i="1"/>
  <c r="J176" i="1"/>
  <c r="G176" i="1"/>
  <c r="J175" i="1"/>
  <c r="G175" i="1"/>
  <c r="M174" i="1"/>
  <c r="J174" i="1"/>
  <c r="G174" i="1"/>
  <c r="M173" i="1"/>
  <c r="J173" i="1"/>
  <c r="G173" i="1"/>
  <c r="M172" i="1"/>
  <c r="J172" i="1"/>
  <c r="G172" i="1"/>
  <c r="M171" i="1"/>
  <c r="J171" i="1"/>
  <c r="G171" i="1"/>
  <c r="M170" i="1"/>
  <c r="J170" i="1"/>
  <c r="G170" i="1"/>
  <c r="J169" i="1"/>
  <c r="G169" i="1"/>
  <c r="J168" i="1"/>
  <c r="G168" i="1"/>
  <c r="J167" i="1"/>
  <c r="G167" i="1"/>
  <c r="J166" i="1"/>
  <c r="G166" i="1"/>
  <c r="M165" i="1"/>
  <c r="J165" i="1"/>
  <c r="G165" i="1"/>
  <c r="J164" i="1"/>
  <c r="G164" i="1"/>
  <c r="M163" i="1"/>
  <c r="J163" i="1"/>
  <c r="G163" i="1"/>
  <c r="J162" i="1"/>
  <c r="G162" i="1"/>
  <c r="M161" i="1"/>
  <c r="J161" i="1"/>
  <c r="G161" i="1"/>
  <c r="J160" i="1"/>
  <c r="G160" i="1"/>
  <c r="J159" i="1"/>
  <c r="M158" i="1"/>
  <c r="J158" i="1"/>
  <c r="G158" i="1"/>
  <c r="K48" i="1"/>
  <c r="K49" i="1"/>
  <c r="K47" i="1"/>
  <c r="K46" i="1"/>
  <c r="K45" i="1"/>
  <c r="K44" i="1"/>
  <c r="K37" i="1"/>
  <c r="K34" i="1"/>
  <c r="K16" i="3"/>
  <c r="N34" i="1" l="1"/>
  <c r="Y34" i="1" s="1"/>
  <c r="V34" i="1"/>
  <c r="N37" i="1"/>
  <c r="Y37" i="1" s="1"/>
  <c r="V37" i="1"/>
  <c r="O44" i="1"/>
  <c r="V44" i="1"/>
  <c r="O45" i="1"/>
  <c r="V45" i="1"/>
  <c r="O46" i="1"/>
  <c r="V46" i="1"/>
  <c r="O47" i="1"/>
  <c r="V47" i="1"/>
  <c r="O49" i="1"/>
  <c r="V49" i="1"/>
  <c r="O48" i="1"/>
  <c r="V48" i="1"/>
  <c r="X45" i="1"/>
  <c r="N46" i="1"/>
  <c r="Y46" i="1" s="1"/>
  <c r="N49" i="1"/>
  <c r="Y49" i="1" s="1"/>
  <c r="N44" i="1"/>
  <c r="Y44" i="1" s="1"/>
  <c r="N45" i="1"/>
  <c r="Y45" i="1" s="1"/>
  <c r="N48" i="1"/>
  <c r="Y48" i="1" s="1"/>
  <c r="N47" i="1"/>
  <c r="Y47" i="1" s="1"/>
  <c r="H2" i="29"/>
  <c r="H2" i="48" s="1"/>
  <c r="K2" i="3"/>
  <c r="K17" i="3"/>
  <c r="K3" i="3" s="1"/>
  <c r="K35" i="1"/>
  <c r="K42" i="1"/>
  <c r="X176" i="1"/>
  <c r="W169" i="1"/>
  <c r="W181" i="1"/>
  <c r="V193" i="1"/>
  <c r="W193" i="1"/>
  <c r="X33" i="1"/>
  <c r="V168" i="1"/>
  <c r="V180" i="1"/>
  <c r="V192" i="1"/>
  <c r="V204" i="1"/>
  <c r="V216" i="1"/>
  <c r="V161" i="1"/>
  <c r="V173" i="1"/>
  <c r="V185" i="1"/>
  <c r="V209" i="1"/>
  <c r="W160" i="1"/>
  <c r="V177" i="1"/>
  <c r="V183" i="1"/>
  <c r="X208" i="1"/>
  <c r="X213" i="1"/>
  <c r="W200" i="1"/>
  <c r="V191" i="1"/>
  <c r="V215" i="1"/>
  <c r="V172" i="1"/>
  <c r="V184" i="1"/>
  <c r="V208" i="1"/>
  <c r="V162" i="1"/>
  <c r="X24" i="1"/>
  <c r="X158" i="1"/>
  <c r="V163" i="1"/>
  <c r="V175" i="1"/>
  <c r="V187" i="1"/>
  <c r="X194" i="1"/>
  <c r="V199" i="1"/>
  <c r="X206" i="1"/>
  <c r="V211" i="1"/>
  <c r="X19" i="1"/>
  <c r="X28" i="1"/>
  <c r="W187" i="1"/>
  <c r="X47" i="1"/>
  <c r="X10" i="1"/>
  <c r="X13" i="1"/>
  <c r="X31" i="1"/>
  <c r="W178" i="1"/>
  <c r="X190" i="1"/>
  <c r="V186" i="1"/>
  <c r="V198" i="1"/>
  <c r="V210" i="1"/>
  <c r="X7" i="1"/>
  <c r="V196" i="1"/>
  <c r="W196" i="1"/>
  <c r="W211" i="1"/>
  <c r="X192" i="1"/>
  <c r="W192" i="1"/>
  <c r="V167" i="1"/>
  <c r="W213" i="1"/>
  <c r="W194" i="1"/>
  <c r="X185" i="1"/>
  <c r="V188" i="1"/>
  <c r="W202" i="1"/>
  <c r="W209" i="1"/>
  <c r="M169" i="1"/>
  <c r="V169" i="1"/>
  <c r="V176" i="1"/>
  <c r="W190" i="1"/>
  <c r="X209" i="1"/>
  <c r="M181" i="1"/>
  <c r="X165" i="1"/>
  <c r="V165" i="1"/>
  <c r="W165" i="1"/>
  <c r="V205" i="1"/>
  <c r="W205" i="1"/>
  <c r="W174" i="1"/>
  <c r="X211" i="1"/>
  <c r="X177" i="1"/>
  <c r="N203" i="1"/>
  <c r="Y203" i="1" s="1"/>
  <c r="W203" i="1"/>
  <c r="W198" i="1"/>
  <c r="X203" i="1"/>
  <c r="W163" i="1"/>
  <c r="W185" i="1"/>
  <c r="V194" i="1"/>
  <c r="X198" i="1"/>
  <c r="X161" i="1"/>
  <c r="V203" i="1"/>
  <c r="W180" i="1"/>
  <c r="W212" i="1"/>
  <c r="W170" i="1"/>
  <c r="V166" i="1"/>
  <c r="W207" i="1"/>
  <c r="W191" i="1"/>
  <c r="M193" i="1"/>
  <c r="X193" i="1" s="1"/>
  <c r="M168" i="1"/>
  <c r="N168" i="1" s="1"/>
  <c r="W168" i="1"/>
  <c r="M175" i="1"/>
  <c r="N175" i="1" s="1"/>
  <c r="W175" i="1"/>
  <c r="V159" i="1"/>
  <c r="V206" i="1"/>
  <c r="W208" i="1"/>
  <c r="M188" i="1"/>
  <c r="X188" i="1" s="1"/>
  <c r="W188" i="1"/>
  <c r="V202" i="1"/>
  <c r="M159" i="1"/>
  <c r="W159" i="1"/>
  <c r="M166" i="1"/>
  <c r="W166" i="1"/>
  <c r="M210" i="1"/>
  <c r="W210" i="1"/>
  <c r="V195" i="1"/>
  <c r="M195" i="1"/>
  <c r="N195" i="1" s="1"/>
  <c r="Y195" i="1" s="1"/>
  <c r="W195" i="1"/>
  <c r="W173" i="1"/>
  <c r="X191" i="1"/>
  <c r="M186" i="1"/>
  <c r="N186" i="1" s="1"/>
  <c r="W186" i="1"/>
  <c r="V200" i="1"/>
  <c r="X173" i="1"/>
  <c r="V170" i="1"/>
  <c r="V164" i="1"/>
  <c r="W201" i="1"/>
  <c r="X163" i="1"/>
  <c r="M200" i="1"/>
  <c r="N200" i="1" s="1"/>
  <c r="W177" i="1"/>
  <c r="W182" i="1"/>
  <c r="M178" i="1"/>
  <c r="X178" i="1" s="1"/>
  <c r="X182" i="1"/>
  <c r="V213" i="1"/>
  <c r="W206" i="1"/>
  <c r="V171" i="1"/>
  <c r="W161" i="1"/>
  <c r="W171" i="1"/>
  <c r="V214" i="1"/>
  <c r="N201" i="1"/>
  <c r="Y201" i="1" s="1"/>
  <c r="W199" i="1"/>
  <c r="M199" i="1"/>
  <c r="N199" i="1" s="1"/>
  <c r="M184" i="1"/>
  <c r="X184" i="1" s="1"/>
  <c r="W184" i="1"/>
  <c r="M164" i="1"/>
  <c r="W164" i="1"/>
  <c r="V201" i="1"/>
  <c r="V178" i="1"/>
  <c r="V189" i="1"/>
  <c r="V160" i="1"/>
  <c r="X180" i="1"/>
  <c r="X196" i="1"/>
  <c r="M214" i="1"/>
  <c r="X214" i="1" s="1"/>
  <c r="W214" i="1"/>
  <c r="W216" i="1"/>
  <c r="X204" i="1"/>
  <c r="X207" i="1"/>
  <c r="M189" i="1"/>
  <c r="X189" i="1" s="1"/>
  <c r="W189" i="1"/>
  <c r="V158" i="1"/>
  <c r="V217" i="1"/>
  <c r="M167" i="1"/>
  <c r="N167" i="1" s="1"/>
  <c r="W167" i="1"/>
  <c r="M187" i="1"/>
  <c r="W158" i="1"/>
  <c r="W204" i="1"/>
  <c r="W217" i="1"/>
  <c r="N177" i="1"/>
  <c r="Y177" i="1" s="1"/>
  <c r="X201" i="1"/>
  <c r="N165" i="1"/>
  <c r="Y165" i="1" s="1"/>
  <c r="V197" i="1"/>
  <c r="N176" i="1"/>
  <c r="Y176" i="1" s="1"/>
  <c r="N202" i="1"/>
  <c r="Y202" i="1" s="1"/>
  <c r="X202" i="1"/>
  <c r="V181" i="1"/>
  <c r="W183" i="1"/>
  <c r="M183" i="1"/>
  <c r="N183" i="1" s="1"/>
  <c r="W197" i="1"/>
  <c r="M197" i="1"/>
  <c r="N197" i="1" s="1"/>
  <c r="M179" i="1"/>
  <c r="W179" i="1"/>
  <c r="X205" i="1"/>
  <c r="X171" i="1"/>
  <c r="X217" i="1"/>
  <c r="V179" i="1"/>
  <c r="W176" i="1"/>
  <c r="X170" i="1"/>
  <c r="W172" i="1"/>
  <c r="N190" i="1"/>
  <c r="Y190" i="1" s="1"/>
  <c r="M215" i="1"/>
  <c r="W215" i="1"/>
  <c r="V190" i="1"/>
  <c r="N212" i="1"/>
  <c r="X212" i="1"/>
  <c r="N207" i="1"/>
  <c r="Y207" i="1" s="1"/>
  <c r="V207" i="1"/>
  <c r="N217" i="1"/>
  <c r="Y217" i="1" s="1"/>
  <c r="V212" i="1"/>
  <c r="M160" i="1"/>
  <c r="M162" i="1"/>
  <c r="N162" i="1" s="1"/>
  <c r="W162" i="1"/>
  <c r="X216" i="1"/>
  <c r="N171" i="1"/>
  <c r="Y171" i="1" s="1"/>
  <c r="N206" i="1"/>
  <c r="N194" i="1"/>
  <c r="N182" i="1"/>
  <c r="V182" i="1"/>
  <c r="X174" i="1"/>
  <c r="V174" i="1"/>
  <c r="N172" i="1"/>
  <c r="X172" i="1"/>
  <c r="N211" i="1"/>
  <c r="N198" i="1"/>
  <c r="N185" i="1"/>
  <c r="N173" i="1"/>
  <c r="N170" i="1"/>
  <c r="N192" i="1"/>
  <c r="N205" i="1"/>
  <c r="N191" i="1"/>
  <c r="N208" i="1"/>
  <c r="N213" i="1"/>
  <c r="N158" i="1"/>
  <c r="N163" i="1"/>
  <c r="N204" i="1"/>
  <c r="N196" i="1"/>
  <c r="N209" i="1"/>
  <c r="N216" i="1"/>
  <c r="N180" i="1"/>
  <c r="N161" i="1"/>
  <c r="N174" i="1"/>
  <c r="O42" i="1" l="1"/>
  <c r="V42" i="1"/>
  <c r="N35" i="1"/>
  <c r="Y35" i="1" s="1"/>
  <c r="V35" i="1"/>
  <c r="AD41" i="1"/>
  <c r="AD43" i="1"/>
  <c r="AD40" i="1"/>
  <c r="AD39" i="1"/>
  <c r="AD38" i="1"/>
  <c r="AD30" i="1"/>
  <c r="AD32" i="1"/>
  <c r="AE41" i="1"/>
  <c r="AE43" i="1"/>
  <c r="AF32" i="1"/>
  <c r="AF30" i="1"/>
  <c r="AF40" i="1"/>
  <c r="AF38" i="1"/>
  <c r="AF39" i="1"/>
  <c r="AF43" i="1"/>
  <c r="AF41" i="1"/>
  <c r="AE32" i="1"/>
  <c r="AE38" i="1"/>
  <c r="AE40" i="1"/>
  <c r="AE39" i="1"/>
  <c r="AE30" i="1"/>
  <c r="AG30" i="1"/>
  <c r="AG43" i="1"/>
  <c r="AH43" i="1"/>
  <c r="AG32" i="1"/>
  <c r="AG40" i="1"/>
  <c r="AG39" i="1"/>
  <c r="AG38" i="1"/>
  <c r="AG41" i="1"/>
  <c r="AH38" i="1"/>
  <c r="AH39" i="1"/>
  <c r="AH40" i="1"/>
  <c r="AH32" i="1"/>
  <c r="AH30" i="1"/>
  <c r="AH41" i="1"/>
  <c r="AH56" i="1"/>
  <c r="AH80" i="1"/>
  <c r="AH75" i="1"/>
  <c r="AH61" i="1"/>
  <c r="AH60" i="1"/>
  <c r="AH72" i="1"/>
  <c r="AH62" i="1"/>
  <c r="AH68" i="1"/>
  <c r="AH63" i="1"/>
  <c r="AH59" i="1"/>
  <c r="AH54" i="1"/>
  <c r="AH81" i="1"/>
  <c r="AH70" i="1"/>
  <c r="AH50" i="1"/>
  <c r="AH77" i="1"/>
  <c r="AH79" i="1"/>
  <c r="AH58" i="1"/>
  <c r="N42" i="1"/>
  <c r="Y42" i="1" s="1"/>
  <c r="AH66" i="1"/>
  <c r="AH51" i="1"/>
  <c r="AH76" i="1"/>
  <c r="AH78" i="1"/>
  <c r="AH69" i="1"/>
  <c r="AH64" i="1"/>
  <c r="AH55" i="1"/>
  <c r="AH67" i="1"/>
  <c r="AH53" i="1"/>
  <c r="AH82" i="1"/>
  <c r="AH74" i="1"/>
  <c r="AH52" i="1"/>
  <c r="AD67" i="1"/>
  <c r="AD81" i="1"/>
  <c r="AD79" i="1"/>
  <c r="AD77" i="1"/>
  <c r="AD66" i="1"/>
  <c r="AD64" i="1"/>
  <c r="AD62" i="1"/>
  <c r="AD60" i="1"/>
  <c r="AD80" i="1"/>
  <c r="AD63" i="1"/>
  <c r="AD78" i="1"/>
  <c r="AD61" i="1"/>
  <c r="AD82" i="1"/>
  <c r="AD65" i="1"/>
  <c r="AE77" i="1"/>
  <c r="AE82" i="1"/>
  <c r="AF79" i="1"/>
  <c r="AE61" i="1"/>
  <c r="AE81" i="1"/>
  <c r="AE62" i="1"/>
  <c r="AE60" i="1"/>
  <c r="AF60" i="1"/>
  <c r="AF66" i="1"/>
  <c r="AE79" i="1"/>
  <c r="AE66" i="1"/>
  <c r="AE63" i="1"/>
  <c r="AE64" i="1"/>
  <c r="AF61" i="1"/>
  <c r="AE67" i="1"/>
  <c r="AE78" i="1"/>
  <c r="AF64" i="1"/>
  <c r="AF80" i="1"/>
  <c r="AF67" i="1"/>
  <c r="AE65" i="1"/>
  <c r="AF78" i="1"/>
  <c r="AF63" i="1"/>
  <c r="AE80" i="1"/>
  <c r="AF77" i="1"/>
  <c r="AF65" i="1"/>
  <c r="AF62" i="1"/>
  <c r="AF82" i="1"/>
  <c r="AF81" i="1"/>
  <c r="AD27" i="1"/>
  <c r="AF27" i="1"/>
  <c r="AE27" i="1"/>
  <c r="AD76" i="1"/>
  <c r="AD72" i="1"/>
  <c r="AD70" i="1"/>
  <c r="AD68" i="1"/>
  <c r="AD56" i="1"/>
  <c r="AD54" i="1"/>
  <c r="AD52" i="1"/>
  <c r="AD74" i="1"/>
  <c r="AD58" i="1"/>
  <c r="AD50" i="1"/>
  <c r="AD73" i="1"/>
  <c r="AD51" i="1"/>
  <c r="AD75" i="1"/>
  <c r="AD71" i="1"/>
  <c r="AD69" i="1"/>
  <c r="AD59" i="1"/>
  <c r="AD57" i="1"/>
  <c r="AD55" i="1"/>
  <c r="AD53" i="1"/>
  <c r="AE68" i="1"/>
  <c r="AE74" i="1"/>
  <c r="AE69" i="1"/>
  <c r="AE70" i="1"/>
  <c r="AE75" i="1"/>
  <c r="AF76" i="1"/>
  <c r="AF71" i="1"/>
  <c r="AF56" i="1"/>
  <c r="AE71" i="1"/>
  <c r="AF57" i="1"/>
  <c r="AE59" i="1"/>
  <c r="AF53" i="1"/>
  <c r="AF74" i="1"/>
  <c r="AE56" i="1"/>
  <c r="AF70" i="1"/>
  <c r="AE57" i="1"/>
  <c r="AF68" i="1"/>
  <c r="AE58" i="1"/>
  <c r="AE52" i="1"/>
  <c r="AE76" i="1"/>
  <c r="AF59" i="1"/>
  <c r="AF72" i="1"/>
  <c r="AE55" i="1"/>
  <c r="AF69" i="1"/>
  <c r="AF50" i="1"/>
  <c r="AF55" i="1"/>
  <c r="AE54" i="1"/>
  <c r="AE51" i="1"/>
  <c r="AF73" i="1"/>
  <c r="AF52" i="1"/>
  <c r="AE53" i="1"/>
  <c r="AF58" i="1"/>
  <c r="AE50" i="1"/>
  <c r="AE72" i="1"/>
  <c r="AF51" i="1"/>
  <c r="AF75" i="1"/>
  <c r="AE73" i="1"/>
  <c r="AF54" i="1"/>
  <c r="AG27" i="1"/>
  <c r="AH27" i="1"/>
  <c r="AG65" i="1"/>
  <c r="AG70" i="1"/>
  <c r="AG69" i="1"/>
  <c r="AG59" i="1"/>
  <c r="AG73" i="1"/>
  <c r="AG55" i="1"/>
  <c r="AG74" i="1"/>
  <c r="AG82" i="1"/>
  <c r="AG61" i="1"/>
  <c r="AG58" i="1"/>
  <c r="AG72" i="1"/>
  <c r="AG63" i="1"/>
  <c r="AG75" i="1"/>
  <c r="AG62" i="1"/>
  <c r="AG71" i="1"/>
  <c r="AG51" i="1"/>
  <c r="AG57" i="1"/>
  <c r="AG80" i="1"/>
  <c r="AG68" i="1"/>
  <c r="AG79" i="1"/>
  <c r="AG52" i="1"/>
  <c r="AG56" i="1"/>
  <c r="AG67" i="1"/>
  <c r="AG50" i="1"/>
  <c r="AG77" i="1"/>
  <c r="AG64" i="1"/>
  <c r="AG81" i="1"/>
  <c r="AG60" i="1"/>
  <c r="AG66" i="1"/>
  <c r="AG54" i="1"/>
  <c r="AG53" i="1"/>
  <c r="AG76" i="1"/>
  <c r="AG78" i="1"/>
  <c r="AH71" i="1"/>
  <c r="AH57" i="1"/>
  <c r="AH73" i="1"/>
  <c r="AH65" i="1"/>
  <c r="N189" i="1"/>
  <c r="Y189" i="1" s="1"/>
  <c r="N159" i="1"/>
  <c r="N214" i="1"/>
  <c r="Y214" i="1" s="1"/>
  <c r="N169" i="1"/>
  <c r="Y169" i="1" s="1"/>
  <c r="X169" i="1"/>
  <c r="N193" i="1"/>
  <c r="N188" i="1"/>
  <c r="Y188" i="1" s="1"/>
  <c r="X181" i="1"/>
  <c r="N181" i="1"/>
  <c r="X159" i="1"/>
  <c r="X200" i="1"/>
  <c r="X210" i="1"/>
  <c r="N166" i="1"/>
  <c r="Y166" i="1" s="1"/>
  <c r="X187" i="1"/>
  <c r="N210" i="1"/>
  <c r="X175" i="1"/>
  <c r="N178" i="1"/>
  <c r="X168" i="1"/>
  <c r="X195" i="1"/>
  <c r="X166" i="1"/>
  <c r="X186" i="1"/>
  <c r="N187" i="1"/>
  <c r="X199" i="1"/>
  <c r="X167" i="1"/>
  <c r="X164" i="1"/>
  <c r="N164" i="1"/>
  <c r="N184" i="1"/>
  <c r="Y183" i="1"/>
  <c r="Y212" i="1"/>
  <c r="Y200" i="1"/>
  <c r="X197" i="1"/>
  <c r="X215" i="1"/>
  <c r="N215" i="1"/>
  <c r="Y167" i="1"/>
  <c r="X179" i="1"/>
  <c r="X160" i="1"/>
  <c r="X183" i="1"/>
  <c r="X162" i="1"/>
  <c r="Y206" i="1"/>
  <c r="N179" i="1"/>
  <c r="Y179" i="1" s="1"/>
  <c r="N160" i="1"/>
  <c r="Y213" i="1"/>
  <c r="Y185" i="1"/>
  <c r="Y161" i="1"/>
  <c r="Y163" i="1"/>
  <c r="Y198" i="1"/>
  <c r="Y158" i="1"/>
  <c r="Y209" i="1"/>
  <c r="Y204" i="1"/>
  <c r="Y199" i="1"/>
  <c r="Y162" i="1"/>
  <c r="Y205" i="1"/>
  <c r="Y194" i="1"/>
  <c r="Y192" i="1"/>
  <c r="Y168" i="1"/>
  <c r="Y172" i="1"/>
  <c r="Y196" i="1"/>
  <c r="Y216" i="1"/>
  <c r="Y208" i="1"/>
  <c r="Y191" i="1"/>
  <c r="Y197" i="1"/>
  <c r="Y186" i="1"/>
  <c r="Y175" i="1"/>
  <c r="Y211" i="1"/>
  <c r="Y174" i="1"/>
  <c r="Y180" i="1"/>
  <c r="Y170" i="1"/>
  <c r="Y173" i="1"/>
  <c r="Y182" i="1"/>
  <c r="Y159" i="1" l="1"/>
  <c r="Y181" i="1"/>
  <c r="Y193" i="1"/>
  <c r="Y210" i="1"/>
  <c r="Y187" i="1"/>
  <c r="Y178" i="1"/>
  <c r="Y184" i="1"/>
  <c r="Y164" i="1"/>
  <c r="Y160" i="1"/>
  <c r="Y215" i="1"/>
  <c r="AD36" i="1" l="1"/>
  <c r="AD44" i="1"/>
  <c r="AD34" i="1"/>
  <c r="AD25" i="1"/>
  <c r="AD11" i="1"/>
  <c r="AD9" i="1"/>
  <c r="AD7" i="1"/>
  <c r="AD5" i="1"/>
  <c r="AD49" i="1"/>
  <c r="AD31" i="1"/>
  <c r="AD16" i="1"/>
  <c r="AD37" i="1"/>
  <c r="AD19" i="1"/>
  <c r="AD47" i="1"/>
  <c r="AD28" i="1"/>
  <c r="AD23" i="1"/>
  <c r="AD14" i="1"/>
  <c r="AD45" i="1"/>
  <c r="AD35" i="1"/>
  <c r="AD26" i="1"/>
  <c r="AD21" i="1"/>
  <c r="AD12" i="1"/>
  <c r="AD33" i="1"/>
  <c r="AD17" i="1"/>
  <c r="AD10" i="1"/>
  <c r="AD8" i="1"/>
  <c r="AD6" i="1"/>
  <c r="AD42" i="1"/>
  <c r="AD20" i="1"/>
  <c r="AD48" i="1"/>
  <c r="AD29" i="1"/>
  <c r="AD24" i="1"/>
  <c r="AD15" i="1"/>
  <c r="AD18" i="1"/>
  <c r="AD22" i="1"/>
  <c r="AD13" i="1"/>
  <c r="AD46" i="1"/>
  <c r="AF33" i="1"/>
  <c r="AG18" i="1"/>
  <c r="AF28" i="1"/>
  <c r="AF44" i="1"/>
  <c r="AF35" i="1"/>
  <c r="AG20" i="1"/>
  <c r="AG42" i="1"/>
  <c r="AE49" i="1"/>
  <c r="AE45" i="1"/>
  <c r="AE48" i="1"/>
  <c r="AF37" i="1"/>
  <c r="AF16" i="1"/>
  <c r="AG8" i="1"/>
  <c r="AF47" i="1"/>
  <c r="AF22" i="1"/>
  <c r="AF5" i="1"/>
  <c r="AF15" i="1"/>
  <c r="AF34" i="1"/>
  <c r="AG25" i="1"/>
  <c r="AF12" i="1"/>
  <c r="AF9" i="1"/>
  <c r="AF29" i="1"/>
  <c r="AG23" i="1"/>
  <c r="AF45" i="1"/>
  <c r="AF7" i="1"/>
  <c r="AF17" i="1"/>
  <c r="AG26" i="1"/>
  <c r="AF11" i="1"/>
  <c r="AF8" i="1"/>
  <c r="AH48" i="1"/>
  <c r="AF13" i="1"/>
  <c r="AH37" i="1"/>
  <c r="AG34" i="1"/>
  <c r="AF24" i="1"/>
  <c r="AG12" i="1"/>
  <c r="AF36" i="1"/>
  <c r="AF14" i="1"/>
  <c r="AF18" i="1"/>
  <c r="AF23" i="1"/>
  <c r="AG9" i="1"/>
  <c r="AG22" i="1"/>
  <c r="AG11" i="1"/>
  <c r="AG48" i="1"/>
  <c r="AF48" i="1"/>
  <c r="AG5" i="1"/>
  <c r="AF25" i="1"/>
  <c r="AF20" i="1"/>
  <c r="AG14" i="1"/>
  <c r="AG36" i="1"/>
  <c r="AG49" i="1"/>
  <c r="AG15" i="1"/>
  <c r="AF31" i="1"/>
  <c r="AF49" i="1"/>
  <c r="AF42" i="1"/>
  <c r="AG37" i="1"/>
  <c r="AF6" i="1"/>
  <c r="AG17" i="1"/>
  <c r="AF21" i="1"/>
  <c r="AE47" i="1"/>
  <c r="AG44" i="1"/>
  <c r="AG45" i="1"/>
  <c r="AF10" i="1"/>
  <c r="AG6" i="1"/>
  <c r="AG16" i="1"/>
  <c r="AG35" i="1"/>
  <c r="AF46" i="1"/>
  <c r="AF19" i="1"/>
  <c r="AE37" i="1"/>
  <c r="AG46" i="1"/>
  <c r="AG21" i="1"/>
  <c r="AG29" i="1"/>
  <c r="AF26" i="1"/>
  <c r="AG7" i="1"/>
  <c r="AG19" i="1"/>
  <c r="AG13" i="1"/>
  <c r="AG10" i="1"/>
  <c r="AG31" i="1"/>
  <c r="AH5" i="1"/>
  <c r="AG24" i="1"/>
  <c r="AG28" i="1"/>
  <c r="AE5" i="1"/>
  <c r="AG47" i="1"/>
  <c r="AH45" i="1"/>
  <c r="AE46" i="1"/>
  <c r="AH46" i="1"/>
  <c r="AH49" i="1"/>
  <c r="AG33" i="1"/>
  <c r="AH47" i="1"/>
  <c r="H4" i="29"/>
  <c r="H3" i="29" s="1"/>
  <c r="AD210" i="1"/>
  <c r="AD198" i="1"/>
  <c r="AD188" i="1"/>
  <c r="AD176" i="1"/>
  <c r="AD164" i="1"/>
  <c r="AD159" i="1"/>
  <c r="AD209" i="1"/>
  <c r="AD197" i="1"/>
  <c r="AD187" i="1"/>
  <c r="AD175" i="1"/>
  <c r="AD163" i="1"/>
  <c r="AD183" i="1"/>
  <c r="AD208" i="1"/>
  <c r="AD196" i="1"/>
  <c r="AD186" i="1"/>
  <c r="AD174" i="1"/>
  <c r="AD162" i="1"/>
  <c r="AD215" i="1"/>
  <c r="AD217" i="1"/>
  <c r="AD207" i="1"/>
  <c r="AD185" i="1"/>
  <c r="AD173" i="1"/>
  <c r="AD161" i="1"/>
  <c r="AD195" i="1"/>
  <c r="AD216" i="1"/>
  <c r="AD206" i="1"/>
  <c r="AD184" i="1"/>
  <c r="AD172" i="1"/>
  <c r="AD160" i="1"/>
  <c r="AD205" i="1"/>
  <c r="AD171" i="1"/>
  <c r="AD201" i="1"/>
  <c r="AD181" i="1"/>
  <c r="AD200" i="1"/>
  <c r="AD180" i="1"/>
  <c r="AD204" i="1"/>
  <c r="AD199" i="1"/>
  <c r="AD179" i="1"/>
  <c r="AD192" i="1"/>
  <c r="AD167" i="1"/>
  <c r="AD178" i="1"/>
  <c r="AD169" i="1"/>
  <c r="AD168" i="1"/>
  <c r="AD190" i="1"/>
  <c r="AD214" i="1"/>
  <c r="AD177" i="1"/>
  <c r="AD213" i="1"/>
  <c r="AD194" i="1"/>
  <c r="AD170" i="1"/>
  <c r="AD212" i="1"/>
  <c r="AD166" i="1"/>
  <c r="AD193" i="1"/>
  <c r="AD211" i="1"/>
  <c r="AD191" i="1"/>
  <c r="AD189" i="1"/>
  <c r="AD182" i="1"/>
  <c r="AD165" i="1"/>
  <c r="AD158" i="1"/>
  <c r="AD203" i="1"/>
  <c r="AD202" i="1"/>
  <c r="AE184" i="1"/>
  <c r="AE204" i="1"/>
  <c r="AE183" i="1"/>
  <c r="AF169" i="1"/>
  <c r="AE163" i="1"/>
  <c r="AE186" i="1"/>
  <c r="AE208" i="1"/>
  <c r="AE216" i="1"/>
  <c r="AG190" i="1"/>
  <c r="AE191" i="1"/>
  <c r="AE162" i="1"/>
  <c r="AE211" i="1"/>
  <c r="AE161" i="1"/>
  <c r="AF181" i="1"/>
  <c r="AF196" i="1"/>
  <c r="AG213" i="1"/>
  <c r="AE173" i="1"/>
  <c r="AF193" i="1"/>
  <c r="AE215" i="1"/>
  <c r="AG158" i="1"/>
  <c r="AE185" i="1"/>
  <c r="AE209" i="1"/>
  <c r="AE196" i="1"/>
  <c r="AE175" i="1"/>
  <c r="AG176" i="1"/>
  <c r="AE198" i="1"/>
  <c r="AE168" i="1"/>
  <c r="AE210" i="1"/>
  <c r="AE180" i="1"/>
  <c r="AF187" i="1"/>
  <c r="AE192" i="1"/>
  <c r="AF178" i="1"/>
  <c r="AF160" i="1"/>
  <c r="AE187" i="1"/>
  <c r="AE177" i="1"/>
  <c r="AG194" i="1"/>
  <c r="AG208" i="1"/>
  <c r="AE199" i="1"/>
  <c r="AE193" i="1"/>
  <c r="AE172" i="1"/>
  <c r="AG206" i="1"/>
  <c r="AF200" i="1"/>
  <c r="AE214" i="1"/>
  <c r="AH207" i="1"/>
  <c r="AG207" i="1"/>
  <c r="AF191" i="1"/>
  <c r="AG184" i="1"/>
  <c r="AE171" i="1"/>
  <c r="AF211" i="1"/>
  <c r="AF162" i="1"/>
  <c r="AE169" i="1"/>
  <c r="AH190" i="1"/>
  <c r="AE203" i="1"/>
  <c r="AF188" i="1"/>
  <c r="AF207" i="1"/>
  <c r="AG202" i="1"/>
  <c r="AE190" i="1"/>
  <c r="AG198" i="1"/>
  <c r="AE179" i="1"/>
  <c r="AF201" i="1"/>
  <c r="AE197" i="1"/>
  <c r="AG170" i="1"/>
  <c r="AE205" i="1"/>
  <c r="AG203" i="1"/>
  <c r="AF190" i="1"/>
  <c r="AF173" i="1"/>
  <c r="AF158" i="1"/>
  <c r="AG180" i="1"/>
  <c r="AF203" i="1"/>
  <c r="AH203" i="1"/>
  <c r="AF214" i="1"/>
  <c r="AH202" i="1"/>
  <c r="AF208" i="1"/>
  <c r="AF194" i="1"/>
  <c r="AE181" i="1"/>
  <c r="AE189" i="1"/>
  <c r="AE194" i="1"/>
  <c r="AG217" i="1"/>
  <c r="AE200" i="1"/>
  <c r="AF186" i="1"/>
  <c r="AE188" i="1"/>
  <c r="AF180" i="1"/>
  <c r="AF172" i="1"/>
  <c r="AG193" i="1"/>
  <c r="AG171" i="1"/>
  <c r="AF209" i="1"/>
  <c r="AE160" i="1"/>
  <c r="AF195" i="1"/>
  <c r="AF165" i="1"/>
  <c r="AF174" i="1"/>
  <c r="AF179" i="1"/>
  <c r="AF199" i="1"/>
  <c r="AG211" i="1"/>
  <c r="AG196" i="1"/>
  <c r="AF175" i="1"/>
  <c r="AF192" i="1"/>
  <c r="AF166" i="1"/>
  <c r="AF182" i="1"/>
  <c r="AH195" i="1"/>
  <c r="AH165" i="1"/>
  <c r="AG177" i="1"/>
  <c r="AE164" i="1"/>
  <c r="AE201" i="1"/>
  <c r="AF167" i="1"/>
  <c r="AF217" i="1"/>
  <c r="AF183" i="1"/>
  <c r="AF197" i="1"/>
  <c r="AF177" i="1"/>
  <c r="AE158" i="1"/>
  <c r="AE167" i="1"/>
  <c r="AE207" i="1"/>
  <c r="AF170" i="1"/>
  <c r="AG173" i="1"/>
  <c r="AF205" i="1"/>
  <c r="AE182" i="1"/>
  <c r="AH176" i="1"/>
  <c r="AE195" i="1"/>
  <c r="AF185" i="1"/>
  <c r="AG189" i="1"/>
  <c r="AF213" i="1"/>
  <c r="AF159" i="1"/>
  <c r="AF189" i="1"/>
  <c r="AE170" i="1"/>
  <c r="AG216" i="1"/>
  <c r="AG182" i="1"/>
  <c r="AG214" i="1"/>
  <c r="AF171" i="1"/>
  <c r="AG161" i="1"/>
  <c r="AF210" i="1"/>
  <c r="AG209" i="1"/>
  <c r="AE202" i="1"/>
  <c r="AG185" i="1"/>
  <c r="AH201" i="1"/>
  <c r="AE206" i="1"/>
  <c r="AF164" i="1"/>
  <c r="AE213" i="1"/>
  <c r="AG204" i="1"/>
  <c r="AF198" i="1"/>
  <c r="AE174" i="1"/>
  <c r="AE217" i="1"/>
  <c r="AG165" i="1"/>
  <c r="AF161" i="1"/>
  <c r="AF204" i="1"/>
  <c r="AG191" i="1"/>
  <c r="AG212" i="1"/>
  <c r="AG172" i="1"/>
  <c r="AG201" i="1"/>
  <c r="AG192" i="1"/>
  <c r="AE165" i="1"/>
  <c r="AE176" i="1"/>
  <c r="AF212" i="1"/>
  <c r="AF215" i="1"/>
  <c r="AH217" i="1"/>
  <c r="AF176" i="1"/>
  <c r="AF163" i="1"/>
  <c r="AE212" i="1"/>
  <c r="AH177" i="1"/>
  <c r="AF206" i="1"/>
  <c r="AG188" i="1"/>
  <c r="AE178" i="1"/>
  <c r="AG205" i="1"/>
  <c r="AG163" i="1"/>
  <c r="AF202" i="1"/>
  <c r="AE166" i="1"/>
  <c r="AG174" i="1"/>
  <c r="AF216" i="1"/>
  <c r="AE159" i="1"/>
  <c r="AH171" i="1"/>
  <c r="AG178" i="1"/>
  <c r="AF168" i="1"/>
  <c r="AF184" i="1"/>
  <c r="AG200" i="1"/>
  <c r="AH196" i="1"/>
  <c r="AG183" i="1"/>
  <c r="AH158" i="1"/>
  <c r="AH188" i="1"/>
  <c r="AH206" i="1"/>
  <c r="AG197" i="1"/>
  <c r="AH200" i="1"/>
  <c r="AG195" i="1"/>
  <c r="AH209" i="1"/>
  <c r="AG164" i="1"/>
  <c r="AH182" i="1"/>
  <c r="AH205" i="1"/>
  <c r="AH212" i="1"/>
  <c r="AH183" i="1"/>
  <c r="AH216" i="1"/>
  <c r="AH204" i="1"/>
  <c r="AH214" i="1"/>
  <c r="AG159" i="1"/>
  <c r="AH173" i="1"/>
  <c r="AH198" i="1"/>
  <c r="AG181" i="1"/>
  <c r="AG215" i="1"/>
  <c r="AG160" i="1"/>
  <c r="AH185" i="1"/>
  <c r="AH161" i="1"/>
  <c r="AH169" i="1"/>
  <c r="AH208" i="1"/>
  <c r="AH174" i="1"/>
  <c r="AH175" i="1"/>
  <c r="AH191" i="1"/>
  <c r="AG186" i="1"/>
  <c r="AH186" i="1"/>
  <c r="AG179" i="1"/>
  <c r="AH170" i="1"/>
  <c r="AH199" i="1"/>
  <c r="AH163" i="1"/>
  <c r="AH168" i="1"/>
  <c r="AG175" i="1"/>
  <c r="AG199" i="1"/>
  <c r="AG169" i="1"/>
  <c r="AH197" i="1"/>
  <c r="AH172" i="1"/>
  <c r="AG187" i="1"/>
  <c r="AH194" i="1"/>
  <c r="AH211" i="1"/>
  <c r="AH167" i="1"/>
  <c r="AG162" i="1"/>
  <c r="AG210" i="1"/>
  <c r="AG166" i="1"/>
  <c r="AH213" i="1"/>
  <c r="AH162" i="1"/>
  <c r="AG167" i="1"/>
  <c r="AH166" i="1"/>
  <c r="AG168" i="1"/>
  <c r="AH192" i="1"/>
  <c r="AH189" i="1"/>
  <c r="AH180" i="1"/>
  <c r="AH179" i="1"/>
  <c r="AH184" i="1"/>
  <c r="AH187" i="1"/>
  <c r="AH160" i="1"/>
  <c r="AH164" i="1"/>
  <c r="AH215" i="1"/>
  <c r="AH178" i="1"/>
  <c r="AH181" i="1"/>
  <c r="AH210" i="1"/>
  <c r="AH159" i="1"/>
  <c r="AH193" i="1"/>
  <c r="G29" i="21"/>
  <c r="G17" i="21"/>
  <c r="G14" i="21"/>
  <c r="K19" i="1" l="1"/>
  <c r="K33" i="1"/>
  <c r="K31" i="1"/>
  <c r="K29" i="1"/>
  <c r="K26" i="1"/>
  <c r="K25" i="1"/>
  <c r="K24" i="1"/>
  <c r="K18" i="1"/>
  <c r="K17" i="1"/>
  <c r="K16" i="1"/>
  <c r="K14" i="1"/>
  <c r="K13" i="1"/>
  <c r="K12" i="1"/>
  <c r="K11" i="1"/>
  <c r="K10" i="1"/>
  <c r="K9" i="1"/>
  <c r="K7" i="1"/>
  <c r="K6" i="1"/>
  <c r="G17" i="29"/>
  <c r="G16" i="29"/>
  <c r="G14" i="29"/>
  <c r="G13" i="29"/>
  <c r="F17" i="29"/>
  <c r="F16" i="29"/>
  <c r="D17" i="29"/>
  <c r="D16" i="29"/>
  <c r="C17" i="29"/>
  <c r="C16" i="29"/>
  <c r="B17" i="29"/>
  <c r="B16" i="29"/>
  <c r="O58" i="2"/>
  <c r="O61" i="2" s="1"/>
  <c r="I57" i="2"/>
  <c r="K57" i="2" s="1"/>
  <c r="H57" i="2"/>
  <c r="E57" i="2"/>
  <c r="G57" i="2" s="1"/>
  <c r="L57" i="2" s="1"/>
  <c r="D57" i="2"/>
  <c r="I56" i="2"/>
  <c r="H56" i="2"/>
  <c r="F56" i="2"/>
  <c r="E56" i="2"/>
  <c r="G56" i="2" s="1"/>
  <c r="D56" i="2"/>
  <c r="G51" i="2"/>
  <c r="H51" i="2" s="1"/>
  <c r="J51" i="2" s="1"/>
  <c r="L50" i="2"/>
  <c r="N50" i="2" s="1"/>
  <c r="G50" i="2"/>
  <c r="H50" i="2" s="1"/>
  <c r="J50" i="2" s="1"/>
  <c r="G49" i="2"/>
  <c r="H49" i="2" s="1"/>
  <c r="J49" i="2" s="1"/>
  <c r="O48" i="2"/>
  <c r="G48" i="2"/>
  <c r="H48" i="2" s="1"/>
  <c r="J48" i="2" s="1"/>
  <c r="G47" i="2"/>
  <c r="H47" i="2" s="1"/>
  <c r="J47" i="2" s="1"/>
  <c r="E41" i="2"/>
  <c r="N6" i="1" l="1"/>
  <c r="Y6" i="1" s="1"/>
  <c r="AH6" i="1" s="1"/>
  <c r="V6" i="1"/>
  <c r="AE6" i="1" s="1"/>
  <c r="N7" i="1"/>
  <c r="Y7" i="1" s="1"/>
  <c r="AH7" i="1" s="1"/>
  <c r="V7" i="1"/>
  <c r="AE7" i="1" s="1"/>
  <c r="N9" i="1"/>
  <c r="V9" i="1"/>
  <c r="AE9" i="1" s="1"/>
  <c r="N10" i="1"/>
  <c r="Y10" i="1" s="1"/>
  <c r="AH10" i="1" s="1"/>
  <c r="V10" i="1"/>
  <c r="AE10" i="1" s="1"/>
  <c r="N11" i="1"/>
  <c r="Y11" i="1" s="1"/>
  <c r="AH11" i="1" s="1"/>
  <c r="V11" i="1"/>
  <c r="AE11" i="1" s="1"/>
  <c r="N12" i="1"/>
  <c r="Y12" i="1" s="1"/>
  <c r="AH12" i="1" s="1"/>
  <c r="V12" i="1"/>
  <c r="AE12" i="1" s="1"/>
  <c r="N13" i="1"/>
  <c r="Y13" i="1" s="1"/>
  <c r="AH13" i="1" s="1"/>
  <c r="V13" i="1"/>
  <c r="AE13" i="1" s="1"/>
  <c r="N14" i="1"/>
  <c r="Y14" i="1" s="1"/>
  <c r="V14" i="1"/>
  <c r="N16" i="1"/>
  <c r="Y16" i="1" s="1"/>
  <c r="AH16" i="1" s="1"/>
  <c r="V16" i="1"/>
  <c r="AE16" i="1" s="1"/>
  <c r="N17" i="1"/>
  <c r="Y17" i="1" s="1"/>
  <c r="V17" i="1"/>
  <c r="N18" i="1"/>
  <c r="Y18" i="1" s="1"/>
  <c r="V18" i="1"/>
  <c r="N24" i="1"/>
  <c r="Y24" i="1" s="1"/>
  <c r="AH24" i="1" s="1"/>
  <c r="V24" i="1"/>
  <c r="AE24" i="1" s="1"/>
  <c r="N25" i="1"/>
  <c r="Y25" i="1" s="1"/>
  <c r="AH25" i="1" s="1"/>
  <c r="V25" i="1"/>
  <c r="AE25" i="1" s="1"/>
  <c r="N26" i="1"/>
  <c r="Y26" i="1" s="1"/>
  <c r="AH26" i="1" s="1"/>
  <c r="V26" i="1"/>
  <c r="AE26" i="1" s="1"/>
  <c r="N29" i="1"/>
  <c r="Y29" i="1" s="1"/>
  <c r="V29" i="1"/>
  <c r="N31" i="1"/>
  <c r="Y31" i="1" s="1"/>
  <c r="V31" i="1"/>
  <c r="N33" i="1"/>
  <c r="Y33" i="1" s="1"/>
  <c r="V33" i="1"/>
  <c r="N19" i="1"/>
  <c r="Y19" i="1" s="1"/>
  <c r="V19" i="1"/>
  <c r="K21" i="1"/>
  <c r="J52" i="2"/>
  <c r="C60" i="2" s="1"/>
  <c r="K22" i="1"/>
  <c r="K20" i="1"/>
  <c r="K28" i="1"/>
  <c r="K36" i="1"/>
  <c r="K15" i="1"/>
  <c r="K8" i="1"/>
  <c r="O50" i="2"/>
  <c r="P50" i="2" s="1"/>
  <c r="K56" i="2"/>
  <c r="L56" i="2" s="1"/>
  <c r="I19" i="2"/>
  <c r="K19" i="2" s="1"/>
  <c r="E19" i="2"/>
  <c r="G19" i="2" s="1"/>
  <c r="D19" i="2"/>
  <c r="C28" i="21"/>
  <c r="O10" i="2"/>
  <c r="N8" i="1" l="1"/>
  <c r="Y8" i="1" s="1"/>
  <c r="AH8" i="1" s="1"/>
  <c r="V8" i="1"/>
  <c r="AE8" i="1" s="1"/>
  <c r="N15" i="1"/>
  <c r="Y15" i="1" s="1"/>
  <c r="AH15" i="1" s="1"/>
  <c r="V15" i="1"/>
  <c r="AE15" i="1" s="1"/>
  <c r="N36" i="1"/>
  <c r="Y36" i="1" s="1"/>
  <c r="AH36" i="1" s="1"/>
  <c r="V36" i="1"/>
  <c r="AE36" i="1" s="1"/>
  <c r="N28" i="1"/>
  <c r="Y28" i="1" s="1"/>
  <c r="AH28" i="1" s="1"/>
  <c r="V28" i="1"/>
  <c r="AE28" i="1" s="1"/>
  <c r="N20" i="1"/>
  <c r="Y20" i="1" s="1"/>
  <c r="AH20" i="1" s="1"/>
  <c r="V20" i="1"/>
  <c r="AE20" i="1" s="1"/>
  <c r="N22" i="1"/>
  <c r="Y22" i="1" s="1"/>
  <c r="AH22" i="1" s="1"/>
  <c r="V22" i="1"/>
  <c r="AE22" i="1" s="1"/>
  <c r="N21" i="1"/>
  <c r="Y21" i="1" s="1"/>
  <c r="AH21" i="1" s="1"/>
  <c r="V21" i="1"/>
  <c r="AE21" i="1" s="1"/>
  <c r="Y9" i="1"/>
  <c r="AH9" i="1" s="1"/>
  <c r="AH44" i="1"/>
  <c r="AE44" i="1"/>
  <c r="AE33" i="1"/>
  <c r="AH33" i="1"/>
  <c r="AE17" i="1"/>
  <c r="AH17" i="1"/>
  <c r="AH14" i="1"/>
  <c r="AE14" i="1"/>
  <c r="AE42" i="1"/>
  <c r="AH42" i="1"/>
  <c r="AE19" i="1"/>
  <c r="AH19" i="1"/>
  <c r="AE29" i="1"/>
  <c r="AH29" i="1"/>
  <c r="AE31" i="1"/>
  <c r="AH31" i="1"/>
  <c r="AE23" i="1"/>
  <c r="AH23" i="1"/>
  <c r="AE34" i="1"/>
  <c r="AH34" i="1"/>
  <c r="AH18" i="1"/>
  <c r="AE18" i="1"/>
  <c r="AE35" i="1"/>
  <c r="AH35" i="1"/>
  <c r="C61" i="2"/>
  <c r="C62" i="2" s="1"/>
  <c r="C36" i="48" l="1"/>
  <c r="C44" i="48" s="1"/>
  <c r="C11" i="48" s="1"/>
  <c r="C11" i="29" s="1"/>
  <c r="C35" i="29" l="1"/>
  <c r="G16" i="57" l="1"/>
  <c r="G15" i="57"/>
  <c r="G14" i="57"/>
  <c r="G13" i="57"/>
  <c r="F16" i="57"/>
  <c r="F15" i="57"/>
  <c r="D16" i="57"/>
  <c r="D15" i="57"/>
  <c r="C16" i="57"/>
  <c r="C15" i="57"/>
  <c r="B16" i="57"/>
  <c r="B15" i="57"/>
  <c r="H8" i="8"/>
  <c r="C8" i="8"/>
  <c r="E8" i="8" s="1"/>
  <c r="P2" i="1"/>
  <c r="O2" i="1"/>
  <c r="G18" i="3"/>
  <c r="F18" i="3"/>
  <c r="E18" i="3"/>
  <c r="D18" i="3"/>
  <c r="C18" i="3"/>
  <c r="C19" i="3" s="1"/>
  <c r="B18" i="3"/>
  <c r="B19" i="3" s="1"/>
  <c r="G7" i="46"/>
  <c r="F7" i="44"/>
  <c r="E7" i="54"/>
  <c r="D7" i="56"/>
  <c r="G13" i="3"/>
  <c r="F13" i="3"/>
  <c r="E13" i="3"/>
  <c r="D13" i="3"/>
  <c r="C13" i="3"/>
  <c r="B13" i="3"/>
  <c r="H13" i="3" s="1"/>
  <c r="K11" i="3"/>
  <c r="K13" i="3" s="1"/>
  <c r="H11" i="3"/>
  <c r="K5" i="3"/>
  <c r="K4" i="3"/>
  <c r="G4" i="3"/>
  <c r="F4" i="3"/>
  <c r="E4" i="3"/>
  <c r="D4" i="3"/>
  <c r="C4" i="3"/>
  <c r="B4" i="3"/>
  <c r="F5" i="2"/>
  <c r="B13" i="9"/>
  <c r="K1" i="3"/>
  <c r="B23" i="2"/>
  <c r="O20" i="2"/>
  <c r="O23" i="2" s="1"/>
  <c r="H19" i="2" s="1"/>
  <c r="L19" i="2" s="1"/>
  <c r="I18" i="2"/>
  <c r="F18" i="2"/>
  <c r="G18" i="2" s="1"/>
  <c r="E18" i="2"/>
  <c r="D18" i="2"/>
  <c r="G13" i="2"/>
  <c r="H13" i="2" s="1"/>
  <c r="L12" i="2" s="1"/>
  <c r="G12" i="2"/>
  <c r="H12" i="2" s="1"/>
  <c r="J12" i="2" s="1"/>
  <c r="G11" i="2"/>
  <c r="H11" i="2" s="1"/>
  <c r="J11" i="2" s="1"/>
  <c r="G10" i="2"/>
  <c r="H10" i="2" s="1"/>
  <c r="J10" i="2" s="1"/>
  <c r="G9" i="2"/>
  <c r="H9" i="2" s="1"/>
  <c r="J9" i="2" s="1"/>
  <c r="E3" i="2"/>
  <c r="B4" i="2" s="1"/>
  <c r="G37" i="55"/>
  <c r="F37" i="55"/>
  <c r="E37" i="55"/>
  <c r="D37" i="55"/>
  <c r="C37" i="55"/>
  <c r="B37" i="55"/>
  <c r="B29" i="55"/>
  <c r="D22" i="55"/>
  <c r="C22" i="55"/>
  <c r="B22" i="55"/>
  <c r="D21" i="55"/>
  <c r="C21" i="55"/>
  <c r="B21" i="55"/>
  <c r="C7" i="55"/>
  <c r="B7" i="55"/>
  <c r="H4" i="55"/>
  <c r="F4" i="55"/>
  <c r="H3" i="55"/>
  <c r="G37" i="54"/>
  <c r="F37" i="54"/>
  <c r="E37" i="54"/>
  <c r="D37" i="54"/>
  <c r="C37" i="54"/>
  <c r="B37" i="54"/>
  <c r="B29" i="54"/>
  <c r="D22" i="54"/>
  <c r="C22" i="54"/>
  <c r="B22" i="54"/>
  <c r="D21" i="54"/>
  <c r="C21" i="54"/>
  <c r="B21" i="54"/>
  <c r="C7" i="54"/>
  <c r="B7" i="54"/>
  <c r="H4" i="54"/>
  <c r="F4" i="54"/>
  <c r="H3" i="54"/>
  <c r="G43" i="48"/>
  <c r="F43" i="48"/>
  <c r="E43" i="48"/>
  <c r="D43" i="48"/>
  <c r="C43" i="48"/>
  <c r="B43" i="48"/>
  <c r="D23" i="48"/>
  <c r="C23" i="48"/>
  <c r="B23" i="48"/>
  <c r="D22" i="48"/>
  <c r="C22" i="48"/>
  <c r="B22" i="48"/>
  <c r="C7" i="48"/>
  <c r="B7" i="48"/>
  <c r="H4" i="48"/>
  <c r="H3" i="48" s="1"/>
  <c r="F4" i="48"/>
  <c r="G37" i="47"/>
  <c r="F37" i="47"/>
  <c r="E37" i="47"/>
  <c r="D37" i="47"/>
  <c r="C37" i="47"/>
  <c r="B37" i="47"/>
  <c r="B29" i="47"/>
  <c r="D22" i="47"/>
  <c r="C22" i="47"/>
  <c r="B22" i="47"/>
  <c r="D21" i="47"/>
  <c r="C21" i="47"/>
  <c r="B21" i="47"/>
  <c r="B20" i="47"/>
  <c r="E15" i="47" s="1"/>
  <c r="H15" i="47" s="1"/>
  <c r="J15" i="47" s="1"/>
  <c r="C7" i="47"/>
  <c r="B7" i="47"/>
  <c r="H4" i="47"/>
  <c r="F4" i="47"/>
  <c r="H3" i="47"/>
  <c r="G37" i="46"/>
  <c r="F37" i="46"/>
  <c r="E37" i="46"/>
  <c r="D37" i="46"/>
  <c r="C37" i="46"/>
  <c r="B37" i="46"/>
  <c r="B29" i="46"/>
  <c r="D22" i="46"/>
  <c r="C22" i="46"/>
  <c r="B22" i="46"/>
  <c r="D21" i="46"/>
  <c r="C21" i="46"/>
  <c r="B21" i="46"/>
  <c r="B20" i="46"/>
  <c r="C20" i="46" s="1"/>
  <c r="D20" i="46" s="1"/>
  <c r="C7" i="46"/>
  <c r="B7" i="46"/>
  <c r="H4" i="46"/>
  <c r="F4" i="46"/>
  <c r="H3" i="46"/>
  <c r="G37" i="45"/>
  <c r="F37" i="45"/>
  <c r="E37" i="45"/>
  <c r="D37" i="45"/>
  <c r="C37" i="45"/>
  <c r="B37" i="45"/>
  <c r="B29" i="45"/>
  <c r="D22" i="45"/>
  <c r="C22" i="45"/>
  <c r="B22" i="45"/>
  <c r="D21" i="45"/>
  <c r="C21" i="45"/>
  <c r="B21" i="45"/>
  <c r="B20" i="45"/>
  <c r="C20" i="45" s="1"/>
  <c r="E16" i="45" s="1"/>
  <c r="E15" i="45"/>
  <c r="H15" i="45" s="1"/>
  <c r="J15" i="45" s="1"/>
  <c r="C7" i="45"/>
  <c r="B7" i="45"/>
  <c r="H4" i="45"/>
  <c r="F4" i="45"/>
  <c r="H3" i="45"/>
  <c r="G37" i="44"/>
  <c r="F37" i="44"/>
  <c r="E37" i="44"/>
  <c r="D37" i="44"/>
  <c r="C37" i="44"/>
  <c r="B37" i="44"/>
  <c r="B29" i="44"/>
  <c r="D22" i="44"/>
  <c r="C22" i="44"/>
  <c r="B22" i="44"/>
  <c r="D21" i="44"/>
  <c r="C21" i="44"/>
  <c r="B21" i="44"/>
  <c r="B20" i="44"/>
  <c r="C20" i="44" s="1"/>
  <c r="E16" i="44" s="1"/>
  <c r="H16" i="44" s="1"/>
  <c r="J16" i="44" s="1"/>
  <c r="C7" i="44"/>
  <c r="B7" i="44"/>
  <c r="H4" i="44"/>
  <c r="F4" i="44"/>
  <c r="H3" i="44"/>
  <c r="G37" i="43"/>
  <c r="F37" i="43"/>
  <c r="E37" i="43"/>
  <c r="D37" i="43"/>
  <c r="C37" i="43"/>
  <c r="B37" i="43"/>
  <c r="B29" i="43"/>
  <c r="D22" i="43"/>
  <c r="C22" i="43"/>
  <c r="B22" i="43"/>
  <c r="D21" i="43"/>
  <c r="C21" i="43"/>
  <c r="B21" i="43"/>
  <c r="B20" i="43"/>
  <c r="C20" i="43" s="1"/>
  <c r="D20" i="43" s="1"/>
  <c r="C7" i="43"/>
  <c r="B7" i="43"/>
  <c r="H4" i="43"/>
  <c r="F4" i="43"/>
  <c r="H3" i="43"/>
  <c r="G37" i="57"/>
  <c r="F37" i="57"/>
  <c r="E37" i="57"/>
  <c r="D37" i="57"/>
  <c r="C37" i="57"/>
  <c r="B37" i="57"/>
  <c r="B29" i="57"/>
  <c r="D22" i="57"/>
  <c r="C22" i="57"/>
  <c r="B22" i="57"/>
  <c r="D21" i="57"/>
  <c r="C21" i="57"/>
  <c r="B21" i="57"/>
  <c r="C7" i="57"/>
  <c r="B7" i="57"/>
  <c r="F4" i="57"/>
  <c r="H2" i="57"/>
  <c r="H4" i="57" s="1"/>
  <c r="H3" i="57" s="1"/>
  <c r="G37" i="56"/>
  <c r="F37" i="56"/>
  <c r="E37" i="56"/>
  <c r="D37" i="56"/>
  <c r="C37" i="56"/>
  <c r="B37" i="56"/>
  <c r="B29" i="56"/>
  <c r="D22" i="56"/>
  <c r="C22" i="56"/>
  <c r="B22" i="56"/>
  <c r="D21" i="56"/>
  <c r="C21" i="56"/>
  <c r="B21" i="56"/>
  <c r="G16" i="56"/>
  <c r="F16" i="56"/>
  <c r="D16" i="56"/>
  <c r="C16" i="56"/>
  <c r="B16" i="56"/>
  <c r="G15" i="56"/>
  <c r="F15" i="56"/>
  <c r="D15" i="56"/>
  <c r="C15" i="56"/>
  <c r="B15" i="56"/>
  <c r="G14" i="56"/>
  <c r="G13" i="56"/>
  <c r="E7" i="56"/>
  <c r="C7" i="56"/>
  <c r="B7" i="56"/>
  <c r="H4" i="56"/>
  <c r="F4" i="56"/>
  <c r="H3" i="56"/>
  <c r="H2" i="56"/>
  <c r="G42" i="29"/>
  <c r="F42" i="29"/>
  <c r="E42" i="29"/>
  <c r="D42" i="29"/>
  <c r="C42" i="29"/>
  <c r="B42" i="29"/>
  <c r="D23" i="29"/>
  <c r="C23" i="29"/>
  <c r="B23" i="29"/>
  <c r="D22" i="29"/>
  <c r="C22" i="29"/>
  <c r="B22" i="29"/>
  <c r="C7" i="29"/>
  <c r="B7" i="29"/>
  <c r="F4" i="29"/>
  <c r="D40" i="9"/>
  <c r="D39" i="9"/>
  <c r="D38" i="9"/>
  <c r="D37" i="9"/>
  <c r="D36" i="9"/>
  <c r="D34" i="9"/>
  <c r="G26" i="21"/>
  <c r="C25" i="21"/>
  <c r="C20" i="21"/>
  <c r="C19" i="21"/>
  <c r="C17" i="21"/>
  <c r="C14" i="21"/>
  <c r="O120" i="1" l="1"/>
  <c r="Z120" i="1" s="1"/>
  <c r="O119" i="1"/>
  <c r="O108" i="1"/>
  <c r="P120" i="1"/>
  <c r="AA120" i="1" s="1"/>
  <c r="O95" i="1"/>
  <c r="O142" i="1"/>
  <c r="O101" i="1"/>
  <c r="O149" i="1"/>
  <c r="O99" i="1"/>
  <c r="O147" i="1"/>
  <c r="O132" i="1"/>
  <c r="O134" i="1"/>
  <c r="O97" i="1"/>
  <c r="O123" i="1"/>
  <c r="O139" i="1"/>
  <c r="O85" i="1"/>
  <c r="O112" i="1"/>
  <c r="O90" i="1"/>
  <c r="O103" i="1"/>
  <c r="O105" i="1"/>
  <c r="O133" i="1"/>
  <c r="O107" i="1"/>
  <c r="O106" i="1"/>
  <c r="O131" i="1"/>
  <c r="O89" i="1"/>
  <c r="O145" i="1"/>
  <c r="O156" i="1"/>
  <c r="O141" i="1"/>
  <c r="O154" i="1"/>
  <c r="O111" i="1"/>
  <c r="O94" i="1"/>
  <c r="O144" i="1"/>
  <c r="O118" i="1"/>
  <c r="O148" i="1"/>
  <c r="O130" i="1"/>
  <c r="O140" i="1"/>
  <c r="O100" i="1"/>
  <c r="O84" i="1"/>
  <c r="O114" i="1"/>
  <c r="O110" i="1"/>
  <c r="O87" i="1"/>
  <c r="O155" i="1"/>
  <c r="O86" i="1"/>
  <c r="O98" i="1"/>
  <c r="O104" i="1"/>
  <c r="O117" i="1"/>
  <c r="O136" i="1"/>
  <c r="O138" i="1"/>
  <c r="O116" i="1"/>
  <c r="O102" i="1"/>
  <c r="O115" i="1"/>
  <c r="O109" i="1"/>
  <c r="O146" i="1"/>
  <c r="O150" i="1"/>
  <c r="O152" i="1"/>
  <c r="O153" i="1"/>
  <c r="O151" i="1"/>
  <c r="O137" i="1"/>
  <c r="O93" i="1"/>
  <c r="O143" i="1"/>
  <c r="O88" i="1"/>
  <c r="O92" i="1"/>
  <c r="O135" i="1"/>
  <c r="O38" i="1"/>
  <c r="O41" i="1"/>
  <c r="O32" i="1"/>
  <c r="Z32" i="1" s="1"/>
  <c r="O40" i="1"/>
  <c r="O30" i="1"/>
  <c r="O39" i="1"/>
  <c r="O43" i="1"/>
  <c r="Z43" i="1" s="1"/>
  <c r="O5" i="1"/>
  <c r="O82" i="1"/>
  <c r="O80" i="1"/>
  <c r="O78" i="1"/>
  <c r="O27" i="1"/>
  <c r="Z27" i="1" s="1"/>
  <c r="O61" i="1"/>
  <c r="O52" i="1"/>
  <c r="O70" i="1"/>
  <c r="O62" i="1"/>
  <c r="O81" i="1"/>
  <c r="O23" i="1"/>
  <c r="O58" i="1"/>
  <c r="O77" i="1"/>
  <c r="O54" i="1"/>
  <c r="O68" i="1"/>
  <c r="O76" i="1"/>
  <c r="O60" i="1"/>
  <c r="O50" i="1"/>
  <c r="O56" i="1"/>
  <c r="O59" i="1"/>
  <c r="O55" i="1"/>
  <c r="O66" i="1"/>
  <c r="O53" i="1"/>
  <c r="O65" i="1"/>
  <c r="O67" i="1"/>
  <c r="O79" i="1"/>
  <c r="O75" i="1"/>
  <c r="O72" i="1"/>
  <c r="O71" i="1"/>
  <c r="O64" i="1"/>
  <c r="O69" i="1"/>
  <c r="O63" i="1"/>
  <c r="O57" i="1"/>
  <c r="O51" i="1"/>
  <c r="O74" i="1"/>
  <c r="O73" i="1"/>
  <c r="O34" i="1"/>
  <c r="O37" i="1"/>
  <c r="O35" i="1"/>
  <c r="O6" i="1"/>
  <c r="O11" i="1"/>
  <c r="O16" i="1"/>
  <c r="O25" i="1"/>
  <c r="O33" i="1"/>
  <c r="O7" i="1"/>
  <c r="O12" i="1"/>
  <c r="O17" i="1"/>
  <c r="O26" i="1"/>
  <c r="O19" i="1"/>
  <c r="O9" i="1"/>
  <c r="O13" i="1"/>
  <c r="O18" i="1"/>
  <c r="O29" i="1"/>
  <c r="O10" i="1"/>
  <c r="O14" i="1"/>
  <c r="O24" i="1"/>
  <c r="O31" i="1"/>
  <c r="O8" i="1"/>
  <c r="O20" i="1"/>
  <c r="O15" i="1"/>
  <c r="O22" i="1"/>
  <c r="O36" i="1"/>
  <c r="O21" i="1"/>
  <c r="O28" i="1"/>
  <c r="P134" i="1"/>
  <c r="AA134" i="1" s="1"/>
  <c r="P94" i="1"/>
  <c r="AA94" i="1" s="1"/>
  <c r="P130" i="1"/>
  <c r="AA130" i="1" s="1"/>
  <c r="P152" i="1"/>
  <c r="AA152" i="1" s="1"/>
  <c r="P153" i="1"/>
  <c r="AA153" i="1" s="1"/>
  <c r="P91" i="1"/>
  <c r="AA91" i="1" s="1"/>
  <c r="P88" i="1"/>
  <c r="AA88" i="1" s="1"/>
  <c r="P107" i="1"/>
  <c r="AA107" i="1" s="1"/>
  <c r="P99" i="1"/>
  <c r="AA99" i="1" s="1"/>
  <c r="P90" i="1"/>
  <c r="AA90" i="1" s="1"/>
  <c r="P131" i="1"/>
  <c r="AA131" i="1" s="1"/>
  <c r="P89" i="1"/>
  <c r="AA89" i="1" s="1"/>
  <c r="P150" i="1"/>
  <c r="AA150" i="1" s="1"/>
  <c r="P110" i="1"/>
  <c r="AA110" i="1" s="1"/>
  <c r="P100" i="1"/>
  <c r="AA100" i="1" s="1"/>
  <c r="P95" i="1"/>
  <c r="AA95" i="1" s="1"/>
  <c r="P147" i="1"/>
  <c r="AA147" i="1" s="1"/>
  <c r="P135" i="1"/>
  <c r="AA135" i="1" s="1"/>
  <c r="P138" i="1"/>
  <c r="AA138" i="1" s="1"/>
  <c r="P104" i="1"/>
  <c r="AA104" i="1" s="1"/>
  <c r="P123" i="1"/>
  <c r="AA123" i="1" s="1"/>
  <c r="P119" i="1"/>
  <c r="AA119" i="1" s="1"/>
  <c r="P149" i="1"/>
  <c r="AA149" i="1" s="1"/>
  <c r="P84" i="1"/>
  <c r="AA84" i="1" s="1"/>
  <c r="P115" i="1"/>
  <c r="AA115" i="1" s="1"/>
  <c r="P111" i="1"/>
  <c r="AA111" i="1" s="1"/>
  <c r="P117" i="1"/>
  <c r="AA117" i="1" s="1"/>
  <c r="P101" i="1"/>
  <c r="AA101" i="1" s="1"/>
  <c r="P154" i="1"/>
  <c r="AA154" i="1" s="1"/>
  <c r="P98" i="1"/>
  <c r="AA98" i="1" s="1"/>
  <c r="P140" i="1"/>
  <c r="AA140" i="1" s="1"/>
  <c r="P144" i="1"/>
  <c r="AA144" i="1" s="1"/>
  <c r="P93" i="1"/>
  <c r="AA93" i="1" s="1"/>
  <c r="P114" i="1"/>
  <c r="AA114" i="1" s="1"/>
  <c r="P139" i="1"/>
  <c r="AA139" i="1" s="1"/>
  <c r="P116" i="1"/>
  <c r="AA116" i="1" s="1"/>
  <c r="P92" i="1"/>
  <c r="AA92" i="1" s="1"/>
  <c r="P142" i="1"/>
  <c r="AA142" i="1" s="1"/>
  <c r="P113" i="1"/>
  <c r="AA113" i="1" s="1"/>
  <c r="P143" i="1"/>
  <c r="AA143" i="1" s="1"/>
  <c r="P145" i="1"/>
  <c r="AA145" i="1" s="1"/>
  <c r="P105" i="1"/>
  <c r="AA105" i="1" s="1"/>
  <c r="P97" i="1"/>
  <c r="AA97" i="1" s="1"/>
  <c r="P109" i="1"/>
  <c r="AA109" i="1" s="1"/>
  <c r="P102" i="1"/>
  <c r="AA102" i="1" s="1"/>
  <c r="P141" i="1"/>
  <c r="AA141" i="1" s="1"/>
  <c r="P146" i="1"/>
  <c r="AA146" i="1" s="1"/>
  <c r="P132" i="1"/>
  <c r="AA132" i="1" s="1"/>
  <c r="P136" i="1"/>
  <c r="AA136" i="1" s="1"/>
  <c r="P106" i="1"/>
  <c r="AA106" i="1" s="1"/>
  <c r="P112" i="1"/>
  <c r="AA112" i="1" s="1"/>
  <c r="AA96" i="1"/>
  <c r="P137" i="1"/>
  <c r="AA137" i="1" s="1"/>
  <c r="P108" i="1"/>
  <c r="AA108" i="1" s="1"/>
  <c r="P151" i="1"/>
  <c r="AA151" i="1" s="1"/>
  <c r="P87" i="1"/>
  <c r="AA87" i="1" s="1"/>
  <c r="P103" i="1"/>
  <c r="AA103" i="1" s="1"/>
  <c r="P121" i="1"/>
  <c r="AA121" i="1" s="1"/>
  <c r="P118" i="1"/>
  <c r="AA118" i="1" s="1"/>
  <c r="P133" i="1"/>
  <c r="AA133" i="1" s="1"/>
  <c r="P157" i="1"/>
  <c r="AA157" i="1" s="1"/>
  <c r="P85" i="1"/>
  <c r="AA85" i="1" s="1"/>
  <c r="P86" i="1"/>
  <c r="AA86" i="1" s="1"/>
  <c r="P156" i="1"/>
  <c r="AA156" i="1" s="1"/>
  <c r="P148" i="1"/>
  <c r="AA148" i="1" s="1"/>
  <c r="P155" i="1"/>
  <c r="AA155" i="1" s="1"/>
  <c r="P43" i="1"/>
  <c r="AA43" i="1" s="1"/>
  <c r="P41" i="1"/>
  <c r="AA41" i="1" s="1"/>
  <c r="P40" i="1"/>
  <c r="AA40" i="1" s="1"/>
  <c r="P39" i="1"/>
  <c r="AA39" i="1" s="1"/>
  <c r="P38" i="1"/>
  <c r="AA38" i="1" s="1"/>
  <c r="P32" i="1"/>
  <c r="AA32" i="1" s="1"/>
  <c r="P30" i="1"/>
  <c r="AA30" i="1" s="1"/>
  <c r="P82" i="1"/>
  <c r="AA82" i="1" s="1"/>
  <c r="P79" i="1"/>
  <c r="AA79" i="1" s="1"/>
  <c r="P77" i="1"/>
  <c r="AA77" i="1" s="1"/>
  <c r="P81" i="1"/>
  <c r="AA81" i="1" s="1"/>
  <c r="P80" i="1"/>
  <c r="AA80" i="1" s="1"/>
  <c r="P78" i="1"/>
  <c r="AA78" i="1" s="1"/>
  <c r="P67" i="1"/>
  <c r="AA67" i="1" s="1"/>
  <c r="P65" i="1"/>
  <c r="AA65" i="1" s="1"/>
  <c r="P66" i="1"/>
  <c r="AA66" i="1" s="1"/>
  <c r="P27" i="1"/>
  <c r="AA27" i="1" s="1"/>
  <c r="P64" i="1"/>
  <c r="AA64" i="1" s="1"/>
  <c r="P61" i="1"/>
  <c r="AA61" i="1" s="1"/>
  <c r="P62" i="1"/>
  <c r="AA62" i="1" s="1"/>
  <c r="P63" i="1"/>
  <c r="AA63" i="1" s="1"/>
  <c r="P60" i="1"/>
  <c r="AA60" i="1" s="1"/>
  <c r="P76" i="1"/>
  <c r="AA76" i="1" s="1"/>
  <c r="P75" i="1"/>
  <c r="AA75" i="1" s="1"/>
  <c r="P57" i="1"/>
  <c r="AA57" i="1" s="1"/>
  <c r="P73" i="1"/>
  <c r="AA73" i="1" s="1"/>
  <c r="P74" i="1"/>
  <c r="AA74" i="1" s="1"/>
  <c r="P54" i="1"/>
  <c r="AA54" i="1" s="1"/>
  <c r="P52" i="1"/>
  <c r="AA52" i="1" s="1"/>
  <c r="P58" i="1"/>
  <c r="AA58" i="1" s="1"/>
  <c r="P71" i="1"/>
  <c r="AA71" i="1" s="1"/>
  <c r="P70" i="1"/>
  <c r="AA70" i="1" s="1"/>
  <c r="P72" i="1"/>
  <c r="AA72" i="1" s="1"/>
  <c r="P55" i="1"/>
  <c r="AA55" i="1" s="1"/>
  <c r="P59" i="1"/>
  <c r="AA59" i="1" s="1"/>
  <c r="P68" i="1"/>
  <c r="AA68" i="1" s="1"/>
  <c r="P53" i="1"/>
  <c r="AA53" i="1" s="1"/>
  <c r="P69" i="1"/>
  <c r="AA69" i="1" s="1"/>
  <c r="P56" i="1"/>
  <c r="AA56" i="1" s="1"/>
  <c r="P51" i="1"/>
  <c r="AA51" i="1" s="1"/>
  <c r="P50" i="1"/>
  <c r="AA50" i="1" s="1"/>
  <c r="K18" i="2"/>
  <c r="G7" i="48"/>
  <c r="G8" i="48" s="1"/>
  <c r="G29" i="48" s="1"/>
  <c r="G7" i="56"/>
  <c r="D7" i="44"/>
  <c r="D8" i="44" s="1"/>
  <c r="D30" i="44" s="1"/>
  <c r="AA46" i="1"/>
  <c r="P37" i="1"/>
  <c r="AA37" i="1" s="1"/>
  <c r="AA48" i="1"/>
  <c r="P26" i="1"/>
  <c r="AA26" i="1" s="1"/>
  <c r="P35" i="1"/>
  <c r="AA35" i="1" s="1"/>
  <c r="P33" i="1"/>
  <c r="AA33" i="1" s="1"/>
  <c r="P21" i="1"/>
  <c r="AA21" i="1" s="1"/>
  <c r="P16" i="1"/>
  <c r="AA16" i="1" s="1"/>
  <c r="P36" i="1"/>
  <c r="AA36" i="1" s="1"/>
  <c r="AA49" i="1"/>
  <c r="P17" i="1"/>
  <c r="AA17" i="1" s="1"/>
  <c r="P22" i="1"/>
  <c r="AA22" i="1" s="1"/>
  <c r="P25" i="1"/>
  <c r="AA25" i="1" s="1"/>
  <c r="P8" i="1"/>
  <c r="AA8" i="1" s="1"/>
  <c r="P9" i="1"/>
  <c r="P14" i="1"/>
  <c r="AA14" i="1" s="1"/>
  <c r="P23" i="1"/>
  <c r="AA23" i="1" s="1"/>
  <c r="AA44" i="1"/>
  <c r="P12" i="1"/>
  <c r="AA12" i="1" s="1"/>
  <c r="AA45" i="1"/>
  <c r="AA42" i="1"/>
  <c r="P34" i="1"/>
  <c r="AA34" i="1" s="1"/>
  <c r="P18" i="1"/>
  <c r="AA18" i="1" s="1"/>
  <c r="P5" i="1"/>
  <c r="AA5" i="1" s="1"/>
  <c r="P20" i="1"/>
  <c r="AA20" i="1" s="1"/>
  <c r="P15" i="1"/>
  <c r="AA15" i="1" s="1"/>
  <c r="P11" i="1"/>
  <c r="AA11" i="1" s="1"/>
  <c r="P6" i="1"/>
  <c r="AA6" i="1" s="1"/>
  <c r="P29" i="1"/>
  <c r="AA29" i="1" s="1"/>
  <c r="P13" i="1"/>
  <c r="AA13" i="1" s="1"/>
  <c r="P19" i="1"/>
  <c r="AA19" i="1" s="1"/>
  <c r="P28" i="1"/>
  <c r="AA28" i="1" s="1"/>
  <c r="P31" i="1"/>
  <c r="AA31" i="1" s="1"/>
  <c r="P7" i="1"/>
  <c r="AA7" i="1" s="1"/>
  <c r="P24" i="1"/>
  <c r="AA24" i="1" s="1"/>
  <c r="AA47" i="1"/>
  <c r="P10" i="1"/>
  <c r="AA10" i="1" s="1"/>
  <c r="P191" i="1"/>
  <c r="AA191" i="1" s="1"/>
  <c r="P201" i="1"/>
  <c r="AA201" i="1" s="1"/>
  <c r="P203" i="1"/>
  <c r="AA203" i="1" s="1"/>
  <c r="P192" i="1"/>
  <c r="AA192" i="1" s="1"/>
  <c r="P180" i="1"/>
  <c r="AA180" i="1" s="1"/>
  <c r="P204" i="1"/>
  <c r="AA204" i="1" s="1"/>
  <c r="P217" i="1"/>
  <c r="AA217" i="1" s="1"/>
  <c r="P208" i="1"/>
  <c r="AA208" i="1" s="1"/>
  <c r="P163" i="1"/>
  <c r="AA163" i="1" s="1"/>
  <c r="P176" i="1"/>
  <c r="AA176" i="1" s="1"/>
  <c r="P171" i="1"/>
  <c r="AA171" i="1" s="1"/>
  <c r="P196" i="1"/>
  <c r="AA196" i="1" s="1"/>
  <c r="P216" i="1"/>
  <c r="AA216" i="1" s="1"/>
  <c r="P213" i="1"/>
  <c r="AA213" i="1" s="1"/>
  <c r="P161" i="1"/>
  <c r="AA161" i="1" s="1"/>
  <c r="P211" i="1"/>
  <c r="AA211" i="1" s="1"/>
  <c r="P212" i="1"/>
  <c r="AA212" i="1" s="1"/>
  <c r="P165" i="1"/>
  <c r="AA165" i="1" s="1"/>
  <c r="P209" i="1"/>
  <c r="AA209" i="1" s="1"/>
  <c r="P206" i="1"/>
  <c r="AA206" i="1" s="1"/>
  <c r="P177" i="1"/>
  <c r="AA177" i="1" s="1"/>
  <c r="P174" i="1"/>
  <c r="AA174" i="1" s="1"/>
  <c r="P170" i="1"/>
  <c r="AA170" i="1" s="1"/>
  <c r="P190" i="1"/>
  <c r="AA190" i="1" s="1"/>
  <c r="P198" i="1"/>
  <c r="AA198" i="1" s="1"/>
  <c r="P182" i="1"/>
  <c r="AA182" i="1" s="1"/>
  <c r="P172" i="1"/>
  <c r="AA172" i="1" s="1"/>
  <c r="P202" i="1"/>
  <c r="AA202" i="1" s="1"/>
  <c r="P194" i="1"/>
  <c r="AA194" i="1" s="1"/>
  <c r="P205" i="1"/>
  <c r="AA205" i="1" s="1"/>
  <c r="P207" i="1"/>
  <c r="AA207" i="1" s="1"/>
  <c r="P173" i="1"/>
  <c r="AA173" i="1" s="1"/>
  <c r="P158" i="1"/>
  <c r="AA158" i="1" s="1"/>
  <c r="P185" i="1"/>
  <c r="AA185" i="1" s="1"/>
  <c r="P200" i="1"/>
  <c r="AA200" i="1" s="1"/>
  <c r="P186" i="1"/>
  <c r="AA186" i="1" s="1"/>
  <c r="P183" i="1"/>
  <c r="AA183" i="1" s="1"/>
  <c r="P166" i="1"/>
  <c r="AA166" i="1" s="1"/>
  <c r="P195" i="1"/>
  <c r="AA195" i="1" s="1"/>
  <c r="P199" i="1"/>
  <c r="AA199" i="1" s="1"/>
  <c r="P197" i="1"/>
  <c r="AA197" i="1" s="1"/>
  <c r="P162" i="1"/>
  <c r="AA162" i="1" s="1"/>
  <c r="P187" i="1"/>
  <c r="AA187" i="1" s="1"/>
  <c r="P159" i="1"/>
  <c r="AA159" i="1" s="1"/>
  <c r="P214" i="1"/>
  <c r="AA214" i="1" s="1"/>
  <c r="P181" i="1"/>
  <c r="AA181" i="1" s="1"/>
  <c r="P189" i="1"/>
  <c r="AA189" i="1" s="1"/>
  <c r="P188" i="1"/>
  <c r="AA188" i="1" s="1"/>
  <c r="P179" i="1"/>
  <c r="AA179" i="1" s="1"/>
  <c r="P169" i="1"/>
  <c r="AA169" i="1" s="1"/>
  <c r="P193" i="1"/>
  <c r="AA193" i="1" s="1"/>
  <c r="P168" i="1"/>
  <c r="AA168" i="1" s="1"/>
  <c r="P184" i="1"/>
  <c r="AA184" i="1" s="1"/>
  <c r="P167" i="1"/>
  <c r="AA167" i="1" s="1"/>
  <c r="P215" i="1"/>
  <c r="AA215" i="1" s="1"/>
  <c r="P210" i="1"/>
  <c r="AA210" i="1" s="1"/>
  <c r="P175" i="1"/>
  <c r="AA175" i="1" s="1"/>
  <c r="P160" i="1"/>
  <c r="AA160" i="1" s="1"/>
  <c r="P164" i="1"/>
  <c r="AA164" i="1" s="1"/>
  <c r="P178" i="1"/>
  <c r="AA178" i="1" s="1"/>
  <c r="O212" i="1"/>
  <c r="O195" i="1"/>
  <c r="O184" i="1"/>
  <c r="O179" i="1"/>
  <c r="O189" i="1"/>
  <c r="O161" i="1"/>
  <c r="O193" i="1"/>
  <c r="O170" i="1"/>
  <c r="O209" i="1"/>
  <c r="O182" i="1"/>
  <c r="O165" i="1"/>
  <c r="O164" i="1"/>
  <c r="O186" i="1"/>
  <c r="O215" i="1"/>
  <c r="O183" i="1"/>
  <c r="O187" i="1"/>
  <c r="O203" i="1"/>
  <c r="O201" i="1"/>
  <c r="O163" i="1"/>
  <c r="O162" i="1"/>
  <c r="O216" i="1"/>
  <c r="O211" i="1"/>
  <c r="O175" i="1"/>
  <c r="O204" i="1"/>
  <c r="O197" i="1"/>
  <c r="O194" i="1"/>
  <c r="O171" i="1"/>
  <c r="O180" i="1"/>
  <c r="O181" i="1"/>
  <c r="O196" i="1"/>
  <c r="O160" i="1"/>
  <c r="O208" i="1"/>
  <c r="O207" i="1"/>
  <c r="O191" i="1"/>
  <c r="O158" i="1"/>
  <c r="O174" i="1"/>
  <c r="O172" i="1"/>
  <c r="O167" i="1"/>
  <c r="O202" i="1"/>
  <c r="O166" i="1"/>
  <c r="O190" i="1"/>
  <c r="O188" i="1"/>
  <c r="O199" i="1"/>
  <c r="O185" i="1"/>
  <c r="O198" i="1"/>
  <c r="O169" i="1"/>
  <c r="O205" i="1"/>
  <c r="O206" i="1"/>
  <c r="O178" i="1"/>
  <c r="O217" i="1"/>
  <c r="O159" i="1"/>
  <c r="O173" i="1"/>
  <c r="O168" i="1"/>
  <c r="O213" i="1"/>
  <c r="O192" i="1"/>
  <c r="O200" i="1"/>
  <c r="O177" i="1"/>
  <c r="O210" i="1"/>
  <c r="O214" i="1"/>
  <c r="O176" i="1"/>
  <c r="G40" i="48"/>
  <c r="F40" i="48"/>
  <c r="F39" i="29" s="1"/>
  <c r="D40" i="48"/>
  <c r="D39" i="29" s="1"/>
  <c r="E7" i="44"/>
  <c r="D7" i="48"/>
  <c r="D8" i="48" s="1"/>
  <c r="D10" i="48" s="1"/>
  <c r="D7" i="29"/>
  <c r="D8" i="29" s="1"/>
  <c r="E7" i="48"/>
  <c r="E8" i="48" s="1"/>
  <c r="E35" i="48" s="1"/>
  <c r="E7" i="29"/>
  <c r="E8" i="29" s="1"/>
  <c r="D7" i="43"/>
  <c r="D8" i="43" s="1"/>
  <c r="D30" i="43" s="1"/>
  <c r="E7" i="43"/>
  <c r="E8" i="43" s="1"/>
  <c r="E10" i="43" s="1"/>
  <c r="D7" i="47"/>
  <c r="D8" i="47" s="1"/>
  <c r="D5" i="3"/>
  <c r="D6" i="8" s="1"/>
  <c r="E7" i="47"/>
  <c r="E8" i="47" s="1"/>
  <c r="E30" i="47" s="1"/>
  <c r="H5" i="2"/>
  <c r="E7" i="55"/>
  <c r="E8" i="55" s="1"/>
  <c r="E10" i="55" s="1"/>
  <c r="E26" i="55" s="1"/>
  <c r="E7" i="57"/>
  <c r="E8" i="57" s="1"/>
  <c r="E7" i="46"/>
  <c r="E8" i="46" s="1"/>
  <c r="E10" i="46" s="1"/>
  <c r="E26" i="46" s="1"/>
  <c r="D7" i="45"/>
  <c r="D8" i="45" s="1"/>
  <c r="D30" i="45" s="1"/>
  <c r="D7" i="46"/>
  <c r="D8" i="46" s="1"/>
  <c r="D10" i="46" s="1"/>
  <c r="D26" i="46" s="1"/>
  <c r="E19" i="3"/>
  <c r="E7" i="45"/>
  <c r="H7" i="45" s="1"/>
  <c r="D7" i="54"/>
  <c r="D8" i="54" s="1"/>
  <c r="D7" i="55"/>
  <c r="D8" i="55" s="1"/>
  <c r="D19" i="3"/>
  <c r="D7" i="57"/>
  <c r="D8" i="57" s="1"/>
  <c r="B8" i="43"/>
  <c r="B30" i="43" s="1"/>
  <c r="G7" i="47"/>
  <c r="G8" i="47" s="1"/>
  <c r="G25" i="47" s="1"/>
  <c r="G7" i="57"/>
  <c r="G8" i="57" s="1"/>
  <c r="G25" i="57" s="1"/>
  <c r="F7" i="43"/>
  <c r="F8" i="43" s="1"/>
  <c r="F10" i="43" s="1"/>
  <c r="F26" i="43" s="1"/>
  <c r="F7" i="57"/>
  <c r="F8" i="57" s="1"/>
  <c r="G7" i="44"/>
  <c r="G8" i="44" s="1"/>
  <c r="G25" i="44" s="1"/>
  <c r="G7" i="45"/>
  <c r="G8" i="45" s="1"/>
  <c r="G25" i="45" s="1"/>
  <c r="G7" i="29"/>
  <c r="G8" i="29" s="1"/>
  <c r="I5" i="2"/>
  <c r="G7" i="55"/>
  <c r="G8" i="55" s="1"/>
  <c r="G25" i="55" s="1"/>
  <c r="G8" i="56"/>
  <c r="G30" i="56" s="1"/>
  <c r="G7" i="43"/>
  <c r="G8" i="43" s="1"/>
  <c r="G25" i="43" s="1"/>
  <c r="G7" i="54"/>
  <c r="G8" i="54" s="1"/>
  <c r="G19" i="3"/>
  <c r="F5" i="3"/>
  <c r="D7" i="8" s="1"/>
  <c r="F7" i="45"/>
  <c r="F8" i="45" s="1"/>
  <c r="F10" i="45" s="1"/>
  <c r="F26" i="45" s="1"/>
  <c r="F7" i="46"/>
  <c r="F8" i="46" s="1"/>
  <c r="F30" i="46" s="1"/>
  <c r="F7" i="55"/>
  <c r="F8" i="55" s="1"/>
  <c r="H17" i="3"/>
  <c r="H3" i="3" s="1"/>
  <c r="F7" i="56"/>
  <c r="H7" i="56" s="1"/>
  <c r="F7" i="29"/>
  <c r="H7" i="46"/>
  <c r="F7" i="54"/>
  <c r="F8" i="54" s="1"/>
  <c r="F30" i="54" s="1"/>
  <c r="F7" i="48"/>
  <c r="F8" i="48" s="1"/>
  <c r="F7" i="47"/>
  <c r="F8" i="47" s="1"/>
  <c r="F10" i="47" s="1"/>
  <c r="F26" i="47" s="1"/>
  <c r="F19" i="3"/>
  <c r="C8" i="55"/>
  <c r="C30" i="55" s="1"/>
  <c r="E15" i="44"/>
  <c r="H15" i="44" s="1"/>
  <c r="J15" i="44" s="1"/>
  <c r="E15" i="43"/>
  <c r="C20" i="47"/>
  <c r="D20" i="47" s="1"/>
  <c r="I18" i="45"/>
  <c r="E15" i="46"/>
  <c r="H15" i="46" s="1"/>
  <c r="J15" i="46" s="1"/>
  <c r="H18" i="2"/>
  <c r="L18" i="2" s="1"/>
  <c r="E16" i="43"/>
  <c r="H16" i="43" s="1"/>
  <c r="J16" i="43" s="1"/>
  <c r="D20" i="44"/>
  <c r="C8" i="48"/>
  <c r="C35" i="48" s="1"/>
  <c r="C5" i="3"/>
  <c r="D3" i="8" s="1"/>
  <c r="B14" i="9"/>
  <c r="B8" i="47"/>
  <c r="B30" i="47" s="1"/>
  <c r="E5" i="2"/>
  <c r="B5" i="3"/>
  <c r="D2" i="8" s="1"/>
  <c r="B8" i="48"/>
  <c r="B35" i="48" s="1"/>
  <c r="B8" i="55"/>
  <c r="B30" i="55" s="1"/>
  <c r="N12" i="2"/>
  <c r="O12" i="2" s="1"/>
  <c r="P12" i="2" s="1"/>
  <c r="J13" i="2"/>
  <c r="J14" i="2" s="1"/>
  <c r="F8" i="44"/>
  <c r="C8" i="43"/>
  <c r="C30" i="43" s="1"/>
  <c r="B8" i="44"/>
  <c r="B30" i="44" s="1"/>
  <c r="C8" i="47"/>
  <c r="C30" i="47" s="1"/>
  <c r="C8" i="44"/>
  <c r="C30" i="44" s="1"/>
  <c r="I19" i="44"/>
  <c r="H16" i="45"/>
  <c r="J16" i="45" s="1"/>
  <c r="I19" i="45"/>
  <c r="P3" i="21"/>
  <c r="G8" i="46"/>
  <c r="C8" i="46"/>
  <c r="C30" i="46" s="1"/>
  <c r="B8" i="46"/>
  <c r="E8" i="54"/>
  <c r="E30" i="54" s="1"/>
  <c r="C8" i="54"/>
  <c r="C30" i="54" s="1"/>
  <c r="B8" i="54"/>
  <c r="E16" i="46"/>
  <c r="D8" i="56"/>
  <c r="D30" i="56" s="1"/>
  <c r="C8" i="45"/>
  <c r="C30" i="45" s="1"/>
  <c r="D20" i="45"/>
  <c r="B8" i="29"/>
  <c r="C8" i="29"/>
  <c r="E8" i="56"/>
  <c r="E30" i="56" s="1"/>
  <c r="B8" i="57"/>
  <c r="B8" i="56"/>
  <c r="C8" i="57"/>
  <c r="C8" i="56"/>
  <c r="C30" i="56" s="1"/>
  <c r="B8" i="45"/>
  <c r="B10" i="45" s="1"/>
  <c r="B34" i="43"/>
  <c r="B41" i="43" s="1"/>
  <c r="F31" i="54"/>
  <c r="G33" i="55"/>
  <c r="C31" i="46"/>
  <c r="C38" i="46" s="1"/>
  <c r="D34" i="47"/>
  <c r="B32" i="54"/>
  <c r="B39" i="54" s="1"/>
  <c r="C34" i="55"/>
  <c r="C41" i="55" s="1"/>
  <c r="G32" i="55"/>
  <c r="D34" i="43"/>
  <c r="C32" i="46"/>
  <c r="C39" i="46" s="1"/>
  <c r="E31" i="44"/>
  <c r="E38" i="44" s="1"/>
  <c r="G31" i="44"/>
  <c r="G38" i="44" s="1"/>
  <c r="F34" i="47"/>
  <c r="E34" i="45"/>
  <c r="E41" i="45" s="1"/>
  <c r="G34" i="45"/>
  <c r="G41" i="45" s="1"/>
  <c r="G36" i="48"/>
  <c r="G35" i="29" s="1"/>
  <c r="G32" i="44"/>
  <c r="E32" i="46"/>
  <c r="B33" i="54"/>
  <c r="C33" i="44"/>
  <c r="C40" i="44" s="1"/>
  <c r="E33" i="46"/>
  <c r="G37" i="48"/>
  <c r="G36" i="29" s="1"/>
  <c r="D33" i="54"/>
  <c r="D31" i="43"/>
  <c r="C34" i="44"/>
  <c r="C41" i="44" s="1"/>
  <c r="G31" i="45"/>
  <c r="G38" i="45" s="1"/>
  <c r="G33" i="46"/>
  <c r="G40" i="46" s="1"/>
  <c r="F31" i="47"/>
  <c r="D34" i="54"/>
  <c r="C31" i="55"/>
  <c r="C38" i="55" s="1"/>
  <c r="F31" i="43"/>
  <c r="G34" i="46"/>
  <c r="G41" i="46" s="1"/>
  <c r="B32" i="47"/>
  <c r="B39" i="47" s="1"/>
  <c r="F34" i="54"/>
  <c r="E31" i="55"/>
  <c r="E38" i="55" s="1"/>
  <c r="F33" i="55"/>
  <c r="C32" i="45"/>
  <c r="C39" i="45" s="1"/>
  <c r="C33" i="45"/>
  <c r="C40" i="45" s="1"/>
  <c r="B33" i="47"/>
  <c r="E32" i="55"/>
  <c r="E34" i="44"/>
  <c r="F32" i="43"/>
  <c r="F39" i="43" s="1"/>
  <c r="B33" i="43"/>
  <c r="E33" i="45"/>
  <c r="D33" i="47"/>
  <c r="E31" i="43"/>
  <c r="G32" i="43"/>
  <c r="C34" i="43"/>
  <c r="F31" i="44"/>
  <c r="F38" i="44" s="1"/>
  <c r="B33" i="44"/>
  <c r="D34" i="44"/>
  <c r="B32" i="45"/>
  <c r="B39" i="45" s="1"/>
  <c r="D33" i="45"/>
  <c r="F34" i="45"/>
  <c r="F41" i="45" s="1"/>
  <c r="B31" i="46"/>
  <c r="B38" i="46" s="1"/>
  <c r="D32" i="46"/>
  <c r="F33" i="46"/>
  <c r="G31" i="47"/>
  <c r="C33" i="47"/>
  <c r="C40" i="47" s="1"/>
  <c r="E34" i="47"/>
  <c r="E41" i="47" s="1"/>
  <c r="F36" i="48"/>
  <c r="F35" i="29" s="1"/>
  <c r="G31" i="54"/>
  <c r="C33" i="54"/>
  <c r="C40" i="54" s="1"/>
  <c r="E34" i="54"/>
  <c r="E41" i="54" s="1"/>
  <c r="D31" i="55"/>
  <c r="F32" i="55"/>
  <c r="B34" i="55"/>
  <c r="B41" i="55" s="1"/>
  <c r="G31" i="43"/>
  <c r="C33" i="43"/>
  <c r="E34" i="43"/>
  <c r="B32" i="44"/>
  <c r="B39" i="44" s="1"/>
  <c r="D33" i="44"/>
  <c r="D40" i="44" s="1"/>
  <c r="F34" i="44"/>
  <c r="F41" i="44" s="1"/>
  <c r="B31" i="45"/>
  <c r="B38" i="45" s="1"/>
  <c r="D32" i="45"/>
  <c r="F33" i="45"/>
  <c r="F40" i="45" s="1"/>
  <c r="D31" i="46"/>
  <c r="D38" i="46" s="1"/>
  <c r="F32" i="46"/>
  <c r="B34" i="46"/>
  <c r="B41" i="46" s="1"/>
  <c r="C32" i="47"/>
  <c r="C39" i="47" s="1"/>
  <c r="E33" i="47"/>
  <c r="G34" i="47"/>
  <c r="C32" i="54"/>
  <c r="C39" i="54" s="1"/>
  <c r="E33" i="54"/>
  <c r="E40" i="54" s="1"/>
  <c r="G34" i="54"/>
  <c r="F31" i="55"/>
  <c r="B33" i="55"/>
  <c r="D34" i="55"/>
  <c r="B32" i="43"/>
  <c r="D33" i="43"/>
  <c r="F34" i="43"/>
  <c r="C32" i="44"/>
  <c r="C39" i="44" s="1"/>
  <c r="E33" i="44"/>
  <c r="E40" i="44" s="1"/>
  <c r="G34" i="44"/>
  <c r="G41" i="44" s="1"/>
  <c r="C31" i="45"/>
  <c r="C38" i="45" s="1"/>
  <c r="E32" i="45"/>
  <c r="G33" i="45"/>
  <c r="E31" i="46"/>
  <c r="G32" i="46"/>
  <c r="G39" i="46" s="1"/>
  <c r="C34" i="46"/>
  <c r="C41" i="46" s="1"/>
  <c r="B31" i="47"/>
  <c r="B38" i="47" s="1"/>
  <c r="D32" i="47"/>
  <c r="F33" i="47"/>
  <c r="B31" i="54"/>
  <c r="B38" i="54" s="1"/>
  <c r="D32" i="54"/>
  <c r="F33" i="54"/>
  <c r="G31" i="55"/>
  <c r="C33" i="55"/>
  <c r="C40" i="55" s="1"/>
  <c r="E34" i="55"/>
  <c r="C32" i="43"/>
  <c r="C39" i="43" s="1"/>
  <c r="E33" i="43"/>
  <c r="G34" i="43"/>
  <c r="B31" i="44"/>
  <c r="B38" i="44" s="1"/>
  <c r="D32" i="44"/>
  <c r="D39" i="44" s="1"/>
  <c r="F33" i="44"/>
  <c r="F40" i="44" s="1"/>
  <c r="D31" i="45"/>
  <c r="F32" i="45"/>
  <c r="B34" i="45"/>
  <c r="B41" i="45" s="1"/>
  <c r="F31" i="46"/>
  <c r="B33" i="46"/>
  <c r="D34" i="46"/>
  <c r="C31" i="47"/>
  <c r="C38" i="47" s="1"/>
  <c r="E32" i="47"/>
  <c r="G33" i="47"/>
  <c r="D37" i="48"/>
  <c r="D36" i="29" s="1"/>
  <c r="C31" i="54"/>
  <c r="C38" i="54" s="1"/>
  <c r="E32" i="54"/>
  <c r="E39" i="54" s="1"/>
  <c r="G33" i="54"/>
  <c r="B32" i="55"/>
  <c r="B39" i="55" s="1"/>
  <c r="D33" i="55"/>
  <c r="F34" i="55"/>
  <c r="B31" i="43"/>
  <c r="D32" i="43"/>
  <c r="F33" i="43"/>
  <c r="C31" i="44"/>
  <c r="C38" i="44" s="1"/>
  <c r="E32" i="44"/>
  <c r="E39" i="44" s="1"/>
  <c r="G33" i="44"/>
  <c r="E31" i="45"/>
  <c r="G32" i="45"/>
  <c r="G39" i="45" s="1"/>
  <c r="C34" i="45"/>
  <c r="C41" i="45" s="1"/>
  <c r="G31" i="46"/>
  <c r="G38" i="46" s="1"/>
  <c r="C33" i="46"/>
  <c r="C40" i="46" s="1"/>
  <c r="E34" i="46"/>
  <c r="D31" i="47"/>
  <c r="F32" i="47"/>
  <c r="B34" i="47"/>
  <c r="B41" i="47" s="1"/>
  <c r="D31" i="54"/>
  <c r="D38" i="54" s="1"/>
  <c r="F32" i="54"/>
  <c r="B34" i="54"/>
  <c r="B41" i="54" s="1"/>
  <c r="C32" i="55"/>
  <c r="C39" i="55" s="1"/>
  <c r="E33" i="55"/>
  <c r="E40" i="55" s="1"/>
  <c r="G34" i="55"/>
  <c r="C31" i="43"/>
  <c r="C38" i="43" s="1"/>
  <c r="E32" i="43"/>
  <c r="G33" i="43"/>
  <c r="D31" i="44"/>
  <c r="D38" i="44" s="1"/>
  <c r="F32" i="44"/>
  <c r="F39" i="44" s="1"/>
  <c r="B34" i="44"/>
  <c r="B41" i="44" s="1"/>
  <c r="F31" i="45"/>
  <c r="B33" i="45"/>
  <c r="D34" i="45"/>
  <c r="B32" i="46"/>
  <c r="B39" i="46" s="1"/>
  <c r="D33" i="46"/>
  <c r="F34" i="46"/>
  <c r="E31" i="47"/>
  <c r="G32" i="47"/>
  <c r="C34" i="47"/>
  <c r="C41" i="47" s="1"/>
  <c r="F37" i="48"/>
  <c r="F36" i="29" s="1"/>
  <c r="E31" i="54"/>
  <c r="E38" i="54" s="1"/>
  <c r="G32" i="54"/>
  <c r="C34" i="54"/>
  <c r="C41" i="54" s="1"/>
  <c r="B31" i="55"/>
  <c r="B38" i="55" s="1"/>
  <c r="D32" i="55"/>
  <c r="Q120" i="1" l="1"/>
  <c r="AB120" i="1" s="1"/>
  <c r="AI120" i="1" s="1"/>
  <c r="Z135" i="1"/>
  <c r="Q135" i="1"/>
  <c r="AB135" i="1" s="1"/>
  <c r="AI135" i="1" s="1"/>
  <c r="Z86" i="1"/>
  <c r="Q86" i="1"/>
  <c r="AB86" i="1" s="1"/>
  <c r="AI86" i="1" s="1"/>
  <c r="Z144" i="1"/>
  <c r="Q144" i="1"/>
  <c r="AB144" i="1" s="1"/>
  <c r="AI144" i="1" s="1"/>
  <c r="Z133" i="1"/>
  <c r="Q133" i="1"/>
  <c r="AB133" i="1" s="1"/>
  <c r="AI133" i="1" s="1"/>
  <c r="Z134" i="1"/>
  <c r="Q134" i="1"/>
  <c r="AB134" i="1" s="1"/>
  <c r="AI134" i="1" s="1"/>
  <c r="Z92" i="1"/>
  <c r="Q92" i="1"/>
  <c r="AB92" i="1" s="1"/>
  <c r="AI92" i="1" s="1"/>
  <c r="Z150" i="1"/>
  <c r="Q150" i="1"/>
  <c r="AB150" i="1" s="1"/>
  <c r="AI150" i="1" s="1"/>
  <c r="Z155" i="1"/>
  <c r="Q155" i="1"/>
  <c r="AB155" i="1" s="1"/>
  <c r="AI155" i="1" s="1"/>
  <c r="Z132" i="1"/>
  <c r="Q132" i="1"/>
  <c r="AB132" i="1" s="1"/>
  <c r="AI132" i="1" s="1"/>
  <c r="Z146" i="1"/>
  <c r="Q146" i="1"/>
  <c r="AB146" i="1" s="1"/>
  <c r="AI146" i="1" s="1"/>
  <c r="Z87" i="1"/>
  <c r="Q87" i="1"/>
  <c r="AB87" i="1" s="1"/>
  <c r="AI87" i="1" s="1"/>
  <c r="Z147" i="1"/>
  <c r="Q147" i="1"/>
  <c r="AB147" i="1" s="1"/>
  <c r="AI147" i="1" s="1"/>
  <c r="Z96" i="1"/>
  <c r="AB96" i="1"/>
  <c r="AI96" i="1" s="1"/>
  <c r="Z109" i="1"/>
  <c r="Q109" i="1"/>
  <c r="AB109" i="1" s="1"/>
  <c r="AI109" i="1" s="1"/>
  <c r="Z110" i="1"/>
  <c r="Q110" i="1"/>
  <c r="AB110" i="1" s="1"/>
  <c r="AI110" i="1" s="1"/>
  <c r="Z111" i="1"/>
  <c r="Q111" i="1"/>
  <c r="AB111" i="1" s="1"/>
  <c r="AI111" i="1" s="1"/>
  <c r="Z99" i="1"/>
  <c r="Q99" i="1"/>
  <c r="AB99" i="1" s="1"/>
  <c r="AI99" i="1" s="1"/>
  <c r="Z88" i="1"/>
  <c r="Q88" i="1"/>
  <c r="AB88" i="1" s="1"/>
  <c r="AI88" i="1" s="1"/>
  <c r="Z115" i="1"/>
  <c r="Q115" i="1"/>
  <c r="AB115" i="1" s="1"/>
  <c r="AI115" i="1" s="1"/>
  <c r="Z114" i="1"/>
  <c r="Q114" i="1"/>
  <c r="AB114" i="1" s="1"/>
  <c r="AI114" i="1" s="1"/>
  <c r="Z154" i="1"/>
  <c r="Q154" i="1"/>
  <c r="AB154" i="1" s="1"/>
  <c r="AI154" i="1" s="1"/>
  <c r="Z91" i="1"/>
  <c r="Q91" i="1"/>
  <c r="AB91" i="1" s="1"/>
  <c r="AI91" i="1" s="1"/>
  <c r="Z149" i="1"/>
  <c r="Q149" i="1"/>
  <c r="AB149" i="1" s="1"/>
  <c r="AI149" i="1" s="1"/>
  <c r="Z143" i="1"/>
  <c r="Q143" i="1"/>
  <c r="AB143" i="1" s="1"/>
  <c r="AI143" i="1" s="1"/>
  <c r="Z102" i="1"/>
  <c r="Q102" i="1"/>
  <c r="AB102" i="1" s="1"/>
  <c r="AI102" i="1" s="1"/>
  <c r="Z84" i="1"/>
  <c r="Q84" i="1"/>
  <c r="AB84" i="1" s="1"/>
  <c r="AI84" i="1" s="1"/>
  <c r="Z90" i="1"/>
  <c r="Q90" i="1"/>
  <c r="AB90" i="1" s="1"/>
  <c r="AI90" i="1" s="1"/>
  <c r="Z93" i="1"/>
  <c r="Q93" i="1"/>
  <c r="AB93" i="1" s="1"/>
  <c r="AI93" i="1" s="1"/>
  <c r="Z116" i="1"/>
  <c r="Q116" i="1"/>
  <c r="AB116" i="1" s="1"/>
  <c r="AI116" i="1" s="1"/>
  <c r="Z100" i="1"/>
  <c r="Q100" i="1"/>
  <c r="AB100" i="1" s="1"/>
  <c r="AI100" i="1" s="1"/>
  <c r="Z156" i="1"/>
  <c r="Q156" i="1"/>
  <c r="AB156" i="1" s="1"/>
  <c r="AI156" i="1" s="1"/>
  <c r="Z137" i="1"/>
  <c r="Q137" i="1"/>
  <c r="AB137" i="1" s="1"/>
  <c r="AI137" i="1" s="1"/>
  <c r="Z138" i="1"/>
  <c r="Q138" i="1"/>
  <c r="AB138" i="1" s="1"/>
  <c r="AI138" i="1" s="1"/>
  <c r="Z140" i="1"/>
  <c r="Q140" i="1"/>
  <c r="AB140" i="1" s="1"/>
  <c r="AI140" i="1" s="1"/>
  <c r="Z145" i="1"/>
  <c r="Q145" i="1"/>
  <c r="AB145" i="1" s="1"/>
  <c r="AI145" i="1" s="1"/>
  <c r="Z85" i="1"/>
  <c r="Q85" i="1"/>
  <c r="AB85" i="1" s="1"/>
  <c r="AI85" i="1" s="1"/>
  <c r="Z136" i="1"/>
  <c r="Q136" i="1"/>
  <c r="AB136" i="1" s="1"/>
  <c r="AI136" i="1" s="1"/>
  <c r="Z130" i="1"/>
  <c r="Q130" i="1"/>
  <c r="AB130" i="1" s="1"/>
  <c r="AI130" i="1" s="1"/>
  <c r="Z89" i="1"/>
  <c r="Q89" i="1"/>
  <c r="AB89" i="1" s="1"/>
  <c r="AI89" i="1" s="1"/>
  <c r="Z139" i="1"/>
  <c r="Q139" i="1"/>
  <c r="AB139" i="1" s="1"/>
  <c r="AI139" i="1" s="1"/>
  <c r="Z108" i="1"/>
  <c r="Q108" i="1"/>
  <c r="AB108" i="1" s="1"/>
  <c r="AI108" i="1" s="1"/>
  <c r="Z151" i="1"/>
  <c r="Q151" i="1"/>
  <c r="AB151" i="1" s="1"/>
  <c r="AI151" i="1" s="1"/>
  <c r="Z117" i="1"/>
  <c r="Q117" i="1"/>
  <c r="AB117" i="1" s="1"/>
  <c r="AI117" i="1" s="1"/>
  <c r="Z148" i="1"/>
  <c r="Q148" i="1"/>
  <c r="AB148" i="1" s="1"/>
  <c r="AI148" i="1" s="1"/>
  <c r="Z131" i="1"/>
  <c r="Q131" i="1"/>
  <c r="AB131" i="1" s="1"/>
  <c r="AI131" i="1" s="1"/>
  <c r="Z121" i="1"/>
  <c r="Q121" i="1"/>
  <c r="AB121" i="1" s="1"/>
  <c r="AI121" i="1" s="1"/>
  <c r="Z101" i="1"/>
  <c r="Q101" i="1"/>
  <c r="AB101" i="1" s="1"/>
  <c r="AI101" i="1" s="1"/>
  <c r="Z94" i="1"/>
  <c r="Q94" i="1"/>
  <c r="AB94" i="1" s="1"/>
  <c r="AI94" i="1" s="1"/>
  <c r="Z141" i="1"/>
  <c r="Q141" i="1"/>
  <c r="AB141" i="1" s="1"/>
  <c r="AI141" i="1" s="1"/>
  <c r="Z112" i="1"/>
  <c r="Q112" i="1"/>
  <c r="AB112" i="1" s="1"/>
  <c r="AI112" i="1" s="1"/>
  <c r="Z153" i="1"/>
  <c r="Q153" i="1"/>
  <c r="AB153" i="1" s="1"/>
  <c r="AI153" i="1" s="1"/>
  <c r="Z104" i="1"/>
  <c r="Q104" i="1"/>
  <c r="AB104" i="1" s="1"/>
  <c r="AI104" i="1" s="1"/>
  <c r="Z118" i="1"/>
  <c r="Q118" i="1"/>
  <c r="AB118" i="1" s="1"/>
  <c r="AI118" i="1" s="1"/>
  <c r="Z106" i="1"/>
  <c r="Q106" i="1"/>
  <c r="AB106" i="1" s="1"/>
  <c r="AI106" i="1" s="1"/>
  <c r="Z123" i="1"/>
  <c r="Q123" i="1"/>
  <c r="AB123" i="1" s="1"/>
  <c r="AI123" i="1" s="1"/>
  <c r="Z142" i="1"/>
  <c r="Q142" i="1"/>
  <c r="AB142" i="1" s="1"/>
  <c r="AI142" i="1" s="1"/>
  <c r="Z113" i="1"/>
  <c r="Q113" i="1"/>
  <c r="AB113" i="1" s="1"/>
  <c r="AI113" i="1" s="1"/>
  <c r="Z105" i="1"/>
  <c r="Q105" i="1"/>
  <c r="AB105" i="1" s="1"/>
  <c r="AI105" i="1" s="1"/>
  <c r="Z103" i="1"/>
  <c r="Q103" i="1"/>
  <c r="AB103" i="1" s="1"/>
  <c r="AI103" i="1" s="1"/>
  <c r="Z157" i="1"/>
  <c r="Q157" i="1"/>
  <c r="AB157" i="1" s="1"/>
  <c r="AI157" i="1" s="1"/>
  <c r="Z152" i="1"/>
  <c r="Q152" i="1"/>
  <c r="AB152" i="1" s="1"/>
  <c r="AI152" i="1" s="1"/>
  <c r="Z98" i="1"/>
  <c r="Q98" i="1"/>
  <c r="AB98" i="1" s="1"/>
  <c r="AI98" i="1" s="1"/>
  <c r="Z119" i="1"/>
  <c r="Q119" i="1"/>
  <c r="AB119" i="1" s="1"/>
  <c r="AI119" i="1" s="1"/>
  <c r="Z107" i="1"/>
  <c r="Q107" i="1"/>
  <c r="AB107" i="1" s="1"/>
  <c r="AI107" i="1" s="1"/>
  <c r="Z97" i="1"/>
  <c r="Q97" i="1"/>
  <c r="AB97" i="1" s="1"/>
  <c r="AI97" i="1" s="1"/>
  <c r="Z95" i="1"/>
  <c r="Q95" i="1"/>
  <c r="AB95" i="1" s="1"/>
  <c r="AI95" i="1" s="1"/>
  <c r="Q43" i="1"/>
  <c r="AB43" i="1" s="1"/>
  <c r="AI43" i="1" s="1"/>
  <c r="AA9" i="1"/>
  <c r="Q9" i="1"/>
  <c r="AB9" i="1" s="1"/>
  <c r="Z41" i="1"/>
  <c r="Q41" i="1"/>
  <c r="Q32" i="1"/>
  <c r="AB32" i="1" s="1"/>
  <c r="Z40" i="1"/>
  <c r="Q40" i="1"/>
  <c r="AB40" i="1" s="1"/>
  <c r="Z39" i="1"/>
  <c r="Q39" i="1"/>
  <c r="AB39" i="1" s="1"/>
  <c r="Z38" i="1"/>
  <c r="Q38" i="1"/>
  <c r="AB38" i="1" s="1"/>
  <c r="Z30" i="1"/>
  <c r="Q30" i="1"/>
  <c r="AB30" i="1" s="1"/>
  <c r="Z79" i="1"/>
  <c r="Q79" i="1"/>
  <c r="AB79" i="1" s="1"/>
  <c r="Z81" i="1"/>
  <c r="Q81" i="1"/>
  <c r="AB81" i="1" s="1"/>
  <c r="Z80" i="1"/>
  <c r="Q80" i="1"/>
  <c r="AB80" i="1" s="1"/>
  <c r="Z82" i="1"/>
  <c r="Q82" i="1"/>
  <c r="AB82" i="1" s="1"/>
  <c r="Z78" i="1"/>
  <c r="Q78" i="1"/>
  <c r="AB78" i="1" s="1"/>
  <c r="Z77" i="1"/>
  <c r="Q77" i="1"/>
  <c r="AB77" i="1" s="1"/>
  <c r="Z67" i="1"/>
  <c r="Q67" i="1"/>
  <c r="AB67" i="1" s="1"/>
  <c r="Z65" i="1"/>
  <c r="Q65" i="1"/>
  <c r="AB65" i="1" s="1"/>
  <c r="Z66" i="1"/>
  <c r="Q66" i="1"/>
  <c r="AB66" i="1" s="1"/>
  <c r="Z62" i="1"/>
  <c r="Q62" i="1"/>
  <c r="AB62" i="1" s="1"/>
  <c r="Z61" i="1"/>
  <c r="Q61" i="1"/>
  <c r="AB61" i="1" s="1"/>
  <c r="Z64" i="1"/>
  <c r="Q64" i="1"/>
  <c r="AB64" i="1" s="1"/>
  <c r="Z63" i="1"/>
  <c r="Q63" i="1"/>
  <c r="AB63" i="1" s="1"/>
  <c r="Q27" i="1"/>
  <c r="AB27" i="1" s="1"/>
  <c r="Z60" i="1"/>
  <c r="Q60" i="1"/>
  <c r="AB60" i="1" s="1"/>
  <c r="G38" i="48"/>
  <c r="G37" i="29" s="1"/>
  <c r="G45" i="29" s="1"/>
  <c r="G39" i="48"/>
  <c r="G38" i="29" s="1"/>
  <c r="G46" i="29" s="1"/>
  <c r="Z76" i="1"/>
  <c r="Q76" i="1"/>
  <c r="AB76" i="1" s="1"/>
  <c r="Z75" i="1"/>
  <c r="Q75" i="1"/>
  <c r="AB75" i="1" s="1"/>
  <c r="F39" i="48"/>
  <c r="F38" i="29" s="1"/>
  <c r="F46" i="29" s="1"/>
  <c r="Z74" i="1"/>
  <c r="Q74" i="1"/>
  <c r="AB74" i="1" s="1"/>
  <c r="Z59" i="1"/>
  <c r="Q59" i="1"/>
  <c r="AB59" i="1" s="1"/>
  <c r="Z70" i="1"/>
  <c r="Q70" i="1"/>
  <c r="AB70" i="1" s="1"/>
  <c r="Z56" i="1"/>
  <c r="Q56" i="1"/>
  <c r="AB56" i="1" s="1"/>
  <c r="Z51" i="1"/>
  <c r="Q51" i="1"/>
  <c r="AB51" i="1" s="1"/>
  <c r="Z71" i="1"/>
  <c r="Q71" i="1"/>
  <c r="AB71" i="1" s="1"/>
  <c r="Z55" i="1"/>
  <c r="Q55" i="1"/>
  <c r="AB55" i="1" s="1"/>
  <c r="Z68" i="1"/>
  <c r="Q68" i="1"/>
  <c r="AB68" i="1" s="1"/>
  <c r="Z72" i="1"/>
  <c r="Q72" i="1"/>
  <c r="AB72" i="1" s="1"/>
  <c r="Z58" i="1"/>
  <c r="Q58" i="1"/>
  <c r="AB58" i="1" s="1"/>
  <c r="Z54" i="1"/>
  <c r="Q54" i="1"/>
  <c r="AB54" i="1" s="1"/>
  <c r="Z52" i="1"/>
  <c r="Q52" i="1"/>
  <c r="AB52" i="1" s="1"/>
  <c r="Z53" i="1"/>
  <c r="Q53" i="1"/>
  <c r="AB53" i="1" s="1"/>
  <c r="Z50" i="1"/>
  <c r="Q50" i="1"/>
  <c r="AB50" i="1" s="1"/>
  <c r="Z73" i="1"/>
  <c r="Q73" i="1"/>
  <c r="AB73" i="1" s="1"/>
  <c r="Z57" i="1"/>
  <c r="Q57" i="1"/>
  <c r="AB57" i="1" s="1"/>
  <c r="Z69" i="1"/>
  <c r="Q69" i="1"/>
  <c r="AB69" i="1" s="1"/>
  <c r="Q5" i="1"/>
  <c r="AB5" i="1" s="1"/>
  <c r="C22" i="2"/>
  <c r="B21" i="48" s="1"/>
  <c r="E15" i="48" s="1"/>
  <c r="E16" i="29" s="1"/>
  <c r="I18" i="44"/>
  <c r="D39" i="48"/>
  <c r="D38" i="29" s="1"/>
  <c r="D46" i="29" s="1"/>
  <c r="D40" i="45"/>
  <c r="D13" i="45" s="1"/>
  <c r="G39" i="44"/>
  <c r="G12" i="44" s="1"/>
  <c r="F38" i="46"/>
  <c r="F11" i="46" s="1"/>
  <c r="D41" i="44"/>
  <c r="D14" i="44" s="1"/>
  <c r="F38" i="45"/>
  <c r="F11" i="45" s="1"/>
  <c r="E40" i="46"/>
  <c r="E13" i="46" s="1"/>
  <c r="D41" i="43"/>
  <c r="D14" i="43" s="1"/>
  <c r="H7" i="44"/>
  <c r="E8" i="44"/>
  <c r="E30" i="44" s="1"/>
  <c r="D39" i="46"/>
  <c r="D12" i="46" s="1"/>
  <c r="G40" i="45"/>
  <c r="G41" i="47"/>
  <c r="G40" i="44"/>
  <c r="G38" i="47"/>
  <c r="G11" i="47" s="1"/>
  <c r="G40" i="47"/>
  <c r="G41" i="55"/>
  <c r="F41" i="43"/>
  <c r="F14" i="43" s="1"/>
  <c r="F40" i="47"/>
  <c r="F13" i="47" s="1"/>
  <c r="F39" i="46"/>
  <c r="F12" i="46" s="1"/>
  <c r="F39" i="55"/>
  <c r="F12" i="55" s="1"/>
  <c r="F38" i="43"/>
  <c r="F11" i="43" s="1"/>
  <c r="E41" i="55"/>
  <c r="E14" i="55" s="1"/>
  <c r="E41" i="44"/>
  <c r="E14" i="44" s="1"/>
  <c r="E41" i="46"/>
  <c r="E14" i="46" s="1"/>
  <c r="E39" i="55"/>
  <c r="E12" i="55" s="1"/>
  <c r="E38" i="45"/>
  <c r="E40" i="45"/>
  <c r="E39" i="46"/>
  <c r="E12" i="46" s="1"/>
  <c r="E38" i="46"/>
  <c r="E11" i="46" s="1"/>
  <c r="B15" i="9"/>
  <c r="D39" i="45"/>
  <c r="D12" i="45" s="1"/>
  <c r="D40" i="47"/>
  <c r="D13" i="47" s="1"/>
  <c r="D41" i="55"/>
  <c r="D14" i="55" s="1"/>
  <c r="D39" i="54"/>
  <c r="D12" i="54" s="1"/>
  <c r="D39" i="47"/>
  <c r="D12" i="47" s="1"/>
  <c r="D39" i="55"/>
  <c r="D12" i="55" s="1"/>
  <c r="D38" i="45"/>
  <c r="D11" i="45" s="1"/>
  <c r="D38" i="43"/>
  <c r="D11" i="43" s="1"/>
  <c r="D41" i="46"/>
  <c r="D14" i="46" s="1"/>
  <c r="D40" i="46"/>
  <c r="D13" i="46" s="1"/>
  <c r="D41" i="45"/>
  <c r="D14" i="45" s="1"/>
  <c r="D40" i="54"/>
  <c r="D13" i="54" s="1"/>
  <c r="Z24" i="1"/>
  <c r="Q24" i="1"/>
  <c r="AB24" i="1" s="1"/>
  <c r="Z9" i="1"/>
  <c r="Z20" i="1"/>
  <c r="Q20" i="1"/>
  <c r="AB20" i="1" s="1"/>
  <c r="Z19" i="1"/>
  <c r="Q19" i="1"/>
  <c r="AB19" i="1" s="1"/>
  <c r="Z31" i="1"/>
  <c r="Q31" i="1"/>
  <c r="AB31" i="1" s="1"/>
  <c r="Z6" i="1"/>
  <c r="Q6" i="1"/>
  <c r="AB6" i="1" s="1"/>
  <c r="Z25" i="1"/>
  <c r="Q25" i="1"/>
  <c r="AB25" i="1" s="1"/>
  <c r="Z29" i="1"/>
  <c r="Q29" i="1"/>
  <c r="AB29" i="1" s="1"/>
  <c r="Z23" i="1"/>
  <c r="Q23" i="1"/>
  <c r="AB23" i="1" s="1"/>
  <c r="Z35" i="1"/>
  <c r="Q35" i="1"/>
  <c r="AB35" i="1" s="1"/>
  <c r="Z15" i="1"/>
  <c r="Q15" i="1"/>
  <c r="AB15" i="1" s="1"/>
  <c r="Z48" i="1"/>
  <c r="Q48" i="1"/>
  <c r="AB48" i="1" s="1"/>
  <c r="Z8" i="1"/>
  <c r="Q8" i="1"/>
  <c r="AB8" i="1" s="1"/>
  <c r="Z16" i="1"/>
  <c r="Q16" i="1"/>
  <c r="AB16" i="1" s="1"/>
  <c r="Z36" i="1"/>
  <c r="Q36" i="1"/>
  <c r="AB36" i="1" s="1"/>
  <c r="Z11" i="1"/>
  <c r="Q11" i="1"/>
  <c r="AB11" i="1" s="1"/>
  <c r="Z12" i="1"/>
  <c r="Q12" i="1"/>
  <c r="AB12" i="1" s="1"/>
  <c r="Z37" i="1"/>
  <c r="Q37" i="1"/>
  <c r="AB37" i="1" s="1"/>
  <c r="Z33" i="1"/>
  <c r="Q33" i="1"/>
  <c r="AB33" i="1" s="1"/>
  <c r="Z17" i="1"/>
  <c r="Q17" i="1"/>
  <c r="AB17" i="1" s="1"/>
  <c r="Z14" i="1"/>
  <c r="Q14" i="1"/>
  <c r="AB14" i="1" s="1"/>
  <c r="Z22" i="1"/>
  <c r="Q22" i="1"/>
  <c r="AB22" i="1" s="1"/>
  <c r="Z10" i="1"/>
  <c r="Q10" i="1"/>
  <c r="AB10" i="1" s="1"/>
  <c r="Z28" i="1"/>
  <c r="Q28" i="1"/>
  <c r="AB28" i="1" s="1"/>
  <c r="Z44" i="1"/>
  <c r="Q44" i="1"/>
  <c r="AB44" i="1" s="1"/>
  <c r="Z18" i="1"/>
  <c r="Q18" i="1"/>
  <c r="AB18" i="1" s="1"/>
  <c r="Z45" i="1"/>
  <c r="Q45" i="1"/>
  <c r="AB45" i="1" s="1"/>
  <c r="Z42" i="1"/>
  <c r="Q42" i="1"/>
  <c r="AB42" i="1" s="1"/>
  <c r="Z21" i="1"/>
  <c r="Q21" i="1"/>
  <c r="AB21" i="1" s="1"/>
  <c r="Z34" i="1"/>
  <c r="Q34" i="1"/>
  <c r="AB34" i="1" s="1"/>
  <c r="Z7" i="1"/>
  <c r="Q7" i="1"/>
  <c r="AB7" i="1" s="1"/>
  <c r="Z49" i="1"/>
  <c r="Q49" i="1"/>
  <c r="AB49" i="1" s="1"/>
  <c r="Z26" i="1"/>
  <c r="Q26" i="1"/>
  <c r="AB26" i="1" s="1"/>
  <c r="Z13" i="1"/>
  <c r="Q13" i="1"/>
  <c r="AB13" i="1" s="1"/>
  <c r="Z47" i="1"/>
  <c r="Q47" i="1"/>
  <c r="AB47" i="1" s="1"/>
  <c r="Z5" i="1"/>
  <c r="Z46" i="1"/>
  <c r="Q46" i="1"/>
  <c r="AB46" i="1" s="1"/>
  <c r="Z191" i="1"/>
  <c r="Q191" i="1"/>
  <c r="Z203" i="1"/>
  <c r="Q203" i="1"/>
  <c r="Z186" i="1"/>
  <c r="Q186" i="1"/>
  <c r="Z195" i="1"/>
  <c r="Q195" i="1"/>
  <c r="Z177" i="1"/>
  <c r="Q177" i="1"/>
  <c r="AB177" i="1" s="1"/>
  <c r="Z159" i="1"/>
  <c r="Q159" i="1"/>
  <c r="AB159" i="1" s="1"/>
  <c r="Z205" i="1"/>
  <c r="Q205" i="1"/>
  <c r="Z158" i="1"/>
  <c r="Q158" i="1"/>
  <c r="AB158" i="1" s="1"/>
  <c r="Z170" i="1"/>
  <c r="Q170" i="1"/>
  <c r="AB170" i="1" s="1"/>
  <c r="Z212" i="1"/>
  <c r="Q212" i="1"/>
  <c r="Z176" i="1"/>
  <c r="Q176" i="1"/>
  <c r="AB176" i="1" s="1"/>
  <c r="Z207" i="1"/>
  <c r="Q207" i="1"/>
  <c r="Z182" i="1"/>
  <c r="Q182" i="1"/>
  <c r="AB182" i="1" s="1"/>
  <c r="Z193" i="1"/>
  <c r="Q193" i="1"/>
  <c r="Z164" i="1"/>
  <c r="Q164" i="1"/>
  <c r="AB164" i="1" s="1"/>
  <c r="Z210" i="1"/>
  <c r="Q210" i="1"/>
  <c r="Z188" i="1"/>
  <c r="Q188" i="1"/>
  <c r="Z178" i="1"/>
  <c r="Q178" i="1"/>
  <c r="AB178" i="1" s="1"/>
  <c r="Z172" i="1"/>
  <c r="Q172" i="1"/>
  <c r="AB172" i="1" s="1"/>
  <c r="Z160" i="1"/>
  <c r="Q160" i="1"/>
  <c r="AB160" i="1" s="1"/>
  <c r="Z171" i="1"/>
  <c r="Q171" i="1"/>
  <c r="AB171" i="1" s="1"/>
  <c r="Z206" i="1"/>
  <c r="Q206" i="1"/>
  <c r="Z166" i="1"/>
  <c r="Q166" i="1"/>
  <c r="AB166" i="1" s="1"/>
  <c r="Z204" i="1"/>
  <c r="Q204" i="1"/>
  <c r="Z215" i="1"/>
  <c r="Q215" i="1"/>
  <c r="Z165" i="1"/>
  <c r="Q165" i="1"/>
  <c r="AB165" i="1" s="1"/>
  <c r="Z189" i="1"/>
  <c r="Q189" i="1"/>
  <c r="Z175" i="1"/>
  <c r="Q175" i="1"/>
  <c r="AB175" i="1" s="1"/>
  <c r="Z201" i="1"/>
  <c r="Q201" i="1"/>
  <c r="Z200" i="1"/>
  <c r="Q200" i="1"/>
  <c r="Z168" i="1"/>
  <c r="Q168" i="1"/>
  <c r="AB168" i="1" s="1"/>
  <c r="Z202" i="1"/>
  <c r="Q202" i="1"/>
  <c r="Z211" i="1"/>
  <c r="Q211" i="1"/>
  <c r="Z169" i="1"/>
  <c r="Q169" i="1"/>
  <c r="AB169" i="1" s="1"/>
  <c r="Z161" i="1"/>
  <c r="Q161" i="1"/>
  <c r="AB161" i="1" s="1"/>
  <c r="Z179" i="1"/>
  <c r="Q179" i="1"/>
  <c r="AB179" i="1" s="1"/>
  <c r="Z214" i="1"/>
  <c r="Q214" i="1"/>
  <c r="Z192" i="1"/>
  <c r="Q192" i="1"/>
  <c r="Z173" i="1"/>
  <c r="Q173" i="1"/>
  <c r="AB173" i="1" s="1"/>
  <c r="Z198" i="1"/>
  <c r="Q198" i="1"/>
  <c r="Z199" i="1"/>
  <c r="Q199" i="1"/>
  <c r="Z196" i="1"/>
  <c r="Q196" i="1"/>
  <c r="Z167" i="1"/>
  <c r="Q167" i="1"/>
  <c r="AB167" i="1" s="1"/>
  <c r="Z209" i="1"/>
  <c r="Q209" i="1"/>
  <c r="Z213" i="1"/>
  <c r="Q213" i="1"/>
  <c r="Z190" i="1"/>
  <c r="Q190" i="1"/>
  <c r="Z194" i="1"/>
  <c r="Q194" i="1"/>
  <c r="Z216" i="1"/>
  <c r="Q216" i="1"/>
  <c r="Z163" i="1"/>
  <c r="Q163" i="1"/>
  <c r="AB163" i="1" s="1"/>
  <c r="Z183" i="1"/>
  <c r="Q183" i="1"/>
  <c r="Z185" i="1"/>
  <c r="Q185" i="1"/>
  <c r="Z174" i="1"/>
  <c r="Q174" i="1"/>
  <c r="AB174" i="1" s="1"/>
  <c r="Z180" i="1"/>
  <c r="Q180" i="1"/>
  <c r="AB180" i="1" s="1"/>
  <c r="Z197" i="1"/>
  <c r="Q197" i="1"/>
  <c r="Z162" i="1"/>
  <c r="Q162" i="1"/>
  <c r="AB162" i="1" s="1"/>
  <c r="Z184" i="1"/>
  <c r="Q184" i="1"/>
  <c r="Z217" i="1"/>
  <c r="Q217" i="1"/>
  <c r="Z208" i="1"/>
  <c r="Q208" i="1"/>
  <c r="Z181" i="1"/>
  <c r="Q181" i="1"/>
  <c r="AB181" i="1" s="1"/>
  <c r="Z187" i="1"/>
  <c r="Q187" i="1"/>
  <c r="B10" i="43"/>
  <c r="B26" i="43" s="1"/>
  <c r="B14" i="43"/>
  <c r="C12" i="55"/>
  <c r="C10" i="55"/>
  <c r="C26" i="55" s="1"/>
  <c r="H7" i="29"/>
  <c r="F30" i="45"/>
  <c r="F14" i="45"/>
  <c r="C11" i="55"/>
  <c r="B40" i="43"/>
  <c r="B13" i="43" s="1"/>
  <c r="G48" i="48"/>
  <c r="G39" i="29"/>
  <c r="G47" i="29" s="1"/>
  <c r="G15" i="29" s="1"/>
  <c r="C34" i="29"/>
  <c r="D34" i="29"/>
  <c r="D47" i="29"/>
  <c r="D15" i="29" s="1"/>
  <c r="E34" i="29"/>
  <c r="D48" i="48"/>
  <c r="F48" i="48"/>
  <c r="E5" i="3"/>
  <c r="D4" i="8" s="1"/>
  <c r="D12" i="44"/>
  <c r="H7" i="57"/>
  <c r="D10" i="44"/>
  <c r="D26" i="44" s="1"/>
  <c r="E39" i="47"/>
  <c r="E12" i="47" s="1"/>
  <c r="F39" i="47"/>
  <c r="F12" i="47" s="1"/>
  <c r="D38" i="55"/>
  <c r="D11" i="55" s="1"/>
  <c r="D38" i="47"/>
  <c r="D11" i="47" s="1"/>
  <c r="F13" i="45"/>
  <c r="E14" i="54"/>
  <c r="D41" i="54"/>
  <c r="D14" i="54" s="1"/>
  <c r="D41" i="47"/>
  <c r="D14" i="47" s="1"/>
  <c r="E8" i="45"/>
  <c r="E40" i="43"/>
  <c r="E13" i="43" s="1"/>
  <c r="D11" i="44"/>
  <c r="G39" i="47"/>
  <c r="G12" i="47" s="1"/>
  <c r="C13" i="55"/>
  <c r="F38" i="47"/>
  <c r="F11" i="47" s="1"/>
  <c r="G5" i="3"/>
  <c r="D5" i="8" s="1"/>
  <c r="E38" i="47"/>
  <c r="E11" i="47" s="1"/>
  <c r="D40" i="55"/>
  <c r="D13" i="55" s="1"/>
  <c r="G38" i="55"/>
  <c r="G11" i="55" s="1"/>
  <c r="E39" i="45"/>
  <c r="E13" i="54"/>
  <c r="G38" i="54"/>
  <c r="G11" i="54" s="1"/>
  <c r="G40" i="55"/>
  <c r="E40" i="47"/>
  <c r="E13" i="47" s="1"/>
  <c r="G5" i="2"/>
  <c r="J5" i="2" s="1"/>
  <c r="H7" i="47"/>
  <c r="G40" i="54"/>
  <c r="D13" i="44"/>
  <c r="E10" i="54"/>
  <c r="E26" i="54" s="1"/>
  <c r="C14" i="55"/>
  <c r="E30" i="43"/>
  <c r="C13" i="47"/>
  <c r="G11" i="45"/>
  <c r="G30" i="45"/>
  <c r="G11" i="44"/>
  <c r="G10" i="44"/>
  <c r="G26" i="44" s="1"/>
  <c r="F10" i="55"/>
  <c r="F26" i="55" s="1"/>
  <c r="F30" i="55"/>
  <c r="F39" i="54"/>
  <c r="F12" i="54" s="1"/>
  <c r="F41" i="54"/>
  <c r="F14" i="54" s="1"/>
  <c r="H7" i="48"/>
  <c r="H7" i="55"/>
  <c r="F38" i="55"/>
  <c r="F11" i="55" s="1"/>
  <c r="F41" i="55"/>
  <c r="F14" i="55" s="1"/>
  <c r="F41" i="46"/>
  <c r="F14" i="46" s="1"/>
  <c r="F40" i="54"/>
  <c r="F13" i="54" s="1"/>
  <c r="F38" i="54"/>
  <c r="F11" i="54" s="1"/>
  <c r="F39" i="45"/>
  <c r="F12" i="45" s="1"/>
  <c r="G29" i="29"/>
  <c r="G34" i="29"/>
  <c r="G41" i="43"/>
  <c r="G39" i="55"/>
  <c r="G12" i="55" s="1"/>
  <c r="G30" i="44"/>
  <c r="G35" i="48"/>
  <c r="G39" i="54"/>
  <c r="G12" i="54" s="1"/>
  <c r="H7" i="43"/>
  <c r="H19" i="3"/>
  <c r="G10" i="48"/>
  <c r="G10" i="29" s="1"/>
  <c r="H7" i="54"/>
  <c r="G25" i="56"/>
  <c r="G41" i="54"/>
  <c r="F30" i="47"/>
  <c r="F8" i="56"/>
  <c r="F30" i="56" s="1"/>
  <c r="F41" i="47"/>
  <c r="F14" i="47" s="1"/>
  <c r="F8" i="29"/>
  <c r="F40" i="55"/>
  <c r="F13" i="55" s="1"/>
  <c r="F40" i="46"/>
  <c r="F13" i="46" s="1"/>
  <c r="C11" i="47"/>
  <c r="E10" i="48"/>
  <c r="E10" i="29" s="1"/>
  <c r="C14" i="47"/>
  <c r="G11" i="46"/>
  <c r="B40" i="45"/>
  <c r="B13" i="45" s="1"/>
  <c r="C12" i="47"/>
  <c r="F11" i="44"/>
  <c r="F12" i="44"/>
  <c r="B10" i="44"/>
  <c r="B26" i="44" s="1"/>
  <c r="E12" i="54"/>
  <c r="D11" i="54"/>
  <c r="D30" i="48"/>
  <c r="D10" i="29"/>
  <c r="E11" i="54"/>
  <c r="G12" i="46"/>
  <c r="G12" i="45"/>
  <c r="D35" i="48"/>
  <c r="D30" i="57" s="1"/>
  <c r="G10" i="45"/>
  <c r="G26" i="45" s="1"/>
  <c r="F13" i="44"/>
  <c r="F14" i="44"/>
  <c r="F12" i="43"/>
  <c r="F30" i="43"/>
  <c r="I19" i="43"/>
  <c r="B12" i="55"/>
  <c r="B40" i="55"/>
  <c r="B13" i="55" s="1"/>
  <c r="B10" i="55"/>
  <c r="B26" i="55" s="1"/>
  <c r="B11" i="55"/>
  <c r="C14" i="54"/>
  <c r="C10" i="48"/>
  <c r="C10" i="29" s="1"/>
  <c r="E30" i="46"/>
  <c r="B14" i="55"/>
  <c r="I18" i="43"/>
  <c r="E16" i="47"/>
  <c r="H15" i="43"/>
  <c r="J15" i="43" s="1"/>
  <c r="E15" i="56"/>
  <c r="H15" i="56" s="1"/>
  <c r="J15" i="56" s="1"/>
  <c r="F10" i="54"/>
  <c r="F26" i="54" s="1"/>
  <c r="E30" i="55"/>
  <c r="E13" i="55"/>
  <c r="B11" i="47"/>
  <c r="E14" i="47"/>
  <c r="B40" i="47"/>
  <c r="B13" i="47" s="1"/>
  <c r="E11" i="55"/>
  <c r="B12" i="47"/>
  <c r="E10" i="47"/>
  <c r="E26" i="47" s="1"/>
  <c r="B14" i="47"/>
  <c r="C13" i="45"/>
  <c r="B10" i="48"/>
  <c r="B10" i="29" s="1"/>
  <c r="G10" i="55"/>
  <c r="G26" i="55" s="1"/>
  <c r="B10" i="47"/>
  <c r="B26" i="47" s="1"/>
  <c r="C10" i="47"/>
  <c r="C26" i="47" s="1"/>
  <c r="B14" i="44"/>
  <c r="C11" i="54"/>
  <c r="G30" i="47"/>
  <c r="F10" i="46"/>
  <c r="F26" i="46" s="1"/>
  <c r="F35" i="48"/>
  <c r="F30" i="57" s="1"/>
  <c r="F10" i="48"/>
  <c r="C11" i="43"/>
  <c r="C12" i="43"/>
  <c r="B11" i="44"/>
  <c r="B12" i="46"/>
  <c r="B11" i="46"/>
  <c r="C10" i="43"/>
  <c r="C26" i="43" s="1"/>
  <c r="B40" i="46"/>
  <c r="B13" i="46" s="1"/>
  <c r="B14" i="46"/>
  <c r="B12" i="44"/>
  <c r="H8" i="48"/>
  <c r="B40" i="44"/>
  <c r="B13" i="44" s="1"/>
  <c r="C11" i="45"/>
  <c r="C10" i="44"/>
  <c r="C26" i="44" s="1"/>
  <c r="C11" i="44"/>
  <c r="B11" i="45"/>
  <c r="B11" i="54"/>
  <c r="C14" i="45"/>
  <c r="C12" i="54"/>
  <c r="C13" i="54"/>
  <c r="B12" i="45"/>
  <c r="C12" i="45"/>
  <c r="B12" i="54"/>
  <c r="B14" i="54"/>
  <c r="B14" i="45"/>
  <c r="C13" i="44"/>
  <c r="C10" i="45"/>
  <c r="C26" i="45" s="1"/>
  <c r="D30" i="47"/>
  <c r="D10" i="47"/>
  <c r="D26" i="47" s="1"/>
  <c r="C12" i="44"/>
  <c r="D11" i="46"/>
  <c r="C14" i="44"/>
  <c r="B40" i="54"/>
  <c r="B13" i="54" s="1"/>
  <c r="F30" i="44"/>
  <c r="F10" i="44"/>
  <c r="F26" i="44" s="1"/>
  <c r="D10" i="43"/>
  <c r="D26" i="43" s="1"/>
  <c r="B26" i="45"/>
  <c r="F44" i="29"/>
  <c r="F32" i="57"/>
  <c r="F39" i="57" s="1"/>
  <c r="C14" i="46"/>
  <c r="D10" i="45"/>
  <c r="D26" i="45" s="1"/>
  <c r="H8" i="54"/>
  <c r="B10" i="54"/>
  <c r="H8" i="47"/>
  <c r="G45" i="48"/>
  <c r="G12" i="48" s="1"/>
  <c r="G12" i="29" s="1"/>
  <c r="G32" i="57"/>
  <c r="G39" i="57" s="1"/>
  <c r="G44" i="29"/>
  <c r="C11" i="46"/>
  <c r="B10" i="56"/>
  <c r="B30" i="56"/>
  <c r="D30" i="54"/>
  <c r="D10" i="54"/>
  <c r="D26" i="54" s="1"/>
  <c r="B30" i="54"/>
  <c r="C10" i="54"/>
  <c r="C26" i="54" s="1"/>
  <c r="H8" i="57"/>
  <c r="D30" i="55"/>
  <c r="D10" i="55"/>
  <c r="D26" i="55" s="1"/>
  <c r="G30" i="46"/>
  <c r="G10" i="46"/>
  <c r="G26" i="46" s="1"/>
  <c r="G25" i="46"/>
  <c r="G30" i="43"/>
  <c r="H8" i="43"/>
  <c r="G44" i="48"/>
  <c r="G11" i="48" s="1"/>
  <c r="G31" i="57"/>
  <c r="G38" i="57" s="1"/>
  <c r="G43" i="29"/>
  <c r="G10" i="43"/>
  <c r="D30" i="46"/>
  <c r="B34" i="29"/>
  <c r="B18" i="9"/>
  <c r="B5" i="2"/>
  <c r="G10" i="47"/>
  <c r="G26" i="47" s="1"/>
  <c r="D44" i="29"/>
  <c r="D32" i="57"/>
  <c r="D39" i="57" s="1"/>
  <c r="I19" i="46"/>
  <c r="I18" i="46"/>
  <c r="H16" i="46"/>
  <c r="J16" i="46" s="1"/>
  <c r="G30" i="54"/>
  <c r="G10" i="54"/>
  <c r="G26" i="54" s="1"/>
  <c r="G25" i="54"/>
  <c r="C10" i="46"/>
  <c r="C26" i="46" s="1"/>
  <c r="H8" i="55"/>
  <c r="C13" i="46"/>
  <c r="F31" i="57"/>
  <c r="F38" i="57" s="1"/>
  <c r="F43" i="29"/>
  <c r="C12" i="46"/>
  <c r="B30" i="45"/>
  <c r="H8" i="46"/>
  <c r="B30" i="46"/>
  <c r="B10" i="46"/>
  <c r="G30" i="55"/>
  <c r="E26" i="43"/>
  <c r="B39" i="43"/>
  <c r="B12" i="43" s="1"/>
  <c r="E39" i="43"/>
  <c r="E12" i="43" s="1"/>
  <c r="B32" i="56"/>
  <c r="B39" i="56" s="1"/>
  <c r="E32" i="56"/>
  <c r="E39" i="56" s="1"/>
  <c r="E33" i="56"/>
  <c r="E40" i="56" s="1"/>
  <c r="D39" i="43"/>
  <c r="D12" i="43" s="1"/>
  <c r="D32" i="56"/>
  <c r="D39" i="56" s="1"/>
  <c r="B33" i="56"/>
  <c r="B40" i="56" s="1"/>
  <c r="B38" i="43"/>
  <c r="B11" i="43" s="1"/>
  <c r="B31" i="56"/>
  <c r="B38" i="56" s="1"/>
  <c r="B34" i="56"/>
  <c r="B41" i="56" s="1"/>
  <c r="F45" i="48"/>
  <c r="F12" i="48" s="1"/>
  <c r="F12" i="29" s="1"/>
  <c r="D45" i="48"/>
  <c r="D12" i="48" s="1"/>
  <c r="D12" i="29" s="1"/>
  <c r="C41" i="43"/>
  <c r="C14" i="43" s="1"/>
  <c r="D40" i="43"/>
  <c r="D13" i="43" s="1"/>
  <c r="E34" i="56"/>
  <c r="E41" i="56" s="1"/>
  <c r="E41" i="43"/>
  <c r="E14" i="43" s="1"/>
  <c r="G39" i="43"/>
  <c r="G12" i="43" s="1"/>
  <c r="G32" i="56"/>
  <c r="G39" i="56" s="1"/>
  <c r="F31" i="56"/>
  <c r="F38" i="56" s="1"/>
  <c r="G40" i="43"/>
  <c r="C40" i="43"/>
  <c r="C13" i="43" s="1"/>
  <c r="E38" i="43"/>
  <c r="E11" i="43" s="1"/>
  <c r="E31" i="56"/>
  <c r="E38" i="56" s="1"/>
  <c r="F32" i="56"/>
  <c r="F39" i="56" s="1"/>
  <c r="F40" i="43"/>
  <c r="F13" i="43" s="1"/>
  <c r="G38" i="43"/>
  <c r="G11" i="43" s="1"/>
  <c r="G31" i="56"/>
  <c r="G38" i="56" s="1"/>
  <c r="F44" i="48"/>
  <c r="F11" i="48" s="1"/>
  <c r="AB41" i="1" l="1"/>
  <c r="AI41" i="1" s="1"/>
  <c r="AI74" i="1"/>
  <c r="AI60" i="1"/>
  <c r="AI59" i="1"/>
  <c r="AI65" i="1"/>
  <c r="AI81" i="1"/>
  <c r="AI38" i="1"/>
  <c r="AI27" i="1"/>
  <c r="AI53" i="1"/>
  <c r="AI55" i="1"/>
  <c r="AI63" i="1"/>
  <c r="AI67" i="1"/>
  <c r="AI79" i="1"/>
  <c r="AI64" i="1"/>
  <c r="AI77" i="1"/>
  <c r="AI75" i="1"/>
  <c r="AI69" i="1"/>
  <c r="AI54" i="1"/>
  <c r="AI51" i="1"/>
  <c r="AI61" i="1"/>
  <c r="AI78" i="1"/>
  <c r="AI32" i="1"/>
  <c r="AI52" i="1"/>
  <c r="AI71" i="1"/>
  <c r="AI76" i="1"/>
  <c r="AI39" i="1"/>
  <c r="AI57" i="1"/>
  <c r="AI58" i="1"/>
  <c r="AI56" i="1"/>
  <c r="AI62" i="1"/>
  <c r="AI82" i="1"/>
  <c r="AI40" i="1"/>
  <c r="AI73" i="1"/>
  <c r="AI72" i="1"/>
  <c r="AI70" i="1"/>
  <c r="AI66" i="1"/>
  <c r="AI80" i="1"/>
  <c r="AI30" i="1"/>
  <c r="G47" i="48"/>
  <c r="G34" i="56"/>
  <c r="G41" i="56" s="1"/>
  <c r="G46" i="48"/>
  <c r="G33" i="57"/>
  <c r="G40" i="57" s="1"/>
  <c r="G34" i="57"/>
  <c r="G41" i="57" s="1"/>
  <c r="G33" i="56"/>
  <c r="G40" i="56" s="1"/>
  <c r="AI68" i="1"/>
  <c r="F34" i="56"/>
  <c r="F41" i="56" s="1"/>
  <c r="F34" i="57"/>
  <c r="F41" i="57" s="1"/>
  <c r="F47" i="48"/>
  <c r="F14" i="48" s="1"/>
  <c r="F14" i="29" s="1"/>
  <c r="F38" i="48"/>
  <c r="F33" i="57" s="1"/>
  <c r="F40" i="57" s="1"/>
  <c r="AI50" i="1"/>
  <c r="C23" i="2"/>
  <c r="C21" i="29" s="1"/>
  <c r="B20" i="54"/>
  <c r="B20" i="55"/>
  <c r="E15" i="55" s="1"/>
  <c r="B21" i="29"/>
  <c r="C21" i="48"/>
  <c r="E16" i="48" s="1"/>
  <c r="H16" i="29"/>
  <c r="D47" i="48"/>
  <c r="D14" i="48" s="1"/>
  <c r="D14" i="29" s="1"/>
  <c r="D34" i="57"/>
  <c r="D41" i="57" s="1"/>
  <c r="D34" i="56"/>
  <c r="D41" i="56" s="1"/>
  <c r="E10" i="44"/>
  <c r="E26" i="44" s="1"/>
  <c r="D38" i="48"/>
  <c r="D36" i="48"/>
  <c r="E13" i="44"/>
  <c r="E12" i="44"/>
  <c r="H12" i="44" s="1"/>
  <c r="J12" i="44" s="1"/>
  <c r="L15" i="44" s="1"/>
  <c r="L17" i="44" s="1"/>
  <c r="H8" i="44"/>
  <c r="E11" i="44"/>
  <c r="H11" i="44" s="1"/>
  <c r="J11" i="44" s="1"/>
  <c r="E11" i="45"/>
  <c r="H11" i="45" s="1"/>
  <c r="J11" i="45" s="1"/>
  <c r="AI13" i="1"/>
  <c r="AI14" i="1"/>
  <c r="AI11" i="1"/>
  <c r="AI25" i="1"/>
  <c r="AI26" i="1"/>
  <c r="AI42" i="1"/>
  <c r="AI44" i="1"/>
  <c r="AI19" i="1"/>
  <c r="AI46" i="1"/>
  <c r="AI49" i="1"/>
  <c r="AI28" i="1"/>
  <c r="AI33" i="1"/>
  <c r="AI36" i="1"/>
  <c r="AI20" i="1"/>
  <c r="AI5" i="1"/>
  <c r="AI7" i="1"/>
  <c r="AI10" i="1"/>
  <c r="AI37" i="1"/>
  <c r="AI15" i="1"/>
  <c r="AI21" i="1"/>
  <c r="AI17" i="1"/>
  <c r="AI34" i="1"/>
  <c r="AI22" i="1"/>
  <c r="AI12" i="1"/>
  <c r="AI16" i="1"/>
  <c r="AI6" i="1"/>
  <c r="AI9" i="1"/>
  <c r="AI23" i="1"/>
  <c r="AI48" i="1"/>
  <c r="AI31" i="1"/>
  <c r="AI29" i="1"/>
  <c r="AI47" i="1"/>
  <c r="AI18" i="1"/>
  <c r="AI8" i="1"/>
  <c r="AI35" i="1"/>
  <c r="AI24" i="1"/>
  <c r="AB208" i="1"/>
  <c r="AI208" i="1" s="1"/>
  <c r="AI174" i="1"/>
  <c r="AB183" i="1"/>
  <c r="AI183" i="1" s="1"/>
  <c r="AI167" i="1"/>
  <c r="AB199" i="1"/>
  <c r="AI199" i="1" s="1"/>
  <c r="AI179" i="1"/>
  <c r="AB215" i="1"/>
  <c r="AI215" i="1" s="1"/>
  <c r="AB193" i="1"/>
  <c r="AI193" i="1" s="1"/>
  <c r="AI176" i="1"/>
  <c r="AI162" i="1"/>
  <c r="AB185" i="1"/>
  <c r="AI185" i="1" s="1"/>
  <c r="AB213" i="1"/>
  <c r="AI213" i="1" s="1"/>
  <c r="AB198" i="1"/>
  <c r="AI198" i="1" s="1"/>
  <c r="AI161" i="1"/>
  <c r="AB202" i="1"/>
  <c r="AI202" i="1" s="1"/>
  <c r="AI175" i="1"/>
  <c r="AI171" i="1"/>
  <c r="AI178" i="1"/>
  <c r="AI164" i="1"/>
  <c r="AI182" i="1"/>
  <c r="AB212" i="1"/>
  <c r="AI212" i="1" s="1"/>
  <c r="AB205" i="1"/>
  <c r="AI205" i="1" s="1"/>
  <c r="AB184" i="1"/>
  <c r="AI184" i="1" s="1"/>
  <c r="AB197" i="1"/>
  <c r="AI197" i="1" s="1"/>
  <c r="AB196" i="1"/>
  <c r="AI196" i="1" s="1"/>
  <c r="AI170" i="1"/>
  <c r="AI158" i="1"/>
  <c r="AI159" i="1"/>
  <c r="AB186" i="1"/>
  <c r="AI186" i="1" s="1"/>
  <c r="AI180" i="1"/>
  <c r="AI163" i="1"/>
  <c r="AB209" i="1"/>
  <c r="AI209" i="1" s="1"/>
  <c r="AI173" i="1"/>
  <c r="AI169" i="1"/>
  <c r="AI166" i="1"/>
  <c r="AI160" i="1"/>
  <c r="AB188" i="1"/>
  <c r="AI188" i="1" s="1"/>
  <c r="AB216" i="1"/>
  <c r="AI216" i="1" s="1"/>
  <c r="AB190" i="1"/>
  <c r="AI190" i="1" s="1"/>
  <c r="AB192" i="1"/>
  <c r="AI192" i="1" s="1"/>
  <c r="AB211" i="1"/>
  <c r="AI211" i="1" s="1"/>
  <c r="AI168" i="1"/>
  <c r="AB189" i="1"/>
  <c r="AI189" i="1" s="1"/>
  <c r="AB207" i="1"/>
  <c r="AI207" i="1" s="1"/>
  <c r="AI177" i="1"/>
  <c r="AB187" i="1"/>
  <c r="AI187" i="1" s="1"/>
  <c r="AI181" i="1"/>
  <c r="AB217" i="1"/>
  <c r="AI217" i="1" s="1"/>
  <c r="AB194" i="1"/>
  <c r="AI194" i="1" s="1"/>
  <c r="AB214" i="1"/>
  <c r="AI214" i="1" s="1"/>
  <c r="AB200" i="1"/>
  <c r="AI200" i="1" s="1"/>
  <c r="AB201" i="1"/>
  <c r="AI201" i="1" s="1"/>
  <c r="AI165" i="1"/>
  <c r="AB204" i="1"/>
  <c r="AI204" i="1" s="1"/>
  <c r="AB206" i="1"/>
  <c r="AI206" i="1" s="1"/>
  <c r="AI172" i="1"/>
  <c r="AB210" i="1"/>
  <c r="AI210" i="1" s="1"/>
  <c r="AB195" i="1"/>
  <c r="AI195" i="1" s="1"/>
  <c r="AB203" i="1"/>
  <c r="AI203" i="1" s="1"/>
  <c r="AB191" i="1"/>
  <c r="AI191" i="1" s="1"/>
  <c r="B25" i="43"/>
  <c r="F25" i="45"/>
  <c r="F17" i="48"/>
  <c r="F31" i="48" s="1"/>
  <c r="D17" i="48"/>
  <c r="D31" i="48" s="1"/>
  <c r="G17" i="48"/>
  <c r="G31" i="48" s="1"/>
  <c r="E36" i="48"/>
  <c r="E35" i="29" s="1"/>
  <c r="E13" i="45"/>
  <c r="E10" i="45"/>
  <c r="E26" i="45" s="1"/>
  <c r="E30" i="45"/>
  <c r="H8" i="45"/>
  <c r="E14" i="45"/>
  <c r="E12" i="45"/>
  <c r="C25" i="55"/>
  <c r="B40" i="48"/>
  <c r="F34" i="29"/>
  <c r="F47" i="29"/>
  <c r="F15" i="29" s="1"/>
  <c r="D25" i="44"/>
  <c r="E25" i="54"/>
  <c r="G11" i="29"/>
  <c r="F11" i="29"/>
  <c r="C17" i="55"/>
  <c r="C18" i="55" s="1"/>
  <c r="F17" i="45"/>
  <c r="F18" i="45" s="1"/>
  <c r="D24" i="44"/>
  <c r="D17" i="44"/>
  <c r="D18" i="44" s="1"/>
  <c r="C24" i="55"/>
  <c r="H5" i="3"/>
  <c r="B36" i="48"/>
  <c r="B35" i="29" s="1"/>
  <c r="E30" i="48"/>
  <c r="D51" i="2"/>
  <c r="E51" i="2" s="1"/>
  <c r="I51" i="2" s="1"/>
  <c r="D50" i="2"/>
  <c r="E50" i="2" s="1"/>
  <c r="I50" i="2" s="1"/>
  <c r="D48" i="2"/>
  <c r="E48" i="2" s="1"/>
  <c r="I48" i="2" s="1"/>
  <c r="D47" i="2"/>
  <c r="E47" i="2" s="1"/>
  <c r="I47" i="2" s="1"/>
  <c r="D49" i="2"/>
  <c r="E49" i="2" s="1"/>
  <c r="I49" i="2" s="1"/>
  <c r="F24" i="45"/>
  <c r="C25" i="47"/>
  <c r="G17" i="44"/>
  <c r="G18" i="44" s="1"/>
  <c r="F17" i="55"/>
  <c r="F18" i="55" s="1"/>
  <c r="H8" i="56"/>
  <c r="H8" i="29"/>
  <c r="F25" i="55"/>
  <c r="G30" i="48"/>
  <c r="G24" i="44"/>
  <c r="G24" i="45"/>
  <c r="F24" i="55"/>
  <c r="D25" i="46"/>
  <c r="F25" i="54"/>
  <c r="C24" i="47"/>
  <c r="C17" i="47"/>
  <c r="C18" i="47" s="1"/>
  <c r="F10" i="56"/>
  <c r="F26" i="56" s="1"/>
  <c r="G17" i="46"/>
  <c r="G18" i="46" s="1"/>
  <c r="B25" i="45"/>
  <c r="D25" i="47"/>
  <c r="E24" i="54"/>
  <c r="C30" i="48"/>
  <c r="B10" i="57"/>
  <c r="B26" i="57" s="1"/>
  <c r="F30" i="48"/>
  <c r="F10" i="29"/>
  <c r="F30" i="29" s="1"/>
  <c r="H10" i="55"/>
  <c r="J10" i="55" s="1"/>
  <c r="E25" i="47"/>
  <c r="B30" i="48"/>
  <c r="D25" i="54"/>
  <c r="F17" i="44"/>
  <c r="F18" i="44" s="1"/>
  <c r="E25" i="46"/>
  <c r="F25" i="44"/>
  <c r="G17" i="45"/>
  <c r="G18" i="45" s="1"/>
  <c r="G24" i="47"/>
  <c r="C25" i="54"/>
  <c r="E17" i="46"/>
  <c r="E18" i="46" s="1"/>
  <c r="B24" i="55"/>
  <c r="B25" i="55"/>
  <c r="B17" i="55"/>
  <c r="B18" i="55" s="1"/>
  <c r="H13" i="55"/>
  <c r="J13" i="55" s="1"/>
  <c r="F11" i="56"/>
  <c r="E24" i="46"/>
  <c r="G24" i="54"/>
  <c r="G24" i="46"/>
  <c r="G17" i="55"/>
  <c r="G18" i="55" s="1"/>
  <c r="G17" i="47"/>
  <c r="G18" i="47" s="1"/>
  <c r="H11" i="54"/>
  <c r="J11" i="54" s="1"/>
  <c r="H11" i="55"/>
  <c r="J11" i="55" s="1"/>
  <c r="H11" i="47"/>
  <c r="J11" i="47" s="1"/>
  <c r="F14" i="56"/>
  <c r="G24" i="55"/>
  <c r="H14" i="54"/>
  <c r="J14" i="54" s="1"/>
  <c r="B25" i="44"/>
  <c r="H14" i="44"/>
  <c r="J14" i="44" s="1"/>
  <c r="H16" i="47"/>
  <c r="J16" i="47" s="1"/>
  <c r="I18" i="47"/>
  <c r="I19" i="47"/>
  <c r="E16" i="56"/>
  <c r="I18" i="56" s="1"/>
  <c r="B25" i="47"/>
  <c r="F24" i="54"/>
  <c r="F17" i="54"/>
  <c r="F18" i="54" s="1"/>
  <c r="B17" i="47"/>
  <c r="B18" i="47" s="1"/>
  <c r="F24" i="46"/>
  <c r="H14" i="47"/>
  <c r="J14" i="47" s="1"/>
  <c r="E24" i="55"/>
  <c r="B24" i="47"/>
  <c r="C10" i="57"/>
  <c r="C26" i="57" s="1"/>
  <c r="D17" i="45"/>
  <c r="D18" i="45" s="1"/>
  <c r="E17" i="47"/>
  <c r="E18" i="47" s="1"/>
  <c r="F17" i="46"/>
  <c r="F18" i="46" s="1"/>
  <c r="H10" i="43"/>
  <c r="J10" i="43" s="1"/>
  <c r="G30" i="57"/>
  <c r="C25" i="45"/>
  <c r="D14" i="56"/>
  <c r="E25" i="43"/>
  <c r="F25" i="46"/>
  <c r="E24" i="47"/>
  <c r="H13" i="47"/>
  <c r="J13" i="47" s="1"/>
  <c r="D25" i="45"/>
  <c r="E25" i="55"/>
  <c r="D24" i="45"/>
  <c r="D17" i="54"/>
  <c r="D18" i="54" s="1"/>
  <c r="C30" i="57"/>
  <c r="F10" i="57"/>
  <c r="F26" i="57" s="1"/>
  <c r="F12" i="56"/>
  <c r="D10" i="57"/>
  <c r="D26" i="57" s="1"/>
  <c r="D24" i="54"/>
  <c r="F24" i="44"/>
  <c r="C30" i="29"/>
  <c r="H10" i="48"/>
  <c r="J10" i="48" s="1"/>
  <c r="D30" i="29"/>
  <c r="B38" i="48"/>
  <c r="C38" i="48"/>
  <c r="E38" i="48"/>
  <c r="B25" i="46"/>
  <c r="B24" i="46"/>
  <c r="B17" i="46"/>
  <c r="B18" i="46" s="1"/>
  <c r="H14" i="46"/>
  <c r="J14" i="46" s="1"/>
  <c r="B24" i="44"/>
  <c r="B17" i="44"/>
  <c r="B18" i="44" s="1"/>
  <c r="B30" i="57"/>
  <c r="H12" i="47"/>
  <c r="J12" i="47" s="1"/>
  <c r="L15" i="47" s="1"/>
  <c r="L16" i="47" s="1"/>
  <c r="C20" i="55"/>
  <c r="E16" i="55" s="1"/>
  <c r="B20" i="56"/>
  <c r="C20" i="56" s="1"/>
  <c r="D20" i="56" s="1"/>
  <c r="B20" i="57"/>
  <c r="C20" i="57" s="1"/>
  <c r="D20" i="57" s="1"/>
  <c r="E15" i="54"/>
  <c r="C20" i="54"/>
  <c r="E16" i="54" s="1"/>
  <c r="H12" i="54"/>
  <c r="J12" i="54" s="1"/>
  <c r="D25" i="55"/>
  <c r="C25" i="44"/>
  <c r="F24" i="47"/>
  <c r="C39" i="48"/>
  <c r="C17" i="44"/>
  <c r="C18" i="44" s="1"/>
  <c r="F25" i="47"/>
  <c r="F17" i="47"/>
  <c r="F18" i="47" s="1"/>
  <c r="C24" i="44"/>
  <c r="H14" i="55"/>
  <c r="J14" i="55" s="1"/>
  <c r="D17" i="46"/>
  <c r="D18" i="46" s="1"/>
  <c r="C24" i="46"/>
  <c r="C24" i="45"/>
  <c r="C17" i="45"/>
  <c r="C18" i="45" s="1"/>
  <c r="D11" i="56"/>
  <c r="C17" i="54"/>
  <c r="C18" i="54" s="1"/>
  <c r="D24" i="46"/>
  <c r="C24" i="54"/>
  <c r="B17" i="45"/>
  <c r="B18" i="45" s="1"/>
  <c r="D17" i="55"/>
  <c r="D18" i="55" s="1"/>
  <c r="C12" i="56"/>
  <c r="H13" i="54"/>
  <c r="J13" i="54" s="1"/>
  <c r="B24" i="54"/>
  <c r="D24" i="55"/>
  <c r="H11" i="46"/>
  <c r="B17" i="54"/>
  <c r="B18" i="54" s="1"/>
  <c r="H12" i="55"/>
  <c r="J12" i="55" s="1"/>
  <c r="C25" i="46"/>
  <c r="C11" i="56"/>
  <c r="E30" i="57"/>
  <c r="C10" i="56"/>
  <c r="C26" i="56" s="1"/>
  <c r="C17" i="46"/>
  <c r="C18" i="46" s="1"/>
  <c r="B25" i="54"/>
  <c r="G18" i="48"/>
  <c r="G19" i="48" s="1"/>
  <c r="H12" i="46"/>
  <c r="J12" i="46" s="1"/>
  <c r="L15" i="46" s="1"/>
  <c r="L16" i="46" s="1"/>
  <c r="D24" i="47"/>
  <c r="B30" i="29"/>
  <c r="D17" i="47"/>
  <c r="D18" i="47" s="1"/>
  <c r="B24" i="45"/>
  <c r="G17" i="54"/>
  <c r="G18" i="54" s="1"/>
  <c r="D10" i="56"/>
  <c r="D26" i="56" s="1"/>
  <c r="E39" i="48"/>
  <c r="E38" i="29" s="1"/>
  <c r="F7" i="8"/>
  <c r="G7" i="8" s="1"/>
  <c r="F3" i="8"/>
  <c r="G3" i="8" s="1"/>
  <c r="F5" i="8"/>
  <c r="G5" i="8" s="1"/>
  <c r="F8" i="8"/>
  <c r="F2" i="8"/>
  <c r="G2" i="8" s="1"/>
  <c r="F4" i="8"/>
  <c r="G4" i="8" s="1"/>
  <c r="F6" i="8"/>
  <c r="G6" i="8" s="1"/>
  <c r="B19" i="9"/>
  <c r="E10" i="57"/>
  <c r="E26" i="57" s="1"/>
  <c r="F11" i="57"/>
  <c r="F12" i="57"/>
  <c r="D12" i="57"/>
  <c r="E30" i="29"/>
  <c r="D12" i="2"/>
  <c r="E12" i="2" s="1"/>
  <c r="I12" i="2" s="1"/>
  <c r="D13" i="2"/>
  <c r="E13" i="2" s="1"/>
  <c r="I13" i="2" s="1"/>
  <c r="D9" i="2"/>
  <c r="E9" i="2" s="1"/>
  <c r="I9" i="2" s="1"/>
  <c r="D10" i="2"/>
  <c r="E10" i="2" s="1"/>
  <c r="I10" i="2" s="1"/>
  <c r="D11" i="2"/>
  <c r="E11" i="2" s="1"/>
  <c r="I11" i="2" s="1"/>
  <c r="H13" i="46"/>
  <c r="J13" i="46" s="1"/>
  <c r="H10" i="47"/>
  <c r="J10" i="47" s="1"/>
  <c r="B39" i="48"/>
  <c r="B38" i="29" s="1"/>
  <c r="G28" i="48"/>
  <c r="G12" i="57"/>
  <c r="B37" i="48"/>
  <c r="B36" i="29" s="1"/>
  <c r="G10" i="57"/>
  <c r="G26" i="57" s="1"/>
  <c r="G10" i="56"/>
  <c r="G26" i="56" s="1"/>
  <c r="G26" i="43"/>
  <c r="B26" i="56"/>
  <c r="G30" i="29"/>
  <c r="H10" i="46"/>
  <c r="J10" i="46" s="1"/>
  <c r="B26" i="46"/>
  <c r="C37" i="48"/>
  <c r="C36" i="29" s="1"/>
  <c r="G11" i="57"/>
  <c r="E37" i="48"/>
  <c r="E36" i="29" s="1"/>
  <c r="H10" i="54"/>
  <c r="J10" i="54" s="1"/>
  <c r="B26" i="54"/>
  <c r="H12" i="43"/>
  <c r="J12" i="43" s="1"/>
  <c r="L15" i="43" s="1"/>
  <c r="L17" i="43" s="1"/>
  <c r="C24" i="43"/>
  <c r="C17" i="43"/>
  <c r="C18" i="43" s="1"/>
  <c r="C14" i="56"/>
  <c r="H14" i="43"/>
  <c r="J14" i="43" s="1"/>
  <c r="E24" i="43"/>
  <c r="E17" i="43"/>
  <c r="E18" i="43" s="1"/>
  <c r="G24" i="43"/>
  <c r="G11" i="56"/>
  <c r="G17" i="43"/>
  <c r="G18" i="43" s="1"/>
  <c r="B11" i="56"/>
  <c r="B24" i="43"/>
  <c r="H11" i="43"/>
  <c r="B17" i="43"/>
  <c r="B18" i="43" s="1"/>
  <c r="F25" i="43"/>
  <c r="F24" i="43"/>
  <c r="F13" i="56"/>
  <c r="F17" i="43"/>
  <c r="F18" i="43" s="1"/>
  <c r="D17" i="43"/>
  <c r="D18" i="43" s="1"/>
  <c r="D24" i="43"/>
  <c r="D12" i="56"/>
  <c r="C13" i="56"/>
  <c r="C25" i="43"/>
  <c r="H13" i="43"/>
  <c r="J13" i="43" s="1"/>
  <c r="G12" i="56"/>
  <c r="D25" i="43"/>
  <c r="D13" i="56"/>
  <c r="C7" i="8" l="1"/>
  <c r="E7" i="8" s="1"/>
  <c r="H7" i="8"/>
  <c r="C5" i="8"/>
  <c r="E5" i="8" s="1"/>
  <c r="H5" i="8"/>
  <c r="J16" i="29"/>
  <c r="D21" i="29"/>
  <c r="H10" i="44"/>
  <c r="J10" i="44" s="1"/>
  <c r="F14" i="57"/>
  <c r="F37" i="29"/>
  <c r="F45" i="29" s="1"/>
  <c r="F33" i="56"/>
  <c r="F40" i="56" s="1"/>
  <c r="F46" i="48"/>
  <c r="F13" i="48" s="1"/>
  <c r="C24" i="2"/>
  <c r="P14" i="21" s="1"/>
  <c r="D14" i="57"/>
  <c r="E13" i="56"/>
  <c r="E11" i="56"/>
  <c r="H11" i="56" s="1"/>
  <c r="H10" i="45"/>
  <c r="J10" i="45" s="1"/>
  <c r="E24" i="44"/>
  <c r="H13" i="44"/>
  <c r="J13" i="44" s="1"/>
  <c r="E25" i="44"/>
  <c r="E17" i="44"/>
  <c r="E18" i="44" s="1"/>
  <c r="D35" i="29"/>
  <c r="D43" i="29" s="1"/>
  <c r="D44" i="48"/>
  <c r="D11" i="48" s="1"/>
  <c r="D31" i="56"/>
  <c r="D38" i="56" s="1"/>
  <c r="D31" i="57"/>
  <c r="D38" i="57" s="1"/>
  <c r="D37" i="29"/>
  <c r="D45" i="29" s="1"/>
  <c r="D46" i="48"/>
  <c r="D13" i="48" s="1"/>
  <c r="D33" i="57"/>
  <c r="D40" i="57" s="1"/>
  <c r="D33" i="56"/>
  <c r="D40" i="56" s="1"/>
  <c r="E12" i="56"/>
  <c r="AI45" i="1"/>
  <c r="H12" i="45"/>
  <c r="J12" i="45" s="1"/>
  <c r="L15" i="45" s="1"/>
  <c r="L17" i="45" s="1"/>
  <c r="E25" i="45"/>
  <c r="H13" i="45"/>
  <c r="J13" i="45" s="1"/>
  <c r="E14" i="56"/>
  <c r="H14" i="45"/>
  <c r="J14" i="45" s="1"/>
  <c r="E10" i="56"/>
  <c r="E26" i="56" s="1"/>
  <c r="E24" i="45"/>
  <c r="E17" i="45"/>
  <c r="E18" i="45" s="1"/>
  <c r="B48" i="48"/>
  <c r="B17" i="48" s="1"/>
  <c r="B31" i="48" s="1"/>
  <c r="B39" i="29"/>
  <c r="B47" i="29" s="1"/>
  <c r="H10" i="29"/>
  <c r="B43" i="29"/>
  <c r="B44" i="48"/>
  <c r="B11" i="48" s="1"/>
  <c r="I52" i="2"/>
  <c r="B46" i="48"/>
  <c r="B13" i="48" s="1"/>
  <c r="B13" i="29" s="1"/>
  <c r="B37" i="29"/>
  <c r="B45" i="29" s="1"/>
  <c r="C46" i="48"/>
  <c r="C13" i="48" s="1"/>
  <c r="C13" i="29" s="1"/>
  <c r="C37" i="29"/>
  <c r="C45" i="29" s="1"/>
  <c r="C47" i="48"/>
  <c r="C14" i="48" s="1"/>
  <c r="C14" i="29" s="1"/>
  <c r="C38" i="29"/>
  <c r="C46" i="29" s="1"/>
  <c r="C43" i="29"/>
  <c r="E46" i="48"/>
  <c r="E37" i="29"/>
  <c r="E45" i="29" s="1"/>
  <c r="E44" i="48"/>
  <c r="E11" i="48" s="1"/>
  <c r="E43" i="29"/>
  <c r="C31" i="57"/>
  <c r="C38" i="57" s="1"/>
  <c r="D25" i="56"/>
  <c r="E44" i="29"/>
  <c r="I19" i="56"/>
  <c r="H16" i="56"/>
  <c r="J16" i="56" s="1"/>
  <c r="C31" i="56"/>
  <c r="C38" i="56" s="1"/>
  <c r="B31" i="57"/>
  <c r="B38" i="57" s="1"/>
  <c r="E31" i="57"/>
  <c r="E38" i="57" s="1"/>
  <c r="B32" i="57"/>
  <c r="B39" i="57" s="1"/>
  <c r="C33" i="57"/>
  <c r="C40" i="57" s="1"/>
  <c r="C33" i="56"/>
  <c r="C40" i="56" s="1"/>
  <c r="B33" i="57"/>
  <c r="B40" i="57" s="1"/>
  <c r="I12" i="44"/>
  <c r="I11" i="44" s="1"/>
  <c r="L16" i="44"/>
  <c r="E33" i="57"/>
  <c r="E40" i="57" s="1"/>
  <c r="L17" i="47"/>
  <c r="I12" i="47"/>
  <c r="I11" i="47" s="1"/>
  <c r="H17" i="47"/>
  <c r="J4" i="47" s="1"/>
  <c r="I12" i="54"/>
  <c r="I11" i="54" s="1"/>
  <c r="H15" i="54"/>
  <c r="J15" i="54" s="1"/>
  <c r="L15" i="54" s="1"/>
  <c r="I18" i="54"/>
  <c r="E17" i="54"/>
  <c r="E18" i="54" s="1"/>
  <c r="I19" i="54"/>
  <c r="H16" i="54"/>
  <c r="J16" i="54" s="1"/>
  <c r="H16" i="55"/>
  <c r="J16" i="55" s="1"/>
  <c r="I19" i="55"/>
  <c r="D20" i="54"/>
  <c r="D21" i="48"/>
  <c r="D20" i="55"/>
  <c r="E15" i="57"/>
  <c r="H15" i="48"/>
  <c r="H15" i="55"/>
  <c r="J15" i="55" s="1"/>
  <c r="L15" i="55" s="1"/>
  <c r="I18" i="55"/>
  <c r="E17" i="55"/>
  <c r="E18" i="55" s="1"/>
  <c r="I12" i="46"/>
  <c r="I11" i="46" s="1"/>
  <c r="L17" i="46"/>
  <c r="J11" i="46"/>
  <c r="I12" i="55"/>
  <c r="I11" i="55" s="1"/>
  <c r="C34" i="57"/>
  <c r="C41" i="57" s="1"/>
  <c r="C34" i="56"/>
  <c r="C41" i="56" s="1"/>
  <c r="G17" i="57"/>
  <c r="G18" i="57" s="1"/>
  <c r="C45" i="48"/>
  <c r="C12" i="48" s="1"/>
  <c r="C12" i="29" s="1"/>
  <c r="C32" i="57"/>
  <c r="C39" i="57" s="1"/>
  <c r="C44" i="29"/>
  <c r="E32" i="57"/>
  <c r="E39" i="57" s="1"/>
  <c r="E45" i="48"/>
  <c r="E12" i="48" s="1"/>
  <c r="E12" i="29" s="1"/>
  <c r="I14" i="2"/>
  <c r="H10" i="57"/>
  <c r="J10" i="57" s="1"/>
  <c r="G24" i="57"/>
  <c r="E47" i="48"/>
  <c r="E14" i="48" s="1"/>
  <c r="E34" i="57"/>
  <c r="E41" i="57" s="1"/>
  <c r="E46" i="29"/>
  <c r="C2" i="8"/>
  <c r="E2" i="8" s="1"/>
  <c r="H10" i="56"/>
  <c r="J10" i="56" s="1"/>
  <c r="H17" i="46"/>
  <c r="J4" i="46" s="1"/>
  <c r="B34" i="57"/>
  <c r="B41" i="57" s="1"/>
  <c r="B46" i="29"/>
  <c r="B15" i="29" s="1"/>
  <c r="B47" i="48"/>
  <c r="B14" i="48" s="1"/>
  <c r="B14" i="29" s="1"/>
  <c r="B45" i="48"/>
  <c r="B12" i="48" s="1"/>
  <c r="B12" i="29" s="1"/>
  <c r="B44" i="29"/>
  <c r="L16" i="43"/>
  <c r="C24" i="56"/>
  <c r="C32" i="56"/>
  <c r="C39" i="56" s="1"/>
  <c r="H2" i="8"/>
  <c r="C25" i="56"/>
  <c r="D24" i="56"/>
  <c r="D17" i="56"/>
  <c r="D18" i="56" s="1"/>
  <c r="J11" i="43"/>
  <c r="H17" i="43"/>
  <c r="I12" i="43"/>
  <c r="I11" i="43" s="1"/>
  <c r="G28" i="29"/>
  <c r="O26" i="21" s="1"/>
  <c r="G18" i="29"/>
  <c r="G19" i="29" s="1"/>
  <c r="D17" i="57"/>
  <c r="D18" i="57" s="1"/>
  <c r="C17" i="56"/>
  <c r="C18" i="56" s="1"/>
  <c r="F25" i="56"/>
  <c r="F17" i="56"/>
  <c r="F18" i="56" s="1"/>
  <c r="F24" i="56"/>
  <c r="G24" i="56"/>
  <c r="G17" i="56"/>
  <c r="G18" i="56" s="1"/>
  <c r="F17" i="57"/>
  <c r="F18" i="57" s="1"/>
  <c r="C28" i="29" l="1"/>
  <c r="C29" i="29"/>
  <c r="E24" i="2"/>
  <c r="F24" i="2" s="1"/>
  <c r="F13" i="29"/>
  <c r="F18" i="48"/>
  <c r="F19" i="48" s="1"/>
  <c r="F13" i="57"/>
  <c r="F28" i="48"/>
  <c r="F29" i="48"/>
  <c r="E17" i="29"/>
  <c r="H17" i="29" s="1"/>
  <c r="J17" i="29" s="1"/>
  <c r="E25" i="56"/>
  <c r="H17" i="44"/>
  <c r="J4" i="44" s="1"/>
  <c r="D13" i="29"/>
  <c r="D29" i="29" s="1"/>
  <c r="D13" i="57"/>
  <c r="D25" i="57" s="1"/>
  <c r="D29" i="48"/>
  <c r="D11" i="57"/>
  <c r="D28" i="48"/>
  <c r="D18" i="48"/>
  <c r="D19" i="48" s="1"/>
  <c r="D11" i="29"/>
  <c r="C6" i="8"/>
  <c r="E6" i="8" s="1"/>
  <c r="H6" i="8"/>
  <c r="I12" i="45"/>
  <c r="I11" i="45" s="1"/>
  <c r="H17" i="45"/>
  <c r="J4" i="45" s="1"/>
  <c r="E24" i="56"/>
  <c r="L16" i="45"/>
  <c r="J10" i="29"/>
  <c r="E9" i="21" s="1"/>
  <c r="E17" i="56"/>
  <c r="E18" i="56" s="1"/>
  <c r="I20" i="48"/>
  <c r="H16" i="48"/>
  <c r="J16" i="48" s="1"/>
  <c r="E13" i="48"/>
  <c r="H13" i="48" s="1"/>
  <c r="H13" i="57" s="1"/>
  <c r="J13" i="57" s="1"/>
  <c r="I19" i="48"/>
  <c r="E16" i="57"/>
  <c r="I19" i="57" s="1"/>
  <c r="B11" i="29"/>
  <c r="E11" i="29"/>
  <c r="H4" i="8"/>
  <c r="H3" i="8"/>
  <c r="C4" i="8"/>
  <c r="E4" i="8" s="1"/>
  <c r="C3" i="8"/>
  <c r="E3" i="8" s="1"/>
  <c r="B13" i="56"/>
  <c r="H13" i="56" s="1"/>
  <c r="J13" i="56" s="1"/>
  <c r="C13" i="57"/>
  <c r="B11" i="57"/>
  <c r="E11" i="57"/>
  <c r="B13" i="57"/>
  <c r="C14" i="57"/>
  <c r="C29" i="48"/>
  <c r="C11" i="57"/>
  <c r="E14" i="29"/>
  <c r="H14" i="29" s="1"/>
  <c r="J14" i="29" s="1"/>
  <c r="H11" i="48"/>
  <c r="J11" i="48" s="1"/>
  <c r="H12" i="29"/>
  <c r="J12" i="29" s="1"/>
  <c r="H17" i="54"/>
  <c r="J4" i="54" s="1"/>
  <c r="H17" i="55"/>
  <c r="J4" i="55" s="1"/>
  <c r="J17" i="47"/>
  <c r="L17" i="55"/>
  <c r="L16" i="55"/>
  <c r="J15" i="48"/>
  <c r="H15" i="57"/>
  <c r="J15" i="57" s="1"/>
  <c r="L16" i="54"/>
  <c r="L17" i="54"/>
  <c r="B12" i="57"/>
  <c r="B18" i="48"/>
  <c r="B19" i="48" s="1"/>
  <c r="H12" i="48"/>
  <c r="B12" i="56"/>
  <c r="B28" i="48"/>
  <c r="J17" i="46"/>
  <c r="B29" i="29"/>
  <c r="B14" i="57"/>
  <c r="B14" i="56"/>
  <c r="H14" i="48"/>
  <c r="B29" i="48"/>
  <c r="E12" i="57"/>
  <c r="E14" i="57"/>
  <c r="C12" i="57"/>
  <c r="C28" i="48"/>
  <c r="C18" i="48"/>
  <c r="C19" i="48" s="1"/>
  <c r="J17" i="43"/>
  <c r="J4" i="43"/>
  <c r="J11" i="56"/>
  <c r="D28" i="29" l="1"/>
  <c r="L26" i="21" s="1"/>
  <c r="F24" i="57"/>
  <c r="F25" i="57"/>
  <c r="F28" i="29"/>
  <c r="N26" i="21" s="1"/>
  <c r="F29" i="29"/>
  <c r="F18" i="29"/>
  <c r="F19" i="29" s="1"/>
  <c r="I20" i="29"/>
  <c r="J17" i="44"/>
  <c r="D18" i="29"/>
  <c r="D19" i="29" s="1"/>
  <c r="D24" i="57"/>
  <c r="C40" i="48"/>
  <c r="C48" i="48" s="1"/>
  <c r="C17" i="48" s="1"/>
  <c r="C31" i="48" s="1"/>
  <c r="E40" i="48"/>
  <c r="E48" i="48" s="1"/>
  <c r="J17" i="45"/>
  <c r="C9" i="21"/>
  <c r="I18" i="57"/>
  <c r="H11" i="29"/>
  <c r="E13" i="29"/>
  <c r="H13" i="29" s="1"/>
  <c r="J13" i="29" s="1"/>
  <c r="E29" i="48"/>
  <c r="E18" i="48"/>
  <c r="E19" i="48" s="1"/>
  <c r="E28" i="48"/>
  <c r="E13" i="57"/>
  <c r="E24" i="57" s="1"/>
  <c r="C25" i="57"/>
  <c r="B25" i="57"/>
  <c r="H11" i="57"/>
  <c r="J11" i="57" s="1"/>
  <c r="J13" i="48"/>
  <c r="E8" i="21"/>
  <c r="J17" i="54"/>
  <c r="J17" i="55"/>
  <c r="H16" i="57"/>
  <c r="J16" i="57" s="1"/>
  <c r="I19" i="29"/>
  <c r="E17" i="57"/>
  <c r="E18" i="57" s="1"/>
  <c r="H12" i="56"/>
  <c r="B17" i="56"/>
  <c r="B18" i="56" s="1"/>
  <c r="B24" i="56"/>
  <c r="J14" i="48"/>
  <c r="H14" i="57"/>
  <c r="J14" i="57" s="1"/>
  <c r="J12" i="48"/>
  <c r="L15" i="48" s="1"/>
  <c r="H12" i="57"/>
  <c r="I12" i="48"/>
  <c r="I11" i="48" s="1"/>
  <c r="H14" i="56"/>
  <c r="J14" i="56" s="1"/>
  <c r="B25" i="56"/>
  <c r="B28" i="29"/>
  <c r="J26" i="21" s="1"/>
  <c r="B18" i="29"/>
  <c r="B19" i="29" s="1"/>
  <c r="B17" i="57"/>
  <c r="B18" i="57" s="1"/>
  <c r="B24" i="57"/>
  <c r="K26" i="21"/>
  <c r="C17" i="57"/>
  <c r="C18" i="57" s="1"/>
  <c r="C24" i="57"/>
  <c r="J11" i="29" l="1"/>
  <c r="E7" i="21" s="1"/>
  <c r="E28" i="29"/>
  <c r="M26" i="21" s="1"/>
  <c r="C39" i="29"/>
  <c r="C47" i="29" s="1"/>
  <c r="C15" i="29" s="1"/>
  <c r="E39" i="29"/>
  <c r="E47" i="29" s="1"/>
  <c r="E15" i="29" s="1"/>
  <c r="E18" i="29" s="1"/>
  <c r="E19" i="29" s="1"/>
  <c r="E17" i="48"/>
  <c r="E31" i="48" s="1"/>
  <c r="G15" i="21"/>
  <c r="E25" i="57"/>
  <c r="E29" i="29"/>
  <c r="L16" i="48"/>
  <c r="L17" i="48" s="1"/>
  <c r="J12" i="56"/>
  <c r="L15" i="56" s="1"/>
  <c r="H17" i="56"/>
  <c r="I12" i="56"/>
  <c r="I11" i="56" s="1"/>
  <c r="J12" i="57"/>
  <c r="L15" i="57" s="1"/>
  <c r="I12" i="57"/>
  <c r="I11" i="57" s="1"/>
  <c r="H17" i="57"/>
  <c r="E13" i="21" l="1"/>
  <c r="H15" i="29"/>
  <c r="C18" i="29"/>
  <c r="C19" i="29" s="1"/>
  <c r="H17" i="48"/>
  <c r="J17" i="48" s="1"/>
  <c r="G12" i="21"/>
  <c r="H7" i="21" s="1"/>
  <c r="C8" i="21"/>
  <c r="J17" i="56"/>
  <c r="J4" i="56"/>
  <c r="L17" i="56"/>
  <c r="L16" i="56"/>
  <c r="J4" i="57"/>
  <c r="J17" i="57"/>
  <c r="L17" i="57"/>
  <c r="L16" i="57"/>
  <c r="L16" i="29"/>
  <c r="E15" i="21" l="1"/>
  <c r="I14" i="21"/>
  <c r="C13" i="21"/>
  <c r="C15" i="21" s="1"/>
  <c r="J15" i="29"/>
  <c r="E10" i="21" s="1"/>
  <c r="C10" i="21" s="1"/>
  <c r="H18" i="29"/>
  <c r="N23" i="21" s="1"/>
  <c r="C7" i="21"/>
  <c r="E11" i="21"/>
  <c r="C11" i="21" s="1"/>
  <c r="H18" i="48"/>
  <c r="J4" i="48" s="1"/>
  <c r="H15" i="21"/>
  <c r="H28" i="21"/>
  <c r="H14" i="21"/>
  <c r="H26" i="21"/>
  <c r="H12" i="21"/>
  <c r="H20" i="21"/>
  <c r="H11" i="21"/>
  <c r="H24" i="21"/>
  <c r="H17" i="21"/>
  <c r="H19" i="21"/>
  <c r="H10" i="21"/>
  <c r="H29" i="21"/>
  <c r="H27" i="21"/>
  <c r="H25" i="21"/>
  <c r="H9" i="21"/>
  <c r="H13" i="21"/>
  <c r="H8" i="21"/>
  <c r="L17" i="29"/>
  <c r="E16" i="21" s="1"/>
  <c r="L18" i="29"/>
  <c r="E18" i="21" s="1"/>
  <c r="J18" i="29" l="1"/>
  <c r="J4" i="29"/>
  <c r="J18" i="48"/>
  <c r="H16" i="21"/>
  <c r="H18" i="21"/>
  <c r="C12" i="21"/>
  <c r="E12" i="21"/>
  <c r="I12" i="21" s="1"/>
  <c r="E21" i="21"/>
  <c r="J21" i="21" s="1"/>
  <c r="C16" i="21"/>
  <c r="E22" i="21" l="1"/>
  <c r="F27" i="21"/>
  <c r="F25" i="21"/>
  <c r="F24" i="21"/>
  <c r="F13" i="21"/>
  <c r="E29" i="21"/>
  <c r="F29" i="21" s="1"/>
  <c r="C18" i="21"/>
  <c r="D18" i="21" s="1"/>
  <c r="G21" i="21"/>
  <c r="G22" i="21" s="1"/>
  <c r="G30" i="21" s="1"/>
  <c r="H30" i="21" s="1"/>
  <c r="D7" i="21"/>
  <c r="F21" i="21"/>
  <c r="F15" i="21"/>
  <c r="F17" i="21"/>
  <c r="F16" i="21"/>
  <c r="F20" i="21"/>
  <c r="D28" i="21"/>
  <c r="F14" i="21"/>
  <c r="F8" i="21"/>
  <c r="F10" i="21"/>
  <c r="F7" i="21"/>
  <c r="F19" i="21"/>
  <c r="F12" i="21"/>
  <c r="F18" i="21"/>
  <c r="F9" i="21"/>
  <c r="D16" i="21"/>
  <c r="F11" i="21"/>
  <c r="D19" i="21"/>
  <c r="D25" i="21"/>
  <c r="D8" i="21"/>
  <c r="D14" i="21"/>
  <c r="D10" i="21"/>
  <c r="D17" i="21"/>
  <c r="D15" i="21"/>
  <c r="D13" i="21"/>
  <c r="D20" i="21"/>
  <c r="D12" i="21"/>
  <c r="D9" i="21"/>
  <c r="D11" i="21"/>
  <c r="F22" i="21" l="1"/>
  <c r="E30" i="21"/>
  <c r="I30" i="21" s="1"/>
  <c r="C21" i="21"/>
  <c r="D21" i="21" s="1"/>
  <c r="H21" i="21"/>
  <c r="E26" i="21"/>
  <c r="F26" i="21" s="1"/>
  <c r="C24" i="21"/>
  <c r="C27" i="21"/>
  <c r="C22" i="21" l="1"/>
  <c r="D22" i="21" s="1"/>
  <c r="H22" i="21"/>
  <c r="C26" i="21"/>
  <c r="D26" i="21" s="1"/>
  <c r="D24" i="21"/>
  <c r="D27" i="21"/>
  <c r="C29" i="21"/>
  <c r="F30" i="21"/>
  <c r="D29" i="21" l="1"/>
  <c r="C30" i="21"/>
  <c r="D30" i="2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tc={54B4AB6A-A7F9-4E79-8BD1-4A7778F89C1F}</author>
  </authors>
  <commentList>
    <comment ref="B15" authorId="0" shapeId="0" xr:uid="{54B4AB6A-A7F9-4E79-8BD1-4A7778F89C1F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 Premium Economy</t>
      </text>
    </comment>
  </commentList>
</comments>
</file>

<file path=xl/sharedStrings.xml><?xml version="1.0" encoding="utf-8"?>
<sst xmlns="http://schemas.openxmlformats.org/spreadsheetml/2006/main" count="1431" uniqueCount="453">
  <si>
    <t>Flights Per Week</t>
  </si>
  <si>
    <t>Flights Annually</t>
  </si>
  <si>
    <t xml:space="preserve">Load </t>
  </si>
  <si>
    <t>Description</t>
  </si>
  <si>
    <t xml:space="preserve">Grand Total </t>
  </si>
  <si>
    <t>SAS</t>
  </si>
  <si>
    <t xml:space="preserve">Unit Central Cost </t>
  </si>
  <si>
    <t xml:space="preserve">Cycle </t>
  </si>
  <si>
    <t>$</t>
  </si>
  <si>
    <t>%</t>
  </si>
  <si>
    <t>Discount</t>
  </si>
  <si>
    <t>Revenue Meals</t>
  </si>
  <si>
    <t>Revenue Handling</t>
  </si>
  <si>
    <t xml:space="preserve">Mark up on Food </t>
  </si>
  <si>
    <t>Revenue Overheads</t>
  </si>
  <si>
    <t xml:space="preserve">Mark up on Labor </t>
  </si>
  <si>
    <t>Revenue Other</t>
  </si>
  <si>
    <t xml:space="preserve">Mark up on Handling </t>
  </si>
  <si>
    <t xml:space="preserve">Mark up on TRASH REMOVAL </t>
  </si>
  <si>
    <t>Net Revenue</t>
  </si>
  <si>
    <t>Food Cost</t>
  </si>
  <si>
    <t xml:space="preserve">30245 - 2 weeks </t>
  </si>
  <si>
    <t>SAS HANDLING</t>
  </si>
  <si>
    <t>Other product cost</t>
  </si>
  <si>
    <t>SAS 330/350 TURNAROUND</t>
  </si>
  <si>
    <t xml:space="preserve"> Total Direct Materials</t>
  </si>
  <si>
    <t>Direct Labor - Wages</t>
  </si>
  <si>
    <t>Direct Labor - OT Premium</t>
  </si>
  <si>
    <t>INTERNATIONAL GARBAGE</t>
  </si>
  <si>
    <t>Direct Labor - Benefit Cost</t>
  </si>
  <si>
    <t>Direct Labor - Other</t>
  </si>
  <si>
    <t>Direct Management Labor Cost</t>
  </si>
  <si>
    <t>Total Direct Labor</t>
  </si>
  <si>
    <t>Gross Profit Margin (CM1)</t>
  </si>
  <si>
    <t>SAS Avg. Revenue Per Flight</t>
  </si>
  <si>
    <t>Indirect Management Labor Cost</t>
  </si>
  <si>
    <t>A</t>
  </si>
  <si>
    <t>Indirect Hourly Labor Cost</t>
  </si>
  <si>
    <t>FC</t>
  </si>
  <si>
    <t>BC</t>
  </si>
  <si>
    <t>PY</t>
  </si>
  <si>
    <t>EY</t>
  </si>
  <si>
    <t>TC</t>
  </si>
  <si>
    <t>CY</t>
  </si>
  <si>
    <t>Total Indirect Labor</t>
  </si>
  <si>
    <t>Operating Expense-Variable</t>
  </si>
  <si>
    <t>Operating Expense-Fixed</t>
  </si>
  <si>
    <t>Overhead</t>
  </si>
  <si>
    <t>Other OPEX Cost</t>
  </si>
  <si>
    <t xml:space="preserve">PY </t>
  </si>
  <si>
    <t>YC</t>
  </si>
  <si>
    <t>CC</t>
  </si>
  <si>
    <t>EBITDA</t>
  </si>
  <si>
    <t>Note - On the P&amp;L we can update the Flights per week, AC type, Load Factor, Cycle &amp; Mark up's</t>
  </si>
  <si>
    <t>Refrigrated truck $270,000</t>
  </si>
  <si>
    <t>Bid Fact Sheet</t>
  </si>
  <si>
    <t>Airline Name</t>
  </si>
  <si>
    <t>NEOS</t>
  </si>
  <si>
    <t xml:space="preserve">City Code and Unit Number </t>
  </si>
  <si>
    <t>JFK</t>
  </si>
  <si>
    <t>Date Bid Preparation Begins</t>
  </si>
  <si>
    <t>Period used for Annualization</t>
  </si>
  <si>
    <t>Access Fee %</t>
  </si>
  <si>
    <t>Trade Discount %</t>
  </si>
  <si>
    <t>Cash Discount %</t>
  </si>
  <si>
    <t>Start Up Date</t>
  </si>
  <si>
    <t>Aircraft Type</t>
  </si>
  <si>
    <t xml:space="preserve"> </t>
  </si>
  <si>
    <t>Configuration:       First Class</t>
  </si>
  <si>
    <t>Business Class</t>
  </si>
  <si>
    <t>Tourist Class</t>
  </si>
  <si>
    <t>ETA</t>
  </si>
  <si>
    <t>ETD</t>
  </si>
  <si>
    <t>Frequency (days of operations)</t>
  </si>
  <si>
    <t>Total No. of Flights per Year</t>
  </si>
  <si>
    <t>Load Factor %</t>
  </si>
  <si>
    <t>Source of Load Factor</t>
  </si>
  <si>
    <t>Flight Config</t>
  </si>
  <si>
    <t>Account Rep.</t>
  </si>
  <si>
    <t>Kathy Shi</t>
  </si>
  <si>
    <t>Reason For Bid</t>
  </si>
  <si>
    <t>New Unit</t>
  </si>
  <si>
    <t>Food Markup</t>
  </si>
  <si>
    <t>Incumbent</t>
  </si>
  <si>
    <t>Ancillary Markup</t>
  </si>
  <si>
    <t>New or Old Route</t>
  </si>
  <si>
    <t>New</t>
  </si>
  <si>
    <t>Service Markup</t>
  </si>
  <si>
    <t>Credit Established/Payment Status</t>
  </si>
  <si>
    <t>Was Account Previously Bid</t>
  </si>
  <si>
    <t>Overhead Recovery per Pax  F/C</t>
  </si>
  <si>
    <t>Outcome</t>
  </si>
  <si>
    <t>Overhead Recovery per Pax  B/C</t>
  </si>
  <si>
    <t>Is there a Global Agreement</t>
  </si>
  <si>
    <t>Overhead Recovery per Pax  E/U</t>
  </si>
  <si>
    <t>Date Building Lease expires</t>
  </si>
  <si>
    <t>Overhead Recovery per Pax  Y/C</t>
  </si>
  <si>
    <t>Overhead Recovery per Pax  C/Y</t>
  </si>
  <si>
    <t>Overhead Recovery per Pax  C/C</t>
  </si>
  <si>
    <t>Investment</t>
  </si>
  <si>
    <t>Amount</t>
  </si>
  <si>
    <t>No. Years</t>
  </si>
  <si>
    <t>$ per Year</t>
  </si>
  <si>
    <t>Overhead Recovery per Pax  T/C</t>
  </si>
  <si>
    <t xml:space="preserve">Building  </t>
  </si>
  <si>
    <t>Land</t>
  </si>
  <si>
    <t>N/A</t>
  </si>
  <si>
    <t>Building  - Leasehold Improvements</t>
  </si>
  <si>
    <t>Trucks - Highlifts</t>
  </si>
  <si>
    <t>Trucks - Vans/Utility Vehicles</t>
  </si>
  <si>
    <t>Equipment</t>
  </si>
  <si>
    <t>Rent of Property</t>
  </si>
  <si>
    <t>Other Cities that Dnata serves this Customer and Discounts applied:</t>
  </si>
  <si>
    <t>SFO</t>
  </si>
  <si>
    <t>Pricing Assumptions:</t>
  </si>
  <si>
    <t>Methodology: fc+lc+mu=sp</t>
  </si>
  <si>
    <t>Contract length:</t>
  </si>
  <si>
    <t># of Trucks/price - ea:</t>
  </si>
  <si>
    <t># of Vans/Utility Vehicles/price - ea:</t>
  </si>
  <si>
    <t xml:space="preserve">Equipment descriptions: </t>
  </si>
  <si>
    <t xml:space="preserve">Customer </t>
  </si>
  <si>
    <t>Flights Per week</t>
  </si>
  <si>
    <t xml:space="preserve">AC type </t>
  </si>
  <si>
    <t xml:space="preserve">AC Type </t>
  </si>
  <si>
    <t>Flights Per Month</t>
  </si>
  <si>
    <t xml:space="preserve">Total Revenues </t>
  </si>
  <si>
    <t xml:space="preserve">Annual Flights </t>
  </si>
  <si>
    <t xml:space="preserve">Summary </t>
  </si>
  <si>
    <t>BNA</t>
  </si>
  <si>
    <t xml:space="preserve">Total </t>
  </si>
  <si>
    <t>Hnd</t>
  </si>
  <si>
    <t>FLIGHT CONFIG</t>
  </si>
  <si>
    <t xml:space="preserve">Load Factor </t>
  </si>
  <si>
    <t>FIRST CLASS</t>
  </si>
  <si>
    <t>BUSINESS CLASS</t>
  </si>
  <si>
    <t>PREMIUM ECONOMY CLASS</t>
  </si>
  <si>
    <t>ECONOMY CLASS</t>
  </si>
  <si>
    <t>TECH CREW CLASS</t>
  </si>
  <si>
    <t>cABIN CREW CLASS</t>
  </si>
  <si>
    <t>Per Flight</t>
  </si>
  <si>
    <t xml:space="preserve">Annual </t>
  </si>
  <si>
    <t>OVERHEAD</t>
  </si>
  <si>
    <t>Food Cost (DM)</t>
  </si>
  <si>
    <t>Wage Cost (DL)</t>
  </si>
  <si>
    <t>Food Mark up</t>
  </si>
  <si>
    <t>Labor Mark up</t>
  </si>
  <si>
    <t>Extra Revenue/Loss</t>
  </si>
  <si>
    <t xml:space="preserve">Direct Labour </t>
  </si>
  <si>
    <t xml:space="preserve">Handling Cost </t>
  </si>
  <si>
    <t xml:space="preserve">Handling Mark up </t>
  </si>
  <si>
    <t>Total Per Flight</t>
  </si>
  <si>
    <t>Handling</t>
  </si>
  <si>
    <t xml:space="preserve">Cost </t>
  </si>
  <si>
    <t xml:space="preserve">Mark Up </t>
  </si>
  <si>
    <t xml:space="preserve">Price </t>
  </si>
  <si>
    <t>330 Handling</t>
  </si>
  <si>
    <t>B777 Handling</t>
  </si>
  <si>
    <t>A380 Handling</t>
  </si>
  <si>
    <t xml:space="preserve">TRASH REMOVACL </t>
  </si>
  <si>
    <t xml:space="preserve">Avg Price Per Pax </t>
  </si>
  <si>
    <t xml:space="preserve">Avg Mark up Per Pax </t>
  </si>
  <si>
    <t xml:space="preserve">Over head Per Pax </t>
  </si>
  <si>
    <t>CYCLE</t>
  </si>
  <si>
    <t>FLT</t>
  </si>
  <si>
    <t xml:space="preserve">Config </t>
  </si>
  <si>
    <t>Markup Food</t>
  </si>
  <si>
    <t>Markup Labor</t>
  </si>
  <si>
    <t>Extra Profit or Loss</t>
  </si>
  <si>
    <t xml:space="preserve">Per Pax Avg </t>
  </si>
  <si>
    <t>737 Handling</t>
  </si>
  <si>
    <t>738 Handling</t>
  </si>
  <si>
    <t>Extra Revenue/Loss Per Pax</t>
  </si>
  <si>
    <t>HANDLING CALCULATOR</t>
  </si>
  <si>
    <t>ALL AC TYPE</t>
  </si>
  <si>
    <t>STATION</t>
  </si>
  <si>
    <t>Aircraft type</t>
  </si>
  <si>
    <t>AC TYPE</t>
  </si>
  <si>
    <t>EU</t>
  </si>
  <si>
    <t># OF DAYS OPERATING</t>
  </si>
  <si>
    <t>LABOR</t>
  </si>
  <si>
    <t>POSITION</t>
  </si>
  <si>
    <t>No. of SHIFTS</t>
  </si>
  <si>
    <t>HOURS</t>
  </si>
  <si>
    <t>SHIFTS/WK</t>
  </si>
  <si>
    <t>ANNUAL HOURS</t>
  </si>
  <si>
    <t>RATE</t>
  </si>
  <si>
    <t>EMP COST</t>
  </si>
  <si>
    <t>TOTAL/HR</t>
  </si>
  <si>
    <t>ANNUAL</t>
  </si>
  <si>
    <t>PER FLIGHT</t>
  </si>
  <si>
    <t>EQ PACKER</t>
  </si>
  <si>
    <t>EMD</t>
  </si>
  <si>
    <t>DISHWASHER</t>
  </si>
  <si>
    <t xml:space="preserve">Van Charge </t>
  </si>
  <si>
    <t xml:space="preserve">Ramp Coordinator </t>
  </si>
  <si>
    <t xml:space="preserve">Labor </t>
  </si>
  <si>
    <t xml:space="preserve">Tuck </t>
  </si>
  <si>
    <t xml:space="preserve">total </t>
  </si>
  <si>
    <t xml:space="preserve">mark up </t>
  </si>
  <si>
    <t>Selling price</t>
  </si>
  <si>
    <t>INVENTORY CLERK</t>
  </si>
  <si>
    <t>DRIVER</t>
  </si>
  <si>
    <t>0.5h consider van charge</t>
  </si>
  <si>
    <t>Total</t>
  </si>
  <si>
    <t>TRUCK COSTS</t>
  </si>
  <si>
    <t>No. of TRUCKS</t>
  </si>
  <si>
    <t>OP HOURS</t>
  </si>
  <si>
    <t>TTL OP HRS</t>
  </si>
  <si>
    <t>DEP./DAY</t>
  </si>
  <si>
    <t>DEP/HR APPLIED</t>
  </si>
  <si>
    <t>DEP $</t>
  </si>
  <si>
    <t>FUEL</t>
  </si>
  <si>
    <t>MAIN/FEES/DAY</t>
  </si>
  <si>
    <t>MAIN COST</t>
  </si>
  <si>
    <t>TOTAL COST</t>
  </si>
  <si>
    <t>FUEL COST CALCULATOR</t>
  </si>
  <si>
    <t>A380 TRUCKS</t>
  </si>
  <si>
    <t>ROUND TRIP MILES</t>
  </si>
  <si>
    <t>NARROWBODY TRUCKS</t>
  </si>
  <si>
    <t>IDLE MILES</t>
  </si>
  <si>
    <t>TTL MILES</t>
  </si>
  <si>
    <t>MPG</t>
  </si>
  <si>
    <t>TOTAL HANDLING COST</t>
  </si>
  <si>
    <t>$/GAL</t>
  </si>
  <si>
    <t>MARK-UP</t>
  </si>
  <si>
    <t>Terminator</t>
  </si>
  <si>
    <t>Originator</t>
  </si>
  <si>
    <t>FUEL $</t>
  </si>
  <si>
    <t>TOTAL HANDLING PRICE</t>
  </si>
  <si>
    <t>Turnaround</t>
  </si>
  <si>
    <t>ASSUMPTIONS</t>
  </si>
  <si>
    <t>One coordinator</t>
  </si>
  <si>
    <t>Two trucks</t>
  </si>
  <si>
    <t>Two helpers</t>
  </si>
  <si>
    <t>ATL</t>
  </si>
  <si>
    <t>PACKER/QC</t>
  </si>
  <si>
    <t>long hual</t>
  </si>
  <si>
    <t xml:space="preserve">short hual </t>
  </si>
  <si>
    <t>WEEKS</t>
  </si>
  <si>
    <t>DFW</t>
  </si>
  <si>
    <t>FLIGHTS/WEEK</t>
  </si>
  <si>
    <t>FLTS PER YEAR</t>
  </si>
  <si>
    <t>LOAD FACTORS</t>
  </si>
  <si>
    <t># OF CYCLES</t>
  </si>
  <si>
    <t>PAX COUNT</t>
  </si>
  <si>
    <t>FLTS PER CYCLE</t>
  </si>
  <si>
    <t>CABIN CREW CLASS</t>
  </si>
  <si>
    <t>ACTUALLY CONFIGRATION IS 16/36/108</t>
  </si>
  <si>
    <t>Annual</t>
  </si>
  <si>
    <t>CLASS</t>
  </si>
  <si>
    <t>SERVICE</t>
  </si>
  <si>
    <t>Item #</t>
  </si>
  <si>
    <t>QTY</t>
  </si>
  <si>
    <t>RATIOS</t>
  </si>
  <si>
    <t>Volume Per Flight</t>
  </si>
  <si>
    <t>DM</t>
  </si>
  <si>
    <t>IE MM</t>
  </si>
  <si>
    <t>DL</t>
  </si>
  <si>
    <t>Labor Markup</t>
  </si>
  <si>
    <t>Price</t>
  </si>
  <si>
    <t xml:space="preserve">extra material cost </t>
  </si>
  <si>
    <t>MM Operation</t>
  </si>
  <si>
    <t>DM per flt</t>
  </si>
  <si>
    <t>MM per flt</t>
  </si>
  <si>
    <t>DL per flt</t>
  </si>
  <si>
    <t>Cost per flt</t>
  </si>
  <si>
    <t>Food Markup per flt</t>
  </si>
  <si>
    <t>Labor Markup Per flt</t>
  </si>
  <si>
    <t>Revenue per flt</t>
  </si>
  <si>
    <t>Annual NM cost</t>
  </si>
  <si>
    <t>Annual DM</t>
  </si>
  <si>
    <t>Annual MM</t>
  </si>
  <si>
    <t>Annual DL</t>
  </si>
  <si>
    <t>Annual Cost</t>
  </si>
  <si>
    <t>Annual Revenue</t>
  </si>
  <si>
    <t>STD</t>
  </si>
  <si>
    <t>FLT#</t>
  </si>
  <si>
    <t>AVG PER CLASS</t>
  </si>
  <si>
    <t>AVG PAX</t>
  </si>
  <si>
    <t>AVG $/PAX</t>
  </si>
  <si>
    <t>FLIGHTS/YEAR</t>
  </si>
  <si>
    <t>PAX/YEAR</t>
  </si>
  <si>
    <t>SALES/YEAR</t>
  </si>
  <si>
    <t>HANDLING</t>
  </si>
  <si>
    <t>Finished Good Master</t>
  </si>
  <si>
    <t>Delta</t>
  </si>
  <si>
    <t>Item Description</t>
  </si>
  <si>
    <t>Price Code</t>
  </si>
  <si>
    <t>EQ1</t>
  </si>
  <si>
    <t>EQ2</t>
  </si>
  <si>
    <t>EQ3</t>
  </si>
  <si>
    <t>EQ4</t>
  </si>
  <si>
    <t>EQ5</t>
  </si>
  <si>
    <t>Unit Weight/ Count</t>
  </si>
  <si>
    <t>UOM</t>
  </si>
  <si>
    <t>Final Work Center</t>
  </si>
  <si>
    <t>Req / No processing needed</t>
  </si>
  <si>
    <t>Prep Center</t>
  </si>
  <si>
    <t>Item Weight</t>
  </si>
  <si>
    <t>unit cost</t>
  </si>
  <si>
    <t>cost per quantity</t>
  </si>
  <si>
    <t>man minutes</t>
  </si>
  <si>
    <t>labor factor</t>
  </si>
  <si>
    <t>labor rate</t>
  </si>
  <si>
    <t>labor cost</t>
  </si>
  <si>
    <t>total cost</t>
  </si>
  <si>
    <t>food markup</t>
  </si>
  <si>
    <t>labor m/u</t>
  </si>
  <si>
    <t>food sale price</t>
  </si>
  <si>
    <t>labor sale price</t>
  </si>
  <si>
    <t>calculated sale price</t>
  </si>
  <si>
    <t>Item         Price</t>
  </si>
  <si>
    <t>Final Food Cost %</t>
  </si>
  <si>
    <t>Column1</t>
  </si>
  <si>
    <t>Column2</t>
  </si>
  <si>
    <t>Food cost w/ MU</t>
  </si>
  <si>
    <t>labor cost W/ MU</t>
  </si>
  <si>
    <t>Column3</t>
  </si>
  <si>
    <t>Column4</t>
  </si>
  <si>
    <t>Column5</t>
  </si>
  <si>
    <t>BC TSU</t>
  </si>
  <si>
    <t>BC C2 SALAD MESCLUN MIX GREEN250g</t>
  </si>
  <si>
    <t xml:space="preserve">BC C3 SALAD BABY ARUGULA, POACHED BOSC PEAR AND GOAT CHEESE </t>
  </si>
  <si>
    <t xml:space="preserve">BC C2 GARNISH SUNFLOWER SEED </t>
  </si>
  <si>
    <t xml:space="preserve">BC C3 GARNISH PEPITAS SEED </t>
  </si>
  <si>
    <t>BC BUTTER</t>
  </si>
  <si>
    <t xml:space="preserve">BC C2 STARTER A MEAT BEEF PASTRAMI, DUCK RILLET, SOOORESSATA, FIG JAM AND MESCULIN LETTUCE OKRA BLACK MISSION FIG </t>
  </si>
  <si>
    <t>BC C3 STARTER A MEAT ITALIAN SALAMI, PORT PROSCUITTO, WAYGU BRESSOLA, BABY ARUGULA, CASTELVETRANO OLIVE</t>
  </si>
  <si>
    <t>BC C2 STARTER B FISH SMOKED TROUT, PICKLED RED ONION, CUCUMBER APPLE SALAD AND MESCLUN MIX</t>
  </si>
  <si>
    <t>BC C3 STARTER B FISH SMOKED SALMON, CREAM CHEESE, EGG, RED ONION, CAPERS, BAGEL CHIPS</t>
  </si>
  <si>
    <t>BC C2 STARTER GARNISH SHAVED RADISH 100G</t>
  </si>
  <si>
    <t xml:space="preserve">BC C3 STARTER GARNISH DILL </t>
  </si>
  <si>
    <t>BC C2 HM A MEAT GRILLED BEEF TENDERLOIN, SMOKED TOMATO JAM, FINGERLING POTATOES, ASPARAGUS</t>
  </si>
  <si>
    <t>BC C3 HM A MEAT SMOKED BRAISED SHORT RIB, BBQ JUS, MASHED POTATOES, GREEN BEANS, CHERRY TOMATOES</t>
  </si>
  <si>
    <t>BC C2 HM C POULTRY LEMON CHICKEN LEG CONFIT, WILD MUSHROOM CONSERVA, MASH POTATOES, BABY CARROT</t>
  </si>
  <si>
    <t>BC C3 HM C POULTRY ROAST LEMON CHICKEN LEG QUARTER, PICCATA SAUCE, FINGERLING POTATO, BROCCOLINI, YELLOW SQUASH</t>
  </si>
  <si>
    <t>BC C2 HM D VEG PASTA MAMI SMOKED MOZZERELLA RAVIOLI 25GX4, POMODRINI SAUCE, BUFFALA MOZZARELLA, BROCCOLINI</t>
  </si>
  <si>
    <t>BC C3 HM D VEG PASTA MAMI WILD MUSHROOM TORTELLINI, TRUFFLE CREAM SAUCE, CONFIT WILD MUSHROOM, CHERRY TOMATO</t>
  </si>
  <si>
    <t>BC HM GARNISH MICRO GREEN 90G</t>
  </si>
  <si>
    <t>BC C2 DE CHEESE THOMASVILLE TOMME AND BRIE</t>
  </si>
  <si>
    <t>BC C3 DE CHEESE GREEN HILL, GEORGIA GOUDA</t>
  </si>
  <si>
    <t>BC C2 DE CAKE BANANA PUDDING CHEESECAKE WITH STRUSEL CRUMBLE AND BLUEBERRIES</t>
  </si>
  <si>
    <t xml:space="preserve">BC C3 DE CAKE CHOCOLATE MOUSSE CAKE </t>
  </si>
  <si>
    <t>BC C2 DE CAKE GARNISH RHUN CARAMEL 200G</t>
  </si>
  <si>
    <t>BC C3 DE CAKE GARNISH STRAWBERRY COULIS</t>
  </si>
  <si>
    <t>BC C2 DE FRUIT GRAPE, HONEYDEW, CANTALOUPE, WATERMELON</t>
  </si>
  <si>
    <t>BC C3 DE FRUIT BLUEBERRIES, STRABERRIES,PINEAPPLE, KIWI</t>
  </si>
  <si>
    <t>BC BRD TYPE 1 HERB SOURDOUGH 30G AND MULTIGRAIN CHEESE ROLL 40G</t>
  </si>
  <si>
    <t>BC BRD BREAKFAST SIX GRAIN BREAD ROLL 40G AND MINI BAGEL 40G</t>
  </si>
  <si>
    <t>BC BRD TYPE 3 ARTISAN BAGUETTE</t>
  </si>
  <si>
    <t>BC BRD C2 CROISSANT MINI</t>
  </si>
  <si>
    <t>BC BRD C3 MINI CHOCOLATE CROISSANT</t>
  </si>
  <si>
    <t>BC C2 COLD CUT CHIVE CREAM CHEESE, GEORGIA GOUDA, HAM, PROSUITTO, GREEN LEAF LETTUCE, CUCUMBER, BABY PEPPER</t>
  </si>
  <si>
    <t>BC C3 COLD CUT VEGGIE CREAM CHEESE, GEORGIA GOUDA, CHORIZO, HAMON SERRANO, SPINACH, CUCUMBER, CHERRY TOMATO</t>
  </si>
  <si>
    <t>BC C2 BRK FRUIT COCONUT CHIA OVERNIGHT OAT, MANGO, BLUEBERRIES</t>
  </si>
  <si>
    <t>BC C3 BRK FRUIT COCONUT OVERNIGHT OATS, TOASTED SEE GRANOLA, MANGO PINEAPPLE COMPOTE, BLUEBERRY</t>
  </si>
  <si>
    <t>BC C2 YOGURT VANILLA GREEK YOGURT CHOBANI 4OZ</t>
  </si>
  <si>
    <t>BC C3 YOGURT BLUEBERRY GREEK YOGURT CHOBANI 4OZ</t>
  </si>
  <si>
    <t>DELETED</t>
  </si>
  <si>
    <t>BC C3 SW CIABATTA BREAD, ROASTED EGGPLANT, RED PEPPER HALVES, BASIL PESTO HUMMUS</t>
  </si>
  <si>
    <t xml:space="preserve">PY TSU </t>
  </si>
  <si>
    <t xml:space="preserve">PY C2 STARTER PASTRAMI, FARRO SALAD, </t>
  </si>
  <si>
    <t>PY C3 STARTER TURKEY SLICE, QUINOA LENTIL SALD, FENNEL SLAW</t>
  </si>
  <si>
    <t xml:space="preserve">PY C2 HM A FISH COD ALMONDINE, TARRAGON CREAM SAUCE, WILD RICE PILAF, ROASTED CAULIFLOWER, CHERRY TOAMTO </t>
  </si>
  <si>
    <t>PY C3 HM A FISH SEABASS, BOULLABAISE SAUCE, SAFFRON COUSCOU, ROASTED SUMMER VEGETABLES</t>
  </si>
  <si>
    <t>PY C2 HM B MEAT ROASTED CHICKEN THIGH WITH TRUFFLE CREAM SAUCE, SPINACH WITH GARLIC, MASH POTATOES, AND BABY CARROT</t>
  </si>
  <si>
    <t>PY C3 HM B POULTRY ROAST LEMON CHICKEN LEG QUARTER, PICCATA SAUCE, FINGERLING POTATO, BROCCOLINI</t>
  </si>
  <si>
    <t>PY C2 DE PEACH COBBLER TART, BLACKBERRY PASTRY CREAM</t>
  </si>
  <si>
    <t>PY C3 DE LEMON BLUEBERRY CHEESE CAKE, STRAWBERRY QUARTER, BLUEBERRY</t>
  </si>
  <si>
    <t xml:space="preserve">PY BRD TYPE 1 SIX GRAIN ROLL </t>
  </si>
  <si>
    <t xml:space="preserve">PY BRD TYPE 1 MULTIGRAIN BEER AND CHEESE ROLL </t>
  </si>
  <si>
    <t>PY C2 BREAKFAST PLATE HAM, GEORGIA GOUDA, EGG, CHERRY TOMATO, GREEN LEAF LETTUCE, CANTALOUPE AND HONEYDEW</t>
  </si>
  <si>
    <t>PY C3 BREAKFAST PLATE CORNED BEEF, SWISS CHEESE, EGG, CHERRY TOMATO, MESCLUN, ORANGE WHEEL, STRAWBERRY, BLUEBERRY</t>
  </si>
  <si>
    <t>YC TSU</t>
  </si>
  <si>
    <t xml:space="preserve">YC C2 SALAD MESCLUN GREEN, CUCUMBER SLICE, SHREDDED CARROT, BOCCANCINI MOZZARELLA BALL </t>
  </si>
  <si>
    <t xml:space="preserve">YC C3 SALAD BABY ARUGULA, STRAWBERRY, FETA </t>
  </si>
  <si>
    <t>YC C2 HM B ROASTED CHICKEN THIGH WITH TRUFFLE CREAM SAUCE, SPINACH WITH GARLIC, MASH POTATOES, AND BABY CARROT</t>
  </si>
  <si>
    <t>YC C3 HM B BBQ CHICKEN THIGH, BBQ SAUCE, GREEN BEANS, MASH POTATOES</t>
  </si>
  <si>
    <t>YC C2 DE STRAWBERRY MOUSSE, WHITE CHOCOLATE CURLS</t>
  </si>
  <si>
    <t>YC C3 DE PASSION FRUIT MOUSSE, BLUEBERRY COULIS</t>
  </si>
  <si>
    <t xml:space="preserve">YC C2 BRD TYPE 1 HONEY WHEAT ROLL </t>
  </si>
  <si>
    <t xml:space="preserve">YC C3 BRD TYPE 2 WHEAT POTATO ROLL </t>
  </si>
  <si>
    <t xml:space="preserve">YC C2 JUICE CUP APPLE JUICE </t>
  </si>
  <si>
    <t xml:space="preserve">YC C3 JUICE CUP CRANBERRY JUICE </t>
  </si>
  <si>
    <t>YC C2 SW NOMINATED SANDWICH (COST PASS THROUGH)</t>
  </si>
  <si>
    <t xml:space="preserve">YC C3 SW BUTTERMILK BISCUIT, TURKEY SAUSAGE PATTY, AMERICAN CHEESE SLICE </t>
  </si>
  <si>
    <t>DECK CREW TSU</t>
  </si>
  <si>
    <t>CABIN CREW TSU</t>
  </si>
  <si>
    <t>BC BRD TYPE 1 KISS ROLL</t>
  </si>
  <si>
    <t>PY/YC BUTTER</t>
  </si>
  <si>
    <t>CREW TSU</t>
  </si>
  <si>
    <t>CREW BUTTER</t>
  </si>
  <si>
    <t>CREW CUTLERY DISPOSAL</t>
  </si>
  <si>
    <t>CREW BREAD MILTIGRAIN</t>
  </si>
  <si>
    <t>CABIN CREW CM A - HAM, MAYO, RED PEPPER STRIP, ROMAIN LETTUCE, CIABATTA BREADCUMBER, MESCLUN MIX, PEMPERNICKEL ROLL POTATO SALAD</t>
  </si>
  <si>
    <t>CABIN CREW CM B - FRESH MOZZARELLA, PESTO MAYO, ROASTED TOMATO, BABY SPINACH, WHEAT TOLL, PASTA  PESTO SALAD</t>
  </si>
  <si>
    <t xml:space="preserve">DECK CREW CM SMOKE SALMON, GOUDA CHEESE SLICE, BABY SPINACH, PICKLED RED ONION, RED CHERRY TOMATO, CAPER, POTATO SALAD </t>
  </si>
  <si>
    <t>DECK CREW CM A PASTRAMI, GOUDA CHEESE, MESCLUN MIX, CHERRY TOMATO RED GRAPES, PASTA PESTO SALAD</t>
  </si>
  <si>
    <t>CREW VINAIGRETTE DRESSING</t>
  </si>
  <si>
    <t>DECK CREW P HM SALAD CHOPPED ROMAIN LETTUCE, CUCUMBER SLICE, CARROT JULIENCE</t>
  </si>
  <si>
    <t>CABIN CREW K HM SALAD CHOPPED ROMAIN LETTUCE, CUCUMBER SLICE, CARROT JULIENNE</t>
  </si>
  <si>
    <t>CREW YOGURT</t>
  </si>
  <si>
    <t xml:space="preserve">CREW CHEESE </t>
  </si>
  <si>
    <t>DECK CREW P HB SCRAMBLE EGG, KALE, POTATOES, TURKEY SAUSAGE, HAM</t>
  </si>
  <si>
    <t>CABIN CREW K HB SCRAMBLE EGG, KALE, POTATOES, TURKEY SAUSAGE, HAM</t>
  </si>
  <si>
    <t xml:space="preserve">PY CRACKER </t>
  </si>
  <si>
    <t xml:space="preserve">MILK JIGGER </t>
  </si>
  <si>
    <t xml:space="preserve">NATURE VALLEY GRANOLA BAR </t>
  </si>
  <si>
    <t>YOGURT UPSTATE</t>
  </si>
  <si>
    <t xml:space="preserve">MARMALADE ORANGE JM SMUCKER </t>
  </si>
  <si>
    <t xml:space="preserve">PY TSU CHEESE - MINI BRIE WEDGE INVD WRAP, ILE DE GRANCE CHEESE </t>
  </si>
  <si>
    <t xml:space="preserve">BC PRE SELECT MEAL FISH - SEARED SEABASS, ,MASH POTATOES, ASPARAGUS, TRUFFLE CREAM </t>
  </si>
  <si>
    <t>Column6</t>
  </si>
  <si>
    <t>BC C3 SALAD MESCLUN MIX GREEN 250G</t>
  </si>
  <si>
    <t>BC C3 GARNISH SAVORY GRANOLA 100G</t>
  </si>
  <si>
    <t>BC C3 STARTER A GRILLED PEACHES WRAPPED WITH PROSCUITTO, MOZZARELLA, ARUGULA, BALSAMIC PEARLS, OLIVE OIL</t>
  </si>
  <si>
    <t>BC C3 STARTER B SEARED AHI TUNA, POACHED GINGERLING POTATO. CONFIT TOMATO, CAPER GARLIC AOILI</t>
  </si>
  <si>
    <t>BC C3 STARTER GARNISH CRISPY TORTILLA STRIPS 100G</t>
  </si>
  <si>
    <t>BC C3 HM A MEAT SMOKED BRAISED SHORT RIB, BBQ JUS, CARAMELIZED ONION, GROUND GRITS, SWEET CORN SUCCOTASH</t>
  </si>
  <si>
    <t>BC C3 HM C POULTRY HOT HONEY GLAZED CHICKEN THIHG, TRICOLOR PEPPER, SWEET POTATO RISOTTO, GARLIC BROCCOLI</t>
  </si>
  <si>
    <t>BC C3 HM D VEG PASTA MAMI GOAT CHEESE APPLE RAVIOLI</t>
  </si>
  <si>
    <t>BC C3 HM PRE-SELECT FISH DISH MISO GLAZED SALMON, SHITAKE RICE, BABY BOK CHOY, SOY GINGER BROTH</t>
  </si>
  <si>
    <t>BC C3 DE CHEESE GRIFFIN, ASHER BLUE</t>
  </si>
  <si>
    <t>BC C3 DE CAKE GARNISH STRAWBERRY COULIS 200G</t>
  </si>
  <si>
    <t>BC C3 DE FRUIT GRAPE. HONEYDEW. CANTOLOUPE, WATERMELON, 150G EACH</t>
  </si>
  <si>
    <t xml:space="preserve">BC C3 COLD CUT CHIVE CREAM CHEESE, BEECHER FLAGSHIP CHEDDAR, TURKEY BREAST HEYWOOD, SALAMI, LEAF, CUCUMBER, CHERRY TOMATO </t>
  </si>
  <si>
    <t>BC C3 BRK FRUIT MUESLI, GEOGIA PEACH, BLUEBERRY</t>
  </si>
  <si>
    <t>PY C3 HM A FISH SHRIMP ETOUFFEE, CAJUN SEASONED RICE, ROASTED PEPPER ONION AND OKRA</t>
  </si>
  <si>
    <t xml:space="preserve">PY C3 HM B BBQ GRILLED CHICKEN RHIGH, BBQ SAUCE, CORN SUCCOTASH, MAPLE SWEET POTATO MASH </t>
  </si>
  <si>
    <t>PY C3 DE MINI PUMPKIN PIE, WITH SPICE CRÈME GRAICHE</t>
  </si>
  <si>
    <t>PY C3 BREAKFAST PLATE HERB ROASTED TURKEY BREAST, AGEN WHITE CHEDDAR, BOILD EGG, CHERRY TOMATO, CUCUMBER BATON, LEAF, CANTALOUPE, PINEAPPLE</t>
  </si>
  <si>
    <t xml:space="preserve">YC C3 HM B BBQ GRILLED CHICKEN RHIGH, BBQ SAUCE, CORN SUCCOTASH, MAPLE SWEET POTATO MASH </t>
  </si>
  <si>
    <t>YC C3 SALAD MIX MESCLUN, CARROT, CHERRY TOMATO AGED CHEDDAR</t>
  </si>
  <si>
    <t>YC C3 DE PUMPKIN CHEESE CAKE BAR</t>
  </si>
  <si>
    <t xml:space="preserve">YC C3 BRD TYPE 2 HONEY WHEAT ROLL </t>
  </si>
  <si>
    <t>CABIN CREW C3 CM A - HAM, MAYO, CUCUMBER, ROMAIN LETTUCE,WHEAT ROLL</t>
  </si>
  <si>
    <t xml:space="preserve">CABIN CREW C3 CM B- MOZZERELLA, MAYO, ROASTE TOMATO, LETTUCE, WHEAT ROLL </t>
  </si>
  <si>
    <t xml:space="preserve">DECK CREW C3 CM A ROASTED TURKEY BREAST, CHEDDAR CHEESE, LETTUCE LEAF, CUCUMBER, CHERRY TOMATO, QUINOA SALAD </t>
  </si>
  <si>
    <t xml:space="preserve">DECK CREW C3 CM B PASTRAMI, BEECHER CHEEDAR, LETTUCE CHERRY TOMATO, RED GRAPE, QUINOA SALAD </t>
  </si>
  <si>
    <t>CREW P C3 HM SALAD MESCLUN MIX, CUCUMBER CCHERRY TOMATO AGED CHEDDAR</t>
  </si>
  <si>
    <t>CREW K C3 HM SALAD MESCLUN MIX, CUCUMBER CCHERRY TOMATO AGED CHEDDAR</t>
  </si>
  <si>
    <t>CREW P C3 HM A C3 POULTRY HOT HONEY GLAZED CHICKEN THIHG, TRICOLOR PEPPER, SWEET POTATO RISOTTO, GARLIC BROCCOLI</t>
  </si>
  <si>
    <t>CREW K C3 HM B MISO GLAZED SALMON, SHITAKE RICE, BABY BOK CHOY, SOY GINGER BROTH</t>
  </si>
  <si>
    <t>CREW P C3 HM A MISO GLAZED SALMON, SHITAKE RICE, BABY BOK CHOY, SOY GINGER BROTH</t>
  </si>
  <si>
    <t>CREW K C3 HM B C3 POULTRY HOT HONEY GLAZED CHICKEN THIHG, TRICOLOR PEPPER, SWEET POTATO RISOTTO, GARLIC BROCCOLI</t>
  </si>
  <si>
    <t xml:space="preserve">CREW P C3 HB FRITTATA, KALE, BREAKFAST POTATOES, TURKEY SAUSAGE LINK </t>
  </si>
  <si>
    <t xml:space="preserve">CREW K C3 HB FRITTATA, KALE, BREAKFAST POTATOES, TURKEY SAUSAGE LINK </t>
  </si>
  <si>
    <t>BC C3 HM GARNISH PICKLED DAIKON</t>
  </si>
  <si>
    <t>RQST</t>
  </si>
  <si>
    <t>PY C3 STARTER GRILLED CHICKEN BREAST WITH QUINOA SALAD</t>
  </si>
  <si>
    <t>PY BRD BREAD SOURDOUGH 40G</t>
  </si>
  <si>
    <t>MARK UP CHANGE TO 8%</t>
  </si>
  <si>
    <t>MARK UP CHANGE TO 90%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</si>
</sst>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0.0000%"/>
    <numFmt numFmtId="166" formatCode="0.0000"/>
    <numFmt numFmtId="167" formatCode="_(&quot;$&quot;* #,##0_);_(&quot;$&quot;* \(#,##0\);_(&quot;$&quot;* &quot;-&quot;??_);_(@_)"/>
    <numFmt numFmtId="168" formatCode="0.0%"/>
    <numFmt numFmtId="169" formatCode="0.000"/>
    <numFmt numFmtId="170" formatCode="&quot;$&quot;#,##0.000"/>
    <numFmt numFmtId="171" formatCode="&quot;$&quot;#,##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2"/>
      <name val="Arial"/>
      <family val="2"/>
    </font>
    <font>
      <b/>
      <i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sz val="11"/>
      <color theme="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2" tint="-0.499984740745262"/>
      <name val="Calibri"/>
      <family val="2"/>
      <scheme val="minor"/>
    </font>
    <font>
      <sz val="9"/>
      <color rgb="FFFF0000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theme="4" tint="0.79998168889431442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44" fontId="1" fillId="0" borderId="0" applyFont="0" applyFill="0" applyBorder="0" applyAlignment="0" applyProtection="0"/>
    <xf numFmtId="0" fontId="5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/>
    <xf numFmtId="0" fontId="1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29">
    <xf numFmtId="0" fontId="0" fillId="0" borderId="0" xfId="0"/>
    <xf numFmtId="9" fontId="2" fillId="2" borderId="2" xfId="3" applyFont="1" applyFill="1" applyBorder="1" applyAlignment="1">
      <alignment horizontal="center" vertical="center"/>
    </xf>
    <xf numFmtId="2" fontId="2" fillId="2" borderId="2" xfId="4" applyNumberFormat="1" applyFont="1" applyFill="1" applyBorder="1" applyAlignment="1">
      <alignment horizontal="center" vertical="center" wrapText="1"/>
    </xf>
    <xf numFmtId="2" fontId="2" fillId="2" borderId="0" xfId="4" applyNumberFormat="1" applyFont="1" applyFill="1" applyBorder="1" applyAlignment="1">
      <alignment horizontal="center" vertical="center" wrapText="1"/>
    </xf>
    <xf numFmtId="2" fontId="2" fillId="2" borderId="0" xfId="1" applyNumberFormat="1" applyFont="1" applyFill="1" applyBorder="1" applyAlignment="1">
      <alignment horizontal="center" vertical="center" wrapText="1"/>
    </xf>
    <xf numFmtId="0" fontId="8" fillId="5" borderId="1" xfId="5" applyFont="1" applyFill="1" applyBorder="1" applyAlignment="1">
      <alignment horizontal="left"/>
    </xf>
    <xf numFmtId="0" fontId="9" fillId="0" borderId="6" xfId="5" applyFont="1" applyBorder="1" applyAlignment="1">
      <alignment horizontal="center"/>
    </xf>
    <xf numFmtId="0" fontId="9" fillId="0" borderId="0" xfId="5" applyFont="1" applyAlignment="1">
      <alignment horizontal="center"/>
    </xf>
    <xf numFmtId="0" fontId="6" fillId="6" borderId="7" xfId="5" applyFont="1" applyFill="1" applyBorder="1" applyAlignment="1">
      <alignment horizontal="center"/>
    </xf>
    <xf numFmtId="0" fontId="9" fillId="6" borderId="7" xfId="5" applyFont="1" applyFill="1" applyBorder="1" applyAlignment="1">
      <alignment horizontal="center"/>
    </xf>
    <xf numFmtId="10" fontId="6" fillId="6" borderId="8" xfId="5" applyNumberFormat="1" applyFont="1" applyFill="1" applyBorder="1" applyAlignment="1">
      <alignment horizontal="left"/>
    </xf>
    <xf numFmtId="0" fontId="6" fillId="6" borderId="9" xfId="5" applyFont="1" applyFill="1" applyBorder="1" applyAlignment="1">
      <alignment horizontal="center"/>
    </xf>
    <xf numFmtId="1" fontId="9" fillId="6" borderId="7" xfId="5" applyNumberFormat="1" applyFont="1" applyFill="1" applyBorder="1" applyAlignment="1">
      <alignment horizontal="center"/>
    </xf>
    <xf numFmtId="0" fontId="6" fillId="6" borderId="7" xfId="5" applyFont="1" applyFill="1" applyBorder="1" applyAlignment="1">
      <alignment horizontal="left"/>
    </xf>
    <xf numFmtId="1" fontId="9" fillId="0" borderId="0" xfId="5" applyNumberFormat="1" applyFont="1" applyAlignment="1">
      <alignment horizontal="center"/>
    </xf>
    <xf numFmtId="9" fontId="9" fillId="6" borderId="7" xfId="5" applyNumberFormat="1" applyFont="1" applyFill="1" applyBorder="1" applyAlignment="1">
      <alignment horizontal="center"/>
    </xf>
    <xf numFmtId="0" fontId="6" fillId="6" borderId="10" xfId="5" applyFont="1" applyFill="1" applyBorder="1" applyAlignment="1">
      <alignment horizontal="left"/>
    </xf>
    <xf numFmtId="1" fontId="9" fillId="6" borderId="10" xfId="5" applyNumberFormat="1" applyFont="1" applyFill="1" applyBorder="1" applyAlignment="1">
      <alignment horizontal="center"/>
    </xf>
    <xf numFmtId="0" fontId="6" fillId="6" borderId="10" xfId="5" applyFont="1" applyFill="1" applyBorder="1" applyAlignment="1">
      <alignment horizontal="center"/>
    </xf>
    <xf numFmtId="1" fontId="9" fillId="6" borderId="11" xfId="5" applyNumberFormat="1" applyFont="1" applyFill="1" applyBorder="1" applyAlignment="1">
      <alignment horizontal="center"/>
    </xf>
    <xf numFmtId="2" fontId="6" fillId="4" borderId="18" xfId="4" applyNumberFormat="1" applyFont="1" applyFill="1" applyBorder="1" applyAlignment="1">
      <alignment horizontal="center" vertical="center"/>
    </xf>
    <xf numFmtId="2" fontId="6" fillId="4" borderId="6" xfId="4" applyNumberFormat="1" applyFont="1" applyFill="1" applyBorder="1" applyAlignment="1">
      <alignment horizontal="center" vertical="center"/>
    </xf>
    <xf numFmtId="2" fontId="6" fillId="4" borderId="11" xfId="4" applyNumberFormat="1" applyFont="1" applyFill="1" applyBorder="1" applyAlignment="1">
      <alignment horizontal="center" vertical="center"/>
    </xf>
    <xf numFmtId="0" fontId="2" fillId="2" borderId="2" xfId="2" applyFont="1" applyFill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0" fillId="0" borderId="18" xfId="0" applyBorder="1"/>
    <xf numFmtId="0" fontId="0" fillId="0" borderId="6" xfId="0" applyBorder="1"/>
    <xf numFmtId="0" fontId="0" fillId="0" borderId="1" xfId="0" applyBorder="1"/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29" xfId="0" applyFont="1" applyBorder="1" applyAlignment="1">
      <alignment horizontal="left"/>
    </xf>
    <xf numFmtId="0" fontId="0" fillId="0" borderId="30" xfId="0" applyBorder="1" applyAlignment="1">
      <alignment horizontal="left"/>
    </xf>
    <xf numFmtId="0" fontId="9" fillId="0" borderId="6" xfId="5" applyFont="1" applyBorder="1" applyAlignment="1">
      <alignment horizontal="left"/>
    </xf>
    <xf numFmtId="0" fontId="9" fillId="0" borderId="0" xfId="5" applyFont="1" applyAlignment="1">
      <alignment horizontal="left"/>
    </xf>
    <xf numFmtId="0" fontId="4" fillId="0" borderId="31" xfId="0" applyFont="1" applyBorder="1" applyAlignment="1">
      <alignment horizontal="left"/>
    </xf>
    <xf numFmtId="0" fontId="0" fillId="0" borderId="32" xfId="0" applyBorder="1" applyAlignment="1">
      <alignment horizontal="left"/>
    </xf>
    <xf numFmtId="0" fontId="6" fillId="6" borderId="9" xfId="5" applyFont="1" applyFill="1" applyBorder="1" applyAlignment="1">
      <alignment horizontal="left"/>
    </xf>
    <xf numFmtId="0" fontId="4" fillId="0" borderId="33" xfId="0" applyFont="1" applyBorder="1" applyAlignment="1">
      <alignment horizontal="left"/>
    </xf>
    <xf numFmtId="0" fontId="9" fillId="6" borderId="7" xfId="5" applyFont="1" applyFill="1" applyBorder="1" applyAlignment="1">
      <alignment horizontal="left"/>
    </xf>
    <xf numFmtId="9" fontId="0" fillId="7" borderId="0" xfId="0" applyNumberFormat="1" applyFill="1" applyAlignment="1">
      <alignment horizontal="left"/>
    </xf>
    <xf numFmtId="0" fontId="4" fillId="8" borderId="29" xfId="0" applyFont="1" applyFill="1" applyBorder="1" applyAlignment="1">
      <alignment horizontal="left"/>
    </xf>
    <xf numFmtId="0" fontId="4" fillId="8" borderId="35" xfId="0" applyFont="1" applyFill="1" applyBorder="1" applyAlignment="1">
      <alignment horizontal="left"/>
    </xf>
    <xf numFmtId="0" fontId="4" fillId="8" borderId="30" xfId="0" applyFont="1" applyFill="1" applyBorder="1" applyAlignment="1">
      <alignment horizontal="left"/>
    </xf>
    <xf numFmtId="0" fontId="0" fillId="0" borderId="31" xfId="0" applyBorder="1" applyAlignment="1">
      <alignment horizontal="left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22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164" fontId="0" fillId="0" borderId="28" xfId="1" applyNumberFormat="1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164" fontId="4" fillId="0" borderId="17" xfId="0" applyNumberFormat="1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0" fontId="10" fillId="8" borderId="35" xfId="0" applyFont="1" applyFill="1" applyBorder="1" applyAlignment="1">
      <alignment horizontal="left"/>
    </xf>
    <xf numFmtId="0" fontId="0" fillId="8" borderId="35" xfId="0" applyFill="1" applyBorder="1" applyAlignment="1">
      <alignment horizontal="left"/>
    </xf>
    <xf numFmtId="164" fontId="4" fillId="0" borderId="32" xfId="0" applyNumberFormat="1" applyFont="1" applyBorder="1" applyAlignment="1">
      <alignment horizontal="left"/>
    </xf>
    <xf numFmtId="0" fontId="0" fillId="0" borderId="33" xfId="0" applyBorder="1" applyAlignment="1">
      <alignment horizontal="left"/>
    </xf>
    <xf numFmtId="0" fontId="0" fillId="0" borderId="36" xfId="0" applyBorder="1" applyAlignment="1">
      <alignment horizontal="left"/>
    </xf>
    <xf numFmtId="164" fontId="0" fillId="0" borderId="36" xfId="0" applyNumberFormat="1" applyBorder="1" applyAlignment="1">
      <alignment horizontal="left"/>
    </xf>
    <xf numFmtId="164" fontId="3" fillId="0" borderId="36" xfId="0" applyNumberFormat="1" applyFont="1" applyBorder="1" applyAlignment="1">
      <alignment horizontal="left"/>
    </xf>
    <xf numFmtId="164" fontId="4" fillId="0" borderId="34" xfId="0" applyNumberFormat="1" applyFont="1" applyBorder="1" applyAlignment="1">
      <alignment horizontal="left"/>
    </xf>
    <xf numFmtId="9" fontId="0" fillId="0" borderId="1" xfId="0" applyNumberFormat="1" applyBorder="1" applyAlignment="1">
      <alignment horizontal="left"/>
    </xf>
    <xf numFmtId="0" fontId="4" fillId="0" borderId="35" xfId="0" applyFont="1" applyBorder="1" applyAlignment="1">
      <alignment horizontal="left"/>
    </xf>
    <xf numFmtId="164" fontId="4" fillId="0" borderId="30" xfId="0" applyNumberFormat="1" applyFont="1" applyBorder="1" applyAlignment="1">
      <alignment horizontal="left"/>
    </xf>
    <xf numFmtId="0" fontId="4" fillId="9" borderId="33" xfId="0" applyFont="1" applyFill="1" applyBorder="1" applyAlignment="1">
      <alignment horizontal="left"/>
    </xf>
    <xf numFmtId="0" fontId="0" fillId="9" borderId="36" xfId="0" applyFill="1" applyBorder="1" applyAlignment="1">
      <alignment horizontal="left"/>
    </xf>
    <xf numFmtId="164" fontId="4" fillId="9" borderId="34" xfId="0" applyNumberFormat="1" applyFont="1" applyFill="1" applyBorder="1" applyAlignment="1">
      <alignment horizontal="left"/>
    </xf>
    <xf numFmtId="0" fontId="4" fillId="8" borderId="7" xfId="0" applyFont="1" applyFill="1" applyBorder="1" applyAlignment="1">
      <alignment horizontal="left"/>
    </xf>
    <xf numFmtId="0" fontId="11" fillId="0" borderId="22" xfId="7" applyFont="1" applyBorder="1" applyAlignment="1">
      <alignment horizontal="left"/>
    </xf>
    <xf numFmtId="0" fontId="11" fillId="0" borderId="23" xfId="7" applyFont="1" applyBorder="1" applyAlignment="1" applyProtection="1">
      <alignment horizontal="centerContinuous"/>
      <protection locked="0"/>
    </xf>
    <xf numFmtId="0" fontId="5" fillId="0" borderId="23" xfId="7" applyFont="1" applyBorder="1" applyAlignment="1">
      <alignment horizontal="centerContinuous"/>
    </xf>
    <xf numFmtId="0" fontId="5" fillId="0" borderId="24" xfId="7" applyFont="1" applyBorder="1" applyAlignment="1">
      <alignment horizontal="centerContinuous"/>
    </xf>
    <xf numFmtId="0" fontId="5" fillId="0" borderId="27" xfId="7" applyFont="1" applyBorder="1" applyAlignment="1">
      <alignment horizontal="left"/>
    </xf>
    <xf numFmtId="0" fontId="5" fillId="10" borderId="1" xfId="7" applyFont="1" applyFill="1" applyBorder="1" applyAlignment="1" applyProtection="1">
      <alignment horizontal="left"/>
      <protection locked="0"/>
    </xf>
    <xf numFmtId="0" fontId="5" fillId="0" borderId="0" xfId="7" applyFont="1"/>
    <xf numFmtId="0" fontId="5" fillId="0" borderId="28" xfId="7" applyFont="1" applyBorder="1"/>
    <xf numFmtId="14" fontId="5" fillId="10" borderId="1" xfId="8" applyNumberFormat="1" applyFont="1" applyFill="1" applyBorder="1" applyProtection="1">
      <protection locked="0"/>
    </xf>
    <xf numFmtId="0" fontId="5" fillId="10" borderId="1" xfId="7" applyFont="1" applyFill="1" applyBorder="1" applyProtection="1">
      <protection locked="0"/>
    </xf>
    <xf numFmtId="0" fontId="11" fillId="0" borderId="0" xfId="7" applyFont="1" applyAlignment="1">
      <alignment horizontal="left"/>
    </xf>
    <xf numFmtId="165" fontId="5" fillId="10" borderId="1" xfId="7" applyNumberFormat="1" applyFont="1" applyFill="1" applyBorder="1" applyProtection="1">
      <protection locked="0"/>
    </xf>
    <xf numFmtId="14" fontId="5" fillId="10" borderId="1" xfId="7" applyNumberFormat="1" applyFont="1" applyFill="1" applyBorder="1" applyProtection="1">
      <protection locked="0"/>
    </xf>
    <xf numFmtId="20" fontId="5" fillId="10" borderId="1" xfId="7" applyNumberFormat="1" applyFont="1" applyFill="1" applyBorder="1" applyProtection="1">
      <protection locked="0"/>
    </xf>
    <xf numFmtId="9" fontId="5" fillId="10" borderId="1" xfId="7" applyNumberFormat="1" applyFont="1" applyFill="1" applyBorder="1" applyAlignment="1" applyProtection="1">
      <alignment horizontal="left"/>
      <protection locked="0"/>
    </xf>
    <xf numFmtId="0" fontId="5" fillId="0" borderId="25" xfId="7" applyFont="1" applyBorder="1"/>
    <xf numFmtId="0" fontId="5" fillId="0" borderId="37" xfId="7" applyFont="1" applyBorder="1"/>
    <xf numFmtId="0" fontId="5" fillId="11" borderId="37" xfId="7" applyFont="1" applyFill="1" applyBorder="1"/>
    <xf numFmtId="166" fontId="5" fillId="10" borderId="1" xfId="7" applyNumberFormat="1" applyFont="1" applyFill="1" applyBorder="1" applyProtection="1">
      <protection locked="0"/>
    </xf>
    <xf numFmtId="164" fontId="5" fillId="10" borderId="1" xfId="7" applyNumberFormat="1" applyFont="1" applyFill="1" applyBorder="1" applyProtection="1">
      <protection locked="0"/>
    </xf>
    <xf numFmtId="44" fontId="5" fillId="11" borderId="37" xfId="8" applyFont="1" applyFill="1" applyBorder="1"/>
    <xf numFmtId="0" fontId="5" fillId="0" borderId="22" xfId="7" applyFont="1" applyBorder="1" applyAlignment="1">
      <alignment horizontal="left"/>
    </xf>
    <xf numFmtId="0" fontId="5" fillId="0" borderId="23" xfId="7" applyFont="1" applyBorder="1"/>
    <xf numFmtId="0" fontId="5" fillId="0" borderId="0" xfId="7" applyFont="1" applyProtection="1">
      <protection locked="0"/>
    </xf>
    <xf numFmtId="42" fontId="5" fillId="10" borderId="1" xfId="7" applyNumberFormat="1" applyFont="1" applyFill="1" applyBorder="1" applyProtection="1">
      <protection locked="0"/>
    </xf>
    <xf numFmtId="37" fontId="5" fillId="0" borderId="28" xfId="7" applyNumberFormat="1" applyFont="1" applyBorder="1"/>
    <xf numFmtId="0" fontId="5" fillId="0" borderId="0" xfId="7" applyFont="1" applyAlignment="1">
      <alignment horizontal="right"/>
    </xf>
    <xf numFmtId="37" fontId="5" fillId="0" borderId="28" xfId="7" applyNumberFormat="1" applyFont="1" applyBorder="1" applyAlignment="1">
      <alignment horizontal="right"/>
    </xf>
    <xf numFmtId="0" fontId="5" fillId="0" borderId="15" xfId="7" applyFont="1" applyBorder="1" applyAlignment="1">
      <alignment horizontal="left"/>
    </xf>
    <xf numFmtId="0" fontId="5" fillId="0" borderId="16" xfId="7" applyFont="1" applyBorder="1"/>
    <xf numFmtId="37" fontId="5" fillId="0" borderId="17" xfId="7" applyNumberFormat="1" applyFont="1" applyBorder="1"/>
    <xf numFmtId="42" fontId="5" fillId="0" borderId="0" xfId="7" applyNumberFormat="1" applyFont="1" applyProtection="1">
      <protection locked="0"/>
    </xf>
    <xf numFmtId="37" fontId="5" fillId="0" borderId="0" xfId="7" applyNumberFormat="1" applyFont="1"/>
    <xf numFmtId="0" fontId="5" fillId="0" borderId="23" xfId="7" applyFont="1" applyBorder="1" applyProtection="1">
      <protection locked="0"/>
    </xf>
    <xf numFmtId="14" fontId="5" fillId="0" borderId="24" xfId="7" applyNumberFormat="1" applyFont="1" applyBorder="1" applyProtection="1">
      <protection locked="0"/>
    </xf>
    <xf numFmtId="0" fontId="5" fillId="10" borderId="27" xfId="7" applyFont="1" applyFill="1" applyBorder="1" applyAlignment="1" applyProtection="1">
      <alignment horizontal="left"/>
      <protection locked="0"/>
    </xf>
    <xf numFmtId="0" fontId="5" fillId="10" borderId="0" xfId="7" applyFont="1" applyFill="1" applyProtection="1">
      <protection locked="0"/>
    </xf>
    <xf numFmtId="0" fontId="5" fillId="10" borderId="28" xfId="7" applyFont="1" applyFill="1" applyBorder="1" applyProtection="1">
      <protection locked="0"/>
    </xf>
    <xf numFmtId="0" fontId="5" fillId="10" borderId="15" xfId="7" applyFont="1" applyFill="1" applyBorder="1" applyAlignment="1" applyProtection="1">
      <alignment horizontal="left"/>
      <protection locked="0"/>
    </xf>
    <xf numFmtId="0" fontId="5" fillId="10" borderId="16" xfId="7" applyFont="1" applyFill="1" applyBorder="1" applyProtection="1">
      <protection locked="0"/>
    </xf>
    <xf numFmtId="0" fontId="5" fillId="10" borderId="17" xfId="7" applyFont="1" applyFill="1" applyBorder="1" applyProtection="1">
      <protection locked="0"/>
    </xf>
    <xf numFmtId="0" fontId="5" fillId="0" borderId="27" xfId="7" applyFont="1" applyBorder="1" applyAlignment="1" applyProtection="1">
      <alignment horizontal="left"/>
      <protection locked="0"/>
    </xf>
    <xf numFmtId="0" fontId="11" fillId="0" borderId="0" xfId="7" applyFont="1"/>
    <xf numFmtId="14" fontId="5" fillId="0" borderId="0" xfId="7" applyNumberFormat="1" applyFont="1" applyProtection="1">
      <protection locked="0"/>
    </xf>
    <xf numFmtId="0" fontId="5" fillId="10" borderId="22" xfId="7" applyFont="1" applyFill="1" applyBorder="1" applyAlignment="1" applyProtection="1">
      <alignment horizontal="left"/>
      <protection locked="0"/>
    </xf>
    <xf numFmtId="0" fontId="5" fillId="10" borderId="23" xfId="7" applyFont="1" applyFill="1" applyBorder="1" applyProtection="1">
      <protection locked="0"/>
    </xf>
    <xf numFmtId="0" fontId="5" fillId="10" borderId="24" xfId="7" applyFont="1" applyFill="1" applyBorder="1" applyProtection="1">
      <protection locked="0"/>
    </xf>
    <xf numFmtId="0" fontId="5" fillId="10" borderId="27" xfId="7" quotePrefix="1" applyFont="1" applyFill="1" applyBorder="1" applyAlignment="1" applyProtection="1">
      <alignment horizontal="left"/>
      <protection locked="0"/>
    </xf>
    <xf numFmtId="1" fontId="5" fillId="10" borderId="1" xfId="7" applyNumberFormat="1" applyFont="1" applyFill="1" applyBorder="1" applyProtection="1">
      <protection locked="0"/>
    </xf>
    <xf numFmtId="0" fontId="0" fillId="0" borderId="20" xfId="0" applyBorder="1" applyAlignment="1">
      <alignment wrapText="1"/>
    </xf>
    <xf numFmtId="0" fontId="0" fillId="0" borderId="6" xfId="0" applyBorder="1" applyAlignment="1">
      <alignment wrapText="1"/>
    </xf>
    <xf numFmtId="0" fontId="2" fillId="2" borderId="2" xfId="2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" fontId="0" fillId="0" borderId="34" xfId="0" applyNumberFormat="1" applyBorder="1" applyAlignment="1">
      <alignment horizontal="left"/>
    </xf>
    <xf numFmtId="0" fontId="0" fillId="7" borderId="0" xfId="0" applyFill="1"/>
    <xf numFmtId="0" fontId="4" fillId="7" borderId="0" xfId="0" applyFont="1" applyFill="1"/>
    <xf numFmtId="0" fontId="0" fillId="7" borderId="0" xfId="0" applyFill="1" applyAlignment="1">
      <alignment wrapText="1"/>
    </xf>
    <xf numFmtId="164" fontId="0" fillId="0" borderId="20" xfId="0" applyNumberFormat="1" applyBorder="1"/>
    <xf numFmtId="164" fontId="0" fillId="0" borderId="6" xfId="0" applyNumberFormat="1" applyBorder="1"/>
    <xf numFmtId="164" fontId="2" fillId="2" borderId="2" xfId="4" applyNumberFormat="1" applyFont="1" applyFill="1" applyBorder="1" applyAlignment="1">
      <alignment horizontal="center" vertical="center"/>
    </xf>
    <xf numFmtId="164" fontId="0" fillId="0" borderId="0" xfId="0" applyNumberFormat="1"/>
    <xf numFmtId="164" fontId="12" fillId="0" borderId="6" xfId="0" applyNumberFormat="1" applyFont="1" applyBorder="1"/>
    <xf numFmtId="0" fontId="12" fillId="0" borderId="6" xfId="9" applyNumberFormat="1" applyFont="1" applyBorder="1"/>
    <xf numFmtId="1" fontId="0" fillId="0" borderId="1" xfId="0" applyNumberFormat="1" applyBorder="1"/>
    <xf numFmtId="164" fontId="0" fillId="0" borderId="1" xfId="0" applyNumberFormat="1" applyBorder="1"/>
    <xf numFmtId="164" fontId="0" fillId="15" borderId="0" xfId="0" applyNumberFormat="1" applyFill="1"/>
    <xf numFmtId="1" fontId="0" fillId="13" borderId="1" xfId="0" applyNumberFormat="1" applyFill="1" applyBorder="1"/>
    <xf numFmtId="0" fontId="0" fillId="13" borderId="1" xfId="0" applyFill="1" applyBorder="1"/>
    <xf numFmtId="0" fontId="6" fillId="6" borderId="7" xfId="5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5" borderId="25" xfId="5" applyFont="1" applyFill="1" applyBorder="1" applyAlignment="1">
      <alignment vertical="center"/>
    </xf>
    <xf numFmtId="167" fontId="6" fillId="6" borderId="7" xfId="1" applyNumberFormat="1" applyFont="1" applyFill="1" applyBorder="1" applyAlignment="1">
      <alignment horizontal="center" vertical="center"/>
    </xf>
    <xf numFmtId="44" fontId="9" fillId="6" borderId="7" xfId="1" applyFont="1" applyFill="1" applyBorder="1" applyAlignment="1">
      <alignment horizontal="center" vertical="center"/>
    </xf>
    <xf numFmtId="167" fontId="9" fillId="6" borderId="7" xfId="1" applyNumberFormat="1" applyFont="1" applyFill="1" applyBorder="1" applyAlignment="1">
      <alignment horizontal="center" vertical="center"/>
    </xf>
    <xf numFmtId="0" fontId="8" fillId="5" borderId="38" xfId="5" applyFont="1" applyFill="1" applyBorder="1" applyAlignment="1">
      <alignment horizontal="center" vertical="center"/>
    </xf>
    <xf numFmtId="9" fontId="8" fillId="5" borderId="38" xfId="5" applyNumberFormat="1" applyFont="1" applyFill="1" applyBorder="1" applyAlignment="1">
      <alignment horizontal="center" vertical="center"/>
    </xf>
    <xf numFmtId="0" fontId="8" fillId="5" borderId="38" xfId="10" applyNumberFormat="1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3" fillId="16" borderId="34" xfId="0" applyFont="1" applyFill="1" applyBorder="1" applyAlignment="1">
      <alignment horizontal="center" vertical="center"/>
    </xf>
    <xf numFmtId="0" fontId="6" fillId="0" borderId="0" xfId="5" applyFont="1" applyAlignment="1">
      <alignment horizontal="center" vertical="center"/>
    </xf>
    <xf numFmtId="44" fontId="9" fillId="0" borderId="0" xfId="1" applyFont="1" applyFill="1" applyBorder="1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3" fillId="6" borderId="7" xfId="5" applyFont="1" applyFill="1" applyBorder="1" applyAlignment="1">
      <alignment horizontal="center"/>
    </xf>
    <xf numFmtId="167" fontId="14" fillId="0" borderId="0" xfId="0" applyNumberFormat="1" applyFont="1" applyAlignment="1">
      <alignment horizontal="center" vertical="center"/>
    </xf>
    <xf numFmtId="4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" fillId="5" borderId="7" xfId="5" applyFont="1" applyFill="1" applyBorder="1" applyAlignment="1">
      <alignment horizontal="center" vertical="center"/>
    </xf>
    <xf numFmtId="0" fontId="2" fillId="5" borderId="38" xfId="5" applyFont="1" applyFill="1" applyBorder="1" applyAlignment="1">
      <alignment horizontal="center" vertical="center"/>
    </xf>
    <xf numFmtId="167" fontId="2" fillId="5" borderId="38" xfId="1" applyNumberFormat="1" applyFont="1" applyFill="1" applyBorder="1" applyAlignment="1">
      <alignment horizontal="center" vertical="center"/>
    </xf>
    <xf numFmtId="9" fontId="0" fillId="0" borderId="40" xfId="9" applyFont="1" applyBorder="1" applyAlignment="1">
      <alignment horizontal="center" vertical="center"/>
    </xf>
    <xf numFmtId="44" fontId="13" fillId="16" borderId="14" xfId="1" applyFont="1" applyFill="1" applyBorder="1" applyAlignment="1">
      <alignment horizontal="center" vertical="center"/>
    </xf>
    <xf numFmtId="0" fontId="8" fillId="0" borderId="0" xfId="5" applyFont="1" applyAlignment="1">
      <alignment horizontal="left"/>
    </xf>
    <xf numFmtId="10" fontId="6" fillId="0" borderId="0" xfId="5" applyNumberFormat="1" applyFont="1" applyAlignment="1">
      <alignment horizontal="left"/>
    </xf>
    <xf numFmtId="0" fontId="6" fillId="0" borderId="0" xfId="5" applyFont="1" applyAlignment="1">
      <alignment horizontal="center"/>
    </xf>
    <xf numFmtId="0" fontId="6" fillId="0" borderId="0" xfId="5" applyFont="1" applyAlignment="1">
      <alignment horizontal="left"/>
    </xf>
    <xf numFmtId="0" fontId="3" fillId="0" borderId="0" xfId="5" applyFont="1" applyAlignment="1">
      <alignment horizontal="center"/>
    </xf>
    <xf numFmtId="9" fontId="9" fillId="0" borderId="0" xfId="5" applyNumberFormat="1" applyFont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" fontId="9" fillId="0" borderId="39" xfId="9" applyNumberFormat="1" applyFont="1" applyFill="1" applyBorder="1" applyAlignment="1">
      <alignment horizontal="center"/>
    </xf>
    <xf numFmtId="0" fontId="9" fillId="17" borderId="0" xfId="0" applyFont="1" applyFill="1"/>
    <xf numFmtId="9" fontId="9" fillId="3" borderId="0" xfId="9" applyFont="1" applyFill="1" applyAlignment="1">
      <alignment horizontal="center"/>
    </xf>
    <xf numFmtId="0" fontId="0" fillId="0" borderId="39" xfId="0" applyBorder="1"/>
    <xf numFmtId="1" fontId="9" fillId="0" borderId="0" xfId="9" applyNumberFormat="1" applyFont="1" applyFill="1" applyBorder="1" applyAlignment="1">
      <alignment horizontal="center"/>
    </xf>
    <xf numFmtId="44" fontId="0" fillId="0" borderId="0" xfId="0" applyNumberFormat="1" applyAlignment="1">
      <alignment horizontal="center" vertical="center"/>
    </xf>
    <xf numFmtId="9" fontId="12" fillId="0" borderId="6" xfId="9" applyFont="1" applyBorder="1"/>
    <xf numFmtId="10" fontId="12" fillId="0" borderId="6" xfId="9" applyNumberFormat="1" applyFont="1" applyBorder="1"/>
    <xf numFmtId="168" fontId="12" fillId="0" borderId="6" xfId="9" applyNumberFormat="1" applyFont="1" applyBorder="1"/>
    <xf numFmtId="0" fontId="0" fillId="0" borderId="0" xfId="0" applyAlignment="1">
      <alignment horizontal="center"/>
    </xf>
    <xf numFmtId="9" fontId="0" fillId="0" borderId="0" xfId="9" applyFont="1"/>
    <xf numFmtId="44" fontId="0" fillId="0" borderId="0" xfId="0" applyNumberFormat="1"/>
    <xf numFmtId="167" fontId="0" fillId="0" borderId="28" xfId="1" applyNumberFormat="1" applyFont="1" applyFill="1" applyBorder="1" applyAlignment="1">
      <alignment horizontal="center" vertical="center"/>
    </xf>
    <xf numFmtId="0" fontId="2" fillId="0" borderId="0" xfId="5" applyFont="1" applyAlignment="1">
      <alignment horizontal="center" vertical="center"/>
    </xf>
    <xf numFmtId="167" fontId="2" fillId="0" borderId="0" xfId="1" applyNumberFormat="1" applyFont="1" applyFill="1" applyBorder="1" applyAlignment="1">
      <alignment horizontal="center" vertical="center"/>
    </xf>
    <xf numFmtId="0" fontId="2" fillId="5" borderId="50" xfId="5" applyFont="1" applyFill="1" applyBorder="1" applyAlignment="1">
      <alignment horizontal="center" vertical="center"/>
    </xf>
    <xf numFmtId="44" fontId="9" fillId="6" borderId="10" xfId="1" applyFont="1" applyFill="1" applyBorder="1" applyAlignment="1">
      <alignment horizontal="center" vertical="center"/>
    </xf>
    <xf numFmtId="0" fontId="2" fillId="5" borderId="5" xfId="5" applyFont="1" applyFill="1" applyBorder="1" applyAlignment="1">
      <alignment horizontal="center" vertical="center"/>
    </xf>
    <xf numFmtId="9" fontId="21" fillId="3" borderId="43" xfId="9" applyFont="1" applyFill="1" applyBorder="1" applyAlignment="1">
      <alignment horizontal="center" vertical="center"/>
    </xf>
    <xf numFmtId="167" fontId="21" fillId="3" borderId="45" xfId="1" applyNumberFormat="1" applyFont="1" applyFill="1" applyBorder="1" applyAlignment="1">
      <alignment horizontal="center" vertical="center"/>
    </xf>
    <xf numFmtId="9" fontId="16" fillId="21" borderId="7" xfId="5" applyNumberFormat="1" applyFont="1" applyFill="1" applyBorder="1" applyAlignment="1">
      <alignment horizontal="center" vertical="center"/>
    </xf>
    <xf numFmtId="0" fontId="16" fillId="21" borderId="7" xfId="10" applyNumberFormat="1" applyFont="1" applyFill="1" applyBorder="1" applyAlignment="1">
      <alignment horizontal="center" vertical="center"/>
    </xf>
    <xf numFmtId="9" fontId="16" fillId="21" borderId="7" xfId="10" applyNumberFormat="1" applyFont="1" applyFill="1" applyBorder="1" applyAlignment="1">
      <alignment horizontal="center" vertical="center"/>
    </xf>
    <xf numFmtId="9" fontId="6" fillId="22" borderId="32" xfId="9" applyFont="1" applyFill="1" applyBorder="1" applyAlignment="1">
      <alignment horizontal="center" vertical="center"/>
    </xf>
    <xf numFmtId="167" fontId="6" fillId="22" borderId="26" xfId="1" applyNumberFormat="1" applyFont="1" applyFill="1" applyBorder="1" applyAlignment="1">
      <alignment horizontal="center" vertical="center"/>
    </xf>
    <xf numFmtId="167" fontId="2" fillId="5" borderId="7" xfId="1" applyNumberFormat="1" applyFont="1" applyFill="1" applyBorder="1" applyAlignment="1">
      <alignment horizontal="center" vertical="center"/>
    </xf>
    <xf numFmtId="0" fontId="8" fillId="5" borderId="7" xfId="5" applyFont="1" applyFill="1" applyBorder="1" applyAlignment="1">
      <alignment horizontal="center" vertical="center"/>
    </xf>
    <xf numFmtId="167" fontId="8" fillId="5" borderId="7" xfId="1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0" borderId="0" xfId="5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9" fontId="0" fillId="0" borderId="0" xfId="9" applyFont="1" applyFill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70" fontId="9" fillId="0" borderId="0" xfId="0" applyNumberFormat="1" applyFont="1"/>
    <xf numFmtId="2" fontId="9" fillId="0" borderId="0" xfId="0" applyNumberFormat="1" applyFont="1"/>
    <xf numFmtId="1" fontId="8" fillId="5" borderId="38" xfId="5" applyNumberFormat="1" applyFont="1" applyFill="1" applyBorder="1" applyAlignment="1">
      <alignment horizontal="center" vertical="center"/>
    </xf>
    <xf numFmtId="9" fontId="0" fillId="0" borderId="0" xfId="9" applyFon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" fontId="0" fillId="0" borderId="0" xfId="0" applyNumberFormat="1"/>
    <xf numFmtId="1" fontId="16" fillId="21" borderId="7" xfId="5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164" fontId="0" fillId="0" borderId="33" xfId="0" applyNumberFormat="1" applyBorder="1" applyAlignment="1">
      <alignment horizontal="center" vertical="center"/>
    </xf>
    <xf numFmtId="164" fontId="0" fillId="0" borderId="36" xfId="0" applyNumberFormat="1" applyBorder="1" applyAlignment="1">
      <alignment horizontal="center" vertical="center"/>
    </xf>
    <xf numFmtId="164" fontId="0" fillId="0" borderId="34" xfId="0" applyNumberFormat="1" applyBorder="1" applyAlignment="1">
      <alignment horizontal="center" vertical="center"/>
    </xf>
    <xf numFmtId="44" fontId="4" fillId="0" borderId="36" xfId="1" applyFont="1" applyBorder="1" applyAlignment="1">
      <alignment horizontal="center" vertical="center"/>
    </xf>
    <xf numFmtId="167" fontId="17" fillId="0" borderId="7" xfId="1" applyNumberFormat="1" applyFont="1" applyFill="1" applyBorder="1"/>
    <xf numFmtId="0" fontId="4" fillId="8" borderId="48" xfId="0" applyFont="1" applyFill="1" applyBorder="1" applyAlignment="1">
      <alignment horizontal="left"/>
    </xf>
    <xf numFmtId="0" fontId="4" fillId="8" borderId="53" xfId="0" applyFont="1" applyFill="1" applyBorder="1" applyAlignment="1">
      <alignment horizontal="left"/>
    </xf>
    <xf numFmtId="0" fontId="4" fillId="8" borderId="54" xfId="0" applyFont="1" applyFill="1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5" xfId="0" applyBorder="1" applyAlignment="1">
      <alignment horizontal="left"/>
    </xf>
    <xf numFmtId="164" fontId="0" fillId="13" borderId="20" xfId="0" applyNumberFormat="1" applyFill="1" applyBorder="1"/>
    <xf numFmtId="164" fontId="0" fillId="0" borderId="35" xfId="0" applyNumberFormat="1" applyBorder="1" applyAlignment="1">
      <alignment horizontal="left"/>
    </xf>
    <xf numFmtId="164" fontId="0" fillId="13" borderId="0" xfId="0" applyNumberFormat="1" applyFill="1"/>
    <xf numFmtId="0" fontId="4" fillId="6" borderId="49" xfId="0" applyFont="1" applyFill="1" applyBorder="1" applyAlignment="1">
      <alignment horizontal="left"/>
    </xf>
    <xf numFmtId="0" fontId="4" fillId="6" borderId="55" xfId="0" applyFont="1" applyFill="1" applyBorder="1" applyAlignment="1">
      <alignment horizontal="left"/>
    </xf>
    <xf numFmtId="164" fontId="4" fillId="6" borderId="55" xfId="0" applyNumberFormat="1" applyFont="1" applyFill="1" applyBorder="1" applyAlignment="1">
      <alignment horizontal="left"/>
    </xf>
    <xf numFmtId="164" fontId="4" fillId="6" borderId="56" xfId="0" applyNumberFormat="1" applyFont="1" applyFill="1" applyBorder="1" applyAlignment="1">
      <alignment horizontal="left"/>
    </xf>
    <xf numFmtId="164" fontId="0" fillId="0" borderId="30" xfId="0" applyNumberFormat="1" applyBorder="1"/>
    <xf numFmtId="164" fontId="0" fillId="0" borderId="32" xfId="0" applyNumberFormat="1" applyBorder="1"/>
    <xf numFmtId="164" fontId="0" fillId="13" borderId="6" xfId="0" applyNumberFormat="1" applyFill="1" applyBorder="1"/>
    <xf numFmtId="164" fontId="0" fillId="0" borderId="34" xfId="0" applyNumberFormat="1" applyBorder="1"/>
    <xf numFmtId="0" fontId="23" fillId="5" borderId="7" xfId="5" applyFont="1" applyFill="1" applyBorder="1" applyAlignment="1">
      <alignment horizontal="center" vertical="center"/>
    </xf>
    <xf numFmtId="0" fontId="6" fillId="5" borderId="7" xfId="5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6" fillId="13" borderId="0" xfId="5" applyFont="1" applyFill="1" applyAlignment="1">
      <alignment horizontal="left"/>
    </xf>
    <xf numFmtId="2" fontId="0" fillId="0" borderId="20" xfId="0" applyNumberFormat="1" applyBorder="1" applyAlignment="1">
      <alignment wrapText="1"/>
    </xf>
    <xf numFmtId="2" fontId="0" fillId="0" borderId="6" xfId="0" applyNumberFormat="1" applyBorder="1" applyAlignment="1">
      <alignment wrapText="1"/>
    </xf>
    <xf numFmtId="2" fontId="2" fillId="2" borderId="2" xfId="2" applyNumberFormat="1" applyFont="1" applyFill="1" applyBorder="1" applyAlignment="1">
      <alignment horizontal="center" vertical="center" wrapText="1"/>
    </xf>
    <xf numFmtId="2" fontId="0" fillId="7" borderId="0" xfId="0" applyNumberFormat="1" applyFill="1" applyAlignment="1">
      <alignment wrapText="1"/>
    </xf>
    <xf numFmtId="2" fontId="9" fillId="3" borderId="0" xfId="0" applyNumberFormat="1" applyFont="1" applyFill="1" applyAlignment="1">
      <alignment horizontal="center"/>
    </xf>
    <xf numFmtId="2" fontId="0" fillId="0" borderId="0" xfId="0" applyNumberFormat="1" applyAlignment="1">
      <alignment wrapText="1"/>
    </xf>
    <xf numFmtId="2" fontId="0" fillId="0" borderId="20" xfId="0" applyNumberFormat="1" applyBorder="1"/>
    <xf numFmtId="2" fontId="0" fillId="0" borderId="6" xfId="0" applyNumberFormat="1" applyBorder="1"/>
    <xf numFmtId="2" fontId="2" fillId="2" borderId="2" xfId="2" applyNumberFormat="1" applyFont="1" applyFill="1" applyBorder="1" applyAlignment="1">
      <alignment horizontal="center" vertical="center"/>
    </xf>
    <xf numFmtId="2" fontId="0" fillId="0" borderId="0" xfId="0" applyNumberFormat="1"/>
    <xf numFmtId="2" fontId="9" fillId="12" borderId="0" xfId="0" quotePrefix="1" applyNumberFormat="1" applyFont="1" applyFill="1" applyAlignment="1">
      <alignment horizontal="center"/>
    </xf>
    <xf numFmtId="164" fontId="0" fillId="0" borderId="0" xfId="0" applyNumberFormat="1" applyAlignment="1">
      <alignment horizontal="center" vertical="center"/>
    </xf>
    <xf numFmtId="9" fontId="0" fillId="0" borderId="40" xfId="9" applyFont="1" applyFill="1" applyBorder="1" applyAlignment="1">
      <alignment horizontal="center" vertical="center"/>
    </xf>
    <xf numFmtId="0" fontId="9" fillId="23" borderId="0" xfId="0" applyFont="1" applyFill="1"/>
    <xf numFmtId="0" fontId="0" fillId="13" borderId="1" xfId="0" applyFill="1" applyBorder="1" applyAlignment="1">
      <alignment horizontal="left"/>
    </xf>
    <xf numFmtId="44" fontId="0" fillId="0" borderId="0" xfId="0" applyNumberFormat="1" applyAlignment="1">
      <alignment horizontal="left"/>
    </xf>
    <xf numFmtId="0" fontId="4" fillId="0" borderId="29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0" fillId="0" borderId="20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2" fillId="0" borderId="2" xfId="2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51" xfId="0" applyBorder="1" applyAlignment="1">
      <alignment horizontal="left" vertical="center"/>
    </xf>
    <xf numFmtId="0" fontId="0" fillId="0" borderId="0" xfId="0" applyAlignment="1" applyProtection="1">
      <alignment horizontal="left" vertical="center"/>
      <protection locked="0"/>
    </xf>
    <xf numFmtId="0" fontId="0" fillId="0" borderId="20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2" borderId="2" xfId="2" applyFont="1" applyFill="1" applyBorder="1" applyAlignment="1">
      <alignment horizontal="left" vertical="center"/>
    </xf>
    <xf numFmtId="0" fontId="0" fillId="7" borderId="0" xfId="0" applyFill="1" applyAlignment="1">
      <alignment horizontal="left"/>
    </xf>
    <xf numFmtId="0" fontId="0" fillId="14" borderId="0" xfId="0" applyFill="1" applyAlignment="1">
      <alignment horizontal="left"/>
    </xf>
    <xf numFmtId="0" fontId="9" fillId="25" borderId="0" xfId="0" applyFont="1" applyFill="1"/>
    <xf numFmtId="44" fontId="0" fillId="0" borderId="1" xfId="1" applyFont="1" applyBorder="1" applyAlignment="1">
      <alignment horizontal="left"/>
    </xf>
    <xf numFmtId="44" fontId="0" fillId="13" borderId="1" xfId="1" applyFont="1" applyFill="1" applyBorder="1" applyAlignment="1">
      <alignment horizontal="left"/>
    </xf>
    <xf numFmtId="0" fontId="9" fillId="0" borderId="0" xfId="0" applyFont="1"/>
    <xf numFmtId="0" fontId="22" fillId="0" borderId="0" xfId="0" applyFont="1" applyAlignment="1">
      <alignment horizontal="left" vertical="center"/>
    </xf>
    <xf numFmtId="9" fontId="3" fillId="0" borderId="20" xfId="0" applyNumberFormat="1" applyFont="1" applyBorder="1"/>
    <xf numFmtId="0" fontId="3" fillId="0" borderId="20" xfId="0" applyFont="1" applyBorder="1"/>
    <xf numFmtId="167" fontId="6" fillId="0" borderId="26" xfId="1" applyNumberFormat="1" applyFont="1" applyFill="1" applyBorder="1" applyAlignment="1">
      <alignment horizontal="center" vertical="center"/>
    </xf>
    <xf numFmtId="167" fontId="21" fillId="0" borderId="45" xfId="1" applyNumberFormat="1" applyFont="1" applyFill="1" applyBorder="1" applyAlignment="1">
      <alignment horizontal="center" vertical="center"/>
    </xf>
    <xf numFmtId="2" fontId="6" fillId="3" borderId="0" xfId="4" applyNumberFormat="1" applyFont="1" applyFill="1" applyBorder="1" applyAlignment="1">
      <alignment horizontal="center" vertical="center"/>
    </xf>
    <xf numFmtId="0" fontId="6" fillId="6" borderId="9" xfId="5" applyFont="1" applyFill="1" applyBorder="1" applyAlignment="1">
      <alignment horizontal="center" vertical="center"/>
    </xf>
    <xf numFmtId="167" fontId="9" fillId="6" borderId="9" xfId="1" applyNumberFormat="1" applyFont="1" applyFill="1" applyBorder="1" applyAlignment="1">
      <alignment horizontal="center" vertical="center"/>
    </xf>
    <xf numFmtId="44" fontId="9" fillId="6" borderId="9" xfId="1" applyFont="1" applyFill="1" applyBorder="1" applyAlignment="1">
      <alignment horizontal="center" vertical="center"/>
    </xf>
    <xf numFmtId="167" fontId="6" fillId="6" borderId="9" xfId="1" applyNumberFormat="1" applyFont="1" applyFill="1" applyBorder="1" applyAlignment="1">
      <alignment horizontal="center" vertical="center"/>
    </xf>
    <xf numFmtId="167" fontId="2" fillId="5" borderId="50" xfId="1" applyNumberFormat="1" applyFont="1" applyFill="1" applyBorder="1" applyAlignment="1">
      <alignment horizontal="center" vertical="center"/>
    </xf>
    <xf numFmtId="0" fontId="3" fillId="0" borderId="0" xfId="0" applyFont="1"/>
    <xf numFmtId="0" fontId="0" fillId="0" borderId="0" xfId="0" quotePrefix="1" applyAlignment="1">
      <alignment horizontal="left" vertical="center"/>
    </xf>
    <xf numFmtId="44" fontId="13" fillId="16" borderId="33" xfId="1" applyFont="1" applyFill="1" applyBorder="1" applyAlignment="1">
      <alignment horizontal="center" vertical="center"/>
    </xf>
    <xf numFmtId="167" fontId="0" fillId="0" borderId="44" xfId="1" applyNumberFormat="1" applyFont="1" applyBorder="1" applyAlignment="1">
      <alignment horizontal="center" vertical="center"/>
    </xf>
    <xf numFmtId="167" fontId="6" fillId="22" borderId="31" xfId="1" applyNumberFormat="1" applyFont="1" applyFill="1" applyBorder="1" applyAlignment="1">
      <alignment horizontal="center" vertical="center"/>
    </xf>
    <xf numFmtId="167" fontId="21" fillId="3" borderId="41" xfId="1" applyNumberFormat="1" applyFont="1" applyFill="1" applyBorder="1" applyAlignment="1">
      <alignment horizontal="center" vertical="center"/>
    </xf>
    <xf numFmtId="167" fontId="0" fillId="0" borderId="44" xfId="1" applyNumberFormat="1" applyFont="1" applyFill="1" applyBorder="1" applyAlignment="1">
      <alignment horizontal="center" vertical="center"/>
    </xf>
    <xf numFmtId="0" fontId="4" fillId="27" borderId="0" xfId="0" applyFont="1" applyFill="1"/>
    <xf numFmtId="1" fontId="9" fillId="27" borderId="39" xfId="9" applyNumberFormat="1" applyFont="1" applyFill="1" applyBorder="1" applyAlignment="1">
      <alignment horizontal="center"/>
    </xf>
    <xf numFmtId="2" fontId="6" fillId="3" borderId="27" xfId="4" applyNumberFormat="1" applyFont="1" applyFill="1" applyBorder="1" applyAlignment="1">
      <alignment horizontal="center" vertical="center"/>
    </xf>
    <xf numFmtId="2" fontId="6" fillId="3" borderId="28" xfId="4" applyNumberFormat="1" applyFont="1" applyFill="1" applyBorder="1" applyAlignment="1">
      <alignment horizontal="center" vertical="center"/>
    </xf>
    <xf numFmtId="2" fontId="2" fillId="2" borderId="41" xfId="1" applyNumberFormat="1" applyFont="1" applyFill="1" applyBorder="1" applyAlignment="1">
      <alignment horizontal="center" vertical="center" wrapText="1"/>
    </xf>
    <xf numFmtId="2" fontId="2" fillId="2" borderId="42" xfId="4" applyNumberFormat="1" applyFont="1" applyFill="1" applyBorder="1" applyAlignment="1">
      <alignment horizontal="center" vertical="center" wrapText="1"/>
    </xf>
    <xf numFmtId="2" fontId="2" fillId="2" borderId="42" xfId="1" applyNumberFormat="1" applyFont="1" applyFill="1" applyBorder="1" applyAlignment="1">
      <alignment horizontal="center" vertical="center" wrapText="1"/>
    </xf>
    <xf numFmtId="0" fontId="0" fillId="0" borderId="51" xfId="0" applyBorder="1" applyAlignment="1">
      <alignment horizontal="center"/>
    </xf>
    <xf numFmtId="0" fontId="0" fillId="0" borderId="39" xfId="0" applyBorder="1" applyAlignment="1">
      <alignment horizontal="left" vertical="center"/>
    </xf>
    <xf numFmtId="0" fontId="6" fillId="22" borderId="57" xfId="0" applyFont="1" applyFill="1" applyBorder="1" applyAlignment="1">
      <alignment horizontal="right" vertical="center"/>
    </xf>
    <xf numFmtId="0" fontId="21" fillId="3" borderId="3" xfId="0" applyFont="1" applyFill="1" applyBorder="1" applyAlignment="1">
      <alignment horizontal="center" vertical="center"/>
    </xf>
    <xf numFmtId="44" fontId="22" fillId="0" borderId="0" xfId="1" applyFont="1" applyAlignment="1">
      <alignment horizontal="center" vertical="center"/>
    </xf>
    <xf numFmtId="44" fontId="22" fillId="0" borderId="0" xfId="0" applyNumberFormat="1" applyFont="1" applyAlignment="1">
      <alignment horizontal="center" vertical="center"/>
    </xf>
    <xf numFmtId="0" fontId="0" fillId="13" borderId="0" xfId="0" applyFill="1" applyAlignment="1">
      <alignment wrapText="1"/>
    </xf>
    <xf numFmtId="44" fontId="10" fillId="0" borderId="0" xfId="1" applyFont="1"/>
    <xf numFmtId="0" fontId="24" fillId="0" borderId="0" xfId="0" applyFont="1" applyAlignment="1">
      <alignment horizontal="center" vertical="center"/>
    </xf>
    <xf numFmtId="0" fontId="0" fillId="28" borderId="0" xfId="0" applyFill="1"/>
    <xf numFmtId="10" fontId="12" fillId="0" borderId="0" xfId="9" applyNumberFormat="1" applyFont="1" applyBorder="1"/>
    <xf numFmtId="164" fontId="3" fillId="15" borderId="0" xfId="0" applyNumberFormat="1" applyFont="1" applyFill="1"/>
    <xf numFmtId="164" fontId="9" fillId="15" borderId="0" xfId="0" applyNumberFormat="1" applyFont="1" applyFill="1"/>
    <xf numFmtId="2" fontId="2" fillId="28" borderId="0" xfId="4" applyNumberFormat="1" applyFont="1" applyFill="1" applyBorder="1" applyAlignment="1">
      <alignment horizontal="center" vertical="center" wrapText="1"/>
    </xf>
    <xf numFmtId="1" fontId="9" fillId="0" borderId="0" xfId="9" applyNumberFormat="1" applyFont="1" applyAlignment="1">
      <alignment horizontal="center"/>
    </xf>
    <xf numFmtId="167" fontId="3" fillId="0" borderId="0" xfId="0" applyNumberFormat="1" applyFont="1"/>
    <xf numFmtId="167" fontId="0" fillId="0" borderId="0" xfId="0" applyNumberFormat="1"/>
    <xf numFmtId="1" fontId="9" fillId="29" borderId="39" xfId="9" applyNumberFormat="1" applyFont="1" applyFill="1" applyBorder="1" applyAlignment="1">
      <alignment horizontal="center"/>
    </xf>
    <xf numFmtId="0" fontId="1" fillId="0" borderId="0" xfId="12"/>
    <xf numFmtId="0" fontId="18" fillId="0" borderId="0" xfId="12" applyFont="1"/>
    <xf numFmtId="0" fontId="18" fillId="0" borderId="0" xfId="12" applyFont="1" applyAlignment="1">
      <alignment horizontal="center"/>
    </xf>
    <xf numFmtId="2" fontId="1" fillId="0" borderId="0" xfId="12" applyNumberFormat="1" applyAlignment="1">
      <alignment horizontal="right"/>
    </xf>
    <xf numFmtId="0" fontId="1" fillId="0" borderId="0" xfId="12" applyAlignment="1">
      <alignment horizontal="center"/>
    </xf>
    <xf numFmtId="168" fontId="0" fillId="0" borderId="0" xfId="13" applyNumberFormat="1" applyFont="1" applyAlignment="1">
      <alignment horizontal="center"/>
    </xf>
    <xf numFmtId="9" fontId="0" fillId="0" borderId="0" xfId="13" applyFont="1" applyAlignment="1">
      <alignment horizontal="center"/>
    </xf>
    <xf numFmtId="0" fontId="4" fillId="0" borderId="0" xfId="12" applyFont="1"/>
    <xf numFmtId="2" fontId="18" fillId="0" borderId="0" xfId="12" applyNumberFormat="1" applyFont="1"/>
    <xf numFmtId="9" fontId="18" fillId="0" borderId="0" xfId="12" applyNumberFormat="1" applyFont="1"/>
    <xf numFmtId="0" fontId="18" fillId="0" borderId="0" xfId="12" applyFont="1" applyAlignment="1">
      <alignment horizontal="left"/>
    </xf>
    <xf numFmtId="0" fontId="19" fillId="19" borderId="0" xfId="12" applyFont="1" applyFill="1"/>
    <xf numFmtId="0" fontId="4" fillId="0" borderId="0" xfId="12" applyFont="1" applyAlignment="1">
      <alignment horizontal="left"/>
    </xf>
    <xf numFmtId="0" fontId="4" fillId="0" borderId="0" xfId="12" applyFont="1" applyAlignment="1">
      <alignment horizontal="center" wrapText="1"/>
    </xf>
    <xf numFmtId="0" fontId="4" fillId="0" borderId="0" xfId="12" applyFont="1" applyAlignment="1">
      <alignment horizontal="left" wrapText="1"/>
    </xf>
    <xf numFmtId="0" fontId="4" fillId="0" borderId="0" xfId="12" applyFont="1" applyAlignment="1">
      <alignment horizontal="center"/>
    </xf>
    <xf numFmtId="0" fontId="1" fillId="0" borderId="0" xfId="12" applyAlignment="1">
      <alignment horizontal="center" wrapText="1"/>
    </xf>
    <xf numFmtId="2" fontId="1" fillId="0" borderId="0" xfId="12" applyNumberFormat="1" applyAlignment="1">
      <alignment horizontal="right" wrapText="1"/>
    </xf>
    <xf numFmtId="168" fontId="0" fillId="0" borderId="0" xfId="13" applyNumberFormat="1" applyFont="1" applyAlignment="1">
      <alignment horizontal="center" wrapText="1"/>
    </xf>
    <xf numFmtId="9" fontId="0" fillId="0" borderId="0" xfId="13" applyFont="1" applyAlignment="1">
      <alignment horizontal="center" wrapText="1"/>
    </xf>
    <xf numFmtId="9" fontId="1" fillId="0" borderId="0" xfId="12" applyNumberFormat="1" applyAlignment="1">
      <alignment horizontal="center"/>
    </xf>
    <xf numFmtId="166" fontId="1" fillId="0" borderId="0" xfId="12" applyNumberFormat="1" applyAlignment="1">
      <alignment horizontal="center"/>
    </xf>
    <xf numFmtId="166" fontId="1" fillId="0" borderId="0" xfId="12" applyNumberFormat="1"/>
    <xf numFmtId="2" fontId="1" fillId="13" borderId="0" xfId="12" applyNumberFormat="1" applyFill="1" applyAlignment="1">
      <alignment horizontal="right"/>
    </xf>
    <xf numFmtId="44" fontId="0" fillId="24" borderId="0" xfId="14" applyFont="1" applyFill="1"/>
    <xf numFmtId="44" fontId="0" fillId="0" borderId="0" xfId="14" applyFont="1"/>
    <xf numFmtId="9" fontId="0" fillId="24" borderId="0" xfId="13" applyFont="1" applyFill="1" applyAlignment="1">
      <alignment horizontal="center"/>
    </xf>
    <xf numFmtId="44" fontId="4" fillId="3" borderId="0" xfId="14" applyFont="1" applyFill="1"/>
    <xf numFmtId="9" fontId="0" fillId="0" borderId="0" xfId="13" applyFont="1"/>
    <xf numFmtId="44" fontId="0" fillId="0" borderId="0" xfId="14" applyFont="1" applyFill="1" applyAlignment="1"/>
    <xf numFmtId="44" fontId="0" fillId="0" borderId="0" xfId="14" applyFont="1" applyFill="1" applyAlignment="1">
      <alignment horizontal="right"/>
    </xf>
    <xf numFmtId="44" fontId="0" fillId="0" borderId="0" xfId="14" applyFont="1" applyFill="1"/>
    <xf numFmtId="0" fontId="0" fillId="0" borderId="0" xfId="14" applyNumberFormat="1" applyFont="1" applyFill="1"/>
    <xf numFmtId="0" fontId="9" fillId="0" borderId="0" xfId="12" applyFont="1"/>
    <xf numFmtId="0" fontId="3" fillId="0" borderId="0" xfId="12" applyFont="1"/>
    <xf numFmtId="0" fontId="17" fillId="0" borderId="0" xfId="12" applyFont="1" applyAlignment="1">
      <alignment horizontal="left"/>
    </xf>
    <xf numFmtId="44" fontId="0" fillId="15" borderId="0" xfId="14" applyFont="1" applyFill="1"/>
    <xf numFmtId="0" fontId="0" fillId="29" borderId="0" xfId="14" applyNumberFormat="1" applyFont="1" applyFill="1"/>
    <xf numFmtId="2" fontId="1" fillId="0" borderId="0" xfId="12" applyNumberFormat="1" applyAlignment="1">
      <alignment horizontal="center"/>
    </xf>
    <xf numFmtId="169" fontId="1" fillId="0" borderId="0" xfId="12" applyNumberFormat="1"/>
    <xf numFmtId="0" fontId="1" fillId="20" borderId="0" xfId="12" applyFill="1"/>
    <xf numFmtId="0" fontId="1" fillId="13" borderId="0" xfId="12" applyFill="1"/>
    <xf numFmtId="44" fontId="4" fillId="3" borderId="0" xfId="0" applyNumberFormat="1" applyFont="1" applyFill="1"/>
    <xf numFmtId="9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0" xfId="0" applyNumberFormat="1"/>
    <xf numFmtId="169" fontId="0" fillId="0" borderId="0" xfId="0" applyNumberFormat="1"/>
    <xf numFmtId="2" fontId="0" fillId="13" borderId="0" xfId="0" applyNumberFormat="1" applyFill="1" applyAlignment="1">
      <alignment horizontal="right"/>
    </xf>
    <xf numFmtId="168" fontId="0" fillId="0" borderId="0" xfId="0" applyNumberFormat="1" applyAlignment="1">
      <alignment horizontal="center"/>
    </xf>
    <xf numFmtId="9" fontId="0" fillId="0" borderId="0" xfId="0" applyNumberFormat="1"/>
    <xf numFmtId="164" fontId="10" fillId="0" borderId="0" xfId="0" applyNumberFormat="1" applyFont="1"/>
    <xf numFmtId="0" fontId="8" fillId="5" borderId="18" xfId="5" applyFont="1" applyFill="1" applyBorder="1" applyAlignment="1">
      <alignment horizontal="left" vertical="center"/>
    </xf>
    <xf numFmtId="0" fontId="8" fillId="5" borderId="6" xfId="5" applyFont="1" applyFill="1" applyBorder="1" applyAlignment="1">
      <alignment horizontal="left" vertical="center"/>
    </xf>
    <xf numFmtId="0" fontId="8" fillId="5" borderId="11" xfId="5" applyFont="1" applyFill="1" applyBorder="1" applyAlignment="1">
      <alignment horizontal="left" vertical="center"/>
    </xf>
    <xf numFmtId="0" fontId="20" fillId="18" borderId="3" xfId="0" applyFont="1" applyFill="1" applyBorder="1" applyAlignment="1">
      <alignment horizontal="left"/>
    </xf>
    <xf numFmtId="0" fontId="20" fillId="18" borderId="4" xfId="0" applyFont="1" applyFill="1" applyBorder="1" applyAlignment="1">
      <alignment horizontal="left"/>
    </xf>
    <xf numFmtId="0" fontId="20" fillId="18" borderId="5" xfId="0" applyFont="1" applyFill="1" applyBorder="1" applyAlignment="1">
      <alignment horizontal="left"/>
    </xf>
    <xf numFmtId="0" fontId="13" fillId="16" borderId="46" xfId="0" applyFont="1" applyFill="1" applyBorder="1" applyAlignment="1">
      <alignment horizontal="center" vertical="center"/>
    </xf>
    <xf numFmtId="0" fontId="13" fillId="16" borderId="47" xfId="0" applyFont="1" applyFill="1" applyBorder="1" applyAlignment="1">
      <alignment horizontal="center" vertical="center"/>
    </xf>
    <xf numFmtId="0" fontId="13" fillId="16" borderId="19" xfId="0" applyFont="1" applyFill="1" applyBorder="1" applyAlignment="1">
      <alignment horizontal="center" vertical="center"/>
    </xf>
    <xf numFmtId="0" fontId="13" fillId="16" borderId="18" xfId="0" applyFont="1" applyFill="1" applyBorder="1" applyAlignment="1">
      <alignment horizontal="center" vertical="center"/>
    </xf>
    <xf numFmtId="0" fontId="8" fillId="5" borderId="19" xfId="5" applyFont="1" applyFill="1" applyBorder="1" applyAlignment="1">
      <alignment vertical="center"/>
    </xf>
    <xf numFmtId="0" fontId="8" fillId="5" borderId="20" xfId="5" applyFont="1" applyFill="1" applyBorder="1" applyAlignment="1">
      <alignment vertical="center"/>
    </xf>
    <xf numFmtId="0" fontId="8" fillId="5" borderId="21" xfId="5" applyFont="1" applyFill="1" applyBorder="1" applyAlignment="1">
      <alignment vertical="center"/>
    </xf>
    <xf numFmtId="0" fontId="8" fillId="5" borderId="52" xfId="5" applyFont="1" applyFill="1" applyBorder="1" applyAlignment="1">
      <alignment horizontal="center" vertical="center"/>
    </xf>
    <xf numFmtId="0" fontId="8" fillId="5" borderId="16" xfId="5" applyFont="1" applyFill="1" applyBorder="1" applyAlignment="1">
      <alignment horizontal="center" vertical="center"/>
    </xf>
    <xf numFmtId="0" fontId="8" fillId="5" borderId="39" xfId="5" applyFont="1" applyFill="1" applyBorder="1" applyAlignment="1">
      <alignment vertical="center"/>
    </xf>
    <xf numFmtId="0" fontId="8" fillId="5" borderId="0" xfId="5" applyFont="1" applyFill="1" applyAlignment="1">
      <alignment vertical="center"/>
    </xf>
    <xf numFmtId="0" fontId="8" fillId="5" borderId="40" xfId="5" applyFont="1" applyFill="1" applyBorder="1" applyAlignment="1">
      <alignment vertical="center"/>
    </xf>
    <xf numFmtId="0" fontId="8" fillId="5" borderId="19" xfId="5" applyFont="1" applyFill="1" applyBorder="1" applyAlignment="1">
      <alignment horizontal="left" vertical="center"/>
    </xf>
    <xf numFmtId="0" fontId="8" fillId="5" borderId="20" xfId="5" applyFont="1" applyFill="1" applyBorder="1" applyAlignment="1">
      <alignment horizontal="left" vertical="center"/>
    </xf>
    <xf numFmtId="0" fontId="8" fillId="5" borderId="21" xfId="5" applyFont="1" applyFill="1" applyBorder="1" applyAlignment="1">
      <alignment horizontal="left" vertical="center"/>
    </xf>
    <xf numFmtId="0" fontId="8" fillId="5" borderId="39" xfId="5" applyFont="1" applyFill="1" applyBorder="1" applyAlignment="1">
      <alignment horizontal="left" vertical="center"/>
    </xf>
    <xf numFmtId="0" fontId="8" fillId="5" borderId="0" xfId="5" applyFont="1" applyFill="1" applyAlignment="1">
      <alignment horizontal="left" vertical="center"/>
    </xf>
    <xf numFmtId="0" fontId="8" fillId="5" borderId="40" xfId="5" applyFont="1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8" fillId="26" borderId="3" xfId="5" applyFont="1" applyFill="1" applyBorder="1" applyAlignment="1">
      <alignment horizontal="center" vertical="center"/>
    </xf>
    <xf numFmtId="0" fontId="8" fillId="26" borderId="4" xfId="5" applyFont="1" applyFill="1" applyBorder="1" applyAlignment="1">
      <alignment horizontal="center" vertical="center"/>
    </xf>
    <xf numFmtId="0" fontId="8" fillId="26" borderId="5" xfId="5" applyFont="1" applyFill="1" applyBorder="1" applyAlignment="1">
      <alignment horizontal="center" vertical="center"/>
    </xf>
    <xf numFmtId="0" fontId="8" fillId="5" borderId="18" xfId="5" applyFont="1" applyFill="1" applyBorder="1" applyAlignment="1">
      <alignment vertical="center"/>
    </xf>
    <xf numFmtId="0" fontId="8" fillId="5" borderId="6" xfId="5" applyFont="1" applyFill="1" applyBorder="1" applyAlignment="1">
      <alignment vertical="center"/>
    </xf>
    <xf numFmtId="0" fontId="8" fillId="5" borderId="11" xfId="5" applyFont="1" applyFill="1" applyBorder="1" applyAlignment="1">
      <alignment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171" fontId="4" fillId="6" borderId="3" xfId="0" applyNumberFormat="1" applyFont="1" applyFill="1" applyBorder="1" applyAlignment="1">
      <alignment horizontal="center" vertical="center"/>
    </xf>
    <xf numFmtId="171" fontId="4" fillId="6" borderId="5" xfId="0" applyNumberFormat="1" applyFont="1" applyFill="1" applyBorder="1" applyAlignment="1">
      <alignment horizontal="center" vertical="center"/>
    </xf>
    <xf numFmtId="0" fontId="6" fillId="6" borderId="19" xfId="5" applyFont="1" applyFill="1" applyBorder="1" applyAlignment="1">
      <alignment horizontal="center" vertical="center"/>
    </xf>
    <xf numFmtId="0" fontId="6" fillId="6" borderId="20" xfId="5" applyFont="1" applyFill="1" applyBorder="1" applyAlignment="1">
      <alignment horizontal="center" vertical="center"/>
    </xf>
    <xf numFmtId="0" fontId="6" fillId="6" borderId="21" xfId="5" applyFont="1" applyFill="1" applyBorder="1" applyAlignment="1">
      <alignment horizontal="center" vertical="center"/>
    </xf>
    <xf numFmtId="0" fontId="8" fillId="5" borderId="9" xfId="5" applyFont="1" applyFill="1" applyBorder="1" applyAlignment="1">
      <alignment horizontal="center" vertical="center"/>
    </xf>
    <xf numFmtId="0" fontId="8" fillId="5" borderId="10" xfId="5" applyFont="1" applyFill="1" applyBorder="1" applyAlignment="1">
      <alignment horizontal="center" vertical="center"/>
    </xf>
    <xf numFmtId="0" fontId="4" fillId="8" borderId="25" xfId="0" applyFont="1" applyFill="1" applyBorder="1" applyAlignment="1">
      <alignment horizontal="left"/>
    </xf>
    <xf numFmtId="0" fontId="4" fillId="8" borderId="26" xfId="0" applyFont="1" applyFill="1" applyBorder="1" applyAlignment="1">
      <alignment horizontal="left"/>
    </xf>
    <xf numFmtId="2" fontId="6" fillId="3" borderId="12" xfId="4" applyNumberFormat="1" applyFont="1" applyFill="1" applyBorder="1" applyAlignment="1">
      <alignment horizontal="center" vertical="center"/>
    </xf>
    <xf numFmtId="2" fontId="6" fillId="3" borderId="13" xfId="4" applyNumberFormat="1" applyFont="1" applyFill="1" applyBorder="1" applyAlignment="1">
      <alignment horizontal="center" vertical="center"/>
    </xf>
    <xf numFmtId="2" fontId="6" fillId="3" borderId="14" xfId="4" applyNumberFormat="1" applyFont="1" applyFill="1" applyBorder="1" applyAlignment="1">
      <alignment horizontal="center" vertical="center"/>
    </xf>
    <xf numFmtId="2" fontId="6" fillId="4" borderId="3" xfId="4" applyNumberFormat="1" applyFont="1" applyFill="1" applyBorder="1" applyAlignment="1">
      <alignment horizontal="center" vertical="center"/>
    </xf>
    <xf numFmtId="2" fontId="6" fillId="4" borderId="4" xfId="4" applyNumberFormat="1" applyFont="1" applyFill="1" applyBorder="1" applyAlignment="1">
      <alignment horizontal="center" vertical="center"/>
    </xf>
    <xf numFmtId="2" fontId="6" fillId="4" borderId="5" xfId="4" applyNumberFormat="1" applyFont="1" applyFill="1" applyBorder="1" applyAlignment="1">
      <alignment horizontal="center" vertical="center"/>
    </xf>
    <xf numFmtId="0" fontId="19" fillId="19" borderId="0" xfId="12" applyFont="1" applyFill="1" applyAlignment="1">
      <alignment horizontal="center"/>
    </xf>
    <xf numFmtId="0" fontId="0" fillId="30" borderId="51" xfId="12" applyNumberFormat="1" applyFont="1" applyFill="1" applyBorder="1" applyAlignment="1">
      <alignment horizontal="center"/>
    </xf>
    <xf numFmtId="0" fontId="0" fillId="13" borderId="0" xfId="0" applyFill="1" applyAlignment="1">
      <alignment horizontal="left"/>
    </xf>
  </cellXfs>
  <cellStyles count="15">
    <cellStyle name="Comma" xfId="10" builtinId="3"/>
    <cellStyle name="Comma 2" xfId="6" xr:uid="{1A79B25A-E7B8-4F76-A0E9-864FF60581A4}"/>
    <cellStyle name="Currency" xfId="1" builtinId="4"/>
    <cellStyle name="Currency 2" xfId="8" xr:uid="{C8418F38-BBAC-45D8-A444-7D04B177C439}"/>
    <cellStyle name="Currency 2 2" xfId="14" xr:uid="{EE7E56D9-F526-4570-A57F-43C095F743C6}"/>
    <cellStyle name="Currency 3 7" xfId="4" xr:uid="{CD9D0780-83FC-4B82-94A8-009362B444E6}"/>
    <cellStyle name="Normal" xfId="0" builtinId="0"/>
    <cellStyle name="Normal 100" xfId="5" xr:uid="{78053EAD-10D0-48DA-AD0F-A7A1EAD89F1F}"/>
    <cellStyle name="Normal 2" xfId="7" xr:uid="{F34B4925-44B2-4165-B676-FB12DEC4C7F2}"/>
    <cellStyle name="Normal 2 10" xfId="2" xr:uid="{5390AABA-A1DA-4C6D-A867-D56CFC0B3AED}"/>
    <cellStyle name="Normal 2 2" xfId="12" xr:uid="{01C83106-58D7-44D4-95C7-41342A9E9BAE}"/>
    <cellStyle name="Normal 3" xfId="11" xr:uid="{C5E9E1B5-D776-41C4-9AAC-ADFAEAA2EE14}"/>
    <cellStyle name="Percent" xfId="9" builtinId="5"/>
    <cellStyle name="Percent 2" xfId="13" xr:uid="{7B2ABE04-24B6-45DD-8C2E-4A721355D03E}"/>
    <cellStyle name="Percent 9 2" xfId="3" xr:uid="{29D22388-58A0-494B-A7EC-99D26A575297}"/>
  </cellStyles>
  <dxfs count="9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4" formatCode="_(&quot;$&quot;* #,##0.00_);_(&quot;$&quot;* \(#,##0.00\);_(&quot;$&quot;* &quot;-&quot;??_);_(@_)"/>
    </dxf>
    <dxf>
      <numFmt numFmtId="13" formatCode="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indexed="64"/>
          <bgColor theme="0" tint="-0.249977111117893"/>
        </patternFill>
      </fill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3" formatCode="0%"/>
      <alignment horizontal="center" vertical="bottom" textRotation="0" wrapText="0" indent="0" justifyLastLine="0" shrinkToFit="0" readingOrder="0"/>
    </dxf>
    <dxf>
      <numFmt numFmtId="168" formatCode="0.0%"/>
      <alignment horizontal="center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alignment horizontal="center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rgb="FFFFFF00"/>
        </patternFill>
      </fill>
      <alignment horizontal="right" vertical="bottom" textRotation="0" wrapText="0" indent="0" justifyLastLine="0" shrinkToFit="0" readingOrder="0"/>
    </dxf>
    <dxf>
      <numFmt numFmtId="169" formatCode="0.000"/>
    </dxf>
    <dxf>
      <numFmt numFmtId="166" formatCode="0.0000"/>
    </dxf>
    <dxf>
      <numFmt numFmtId="166" formatCode="0.0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2" formatCode="_(&quot;$&quot;* #,##0.0000_);_(&quot;$&quot;* \(#,##0.00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rgb="FFFFFF00"/>
        </patternFill>
      </fill>
      <alignment horizontal="right" vertical="bottom" textRotation="0" wrapText="0" indent="0" justifyLastLine="0" shrinkToFit="0" readingOrder="0"/>
    </dxf>
    <dxf>
      <numFmt numFmtId="169" formatCode="0.000"/>
      <fill>
        <patternFill patternType="none">
          <fgColor indexed="64"/>
          <bgColor indexed="65"/>
        </patternFill>
      </fill>
    </dxf>
    <dxf>
      <numFmt numFmtId="166" formatCode="0.0000"/>
      <fill>
        <patternFill patternType="none">
          <fgColor indexed="64"/>
          <bgColor indexed="65"/>
        </patternFill>
      </fill>
    </dxf>
    <dxf>
      <numFmt numFmtId="166" formatCode="0.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EB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33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1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baseline="0"/>
              <a:t>SAS Total </a:t>
            </a:r>
            <a:r>
              <a:rPr lang="en-US"/>
              <a:t>Revenues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F346-41D8-A646-7C121B19977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F346-41D8-A646-7C121B19977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F346-41D8-A646-7C121B19977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F346-41D8-A646-7C121B199772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F346-41D8-A646-7C121B19977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'P&amp;L'!$B$7:$B$11</c:f>
              <c:strCache>
                <c:ptCount val="5"/>
                <c:pt idx="0">
                  <c:v>Revenue Meals</c:v>
                </c:pt>
                <c:pt idx="1">
                  <c:v>Revenue Handling</c:v>
                </c:pt>
                <c:pt idx="2">
                  <c:v>Revenue Overheads</c:v>
                </c:pt>
                <c:pt idx="3">
                  <c:v>Revenue Other</c:v>
                </c:pt>
                <c:pt idx="4">
                  <c:v>Discount</c:v>
                </c:pt>
              </c:strCache>
            </c:strRef>
          </c:cat>
          <c:val>
            <c:numRef>
              <c:f>'P&amp;L'!$E$7:$E$11</c:f>
              <c:numCache>
                <c:formatCode>_("$"* #,##0_);_("$"* \(#,##0\);_("$"* "-"??_);_(@_)</c:formatCode>
                <c:ptCount val="5"/>
                <c:pt idx="0">
                  <c:v>1285870.1711889615</c:v>
                </c:pt>
                <c:pt idx="1">
                  <c:v>276600.90355693339</c:v>
                </c:pt>
                <c:pt idx="2">
                  <c:v>224224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FC-4ECB-A8FD-92034798DA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340881368879039"/>
          <c:y val="0.29244936467291094"/>
          <c:w val="0.38175912048863769"/>
          <c:h val="0.6315246237405005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SAS Rev. Per Flight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7564851130790756E-2"/>
          <c:y val="0.24485250954776455"/>
          <c:w val="0.95219018946990253"/>
          <c:h val="0.43629658993374443"/>
        </c:manualLayout>
      </c:layout>
      <c:bar3DChart>
        <c:barDir val="col"/>
        <c:grouping val="clustered"/>
        <c:varyColors val="0"/>
        <c:ser>
          <c:idx val="10"/>
          <c:order val="0"/>
          <c:spPr>
            <a:solidFill>
              <a:schemeClr val="accent3">
                <a:lumMod val="80000"/>
                <a:alpha val="88000"/>
              </a:schemeClr>
            </a:solidFill>
            <a:ln>
              <a:solidFill>
                <a:schemeClr val="accent3">
                  <a:lumMod val="80000"/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3">
                  <a:lumMod val="80000"/>
                  <a:lumMod val="50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  <a:round/>
              </a:ln>
              <a:effectLst>
                <a:outerShdw blurRad="63500" dist="88900" dir="2700000" sx="200000" sy="200000" algn="tl" rotWithShape="0">
                  <a:prstClr val="black">
                    <a:alpha val="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'!$B$6:$I$6</c:f>
              <c:strCache>
                <c:ptCount val="8"/>
                <c:pt idx="0">
                  <c:v>FC</c:v>
                </c:pt>
                <c:pt idx="1">
                  <c:v>BC</c:v>
                </c:pt>
                <c:pt idx="2">
                  <c:v>PY</c:v>
                </c:pt>
                <c:pt idx="3">
                  <c:v>EY</c:v>
                </c:pt>
                <c:pt idx="4">
                  <c:v>TC</c:v>
                </c:pt>
                <c:pt idx="5">
                  <c:v>CY</c:v>
                </c:pt>
                <c:pt idx="6">
                  <c:v>Total </c:v>
                </c:pt>
                <c:pt idx="7">
                  <c:v>Hnd</c:v>
                </c:pt>
              </c:strCache>
            </c:strRef>
          </c:cat>
          <c:val>
            <c:numRef>
              <c:f>'Summary '!$B$19:$I$19</c:f>
              <c:numCache>
                <c:formatCode>_("$"* #,##0_);_("$"* \(#,##0\);_("$"* "-"??_);_(@_)</c:formatCode>
                <c:ptCount val="8"/>
                <c:pt idx="0">
                  <c:v>0</c:v>
                </c:pt>
                <c:pt idx="1">
                  <c:v>858.22299886366829</c:v>
                </c:pt>
                <c:pt idx="2">
                  <c:v>1112.2598465823214</c:v>
                </c:pt>
                <c:pt idx="3">
                  <c:v>1879.1672621765288</c:v>
                </c:pt>
                <c:pt idx="4">
                  <c:v>41.683603159821892</c:v>
                </c:pt>
                <c:pt idx="5">
                  <c:v>153.27664962689505</c:v>
                </c:pt>
                <c:pt idx="7">
                  <c:v>759.89259218937752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54C0-4A01-9035-98460D9B5E1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371865856"/>
        <c:axId val="1371871680"/>
        <c:axId val="0"/>
      </c:bar3DChart>
      <c:catAx>
        <c:axId val="137186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871680"/>
        <c:crosses val="autoZero"/>
        <c:auto val="1"/>
        <c:lblAlgn val="ctr"/>
        <c:lblOffset val="100"/>
        <c:noMultiLvlLbl val="0"/>
      </c:catAx>
      <c:valAx>
        <c:axId val="1371871680"/>
        <c:scaling>
          <c:orientation val="minMax"/>
        </c:scaling>
        <c:delete val="1"/>
        <c:axPos val="l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371865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142875</xdr:rowOff>
    </xdr:from>
    <xdr:to>
      <xdr:col>14</xdr:col>
      <xdr:colOff>2197</xdr:colOff>
      <xdr:row>9</xdr:row>
      <xdr:rowOff>77787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AB1EF4-9BFD-4D4B-BC1C-520DD3F3C2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10</xdr:row>
      <xdr:rowOff>74706</xdr:rowOff>
    </xdr:from>
    <xdr:to>
      <xdr:col>13</xdr:col>
      <xdr:colOff>582706</xdr:colOff>
      <xdr:row>20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7E73E3C-7D00-404B-BE5D-87C461DE67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Finance\SALES\ANR\SALES\TRAINS\OLAND\OVERLAND%20MASTER%20EFF%2004-05-0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ENU%20COSTING\MATRIX%20FINAL\NEOS%20JFK\NEOS%20JFK%20Pricing%20Master%20Template%202021%20v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ENU%20COSTING\MATRIX%20FINAL\Qantas%20(QF)\DFW\QF%20DFW%202020%20Pricing%20Master%20Template%2011.5%20V4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URONG%20LU\Desktop\PnL%20Model%20BNA%20MAINLINE%20AVIATION%205-6%20flight%20a%20day.xlsx" TargetMode="External"/><Relationship Id="rId1" Type="http://schemas.openxmlformats.org/officeDocument/2006/relationships/externalLinkPath" Target="PnL%20Model%20BNA%20MAINLINE%20AVIATION%205-6%20flight%20a%20day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oldberggroup-my.sharepoint.com/personal/slu_mainlineaviation_com/Documents/Airline%20catering%20file/Current%20Customer/SAS%20202403/RFP%202024/Price%20Template/IC%20Item%20List%20ATL_upd%20setup_SEP01%202024_%20Cycle%203.xlsx" TargetMode="External"/><Relationship Id="rId1" Type="http://schemas.openxmlformats.org/officeDocument/2006/relationships/externalLinkPath" Target="https://goldberggroup-my.sharepoint.com/personal/slu_mainlineaviation_com/Documents/Airline%20catering%20file/Current%20Customer/SAS%20202403/RFP%202024/Price%20Template/IC%20Item%20List%20ATL_upd%20setup_SEP01%202024_%20Cycle%203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ENU%20COSTING\MASTER%20COST%20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OVERLAND"/>
      <sheetName val="CREW LIST"/>
      <sheetName val="REPORTS"/>
      <sheetName val="NOTES"/>
      <sheetName val="Module1"/>
      <sheetName val="Module2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DATES"/>
      <sheetName val="Labor Rate by CIty"/>
      <sheetName val="POLICY"/>
      <sheetName val="POLICY2"/>
      <sheetName val="FG MASTER"/>
      <sheetName val="Miscellaneous Items"/>
      <sheetName val="MENU GRID"/>
      <sheetName val="PRICING PAGE"/>
      <sheetName val="SALES PER FLIGHT"/>
      <sheetName val="PER PAX AVERAGES"/>
      <sheetName val="PERIOD SALES CALCS"/>
      <sheetName val="New Period Summary"/>
      <sheetName val="121_PNL"/>
      <sheetName val="dnata_PNL"/>
      <sheetName val="MPL"/>
      <sheetName val="Flt 33 MPL"/>
      <sheetName val="LABOR TOOL"/>
      <sheetName val="HANDLING"/>
      <sheetName val="Invoice"/>
      <sheetName val="Invoice Summary"/>
      <sheetName val="New BB"/>
      <sheetName val="Drop Down List"/>
    </sheetNames>
    <sheetDataSet>
      <sheetData sheetId="0"/>
      <sheetData sheetId="1"/>
      <sheetData sheetId="2">
        <row r="3">
          <cell r="A3">
            <v>1</v>
          </cell>
          <cell r="G3" t="str">
            <v>FIRST CLASS</v>
          </cell>
        </row>
        <row r="4">
          <cell r="G4" t="str">
            <v>FIRST CLASS SUPPER SBP SQ01</v>
          </cell>
        </row>
        <row r="5">
          <cell r="G5" t="str">
            <v>FIRST CLASS LUNCH</v>
          </cell>
        </row>
        <row r="6">
          <cell r="G6" t="str">
            <v>FIRST CLASS BREAKFAST BBP SQ01</v>
          </cell>
        </row>
        <row r="7">
          <cell r="G7" t="str">
            <v>FIRST CLASS SNACK SNP SQ01</v>
          </cell>
        </row>
        <row r="8">
          <cell r="G8" t="str">
            <v>FC OVERHEAD RECOVERY</v>
          </cell>
        </row>
        <row r="9">
          <cell r="G9" t="str">
            <v>fc supper tray set up</v>
          </cell>
        </row>
        <row r="10">
          <cell r="G10" t="str">
            <v>fc supper tray set item</v>
          </cell>
        </row>
        <row r="11">
          <cell r="G11" t="str">
            <v>fc supper snack</v>
          </cell>
        </row>
        <row r="12">
          <cell r="G12" t="str">
            <v>fc supper salad</v>
          </cell>
        </row>
        <row r="13">
          <cell r="G13" t="str">
            <v>fc supper canape/amuse</v>
          </cell>
        </row>
        <row r="14">
          <cell r="G14" t="str">
            <v>fc supper starter</v>
          </cell>
        </row>
        <row r="15">
          <cell r="G15" t="str">
            <v>fc supper soup</v>
          </cell>
        </row>
        <row r="16">
          <cell r="G16" t="str">
            <v>fc supper entrée</v>
          </cell>
        </row>
        <row r="17">
          <cell r="G17" t="str">
            <v>fc supper dessert</v>
          </cell>
        </row>
        <row r="18">
          <cell r="G18" t="str">
            <v>fc supper cheese plate</v>
          </cell>
        </row>
        <row r="19">
          <cell r="G19" t="str">
            <v>fc supper drink</v>
          </cell>
        </row>
        <row r="20">
          <cell r="G20" t="str">
            <v>fc supper bread</v>
          </cell>
        </row>
        <row r="21">
          <cell r="G21" t="str">
            <v>fc supper pre- departure drink garnish</v>
          </cell>
        </row>
        <row r="22">
          <cell r="G22" t="str">
            <v>fc supper garnish</v>
          </cell>
        </row>
        <row r="23">
          <cell r="G23" t="str">
            <v>fc lunch tray set up</v>
          </cell>
        </row>
        <row r="24">
          <cell r="G24" t="str">
            <v>fc lunch tray set item</v>
          </cell>
        </row>
        <row r="25">
          <cell r="G25" t="str">
            <v>fc lunch snack</v>
          </cell>
        </row>
        <row r="26">
          <cell r="G26" t="str">
            <v>fc lunch salad</v>
          </cell>
        </row>
        <row r="27">
          <cell r="G27" t="str">
            <v>fc lunch canape/amuse</v>
          </cell>
        </row>
        <row r="28">
          <cell r="G28" t="str">
            <v>fc lunch starter</v>
          </cell>
        </row>
        <row r="29">
          <cell r="G29" t="str">
            <v>fc lunch soup</v>
          </cell>
        </row>
        <row r="30">
          <cell r="G30" t="str">
            <v>fc lunch entrée</v>
          </cell>
        </row>
        <row r="31">
          <cell r="G31" t="str">
            <v>fc lunch dessert</v>
          </cell>
        </row>
        <row r="32">
          <cell r="G32" t="str">
            <v>fc lunch cheese plate</v>
          </cell>
        </row>
        <row r="33">
          <cell r="G33" t="str">
            <v>fc lunch drink</v>
          </cell>
        </row>
        <row r="34">
          <cell r="G34" t="str">
            <v>fc lunch bread</v>
          </cell>
        </row>
        <row r="35">
          <cell r="G35" t="str">
            <v>fc lunch pre- departure drink garnish</v>
          </cell>
        </row>
        <row r="36">
          <cell r="G36" t="str">
            <v>fc lunch bar garnish</v>
          </cell>
        </row>
        <row r="37">
          <cell r="G37" t="str">
            <v>fc breakfast tray set up</v>
          </cell>
        </row>
        <row r="38">
          <cell r="G38" t="str">
            <v>fc breakfast tray set item</v>
          </cell>
        </row>
        <row r="39">
          <cell r="G39" t="str">
            <v>fc breakfast fruit</v>
          </cell>
        </row>
        <row r="40">
          <cell r="G40" t="str">
            <v>fc breakfast cheese plate</v>
          </cell>
        </row>
        <row r="41">
          <cell r="G41" t="str">
            <v>fc breakfast starter</v>
          </cell>
        </row>
        <row r="42">
          <cell r="G42" t="str">
            <v>fc breakfast entrée</v>
          </cell>
        </row>
        <row r="43">
          <cell r="G43" t="str">
            <v>fc breakfast drink</v>
          </cell>
        </row>
        <row r="44">
          <cell r="G44" t="str">
            <v>fc breakfast bread</v>
          </cell>
        </row>
        <row r="45">
          <cell r="G45" t="str">
            <v>fc bfast garnish</v>
          </cell>
        </row>
        <row r="46">
          <cell r="G46" t="str">
            <v>fc pastry</v>
          </cell>
        </row>
        <row r="47">
          <cell r="G47" t="str">
            <v>fc snack tsu</v>
          </cell>
        </row>
        <row r="48">
          <cell r="G48" t="str">
            <v>fc snack tray items</v>
          </cell>
        </row>
        <row r="49">
          <cell r="G49" t="str">
            <v>fc snack salad</v>
          </cell>
        </row>
        <row r="50">
          <cell r="G50" t="str">
            <v>fc hot snack entrée</v>
          </cell>
        </row>
        <row r="51">
          <cell r="G51" t="str">
            <v>fc snack fruit plate</v>
          </cell>
        </row>
        <row r="52">
          <cell r="G52" t="str">
            <v>fc snack bar garnish</v>
          </cell>
        </row>
        <row r="53">
          <cell r="G53" t="str">
            <v>fc snack pre-departure garnish</v>
          </cell>
        </row>
        <row r="54">
          <cell r="G54" t="str">
            <v>fc dry ice</v>
          </cell>
        </row>
        <row r="55">
          <cell r="G55" t="str">
            <v>fc wet ice</v>
          </cell>
        </row>
        <row r="56">
          <cell r="G56" t="str">
            <v>fc lemons</v>
          </cell>
        </row>
        <row r="57">
          <cell r="G57" t="str">
            <v>fc milk</v>
          </cell>
        </row>
        <row r="58">
          <cell r="G58" t="str">
            <v>fc juice</v>
          </cell>
        </row>
        <row r="59">
          <cell r="G59" t="str">
            <v>fc dry snacks</v>
          </cell>
        </row>
        <row r="60">
          <cell r="G60" t="str">
            <v>fc cabin supplies</v>
          </cell>
        </row>
        <row r="61">
          <cell r="G61" t="str">
            <v>fc soda</v>
          </cell>
        </row>
        <row r="62">
          <cell r="G62" t="str">
            <v>fc water</v>
          </cell>
        </row>
        <row r="63">
          <cell r="G63" t="str">
            <v>fc fresh herbs</v>
          </cell>
        </row>
        <row r="64">
          <cell r="G64" t="str">
            <v>fc bar garnish</v>
          </cell>
        </row>
        <row r="65">
          <cell r="G65" t="str">
            <v>BUSINESS CLASS</v>
          </cell>
        </row>
        <row r="66">
          <cell r="G66" t="str">
            <v>BUSINESS CLASS SUPPER SMJ SQ1</v>
          </cell>
        </row>
        <row r="67">
          <cell r="G67" t="str">
            <v>BUSINESS CLASS SNACK SRJ SQ1</v>
          </cell>
        </row>
        <row r="68">
          <cell r="G68" t="str">
            <v>BUSINESS CLASS LUNCH  LAJ SQ31</v>
          </cell>
        </row>
        <row r="69">
          <cell r="G69" t="str">
            <v>BUSINESS CLASS DINNER AXJ SQ23</v>
          </cell>
        </row>
        <row r="70">
          <cell r="G70" t="str">
            <v>BUSINESS CLASS BREAKFAST BCJ SQ1</v>
          </cell>
        </row>
        <row r="71">
          <cell r="G71" t="str">
            <v>BUSINESS CLASS ANYTIME AUJ SQ31</v>
          </cell>
        </row>
        <row r="72">
          <cell r="G72" t="str">
            <v>BUSINESS CLASS BREAKFAST BBJ SQ33</v>
          </cell>
        </row>
        <row r="73">
          <cell r="G73" t="str">
            <v>BUSINESS CLASS SNACK RUJ SQ31</v>
          </cell>
        </row>
        <row r="74">
          <cell r="G74" t="str">
            <v>BUSINESS CLASS SNACK RUJ SQ23</v>
          </cell>
        </row>
        <row r="75">
          <cell r="G75" t="str">
            <v>BUSINESS CLASS BREAKFAST EXPRESS</v>
          </cell>
        </row>
        <row r="76">
          <cell r="G76" t="str">
            <v>BUSINESS SUPPER SUJ SQ23</v>
          </cell>
        </row>
        <row r="77">
          <cell r="G77" t="str">
            <v>BC OVERHEAD RECOVERY</v>
          </cell>
        </row>
        <row r="78">
          <cell r="G78" t="str">
            <v>bc supper tray set up</v>
          </cell>
        </row>
        <row r="79">
          <cell r="G79" t="str">
            <v>bc supper tray set item</v>
          </cell>
        </row>
        <row r="80">
          <cell r="G80" t="str">
            <v>bc supper snack</v>
          </cell>
        </row>
        <row r="81">
          <cell r="G81" t="str">
            <v>bc salad</v>
          </cell>
        </row>
        <row r="82">
          <cell r="G82" t="str">
            <v>bc supper canape/amuse</v>
          </cell>
        </row>
        <row r="83">
          <cell r="G83" t="str">
            <v>bc supper starter</v>
          </cell>
        </row>
        <row r="84">
          <cell r="G84" t="str">
            <v>bc supper soup</v>
          </cell>
        </row>
        <row r="85">
          <cell r="G85" t="str">
            <v>bc supper entrée</v>
          </cell>
        </row>
        <row r="86">
          <cell r="G86" t="str">
            <v>bc dessert</v>
          </cell>
        </row>
        <row r="87">
          <cell r="G87" t="str">
            <v>bc supper cheese plate</v>
          </cell>
        </row>
        <row r="88">
          <cell r="G88" t="str">
            <v>bc supper drink</v>
          </cell>
        </row>
        <row r="89">
          <cell r="G89" t="str">
            <v>bc supper bread</v>
          </cell>
        </row>
        <row r="90">
          <cell r="G90" t="str">
            <v>bc supper drink</v>
          </cell>
        </row>
        <row r="91">
          <cell r="G91" t="str">
            <v>bc supper garnish</v>
          </cell>
        </row>
        <row r="92">
          <cell r="G92" t="str">
            <v>bc breakfast tray set up</v>
          </cell>
        </row>
        <row r="93">
          <cell r="G93" t="str">
            <v>bc breakfast tray set item</v>
          </cell>
        </row>
        <row r="94">
          <cell r="G94" t="str">
            <v>bc breakfast fruit</v>
          </cell>
        </row>
        <row r="95">
          <cell r="G95" t="str">
            <v>bc breakfast cheese plate</v>
          </cell>
        </row>
        <row r="96">
          <cell r="G96" t="str">
            <v>bc breakfast starter</v>
          </cell>
        </row>
        <row r="97">
          <cell r="G97" t="str">
            <v>bc breakfast entrée</v>
          </cell>
        </row>
        <row r="98">
          <cell r="G98" t="str">
            <v>bc breakfast drink</v>
          </cell>
        </row>
        <row r="99">
          <cell r="G99" t="str">
            <v>bc breakfast bread</v>
          </cell>
        </row>
        <row r="100">
          <cell r="G100" t="str">
            <v>bc bfast garnish</v>
          </cell>
        </row>
        <row r="101">
          <cell r="G101" t="str">
            <v>bc bfast pastry</v>
          </cell>
        </row>
        <row r="102">
          <cell r="G102" t="str">
            <v>bc lunch tsu</v>
          </cell>
        </row>
        <row r="103">
          <cell r="G103" t="str">
            <v>bc lunch tray items</v>
          </cell>
        </row>
        <row r="104">
          <cell r="G104" t="str">
            <v>bc lunch entrée</v>
          </cell>
        </row>
        <row r="105">
          <cell r="G105" t="str">
            <v>bc lunch salad</v>
          </cell>
        </row>
        <row r="106">
          <cell r="G106" t="str">
            <v>bc lunch bread</v>
          </cell>
        </row>
        <row r="107">
          <cell r="G107" t="str">
            <v>bc lunch dessert</v>
          </cell>
        </row>
        <row r="108">
          <cell r="G108" t="str">
            <v>bc lunch fruit</v>
          </cell>
        </row>
        <row r="109">
          <cell r="G109" t="str">
            <v>bc snack hot entrée</v>
          </cell>
        </row>
        <row r="110">
          <cell r="G110" t="str">
            <v>bc snack condiments</v>
          </cell>
        </row>
        <row r="111">
          <cell r="G111" t="str">
            <v xml:space="preserve">bc snack sweet </v>
          </cell>
        </row>
        <row r="112">
          <cell r="G112" t="str">
            <v>bc snack cold</v>
          </cell>
        </row>
        <row r="113">
          <cell r="G113" t="str">
            <v>bc snack juice</v>
          </cell>
        </row>
        <row r="114">
          <cell r="G114" t="str">
            <v>bc snack accompaniment</v>
          </cell>
        </row>
        <row r="115">
          <cell r="G115" t="str">
            <v>BC dry ice</v>
          </cell>
        </row>
        <row r="116">
          <cell r="G116" t="str">
            <v>BC wet ice</v>
          </cell>
        </row>
        <row r="117">
          <cell r="G117" t="str">
            <v>BC lemons</v>
          </cell>
        </row>
        <row r="118">
          <cell r="G118" t="str">
            <v>BC milk</v>
          </cell>
        </row>
        <row r="119">
          <cell r="G119" t="str">
            <v>BC juice</v>
          </cell>
        </row>
        <row r="120">
          <cell r="G120" t="str">
            <v>BC dry snacks</v>
          </cell>
        </row>
        <row r="121">
          <cell r="G121" t="str">
            <v>BC cabin supplies</v>
          </cell>
        </row>
        <row r="122">
          <cell r="G122" t="str">
            <v>BC soda</v>
          </cell>
        </row>
        <row r="123">
          <cell r="G123" t="str">
            <v>BC water</v>
          </cell>
        </row>
        <row r="124">
          <cell r="G124" t="str">
            <v>BC bar garnish</v>
          </cell>
        </row>
        <row r="125">
          <cell r="G125" t="str">
            <v>BC fresh herbs</v>
          </cell>
        </row>
        <row r="126">
          <cell r="G126" t="str">
            <v>ECONOMY CLASS</v>
          </cell>
        </row>
        <row r="127">
          <cell r="G127" t="str">
            <v>ECONOMY CLASS SUPPER</v>
          </cell>
        </row>
        <row r="128">
          <cell r="G128" t="str">
            <v>ECONOMY CLASS DINNER LDY SQ31</v>
          </cell>
        </row>
        <row r="129">
          <cell r="G129" t="str">
            <v>ECONOMY CLASS BREAKFAST</v>
          </cell>
        </row>
        <row r="130">
          <cell r="G130" t="str">
            <v>ECONOMY CLASS LUNCH DDY SQ31</v>
          </cell>
        </row>
        <row r="131">
          <cell r="G131" t="str">
            <v>ECONOMY CLASS HOT SNACK</v>
          </cell>
        </row>
        <row r="132">
          <cell r="G132" t="str">
            <v>ECONOMY CLASS HOT REFRESHMENT SNY SQ31</v>
          </cell>
        </row>
        <row r="133">
          <cell r="G133" t="str">
            <v>YC OVERHEAD RECOVERY</v>
          </cell>
        </row>
        <row r="134">
          <cell r="G134" t="str">
            <v>yc dinner tray set up</v>
          </cell>
        </row>
        <row r="135">
          <cell r="G135" t="str">
            <v>yc meal box</v>
          </cell>
        </row>
        <row r="136">
          <cell r="G136" t="str">
            <v>yc dinner tray set item</v>
          </cell>
        </row>
        <row r="137">
          <cell r="G137" t="str">
            <v>yc salad</v>
          </cell>
        </row>
        <row r="138">
          <cell r="G138" t="str">
            <v>yc dinner starter</v>
          </cell>
        </row>
        <row r="139">
          <cell r="G139" t="str">
            <v>yc dinner entrée</v>
          </cell>
        </row>
        <row r="140">
          <cell r="G140" t="str">
            <v>yc dessert</v>
          </cell>
        </row>
        <row r="141">
          <cell r="G141" t="str">
            <v>yc dinner cheese plate</v>
          </cell>
        </row>
        <row r="142">
          <cell r="G142" t="str">
            <v>yc dinner fruit</v>
          </cell>
        </row>
        <row r="143">
          <cell r="G143" t="str">
            <v>yc dinner bread</v>
          </cell>
        </row>
        <row r="144">
          <cell r="G144" t="str">
            <v>yc breakfast tray set up</v>
          </cell>
        </row>
        <row r="145">
          <cell r="G145" t="str">
            <v>yc breakfast tray set item</v>
          </cell>
        </row>
        <row r="146">
          <cell r="G146" t="str">
            <v>yc breakfast cheese plate</v>
          </cell>
        </row>
        <row r="147">
          <cell r="G147" t="str">
            <v>yc breakfast fruit</v>
          </cell>
        </row>
        <row r="148">
          <cell r="G148" t="str">
            <v>yc breakfast starter</v>
          </cell>
        </row>
        <row r="149">
          <cell r="G149" t="str">
            <v>yc breakfast entrée</v>
          </cell>
        </row>
        <row r="150">
          <cell r="G150" t="str">
            <v>yc breakfast bread</v>
          </cell>
        </row>
        <row r="151">
          <cell r="G151" t="str">
            <v>yc pastry</v>
          </cell>
        </row>
        <row r="152">
          <cell r="G152" t="str">
            <v>yc lunch tray set up</v>
          </cell>
        </row>
        <row r="153">
          <cell r="G153" t="str">
            <v>yc lunch tray set item</v>
          </cell>
        </row>
        <row r="154">
          <cell r="G154" t="str">
            <v>yc lunch cheese plate</v>
          </cell>
        </row>
        <row r="155">
          <cell r="G155" t="str">
            <v>yc lunch fruit</v>
          </cell>
        </row>
        <row r="156">
          <cell r="G156" t="str">
            <v>yc lunch starter</v>
          </cell>
        </row>
        <row r="157">
          <cell r="G157" t="str">
            <v>yc lunch entrée</v>
          </cell>
        </row>
        <row r="158">
          <cell r="G158" t="str">
            <v>yc lunch bread</v>
          </cell>
        </row>
        <row r="159">
          <cell r="G159" t="str">
            <v>yc lunch pastry</v>
          </cell>
        </row>
        <row r="160">
          <cell r="G160" t="str">
            <v>yc refreshment tsu</v>
          </cell>
        </row>
        <row r="161">
          <cell r="G161" t="str">
            <v>yc refreshment tray items</v>
          </cell>
        </row>
        <row r="162">
          <cell r="G162" t="str">
            <v>yc refreshment salad</v>
          </cell>
        </row>
        <row r="163">
          <cell r="G163" t="str">
            <v>yc refreshment entrée</v>
          </cell>
        </row>
        <row r="164">
          <cell r="G164" t="str">
            <v>yc whole fruit</v>
          </cell>
        </row>
        <row r="165">
          <cell r="G165" t="str">
            <v>YC dry ice</v>
          </cell>
        </row>
        <row r="166">
          <cell r="G166" t="str">
            <v>YC wet ice</v>
          </cell>
        </row>
        <row r="167">
          <cell r="G167" t="str">
            <v>YC lemons</v>
          </cell>
        </row>
        <row r="168">
          <cell r="G168" t="str">
            <v>YC milk</v>
          </cell>
        </row>
        <row r="169">
          <cell r="G169" t="str">
            <v>YC juice</v>
          </cell>
        </row>
        <row r="170">
          <cell r="G170" t="str">
            <v>YC dry snacks</v>
          </cell>
        </row>
        <row r="171">
          <cell r="G171" t="str">
            <v>YC cabin supplies</v>
          </cell>
        </row>
        <row r="172">
          <cell r="G172" t="str">
            <v>YC soda</v>
          </cell>
        </row>
        <row r="173">
          <cell r="G173" t="str">
            <v>YC water</v>
          </cell>
        </row>
        <row r="174">
          <cell r="G174" t="str">
            <v>YC bar garnish</v>
          </cell>
        </row>
        <row r="175">
          <cell r="G175" t="str">
            <v>YC fresh herbs</v>
          </cell>
        </row>
        <row r="176">
          <cell r="G176" t="str">
            <v>PREMIUM ECONOMY CLASS</v>
          </cell>
        </row>
        <row r="177">
          <cell r="G177" t="str">
            <v>PREMIUM ECONOMY CLASS SUPPER SBS SQ1</v>
          </cell>
        </row>
        <row r="178">
          <cell r="G178" t="str">
            <v>PREMIUM ECONOMY CLASS DINNER LDS SQ31</v>
          </cell>
        </row>
        <row r="179">
          <cell r="G179" t="str">
            <v>PREMIUM ECONOMY CLASS SUPPER</v>
          </cell>
        </row>
        <row r="180">
          <cell r="G180" t="str">
            <v>PREMIUM ECONOMY CLASS BREAKFAST BBS SQ1</v>
          </cell>
        </row>
        <row r="181">
          <cell r="G181" t="str">
            <v>PREMIUM ECONOMY CLASS LUNCH DDS SQ31</v>
          </cell>
        </row>
        <row r="182">
          <cell r="G182" t="str">
            <v>PREMIUM ECONOMY CLASS BREAKFAST</v>
          </cell>
        </row>
        <row r="183">
          <cell r="G183" t="str">
            <v>PREMIUM ECONOMY CLASS LUNCH</v>
          </cell>
        </row>
        <row r="184">
          <cell r="G184" t="str">
            <v>PREMIUM ECONOMY CLASS HOT REFRESHMENT SNS SQ1</v>
          </cell>
        </row>
        <row r="185">
          <cell r="G185" t="str">
            <v>PREMIUM ECONOMY CLASS HOT REFRESHMENT SUS SQ31</v>
          </cell>
        </row>
        <row r="186">
          <cell r="G186" t="str">
            <v>PREMIUM ECONOMY CLASS HOT REFRESHMENT SNS SQ23</v>
          </cell>
        </row>
        <row r="187">
          <cell r="G187" t="str">
            <v>PY OVERHEAD RECOVERY</v>
          </cell>
        </row>
        <row r="188">
          <cell r="G188" t="str">
            <v>PY dinner tray set up</v>
          </cell>
        </row>
        <row r="189">
          <cell r="G189" t="str">
            <v>PY meal box</v>
          </cell>
        </row>
        <row r="190">
          <cell r="G190" t="str">
            <v>PY dinner tray set item</v>
          </cell>
        </row>
        <row r="191">
          <cell r="G191" t="str">
            <v>PY salad</v>
          </cell>
        </row>
        <row r="192">
          <cell r="G192" t="str">
            <v>PY dinner starter</v>
          </cell>
        </row>
        <row r="193">
          <cell r="G193" t="str">
            <v>PY dinner entrée</v>
          </cell>
        </row>
        <row r="194">
          <cell r="G194" t="str">
            <v>PY dessert</v>
          </cell>
        </row>
        <row r="195">
          <cell r="G195" t="str">
            <v>PY dinner cheese plate</v>
          </cell>
        </row>
        <row r="196">
          <cell r="G196" t="str">
            <v>PY dinner fruit</v>
          </cell>
        </row>
        <row r="197">
          <cell r="G197" t="str">
            <v>PY dinner bread</v>
          </cell>
        </row>
        <row r="198">
          <cell r="G198" t="str">
            <v>PY breakfast tray set up</v>
          </cell>
        </row>
        <row r="199">
          <cell r="G199" t="str">
            <v>PY breakfast tray set item</v>
          </cell>
        </row>
        <row r="200">
          <cell r="G200" t="str">
            <v>PY breakfast cheese plate</v>
          </cell>
        </row>
        <row r="201">
          <cell r="G201" t="str">
            <v>PY breakfast fruit</v>
          </cell>
        </row>
        <row r="202">
          <cell r="G202" t="str">
            <v>PY breakfast starter</v>
          </cell>
        </row>
        <row r="203">
          <cell r="G203" t="str">
            <v>PY breakfast entrée</v>
          </cell>
        </row>
        <row r="204">
          <cell r="G204" t="str">
            <v>PY breakfast bread</v>
          </cell>
        </row>
        <row r="205">
          <cell r="G205" t="str">
            <v>PY pastry</v>
          </cell>
        </row>
        <row r="206">
          <cell r="G206" t="str">
            <v>PY lunch tray set up</v>
          </cell>
        </row>
        <row r="207">
          <cell r="G207" t="str">
            <v>PY lunch tray set item</v>
          </cell>
        </row>
        <row r="208">
          <cell r="G208" t="str">
            <v>PY lunch cheese plate</v>
          </cell>
        </row>
        <row r="209">
          <cell r="G209" t="str">
            <v>PY lunch fruit</v>
          </cell>
        </row>
        <row r="210">
          <cell r="G210" t="str">
            <v>PY lunch starter</v>
          </cell>
        </row>
        <row r="211">
          <cell r="G211" t="str">
            <v>PY lunch entrée</v>
          </cell>
        </row>
        <row r="212">
          <cell r="G212" t="str">
            <v>PY lunch bread</v>
          </cell>
        </row>
        <row r="213">
          <cell r="G213" t="str">
            <v>PY lunch pastry</v>
          </cell>
        </row>
        <row r="214">
          <cell r="G214" t="str">
            <v>PY refreshment tsu</v>
          </cell>
        </row>
        <row r="215">
          <cell r="G215" t="str">
            <v>PY refreshment tray items</v>
          </cell>
        </row>
        <row r="216">
          <cell r="G216" t="str">
            <v>PY refreshment salad</v>
          </cell>
        </row>
        <row r="217">
          <cell r="G217" t="str">
            <v>PY refreshment entrée</v>
          </cell>
        </row>
        <row r="218">
          <cell r="G218" t="str">
            <v>PY whole fruit</v>
          </cell>
        </row>
        <row r="219">
          <cell r="G219" t="str">
            <v>PY dry ice</v>
          </cell>
        </row>
        <row r="220">
          <cell r="G220" t="str">
            <v>PY wet ice</v>
          </cell>
        </row>
        <row r="221">
          <cell r="G221" t="str">
            <v>PY lemons</v>
          </cell>
        </row>
        <row r="222">
          <cell r="G222" t="str">
            <v>PY milk</v>
          </cell>
        </row>
        <row r="223">
          <cell r="G223" t="str">
            <v>PY juice</v>
          </cell>
        </row>
        <row r="224">
          <cell r="G224" t="str">
            <v>PY dry snacks</v>
          </cell>
        </row>
        <row r="225">
          <cell r="G225" t="str">
            <v>PY cabin supplies</v>
          </cell>
        </row>
        <row r="226">
          <cell r="G226" t="str">
            <v>PY soda</v>
          </cell>
        </row>
        <row r="227">
          <cell r="G227" t="str">
            <v>PY water</v>
          </cell>
        </row>
        <row r="228">
          <cell r="G228" t="str">
            <v>PY bar garnish</v>
          </cell>
        </row>
        <row r="229">
          <cell r="G229" t="str">
            <v>PY fresh herbs</v>
          </cell>
        </row>
        <row r="230">
          <cell r="G230" t="str">
            <v>CREW CLASS</v>
          </cell>
        </row>
        <row r="231">
          <cell r="G231" t="str">
            <v>CREW CLASS DINNER</v>
          </cell>
        </row>
        <row r="232">
          <cell r="G232" t="str">
            <v>CREW CLASS BREAKFAST</v>
          </cell>
        </row>
        <row r="233">
          <cell r="G233" t="str">
            <v>CREW CLASS SNACK</v>
          </cell>
        </row>
        <row r="234">
          <cell r="G234" t="str">
            <v>CREW CLASS LUNCH</v>
          </cell>
        </row>
        <row r="235">
          <cell r="G235" t="str">
            <v>CREW OVERHEAD RECOVERY</v>
          </cell>
        </row>
        <row r="236">
          <cell r="G236" t="str">
            <v>crew dinner tray set up</v>
          </cell>
        </row>
        <row r="237">
          <cell r="G237" t="str">
            <v>crew meal box</v>
          </cell>
        </row>
        <row r="238">
          <cell r="G238" t="str">
            <v>crew dinner tray set item</v>
          </cell>
        </row>
        <row r="239">
          <cell r="G239" t="str">
            <v>crew salad</v>
          </cell>
        </row>
        <row r="240">
          <cell r="G240" t="str">
            <v>crew dinner starter</v>
          </cell>
        </row>
        <row r="241">
          <cell r="G241" t="str">
            <v>crew dinner entrée</v>
          </cell>
        </row>
        <row r="242">
          <cell r="G242" t="str">
            <v>crew dessert</v>
          </cell>
        </row>
        <row r="243">
          <cell r="G243" t="str">
            <v>crew dinner cheese plate</v>
          </cell>
        </row>
        <row r="244">
          <cell r="G244" t="str">
            <v>crew dinner fruit</v>
          </cell>
        </row>
        <row r="245">
          <cell r="G245" t="str">
            <v>crew dinner bread</v>
          </cell>
        </row>
        <row r="246">
          <cell r="G246" t="str">
            <v>crew breakfast tray set up</v>
          </cell>
        </row>
        <row r="247">
          <cell r="G247" t="str">
            <v>crew breakfast tray set item</v>
          </cell>
        </row>
        <row r="248">
          <cell r="G248" t="str">
            <v>crew breakfast cheese plate</v>
          </cell>
        </row>
        <row r="249">
          <cell r="G249" t="str">
            <v>crew breakfast fruit</v>
          </cell>
        </row>
        <row r="250">
          <cell r="G250" t="str">
            <v>crew breakfast starter</v>
          </cell>
        </row>
        <row r="251">
          <cell r="G251" t="str">
            <v>crew breakfast entrée</v>
          </cell>
        </row>
        <row r="252">
          <cell r="G252" t="str">
            <v>crew breakfast bread</v>
          </cell>
        </row>
        <row r="253">
          <cell r="G253" t="str">
            <v>crew pastry</v>
          </cell>
        </row>
        <row r="254">
          <cell r="G254" t="str">
            <v>crew lunch tsu</v>
          </cell>
        </row>
        <row r="255">
          <cell r="G255" t="str">
            <v>crew lunch tray items</v>
          </cell>
        </row>
        <row r="256">
          <cell r="G256" t="str">
            <v>crew hot lunch</v>
          </cell>
        </row>
        <row r="257">
          <cell r="G257" t="str">
            <v>crew cold lunch</v>
          </cell>
        </row>
        <row r="258">
          <cell r="G258" t="str">
            <v>crew whole fruit</v>
          </cell>
        </row>
        <row r="259">
          <cell r="G259" t="str">
            <v>crew snack entrée</v>
          </cell>
        </row>
        <row r="260">
          <cell r="G260" t="str">
            <v>crew snack tray set items</v>
          </cell>
        </row>
        <row r="261">
          <cell r="G261" t="str">
            <v>crew snack tsu</v>
          </cell>
        </row>
        <row r="262">
          <cell r="G262" t="str">
            <v>TECH CREW CLASS</v>
          </cell>
        </row>
        <row r="263">
          <cell r="G263" t="str">
            <v>TECH CREW CLASS DINNER</v>
          </cell>
        </row>
        <row r="264">
          <cell r="G264" t="str">
            <v>TECH CREW CLASS BREAKFAST</v>
          </cell>
        </row>
        <row r="265">
          <cell r="G265" t="str">
            <v>TECH CREW CLASS SNACK</v>
          </cell>
        </row>
        <row r="266">
          <cell r="G266" t="str">
            <v>TECH CREW CLASS LUNCH</v>
          </cell>
        </row>
        <row r="267">
          <cell r="G267" t="str">
            <v>TECH CREW OVERHEAD RECOVERY</v>
          </cell>
        </row>
        <row r="268">
          <cell r="G268" t="str">
            <v>tech crew dinner tray set up</v>
          </cell>
        </row>
        <row r="269">
          <cell r="G269" t="str">
            <v>tech crew meal box</v>
          </cell>
        </row>
        <row r="270">
          <cell r="G270" t="str">
            <v>tech crew dinner tray set item</v>
          </cell>
        </row>
        <row r="271">
          <cell r="G271" t="str">
            <v>tech crew salad</v>
          </cell>
        </row>
        <row r="272">
          <cell r="G272" t="str">
            <v>tech crew dinner starter</v>
          </cell>
        </row>
        <row r="273">
          <cell r="G273" t="str">
            <v>tech crew dinner entrée</v>
          </cell>
        </row>
        <row r="274">
          <cell r="G274" t="str">
            <v>tech crew dessert</v>
          </cell>
        </row>
        <row r="275">
          <cell r="G275" t="str">
            <v>tech crew dinner cheese plate</v>
          </cell>
        </row>
        <row r="276">
          <cell r="G276" t="str">
            <v>tech crew dinner fruit</v>
          </cell>
        </row>
        <row r="277">
          <cell r="G277" t="str">
            <v>tech crew dinner bread</v>
          </cell>
        </row>
        <row r="278">
          <cell r="G278" t="str">
            <v>tech crew breakfast tray set up</v>
          </cell>
        </row>
        <row r="279">
          <cell r="G279" t="str">
            <v>tech crew breakfast tray set item</v>
          </cell>
        </row>
        <row r="280">
          <cell r="G280" t="str">
            <v>tech crew breakfast cheese plate</v>
          </cell>
        </row>
        <row r="281">
          <cell r="G281" t="str">
            <v>tech crew breakfast fruit</v>
          </cell>
        </row>
        <row r="282">
          <cell r="G282" t="str">
            <v>tech crew breakfast starter</v>
          </cell>
        </row>
        <row r="283">
          <cell r="G283" t="str">
            <v>tech crew breakfast entrée</v>
          </cell>
        </row>
        <row r="284">
          <cell r="G284" t="str">
            <v>tech crew breakfast bread</v>
          </cell>
        </row>
        <row r="285">
          <cell r="G285" t="str">
            <v>tech crew pastry</v>
          </cell>
        </row>
        <row r="286">
          <cell r="G286" t="str">
            <v>tech crew lunch tsu</v>
          </cell>
        </row>
        <row r="287">
          <cell r="G287" t="str">
            <v>tech crew lunch tray items</v>
          </cell>
        </row>
        <row r="288">
          <cell r="G288" t="str">
            <v>tech crew hot lunch</v>
          </cell>
        </row>
        <row r="289">
          <cell r="G289" t="str">
            <v>tech crew cold lunch</v>
          </cell>
        </row>
        <row r="290">
          <cell r="G290" t="str">
            <v>tech crew whole fruit</v>
          </cell>
        </row>
        <row r="291">
          <cell r="G291" t="str">
            <v>tech crew snack tsu</v>
          </cell>
        </row>
        <row r="292">
          <cell r="G292" t="str">
            <v>tech crew snack tsu tray set items</v>
          </cell>
        </row>
        <row r="293">
          <cell r="G293" t="str">
            <v>tech crew snack entrée</v>
          </cell>
        </row>
        <row r="295">
          <cell r="G295" t="str">
            <v>STD LOAD ITEMS</v>
          </cell>
        </row>
        <row r="296">
          <cell r="G296" t="str">
            <v>dry ice</v>
          </cell>
        </row>
        <row r="297">
          <cell r="G297" t="str">
            <v>wet ice</v>
          </cell>
        </row>
        <row r="298">
          <cell r="G298" t="str">
            <v>lemons</v>
          </cell>
        </row>
        <row r="299">
          <cell r="G299" t="str">
            <v>milk</v>
          </cell>
        </row>
        <row r="300">
          <cell r="G300" t="str">
            <v>juice</v>
          </cell>
        </row>
        <row r="301">
          <cell r="G301" t="str">
            <v>dry snacks</v>
          </cell>
        </row>
        <row r="302">
          <cell r="G302" t="str">
            <v>cabin supplies</v>
          </cell>
        </row>
        <row r="303">
          <cell r="G303" t="str">
            <v>soda</v>
          </cell>
        </row>
        <row r="304">
          <cell r="G304" t="str">
            <v>water</v>
          </cell>
        </row>
        <row r="305">
          <cell r="G305" t="str">
            <v>bar garnish</v>
          </cell>
        </row>
        <row r="306">
          <cell r="G306" t="str">
            <v>fresh herbs</v>
          </cell>
        </row>
        <row r="307">
          <cell r="G307" t="str">
            <v>HANDLING</v>
          </cell>
        </row>
        <row r="308">
          <cell r="G308" t="str">
            <v>a/c handling</v>
          </cell>
        </row>
        <row r="309">
          <cell r="G309" t="str">
            <v>eq and bev stock</v>
          </cell>
        </row>
        <row r="310">
          <cell r="G310" t="str">
            <v>transportation</v>
          </cell>
        </row>
        <row r="311">
          <cell r="G311" t="str">
            <v>overtime</v>
          </cell>
        </row>
        <row r="312">
          <cell r="G312" t="str">
            <v>waste</v>
          </cell>
        </row>
        <row r="313">
          <cell r="G313" t="str">
            <v>fees</v>
          </cell>
        </row>
        <row r="314">
          <cell r="G314" t="str">
            <v xml:space="preserve">newspapers/mags </v>
          </cell>
        </row>
        <row r="315">
          <cell r="G315" t="str">
            <v>linen</v>
          </cell>
        </row>
      </sheetData>
      <sheetData sheetId="3">
        <row r="2">
          <cell r="B2" t="str">
            <v>SINGAPORE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39">
          <cell r="A39">
            <v>12009</v>
          </cell>
        </row>
      </sheetData>
      <sheetData sheetId="18"/>
      <sheetData sheetId="19"/>
      <sheetData sheetId="20"/>
      <sheetData sheetId="2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ircraft Configs"/>
      <sheetName val="UPDATES"/>
      <sheetName val="POLICY2"/>
      <sheetName val="scale"/>
      <sheetName val="FG MASTER"/>
      <sheetName val="POLICY"/>
      <sheetName val="MENU GRID"/>
      <sheetName val="PRICING PAGE"/>
      <sheetName val="SALES PER FLIGHT"/>
      <sheetName val="PER PAX AVERAGES"/>
      <sheetName val="PERIOD SALES CALCS"/>
      <sheetName val="New Period Summary"/>
      <sheetName val="121_PNL"/>
      <sheetName val="dnata_PNL"/>
      <sheetName val="MPL"/>
      <sheetName val="LABOR TOOL"/>
      <sheetName val="HANDLING"/>
      <sheetName val="Invoice Summary"/>
      <sheetName val="Invoice QF74 SFO-SYD"/>
      <sheetName val="Invoice QF50 SFO-MEL"/>
      <sheetName val="New BB"/>
      <sheetName val="Drop Down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NA Assumptions "/>
      <sheetName val="P&amp;L"/>
      <sheetName val="Bid Assumption "/>
      <sheetName val="Summary "/>
      <sheetName val="Summary Short Haul"/>
      <sheetName val="Summary  735"/>
      <sheetName val="Summary 2221"/>
      <sheetName val="Summary 2439"/>
      <sheetName val="Summary 2682"/>
      <sheetName val="Summary 2855"/>
      <sheetName val="Summary 2037"/>
      <sheetName val="Summary 2817"/>
      <sheetName val="Handling"/>
      <sheetName val="FlightConfig"/>
      <sheetName val="Food"/>
      <sheetName val="Avg Per Flight"/>
      <sheetName val="FG MASTER"/>
      <sheetName val="cost breakdown"/>
    </sheetNames>
    <sheetDataSet>
      <sheetData sheetId="0" refreshError="1"/>
      <sheetData sheetId="1" refreshError="1">
        <row r="2">
          <cell r="P2">
            <v>38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9012024"/>
      <sheetName val="List of All Pax Spec codes "/>
      <sheetName val="List of All CrewMeal Specs"/>
      <sheetName val="FG MASTER"/>
      <sheetName val="IC Item List ATL_upd setup_SEP0"/>
    </sheetNames>
    <sheetDataSet>
      <sheetData sheetId="0" refreshError="1"/>
      <sheetData sheetId="1" refreshError="1"/>
      <sheetData sheetId="2" refreshError="1"/>
      <sheetData sheetId="3" refreshError="1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  <cell r="T1">
            <v>20</v>
          </cell>
        </row>
        <row r="2">
          <cell r="A2" t="str">
            <v>Finished Good Master</v>
          </cell>
          <cell r="S2">
            <v>0.42</v>
          </cell>
          <cell r="V2">
            <v>0.13</v>
          </cell>
          <cell r="W2">
            <v>0.13</v>
          </cell>
        </row>
        <row r="8">
          <cell r="A8" t="str">
            <v>Delta</v>
          </cell>
        </row>
        <row r="9">
          <cell r="A9" t="str">
            <v>Item #</v>
          </cell>
          <cell r="B9" t="str">
            <v>Item Description</v>
          </cell>
          <cell r="C9" t="str">
            <v>Price Code</v>
          </cell>
          <cell r="D9" t="str">
            <v>EQ1</v>
          </cell>
          <cell r="E9" t="str">
            <v>EQ2</v>
          </cell>
          <cell r="F9" t="str">
            <v>EQ3</v>
          </cell>
          <cell r="G9" t="str">
            <v>EQ4</v>
          </cell>
          <cell r="H9" t="str">
            <v>EQ5</v>
          </cell>
          <cell r="I9" t="str">
            <v>Unit Weight/ Count</v>
          </cell>
          <cell r="J9" t="str">
            <v>UOM</v>
          </cell>
          <cell r="K9" t="str">
            <v>Final Work Center</v>
          </cell>
          <cell r="L9" t="str">
            <v>Req / No processing needed</v>
          </cell>
          <cell r="M9" t="str">
            <v>Prep Center</v>
          </cell>
          <cell r="N9" t="str">
            <v>Item Weight</v>
          </cell>
          <cell r="O9" t="str">
            <v>unit cost</v>
          </cell>
          <cell r="P9" t="str">
            <v>cost per quantity</v>
          </cell>
          <cell r="Q9" t="str">
            <v>man minutes</v>
          </cell>
          <cell r="R9" t="str">
            <v>labor factor</v>
          </cell>
          <cell r="S9" t="str">
            <v>labor rate</v>
          </cell>
          <cell r="T9" t="str">
            <v>labor cost</v>
          </cell>
          <cell r="U9" t="str">
            <v>total cost</v>
          </cell>
          <cell r="V9" t="str">
            <v>food markup</v>
          </cell>
          <cell r="W9" t="str">
            <v>labor m/u</v>
          </cell>
          <cell r="X9" t="str">
            <v>food sale price</v>
          </cell>
          <cell r="Y9" t="str">
            <v>labor sale price</v>
          </cell>
          <cell r="Z9" t="str">
            <v>calculated sale price</v>
          </cell>
          <cell r="AA9" t="str">
            <v>Item         Price</v>
          </cell>
          <cell r="AB9" t="str">
            <v>Final Food Cost %</v>
          </cell>
          <cell r="AC9" t="str">
            <v>Column1</v>
          </cell>
        </row>
        <row r="10">
          <cell r="A10">
            <v>10001</v>
          </cell>
          <cell r="B10" t="str">
            <v>BC TSU</v>
          </cell>
          <cell r="C10">
            <v>1</v>
          </cell>
          <cell r="O10">
            <v>0</v>
          </cell>
          <cell r="P10">
            <v>0</v>
          </cell>
          <cell r="Q10">
            <v>2</v>
          </cell>
          <cell r="R10">
            <v>1</v>
          </cell>
          <cell r="S10">
            <v>0.42</v>
          </cell>
          <cell r="T10">
            <v>0.84</v>
          </cell>
          <cell r="U10">
            <v>0.84</v>
          </cell>
          <cell r="V10">
            <v>0.13</v>
          </cell>
          <cell r="W10">
            <v>0.13</v>
          </cell>
          <cell r="X10">
            <v>0</v>
          </cell>
          <cell r="Y10">
            <v>0.94919999999999993</v>
          </cell>
          <cell r="Z10">
            <v>0.95</v>
          </cell>
          <cell r="AA10">
            <v>0.95</v>
          </cell>
        </row>
        <row r="11">
          <cell r="A11">
            <v>10002</v>
          </cell>
          <cell r="B11" t="str">
            <v>BC C2 SALAD MESCLUN MIX GREEN250g</v>
          </cell>
          <cell r="C11">
            <v>1</v>
          </cell>
          <cell r="O11">
            <v>1.52155</v>
          </cell>
          <cell r="P11">
            <v>1.6204507499999998</v>
          </cell>
          <cell r="Q11">
            <v>2.5</v>
          </cell>
          <cell r="R11">
            <v>1</v>
          </cell>
          <cell r="S11">
            <v>0.42</v>
          </cell>
          <cell r="T11">
            <v>1.05</v>
          </cell>
          <cell r="U11">
            <v>2.6704507499999997</v>
          </cell>
          <cell r="V11">
            <v>0.13</v>
          </cell>
          <cell r="W11">
            <v>0.13</v>
          </cell>
          <cell r="X11">
            <v>1.8311093474999995</v>
          </cell>
          <cell r="Y11">
            <v>1.1865000000000001</v>
          </cell>
          <cell r="Z11">
            <v>3.0199999999999996</v>
          </cell>
          <cell r="AA11">
            <v>3.0199999999999996</v>
          </cell>
        </row>
        <row r="12">
          <cell r="A12">
            <v>10003</v>
          </cell>
          <cell r="B12" t="str">
            <v xml:space="preserve">BC C3 SALAD BABY ARUGULA, POACHED BOSC PEAR AND GOAT CHEESE </v>
          </cell>
          <cell r="C12">
            <v>1</v>
          </cell>
          <cell r="O12">
            <v>0.4894</v>
          </cell>
          <cell r="P12">
            <v>0.52121099999999998</v>
          </cell>
          <cell r="Q12">
            <v>2</v>
          </cell>
          <cell r="R12">
            <v>1</v>
          </cell>
          <cell r="S12">
            <v>0.42</v>
          </cell>
          <cell r="T12">
            <v>0.84</v>
          </cell>
          <cell r="U12">
            <v>1.3612109999999999</v>
          </cell>
          <cell r="V12">
            <v>0.13</v>
          </cell>
          <cell r="W12">
            <v>0.13</v>
          </cell>
          <cell r="X12">
            <v>0.58896842999999988</v>
          </cell>
          <cell r="Y12">
            <v>0.94919999999999993</v>
          </cell>
          <cell r="Z12">
            <v>1.54</v>
          </cell>
          <cell r="AA12">
            <v>1.54</v>
          </cell>
        </row>
        <row r="13">
          <cell r="A13">
            <v>10004</v>
          </cell>
          <cell r="B13" t="str">
            <v xml:space="preserve">BC C2 GARNISH SUNFLOWER SEED </v>
          </cell>
          <cell r="C13">
            <v>1</v>
          </cell>
          <cell r="O13">
            <v>0.24948000000000001</v>
          </cell>
          <cell r="P13">
            <v>0.26569619999999999</v>
          </cell>
          <cell r="Q13">
            <v>1.5</v>
          </cell>
          <cell r="R13">
            <v>1</v>
          </cell>
          <cell r="S13">
            <v>0.42</v>
          </cell>
          <cell r="T13">
            <v>0.63</v>
          </cell>
          <cell r="U13">
            <v>0.89569619999999994</v>
          </cell>
          <cell r="V13">
            <v>0.13</v>
          </cell>
          <cell r="W13">
            <v>0.13</v>
          </cell>
          <cell r="X13">
            <v>0.30023670599999996</v>
          </cell>
          <cell r="Y13">
            <v>0.71189999999999998</v>
          </cell>
          <cell r="Z13">
            <v>1.02</v>
          </cell>
          <cell r="AA13">
            <v>1.02</v>
          </cell>
        </row>
        <row r="14">
          <cell r="A14">
            <v>10005</v>
          </cell>
          <cell r="B14" t="str">
            <v xml:space="preserve">BC C3 GARNISH PEPITAS SEED </v>
          </cell>
          <cell r="C14">
            <v>1</v>
          </cell>
          <cell r="O14">
            <v>4.2000000000000003E-2</v>
          </cell>
          <cell r="P14">
            <v>4.4729999999999999E-2</v>
          </cell>
          <cell r="Q14">
            <v>0.3</v>
          </cell>
          <cell r="R14">
            <v>1</v>
          </cell>
          <cell r="S14">
            <v>0.42</v>
          </cell>
          <cell r="T14">
            <v>0.126</v>
          </cell>
          <cell r="U14">
            <v>0.17072999999999999</v>
          </cell>
          <cell r="V14">
            <v>0.13</v>
          </cell>
          <cell r="W14">
            <v>0.13</v>
          </cell>
          <cell r="X14">
            <v>5.0544899999999997E-2</v>
          </cell>
          <cell r="Y14">
            <v>0.14238000000000001</v>
          </cell>
          <cell r="Z14">
            <v>0.2</v>
          </cell>
          <cell r="AA14">
            <v>0.2</v>
          </cell>
        </row>
        <row r="15">
          <cell r="A15">
            <v>10006</v>
          </cell>
          <cell r="B15" t="str">
            <v>BC BUTTER</v>
          </cell>
          <cell r="C15">
            <v>1</v>
          </cell>
          <cell r="O15">
            <v>0.08</v>
          </cell>
          <cell r="P15">
            <v>8.5199999999999998E-2</v>
          </cell>
          <cell r="Q15">
            <v>0.75</v>
          </cell>
          <cell r="R15">
            <v>1</v>
          </cell>
          <cell r="S15">
            <v>0.42</v>
          </cell>
          <cell r="T15">
            <v>0.315</v>
          </cell>
          <cell r="U15">
            <v>0.4002</v>
          </cell>
          <cell r="V15">
            <v>0.13</v>
          </cell>
          <cell r="W15">
            <v>0.13</v>
          </cell>
          <cell r="X15">
            <v>9.6275999999999987E-2</v>
          </cell>
          <cell r="Y15">
            <v>0.35594999999999999</v>
          </cell>
          <cell r="Z15">
            <v>0.46</v>
          </cell>
          <cell r="AA15">
            <v>0.46</v>
          </cell>
        </row>
        <row r="16">
          <cell r="A16">
            <v>10007</v>
          </cell>
          <cell r="B16" t="str">
            <v xml:space="preserve">BC C2 STARTER A MEAT BEEF PASTRAMI, DUCK RILLET, SOOORESSATA, FIG JAM AND MESCULIN LETTUCE OKRA BLACK MISSION FIG </v>
          </cell>
          <cell r="C16">
            <v>1</v>
          </cell>
          <cell r="O16">
            <v>1.47</v>
          </cell>
          <cell r="P16">
            <v>1.56555</v>
          </cell>
          <cell r="Q16">
            <v>3</v>
          </cell>
          <cell r="R16">
            <v>1</v>
          </cell>
          <cell r="S16">
            <v>0.42</v>
          </cell>
          <cell r="T16">
            <v>1.26</v>
          </cell>
          <cell r="U16">
            <v>2.8255499999999998</v>
          </cell>
          <cell r="V16">
            <v>0.13</v>
          </cell>
          <cell r="W16">
            <v>0.13</v>
          </cell>
          <cell r="X16">
            <v>1.7690714999999999</v>
          </cell>
          <cell r="Y16">
            <v>1.4238</v>
          </cell>
          <cell r="Z16">
            <v>3.1999999999999997</v>
          </cell>
          <cell r="AA16">
            <v>3.1999999999999997</v>
          </cell>
        </row>
        <row r="17">
          <cell r="A17">
            <v>10008</v>
          </cell>
          <cell r="B17" t="str">
            <v>BC C3 STARTER A MEAT ITALIAN SALAMI, PORT PROSCUITTO, WAYGU BRESSOLA, BABY ARUGULA, CASTELVETRANO OLIVE</v>
          </cell>
          <cell r="C17">
            <v>1</v>
          </cell>
          <cell r="O17">
            <v>2.8304999999999998</v>
          </cell>
          <cell r="P17">
            <v>3.0144824999999997</v>
          </cell>
          <cell r="Q17">
            <v>3</v>
          </cell>
          <cell r="R17">
            <v>1</v>
          </cell>
          <cell r="S17">
            <v>0.42</v>
          </cell>
          <cell r="T17">
            <v>1.26</v>
          </cell>
          <cell r="U17">
            <v>4.2744824999999995</v>
          </cell>
          <cell r="V17">
            <v>0.13</v>
          </cell>
          <cell r="W17">
            <v>0.13</v>
          </cell>
          <cell r="X17">
            <v>3.4063652249999992</v>
          </cell>
          <cell r="Y17">
            <v>1.4238</v>
          </cell>
          <cell r="Z17">
            <v>4.84</v>
          </cell>
          <cell r="AA17">
            <v>4.84</v>
          </cell>
        </row>
        <row r="18">
          <cell r="A18">
            <v>10009</v>
          </cell>
          <cell r="B18" t="str">
            <v>BC C2 STARTER B FISH SMOKED TROUT, PICKLED RED ONION, CUCUMBER APPLE SALAD AND MESCLUN MIX</v>
          </cell>
          <cell r="C18">
            <v>1</v>
          </cell>
          <cell r="O18">
            <v>1.6952</v>
          </cell>
          <cell r="P18">
            <v>1.805388</v>
          </cell>
          <cell r="Q18">
            <v>3.5</v>
          </cell>
          <cell r="R18">
            <v>1</v>
          </cell>
          <cell r="S18">
            <v>0.42</v>
          </cell>
          <cell r="T18">
            <v>1.47</v>
          </cell>
          <cell r="U18">
            <v>3.275388</v>
          </cell>
          <cell r="V18">
            <v>0.13</v>
          </cell>
          <cell r="W18">
            <v>0.13</v>
          </cell>
          <cell r="X18">
            <v>2.0400884399999999</v>
          </cell>
          <cell r="Y18">
            <v>1.6611</v>
          </cell>
          <cell r="Z18">
            <v>3.71</v>
          </cell>
          <cell r="AA18">
            <v>3.71</v>
          </cell>
        </row>
        <row r="19">
          <cell r="A19">
            <v>10010</v>
          </cell>
          <cell r="B19" t="str">
            <v>BC C3 STARTER B FISH SMOKED SALMON, CREAM CHEESE, EGG, RED ONION, CAPERS, BAGEL CHIPS</v>
          </cell>
          <cell r="C19">
            <v>1</v>
          </cell>
          <cell r="O19">
            <v>1.5167999999999999</v>
          </cell>
          <cell r="P19">
            <v>1.6153919999999999</v>
          </cell>
          <cell r="Q19">
            <v>4</v>
          </cell>
          <cell r="R19">
            <v>1</v>
          </cell>
          <cell r="S19">
            <v>0.42</v>
          </cell>
          <cell r="T19">
            <v>1.68</v>
          </cell>
          <cell r="U19">
            <v>3.2953919999999997</v>
          </cell>
          <cell r="V19">
            <v>0.13</v>
          </cell>
          <cell r="W19">
            <v>0.13</v>
          </cell>
          <cell r="X19">
            <v>1.8253929599999998</v>
          </cell>
          <cell r="Y19">
            <v>1.8983999999999999</v>
          </cell>
          <cell r="Z19">
            <v>3.73</v>
          </cell>
          <cell r="AA19">
            <v>3.73</v>
          </cell>
        </row>
        <row r="20">
          <cell r="A20">
            <v>10011</v>
          </cell>
          <cell r="B20" t="str">
            <v>BC C2 STARTER GARNISH SHAVED RADISH 100G</v>
          </cell>
          <cell r="C20">
            <v>1</v>
          </cell>
          <cell r="O20">
            <v>0.64816499999999999</v>
          </cell>
          <cell r="P20">
            <v>0.69029572499999992</v>
          </cell>
          <cell r="Q20">
            <v>2.5</v>
          </cell>
          <cell r="R20">
            <v>1</v>
          </cell>
          <cell r="S20">
            <v>0.42</v>
          </cell>
          <cell r="T20">
            <v>1.05</v>
          </cell>
          <cell r="U20">
            <v>1.740295725</v>
          </cell>
          <cell r="V20">
            <v>0.13</v>
          </cell>
          <cell r="W20">
            <v>0.13</v>
          </cell>
          <cell r="X20">
            <v>0.7800341692499998</v>
          </cell>
          <cell r="Y20">
            <v>1.1865000000000001</v>
          </cell>
          <cell r="Z20">
            <v>1.97</v>
          </cell>
          <cell r="AA20">
            <v>1.97</v>
          </cell>
        </row>
        <row r="21">
          <cell r="A21">
            <v>10012</v>
          </cell>
          <cell r="B21" t="str">
            <v xml:space="preserve">BC C3 STARTER GARNISH DILL </v>
          </cell>
          <cell r="C21">
            <v>1</v>
          </cell>
          <cell r="O21">
            <v>0.17879999999999999</v>
          </cell>
          <cell r="P21">
            <v>0.19042199999999998</v>
          </cell>
          <cell r="Q21">
            <v>0.5</v>
          </cell>
          <cell r="R21">
            <v>1</v>
          </cell>
          <cell r="S21">
            <v>0.42</v>
          </cell>
          <cell r="T21">
            <v>0.21</v>
          </cell>
          <cell r="U21">
            <v>0.40042199999999994</v>
          </cell>
          <cell r="V21">
            <v>0.13</v>
          </cell>
          <cell r="W21">
            <v>0.13</v>
          </cell>
          <cell r="X21">
            <v>0.21517685999999997</v>
          </cell>
          <cell r="Y21">
            <v>0.23729999999999998</v>
          </cell>
          <cell r="Z21">
            <v>0.46</v>
          </cell>
          <cell r="AA21">
            <v>0.46</v>
          </cell>
        </row>
        <row r="22">
          <cell r="A22">
            <v>10013</v>
          </cell>
          <cell r="B22" t="str">
            <v>BC C2 HM A MEAT GRILLED BEEF TENDERLOIN, SMOKED TOMATO JAM, FINGERLING POTATOES, ASPARAGUS</v>
          </cell>
          <cell r="C22">
            <v>1</v>
          </cell>
          <cell r="O22">
            <v>8.2119</v>
          </cell>
          <cell r="P22">
            <v>8.7456734999999988</v>
          </cell>
          <cell r="Q22">
            <v>8</v>
          </cell>
          <cell r="R22">
            <v>1</v>
          </cell>
          <cell r="S22">
            <v>0.42</v>
          </cell>
          <cell r="T22">
            <v>3.36</v>
          </cell>
          <cell r="U22">
            <v>12.105673499999998</v>
          </cell>
          <cell r="V22">
            <v>0.13</v>
          </cell>
          <cell r="W22">
            <v>0.13</v>
          </cell>
          <cell r="X22">
            <v>9.8826110549999981</v>
          </cell>
          <cell r="Y22">
            <v>3.7967999999999997</v>
          </cell>
          <cell r="Z22">
            <v>13.68</v>
          </cell>
          <cell r="AA22">
            <v>13.68</v>
          </cell>
        </row>
        <row r="23">
          <cell r="A23">
            <v>10014</v>
          </cell>
          <cell r="B23" t="str">
            <v>BC C3 HM A MEAT SMOKED BRAISED SHORT RIB, BBQ JUS, MASHED POTATOES, GREEN BEANS, CHERRY TOMATOES</v>
          </cell>
          <cell r="C23">
            <v>1</v>
          </cell>
          <cell r="O23">
            <v>9.8042999999999996</v>
          </cell>
          <cell r="P23">
            <v>10.4415795</v>
          </cell>
          <cell r="Q23">
            <v>6</v>
          </cell>
          <cell r="R23">
            <v>1</v>
          </cell>
          <cell r="S23">
            <v>0.42</v>
          </cell>
          <cell r="T23">
            <v>2.52</v>
          </cell>
          <cell r="U23">
            <v>12.961579499999999</v>
          </cell>
          <cell r="V23">
            <v>0.13</v>
          </cell>
          <cell r="W23">
            <v>0.13</v>
          </cell>
          <cell r="X23">
            <v>11.798984834999999</v>
          </cell>
          <cell r="Y23">
            <v>2.8475999999999999</v>
          </cell>
          <cell r="Z23">
            <v>14.65</v>
          </cell>
          <cell r="AA23">
            <v>14.65</v>
          </cell>
        </row>
        <row r="24">
          <cell r="A24">
            <v>10015</v>
          </cell>
          <cell r="B24" t="str">
            <v>BC C2 HM C POULTRY LEMON CHICKEN LEG CONFIT, WILD MUSHROOM CONSERVA, MASH POTATOES, BABY CARROT</v>
          </cell>
          <cell r="C24">
            <v>1</v>
          </cell>
          <cell r="O24">
            <v>4.0870829999999998</v>
          </cell>
          <cell r="P24">
            <v>4.3527433949999992</v>
          </cell>
          <cell r="Q24">
            <v>6.5</v>
          </cell>
          <cell r="R24">
            <v>1</v>
          </cell>
          <cell r="S24">
            <v>0.42</v>
          </cell>
          <cell r="T24">
            <v>2.73</v>
          </cell>
          <cell r="U24">
            <v>7.0827433949999996</v>
          </cell>
          <cell r="V24">
            <v>0.13</v>
          </cell>
          <cell r="W24">
            <v>0.13</v>
          </cell>
          <cell r="X24">
            <v>4.9186000363499982</v>
          </cell>
          <cell r="Y24">
            <v>3.0849000000000002</v>
          </cell>
          <cell r="Z24">
            <v>8.01</v>
          </cell>
          <cell r="AA24">
            <v>8.01</v>
          </cell>
        </row>
        <row r="25">
          <cell r="A25">
            <v>10016</v>
          </cell>
          <cell r="B25" t="str">
            <v>BC C3 HM C POULTRY ROAST LEMON CHICKEN LEG QUARTER, PICCATA SAUCE, FINGERLING POTATO, BROCCOLINI, YELLOW SQUASH</v>
          </cell>
          <cell r="C25">
            <v>1</v>
          </cell>
          <cell r="O25">
            <v>1.7091000000000001</v>
          </cell>
          <cell r="P25">
            <v>1.8201915</v>
          </cell>
          <cell r="Q25">
            <v>6.5</v>
          </cell>
          <cell r="R25">
            <v>1</v>
          </cell>
          <cell r="S25">
            <v>0.42</v>
          </cell>
          <cell r="T25">
            <v>2.73</v>
          </cell>
          <cell r="U25">
            <v>4.5501915000000004</v>
          </cell>
          <cell r="V25">
            <v>0.13</v>
          </cell>
          <cell r="W25">
            <v>0.13</v>
          </cell>
          <cell r="X25">
            <v>2.0568163949999998</v>
          </cell>
          <cell r="Y25">
            <v>3.0849000000000002</v>
          </cell>
          <cell r="Z25">
            <v>5.1499999999999995</v>
          </cell>
          <cell r="AA25">
            <v>5.1499999999999995</v>
          </cell>
        </row>
        <row r="26">
          <cell r="A26">
            <v>10017</v>
          </cell>
          <cell r="B26" t="str">
            <v>BC C2 HM D VEG PASTA MAMI SMOKED MOZZERELLA RAVIOLI 25GX4, POMODRINI SAUCE, BUFFALA MOZZARELLA, BROCCOLINI</v>
          </cell>
          <cell r="C26">
            <v>1</v>
          </cell>
          <cell r="O26">
            <v>3.9450599999999998</v>
          </cell>
          <cell r="P26">
            <v>4.2014888999999993</v>
          </cell>
          <cell r="Q26">
            <v>4</v>
          </cell>
          <cell r="R26">
            <v>1</v>
          </cell>
          <cell r="S26">
            <v>0.42</v>
          </cell>
          <cell r="T26">
            <v>1.68</v>
          </cell>
          <cell r="U26">
            <v>5.881488899999999</v>
          </cell>
          <cell r="V26">
            <v>0.13</v>
          </cell>
          <cell r="W26">
            <v>0.13</v>
          </cell>
          <cell r="X26">
            <v>4.7476824569999989</v>
          </cell>
          <cell r="Y26">
            <v>1.8983999999999999</v>
          </cell>
          <cell r="Z26">
            <v>6.6499999999999995</v>
          </cell>
          <cell r="AA26">
            <v>6.6499999999999995</v>
          </cell>
        </row>
        <row r="27">
          <cell r="A27">
            <v>10018</v>
          </cell>
          <cell r="B27" t="str">
            <v>BC C3 HM D VEG PASTA MAMI WILD MUSHROOM TORTELLINI, TRUFFLE CREAM SAUCE, CONFIT WILD MUSHROOM, CHERRY TOMATO</v>
          </cell>
          <cell r="C27">
            <v>1</v>
          </cell>
          <cell r="O27">
            <v>5.4461000000000004</v>
          </cell>
          <cell r="P27">
            <v>5.8000965000000004</v>
          </cell>
          <cell r="Q27">
            <v>4</v>
          </cell>
          <cell r="R27">
            <v>1</v>
          </cell>
          <cell r="S27">
            <v>0.42</v>
          </cell>
          <cell r="T27">
            <v>1.68</v>
          </cell>
          <cell r="U27">
            <v>7.4800965000000001</v>
          </cell>
          <cell r="V27">
            <v>0.13</v>
          </cell>
          <cell r="W27">
            <v>0.13</v>
          </cell>
          <cell r="X27">
            <v>6.5541090449999997</v>
          </cell>
          <cell r="Y27">
            <v>1.8983999999999999</v>
          </cell>
          <cell r="Z27">
            <v>8.4599999999999991</v>
          </cell>
          <cell r="AA27">
            <v>8.4599999999999991</v>
          </cell>
        </row>
        <row r="28">
          <cell r="A28">
            <v>10019</v>
          </cell>
          <cell r="B28" t="str">
            <v>BC HM GARNISH MICRO GREEN 90G</v>
          </cell>
          <cell r="C28">
            <v>1</v>
          </cell>
          <cell r="O28">
            <v>8.1460050000000006</v>
          </cell>
          <cell r="P28">
            <v>8.675495325</v>
          </cell>
          <cell r="Q28">
            <v>2</v>
          </cell>
          <cell r="R28">
            <v>1</v>
          </cell>
          <cell r="S28">
            <v>0.42</v>
          </cell>
          <cell r="T28">
            <v>0.84</v>
          </cell>
          <cell r="U28">
            <v>9.5154953249999998</v>
          </cell>
          <cell r="V28">
            <v>0.13</v>
          </cell>
          <cell r="W28">
            <v>0.13</v>
          </cell>
          <cell r="X28">
            <v>9.8033097172499986</v>
          </cell>
          <cell r="Y28">
            <v>0.94919999999999993</v>
          </cell>
          <cell r="Z28">
            <v>10.76</v>
          </cell>
          <cell r="AA28">
            <v>10.76</v>
          </cell>
        </row>
        <row r="29">
          <cell r="A29">
            <v>10020</v>
          </cell>
          <cell r="B29" t="str">
            <v>BC C2 DE CHEESE THOMASVILLE TOMME AND BRIE</v>
          </cell>
          <cell r="C29">
            <v>1</v>
          </cell>
          <cell r="O29">
            <v>2.3929499999999999</v>
          </cell>
          <cell r="P29">
            <v>2.5484917499999997</v>
          </cell>
          <cell r="Q29">
            <v>2</v>
          </cell>
          <cell r="R29">
            <v>1</v>
          </cell>
          <cell r="S29">
            <v>0.42</v>
          </cell>
          <cell r="T29">
            <v>0.84</v>
          </cell>
          <cell r="U29">
            <v>3.3884917499999996</v>
          </cell>
          <cell r="V29">
            <v>0.13</v>
          </cell>
          <cell r="W29">
            <v>0.13</v>
          </cell>
          <cell r="X29">
            <v>2.8797956774999993</v>
          </cell>
          <cell r="Y29">
            <v>0.94919999999999993</v>
          </cell>
          <cell r="Z29">
            <v>3.8299999999999996</v>
          </cell>
          <cell r="AA29">
            <v>3.8299999999999996</v>
          </cell>
        </row>
        <row r="30">
          <cell r="A30">
            <v>10021</v>
          </cell>
          <cell r="B30" t="str">
            <v>BC C3 DE CHEESE GREEN HILL, GEORGIA GOUDA</v>
          </cell>
          <cell r="C30">
            <v>1</v>
          </cell>
          <cell r="O30">
            <v>2.9392</v>
          </cell>
          <cell r="P30">
            <v>3.1302479999999999</v>
          </cell>
          <cell r="Q30">
            <v>2</v>
          </cell>
          <cell r="R30">
            <v>1</v>
          </cell>
          <cell r="S30">
            <v>0.42</v>
          </cell>
          <cell r="T30">
            <v>0.84</v>
          </cell>
          <cell r="U30">
            <v>3.9702479999999998</v>
          </cell>
          <cell r="V30">
            <v>0.13</v>
          </cell>
          <cell r="W30">
            <v>0.13</v>
          </cell>
          <cell r="X30">
            <v>3.5371802399999996</v>
          </cell>
          <cell r="Y30">
            <v>0.94919999999999993</v>
          </cell>
          <cell r="Z30">
            <v>4.49</v>
          </cell>
          <cell r="AA30">
            <v>4.49</v>
          </cell>
        </row>
        <row r="31">
          <cell r="A31">
            <v>10022</v>
          </cell>
          <cell r="B31" t="str">
            <v>BC C2 DE CAKE BANANA PUDDING CHEESECAKE WITH STRUSEL CRUMBLE AND BLUEBERRIES</v>
          </cell>
          <cell r="C31">
            <v>1</v>
          </cell>
          <cell r="O31">
            <v>0.75904499999999997</v>
          </cell>
          <cell r="P31">
            <v>0.80838292499999997</v>
          </cell>
          <cell r="Q31">
            <v>2.5</v>
          </cell>
          <cell r="R31">
            <v>1</v>
          </cell>
          <cell r="S31">
            <v>0.42</v>
          </cell>
          <cell r="T31">
            <v>1.05</v>
          </cell>
          <cell r="U31">
            <v>1.8583829249999999</v>
          </cell>
          <cell r="V31">
            <v>0.13</v>
          </cell>
          <cell r="W31">
            <v>0.13</v>
          </cell>
          <cell r="X31">
            <v>0.91347270524999991</v>
          </cell>
          <cell r="Y31">
            <v>1.1865000000000001</v>
          </cell>
          <cell r="Z31">
            <v>2.0999999999999996</v>
          </cell>
          <cell r="AA31">
            <v>2.0999999999999996</v>
          </cell>
        </row>
        <row r="32">
          <cell r="A32">
            <v>10023</v>
          </cell>
          <cell r="B32" t="str">
            <v xml:space="preserve">BC C3 DE CAKE CHOCOLATE MOUSSE CAKE </v>
          </cell>
          <cell r="C32">
            <v>1</v>
          </cell>
          <cell r="O32">
            <v>0.4168</v>
          </cell>
          <cell r="P32">
            <v>0.44389200000000001</v>
          </cell>
          <cell r="Q32">
            <v>2.25</v>
          </cell>
          <cell r="R32">
            <v>1</v>
          </cell>
          <cell r="S32">
            <v>0.42</v>
          </cell>
          <cell r="T32">
            <v>0.94499999999999995</v>
          </cell>
          <cell r="U32">
            <v>1.388892</v>
          </cell>
          <cell r="V32">
            <v>0.13</v>
          </cell>
          <cell r="W32">
            <v>0.13</v>
          </cell>
          <cell r="X32">
            <v>0.50159796000000001</v>
          </cell>
          <cell r="Y32">
            <v>1.06785</v>
          </cell>
          <cell r="Z32">
            <v>1.57</v>
          </cell>
          <cell r="AA32">
            <v>1.57</v>
          </cell>
        </row>
        <row r="33">
          <cell r="A33">
            <v>10024</v>
          </cell>
          <cell r="B33" t="str">
            <v>BC C2 DE CAKE GARNISH RHUN CARAMEL 200G</v>
          </cell>
          <cell r="C33">
            <v>1</v>
          </cell>
          <cell r="O33">
            <v>4.6589549999999997</v>
          </cell>
          <cell r="P33">
            <v>4.9617870749999993</v>
          </cell>
          <cell r="Q33">
            <v>2</v>
          </cell>
          <cell r="R33">
            <v>1</v>
          </cell>
          <cell r="S33">
            <v>0.42</v>
          </cell>
          <cell r="T33">
            <v>0.84</v>
          </cell>
          <cell r="U33">
            <v>5.8017870749999991</v>
          </cell>
          <cell r="V33">
            <v>0.13</v>
          </cell>
          <cell r="W33">
            <v>0.13</v>
          </cell>
          <cell r="X33">
            <v>5.6068193947499987</v>
          </cell>
          <cell r="Y33">
            <v>0.94919999999999993</v>
          </cell>
          <cell r="Z33">
            <v>6.56</v>
          </cell>
          <cell r="AA33">
            <v>6.56</v>
          </cell>
        </row>
        <row r="34">
          <cell r="A34">
            <v>10025</v>
          </cell>
          <cell r="B34" t="str">
            <v>BC C3 DE CAKE GARNISH STRAWBERRY COULIS</v>
          </cell>
          <cell r="C34">
            <v>1</v>
          </cell>
          <cell r="O34">
            <v>5.6899999999999999E-2</v>
          </cell>
          <cell r="P34">
            <v>6.0598499999999993E-2</v>
          </cell>
          <cell r="Q34">
            <v>1</v>
          </cell>
          <cell r="R34">
            <v>1</v>
          </cell>
          <cell r="S34">
            <v>0.42</v>
          </cell>
          <cell r="T34">
            <v>0.42</v>
          </cell>
          <cell r="U34">
            <v>0.48059849999999998</v>
          </cell>
          <cell r="V34">
            <v>0.13</v>
          </cell>
          <cell r="W34">
            <v>0.13</v>
          </cell>
          <cell r="X34">
            <v>6.8476304999999987E-2</v>
          </cell>
          <cell r="Y34">
            <v>0.47459999999999997</v>
          </cell>
          <cell r="Z34">
            <v>0.55000000000000004</v>
          </cell>
          <cell r="AA34">
            <v>0.55000000000000004</v>
          </cell>
        </row>
        <row r="35">
          <cell r="A35">
            <v>10026</v>
          </cell>
          <cell r="B35" t="str">
            <v>BC C2 DE FRUIT GRAPE, HONEYDEW, CANTALOUPE, WATERMELON</v>
          </cell>
          <cell r="C35">
            <v>1</v>
          </cell>
          <cell r="O35">
            <v>2.4089</v>
          </cell>
          <cell r="P35">
            <v>2.5654784999999998</v>
          </cell>
          <cell r="Q35">
            <v>3.5</v>
          </cell>
          <cell r="R35">
            <v>1</v>
          </cell>
          <cell r="S35">
            <v>0.42</v>
          </cell>
          <cell r="T35">
            <v>1.47</v>
          </cell>
          <cell r="U35">
            <v>4.0354785</v>
          </cell>
          <cell r="V35">
            <v>0.13</v>
          </cell>
          <cell r="W35">
            <v>0.13</v>
          </cell>
          <cell r="X35">
            <v>2.8989907049999997</v>
          </cell>
          <cell r="Y35">
            <v>1.6611</v>
          </cell>
          <cell r="Z35">
            <v>4.5699999999999994</v>
          </cell>
          <cell r="AA35">
            <v>4.5699999999999994</v>
          </cell>
        </row>
        <row r="36">
          <cell r="A36">
            <v>10027</v>
          </cell>
          <cell r="B36" t="str">
            <v>BC C3 DE FRUIT BLUEBERRIES, STRABERRIES,PINEAPPLE, KIWI</v>
          </cell>
          <cell r="C36">
            <v>1</v>
          </cell>
          <cell r="O36">
            <v>2.8367</v>
          </cell>
          <cell r="P36">
            <v>3.0210854999999999</v>
          </cell>
          <cell r="Q36">
            <v>3.5</v>
          </cell>
          <cell r="R36">
            <v>1</v>
          </cell>
          <cell r="S36">
            <v>0.42</v>
          </cell>
          <cell r="T36">
            <v>1.47</v>
          </cell>
          <cell r="U36">
            <v>4.4910854999999996</v>
          </cell>
          <cell r="V36">
            <v>0.13</v>
          </cell>
          <cell r="W36">
            <v>0.13</v>
          </cell>
          <cell r="X36">
            <v>3.4138266149999996</v>
          </cell>
          <cell r="Y36">
            <v>1.6611</v>
          </cell>
          <cell r="Z36">
            <v>5.08</v>
          </cell>
          <cell r="AA36">
            <v>5.08</v>
          </cell>
        </row>
        <row r="37">
          <cell r="A37">
            <v>10028</v>
          </cell>
          <cell r="B37" t="str">
            <v>BC BRD TYPE 1 HERB SOURDOUGH 30G AND MULTIGRAIN CHEESE ROLL 40G</v>
          </cell>
          <cell r="C37">
            <v>1</v>
          </cell>
          <cell r="O37">
            <v>1.05</v>
          </cell>
          <cell r="P37">
            <v>1.11825</v>
          </cell>
          <cell r="Q37">
            <v>1</v>
          </cell>
          <cell r="R37">
            <v>1</v>
          </cell>
          <cell r="S37">
            <v>0.42</v>
          </cell>
          <cell r="T37">
            <v>0.42</v>
          </cell>
          <cell r="U37">
            <v>1.5382499999999999</v>
          </cell>
          <cell r="V37">
            <v>0.13</v>
          </cell>
          <cell r="W37">
            <v>0.13</v>
          </cell>
          <cell r="X37">
            <v>1.2636224999999999</v>
          </cell>
          <cell r="Y37">
            <v>0.47459999999999997</v>
          </cell>
          <cell r="Z37">
            <v>1.74</v>
          </cell>
          <cell r="AA37">
            <v>1.74</v>
          </cell>
        </row>
        <row r="38">
          <cell r="A38">
            <v>10029</v>
          </cell>
          <cell r="B38" t="str">
            <v>BC BRD BREAKFAST SIX GRAIN BREAD ROLL 40G AND MINI BAGEL 40G</v>
          </cell>
          <cell r="C38">
            <v>1</v>
          </cell>
          <cell r="O38">
            <v>0.75019999999999998</v>
          </cell>
          <cell r="P38">
            <v>0.79896299999999998</v>
          </cell>
          <cell r="Q38">
            <v>1</v>
          </cell>
          <cell r="R38">
            <v>1</v>
          </cell>
          <cell r="S38">
            <v>0.42</v>
          </cell>
          <cell r="T38">
            <v>0.42</v>
          </cell>
          <cell r="U38">
            <v>1.218963</v>
          </cell>
          <cell r="V38">
            <v>0.13</v>
          </cell>
          <cell r="W38">
            <v>0.13</v>
          </cell>
          <cell r="X38">
            <v>0.90282818999999992</v>
          </cell>
          <cell r="Y38">
            <v>0.47459999999999997</v>
          </cell>
          <cell r="Z38">
            <v>1.3800000000000001</v>
          </cell>
          <cell r="AA38">
            <v>1.3800000000000001</v>
          </cell>
        </row>
        <row r="39">
          <cell r="A39">
            <v>10030</v>
          </cell>
          <cell r="B39" t="str">
            <v>BC BRD TYPE 3 ARTISAN BAGUETTE</v>
          </cell>
          <cell r="C39">
            <v>1</v>
          </cell>
          <cell r="O39">
            <v>2.27</v>
          </cell>
          <cell r="P39">
            <v>2.4175499999999999</v>
          </cell>
          <cell r="Q39">
            <v>0.2</v>
          </cell>
          <cell r="R39">
            <v>1</v>
          </cell>
          <cell r="S39">
            <v>0.42</v>
          </cell>
          <cell r="T39">
            <v>8.4000000000000005E-2</v>
          </cell>
          <cell r="U39">
            <v>2.5015499999999999</v>
          </cell>
          <cell r="V39">
            <v>0.13</v>
          </cell>
          <cell r="W39">
            <v>0.13</v>
          </cell>
          <cell r="X39">
            <v>2.7318314999999997</v>
          </cell>
          <cell r="Y39">
            <v>9.4920000000000004E-2</v>
          </cell>
          <cell r="Z39">
            <v>2.8299999999999996</v>
          </cell>
          <cell r="AA39">
            <v>2.8299999999999996</v>
          </cell>
        </row>
        <row r="40">
          <cell r="A40">
            <v>10031</v>
          </cell>
          <cell r="B40" t="str">
            <v>BC BRD C2 CROISSANT MINI</v>
          </cell>
          <cell r="C40">
            <v>1</v>
          </cell>
          <cell r="O40">
            <v>0.59</v>
          </cell>
          <cell r="P40">
            <v>0.62834999999999996</v>
          </cell>
          <cell r="Q40">
            <v>0.6</v>
          </cell>
          <cell r="R40">
            <v>1</v>
          </cell>
          <cell r="S40">
            <v>0.42</v>
          </cell>
          <cell r="T40">
            <v>0.252</v>
          </cell>
          <cell r="U40">
            <v>0.88034999999999997</v>
          </cell>
          <cell r="V40">
            <v>0.13</v>
          </cell>
          <cell r="W40">
            <v>0.13</v>
          </cell>
          <cell r="X40">
            <v>0.71003549999999993</v>
          </cell>
          <cell r="Y40">
            <v>0.28476000000000001</v>
          </cell>
          <cell r="Z40">
            <v>1</v>
          </cell>
          <cell r="AA40">
            <v>1</v>
          </cell>
        </row>
        <row r="41">
          <cell r="A41">
            <v>10032</v>
          </cell>
          <cell r="B41" t="str">
            <v>BC BRD C3 MINI CHOCOLATE CROISSANT</v>
          </cell>
          <cell r="C41">
            <v>1</v>
          </cell>
          <cell r="O41">
            <v>0.59</v>
          </cell>
          <cell r="P41">
            <v>0.62834999999999996</v>
          </cell>
          <cell r="Q41">
            <v>0.2</v>
          </cell>
          <cell r="R41">
            <v>1</v>
          </cell>
          <cell r="S41">
            <v>0.42</v>
          </cell>
          <cell r="T41">
            <v>8.4000000000000005E-2</v>
          </cell>
          <cell r="U41">
            <v>0.71234999999999993</v>
          </cell>
          <cell r="V41">
            <v>0.13</v>
          </cell>
          <cell r="W41">
            <v>0.13</v>
          </cell>
          <cell r="X41">
            <v>0.71003549999999993</v>
          </cell>
          <cell r="Y41">
            <v>9.4920000000000004E-2</v>
          </cell>
          <cell r="Z41">
            <v>0.81</v>
          </cell>
          <cell r="AA41">
            <v>0.81</v>
          </cell>
        </row>
        <row r="42">
          <cell r="A42">
            <v>10033</v>
          </cell>
          <cell r="B42" t="str">
            <v>BC C2 COLD CUT CHIVE CREAM CHEESE, GEORGIA GOUDA, HAM, PROSUITTO, GREEN LEAF LETTUCE, CUCUMBER, BABY PEPPER</v>
          </cell>
          <cell r="C42">
            <v>1</v>
          </cell>
          <cell r="O42">
            <v>3.5973039999999998</v>
          </cell>
          <cell r="P42">
            <v>3.8311287599999995</v>
          </cell>
          <cell r="Q42">
            <v>3</v>
          </cell>
          <cell r="R42">
            <v>1</v>
          </cell>
          <cell r="S42">
            <v>0.42</v>
          </cell>
          <cell r="T42">
            <v>1.26</v>
          </cell>
          <cell r="U42">
            <v>5.0911287599999993</v>
          </cell>
          <cell r="V42">
            <v>0.13</v>
          </cell>
          <cell r="W42">
            <v>0.13</v>
          </cell>
          <cell r="X42">
            <v>4.3291754987999989</v>
          </cell>
          <cell r="Y42">
            <v>1.4238</v>
          </cell>
          <cell r="Z42">
            <v>5.76</v>
          </cell>
          <cell r="AA42">
            <v>5.76</v>
          </cell>
        </row>
        <row r="43">
          <cell r="A43">
            <v>10034</v>
          </cell>
          <cell r="B43" t="str">
            <v>BC C3 COLD CUT VEGGIE CREAM CHEESE, GEORGIA GOUDA, CHORIZO, HAMON SERRANO, SPINACH, CUCUMBER, CHERRY TOMATO</v>
          </cell>
          <cell r="C43">
            <v>1</v>
          </cell>
          <cell r="O43">
            <v>2.3607999999999998</v>
          </cell>
          <cell r="P43">
            <v>2.5142519999999995</v>
          </cell>
          <cell r="Q43">
            <v>3</v>
          </cell>
          <cell r="R43">
            <v>1</v>
          </cell>
          <cell r="S43">
            <v>0.42</v>
          </cell>
          <cell r="T43">
            <v>1.26</v>
          </cell>
          <cell r="U43">
            <v>3.7742519999999997</v>
          </cell>
          <cell r="V43">
            <v>0.13</v>
          </cell>
          <cell r="W43">
            <v>0.13</v>
          </cell>
          <cell r="X43">
            <v>2.841104759999999</v>
          </cell>
          <cell r="Y43">
            <v>1.4238</v>
          </cell>
          <cell r="Z43">
            <v>4.2699999999999996</v>
          </cell>
          <cell r="AA43">
            <v>4.2699999999999996</v>
          </cell>
        </row>
        <row r="44">
          <cell r="A44">
            <v>10035</v>
          </cell>
          <cell r="B44" t="str">
            <v>BC C2 BRK FRUIT COCONUT CHIA OVERNIGHT OAT, MANGO, BLUEBERRIES</v>
          </cell>
          <cell r="C44">
            <v>1</v>
          </cell>
          <cell r="O44">
            <v>0.85900500000000002</v>
          </cell>
          <cell r="P44">
            <v>0.91484032500000001</v>
          </cell>
          <cell r="Q44">
            <v>2.25</v>
          </cell>
          <cell r="R44">
            <v>1</v>
          </cell>
          <cell r="S44">
            <v>0.42</v>
          </cell>
          <cell r="T44">
            <v>0.94499999999999995</v>
          </cell>
          <cell r="U44">
            <v>1.859840325</v>
          </cell>
          <cell r="V44">
            <v>0.13</v>
          </cell>
          <cell r="W44">
            <v>0.13</v>
          </cell>
          <cell r="X44">
            <v>1.03376956725</v>
          </cell>
          <cell r="Y44">
            <v>1.06785</v>
          </cell>
          <cell r="Z44">
            <v>2.11</v>
          </cell>
          <cell r="AA44">
            <v>2.11</v>
          </cell>
        </row>
        <row r="45">
          <cell r="A45">
            <v>10036</v>
          </cell>
          <cell r="B45" t="str">
            <v>BC C3 BRK FRUIT COCONUT OVERNIGHT OATS, TOASTED SEE GRANOLA, MANGO PINEAPPLE COMPOTE, BLUEBERRY</v>
          </cell>
          <cell r="C45">
            <v>1</v>
          </cell>
          <cell r="O45">
            <v>0.80369999999999997</v>
          </cell>
          <cell r="P45">
            <v>0.85594049999999988</v>
          </cell>
          <cell r="Q45">
            <v>3</v>
          </cell>
          <cell r="R45">
            <v>1</v>
          </cell>
          <cell r="S45">
            <v>0.42</v>
          </cell>
          <cell r="T45">
            <v>1.26</v>
          </cell>
          <cell r="U45">
            <v>2.1159404999999998</v>
          </cell>
          <cell r="V45">
            <v>0.13</v>
          </cell>
          <cell r="W45">
            <v>0.13</v>
          </cell>
          <cell r="X45">
            <v>0.96721276499999975</v>
          </cell>
          <cell r="Y45">
            <v>1.4238</v>
          </cell>
          <cell r="Z45">
            <v>2.4</v>
          </cell>
          <cell r="AA45">
            <v>2.4</v>
          </cell>
        </row>
        <row r="46">
          <cell r="A46">
            <v>10037</v>
          </cell>
          <cell r="B46" t="str">
            <v>BC C2 YOGURT VANILLA GREEK YOGURT CHOBANI 4OZ</v>
          </cell>
          <cell r="C46">
            <v>1</v>
          </cell>
          <cell r="O46">
            <v>0.83</v>
          </cell>
          <cell r="P46">
            <v>0.8839499999999999</v>
          </cell>
          <cell r="Q46">
            <v>0.25</v>
          </cell>
          <cell r="R46">
            <v>1</v>
          </cell>
          <cell r="S46">
            <v>0.42</v>
          </cell>
          <cell r="T46">
            <v>0.105</v>
          </cell>
          <cell r="U46">
            <v>0.98894999999999988</v>
          </cell>
          <cell r="V46">
            <v>0.13</v>
          </cell>
          <cell r="W46">
            <v>0.13</v>
          </cell>
          <cell r="X46">
            <v>0.99886349999999979</v>
          </cell>
          <cell r="Y46">
            <v>0.11864999999999999</v>
          </cell>
          <cell r="Z46">
            <v>1.1200000000000001</v>
          </cell>
          <cell r="AA46">
            <v>1.1200000000000001</v>
          </cell>
        </row>
        <row r="47">
          <cell r="A47">
            <v>10038</v>
          </cell>
          <cell r="B47" t="str">
            <v>BC C3 YOGURT BLUEBERRY GREEK YOGURT CHOBANI 4OZ</v>
          </cell>
          <cell r="C47">
            <v>1</v>
          </cell>
          <cell r="O47">
            <v>0.83</v>
          </cell>
          <cell r="P47">
            <v>0.8839499999999999</v>
          </cell>
          <cell r="Q47">
            <v>0.25</v>
          </cell>
          <cell r="R47">
            <v>1</v>
          </cell>
          <cell r="S47">
            <v>0.42</v>
          </cell>
          <cell r="T47">
            <v>0.105</v>
          </cell>
          <cell r="U47">
            <v>0.98894999999999988</v>
          </cell>
          <cell r="V47">
            <v>0.13</v>
          </cell>
          <cell r="W47">
            <v>0.13</v>
          </cell>
          <cell r="X47">
            <v>0.99886349999999979</v>
          </cell>
          <cell r="Y47">
            <v>0.11864999999999999</v>
          </cell>
          <cell r="Z47">
            <v>1.1200000000000001</v>
          </cell>
          <cell r="AA47">
            <v>1.1200000000000001</v>
          </cell>
        </row>
        <row r="48">
          <cell r="A48">
            <v>10039</v>
          </cell>
          <cell r="B48" t="str">
            <v>DELETED</v>
          </cell>
          <cell r="C48">
            <v>1</v>
          </cell>
          <cell r="R48">
            <v>1</v>
          </cell>
          <cell r="S48">
            <v>0.42</v>
          </cell>
          <cell r="T48">
            <v>0</v>
          </cell>
          <cell r="U48">
            <v>0</v>
          </cell>
          <cell r="V48">
            <v>0.13</v>
          </cell>
          <cell r="W48">
            <v>0.13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</row>
        <row r="49">
          <cell r="A49">
            <v>10040</v>
          </cell>
          <cell r="B49" t="str">
            <v>BC C3 SW CIABATTA BREAD, ROASTED EGGPLANT, RED PEPPER HALVES, BASIL PESTO HUMMUS</v>
          </cell>
          <cell r="C49">
            <v>1</v>
          </cell>
          <cell r="O49">
            <v>1.2811999999999999</v>
          </cell>
          <cell r="P49">
            <v>1.3644779999999999</v>
          </cell>
          <cell r="Q49">
            <v>2</v>
          </cell>
          <cell r="R49">
            <v>1</v>
          </cell>
          <cell r="S49">
            <v>0.42</v>
          </cell>
          <cell r="T49">
            <v>0.84</v>
          </cell>
          <cell r="U49">
            <v>2.2044779999999999</v>
          </cell>
          <cell r="V49">
            <v>0.13</v>
          </cell>
          <cell r="W49">
            <v>0.13</v>
          </cell>
          <cell r="X49">
            <v>1.5418601399999996</v>
          </cell>
          <cell r="Y49">
            <v>0.94919999999999993</v>
          </cell>
          <cell r="Z49">
            <v>2.5</v>
          </cell>
          <cell r="AA49">
            <v>2.5</v>
          </cell>
        </row>
        <row r="50">
          <cell r="A50">
            <v>10041</v>
          </cell>
          <cell r="B50" t="str">
            <v xml:space="preserve">PY TSU </v>
          </cell>
          <cell r="C50">
            <v>1</v>
          </cell>
          <cell r="O50">
            <v>0</v>
          </cell>
          <cell r="P50">
            <v>0</v>
          </cell>
          <cell r="Q50">
            <v>2</v>
          </cell>
          <cell r="R50">
            <v>1</v>
          </cell>
          <cell r="S50">
            <v>0.42</v>
          </cell>
          <cell r="T50">
            <v>0.84</v>
          </cell>
          <cell r="U50">
            <v>0.84</v>
          </cell>
          <cell r="V50">
            <v>0.13</v>
          </cell>
          <cell r="W50">
            <v>0.13</v>
          </cell>
          <cell r="X50">
            <v>0</v>
          </cell>
          <cell r="Y50">
            <v>0.94919999999999993</v>
          </cell>
          <cell r="Z50">
            <v>0.95</v>
          </cell>
          <cell r="AA50">
            <v>0.95</v>
          </cell>
        </row>
        <row r="51">
          <cell r="A51">
            <v>10042</v>
          </cell>
          <cell r="B51" t="str">
            <v xml:space="preserve">PY C2 STARTER PASTRAMI, FARRO SALAD, </v>
          </cell>
          <cell r="C51">
            <v>1</v>
          </cell>
          <cell r="O51">
            <v>0.55807499999999999</v>
          </cell>
          <cell r="P51">
            <v>0.59434987499999992</v>
          </cell>
          <cell r="Q51">
            <v>1.25</v>
          </cell>
          <cell r="R51">
            <v>1</v>
          </cell>
          <cell r="S51">
            <v>0.42</v>
          </cell>
          <cell r="T51">
            <v>0.52500000000000002</v>
          </cell>
          <cell r="U51">
            <v>1.1193498749999999</v>
          </cell>
          <cell r="V51">
            <v>0.13</v>
          </cell>
          <cell r="W51">
            <v>0.13</v>
          </cell>
          <cell r="X51">
            <v>0.67161535874999989</v>
          </cell>
          <cell r="Y51">
            <v>0.59325000000000006</v>
          </cell>
          <cell r="Z51">
            <v>1.27</v>
          </cell>
          <cell r="AA51">
            <v>1.27</v>
          </cell>
        </row>
        <row r="52">
          <cell r="A52">
            <v>10043</v>
          </cell>
          <cell r="B52" t="str">
            <v>PY C3 STARTER TURKEY SLICE, QUINOA LENTIL SALD, FENNEL SLAW</v>
          </cell>
          <cell r="C52">
            <v>1</v>
          </cell>
          <cell r="O52">
            <v>0.89319999999999999</v>
          </cell>
          <cell r="P52">
            <v>0.95125799999999994</v>
          </cell>
          <cell r="Q52">
            <v>1.5</v>
          </cell>
          <cell r="R52">
            <v>1</v>
          </cell>
          <cell r="S52">
            <v>0.42</v>
          </cell>
          <cell r="T52">
            <v>0.63</v>
          </cell>
          <cell r="U52">
            <v>1.5812580000000001</v>
          </cell>
          <cell r="V52">
            <v>0.13</v>
          </cell>
          <cell r="W52">
            <v>0.13</v>
          </cell>
          <cell r="X52">
            <v>1.0749215399999998</v>
          </cell>
          <cell r="Y52">
            <v>0.71189999999999998</v>
          </cell>
          <cell r="Z52">
            <v>1.79</v>
          </cell>
          <cell r="AA52">
            <v>1.79</v>
          </cell>
        </row>
        <row r="53">
          <cell r="A53">
            <v>10044</v>
          </cell>
          <cell r="B53" t="str">
            <v xml:space="preserve">PY C2 HM A FISH COD ALMONDINE, TARRAGON CREAM SAUCE, WILD RICE PILAF, ROASTED CAULIFLOWER, CHERRY TOAMTO </v>
          </cell>
          <cell r="C53">
            <v>1</v>
          </cell>
          <cell r="O53">
            <v>3.407915</v>
          </cell>
          <cell r="P53">
            <v>3.6294294749999998</v>
          </cell>
          <cell r="Q53">
            <v>7</v>
          </cell>
          <cell r="R53">
            <v>1</v>
          </cell>
          <cell r="S53">
            <v>0.42</v>
          </cell>
          <cell r="T53">
            <v>2.94</v>
          </cell>
          <cell r="U53">
            <v>6.5694294749999997</v>
          </cell>
          <cell r="V53">
            <v>0.13</v>
          </cell>
          <cell r="W53">
            <v>0.13</v>
          </cell>
          <cell r="X53">
            <v>4.1012553067499997</v>
          </cell>
          <cell r="Y53">
            <v>3.3222</v>
          </cell>
          <cell r="Z53">
            <v>7.43</v>
          </cell>
          <cell r="AA53">
            <v>7.43</v>
          </cell>
        </row>
        <row r="54">
          <cell r="A54">
            <v>10045</v>
          </cell>
          <cell r="B54" t="str">
            <v>PY C3 HM A FISH SEABASS, BOULLABAISE SAUCE, SAFFRON COUSCOU, ROASTED SUMMER VEGETABLES</v>
          </cell>
          <cell r="C54">
            <v>1</v>
          </cell>
          <cell r="O54">
            <v>6.7454999999999998</v>
          </cell>
          <cell r="P54">
            <v>7.1839574999999991</v>
          </cell>
          <cell r="Q54">
            <v>7</v>
          </cell>
          <cell r="R54">
            <v>1</v>
          </cell>
          <cell r="S54">
            <v>0.42</v>
          </cell>
          <cell r="T54">
            <v>2.94</v>
          </cell>
          <cell r="U54">
            <v>10.123957499999999</v>
          </cell>
          <cell r="V54">
            <v>0.13</v>
          </cell>
          <cell r="W54">
            <v>0.13</v>
          </cell>
          <cell r="X54">
            <v>8.1178719749999981</v>
          </cell>
          <cell r="Y54">
            <v>3.3222</v>
          </cell>
          <cell r="Z54">
            <v>11.45</v>
          </cell>
          <cell r="AA54">
            <v>11.45</v>
          </cell>
        </row>
        <row r="55">
          <cell r="A55">
            <v>10046</v>
          </cell>
          <cell r="B55" t="str">
            <v>PY C2 HM B MEAT ROASTED CHICKEN THIGH WITH TRUFFLE CREAM SAUCE, SPINACH WITH GARLIC, MASH POTATOES, AND BABY CARROT</v>
          </cell>
          <cell r="C55">
            <v>1</v>
          </cell>
          <cell r="O55">
            <v>1.9219577999999999</v>
          </cell>
          <cell r="P55">
            <v>2.0468850569999999</v>
          </cell>
          <cell r="Q55">
            <v>6.5</v>
          </cell>
          <cell r="R55">
            <v>1</v>
          </cell>
          <cell r="S55">
            <v>0.42</v>
          </cell>
          <cell r="T55">
            <v>2.73</v>
          </cell>
          <cell r="U55">
            <v>4.7768850569999994</v>
          </cell>
          <cell r="V55">
            <v>0.13</v>
          </cell>
          <cell r="W55">
            <v>0.13</v>
          </cell>
          <cell r="X55">
            <v>2.3129801144099997</v>
          </cell>
          <cell r="Y55">
            <v>3.0849000000000002</v>
          </cell>
          <cell r="Z55">
            <v>5.3999999999999995</v>
          </cell>
          <cell r="AA55">
            <v>5.3999999999999995</v>
          </cell>
        </row>
        <row r="56">
          <cell r="A56">
            <v>10047</v>
          </cell>
          <cell r="B56" t="str">
            <v>PY C3 HM B POULTRY ROAST LEMON CHICKEN LEG QUARTER, PICCATA SAUCE, FINGERLING POTATO, BROCCOLINI</v>
          </cell>
          <cell r="C56">
            <v>1</v>
          </cell>
          <cell r="O56">
            <v>1.2591000000000001</v>
          </cell>
          <cell r="P56">
            <v>1.3409415</v>
          </cell>
          <cell r="Q56">
            <v>6.5</v>
          </cell>
          <cell r="R56">
            <v>1</v>
          </cell>
          <cell r="S56">
            <v>0.42</v>
          </cell>
          <cell r="T56">
            <v>2.73</v>
          </cell>
          <cell r="U56">
            <v>4.0709415</v>
          </cell>
          <cell r="V56">
            <v>0.13</v>
          </cell>
          <cell r="W56">
            <v>0.13</v>
          </cell>
          <cell r="X56">
            <v>1.5152638949999999</v>
          </cell>
          <cell r="Y56">
            <v>3.0849000000000002</v>
          </cell>
          <cell r="Z56">
            <v>4.6099999999999994</v>
          </cell>
          <cell r="AA56">
            <v>4.6099999999999994</v>
          </cell>
        </row>
        <row r="57">
          <cell r="A57">
            <v>10048</v>
          </cell>
          <cell r="B57" t="str">
            <v>PY C2 DE PEACH COBBLER TART, BLACKBERRY PASTRY CREAM</v>
          </cell>
          <cell r="C57">
            <v>1</v>
          </cell>
          <cell r="O57">
            <v>0.70833000000000002</v>
          </cell>
          <cell r="P57">
            <v>0.75437144999999994</v>
          </cell>
          <cell r="Q57">
            <v>2.25</v>
          </cell>
          <cell r="R57">
            <v>1</v>
          </cell>
          <cell r="S57">
            <v>0.42</v>
          </cell>
          <cell r="T57">
            <v>0.94499999999999995</v>
          </cell>
          <cell r="U57">
            <v>1.6993714499999999</v>
          </cell>
          <cell r="V57">
            <v>0.13</v>
          </cell>
          <cell r="W57">
            <v>0.13</v>
          </cell>
          <cell r="X57">
            <v>0.85243973849999988</v>
          </cell>
          <cell r="Y57">
            <v>1.06785</v>
          </cell>
          <cell r="Z57">
            <v>1.93</v>
          </cell>
          <cell r="AA57">
            <v>1.93</v>
          </cell>
        </row>
        <row r="58">
          <cell r="A58">
            <v>10049</v>
          </cell>
          <cell r="B58" t="str">
            <v>PY C3 DE LEMON BLUEBERRY CHEESE CAKE, STRAWBERRY QUARTER, BLUEBERRY</v>
          </cell>
          <cell r="C58">
            <v>1</v>
          </cell>
          <cell r="O58">
            <v>0.72</v>
          </cell>
          <cell r="P58">
            <v>0.76679999999999993</v>
          </cell>
          <cell r="Q58">
            <v>2.5</v>
          </cell>
          <cell r="R58">
            <v>1</v>
          </cell>
          <cell r="S58">
            <v>0.42</v>
          </cell>
          <cell r="T58">
            <v>1.05</v>
          </cell>
          <cell r="U58">
            <v>1.8168</v>
          </cell>
          <cell r="V58">
            <v>0.13</v>
          </cell>
          <cell r="W58">
            <v>0.13</v>
          </cell>
          <cell r="X58">
            <v>0.86648399999999981</v>
          </cell>
          <cell r="Y58">
            <v>1.1865000000000001</v>
          </cell>
          <cell r="Z58">
            <v>2.0599999999999996</v>
          </cell>
          <cell r="AA58">
            <v>2.0599999999999996</v>
          </cell>
        </row>
        <row r="59">
          <cell r="A59">
            <v>10050</v>
          </cell>
          <cell r="B59" t="str">
            <v xml:space="preserve">PY BRD TYPE 1 SIX GRAIN ROLL </v>
          </cell>
          <cell r="C59">
            <v>1</v>
          </cell>
          <cell r="O59">
            <v>0.47249999999999998</v>
          </cell>
          <cell r="P59">
            <v>0.50321249999999995</v>
          </cell>
          <cell r="Q59">
            <v>0.5</v>
          </cell>
          <cell r="R59">
            <v>1</v>
          </cell>
          <cell r="S59">
            <v>0.42</v>
          </cell>
          <cell r="T59">
            <v>0.21</v>
          </cell>
          <cell r="U59">
            <v>0.71321249999999992</v>
          </cell>
          <cell r="V59">
            <v>0.13</v>
          </cell>
          <cell r="W59">
            <v>0.13</v>
          </cell>
          <cell r="X59">
            <v>0.56863012499999988</v>
          </cell>
          <cell r="Y59">
            <v>0.23729999999999998</v>
          </cell>
          <cell r="Z59">
            <v>0.81</v>
          </cell>
          <cell r="AA59">
            <v>0.81</v>
          </cell>
        </row>
        <row r="60">
          <cell r="A60">
            <v>10051</v>
          </cell>
          <cell r="B60" t="str">
            <v xml:space="preserve">PY BRD TYPE 1 MULTIGRAIN BEER AND CHEESE ROLL </v>
          </cell>
          <cell r="C60">
            <v>1</v>
          </cell>
          <cell r="O60">
            <v>0.6</v>
          </cell>
          <cell r="P60">
            <v>0.6389999999999999</v>
          </cell>
          <cell r="Q60">
            <v>0.5</v>
          </cell>
          <cell r="R60">
            <v>1</v>
          </cell>
          <cell r="S60">
            <v>0.42</v>
          </cell>
          <cell r="T60">
            <v>0.21</v>
          </cell>
          <cell r="U60">
            <v>0.84899999999999987</v>
          </cell>
          <cell r="V60">
            <v>0.13</v>
          </cell>
          <cell r="W60">
            <v>0.13</v>
          </cell>
          <cell r="X60">
            <v>0.72206999999999977</v>
          </cell>
          <cell r="Y60">
            <v>0.23729999999999998</v>
          </cell>
          <cell r="Z60">
            <v>0.96</v>
          </cell>
          <cell r="AA60">
            <v>0.96</v>
          </cell>
        </row>
        <row r="61">
          <cell r="A61">
            <v>10052</v>
          </cell>
          <cell r="B61" t="str">
            <v>PY C2 BREAKFAST PLATE HAM, GEORGIA GOUDA, EGG, CHERRY TOMATO, GREEN LEAF LETTUCE, CANTALOUPE AND HONEYDEW</v>
          </cell>
          <cell r="C61">
            <v>1</v>
          </cell>
          <cell r="O61">
            <v>1.3892500000000001</v>
          </cell>
          <cell r="P61">
            <v>1.4795512500000001</v>
          </cell>
          <cell r="Q61">
            <v>2.75</v>
          </cell>
          <cell r="R61">
            <v>1</v>
          </cell>
          <cell r="S61">
            <v>0.42</v>
          </cell>
          <cell r="T61">
            <v>1.155</v>
          </cell>
          <cell r="U61">
            <v>2.6345512500000003</v>
          </cell>
          <cell r="V61">
            <v>0.13</v>
          </cell>
          <cell r="W61">
            <v>0.13</v>
          </cell>
          <cell r="X61">
            <v>1.6718929124999999</v>
          </cell>
          <cell r="Y61">
            <v>1.30515</v>
          </cell>
          <cell r="Z61">
            <v>2.98</v>
          </cell>
          <cell r="AA61">
            <v>2.98</v>
          </cell>
        </row>
        <row r="62">
          <cell r="A62">
            <v>10053</v>
          </cell>
          <cell r="B62" t="str">
            <v>PY C3 BREAKFAST PLATE CORNED BEEF, SWISS CHEESE, EGG, CHERRY TOMATO, MESCLUN, ORANGE WHEEL, STRAWBERRY, BLUEBERRY</v>
          </cell>
          <cell r="C62">
            <v>1</v>
          </cell>
          <cell r="O62">
            <v>1.3340000000000001</v>
          </cell>
          <cell r="P62">
            <v>1.4207099999999999</v>
          </cell>
          <cell r="Q62">
            <v>2.5</v>
          </cell>
          <cell r="R62">
            <v>1</v>
          </cell>
          <cell r="S62">
            <v>0.42</v>
          </cell>
          <cell r="T62">
            <v>1.05</v>
          </cell>
          <cell r="U62">
            <v>2.47071</v>
          </cell>
          <cell r="V62">
            <v>0.13</v>
          </cell>
          <cell r="W62">
            <v>0.13</v>
          </cell>
          <cell r="X62">
            <v>1.6054022999999997</v>
          </cell>
          <cell r="Y62">
            <v>1.1865000000000001</v>
          </cell>
          <cell r="Z62">
            <v>2.8</v>
          </cell>
          <cell r="AA62">
            <v>2.8</v>
          </cell>
        </row>
        <row r="63">
          <cell r="A63">
            <v>10054</v>
          </cell>
          <cell r="B63" t="str">
            <v>YC TSU</v>
          </cell>
          <cell r="C63">
            <v>1</v>
          </cell>
          <cell r="O63">
            <v>0</v>
          </cell>
          <cell r="P63">
            <v>0</v>
          </cell>
          <cell r="Q63">
            <v>0.93</v>
          </cell>
          <cell r="R63">
            <v>1</v>
          </cell>
          <cell r="S63">
            <v>0.42</v>
          </cell>
          <cell r="T63">
            <v>0.3906</v>
          </cell>
          <cell r="U63">
            <v>0.3906</v>
          </cell>
          <cell r="V63">
            <v>0.13</v>
          </cell>
          <cell r="W63">
            <v>0.13</v>
          </cell>
          <cell r="X63">
            <v>0</v>
          </cell>
          <cell r="Y63">
            <v>0.44137799999999999</v>
          </cell>
          <cell r="Z63">
            <v>0.45</v>
          </cell>
          <cell r="AA63">
            <v>0.45</v>
          </cell>
        </row>
        <row r="64">
          <cell r="A64">
            <v>10055</v>
          </cell>
          <cell r="B64" t="str">
            <v xml:space="preserve">YC C2 SALAD MESCLUN GREEN, CUCUMBER SLICE, SHREDDED CARROT, BOCCANCINI MOZZARELLA BALL </v>
          </cell>
          <cell r="C64">
            <v>1</v>
          </cell>
          <cell r="O64">
            <v>0.42359999999999998</v>
          </cell>
          <cell r="P64">
            <v>0.45113399999999998</v>
          </cell>
          <cell r="Q64">
            <v>1</v>
          </cell>
          <cell r="R64">
            <v>1</v>
          </cell>
          <cell r="S64">
            <v>0.42</v>
          </cell>
          <cell r="T64">
            <v>0.42</v>
          </cell>
          <cell r="U64">
            <v>0.87113399999999996</v>
          </cell>
          <cell r="V64">
            <v>0.13</v>
          </cell>
          <cell r="W64">
            <v>0.13</v>
          </cell>
          <cell r="X64">
            <v>0.50978141999999993</v>
          </cell>
          <cell r="Y64">
            <v>0.47459999999999997</v>
          </cell>
          <cell r="Z64">
            <v>0.99</v>
          </cell>
          <cell r="AA64">
            <v>0.99</v>
          </cell>
        </row>
        <row r="65">
          <cell r="A65">
            <v>10056</v>
          </cell>
          <cell r="B65" t="str">
            <v xml:space="preserve">YC C3 SALAD BABY ARUGULA, STRAWBERRY, FETA </v>
          </cell>
          <cell r="C65">
            <v>1</v>
          </cell>
          <cell r="O65">
            <v>0.41320000000000001</v>
          </cell>
          <cell r="P65">
            <v>0.440058</v>
          </cell>
          <cell r="Q65">
            <v>1</v>
          </cell>
          <cell r="R65">
            <v>1</v>
          </cell>
          <cell r="S65">
            <v>0.42</v>
          </cell>
          <cell r="T65">
            <v>0.42</v>
          </cell>
          <cell r="U65">
            <v>0.86005799999999999</v>
          </cell>
          <cell r="V65">
            <v>0.13</v>
          </cell>
          <cell r="W65">
            <v>0.13</v>
          </cell>
          <cell r="X65">
            <v>0.49726553999999995</v>
          </cell>
          <cell r="Y65">
            <v>0.47459999999999997</v>
          </cell>
          <cell r="Z65">
            <v>0.98</v>
          </cell>
          <cell r="AA65">
            <v>0.98</v>
          </cell>
        </row>
        <row r="66">
          <cell r="A66">
            <v>10057</v>
          </cell>
          <cell r="B66" t="str">
            <v>YC C2 HM B ROASTED CHICKEN THIGH WITH TRUFFLE CREAM SAUCE, SPINACH WITH GARLIC, MASH POTATOES, AND BABY CARROT</v>
          </cell>
          <cell r="C66">
            <v>1</v>
          </cell>
          <cell r="O66">
            <v>1.9219577999999999</v>
          </cell>
          <cell r="P66">
            <v>2.0468850569999999</v>
          </cell>
          <cell r="Q66">
            <v>6.5</v>
          </cell>
          <cell r="R66">
            <v>1</v>
          </cell>
          <cell r="S66">
            <v>0.42</v>
          </cell>
          <cell r="T66">
            <v>2.73</v>
          </cell>
          <cell r="U66">
            <v>4.7768850569999994</v>
          </cell>
          <cell r="V66">
            <v>0.13</v>
          </cell>
          <cell r="W66">
            <v>0.13</v>
          </cell>
          <cell r="X66">
            <v>2.3129801144099997</v>
          </cell>
          <cell r="Y66">
            <v>3.0849000000000002</v>
          </cell>
          <cell r="Z66">
            <v>5.3999999999999995</v>
          </cell>
          <cell r="AA66">
            <v>5.3999999999999995</v>
          </cell>
        </row>
        <row r="67">
          <cell r="A67">
            <v>10058</v>
          </cell>
          <cell r="B67" t="str">
            <v>YC C3 HM B BBQ CHICKEN THIGH, BBQ SAUCE, GREEN BEANS, MASH POTATOES</v>
          </cell>
          <cell r="C67">
            <v>1</v>
          </cell>
          <cell r="O67">
            <v>1.5295999999999998</v>
          </cell>
          <cell r="P67">
            <v>1.6290239999999998</v>
          </cell>
          <cell r="Q67">
            <v>5</v>
          </cell>
          <cell r="R67">
            <v>1</v>
          </cell>
          <cell r="S67">
            <v>0.42</v>
          </cell>
          <cell r="T67">
            <v>2.1</v>
          </cell>
          <cell r="U67">
            <v>3.7290239999999999</v>
          </cell>
          <cell r="V67">
            <v>0.13</v>
          </cell>
          <cell r="W67">
            <v>0.13</v>
          </cell>
          <cell r="X67">
            <v>1.8407971199999995</v>
          </cell>
          <cell r="Y67">
            <v>2.3730000000000002</v>
          </cell>
          <cell r="Z67">
            <v>4.22</v>
          </cell>
          <cell r="AA67">
            <v>4.22</v>
          </cell>
        </row>
        <row r="68">
          <cell r="A68">
            <v>10059</v>
          </cell>
          <cell r="B68" t="str">
            <v>YC C2 DE STRAWBERRY MOUSSE, WHITE CHOCOLATE CURLS</v>
          </cell>
          <cell r="C68">
            <v>1</v>
          </cell>
          <cell r="O68">
            <v>0.55330000000000001</v>
          </cell>
          <cell r="P68">
            <v>0.58926449999999997</v>
          </cell>
          <cell r="Q68">
            <v>1</v>
          </cell>
          <cell r="R68">
            <v>1</v>
          </cell>
          <cell r="S68">
            <v>0.42</v>
          </cell>
          <cell r="T68">
            <v>0.42</v>
          </cell>
          <cell r="U68">
            <v>1.0092645</v>
          </cell>
          <cell r="V68">
            <v>0.13</v>
          </cell>
          <cell r="W68">
            <v>0.13</v>
          </cell>
          <cell r="X68">
            <v>0.66586888499999985</v>
          </cell>
          <cell r="Y68">
            <v>0.47459999999999997</v>
          </cell>
          <cell r="Z68">
            <v>1.1499999999999999</v>
          </cell>
          <cell r="AA68">
            <v>1.1499999999999999</v>
          </cell>
        </row>
        <row r="69">
          <cell r="A69">
            <v>10060</v>
          </cell>
          <cell r="B69" t="str">
            <v>YC C3 DE PASSION FRUIT MOUSSE, BLUEBERRY COULIS</v>
          </cell>
          <cell r="C69">
            <v>1</v>
          </cell>
          <cell r="O69">
            <v>0.39500000000000002</v>
          </cell>
          <cell r="P69">
            <v>0.42067500000000002</v>
          </cell>
          <cell r="Q69">
            <v>1</v>
          </cell>
          <cell r="R69">
            <v>1</v>
          </cell>
          <cell r="S69">
            <v>0.42</v>
          </cell>
          <cell r="T69">
            <v>0.42</v>
          </cell>
          <cell r="U69">
            <v>0.84067500000000006</v>
          </cell>
          <cell r="V69">
            <v>0.13</v>
          </cell>
          <cell r="W69">
            <v>0.13</v>
          </cell>
          <cell r="X69">
            <v>0.47536275</v>
          </cell>
          <cell r="Y69">
            <v>0.47459999999999997</v>
          </cell>
          <cell r="Z69">
            <v>0.95</v>
          </cell>
          <cell r="AA69">
            <v>0.95</v>
          </cell>
        </row>
        <row r="70">
          <cell r="A70">
            <v>10061</v>
          </cell>
          <cell r="B70" t="str">
            <v xml:space="preserve">YC C2 BRD TYPE 1 HONEY WHEAT ROLL </v>
          </cell>
          <cell r="C70">
            <v>1</v>
          </cell>
          <cell r="O70">
            <v>0.15</v>
          </cell>
          <cell r="P70">
            <v>0.15974999999999998</v>
          </cell>
          <cell r="Q70">
            <v>0.2</v>
          </cell>
          <cell r="R70">
            <v>1</v>
          </cell>
          <cell r="S70">
            <v>0.42</v>
          </cell>
          <cell r="T70">
            <v>8.4000000000000005E-2</v>
          </cell>
          <cell r="U70">
            <v>0.24374999999999997</v>
          </cell>
          <cell r="V70">
            <v>0.13</v>
          </cell>
          <cell r="W70">
            <v>0.13</v>
          </cell>
          <cell r="X70">
            <v>0.18051749999999994</v>
          </cell>
          <cell r="Y70">
            <v>9.4920000000000004E-2</v>
          </cell>
          <cell r="Z70">
            <v>0.28000000000000003</v>
          </cell>
          <cell r="AA70">
            <v>0.28000000000000003</v>
          </cell>
        </row>
        <row r="71">
          <cell r="A71">
            <v>10062</v>
          </cell>
          <cell r="B71" t="str">
            <v xml:space="preserve">YC C3 BRD TYPE 2 WHEAT POTATO ROLL </v>
          </cell>
          <cell r="C71">
            <v>1</v>
          </cell>
          <cell r="O71">
            <v>0.15</v>
          </cell>
          <cell r="P71">
            <v>0.15974999999999998</v>
          </cell>
          <cell r="Q71">
            <v>0.2</v>
          </cell>
          <cell r="R71">
            <v>1</v>
          </cell>
          <cell r="S71">
            <v>0.42</v>
          </cell>
          <cell r="T71">
            <v>8.4000000000000005E-2</v>
          </cell>
          <cell r="U71">
            <v>0.24374999999999997</v>
          </cell>
          <cell r="V71">
            <v>0.13</v>
          </cell>
          <cell r="W71">
            <v>0.13</v>
          </cell>
          <cell r="X71">
            <v>0.18051749999999994</v>
          </cell>
          <cell r="Y71">
            <v>9.4920000000000004E-2</v>
          </cell>
          <cell r="Z71">
            <v>0.28000000000000003</v>
          </cell>
          <cell r="AA71">
            <v>0.28000000000000003</v>
          </cell>
        </row>
        <row r="72">
          <cell r="A72">
            <v>10063</v>
          </cell>
          <cell r="B72" t="str">
            <v xml:space="preserve">YC C2 JUICE CUP APPLE JUICE </v>
          </cell>
          <cell r="C72">
            <v>1</v>
          </cell>
          <cell r="O72">
            <v>0.4</v>
          </cell>
          <cell r="P72">
            <v>0.42599999999999999</v>
          </cell>
          <cell r="Q72">
            <v>0.2</v>
          </cell>
          <cell r="R72">
            <v>1</v>
          </cell>
          <cell r="S72">
            <v>0.42</v>
          </cell>
          <cell r="T72">
            <v>8.4000000000000005E-2</v>
          </cell>
          <cell r="U72">
            <v>0.51</v>
          </cell>
          <cell r="V72">
            <v>0.13</v>
          </cell>
          <cell r="W72">
            <v>0.13</v>
          </cell>
          <cell r="X72">
            <v>0.48137999999999992</v>
          </cell>
          <cell r="Y72">
            <v>9.4920000000000004E-2</v>
          </cell>
          <cell r="Z72">
            <v>0.57999999999999996</v>
          </cell>
          <cell r="AA72">
            <v>0.57999999999999996</v>
          </cell>
        </row>
        <row r="73">
          <cell r="A73">
            <v>10064</v>
          </cell>
          <cell r="B73" t="str">
            <v xml:space="preserve">YC C3 JUICE CUP CRANBERRY JUICE </v>
          </cell>
          <cell r="C73">
            <v>1</v>
          </cell>
          <cell r="O73">
            <v>0.4</v>
          </cell>
          <cell r="P73">
            <v>0.42599999999999999</v>
          </cell>
          <cell r="Q73">
            <v>0.2</v>
          </cell>
          <cell r="R73">
            <v>1</v>
          </cell>
          <cell r="S73">
            <v>0.42</v>
          </cell>
          <cell r="T73">
            <v>8.4000000000000005E-2</v>
          </cell>
          <cell r="U73">
            <v>0.51</v>
          </cell>
          <cell r="V73">
            <v>0.13</v>
          </cell>
          <cell r="W73">
            <v>0.13</v>
          </cell>
          <cell r="X73">
            <v>0.48137999999999992</v>
          </cell>
          <cell r="Y73">
            <v>9.4920000000000004E-2</v>
          </cell>
          <cell r="Z73">
            <v>0.57999999999999996</v>
          </cell>
          <cell r="AA73">
            <v>0.57999999999999996</v>
          </cell>
        </row>
        <row r="74">
          <cell r="A74">
            <v>10065</v>
          </cell>
          <cell r="B74" t="str">
            <v>YC C2 SW NOMINATED SANDWICH (COST PASS THROUGH)</v>
          </cell>
          <cell r="C74">
            <v>1</v>
          </cell>
          <cell r="O74">
            <v>0</v>
          </cell>
          <cell r="P74">
            <v>0</v>
          </cell>
          <cell r="Q74">
            <v>1</v>
          </cell>
          <cell r="R74">
            <v>1</v>
          </cell>
          <cell r="S74">
            <v>0.42</v>
          </cell>
          <cell r="T74">
            <v>0.42</v>
          </cell>
          <cell r="U74">
            <v>0.42</v>
          </cell>
          <cell r="V74">
            <v>0.13</v>
          </cell>
          <cell r="W74">
            <v>0.13</v>
          </cell>
          <cell r="X74">
            <v>0</v>
          </cell>
          <cell r="Y74">
            <v>0.47459999999999997</v>
          </cell>
          <cell r="Z74">
            <v>0.48</v>
          </cell>
          <cell r="AA74">
            <v>0.48</v>
          </cell>
        </row>
        <row r="75">
          <cell r="A75">
            <v>10066</v>
          </cell>
          <cell r="B75" t="str">
            <v xml:space="preserve">YC C3 SW BUTTERMILK BISCUIT, TURKEY SAUSAGE PATTY, AMERICAN CHEESE SLICE </v>
          </cell>
          <cell r="C75">
            <v>1</v>
          </cell>
          <cell r="O75">
            <v>0.82250000000000001</v>
          </cell>
          <cell r="P75">
            <v>0.87596249999999998</v>
          </cell>
          <cell r="Q75">
            <v>1.75</v>
          </cell>
          <cell r="R75">
            <v>1</v>
          </cell>
          <cell r="S75">
            <v>0.42</v>
          </cell>
          <cell r="T75">
            <v>0.73499999999999999</v>
          </cell>
          <cell r="U75">
            <v>1.6109624999999999</v>
          </cell>
          <cell r="V75">
            <v>0.13</v>
          </cell>
          <cell r="W75">
            <v>0.13</v>
          </cell>
          <cell r="X75">
            <v>0.98983762499999983</v>
          </cell>
          <cell r="Y75">
            <v>0.83055000000000001</v>
          </cell>
          <cell r="Z75">
            <v>1.83</v>
          </cell>
          <cell r="AA75">
            <v>1.83</v>
          </cell>
        </row>
        <row r="76">
          <cell r="A76">
            <v>10067</v>
          </cell>
          <cell r="B76" t="str">
            <v>DECK CREW TSU</v>
          </cell>
          <cell r="C76">
            <v>1</v>
          </cell>
          <cell r="O76">
            <v>0</v>
          </cell>
          <cell r="P76">
            <v>0</v>
          </cell>
          <cell r="Q76">
            <v>1</v>
          </cell>
          <cell r="R76">
            <v>1</v>
          </cell>
          <cell r="S76">
            <v>0.42</v>
          </cell>
          <cell r="T76">
            <v>0.42</v>
          </cell>
          <cell r="U76">
            <v>0.42</v>
          </cell>
          <cell r="V76">
            <v>0.13</v>
          </cell>
          <cell r="W76">
            <v>0.13</v>
          </cell>
          <cell r="X76">
            <v>0</v>
          </cell>
          <cell r="Y76">
            <v>0.47459999999999997</v>
          </cell>
          <cell r="Z76">
            <v>0.48</v>
          </cell>
          <cell r="AA76">
            <v>0.48</v>
          </cell>
        </row>
        <row r="77">
          <cell r="A77">
            <v>10068</v>
          </cell>
          <cell r="B77" t="str">
            <v>CABIN CREW TSU</v>
          </cell>
          <cell r="C77">
            <v>1</v>
          </cell>
          <cell r="O77">
            <v>0</v>
          </cell>
          <cell r="P77">
            <v>0</v>
          </cell>
          <cell r="Q77">
            <v>1</v>
          </cell>
          <cell r="R77">
            <v>1</v>
          </cell>
          <cell r="S77">
            <v>0.42</v>
          </cell>
          <cell r="T77">
            <v>0.42</v>
          </cell>
          <cell r="U77">
            <v>0.42</v>
          </cell>
          <cell r="V77">
            <v>0.13</v>
          </cell>
          <cell r="W77">
            <v>0.13</v>
          </cell>
          <cell r="X77">
            <v>0</v>
          </cell>
          <cell r="Y77">
            <v>0.47459999999999997</v>
          </cell>
          <cell r="Z77">
            <v>0.48</v>
          </cell>
          <cell r="AA77">
            <v>0.48</v>
          </cell>
        </row>
        <row r="78">
          <cell r="A78">
            <v>10069</v>
          </cell>
          <cell r="B78" t="str">
            <v>BC BRD TYPE 1 KISS ROLL</v>
          </cell>
          <cell r="C78">
            <v>1</v>
          </cell>
          <cell r="O78">
            <v>0.9</v>
          </cell>
          <cell r="P78">
            <v>0.95850000000000002</v>
          </cell>
          <cell r="Q78">
            <v>2</v>
          </cell>
          <cell r="R78">
            <v>1</v>
          </cell>
          <cell r="S78">
            <v>0.42</v>
          </cell>
          <cell r="T78">
            <v>0.84</v>
          </cell>
          <cell r="U78">
            <v>1.7985</v>
          </cell>
          <cell r="V78">
            <v>0.13</v>
          </cell>
          <cell r="W78">
            <v>0.13</v>
          </cell>
          <cell r="X78">
            <v>1.083105</v>
          </cell>
          <cell r="Y78">
            <v>0.94919999999999993</v>
          </cell>
          <cell r="Z78">
            <v>2.0399999999999996</v>
          </cell>
          <cell r="AA78">
            <v>2.0399999999999996</v>
          </cell>
        </row>
        <row r="79">
          <cell r="A79">
            <v>10070</v>
          </cell>
          <cell r="B79" t="str">
            <v>PY/YC BUTTER</v>
          </cell>
          <cell r="C79">
            <v>1</v>
          </cell>
          <cell r="O79">
            <v>0.11</v>
          </cell>
          <cell r="P79">
            <v>0.11714999999999999</v>
          </cell>
          <cell r="Q79">
            <v>0.2</v>
          </cell>
          <cell r="R79">
            <v>1</v>
          </cell>
          <cell r="S79">
            <v>0.42</v>
          </cell>
          <cell r="T79">
            <v>8.4000000000000005E-2</v>
          </cell>
          <cell r="U79">
            <v>0.20115</v>
          </cell>
          <cell r="V79">
            <v>0.13</v>
          </cell>
          <cell r="W79">
            <v>0.13</v>
          </cell>
          <cell r="X79">
            <v>0.13237949999999998</v>
          </cell>
          <cell r="Y79">
            <v>9.4920000000000004E-2</v>
          </cell>
          <cell r="Z79">
            <v>0.23</v>
          </cell>
          <cell r="AA79">
            <v>0.23</v>
          </cell>
        </row>
        <row r="80">
          <cell r="A80">
            <v>10071</v>
          </cell>
          <cell r="B80" t="str">
            <v>CREW TSU</v>
          </cell>
          <cell r="C80">
            <v>1</v>
          </cell>
          <cell r="O80">
            <v>0</v>
          </cell>
          <cell r="P80">
            <v>0</v>
          </cell>
          <cell r="Q80">
            <v>1</v>
          </cell>
          <cell r="R80">
            <v>1</v>
          </cell>
          <cell r="S80">
            <v>0.42</v>
          </cell>
          <cell r="T80">
            <v>0.42</v>
          </cell>
          <cell r="U80">
            <v>0.42</v>
          </cell>
          <cell r="V80">
            <v>0.13</v>
          </cell>
          <cell r="W80">
            <v>0.13</v>
          </cell>
          <cell r="X80">
            <v>0</v>
          </cell>
          <cell r="Y80">
            <v>0.47459999999999997</v>
          </cell>
          <cell r="Z80">
            <v>0.48</v>
          </cell>
          <cell r="AA80">
            <v>0.48</v>
          </cell>
        </row>
        <row r="81">
          <cell r="A81">
            <v>10072</v>
          </cell>
          <cell r="B81" t="str">
            <v>CREW BUTTER</v>
          </cell>
          <cell r="C81">
            <v>1</v>
          </cell>
          <cell r="O81">
            <v>0.11</v>
          </cell>
          <cell r="P81">
            <v>0.11714999999999999</v>
          </cell>
          <cell r="Q81">
            <v>0.2</v>
          </cell>
          <cell r="R81">
            <v>1</v>
          </cell>
          <cell r="S81">
            <v>0.42</v>
          </cell>
          <cell r="T81">
            <v>8.4000000000000005E-2</v>
          </cell>
          <cell r="U81">
            <v>0.20115</v>
          </cell>
          <cell r="V81">
            <v>0.13</v>
          </cell>
          <cell r="W81">
            <v>0.13</v>
          </cell>
          <cell r="X81">
            <v>0.13237949999999998</v>
          </cell>
          <cell r="Y81">
            <v>9.4920000000000004E-2</v>
          </cell>
          <cell r="Z81">
            <v>0.23</v>
          </cell>
          <cell r="AA81">
            <v>0.23</v>
          </cell>
        </row>
        <row r="82">
          <cell r="A82">
            <v>10073</v>
          </cell>
          <cell r="B82" t="str">
            <v>CREW CUTLERY DISPOSAL</v>
          </cell>
          <cell r="C82">
            <v>1</v>
          </cell>
          <cell r="O82">
            <v>0.1</v>
          </cell>
          <cell r="P82">
            <v>0.1065</v>
          </cell>
          <cell r="Q82">
            <v>0.2</v>
          </cell>
          <cell r="R82">
            <v>1</v>
          </cell>
          <cell r="S82">
            <v>0.42</v>
          </cell>
          <cell r="T82">
            <v>8.4000000000000005E-2</v>
          </cell>
          <cell r="U82">
            <v>0.1905</v>
          </cell>
          <cell r="V82">
            <v>0.13</v>
          </cell>
          <cell r="W82">
            <v>0.13</v>
          </cell>
          <cell r="X82">
            <v>0.12034499999999998</v>
          </cell>
          <cell r="Y82">
            <v>9.4920000000000004E-2</v>
          </cell>
          <cell r="Z82">
            <v>0.22</v>
          </cell>
          <cell r="AA82">
            <v>0.22</v>
          </cell>
        </row>
        <row r="83">
          <cell r="A83">
            <v>10074</v>
          </cell>
          <cell r="B83" t="str">
            <v>CREW BREAD MILTIGRAIN</v>
          </cell>
          <cell r="C83">
            <v>1</v>
          </cell>
          <cell r="O83">
            <v>0.25</v>
          </cell>
          <cell r="P83">
            <v>0.26624999999999999</v>
          </cell>
          <cell r="Q83">
            <v>0.2</v>
          </cell>
          <cell r="R83">
            <v>1</v>
          </cell>
          <cell r="S83">
            <v>0.42</v>
          </cell>
          <cell r="T83">
            <v>8.4000000000000005E-2</v>
          </cell>
          <cell r="U83">
            <v>0.35025000000000001</v>
          </cell>
          <cell r="V83">
            <v>0.13</v>
          </cell>
          <cell r="W83">
            <v>0.13</v>
          </cell>
          <cell r="X83">
            <v>0.30086249999999998</v>
          </cell>
          <cell r="Y83">
            <v>9.4920000000000004E-2</v>
          </cell>
          <cell r="Z83">
            <v>0.4</v>
          </cell>
          <cell r="AA83">
            <v>0.4</v>
          </cell>
        </row>
        <row r="84">
          <cell r="A84">
            <v>10075</v>
          </cell>
          <cell r="B84" t="str">
            <v>CABIN CREW CM A - HAM, MAYO, RED PEPPER STRIP, ROMAIN LETTUCE, CIABATTA BREADCUMBER, MESCLUN MIX, PEMPERNICKEL ROLL POTATO SALAD</v>
          </cell>
          <cell r="C84">
            <v>1</v>
          </cell>
          <cell r="O84">
            <v>1.25569</v>
          </cell>
          <cell r="P84">
            <v>1.3373098499999998</v>
          </cell>
          <cell r="Q84">
            <v>2.75</v>
          </cell>
          <cell r="R84">
            <v>1</v>
          </cell>
          <cell r="S84">
            <v>0.42</v>
          </cell>
          <cell r="T84">
            <v>1.155</v>
          </cell>
          <cell r="U84">
            <v>2.4923098499999998</v>
          </cell>
          <cell r="V84">
            <v>0.13</v>
          </cell>
          <cell r="W84">
            <v>0.13</v>
          </cell>
          <cell r="X84">
            <v>1.5111601304999995</v>
          </cell>
          <cell r="Y84">
            <v>1.30515</v>
          </cell>
          <cell r="Z84">
            <v>2.82</v>
          </cell>
          <cell r="AA84">
            <v>2.82</v>
          </cell>
        </row>
        <row r="85">
          <cell r="A85">
            <v>10076</v>
          </cell>
          <cell r="B85" t="str">
            <v>CABIN CREW CM B - FRESH MOZZARELLA, PESTO MAYO, ROASTED TOMATO, BABY SPINACH, WHEAT TOLL, PASTA  PESTO SALAD</v>
          </cell>
          <cell r="C85">
            <v>1</v>
          </cell>
          <cell r="O85">
            <v>1.70129</v>
          </cell>
          <cell r="P85">
            <v>1.8118738499999998</v>
          </cell>
          <cell r="Q85">
            <v>2.75</v>
          </cell>
          <cell r="R85">
            <v>1</v>
          </cell>
          <cell r="S85">
            <v>0.42</v>
          </cell>
          <cell r="T85">
            <v>1.155</v>
          </cell>
          <cell r="U85">
            <v>2.9668738499999998</v>
          </cell>
          <cell r="V85">
            <v>0.13</v>
          </cell>
          <cell r="W85">
            <v>0.13</v>
          </cell>
          <cell r="X85">
            <v>2.0474174504999993</v>
          </cell>
          <cell r="Y85">
            <v>1.30515</v>
          </cell>
          <cell r="Z85">
            <v>3.36</v>
          </cell>
          <cell r="AA85">
            <v>3.36</v>
          </cell>
        </row>
        <row r="86">
          <cell r="A86">
            <v>10077</v>
          </cell>
          <cell r="B86" t="str">
            <v xml:space="preserve">DECK CREW CM SMOKE SALMON, GOUDA CHEESE SLICE, BABY SPINACH, PICKLED RED ONION, RED CHERRY TOMATO, CAPER, POTATO SALAD </v>
          </cell>
          <cell r="C86">
            <v>1</v>
          </cell>
          <cell r="O86">
            <v>1.69964</v>
          </cell>
          <cell r="P86">
            <v>1.8101166</v>
          </cell>
          <cell r="Q86">
            <v>2.75</v>
          </cell>
          <cell r="R86">
            <v>1</v>
          </cell>
          <cell r="S86">
            <v>0.42</v>
          </cell>
          <cell r="T86">
            <v>1.155</v>
          </cell>
          <cell r="U86">
            <v>2.9651166</v>
          </cell>
          <cell r="V86">
            <v>0.13</v>
          </cell>
          <cell r="W86">
            <v>0.13</v>
          </cell>
          <cell r="X86">
            <v>2.0454317579999999</v>
          </cell>
          <cell r="Y86">
            <v>1.30515</v>
          </cell>
          <cell r="Z86">
            <v>3.36</v>
          </cell>
          <cell r="AA86">
            <v>3.36</v>
          </cell>
        </row>
        <row r="87">
          <cell r="A87">
            <v>10078</v>
          </cell>
          <cell r="B87" t="str">
            <v>DECK CREW CM A PASTRAMI, GOUDA CHEESE, MESCLUN MIX, CHERRY TOMATO RED GRAPES, PASTA PESTO SALAD</v>
          </cell>
          <cell r="C87">
            <v>1</v>
          </cell>
          <cell r="O87">
            <v>1.3619600000000001</v>
          </cell>
          <cell r="P87">
            <v>1.4504874000000001</v>
          </cell>
          <cell r="Q87">
            <v>2.75</v>
          </cell>
          <cell r="R87">
            <v>1</v>
          </cell>
          <cell r="S87">
            <v>0.42</v>
          </cell>
          <cell r="T87">
            <v>1.155</v>
          </cell>
          <cell r="U87">
            <v>2.6054874000000003</v>
          </cell>
          <cell r="V87">
            <v>0.13</v>
          </cell>
          <cell r="W87">
            <v>0.13</v>
          </cell>
          <cell r="X87">
            <v>1.6390507619999999</v>
          </cell>
          <cell r="Y87">
            <v>1.30515</v>
          </cell>
          <cell r="Z87">
            <v>2.9499999999999997</v>
          </cell>
          <cell r="AA87">
            <v>2.9499999999999997</v>
          </cell>
        </row>
        <row r="88">
          <cell r="A88">
            <v>10079</v>
          </cell>
          <cell r="B88" t="str">
            <v>CREW VINAIGRETTE DRESSING</v>
          </cell>
          <cell r="C88">
            <v>1</v>
          </cell>
          <cell r="O88">
            <v>0.1</v>
          </cell>
          <cell r="P88">
            <v>0.1065</v>
          </cell>
          <cell r="Q88">
            <v>0.2</v>
          </cell>
          <cell r="R88">
            <v>1</v>
          </cell>
          <cell r="S88">
            <v>0.42</v>
          </cell>
          <cell r="T88">
            <v>8.4000000000000005E-2</v>
          </cell>
          <cell r="U88">
            <v>0.1905</v>
          </cell>
          <cell r="V88">
            <v>0.13</v>
          </cell>
          <cell r="W88">
            <v>0.13</v>
          </cell>
          <cell r="X88">
            <v>0.12034499999999998</v>
          </cell>
          <cell r="Y88">
            <v>9.4920000000000004E-2</v>
          </cell>
          <cell r="Z88">
            <v>0.22</v>
          </cell>
          <cell r="AA88">
            <v>0.22</v>
          </cell>
        </row>
        <row r="89">
          <cell r="A89">
            <v>10080</v>
          </cell>
          <cell r="B89" t="str">
            <v>DECK CREW P HM SALAD CHOPPED ROMAIN LETTUCE, CUCUMBER SLICE, CARROT JULIENCE</v>
          </cell>
          <cell r="C89">
            <v>1</v>
          </cell>
          <cell r="O89">
            <v>0.28999999999999998</v>
          </cell>
          <cell r="P89">
            <v>0.30884999999999996</v>
          </cell>
          <cell r="Q89">
            <v>1.05</v>
          </cell>
          <cell r="R89">
            <v>1</v>
          </cell>
          <cell r="S89">
            <v>0.42</v>
          </cell>
          <cell r="T89">
            <v>0.441</v>
          </cell>
          <cell r="U89">
            <v>0.74984999999999991</v>
          </cell>
          <cell r="V89">
            <v>0.13</v>
          </cell>
          <cell r="W89">
            <v>0.13</v>
          </cell>
          <cell r="X89">
            <v>0.34900049999999994</v>
          </cell>
          <cell r="Y89">
            <v>0.49833</v>
          </cell>
          <cell r="Z89">
            <v>0.85</v>
          </cell>
          <cell r="AA89">
            <v>0.85</v>
          </cell>
        </row>
        <row r="90">
          <cell r="A90">
            <v>10081</v>
          </cell>
          <cell r="B90" t="str">
            <v>CABIN CREW K HM SALAD CHOPPED ROMAIN LETTUCE, CUCUMBER SLICE, CARROT JULIENNE</v>
          </cell>
          <cell r="C90">
            <v>1</v>
          </cell>
          <cell r="O90">
            <v>0.28999999999999998</v>
          </cell>
          <cell r="P90">
            <v>0.30884999999999996</v>
          </cell>
          <cell r="Q90">
            <v>1.05</v>
          </cell>
          <cell r="R90">
            <v>1</v>
          </cell>
          <cell r="S90">
            <v>0.42</v>
          </cell>
          <cell r="T90">
            <v>0.441</v>
          </cell>
          <cell r="U90">
            <v>0.74984999999999991</v>
          </cell>
          <cell r="V90">
            <v>0.13</v>
          </cell>
          <cell r="W90">
            <v>0.13</v>
          </cell>
          <cell r="X90">
            <v>0.34900049999999994</v>
          </cell>
          <cell r="Y90">
            <v>0.49833</v>
          </cell>
          <cell r="Z90">
            <v>0.85</v>
          </cell>
          <cell r="AA90">
            <v>0.85</v>
          </cell>
        </row>
        <row r="91">
          <cell r="A91">
            <v>10082</v>
          </cell>
          <cell r="B91" t="str">
            <v>CREW YOGURT</v>
          </cell>
          <cell r="C91">
            <v>1</v>
          </cell>
          <cell r="O91">
            <v>0.45</v>
          </cell>
          <cell r="P91">
            <v>0.47925000000000001</v>
          </cell>
          <cell r="Q91">
            <v>0.2</v>
          </cell>
          <cell r="R91">
            <v>1</v>
          </cell>
          <cell r="S91">
            <v>0.42</v>
          </cell>
          <cell r="T91">
            <v>8.4000000000000005E-2</v>
          </cell>
          <cell r="U91">
            <v>0.56325000000000003</v>
          </cell>
          <cell r="V91">
            <v>0.13</v>
          </cell>
          <cell r="W91">
            <v>0.13</v>
          </cell>
          <cell r="X91">
            <v>0.54155249999999999</v>
          </cell>
          <cell r="Y91">
            <v>9.4920000000000004E-2</v>
          </cell>
          <cell r="Z91">
            <v>0.64</v>
          </cell>
          <cell r="AA91">
            <v>0.64</v>
          </cell>
        </row>
        <row r="92">
          <cell r="A92">
            <v>10083</v>
          </cell>
          <cell r="B92" t="str">
            <v xml:space="preserve">CREW CHEESE </v>
          </cell>
          <cell r="C92">
            <v>1</v>
          </cell>
          <cell r="O92">
            <v>0.3</v>
          </cell>
          <cell r="P92">
            <v>0.31949999999999995</v>
          </cell>
          <cell r="Q92">
            <v>0.2</v>
          </cell>
          <cell r="R92">
            <v>1</v>
          </cell>
          <cell r="S92">
            <v>0.42</v>
          </cell>
          <cell r="T92">
            <v>8.4000000000000005E-2</v>
          </cell>
          <cell r="U92">
            <v>0.40349999999999997</v>
          </cell>
          <cell r="V92">
            <v>0.13</v>
          </cell>
          <cell r="W92">
            <v>0.13</v>
          </cell>
          <cell r="X92">
            <v>0.36103499999999988</v>
          </cell>
          <cell r="Y92">
            <v>9.4920000000000004E-2</v>
          </cell>
          <cell r="Z92">
            <v>0.46</v>
          </cell>
          <cell r="AA92">
            <v>0.46</v>
          </cell>
        </row>
        <row r="93">
          <cell r="A93">
            <v>10084</v>
          </cell>
          <cell r="B93" t="str">
            <v>DECK CREW P HB SCRAMBLE EGG, KALE, POTATOES, TURKEY SAUSAGE, HAM</v>
          </cell>
          <cell r="C93">
            <v>1</v>
          </cell>
          <cell r="O93">
            <v>1.4693000000000001</v>
          </cell>
          <cell r="P93">
            <v>1.5648044999999999</v>
          </cell>
          <cell r="Q93">
            <v>4.5</v>
          </cell>
          <cell r="R93">
            <v>1</v>
          </cell>
          <cell r="S93">
            <v>0.42</v>
          </cell>
          <cell r="T93">
            <v>1.89</v>
          </cell>
          <cell r="U93">
            <v>3.4548044999999998</v>
          </cell>
          <cell r="V93">
            <v>0.13</v>
          </cell>
          <cell r="W93">
            <v>0.13</v>
          </cell>
          <cell r="X93">
            <v>1.7682290849999998</v>
          </cell>
          <cell r="Y93">
            <v>2.1356999999999999</v>
          </cell>
          <cell r="Z93">
            <v>3.9099999999999997</v>
          </cell>
          <cell r="AA93">
            <v>3.9099999999999997</v>
          </cell>
        </row>
        <row r="94">
          <cell r="A94">
            <v>10085</v>
          </cell>
          <cell r="B94" t="str">
            <v>CABIN CREW K HB SCRAMBLE EGG, KALE, POTATOES, TURKEY SAUSAGE, HAM</v>
          </cell>
          <cell r="C94">
            <v>1</v>
          </cell>
          <cell r="O94">
            <v>1.4693000000000001</v>
          </cell>
          <cell r="P94">
            <v>1.5648044999999999</v>
          </cell>
          <cell r="Q94">
            <v>4.5</v>
          </cell>
          <cell r="R94">
            <v>1</v>
          </cell>
          <cell r="S94">
            <v>0.42</v>
          </cell>
          <cell r="T94">
            <v>1.89</v>
          </cell>
          <cell r="U94">
            <v>3.4548044999999998</v>
          </cell>
          <cell r="V94">
            <v>0.13</v>
          </cell>
          <cell r="W94">
            <v>0.13</v>
          </cell>
          <cell r="X94">
            <v>1.7682290849999998</v>
          </cell>
          <cell r="Y94">
            <v>2.1356999999999999</v>
          </cell>
          <cell r="Z94">
            <v>3.9099999999999997</v>
          </cell>
          <cell r="AA94">
            <v>3.9099999999999997</v>
          </cell>
        </row>
        <row r="95">
          <cell r="A95">
            <v>10086</v>
          </cell>
          <cell r="B95" t="str">
            <v xml:space="preserve">PY CRACKER </v>
          </cell>
          <cell r="C95">
            <v>1</v>
          </cell>
          <cell r="O95">
            <v>0.05</v>
          </cell>
          <cell r="P95">
            <v>5.3249999999999999E-2</v>
          </cell>
          <cell r="Q95">
            <v>0.2</v>
          </cell>
          <cell r="R95">
            <v>1</v>
          </cell>
          <cell r="S95">
            <v>0.42</v>
          </cell>
          <cell r="T95">
            <v>8.4000000000000005E-2</v>
          </cell>
          <cell r="U95">
            <v>0.13725000000000001</v>
          </cell>
          <cell r="V95">
            <v>0.13</v>
          </cell>
          <cell r="W95">
            <v>0.13</v>
          </cell>
          <cell r="X95">
            <v>6.017249999999999E-2</v>
          </cell>
          <cell r="Y95">
            <v>9.4920000000000004E-2</v>
          </cell>
          <cell r="Z95">
            <v>0.16</v>
          </cell>
          <cell r="AA95">
            <v>0.16</v>
          </cell>
        </row>
        <row r="96">
          <cell r="A96">
            <v>10087</v>
          </cell>
          <cell r="B96" t="str">
            <v xml:space="preserve">MILK JIGGER </v>
          </cell>
          <cell r="C96">
            <v>1</v>
          </cell>
          <cell r="O96">
            <v>7.0000000000000007E-2</v>
          </cell>
          <cell r="P96">
            <v>7.4550000000000005E-2</v>
          </cell>
          <cell r="Q96">
            <v>0.2</v>
          </cell>
          <cell r="R96">
            <v>1</v>
          </cell>
          <cell r="S96">
            <v>0.42</v>
          </cell>
          <cell r="T96">
            <v>8.4000000000000005E-2</v>
          </cell>
          <cell r="U96">
            <v>0.15855000000000002</v>
          </cell>
          <cell r="V96">
            <v>0.13</v>
          </cell>
          <cell r="W96">
            <v>0.13</v>
          </cell>
          <cell r="X96">
            <v>8.4241499999999997E-2</v>
          </cell>
          <cell r="Y96">
            <v>9.4920000000000004E-2</v>
          </cell>
          <cell r="Z96">
            <v>0.18000000000000002</v>
          </cell>
          <cell r="AA96">
            <v>0.18000000000000002</v>
          </cell>
        </row>
        <row r="97">
          <cell r="A97">
            <v>10088</v>
          </cell>
          <cell r="B97" t="str">
            <v xml:space="preserve">NATURE VALLEY GRANOLA BAR </v>
          </cell>
          <cell r="C97">
            <v>1</v>
          </cell>
          <cell r="O97">
            <v>0.56540000000000001</v>
          </cell>
          <cell r="P97">
            <v>0.60215099999999999</v>
          </cell>
          <cell r="Q97">
            <v>0.2</v>
          </cell>
          <cell r="R97">
            <v>1</v>
          </cell>
          <cell r="S97">
            <v>0.42</v>
          </cell>
          <cell r="T97">
            <v>8.4000000000000005E-2</v>
          </cell>
          <cell r="U97">
            <v>0.68615099999999996</v>
          </cell>
          <cell r="V97">
            <v>0.13</v>
          </cell>
          <cell r="W97">
            <v>0.13</v>
          </cell>
          <cell r="X97">
            <v>0.68043062999999993</v>
          </cell>
          <cell r="Y97">
            <v>9.4920000000000004E-2</v>
          </cell>
          <cell r="Z97">
            <v>0.78</v>
          </cell>
          <cell r="AA97">
            <v>0.78</v>
          </cell>
        </row>
        <row r="98">
          <cell r="A98">
            <v>10089</v>
          </cell>
          <cell r="B98" t="str">
            <v>YOGURT UPSTATE</v>
          </cell>
          <cell r="C98">
            <v>1</v>
          </cell>
          <cell r="O98">
            <v>0.55000000000000004</v>
          </cell>
          <cell r="P98">
            <v>0.58574999999999999</v>
          </cell>
          <cell r="Q98">
            <v>0.2</v>
          </cell>
          <cell r="R98">
            <v>1</v>
          </cell>
          <cell r="S98">
            <v>0.42</v>
          </cell>
          <cell r="T98">
            <v>8.4000000000000005E-2</v>
          </cell>
          <cell r="U98">
            <v>0.66974999999999996</v>
          </cell>
          <cell r="V98">
            <v>0.13</v>
          </cell>
          <cell r="W98">
            <v>0.13</v>
          </cell>
          <cell r="X98">
            <v>0.66189749999999992</v>
          </cell>
          <cell r="Y98">
            <v>9.4920000000000004E-2</v>
          </cell>
          <cell r="Z98">
            <v>0.76</v>
          </cell>
          <cell r="AA98">
            <v>0.76</v>
          </cell>
        </row>
        <row r="99">
          <cell r="A99">
            <v>10090</v>
          </cell>
          <cell r="B99" t="str">
            <v xml:space="preserve">MARMALADE ORANGE JM SMUCKER </v>
          </cell>
          <cell r="C99">
            <v>1</v>
          </cell>
          <cell r="O99">
            <v>7.0000000000000007E-2</v>
          </cell>
          <cell r="P99">
            <v>7.4550000000000005E-2</v>
          </cell>
          <cell r="Q99">
            <v>0.2</v>
          </cell>
          <cell r="R99">
            <v>1</v>
          </cell>
          <cell r="S99">
            <v>0.42</v>
          </cell>
          <cell r="T99">
            <v>8.4000000000000005E-2</v>
          </cell>
          <cell r="U99">
            <v>0.15855000000000002</v>
          </cell>
          <cell r="V99">
            <v>0.13</v>
          </cell>
          <cell r="W99">
            <v>0.13</v>
          </cell>
          <cell r="X99">
            <v>8.4241499999999997E-2</v>
          </cell>
          <cell r="Y99">
            <v>9.4920000000000004E-2</v>
          </cell>
          <cell r="Z99">
            <v>0.18000000000000002</v>
          </cell>
          <cell r="AA99">
            <v>0.18000000000000002</v>
          </cell>
        </row>
        <row r="100">
          <cell r="A100">
            <v>10091</v>
          </cell>
          <cell r="B100" t="str">
            <v xml:space="preserve">PY TSU CHEESE - MINI BRIE WEDGE INVD WRAP, ILE DE GRANCE CHEESE </v>
          </cell>
          <cell r="C100">
            <v>1</v>
          </cell>
          <cell r="O100">
            <v>0.86499999999999999</v>
          </cell>
          <cell r="P100">
            <v>0.92122499999999996</v>
          </cell>
          <cell r="Q100">
            <v>0.2</v>
          </cell>
          <cell r="R100">
            <v>1</v>
          </cell>
          <cell r="S100">
            <v>0.42</v>
          </cell>
          <cell r="T100">
            <v>8.4000000000000005E-2</v>
          </cell>
          <cell r="U100">
            <v>1.005225</v>
          </cell>
          <cell r="V100">
            <v>0.13</v>
          </cell>
          <cell r="W100">
            <v>0.13</v>
          </cell>
          <cell r="X100">
            <v>1.0409842499999999</v>
          </cell>
          <cell r="Y100">
            <v>9.4920000000000004E-2</v>
          </cell>
          <cell r="Z100">
            <v>1.1399999999999999</v>
          </cell>
          <cell r="AA100">
            <v>1.1399999999999999</v>
          </cell>
        </row>
        <row r="101">
          <cell r="A101">
            <v>10092</v>
          </cell>
          <cell r="B101" t="str">
            <v xml:space="preserve">BC PRE SELECT MEAL FISH - SEARED SEABASS, ,MASH POTATOES, ASPARAGUS, TRUFFLE CREAM </v>
          </cell>
          <cell r="C101">
            <v>1</v>
          </cell>
          <cell r="O101">
            <v>11.773</v>
          </cell>
          <cell r="P101">
            <v>12.538245</v>
          </cell>
          <cell r="Q101">
            <v>8</v>
          </cell>
          <cell r="R101">
            <v>1</v>
          </cell>
          <cell r="S101">
            <v>0.42</v>
          </cell>
          <cell r="T101">
            <v>3.36</v>
          </cell>
          <cell r="U101">
            <v>15.898244999999999</v>
          </cell>
          <cell r="V101">
            <v>0.13</v>
          </cell>
          <cell r="W101">
            <v>0.13</v>
          </cell>
          <cell r="X101">
            <v>14.168216849999999</v>
          </cell>
          <cell r="Y101">
            <v>3.7967999999999997</v>
          </cell>
          <cell r="Z101">
            <v>17.970000000000002</v>
          </cell>
          <cell r="AA101">
            <v>17.970000000000002</v>
          </cell>
        </row>
        <row r="102">
          <cell r="A102">
            <v>10093</v>
          </cell>
          <cell r="B102" t="str">
            <v>BC C3 SALAD MESCLUN MIX GREEN 250G</v>
          </cell>
          <cell r="C102">
            <v>1</v>
          </cell>
          <cell r="O102">
            <v>1.52155</v>
          </cell>
          <cell r="P102">
            <v>1.6204507499999998</v>
          </cell>
          <cell r="Q102">
            <v>2.5</v>
          </cell>
          <cell r="R102">
            <v>1</v>
          </cell>
          <cell r="S102">
            <v>0.42</v>
          </cell>
          <cell r="T102">
            <v>1.05</v>
          </cell>
          <cell r="U102">
            <v>2.6704507499999997</v>
          </cell>
          <cell r="V102">
            <v>0.13</v>
          </cell>
          <cell r="W102">
            <v>0.13</v>
          </cell>
          <cell r="X102">
            <v>1.8311093474999995</v>
          </cell>
          <cell r="Y102">
            <v>1.1865000000000001</v>
          </cell>
          <cell r="Z102">
            <v>3.0199999999999996</v>
          </cell>
          <cell r="AA102">
            <v>3.0199999999999996</v>
          </cell>
        </row>
        <row r="103">
          <cell r="A103">
            <v>10094</v>
          </cell>
          <cell r="B103" t="str">
            <v>BC C3 GARNISH SAVORY GRANOLA 100G</v>
          </cell>
          <cell r="C103">
            <v>1</v>
          </cell>
          <cell r="O103">
            <v>1.6574614000000001</v>
          </cell>
          <cell r="P103">
            <v>1.7651963909999999</v>
          </cell>
          <cell r="Q103">
            <v>1.5</v>
          </cell>
          <cell r="R103">
            <v>1</v>
          </cell>
          <cell r="S103">
            <v>0.42</v>
          </cell>
          <cell r="T103">
            <v>0.63</v>
          </cell>
          <cell r="U103">
            <v>2.3951963909999998</v>
          </cell>
          <cell r="V103">
            <v>0.13</v>
          </cell>
          <cell r="W103">
            <v>0.13</v>
          </cell>
          <cell r="X103">
            <v>1.9946719218299998</v>
          </cell>
          <cell r="Y103">
            <v>0.71189999999999998</v>
          </cell>
          <cell r="Z103">
            <v>2.71</v>
          </cell>
          <cell r="AA103">
            <v>2.71</v>
          </cell>
        </row>
        <row r="104">
          <cell r="A104">
            <v>10095</v>
          </cell>
          <cell r="B104" t="str">
            <v>BC C3 STARTER A GRILLED PEACHES WRAPPED WITH PROSCUITTO, MOZZARELLA, ARUGULA, BALSAMIC PEARLS, OLIVE OIL</v>
          </cell>
          <cell r="C104">
            <v>1</v>
          </cell>
          <cell r="O104">
            <v>2.0512907</v>
          </cell>
          <cell r="P104">
            <v>2.1846245954999999</v>
          </cell>
          <cell r="Q104">
            <v>3</v>
          </cell>
          <cell r="R104">
            <v>1</v>
          </cell>
          <cell r="S104">
            <v>0.42</v>
          </cell>
          <cell r="T104">
            <v>1.26</v>
          </cell>
          <cell r="U104">
            <v>3.4446245954999997</v>
          </cell>
          <cell r="V104">
            <v>0.13</v>
          </cell>
          <cell r="W104">
            <v>0.13</v>
          </cell>
          <cell r="X104">
            <v>2.4686257929149997</v>
          </cell>
          <cell r="Y104">
            <v>1.4238</v>
          </cell>
          <cell r="Z104">
            <v>3.9</v>
          </cell>
          <cell r="AA104">
            <v>3.9</v>
          </cell>
        </row>
        <row r="105">
          <cell r="A105">
            <v>10096</v>
          </cell>
          <cell r="B105" t="str">
            <v>BC C3 STARTER B SEARED AHI TUNA, POACHED GINGERLING POTATO. CONFIT TOMATO, CAPER GARLIC AOILI</v>
          </cell>
          <cell r="C105">
            <v>1</v>
          </cell>
          <cell r="O105">
            <v>3.043060621</v>
          </cell>
          <cell r="P105">
            <v>3.2408595613649998</v>
          </cell>
          <cell r="Q105">
            <v>3.5</v>
          </cell>
          <cell r="R105">
            <v>1</v>
          </cell>
          <cell r="S105">
            <v>0.42</v>
          </cell>
          <cell r="T105">
            <v>1.47</v>
          </cell>
          <cell r="U105">
            <v>4.7108595613649999</v>
          </cell>
          <cell r="V105">
            <v>0.13</v>
          </cell>
          <cell r="W105">
            <v>0.13</v>
          </cell>
          <cell r="X105">
            <v>3.6621713043424493</v>
          </cell>
          <cell r="Y105">
            <v>1.6611</v>
          </cell>
          <cell r="Z105">
            <v>5.33</v>
          </cell>
          <cell r="AA105">
            <v>5.33</v>
          </cell>
        </row>
        <row r="106">
          <cell r="A106">
            <v>10097</v>
          </cell>
          <cell r="B106" t="str">
            <v>BC C3 STARTER GARNISH CRISPY TORTILLA STRIPS 100G</v>
          </cell>
          <cell r="C106">
            <v>1</v>
          </cell>
          <cell r="O106">
            <v>0.46794799999999998</v>
          </cell>
          <cell r="P106">
            <v>0.49836461999999992</v>
          </cell>
          <cell r="Q106">
            <v>2.5</v>
          </cell>
          <cell r="R106">
            <v>1</v>
          </cell>
          <cell r="S106">
            <v>0.42</v>
          </cell>
          <cell r="T106">
            <v>1.05</v>
          </cell>
          <cell r="U106">
            <v>1.5483646200000001</v>
          </cell>
          <cell r="V106">
            <v>0.13</v>
          </cell>
          <cell r="W106">
            <v>0.13</v>
          </cell>
          <cell r="X106">
            <v>0.56315202059999991</v>
          </cell>
          <cell r="Y106">
            <v>1.1865000000000001</v>
          </cell>
          <cell r="Z106">
            <v>1.75</v>
          </cell>
          <cell r="AA106">
            <v>1.75</v>
          </cell>
        </row>
        <row r="107">
          <cell r="A107">
            <v>10098</v>
          </cell>
          <cell r="B107" t="str">
            <v>BC C3 HM A MEAT SMOKED BRAISED SHORT RIB, BBQ JUS, CARAMELIZED ONION, GROUND GRITS, SWEET CORN SUCCOTASH</v>
          </cell>
          <cell r="C107">
            <v>1</v>
          </cell>
          <cell r="O107">
            <v>11.28536003</v>
          </cell>
          <cell r="P107">
            <v>12.018908431949999</v>
          </cell>
          <cell r="Q107">
            <v>6</v>
          </cell>
          <cell r="R107">
            <v>1</v>
          </cell>
          <cell r="S107">
            <v>0.42</v>
          </cell>
          <cell r="T107">
            <v>2.52</v>
          </cell>
          <cell r="U107">
            <v>14.538908431949999</v>
          </cell>
          <cell r="V107">
            <v>0.13</v>
          </cell>
          <cell r="W107">
            <v>0.13</v>
          </cell>
          <cell r="X107">
            <v>13.581366528103498</v>
          </cell>
          <cell r="Y107">
            <v>2.8475999999999999</v>
          </cell>
          <cell r="Z107">
            <v>16.430000000000003</v>
          </cell>
          <cell r="AA107">
            <v>16.430000000000003</v>
          </cell>
        </row>
        <row r="108">
          <cell r="A108">
            <v>10099</v>
          </cell>
          <cell r="B108" t="str">
            <v>BC C3 HM C POULTRY HOT HONEY GLAZED CHICKEN THIHG, TRICOLOR PEPPER, SWEET POTATO RISOTTO, GARLIC BROCCOLI</v>
          </cell>
          <cell r="C108">
            <v>1</v>
          </cell>
          <cell r="O108">
            <v>3.4178559000000002</v>
          </cell>
          <cell r="P108">
            <v>3.6400165334999999</v>
          </cell>
          <cell r="Q108">
            <v>6.5</v>
          </cell>
          <cell r="R108">
            <v>1</v>
          </cell>
          <cell r="S108">
            <v>0.42</v>
          </cell>
          <cell r="T108">
            <v>2.73</v>
          </cell>
          <cell r="U108">
            <v>6.3700165334999994</v>
          </cell>
          <cell r="V108">
            <v>0.13</v>
          </cell>
          <cell r="W108">
            <v>0.13</v>
          </cell>
          <cell r="X108">
            <v>4.113218682854999</v>
          </cell>
          <cell r="Y108">
            <v>3.0849000000000002</v>
          </cell>
          <cell r="Z108">
            <v>7.2</v>
          </cell>
          <cell r="AA108">
            <v>7.2</v>
          </cell>
        </row>
        <row r="109">
          <cell r="A109">
            <v>10100</v>
          </cell>
          <cell r="B109" t="str">
            <v>BC C3 HM D VEG PASTA MAMI GOAT CHEESE APPLE RAVIOLI</v>
          </cell>
          <cell r="C109">
            <v>1</v>
          </cell>
          <cell r="O109">
            <v>4.0908417000000004</v>
          </cell>
          <cell r="P109">
            <v>4.3567464105000004</v>
          </cell>
          <cell r="Q109">
            <v>4</v>
          </cell>
          <cell r="R109">
            <v>1</v>
          </cell>
          <cell r="S109">
            <v>0.42</v>
          </cell>
          <cell r="T109">
            <v>1.68</v>
          </cell>
          <cell r="U109">
            <v>6.0367464105000002</v>
          </cell>
          <cell r="V109">
            <v>0.13</v>
          </cell>
          <cell r="W109">
            <v>0.13</v>
          </cell>
          <cell r="X109">
            <v>4.9231234438650002</v>
          </cell>
          <cell r="Y109">
            <v>1.8983999999999999</v>
          </cell>
          <cell r="Z109">
            <v>6.83</v>
          </cell>
          <cell r="AA109">
            <v>6.83</v>
          </cell>
        </row>
        <row r="110">
          <cell r="A110">
            <v>10101</v>
          </cell>
          <cell r="B110" t="str">
            <v>BC C3 HM GARNISH PICKLED DAIKON</v>
          </cell>
          <cell r="C110">
            <v>1</v>
          </cell>
          <cell r="O110">
            <v>1.4609418000000001</v>
          </cell>
          <cell r="P110">
            <v>1.5559030169999999</v>
          </cell>
          <cell r="Q110">
            <v>3</v>
          </cell>
          <cell r="R110">
            <v>1</v>
          </cell>
          <cell r="S110">
            <v>0.42</v>
          </cell>
          <cell r="T110">
            <v>1.26</v>
          </cell>
          <cell r="U110">
            <v>2.8159030170000001</v>
          </cell>
          <cell r="V110">
            <v>0.13</v>
          </cell>
          <cell r="W110">
            <v>0.13</v>
          </cell>
          <cell r="X110">
            <v>1.7581704092099997</v>
          </cell>
          <cell r="Y110">
            <v>1.4238</v>
          </cell>
          <cell r="Z110">
            <v>3.19</v>
          </cell>
          <cell r="AA110">
            <v>3.19</v>
          </cell>
        </row>
        <row r="111">
          <cell r="A111">
            <v>10102</v>
          </cell>
          <cell r="B111" t="str">
            <v>BC C3 HM PRE-SELECT FISH DISH MISO GLAZED SALMON, SHITAKE RICE, BABY BOK CHOY, SOY GINGER BROTH</v>
          </cell>
          <cell r="C111">
            <v>1</v>
          </cell>
          <cell r="O111">
            <v>7.8656350000000002</v>
          </cell>
          <cell r="P111">
            <v>8.3769012749999998</v>
          </cell>
          <cell r="Q111">
            <v>8</v>
          </cell>
          <cell r="R111">
            <v>1</v>
          </cell>
          <cell r="S111">
            <v>0.42</v>
          </cell>
          <cell r="T111">
            <v>3.36</v>
          </cell>
          <cell r="U111">
            <v>11.736901274999999</v>
          </cell>
          <cell r="V111">
            <v>0.13</v>
          </cell>
          <cell r="W111">
            <v>0.13</v>
          </cell>
          <cell r="X111">
            <v>9.4658984407499993</v>
          </cell>
          <cell r="Y111">
            <v>3.7967999999999997</v>
          </cell>
          <cell r="Z111">
            <v>13.27</v>
          </cell>
          <cell r="AA111">
            <v>13.27</v>
          </cell>
        </row>
        <row r="112">
          <cell r="A112">
            <v>10103</v>
          </cell>
          <cell r="B112" t="str">
            <v>BC C3 DE CHEESE GRIFFIN, ASHER BLUE</v>
          </cell>
          <cell r="C112">
            <v>1</v>
          </cell>
          <cell r="O112">
            <v>0.89229999999999998</v>
          </cell>
          <cell r="P112">
            <v>7.6023959999999997</v>
          </cell>
          <cell r="Q112">
            <v>2</v>
          </cell>
          <cell r="R112">
            <v>1</v>
          </cell>
          <cell r="S112">
            <v>0.42</v>
          </cell>
          <cell r="T112">
            <v>6.72</v>
          </cell>
          <cell r="U112">
            <v>14.322395999999999</v>
          </cell>
          <cell r="V112">
            <v>0.13</v>
          </cell>
          <cell r="W112">
            <v>0.13</v>
          </cell>
          <cell r="X112">
            <v>8.590707479999999</v>
          </cell>
          <cell r="Y112">
            <v>7.5935999999999995</v>
          </cell>
          <cell r="Z112">
            <v>16.190000000000001</v>
          </cell>
          <cell r="AA112">
            <v>16.190000000000001</v>
          </cell>
        </row>
        <row r="113">
          <cell r="A113">
            <v>10104</v>
          </cell>
          <cell r="B113" t="str">
            <v xml:space="preserve">BC C3 DE CAKE CHOCOLATE MOUSSE CAKE </v>
          </cell>
          <cell r="C113">
            <v>1</v>
          </cell>
          <cell r="O113">
            <v>0.84374728499999996</v>
          </cell>
          <cell r="P113">
            <v>0.89859085852499987</v>
          </cell>
          <cell r="Q113">
            <v>2.5</v>
          </cell>
          <cell r="R113">
            <v>1</v>
          </cell>
          <cell r="S113">
            <v>0.42</v>
          </cell>
          <cell r="T113">
            <v>1.05</v>
          </cell>
          <cell r="U113">
            <v>1.9485908585249998</v>
          </cell>
          <cell r="V113">
            <v>0.13</v>
          </cell>
          <cell r="W113">
            <v>0.13</v>
          </cell>
          <cell r="X113">
            <v>1.0154076701332497</v>
          </cell>
          <cell r="Y113">
            <v>1.1865000000000001</v>
          </cell>
          <cell r="Z113">
            <v>2.21</v>
          </cell>
          <cell r="AA113">
            <v>2.21</v>
          </cell>
        </row>
        <row r="114">
          <cell r="A114">
            <v>10105</v>
          </cell>
          <cell r="B114" t="str">
            <v>BC C3 DE CAKE GARNISH STRAWBERRY COULIS 200G</v>
          </cell>
          <cell r="C114">
            <v>1</v>
          </cell>
          <cell r="O114">
            <v>1.5456221999999999</v>
          </cell>
          <cell r="P114">
            <v>1.6460876429999998</v>
          </cell>
          <cell r="Q114">
            <v>2</v>
          </cell>
          <cell r="R114">
            <v>1</v>
          </cell>
          <cell r="S114">
            <v>0.42</v>
          </cell>
          <cell r="T114">
            <v>0.84</v>
          </cell>
          <cell r="U114">
            <v>2.4860876429999998</v>
          </cell>
          <cell r="V114">
            <v>0.13</v>
          </cell>
          <cell r="W114">
            <v>0.13</v>
          </cell>
          <cell r="X114">
            <v>1.8600790365899995</v>
          </cell>
          <cell r="Y114">
            <v>0.94919999999999993</v>
          </cell>
          <cell r="Z114">
            <v>2.8099999999999996</v>
          </cell>
          <cell r="AA114">
            <v>2.8099999999999996</v>
          </cell>
        </row>
        <row r="115">
          <cell r="A115">
            <v>10106</v>
          </cell>
          <cell r="B115" t="str">
            <v>BC C3 DE FRUIT GRAPE. HONEYDEW. CANTOLOUPE, WATERMELON, 150G EACH</v>
          </cell>
          <cell r="C115">
            <v>1</v>
          </cell>
          <cell r="P115">
            <v>0</v>
          </cell>
          <cell r="Q115">
            <v>3.5</v>
          </cell>
          <cell r="R115">
            <v>1</v>
          </cell>
          <cell r="S115">
            <v>0.42</v>
          </cell>
          <cell r="T115">
            <v>1.47</v>
          </cell>
          <cell r="U115">
            <v>1.47</v>
          </cell>
          <cell r="V115">
            <v>0.13</v>
          </cell>
          <cell r="W115">
            <v>0.13</v>
          </cell>
          <cell r="X115">
            <v>0</v>
          </cell>
          <cell r="Y115">
            <v>1.6611</v>
          </cell>
          <cell r="Z115">
            <v>1.67</v>
          </cell>
          <cell r="AA115">
            <v>1.67</v>
          </cell>
        </row>
        <row r="116">
          <cell r="A116">
            <v>10107</v>
          </cell>
          <cell r="B116" t="str">
            <v xml:space="preserve">BC C3 COLD CUT CHIVE CREAM CHEESE, BEECHER FLAGSHIP CHEDDAR, TURKEY BREAST HEYWOOD, SALAMI, LEAF, CUCUMBER, CHERRY TOMATO </v>
          </cell>
          <cell r="C116">
            <v>1</v>
          </cell>
          <cell r="O116">
            <v>2.0858257999999998</v>
          </cell>
          <cell r="P116">
            <v>2.2214044769999997</v>
          </cell>
          <cell r="Q116">
            <v>3</v>
          </cell>
          <cell r="R116">
            <v>1</v>
          </cell>
          <cell r="S116">
            <v>0.42</v>
          </cell>
          <cell r="T116">
            <v>1.26</v>
          </cell>
          <cell r="U116">
            <v>3.4814044769999999</v>
          </cell>
          <cell r="V116">
            <v>0.13</v>
          </cell>
          <cell r="W116">
            <v>0.13</v>
          </cell>
          <cell r="X116">
            <v>2.5101870590099993</v>
          </cell>
          <cell r="Y116">
            <v>1.4238</v>
          </cell>
          <cell r="Z116">
            <v>3.94</v>
          </cell>
          <cell r="AA116">
            <v>3.94</v>
          </cell>
        </row>
        <row r="117">
          <cell r="A117">
            <v>10108</v>
          </cell>
          <cell r="B117" t="str">
            <v>BC C3 BRK FRUIT MUESLI, GEOGIA PEACH, BLUEBERRY</v>
          </cell>
          <cell r="C117">
            <v>1</v>
          </cell>
          <cell r="O117">
            <v>0.99114100000000005</v>
          </cell>
          <cell r="P117">
            <v>1.055565165</v>
          </cell>
          <cell r="Q117">
            <v>2.25</v>
          </cell>
          <cell r="R117">
            <v>1</v>
          </cell>
          <cell r="S117">
            <v>0.42</v>
          </cell>
          <cell r="T117">
            <v>0.94499999999999995</v>
          </cell>
          <cell r="U117">
            <v>2.0005651649999998</v>
          </cell>
          <cell r="V117">
            <v>0.13</v>
          </cell>
          <cell r="W117">
            <v>0.13</v>
          </cell>
          <cell r="X117">
            <v>1.1927886364499998</v>
          </cell>
          <cell r="Y117">
            <v>1.06785</v>
          </cell>
          <cell r="Z117">
            <v>2.2699999999999996</v>
          </cell>
          <cell r="AA117">
            <v>2.2699999999999996</v>
          </cell>
        </row>
        <row r="118">
          <cell r="A118">
            <v>10109</v>
          </cell>
          <cell r="B118" t="str">
            <v>PY C3 STARTER GRILLED CHICKEN BREAST WITH QUINOA SALAD</v>
          </cell>
          <cell r="C118">
            <v>1.5</v>
          </cell>
          <cell r="O118">
            <v>0.83720000000000006</v>
          </cell>
          <cell r="P118">
            <v>0.89161800000000002</v>
          </cell>
          <cell r="Q118">
            <v>1.5</v>
          </cell>
          <cell r="R118">
            <v>1</v>
          </cell>
          <cell r="S118">
            <v>0.42</v>
          </cell>
          <cell r="T118">
            <v>0.63</v>
          </cell>
          <cell r="U118">
            <v>1.5216180000000001</v>
          </cell>
          <cell r="V118">
            <v>0.13</v>
          </cell>
          <cell r="W118">
            <v>0.13</v>
          </cell>
          <cell r="X118">
            <v>1.0075283399999999</v>
          </cell>
          <cell r="Y118">
            <v>0.71189999999999998</v>
          </cell>
          <cell r="Z118">
            <v>1.72</v>
          </cell>
          <cell r="AA118">
            <v>1.72</v>
          </cell>
        </row>
        <row r="119">
          <cell r="A119">
            <v>10110</v>
          </cell>
          <cell r="B119" t="str">
            <v>PY C3 HM A FISH SHRIMP ETOUFFEE, CAJUN SEASONED RICE, ROASTED PEPPER ONION AND OKRA</v>
          </cell>
          <cell r="C119">
            <v>7</v>
          </cell>
          <cell r="O119">
            <v>3.3738299999999999</v>
          </cell>
          <cell r="P119">
            <v>3.5931289499999997</v>
          </cell>
          <cell r="Q119">
            <v>7</v>
          </cell>
          <cell r="R119">
            <v>1</v>
          </cell>
          <cell r="S119">
            <v>0.42</v>
          </cell>
          <cell r="T119">
            <v>2.94</v>
          </cell>
          <cell r="U119">
            <v>6.53312895</v>
          </cell>
          <cell r="V119">
            <v>0.13</v>
          </cell>
          <cell r="W119">
            <v>0.13</v>
          </cell>
          <cell r="X119">
            <v>4.0602357134999991</v>
          </cell>
          <cell r="Y119">
            <v>3.3222</v>
          </cell>
          <cell r="Z119">
            <v>7.39</v>
          </cell>
          <cell r="AA119">
            <v>7.39</v>
          </cell>
        </row>
        <row r="120">
          <cell r="A120">
            <v>10111</v>
          </cell>
          <cell r="B120" t="str">
            <v xml:space="preserve">PY C3 HM B BBQ GRILLED CHICKEN RHIGH, BBQ SAUCE, CORN SUCCOTASH, MAPLE SWEET POTATO MASH </v>
          </cell>
          <cell r="C120">
            <v>6.5</v>
          </cell>
          <cell r="O120">
            <v>2.5628799999999998</v>
          </cell>
          <cell r="P120">
            <v>2.7294671999999998</v>
          </cell>
          <cell r="Q120">
            <v>6.5</v>
          </cell>
          <cell r="R120">
            <v>1</v>
          </cell>
          <cell r="S120">
            <v>0.42</v>
          </cell>
          <cell r="T120">
            <v>2.73</v>
          </cell>
          <cell r="U120">
            <v>5.4594671999999997</v>
          </cell>
          <cell r="V120">
            <v>0.13</v>
          </cell>
          <cell r="W120">
            <v>0.13</v>
          </cell>
          <cell r="X120">
            <v>3.0842979359999996</v>
          </cell>
          <cell r="Y120">
            <v>3.0849000000000002</v>
          </cell>
          <cell r="Z120">
            <v>6.17</v>
          </cell>
          <cell r="AA120">
            <v>6.17</v>
          </cell>
        </row>
        <row r="121">
          <cell r="A121">
            <v>10112</v>
          </cell>
          <cell r="B121" t="str">
            <v>PY C3 DE MINI PUMPKIN PIE, WITH SPICE CRÈME GRAICHE</v>
          </cell>
          <cell r="C121">
            <v>2.5</v>
          </cell>
          <cell r="O121">
            <v>2.1964899999999998</v>
          </cell>
          <cell r="P121">
            <v>2.3392618499999998</v>
          </cell>
          <cell r="Q121">
            <v>2.5</v>
          </cell>
          <cell r="R121">
            <v>1</v>
          </cell>
          <cell r="S121">
            <v>0.42</v>
          </cell>
          <cell r="T121">
            <v>0.42</v>
          </cell>
          <cell r="U121">
            <v>2.7592618499999997</v>
          </cell>
          <cell r="V121">
            <v>0.13</v>
          </cell>
          <cell r="W121">
            <v>0.13</v>
          </cell>
          <cell r="X121">
            <v>2.6433658904999993</v>
          </cell>
          <cell r="Y121">
            <v>0.47459999999999997</v>
          </cell>
          <cell r="Z121">
            <v>3.1199999999999997</v>
          </cell>
          <cell r="AA121">
            <v>3.1199999999999997</v>
          </cell>
        </row>
        <row r="122">
          <cell r="A122">
            <v>10113</v>
          </cell>
          <cell r="B122" t="str">
            <v>PY C3 BREAKFAST PLATE HERB ROASTED TURKEY BREAST, AGEN WHITE CHEDDAR, BOILD EGG, CHERRY TOMATO, CUCUMBER BATON, LEAF, CANTALOUPE, PINEAPPLE</v>
          </cell>
          <cell r="C122">
            <v>2.5</v>
          </cell>
          <cell r="O122">
            <v>2.6101700000000001</v>
          </cell>
          <cell r="P122">
            <v>2.7798310499999999</v>
          </cell>
          <cell r="Q122">
            <v>2.5</v>
          </cell>
          <cell r="R122">
            <v>1</v>
          </cell>
          <cell r="S122">
            <v>0.42</v>
          </cell>
          <cell r="T122">
            <v>1.05</v>
          </cell>
          <cell r="U122" t="e">
            <v>#REF!</v>
          </cell>
          <cell r="V122">
            <v>0.13</v>
          </cell>
          <cell r="W122">
            <v>0.13</v>
          </cell>
          <cell r="X122" t="e">
            <v>#REF!</v>
          </cell>
          <cell r="Y122">
            <v>1.1865000000000001</v>
          </cell>
          <cell r="Z122" t="str">
            <v xml:space="preserve"> </v>
          </cell>
          <cell r="AA122" t="str">
            <v xml:space="preserve"> </v>
          </cell>
        </row>
        <row r="123">
          <cell r="A123">
            <v>10114</v>
          </cell>
          <cell r="B123" t="str">
            <v>YC C3 SALAD MIX MESCLUN, CARROT, CHERRY TOMATO AGED CHEDDAR</v>
          </cell>
          <cell r="C123">
            <v>1</v>
          </cell>
          <cell r="O123">
            <v>0.36901</v>
          </cell>
          <cell r="P123">
            <v>0.39299564999999997</v>
          </cell>
          <cell r="Q123">
            <v>1</v>
          </cell>
          <cell r="R123">
            <v>1</v>
          </cell>
          <cell r="S123">
            <v>0.42</v>
          </cell>
          <cell r="T123">
            <v>0.42</v>
          </cell>
          <cell r="U123">
            <v>3.1998310499999998</v>
          </cell>
          <cell r="V123">
            <v>0.13</v>
          </cell>
          <cell r="W123">
            <v>0.13</v>
          </cell>
          <cell r="X123">
            <v>3.1412090864999995</v>
          </cell>
          <cell r="Y123">
            <v>0.47459999999999997</v>
          </cell>
          <cell r="Z123">
            <v>3.6199999999999997</v>
          </cell>
          <cell r="AA123">
            <v>3.6199999999999997</v>
          </cell>
        </row>
        <row r="124">
          <cell r="A124">
            <v>10115</v>
          </cell>
          <cell r="B124" t="str">
            <v xml:space="preserve">YC C3 HM B BBQ GRILLED CHICKEN RHIGH, BBQ SAUCE, CORN SUCCOTASH, MAPLE SWEET POTATO MASH </v>
          </cell>
          <cell r="C124">
            <v>6.5</v>
          </cell>
          <cell r="O124">
            <v>2.5628799999999998</v>
          </cell>
          <cell r="P124">
            <v>2.7294671999999998</v>
          </cell>
          <cell r="Q124">
            <v>6.5</v>
          </cell>
          <cell r="R124">
            <v>1</v>
          </cell>
          <cell r="S124">
            <v>0.42</v>
          </cell>
          <cell r="T124">
            <v>2.73</v>
          </cell>
          <cell r="U124">
            <v>3.12299565</v>
          </cell>
          <cell r="V124">
            <v>0.13</v>
          </cell>
          <cell r="W124">
            <v>0.13</v>
          </cell>
          <cell r="X124">
            <v>0.44408508449999995</v>
          </cell>
          <cell r="Y124">
            <v>3.0849000000000002</v>
          </cell>
          <cell r="Z124">
            <v>3.53</v>
          </cell>
          <cell r="AA124">
            <v>3.53</v>
          </cell>
        </row>
        <row r="125">
          <cell r="A125">
            <v>10116</v>
          </cell>
          <cell r="B125" t="str">
            <v>YC C3 DE PUMPKIN CHEESE CAKE BAR</v>
          </cell>
          <cell r="C125">
            <v>1</v>
          </cell>
          <cell r="O125">
            <v>1.1315029999999999</v>
          </cell>
          <cell r="P125">
            <v>1.2050506949999999</v>
          </cell>
          <cell r="Q125">
            <v>1</v>
          </cell>
          <cell r="R125">
            <v>1</v>
          </cell>
          <cell r="S125">
            <v>0.42</v>
          </cell>
          <cell r="T125">
            <v>0.42</v>
          </cell>
          <cell r="U125">
            <v>3.1494671999999997</v>
          </cell>
          <cell r="V125">
            <v>0.13</v>
          </cell>
          <cell r="W125">
            <v>0.13</v>
          </cell>
          <cell r="X125">
            <v>3.0842979359999996</v>
          </cell>
          <cell r="Y125">
            <v>0.47459999999999997</v>
          </cell>
          <cell r="Z125">
            <v>3.5599999999999996</v>
          </cell>
          <cell r="AA125">
            <v>3.5599999999999996</v>
          </cell>
        </row>
        <row r="126">
          <cell r="A126">
            <v>10117</v>
          </cell>
          <cell r="B126" t="str">
            <v xml:space="preserve">YC C3 BRD TYPE 2 HONEY WHEAT ROLL </v>
          </cell>
          <cell r="C126">
            <v>0.2</v>
          </cell>
          <cell r="O126">
            <v>0.15</v>
          </cell>
          <cell r="P126">
            <v>0.15974999999999998</v>
          </cell>
          <cell r="Q126">
            <v>0.2</v>
          </cell>
          <cell r="R126">
            <v>1</v>
          </cell>
          <cell r="S126">
            <v>0.42</v>
          </cell>
          <cell r="T126">
            <v>8.4000000000000005E-2</v>
          </cell>
          <cell r="U126">
            <v>1.289050695</v>
          </cell>
          <cell r="V126">
            <v>0.13</v>
          </cell>
          <cell r="W126">
            <v>0.13</v>
          </cell>
          <cell r="X126">
            <v>1.3617072853499999</v>
          </cell>
          <cell r="Y126">
            <v>9.4920000000000004E-2</v>
          </cell>
          <cell r="Z126">
            <v>1.46</v>
          </cell>
          <cell r="AA126">
            <v>1.46</v>
          </cell>
        </row>
        <row r="127">
          <cell r="A127">
            <v>10118</v>
          </cell>
          <cell r="B127" t="str">
            <v>CABIN CREW C3 K CM A - HAM, MAYO, CUCUMBER, ROMAIN LETTUCE,WHEAT ROLL</v>
          </cell>
          <cell r="O127">
            <v>0.78086</v>
          </cell>
          <cell r="P127">
            <v>0.83161589999999996</v>
          </cell>
          <cell r="Q127">
            <v>2.5</v>
          </cell>
          <cell r="R127">
            <v>1</v>
          </cell>
          <cell r="S127">
            <v>0.42</v>
          </cell>
          <cell r="T127">
            <v>1.05</v>
          </cell>
          <cell r="U127">
            <v>1.2097500000000001</v>
          </cell>
          <cell r="V127">
            <v>0.13</v>
          </cell>
          <cell r="W127">
            <v>0.13</v>
          </cell>
          <cell r="X127">
            <v>0.18051749999999994</v>
          </cell>
          <cell r="Y127">
            <v>1.1865000000000001</v>
          </cell>
          <cell r="Z127">
            <v>1.37</v>
          </cell>
          <cell r="AA127">
            <v>1.37</v>
          </cell>
        </row>
        <row r="128">
          <cell r="A128">
            <v>10119</v>
          </cell>
          <cell r="B128" t="str">
            <v xml:space="preserve">CABIN CREW C3 K CM B- MOZZERELLA, MAYO, ROASTE TOMATO, LETTUCE, WHEAT ROLL </v>
          </cell>
          <cell r="O128">
            <v>1.0825324999999999</v>
          </cell>
          <cell r="P128">
            <v>1.1528971124999998</v>
          </cell>
          <cell r="Q128">
            <v>2.5</v>
          </cell>
        </row>
        <row r="129">
          <cell r="A129">
            <v>10120</v>
          </cell>
          <cell r="B129" t="str">
            <v xml:space="preserve">DECK CREW C3 P CM A ROASTED TURKEY BREAST, CHEDDAR CHEESE, LETTUCE LEAF, CUCUMBER, CHERRY TOMATO, QUINOA SALAD </v>
          </cell>
          <cell r="O129">
            <v>3.9234819600000002</v>
          </cell>
          <cell r="P129">
            <v>4.1785082873999997</v>
          </cell>
          <cell r="Q129">
            <v>3</v>
          </cell>
          <cell r="R129">
            <v>1</v>
          </cell>
          <cell r="S129">
            <v>0.42</v>
          </cell>
          <cell r="T129">
            <v>1.26</v>
          </cell>
          <cell r="U129">
            <v>2.4128971124999996</v>
          </cell>
          <cell r="V129">
            <v>0.13</v>
          </cell>
          <cell r="W129">
            <v>0.13</v>
          </cell>
          <cell r="X129">
            <v>1.3027737371249997</v>
          </cell>
          <cell r="Y129">
            <v>1.4238</v>
          </cell>
          <cell r="Z129">
            <v>2.73</v>
          </cell>
          <cell r="AA129">
            <v>2.73</v>
          </cell>
        </row>
        <row r="130">
          <cell r="A130">
            <v>10121</v>
          </cell>
          <cell r="B130" t="str">
            <v xml:space="preserve">DECK CREW C3 P CM B PASTRAMI, BEECHER CHEEDAR, LETTUCE CHERRY TOMATO, RED GRAPE, QUINOA SALAD </v>
          </cell>
          <cell r="C130">
            <v>1</v>
          </cell>
          <cell r="O130">
            <v>2.9934146789999998</v>
          </cell>
          <cell r="P130">
            <v>3.1879866331349995</v>
          </cell>
          <cell r="Q130">
            <v>3</v>
          </cell>
          <cell r="R130">
            <v>1</v>
          </cell>
          <cell r="S130">
            <v>0.42</v>
          </cell>
          <cell r="T130">
            <v>1.26</v>
          </cell>
          <cell r="U130">
            <v>4.4479866331349998</v>
          </cell>
          <cell r="V130">
            <v>0.13</v>
          </cell>
          <cell r="W130">
            <v>0.13</v>
          </cell>
          <cell r="X130">
            <v>3.6024248954425491</v>
          </cell>
          <cell r="Y130">
            <v>1.4238</v>
          </cell>
          <cell r="Z130">
            <v>5.0299999999999994</v>
          </cell>
          <cell r="AA130">
            <v>5.0299999999999994</v>
          </cell>
        </row>
        <row r="131">
          <cell r="A131">
            <v>10122</v>
          </cell>
          <cell r="B131" t="str">
            <v>CREW P C3 HM SALAD MESCLUN MIX, CUCUMBER CCHERRY TOMATO AGED CHEDDAR</v>
          </cell>
          <cell r="C131">
            <v>1</v>
          </cell>
          <cell r="O131">
            <v>0.36901335390946505</v>
          </cell>
          <cell r="P131">
            <v>0.39299922191358028</v>
          </cell>
          <cell r="Q131">
            <v>1</v>
          </cell>
          <cell r="R131">
            <v>1</v>
          </cell>
          <cell r="S131">
            <v>0.42</v>
          </cell>
          <cell r="T131">
            <v>0.42</v>
          </cell>
          <cell r="U131">
            <v>0.81299922191358021</v>
          </cell>
          <cell r="V131">
            <v>0.13</v>
          </cell>
          <cell r="W131">
            <v>0.13</v>
          </cell>
          <cell r="X131">
            <v>0.44408912076234569</v>
          </cell>
          <cell r="Y131">
            <v>0.47459999999999997</v>
          </cell>
          <cell r="Z131">
            <v>0.92</v>
          </cell>
          <cell r="AA131">
            <v>0.92</v>
          </cell>
        </row>
        <row r="132">
          <cell r="A132">
            <v>10123</v>
          </cell>
          <cell r="B132" t="str">
            <v>CREW K C3 HM SALAD MESCLUN MIX, CUCUMBER CCHERRY TOMATO AGED CHEDDAR</v>
          </cell>
          <cell r="C132">
            <v>1</v>
          </cell>
          <cell r="O132">
            <v>0.36901335390946505</v>
          </cell>
          <cell r="P132">
            <v>0.39299922191358028</v>
          </cell>
          <cell r="Q132">
            <v>1</v>
          </cell>
          <cell r="R132">
            <v>1</v>
          </cell>
          <cell r="S132">
            <v>0.42</v>
          </cell>
          <cell r="T132">
            <v>0.42</v>
          </cell>
          <cell r="U132">
            <v>0.81299922191358021</v>
          </cell>
          <cell r="V132">
            <v>0.13</v>
          </cell>
          <cell r="W132">
            <v>0.13</v>
          </cell>
          <cell r="X132">
            <v>0.44408912076234569</v>
          </cell>
          <cell r="Y132">
            <v>0.47459999999999997</v>
          </cell>
          <cell r="Z132">
            <v>0.92</v>
          </cell>
          <cell r="AA132">
            <v>0.92</v>
          </cell>
        </row>
        <row r="133">
          <cell r="A133">
            <v>10124</v>
          </cell>
          <cell r="B133" t="str">
            <v>CREW P C3 HM A C3 POULTRY HOT HONEY GLAZED CHICKEN THIHG, TRICOLOR PEPPER, SWEET POTATO RISOTTO, GARLIC BROCCOLI</v>
          </cell>
          <cell r="C133">
            <v>1</v>
          </cell>
          <cell r="O133">
            <v>3.4178559000000002</v>
          </cell>
          <cell r="P133">
            <v>3.6400165334999999</v>
          </cell>
          <cell r="Q133">
            <v>6.5</v>
          </cell>
          <cell r="R133">
            <v>1</v>
          </cell>
          <cell r="S133">
            <v>0.42</v>
          </cell>
          <cell r="T133">
            <v>2.73</v>
          </cell>
          <cell r="U133">
            <v>6.3700165334999994</v>
          </cell>
          <cell r="V133">
            <v>0.13</v>
          </cell>
          <cell r="W133">
            <v>0.13</v>
          </cell>
          <cell r="X133">
            <v>4.113218682854999</v>
          </cell>
          <cell r="Y133">
            <v>3.0849000000000002</v>
          </cell>
          <cell r="Z133">
            <v>7.2</v>
          </cell>
          <cell r="AA133">
            <v>7.2</v>
          </cell>
        </row>
        <row r="134">
          <cell r="A134">
            <v>10125</v>
          </cell>
          <cell r="B134" t="str">
            <v>CREW K C3 HM B C3 POULTRY HOT HONEY GLAZED CHICKEN THIHG, TRICOLOR PEPPER, SWEET POTATO RISOTTO, GARLIC BROCCOLI</v>
          </cell>
          <cell r="C134">
            <v>1</v>
          </cell>
          <cell r="O134">
            <v>3.4178559000000002</v>
          </cell>
          <cell r="P134">
            <v>3.6400165334999999</v>
          </cell>
          <cell r="Q134">
            <v>6.5</v>
          </cell>
          <cell r="R134">
            <v>1</v>
          </cell>
          <cell r="S134">
            <v>0.42</v>
          </cell>
          <cell r="T134">
            <v>2.73</v>
          </cell>
          <cell r="U134">
            <v>6.3700165334999994</v>
          </cell>
          <cell r="V134">
            <v>0.13</v>
          </cell>
          <cell r="W134">
            <v>0.13</v>
          </cell>
          <cell r="X134">
            <v>4.113218682854999</v>
          </cell>
          <cell r="Y134">
            <v>3.0849000000000002</v>
          </cell>
          <cell r="Z134">
            <v>7.2</v>
          </cell>
          <cell r="AA134">
            <v>7.2</v>
          </cell>
        </row>
        <row r="135">
          <cell r="A135">
            <v>10126</v>
          </cell>
          <cell r="B135" t="str">
            <v>CREW P C3 HM A MISO GLAZED SALMON, SHITAKE RICE, BABY BOK CHOY, SOY GINGER BROTH</v>
          </cell>
          <cell r="C135">
            <v>1</v>
          </cell>
          <cell r="O135">
            <v>7.8656350000000002</v>
          </cell>
          <cell r="P135">
            <v>8.3769012749999998</v>
          </cell>
          <cell r="Q135">
            <v>8</v>
          </cell>
          <cell r="R135">
            <v>1</v>
          </cell>
          <cell r="S135">
            <v>0.42</v>
          </cell>
          <cell r="T135">
            <v>3.36</v>
          </cell>
          <cell r="U135">
            <v>11.736901274999999</v>
          </cell>
          <cell r="V135">
            <v>0.13</v>
          </cell>
          <cell r="W135">
            <v>0.13</v>
          </cell>
          <cell r="X135">
            <v>9.4658984407499993</v>
          </cell>
          <cell r="Y135">
            <v>3.7967999999999997</v>
          </cell>
          <cell r="Z135">
            <v>13.27</v>
          </cell>
          <cell r="AA135">
            <v>13.27</v>
          </cell>
        </row>
        <row r="136">
          <cell r="A136">
            <v>10127</v>
          </cell>
          <cell r="B136" t="str">
            <v>CREW K C3 HM B MISO GLAZED SALMON, SHITAKE RICE, BABY BOK CHOY, SOY GINGER BROTH</v>
          </cell>
          <cell r="C136">
            <v>1</v>
          </cell>
          <cell r="O136">
            <v>7.8656350000000002</v>
          </cell>
          <cell r="P136">
            <v>8.3769012749999998</v>
          </cell>
          <cell r="Q136">
            <v>8</v>
          </cell>
          <cell r="R136">
            <v>1</v>
          </cell>
          <cell r="S136">
            <v>0.42</v>
          </cell>
          <cell r="T136">
            <v>3.36</v>
          </cell>
          <cell r="U136">
            <v>11.736901274999999</v>
          </cell>
          <cell r="V136">
            <v>0.13</v>
          </cell>
          <cell r="W136">
            <v>0.13</v>
          </cell>
          <cell r="X136">
            <v>9.4658984407499993</v>
          </cell>
          <cell r="Y136">
            <v>3.7967999999999997</v>
          </cell>
          <cell r="Z136">
            <v>13.27</v>
          </cell>
          <cell r="AA136">
            <v>13.27</v>
          </cell>
        </row>
        <row r="137">
          <cell r="A137">
            <v>10128</v>
          </cell>
          <cell r="B137" t="str">
            <v xml:space="preserve">CREW P C3 HB FRITTATA, KALE, BREAKFAST POTATOES, TURKEY SAUSAGE LINK </v>
          </cell>
          <cell r="C137">
            <v>1</v>
          </cell>
          <cell r="O137">
            <v>3.1778400000000002</v>
          </cell>
          <cell r="P137">
            <v>3.3843996000000001</v>
          </cell>
          <cell r="Q137">
            <v>5</v>
          </cell>
          <cell r="R137">
            <v>1</v>
          </cell>
          <cell r="S137">
            <v>0.42</v>
          </cell>
          <cell r="T137">
            <v>1.47</v>
          </cell>
          <cell r="U137">
            <v>4.8543995999999998</v>
          </cell>
          <cell r="V137">
            <v>0.13</v>
          </cell>
          <cell r="W137">
            <v>0.13</v>
          </cell>
          <cell r="X137">
            <v>3.8243715479999998</v>
          </cell>
          <cell r="Y137">
            <v>1.6611</v>
          </cell>
          <cell r="Z137">
            <v>5.49</v>
          </cell>
          <cell r="AA137">
            <v>5.49</v>
          </cell>
        </row>
        <row r="138">
          <cell r="A138">
            <v>10129</v>
          </cell>
          <cell r="B138" t="str">
            <v xml:space="preserve">CREW K C3 HB FRITTATA, KALE, BREAKFAST POTATOES, TURKEY SAUSAGE LINK </v>
          </cell>
          <cell r="C138">
            <v>1</v>
          </cell>
          <cell r="O138">
            <v>3.1778400000000002</v>
          </cell>
          <cell r="P138">
            <v>3.3843996000000001</v>
          </cell>
          <cell r="Q138">
            <v>5</v>
          </cell>
          <cell r="R138">
            <v>1</v>
          </cell>
          <cell r="S138">
            <v>0.42</v>
          </cell>
          <cell r="T138">
            <v>1.47</v>
          </cell>
          <cell r="U138">
            <v>4.8543995999999998</v>
          </cell>
          <cell r="V138">
            <v>0.13</v>
          </cell>
          <cell r="W138">
            <v>0.13</v>
          </cell>
          <cell r="X138">
            <v>3.8243715479999998</v>
          </cell>
          <cell r="Y138">
            <v>1.6611</v>
          </cell>
          <cell r="Z138">
            <v>5.49</v>
          </cell>
          <cell r="AA138">
            <v>5.49</v>
          </cell>
        </row>
        <row r="139">
          <cell r="A139">
            <v>10130</v>
          </cell>
          <cell r="C139">
            <v>1</v>
          </cell>
          <cell r="P139">
            <v>0</v>
          </cell>
          <cell r="R139">
            <v>1</v>
          </cell>
          <cell r="S139">
            <v>0.42</v>
          </cell>
          <cell r="T139">
            <v>0</v>
          </cell>
          <cell r="U139">
            <v>0</v>
          </cell>
          <cell r="V139">
            <v>0.13</v>
          </cell>
          <cell r="W139">
            <v>0.13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</row>
        <row r="140">
          <cell r="A140">
            <v>10131</v>
          </cell>
          <cell r="C140">
            <v>1</v>
          </cell>
          <cell r="P140">
            <v>0</v>
          </cell>
          <cell r="R140">
            <v>1</v>
          </cell>
          <cell r="S140">
            <v>0.42</v>
          </cell>
          <cell r="T140">
            <v>0</v>
          </cell>
          <cell r="U140">
            <v>0</v>
          </cell>
          <cell r="V140">
            <v>0.13</v>
          </cell>
          <cell r="W140">
            <v>0.13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</row>
        <row r="141">
          <cell r="A141">
            <v>10132</v>
          </cell>
          <cell r="C141">
            <v>1</v>
          </cell>
          <cell r="P141">
            <v>0</v>
          </cell>
          <cell r="R141">
            <v>1</v>
          </cell>
          <cell r="S141">
            <v>0.42</v>
          </cell>
          <cell r="T141">
            <v>0</v>
          </cell>
          <cell r="U141">
            <v>0</v>
          </cell>
          <cell r="V141">
            <v>0.13</v>
          </cell>
          <cell r="W141">
            <v>0.13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</row>
        <row r="142">
          <cell r="A142">
            <v>10133</v>
          </cell>
          <cell r="C142">
            <v>1</v>
          </cell>
          <cell r="P142">
            <v>0</v>
          </cell>
          <cell r="R142">
            <v>1</v>
          </cell>
          <cell r="S142">
            <v>0.42</v>
          </cell>
          <cell r="T142">
            <v>0</v>
          </cell>
          <cell r="U142">
            <v>0</v>
          </cell>
          <cell r="V142">
            <v>0.13</v>
          </cell>
          <cell r="W142">
            <v>0.13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</row>
        <row r="143">
          <cell r="A143">
            <v>10134</v>
          </cell>
          <cell r="C143">
            <v>1</v>
          </cell>
          <cell r="P143">
            <v>0</v>
          </cell>
          <cell r="R143">
            <v>1</v>
          </cell>
          <cell r="S143">
            <v>0.42</v>
          </cell>
          <cell r="T143">
            <v>0</v>
          </cell>
          <cell r="U143">
            <v>0</v>
          </cell>
          <cell r="V143">
            <v>0.13</v>
          </cell>
          <cell r="W143">
            <v>0.13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</row>
        <row r="144">
          <cell r="A144">
            <v>10135</v>
          </cell>
          <cell r="C144">
            <v>1</v>
          </cell>
          <cell r="P144">
            <v>0</v>
          </cell>
          <cell r="R144">
            <v>1</v>
          </cell>
          <cell r="S144">
            <v>0.42</v>
          </cell>
          <cell r="T144">
            <v>0</v>
          </cell>
          <cell r="U144">
            <v>0</v>
          </cell>
          <cell r="V144">
            <v>0.13</v>
          </cell>
          <cell r="W144">
            <v>0.13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</row>
        <row r="145">
          <cell r="A145">
            <v>10136</v>
          </cell>
          <cell r="C145">
            <v>1</v>
          </cell>
          <cell r="P145">
            <v>0</v>
          </cell>
          <cell r="R145">
            <v>1</v>
          </cell>
          <cell r="S145">
            <v>0.42</v>
          </cell>
          <cell r="T145">
            <v>0</v>
          </cell>
          <cell r="U145">
            <v>0</v>
          </cell>
          <cell r="V145">
            <v>0.13</v>
          </cell>
          <cell r="W145">
            <v>0.13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</row>
        <row r="146">
          <cell r="A146">
            <v>10137</v>
          </cell>
          <cell r="C146">
            <v>1</v>
          </cell>
          <cell r="P146">
            <v>0</v>
          </cell>
          <cell r="R146">
            <v>1</v>
          </cell>
          <cell r="S146">
            <v>0.42</v>
          </cell>
          <cell r="T146">
            <v>0</v>
          </cell>
          <cell r="U146">
            <v>0</v>
          </cell>
          <cell r="V146">
            <v>0.13</v>
          </cell>
          <cell r="W146">
            <v>0.13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</row>
        <row r="147">
          <cell r="A147">
            <v>10138</v>
          </cell>
          <cell r="C147">
            <v>1</v>
          </cell>
          <cell r="P147">
            <v>0</v>
          </cell>
          <cell r="R147">
            <v>1</v>
          </cell>
          <cell r="S147">
            <v>0.42</v>
          </cell>
          <cell r="T147">
            <v>0</v>
          </cell>
          <cell r="U147">
            <v>0</v>
          </cell>
          <cell r="V147">
            <v>0.13</v>
          </cell>
          <cell r="W147">
            <v>0.13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</row>
        <row r="148">
          <cell r="A148">
            <v>10139</v>
          </cell>
          <cell r="C148">
            <v>1</v>
          </cell>
          <cell r="P148">
            <v>0</v>
          </cell>
          <cell r="R148">
            <v>1</v>
          </cell>
          <cell r="S148">
            <v>0.42</v>
          </cell>
          <cell r="T148">
            <v>0</v>
          </cell>
          <cell r="U148">
            <v>0</v>
          </cell>
          <cell r="V148">
            <v>0.13</v>
          </cell>
          <cell r="W148">
            <v>0.13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</row>
        <row r="149">
          <cell r="A149">
            <v>10140</v>
          </cell>
          <cell r="C149">
            <v>1</v>
          </cell>
          <cell r="P149">
            <v>0</v>
          </cell>
          <cell r="R149">
            <v>1</v>
          </cell>
          <cell r="S149">
            <v>0.42</v>
          </cell>
          <cell r="T149">
            <v>0</v>
          </cell>
          <cell r="U149">
            <v>0</v>
          </cell>
          <cell r="V149">
            <v>0.13</v>
          </cell>
          <cell r="W149">
            <v>0.13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</row>
        <row r="150">
          <cell r="A150">
            <v>10141</v>
          </cell>
          <cell r="C150">
            <v>1</v>
          </cell>
          <cell r="P150">
            <v>0</v>
          </cell>
          <cell r="R150">
            <v>1</v>
          </cell>
          <cell r="S150">
            <v>0.42</v>
          </cell>
          <cell r="T150">
            <v>0</v>
          </cell>
          <cell r="U150">
            <v>0</v>
          </cell>
          <cell r="V150">
            <v>0.13</v>
          </cell>
          <cell r="W150">
            <v>0.13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</row>
        <row r="151">
          <cell r="A151">
            <v>10142</v>
          </cell>
          <cell r="C151">
            <v>1</v>
          </cell>
          <cell r="P151">
            <v>0</v>
          </cell>
          <cell r="R151">
            <v>1</v>
          </cell>
          <cell r="S151">
            <v>0.42</v>
          </cell>
          <cell r="T151">
            <v>0</v>
          </cell>
          <cell r="U151">
            <v>0</v>
          </cell>
          <cell r="V151">
            <v>0.13</v>
          </cell>
          <cell r="W151">
            <v>0.13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</row>
        <row r="152">
          <cell r="A152">
            <v>10143</v>
          </cell>
          <cell r="C152">
            <v>1</v>
          </cell>
          <cell r="P152">
            <v>0</v>
          </cell>
          <cell r="R152">
            <v>1</v>
          </cell>
          <cell r="S152">
            <v>0.42</v>
          </cell>
          <cell r="T152">
            <v>0</v>
          </cell>
          <cell r="U152">
            <v>0</v>
          </cell>
          <cell r="V152">
            <v>0.13</v>
          </cell>
          <cell r="W152">
            <v>0.13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</row>
        <row r="153">
          <cell r="A153">
            <v>10144</v>
          </cell>
          <cell r="C153">
            <v>1</v>
          </cell>
          <cell r="P153">
            <v>0</v>
          </cell>
          <cell r="R153">
            <v>1</v>
          </cell>
          <cell r="S153">
            <v>0.42</v>
          </cell>
          <cell r="T153">
            <v>0</v>
          </cell>
          <cell r="U153">
            <v>0</v>
          </cell>
          <cell r="V153">
            <v>0.13</v>
          </cell>
          <cell r="W153">
            <v>0.13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</row>
        <row r="154">
          <cell r="A154">
            <v>10145</v>
          </cell>
          <cell r="C154">
            <v>1</v>
          </cell>
          <cell r="P154">
            <v>0</v>
          </cell>
          <cell r="R154">
            <v>1</v>
          </cell>
          <cell r="S154">
            <v>0.42</v>
          </cell>
          <cell r="T154">
            <v>0</v>
          </cell>
          <cell r="U154">
            <v>0</v>
          </cell>
          <cell r="V154">
            <v>0.13</v>
          </cell>
          <cell r="W154">
            <v>0.13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</row>
        <row r="155">
          <cell r="A155">
            <v>10146</v>
          </cell>
          <cell r="C155">
            <v>1</v>
          </cell>
          <cell r="P155">
            <v>0</v>
          </cell>
          <cell r="R155">
            <v>1</v>
          </cell>
          <cell r="S155">
            <v>0.42</v>
          </cell>
          <cell r="T155">
            <v>0</v>
          </cell>
          <cell r="U155">
            <v>0</v>
          </cell>
          <cell r="V155">
            <v>0.13</v>
          </cell>
          <cell r="W155">
            <v>0.13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</row>
        <row r="156">
          <cell r="A156">
            <v>10147</v>
          </cell>
          <cell r="C156">
            <v>1</v>
          </cell>
          <cell r="P156">
            <v>0</v>
          </cell>
          <cell r="R156">
            <v>1</v>
          </cell>
          <cell r="S156">
            <v>0.42</v>
          </cell>
          <cell r="T156">
            <v>0</v>
          </cell>
          <cell r="U156">
            <v>0</v>
          </cell>
          <cell r="V156">
            <v>0.13</v>
          </cell>
          <cell r="W156">
            <v>0.13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</row>
        <row r="157">
          <cell r="A157">
            <v>10148</v>
          </cell>
          <cell r="C157">
            <v>1</v>
          </cell>
          <cell r="P157">
            <v>0</v>
          </cell>
          <cell r="R157">
            <v>1</v>
          </cell>
          <cell r="S157">
            <v>0.42</v>
          </cell>
          <cell r="T157">
            <v>0</v>
          </cell>
          <cell r="U157">
            <v>0</v>
          </cell>
          <cell r="V157">
            <v>0.13</v>
          </cell>
          <cell r="W157">
            <v>0.13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</row>
        <row r="158">
          <cell r="A158">
            <v>10149</v>
          </cell>
          <cell r="C158">
            <v>1</v>
          </cell>
          <cell r="P158">
            <v>0</v>
          </cell>
          <cell r="R158">
            <v>1</v>
          </cell>
          <cell r="S158">
            <v>0.42</v>
          </cell>
          <cell r="T158">
            <v>0</v>
          </cell>
          <cell r="U158">
            <v>0</v>
          </cell>
          <cell r="V158">
            <v>0.13</v>
          </cell>
          <cell r="W158">
            <v>0.13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</row>
        <row r="159">
          <cell r="A159">
            <v>10150</v>
          </cell>
          <cell r="C159">
            <v>1</v>
          </cell>
          <cell r="P159">
            <v>0</v>
          </cell>
          <cell r="R159">
            <v>1</v>
          </cell>
          <cell r="S159">
            <v>0.42</v>
          </cell>
          <cell r="T159">
            <v>0</v>
          </cell>
          <cell r="U159">
            <v>0</v>
          </cell>
          <cell r="V159">
            <v>0.13</v>
          </cell>
          <cell r="W159">
            <v>0.13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</row>
        <row r="160">
          <cell r="A160">
            <v>10151</v>
          </cell>
          <cell r="C160">
            <v>1</v>
          </cell>
          <cell r="P160">
            <v>0</v>
          </cell>
          <cell r="R160">
            <v>1</v>
          </cell>
          <cell r="S160">
            <v>0.42</v>
          </cell>
          <cell r="T160">
            <v>0</v>
          </cell>
          <cell r="U160">
            <v>0</v>
          </cell>
          <cell r="V160">
            <v>0.13</v>
          </cell>
          <cell r="W160">
            <v>0.13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</row>
        <row r="161">
          <cell r="A161">
            <v>10152</v>
          </cell>
          <cell r="C161">
            <v>1</v>
          </cell>
          <cell r="P161">
            <v>0</v>
          </cell>
          <cell r="R161">
            <v>1</v>
          </cell>
          <cell r="S161">
            <v>0.42</v>
          </cell>
          <cell r="T161">
            <v>0</v>
          </cell>
          <cell r="U161">
            <v>0</v>
          </cell>
          <cell r="V161">
            <v>0.13</v>
          </cell>
          <cell r="W161">
            <v>0.13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</row>
        <row r="162">
          <cell r="A162">
            <v>10153</v>
          </cell>
          <cell r="C162">
            <v>1</v>
          </cell>
          <cell r="P162">
            <v>0</v>
          </cell>
          <cell r="R162">
            <v>1</v>
          </cell>
          <cell r="S162">
            <v>0.42</v>
          </cell>
          <cell r="T162">
            <v>0</v>
          </cell>
          <cell r="U162">
            <v>0</v>
          </cell>
          <cell r="V162">
            <v>0.13</v>
          </cell>
          <cell r="W162">
            <v>0.13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</row>
        <row r="163">
          <cell r="A163">
            <v>10154</v>
          </cell>
          <cell r="C163">
            <v>1</v>
          </cell>
          <cell r="P163">
            <v>0</v>
          </cell>
          <cell r="R163">
            <v>1</v>
          </cell>
          <cell r="S163">
            <v>0.42</v>
          </cell>
          <cell r="T163">
            <v>0</v>
          </cell>
          <cell r="U163">
            <v>0</v>
          </cell>
          <cell r="V163">
            <v>0.13</v>
          </cell>
          <cell r="W163">
            <v>0.13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</row>
        <row r="164">
          <cell r="A164">
            <v>10155</v>
          </cell>
          <cell r="C164">
            <v>1</v>
          </cell>
          <cell r="P164">
            <v>0</v>
          </cell>
          <cell r="R164">
            <v>1</v>
          </cell>
          <cell r="S164">
            <v>0.42</v>
          </cell>
          <cell r="T164">
            <v>0</v>
          </cell>
          <cell r="U164">
            <v>0</v>
          </cell>
          <cell r="V164">
            <v>0.13</v>
          </cell>
          <cell r="W164">
            <v>0.13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</row>
        <row r="165">
          <cell r="A165">
            <v>10156</v>
          </cell>
          <cell r="C165">
            <v>1</v>
          </cell>
          <cell r="P165">
            <v>0</v>
          </cell>
          <cell r="R165">
            <v>1</v>
          </cell>
          <cell r="S165">
            <v>0.42</v>
          </cell>
          <cell r="T165">
            <v>0</v>
          </cell>
          <cell r="U165">
            <v>0</v>
          </cell>
          <cell r="V165">
            <v>0.13</v>
          </cell>
          <cell r="W165">
            <v>0.13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</row>
        <row r="166">
          <cell r="A166">
            <v>10157</v>
          </cell>
          <cell r="C166">
            <v>1</v>
          </cell>
          <cell r="P166">
            <v>0</v>
          </cell>
          <cell r="R166">
            <v>1</v>
          </cell>
          <cell r="S166">
            <v>0.42</v>
          </cell>
          <cell r="T166">
            <v>0</v>
          </cell>
          <cell r="U166">
            <v>0</v>
          </cell>
          <cell r="V166">
            <v>0.13</v>
          </cell>
          <cell r="W166">
            <v>0.13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</row>
        <row r="167">
          <cell r="A167">
            <v>10158</v>
          </cell>
          <cell r="C167">
            <v>1</v>
          </cell>
          <cell r="P167">
            <v>0</v>
          </cell>
          <cell r="R167">
            <v>1</v>
          </cell>
          <cell r="S167">
            <v>0.42</v>
          </cell>
          <cell r="T167">
            <v>0</v>
          </cell>
          <cell r="U167">
            <v>0</v>
          </cell>
          <cell r="V167">
            <v>0.13</v>
          </cell>
          <cell r="W167">
            <v>0.13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</row>
        <row r="168">
          <cell r="A168">
            <v>10159</v>
          </cell>
          <cell r="C168">
            <v>1</v>
          </cell>
          <cell r="P168">
            <v>0</v>
          </cell>
          <cell r="R168">
            <v>1</v>
          </cell>
          <cell r="S168">
            <v>0.42</v>
          </cell>
          <cell r="T168">
            <v>0</v>
          </cell>
          <cell r="U168">
            <v>0</v>
          </cell>
          <cell r="V168">
            <v>0.13</v>
          </cell>
          <cell r="W168">
            <v>0.13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</row>
        <row r="169">
          <cell r="A169">
            <v>10160</v>
          </cell>
          <cell r="C169">
            <v>1</v>
          </cell>
          <cell r="P169">
            <v>0</v>
          </cell>
          <cell r="R169">
            <v>1</v>
          </cell>
          <cell r="S169">
            <v>0.42</v>
          </cell>
          <cell r="T169">
            <v>0</v>
          </cell>
          <cell r="U169">
            <v>0</v>
          </cell>
          <cell r="V169">
            <v>0.13</v>
          </cell>
          <cell r="W169">
            <v>0.13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</row>
        <row r="170">
          <cell r="A170">
            <v>10161</v>
          </cell>
          <cell r="C170">
            <v>1</v>
          </cell>
          <cell r="P170">
            <v>0</v>
          </cell>
          <cell r="R170">
            <v>1</v>
          </cell>
          <cell r="S170">
            <v>0.42</v>
          </cell>
          <cell r="T170">
            <v>0</v>
          </cell>
          <cell r="U170">
            <v>0</v>
          </cell>
          <cell r="V170">
            <v>0.13</v>
          </cell>
          <cell r="W170">
            <v>0.13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</row>
        <row r="171">
          <cell r="A171">
            <v>10162</v>
          </cell>
          <cell r="C171">
            <v>1</v>
          </cell>
          <cell r="P171">
            <v>0</v>
          </cell>
          <cell r="R171">
            <v>1</v>
          </cell>
          <cell r="S171">
            <v>0.42</v>
          </cell>
          <cell r="T171">
            <v>0</v>
          </cell>
          <cell r="U171">
            <v>0</v>
          </cell>
          <cell r="V171">
            <v>0.13</v>
          </cell>
          <cell r="W171">
            <v>0.13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</row>
        <row r="172">
          <cell r="A172">
            <v>10163</v>
          </cell>
          <cell r="C172">
            <v>1</v>
          </cell>
          <cell r="P172">
            <v>0</v>
          </cell>
          <cell r="R172">
            <v>1</v>
          </cell>
          <cell r="S172">
            <v>0.42</v>
          </cell>
          <cell r="T172">
            <v>0</v>
          </cell>
          <cell r="U172">
            <v>0</v>
          </cell>
          <cell r="V172">
            <v>0.13</v>
          </cell>
          <cell r="W172">
            <v>0.13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</row>
        <row r="173">
          <cell r="A173">
            <v>10164</v>
          </cell>
          <cell r="C173">
            <v>1</v>
          </cell>
          <cell r="P173">
            <v>0</v>
          </cell>
          <cell r="R173">
            <v>1</v>
          </cell>
          <cell r="S173">
            <v>0.42</v>
          </cell>
          <cell r="T173">
            <v>0</v>
          </cell>
          <cell r="U173">
            <v>0</v>
          </cell>
          <cell r="V173">
            <v>0.13</v>
          </cell>
          <cell r="W173">
            <v>0.13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</row>
        <row r="174">
          <cell r="A174">
            <v>10165</v>
          </cell>
          <cell r="C174">
            <v>1</v>
          </cell>
          <cell r="P174">
            <v>0</v>
          </cell>
          <cell r="R174">
            <v>1</v>
          </cell>
          <cell r="S174">
            <v>0.42</v>
          </cell>
          <cell r="T174">
            <v>0</v>
          </cell>
          <cell r="U174">
            <v>0</v>
          </cell>
          <cell r="V174">
            <v>0.13</v>
          </cell>
          <cell r="W174">
            <v>0.13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</row>
        <row r="175">
          <cell r="A175">
            <v>10166</v>
          </cell>
          <cell r="C175">
            <v>1</v>
          </cell>
          <cell r="P175">
            <v>0</v>
          </cell>
          <cell r="R175">
            <v>1</v>
          </cell>
          <cell r="S175">
            <v>0.42</v>
          </cell>
          <cell r="T175">
            <v>0</v>
          </cell>
          <cell r="U175">
            <v>0</v>
          </cell>
          <cell r="V175">
            <v>0.13</v>
          </cell>
          <cell r="W175">
            <v>0.13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</row>
        <row r="176">
          <cell r="A176">
            <v>10167</v>
          </cell>
          <cell r="C176">
            <v>1</v>
          </cell>
          <cell r="P176">
            <v>0</v>
          </cell>
          <cell r="R176">
            <v>1</v>
          </cell>
          <cell r="S176">
            <v>0.42</v>
          </cell>
          <cell r="T176">
            <v>0</v>
          </cell>
          <cell r="U176">
            <v>0</v>
          </cell>
          <cell r="V176">
            <v>0.13</v>
          </cell>
          <cell r="W176">
            <v>0.13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</row>
        <row r="177">
          <cell r="A177">
            <v>10168</v>
          </cell>
          <cell r="C177">
            <v>1</v>
          </cell>
          <cell r="P177">
            <v>0</v>
          </cell>
          <cell r="R177">
            <v>1</v>
          </cell>
          <cell r="S177">
            <v>0.42</v>
          </cell>
          <cell r="T177">
            <v>0</v>
          </cell>
          <cell r="U177">
            <v>0</v>
          </cell>
          <cell r="V177">
            <v>0.13</v>
          </cell>
          <cell r="W177">
            <v>0.13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</row>
        <row r="178">
          <cell r="A178">
            <v>10169</v>
          </cell>
          <cell r="C178">
            <v>1</v>
          </cell>
          <cell r="P178">
            <v>0</v>
          </cell>
          <cell r="R178">
            <v>1</v>
          </cell>
          <cell r="S178">
            <v>0.42</v>
          </cell>
          <cell r="T178">
            <v>0</v>
          </cell>
          <cell r="U178">
            <v>0</v>
          </cell>
          <cell r="V178">
            <v>0.13</v>
          </cell>
          <cell r="W178">
            <v>0.13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</row>
        <row r="179">
          <cell r="A179">
            <v>10170</v>
          </cell>
          <cell r="C179">
            <v>1</v>
          </cell>
          <cell r="P179">
            <v>0</v>
          </cell>
          <cell r="R179">
            <v>1</v>
          </cell>
          <cell r="S179">
            <v>0.42</v>
          </cell>
          <cell r="T179">
            <v>0</v>
          </cell>
          <cell r="U179">
            <v>0</v>
          </cell>
          <cell r="V179">
            <v>0.13</v>
          </cell>
          <cell r="W179">
            <v>0.13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</row>
        <row r="180">
          <cell r="A180">
            <v>10171</v>
          </cell>
          <cell r="C180">
            <v>1</v>
          </cell>
          <cell r="P180">
            <v>0</v>
          </cell>
          <cell r="R180">
            <v>1</v>
          </cell>
          <cell r="S180">
            <v>0.42</v>
          </cell>
          <cell r="T180">
            <v>0</v>
          </cell>
          <cell r="U180">
            <v>0</v>
          </cell>
          <cell r="V180">
            <v>0.13</v>
          </cell>
          <cell r="W180">
            <v>0.13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</row>
        <row r="181">
          <cell r="A181">
            <v>10172</v>
          </cell>
          <cell r="C181">
            <v>1</v>
          </cell>
          <cell r="P181">
            <v>0</v>
          </cell>
          <cell r="R181">
            <v>1</v>
          </cell>
          <cell r="S181">
            <v>0.42</v>
          </cell>
          <cell r="T181">
            <v>0</v>
          </cell>
          <cell r="U181">
            <v>0</v>
          </cell>
          <cell r="V181">
            <v>0.13</v>
          </cell>
          <cell r="W181">
            <v>0.13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</row>
        <row r="182">
          <cell r="A182">
            <v>10173</v>
          </cell>
          <cell r="C182">
            <v>1</v>
          </cell>
          <cell r="P182">
            <v>0</v>
          </cell>
          <cell r="R182">
            <v>1</v>
          </cell>
          <cell r="S182">
            <v>0.42</v>
          </cell>
          <cell r="T182">
            <v>0</v>
          </cell>
          <cell r="U182">
            <v>0</v>
          </cell>
          <cell r="V182">
            <v>0.13</v>
          </cell>
          <cell r="W182">
            <v>0.13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</row>
        <row r="183">
          <cell r="A183">
            <v>10174</v>
          </cell>
          <cell r="C183">
            <v>1</v>
          </cell>
          <cell r="P183">
            <v>0</v>
          </cell>
          <cell r="R183">
            <v>1</v>
          </cell>
          <cell r="S183">
            <v>0.42</v>
          </cell>
          <cell r="T183">
            <v>0</v>
          </cell>
          <cell r="U183">
            <v>0</v>
          </cell>
          <cell r="V183">
            <v>0.13</v>
          </cell>
          <cell r="W183">
            <v>0.13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</row>
        <row r="184">
          <cell r="A184">
            <v>10175</v>
          </cell>
          <cell r="C184">
            <v>1</v>
          </cell>
          <cell r="P184">
            <v>0</v>
          </cell>
          <cell r="R184">
            <v>1</v>
          </cell>
          <cell r="S184">
            <v>0.42</v>
          </cell>
          <cell r="T184">
            <v>0</v>
          </cell>
          <cell r="U184">
            <v>0</v>
          </cell>
          <cell r="V184">
            <v>0.13</v>
          </cell>
          <cell r="W184">
            <v>0.13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</row>
        <row r="185">
          <cell r="A185">
            <v>10176</v>
          </cell>
          <cell r="C185">
            <v>1</v>
          </cell>
          <cell r="P185">
            <v>0</v>
          </cell>
          <cell r="R185">
            <v>1</v>
          </cell>
          <cell r="S185">
            <v>0.42</v>
          </cell>
          <cell r="T185">
            <v>0</v>
          </cell>
          <cell r="U185">
            <v>0</v>
          </cell>
          <cell r="V185">
            <v>0.13</v>
          </cell>
          <cell r="W185">
            <v>0.13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</row>
        <row r="186">
          <cell r="A186">
            <v>10177</v>
          </cell>
          <cell r="C186">
            <v>1</v>
          </cell>
          <cell r="P186">
            <v>0</v>
          </cell>
          <cell r="R186">
            <v>1</v>
          </cell>
          <cell r="S186">
            <v>0.42</v>
          </cell>
          <cell r="T186">
            <v>0</v>
          </cell>
          <cell r="U186">
            <v>0</v>
          </cell>
          <cell r="V186">
            <v>0.13</v>
          </cell>
          <cell r="W186">
            <v>0.13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</row>
        <row r="187">
          <cell r="A187">
            <v>10178</v>
          </cell>
          <cell r="C187">
            <v>1</v>
          </cell>
          <cell r="P187">
            <v>0</v>
          </cell>
          <cell r="R187">
            <v>1</v>
          </cell>
          <cell r="S187">
            <v>0.42</v>
          </cell>
          <cell r="T187">
            <v>0</v>
          </cell>
          <cell r="U187">
            <v>0</v>
          </cell>
          <cell r="V187">
            <v>0.13</v>
          </cell>
          <cell r="W187">
            <v>0.13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</row>
        <row r="188">
          <cell r="A188">
            <v>10179</v>
          </cell>
          <cell r="C188">
            <v>1</v>
          </cell>
          <cell r="P188">
            <v>0</v>
          </cell>
          <cell r="R188">
            <v>1</v>
          </cell>
          <cell r="S188">
            <v>0.42</v>
          </cell>
          <cell r="T188">
            <v>0</v>
          </cell>
          <cell r="U188">
            <v>0</v>
          </cell>
          <cell r="V188">
            <v>0.13</v>
          </cell>
          <cell r="W188">
            <v>0.13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</row>
        <row r="189">
          <cell r="A189">
            <v>10180</v>
          </cell>
          <cell r="C189">
            <v>1</v>
          </cell>
          <cell r="P189">
            <v>0</v>
          </cell>
          <cell r="R189">
            <v>1</v>
          </cell>
          <cell r="S189">
            <v>0.42</v>
          </cell>
          <cell r="T189">
            <v>0</v>
          </cell>
          <cell r="U189">
            <v>0</v>
          </cell>
          <cell r="V189">
            <v>0.13</v>
          </cell>
          <cell r="W189">
            <v>0.13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</row>
        <row r="190">
          <cell r="A190">
            <v>10181</v>
          </cell>
          <cell r="C190">
            <v>1</v>
          </cell>
          <cell r="P190">
            <v>0</v>
          </cell>
          <cell r="R190">
            <v>1</v>
          </cell>
          <cell r="S190">
            <v>0.42</v>
          </cell>
          <cell r="T190">
            <v>0</v>
          </cell>
          <cell r="U190">
            <v>0</v>
          </cell>
          <cell r="V190">
            <v>0.13</v>
          </cell>
          <cell r="W190">
            <v>0.13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</row>
        <row r="191">
          <cell r="A191">
            <v>10182</v>
          </cell>
          <cell r="C191">
            <v>1</v>
          </cell>
          <cell r="P191">
            <v>0</v>
          </cell>
          <cell r="R191">
            <v>1</v>
          </cell>
          <cell r="S191">
            <v>0.42</v>
          </cell>
          <cell r="T191">
            <v>0</v>
          </cell>
          <cell r="U191">
            <v>0</v>
          </cell>
          <cell r="V191">
            <v>0.13</v>
          </cell>
          <cell r="W191">
            <v>0.13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</row>
        <row r="192">
          <cell r="A192">
            <v>10183</v>
          </cell>
          <cell r="C192">
            <v>1</v>
          </cell>
          <cell r="P192">
            <v>0</v>
          </cell>
          <cell r="R192">
            <v>1</v>
          </cell>
          <cell r="S192">
            <v>0.42</v>
          </cell>
          <cell r="T192">
            <v>0</v>
          </cell>
          <cell r="U192">
            <v>0</v>
          </cell>
          <cell r="V192">
            <v>0.13</v>
          </cell>
          <cell r="W192">
            <v>0.13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</row>
        <row r="193">
          <cell r="A193">
            <v>10184</v>
          </cell>
          <cell r="C193">
            <v>1</v>
          </cell>
          <cell r="P193">
            <v>0</v>
          </cell>
          <cell r="R193">
            <v>1</v>
          </cell>
          <cell r="S193">
            <v>0.42</v>
          </cell>
          <cell r="T193">
            <v>0</v>
          </cell>
          <cell r="U193">
            <v>0</v>
          </cell>
          <cell r="V193">
            <v>0.13</v>
          </cell>
          <cell r="W193">
            <v>0.13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</row>
        <row r="194">
          <cell r="A194">
            <v>10185</v>
          </cell>
          <cell r="C194">
            <v>1</v>
          </cell>
          <cell r="P194">
            <v>0</v>
          </cell>
          <cell r="R194">
            <v>1</v>
          </cell>
          <cell r="S194">
            <v>0.42</v>
          </cell>
          <cell r="T194">
            <v>0</v>
          </cell>
          <cell r="U194">
            <v>0</v>
          </cell>
          <cell r="V194">
            <v>0.13</v>
          </cell>
          <cell r="W194">
            <v>0.13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</row>
        <row r="195">
          <cell r="A195">
            <v>10186</v>
          </cell>
          <cell r="C195">
            <v>1</v>
          </cell>
          <cell r="P195">
            <v>0</v>
          </cell>
          <cell r="R195">
            <v>1</v>
          </cell>
          <cell r="S195">
            <v>0.42</v>
          </cell>
          <cell r="T195">
            <v>0</v>
          </cell>
          <cell r="U195">
            <v>0</v>
          </cell>
          <cell r="V195">
            <v>0.13</v>
          </cell>
          <cell r="W195">
            <v>0.13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</row>
        <row r="196">
          <cell r="A196">
            <v>10187</v>
          </cell>
          <cell r="C196">
            <v>1</v>
          </cell>
          <cell r="P196">
            <v>0</v>
          </cell>
          <cell r="R196">
            <v>1</v>
          </cell>
          <cell r="S196">
            <v>0.42</v>
          </cell>
          <cell r="T196">
            <v>0</v>
          </cell>
          <cell r="U196">
            <v>0</v>
          </cell>
          <cell r="V196">
            <v>0.13</v>
          </cell>
          <cell r="W196">
            <v>0.13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</row>
        <row r="197">
          <cell r="A197">
            <v>10188</v>
          </cell>
          <cell r="C197">
            <v>1</v>
          </cell>
          <cell r="P197">
            <v>0</v>
          </cell>
          <cell r="R197">
            <v>1</v>
          </cell>
          <cell r="S197">
            <v>0.42</v>
          </cell>
          <cell r="T197">
            <v>0</v>
          </cell>
          <cell r="U197">
            <v>0</v>
          </cell>
          <cell r="V197">
            <v>0.13</v>
          </cell>
          <cell r="W197">
            <v>0.13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</row>
        <row r="198">
          <cell r="A198">
            <v>10189</v>
          </cell>
          <cell r="C198">
            <v>1</v>
          </cell>
          <cell r="P198">
            <v>0</v>
          </cell>
          <cell r="R198">
            <v>1</v>
          </cell>
          <cell r="S198">
            <v>0.42</v>
          </cell>
          <cell r="T198">
            <v>0</v>
          </cell>
          <cell r="U198">
            <v>0</v>
          </cell>
          <cell r="V198">
            <v>0.13</v>
          </cell>
          <cell r="W198">
            <v>0.13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</row>
        <row r="199">
          <cell r="A199">
            <v>10190</v>
          </cell>
          <cell r="C199">
            <v>1</v>
          </cell>
          <cell r="P199">
            <v>0</v>
          </cell>
          <cell r="R199">
            <v>1</v>
          </cell>
          <cell r="S199">
            <v>0.42</v>
          </cell>
          <cell r="T199">
            <v>0</v>
          </cell>
          <cell r="U199">
            <v>0</v>
          </cell>
          <cell r="V199">
            <v>0.13</v>
          </cell>
          <cell r="W199">
            <v>0.13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</row>
        <row r="200">
          <cell r="A200">
            <v>10191</v>
          </cell>
          <cell r="C200">
            <v>1</v>
          </cell>
          <cell r="P200">
            <v>0</v>
          </cell>
          <cell r="R200">
            <v>1</v>
          </cell>
          <cell r="S200">
            <v>0.42</v>
          </cell>
          <cell r="T200">
            <v>0</v>
          </cell>
          <cell r="U200">
            <v>0</v>
          </cell>
          <cell r="V200">
            <v>0.13</v>
          </cell>
          <cell r="W200">
            <v>0.13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</row>
        <row r="201">
          <cell r="A201">
            <v>10192</v>
          </cell>
          <cell r="C201">
            <v>1</v>
          </cell>
          <cell r="P201">
            <v>0</v>
          </cell>
          <cell r="R201">
            <v>1</v>
          </cell>
          <cell r="S201">
            <v>0.42</v>
          </cell>
          <cell r="T201">
            <v>0</v>
          </cell>
          <cell r="U201">
            <v>0</v>
          </cell>
          <cell r="V201">
            <v>0.13</v>
          </cell>
          <cell r="W201">
            <v>0.13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</row>
        <row r="202">
          <cell r="A202">
            <v>10193</v>
          </cell>
          <cell r="C202">
            <v>1</v>
          </cell>
          <cell r="P202">
            <v>0</v>
          </cell>
          <cell r="R202">
            <v>1</v>
          </cell>
          <cell r="S202">
            <v>0.42</v>
          </cell>
          <cell r="T202">
            <v>0</v>
          </cell>
          <cell r="U202">
            <v>0</v>
          </cell>
          <cell r="V202">
            <v>0.13</v>
          </cell>
          <cell r="W202">
            <v>0.13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</row>
        <row r="203">
          <cell r="A203">
            <v>10194</v>
          </cell>
          <cell r="C203">
            <v>1</v>
          </cell>
          <cell r="P203">
            <v>0</v>
          </cell>
          <cell r="R203">
            <v>1</v>
          </cell>
          <cell r="S203">
            <v>0.42</v>
          </cell>
          <cell r="T203">
            <v>0</v>
          </cell>
          <cell r="U203">
            <v>0</v>
          </cell>
          <cell r="V203">
            <v>0.13</v>
          </cell>
          <cell r="W203">
            <v>0.13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</row>
        <row r="204">
          <cell r="A204">
            <v>10195</v>
          </cell>
          <cell r="C204">
            <v>1</v>
          </cell>
          <cell r="P204">
            <v>0</v>
          </cell>
          <cell r="R204">
            <v>1</v>
          </cell>
          <cell r="S204">
            <v>0.42</v>
          </cell>
          <cell r="T204">
            <v>0</v>
          </cell>
          <cell r="U204">
            <v>0</v>
          </cell>
          <cell r="V204">
            <v>0.13</v>
          </cell>
          <cell r="W204">
            <v>0.13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</row>
        <row r="205">
          <cell r="A205">
            <v>10196</v>
          </cell>
          <cell r="C205">
            <v>1</v>
          </cell>
          <cell r="P205">
            <v>0</v>
          </cell>
          <cell r="R205">
            <v>1</v>
          </cell>
          <cell r="S205">
            <v>0.42</v>
          </cell>
          <cell r="T205">
            <v>0</v>
          </cell>
          <cell r="U205">
            <v>0</v>
          </cell>
          <cell r="V205">
            <v>0.13</v>
          </cell>
          <cell r="W205">
            <v>0.13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</row>
        <row r="206">
          <cell r="A206">
            <v>10197</v>
          </cell>
          <cell r="C206">
            <v>1</v>
          </cell>
          <cell r="P206">
            <v>0</v>
          </cell>
          <cell r="R206">
            <v>1</v>
          </cell>
          <cell r="S206">
            <v>0.42</v>
          </cell>
          <cell r="T206">
            <v>0</v>
          </cell>
          <cell r="U206">
            <v>0</v>
          </cell>
          <cell r="V206">
            <v>0.13</v>
          </cell>
          <cell r="W206">
            <v>0.13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</row>
        <row r="207">
          <cell r="A207">
            <v>10198</v>
          </cell>
          <cell r="C207">
            <v>1</v>
          </cell>
          <cell r="P207">
            <v>0</v>
          </cell>
          <cell r="R207">
            <v>1</v>
          </cell>
          <cell r="S207">
            <v>0.42</v>
          </cell>
          <cell r="T207">
            <v>0</v>
          </cell>
          <cell r="U207">
            <v>0</v>
          </cell>
          <cell r="V207">
            <v>0.13</v>
          </cell>
          <cell r="W207">
            <v>0.13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</row>
        <row r="208">
          <cell r="A208">
            <v>10199</v>
          </cell>
          <cell r="C208">
            <v>1</v>
          </cell>
          <cell r="P208">
            <v>0</v>
          </cell>
          <cell r="R208">
            <v>1</v>
          </cell>
          <cell r="S208">
            <v>0.42</v>
          </cell>
          <cell r="T208">
            <v>0</v>
          </cell>
          <cell r="U208">
            <v>0</v>
          </cell>
          <cell r="V208">
            <v>0.13</v>
          </cell>
          <cell r="W208">
            <v>0.13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</row>
        <row r="209">
          <cell r="A209">
            <v>10200</v>
          </cell>
          <cell r="C209">
            <v>1</v>
          </cell>
          <cell r="P209">
            <v>0</v>
          </cell>
          <cell r="R209">
            <v>1</v>
          </cell>
          <cell r="S209">
            <v>0.42</v>
          </cell>
          <cell r="T209">
            <v>0</v>
          </cell>
          <cell r="U209">
            <v>0</v>
          </cell>
          <cell r="V209">
            <v>0.13</v>
          </cell>
          <cell r="W209">
            <v>0.13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</row>
        <row r="210">
          <cell r="A210">
            <v>10201</v>
          </cell>
          <cell r="C210">
            <v>1</v>
          </cell>
          <cell r="P210">
            <v>0</v>
          </cell>
          <cell r="R210">
            <v>1</v>
          </cell>
          <cell r="S210">
            <v>0.42</v>
          </cell>
          <cell r="T210">
            <v>0</v>
          </cell>
          <cell r="U210">
            <v>0</v>
          </cell>
          <cell r="V210">
            <v>0.13</v>
          </cell>
          <cell r="W210">
            <v>0.13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</row>
        <row r="211">
          <cell r="A211">
            <v>10202</v>
          </cell>
          <cell r="C211">
            <v>1</v>
          </cell>
          <cell r="P211">
            <v>0</v>
          </cell>
          <cell r="R211">
            <v>1</v>
          </cell>
          <cell r="S211">
            <v>0.42</v>
          </cell>
          <cell r="T211">
            <v>0</v>
          </cell>
          <cell r="U211">
            <v>0</v>
          </cell>
          <cell r="V211">
            <v>0.13</v>
          </cell>
          <cell r="W211">
            <v>0.13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</row>
        <row r="212">
          <cell r="A212">
            <v>10203</v>
          </cell>
          <cell r="C212">
            <v>1</v>
          </cell>
          <cell r="P212">
            <v>0</v>
          </cell>
          <cell r="R212">
            <v>1</v>
          </cell>
          <cell r="S212">
            <v>0.42</v>
          </cell>
          <cell r="T212">
            <v>0</v>
          </cell>
          <cell r="U212">
            <v>0</v>
          </cell>
          <cell r="V212">
            <v>0.13</v>
          </cell>
          <cell r="W212">
            <v>0.13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</row>
        <row r="213">
          <cell r="A213">
            <v>10204</v>
          </cell>
          <cell r="C213">
            <v>1</v>
          </cell>
          <cell r="P213">
            <v>0</v>
          </cell>
          <cell r="R213">
            <v>1</v>
          </cell>
          <cell r="S213">
            <v>0.42</v>
          </cell>
          <cell r="T213">
            <v>0</v>
          </cell>
          <cell r="U213">
            <v>0</v>
          </cell>
          <cell r="V213">
            <v>0.13</v>
          </cell>
          <cell r="W213">
            <v>0.13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</row>
        <row r="214">
          <cell r="A214">
            <v>10205</v>
          </cell>
          <cell r="C214">
            <v>1</v>
          </cell>
          <cell r="P214">
            <v>0</v>
          </cell>
          <cell r="R214">
            <v>1</v>
          </cell>
          <cell r="S214">
            <v>0.42</v>
          </cell>
          <cell r="T214">
            <v>0</v>
          </cell>
          <cell r="U214">
            <v>0</v>
          </cell>
          <cell r="V214">
            <v>0.13</v>
          </cell>
          <cell r="W214">
            <v>0.13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</row>
        <row r="215">
          <cell r="A215">
            <v>10206</v>
          </cell>
          <cell r="C215">
            <v>1</v>
          </cell>
          <cell r="P215">
            <v>0</v>
          </cell>
          <cell r="R215">
            <v>1</v>
          </cell>
          <cell r="S215">
            <v>0.42</v>
          </cell>
          <cell r="T215">
            <v>0</v>
          </cell>
          <cell r="U215">
            <v>0</v>
          </cell>
          <cell r="V215">
            <v>0.13</v>
          </cell>
          <cell r="W215">
            <v>0.13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</row>
        <row r="216">
          <cell r="A216">
            <v>10207</v>
          </cell>
          <cell r="C216">
            <v>1</v>
          </cell>
          <cell r="P216">
            <v>0</v>
          </cell>
          <cell r="R216">
            <v>1</v>
          </cell>
          <cell r="S216">
            <v>0.42</v>
          </cell>
          <cell r="T216">
            <v>0</v>
          </cell>
          <cell r="U216">
            <v>0</v>
          </cell>
          <cell r="V216">
            <v>0.13</v>
          </cell>
          <cell r="W216">
            <v>0.13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</row>
        <row r="217">
          <cell r="A217">
            <v>10208</v>
          </cell>
          <cell r="C217">
            <v>1</v>
          </cell>
          <cell r="P217">
            <v>0</v>
          </cell>
          <cell r="R217">
            <v>1</v>
          </cell>
          <cell r="S217">
            <v>0.42</v>
          </cell>
          <cell r="T217">
            <v>0</v>
          </cell>
          <cell r="U217">
            <v>0</v>
          </cell>
          <cell r="V217">
            <v>0.13</v>
          </cell>
          <cell r="W217">
            <v>0.13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</row>
        <row r="218">
          <cell r="A218">
            <v>10209</v>
          </cell>
          <cell r="C218">
            <v>1</v>
          </cell>
          <cell r="P218">
            <v>0</v>
          </cell>
          <cell r="R218">
            <v>1</v>
          </cell>
          <cell r="S218">
            <v>0.42</v>
          </cell>
          <cell r="T218">
            <v>0</v>
          </cell>
          <cell r="U218">
            <v>0</v>
          </cell>
          <cell r="V218">
            <v>0.13</v>
          </cell>
          <cell r="W218">
            <v>0.13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</row>
        <row r="219">
          <cell r="A219">
            <v>10210</v>
          </cell>
          <cell r="C219">
            <v>1</v>
          </cell>
          <cell r="P219">
            <v>0</v>
          </cell>
          <cell r="R219">
            <v>1</v>
          </cell>
          <cell r="S219">
            <v>0.42</v>
          </cell>
          <cell r="T219">
            <v>0</v>
          </cell>
          <cell r="U219">
            <v>0</v>
          </cell>
          <cell r="V219">
            <v>0.13</v>
          </cell>
          <cell r="W219">
            <v>0.13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</row>
        <row r="220">
          <cell r="A220">
            <v>10211</v>
          </cell>
          <cell r="C220">
            <v>1</v>
          </cell>
          <cell r="P220">
            <v>0</v>
          </cell>
          <cell r="R220">
            <v>1</v>
          </cell>
          <cell r="S220">
            <v>0.42</v>
          </cell>
          <cell r="T220">
            <v>0</v>
          </cell>
          <cell r="U220">
            <v>0</v>
          </cell>
          <cell r="V220">
            <v>0.13</v>
          </cell>
          <cell r="W220">
            <v>0.13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</row>
        <row r="221">
          <cell r="A221">
            <v>10212</v>
          </cell>
          <cell r="C221">
            <v>1</v>
          </cell>
          <cell r="P221">
            <v>0</v>
          </cell>
          <cell r="R221">
            <v>1</v>
          </cell>
          <cell r="S221">
            <v>0.42</v>
          </cell>
          <cell r="T221">
            <v>0</v>
          </cell>
          <cell r="U221">
            <v>0</v>
          </cell>
          <cell r="V221">
            <v>0.13</v>
          </cell>
          <cell r="W221">
            <v>0.13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</row>
        <row r="222">
          <cell r="A222">
            <v>10213</v>
          </cell>
          <cell r="C222">
            <v>1</v>
          </cell>
          <cell r="P222">
            <v>0</v>
          </cell>
          <cell r="R222">
            <v>1</v>
          </cell>
          <cell r="S222">
            <v>0.42</v>
          </cell>
          <cell r="T222">
            <v>0</v>
          </cell>
          <cell r="U222">
            <v>0</v>
          </cell>
          <cell r="V222">
            <v>0.13</v>
          </cell>
          <cell r="W222">
            <v>0.13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</row>
        <row r="223">
          <cell r="A223">
            <v>10214</v>
          </cell>
          <cell r="C223">
            <v>1</v>
          </cell>
          <cell r="P223">
            <v>0</v>
          </cell>
          <cell r="R223">
            <v>1</v>
          </cell>
          <cell r="S223">
            <v>0.42</v>
          </cell>
          <cell r="T223">
            <v>0</v>
          </cell>
          <cell r="U223">
            <v>0</v>
          </cell>
          <cell r="V223">
            <v>0.13</v>
          </cell>
          <cell r="W223">
            <v>0.13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</row>
        <row r="224">
          <cell r="A224">
            <v>10215</v>
          </cell>
          <cell r="C224">
            <v>1</v>
          </cell>
          <cell r="P224">
            <v>0</v>
          </cell>
          <cell r="R224">
            <v>1</v>
          </cell>
          <cell r="S224">
            <v>0.42</v>
          </cell>
          <cell r="T224">
            <v>0</v>
          </cell>
          <cell r="U224">
            <v>0</v>
          </cell>
          <cell r="V224">
            <v>0.13</v>
          </cell>
          <cell r="W224">
            <v>0.13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</row>
        <row r="225">
          <cell r="A225">
            <v>10216</v>
          </cell>
          <cell r="C225">
            <v>1</v>
          </cell>
          <cell r="P225">
            <v>0</v>
          </cell>
          <cell r="R225">
            <v>1</v>
          </cell>
          <cell r="S225">
            <v>0.42</v>
          </cell>
          <cell r="T225">
            <v>0</v>
          </cell>
          <cell r="U225">
            <v>0</v>
          </cell>
          <cell r="V225">
            <v>0.13</v>
          </cell>
          <cell r="W225">
            <v>0.13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</row>
        <row r="226">
          <cell r="A226">
            <v>10217</v>
          </cell>
          <cell r="C226">
            <v>1</v>
          </cell>
          <cell r="P226">
            <v>0</v>
          </cell>
          <cell r="R226">
            <v>1</v>
          </cell>
          <cell r="S226">
            <v>0.42</v>
          </cell>
          <cell r="T226">
            <v>0</v>
          </cell>
          <cell r="U226">
            <v>0</v>
          </cell>
          <cell r="V226">
            <v>0.13</v>
          </cell>
          <cell r="W226">
            <v>0.13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</row>
        <row r="227">
          <cell r="A227">
            <v>10218</v>
          </cell>
          <cell r="C227">
            <v>1</v>
          </cell>
          <cell r="P227">
            <v>0</v>
          </cell>
          <cell r="R227">
            <v>1</v>
          </cell>
          <cell r="S227">
            <v>0.42</v>
          </cell>
          <cell r="T227">
            <v>0</v>
          </cell>
          <cell r="U227">
            <v>0</v>
          </cell>
          <cell r="V227">
            <v>0.13</v>
          </cell>
          <cell r="W227">
            <v>0.13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</row>
        <row r="228">
          <cell r="A228">
            <v>10219</v>
          </cell>
          <cell r="C228">
            <v>1</v>
          </cell>
          <cell r="P228">
            <v>0</v>
          </cell>
          <cell r="R228">
            <v>1</v>
          </cell>
          <cell r="S228">
            <v>0.42</v>
          </cell>
          <cell r="T228">
            <v>0</v>
          </cell>
          <cell r="U228">
            <v>0</v>
          </cell>
          <cell r="V228">
            <v>0.13</v>
          </cell>
          <cell r="W228">
            <v>0.13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</row>
        <row r="229">
          <cell r="A229">
            <v>10220</v>
          </cell>
          <cell r="C229">
            <v>1</v>
          </cell>
          <cell r="P229">
            <v>0</v>
          </cell>
          <cell r="R229">
            <v>1</v>
          </cell>
          <cell r="S229">
            <v>0.42</v>
          </cell>
          <cell r="T229">
            <v>0</v>
          </cell>
          <cell r="U229">
            <v>0</v>
          </cell>
          <cell r="V229">
            <v>0.13</v>
          </cell>
          <cell r="W229">
            <v>0.13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</row>
        <row r="230">
          <cell r="A230">
            <v>10221</v>
          </cell>
          <cell r="C230">
            <v>1</v>
          </cell>
          <cell r="P230">
            <v>0</v>
          </cell>
          <cell r="R230">
            <v>1</v>
          </cell>
          <cell r="S230">
            <v>0.42</v>
          </cell>
          <cell r="T230">
            <v>0</v>
          </cell>
          <cell r="U230">
            <v>0</v>
          </cell>
          <cell r="V230">
            <v>0.13</v>
          </cell>
          <cell r="W230">
            <v>0.13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</row>
        <row r="231">
          <cell r="A231">
            <v>10222</v>
          </cell>
          <cell r="C231">
            <v>1</v>
          </cell>
          <cell r="P231">
            <v>0</v>
          </cell>
          <cell r="R231">
            <v>1</v>
          </cell>
          <cell r="S231">
            <v>0.42</v>
          </cell>
          <cell r="T231">
            <v>0</v>
          </cell>
          <cell r="U231">
            <v>0</v>
          </cell>
          <cell r="V231">
            <v>0.13</v>
          </cell>
          <cell r="W231">
            <v>0.13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</row>
        <row r="232">
          <cell r="A232">
            <v>10223</v>
          </cell>
          <cell r="C232">
            <v>1</v>
          </cell>
          <cell r="P232">
            <v>0</v>
          </cell>
          <cell r="R232">
            <v>1</v>
          </cell>
          <cell r="S232">
            <v>0.42</v>
          </cell>
          <cell r="T232">
            <v>0</v>
          </cell>
          <cell r="U232">
            <v>0</v>
          </cell>
          <cell r="V232">
            <v>0.13</v>
          </cell>
          <cell r="W232">
            <v>0.13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</row>
        <row r="233">
          <cell r="A233">
            <v>10224</v>
          </cell>
          <cell r="C233">
            <v>1</v>
          </cell>
          <cell r="P233">
            <v>0</v>
          </cell>
          <cell r="R233">
            <v>1</v>
          </cell>
          <cell r="S233">
            <v>0.42</v>
          </cell>
          <cell r="T233">
            <v>0</v>
          </cell>
          <cell r="U233">
            <v>0</v>
          </cell>
          <cell r="V233">
            <v>0.13</v>
          </cell>
          <cell r="W233">
            <v>0.13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</row>
        <row r="234">
          <cell r="A234">
            <v>10225</v>
          </cell>
          <cell r="C234">
            <v>1</v>
          </cell>
          <cell r="P234">
            <v>0</v>
          </cell>
          <cell r="R234">
            <v>1</v>
          </cell>
          <cell r="S234">
            <v>0.42</v>
          </cell>
          <cell r="T234">
            <v>0</v>
          </cell>
          <cell r="U234">
            <v>0</v>
          </cell>
          <cell r="V234">
            <v>0.13</v>
          </cell>
          <cell r="W234">
            <v>0.13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</row>
        <row r="235">
          <cell r="P235">
            <v>0</v>
          </cell>
        </row>
        <row r="236">
          <cell r="P236">
            <v>0</v>
          </cell>
        </row>
      </sheetData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redient_Recipe Cost List"/>
      <sheetName val="Latam"/>
      <sheetName val="KLM RECIPE COSTS"/>
      <sheetName val="Sheet1"/>
      <sheetName val="Sheet2"/>
      <sheetName val="Sheet3"/>
      <sheetName val="Sheet4"/>
      <sheetName val="TURKISH "/>
      <sheetName val="ANA IAH"/>
      <sheetName val="Sheet5"/>
      <sheetName val="MASTER COST LIST"/>
      <sheetName val="RAW"/>
      <sheetName val="UPDATES"/>
      <sheetName val="Labor Rate by CIty"/>
      <sheetName val="POLICY"/>
      <sheetName val="POLICY2"/>
      <sheetName val="FG MASTER"/>
      <sheetName val="Miscellaneous Items"/>
      <sheetName val="MENU GRID"/>
      <sheetName val="PRICING PAGE"/>
      <sheetName val="PER PAX AVERAGES"/>
      <sheetName val="SALES PER FLIGHT"/>
      <sheetName val="PERIOD SALES CALCS"/>
      <sheetName val="New Period Summary"/>
      <sheetName val="121_PNL"/>
      <sheetName val="dnata_PNL"/>
      <sheetName val="MPL"/>
      <sheetName val="LABOR TOOL"/>
      <sheetName val="HANDLING"/>
      <sheetName val="Invoice Summary"/>
      <sheetName val="Invoice 194"/>
      <sheetName val="Invoice 196"/>
      <sheetName val="New BB"/>
      <sheetName val="Drop Down List"/>
      <sheetName val="BC Grid"/>
      <sheetName val="Invoice eff 01.19.2020"/>
    </sheetNames>
    <sheetDataSet>
      <sheetData sheetId="0">
        <row r="1">
          <cell r="A1" t="str">
            <v>Part Number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igia  Baez" id="{3CEB29FF-8EB2-46EA-A5A6-552ED326FCA0}" userId="Ligia  Baez" providerId="Non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67508B-11DC-456F-8380-0DBE817F7962}" name="Table1" displayName="Table1" ref="A9:AJ242" totalsRowCount="1" headerRowDxfId="96" dataDxfId="95" dataCellStyle="Currency">
  <autoFilter ref="A9:AJ241" xr:uid="{00000000-0009-0000-0100-000001000000}"/>
  <tableColumns count="36">
    <tableColumn id="1" xr3:uid="{C6782929-1A81-4645-A03F-98FFB0AF3915}" name="Item #" dataDxfId="94" totalsRowDxfId="35"/>
    <tableColumn id="2" xr3:uid="{62DF9A0F-E630-45A2-BA85-53C996BBB695}" name="Item Description" dataDxfId="93"/>
    <tableColumn id="4" xr3:uid="{FD94C36F-0E0F-4A5A-8AF4-B13735CD0827}" name="Price Code" dataDxfId="92" totalsRowDxfId="34"/>
    <tableColumn id="7" xr3:uid="{F2FA5C67-04F7-406D-AACF-055192CA22EA}" name="EQ1" dataDxfId="91" totalsRowDxfId="33"/>
    <tableColumn id="8" xr3:uid="{3C05845C-653A-4F60-8F71-AEE9C6D6617B}" name="EQ2" dataDxfId="90" totalsRowDxfId="32"/>
    <tableColumn id="9" xr3:uid="{C72E1697-DAE0-49AA-981B-E831E9E7823A}" name="EQ3" dataDxfId="89" totalsRowDxfId="31"/>
    <tableColumn id="10" xr3:uid="{C0995136-30B1-4E6F-9068-84691B1D02DB}" name="EQ4" dataDxfId="88" totalsRowDxfId="30"/>
    <tableColumn id="11" xr3:uid="{C0B51D9F-58C6-4EE7-976F-D0131924DDB8}" name="EQ5" dataDxfId="87" totalsRowDxfId="29"/>
    <tableColumn id="12" xr3:uid="{70B22F5E-920D-4910-A880-98DC209CBBFD}" name="Unit Weight/ Count" dataDxfId="86" totalsRowDxfId="28"/>
    <tableColumn id="13" xr3:uid="{8000A74C-6EDC-486D-9C3A-4475D17EA252}" name="UOM" dataDxfId="85" totalsRowDxfId="27"/>
    <tableColumn id="14" xr3:uid="{772012EB-16B8-4DF5-9DF7-17113470364A}" name="Final Work Center" dataDxfId="84" totalsRowDxfId="26"/>
    <tableColumn id="15" xr3:uid="{60C418D4-F2D8-4C72-A3DA-0B36B17C83EB}" name="Req / No processing needed" dataDxfId="83" totalsRowDxfId="25"/>
    <tableColumn id="16" xr3:uid="{63C0F741-9557-44A9-ADBD-91C8DA230E93}" name="Prep Center" dataDxfId="82" totalsRowDxfId="24"/>
    <tableColumn id="17" xr3:uid="{447189D7-2E0A-42B8-989A-06B78F159A1E}" name="Item Weight" dataDxfId="81" totalsRowDxfId="23"/>
    <tableColumn id="18" xr3:uid="{944E5884-BC78-4EAE-9863-B0AE594E3401}" name="unit cost" dataDxfId="80" totalsRowDxfId="22">
      <calculatedColumnFormula>IF($A10&gt;899999,VLOOKUP($A10,'[6]Ingredient_Recipe Cost List'!$A$1:$J$9458,10,FALSE),VLOOKUP($A10,#REF!,3,FALSE))</calculatedColumnFormula>
    </tableColumn>
    <tableColumn id="19" xr3:uid="{C933AA98-F65B-4F7E-9DCF-8194A2B96B22}" name="cost per quantity" dataDxfId="79" totalsRowDxfId="21">
      <calculatedColumnFormula>I10*O10</calculatedColumnFormula>
    </tableColumn>
    <tableColumn id="20" xr3:uid="{674CD203-4DDB-4A33-B56F-125369329149}" name="man minutes" dataDxfId="78" totalsRowDxfId="20">
      <calculatedColumnFormula>Table1[[#This Row],[Column2]]*1.5</calculatedColumnFormula>
    </tableColumn>
    <tableColumn id="21" xr3:uid="{34986782-8FD7-4010-9BB1-6F9D626714BE}" name="labor factor" dataDxfId="77" totalsRowDxfId="19"/>
    <tableColumn id="22" xr3:uid="{F9021FDF-1592-4782-81E7-E5C24CAED053}" name="labor rate" dataDxfId="76" totalsRowDxfId="18" dataCellStyle="Currency">
      <calculatedColumnFormula>$S$2</calculatedColumnFormula>
    </tableColumn>
    <tableColumn id="23" xr3:uid="{2F8C9876-8CF0-4E33-A1B2-1B10C400B776}" name="labor cost" dataDxfId="75" totalsRowDxfId="17" dataCellStyle="Currency">
      <calculatedColumnFormula>Table1[[#This Row],[man minutes]]*Table1[[#This Row],[labor rate]]</calculatedColumnFormula>
    </tableColumn>
    <tableColumn id="24" xr3:uid="{40FEA85C-AB43-42FA-9B4F-C92E3A599406}" name="total cost" dataDxfId="74" totalsRowDxfId="16" dataCellStyle="Currency">
      <calculatedColumnFormula>P10+T10</calculatedColumnFormula>
    </tableColumn>
    <tableColumn id="25" xr3:uid="{661D3A86-007A-42CA-AB03-8097FD01A032}" name="food markup" dataDxfId="73" totalsRowDxfId="15" dataCellStyle="Percent">
      <calculatedColumnFormula>VLOOKUP(Table1[[#This Row],[Price Code]],[2]POLICY!$A$9:$B$11,2,FALSE)</calculatedColumnFormula>
    </tableColumn>
    <tableColumn id="26" xr3:uid="{FFC3F889-D47A-4A8D-A8B7-0F178BD7D5A3}" name="labor m/u" dataDxfId="72" totalsRowDxfId="14" dataCellStyle="Percent">
      <calculatedColumnFormula>[2]POLICY!$B$16</calculatedColumnFormula>
    </tableColumn>
    <tableColumn id="27" xr3:uid="{65320564-C4AC-4783-B7CF-150435CD4A64}" name="food sale price" dataDxfId="71" totalsRowDxfId="13" dataCellStyle="Currency">
      <calculatedColumnFormula>P10/V10</calculatedColumnFormula>
    </tableColumn>
    <tableColumn id="28" xr3:uid="{EFAF6175-C43B-4781-9CB4-1A8D6623F69F}" name="labor sale price" dataDxfId="70" totalsRowDxfId="12" dataCellStyle="Currency">
      <calculatedColumnFormula>T10+(T10*W10)</calculatedColumnFormula>
    </tableColumn>
    <tableColumn id="29" xr3:uid="{41341792-8E0D-4A7B-ABCF-A88D29E65F9A}" name="calculated sale price" dataDxfId="69" totalsRowDxfId="11" dataCellStyle="Currency">
      <calculatedColumnFormula>IFERROR(ROUNDUP(X10+Y10,2)," ")</calculatedColumnFormula>
    </tableColumn>
    <tableColumn id="30" xr3:uid="{98346334-5D22-4AD6-A44E-D5AF97766915}" name="Item         Price" dataDxfId="68" totalsRowDxfId="10" dataCellStyle="Currency"/>
    <tableColumn id="3" xr3:uid="{774A5052-4410-4C1B-BAC4-A8D4EAC7E778}" name="Final Food Cost %" dataDxfId="67" totalsRowDxfId="9" dataCellStyle="Percent">
      <calculatedColumnFormula>IFERROR(Table1[[#This Row],[unit cost]]/Table1[[#This Row],[Item         Price]]," ")</calculatedColumnFormula>
    </tableColumn>
    <tableColumn id="5" xr3:uid="{7E2D16AA-229D-4192-BFA1-30100AC178CE}" name="Column1" dataDxfId="66" totalsRowDxfId="8" dataCellStyle="Currency"/>
    <tableColumn id="6" xr3:uid="{8DCDE761-48A0-47A8-8B3C-02D66061E5B2}" name="Column2" dataDxfId="65" dataCellStyle="Currency"/>
    <tableColumn id="31" xr3:uid="{5871BDDA-1786-44E7-9C49-D8219C0A528E}" name="Food cost w/ MU" dataDxfId="64" dataCellStyle="Currency">
      <calculatedColumnFormula>Table1[[#This Row],[cost per quantity]]*(1+'P&amp;L'!$P$8)</calculatedColumnFormula>
    </tableColumn>
    <tableColumn id="32" xr3:uid="{DD7008ED-765C-452C-A301-713A628DF5FE}" name="labor cost W/ MU" dataDxfId="63" dataCellStyle="Currency">
      <calculatedColumnFormula>$AF$8*Table1[[#This Row],[man minutes]]*(1+'P&amp;L'!$P$9)</calculatedColumnFormula>
    </tableColumn>
    <tableColumn id="33" xr3:uid="{8AC9D40D-6778-405E-A743-ED9F6F51F01F}" name="Column3" dataDxfId="62" dataCellStyle="Currency">
      <calculatedColumnFormula>$AF$8*Table1[[#This Row],[man minutes]]*1.18</calculatedColumnFormula>
    </tableColumn>
    <tableColumn id="34" xr3:uid="{2CFF39CD-2254-483F-BC0D-9026317D33C0}" name="Column4" dataDxfId="61" dataCellStyle="Currency">
      <calculatedColumnFormula>$AF$8*Table1[[#This Row],[man minutes]]*1.18</calculatedColumnFormula>
    </tableColumn>
    <tableColumn id="35" xr3:uid="{7772E5A1-334A-4554-920B-06F0635EB460}" name="Column5" dataDxfId="60" dataCellStyle="Currency">
      <calculatedColumnFormula>Table1[[#This Row],[Food cost w/ MU]]+Table1[[#This Row],[labor cost W/ MU]]</calculatedColumnFormula>
    </tableColumn>
    <tableColumn id="36" xr3:uid="{F9315689-CB1D-4EE3-B7F1-0E657845E342}" name="Column6" dataDxfId="59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5" dT="2021-04-30T13:49:47.22" personId="{3CEB29FF-8EB2-46EA-A5A6-552ED326FCA0}" id="{54B4AB6A-A7F9-4E79-8BD1-4A7778F89C1F}">
    <text>includes Premium Economy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78DE4-A6C6-4F63-A623-F15D8DF15442}">
  <dimension ref="B1:V39"/>
  <sheetViews>
    <sheetView showGridLines="0" zoomScale="105" zoomScaleNormal="115" workbookViewId="0">
      <selection activeCell="P5" sqref="P5"/>
    </sheetView>
  </sheetViews>
  <sheetFormatPr defaultColWidth="8.7109375" defaultRowHeight="15" x14ac:dyDescent="0.25"/>
  <cols>
    <col min="1" max="1" width="6.85546875" style="140" customWidth="1"/>
    <col min="2" max="2" width="30.7109375" style="140" customWidth="1"/>
    <col min="3" max="3" width="20.5703125" style="140" hidden="1" customWidth="1"/>
    <col min="4" max="4" width="7.85546875" style="140" hidden="1" customWidth="1"/>
    <col min="5" max="5" width="21" style="140" customWidth="1"/>
    <col min="6" max="6" width="8.140625" style="140" customWidth="1"/>
    <col min="7" max="7" width="19.85546875" style="140" hidden="1" customWidth="1"/>
    <col min="8" max="8" width="8.5703125" style="140" hidden="1" customWidth="1"/>
    <col min="9" max="9" width="17.7109375" customWidth="1"/>
    <col min="10" max="11" width="8.7109375" style="140" customWidth="1"/>
    <col min="12" max="13" width="10.7109375" style="140" bestFit="1" customWidth="1"/>
    <col min="14" max="15" width="8.7109375" style="140" customWidth="1"/>
    <col min="16" max="16" width="8.28515625" style="140" bestFit="1" customWidth="1"/>
    <col min="17" max="17" width="7.7109375" style="140" bestFit="1" customWidth="1"/>
    <col min="18" max="18" width="8.7109375" style="140"/>
    <col min="19" max="19" width="10.28515625" style="140" bestFit="1" customWidth="1"/>
    <col min="20" max="20" width="10.5703125" style="140" customWidth="1"/>
    <col min="21" max="21" width="13.28515625" style="140" bestFit="1" customWidth="1"/>
    <col min="22" max="22" width="14.42578125" style="140" bestFit="1" customWidth="1"/>
    <col min="23" max="16384" width="8.7109375" style="140"/>
  </cols>
  <sheetData>
    <row r="1" spans="2:22" ht="15.75" thickBot="1" x14ac:dyDescent="0.3"/>
    <row r="2" spans="2:22" ht="15.75" thickBot="1" x14ac:dyDescent="0.3">
      <c r="B2" s="148"/>
      <c r="C2" s="148"/>
      <c r="D2" s="150"/>
      <c r="E2" s="148"/>
      <c r="F2" s="150"/>
      <c r="G2" s="149"/>
      <c r="H2" s="150"/>
      <c r="P2" s="219">
        <v>7</v>
      </c>
      <c r="Q2" s="386" t="s">
        <v>0</v>
      </c>
      <c r="R2" s="387"/>
      <c r="S2" s="387"/>
      <c r="T2" s="388"/>
      <c r="U2" s="259"/>
    </row>
    <row r="3" spans="2:22" ht="15.75" thickBot="1" x14ac:dyDescent="0.3">
      <c r="B3" s="151"/>
      <c r="C3" s="151"/>
      <c r="D3" s="152"/>
      <c r="E3" s="177"/>
      <c r="F3" s="152"/>
      <c r="G3"/>
      <c r="H3" s="152"/>
      <c r="P3" s="219">
        <f>FlightConfig!K17</f>
        <v>364</v>
      </c>
      <c r="Q3" s="391" t="s">
        <v>1</v>
      </c>
      <c r="R3" s="392"/>
      <c r="S3" s="392"/>
      <c r="T3" s="393"/>
      <c r="U3" s="259"/>
    </row>
    <row r="4" spans="2:22" ht="15.75" thickBot="1" x14ac:dyDescent="0.3">
      <c r="B4" s="151"/>
      <c r="C4" s="151"/>
      <c r="D4" s="152"/>
      <c r="E4" s="151"/>
      <c r="F4" s="152"/>
      <c r="H4" s="152"/>
      <c r="P4" s="194">
        <v>0.8</v>
      </c>
      <c r="Q4" s="391" t="s">
        <v>2</v>
      </c>
      <c r="R4" s="392"/>
      <c r="S4" s="392"/>
      <c r="T4" s="393"/>
    </row>
    <row r="5" spans="2:22" ht="16.5" thickBot="1" x14ac:dyDescent="0.3">
      <c r="B5" s="384" t="s">
        <v>3</v>
      </c>
      <c r="C5" s="382" t="s">
        <v>4</v>
      </c>
      <c r="D5" s="383"/>
      <c r="E5" s="382" t="s">
        <v>5</v>
      </c>
      <c r="F5" s="383"/>
      <c r="G5" s="382" t="s">
        <v>6</v>
      </c>
      <c r="H5" s="383"/>
      <c r="P5" s="195">
        <v>3</v>
      </c>
      <c r="Q5" s="391" t="s">
        <v>7</v>
      </c>
      <c r="R5" s="392"/>
      <c r="S5" s="392"/>
      <c r="T5" s="393"/>
    </row>
    <row r="6" spans="2:22" ht="16.5" thickBot="1" x14ac:dyDescent="0.3">
      <c r="B6" s="385"/>
      <c r="C6" s="295" t="s">
        <v>8</v>
      </c>
      <c r="D6" s="153" t="s">
        <v>9</v>
      </c>
      <c r="E6" s="295" t="s">
        <v>8</v>
      </c>
      <c r="F6" s="153" t="s">
        <v>9</v>
      </c>
      <c r="G6" s="165" t="s">
        <v>8</v>
      </c>
      <c r="H6" s="153" t="s">
        <v>9</v>
      </c>
      <c r="P6" s="194">
        <v>0</v>
      </c>
      <c r="Q6" s="406" t="s">
        <v>10</v>
      </c>
      <c r="R6" s="407"/>
      <c r="S6" s="407"/>
      <c r="T6" s="408"/>
    </row>
    <row r="7" spans="2:22" ht="15.75" thickBot="1" x14ac:dyDescent="0.3">
      <c r="B7" s="308" t="s">
        <v>11</v>
      </c>
      <c r="C7" s="296">
        <f>SUM(E7,G7)</f>
        <v>4460170.1711889617</v>
      </c>
      <c r="D7" s="164">
        <f>C7/$C$12</f>
        <v>0.8990474902693617</v>
      </c>
      <c r="E7" s="296">
        <f>SUM('Summary '!J11:J14)</f>
        <v>1285870.1711889615</v>
      </c>
      <c r="F7" s="164">
        <f>E7/$E$12</f>
        <v>0.71969201088878521</v>
      </c>
      <c r="G7" s="186">
        <f>529050*6</f>
        <v>3174300</v>
      </c>
      <c r="H7" s="164">
        <f>G7/$G$12</f>
        <v>1</v>
      </c>
    </row>
    <row r="8" spans="2:22" ht="15.75" thickBot="1" x14ac:dyDescent="0.3">
      <c r="B8" s="308" t="s">
        <v>12</v>
      </c>
      <c r="C8" s="296">
        <f>SUM(E8,G8)</f>
        <v>276600.90355693339</v>
      </c>
      <c r="D8" s="164">
        <f>C8/$C$12</f>
        <v>5.5755125612798766E-2</v>
      </c>
      <c r="E8" s="296">
        <f>SUM('Summary '!J16:J17)</f>
        <v>276600.90355693339</v>
      </c>
      <c r="F8" s="164">
        <f t="shared" ref="F8:F21" si="0">E8/$E$12</f>
        <v>0.15481147704863504</v>
      </c>
      <c r="G8" s="186"/>
      <c r="H8" s="164">
        <f t="shared" ref="H8:H22" si="1">G8/$G$12</f>
        <v>0</v>
      </c>
      <c r="P8" s="196">
        <v>0.13</v>
      </c>
      <c r="Q8" s="394" t="s">
        <v>13</v>
      </c>
      <c r="R8" s="395"/>
      <c r="S8" s="395"/>
      <c r="T8" s="396"/>
      <c r="U8" s="270"/>
    </row>
    <row r="9" spans="2:22" ht="15.75" thickBot="1" x14ac:dyDescent="0.3">
      <c r="B9" s="308" t="s">
        <v>14</v>
      </c>
      <c r="C9" s="296">
        <f>SUM(E9,G9)</f>
        <v>224224</v>
      </c>
      <c r="D9" s="164">
        <f t="shared" ref="D9:D20" si="2">C9/$C$12</f>
        <v>4.5197384117839474E-2</v>
      </c>
      <c r="E9" s="296">
        <f>'Summary '!J10</f>
        <v>224224</v>
      </c>
      <c r="F9" s="164">
        <f t="shared" si="0"/>
        <v>0.12549651206257972</v>
      </c>
      <c r="G9" s="186"/>
      <c r="H9" s="164">
        <f t="shared" si="1"/>
        <v>0</v>
      </c>
      <c r="P9" s="196">
        <v>0.13</v>
      </c>
      <c r="Q9" s="397" t="s">
        <v>15</v>
      </c>
      <c r="R9" s="398"/>
      <c r="S9" s="398"/>
      <c r="T9" s="399"/>
    </row>
    <row r="10" spans="2:22" ht="15.75" thickBot="1" x14ac:dyDescent="0.3">
      <c r="B10" s="308" t="s">
        <v>16</v>
      </c>
      <c r="C10" s="296">
        <f>SUM(E10,G10)</f>
        <v>0</v>
      </c>
      <c r="D10" s="164">
        <f t="shared" si="2"/>
        <v>0</v>
      </c>
      <c r="E10" s="296">
        <f>'Summary '!J15</f>
        <v>0</v>
      </c>
      <c r="F10" s="164">
        <f t="shared" si="0"/>
        <v>0</v>
      </c>
      <c r="G10" s="186"/>
      <c r="H10" s="164">
        <f t="shared" si="1"/>
        <v>0</v>
      </c>
      <c r="I10" s="185"/>
      <c r="P10" s="196">
        <v>8.6999999999999994E-2</v>
      </c>
      <c r="Q10" s="376" t="s">
        <v>17</v>
      </c>
      <c r="R10" s="377"/>
      <c r="S10" s="377"/>
      <c r="T10" s="378"/>
    </row>
    <row r="11" spans="2:22" ht="15.75" thickBot="1" x14ac:dyDescent="0.3">
      <c r="B11" s="308" t="s">
        <v>10</v>
      </c>
      <c r="C11" s="296">
        <f>SUM(E11,G11)</f>
        <v>0</v>
      </c>
      <c r="D11" s="164">
        <f t="shared" si="2"/>
        <v>0</v>
      </c>
      <c r="E11" s="296">
        <f>SUM(E7:E9)*P6</f>
        <v>0</v>
      </c>
      <c r="F11" s="164">
        <f>E11/$E$12</f>
        <v>0</v>
      </c>
      <c r="G11" s="186"/>
      <c r="H11" s="164">
        <f t="shared" si="1"/>
        <v>0</v>
      </c>
      <c r="P11" s="196">
        <v>0</v>
      </c>
      <c r="Q11" s="376" t="s">
        <v>18</v>
      </c>
      <c r="R11" s="377"/>
      <c r="S11" s="377"/>
      <c r="T11" s="378"/>
    </row>
    <row r="12" spans="2:22" ht="15.75" thickBot="1" x14ac:dyDescent="0.3">
      <c r="B12" s="309" t="s">
        <v>19</v>
      </c>
      <c r="C12" s="297">
        <f>SUM(C7:C11)</f>
        <v>4960995.0747458953</v>
      </c>
      <c r="D12" s="197">
        <f t="shared" si="2"/>
        <v>1</v>
      </c>
      <c r="E12" s="297">
        <f>SUM(E7:E11)</f>
        <v>1786695.0747458949</v>
      </c>
      <c r="F12" s="197">
        <f t="shared" si="0"/>
        <v>1</v>
      </c>
      <c r="G12" s="285">
        <f>SUM(G7:G11)</f>
        <v>3174300</v>
      </c>
      <c r="H12" s="197">
        <f t="shared" si="1"/>
        <v>1</v>
      </c>
      <c r="I12" s="314">
        <f>E12/12</f>
        <v>148891.25622882458</v>
      </c>
      <c r="P12" s="216"/>
      <c r="V12" s="179"/>
    </row>
    <row r="13" spans="2:22" ht="15.75" thickBot="1" x14ac:dyDescent="0.3">
      <c r="B13" s="308" t="s">
        <v>20</v>
      </c>
      <c r="C13" s="296">
        <f>SUM(E13,G13)</f>
        <v>1430652.4073085706</v>
      </c>
      <c r="D13" s="164">
        <f t="shared" si="2"/>
        <v>0.28838013054908129</v>
      </c>
      <c r="E13" s="296">
        <f>'Summary '!J11</f>
        <v>672414.40730857069</v>
      </c>
      <c r="F13" s="164">
        <f>E13/$E$12</f>
        <v>0.37634536346623221</v>
      </c>
      <c r="G13" s="186">
        <f>126373*6</f>
        <v>758238</v>
      </c>
      <c r="H13" s="164">
        <f t="shared" si="1"/>
        <v>0.2388677818731689</v>
      </c>
      <c r="I13" t="s">
        <v>21</v>
      </c>
      <c r="P13" s="403" t="s">
        <v>22</v>
      </c>
      <c r="Q13" s="404"/>
      <c r="R13" s="404"/>
      <c r="S13" s="404"/>
      <c r="T13" s="405"/>
      <c r="U13" s="270"/>
    </row>
    <row r="14" spans="2:22" ht="15.75" thickBot="1" x14ac:dyDescent="0.3">
      <c r="B14" s="308" t="s">
        <v>23</v>
      </c>
      <c r="C14" s="296">
        <f>SUM(E14,G14)</f>
        <v>0</v>
      </c>
      <c r="D14" s="164">
        <f t="shared" si="2"/>
        <v>0</v>
      </c>
      <c r="E14" s="296">
        <v>0</v>
      </c>
      <c r="F14" s="164">
        <f t="shared" si="0"/>
        <v>0</v>
      </c>
      <c r="G14" s="186">
        <f>0+E14</f>
        <v>0</v>
      </c>
      <c r="H14" s="164">
        <f t="shared" si="1"/>
        <v>0</v>
      </c>
      <c r="I14" s="323">
        <f>E13/12</f>
        <v>56034.533942380891</v>
      </c>
      <c r="P14" s="227">
        <f>Handling!C24</f>
        <v>559.89259218937752</v>
      </c>
      <c r="Q14" s="400" t="s">
        <v>24</v>
      </c>
      <c r="R14" s="401"/>
      <c r="S14" s="401"/>
      <c r="T14" s="402"/>
    </row>
    <row r="15" spans="2:22" ht="15.75" thickBot="1" x14ac:dyDescent="0.3">
      <c r="B15" s="309" t="s">
        <v>25</v>
      </c>
      <c r="C15" s="297">
        <f>SUM(C13:C14)</f>
        <v>1430652.4073085706</v>
      </c>
      <c r="D15" s="197">
        <f t="shared" si="2"/>
        <v>0.28838013054908129</v>
      </c>
      <c r="E15" s="297">
        <f>SUM(E13:E14)</f>
        <v>672414.40730857069</v>
      </c>
      <c r="F15" s="197">
        <f t="shared" si="0"/>
        <v>0.37634536346623221</v>
      </c>
      <c r="G15" s="285">
        <f>SUM(G13:G14)</f>
        <v>758238</v>
      </c>
      <c r="H15" s="197">
        <f t="shared" si="1"/>
        <v>0.2388677818731689</v>
      </c>
      <c r="P15" s="179"/>
    </row>
    <row r="16" spans="2:22" ht="15.75" thickBot="1" x14ac:dyDescent="0.3">
      <c r="B16" s="308" t="s">
        <v>26</v>
      </c>
      <c r="C16" s="296">
        <f>SUM(E16,G16)</f>
        <v>1919837.1581408978</v>
      </c>
      <c r="D16" s="164">
        <f t="shared" si="2"/>
        <v>0.38698630601628503</v>
      </c>
      <c r="E16" s="296">
        <f>'Summary '!L17</f>
        <v>579235.55814089777</v>
      </c>
      <c r="F16" s="164">
        <f>E16/$E$12</f>
        <v>0.32419385172552573</v>
      </c>
      <c r="G16" s="186">
        <f>223433.6*6</f>
        <v>1340601.6000000001</v>
      </c>
      <c r="H16" s="164">
        <f t="shared" si="1"/>
        <v>0.42232983649938571</v>
      </c>
      <c r="I16" s="185"/>
      <c r="P16" s="403" t="s">
        <v>22</v>
      </c>
      <c r="Q16" s="404"/>
      <c r="R16" s="404"/>
      <c r="S16" s="404"/>
      <c r="T16" s="405"/>
    </row>
    <row r="17" spans="2:20" ht="15.75" thickBot="1" x14ac:dyDescent="0.3">
      <c r="B17" s="308" t="s">
        <v>27</v>
      </c>
      <c r="C17" s="296">
        <f>SUM(E17,G17)</f>
        <v>0</v>
      </c>
      <c r="D17" s="164">
        <f t="shared" si="2"/>
        <v>0</v>
      </c>
      <c r="E17" s="296">
        <v>0</v>
      </c>
      <c r="F17" s="164">
        <f t="shared" si="0"/>
        <v>0</v>
      </c>
      <c r="G17" s="186">
        <f>0+E17</f>
        <v>0</v>
      </c>
      <c r="H17" s="164">
        <f t="shared" si="1"/>
        <v>0</v>
      </c>
      <c r="I17" s="184"/>
      <c r="P17" s="227">
        <f>Handling!C28</f>
        <v>200</v>
      </c>
      <c r="Q17" s="400" t="s">
        <v>28</v>
      </c>
      <c r="R17" s="401"/>
      <c r="S17" s="401"/>
      <c r="T17" s="402"/>
    </row>
    <row r="18" spans="2:20" x14ac:dyDescent="0.25">
      <c r="B18" s="308" t="s">
        <v>29</v>
      </c>
      <c r="C18" s="296">
        <f>SUM(E18,G18)</f>
        <v>464959.28953522444</v>
      </c>
      <c r="D18" s="164">
        <f t="shared" si="2"/>
        <v>9.3722989547422572E-2</v>
      </c>
      <c r="E18" s="296">
        <f>'Summary '!L18</f>
        <v>144808.88953522444</v>
      </c>
      <c r="F18" s="164">
        <f t="shared" si="0"/>
        <v>8.1048462931381432E-2</v>
      </c>
      <c r="G18" s="186">
        <f>53358.4*6</f>
        <v>320150.40000000002</v>
      </c>
      <c r="H18" s="164">
        <f t="shared" si="1"/>
        <v>0.10085700784424913</v>
      </c>
    </row>
    <row r="19" spans="2:20" x14ac:dyDescent="0.25">
      <c r="B19" s="308" t="s">
        <v>30</v>
      </c>
      <c r="C19" s="296">
        <f>SUM(E19,G19)</f>
        <v>0</v>
      </c>
      <c r="D19" s="164">
        <f t="shared" si="2"/>
        <v>0</v>
      </c>
      <c r="E19" s="296">
        <v>0</v>
      </c>
      <c r="F19" s="164">
        <f t="shared" si="0"/>
        <v>0</v>
      </c>
      <c r="G19" s="186"/>
      <c r="H19" s="164">
        <f t="shared" si="1"/>
        <v>0</v>
      </c>
    </row>
    <row r="20" spans="2:20" x14ac:dyDescent="0.25">
      <c r="B20" s="308" t="s">
        <v>31</v>
      </c>
      <c r="C20" s="296">
        <f>SUM(E20,G20)</f>
        <v>0</v>
      </c>
      <c r="D20" s="164">
        <f t="shared" si="2"/>
        <v>0</v>
      </c>
      <c r="E20" s="296">
        <v>0</v>
      </c>
      <c r="F20" s="164">
        <f t="shared" si="0"/>
        <v>0</v>
      </c>
      <c r="G20" s="186"/>
      <c r="H20" s="164">
        <f t="shared" si="1"/>
        <v>0</v>
      </c>
      <c r="P20" s="270"/>
      <c r="Q20" s="270"/>
    </row>
    <row r="21" spans="2:20" ht="15.75" thickBot="1" x14ac:dyDescent="0.3">
      <c r="B21" s="309" t="s">
        <v>32</v>
      </c>
      <c r="C21" s="297">
        <f>SUM(C16:C20)</f>
        <v>2384796.4476761222</v>
      </c>
      <c r="D21" s="197">
        <f>C21/$C$12</f>
        <v>0.48070929556370756</v>
      </c>
      <c r="E21" s="297">
        <f>SUM(E16:E20)</f>
        <v>724044.44767612219</v>
      </c>
      <c r="F21" s="197">
        <f t="shared" si="0"/>
        <v>0.40524231465690719</v>
      </c>
      <c r="G21" s="285">
        <f>SUM(G16:G20)</f>
        <v>1660752</v>
      </c>
      <c r="H21" s="197">
        <f t="shared" si="1"/>
        <v>0.52318684434363483</v>
      </c>
      <c r="I21">
        <f>(41000-22000)*4</f>
        <v>76000</v>
      </c>
      <c r="J21" s="217">
        <f>E21/12</f>
        <v>60337.037306343518</v>
      </c>
      <c r="O21" s="202"/>
      <c r="P21" s="270"/>
      <c r="Q21" s="270"/>
    </row>
    <row r="22" spans="2:20" ht="19.5" thickBot="1" x14ac:dyDescent="0.3">
      <c r="B22" s="310" t="s">
        <v>33</v>
      </c>
      <c r="C22" s="298">
        <f>C12-C15-C21</f>
        <v>1145546.2197612026</v>
      </c>
      <c r="D22" s="192">
        <f>C22/$C$12</f>
        <v>0.23091057388721112</v>
      </c>
      <c r="E22" s="298">
        <f>E12-E15-E21</f>
        <v>390236.21976120211</v>
      </c>
      <c r="F22" s="192">
        <f>E22/$E$12</f>
        <v>0.21841232187686072</v>
      </c>
      <c r="G22" s="286">
        <f>G12-G15-G21</f>
        <v>755310</v>
      </c>
      <c r="H22" s="192">
        <f t="shared" si="1"/>
        <v>0.2379453737831963</v>
      </c>
      <c r="O22" s="202"/>
      <c r="P22" s="294"/>
      <c r="Q22" s="270"/>
    </row>
    <row r="23" spans="2:20" ht="15.75" thickBot="1" x14ac:dyDescent="0.3">
      <c r="B23" s="151"/>
      <c r="C23" s="296"/>
      <c r="D23" s="164"/>
      <c r="E23" s="296"/>
      <c r="F23" s="164"/>
      <c r="G23" s="186"/>
      <c r="H23" s="164"/>
      <c r="J23" s="409" t="s">
        <v>34</v>
      </c>
      <c r="K23" s="410"/>
      <c r="L23" s="410"/>
      <c r="M23" s="410"/>
      <c r="N23" s="411">
        <f>'Summary '!H18</f>
        <v>4908.502952598612</v>
      </c>
      <c r="O23" s="412"/>
      <c r="P23" s="270"/>
      <c r="Q23" s="270"/>
    </row>
    <row r="24" spans="2:20" ht="15.75" thickBot="1" x14ac:dyDescent="0.3">
      <c r="B24" s="308" t="s">
        <v>35</v>
      </c>
      <c r="C24" s="296">
        <f>SUM(E24,G24)</f>
        <v>551988.28799999994</v>
      </c>
      <c r="D24" s="164">
        <f t="shared" ref="D24:D30" si="3">C24/$C$12</f>
        <v>0.11126563918797543</v>
      </c>
      <c r="E24" s="296"/>
      <c r="F24" s="164">
        <f>E24/E12</f>
        <v>0</v>
      </c>
      <c r="G24" s="186">
        <f>91998.048*6</f>
        <v>551988.28799999994</v>
      </c>
      <c r="H24" s="164">
        <f t="shared" ref="H24:H29" si="4">G24/$G$12</f>
        <v>0.17389291749362062</v>
      </c>
      <c r="J24" s="413" t="s">
        <v>36</v>
      </c>
      <c r="K24" s="414"/>
      <c r="L24" s="414"/>
      <c r="M24" s="414"/>
      <c r="N24" s="414"/>
      <c r="O24" s="415"/>
      <c r="P24" s="270"/>
    </row>
    <row r="25" spans="2:20" x14ac:dyDescent="0.25">
      <c r="B25" s="308" t="s">
        <v>37</v>
      </c>
      <c r="C25" s="296">
        <f>SUM(E25,G25)</f>
        <v>0</v>
      </c>
      <c r="D25" s="164">
        <f t="shared" si="3"/>
        <v>0</v>
      </c>
      <c r="E25" s="296">
        <v>0</v>
      </c>
      <c r="F25" s="164">
        <f>E25/$E$12</f>
        <v>0</v>
      </c>
      <c r="G25" s="186"/>
      <c r="H25" s="164">
        <f t="shared" si="4"/>
        <v>0</v>
      </c>
      <c r="J25" s="264" t="s">
        <v>38</v>
      </c>
      <c r="K25" s="265" t="s">
        <v>39</v>
      </c>
      <c r="L25" s="265" t="s">
        <v>40</v>
      </c>
      <c r="M25" s="265" t="s">
        <v>41</v>
      </c>
      <c r="N25" s="265" t="s">
        <v>42</v>
      </c>
      <c r="O25" s="266" t="s">
        <v>43</v>
      </c>
      <c r="P25" s="202"/>
      <c r="S25" s="217"/>
    </row>
    <row r="26" spans="2:20" ht="15.75" thickBot="1" x14ac:dyDescent="0.3">
      <c r="B26" s="309" t="s">
        <v>44</v>
      </c>
      <c r="C26" s="297">
        <f>SUM(C24:C25)</f>
        <v>551988.28799999994</v>
      </c>
      <c r="D26" s="197">
        <f t="shared" si="3"/>
        <v>0.11126563918797543</v>
      </c>
      <c r="E26" s="297">
        <f>SUM(E24:E25)</f>
        <v>0</v>
      </c>
      <c r="F26" s="197">
        <f>E26/$E$12</f>
        <v>0</v>
      </c>
      <c r="G26" s="285">
        <f>SUM(G24:G25)</f>
        <v>551988.28799999994</v>
      </c>
      <c r="H26" s="197">
        <f t="shared" si="4"/>
        <v>0.17389291749362062</v>
      </c>
      <c r="J26" s="226">
        <f>'Summary '!B28</f>
        <v>0</v>
      </c>
      <c r="K26" s="226">
        <f>'Summary '!C28</f>
        <v>37.008576879371859</v>
      </c>
      <c r="L26" s="226">
        <f>'Summary '!D28</f>
        <v>24.716885479607143</v>
      </c>
      <c r="M26" s="226">
        <f>'Summary '!E28</f>
        <v>13.422623301260918</v>
      </c>
      <c r="N26" s="226">
        <f>'Summary '!F28</f>
        <v>20.841801579910946</v>
      </c>
      <c r="O26" s="226">
        <f>'Summary '!G28</f>
        <v>21.896664232413578</v>
      </c>
      <c r="P26" s="202"/>
    </row>
    <row r="27" spans="2:20" x14ac:dyDescent="0.25">
      <c r="B27" s="308" t="s">
        <v>45</v>
      </c>
      <c r="C27" s="296">
        <f>SUM(E27,G27)</f>
        <v>930840</v>
      </c>
      <c r="D27" s="164">
        <f t="shared" si="3"/>
        <v>0.18763171218179009</v>
      </c>
      <c r="E27" s="299">
        <f>G27/10+270000/3</f>
        <v>166440</v>
      </c>
      <c r="F27" s="260">
        <f>E27/E12</f>
        <v>9.3155235245539147E-2</v>
      </c>
      <c r="G27" s="186">
        <f>63700*12</f>
        <v>764400</v>
      </c>
      <c r="H27" s="164">
        <f t="shared" si="4"/>
        <v>0.24080899725923827</v>
      </c>
      <c r="I27" s="322">
        <f>E27/12</f>
        <v>13870</v>
      </c>
      <c r="K27" s="140">
        <v>40</v>
      </c>
      <c r="L27" s="140">
        <v>22</v>
      </c>
      <c r="M27" s="140">
        <v>15</v>
      </c>
    </row>
    <row r="28" spans="2:20" x14ac:dyDescent="0.25">
      <c r="B28" s="308" t="s">
        <v>46</v>
      </c>
      <c r="C28" s="296">
        <f>SUM(E28,G28)</f>
        <v>0</v>
      </c>
      <c r="D28" s="164">
        <f t="shared" si="3"/>
        <v>0</v>
      </c>
      <c r="E28" s="299"/>
      <c r="F28" s="260">
        <v>0</v>
      </c>
      <c r="G28" s="186"/>
      <c r="H28" s="164">
        <f t="shared" si="4"/>
        <v>0</v>
      </c>
      <c r="J28" s="389" t="s">
        <v>47</v>
      </c>
      <c r="K28" s="390"/>
      <c r="L28" s="390"/>
      <c r="M28" s="390"/>
      <c r="N28" s="390"/>
      <c r="O28" s="390"/>
    </row>
    <row r="29" spans="2:20" ht="15.75" thickBot="1" x14ac:dyDescent="0.3">
      <c r="B29" s="309" t="s">
        <v>48</v>
      </c>
      <c r="C29" s="297">
        <f>SUM(C27:C28)</f>
        <v>930840</v>
      </c>
      <c r="D29" s="197">
        <f t="shared" si="3"/>
        <v>0.18763171218179009</v>
      </c>
      <c r="E29" s="297">
        <f>SUM(E27:E28)</f>
        <v>166440</v>
      </c>
      <c r="F29" s="197">
        <f>E29/E12</f>
        <v>9.3155235245539147E-2</v>
      </c>
      <c r="G29" s="198">
        <f>SUM(G27:G28)</f>
        <v>764400</v>
      </c>
      <c r="H29" s="197">
        <f t="shared" si="4"/>
        <v>0.24080899725923827</v>
      </c>
      <c r="J29" s="221" t="s">
        <v>38</v>
      </c>
      <c r="K29" s="220" t="s">
        <v>39</v>
      </c>
      <c r="L29" s="220" t="s">
        <v>49</v>
      </c>
      <c r="M29" s="220" t="s">
        <v>50</v>
      </c>
      <c r="N29" s="220" t="s">
        <v>42</v>
      </c>
      <c r="O29" s="222" t="s">
        <v>51</v>
      </c>
    </row>
    <row r="30" spans="2:20" ht="19.5" thickBot="1" x14ac:dyDescent="0.3">
      <c r="B30" s="310" t="s">
        <v>52</v>
      </c>
      <c r="C30" s="298">
        <f>C22-C26-C29</f>
        <v>-337282.06823879736</v>
      </c>
      <c r="D30" s="192">
        <f t="shared" si="3"/>
        <v>-6.798677748255437E-2</v>
      </c>
      <c r="E30" s="298">
        <f>E22-E26-E29</f>
        <v>223796.21976120211</v>
      </c>
      <c r="F30" s="192">
        <f>E30/$E$12</f>
        <v>0.12525708663132157</v>
      </c>
      <c r="G30" s="193">
        <f>G22-G26-G29</f>
        <v>-561078.28799999994</v>
      </c>
      <c r="H30" s="192">
        <f>G30/$G$12</f>
        <v>-0.17675654096966259</v>
      </c>
      <c r="I30" s="185">
        <f>E30/12</f>
        <v>18649.684980100177</v>
      </c>
      <c r="J30" s="223">
        <v>0</v>
      </c>
      <c r="K30" s="224">
        <v>4</v>
      </c>
      <c r="L30" s="224">
        <v>3</v>
      </c>
      <c r="M30" s="224">
        <v>2.5</v>
      </c>
      <c r="N30" s="224">
        <v>3</v>
      </c>
      <c r="O30" s="225">
        <v>3</v>
      </c>
    </row>
    <row r="31" spans="2:20" ht="15.75" thickBot="1" x14ac:dyDescent="0.3">
      <c r="E31" s="217"/>
      <c r="F31" s="216"/>
      <c r="G31" s="203"/>
      <c r="J31" s="202"/>
      <c r="K31" s="202"/>
      <c r="L31" s="202"/>
      <c r="M31" s="202"/>
      <c r="N31" s="202"/>
      <c r="O31" s="202"/>
    </row>
    <row r="32" spans="2:20" ht="15.75" thickBot="1" x14ac:dyDescent="0.3">
      <c r="B32" s="379" t="s">
        <v>53</v>
      </c>
      <c r="C32" s="380"/>
      <c r="D32" s="380"/>
      <c r="E32" s="380"/>
      <c r="F32" s="380"/>
      <c r="G32" s="380"/>
      <c r="H32" s="381"/>
      <c r="L32" s="140">
        <f>35.12*27+21.27*48+10.99*148+29*2+20*8+670+220</f>
        <v>4703.7199999999993</v>
      </c>
    </row>
    <row r="33" spans="2:17" s="202" customFormat="1" x14ac:dyDescent="0.25">
      <c r="I33"/>
      <c r="J33" s="140"/>
      <c r="K33" s="140">
        <f>K27*32</f>
        <v>1280</v>
      </c>
      <c r="L33" s="179">
        <f>22*53</f>
        <v>1166</v>
      </c>
      <c r="M33" s="179">
        <f>M27*176</f>
        <v>2640</v>
      </c>
      <c r="N33" s="140"/>
      <c r="O33" s="140"/>
      <c r="P33" s="140"/>
      <c r="Q33" s="140"/>
    </row>
    <row r="34" spans="2:17" s="202" customFormat="1" x14ac:dyDescent="0.25">
      <c r="B34" s="282"/>
      <c r="I34"/>
      <c r="J34" s="140"/>
      <c r="K34" s="140"/>
      <c r="L34" s="140"/>
      <c r="M34" s="140"/>
      <c r="N34" s="140"/>
      <c r="O34" s="140"/>
      <c r="P34" s="140"/>
      <c r="Q34" s="140"/>
    </row>
    <row r="35" spans="2:17" s="202" customFormat="1" x14ac:dyDescent="0.25">
      <c r="I35"/>
      <c r="J35" s="140"/>
      <c r="K35" s="140"/>
      <c r="L35" s="140"/>
      <c r="M35" s="140"/>
      <c r="N35" s="140"/>
      <c r="O35" s="140"/>
      <c r="P35" s="140"/>
      <c r="Q35" s="140"/>
    </row>
    <row r="36" spans="2:17" s="202" customFormat="1" x14ac:dyDescent="0.25">
      <c r="B36"/>
      <c r="G36" s="311">
        <f>180000*12</f>
        <v>2160000</v>
      </c>
      <c r="I36"/>
      <c r="J36" s="140"/>
      <c r="K36" s="140"/>
      <c r="L36" s="140"/>
      <c r="M36" s="140"/>
      <c r="N36" s="140"/>
      <c r="O36" s="140"/>
      <c r="P36" s="140"/>
      <c r="Q36" s="140"/>
    </row>
    <row r="37" spans="2:17" s="202" customFormat="1" x14ac:dyDescent="0.25">
      <c r="B37" s="293"/>
      <c r="G37" s="312">
        <f>G16+G24+G18</f>
        <v>2212740.2880000002</v>
      </c>
      <c r="I37"/>
      <c r="J37" s="140"/>
      <c r="K37" s="140"/>
      <c r="L37" s="140"/>
      <c r="M37" s="140"/>
      <c r="N37" s="140"/>
      <c r="O37" s="140"/>
      <c r="P37" s="140"/>
      <c r="Q37" s="140"/>
    </row>
    <row r="38" spans="2:17" s="202" customFormat="1" x14ac:dyDescent="0.25">
      <c r="G38" s="315" t="s">
        <v>54</v>
      </c>
      <c r="I38"/>
      <c r="J38" s="140"/>
      <c r="K38" s="140"/>
      <c r="L38" s="140"/>
      <c r="M38" s="140"/>
      <c r="N38" s="140"/>
      <c r="O38" s="140"/>
      <c r="P38" s="140"/>
      <c r="Q38" s="140"/>
    </row>
    <row r="39" spans="2:17" s="202" customFormat="1" x14ac:dyDescent="0.25">
      <c r="I39"/>
      <c r="J39" s="140"/>
      <c r="K39" s="140"/>
      <c r="L39" s="140"/>
      <c r="M39" s="140"/>
      <c r="N39" s="140"/>
      <c r="O39" s="140"/>
      <c r="P39" s="140"/>
      <c r="Q39" s="140"/>
    </row>
  </sheetData>
  <mergeCells count="22">
    <mergeCell ref="Q2:T2"/>
    <mergeCell ref="J28:O28"/>
    <mergeCell ref="Q3:T3"/>
    <mergeCell ref="Q4:T4"/>
    <mergeCell ref="Q5:T5"/>
    <mergeCell ref="Q8:T8"/>
    <mergeCell ref="Q9:T9"/>
    <mergeCell ref="Q14:T14"/>
    <mergeCell ref="P13:T13"/>
    <mergeCell ref="Q6:T6"/>
    <mergeCell ref="Q10:T10"/>
    <mergeCell ref="J23:M23"/>
    <mergeCell ref="N23:O23"/>
    <mergeCell ref="J24:O24"/>
    <mergeCell ref="P16:T16"/>
    <mergeCell ref="Q17:T17"/>
    <mergeCell ref="Q11:T11"/>
    <mergeCell ref="B32:H32"/>
    <mergeCell ref="C5:D5"/>
    <mergeCell ref="B5:B6"/>
    <mergeCell ref="E5:F5"/>
    <mergeCell ref="G5:H5"/>
  </mergeCells>
  <pageMargins left="0.7" right="0.7" top="0.75" bottom="0.75" header="0.3" footer="0.3"/>
  <pageSetup scale="44" orientation="portrait" r:id="rId1"/>
  <ignoredErrors>
    <ignoredError sqref="F21 F12 D21 D29 F15 F30" 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5A6F802-614A-4C09-BBD7-0BEE3D5EC057}">
          <x14:formula1>
            <xm:f>'Summary '!$M$3:$M$5</xm:f>
          </x14:formula1>
          <xm:sqref>P5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75979-CC37-4F94-BAE9-E9D905FFE18A}">
  <sheetPr>
    <tabColor theme="7" tint="0.59999389629810485"/>
  </sheetPr>
  <dimension ref="A1:I56"/>
  <sheetViews>
    <sheetView workbookViewId="0"/>
  </sheetViews>
  <sheetFormatPr defaultRowHeight="15" x14ac:dyDescent="0.25"/>
  <cols>
    <col min="1" max="1" width="54.28515625" bestFit="1" customWidth="1"/>
    <col min="2" max="2" width="12" bestFit="1" customWidth="1"/>
    <col min="3" max="3" width="8.7109375" bestFit="1" customWidth="1"/>
    <col min="4" max="4" width="9.42578125" bestFit="1" customWidth="1"/>
    <col min="5" max="5" width="28" bestFit="1" customWidth="1"/>
    <col min="6" max="8" width="1.42578125" bestFit="1" customWidth="1"/>
    <col min="9" max="9" width="6.42578125" bestFit="1" customWidth="1"/>
  </cols>
  <sheetData>
    <row r="1" spans="1:9" x14ac:dyDescent="0.25">
      <c r="A1" s="71" t="s">
        <v>55</v>
      </c>
      <c r="B1" s="72"/>
      <c r="C1" s="73"/>
      <c r="D1" s="73"/>
      <c r="E1" s="73"/>
      <c r="F1" s="73"/>
      <c r="G1" s="73"/>
      <c r="H1" s="73"/>
      <c r="I1" s="74"/>
    </row>
    <row r="2" spans="1:9" x14ac:dyDescent="0.25">
      <c r="A2" s="75" t="s">
        <v>56</v>
      </c>
      <c r="B2" s="76" t="s">
        <v>57</v>
      </c>
      <c r="C2" s="77"/>
      <c r="D2" s="77"/>
      <c r="E2" s="77"/>
      <c r="F2" s="77"/>
      <c r="G2" s="77"/>
      <c r="H2" s="77"/>
      <c r="I2" s="78"/>
    </row>
    <row r="3" spans="1:9" x14ac:dyDescent="0.25">
      <c r="A3" s="75" t="s">
        <v>58</v>
      </c>
      <c r="B3" s="76" t="s">
        <v>59</v>
      </c>
      <c r="C3" s="77"/>
      <c r="D3" s="77"/>
      <c r="E3" s="77"/>
      <c r="F3" s="77"/>
      <c r="G3" s="77"/>
      <c r="H3" s="77"/>
      <c r="I3" s="78"/>
    </row>
    <row r="4" spans="1:9" x14ac:dyDescent="0.25">
      <c r="A4" s="75" t="s">
        <v>60</v>
      </c>
      <c r="B4" s="79"/>
      <c r="C4" s="77"/>
      <c r="D4" s="77"/>
      <c r="E4" s="77"/>
      <c r="F4" s="77"/>
      <c r="G4" s="77"/>
      <c r="H4" s="77"/>
      <c r="I4" s="78"/>
    </row>
    <row r="5" spans="1:9" x14ac:dyDescent="0.25">
      <c r="A5" s="75" t="s">
        <v>61</v>
      </c>
      <c r="B5" s="80"/>
      <c r="C5" s="81"/>
      <c r="D5" s="77"/>
      <c r="E5" s="77"/>
      <c r="F5" s="77"/>
      <c r="G5" s="77"/>
      <c r="H5" s="77"/>
      <c r="I5" s="78"/>
    </row>
    <row r="6" spans="1:9" x14ac:dyDescent="0.25">
      <c r="A6" s="75" t="s">
        <v>62</v>
      </c>
      <c r="B6" s="82"/>
      <c r="C6" s="77"/>
      <c r="D6" s="77"/>
      <c r="E6" s="77"/>
      <c r="F6" s="77"/>
      <c r="G6" s="77"/>
      <c r="H6" s="77"/>
      <c r="I6" s="78"/>
    </row>
    <row r="7" spans="1:9" x14ac:dyDescent="0.25">
      <c r="A7" s="75" t="s">
        <v>63</v>
      </c>
      <c r="B7" s="82"/>
      <c r="C7" s="77"/>
      <c r="D7" s="77"/>
      <c r="E7" s="77"/>
      <c r="F7" s="77"/>
      <c r="G7" s="77"/>
      <c r="H7" s="77"/>
      <c r="I7" s="78"/>
    </row>
    <row r="8" spans="1:9" x14ac:dyDescent="0.25">
      <c r="A8" s="75" t="s">
        <v>64</v>
      </c>
      <c r="B8" s="82"/>
      <c r="C8" s="77"/>
      <c r="D8" s="77"/>
      <c r="E8" s="77"/>
      <c r="F8" s="77"/>
      <c r="G8" s="77"/>
      <c r="H8" s="77"/>
      <c r="I8" s="78"/>
    </row>
    <row r="9" spans="1:9" x14ac:dyDescent="0.25">
      <c r="A9" s="75" t="s">
        <v>65</v>
      </c>
      <c r="B9" s="83"/>
      <c r="C9" s="77"/>
      <c r="D9" s="77"/>
      <c r="E9" s="77"/>
      <c r="F9" s="77"/>
      <c r="G9" s="77"/>
      <c r="H9" s="77"/>
      <c r="I9" s="78"/>
    </row>
    <row r="10" spans="1:9" x14ac:dyDescent="0.25">
      <c r="A10" s="75"/>
      <c r="B10" s="77"/>
      <c r="C10" s="77"/>
      <c r="D10" s="77"/>
      <c r="E10" s="77"/>
      <c r="F10" s="77"/>
      <c r="G10" s="77"/>
      <c r="H10" s="77"/>
      <c r="I10" s="78"/>
    </row>
    <row r="11" spans="1:9" x14ac:dyDescent="0.25">
      <c r="A11" s="75"/>
      <c r="B11" s="77"/>
      <c r="C11" s="77"/>
      <c r="D11" s="77"/>
      <c r="E11" s="77"/>
      <c r="F11" s="77"/>
      <c r="G11" s="77"/>
      <c r="H11" s="77"/>
      <c r="I11" s="78"/>
    </row>
    <row r="12" spans="1:9" x14ac:dyDescent="0.25">
      <c r="A12" s="75" t="s">
        <v>66</v>
      </c>
      <c r="B12" s="80">
        <v>787</v>
      </c>
      <c r="C12" s="80"/>
      <c r="D12" s="80"/>
      <c r="E12" s="80"/>
      <c r="F12" s="80" t="s">
        <v>67</v>
      </c>
      <c r="G12" s="80" t="s">
        <v>67</v>
      </c>
      <c r="H12" s="80" t="s">
        <v>67</v>
      </c>
      <c r="I12" s="80" t="s">
        <v>67</v>
      </c>
    </row>
    <row r="13" spans="1:9" x14ac:dyDescent="0.25">
      <c r="A13" s="75" t="s">
        <v>68</v>
      </c>
      <c r="B13" s="80">
        <f>+FlightConfig!B3</f>
        <v>0</v>
      </c>
      <c r="C13" s="80"/>
      <c r="D13" s="80"/>
      <c r="E13" s="80"/>
      <c r="F13" s="80" t="s">
        <v>67</v>
      </c>
      <c r="G13" s="80" t="s">
        <v>67</v>
      </c>
      <c r="H13" s="80" t="s">
        <v>67</v>
      </c>
      <c r="I13" s="80" t="s">
        <v>67</v>
      </c>
    </row>
    <row r="14" spans="1:9" x14ac:dyDescent="0.25">
      <c r="A14" s="75" t="s">
        <v>69</v>
      </c>
      <c r="B14" s="80">
        <f>+FlightConfig!C3</f>
        <v>32</v>
      </c>
      <c r="C14" s="80"/>
      <c r="D14" s="80"/>
      <c r="E14" s="80"/>
      <c r="F14" s="80" t="s">
        <v>67</v>
      </c>
      <c r="G14" s="80" t="s">
        <v>67</v>
      </c>
      <c r="H14" s="80" t="s">
        <v>67</v>
      </c>
      <c r="I14" s="80" t="s">
        <v>67</v>
      </c>
    </row>
    <row r="15" spans="1:9" x14ac:dyDescent="0.25">
      <c r="A15" s="75" t="s">
        <v>70</v>
      </c>
      <c r="B15" s="80">
        <f>SUM(FlightConfig!D3:E3)</f>
        <v>230</v>
      </c>
      <c r="C15" s="80"/>
      <c r="D15" s="80"/>
      <c r="E15" s="80"/>
      <c r="F15" s="80" t="s">
        <v>67</v>
      </c>
      <c r="G15" s="80" t="s">
        <v>67</v>
      </c>
      <c r="H15" s="80" t="s">
        <v>67</v>
      </c>
      <c r="I15" s="80" t="s">
        <v>67</v>
      </c>
    </row>
    <row r="16" spans="1:9" x14ac:dyDescent="0.25">
      <c r="A16" s="75" t="s">
        <v>71</v>
      </c>
      <c r="B16" s="84">
        <v>0.2673611111111111</v>
      </c>
      <c r="C16" s="80"/>
      <c r="D16" s="80"/>
      <c r="E16" s="80"/>
      <c r="F16" s="80" t="s">
        <v>67</v>
      </c>
      <c r="G16" s="80" t="s">
        <v>67</v>
      </c>
      <c r="H16" s="80" t="s">
        <v>67</v>
      </c>
      <c r="I16" s="80" t="s">
        <v>67</v>
      </c>
    </row>
    <row r="17" spans="1:9" x14ac:dyDescent="0.25">
      <c r="A17" s="75" t="s">
        <v>72</v>
      </c>
      <c r="B17" s="84">
        <v>0.93402777777777779</v>
      </c>
      <c r="C17" s="80"/>
      <c r="D17" s="80"/>
      <c r="E17" s="80"/>
      <c r="F17" s="80" t="s">
        <v>67</v>
      </c>
      <c r="G17" s="80" t="s">
        <v>67</v>
      </c>
      <c r="H17" s="80" t="s">
        <v>67</v>
      </c>
      <c r="I17" s="80" t="s">
        <v>67</v>
      </c>
    </row>
    <row r="18" spans="1:9" x14ac:dyDescent="0.25">
      <c r="A18" s="75" t="s">
        <v>73</v>
      </c>
      <c r="B18" s="119">
        <f>+FlightConfig!K2</f>
        <v>7</v>
      </c>
      <c r="C18" s="80"/>
      <c r="D18" s="80"/>
      <c r="E18" s="80"/>
      <c r="F18" s="80" t="s">
        <v>67</v>
      </c>
      <c r="G18" s="80" t="s">
        <v>67</v>
      </c>
      <c r="H18" s="80" t="s">
        <v>67</v>
      </c>
      <c r="I18" s="80" t="s">
        <v>67</v>
      </c>
    </row>
    <row r="19" spans="1:9" x14ac:dyDescent="0.25">
      <c r="A19" s="75" t="s">
        <v>74</v>
      </c>
      <c r="B19" s="119">
        <f>+FlightConfig!K3</f>
        <v>364</v>
      </c>
      <c r="C19" s="80"/>
      <c r="D19" s="80"/>
      <c r="E19" s="80"/>
      <c r="F19" s="80" t="s">
        <v>67</v>
      </c>
      <c r="G19" s="80" t="s">
        <v>67</v>
      </c>
      <c r="H19" s="80" t="s">
        <v>67</v>
      </c>
      <c r="I19" s="80" t="s">
        <v>67</v>
      </c>
    </row>
    <row r="20" spans="1:9" x14ac:dyDescent="0.25">
      <c r="A20" s="75" t="s">
        <v>75</v>
      </c>
      <c r="B20" s="85"/>
      <c r="C20" s="85"/>
      <c r="D20" s="85"/>
      <c r="E20" s="80"/>
      <c r="F20" s="80"/>
      <c r="G20" s="80"/>
      <c r="H20" s="80"/>
      <c r="I20" s="80"/>
    </row>
    <row r="21" spans="1:9" x14ac:dyDescent="0.25">
      <c r="A21" s="75" t="s">
        <v>76</v>
      </c>
      <c r="B21" s="76" t="s">
        <v>77</v>
      </c>
      <c r="C21" s="77"/>
      <c r="D21" s="77"/>
      <c r="E21" s="77"/>
      <c r="F21" s="77"/>
      <c r="G21" s="77"/>
      <c r="H21" s="77"/>
      <c r="I21" s="78"/>
    </row>
    <row r="22" spans="1:9" x14ac:dyDescent="0.25">
      <c r="A22" s="75" t="s">
        <v>78</v>
      </c>
      <c r="B22" s="76" t="s">
        <v>79</v>
      </c>
      <c r="C22" s="77"/>
      <c r="D22" s="77"/>
      <c r="E22" s="77"/>
      <c r="F22" s="77"/>
      <c r="G22" s="77"/>
      <c r="H22" s="77"/>
      <c r="I22" s="78"/>
    </row>
    <row r="23" spans="1:9" x14ac:dyDescent="0.25">
      <c r="A23" s="75" t="s">
        <v>80</v>
      </c>
      <c r="B23" s="76" t="s">
        <v>81</v>
      </c>
      <c r="C23" s="77"/>
      <c r="D23" s="77"/>
      <c r="E23" s="86" t="s">
        <v>82</v>
      </c>
      <c r="F23" s="87"/>
      <c r="G23" s="87"/>
      <c r="H23" s="88"/>
      <c r="I23" s="89"/>
    </row>
    <row r="24" spans="1:9" x14ac:dyDescent="0.25">
      <c r="A24" s="75" t="s">
        <v>83</v>
      </c>
      <c r="B24" s="76"/>
      <c r="C24" s="77"/>
      <c r="D24" s="77"/>
      <c r="E24" s="86" t="s">
        <v>84</v>
      </c>
      <c r="F24" s="87"/>
      <c r="G24" s="87"/>
      <c r="H24" s="88"/>
      <c r="I24" s="89"/>
    </row>
    <row r="25" spans="1:9" x14ac:dyDescent="0.25">
      <c r="A25" s="75" t="s">
        <v>85</v>
      </c>
      <c r="B25" s="76" t="s">
        <v>86</v>
      </c>
      <c r="C25" s="77"/>
      <c r="D25" s="77"/>
      <c r="E25" s="86" t="s">
        <v>87</v>
      </c>
      <c r="F25" s="87"/>
      <c r="G25" s="87"/>
      <c r="H25" s="88"/>
      <c r="I25" s="89"/>
    </row>
    <row r="26" spans="1:9" x14ac:dyDescent="0.25">
      <c r="A26" s="75" t="s">
        <v>88</v>
      </c>
      <c r="B26" s="76"/>
      <c r="C26" s="77"/>
      <c r="D26" s="77"/>
      <c r="E26" s="86"/>
      <c r="F26" s="87"/>
      <c r="G26" s="87"/>
      <c r="H26" s="88"/>
      <c r="I26" s="89"/>
    </row>
    <row r="27" spans="1:9" x14ac:dyDescent="0.25">
      <c r="A27" s="75" t="s">
        <v>89</v>
      </c>
      <c r="B27" s="76"/>
      <c r="C27" s="77"/>
      <c r="D27" s="77"/>
      <c r="E27" s="86" t="s">
        <v>90</v>
      </c>
      <c r="F27" s="87"/>
      <c r="G27" s="87"/>
      <c r="H27" s="88"/>
      <c r="I27" s="90"/>
    </row>
    <row r="28" spans="1:9" x14ac:dyDescent="0.25">
      <c r="A28" s="75" t="s">
        <v>91</v>
      </c>
      <c r="B28" s="76"/>
      <c r="C28" s="77"/>
      <c r="D28" s="77"/>
      <c r="E28" s="86" t="s">
        <v>92</v>
      </c>
      <c r="F28" s="87"/>
      <c r="G28" s="87"/>
      <c r="H28" s="91"/>
      <c r="I28" s="90"/>
    </row>
    <row r="29" spans="1:9" x14ac:dyDescent="0.25">
      <c r="A29" s="75" t="s">
        <v>93</v>
      </c>
      <c r="B29" s="76"/>
      <c r="C29" s="77"/>
      <c r="D29" s="77"/>
      <c r="E29" s="86" t="s">
        <v>94</v>
      </c>
      <c r="F29" s="87"/>
      <c r="G29" s="87"/>
      <c r="H29" s="91"/>
      <c r="I29" s="90"/>
    </row>
    <row r="30" spans="1:9" x14ac:dyDescent="0.25">
      <c r="A30" s="75" t="s">
        <v>95</v>
      </c>
      <c r="B30" s="76"/>
      <c r="C30" s="77"/>
      <c r="D30" s="77"/>
      <c r="E30" s="86" t="s">
        <v>96</v>
      </c>
      <c r="F30" s="87"/>
      <c r="G30" s="87"/>
      <c r="H30" s="91"/>
      <c r="I30" s="90"/>
    </row>
    <row r="31" spans="1:9" x14ac:dyDescent="0.25">
      <c r="A31" s="75"/>
      <c r="B31" s="77"/>
      <c r="C31" s="77"/>
      <c r="D31" s="77"/>
      <c r="E31" s="86" t="s">
        <v>97</v>
      </c>
      <c r="F31" s="87"/>
      <c r="G31" s="87"/>
      <c r="H31" s="88"/>
      <c r="I31" s="90"/>
    </row>
    <row r="32" spans="1:9" x14ac:dyDescent="0.25">
      <c r="A32" s="75"/>
      <c r="B32" s="77"/>
      <c r="C32" s="77"/>
      <c r="D32" s="77"/>
      <c r="E32" s="86" t="s">
        <v>98</v>
      </c>
      <c r="F32" s="87"/>
      <c r="G32" s="87"/>
      <c r="H32" s="88"/>
      <c r="I32" s="90"/>
    </row>
    <row r="33" spans="1:9" x14ac:dyDescent="0.25">
      <c r="A33" s="92" t="s">
        <v>99</v>
      </c>
      <c r="B33" s="93" t="s">
        <v>100</v>
      </c>
      <c r="C33" s="93" t="s">
        <v>101</v>
      </c>
      <c r="D33" s="93" t="s">
        <v>102</v>
      </c>
      <c r="E33" s="86" t="s">
        <v>103</v>
      </c>
      <c r="F33" s="87"/>
      <c r="G33" s="87"/>
      <c r="H33" s="88"/>
      <c r="I33" s="90"/>
    </row>
    <row r="34" spans="1:9" x14ac:dyDescent="0.25">
      <c r="A34" s="75" t="s">
        <v>104</v>
      </c>
      <c r="B34" s="95"/>
      <c r="C34" s="77">
        <v>0</v>
      </c>
      <c r="D34" s="96" t="e">
        <f t="shared" ref="D34:D40" si="0">+B34/C34</f>
        <v>#DIV/0!</v>
      </c>
      <c r="E34" s="94"/>
      <c r="F34" s="94"/>
      <c r="G34" s="94"/>
      <c r="H34" s="94"/>
      <c r="I34" s="94"/>
    </row>
    <row r="35" spans="1:9" x14ac:dyDescent="0.25">
      <c r="A35" s="75" t="s">
        <v>105</v>
      </c>
      <c r="B35" s="95"/>
      <c r="C35" s="97" t="s">
        <v>106</v>
      </c>
      <c r="D35" s="98" t="s">
        <v>106</v>
      </c>
      <c r="E35" s="94"/>
      <c r="F35" s="94"/>
      <c r="G35" s="94"/>
      <c r="H35" s="94"/>
      <c r="I35" s="94"/>
    </row>
    <row r="36" spans="1:9" x14ac:dyDescent="0.25">
      <c r="A36" s="75" t="s">
        <v>107</v>
      </c>
      <c r="B36" s="95"/>
      <c r="C36" s="77">
        <v>0</v>
      </c>
      <c r="D36" s="96" t="e">
        <f t="shared" si="0"/>
        <v>#DIV/0!</v>
      </c>
      <c r="E36" s="94"/>
      <c r="F36" s="94"/>
      <c r="G36" s="94"/>
      <c r="H36" s="94"/>
      <c r="I36" s="94"/>
    </row>
    <row r="37" spans="1:9" x14ac:dyDescent="0.25">
      <c r="A37" s="75" t="s">
        <v>108</v>
      </c>
      <c r="B37" s="95"/>
      <c r="C37" s="77">
        <v>0</v>
      </c>
      <c r="D37" s="96" t="e">
        <f t="shared" si="0"/>
        <v>#DIV/0!</v>
      </c>
      <c r="E37" s="94"/>
      <c r="F37" s="94"/>
      <c r="G37" s="94"/>
      <c r="H37" s="94"/>
      <c r="I37" s="94"/>
    </row>
    <row r="38" spans="1:9" x14ac:dyDescent="0.25">
      <c r="A38" s="75" t="s">
        <v>109</v>
      </c>
      <c r="B38" s="95"/>
      <c r="C38" s="77">
        <v>0</v>
      </c>
      <c r="D38" s="96" t="e">
        <f t="shared" si="0"/>
        <v>#DIV/0!</v>
      </c>
      <c r="E38" s="94"/>
      <c r="F38" s="94"/>
      <c r="G38" s="94"/>
      <c r="H38" s="94"/>
      <c r="I38" s="94"/>
    </row>
    <row r="39" spans="1:9" x14ac:dyDescent="0.25">
      <c r="A39" s="75" t="s">
        <v>110</v>
      </c>
      <c r="B39" s="95"/>
      <c r="C39" s="77">
        <v>0</v>
      </c>
      <c r="D39" s="96" t="e">
        <f t="shared" si="0"/>
        <v>#DIV/0!</v>
      </c>
      <c r="E39" s="94"/>
      <c r="F39" s="94"/>
      <c r="G39" s="94"/>
      <c r="H39" s="94"/>
      <c r="I39" s="94"/>
    </row>
    <row r="40" spans="1:9" x14ac:dyDescent="0.25">
      <c r="A40" s="99" t="s">
        <v>111</v>
      </c>
      <c r="B40" s="95"/>
      <c r="C40" s="100">
        <v>0</v>
      </c>
      <c r="D40" s="101" t="e">
        <f t="shared" si="0"/>
        <v>#DIV/0!</v>
      </c>
      <c r="E40" s="94"/>
      <c r="F40" s="94"/>
      <c r="G40" s="94"/>
      <c r="H40" s="94"/>
      <c r="I40" s="94"/>
    </row>
    <row r="41" spans="1:9" x14ac:dyDescent="0.25">
      <c r="A41" s="75"/>
      <c r="B41" s="102"/>
      <c r="C41" s="77"/>
      <c r="D41" s="103"/>
      <c r="E41" s="94"/>
      <c r="F41" s="94"/>
      <c r="G41" s="94"/>
      <c r="H41" s="94"/>
      <c r="I41" s="94"/>
    </row>
    <row r="42" spans="1:9" x14ac:dyDescent="0.25">
      <c r="A42" s="92" t="s">
        <v>112</v>
      </c>
      <c r="B42" s="93"/>
      <c r="C42" s="93"/>
      <c r="D42" s="93"/>
      <c r="E42" s="93"/>
      <c r="F42" s="104"/>
      <c r="G42" s="104"/>
      <c r="H42" s="104"/>
      <c r="I42" s="105"/>
    </row>
    <row r="43" spans="1:9" x14ac:dyDescent="0.25">
      <c r="A43" s="106" t="s">
        <v>113</v>
      </c>
      <c r="B43" s="107"/>
      <c r="C43" s="107"/>
      <c r="D43" s="107"/>
      <c r="E43" s="107"/>
      <c r="F43" s="107"/>
      <c r="G43" s="107"/>
      <c r="H43" s="107"/>
      <c r="I43" s="108"/>
    </row>
    <row r="44" spans="1:9" x14ac:dyDescent="0.25">
      <c r="A44" s="106"/>
      <c r="B44" s="107"/>
      <c r="C44" s="107"/>
      <c r="D44" s="107"/>
      <c r="E44" s="107"/>
      <c r="F44" s="107"/>
      <c r="G44" s="107"/>
      <c r="H44" s="107"/>
      <c r="I44" s="108"/>
    </row>
    <row r="45" spans="1:9" x14ac:dyDescent="0.25">
      <c r="A45" s="109"/>
      <c r="B45" s="110"/>
      <c r="C45" s="110"/>
      <c r="D45" s="110"/>
      <c r="E45" s="110"/>
      <c r="F45" s="110"/>
      <c r="G45" s="110"/>
      <c r="H45" s="110"/>
      <c r="I45" s="111"/>
    </row>
    <row r="46" spans="1:9" x14ac:dyDescent="0.25">
      <c r="A46" s="112"/>
      <c r="B46" s="94"/>
      <c r="C46" s="94"/>
      <c r="D46" s="94"/>
      <c r="E46" s="94"/>
      <c r="F46" s="94"/>
      <c r="G46" s="94"/>
      <c r="H46" s="94"/>
      <c r="I46" s="94"/>
    </row>
    <row r="47" spans="1:9" x14ac:dyDescent="0.25">
      <c r="A47" s="75" t="s">
        <v>114</v>
      </c>
      <c r="B47" s="77"/>
      <c r="C47" s="77"/>
      <c r="D47" s="77"/>
      <c r="E47" s="113"/>
      <c r="F47" s="94"/>
      <c r="G47" s="94"/>
      <c r="H47" s="94"/>
      <c r="I47" s="114"/>
    </row>
    <row r="48" spans="1:9" x14ac:dyDescent="0.25">
      <c r="A48" s="115" t="s">
        <v>115</v>
      </c>
      <c r="B48" s="116"/>
      <c r="C48" s="116"/>
      <c r="D48" s="116"/>
      <c r="E48" s="116"/>
      <c r="F48" s="116"/>
      <c r="G48" s="116"/>
      <c r="H48" s="116"/>
      <c r="I48" s="117"/>
    </row>
    <row r="49" spans="1:9" x14ac:dyDescent="0.25">
      <c r="A49" s="106" t="s">
        <v>116</v>
      </c>
      <c r="B49" s="107"/>
      <c r="C49" s="107"/>
      <c r="D49" s="107"/>
      <c r="E49" s="107"/>
      <c r="F49" s="107"/>
      <c r="G49" s="107"/>
      <c r="H49" s="107"/>
      <c r="I49" s="108"/>
    </row>
    <row r="50" spans="1:9" x14ac:dyDescent="0.25">
      <c r="A50" s="118" t="s">
        <v>117</v>
      </c>
      <c r="B50" s="107"/>
      <c r="C50" s="107"/>
      <c r="D50" s="107"/>
      <c r="E50" s="107"/>
      <c r="F50" s="107"/>
      <c r="G50" s="107"/>
      <c r="H50" s="107"/>
      <c r="I50" s="108"/>
    </row>
    <row r="51" spans="1:9" x14ac:dyDescent="0.25">
      <c r="A51" s="118" t="s">
        <v>118</v>
      </c>
      <c r="B51" s="107"/>
      <c r="C51" s="107"/>
      <c r="D51" s="107"/>
      <c r="E51" s="107"/>
      <c r="F51" s="107"/>
      <c r="G51" s="107"/>
      <c r="H51" s="107"/>
      <c r="I51" s="108"/>
    </row>
    <row r="52" spans="1:9" x14ac:dyDescent="0.25">
      <c r="A52" s="118" t="s">
        <v>119</v>
      </c>
      <c r="B52" s="107"/>
      <c r="C52" s="107"/>
      <c r="D52" s="107"/>
      <c r="E52" s="107"/>
      <c r="F52" s="107"/>
      <c r="G52" s="107"/>
      <c r="H52" s="107"/>
      <c r="I52" s="108"/>
    </row>
    <row r="53" spans="1:9" x14ac:dyDescent="0.25">
      <c r="A53" s="106"/>
      <c r="B53" s="107"/>
      <c r="C53" s="107"/>
      <c r="D53" s="107"/>
      <c r="E53" s="107"/>
      <c r="F53" s="107"/>
      <c r="G53" s="107"/>
      <c r="H53" s="107"/>
      <c r="I53" s="108"/>
    </row>
    <row r="54" spans="1:9" x14ac:dyDescent="0.25">
      <c r="A54" s="106"/>
      <c r="B54" s="107"/>
      <c r="C54" s="107"/>
      <c r="D54" s="107"/>
      <c r="E54" s="107"/>
      <c r="F54" s="107"/>
      <c r="G54" s="107"/>
      <c r="H54" s="107"/>
      <c r="I54" s="108"/>
    </row>
    <row r="55" spans="1:9" x14ac:dyDescent="0.25">
      <c r="A55" s="106"/>
      <c r="B55" s="107"/>
      <c r="C55" s="107"/>
      <c r="D55" s="107"/>
      <c r="E55" s="107"/>
      <c r="F55" s="107"/>
      <c r="G55" s="107"/>
      <c r="H55" s="107"/>
      <c r="I55" s="108"/>
    </row>
    <row r="56" spans="1:9" x14ac:dyDescent="0.25">
      <c r="A56" s="109"/>
      <c r="B56" s="110"/>
      <c r="C56" s="110"/>
      <c r="D56" s="110"/>
      <c r="E56" s="110"/>
      <c r="F56" s="110"/>
      <c r="G56" s="110"/>
      <c r="H56" s="110"/>
      <c r="I56" s="111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F16B9-127B-4843-8279-0F1C23A5614A}">
  <sheetPr>
    <tabColor theme="7" tint="0.59999389629810485"/>
  </sheetPr>
  <dimension ref="A1:M115"/>
  <sheetViews>
    <sheetView zoomScaleNormal="100" workbookViewId="0">
      <selection activeCell="J30" sqref="J30"/>
    </sheetView>
  </sheetViews>
  <sheetFormatPr defaultColWidth="10.7109375" defaultRowHeight="15" x14ac:dyDescent="0.25"/>
  <cols>
    <col min="1" max="1" width="24.28515625" style="140" bestFit="1" customWidth="1"/>
    <col min="2" max="2" width="10.7109375" style="140" bestFit="1" customWidth="1"/>
    <col min="3" max="3" width="15" style="140" bestFit="1" customWidth="1"/>
    <col min="4" max="4" width="12.5703125" style="140" bestFit="1" customWidth="1"/>
    <col min="5" max="5" width="15.5703125" style="140" bestFit="1" customWidth="1"/>
    <col min="6" max="6" width="10.7109375" style="140"/>
    <col min="7" max="7" width="15.7109375" style="140" customWidth="1"/>
    <col min="8" max="8" width="12.5703125" style="140" bestFit="1" customWidth="1"/>
    <col min="9" max="9" width="10.28515625" style="140" bestFit="1" customWidth="1"/>
    <col min="10" max="10" width="15.28515625" style="140" bestFit="1" customWidth="1"/>
    <col min="11" max="11" width="10.7109375" style="140"/>
    <col min="12" max="12" width="16.28515625" style="140" bestFit="1" customWidth="1"/>
    <col min="13" max="16384" width="10.7109375" style="140"/>
  </cols>
  <sheetData>
    <row r="1" spans="1:13" ht="15.75" thickBot="1" x14ac:dyDescent="0.3"/>
    <row r="2" spans="1:13" ht="15.75" thickBot="1" x14ac:dyDescent="0.3">
      <c r="A2" s="416" t="s">
        <v>120</v>
      </c>
      <c r="B2" s="24"/>
      <c r="C2" s="150"/>
      <c r="G2" s="145" t="s">
        <v>121</v>
      </c>
      <c r="H2" s="215">
        <f>FlightConfig!K16</f>
        <v>7</v>
      </c>
      <c r="L2" s="212" t="s">
        <v>122</v>
      </c>
      <c r="M2" s="212" t="s">
        <v>7</v>
      </c>
    </row>
    <row r="3" spans="1:13" ht="15.75" thickBot="1" x14ac:dyDescent="0.3">
      <c r="A3" s="417"/>
      <c r="B3" s="172"/>
      <c r="C3" s="173"/>
      <c r="E3" s="145" t="s">
        <v>123</v>
      </c>
      <c r="F3" s="147">
        <v>737</v>
      </c>
      <c r="G3" s="145" t="s">
        <v>124</v>
      </c>
      <c r="H3" s="215">
        <f>H4/2</f>
        <v>182</v>
      </c>
      <c r="J3" s="200" t="s">
        <v>125</v>
      </c>
      <c r="L3" s="212">
        <v>330</v>
      </c>
      <c r="M3" s="212">
        <v>1</v>
      </c>
    </row>
    <row r="4" spans="1:13" ht="15.75" thickBot="1" x14ac:dyDescent="0.3">
      <c r="E4" s="145" t="s">
        <v>2</v>
      </c>
      <c r="F4" s="146">
        <f>'P&amp;L'!P4</f>
        <v>0.8</v>
      </c>
      <c r="G4" s="145" t="s">
        <v>126</v>
      </c>
      <c r="H4" s="145">
        <f>FlightConfig!K3</f>
        <v>364</v>
      </c>
      <c r="J4" s="201">
        <f>H18*H4</f>
        <v>1786695.0747458946</v>
      </c>
      <c r="L4" s="212"/>
      <c r="M4" s="212">
        <v>2</v>
      </c>
    </row>
    <row r="5" spans="1:13" ht="15.75" thickBot="1" x14ac:dyDescent="0.3">
      <c r="A5" s="141" t="s">
        <v>127</v>
      </c>
      <c r="L5" s="212"/>
      <c r="M5" s="212">
        <v>3</v>
      </c>
    </row>
    <row r="6" spans="1:13" ht="15.75" thickBot="1" x14ac:dyDescent="0.3">
      <c r="A6" s="161" t="s">
        <v>128</v>
      </c>
      <c r="B6" s="161" t="s">
        <v>38</v>
      </c>
      <c r="C6" s="161" t="s">
        <v>39</v>
      </c>
      <c r="D6" s="161" t="s">
        <v>40</v>
      </c>
      <c r="E6" s="161" t="s">
        <v>41</v>
      </c>
      <c r="F6" s="161" t="s">
        <v>42</v>
      </c>
      <c r="G6" s="161" t="s">
        <v>43</v>
      </c>
      <c r="H6" s="161" t="s">
        <v>129</v>
      </c>
      <c r="I6" s="160" t="s">
        <v>130</v>
      </c>
      <c r="L6" s="211"/>
      <c r="M6" s="211"/>
    </row>
    <row r="7" spans="1:13" ht="15.75" thickBot="1" x14ac:dyDescent="0.3">
      <c r="A7" s="139" t="s">
        <v>131</v>
      </c>
      <c r="B7" s="139">
        <f>+FlightConfig!B17</f>
        <v>0</v>
      </c>
      <c r="C7" s="139">
        <f>+FlightConfig!C17</f>
        <v>32</v>
      </c>
      <c r="D7" s="139">
        <f>+FlightConfig!D17</f>
        <v>56</v>
      </c>
      <c r="E7" s="139">
        <f>+FlightConfig!E17</f>
        <v>174</v>
      </c>
      <c r="F7" s="139">
        <f>+FlightConfig!F17</f>
        <v>2</v>
      </c>
      <c r="G7" s="139">
        <f>+FlightConfig!G17</f>
        <v>8</v>
      </c>
      <c r="H7" s="139">
        <f>SUM(B7:G7)</f>
        <v>272</v>
      </c>
      <c r="L7" s="211"/>
      <c r="M7" s="211"/>
    </row>
    <row r="8" spans="1:13" ht="15.75" thickBot="1" x14ac:dyDescent="0.3">
      <c r="A8" s="139" t="s">
        <v>132</v>
      </c>
      <c r="B8" s="139">
        <f t="shared" ref="B8:G8" si="0">ROUNDUP(B7*$F$4,0)</f>
        <v>0</v>
      </c>
      <c r="C8" s="139">
        <f t="shared" si="0"/>
        <v>26</v>
      </c>
      <c r="D8" s="139">
        <f t="shared" si="0"/>
        <v>45</v>
      </c>
      <c r="E8" s="139">
        <f t="shared" si="0"/>
        <v>140</v>
      </c>
      <c r="F8" s="139">
        <f t="shared" si="0"/>
        <v>2</v>
      </c>
      <c r="G8" s="139">
        <f t="shared" si="0"/>
        <v>7</v>
      </c>
      <c r="H8" s="139">
        <f>SUM(B8:G8)</f>
        <v>220</v>
      </c>
      <c r="L8" s="211"/>
      <c r="M8" s="211"/>
    </row>
    <row r="9" spans="1:13" ht="15.75" thickBot="1" x14ac:dyDescent="0.3">
      <c r="A9" s="244"/>
      <c r="B9" s="245" t="s">
        <v>133</v>
      </c>
      <c r="C9" s="245" t="s">
        <v>134</v>
      </c>
      <c r="D9" s="245" t="s">
        <v>135</v>
      </c>
      <c r="E9" s="245" t="s">
        <v>136</v>
      </c>
      <c r="F9" s="245" t="s">
        <v>137</v>
      </c>
      <c r="G9" s="245" t="s">
        <v>138</v>
      </c>
      <c r="H9" s="161" t="s">
        <v>139</v>
      </c>
      <c r="J9" s="161" t="s">
        <v>140</v>
      </c>
    </row>
    <row r="10" spans="1:13" ht="15.75" thickBot="1" x14ac:dyDescent="0.3">
      <c r="A10" s="139" t="s">
        <v>141</v>
      </c>
      <c r="B10" s="143">
        <f>Summary!B10</f>
        <v>0</v>
      </c>
      <c r="C10" s="143">
        <f>Summary!C10</f>
        <v>104</v>
      </c>
      <c r="D10" s="143">
        <f>Summary!D10</f>
        <v>135</v>
      </c>
      <c r="E10" s="143">
        <f>Summary!E10</f>
        <v>350</v>
      </c>
      <c r="F10" s="143">
        <f>Summary!F10</f>
        <v>6</v>
      </c>
      <c r="G10" s="143">
        <f>Summary!G10</f>
        <v>21</v>
      </c>
      <c r="H10" s="143">
        <f>SUM(B10:G10)</f>
        <v>616</v>
      </c>
      <c r="J10" s="142">
        <f t="shared" ref="J10:J17" si="1">H10*$H$4</f>
        <v>224224</v>
      </c>
    </row>
    <row r="11" spans="1:13" ht="15.75" thickBot="1" x14ac:dyDescent="0.3">
      <c r="A11" s="139" t="s">
        <v>142</v>
      </c>
      <c r="B11" s="143">
        <f>Summary!B11</f>
        <v>0</v>
      </c>
      <c r="C11" s="143">
        <f>Summary!C11</f>
        <v>479.50820119640338</v>
      </c>
      <c r="D11" s="143">
        <f>Summary!D11</f>
        <v>549.19246387500004</v>
      </c>
      <c r="E11" s="143">
        <f>Summary!E11</f>
        <v>708.75660319655174</v>
      </c>
      <c r="F11" s="143">
        <f>Summary!F11</f>
        <v>21.938409875948579</v>
      </c>
      <c r="G11" s="143">
        <f>Summary!G11</f>
        <v>87.896649626895055</v>
      </c>
      <c r="H11" s="143">
        <f t="shared" ref="H11:H17" si="2">SUM(B11:G11)</f>
        <v>1847.2923277707987</v>
      </c>
      <c r="I11" s="179"/>
      <c r="J11" s="142">
        <f>H11*$H$4</f>
        <v>672414.40730857069</v>
      </c>
    </row>
    <row r="12" spans="1:13" ht="15.75" thickBot="1" x14ac:dyDescent="0.3">
      <c r="A12" s="139" t="s">
        <v>143</v>
      </c>
      <c r="B12" s="143">
        <f>Summary!B12</f>
        <v>0</v>
      </c>
      <c r="C12" s="143">
        <f>Summary!C12</f>
        <v>274.26749999999993</v>
      </c>
      <c r="D12" s="143">
        <f>Summary!D12</f>
        <v>325.83214285714286</v>
      </c>
      <c r="E12" s="143">
        <f>Summary!E12</f>
        <v>619.93287356321832</v>
      </c>
      <c r="F12" s="143">
        <f>Summary!F12</f>
        <v>9.64</v>
      </c>
      <c r="G12" s="143">
        <f>Summary!G12</f>
        <v>44.379999999999995</v>
      </c>
      <c r="H12" s="143">
        <f t="shared" si="2"/>
        <v>1274.0525164203609</v>
      </c>
      <c r="I12" s="217"/>
      <c r="J12" s="142">
        <f t="shared" si="1"/>
        <v>463755.11597701139</v>
      </c>
    </row>
    <row r="13" spans="1:13" ht="15.75" thickBot="1" x14ac:dyDescent="0.3">
      <c r="A13" s="139" t="s">
        <v>144</v>
      </c>
      <c r="B13" s="143" t="str">
        <f>Summary!B13</f>
        <v xml:space="preserve"> </v>
      </c>
      <c r="C13" s="143">
        <f>Summary!C13</f>
        <v>68.792522667264933</v>
      </c>
      <c r="D13" s="143">
        <f>Summary!D13</f>
        <v>59.877061278749984</v>
      </c>
      <c r="E13" s="143">
        <f>Summary!E13</f>
        <v>107.64986817537927</v>
      </c>
      <c r="F13" s="143">
        <f>Summary!F13</f>
        <v>2.8519932838733122</v>
      </c>
      <c r="G13" s="143">
        <f>Summary!G13</f>
        <v>0</v>
      </c>
      <c r="H13" s="143">
        <f t="shared" si="2"/>
        <v>239.17144540526749</v>
      </c>
      <c r="J13" s="142">
        <f t="shared" si="1"/>
        <v>87058.406127517374</v>
      </c>
    </row>
    <row r="14" spans="1:13" ht="15.75" thickBot="1" x14ac:dyDescent="0.3">
      <c r="A14" s="139" t="s">
        <v>145</v>
      </c>
      <c r="B14" s="143" t="str">
        <f>Summary!B14</f>
        <v xml:space="preserve"> </v>
      </c>
      <c r="C14" s="143">
        <f>Summary!C14</f>
        <v>35.654774999999972</v>
      </c>
      <c r="D14" s="143">
        <f>Summary!D14</f>
        <v>42.358178571428525</v>
      </c>
      <c r="E14" s="143">
        <f>Summary!E14</f>
        <v>92.827917241379225</v>
      </c>
      <c r="F14" s="143">
        <f>Summary!F14</f>
        <v>1.2531999999999988</v>
      </c>
      <c r="G14" s="143">
        <f>Summary!G14</f>
        <v>0</v>
      </c>
      <c r="H14" s="143">
        <f t="shared" si="2"/>
        <v>172.09407081280773</v>
      </c>
      <c r="J14" s="142">
        <f t="shared" si="1"/>
        <v>62642.241775862014</v>
      </c>
    </row>
    <row r="15" spans="1:13" ht="15.75" thickBot="1" x14ac:dyDescent="0.3">
      <c r="A15" s="139" t="s">
        <v>146</v>
      </c>
      <c r="B15" s="143">
        <f t="shared" ref="B15" si="3">IFERROR(B46*$E$8,0)</f>
        <v>0</v>
      </c>
      <c r="C15" s="143">
        <f>IFERROR(C47*C$8,0)</f>
        <v>0</v>
      </c>
      <c r="D15" s="143">
        <f t="shared" ref="D15:G15" si="4">IFERROR(D47*D$8,0)</f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2"/>
        <v>0</v>
      </c>
      <c r="J15" s="142">
        <f t="shared" si="1"/>
        <v>0</v>
      </c>
      <c r="L15" s="161" t="s">
        <v>147</v>
      </c>
      <c r="M15" s="161"/>
    </row>
    <row r="16" spans="1:13" ht="15.75" thickBot="1" x14ac:dyDescent="0.3">
      <c r="A16" s="139" t="s">
        <v>148</v>
      </c>
      <c r="B16" s="143">
        <f>Summary!B15</f>
        <v>0</v>
      </c>
      <c r="C16" s="143">
        <f>Summary!C15</f>
        <v>0</v>
      </c>
      <c r="D16" s="143">
        <f>Summary!D15</f>
        <v>0</v>
      </c>
      <c r="E16" s="143">
        <f>Summary!E15</f>
        <v>715.08058159096367</v>
      </c>
      <c r="F16" s="143">
        <f>Summary!F15</f>
        <v>0</v>
      </c>
      <c r="G16" s="143">
        <f>Summary!G15</f>
        <v>0</v>
      </c>
      <c r="H16" s="143">
        <f t="shared" si="2"/>
        <v>715.08058159096367</v>
      </c>
      <c r="I16" s="179"/>
      <c r="J16" s="142">
        <f t="shared" si="1"/>
        <v>260289.33169911077</v>
      </c>
      <c r="L16" s="207">
        <f>J12+J16</f>
        <v>724044.44767612219</v>
      </c>
      <c r="M16" s="209">
        <v>1</v>
      </c>
    </row>
    <row r="17" spans="1:13" ht="15.75" thickBot="1" x14ac:dyDescent="0.3">
      <c r="A17" s="139" t="s">
        <v>149</v>
      </c>
      <c r="B17" s="143">
        <f>Summary!B16</f>
        <v>0</v>
      </c>
      <c r="C17" s="143">
        <f>Summary!C16</f>
        <v>0</v>
      </c>
      <c r="D17" s="143">
        <f>Summary!D16</f>
        <v>0</v>
      </c>
      <c r="E17" s="143">
        <f>Summary!E16+C26</f>
        <v>44.812010598413835</v>
      </c>
      <c r="F17" s="143">
        <f>Summary!F16</f>
        <v>0</v>
      </c>
      <c r="G17" s="143">
        <f>Summary!G16</f>
        <v>0</v>
      </c>
      <c r="H17" s="143">
        <f t="shared" si="2"/>
        <v>44.812010598413835</v>
      </c>
      <c r="I17" s="159"/>
      <c r="J17" s="142">
        <f t="shared" si="1"/>
        <v>16311.571857822635</v>
      </c>
      <c r="L17" s="208">
        <f>L16*M17</f>
        <v>579235.55814089777</v>
      </c>
      <c r="M17" s="209">
        <v>0.8</v>
      </c>
    </row>
    <row r="18" spans="1:13" ht="15.75" thickBot="1" x14ac:dyDescent="0.3">
      <c r="A18" s="162" t="s">
        <v>150</v>
      </c>
      <c r="B18" s="163">
        <f>SUM(B11:B17)</f>
        <v>0</v>
      </c>
      <c r="C18" s="163">
        <f>SUM(C11:C17)</f>
        <v>858.22299886366829</v>
      </c>
      <c r="D18" s="163">
        <f>SUM(D10:D17)</f>
        <v>1112.2598465823214</v>
      </c>
      <c r="E18" s="163">
        <f>SUM(E10:E17)</f>
        <v>2639.0598543659062</v>
      </c>
      <c r="F18" s="163">
        <f>SUM(F10:F17)</f>
        <v>41.683603159821892</v>
      </c>
      <c r="G18" s="163">
        <f>SUM(G10:G17)</f>
        <v>153.27664962689505</v>
      </c>
      <c r="H18" s="163">
        <f>SUM(H10:H17)</f>
        <v>4908.502952598612</v>
      </c>
      <c r="I18" s="140">
        <v>862832.67719934159</v>
      </c>
      <c r="J18" s="199">
        <f>SUM(J10:J17)</f>
        <v>1786695.0747458949</v>
      </c>
      <c r="L18" s="208">
        <f>L16*M18</f>
        <v>144808.88953522444</v>
      </c>
      <c r="M18" s="209">
        <v>0.2</v>
      </c>
    </row>
    <row r="19" spans="1:13" ht="15.75" thickBot="1" x14ac:dyDescent="0.3">
      <c r="A19" s="187"/>
      <c r="B19" s="188">
        <f>B18</f>
        <v>0</v>
      </c>
      <c r="C19" s="188">
        <f>C18</f>
        <v>858.22299886366829</v>
      </c>
      <c r="D19" s="188">
        <f>D18</f>
        <v>1112.2598465823214</v>
      </c>
      <c r="E19" s="188">
        <f>E18-E16-E17</f>
        <v>1879.1672621765288</v>
      </c>
      <c r="F19" s="188">
        <f>F18</f>
        <v>41.683603159821892</v>
      </c>
      <c r="G19" s="188">
        <f>G18</f>
        <v>153.27664962689505</v>
      </c>
      <c r="H19" s="188"/>
      <c r="I19" s="188">
        <f>E16+E17</f>
        <v>759.89259218937752</v>
      </c>
      <c r="J19" s="188"/>
      <c r="L19" s="206"/>
    </row>
    <row r="20" spans="1:13" ht="15.75" thickBot="1" x14ac:dyDescent="0.3">
      <c r="A20" s="161" t="s">
        <v>151</v>
      </c>
      <c r="B20" s="191" t="s">
        <v>152</v>
      </c>
      <c r="C20" s="191" t="s">
        <v>153</v>
      </c>
      <c r="D20" s="191" t="s">
        <v>154</v>
      </c>
      <c r="E20" s="158"/>
      <c r="F20" s="158"/>
      <c r="G20" s="158"/>
      <c r="H20" s="160"/>
      <c r="I20" s="158">
        <f>E17</f>
        <v>44.812010598413835</v>
      </c>
    </row>
    <row r="21" spans="1:13" ht="15.75" thickBot="1" x14ac:dyDescent="0.3">
      <c r="A21" s="189" t="s">
        <v>155</v>
      </c>
      <c r="B21" s="143">
        <f>Handling!C22</f>
        <v>515.08058159096367</v>
      </c>
      <c r="C21" s="190">
        <f>Handling!C23</f>
        <v>44.812010598413835</v>
      </c>
      <c r="D21" s="190">
        <f>SUM(B21:C21)</f>
        <v>559.89259218937752</v>
      </c>
      <c r="G21" s="179"/>
    </row>
    <row r="22" spans="1:13" ht="15.75" hidden="1" thickBot="1" x14ac:dyDescent="0.3">
      <c r="A22" s="162" t="s">
        <v>156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  <c r="G22" s="179"/>
    </row>
    <row r="23" spans="1:13" ht="15.75" hidden="1" thickBot="1" x14ac:dyDescent="0.3">
      <c r="A23" s="162" t="s">
        <v>157</v>
      </c>
      <c r="B23" s="143" t="e">
        <f>Handling!#REF!</f>
        <v>#REF!</v>
      </c>
      <c r="C23" s="143" t="e">
        <f>Handling!#REF!</f>
        <v>#REF!</v>
      </c>
      <c r="D23" s="143" t="e">
        <f>Handling!#REF!</f>
        <v>#REF!</v>
      </c>
    </row>
    <row r="24" spans="1:13" ht="15.75" thickBot="1" x14ac:dyDescent="0.3"/>
    <row r="25" spans="1:13" ht="15.75" thickBot="1" x14ac:dyDescent="0.3">
      <c r="A25" s="161" t="s">
        <v>158</v>
      </c>
      <c r="B25" s="191" t="s">
        <v>152</v>
      </c>
      <c r="C25" s="191" t="s">
        <v>153</v>
      </c>
      <c r="D25" s="191" t="s">
        <v>154</v>
      </c>
      <c r="E25" s="158"/>
      <c r="F25" s="158"/>
      <c r="G25" s="158"/>
      <c r="H25" s="160"/>
      <c r="I25" s="158">
        <f>E21</f>
        <v>0</v>
      </c>
    </row>
    <row r="26" spans="1:13" ht="15.75" thickBot="1" x14ac:dyDescent="0.3">
      <c r="A26" s="189">
        <v>330</v>
      </c>
      <c r="B26" s="190">
        <f>Handling!C26</f>
        <v>200</v>
      </c>
      <c r="C26" s="190">
        <f>B26*'P&amp;L'!$P$11</f>
        <v>0</v>
      </c>
      <c r="D26" s="190">
        <f>SUM(B26:C26)</f>
        <v>200</v>
      </c>
      <c r="G26" s="179"/>
    </row>
    <row r="27" spans="1:13" ht="15.75" thickBot="1" x14ac:dyDescent="0.3"/>
    <row r="28" spans="1:13" ht="15.75" thickBot="1" x14ac:dyDescent="0.3">
      <c r="A28" s="139" t="s">
        <v>159</v>
      </c>
      <c r="B28" s="143">
        <f>IFERROR(((B11+B12+B13+B14)/B8),0)</f>
        <v>0</v>
      </c>
      <c r="C28" s="143">
        <f>IFERROR(((+C10+C11+C12+C13+C14)/C8),0)</f>
        <v>37.008576879371859</v>
      </c>
      <c r="D28" s="143">
        <f>IFERROR(((D10+D11+D12+D13+D14)/D8),0)</f>
        <v>24.716885479607143</v>
      </c>
      <c r="E28" s="143">
        <f>IFERROR(((E10+E11+E12+E13+E14)/E8),0)</f>
        <v>13.422623301260918</v>
      </c>
      <c r="F28" s="143">
        <f>IFERROR(((F10+F11+F12+F13+F14)/F8),0)</f>
        <v>20.841801579910946</v>
      </c>
      <c r="G28" s="143">
        <f>IFERROR(((G10+G11+G12+G13+G14)/G8),0)</f>
        <v>21.896664232413578</v>
      </c>
    </row>
    <row r="29" spans="1:13" ht="15.75" thickBot="1" x14ac:dyDescent="0.3">
      <c r="A29" s="139" t="s">
        <v>160</v>
      </c>
      <c r="B29" s="143">
        <f t="shared" ref="B29:G29" si="5">IFERROR(((B13+B14)/B8),0)</f>
        <v>0</v>
      </c>
      <c r="C29" s="143">
        <f>IFERROR(((C13+C14)/C8),0)</f>
        <v>4.0172037564332657</v>
      </c>
      <c r="D29" s="143">
        <f t="shared" si="5"/>
        <v>2.2718942188928559</v>
      </c>
      <c r="E29" s="143">
        <f t="shared" si="5"/>
        <v>1.4319841815482748</v>
      </c>
      <c r="F29" s="143">
        <f t="shared" si="5"/>
        <v>2.0525966419366553</v>
      </c>
      <c r="G29" s="143">
        <f t="shared" si="5"/>
        <v>0</v>
      </c>
    </row>
    <row r="30" spans="1:13" ht="15.75" thickBot="1" x14ac:dyDescent="0.3">
      <c r="A30" s="139" t="s">
        <v>161</v>
      </c>
      <c r="B30" s="143">
        <f t="shared" ref="B30:G30" si="6">IFERROR((B10/B8),0)</f>
        <v>0</v>
      </c>
      <c r="C30" s="143">
        <f t="shared" si="6"/>
        <v>4</v>
      </c>
      <c r="D30" s="143">
        <f t="shared" si="6"/>
        <v>3</v>
      </c>
      <c r="E30" s="143">
        <f t="shared" si="6"/>
        <v>2.5</v>
      </c>
      <c r="F30" s="143">
        <f t="shared" si="6"/>
        <v>3</v>
      </c>
      <c r="G30" s="143">
        <f t="shared" si="6"/>
        <v>3</v>
      </c>
    </row>
    <row r="31" spans="1:13" s="203" customFormat="1" x14ac:dyDescent="0.25">
      <c r="A31" s="204"/>
      <c r="B31" s="205"/>
      <c r="C31" s="205"/>
      <c r="D31" s="205"/>
      <c r="E31" s="205"/>
      <c r="F31" s="205"/>
      <c r="G31" s="205"/>
    </row>
    <row r="32" spans="1:13" x14ac:dyDescent="0.25">
      <c r="B32" s="162" t="s">
        <v>162</v>
      </c>
      <c r="C32" s="162" t="s">
        <v>163</v>
      </c>
    </row>
    <row r="33" spans="1:7" ht="15.75" thickBot="1" x14ac:dyDescent="0.3">
      <c r="A33" s="162" t="s">
        <v>164</v>
      </c>
      <c r="B33" s="162">
        <f>Summary!B34</f>
        <v>3</v>
      </c>
      <c r="C33" s="162"/>
    </row>
    <row r="34" spans="1:7" ht="15.75" thickBot="1" x14ac:dyDescent="0.3">
      <c r="A34" s="139" t="s">
        <v>141</v>
      </c>
      <c r="B34" s="143">
        <f t="shared" ref="B34:G34" si="7">B42*B8</f>
        <v>0</v>
      </c>
      <c r="C34" s="143">
        <f t="shared" si="7"/>
        <v>104</v>
      </c>
      <c r="D34" s="143">
        <f t="shared" si="7"/>
        <v>135</v>
      </c>
      <c r="E34" s="143">
        <f t="shared" si="7"/>
        <v>350</v>
      </c>
      <c r="F34" s="143">
        <f t="shared" si="7"/>
        <v>6</v>
      </c>
      <c r="G34" s="143">
        <f t="shared" si="7"/>
        <v>21</v>
      </c>
    </row>
    <row r="35" spans="1:7" ht="15.75" thickBot="1" x14ac:dyDescent="0.3">
      <c r="A35" s="139" t="s">
        <v>142</v>
      </c>
      <c r="B35" s="143">
        <f>Summary!B36</f>
        <v>0</v>
      </c>
      <c r="C35" s="143">
        <f>Summary!C36</f>
        <v>590.16393993403494</v>
      </c>
      <c r="D35" s="143">
        <f>Summary!D36</f>
        <v>683.43951060000006</v>
      </c>
      <c r="E35" s="143">
        <f>Summary!E36</f>
        <v>880.88320682999995</v>
      </c>
      <c r="F35" s="143">
        <f>Summary!F36</f>
        <v>21.938409875948579</v>
      </c>
      <c r="G35" s="143">
        <f>Summary!G36</f>
        <v>100.45331385930864</v>
      </c>
    </row>
    <row r="36" spans="1:7" ht="15.75" thickBot="1" x14ac:dyDescent="0.3">
      <c r="A36" s="139" t="s">
        <v>143</v>
      </c>
      <c r="B36" s="143">
        <f>Summary!B37</f>
        <v>0</v>
      </c>
      <c r="C36" s="143">
        <f>Summary!C37</f>
        <v>337.55999999999995</v>
      </c>
      <c r="D36" s="143">
        <f>Summary!D37</f>
        <v>405.48</v>
      </c>
      <c r="E36" s="143">
        <f>Summary!E37</f>
        <v>770.48799999999994</v>
      </c>
      <c r="F36" s="143">
        <f>Summary!F37</f>
        <v>9.64</v>
      </c>
      <c r="G36" s="143">
        <f>Summary!G37</f>
        <v>50.72</v>
      </c>
    </row>
    <row r="37" spans="1:7" ht="15.75" thickBot="1" x14ac:dyDescent="0.3">
      <c r="A37" s="139" t="s">
        <v>165</v>
      </c>
      <c r="B37" s="143">
        <f>Summary!B38</f>
        <v>0</v>
      </c>
      <c r="C37" s="143">
        <f>Summary!C38</f>
        <v>84.667720205864526</v>
      </c>
      <c r="D37" s="143">
        <f>Summary!D38</f>
        <v>74.513676257999975</v>
      </c>
      <c r="E37" s="143">
        <f>Summary!E38</f>
        <v>133.79340758939995</v>
      </c>
      <c r="F37" s="143">
        <f>Summary!F38</f>
        <v>2.8519932838733122</v>
      </c>
      <c r="G37" s="143">
        <f>Summary!G38</f>
        <v>2.3732393735787642</v>
      </c>
    </row>
    <row r="38" spans="1:7" ht="15.75" thickBot="1" x14ac:dyDescent="0.3">
      <c r="A38" s="139" t="s">
        <v>166</v>
      </c>
      <c r="B38" s="143">
        <f>Summary!B39</f>
        <v>0</v>
      </c>
      <c r="C38" s="143">
        <f>Summary!C39</f>
        <v>43.882799999999968</v>
      </c>
      <c r="D38" s="143">
        <f>Summary!D39</f>
        <v>52.712399999999946</v>
      </c>
      <c r="E38" s="143">
        <f>Summary!E39</f>
        <v>115.37183999999991</v>
      </c>
      <c r="F38" s="143">
        <f>Summary!F39</f>
        <v>1.2531999999999988</v>
      </c>
      <c r="G38" s="143">
        <f>Summary!G39</f>
        <v>1.3311999999999984</v>
      </c>
    </row>
    <row r="39" spans="1:7" ht="15.75" thickBot="1" x14ac:dyDescent="0.3">
      <c r="A39" s="139" t="s">
        <v>167</v>
      </c>
      <c r="B39" s="143">
        <f>Summary!B40</f>
        <v>0</v>
      </c>
      <c r="C39" s="143" t="str">
        <f>Summary!C40</f>
        <v/>
      </c>
      <c r="D39" s="143" t="str">
        <f>Summary!D40</f>
        <v/>
      </c>
      <c r="E39" s="143" t="str">
        <f>Summary!E40</f>
        <v/>
      </c>
      <c r="F39" s="143" t="str">
        <f>Summary!F40</f>
        <v/>
      </c>
      <c r="G39" s="143" t="str">
        <f>Summary!G40</f>
        <v/>
      </c>
    </row>
    <row r="40" spans="1:7" x14ac:dyDescent="0.25">
      <c r="A40" s="154"/>
      <c r="B40" s="155"/>
      <c r="C40" s="155"/>
      <c r="D40" s="155"/>
      <c r="E40" s="155"/>
      <c r="F40" s="155"/>
      <c r="G40" s="155"/>
    </row>
    <row r="41" spans="1:7" ht="15.75" thickBot="1" x14ac:dyDescent="0.3">
      <c r="A41" s="162" t="s">
        <v>168</v>
      </c>
    </row>
    <row r="42" spans="1:7" ht="15.75" thickBot="1" x14ac:dyDescent="0.3">
      <c r="A42" s="139" t="s">
        <v>141</v>
      </c>
      <c r="B42" s="143">
        <f>'P&amp;L'!$J$30</f>
        <v>0</v>
      </c>
      <c r="C42" s="143">
        <f>'P&amp;L'!$K$30</f>
        <v>4</v>
      </c>
      <c r="D42" s="143">
        <f>'P&amp;L'!$L$30</f>
        <v>3</v>
      </c>
      <c r="E42" s="143">
        <f>'P&amp;L'!$M$30</f>
        <v>2.5</v>
      </c>
      <c r="F42" s="143">
        <f>'P&amp;L'!$N$30</f>
        <v>3</v>
      </c>
      <c r="G42" s="143">
        <f>'P&amp;L'!$O$30</f>
        <v>3</v>
      </c>
    </row>
    <row r="43" spans="1:7" ht="15.75" thickBot="1" x14ac:dyDescent="0.3">
      <c r="A43" s="139" t="s">
        <v>142</v>
      </c>
      <c r="B43" s="143" t="str">
        <f t="shared" ref="B43:G43" si="8">IFERROR(B35/B7," ")</f>
        <v xml:space="preserve"> </v>
      </c>
      <c r="C43" s="143">
        <f t="shared" si="8"/>
        <v>18.442623122938592</v>
      </c>
      <c r="D43" s="143">
        <f>IFERROR(D35/D7," ")</f>
        <v>12.204276975000001</v>
      </c>
      <c r="E43" s="143">
        <f t="shared" si="8"/>
        <v>5.0625471656896552</v>
      </c>
      <c r="F43" s="143">
        <f t="shared" si="8"/>
        <v>10.96920493797429</v>
      </c>
      <c r="G43" s="143">
        <f t="shared" si="8"/>
        <v>12.55666423241358</v>
      </c>
    </row>
    <row r="44" spans="1:7" ht="15.75" thickBot="1" x14ac:dyDescent="0.3">
      <c r="A44" s="139" t="s">
        <v>143</v>
      </c>
      <c r="B44" s="143" t="str">
        <f>IFERROR(B36/B7," ")</f>
        <v xml:space="preserve"> </v>
      </c>
      <c r="C44" s="143">
        <f t="shared" ref="C44:G44" si="9">IFERROR(C36/C7," ")</f>
        <v>10.548749999999998</v>
      </c>
      <c r="D44" s="143">
        <f t="shared" si="9"/>
        <v>7.2407142857142857</v>
      </c>
      <c r="E44" s="143">
        <f t="shared" si="9"/>
        <v>4.4280919540229879</v>
      </c>
      <c r="F44" s="143">
        <f t="shared" si="9"/>
        <v>4.82</v>
      </c>
      <c r="G44" s="143">
        <f t="shared" si="9"/>
        <v>6.34</v>
      </c>
    </row>
    <row r="45" spans="1:7" ht="15.75" thickBot="1" x14ac:dyDescent="0.3">
      <c r="A45" s="139" t="s">
        <v>165</v>
      </c>
      <c r="B45" s="143" t="str">
        <f>IFERROR(B37/B8," ")</f>
        <v xml:space="preserve"> </v>
      </c>
      <c r="C45" s="143">
        <f>IFERROR(C37/C7," ")</f>
        <v>2.6458662564332665</v>
      </c>
      <c r="D45" s="143">
        <f>IFERROR(D37/D7," ")</f>
        <v>1.3306013617499997</v>
      </c>
      <c r="E45" s="143">
        <f>IFERROR(E37/E7," ")</f>
        <v>0.76892762982413765</v>
      </c>
      <c r="F45" s="143">
        <f>IFERROR(F37/F7," ")</f>
        <v>1.4259966419366561</v>
      </c>
      <c r="G45" s="143">
        <f>IFERROR(G37/G7," ")</f>
        <v>0.29665492169734553</v>
      </c>
    </row>
    <row r="46" spans="1:7" ht="15.75" thickBot="1" x14ac:dyDescent="0.3">
      <c r="A46" s="139" t="s">
        <v>166</v>
      </c>
      <c r="B46" s="143" t="str">
        <f t="shared" ref="B46:G47" si="10">IFERROR(B38/B7," ")</f>
        <v xml:space="preserve"> </v>
      </c>
      <c r="C46" s="143">
        <f t="shared" si="10"/>
        <v>1.371337499999999</v>
      </c>
      <c r="D46" s="143">
        <f t="shared" si="10"/>
        <v>0.94129285714285615</v>
      </c>
      <c r="E46" s="143">
        <f t="shared" si="10"/>
        <v>0.66305655172413736</v>
      </c>
      <c r="F46" s="143">
        <f t="shared" si="10"/>
        <v>0.62659999999999938</v>
      </c>
      <c r="G46" s="143">
        <f t="shared" si="10"/>
        <v>0.1663999999999998</v>
      </c>
    </row>
    <row r="47" spans="1:7" ht="15.75" thickBot="1" x14ac:dyDescent="0.3">
      <c r="A47" s="139" t="s">
        <v>167</v>
      </c>
      <c r="B47" s="143" t="str">
        <f t="shared" si="10"/>
        <v xml:space="preserve"> </v>
      </c>
      <c r="C47" s="143" t="str">
        <f t="shared" si="10"/>
        <v xml:space="preserve"> </v>
      </c>
      <c r="D47" s="143" t="str">
        <f t="shared" si="10"/>
        <v xml:space="preserve"> </v>
      </c>
      <c r="E47" s="143" t="str">
        <f t="shared" si="10"/>
        <v xml:space="preserve"> </v>
      </c>
      <c r="F47" s="143" t="str">
        <f t="shared" si="10"/>
        <v xml:space="preserve"> </v>
      </c>
      <c r="G47" s="143" t="str">
        <f t="shared" si="10"/>
        <v xml:space="preserve"> </v>
      </c>
    </row>
    <row r="48" spans="1:7" x14ac:dyDescent="0.25">
      <c r="B48" s="156"/>
      <c r="C48" s="156"/>
    </row>
    <row r="49" spans="2:3" x14ac:dyDescent="0.25">
      <c r="B49" s="156"/>
      <c r="C49" s="156"/>
    </row>
    <row r="114" spans="1:1" x14ac:dyDescent="0.25">
      <c r="A114" s="140">
        <v>388</v>
      </c>
    </row>
    <row r="115" spans="1:1" x14ac:dyDescent="0.25">
      <c r="A115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3EE39-EC64-4CB8-A033-775DD5D0AD50}">
  <sheetPr>
    <tabColor theme="7" tint="0.59999389629810485"/>
  </sheetPr>
  <dimension ref="A1:M109"/>
  <sheetViews>
    <sheetView zoomScaleNormal="100" workbookViewId="0">
      <selection activeCell="H17" sqref="H17"/>
    </sheetView>
  </sheetViews>
  <sheetFormatPr defaultColWidth="10.7109375" defaultRowHeight="15" x14ac:dyDescent="0.25"/>
  <cols>
    <col min="1" max="1" width="24.28515625" style="140" bestFit="1" customWidth="1"/>
    <col min="2" max="2" width="10.7109375" style="140" bestFit="1" customWidth="1"/>
    <col min="3" max="3" width="15" style="140" bestFit="1" customWidth="1"/>
    <col min="4" max="4" width="12.5703125" style="140" bestFit="1" customWidth="1"/>
    <col min="5" max="5" width="15.5703125" style="140" bestFit="1" customWidth="1"/>
    <col min="6" max="6" width="10.7109375" style="140"/>
    <col min="7" max="7" width="15.7109375" style="140" customWidth="1"/>
    <col min="8" max="8" width="12.5703125" style="140" bestFit="1" customWidth="1"/>
    <col min="9" max="9" width="8.5703125" style="140" bestFit="1" customWidth="1"/>
    <col min="10" max="10" width="15.28515625" style="140" bestFit="1" customWidth="1"/>
    <col min="11" max="11" width="10.7109375" style="140"/>
    <col min="12" max="12" width="16.28515625" style="140" bestFit="1" customWidth="1"/>
    <col min="13" max="16384" width="10.7109375" style="140"/>
  </cols>
  <sheetData>
    <row r="1" spans="1:13" ht="15.75" thickBot="1" x14ac:dyDescent="0.3"/>
    <row r="2" spans="1:13" ht="15.75" thickBot="1" x14ac:dyDescent="0.3">
      <c r="A2" s="416" t="s">
        <v>120</v>
      </c>
      <c r="B2" s="24"/>
      <c r="C2" s="150"/>
      <c r="G2" s="145" t="s">
        <v>121</v>
      </c>
      <c r="H2" s="215">
        <f>'Summary  735'!H2+'Summary 2221'!H2+'Summary 2439'!H2+'Summary 2682'!H2+'Summary 2855'!H2</f>
        <v>0</v>
      </c>
      <c r="L2" s="212" t="s">
        <v>122</v>
      </c>
      <c r="M2" s="212" t="s">
        <v>7</v>
      </c>
    </row>
    <row r="3" spans="1:13" ht="15.75" thickBot="1" x14ac:dyDescent="0.3">
      <c r="A3" s="417"/>
      <c r="B3" s="172"/>
      <c r="C3" s="173"/>
      <c r="E3" s="145" t="s">
        <v>123</v>
      </c>
      <c r="F3" s="147">
        <v>737</v>
      </c>
      <c r="G3" s="145" t="s">
        <v>124</v>
      </c>
      <c r="H3" s="215">
        <f>H4/12</f>
        <v>0</v>
      </c>
      <c r="J3" s="200" t="s">
        <v>125</v>
      </c>
      <c r="L3" s="212">
        <v>737</v>
      </c>
      <c r="M3" s="212">
        <v>1</v>
      </c>
    </row>
    <row r="4" spans="1:13" ht="15.75" thickBot="1" x14ac:dyDescent="0.3">
      <c r="E4" s="145" t="s">
        <v>2</v>
      </c>
      <c r="F4" s="146">
        <f>'P&amp;L'!P4</f>
        <v>0.8</v>
      </c>
      <c r="G4" s="145" t="s">
        <v>126</v>
      </c>
      <c r="H4" s="145">
        <f>H2*52</f>
        <v>0</v>
      </c>
      <c r="J4" s="201" t="e">
        <f>H17*H4</f>
        <v>#REF!</v>
      </c>
      <c r="L4" s="212"/>
      <c r="M4" s="212"/>
    </row>
    <row r="5" spans="1:13" ht="15.75" thickBot="1" x14ac:dyDescent="0.3">
      <c r="A5" s="141" t="s">
        <v>127</v>
      </c>
      <c r="L5" s="212"/>
      <c r="M5" s="212"/>
    </row>
    <row r="6" spans="1:13" ht="15.75" thickBot="1" x14ac:dyDescent="0.3">
      <c r="A6" s="161" t="s">
        <v>128</v>
      </c>
      <c r="B6" s="161" t="s">
        <v>38</v>
      </c>
      <c r="C6" s="161" t="s">
        <v>39</v>
      </c>
      <c r="D6" s="161" t="s">
        <v>40</v>
      </c>
      <c r="E6" s="161" t="s">
        <v>41</v>
      </c>
      <c r="F6" s="161" t="s">
        <v>42</v>
      </c>
      <c r="G6" s="161" t="s">
        <v>43</v>
      </c>
      <c r="H6" s="161" t="s">
        <v>129</v>
      </c>
      <c r="I6" s="160" t="s">
        <v>130</v>
      </c>
      <c r="L6" s="211"/>
      <c r="M6" s="211"/>
    </row>
    <row r="7" spans="1:13" ht="15.75" thickBot="1" x14ac:dyDescent="0.3">
      <c r="A7" s="139" t="s">
        <v>131</v>
      </c>
      <c r="B7" s="139">
        <f>+FlightConfig!B17</f>
        <v>0</v>
      </c>
      <c r="C7" s="139">
        <f>+FlightConfig!C17</f>
        <v>32</v>
      </c>
      <c r="D7" s="139">
        <f>+FlightConfig!D17</f>
        <v>56</v>
      </c>
      <c r="E7" s="139">
        <f>+FlightConfig!E17</f>
        <v>174</v>
      </c>
      <c r="F7" s="139">
        <f>+FlightConfig!F17</f>
        <v>2</v>
      </c>
      <c r="G7" s="139">
        <f>+FlightConfig!G17</f>
        <v>8</v>
      </c>
      <c r="H7" s="139">
        <f>SUM(B7:G7)</f>
        <v>272</v>
      </c>
      <c r="L7" s="211"/>
      <c r="M7" s="211"/>
    </row>
    <row r="8" spans="1:13" ht="15.75" thickBot="1" x14ac:dyDescent="0.3">
      <c r="A8" s="139" t="s">
        <v>132</v>
      </c>
      <c r="B8" s="139">
        <f t="shared" ref="B8:G8" si="0">ROUNDUP(B7*$F$4,0)</f>
        <v>0</v>
      </c>
      <c r="C8" s="139">
        <f t="shared" si="0"/>
        <v>26</v>
      </c>
      <c r="D8" s="139">
        <f t="shared" si="0"/>
        <v>45</v>
      </c>
      <c r="E8" s="139">
        <f t="shared" si="0"/>
        <v>140</v>
      </c>
      <c r="F8" s="139">
        <f t="shared" si="0"/>
        <v>2</v>
      </c>
      <c r="G8" s="139">
        <f t="shared" si="0"/>
        <v>7</v>
      </c>
      <c r="H8" s="139">
        <f>SUM(B8:G8)</f>
        <v>220</v>
      </c>
      <c r="L8" s="211"/>
      <c r="M8" s="211"/>
    </row>
    <row r="9" spans="1:13" ht="15.75" thickBot="1" x14ac:dyDescent="0.3">
      <c r="A9" s="244"/>
      <c r="B9" s="245" t="s">
        <v>133</v>
      </c>
      <c r="C9" s="245" t="s">
        <v>134</v>
      </c>
      <c r="D9" s="245" t="s">
        <v>135</v>
      </c>
      <c r="E9" s="245" t="s">
        <v>136</v>
      </c>
      <c r="F9" s="245" t="s">
        <v>137</v>
      </c>
      <c r="G9" s="245" t="s">
        <v>138</v>
      </c>
      <c r="H9" s="161" t="s">
        <v>139</v>
      </c>
      <c r="J9" s="161" t="s">
        <v>140</v>
      </c>
    </row>
    <row r="10" spans="1:13" ht="15.75" thickBot="1" x14ac:dyDescent="0.3">
      <c r="A10" s="139" t="s">
        <v>141</v>
      </c>
      <c r="B10" s="143">
        <f>B37*B8</f>
        <v>0</v>
      </c>
      <c r="C10" s="143" t="e">
        <f>('Summary  735'!C10+'Summary 2221'!C10+'Summary 2439'!C10+'Summary 2682'!C10+'Summary 2855'!C10+Summary!C10+#REF!+#REF!+#REF!+#REF!+#REF!+'Summary 2037'!C10+'Summary 2817'!C10)/13</f>
        <v>#REF!</v>
      </c>
      <c r="D10" s="143" t="e">
        <f>('Summary  735'!D10+'Summary 2221'!D10+'Summary 2439'!D10+'Summary 2682'!D10+'Summary 2855'!D10+Summary!D10+#REF!+#REF!+#REF!+#REF!+#REF!+'Summary 2037'!D10+'Summary 2817'!D10)/13</f>
        <v>#REF!</v>
      </c>
      <c r="E10" s="143" t="e">
        <f>('Summary  735'!E10+'Summary 2221'!E10+'Summary 2439'!E10+'Summary 2682'!E10+'Summary 2855'!E10+Summary!E10+#REF!+#REF!+#REF!+#REF!+#REF!+'Summary 2037'!E10+'Summary 2817'!E10)/13</f>
        <v>#REF!</v>
      </c>
      <c r="F10" s="143" t="e">
        <f>('Summary  735'!F10+'Summary 2221'!F10+'Summary 2439'!F10+'Summary 2682'!F10+'Summary 2855'!F10+Summary!F10+#REF!+#REF!+#REF!+#REF!+#REF!+'Summary 2037'!F10+'Summary 2817'!F10)/13</f>
        <v>#REF!</v>
      </c>
      <c r="G10" s="143" t="e">
        <f>('Summary  735'!G10+'Summary 2221'!G10+'Summary 2439'!G10+'Summary 2682'!G10+'Summary 2855'!G10+Summary!G10+#REF!+#REF!+#REF!+#REF!+#REF!+'Summary 2037'!G10+'Summary 2817'!G10)/13</f>
        <v>#REF!</v>
      </c>
      <c r="H10" s="142" t="e">
        <f t="shared" ref="H10:H16" si="1">SUM(B10:G10)</f>
        <v>#REF!</v>
      </c>
      <c r="J10" s="142" t="e">
        <f>H10*$H$4</f>
        <v>#REF!</v>
      </c>
    </row>
    <row r="11" spans="1:13" ht="15.75" thickBot="1" x14ac:dyDescent="0.3">
      <c r="A11" s="139" t="s">
        <v>142</v>
      </c>
      <c r="B11" s="143">
        <f>('Summary  735'!B11+'Summary 2221'!B11+'Summary 2439'!B11+'Summary 2682'!B11+'Summary 2855'!B11)/5</f>
        <v>0</v>
      </c>
      <c r="C11" s="143">
        <f>('Summary  735'!C11+'Summary 2221'!C11+'Summary 2439'!C11+'Summary 2682'!C11+'Summary 2855'!C11)/5</f>
        <v>0</v>
      </c>
      <c r="D11" s="143">
        <f>('Summary  735'!D11+'Summary 2221'!D11+'Summary 2439'!D11+'Summary 2682'!D11+'Summary 2855'!D11)/5</f>
        <v>0</v>
      </c>
      <c r="E11" s="143">
        <f>('Summary  735'!E11+'Summary 2221'!E11+'Summary 2439'!E11+'Summary 2682'!E11+'Summary 2855'!E11)/5</f>
        <v>0</v>
      </c>
      <c r="F11" s="143">
        <f>('Summary  735'!F11+'Summary 2221'!F11+'Summary 2439'!F11+'Summary 2682'!F11+'Summary 2855'!F11)/5</f>
        <v>0</v>
      </c>
      <c r="G11" s="143">
        <f>('Summary  735'!G11+'Summary 2221'!G11+'Summary 2439'!G11+'Summary 2682'!G11+'Summary 2855'!G11)/5</f>
        <v>0</v>
      </c>
      <c r="H11" s="142">
        <f t="shared" si="1"/>
        <v>0</v>
      </c>
      <c r="I11" s="179" t="e">
        <f>I12*45%</f>
        <v>#REF!</v>
      </c>
      <c r="J11" s="142">
        <f>H11*$H$4</f>
        <v>0</v>
      </c>
    </row>
    <row r="12" spans="1:13" ht="15.75" thickBot="1" x14ac:dyDescent="0.3">
      <c r="A12" s="139" t="s">
        <v>143</v>
      </c>
      <c r="B12" s="143" t="e">
        <f>('Summary  735'!B12+'Summary 2221'!B12+'Summary 2439'!B12+'Summary 2682'!B12+'Summary 2855'!B12+Summary!B12+#REF!+#REF!+#REF!+#REF!+#REF!+'Summary 2037'!B12+'Summary 2817'!B12)/13</f>
        <v>#REF!</v>
      </c>
      <c r="C12" s="143">
        <f>('Summary  735'!C12+'Summary 2221'!C12+'Summary 2439'!C12+'Summary 2682'!C12+'Summary 2855'!C12)/5</f>
        <v>0</v>
      </c>
      <c r="D12" s="143">
        <f>('Summary  735'!D12+'Summary 2221'!D12+'Summary 2439'!D12+'Summary 2682'!D12+'Summary 2855'!D12)/5</f>
        <v>0</v>
      </c>
      <c r="E12" s="143">
        <f>('Summary  735'!E12+'Summary 2221'!E12+'Summary 2439'!E12+'Summary 2682'!E12+'Summary 2855'!E12)/5</f>
        <v>0</v>
      </c>
      <c r="F12" s="143">
        <f>('Summary  735'!F12+'Summary 2221'!F12+'Summary 2439'!F12+'Summary 2682'!F12+'Summary 2855'!F12)/5</f>
        <v>0</v>
      </c>
      <c r="G12" s="143">
        <f>('Summary  735'!G12+'Summary 2221'!G12+'Summary 2439'!G12+'Summary 2682'!G12+'Summary 2855'!G12)/5</f>
        <v>0</v>
      </c>
      <c r="H12" s="142" t="e">
        <f t="shared" si="1"/>
        <v>#REF!</v>
      </c>
      <c r="I12" s="217" t="e">
        <f>H11+H12</f>
        <v>#REF!</v>
      </c>
      <c r="J12" s="142" t="e">
        <f t="shared" ref="J12:J17" si="2">H12*$H$4</f>
        <v>#REF!</v>
      </c>
    </row>
    <row r="13" spans="1:13" ht="15.75" thickBot="1" x14ac:dyDescent="0.3">
      <c r="A13" s="139" t="s">
        <v>144</v>
      </c>
      <c r="B13" s="143" t="e">
        <f>('Summary  735'!B13+'Summary 2221'!B13+'Summary 2439'!B13+'Summary 2682'!B13+'Summary 2855'!B13+Summary!B13+#REF!+#REF!+#REF!+#REF!+#REF!+'Summary 2037'!B13+'Summary 2817'!B13)/13</f>
        <v>#VALUE!</v>
      </c>
      <c r="C13" s="143">
        <f>('Summary  735'!C13+'Summary 2221'!C13+'Summary 2439'!C13+'Summary 2682'!C13+'Summary 2855'!C13)/5</f>
        <v>0</v>
      </c>
      <c r="D13" s="143">
        <f>('Summary  735'!D13+'Summary 2221'!D13+'Summary 2439'!D13+'Summary 2682'!D13+'Summary 2855'!D13)/5</f>
        <v>0</v>
      </c>
      <c r="E13" s="143">
        <f>('Summary  735'!E13+'Summary 2221'!E13+'Summary 2439'!E13+'Summary 2682'!E13+'Summary 2855'!E13)/5</f>
        <v>0</v>
      </c>
      <c r="F13" s="143">
        <f>('Summary  735'!F13+'Summary 2221'!F13+'Summary 2439'!F13+'Summary 2682'!F13+'Summary 2855'!F13)/5</f>
        <v>0</v>
      </c>
      <c r="G13" s="143">
        <f>('Summary  735'!G13+'Summary 2221'!G13+'Summary 2439'!G13+'Summary 2682'!G13+'Summary 2855'!G13)/5</f>
        <v>0</v>
      </c>
      <c r="H13" s="142" t="e">
        <f t="shared" si="1"/>
        <v>#VALUE!</v>
      </c>
      <c r="J13" s="142" t="e">
        <f t="shared" si="2"/>
        <v>#VALUE!</v>
      </c>
    </row>
    <row r="14" spans="1:13" ht="15.75" thickBot="1" x14ac:dyDescent="0.3">
      <c r="A14" s="139" t="s">
        <v>145</v>
      </c>
      <c r="B14" s="143" t="e">
        <f>('Summary  735'!B14+'Summary 2221'!B14+'Summary 2439'!B14+'Summary 2682'!B14+'Summary 2855'!B14+Summary!B14+#REF!+#REF!+#REF!+#REF!+#REF!+'Summary 2037'!B14+'Summary 2817'!B14)/13</f>
        <v>#VALUE!</v>
      </c>
      <c r="C14" s="143">
        <f>('Summary  735'!C14+'Summary 2221'!C14+'Summary 2439'!C14+'Summary 2682'!C14+'Summary 2855'!C14)/5</f>
        <v>0</v>
      </c>
      <c r="D14" s="143">
        <f>('Summary  735'!D14+'Summary 2221'!D14+'Summary 2439'!D14+'Summary 2682'!D14+'Summary 2855'!D14)/5</f>
        <v>0</v>
      </c>
      <c r="E14" s="143">
        <f>('Summary  735'!E14+'Summary 2221'!E14+'Summary 2439'!E14+'Summary 2682'!E14+'Summary 2855'!E14)/5</f>
        <v>0</v>
      </c>
      <c r="F14" s="143">
        <f>('Summary  735'!F14+'Summary 2221'!F14+'Summary 2439'!F14+'Summary 2682'!F14+'Summary 2855'!F14)/5</f>
        <v>0</v>
      </c>
      <c r="G14" s="143">
        <f>('Summary  735'!G14+'Summary 2221'!G14+'Summary 2439'!G14+'Summary 2682'!G14+'Summary 2855'!G14)/5</f>
        <v>0</v>
      </c>
      <c r="H14" s="142" t="e">
        <f t="shared" si="1"/>
        <v>#VALUE!</v>
      </c>
      <c r="J14" s="142" t="e">
        <f t="shared" si="2"/>
        <v>#VALUE!</v>
      </c>
      <c r="L14" s="161" t="s">
        <v>147</v>
      </c>
      <c r="M14" s="161"/>
    </row>
    <row r="15" spans="1:13" ht="15.75" thickBot="1" x14ac:dyDescent="0.3">
      <c r="A15" s="139" t="s">
        <v>148</v>
      </c>
      <c r="B15" s="143" t="e">
        <f>SUM('Summary  735'!B15+'Summary 2221'!B15+'Summary 2221'!B15+'Summary 2439'!B15+'Summary 2682'!B15+'Summary 2855'!B15+Summary!B15+#REF!+#REF!+#REF!+#REF!+#REF!+'Summary 2037'!B15+'Summary 2817'!B15)/13</f>
        <v>#REF!</v>
      </c>
      <c r="C15" s="143">
        <f>('Summary  735'!C15+'Summary 2221'!C15+'Summary 2439'!C15+'Summary 2682'!C15+'Summary 2855'!C15)/5</f>
        <v>0</v>
      </c>
      <c r="D15" s="143">
        <f>('Summary  735'!D15+'Summary 2221'!D15+'Summary 2439'!D15+'Summary 2682'!D15+'Summary 2855'!D15)/5</f>
        <v>0</v>
      </c>
      <c r="E15" s="143">
        <f>('Summary  735'!E15+'Summary 2221'!E15+'Summary 2439'!E15+'Summary 2682'!E15+'Summary 2855'!E15)/5</f>
        <v>0</v>
      </c>
      <c r="F15" s="143">
        <f>('Summary  735'!F15+'Summary 2221'!F15+'Summary 2439'!F15+'Summary 2682'!F15+'Summary 2855'!F15)/5</f>
        <v>0</v>
      </c>
      <c r="G15" s="143">
        <f>('Summary  735'!G15+'Summary 2221'!G15+'Summary 2439'!G15+'Summary 2682'!G15+'Summary 2855'!G15)/5</f>
        <v>0</v>
      </c>
      <c r="H15" s="142" t="e">
        <f t="shared" si="1"/>
        <v>#REF!</v>
      </c>
      <c r="I15" s="179"/>
      <c r="J15" s="142" t="e">
        <f t="shared" si="2"/>
        <v>#REF!</v>
      </c>
      <c r="L15" s="207" t="e">
        <f>J12+J15</f>
        <v>#REF!</v>
      </c>
      <c r="M15" s="209">
        <v>1</v>
      </c>
    </row>
    <row r="16" spans="1:13" ht="15.75" thickBot="1" x14ac:dyDescent="0.3">
      <c r="A16" s="139" t="s">
        <v>149</v>
      </c>
      <c r="B16" s="143" t="e">
        <f>SUM('Summary  735'!B16+'Summary 2221'!B16+'Summary 2221'!B16+'Summary 2439'!B16+'Summary 2682'!B16+'Summary 2855'!B16+Summary!B16+#REF!+#REF!+#REF!+#REF!+#REF!+'Summary 2037'!B16+'Summary 2817'!B16)/13</f>
        <v>#REF!</v>
      </c>
      <c r="C16" s="143">
        <f>('Summary  735'!C16+'Summary 2221'!C16+'Summary 2439'!C16+'Summary 2682'!C16+'Summary 2855'!C16)/5</f>
        <v>0</v>
      </c>
      <c r="D16" s="143">
        <f>('Summary  735'!D16+'Summary 2221'!D16+'Summary 2439'!D16+'Summary 2682'!D16+'Summary 2855'!D16)/5</f>
        <v>0</v>
      </c>
      <c r="E16" s="143">
        <f>('Summary  735'!E16+'Summary 2221'!E16+'Summary 2439'!E16+'Summary 2682'!E16+'Summary 2855'!E16)/5</f>
        <v>0</v>
      </c>
      <c r="F16" s="143">
        <f>('Summary  735'!F16+'Summary 2221'!F16+'Summary 2439'!F16+'Summary 2682'!F16+'Summary 2855'!F16)/5</f>
        <v>0</v>
      </c>
      <c r="G16" s="143">
        <f>('Summary  735'!G16+'Summary 2221'!G16+'Summary 2439'!G16+'Summary 2682'!G16+'Summary 2855'!G16)/5</f>
        <v>0</v>
      </c>
      <c r="H16" s="142" t="e">
        <f t="shared" si="1"/>
        <v>#REF!</v>
      </c>
      <c r="I16" s="159"/>
      <c r="J16" s="142" t="e">
        <f t="shared" si="2"/>
        <v>#REF!</v>
      </c>
      <c r="L16" s="208" t="e">
        <f>L15*M16</f>
        <v>#REF!</v>
      </c>
      <c r="M16" s="209">
        <v>0.8</v>
      </c>
    </row>
    <row r="17" spans="1:13" ht="15.75" thickBot="1" x14ac:dyDescent="0.3">
      <c r="A17" s="162" t="s">
        <v>150</v>
      </c>
      <c r="B17" s="163" t="e">
        <f>SUM(B11:B16)</f>
        <v>#REF!</v>
      </c>
      <c r="C17" s="163">
        <f>SUM(C11:C16)</f>
        <v>0</v>
      </c>
      <c r="D17" s="163" t="e">
        <f>SUM(D10:D16)</f>
        <v>#REF!</v>
      </c>
      <c r="E17" s="163" t="e">
        <f>SUM(E10:E16)</f>
        <v>#REF!</v>
      </c>
      <c r="F17" s="163" t="e">
        <f>SUM(F10:F16)</f>
        <v>#REF!</v>
      </c>
      <c r="G17" s="163" t="e">
        <f>SUM(G10:G16)</f>
        <v>#REF!</v>
      </c>
      <c r="H17" s="163" t="e">
        <f>SUM(H10:H16)</f>
        <v>#REF!</v>
      </c>
      <c r="J17" s="199" t="e">
        <f t="shared" si="2"/>
        <v>#REF!</v>
      </c>
      <c r="L17" s="208" t="e">
        <f>L15*M17</f>
        <v>#REF!</v>
      </c>
      <c r="M17" s="209">
        <v>0.2</v>
      </c>
    </row>
    <row r="18" spans="1:13" ht="15.75" thickBot="1" x14ac:dyDescent="0.3">
      <c r="A18" s="187"/>
      <c r="B18" s="188" t="e">
        <f>B17</f>
        <v>#REF!</v>
      </c>
      <c r="C18" s="188">
        <f>C17</f>
        <v>0</v>
      </c>
      <c r="D18" s="188" t="e">
        <f>D17</f>
        <v>#REF!</v>
      </c>
      <c r="E18" s="188" t="e">
        <f>E17-E15-E16</f>
        <v>#REF!</v>
      </c>
      <c r="F18" s="188" t="e">
        <f>F17</f>
        <v>#REF!</v>
      </c>
      <c r="G18" s="188" t="e">
        <f>G17</f>
        <v>#REF!</v>
      </c>
      <c r="H18" s="188"/>
      <c r="I18" s="188">
        <f>E15+E16</f>
        <v>0</v>
      </c>
      <c r="J18" s="188"/>
      <c r="L18" s="206"/>
    </row>
    <row r="19" spans="1:13" ht="15.75" thickBot="1" x14ac:dyDescent="0.3">
      <c r="A19" s="161" t="s">
        <v>151</v>
      </c>
      <c r="B19" s="191" t="s">
        <v>152</v>
      </c>
      <c r="C19" s="191" t="s">
        <v>153</v>
      </c>
      <c r="D19" s="191" t="s">
        <v>154</v>
      </c>
      <c r="E19" s="158"/>
      <c r="F19" s="158"/>
      <c r="G19" s="158"/>
      <c r="H19" s="160"/>
      <c r="I19" s="158">
        <f>E16</f>
        <v>0</v>
      </c>
    </row>
    <row r="20" spans="1:13" ht="15.75" thickBot="1" x14ac:dyDescent="0.3">
      <c r="A20" s="189" t="s">
        <v>169</v>
      </c>
      <c r="B20" s="143" t="e">
        <f>SUM('Summary  735'!B20+'Summary 2221'!B20+'Summary 2221'!B20+'Summary 2439'!B20+'Summary 2682'!B20+'Summary 2855'!B20+Summary!B21+#REF!+#REF!+#REF!+#REF!+#REF!+'Summary 2037'!B20+'Summary 2817'!B20)/13</f>
        <v>#REF!</v>
      </c>
      <c r="C20" s="190" t="e">
        <f>B20*'P&amp;L'!$P$10</f>
        <v>#REF!</v>
      </c>
      <c r="D20" s="190" t="e">
        <f>SUM(B20:C20)</f>
        <v>#REF!</v>
      </c>
      <c r="G20" s="179"/>
    </row>
    <row r="21" spans="1:13" ht="15.75" hidden="1" thickBot="1" x14ac:dyDescent="0.3">
      <c r="A21" s="162" t="s">
        <v>156</v>
      </c>
      <c r="B21" s="143" t="e">
        <f>Handling!#REF!</f>
        <v>#REF!</v>
      </c>
      <c r="C21" s="143" t="e">
        <f>Handling!#REF!</f>
        <v>#REF!</v>
      </c>
      <c r="D21" s="143" t="e">
        <f>Handling!#REF!</f>
        <v>#REF!</v>
      </c>
      <c r="G21" s="179"/>
    </row>
    <row r="22" spans="1:13" ht="15.75" hidden="1" thickBot="1" x14ac:dyDescent="0.3">
      <c r="A22" s="162" t="s">
        <v>157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</row>
    <row r="23" spans="1:13" ht="15.75" thickBot="1" x14ac:dyDescent="0.3"/>
    <row r="24" spans="1:13" ht="15.75" thickBot="1" x14ac:dyDescent="0.3">
      <c r="A24" s="139" t="s">
        <v>159</v>
      </c>
      <c r="B24" s="143">
        <f>IFERROR(((B11+B12+B13+B14)/B8),0)</f>
        <v>0</v>
      </c>
      <c r="C24" s="143">
        <f>IFERROR(((C11+C12+C13+C14)/C8),0)</f>
        <v>0</v>
      </c>
      <c r="D24" s="143">
        <f>IFERROR(((D10+D11+D12+D13+D14)/D8),0)</f>
        <v>0</v>
      </c>
      <c r="E24" s="143">
        <f>IFERROR(((E10+E11+E12+E13+E14)/E8),0)</f>
        <v>0</v>
      </c>
      <c r="F24" s="143">
        <f>IFERROR(((F10+F11+F12+F13+F14)/F8),0)</f>
        <v>0</v>
      </c>
      <c r="G24" s="143">
        <f>IFERROR(((G10+G11+G12+G13+G14)/G8),0)</f>
        <v>0</v>
      </c>
    </row>
    <row r="25" spans="1:13" ht="15.75" thickBot="1" x14ac:dyDescent="0.3">
      <c r="A25" s="139" t="s">
        <v>160</v>
      </c>
      <c r="B25" s="143">
        <f t="shared" ref="B25:G25" si="3">IFERROR(((B13+B14)/B8),0)</f>
        <v>0</v>
      </c>
      <c r="C25" s="143">
        <f t="shared" si="3"/>
        <v>0</v>
      </c>
      <c r="D25" s="143">
        <f t="shared" si="3"/>
        <v>0</v>
      </c>
      <c r="E25" s="143">
        <f t="shared" si="3"/>
        <v>0</v>
      </c>
      <c r="F25" s="143">
        <f t="shared" si="3"/>
        <v>0</v>
      </c>
      <c r="G25" s="143">
        <f t="shared" si="3"/>
        <v>0</v>
      </c>
    </row>
    <row r="26" spans="1:13" ht="15.75" thickBot="1" x14ac:dyDescent="0.3">
      <c r="A26" s="139" t="s">
        <v>161</v>
      </c>
      <c r="B26" s="143">
        <f t="shared" ref="B26:G26" si="4">IFERROR((B10/B8),0)</f>
        <v>0</v>
      </c>
      <c r="C26" s="143">
        <f t="shared" si="4"/>
        <v>0</v>
      </c>
      <c r="D26" s="143">
        <f t="shared" si="4"/>
        <v>0</v>
      </c>
      <c r="E26" s="143">
        <f t="shared" si="4"/>
        <v>0</v>
      </c>
      <c r="F26" s="143">
        <f t="shared" si="4"/>
        <v>0</v>
      </c>
      <c r="G26" s="143">
        <f t="shared" si="4"/>
        <v>0</v>
      </c>
    </row>
    <row r="27" spans="1:13" s="203" customFormat="1" x14ac:dyDescent="0.25">
      <c r="A27" s="204"/>
      <c r="B27" s="205"/>
      <c r="C27" s="205"/>
      <c r="D27" s="205"/>
      <c r="E27" s="205"/>
      <c r="F27" s="205"/>
      <c r="G27" s="205"/>
    </row>
    <row r="28" spans="1:13" x14ac:dyDescent="0.25">
      <c r="B28" s="162" t="s">
        <v>162</v>
      </c>
      <c r="C28" s="162" t="s">
        <v>163</v>
      </c>
    </row>
    <row r="29" spans="1:13" ht="15.75" thickBot="1" x14ac:dyDescent="0.3">
      <c r="A29" s="162" t="s">
        <v>164</v>
      </c>
      <c r="B29" s="162">
        <f>'P&amp;L'!P5</f>
        <v>3</v>
      </c>
      <c r="C29" s="162"/>
    </row>
    <row r="30" spans="1:13" ht="15.75" thickBot="1" x14ac:dyDescent="0.3">
      <c r="A30" s="139" t="s">
        <v>141</v>
      </c>
      <c r="B30" s="143">
        <f t="shared" ref="B30:G30" si="5">B37*B8</f>
        <v>0</v>
      </c>
      <c r="C30" s="143">
        <f t="shared" si="5"/>
        <v>104</v>
      </c>
      <c r="D30" s="143">
        <f t="shared" si="5"/>
        <v>135</v>
      </c>
      <c r="E30" s="143">
        <f t="shared" si="5"/>
        <v>350</v>
      </c>
      <c r="F30" s="143">
        <f t="shared" si="5"/>
        <v>6</v>
      </c>
      <c r="G30" s="143">
        <f t="shared" si="5"/>
        <v>21</v>
      </c>
    </row>
    <row r="31" spans="1:13" ht="15.75" thickBot="1" x14ac:dyDescent="0.3">
      <c r="A31" s="139" t="s">
        <v>142</v>
      </c>
      <c r="B31" s="143">
        <f>('Summary  735'!B31+'Summary 2221'!B31+'Summary 2439'!B31+'Summary 2682'!B31+'Summary 2855'!B31)/5</f>
        <v>0</v>
      </c>
      <c r="C31" s="143" t="e">
        <f>('Summary  735'!C31+'Summary 2221'!C31+'Summary 2439'!C31+'Summary 2682'!C31+'Summary 2855'!C31+Summary!C36+#REF!+#REF!+#REF!+#REF!+#REF!+'Summary 2037'!C31+'Summary 2817'!C31)/13</f>
        <v>#REF!</v>
      </c>
      <c r="D31" s="143" t="e">
        <f>('Summary  735'!D31+'Summary 2221'!D31+'Summary 2439'!D31+'Summary 2682'!D31+'Summary 2855'!D31+Summary!D36+#REF!+#REF!+#REF!+#REF!+#REF!+'Summary 2037'!D31+'Summary 2817'!D31)/13</f>
        <v>#REF!</v>
      </c>
      <c r="E31" s="143">
        <f>('Summary  735'!E31+'Summary 2221'!E31+'Summary 2439'!E31+'Summary 2682'!E31+'Summary 2855'!E31)/5</f>
        <v>0</v>
      </c>
      <c r="F31" s="143" t="e">
        <f>('Summary  735'!F31+'Summary 2221'!F31+'Summary 2439'!F31+'Summary 2682'!F31+'Summary 2855'!F31+Summary!F36+#REF!+#REF!+#REF!+#REF!+#REF!+'Summary 2037'!F31+'Summary 2817'!F31)/13</f>
        <v>#REF!</v>
      </c>
      <c r="G31" s="143" t="e">
        <f>('Summary  735'!G31+'Summary 2221'!G31+'Summary 2439'!G31+'Summary 2682'!G31+'Summary 2855'!G31+Summary!G36+#REF!+#REF!+#REF!+#REF!+#REF!+'Summary 2037'!G31+'Summary 2817'!G31)/13</f>
        <v>#REF!</v>
      </c>
    </row>
    <row r="32" spans="1:13" ht="15.75" thickBot="1" x14ac:dyDescent="0.3">
      <c r="A32" s="139" t="s">
        <v>143</v>
      </c>
      <c r="B32" s="143">
        <f>('Summary  735'!B32+'Summary 2221'!B32+'Summary 2439'!B32+'Summary 2682'!B32+'Summary 2855'!B32)/5</f>
        <v>0</v>
      </c>
      <c r="C32" s="143" t="e">
        <f>('Summary  735'!C32+'Summary 2221'!C32+'Summary 2439'!C32+'Summary 2682'!C32+'Summary 2855'!C32+Summary!C37+#REF!+#REF!+#REF!+#REF!+#REF!+'Summary 2037'!C32+'Summary 2817'!C32)/13</f>
        <v>#REF!</v>
      </c>
      <c r="D32" s="143" t="e">
        <f>('Summary  735'!D32+'Summary 2221'!D32+'Summary 2439'!D32+'Summary 2682'!D32+'Summary 2855'!D32+Summary!D37+#REF!+#REF!+#REF!+#REF!+#REF!+'Summary 2037'!D32+'Summary 2817'!D32)/13</f>
        <v>#REF!</v>
      </c>
      <c r="E32" s="143">
        <f>('Summary  735'!E32+'Summary 2221'!E32+'Summary 2439'!E32+'Summary 2682'!E32+'Summary 2855'!E32)/5</f>
        <v>0</v>
      </c>
      <c r="F32" s="143" t="e">
        <f>('Summary  735'!F32+'Summary 2221'!F32+'Summary 2439'!F32+'Summary 2682'!F32+'Summary 2855'!F32+Summary!F37+#REF!+#REF!+#REF!+#REF!+#REF!+'Summary 2037'!F32+'Summary 2817'!F32)/13</f>
        <v>#REF!</v>
      </c>
      <c r="G32" s="143" t="e">
        <f>('Summary  735'!G32+'Summary 2221'!G32+'Summary 2439'!G32+'Summary 2682'!G32+'Summary 2855'!G32+Summary!G37+#REF!+#REF!+#REF!+#REF!+#REF!+'Summary 2037'!G32+'Summary 2817'!G32)/13</f>
        <v>#REF!</v>
      </c>
    </row>
    <row r="33" spans="1:7" ht="15.75" thickBot="1" x14ac:dyDescent="0.3">
      <c r="A33" s="139" t="s">
        <v>165</v>
      </c>
      <c r="B33" s="143">
        <f>('Summary  735'!B33+'Summary 2221'!B33+'Summary 2439'!B33+'Summary 2682'!B33+'Summary 2855'!B33)/5</f>
        <v>0</v>
      </c>
      <c r="C33" s="143" t="e">
        <f>('Summary  735'!C33+'Summary 2221'!C33+'Summary 2439'!C33+'Summary 2682'!C33+'Summary 2855'!C33+Summary!C38+#REF!+#REF!+#REF!+#REF!+#REF!+'Summary 2037'!C33+'Summary 2817'!C33)/13</f>
        <v>#REF!</v>
      </c>
      <c r="D33" s="143" t="e">
        <f>('Summary  735'!D33+'Summary 2221'!D33+'Summary 2439'!D33+'Summary 2682'!D33+'Summary 2855'!D33+Summary!D38+#REF!+#REF!+#REF!+#REF!+#REF!+'Summary 2037'!D33+'Summary 2817'!D33)/13</f>
        <v>#REF!</v>
      </c>
      <c r="E33" s="143">
        <f>('Summary  735'!E33+'Summary 2221'!E33+'Summary 2439'!E33+'Summary 2682'!E33+'Summary 2855'!E33)/5</f>
        <v>0</v>
      </c>
      <c r="F33" s="143" t="e">
        <f>('Summary  735'!F33+'Summary 2221'!F33+'Summary 2439'!F33+'Summary 2682'!F33+'Summary 2855'!F33+Summary!F38+#REF!+#REF!+#REF!+#REF!+#REF!+'Summary 2037'!F33+'Summary 2817'!F33)/13</f>
        <v>#REF!</v>
      </c>
      <c r="G33" s="143" t="e">
        <f>('Summary  735'!G33+'Summary 2221'!G33+'Summary 2439'!G33+'Summary 2682'!G33+'Summary 2855'!G33+Summary!G38+#REF!+#REF!+#REF!+#REF!+#REF!+'Summary 2037'!G33+'Summary 2817'!G33)/13</f>
        <v>#REF!</v>
      </c>
    </row>
    <row r="34" spans="1:7" ht="15.75" thickBot="1" x14ac:dyDescent="0.3">
      <c r="A34" s="139" t="s">
        <v>166</v>
      </c>
      <c r="B34" s="143">
        <f>('Summary  735'!B34+'Summary 2221'!B34+'Summary 2439'!B34+'Summary 2682'!B34+'Summary 2855'!B34)/5</f>
        <v>0</v>
      </c>
      <c r="C34" s="143" t="e">
        <f>('Summary  735'!C34+'Summary 2221'!C34+'Summary 2439'!C34+'Summary 2682'!C34+'Summary 2855'!C34+Summary!C39+#REF!+#REF!+#REF!+#REF!+#REF!+'Summary 2037'!C34+'Summary 2817'!C34)/13</f>
        <v>#REF!</v>
      </c>
      <c r="D34" s="143" t="e">
        <f>('Summary  735'!D34+'Summary 2221'!D34+'Summary 2439'!D34+'Summary 2682'!D34+'Summary 2855'!D34+Summary!D39+#REF!+#REF!+#REF!+#REF!+#REF!+'Summary 2037'!D34+'Summary 2817'!D34)/13</f>
        <v>#REF!</v>
      </c>
      <c r="E34" s="143">
        <f>('Summary  735'!E34+'Summary 2221'!E34+'Summary 2439'!E34+'Summary 2682'!E34+'Summary 2855'!E34)/5</f>
        <v>0</v>
      </c>
      <c r="F34" s="143" t="e">
        <f>('Summary  735'!F34+'Summary 2221'!F34+'Summary 2439'!F34+'Summary 2682'!F34+'Summary 2855'!F34+Summary!F39+#REF!+#REF!+#REF!+#REF!+#REF!+'Summary 2037'!F34+'Summary 2817'!F34)/13</f>
        <v>#REF!</v>
      </c>
      <c r="G34" s="143" t="e">
        <f>('Summary  735'!G34+'Summary 2221'!G34+'Summary 2439'!G34+'Summary 2682'!G34+'Summary 2855'!G34+Summary!G39+#REF!+#REF!+#REF!+#REF!+#REF!+'Summary 2037'!G34+'Summary 2817'!G34)/13</f>
        <v>#REF!</v>
      </c>
    </row>
    <row r="35" spans="1:7" x14ac:dyDescent="0.25">
      <c r="A35" s="154"/>
      <c r="B35" s="155"/>
      <c r="C35" s="155"/>
      <c r="D35" s="155"/>
      <c r="E35" s="155"/>
      <c r="F35" s="155"/>
      <c r="G35" s="155"/>
    </row>
    <row r="36" spans="1:7" ht="15.75" thickBot="1" x14ac:dyDescent="0.3">
      <c r="A36" s="162" t="s">
        <v>168</v>
      </c>
    </row>
    <row r="37" spans="1:7" ht="15.75" thickBot="1" x14ac:dyDescent="0.3">
      <c r="A37" s="139" t="s">
        <v>141</v>
      </c>
      <c r="B37" s="143">
        <f>'P&amp;L'!$J$30</f>
        <v>0</v>
      </c>
      <c r="C37" s="143">
        <f>'P&amp;L'!$K$30</f>
        <v>4</v>
      </c>
      <c r="D37" s="143">
        <f>'P&amp;L'!$L$30</f>
        <v>3</v>
      </c>
      <c r="E37" s="143">
        <f>'P&amp;L'!$M$30</f>
        <v>2.5</v>
      </c>
      <c r="F37" s="143">
        <f>'P&amp;L'!$N$30</f>
        <v>3</v>
      </c>
      <c r="G37" s="143">
        <f>'P&amp;L'!$O$30</f>
        <v>3</v>
      </c>
    </row>
    <row r="38" spans="1:7" ht="15.75" thickBot="1" x14ac:dyDescent="0.3">
      <c r="A38" s="139" t="s">
        <v>142</v>
      </c>
      <c r="B38" s="143" t="str">
        <f t="shared" ref="B38:G38" si="6">IFERROR(B31/B7," ")</f>
        <v xml:space="preserve"> </v>
      </c>
      <c r="C38" s="143" t="str">
        <f t="shared" si="6"/>
        <v xml:space="preserve"> </v>
      </c>
      <c r="D38" s="143" t="str">
        <f t="shared" si="6"/>
        <v xml:space="preserve"> </v>
      </c>
      <c r="E38" s="143">
        <f t="shared" si="6"/>
        <v>0</v>
      </c>
      <c r="F38" s="143" t="str">
        <f t="shared" si="6"/>
        <v xml:space="preserve"> </v>
      </c>
      <c r="G38" s="143" t="str">
        <f t="shared" si="6"/>
        <v xml:space="preserve"> </v>
      </c>
    </row>
    <row r="39" spans="1:7" ht="15.75" thickBot="1" x14ac:dyDescent="0.3">
      <c r="A39" s="139" t="s">
        <v>143</v>
      </c>
      <c r="B39" s="143" t="str">
        <f t="shared" ref="B39:G39" si="7">IFERROR(B32/B7," ")</f>
        <v xml:space="preserve"> </v>
      </c>
      <c r="C39" s="143" t="str">
        <f t="shared" si="7"/>
        <v xml:space="preserve"> </v>
      </c>
      <c r="D39" s="143" t="str">
        <f t="shared" si="7"/>
        <v xml:space="preserve"> </v>
      </c>
      <c r="E39" s="143">
        <f t="shared" si="7"/>
        <v>0</v>
      </c>
      <c r="F39" s="143" t="str">
        <f t="shared" si="7"/>
        <v xml:space="preserve"> </v>
      </c>
      <c r="G39" s="143" t="str">
        <f t="shared" si="7"/>
        <v xml:space="preserve"> </v>
      </c>
    </row>
    <row r="40" spans="1:7" ht="15.75" thickBot="1" x14ac:dyDescent="0.3">
      <c r="A40" s="139" t="s">
        <v>165</v>
      </c>
      <c r="B40" s="143" t="str">
        <f>IFERROR(B33/B8," ")</f>
        <v xml:space="preserve"> </v>
      </c>
      <c r="C40" s="143" t="str">
        <f>IFERROR(C33/C7," ")</f>
        <v xml:space="preserve"> </v>
      </c>
      <c r="D40" s="143" t="str">
        <f>IFERROR(D33/D7," ")</f>
        <v xml:space="preserve"> </v>
      </c>
      <c r="E40" s="143">
        <f>IFERROR(E33/E7," ")</f>
        <v>0</v>
      </c>
      <c r="F40" s="143" t="str">
        <f>IFERROR(F33/F7," ")</f>
        <v xml:space="preserve"> </v>
      </c>
      <c r="G40" s="143" t="str">
        <f>IFERROR(G33/G7," ")</f>
        <v xml:space="preserve"> </v>
      </c>
    </row>
    <row r="41" spans="1:7" ht="15.75" thickBot="1" x14ac:dyDescent="0.3">
      <c r="A41" s="139" t="s">
        <v>166</v>
      </c>
      <c r="B41" s="143" t="str">
        <f t="shared" ref="B41:G41" si="8">IFERROR(B34/B7," ")</f>
        <v xml:space="preserve"> </v>
      </c>
      <c r="C41" s="143" t="str">
        <f t="shared" si="8"/>
        <v xml:space="preserve"> </v>
      </c>
      <c r="D41" s="143" t="str">
        <f t="shared" si="8"/>
        <v xml:space="preserve"> </v>
      </c>
      <c r="E41" s="143">
        <f t="shared" si="8"/>
        <v>0</v>
      </c>
      <c r="F41" s="143" t="str">
        <f t="shared" si="8"/>
        <v xml:space="preserve"> </v>
      </c>
      <c r="G41" s="143" t="str">
        <f t="shared" si="8"/>
        <v xml:space="preserve"> </v>
      </c>
    </row>
    <row r="42" spans="1:7" x14ac:dyDescent="0.25">
      <c r="B42" s="156"/>
      <c r="C42" s="156"/>
    </row>
    <row r="43" spans="1:7" x14ac:dyDescent="0.25">
      <c r="B43" s="156"/>
      <c r="C43" s="156"/>
    </row>
    <row r="108" spans="1:1" x14ac:dyDescent="0.25">
      <c r="A108" s="140">
        <v>388</v>
      </c>
    </row>
    <row r="109" spans="1:1" x14ac:dyDescent="0.25">
      <c r="A109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91AC8-383E-43B9-B42B-4227F35AB339}">
  <sheetPr>
    <tabColor theme="7" tint="0.59999389629810485"/>
  </sheetPr>
  <dimension ref="A1:M109"/>
  <sheetViews>
    <sheetView zoomScaleNormal="100" workbookViewId="0">
      <selection activeCell="E32" sqref="E32"/>
    </sheetView>
  </sheetViews>
  <sheetFormatPr defaultColWidth="10.7109375" defaultRowHeight="15" x14ac:dyDescent="0.25"/>
  <cols>
    <col min="1" max="1" width="24.28515625" style="140" bestFit="1" customWidth="1"/>
    <col min="2" max="2" width="10.7109375" style="140" bestFit="1" customWidth="1"/>
    <col min="3" max="3" width="15" style="140" bestFit="1" customWidth="1"/>
    <col min="4" max="4" width="12.5703125" style="140" bestFit="1" customWidth="1"/>
    <col min="5" max="5" width="15.5703125" style="140" bestFit="1" customWidth="1"/>
    <col min="6" max="6" width="10.7109375" style="140"/>
    <col min="7" max="7" width="15.7109375" style="140" customWidth="1"/>
    <col min="8" max="8" width="12.5703125" style="140" bestFit="1" customWidth="1"/>
    <col min="9" max="9" width="8.5703125" style="140" bestFit="1" customWidth="1"/>
    <col min="10" max="10" width="15.28515625" style="140" bestFit="1" customWidth="1"/>
    <col min="11" max="11" width="10.7109375" style="140"/>
    <col min="12" max="12" width="16.28515625" style="140" bestFit="1" customWidth="1"/>
    <col min="13" max="16384" width="10.7109375" style="140"/>
  </cols>
  <sheetData>
    <row r="1" spans="1:13" ht="15.75" thickBot="1" x14ac:dyDescent="0.3"/>
    <row r="2" spans="1:13" ht="15.75" thickBot="1" x14ac:dyDescent="0.3">
      <c r="A2" s="416" t="s">
        <v>120</v>
      </c>
      <c r="B2" s="24"/>
      <c r="C2" s="150"/>
      <c r="G2" s="145" t="s">
        <v>121</v>
      </c>
      <c r="H2" s="215" t="e">
        <f>Summary!H2+#REF!+#REF!+#REF!+#REF!+#REF!+'Summary 2037'!H2+'Summary 2817'!H2</f>
        <v>#REF!</v>
      </c>
      <c r="L2" s="212" t="s">
        <v>122</v>
      </c>
      <c r="M2" s="212" t="s">
        <v>7</v>
      </c>
    </row>
    <row r="3" spans="1:13" ht="15.75" thickBot="1" x14ac:dyDescent="0.3">
      <c r="A3" s="417"/>
      <c r="B3" s="172"/>
      <c r="C3" s="173"/>
      <c r="E3" s="145" t="s">
        <v>123</v>
      </c>
      <c r="F3" s="147">
        <v>737</v>
      </c>
      <c r="G3" s="145" t="s">
        <v>124</v>
      </c>
      <c r="H3" s="215" t="e">
        <f>H4/12</f>
        <v>#REF!</v>
      </c>
      <c r="J3" s="200" t="s">
        <v>125</v>
      </c>
      <c r="L3" s="212">
        <v>737</v>
      </c>
      <c r="M3" s="212">
        <v>1</v>
      </c>
    </row>
    <row r="4" spans="1:13" ht="15.75" thickBot="1" x14ac:dyDescent="0.3">
      <c r="E4" s="145" t="s">
        <v>2</v>
      </c>
      <c r="F4" s="146">
        <f>'P&amp;L'!P4</f>
        <v>0.8</v>
      </c>
      <c r="G4" s="145" t="s">
        <v>126</v>
      </c>
      <c r="H4" s="145" t="e">
        <f>H2*52</f>
        <v>#REF!</v>
      </c>
      <c r="J4" s="201" t="e">
        <f>H17*H4</f>
        <v>#REF!</v>
      </c>
      <c r="L4" s="212"/>
      <c r="M4" s="212"/>
    </row>
    <row r="5" spans="1:13" ht="15.75" thickBot="1" x14ac:dyDescent="0.3">
      <c r="A5" s="141" t="s">
        <v>127</v>
      </c>
      <c r="L5" s="212"/>
      <c r="M5" s="212"/>
    </row>
    <row r="6" spans="1:13" ht="15.75" thickBot="1" x14ac:dyDescent="0.3">
      <c r="A6" s="161" t="s">
        <v>128</v>
      </c>
      <c r="B6" s="161" t="s">
        <v>38</v>
      </c>
      <c r="C6" s="161" t="s">
        <v>39</v>
      </c>
      <c r="D6" s="161" t="s">
        <v>40</v>
      </c>
      <c r="E6" s="161" t="s">
        <v>41</v>
      </c>
      <c r="F6" s="161" t="s">
        <v>42</v>
      </c>
      <c r="G6" s="161" t="s">
        <v>43</v>
      </c>
      <c r="H6" s="161" t="s">
        <v>129</v>
      </c>
      <c r="I6" s="160" t="s">
        <v>130</v>
      </c>
      <c r="L6" s="211"/>
      <c r="M6" s="211"/>
    </row>
    <row r="7" spans="1:13" ht="15.75" thickBot="1" x14ac:dyDescent="0.3">
      <c r="A7" s="139" t="s">
        <v>131</v>
      </c>
      <c r="B7" s="139">
        <f>+FlightConfig!B17</f>
        <v>0</v>
      </c>
      <c r="C7" s="139">
        <f>+FlightConfig!C17</f>
        <v>32</v>
      </c>
      <c r="D7" s="139">
        <f>+FlightConfig!D17</f>
        <v>56</v>
      </c>
      <c r="E7" s="139">
        <f>+FlightConfig!E17</f>
        <v>174</v>
      </c>
      <c r="F7" s="139">
        <f>+FlightConfig!F17</f>
        <v>2</v>
      </c>
      <c r="G7" s="139">
        <f>+FlightConfig!G17</f>
        <v>8</v>
      </c>
      <c r="H7" s="139">
        <f>SUM(B7:G7)</f>
        <v>272</v>
      </c>
      <c r="L7" s="211"/>
      <c r="M7" s="211"/>
    </row>
    <row r="8" spans="1:13" ht="15.75" thickBot="1" x14ac:dyDescent="0.3">
      <c r="A8" s="139" t="s">
        <v>132</v>
      </c>
      <c r="B8" s="139">
        <f t="shared" ref="B8:G8" si="0">ROUNDUP(B7*$F$4,0)</f>
        <v>0</v>
      </c>
      <c r="C8" s="139">
        <f t="shared" si="0"/>
        <v>26</v>
      </c>
      <c r="D8" s="139">
        <f t="shared" si="0"/>
        <v>45</v>
      </c>
      <c r="E8" s="139">
        <f t="shared" si="0"/>
        <v>140</v>
      </c>
      <c r="F8" s="139">
        <f t="shared" si="0"/>
        <v>2</v>
      </c>
      <c r="G8" s="139">
        <f t="shared" si="0"/>
        <v>7</v>
      </c>
      <c r="H8" s="139">
        <f>SUM(B8:G8)</f>
        <v>220</v>
      </c>
      <c r="L8" s="211"/>
      <c r="M8" s="211"/>
    </row>
    <row r="9" spans="1:13" ht="15.75" thickBot="1" x14ac:dyDescent="0.3">
      <c r="A9" s="244"/>
      <c r="B9" s="245" t="s">
        <v>133</v>
      </c>
      <c r="C9" s="245" t="s">
        <v>134</v>
      </c>
      <c r="D9" s="245" t="s">
        <v>135</v>
      </c>
      <c r="E9" s="245" t="s">
        <v>136</v>
      </c>
      <c r="F9" s="245" t="s">
        <v>137</v>
      </c>
      <c r="G9" s="245" t="s">
        <v>138</v>
      </c>
      <c r="H9" s="161" t="s">
        <v>139</v>
      </c>
      <c r="J9" s="161" t="s">
        <v>140</v>
      </c>
    </row>
    <row r="10" spans="1:13" ht="15.75" thickBot="1" x14ac:dyDescent="0.3">
      <c r="A10" s="139" t="s">
        <v>141</v>
      </c>
      <c r="B10" s="143" t="e">
        <f>(Summary!B10+#REF!+#REF!+#REF!+#REF!+#REF!)/6</f>
        <v>#REF!</v>
      </c>
      <c r="C10" s="143" t="e">
        <f>(Summary!C10+#REF!+#REF!+#REF!+#REF!+#REF!)/6</f>
        <v>#REF!</v>
      </c>
      <c r="D10" s="143" t="e">
        <f>(Summary!D10+#REF!+#REF!+#REF!+#REF!+#REF!)/6</f>
        <v>#REF!</v>
      </c>
      <c r="E10" s="143" t="e">
        <f>(Summary!E10+#REF!+#REF!+#REF!+#REF!+#REF!)/6</f>
        <v>#REF!</v>
      </c>
      <c r="F10" s="143" t="e">
        <f>(Summary!F10+#REF!+#REF!+#REF!+#REF!+#REF!)/6</f>
        <v>#REF!</v>
      </c>
      <c r="G10" s="143" t="e">
        <f>(Summary!G10+#REF!+#REF!+#REF!+#REF!+#REF!)/6</f>
        <v>#REF!</v>
      </c>
      <c r="H10" s="143" t="e">
        <f>(Summary!H10+#REF!+#REF!+#REF!+#REF!+#REF!)/6</f>
        <v>#REF!</v>
      </c>
      <c r="J10" s="142" t="e">
        <f>H10*$H$4</f>
        <v>#REF!</v>
      </c>
    </row>
    <row r="11" spans="1:13" ht="15.75" thickBot="1" x14ac:dyDescent="0.3">
      <c r="A11" s="139" t="s">
        <v>142</v>
      </c>
      <c r="B11" s="143" t="e">
        <f>(Summary!B11+#REF!+#REF!+#REF!+#REF!+#REF!)/6</f>
        <v>#REF!</v>
      </c>
      <c r="C11" s="143" t="e">
        <f>(Summary!C11+#REF!+#REF!+#REF!+#REF!+#REF!)/6</f>
        <v>#REF!</v>
      </c>
      <c r="D11" s="143" t="e">
        <f>(Summary!D11+#REF!+#REF!+#REF!+#REF!+#REF!)/6</f>
        <v>#REF!</v>
      </c>
      <c r="E11" s="143" t="e">
        <f>(Summary!E11+#REF!+#REF!+#REF!+#REF!+#REF!)/6</f>
        <v>#REF!</v>
      </c>
      <c r="F11" s="143" t="e">
        <f>(Summary!F11+#REF!+#REF!+#REF!+#REF!+#REF!)/6</f>
        <v>#REF!</v>
      </c>
      <c r="G11" s="143" t="e">
        <f>(Summary!G11+#REF!+#REF!+#REF!+#REF!+#REF!)/6</f>
        <v>#REF!</v>
      </c>
      <c r="H11" s="143" t="e">
        <f>(Summary!H11+#REF!+#REF!+#REF!+#REF!+#REF!)/6</f>
        <v>#REF!</v>
      </c>
      <c r="I11" s="179" t="e">
        <f>I12*45%</f>
        <v>#REF!</v>
      </c>
      <c r="J11" s="142" t="e">
        <f>H11*$H$4</f>
        <v>#REF!</v>
      </c>
    </row>
    <row r="12" spans="1:13" ht="15.75" thickBot="1" x14ac:dyDescent="0.3">
      <c r="A12" s="139" t="s">
        <v>143</v>
      </c>
      <c r="B12" s="143" t="e">
        <f>(Summary!B12+#REF!+#REF!+#REF!+#REF!+#REF!)/6</f>
        <v>#REF!</v>
      </c>
      <c r="C12" s="143" t="e">
        <f>(Summary!C12+#REF!+#REF!+#REF!+#REF!+#REF!)/6</f>
        <v>#REF!</v>
      </c>
      <c r="D12" s="143" t="e">
        <f>(Summary!D12+#REF!+#REF!+#REF!+#REF!+#REF!)/6</f>
        <v>#REF!</v>
      </c>
      <c r="E12" s="143" t="e">
        <f>(Summary!E12+#REF!+#REF!+#REF!+#REF!+#REF!)/6</f>
        <v>#REF!</v>
      </c>
      <c r="F12" s="143" t="e">
        <f>(Summary!F12+#REF!+#REF!+#REF!+#REF!+#REF!)/6</f>
        <v>#REF!</v>
      </c>
      <c r="G12" s="143" t="e">
        <f>(Summary!G12+#REF!+#REF!+#REF!+#REF!+#REF!)/6</f>
        <v>#REF!</v>
      </c>
      <c r="H12" s="143" t="e">
        <f>(Summary!H12+#REF!+#REF!+#REF!+#REF!+#REF!)/6</f>
        <v>#REF!</v>
      </c>
      <c r="I12" s="217" t="e">
        <f>H11+H12</f>
        <v>#REF!</v>
      </c>
      <c r="J12" s="142" t="e">
        <f t="shared" ref="J12:J17" si="1">H12*$H$4</f>
        <v>#REF!</v>
      </c>
    </row>
    <row r="13" spans="1:13" ht="15.75" thickBot="1" x14ac:dyDescent="0.3">
      <c r="A13" s="139" t="s">
        <v>144</v>
      </c>
      <c r="B13" s="143" t="e">
        <f>(Summary!B13+#REF!+#REF!+#REF!+#REF!+#REF!)/6</f>
        <v>#VALUE!</v>
      </c>
      <c r="C13" s="143" t="e">
        <f>(Summary!C13+#REF!+#REF!+#REF!+#REF!+#REF!)/6</f>
        <v>#REF!</v>
      </c>
      <c r="D13" s="143" t="e">
        <f>(Summary!D13+#REF!+#REF!+#REF!+#REF!+#REF!)/6</f>
        <v>#REF!</v>
      </c>
      <c r="E13" s="143" t="e">
        <f>(Summary!E13+#REF!+#REF!+#REF!+#REF!+#REF!)/6</f>
        <v>#REF!</v>
      </c>
      <c r="F13" s="143" t="e">
        <f>(Summary!F13+#REF!+#REF!+#REF!+#REF!+#REF!)/6</f>
        <v>#REF!</v>
      </c>
      <c r="G13" s="143" t="e">
        <f>(Summary!G13+#REF!+#REF!+#REF!+#REF!+#REF!)/6</f>
        <v>#REF!</v>
      </c>
      <c r="H13" s="143" t="e">
        <f>(Summary!H13+#REF!+#REF!+#REF!+#REF!+#REF!)/6</f>
        <v>#REF!</v>
      </c>
      <c r="J13" s="142" t="e">
        <f t="shared" si="1"/>
        <v>#REF!</v>
      </c>
    </row>
    <row r="14" spans="1:13" ht="15.75" thickBot="1" x14ac:dyDescent="0.3">
      <c r="A14" s="139" t="s">
        <v>145</v>
      </c>
      <c r="B14" s="143" t="e">
        <f>(Summary!B14+#REF!+#REF!+#REF!+#REF!+#REF!)/6</f>
        <v>#VALUE!</v>
      </c>
      <c r="C14" s="143" t="e">
        <f>(Summary!C14+#REF!+#REF!+#REF!+#REF!+#REF!)/6</f>
        <v>#REF!</v>
      </c>
      <c r="D14" s="143" t="e">
        <f>(Summary!D14+#REF!+#REF!+#REF!+#REF!+#REF!)/6</f>
        <v>#REF!</v>
      </c>
      <c r="E14" s="143" t="e">
        <f>(Summary!E14+#REF!+#REF!+#REF!+#REF!+#REF!)/6</f>
        <v>#REF!</v>
      </c>
      <c r="F14" s="143" t="e">
        <f>(Summary!F14+#REF!+#REF!+#REF!+#REF!+#REF!)/6</f>
        <v>#REF!</v>
      </c>
      <c r="G14" s="143" t="e">
        <f>(Summary!G14+#REF!+#REF!+#REF!+#REF!+#REF!)/6</f>
        <v>#REF!</v>
      </c>
      <c r="H14" s="143" t="e">
        <f>(Summary!H14+#REF!+#REF!+#REF!+#REF!+#REF!)/6</f>
        <v>#REF!</v>
      </c>
      <c r="J14" s="142" t="e">
        <f t="shared" si="1"/>
        <v>#REF!</v>
      </c>
      <c r="L14" s="161" t="s">
        <v>147</v>
      </c>
      <c r="M14" s="161"/>
    </row>
    <row r="15" spans="1:13" ht="15.75" thickBot="1" x14ac:dyDescent="0.3">
      <c r="A15" s="139" t="s">
        <v>148</v>
      </c>
      <c r="B15" s="143" t="e">
        <f>(Summary!B15+#REF!+#REF!+#REF!+#REF!+#REF!)/6</f>
        <v>#REF!</v>
      </c>
      <c r="C15" s="143" t="e">
        <f>(Summary!C15+#REF!+#REF!+#REF!+#REF!+#REF!)/6</f>
        <v>#REF!</v>
      </c>
      <c r="D15" s="143" t="e">
        <f>(Summary!D15+#REF!+#REF!+#REF!+#REF!+#REF!)/6</f>
        <v>#REF!</v>
      </c>
      <c r="E15" s="143" t="e">
        <f>(Summary!E15+#REF!+#REF!+#REF!+#REF!+#REF!)/6</f>
        <v>#REF!</v>
      </c>
      <c r="F15" s="143" t="e">
        <f>(Summary!F15+#REF!+#REF!+#REF!+#REF!+#REF!)/6</f>
        <v>#REF!</v>
      </c>
      <c r="G15" s="143" t="e">
        <f>(Summary!G15+#REF!+#REF!+#REF!+#REF!+#REF!)/6</f>
        <v>#REF!</v>
      </c>
      <c r="H15" s="143" t="e">
        <f>(Summary!H15+#REF!+#REF!+#REF!+#REF!+#REF!)/6</f>
        <v>#REF!</v>
      </c>
      <c r="I15" s="179"/>
      <c r="J15" s="142" t="e">
        <f t="shared" si="1"/>
        <v>#REF!</v>
      </c>
      <c r="L15" s="207" t="e">
        <f>J12+J15</f>
        <v>#REF!</v>
      </c>
      <c r="M15" s="209">
        <v>1</v>
      </c>
    </row>
    <row r="16" spans="1:13" ht="15.75" thickBot="1" x14ac:dyDescent="0.3">
      <c r="A16" s="139" t="s">
        <v>149</v>
      </c>
      <c r="B16" s="143" t="e">
        <f>(Summary!B16+#REF!+#REF!+#REF!+#REF!+#REF!)/6</f>
        <v>#REF!</v>
      </c>
      <c r="C16" s="143" t="e">
        <f>(Summary!C16+#REF!+#REF!+#REF!+#REF!+#REF!)/6</f>
        <v>#REF!</v>
      </c>
      <c r="D16" s="143" t="e">
        <f>(Summary!D16+#REF!+#REF!+#REF!+#REF!+#REF!)/6</f>
        <v>#REF!</v>
      </c>
      <c r="E16" s="143" t="e">
        <f>(Summary!E16+#REF!+#REF!+#REF!+#REF!+#REF!)/6</f>
        <v>#REF!</v>
      </c>
      <c r="F16" s="143" t="e">
        <f>(Summary!F16+#REF!+#REF!+#REF!+#REF!+#REF!)/6</f>
        <v>#REF!</v>
      </c>
      <c r="G16" s="143" t="e">
        <f>(Summary!G16+#REF!+#REF!+#REF!+#REF!+#REF!)/6</f>
        <v>#REF!</v>
      </c>
      <c r="H16" s="143" t="e">
        <f>(Summary!H16+#REF!+#REF!+#REF!+#REF!+#REF!)/6</f>
        <v>#REF!</v>
      </c>
      <c r="I16" s="159"/>
      <c r="J16" s="142" t="e">
        <f t="shared" si="1"/>
        <v>#REF!</v>
      </c>
      <c r="L16" s="208" t="e">
        <f>L15*M16</f>
        <v>#REF!</v>
      </c>
      <c r="M16" s="209">
        <v>0.8</v>
      </c>
    </row>
    <row r="17" spans="1:13" ht="15.75" thickBot="1" x14ac:dyDescent="0.3">
      <c r="A17" s="162" t="s">
        <v>150</v>
      </c>
      <c r="B17" s="163" t="e">
        <f>SUM(B11:B16)</f>
        <v>#REF!</v>
      </c>
      <c r="C17" s="163" t="e">
        <f>SUM(C11:C16)</f>
        <v>#REF!</v>
      </c>
      <c r="D17" s="163" t="e">
        <f>SUM(D10:D16)</f>
        <v>#REF!</v>
      </c>
      <c r="E17" s="163" t="e">
        <f>SUM(E10:E16)</f>
        <v>#REF!</v>
      </c>
      <c r="F17" s="163" t="e">
        <f>SUM(F10:F16)</f>
        <v>#REF!</v>
      </c>
      <c r="G17" s="163" t="e">
        <f>SUM(G10:G16)</f>
        <v>#REF!</v>
      </c>
      <c r="H17" s="163" t="e">
        <f>SUM(H10:H16)</f>
        <v>#REF!</v>
      </c>
      <c r="J17" s="199" t="e">
        <f t="shared" si="1"/>
        <v>#REF!</v>
      </c>
      <c r="L17" s="208" t="e">
        <f>L15*M17</f>
        <v>#REF!</v>
      </c>
      <c r="M17" s="209">
        <v>0.2</v>
      </c>
    </row>
    <row r="18" spans="1:13" ht="15.75" thickBot="1" x14ac:dyDescent="0.3">
      <c r="A18" s="187"/>
      <c r="B18" s="188" t="e">
        <f>B17</f>
        <v>#REF!</v>
      </c>
      <c r="C18" s="188" t="e">
        <f>C17</f>
        <v>#REF!</v>
      </c>
      <c r="D18" s="188" t="e">
        <f>D17</f>
        <v>#REF!</v>
      </c>
      <c r="E18" s="188" t="e">
        <f>E17-E15-E16</f>
        <v>#REF!</v>
      </c>
      <c r="F18" s="188" t="e">
        <f>F17</f>
        <v>#REF!</v>
      </c>
      <c r="G18" s="188" t="e">
        <f>G17</f>
        <v>#REF!</v>
      </c>
      <c r="H18" s="188"/>
      <c r="I18" s="188" t="e">
        <f>E15+E16</f>
        <v>#REF!</v>
      </c>
      <c r="J18" s="188"/>
      <c r="L18" s="206"/>
    </row>
    <row r="19" spans="1:13" ht="15.75" thickBot="1" x14ac:dyDescent="0.3">
      <c r="A19" s="161" t="s">
        <v>151</v>
      </c>
      <c r="B19" s="191" t="s">
        <v>152</v>
      </c>
      <c r="C19" s="191" t="s">
        <v>153</v>
      </c>
      <c r="D19" s="191" t="s">
        <v>154</v>
      </c>
      <c r="E19" s="158"/>
      <c r="F19" s="158"/>
      <c r="G19" s="158"/>
      <c r="H19" s="160"/>
      <c r="I19" s="158" t="e">
        <f>E16</f>
        <v>#REF!</v>
      </c>
    </row>
    <row r="20" spans="1:13" ht="15.75" thickBot="1" x14ac:dyDescent="0.3">
      <c r="A20" s="189" t="s">
        <v>169</v>
      </c>
      <c r="B20" s="143" t="e">
        <f>(Summary!B21+#REF!+#REF!+#REF!+#REF!+#REF!+'Summary 2037'!B20+'Summary 2817'!B20)/8</f>
        <v>#REF!</v>
      </c>
      <c r="C20" s="190" t="e">
        <f>B20*'P&amp;L'!$P$10</f>
        <v>#REF!</v>
      </c>
      <c r="D20" s="190" t="e">
        <f>SUM(B20:C20)</f>
        <v>#REF!</v>
      </c>
      <c r="G20" s="179"/>
    </row>
    <row r="21" spans="1:13" ht="15.75" hidden="1" thickBot="1" x14ac:dyDescent="0.3">
      <c r="A21" s="162" t="s">
        <v>156</v>
      </c>
      <c r="B21" s="143" t="e">
        <f>Handling!#REF!</f>
        <v>#REF!</v>
      </c>
      <c r="C21" s="143" t="e">
        <f>Handling!#REF!</f>
        <v>#REF!</v>
      </c>
      <c r="D21" s="143" t="e">
        <f>Handling!#REF!</f>
        <v>#REF!</v>
      </c>
      <c r="G21" s="179"/>
    </row>
    <row r="22" spans="1:13" ht="15.75" hidden="1" thickBot="1" x14ac:dyDescent="0.3">
      <c r="A22" s="162" t="s">
        <v>157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</row>
    <row r="23" spans="1:13" ht="15.75" thickBot="1" x14ac:dyDescent="0.3"/>
    <row r="24" spans="1:13" ht="15.75" thickBot="1" x14ac:dyDescent="0.3">
      <c r="A24" s="139" t="s">
        <v>159</v>
      </c>
      <c r="B24" s="143">
        <f>IFERROR(((B11+B12+B13+B14)/B8),0)</f>
        <v>0</v>
      </c>
      <c r="C24" s="143">
        <f>IFERROR(((C11+C12+C13+C14)/C8),0)</f>
        <v>0</v>
      </c>
      <c r="D24" s="143">
        <f>IFERROR(((D10+D11+D12+D13+D14)/D8),0)</f>
        <v>0</v>
      </c>
      <c r="E24" s="143">
        <f>IFERROR(((E10+E11+E12+E13+E14)/E8),0)</f>
        <v>0</v>
      </c>
      <c r="F24" s="143">
        <f>IFERROR(((F10+F11+F12+F13+F14)/F8),0)</f>
        <v>0</v>
      </c>
      <c r="G24" s="143">
        <f>IFERROR(((G10+G11+G12+G13+G14)/G8),0)</f>
        <v>0</v>
      </c>
    </row>
    <row r="25" spans="1:13" ht="15.75" thickBot="1" x14ac:dyDescent="0.3">
      <c r="A25" s="139" t="s">
        <v>160</v>
      </c>
      <c r="B25" s="143">
        <f t="shared" ref="B25:G25" si="2">IFERROR(((B13+B14)/B8),0)</f>
        <v>0</v>
      </c>
      <c r="C25" s="143">
        <f t="shared" si="2"/>
        <v>0</v>
      </c>
      <c r="D25" s="143">
        <f t="shared" si="2"/>
        <v>0</v>
      </c>
      <c r="E25" s="143">
        <f t="shared" si="2"/>
        <v>0</v>
      </c>
      <c r="F25" s="143">
        <f t="shared" si="2"/>
        <v>0</v>
      </c>
      <c r="G25" s="143">
        <f t="shared" si="2"/>
        <v>0</v>
      </c>
    </row>
    <row r="26" spans="1:13" ht="15.75" thickBot="1" x14ac:dyDescent="0.3">
      <c r="A26" s="139" t="s">
        <v>161</v>
      </c>
      <c r="B26" s="143">
        <f t="shared" ref="B26:G26" si="3">IFERROR((B10/B8),0)</f>
        <v>0</v>
      </c>
      <c r="C26" s="143">
        <f t="shared" si="3"/>
        <v>0</v>
      </c>
      <c r="D26" s="143">
        <f t="shared" si="3"/>
        <v>0</v>
      </c>
      <c r="E26" s="143">
        <f t="shared" si="3"/>
        <v>0</v>
      </c>
      <c r="F26" s="143">
        <f t="shared" si="3"/>
        <v>0</v>
      </c>
      <c r="G26" s="143">
        <f t="shared" si="3"/>
        <v>0</v>
      </c>
    </row>
    <row r="27" spans="1:13" s="203" customFormat="1" x14ac:dyDescent="0.25">
      <c r="A27" s="204"/>
      <c r="B27" s="205"/>
      <c r="C27" s="205"/>
      <c r="D27" s="205"/>
      <c r="E27" s="205"/>
      <c r="F27" s="205"/>
      <c r="G27" s="205"/>
    </row>
    <row r="28" spans="1:13" x14ac:dyDescent="0.25">
      <c r="B28" s="162" t="s">
        <v>162</v>
      </c>
      <c r="C28" s="162" t="s">
        <v>163</v>
      </c>
    </row>
    <row r="29" spans="1:13" ht="15.75" thickBot="1" x14ac:dyDescent="0.3">
      <c r="A29" s="162" t="s">
        <v>164</v>
      </c>
      <c r="B29" s="162">
        <f>'P&amp;L'!P5</f>
        <v>3</v>
      </c>
      <c r="C29" s="162"/>
    </row>
    <row r="30" spans="1:13" ht="15.75" thickBot="1" x14ac:dyDescent="0.3">
      <c r="A30" s="139" t="s">
        <v>141</v>
      </c>
      <c r="B30" s="143" t="e">
        <f>(Summary!B35+#REF!+#REF!+#REF!+#REF!+#REF!)/6</f>
        <v>#REF!</v>
      </c>
      <c r="C30" s="143" t="e">
        <f>(Summary!C35+#REF!+#REF!+#REF!+#REF!+#REF!)/6</f>
        <v>#REF!</v>
      </c>
      <c r="D30" s="143" t="e">
        <f>(Summary!D35+#REF!+#REF!+#REF!+#REF!+#REF!)/6</f>
        <v>#REF!</v>
      </c>
      <c r="E30" s="143" t="e">
        <f>(Summary!E35+#REF!+#REF!+#REF!+#REF!+#REF!)/6</f>
        <v>#REF!</v>
      </c>
      <c r="F30" s="143" t="e">
        <f>(Summary!F35+#REF!+#REF!+#REF!+#REF!+#REF!)/6</f>
        <v>#REF!</v>
      </c>
      <c r="G30" s="143" t="e">
        <f>(Summary!G35+#REF!+#REF!+#REF!+#REF!+#REF!)/6</f>
        <v>#REF!</v>
      </c>
    </row>
    <row r="31" spans="1:13" ht="15.75" thickBot="1" x14ac:dyDescent="0.3">
      <c r="A31" s="139" t="s">
        <v>142</v>
      </c>
      <c r="B31" s="143" t="e">
        <f>(Summary!B36+#REF!+#REF!+#REF!+#REF!+#REF!)/6</f>
        <v>#REF!</v>
      </c>
      <c r="C31" s="143" t="e">
        <f>(Summary!C36+#REF!+#REF!+#REF!+#REF!+#REF!)/6</f>
        <v>#REF!</v>
      </c>
      <c r="D31" s="143" t="e">
        <f>(Summary!D36+#REF!+#REF!+#REF!+#REF!+#REF!)/6</f>
        <v>#REF!</v>
      </c>
      <c r="E31" s="143" t="e">
        <f>(Summary!E36+#REF!+#REF!+#REF!+#REF!+#REF!)/6</f>
        <v>#REF!</v>
      </c>
      <c r="F31" s="143" t="e">
        <f>(Summary!F36+#REF!+#REF!+#REF!+#REF!+#REF!)/6</f>
        <v>#REF!</v>
      </c>
      <c r="G31" s="143" t="e">
        <f>(Summary!G36+#REF!+#REF!+#REF!+#REF!+#REF!)/6</f>
        <v>#REF!</v>
      </c>
    </row>
    <row r="32" spans="1:13" ht="15.75" thickBot="1" x14ac:dyDescent="0.3">
      <c r="A32" s="139" t="s">
        <v>143</v>
      </c>
      <c r="B32" s="143" t="e">
        <f>(Summary!B37+#REF!+#REF!+#REF!+#REF!+#REF!)/6</f>
        <v>#REF!</v>
      </c>
      <c r="C32" s="143" t="e">
        <f>(Summary!C37+#REF!+#REF!+#REF!+#REF!+#REF!)/6</f>
        <v>#REF!</v>
      </c>
      <c r="D32" s="143" t="e">
        <f>(Summary!D37+#REF!+#REF!+#REF!+#REF!+#REF!)/6</f>
        <v>#REF!</v>
      </c>
      <c r="E32" s="143" t="e">
        <f>(Summary!E37+#REF!+#REF!+#REF!+#REF!+#REF!)/6</f>
        <v>#REF!</v>
      </c>
      <c r="F32" s="143" t="e">
        <f>(Summary!F37+#REF!+#REF!+#REF!+#REF!+#REF!)/6</f>
        <v>#REF!</v>
      </c>
      <c r="G32" s="143" t="e">
        <f>(Summary!G37+#REF!+#REF!+#REF!+#REF!+#REF!)/6</f>
        <v>#REF!</v>
      </c>
    </row>
    <row r="33" spans="1:7" ht="15.75" thickBot="1" x14ac:dyDescent="0.3">
      <c r="A33" s="139" t="s">
        <v>165</v>
      </c>
      <c r="B33" s="143" t="e">
        <f>(Summary!B38+#REF!+#REF!+#REF!+#REF!+#REF!)/6</f>
        <v>#REF!</v>
      </c>
      <c r="C33" s="143" t="e">
        <f>(Summary!C38+#REF!+#REF!+#REF!+#REF!+#REF!)/6</f>
        <v>#REF!</v>
      </c>
      <c r="D33" s="143" t="e">
        <f>(Summary!D38+#REF!+#REF!+#REF!+#REF!+#REF!)/6</f>
        <v>#REF!</v>
      </c>
      <c r="E33" s="143" t="e">
        <f>(Summary!E38+#REF!+#REF!+#REF!+#REF!+#REF!)/6</f>
        <v>#REF!</v>
      </c>
      <c r="F33" s="143" t="e">
        <f>(Summary!F38+#REF!+#REF!+#REF!+#REF!+#REF!)/6</f>
        <v>#REF!</v>
      </c>
      <c r="G33" s="143" t="e">
        <f>(Summary!G38+#REF!+#REF!+#REF!+#REF!+#REF!)/6</f>
        <v>#REF!</v>
      </c>
    </row>
    <row r="34" spans="1:7" ht="15.75" thickBot="1" x14ac:dyDescent="0.3">
      <c r="A34" s="139" t="s">
        <v>166</v>
      </c>
      <c r="B34" s="143" t="e">
        <f>(Summary!B39+#REF!+#REF!+#REF!+#REF!+#REF!)/6</f>
        <v>#REF!</v>
      </c>
      <c r="C34" s="143" t="e">
        <f>(Summary!C39+#REF!+#REF!+#REF!+#REF!+#REF!)/6</f>
        <v>#REF!</v>
      </c>
      <c r="D34" s="143" t="e">
        <f>(Summary!D39+#REF!+#REF!+#REF!+#REF!+#REF!)/6</f>
        <v>#REF!</v>
      </c>
      <c r="E34" s="143" t="e">
        <f>(Summary!E39+#REF!+#REF!+#REF!+#REF!+#REF!)/6</f>
        <v>#REF!</v>
      </c>
      <c r="F34" s="143" t="e">
        <f>(Summary!F39+#REF!+#REF!+#REF!+#REF!+#REF!)/6</f>
        <v>#REF!</v>
      </c>
      <c r="G34" s="143" t="e">
        <f>(Summary!G39+#REF!+#REF!+#REF!+#REF!+#REF!)/6</f>
        <v>#REF!</v>
      </c>
    </row>
    <row r="35" spans="1:7" x14ac:dyDescent="0.25">
      <c r="A35" s="154"/>
      <c r="B35" s="155"/>
      <c r="C35" s="155"/>
      <c r="D35" s="155"/>
      <c r="E35" s="155"/>
      <c r="F35" s="155"/>
      <c r="G35" s="155"/>
    </row>
    <row r="36" spans="1:7" ht="15.75" thickBot="1" x14ac:dyDescent="0.3">
      <c r="A36" s="162" t="s">
        <v>168</v>
      </c>
    </row>
    <row r="37" spans="1:7" ht="15.75" thickBot="1" x14ac:dyDescent="0.3">
      <c r="A37" s="139" t="s">
        <v>141</v>
      </c>
      <c r="B37" s="143">
        <f>'P&amp;L'!$J$30</f>
        <v>0</v>
      </c>
      <c r="C37" s="143">
        <f>'P&amp;L'!$K$30</f>
        <v>4</v>
      </c>
      <c r="D37" s="143">
        <f>'P&amp;L'!$L$30</f>
        <v>3</v>
      </c>
      <c r="E37" s="143">
        <f>'P&amp;L'!$M$30</f>
        <v>2.5</v>
      </c>
      <c r="F37" s="143">
        <f>'P&amp;L'!$N$30</f>
        <v>3</v>
      </c>
      <c r="G37" s="143">
        <f>'P&amp;L'!$O$30</f>
        <v>3</v>
      </c>
    </row>
    <row r="38" spans="1:7" ht="15.75" thickBot="1" x14ac:dyDescent="0.3">
      <c r="A38" s="139" t="s">
        <v>142</v>
      </c>
      <c r="B38" s="143" t="str">
        <f t="shared" ref="B38:G38" si="4">IFERROR(B31/B7," ")</f>
        <v xml:space="preserve"> </v>
      </c>
      <c r="C38" s="143" t="str">
        <f t="shared" si="4"/>
        <v xml:space="preserve"> </v>
      </c>
      <c r="D38" s="143" t="str">
        <f t="shared" si="4"/>
        <v xml:space="preserve"> </v>
      </c>
      <c r="E38" s="143" t="str">
        <f t="shared" si="4"/>
        <v xml:space="preserve"> </v>
      </c>
      <c r="F38" s="143" t="str">
        <f t="shared" si="4"/>
        <v xml:space="preserve"> </v>
      </c>
      <c r="G38" s="143" t="str">
        <f t="shared" si="4"/>
        <v xml:space="preserve"> </v>
      </c>
    </row>
    <row r="39" spans="1:7" ht="15.75" thickBot="1" x14ac:dyDescent="0.3">
      <c r="A39" s="139" t="s">
        <v>143</v>
      </c>
      <c r="B39" s="143" t="str">
        <f t="shared" ref="B39:G39" si="5">IFERROR(B32/B7," ")</f>
        <v xml:space="preserve"> </v>
      </c>
      <c r="C39" s="143" t="str">
        <f t="shared" si="5"/>
        <v xml:space="preserve"> </v>
      </c>
      <c r="D39" s="143" t="str">
        <f t="shared" si="5"/>
        <v xml:space="preserve"> </v>
      </c>
      <c r="E39" s="143" t="str">
        <f t="shared" si="5"/>
        <v xml:space="preserve"> </v>
      </c>
      <c r="F39" s="143" t="str">
        <f t="shared" si="5"/>
        <v xml:space="preserve"> </v>
      </c>
      <c r="G39" s="143" t="str">
        <f t="shared" si="5"/>
        <v xml:space="preserve"> </v>
      </c>
    </row>
    <row r="40" spans="1:7" ht="15.75" thickBot="1" x14ac:dyDescent="0.3">
      <c r="A40" s="139" t="s">
        <v>165</v>
      </c>
      <c r="B40" s="143" t="str">
        <f>IFERROR(B33/B8," ")</f>
        <v xml:space="preserve"> </v>
      </c>
      <c r="C40" s="143" t="str">
        <f>IFERROR(C33/C7," ")</f>
        <v xml:space="preserve"> </v>
      </c>
      <c r="D40" s="143" t="str">
        <f>IFERROR(D33/D7," ")</f>
        <v xml:space="preserve"> </v>
      </c>
      <c r="E40" s="143" t="str">
        <f>IFERROR(E33/E7," ")</f>
        <v xml:space="preserve"> </v>
      </c>
      <c r="F40" s="143" t="str">
        <f>IFERROR(F33/F7," ")</f>
        <v xml:space="preserve"> </v>
      </c>
      <c r="G40" s="143" t="str">
        <f>IFERROR(G33/G7," ")</f>
        <v xml:space="preserve"> </v>
      </c>
    </row>
    <row r="41" spans="1:7" ht="15.75" thickBot="1" x14ac:dyDescent="0.3">
      <c r="A41" s="139" t="s">
        <v>166</v>
      </c>
      <c r="B41" s="143" t="str">
        <f t="shared" ref="B41:G41" si="6">IFERROR(B34/B7," ")</f>
        <v xml:space="preserve"> </v>
      </c>
      <c r="C41" s="143" t="str">
        <f t="shared" si="6"/>
        <v xml:space="preserve"> </v>
      </c>
      <c r="D41" s="143" t="str">
        <f t="shared" si="6"/>
        <v xml:space="preserve"> </v>
      </c>
      <c r="E41" s="143" t="str">
        <f t="shared" si="6"/>
        <v xml:space="preserve"> </v>
      </c>
      <c r="F41" s="143" t="str">
        <f t="shared" si="6"/>
        <v xml:space="preserve"> </v>
      </c>
      <c r="G41" s="143" t="str">
        <f t="shared" si="6"/>
        <v xml:space="preserve"> </v>
      </c>
    </row>
    <row r="42" spans="1:7" x14ac:dyDescent="0.25">
      <c r="B42" s="156"/>
      <c r="C42" s="156"/>
    </row>
    <row r="43" spans="1:7" x14ac:dyDescent="0.25">
      <c r="B43" s="156"/>
      <c r="C43" s="156"/>
    </row>
    <row r="108" spans="1:1" x14ac:dyDescent="0.25">
      <c r="A108" s="140">
        <v>388</v>
      </c>
    </row>
    <row r="109" spans="1:1" x14ac:dyDescent="0.25">
      <c r="A109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F5FD0-ADC6-440D-9EF2-90964C0A2BDC}">
  <sheetPr>
    <tabColor theme="4" tint="0.79998168889431442"/>
  </sheetPr>
  <dimension ref="A1:M109"/>
  <sheetViews>
    <sheetView zoomScale="85" zoomScaleNormal="85" workbookViewId="0">
      <selection activeCell="I2" sqref="I2"/>
    </sheetView>
  </sheetViews>
  <sheetFormatPr defaultColWidth="10.7109375" defaultRowHeight="15" x14ac:dyDescent="0.25"/>
  <cols>
    <col min="1" max="1" width="24.28515625" style="140" bestFit="1" customWidth="1"/>
    <col min="2" max="2" width="10.7109375" style="140" bestFit="1" customWidth="1"/>
    <col min="3" max="3" width="15" style="140" bestFit="1" customWidth="1"/>
    <col min="4" max="5" width="12.5703125" style="140" bestFit="1" customWidth="1"/>
    <col min="6" max="6" width="10.7109375" style="140"/>
    <col min="7" max="7" width="15.7109375" style="140" customWidth="1"/>
    <col min="8" max="8" width="12.5703125" style="140" bestFit="1" customWidth="1"/>
    <col min="9" max="9" width="8.5703125" style="140" bestFit="1" customWidth="1"/>
    <col min="10" max="10" width="15.28515625" style="140" bestFit="1" customWidth="1"/>
    <col min="11" max="11" width="10.7109375" style="140"/>
    <col min="12" max="12" width="16.28515625" style="140" bestFit="1" customWidth="1"/>
    <col min="13" max="16384" width="10.7109375" style="140"/>
  </cols>
  <sheetData>
    <row r="1" spans="1:13" ht="15.75" thickBot="1" x14ac:dyDescent="0.3"/>
    <row r="2" spans="1:13" ht="15.75" thickBot="1" x14ac:dyDescent="0.3">
      <c r="A2" s="416" t="s">
        <v>120</v>
      </c>
      <c r="B2" s="24"/>
      <c r="C2" s="150"/>
      <c r="G2" s="145" t="s">
        <v>121</v>
      </c>
      <c r="H2" s="215">
        <v>0</v>
      </c>
      <c r="L2" s="212" t="s">
        <v>122</v>
      </c>
      <c r="M2" s="212" t="s">
        <v>7</v>
      </c>
    </row>
    <row r="3" spans="1:13" ht="15.75" thickBot="1" x14ac:dyDescent="0.3">
      <c r="A3" s="417"/>
      <c r="B3" s="172"/>
      <c r="C3" s="173"/>
      <c r="E3" s="145" t="s">
        <v>123</v>
      </c>
      <c r="F3" s="147">
        <v>738</v>
      </c>
      <c r="G3" s="145" t="s">
        <v>124</v>
      </c>
      <c r="H3" s="145">
        <f>H4/12</f>
        <v>0</v>
      </c>
      <c r="J3" s="200" t="s">
        <v>125</v>
      </c>
      <c r="L3" s="212">
        <v>737</v>
      </c>
      <c r="M3" s="212">
        <v>1</v>
      </c>
    </row>
    <row r="4" spans="1:13" ht="15.75" thickBot="1" x14ac:dyDescent="0.3">
      <c r="E4" s="145" t="s">
        <v>2</v>
      </c>
      <c r="F4" s="146">
        <f>'P&amp;L'!P4</f>
        <v>0.8</v>
      </c>
      <c r="G4" s="145" t="s">
        <v>126</v>
      </c>
      <c r="H4" s="145">
        <f>H2*52</f>
        <v>0</v>
      </c>
      <c r="J4" s="201">
        <f>H17*H4</f>
        <v>0</v>
      </c>
      <c r="L4" s="212"/>
      <c r="M4" s="212"/>
    </row>
    <row r="5" spans="1:13" ht="15.75" thickBot="1" x14ac:dyDescent="0.3">
      <c r="A5" s="141" t="s">
        <v>127</v>
      </c>
      <c r="L5" s="212"/>
      <c r="M5" s="212"/>
    </row>
    <row r="6" spans="1:13" ht="15.75" thickBot="1" x14ac:dyDescent="0.3">
      <c r="A6" s="161" t="s">
        <v>128</v>
      </c>
      <c r="B6" s="161" t="s">
        <v>38</v>
      </c>
      <c r="C6" s="161" t="s">
        <v>39</v>
      </c>
      <c r="D6" s="161" t="s">
        <v>40</v>
      </c>
      <c r="E6" s="161" t="s">
        <v>41</v>
      </c>
      <c r="F6" s="161" t="s">
        <v>42</v>
      </c>
      <c r="G6" s="161" t="s">
        <v>43</v>
      </c>
      <c r="H6" s="161" t="s">
        <v>129</v>
      </c>
      <c r="I6" s="160" t="s">
        <v>130</v>
      </c>
      <c r="L6" s="211"/>
      <c r="M6" s="211"/>
    </row>
    <row r="7" spans="1:13" ht="15.75" thickBot="1" x14ac:dyDescent="0.3">
      <c r="A7" s="139" t="s">
        <v>131</v>
      </c>
      <c r="B7" s="139">
        <f>+FlightConfig!B17</f>
        <v>0</v>
      </c>
      <c r="C7" s="139">
        <f>+FlightConfig!C17</f>
        <v>32</v>
      </c>
      <c r="D7" s="139">
        <f>+FlightConfig!D17</f>
        <v>56</v>
      </c>
      <c r="E7" s="139">
        <f>+FlightConfig!E17</f>
        <v>174</v>
      </c>
      <c r="F7" s="139">
        <f>+FlightConfig!F17</f>
        <v>2</v>
      </c>
      <c r="G7" s="139">
        <f>+FlightConfig!G17</f>
        <v>8</v>
      </c>
      <c r="H7" s="139">
        <f>SUM(B7:G7)</f>
        <v>272</v>
      </c>
      <c r="L7" s="211"/>
      <c r="M7" s="211"/>
    </row>
    <row r="8" spans="1:13" ht="15.75" thickBot="1" x14ac:dyDescent="0.3">
      <c r="A8" s="139" t="s">
        <v>132</v>
      </c>
      <c r="B8" s="139">
        <f t="shared" ref="B8:G8" si="0">ROUNDUP(B7*$F$4,0)</f>
        <v>0</v>
      </c>
      <c r="C8" s="139">
        <f t="shared" si="0"/>
        <v>26</v>
      </c>
      <c r="D8" s="139">
        <f t="shared" si="0"/>
        <v>45</v>
      </c>
      <c r="E8" s="139">
        <f t="shared" si="0"/>
        <v>140</v>
      </c>
      <c r="F8" s="139">
        <f t="shared" si="0"/>
        <v>2</v>
      </c>
      <c r="G8" s="139">
        <f t="shared" si="0"/>
        <v>7</v>
      </c>
      <c r="H8" s="139">
        <f>SUM(B8:G8)</f>
        <v>220</v>
      </c>
      <c r="L8" s="211"/>
      <c r="M8" s="211"/>
    </row>
    <row r="9" spans="1:13" ht="15.75" thickBot="1" x14ac:dyDescent="0.3">
      <c r="A9" s="244"/>
      <c r="B9" s="245" t="s">
        <v>133</v>
      </c>
      <c r="C9" s="245" t="s">
        <v>134</v>
      </c>
      <c r="D9" s="245" t="s">
        <v>135</v>
      </c>
      <c r="E9" s="245" t="s">
        <v>136</v>
      </c>
      <c r="F9" s="245" t="s">
        <v>137</v>
      </c>
      <c r="G9" s="245" t="s">
        <v>138</v>
      </c>
      <c r="H9" s="161" t="s">
        <v>139</v>
      </c>
      <c r="J9" s="161" t="s">
        <v>140</v>
      </c>
    </row>
    <row r="10" spans="1:13" ht="15.75" thickBot="1" x14ac:dyDescent="0.3">
      <c r="A10" s="139" t="s">
        <v>141</v>
      </c>
      <c r="B10" s="143">
        <f t="shared" ref="B10:G10" si="1">B37*B8</f>
        <v>0</v>
      </c>
      <c r="C10" s="143">
        <f t="shared" si="1"/>
        <v>104</v>
      </c>
      <c r="D10" s="143">
        <f t="shared" si="1"/>
        <v>135</v>
      </c>
      <c r="E10" s="143">
        <f t="shared" si="1"/>
        <v>350</v>
      </c>
      <c r="F10" s="143">
        <f t="shared" si="1"/>
        <v>6</v>
      </c>
      <c r="G10" s="143">
        <f t="shared" si="1"/>
        <v>21</v>
      </c>
      <c r="H10" s="142">
        <f t="shared" ref="H10:H16" si="2">SUM(B10:G10)</f>
        <v>616</v>
      </c>
      <c r="J10" s="142">
        <f>H10*$H$4</f>
        <v>0</v>
      </c>
    </row>
    <row r="11" spans="1:13" ht="15.75" thickBot="1" x14ac:dyDescent="0.3">
      <c r="A11" s="139" t="s">
        <v>142</v>
      </c>
      <c r="B11" s="143">
        <f>IFERROR(B38*B8,0)</f>
        <v>0</v>
      </c>
      <c r="C11" s="143">
        <f>IFERROR(C38*$C$8,0)</f>
        <v>0</v>
      </c>
      <c r="D11" s="143">
        <f>IFERROR(D38*$D$8,0)</f>
        <v>0</v>
      </c>
      <c r="E11" s="143">
        <f>IFERROR(E38*$E$8,0)</f>
        <v>0</v>
      </c>
      <c r="F11" s="143">
        <f>IFERROR(F38*$F$8,0)</f>
        <v>0</v>
      </c>
      <c r="G11" s="143">
        <f>IFERROR(G38*G8,0)</f>
        <v>0</v>
      </c>
      <c r="H11" s="142">
        <f t="shared" si="2"/>
        <v>0</v>
      </c>
      <c r="I11" s="179">
        <f>I12*45%</f>
        <v>0</v>
      </c>
      <c r="J11" s="142">
        <f>H11*$H$4</f>
        <v>0</v>
      </c>
    </row>
    <row r="12" spans="1:13" ht="15.75" thickBot="1" x14ac:dyDescent="0.3">
      <c r="A12" s="139" t="s">
        <v>143</v>
      </c>
      <c r="B12" s="143">
        <f>IFERROR(B39*B8,0)</f>
        <v>0</v>
      </c>
      <c r="C12" s="143">
        <f>IFERROR(C39*$C$8,0)</f>
        <v>0</v>
      </c>
      <c r="D12" s="143">
        <f>IFERROR(D39*$D$8,0)</f>
        <v>0</v>
      </c>
      <c r="E12" s="143">
        <f>IFERROR(E39*$E$8,0)</f>
        <v>0</v>
      </c>
      <c r="F12" s="143">
        <f>IFERROR(F39*$F$8,0)</f>
        <v>0</v>
      </c>
      <c r="G12" s="143">
        <f>IFERROR(G39*G8,0)</f>
        <v>0</v>
      </c>
      <c r="H12" s="142">
        <f t="shared" si="2"/>
        <v>0</v>
      </c>
      <c r="I12" s="217">
        <f>H11+H12</f>
        <v>0</v>
      </c>
      <c r="J12" s="142">
        <f t="shared" ref="J12:J17" si="3">H12*$H$4</f>
        <v>0</v>
      </c>
    </row>
    <row r="13" spans="1:13" ht="15.75" thickBot="1" x14ac:dyDescent="0.3">
      <c r="A13" s="139" t="s">
        <v>144</v>
      </c>
      <c r="B13" s="143" t="str">
        <f>IFERROR(B40*B8," ")</f>
        <v xml:space="preserve"> </v>
      </c>
      <c r="C13" s="143">
        <f>IFERROR(C40*$C$8,0)</f>
        <v>0</v>
      </c>
      <c r="D13" s="143">
        <f>IFERROR(D40*$D$8,0)</f>
        <v>0</v>
      </c>
      <c r="E13" s="143">
        <f>IFERROR(E40*$E$8,0)</f>
        <v>0</v>
      </c>
      <c r="F13" s="143">
        <f>IFERROR(F40*$F$8,0)</f>
        <v>0</v>
      </c>
      <c r="G13" s="143">
        <v>0</v>
      </c>
      <c r="H13" s="142">
        <f t="shared" si="2"/>
        <v>0</v>
      </c>
      <c r="J13" s="142">
        <f t="shared" si="3"/>
        <v>0</v>
      </c>
    </row>
    <row r="14" spans="1:13" ht="15.75" thickBot="1" x14ac:dyDescent="0.3">
      <c r="A14" s="139" t="s">
        <v>145</v>
      </c>
      <c r="B14" s="143" t="str">
        <f>IFERROR(B41*B8," ")</f>
        <v xml:space="preserve"> </v>
      </c>
      <c r="C14" s="143">
        <f>IFERROR(C41*$C$8,0)</f>
        <v>0</v>
      </c>
      <c r="D14" s="143">
        <f>IFERROR(D41*$D$8,0)</f>
        <v>0</v>
      </c>
      <c r="E14" s="143">
        <f>IFERROR(E41*$E$8,0)</f>
        <v>0</v>
      </c>
      <c r="F14" s="143">
        <f>IFERROR(F41*$F$8,0)</f>
        <v>0</v>
      </c>
      <c r="G14" s="143">
        <v>0</v>
      </c>
      <c r="H14" s="142">
        <f t="shared" si="2"/>
        <v>0</v>
      </c>
      <c r="J14" s="142">
        <f t="shared" si="3"/>
        <v>0</v>
      </c>
      <c r="L14" s="161" t="s">
        <v>147</v>
      </c>
      <c r="M14" s="161"/>
    </row>
    <row r="15" spans="1:13" ht="15.75" thickBot="1" x14ac:dyDescent="0.3">
      <c r="A15" s="139" t="s">
        <v>148</v>
      </c>
      <c r="B15" s="143">
        <v>0</v>
      </c>
      <c r="C15" s="143">
        <v>0</v>
      </c>
      <c r="D15" s="143">
        <v>0</v>
      </c>
      <c r="E15" s="143">
        <f>+B20</f>
        <v>0</v>
      </c>
      <c r="F15" s="143">
        <v>0</v>
      </c>
      <c r="G15" s="143">
        <v>0</v>
      </c>
      <c r="H15" s="142">
        <f t="shared" si="2"/>
        <v>0</v>
      </c>
      <c r="I15" s="179"/>
      <c r="J15" s="142">
        <f t="shared" si="3"/>
        <v>0</v>
      </c>
      <c r="L15" s="207">
        <f>J12+J15</f>
        <v>0</v>
      </c>
      <c r="M15" s="209">
        <v>1</v>
      </c>
    </row>
    <row r="16" spans="1:13" ht="15.75" thickBot="1" x14ac:dyDescent="0.3">
      <c r="A16" s="139" t="s">
        <v>149</v>
      </c>
      <c r="B16" s="144">
        <v>0</v>
      </c>
      <c r="C16" s="144">
        <v>0</v>
      </c>
      <c r="D16" s="144">
        <v>0</v>
      </c>
      <c r="E16" s="143">
        <f>+C20</f>
        <v>0</v>
      </c>
      <c r="F16" s="144">
        <v>0</v>
      </c>
      <c r="G16" s="144">
        <v>0</v>
      </c>
      <c r="H16" s="142">
        <f t="shared" si="2"/>
        <v>0</v>
      </c>
      <c r="I16" s="159"/>
      <c r="J16" s="142">
        <f t="shared" si="3"/>
        <v>0</v>
      </c>
      <c r="L16" s="208">
        <f>L15*M16</f>
        <v>0</v>
      </c>
      <c r="M16" s="209">
        <v>0.8</v>
      </c>
    </row>
    <row r="17" spans="1:13" ht="15.75" thickBot="1" x14ac:dyDescent="0.3">
      <c r="A17" s="162" t="s">
        <v>150</v>
      </c>
      <c r="B17" s="163">
        <f>SUM(B11:B16)</f>
        <v>0</v>
      </c>
      <c r="C17" s="163">
        <f>SUM(C11:C16)</f>
        <v>0</v>
      </c>
      <c r="D17" s="163">
        <f>SUM(D10:D16)</f>
        <v>135</v>
      </c>
      <c r="E17" s="163">
        <f>SUM(E10:E16)</f>
        <v>350</v>
      </c>
      <c r="F17" s="163">
        <f>SUM(F10:F16)</f>
        <v>6</v>
      </c>
      <c r="G17" s="163">
        <f>SUM(G10:G16)</f>
        <v>21</v>
      </c>
      <c r="H17" s="163">
        <f>SUM(H10:H16)</f>
        <v>616</v>
      </c>
      <c r="J17" s="199">
        <f t="shared" si="3"/>
        <v>0</v>
      </c>
      <c r="L17" s="208">
        <f>L15*M17</f>
        <v>0</v>
      </c>
      <c r="M17" s="209">
        <v>0.2</v>
      </c>
    </row>
    <row r="18" spans="1:13" ht="15.75" thickBot="1" x14ac:dyDescent="0.3">
      <c r="A18" s="187"/>
      <c r="B18" s="188">
        <f>B17</f>
        <v>0</v>
      </c>
      <c r="C18" s="188">
        <f>C17</f>
        <v>0</v>
      </c>
      <c r="D18" s="188">
        <f>D17</f>
        <v>135</v>
      </c>
      <c r="E18" s="188">
        <f>E17-E15-E16</f>
        <v>350</v>
      </c>
      <c r="F18" s="188">
        <f>F17</f>
        <v>6</v>
      </c>
      <c r="G18" s="188">
        <f>G17</f>
        <v>21</v>
      </c>
      <c r="H18" s="188"/>
      <c r="I18" s="188">
        <f>E15+E16</f>
        <v>0</v>
      </c>
      <c r="J18" s="188"/>
      <c r="L18" s="206"/>
    </row>
    <row r="19" spans="1:13" ht="15.75" thickBot="1" x14ac:dyDescent="0.3">
      <c r="A19" s="161" t="s">
        <v>151</v>
      </c>
      <c r="B19" s="191" t="s">
        <v>152</v>
      </c>
      <c r="C19" s="191" t="s">
        <v>153</v>
      </c>
      <c r="D19" s="191" t="s">
        <v>154</v>
      </c>
      <c r="E19" s="158"/>
      <c r="F19" s="158"/>
      <c r="G19" s="158"/>
      <c r="H19" s="160"/>
      <c r="I19" s="158">
        <f>E16</f>
        <v>0</v>
      </c>
    </row>
    <row r="20" spans="1:13" ht="15.75" thickBot="1" x14ac:dyDescent="0.3">
      <c r="A20" s="189" t="s">
        <v>170</v>
      </c>
      <c r="B20" s="190">
        <f>Handling!C58</f>
        <v>0</v>
      </c>
      <c r="C20" s="190">
        <f>B20*'P&amp;L'!$P$10</f>
        <v>0</v>
      </c>
      <c r="D20" s="190">
        <f>SUM(B20:C20)</f>
        <v>0</v>
      </c>
      <c r="G20" s="179"/>
    </row>
    <row r="21" spans="1:13" ht="15.75" hidden="1" thickBot="1" x14ac:dyDescent="0.3">
      <c r="A21" s="162" t="s">
        <v>156</v>
      </c>
      <c r="B21" s="143" t="e">
        <f>Handling!#REF!</f>
        <v>#REF!</v>
      </c>
      <c r="C21" s="143" t="e">
        <f>Handling!#REF!</f>
        <v>#REF!</v>
      </c>
      <c r="D21" s="143" t="e">
        <f>Handling!#REF!</f>
        <v>#REF!</v>
      </c>
      <c r="G21" s="179"/>
    </row>
    <row r="22" spans="1:13" ht="15.75" hidden="1" thickBot="1" x14ac:dyDescent="0.3">
      <c r="A22" s="162" t="s">
        <v>157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</row>
    <row r="23" spans="1:13" ht="15.75" thickBot="1" x14ac:dyDescent="0.3"/>
    <row r="24" spans="1:13" ht="15.75" thickBot="1" x14ac:dyDescent="0.3">
      <c r="A24" s="139" t="s">
        <v>159</v>
      </c>
      <c r="B24" s="143">
        <f>IFERROR(((B11+B12+B13+B14)/B8),0)</f>
        <v>0</v>
      </c>
      <c r="C24" s="143">
        <f>IFERROR(((C11+C12+C13+C14)/C8),0)</f>
        <v>0</v>
      </c>
      <c r="D24" s="143">
        <f>IFERROR(((D10+D11+D12+D13+D14)/D8),0)</f>
        <v>3</v>
      </c>
      <c r="E24" s="143">
        <f>IFERROR(((E10+E11+E12+E13+E14)/E8),0)</f>
        <v>2.5</v>
      </c>
      <c r="F24" s="143">
        <f>IFERROR(((F10+F11+F12+F13+F14)/F8),0)</f>
        <v>3</v>
      </c>
      <c r="G24" s="143">
        <f>IFERROR(((G10+G11+G12+G13+G14)/G8),0)</f>
        <v>3</v>
      </c>
    </row>
    <row r="25" spans="1:13" ht="15.75" thickBot="1" x14ac:dyDescent="0.3">
      <c r="A25" s="139" t="s">
        <v>160</v>
      </c>
      <c r="B25" s="143">
        <f t="shared" ref="B25:G25" si="4">IFERROR(((B13+B14)/B8),0)</f>
        <v>0</v>
      </c>
      <c r="C25" s="143">
        <f t="shared" si="4"/>
        <v>0</v>
      </c>
      <c r="D25" s="143">
        <f t="shared" si="4"/>
        <v>0</v>
      </c>
      <c r="E25" s="143">
        <f t="shared" si="4"/>
        <v>0</v>
      </c>
      <c r="F25" s="143">
        <f t="shared" si="4"/>
        <v>0</v>
      </c>
      <c r="G25" s="143">
        <f t="shared" si="4"/>
        <v>0</v>
      </c>
    </row>
    <row r="26" spans="1:13" ht="15.75" thickBot="1" x14ac:dyDescent="0.3">
      <c r="A26" s="139" t="s">
        <v>161</v>
      </c>
      <c r="B26" s="143">
        <f t="shared" ref="B26:G26" si="5">IFERROR((B10/B8),0)</f>
        <v>0</v>
      </c>
      <c r="C26" s="143">
        <f t="shared" si="5"/>
        <v>4</v>
      </c>
      <c r="D26" s="143">
        <f t="shared" si="5"/>
        <v>3</v>
      </c>
      <c r="E26" s="143">
        <f t="shared" si="5"/>
        <v>2.5</v>
      </c>
      <c r="F26" s="143">
        <f t="shared" si="5"/>
        <v>3</v>
      </c>
      <c r="G26" s="143">
        <f t="shared" si="5"/>
        <v>3</v>
      </c>
    </row>
    <row r="27" spans="1:13" s="203" customFormat="1" x14ac:dyDescent="0.25">
      <c r="A27" s="204"/>
      <c r="B27" s="205"/>
      <c r="C27" s="205"/>
      <c r="D27" s="205"/>
      <c r="E27" s="205"/>
      <c r="F27" s="205"/>
      <c r="G27" s="205"/>
    </row>
    <row r="28" spans="1:13" x14ac:dyDescent="0.25">
      <c r="B28" s="162" t="s">
        <v>162</v>
      </c>
      <c r="C28" s="162" t="s">
        <v>163</v>
      </c>
    </row>
    <row r="29" spans="1:13" ht="15.75" thickBot="1" x14ac:dyDescent="0.3">
      <c r="A29" s="162" t="s">
        <v>164</v>
      </c>
      <c r="B29" s="162">
        <f>'P&amp;L'!P5</f>
        <v>3</v>
      </c>
      <c r="C29" s="162">
        <v>735</v>
      </c>
    </row>
    <row r="30" spans="1:13" ht="15.75" thickBot="1" x14ac:dyDescent="0.3">
      <c r="A30" s="139" t="s">
        <v>141</v>
      </c>
      <c r="B30" s="143">
        <f t="shared" ref="B30:G30" si="6">B37*B8</f>
        <v>0</v>
      </c>
      <c r="C30" s="143">
        <f t="shared" si="6"/>
        <v>104</v>
      </c>
      <c r="D30" s="143">
        <f t="shared" si="6"/>
        <v>135</v>
      </c>
      <c r="E30" s="143">
        <f t="shared" si="6"/>
        <v>350</v>
      </c>
      <c r="F30" s="143">
        <f t="shared" si="6"/>
        <v>6</v>
      </c>
      <c r="G30" s="143">
        <f t="shared" si="6"/>
        <v>21</v>
      </c>
    </row>
    <row r="31" spans="1:13" ht="15.75" thickBot="1" x14ac:dyDescent="0.3">
      <c r="A31" s="139" t="s">
        <v>142</v>
      </c>
      <c r="B31" s="143">
        <f>IFERROR(IF($B$29=$B$29,SUMIF(Food!$C:$C,B$9&amp;$B$29&amp;$C$29,Food!$V:$V),0),"")</f>
        <v>0</v>
      </c>
      <c r="C31" s="143">
        <f>IFERROR(IF($B$29=$B$29,SUMIF(Food!$C:$C,C$9&amp;$B$29&amp;$C$29,Food!$V:$V),0),"")</f>
        <v>0</v>
      </c>
      <c r="D31" s="143">
        <f>IFERROR(IF($B$29=$B$29,SUMIF(Food!$C:$C,D$9&amp;$B$29&amp;$C$29,Food!$V:$V),0),"")</f>
        <v>0</v>
      </c>
      <c r="E31" s="143">
        <f>IFERROR(IF($B$29=$B$29,SUMIF(Food!$C:$C,E$9&amp;$B$29&amp;$C$29,Food!$V:$V),0),"")</f>
        <v>0</v>
      </c>
      <c r="F31" s="143">
        <f>IFERROR(IF($B$29=$B$29,SUMIF(Food!$C:$C,F$9&amp;$B$29&amp;$C$29,Food!$V:$V),0),"")</f>
        <v>0</v>
      </c>
      <c r="G31" s="143">
        <f>IFERROR(IF($B$29=$B$29,SUMIF(Food!$C:$C,G$9&amp;$B$29&amp;$C$29,Food!$V:$V),0),"")</f>
        <v>0</v>
      </c>
    </row>
    <row r="32" spans="1:13" ht="15.75" thickBot="1" x14ac:dyDescent="0.3">
      <c r="A32" s="139" t="s">
        <v>143</v>
      </c>
      <c r="B32" s="143">
        <f>IFERROR(IF($B$29=$B$29,SUMIF(Food!$C:$C,B$9&amp;$B$29&amp;$C$29,Food!$X:$X),0),"")</f>
        <v>0</v>
      </c>
      <c r="C32" s="143">
        <f>IFERROR(IF($B$29=$B$29,SUMIF(Food!$C:$C,C$9&amp;$B$29&amp;$C$29,Food!$X:$X),0),"")</f>
        <v>0</v>
      </c>
      <c r="D32" s="143">
        <f>IFERROR(IF($B$29=$B$29,SUMIF(Food!$C:$C,D$9&amp;$B$29&amp;$C$29,Food!$X:$X),0),"")</f>
        <v>0</v>
      </c>
      <c r="E32" s="143">
        <f>IFERROR(IF($B$29=$B$29,SUMIF(Food!$C:$C,E$9&amp;$B$29&amp;$C$29,Food!$X:$X),0),"")</f>
        <v>0</v>
      </c>
      <c r="F32" s="143">
        <f>IFERROR(IF($B$29=$B$29,SUMIF(Food!$C:$C,F$9&amp;$B$29&amp;$C$29,Food!$X:$X),0),"")</f>
        <v>0</v>
      </c>
      <c r="G32" s="143">
        <f>IFERROR(IF($B$29=$B$29,SUMIF(Food!$C:$C,G$9&amp;$B$29&amp;$C$29,Food!$X:$X),0),"")</f>
        <v>0</v>
      </c>
    </row>
    <row r="33" spans="1:7" ht="15.75" thickBot="1" x14ac:dyDescent="0.3">
      <c r="A33" s="139" t="s">
        <v>165</v>
      </c>
      <c r="B33" s="143">
        <f>IFERROR(IF($B$29=$B$29,SUMIF(Food!$C:$C,B$9&amp;$B$29&amp;$C$29,Food!$Z:$Z),0),"")</f>
        <v>0</v>
      </c>
      <c r="C33" s="143">
        <f>IFERROR(IF($B$29=$B$29,SUMIF(Food!$C:$C,C$9&amp;$B$29&amp;$C$29,Food!$Z:$Z),0),"")</f>
        <v>0</v>
      </c>
      <c r="D33" s="143">
        <f>IFERROR(IF($B$29=$B$29,SUMIF(Food!$C:$C,D$9&amp;$B$29&amp;$C$29,Food!$Z:$Z),0),"")</f>
        <v>0</v>
      </c>
      <c r="E33" s="143">
        <f>IFERROR(IF($B$29=$B$29,SUMIF(Food!$C:$C,E$9&amp;$B$29&amp;$C$29,Food!$Z:$Z),0),"")</f>
        <v>0</v>
      </c>
      <c r="F33" s="143">
        <f>IFERROR(IF($B$29=$B$29,SUMIF(Food!$C:$C,F$9&amp;$B$29&amp;$C$29,Food!$Z:$Z),0),"")</f>
        <v>0</v>
      </c>
      <c r="G33" s="143">
        <f>IFERROR(IF($B$29=$B$29,SUMIF(Food!$C:$C,G$9&amp;$B$29&amp;$C$29,Food!$O:$O),0),"")</f>
        <v>0</v>
      </c>
    </row>
    <row r="34" spans="1:7" ht="15.75" thickBot="1" x14ac:dyDescent="0.3">
      <c r="A34" s="139" t="s">
        <v>166</v>
      </c>
      <c r="B34" s="143">
        <f>IFERROR(IF($B$29=$B$29,SUMIF(Food!$C:$C,B$9&amp;$B$29&amp;$C$29,Food!$AA:$AA),0),"")</f>
        <v>0</v>
      </c>
      <c r="C34" s="143">
        <f>IFERROR(IF($B$29=$B$29,SUMIF(Food!$C:$C,C$9&amp;$B$29&amp;$C$29,Food!$AA:$AA),0),"")</f>
        <v>0</v>
      </c>
      <c r="D34" s="143">
        <f>IFERROR(IF($B$29=$B$29,SUMIF(Food!$C:$C,D$9&amp;$B$29&amp;$C$29,Food!$AA:$AA),0),"")</f>
        <v>0</v>
      </c>
      <c r="E34" s="143">
        <f>IFERROR(IF($B$29=$B$29,SUMIF(Food!$C:$C,E$9&amp;$B$29&amp;$C$29,Food!$AA:$AA),0),"")</f>
        <v>0</v>
      </c>
      <c r="F34" s="143">
        <f>IFERROR(IF($B$29=$B$29,SUMIF(Food!$C:$C,F$9&amp;$B$29&amp;$C$29,Food!$AA:$AA),0),"")</f>
        <v>0</v>
      </c>
      <c r="G34" s="143">
        <f>IFERROR(IF($B$29=$B$29,SUMIF(Food!$C:$C,G$9&amp;$B$29&amp;$C$29,Food!$P:$P),0),"")</f>
        <v>0</v>
      </c>
    </row>
    <row r="35" spans="1:7" x14ac:dyDescent="0.25">
      <c r="A35" s="154"/>
      <c r="B35" s="155"/>
      <c r="C35" s="155"/>
      <c r="D35" s="155"/>
      <c r="E35" s="155"/>
      <c r="F35" s="155"/>
      <c r="G35" s="155"/>
    </row>
    <row r="36" spans="1:7" ht="15.75" thickBot="1" x14ac:dyDescent="0.3">
      <c r="A36" s="162" t="s">
        <v>168</v>
      </c>
    </row>
    <row r="37" spans="1:7" ht="15.75" thickBot="1" x14ac:dyDescent="0.3">
      <c r="A37" s="139" t="s">
        <v>141</v>
      </c>
      <c r="B37" s="143">
        <f>'P&amp;L'!$J$30</f>
        <v>0</v>
      </c>
      <c r="C37" s="143">
        <f>'P&amp;L'!$K$30</f>
        <v>4</v>
      </c>
      <c r="D37" s="143">
        <f>'P&amp;L'!$L$30</f>
        <v>3</v>
      </c>
      <c r="E37" s="143">
        <f>'P&amp;L'!$M$30</f>
        <v>2.5</v>
      </c>
      <c r="F37" s="143">
        <f>'P&amp;L'!$N$30</f>
        <v>3</v>
      </c>
      <c r="G37" s="143">
        <f>'P&amp;L'!$O$30</f>
        <v>3</v>
      </c>
    </row>
    <row r="38" spans="1:7" ht="15.75" thickBot="1" x14ac:dyDescent="0.3">
      <c r="A38" s="139" t="s">
        <v>142</v>
      </c>
      <c r="B38" s="143" t="str">
        <f t="shared" ref="B38:G38" si="7">IFERROR(B31/B7," ")</f>
        <v xml:space="preserve"> </v>
      </c>
      <c r="C38" s="143">
        <f t="shared" si="7"/>
        <v>0</v>
      </c>
      <c r="D38" s="143">
        <f t="shared" si="7"/>
        <v>0</v>
      </c>
      <c r="E38" s="143">
        <f t="shared" si="7"/>
        <v>0</v>
      </c>
      <c r="F38" s="143">
        <f t="shared" si="7"/>
        <v>0</v>
      </c>
      <c r="G38" s="143">
        <f t="shared" si="7"/>
        <v>0</v>
      </c>
    </row>
    <row r="39" spans="1:7" ht="15.75" thickBot="1" x14ac:dyDescent="0.3">
      <c r="A39" s="139" t="s">
        <v>143</v>
      </c>
      <c r="B39" s="143" t="str">
        <f t="shared" ref="B39:G39" si="8">IFERROR(B32/B7," ")</f>
        <v xml:space="preserve"> </v>
      </c>
      <c r="C39" s="143">
        <f t="shared" si="8"/>
        <v>0</v>
      </c>
      <c r="D39" s="143">
        <f t="shared" si="8"/>
        <v>0</v>
      </c>
      <c r="E39" s="143">
        <f t="shared" si="8"/>
        <v>0</v>
      </c>
      <c r="F39" s="143">
        <f t="shared" si="8"/>
        <v>0</v>
      </c>
      <c r="G39" s="143">
        <f t="shared" si="8"/>
        <v>0</v>
      </c>
    </row>
    <row r="40" spans="1:7" ht="15.75" thickBot="1" x14ac:dyDescent="0.3">
      <c r="A40" s="139" t="s">
        <v>165</v>
      </c>
      <c r="B40" s="143" t="str">
        <f>IFERROR(B33/B8," ")</f>
        <v xml:space="preserve"> </v>
      </c>
      <c r="C40" s="143">
        <f>IFERROR(C33/C7," ")</f>
        <v>0</v>
      </c>
      <c r="D40" s="143">
        <f>IFERROR(D33/D7," ")</f>
        <v>0</v>
      </c>
      <c r="E40" s="143">
        <f>IFERROR(E33/E7," ")</f>
        <v>0</v>
      </c>
      <c r="F40" s="143">
        <f>IFERROR(F33/F7," ")</f>
        <v>0</v>
      </c>
      <c r="G40" s="143">
        <f>IFERROR(G33/G7," ")</f>
        <v>0</v>
      </c>
    </row>
    <row r="41" spans="1:7" ht="15.75" thickBot="1" x14ac:dyDescent="0.3">
      <c r="A41" s="139" t="s">
        <v>166</v>
      </c>
      <c r="B41" s="143" t="str">
        <f t="shared" ref="B41:G41" si="9">IFERROR(B34/B7," ")</f>
        <v xml:space="preserve"> </v>
      </c>
      <c r="C41" s="143">
        <f t="shared" si="9"/>
        <v>0</v>
      </c>
      <c r="D41" s="143">
        <f t="shared" si="9"/>
        <v>0</v>
      </c>
      <c r="E41" s="143">
        <f t="shared" si="9"/>
        <v>0</v>
      </c>
      <c r="F41" s="143">
        <f t="shared" si="9"/>
        <v>0</v>
      </c>
      <c r="G41" s="143">
        <f t="shared" si="9"/>
        <v>0</v>
      </c>
    </row>
    <row r="42" spans="1:7" x14ac:dyDescent="0.25">
      <c r="B42" s="156"/>
      <c r="C42" s="156"/>
    </row>
    <row r="43" spans="1:7" x14ac:dyDescent="0.25">
      <c r="B43" s="156"/>
      <c r="C43" s="156"/>
    </row>
    <row r="108" spans="1:1" x14ac:dyDescent="0.25">
      <c r="A108" s="140">
        <v>388</v>
      </c>
    </row>
    <row r="109" spans="1:1" x14ac:dyDescent="0.25">
      <c r="A109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2F381-1FC3-44AD-8E87-E8817164C2AE}">
  <sheetPr>
    <tabColor theme="4" tint="0.79998168889431442"/>
  </sheetPr>
  <dimension ref="A1:M109"/>
  <sheetViews>
    <sheetView zoomScale="85" zoomScaleNormal="85" workbookViewId="0">
      <selection activeCell="I2" sqref="I2"/>
    </sheetView>
  </sheetViews>
  <sheetFormatPr defaultColWidth="10.7109375" defaultRowHeight="15" x14ac:dyDescent="0.25"/>
  <cols>
    <col min="1" max="1" width="24.28515625" style="140" bestFit="1" customWidth="1"/>
    <col min="2" max="2" width="10.7109375" style="140" bestFit="1" customWidth="1"/>
    <col min="3" max="3" width="15" style="140" bestFit="1" customWidth="1"/>
    <col min="4" max="5" width="12.5703125" style="140" bestFit="1" customWidth="1"/>
    <col min="6" max="6" width="10.7109375" style="140"/>
    <col min="7" max="7" width="15.7109375" style="140" customWidth="1"/>
    <col min="8" max="8" width="12.5703125" style="140" bestFit="1" customWidth="1"/>
    <col min="9" max="9" width="8.5703125" style="140" bestFit="1" customWidth="1"/>
    <col min="10" max="10" width="15.28515625" style="140" bestFit="1" customWidth="1"/>
    <col min="11" max="11" width="10.7109375" style="140"/>
    <col min="12" max="12" width="16.28515625" style="140" bestFit="1" customWidth="1"/>
    <col min="13" max="16384" width="10.7109375" style="140"/>
  </cols>
  <sheetData>
    <row r="1" spans="1:13" ht="15.75" thickBot="1" x14ac:dyDescent="0.3"/>
    <row r="2" spans="1:13" ht="15.75" thickBot="1" x14ac:dyDescent="0.3">
      <c r="A2" s="416" t="s">
        <v>120</v>
      </c>
      <c r="B2" s="24"/>
      <c r="C2" s="150"/>
      <c r="G2" s="145" t="s">
        <v>121</v>
      </c>
      <c r="H2" s="215">
        <v>0</v>
      </c>
      <c r="L2" s="212" t="s">
        <v>122</v>
      </c>
      <c r="M2" s="212" t="s">
        <v>7</v>
      </c>
    </row>
    <row r="3" spans="1:13" ht="15.75" thickBot="1" x14ac:dyDescent="0.3">
      <c r="A3" s="417"/>
      <c r="B3" s="172"/>
      <c r="C3" s="173"/>
      <c r="E3" s="145" t="s">
        <v>123</v>
      </c>
      <c r="F3" s="147">
        <v>738</v>
      </c>
      <c r="G3" s="145" t="s">
        <v>124</v>
      </c>
      <c r="H3" s="145">
        <f>H4/12</f>
        <v>0</v>
      </c>
      <c r="J3" s="200" t="s">
        <v>125</v>
      </c>
      <c r="L3" s="212">
        <v>737</v>
      </c>
      <c r="M3" s="212">
        <v>1</v>
      </c>
    </row>
    <row r="4" spans="1:13" ht="15.75" thickBot="1" x14ac:dyDescent="0.3">
      <c r="E4" s="145" t="s">
        <v>2</v>
      </c>
      <c r="F4" s="146">
        <f>'P&amp;L'!P4</f>
        <v>0.8</v>
      </c>
      <c r="G4" s="145" t="s">
        <v>126</v>
      </c>
      <c r="H4" s="145">
        <f>H2*52</f>
        <v>0</v>
      </c>
      <c r="J4" s="201">
        <f>H17*H4</f>
        <v>0</v>
      </c>
      <c r="L4" s="212"/>
      <c r="M4" s="212"/>
    </row>
    <row r="5" spans="1:13" ht="15.75" thickBot="1" x14ac:dyDescent="0.3">
      <c r="A5" s="141" t="s">
        <v>127</v>
      </c>
      <c r="L5" s="212"/>
      <c r="M5" s="212"/>
    </row>
    <row r="6" spans="1:13" ht="15.75" thickBot="1" x14ac:dyDescent="0.3">
      <c r="A6" s="161" t="s">
        <v>128</v>
      </c>
      <c r="B6" s="161" t="s">
        <v>38</v>
      </c>
      <c r="C6" s="161" t="s">
        <v>39</v>
      </c>
      <c r="D6" s="161" t="s">
        <v>40</v>
      </c>
      <c r="E6" s="161" t="s">
        <v>41</v>
      </c>
      <c r="F6" s="161" t="s">
        <v>42</v>
      </c>
      <c r="G6" s="161" t="s">
        <v>43</v>
      </c>
      <c r="H6" s="161" t="s">
        <v>129</v>
      </c>
      <c r="I6" s="160" t="s">
        <v>130</v>
      </c>
      <c r="L6" s="211"/>
      <c r="M6" s="211"/>
    </row>
    <row r="7" spans="1:13" ht="15.75" thickBot="1" x14ac:dyDescent="0.3">
      <c r="A7" s="139" t="s">
        <v>131</v>
      </c>
      <c r="B7" s="139">
        <f>+FlightConfig!B17</f>
        <v>0</v>
      </c>
      <c r="C7" s="139">
        <f>+FlightConfig!C17</f>
        <v>32</v>
      </c>
      <c r="D7" s="139">
        <f>+FlightConfig!D17</f>
        <v>56</v>
      </c>
      <c r="E7" s="139">
        <f>+FlightConfig!E17</f>
        <v>174</v>
      </c>
      <c r="F7" s="139">
        <f>+FlightConfig!F17</f>
        <v>2</v>
      </c>
      <c r="G7" s="139">
        <f>+FlightConfig!G17</f>
        <v>8</v>
      </c>
      <c r="H7" s="139">
        <f>SUM(B7:G7)</f>
        <v>272</v>
      </c>
      <c r="L7" s="211"/>
      <c r="M7" s="211"/>
    </row>
    <row r="8" spans="1:13" ht="15.75" thickBot="1" x14ac:dyDescent="0.3">
      <c r="A8" s="139" t="s">
        <v>132</v>
      </c>
      <c r="B8" s="139">
        <f t="shared" ref="B8:G8" si="0">ROUNDUP(B7*$F$4,0)</f>
        <v>0</v>
      </c>
      <c r="C8" s="139">
        <f t="shared" si="0"/>
        <v>26</v>
      </c>
      <c r="D8" s="139">
        <f t="shared" si="0"/>
        <v>45</v>
      </c>
      <c r="E8" s="139">
        <f t="shared" si="0"/>
        <v>140</v>
      </c>
      <c r="F8" s="139">
        <f t="shared" si="0"/>
        <v>2</v>
      </c>
      <c r="G8" s="139">
        <f t="shared" si="0"/>
        <v>7</v>
      </c>
      <c r="H8" s="139">
        <f>SUM(B8:G8)</f>
        <v>220</v>
      </c>
      <c r="L8" s="211"/>
      <c r="M8" s="211"/>
    </row>
    <row r="9" spans="1:13" ht="15.75" thickBot="1" x14ac:dyDescent="0.3">
      <c r="A9" s="244"/>
      <c r="B9" s="245" t="s">
        <v>133</v>
      </c>
      <c r="C9" s="245" t="s">
        <v>134</v>
      </c>
      <c r="D9" s="245" t="s">
        <v>135</v>
      </c>
      <c r="E9" s="245" t="s">
        <v>136</v>
      </c>
      <c r="F9" s="245" t="s">
        <v>137</v>
      </c>
      <c r="G9" s="245" t="s">
        <v>138</v>
      </c>
      <c r="H9" s="161" t="s">
        <v>139</v>
      </c>
      <c r="J9" s="161" t="s">
        <v>140</v>
      </c>
    </row>
    <row r="10" spans="1:13" ht="15.75" thickBot="1" x14ac:dyDescent="0.3">
      <c r="A10" s="139" t="s">
        <v>141</v>
      </c>
      <c r="B10" s="143">
        <f t="shared" ref="B10:G10" si="1">B37*B8</f>
        <v>0</v>
      </c>
      <c r="C10" s="143">
        <f t="shared" si="1"/>
        <v>104</v>
      </c>
      <c r="D10" s="143">
        <f t="shared" si="1"/>
        <v>135</v>
      </c>
      <c r="E10" s="143">
        <f t="shared" si="1"/>
        <v>350</v>
      </c>
      <c r="F10" s="143">
        <f t="shared" si="1"/>
        <v>6</v>
      </c>
      <c r="G10" s="143">
        <f t="shared" si="1"/>
        <v>21</v>
      </c>
      <c r="H10" s="142">
        <f t="shared" ref="H10:H16" si="2">SUM(B10:G10)</f>
        <v>616</v>
      </c>
      <c r="J10" s="142">
        <f>H10*$H$4</f>
        <v>0</v>
      </c>
    </row>
    <row r="11" spans="1:13" ht="15.75" thickBot="1" x14ac:dyDescent="0.3">
      <c r="A11" s="139" t="s">
        <v>142</v>
      </c>
      <c r="B11" s="143">
        <f>IFERROR(B38*B8,0)</f>
        <v>0</v>
      </c>
      <c r="C11" s="143">
        <f>IFERROR(C38*$C$8,0)</f>
        <v>0</v>
      </c>
      <c r="D11" s="143">
        <f>IFERROR(D38*$D$8,0)</f>
        <v>0</v>
      </c>
      <c r="E11" s="143">
        <f>IFERROR(E38*$E$8,0)</f>
        <v>0</v>
      </c>
      <c r="F11" s="143">
        <f>IFERROR(F38*$F$8,0)</f>
        <v>0</v>
      </c>
      <c r="G11" s="143">
        <f>IFERROR(G38*G8,0)</f>
        <v>0</v>
      </c>
      <c r="H11" s="142">
        <f t="shared" si="2"/>
        <v>0</v>
      </c>
      <c r="I11" s="179">
        <f>I12*45%</f>
        <v>0</v>
      </c>
      <c r="J11" s="142">
        <f>H11*$H$4</f>
        <v>0</v>
      </c>
    </row>
    <row r="12" spans="1:13" ht="15.75" thickBot="1" x14ac:dyDescent="0.3">
      <c r="A12" s="139" t="s">
        <v>143</v>
      </c>
      <c r="B12" s="143">
        <f>IFERROR(B39*B8,0)</f>
        <v>0</v>
      </c>
      <c r="C12" s="143">
        <f>IFERROR(C39*$C$8,0)</f>
        <v>0</v>
      </c>
      <c r="D12" s="143">
        <f>IFERROR(D39*$D$8,0)</f>
        <v>0</v>
      </c>
      <c r="E12" s="143">
        <f>IFERROR(E39*$E$8,0)</f>
        <v>0</v>
      </c>
      <c r="F12" s="143">
        <f>IFERROR(F39*$F$8,0)</f>
        <v>0</v>
      </c>
      <c r="G12" s="143">
        <f>IFERROR(G39*G8,0)</f>
        <v>0</v>
      </c>
      <c r="H12" s="142">
        <f t="shared" si="2"/>
        <v>0</v>
      </c>
      <c r="I12" s="217">
        <f>H11+H12</f>
        <v>0</v>
      </c>
      <c r="J12" s="142">
        <f t="shared" ref="J12:J17" si="3">H12*$H$4</f>
        <v>0</v>
      </c>
    </row>
    <row r="13" spans="1:13" ht="15.75" thickBot="1" x14ac:dyDescent="0.3">
      <c r="A13" s="139" t="s">
        <v>144</v>
      </c>
      <c r="B13" s="143" t="str">
        <f>IFERROR(B40*B8," ")</f>
        <v xml:space="preserve"> </v>
      </c>
      <c r="C13" s="143">
        <f>IFERROR(C40*$C$8,0)</f>
        <v>0</v>
      </c>
      <c r="D13" s="143">
        <f>IFERROR(D40*$D$8,0)</f>
        <v>0</v>
      </c>
      <c r="E13" s="143">
        <f>IFERROR(E40*$E$8,0)</f>
        <v>0</v>
      </c>
      <c r="F13" s="143">
        <f>IFERROR(F40*$F$8,0)</f>
        <v>0</v>
      </c>
      <c r="G13" s="143">
        <v>0</v>
      </c>
      <c r="H13" s="142">
        <f t="shared" si="2"/>
        <v>0</v>
      </c>
      <c r="J13" s="142">
        <f t="shared" si="3"/>
        <v>0</v>
      </c>
    </row>
    <row r="14" spans="1:13" ht="15.75" thickBot="1" x14ac:dyDescent="0.3">
      <c r="A14" s="139" t="s">
        <v>145</v>
      </c>
      <c r="B14" s="143" t="str">
        <f>IFERROR(B41*B8," ")</f>
        <v xml:space="preserve"> </v>
      </c>
      <c r="C14" s="143">
        <f>IFERROR(C41*$C$8,0)</f>
        <v>0</v>
      </c>
      <c r="D14" s="143">
        <f>IFERROR(D41*$D$8,0)</f>
        <v>0</v>
      </c>
      <c r="E14" s="143">
        <f>IFERROR(E41*$E$8,0)</f>
        <v>0</v>
      </c>
      <c r="F14" s="143">
        <f>IFERROR(F41*$F$8,0)</f>
        <v>0</v>
      </c>
      <c r="G14" s="143">
        <v>0</v>
      </c>
      <c r="H14" s="142">
        <f t="shared" si="2"/>
        <v>0</v>
      </c>
      <c r="J14" s="142">
        <f t="shared" si="3"/>
        <v>0</v>
      </c>
      <c r="L14" s="161" t="s">
        <v>147</v>
      </c>
      <c r="M14" s="161"/>
    </row>
    <row r="15" spans="1:13" ht="15.75" thickBot="1" x14ac:dyDescent="0.3">
      <c r="A15" s="139" t="s">
        <v>148</v>
      </c>
      <c r="B15" s="143">
        <v>0</v>
      </c>
      <c r="C15" s="143">
        <v>0</v>
      </c>
      <c r="D15" s="143">
        <v>0</v>
      </c>
      <c r="E15" s="143">
        <f>+B20</f>
        <v>0</v>
      </c>
      <c r="F15" s="143">
        <v>0</v>
      </c>
      <c r="G15" s="143">
        <v>0</v>
      </c>
      <c r="H15" s="142">
        <f t="shared" si="2"/>
        <v>0</v>
      </c>
      <c r="I15" s="179"/>
      <c r="J15" s="142">
        <f t="shared" si="3"/>
        <v>0</v>
      </c>
      <c r="L15" s="207">
        <f>J12+J15</f>
        <v>0</v>
      </c>
      <c r="M15" s="209">
        <v>1</v>
      </c>
    </row>
    <row r="16" spans="1:13" ht="15.75" thickBot="1" x14ac:dyDescent="0.3">
      <c r="A16" s="139" t="s">
        <v>149</v>
      </c>
      <c r="B16" s="144">
        <v>0</v>
      </c>
      <c r="C16" s="144">
        <v>0</v>
      </c>
      <c r="D16" s="144">
        <v>0</v>
      </c>
      <c r="E16" s="143">
        <f>+C20</f>
        <v>0</v>
      </c>
      <c r="F16" s="144">
        <v>0</v>
      </c>
      <c r="G16" s="144">
        <v>0</v>
      </c>
      <c r="H16" s="142">
        <f t="shared" si="2"/>
        <v>0</v>
      </c>
      <c r="I16" s="159"/>
      <c r="J16" s="142">
        <f t="shared" si="3"/>
        <v>0</v>
      </c>
      <c r="L16" s="208">
        <f>L15*M16</f>
        <v>0</v>
      </c>
      <c r="M16" s="209">
        <v>0.8</v>
      </c>
    </row>
    <row r="17" spans="1:13" ht="15.75" thickBot="1" x14ac:dyDescent="0.3">
      <c r="A17" s="162" t="s">
        <v>150</v>
      </c>
      <c r="B17" s="163">
        <f>SUM(B11:B16)</f>
        <v>0</v>
      </c>
      <c r="C17" s="163">
        <f>SUM(C11:C16)</f>
        <v>0</v>
      </c>
      <c r="D17" s="163">
        <f>SUM(D10:D16)</f>
        <v>135</v>
      </c>
      <c r="E17" s="163">
        <f>SUM(E10:E16)</f>
        <v>350</v>
      </c>
      <c r="F17" s="163">
        <f>SUM(F10:F16)</f>
        <v>6</v>
      </c>
      <c r="G17" s="163">
        <f>SUM(G10:G16)</f>
        <v>21</v>
      </c>
      <c r="H17" s="163">
        <f>SUM(H10:H16)</f>
        <v>616</v>
      </c>
      <c r="J17" s="199">
        <f t="shared" si="3"/>
        <v>0</v>
      </c>
      <c r="L17" s="208">
        <f>L15*M17</f>
        <v>0</v>
      </c>
      <c r="M17" s="209">
        <v>0.2</v>
      </c>
    </row>
    <row r="18" spans="1:13" ht="15.75" thickBot="1" x14ac:dyDescent="0.3">
      <c r="A18" s="187"/>
      <c r="B18" s="188">
        <f>B17</f>
        <v>0</v>
      </c>
      <c r="C18" s="188">
        <f>C17</f>
        <v>0</v>
      </c>
      <c r="D18" s="188">
        <f>D17</f>
        <v>135</v>
      </c>
      <c r="E18" s="188">
        <f>E17-E15-E16</f>
        <v>350</v>
      </c>
      <c r="F18" s="188">
        <f>F17</f>
        <v>6</v>
      </c>
      <c r="G18" s="188">
        <f>G17</f>
        <v>21</v>
      </c>
      <c r="H18" s="188"/>
      <c r="I18" s="188">
        <f>E15+E16</f>
        <v>0</v>
      </c>
      <c r="J18" s="188"/>
      <c r="L18" s="206"/>
    </row>
    <row r="19" spans="1:13" ht="15.75" thickBot="1" x14ac:dyDescent="0.3">
      <c r="A19" s="161" t="s">
        <v>151</v>
      </c>
      <c r="B19" s="191" t="s">
        <v>152</v>
      </c>
      <c r="C19" s="191" t="s">
        <v>153</v>
      </c>
      <c r="D19" s="191" t="s">
        <v>154</v>
      </c>
      <c r="E19" s="158"/>
      <c r="F19" s="158"/>
      <c r="G19" s="158"/>
      <c r="H19" s="160"/>
      <c r="I19" s="158">
        <f>E16</f>
        <v>0</v>
      </c>
    </row>
    <row r="20" spans="1:13" ht="15.75" thickBot="1" x14ac:dyDescent="0.3">
      <c r="A20" s="189" t="s">
        <v>170</v>
      </c>
      <c r="B20" s="190">
        <f>Handling!C58</f>
        <v>0</v>
      </c>
      <c r="C20" s="190">
        <f>B20*'P&amp;L'!$P$10</f>
        <v>0</v>
      </c>
      <c r="D20" s="190">
        <f>SUM(B20:C20)</f>
        <v>0</v>
      </c>
      <c r="G20" s="179"/>
    </row>
    <row r="21" spans="1:13" ht="15.75" hidden="1" thickBot="1" x14ac:dyDescent="0.3">
      <c r="A21" s="162" t="s">
        <v>156</v>
      </c>
      <c r="B21" s="143" t="e">
        <f>Handling!#REF!</f>
        <v>#REF!</v>
      </c>
      <c r="C21" s="143" t="e">
        <f>Handling!#REF!</f>
        <v>#REF!</v>
      </c>
      <c r="D21" s="143" t="e">
        <f>Handling!#REF!</f>
        <v>#REF!</v>
      </c>
      <c r="G21" s="179"/>
    </row>
    <row r="22" spans="1:13" ht="15.75" hidden="1" thickBot="1" x14ac:dyDescent="0.3">
      <c r="A22" s="162" t="s">
        <v>157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</row>
    <row r="23" spans="1:13" ht="15.75" thickBot="1" x14ac:dyDescent="0.3"/>
    <row r="24" spans="1:13" ht="15.75" thickBot="1" x14ac:dyDescent="0.3">
      <c r="A24" s="139" t="s">
        <v>159</v>
      </c>
      <c r="B24" s="143">
        <f>IFERROR(((B11+B12+B13+B14)/B8),0)</f>
        <v>0</v>
      </c>
      <c r="C24" s="143">
        <f>IFERROR(((C11+C12+C13+C14)/C8),0)</f>
        <v>0</v>
      </c>
      <c r="D24" s="143">
        <f>IFERROR(((D10+D11+D12+D13+D14)/D8),0)</f>
        <v>3</v>
      </c>
      <c r="E24" s="143">
        <f>IFERROR(((E10+E11+E12+E13+E14)/E8),0)</f>
        <v>2.5</v>
      </c>
      <c r="F24" s="143">
        <f>IFERROR(((F10+F11+F12+F13+F14)/F8),0)</f>
        <v>3</v>
      </c>
      <c r="G24" s="143">
        <f>IFERROR(((G10+G11+G12+G13+G14)/G8),0)</f>
        <v>3</v>
      </c>
    </row>
    <row r="25" spans="1:13" ht="15.75" thickBot="1" x14ac:dyDescent="0.3">
      <c r="A25" s="139" t="s">
        <v>160</v>
      </c>
      <c r="B25" s="143">
        <f t="shared" ref="B25:G25" si="4">IFERROR(((B13+B14)/B8),0)</f>
        <v>0</v>
      </c>
      <c r="C25" s="143">
        <f t="shared" si="4"/>
        <v>0</v>
      </c>
      <c r="D25" s="143">
        <f t="shared" si="4"/>
        <v>0</v>
      </c>
      <c r="E25" s="143">
        <f t="shared" si="4"/>
        <v>0</v>
      </c>
      <c r="F25" s="143">
        <f t="shared" si="4"/>
        <v>0</v>
      </c>
      <c r="G25" s="143">
        <f t="shared" si="4"/>
        <v>0</v>
      </c>
    </row>
    <row r="26" spans="1:13" ht="15.75" thickBot="1" x14ac:dyDescent="0.3">
      <c r="A26" s="139" t="s">
        <v>161</v>
      </c>
      <c r="B26" s="143">
        <f t="shared" ref="B26:G26" si="5">IFERROR((B10/B8),0)</f>
        <v>0</v>
      </c>
      <c r="C26" s="143">
        <f t="shared" si="5"/>
        <v>4</v>
      </c>
      <c r="D26" s="143">
        <f t="shared" si="5"/>
        <v>3</v>
      </c>
      <c r="E26" s="143">
        <f t="shared" si="5"/>
        <v>2.5</v>
      </c>
      <c r="F26" s="143">
        <f t="shared" si="5"/>
        <v>3</v>
      </c>
      <c r="G26" s="143">
        <f t="shared" si="5"/>
        <v>3</v>
      </c>
    </row>
    <row r="27" spans="1:13" s="203" customFormat="1" x14ac:dyDescent="0.25">
      <c r="A27" s="204"/>
      <c r="B27" s="205"/>
      <c r="C27" s="205"/>
      <c r="D27" s="205"/>
      <c r="E27" s="205"/>
      <c r="F27" s="205"/>
      <c r="G27" s="205"/>
    </row>
    <row r="28" spans="1:13" x14ac:dyDescent="0.25">
      <c r="B28" s="162" t="s">
        <v>162</v>
      </c>
      <c r="C28" s="162" t="s">
        <v>163</v>
      </c>
    </row>
    <row r="29" spans="1:13" ht="15.75" thickBot="1" x14ac:dyDescent="0.3">
      <c r="A29" s="162" t="s">
        <v>164</v>
      </c>
      <c r="B29" s="162">
        <f>'P&amp;L'!P5</f>
        <v>3</v>
      </c>
      <c r="C29" s="162">
        <v>2221</v>
      </c>
    </row>
    <row r="30" spans="1:13" ht="15.75" thickBot="1" x14ac:dyDescent="0.3">
      <c r="A30" s="139" t="s">
        <v>141</v>
      </c>
      <c r="B30" s="143">
        <f t="shared" ref="B30:G30" si="6">B37*B8</f>
        <v>0</v>
      </c>
      <c r="C30" s="143">
        <f t="shared" si="6"/>
        <v>104</v>
      </c>
      <c r="D30" s="143">
        <f t="shared" si="6"/>
        <v>135</v>
      </c>
      <c r="E30" s="143">
        <f t="shared" si="6"/>
        <v>350</v>
      </c>
      <c r="F30" s="143">
        <f t="shared" si="6"/>
        <v>6</v>
      </c>
      <c r="G30" s="143">
        <f t="shared" si="6"/>
        <v>21</v>
      </c>
    </row>
    <row r="31" spans="1:13" ht="15.75" thickBot="1" x14ac:dyDescent="0.3">
      <c r="A31" s="139" t="s">
        <v>142</v>
      </c>
      <c r="B31" s="143">
        <f>IFERROR(IF($B$29=$B$29,SUMIF(Food!$C:$C,B$9&amp;$B$29&amp;$C$29,Food!$V:$V),0),"")</f>
        <v>0</v>
      </c>
      <c r="C31" s="143">
        <f>IFERROR(IF($B$29=$B$29,SUMIF(Food!$C:$C,C$9&amp;$B$29&amp;$C$29,Food!$V:$V),0),"")</f>
        <v>0</v>
      </c>
      <c r="D31" s="143">
        <f>IFERROR(IF($B$29=$B$29,SUMIF(Food!$C:$C,D$9&amp;$B$29&amp;$C$29,Food!$V:$V),0),"")</f>
        <v>0</v>
      </c>
      <c r="E31" s="143">
        <f>IFERROR(IF($B$29=$B$29,SUMIF(Food!$C:$C,E$9&amp;$B$29&amp;$C$29,Food!$V:$V),0),"")</f>
        <v>0</v>
      </c>
      <c r="F31" s="143">
        <f>IFERROR(IF($B$29=$B$29,SUMIF(Food!$C:$C,F$9&amp;$B$29&amp;$C$29,Food!$V:$V),0),"")</f>
        <v>0</v>
      </c>
      <c r="G31" s="143">
        <f>IFERROR(IF($B$29=$B$29,SUMIF(Food!$C:$C,G$9&amp;$B$29&amp;$C$29,Food!$V:$V),0),"")</f>
        <v>0</v>
      </c>
    </row>
    <row r="32" spans="1:13" ht="15.75" thickBot="1" x14ac:dyDescent="0.3">
      <c r="A32" s="139" t="s">
        <v>143</v>
      </c>
      <c r="B32" s="143">
        <f>IFERROR(IF($B$29=$B$29,SUMIF(Food!$C:$C,B$9&amp;$B$29&amp;$C$29,Food!$X:$X),0),"")</f>
        <v>0</v>
      </c>
      <c r="C32" s="143">
        <f>IFERROR(IF($B$29=$B$29,SUMIF(Food!$C:$C,C$9&amp;$B$29&amp;$C$29,Food!$X:$X),0),"")</f>
        <v>0</v>
      </c>
      <c r="D32" s="143">
        <f>IFERROR(IF($B$29=$B$29,SUMIF(Food!$C:$C,D$9&amp;$B$29&amp;$C$29,Food!$X:$X),0),"")</f>
        <v>0</v>
      </c>
      <c r="E32" s="143">
        <f>IFERROR(IF($B$29=$B$29,SUMIF(Food!$C:$C,E$9&amp;$B$29&amp;$C$29,Food!$X:$X),0),"")</f>
        <v>0</v>
      </c>
      <c r="F32" s="143">
        <f>IFERROR(IF($B$29=$B$29,SUMIF(Food!$C:$C,F$9&amp;$B$29&amp;$C$29,Food!$X:$X),0),"")</f>
        <v>0</v>
      </c>
      <c r="G32" s="143">
        <f>IFERROR(IF($B$29=$B$29,SUMIF(Food!$C:$C,G$9&amp;$B$29&amp;$C$29,Food!$X:$X),0),"")</f>
        <v>0</v>
      </c>
    </row>
    <row r="33" spans="1:7" ht="15.75" thickBot="1" x14ac:dyDescent="0.3">
      <c r="A33" s="139" t="s">
        <v>165</v>
      </c>
      <c r="B33" s="143">
        <f>IFERROR(IF($B$29=$B$29,SUMIF(Food!$C:$C,B$9&amp;$B$29&amp;$C$29,Food!$Z:$Z),0),"")</f>
        <v>0</v>
      </c>
      <c r="C33" s="143">
        <f>IFERROR(IF($B$29=$B$29,SUMIF(Food!$C:$C,C$9&amp;$B$29&amp;$C$29,Food!$Z:$Z),0),"")</f>
        <v>0</v>
      </c>
      <c r="D33" s="143">
        <f>IFERROR(IF($B$29=$B$29,SUMIF(Food!$C:$C,D$9&amp;$B$29&amp;$C$29,Food!$Z:$Z),0),"")</f>
        <v>0</v>
      </c>
      <c r="E33" s="143">
        <f>IFERROR(IF($B$29=$B$29,SUMIF(Food!$C:$C,E$9&amp;$B$29&amp;$C$29,Food!$Z:$Z),0),"")</f>
        <v>0</v>
      </c>
      <c r="F33" s="143">
        <f>IFERROR(IF($B$29=$B$29,SUMIF(Food!$C:$C,F$9&amp;$B$29&amp;$C$29,Food!$Z:$Z),0),"")</f>
        <v>0</v>
      </c>
      <c r="G33" s="143">
        <f>IFERROR(IF($B$29=$B$29,SUMIF(Food!$C:$C,G$9&amp;$B$29&amp;$C$29,Food!$O:$O),0),"")</f>
        <v>0</v>
      </c>
    </row>
    <row r="34" spans="1:7" ht="15.75" thickBot="1" x14ac:dyDescent="0.3">
      <c r="A34" s="139" t="s">
        <v>166</v>
      </c>
      <c r="B34" s="143">
        <f>IFERROR(IF($B$29=$B$29,SUMIF(Food!$C:$C,B$9&amp;$B$29&amp;$C$29,Food!$AA:$AA),0),"")</f>
        <v>0</v>
      </c>
      <c r="C34" s="143">
        <f>IFERROR(IF($B$29=$B$29,SUMIF(Food!$C:$C,C$9&amp;$B$29&amp;$C$29,Food!$AA:$AA),0),"")</f>
        <v>0</v>
      </c>
      <c r="D34" s="143">
        <f>IFERROR(IF($B$29=$B$29,SUMIF(Food!$C:$C,D$9&amp;$B$29&amp;$C$29,Food!$AA:$AA),0),"")</f>
        <v>0</v>
      </c>
      <c r="E34" s="143">
        <f>IFERROR(IF($B$29=$B$29,SUMIF(Food!$C:$C,E$9&amp;$B$29&amp;$C$29,Food!$AA:$AA),0),"")</f>
        <v>0</v>
      </c>
      <c r="F34" s="143">
        <f>IFERROR(IF($B$29=$B$29,SUMIF(Food!$C:$C,F$9&amp;$B$29&amp;$C$29,Food!$AA:$AA),0),"")</f>
        <v>0</v>
      </c>
      <c r="G34" s="143">
        <f>IFERROR(IF($B$29=$B$29,SUMIF(Food!$C:$C,G$9&amp;$B$29&amp;$C$29,Food!$P:$P),0),"")</f>
        <v>0</v>
      </c>
    </row>
    <row r="35" spans="1:7" x14ac:dyDescent="0.25">
      <c r="A35" s="154"/>
      <c r="B35" s="155"/>
      <c r="C35" s="155"/>
      <c r="D35" s="155"/>
      <c r="E35" s="155"/>
      <c r="F35" s="155"/>
      <c r="G35" s="155"/>
    </row>
    <row r="36" spans="1:7" ht="15.75" thickBot="1" x14ac:dyDescent="0.3">
      <c r="A36" s="162" t="s">
        <v>168</v>
      </c>
    </row>
    <row r="37" spans="1:7" ht="15.75" thickBot="1" x14ac:dyDescent="0.3">
      <c r="A37" s="139" t="s">
        <v>141</v>
      </c>
      <c r="B37" s="143">
        <f>'P&amp;L'!$J$30</f>
        <v>0</v>
      </c>
      <c r="C37" s="143">
        <f>'P&amp;L'!$K$30</f>
        <v>4</v>
      </c>
      <c r="D37" s="143">
        <f>'P&amp;L'!$L$30</f>
        <v>3</v>
      </c>
      <c r="E37" s="143">
        <f>'P&amp;L'!$M$30</f>
        <v>2.5</v>
      </c>
      <c r="F37" s="143">
        <f>'P&amp;L'!$N$30</f>
        <v>3</v>
      </c>
      <c r="G37" s="143">
        <f>'P&amp;L'!$O$30</f>
        <v>3</v>
      </c>
    </row>
    <row r="38" spans="1:7" ht="15.75" thickBot="1" x14ac:dyDescent="0.3">
      <c r="A38" s="139" t="s">
        <v>142</v>
      </c>
      <c r="B38" s="143" t="str">
        <f t="shared" ref="B38:G38" si="7">IFERROR(B31/B7," ")</f>
        <v xml:space="preserve"> </v>
      </c>
      <c r="C38" s="143">
        <f t="shared" si="7"/>
        <v>0</v>
      </c>
      <c r="D38" s="143">
        <f t="shared" si="7"/>
        <v>0</v>
      </c>
      <c r="E38" s="143">
        <f t="shared" si="7"/>
        <v>0</v>
      </c>
      <c r="F38" s="143">
        <f t="shared" si="7"/>
        <v>0</v>
      </c>
      <c r="G38" s="143">
        <f t="shared" si="7"/>
        <v>0</v>
      </c>
    </row>
    <row r="39" spans="1:7" ht="15.75" thickBot="1" x14ac:dyDescent="0.3">
      <c r="A39" s="139" t="s">
        <v>143</v>
      </c>
      <c r="B39" s="143" t="str">
        <f t="shared" ref="B39:G39" si="8">IFERROR(B32/B7," ")</f>
        <v xml:space="preserve"> </v>
      </c>
      <c r="C39" s="143">
        <f t="shared" si="8"/>
        <v>0</v>
      </c>
      <c r="D39" s="143">
        <f t="shared" si="8"/>
        <v>0</v>
      </c>
      <c r="E39" s="143">
        <f t="shared" si="8"/>
        <v>0</v>
      </c>
      <c r="F39" s="143">
        <f t="shared" si="8"/>
        <v>0</v>
      </c>
      <c r="G39" s="143">
        <f t="shared" si="8"/>
        <v>0</v>
      </c>
    </row>
    <row r="40" spans="1:7" ht="15.75" thickBot="1" x14ac:dyDescent="0.3">
      <c r="A40" s="139" t="s">
        <v>165</v>
      </c>
      <c r="B40" s="143" t="str">
        <f>IFERROR(B33/B8," ")</f>
        <v xml:space="preserve"> </v>
      </c>
      <c r="C40" s="143">
        <f>IFERROR(C33/C7," ")</f>
        <v>0</v>
      </c>
      <c r="D40" s="143">
        <f>IFERROR(D33/D7," ")</f>
        <v>0</v>
      </c>
      <c r="E40" s="143">
        <f>IFERROR(E33/E7," ")</f>
        <v>0</v>
      </c>
      <c r="F40" s="143">
        <f>IFERROR(F33/F7," ")</f>
        <v>0</v>
      </c>
      <c r="G40" s="143">
        <f>IFERROR(G33/G7," ")</f>
        <v>0</v>
      </c>
    </row>
    <row r="41" spans="1:7" ht="15.75" thickBot="1" x14ac:dyDescent="0.3">
      <c r="A41" s="139" t="s">
        <v>166</v>
      </c>
      <c r="B41" s="143" t="str">
        <f t="shared" ref="B41:G41" si="9">IFERROR(B34/B7," ")</f>
        <v xml:space="preserve"> </v>
      </c>
      <c r="C41" s="143">
        <f t="shared" si="9"/>
        <v>0</v>
      </c>
      <c r="D41" s="143">
        <f t="shared" si="9"/>
        <v>0</v>
      </c>
      <c r="E41" s="143">
        <f t="shared" si="9"/>
        <v>0</v>
      </c>
      <c r="F41" s="143">
        <f t="shared" si="9"/>
        <v>0</v>
      </c>
      <c r="G41" s="143">
        <f t="shared" si="9"/>
        <v>0</v>
      </c>
    </row>
    <row r="42" spans="1:7" x14ac:dyDescent="0.25">
      <c r="B42" s="156"/>
      <c r="C42" s="156"/>
    </row>
    <row r="43" spans="1:7" x14ac:dyDescent="0.25">
      <c r="B43" s="156"/>
      <c r="C43" s="156"/>
    </row>
    <row r="108" spans="1:1" x14ac:dyDescent="0.25">
      <c r="A108" s="140">
        <v>388</v>
      </c>
    </row>
    <row r="109" spans="1:1" x14ac:dyDescent="0.25">
      <c r="A109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906E4-2588-4EBA-BD4A-0EDCF7600639}">
  <sheetPr>
    <tabColor theme="4" tint="0.79998168889431442"/>
  </sheetPr>
  <dimension ref="A1:M109"/>
  <sheetViews>
    <sheetView zoomScale="85" zoomScaleNormal="85" workbookViewId="0">
      <selection activeCell="H2" sqref="H2"/>
    </sheetView>
  </sheetViews>
  <sheetFormatPr defaultColWidth="10.7109375" defaultRowHeight="15" x14ac:dyDescent="0.25"/>
  <cols>
    <col min="1" max="1" width="24.28515625" style="140" bestFit="1" customWidth="1"/>
    <col min="2" max="2" width="10.7109375" style="140" bestFit="1" customWidth="1"/>
    <col min="3" max="3" width="15" style="140" bestFit="1" customWidth="1"/>
    <col min="4" max="5" width="12.5703125" style="140" bestFit="1" customWidth="1"/>
    <col min="6" max="6" width="10.7109375" style="140"/>
    <col min="7" max="7" width="15.7109375" style="140" customWidth="1"/>
    <col min="8" max="8" width="12.5703125" style="140" bestFit="1" customWidth="1"/>
    <col min="9" max="9" width="8.5703125" style="140" bestFit="1" customWidth="1"/>
    <col min="10" max="10" width="15.28515625" style="140" bestFit="1" customWidth="1"/>
    <col min="11" max="11" width="10.7109375" style="140"/>
    <col min="12" max="12" width="16.28515625" style="140" bestFit="1" customWidth="1"/>
    <col min="13" max="16384" width="10.7109375" style="140"/>
  </cols>
  <sheetData>
    <row r="1" spans="1:13" ht="15.75" thickBot="1" x14ac:dyDescent="0.3"/>
    <row r="2" spans="1:13" ht="15.75" thickBot="1" x14ac:dyDescent="0.3">
      <c r="A2" s="416" t="s">
        <v>120</v>
      </c>
      <c r="B2" s="24"/>
      <c r="C2" s="150"/>
      <c r="G2" s="145" t="s">
        <v>121</v>
      </c>
      <c r="H2" s="215">
        <v>0</v>
      </c>
      <c r="L2" s="212" t="s">
        <v>122</v>
      </c>
      <c r="M2" s="212" t="s">
        <v>7</v>
      </c>
    </row>
    <row r="3" spans="1:13" ht="15.75" thickBot="1" x14ac:dyDescent="0.3">
      <c r="A3" s="417"/>
      <c r="B3" s="172"/>
      <c r="C3" s="173"/>
      <c r="E3" s="145" t="s">
        <v>123</v>
      </c>
      <c r="F3" s="147">
        <v>738</v>
      </c>
      <c r="G3" s="145" t="s">
        <v>124</v>
      </c>
      <c r="H3" s="145">
        <f>H4/12</f>
        <v>0</v>
      </c>
      <c r="J3" s="200" t="s">
        <v>125</v>
      </c>
      <c r="L3" s="212">
        <v>737</v>
      </c>
      <c r="M3" s="212">
        <v>1</v>
      </c>
    </row>
    <row r="4" spans="1:13" ht="15.75" thickBot="1" x14ac:dyDescent="0.3">
      <c r="E4" s="145" t="s">
        <v>2</v>
      </c>
      <c r="F4" s="146">
        <f>'P&amp;L'!P4</f>
        <v>0.8</v>
      </c>
      <c r="G4" s="145" t="s">
        <v>126</v>
      </c>
      <c r="H4" s="145">
        <f>H2*52</f>
        <v>0</v>
      </c>
      <c r="J4" s="201">
        <f>H17*H4</f>
        <v>0</v>
      </c>
      <c r="L4" s="212"/>
      <c r="M4" s="212"/>
    </row>
    <row r="5" spans="1:13" ht="15.75" thickBot="1" x14ac:dyDescent="0.3">
      <c r="A5" s="141" t="s">
        <v>127</v>
      </c>
      <c r="L5" s="212"/>
      <c r="M5" s="212"/>
    </row>
    <row r="6" spans="1:13" ht="15.75" thickBot="1" x14ac:dyDescent="0.3">
      <c r="A6" s="161" t="s">
        <v>128</v>
      </c>
      <c r="B6" s="161" t="s">
        <v>38</v>
      </c>
      <c r="C6" s="161" t="s">
        <v>39</v>
      </c>
      <c r="D6" s="161" t="s">
        <v>40</v>
      </c>
      <c r="E6" s="161" t="s">
        <v>41</v>
      </c>
      <c r="F6" s="161" t="s">
        <v>42</v>
      </c>
      <c r="G6" s="161" t="s">
        <v>43</v>
      </c>
      <c r="H6" s="161" t="s">
        <v>129</v>
      </c>
      <c r="I6" s="160" t="s">
        <v>130</v>
      </c>
      <c r="L6" s="211"/>
      <c r="M6" s="211"/>
    </row>
    <row r="7" spans="1:13" ht="15.75" thickBot="1" x14ac:dyDescent="0.3">
      <c r="A7" s="139" t="s">
        <v>131</v>
      </c>
      <c r="B7" s="139">
        <f>+FlightConfig!B17</f>
        <v>0</v>
      </c>
      <c r="C7" s="139">
        <f>+FlightConfig!C17</f>
        <v>32</v>
      </c>
      <c r="D7" s="139">
        <f>+FlightConfig!D17</f>
        <v>56</v>
      </c>
      <c r="E7" s="139">
        <f>+FlightConfig!E17</f>
        <v>174</v>
      </c>
      <c r="F7" s="139">
        <f>+FlightConfig!F17</f>
        <v>2</v>
      </c>
      <c r="G7" s="139">
        <f>+FlightConfig!G17</f>
        <v>8</v>
      </c>
      <c r="H7" s="139">
        <f>SUM(B7:G7)</f>
        <v>272</v>
      </c>
      <c r="L7" s="211"/>
      <c r="M7" s="211"/>
    </row>
    <row r="8" spans="1:13" ht="15.75" thickBot="1" x14ac:dyDescent="0.3">
      <c r="A8" s="139" t="s">
        <v>132</v>
      </c>
      <c r="B8" s="139">
        <f t="shared" ref="B8:G8" si="0">ROUNDUP(B7*$F$4,0)</f>
        <v>0</v>
      </c>
      <c r="C8" s="139">
        <f t="shared" si="0"/>
        <v>26</v>
      </c>
      <c r="D8" s="139">
        <f t="shared" si="0"/>
        <v>45</v>
      </c>
      <c r="E8" s="139">
        <f t="shared" si="0"/>
        <v>140</v>
      </c>
      <c r="F8" s="139">
        <f t="shared" si="0"/>
        <v>2</v>
      </c>
      <c r="G8" s="139">
        <f t="shared" si="0"/>
        <v>7</v>
      </c>
      <c r="H8" s="139">
        <f>SUM(B8:G8)</f>
        <v>220</v>
      </c>
      <c r="L8" s="211"/>
      <c r="M8" s="211"/>
    </row>
    <row r="9" spans="1:13" ht="15.75" thickBot="1" x14ac:dyDescent="0.3">
      <c r="A9" s="244"/>
      <c r="B9" s="245" t="s">
        <v>133</v>
      </c>
      <c r="C9" s="245" t="s">
        <v>134</v>
      </c>
      <c r="D9" s="245" t="s">
        <v>135</v>
      </c>
      <c r="E9" s="245" t="s">
        <v>136</v>
      </c>
      <c r="F9" s="245" t="s">
        <v>137</v>
      </c>
      <c r="G9" s="245" t="s">
        <v>138</v>
      </c>
      <c r="H9" s="161" t="s">
        <v>139</v>
      </c>
      <c r="J9" s="161" t="s">
        <v>140</v>
      </c>
    </row>
    <row r="10" spans="1:13" ht="15.75" thickBot="1" x14ac:dyDescent="0.3">
      <c r="A10" s="139" t="s">
        <v>141</v>
      </c>
      <c r="B10" s="143">
        <f t="shared" ref="B10:G10" si="1">B37*B8</f>
        <v>0</v>
      </c>
      <c r="C10" s="143">
        <f t="shared" si="1"/>
        <v>104</v>
      </c>
      <c r="D10" s="143">
        <f t="shared" si="1"/>
        <v>135</v>
      </c>
      <c r="E10" s="143">
        <f t="shared" si="1"/>
        <v>350</v>
      </c>
      <c r="F10" s="143">
        <f t="shared" si="1"/>
        <v>6</v>
      </c>
      <c r="G10" s="143">
        <f t="shared" si="1"/>
        <v>21</v>
      </c>
      <c r="H10" s="142">
        <f t="shared" ref="H10:H16" si="2">SUM(B10:G10)</f>
        <v>616</v>
      </c>
      <c r="J10" s="142">
        <f>H10*$H$4</f>
        <v>0</v>
      </c>
    </row>
    <row r="11" spans="1:13" ht="15.75" thickBot="1" x14ac:dyDescent="0.3">
      <c r="A11" s="139" t="s">
        <v>142</v>
      </c>
      <c r="B11" s="143">
        <f>IFERROR(B38*B8,0)</f>
        <v>0</v>
      </c>
      <c r="C11" s="143">
        <f>IFERROR(C38*$C$8,0)</f>
        <v>0</v>
      </c>
      <c r="D11" s="143">
        <f>IFERROR(D38*$D$8,0)</f>
        <v>0</v>
      </c>
      <c r="E11" s="143">
        <f>IFERROR(E38*$E$8,0)</f>
        <v>0</v>
      </c>
      <c r="F11" s="143">
        <f>IFERROR(F38*$F$8,0)</f>
        <v>0</v>
      </c>
      <c r="G11" s="143">
        <f>IFERROR(G38*G8,0)</f>
        <v>0</v>
      </c>
      <c r="H11" s="142">
        <f t="shared" si="2"/>
        <v>0</v>
      </c>
      <c r="I11" s="179">
        <f>I12*45%</f>
        <v>0</v>
      </c>
      <c r="J11" s="142">
        <f>H11*$H$4</f>
        <v>0</v>
      </c>
    </row>
    <row r="12" spans="1:13" ht="15.75" thickBot="1" x14ac:dyDescent="0.3">
      <c r="A12" s="139" t="s">
        <v>143</v>
      </c>
      <c r="B12" s="143">
        <f>IFERROR(B39*B8,0)</f>
        <v>0</v>
      </c>
      <c r="C12" s="143">
        <f>IFERROR(C39*$C$8,0)</f>
        <v>0</v>
      </c>
      <c r="D12" s="143">
        <f>IFERROR(D39*$D$8,0)</f>
        <v>0</v>
      </c>
      <c r="E12" s="143">
        <f>IFERROR(E39*$E$8,0)</f>
        <v>0</v>
      </c>
      <c r="F12" s="143">
        <f>IFERROR(F39*$F$8,0)</f>
        <v>0</v>
      </c>
      <c r="G12" s="143">
        <f>IFERROR(G39*G8,0)</f>
        <v>0</v>
      </c>
      <c r="H12" s="142">
        <f t="shared" si="2"/>
        <v>0</v>
      </c>
      <c r="I12" s="217">
        <f>H11+H12</f>
        <v>0</v>
      </c>
      <c r="J12" s="142">
        <f t="shared" ref="J12:J17" si="3">H12*$H$4</f>
        <v>0</v>
      </c>
    </row>
    <row r="13" spans="1:13" ht="15.75" thickBot="1" x14ac:dyDescent="0.3">
      <c r="A13" s="139" t="s">
        <v>144</v>
      </c>
      <c r="B13" s="143" t="str">
        <f>IFERROR(B40*B8," ")</f>
        <v xml:space="preserve"> </v>
      </c>
      <c r="C13" s="143">
        <f>IFERROR(C40*$C$8,0)</f>
        <v>0</v>
      </c>
      <c r="D13" s="143">
        <f>IFERROR(D40*$D$8,0)</f>
        <v>0</v>
      </c>
      <c r="E13" s="143">
        <f>IFERROR(E40*$E$8,0)</f>
        <v>0</v>
      </c>
      <c r="F13" s="143">
        <f>IFERROR(F40*$F$8,0)</f>
        <v>0</v>
      </c>
      <c r="G13" s="143">
        <v>0</v>
      </c>
      <c r="H13" s="142">
        <f t="shared" si="2"/>
        <v>0</v>
      </c>
      <c r="J13" s="142">
        <f t="shared" si="3"/>
        <v>0</v>
      </c>
    </row>
    <row r="14" spans="1:13" ht="15.75" thickBot="1" x14ac:dyDescent="0.3">
      <c r="A14" s="139" t="s">
        <v>145</v>
      </c>
      <c r="B14" s="143" t="str">
        <f>IFERROR(B41*B8," ")</f>
        <v xml:space="preserve"> </v>
      </c>
      <c r="C14" s="143">
        <f>IFERROR(C41*$C$8,0)</f>
        <v>0</v>
      </c>
      <c r="D14" s="143">
        <f>IFERROR(D41*$D$8,0)</f>
        <v>0</v>
      </c>
      <c r="E14" s="143">
        <f>IFERROR(E41*$E$8,0)</f>
        <v>0</v>
      </c>
      <c r="F14" s="143">
        <f>IFERROR(F41*$F$8,0)</f>
        <v>0</v>
      </c>
      <c r="G14" s="143">
        <v>0</v>
      </c>
      <c r="H14" s="142">
        <f t="shared" si="2"/>
        <v>0</v>
      </c>
      <c r="J14" s="142">
        <f t="shared" si="3"/>
        <v>0</v>
      </c>
      <c r="L14" s="161" t="s">
        <v>147</v>
      </c>
      <c r="M14" s="161"/>
    </row>
    <row r="15" spans="1:13" ht="15.75" thickBot="1" x14ac:dyDescent="0.3">
      <c r="A15" s="139" t="s">
        <v>148</v>
      </c>
      <c r="B15" s="143">
        <v>0</v>
      </c>
      <c r="C15" s="143">
        <v>0</v>
      </c>
      <c r="D15" s="143">
        <v>0</v>
      </c>
      <c r="E15" s="143">
        <f>+B20</f>
        <v>0</v>
      </c>
      <c r="F15" s="143">
        <v>0</v>
      </c>
      <c r="G15" s="143">
        <v>0</v>
      </c>
      <c r="H15" s="142">
        <f t="shared" si="2"/>
        <v>0</v>
      </c>
      <c r="I15" s="179"/>
      <c r="J15" s="142">
        <f t="shared" si="3"/>
        <v>0</v>
      </c>
      <c r="L15" s="207">
        <f>J12+J15</f>
        <v>0</v>
      </c>
      <c r="M15" s="209">
        <v>1</v>
      </c>
    </row>
    <row r="16" spans="1:13" ht="15.75" thickBot="1" x14ac:dyDescent="0.3">
      <c r="A16" s="139" t="s">
        <v>149</v>
      </c>
      <c r="B16" s="144">
        <v>0</v>
      </c>
      <c r="C16" s="144">
        <v>0</v>
      </c>
      <c r="D16" s="144">
        <v>0</v>
      </c>
      <c r="E16" s="143">
        <f>+C20</f>
        <v>0</v>
      </c>
      <c r="F16" s="144">
        <v>0</v>
      </c>
      <c r="G16" s="144">
        <v>0</v>
      </c>
      <c r="H16" s="142">
        <f t="shared" si="2"/>
        <v>0</v>
      </c>
      <c r="I16" s="159"/>
      <c r="J16" s="142">
        <f t="shared" si="3"/>
        <v>0</v>
      </c>
      <c r="L16" s="208">
        <f>L15*M16</f>
        <v>0</v>
      </c>
      <c r="M16" s="209">
        <v>0.8</v>
      </c>
    </row>
    <row r="17" spans="1:13" ht="15.75" thickBot="1" x14ac:dyDescent="0.3">
      <c r="A17" s="162" t="s">
        <v>150</v>
      </c>
      <c r="B17" s="163">
        <f>SUM(B11:B16)</f>
        <v>0</v>
      </c>
      <c r="C17" s="163">
        <f>SUM(C11:C16)</f>
        <v>0</v>
      </c>
      <c r="D17" s="163">
        <f>SUM(D10:D16)</f>
        <v>135</v>
      </c>
      <c r="E17" s="163">
        <f>SUM(E10:E16)</f>
        <v>350</v>
      </c>
      <c r="F17" s="163">
        <f>SUM(F10:F16)</f>
        <v>6</v>
      </c>
      <c r="G17" s="163">
        <f>SUM(G10:G16)</f>
        <v>21</v>
      </c>
      <c r="H17" s="163">
        <f>SUM(H10:H16)</f>
        <v>616</v>
      </c>
      <c r="J17" s="199">
        <f t="shared" si="3"/>
        <v>0</v>
      </c>
      <c r="L17" s="208">
        <f>L15*M17</f>
        <v>0</v>
      </c>
      <c r="M17" s="209">
        <v>0.2</v>
      </c>
    </row>
    <row r="18" spans="1:13" ht="15.75" thickBot="1" x14ac:dyDescent="0.3">
      <c r="A18" s="187"/>
      <c r="B18" s="188">
        <f>B17</f>
        <v>0</v>
      </c>
      <c r="C18" s="188">
        <f>C17</f>
        <v>0</v>
      </c>
      <c r="D18" s="188">
        <f>D17</f>
        <v>135</v>
      </c>
      <c r="E18" s="188">
        <f>E17-E15-E16</f>
        <v>350</v>
      </c>
      <c r="F18" s="188">
        <f>F17</f>
        <v>6</v>
      </c>
      <c r="G18" s="188">
        <f>G17</f>
        <v>21</v>
      </c>
      <c r="H18" s="188"/>
      <c r="I18" s="188">
        <f>E15+E16</f>
        <v>0</v>
      </c>
      <c r="J18" s="188"/>
      <c r="L18" s="206"/>
    </row>
    <row r="19" spans="1:13" ht="15.75" thickBot="1" x14ac:dyDescent="0.3">
      <c r="A19" s="161" t="s">
        <v>151</v>
      </c>
      <c r="B19" s="191" t="s">
        <v>152</v>
      </c>
      <c r="C19" s="191" t="s">
        <v>153</v>
      </c>
      <c r="D19" s="191" t="s">
        <v>154</v>
      </c>
      <c r="E19" s="158"/>
      <c r="F19" s="158"/>
      <c r="G19" s="158"/>
      <c r="H19" s="160"/>
      <c r="I19" s="158">
        <f>E16</f>
        <v>0</v>
      </c>
    </row>
    <row r="20" spans="1:13" ht="15.75" thickBot="1" x14ac:dyDescent="0.3">
      <c r="A20" s="189" t="s">
        <v>170</v>
      </c>
      <c r="B20" s="190">
        <f>Handling!C58</f>
        <v>0</v>
      </c>
      <c r="C20" s="190">
        <f>B20*'P&amp;L'!$P$10</f>
        <v>0</v>
      </c>
      <c r="D20" s="190">
        <f>SUM(B20:C20)</f>
        <v>0</v>
      </c>
      <c r="G20" s="179"/>
    </row>
    <row r="21" spans="1:13" ht="15.75" hidden="1" thickBot="1" x14ac:dyDescent="0.3">
      <c r="A21" s="162" t="s">
        <v>156</v>
      </c>
      <c r="B21" s="143" t="e">
        <f>Handling!#REF!</f>
        <v>#REF!</v>
      </c>
      <c r="C21" s="143" t="e">
        <f>Handling!#REF!</f>
        <v>#REF!</v>
      </c>
      <c r="D21" s="143" t="e">
        <f>Handling!#REF!</f>
        <v>#REF!</v>
      </c>
      <c r="G21" s="179"/>
    </row>
    <row r="22" spans="1:13" ht="15.75" hidden="1" thickBot="1" x14ac:dyDescent="0.3">
      <c r="A22" s="162" t="s">
        <v>157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</row>
    <row r="23" spans="1:13" ht="15.75" thickBot="1" x14ac:dyDescent="0.3"/>
    <row r="24" spans="1:13" ht="15.75" thickBot="1" x14ac:dyDescent="0.3">
      <c r="A24" s="139" t="s">
        <v>159</v>
      </c>
      <c r="B24" s="143">
        <f>IFERROR(((B11+B12+B13+B14)/B8),0)</f>
        <v>0</v>
      </c>
      <c r="C24" s="143">
        <f>IFERROR(((C11+C12+C13+C14)/C8),0)</f>
        <v>0</v>
      </c>
      <c r="D24" s="143">
        <f>IFERROR(((D10+D11+D12+D13+D14)/D8),0)</f>
        <v>3</v>
      </c>
      <c r="E24" s="143">
        <f>IFERROR(((E10+E11+E12+E13+E14)/E8),0)</f>
        <v>2.5</v>
      </c>
      <c r="F24" s="143">
        <f>IFERROR(((F10+F11+F12+F13+F14)/F8),0)</f>
        <v>3</v>
      </c>
      <c r="G24" s="143">
        <f>IFERROR(((G10+G11+G12+G13+G14)/G8),0)</f>
        <v>3</v>
      </c>
    </row>
    <row r="25" spans="1:13" ht="15.75" thickBot="1" x14ac:dyDescent="0.3">
      <c r="A25" s="139" t="s">
        <v>160</v>
      </c>
      <c r="B25" s="143">
        <f t="shared" ref="B25:G25" si="4">IFERROR(((B13+B14)/B8),0)</f>
        <v>0</v>
      </c>
      <c r="C25" s="143">
        <f t="shared" si="4"/>
        <v>0</v>
      </c>
      <c r="D25" s="143">
        <f t="shared" si="4"/>
        <v>0</v>
      </c>
      <c r="E25" s="143">
        <f t="shared" si="4"/>
        <v>0</v>
      </c>
      <c r="F25" s="143">
        <f t="shared" si="4"/>
        <v>0</v>
      </c>
      <c r="G25" s="143">
        <f t="shared" si="4"/>
        <v>0</v>
      </c>
    </row>
    <row r="26" spans="1:13" ht="15.75" thickBot="1" x14ac:dyDescent="0.3">
      <c r="A26" s="139" t="s">
        <v>161</v>
      </c>
      <c r="B26" s="143">
        <f t="shared" ref="B26:G26" si="5">IFERROR((B10/B8),0)</f>
        <v>0</v>
      </c>
      <c r="C26" s="143">
        <f t="shared" si="5"/>
        <v>4</v>
      </c>
      <c r="D26" s="143">
        <f t="shared" si="5"/>
        <v>3</v>
      </c>
      <c r="E26" s="143">
        <f t="shared" si="5"/>
        <v>2.5</v>
      </c>
      <c r="F26" s="143">
        <f t="shared" si="5"/>
        <v>3</v>
      </c>
      <c r="G26" s="143">
        <f t="shared" si="5"/>
        <v>3</v>
      </c>
    </row>
    <row r="27" spans="1:13" s="203" customFormat="1" x14ac:dyDescent="0.25">
      <c r="A27" s="204"/>
      <c r="B27" s="205"/>
      <c r="C27" s="205"/>
      <c r="D27" s="205"/>
      <c r="E27" s="205"/>
      <c r="F27" s="205"/>
      <c r="G27" s="205"/>
    </row>
    <row r="28" spans="1:13" x14ac:dyDescent="0.25">
      <c r="B28" s="162" t="s">
        <v>162</v>
      </c>
      <c r="C28" s="162" t="s">
        <v>163</v>
      </c>
    </row>
    <row r="29" spans="1:13" ht="15.75" thickBot="1" x14ac:dyDescent="0.3">
      <c r="A29" s="162" t="s">
        <v>164</v>
      </c>
      <c r="B29" s="162">
        <f>'P&amp;L'!P5</f>
        <v>3</v>
      </c>
      <c r="C29" s="162">
        <v>2439</v>
      </c>
    </row>
    <row r="30" spans="1:13" ht="15.75" thickBot="1" x14ac:dyDescent="0.3">
      <c r="A30" s="139" t="s">
        <v>141</v>
      </c>
      <c r="B30" s="143">
        <f t="shared" ref="B30:G30" si="6">B37*B8</f>
        <v>0</v>
      </c>
      <c r="C30" s="143">
        <f t="shared" si="6"/>
        <v>104</v>
      </c>
      <c r="D30" s="143">
        <f t="shared" si="6"/>
        <v>135</v>
      </c>
      <c r="E30" s="143">
        <f t="shared" si="6"/>
        <v>350</v>
      </c>
      <c r="F30" s="143">
        <f t="shared" si="6"/>
        <v>6</v>
      </c>
      <c r="G30" s="143">
        <f t="shared" si="6"/>
        <v>21</v>
      </c>
    </row>
    <row r="31" spans="1:13" ht="15.75" thickBot="1" x14ac:dyDescent="0.3">
      <c r="A31" s="139" t="s">
        <v>142</v>
      </c>
      <c r="B31" s="143">
        <f>IFERROR(IF($B$29=$B$29,SUMIF(Food!$C:$C,B$9&amp;$B$29&amp;$C$29,Food!$V:$V),0),"")</f>
        <v>0</v>
      </c>
      <c r="C31" s="143">
        <f>IFERROR(IF($B$29=$B$29,SUMIF(Food!$C:$C,C$9&amp;$B$29&amp;$C$29,Food!$V:$V),0),"")</f>
        <v>0</v>
      </c>
      <c r="D31" s="143">
        <f>IFERROR(IF($B$29=$B$29,SUMIF(Food!$C:$C,D$9&amp;$B$29&amp;$C$29,Food!$V:$V),0),"")</f>
        <v>0</v>
      </c>
      <c r="E31" s="143">
        <f>IFERROR(IF($B$29=$B$29,SUMIF(Food!$C:$C,E$9&amp;$B$29&amp;$C$29,Food!$V:$V),0),"")</f>
        <v>0</v>
      </c>
      <c r="F31" s="143">
        <f>IFERROR(IF($B$29=$B$29,SUMIF(Food!$C:$C,F$9&amp;$B$29&amp;$C$29,Food!$V:$V),0),"")</f>
        <v>0</v>
      </c>
      <c r="G31" s="143">
        <f>IFERROR(IF($B$29=$B$29,SUMIF(Food!$C:$C,G$9&amp;$B$29&amp;$C$29,Food!$V:$V),0),"")</f>
        <v>0</v>
      </c>
    </row>
    <row r="32" spans="1:13" ht="15.75" thickBot="1" x14ac:dyDescent="0.3">
      <c r="A32" s="139" t="s">
        <v>143</v>
      </c>
      <c r="B32" s="143">
        <f>IFERROR(IF($B$29=$B$29,SUMIF(Food!$C:$C,B$9&amp;$B$29&amp;$C$29,Food!$X:$X),0),"")</f>
        <v>0</v>
      </c>
      <c r="C32" s="143">
        <f>IFERROR(IF($B$29=$B$29,SUMIF(Food!$C:$C,C$9&amp;$B$29&amp;$C$29,Food!$X:$X),0),"")</f>
        <v>0</v>
      </c>
      <c r="D32" s="143">
        <f>IFERROR(IF($B$29=$B$29,SUMIF(Food!$C:$C,D$9&amp;$B$29&amp;$C$29,Food!$X:$X),0),"")</f>
        <v>0</v>
      </c>
      <c r="E32" s="143">
        <f>IFERROR(IF($B$29=$B$29,SUMIF(Food!$C:$C,E$9&amp;$B$29&amp;$C$29,Food!$X:$X),0),"")</f>
        <v>0</v>
      </c>
      <c r="F32" s="143">
        <f>IFERROR(IF($B$29=$B$29,SUMIF(Food!$C:$C,F$9&amp;$B$29&amp;$C$29,Food!$X:$X),0),"")</f>
        <v>0</v>
      </c>
      <c r="G32" s="143">
        <f>IFERROR(IF($B$29=$B$29,SUMIF(Food!$C:$C,G$9&amp;$B$29&amp;$C$29,Food!$X:$X),0),"")</f>
        <v>0</v>
      </c>
    </row>
    <row r="33" spans="1:7" ht="15.75" thickBot="1" x14ac:dyDescent="0.3">
      <c r="A33" s="139" t="s">
        <v>165</v>
      </c>
      <c r="B33" s="143">
        <f>IFERROR(IF($B$29=$B$29,SUMIF(Food!$C:$C,B$9&amp;$B$29&amp;$C$29,Food!$Z:$Z),0),"")</f>
        <v>0</v>
      </c>
      <c r="C33" s="143">
        <f>IFERROR(IF($B$29=$B$29,SUMIF(Food!$C:$C,C$9&amp;$B$29&amp;$C$29,Food!$Z:$Z),0),"")</f>
        <v>0</v>
      </c>
      <c r="D33" s="143">
        <f>IFERROR(IF($B$29=$B$29,SUMIF(Food!$C:$C,D$9&amp;$B$29&amp;$C$29,Food!$Z:$Z),0),"")</f>
        <v>0</v>
      </c>
      <c r="E33" s="143">
        <f>IFERROR(IF($B$29=$B$29,SUMIF(Food!$C:$C,E$9&amp;$B$29&amp;$C$29,Food!$Z:$Z),0),"")</f>
        <v>0</v>
      </c>
      <c r="F33" s="143">
        <f>IFERROR(IF($B$29=$B$29,SUMIF(Food!$C:$C,F$9&amp;$B$29&amp;$C$29,Food!$Z:$Z),0),"")</f>
        <v>0</v>
      </c>
      <c r="G33" s="143">
        <f>IFERROR(IF($B$29=$B$29,SUMIF(Food!$C:$C,G$9&amp;$B$29&amp;$C$29,Food!$O:$O),0),"")</f>
        <v>0</v>
      </c>
    </row>
    <row r="34" spans="1:7" ht="15.75" thickBot="1" x14ac:dyDescent="0.3">
      <c r="A34" s="139" t="s">
        <v>166</v>
      </c>
      <c r="B34" s="143">
        <f>IFERROR(IF($B$29=$B$29,SUMIF(Food!$C:$C,B$9&amp;$B$29&amp;$C$29,Food!$AA:$AA),0),"")</f>
        <v>0</v>
      </c>
      <c r="C34" s="143">
        <f>IFERROR(IF($B$29=$B$29,SUMIF(Food!$C:$C,C$9&amp;$B$29&amp;$C$29,Food!$AA:$AA),0),"")</f>
        <v>0</v>
      </c>
      <c r="D34" s="143">
        <f>IFERROR(IF($B$29=$B$29,SUMIF(Food!$C:$C,D$9&amp;$B$29&amp;$C$29,Food!$AA:$AA),0),"")</f>
        <v>0</v>
      </c>
      <c r="E34" s="143">
        <f>IFERROR(IF($B$29=$B$29,SUMIF(Food!$C:$C,E$9&amp;$B$29&amp;$C$29,Food!$AA:$AA),0),"")</f>
        <v>0</v>
      </c>
      <c r="F34" s="143">
        <f>IFERROR(IF($B$29=$B$29,SUMIF(Food!$C:$C,F$9&amp;$B$29&amp;$C$29,Food!$AA:$AA),0),"")</f>
        <v>0</v>
      </c>
      <c r="G34" s="143">
        <f>IFERROR(IF($B$29=$B$29,SUMIF(Food!$C:$C,G$9&amp;$B$29&amp;$C$29,Food!$P:$P),0),"")</f>
        <v>0</v>
      </c>
    </row>
    <row r="35" spans="1:7" x14ac:dyDescent="0.25">
      <c r="A35" s="154"/>
      <c r="B35" s="155"/>
      <c r="C35" s="155"/>
      <c r="D35" s="155"/>
      <c r="E35" s="155"/>
      <c r="F35" s="155"/>
      <c r="G35" s="155"/>
    </row>
    <row r="36" spans="1:7" ht="15.75" thickBot="1" x14ac:dyDescent="0.3">
      <c r="A36" s="162" t="s">
        <v>168</v>
      </c>
    </row>
    <row r="37" spans="1:7" ht="15.75" thickBot="1" x14ac:dyDescent="0.3">
      <c r="A37" s="139" t="s">
        <v>141</v>
      </c>
      <c r="B37" s="143">
        <f>'P&amp;L'!$J$30</f>
        <v>0</v>
      </c>
      <c r="C37" s="143">
        <f>'P&amp;L'!$K$30</f>
        <v>4</v>
      </c>
      <c r="D37" s="143">
        <f>'P&amp;L'!$L$30</f>
        <v>3</v>
      </c>
      <c r="E37" s="143">
        <f>'P&amp;L'!$M$30</f>
        <v>2.5</v>
      </c>
      <c r="F37" s="143">
        <f>'P&amp;L'!$N$30</f>
        <v>3</v>
      </c>
      <c r="G37" s="143">
        <f>'P&amp;L'!$O$30</f>
        <v>3</v>
      </c>
    </row>
    <row r="38" spans="1:7" ht="15.75" thickBot="1" x14ac:dyDescent="0.3">
      <c r="A38" s="139" t="s">
        <v>142</v>
      </c>
      <c r="B38" s="143" t="str">
        <f t="shared" ref="B38:G38" si="7">IFERROR(B31/B7," ")</f>
        <v xml:space="preserve"> </v>
      </c>
      <c r="C38" s="143">
        <f t="shared" si="7"/>
        <v>0</v>
      </c>
      <c r="D38" s="143">
        <f t="shared" si="7"/>
        <v>0</v>
      </c>
      <c r="E38" s="143">
        <f t="shared" si="7"/>
        <v>0</v>
      </c>
      <c r="F38" s="143">
        <f t="shared" si="7"/>
        <v>0</v>
      </c>
      <c r="G38" s="143">
        <f t="shared" si="7"/>
        <v>0</v>
      </c>
    </row>
    <row r="39" spans="1:7" ht="15.75" thickBot="1" x14ac:dyDescent="0.3">
      <c r="A39" s="139" t="s">
        <v>143</v>
      </c>
      <c r="B39" s="143" t="str">
        <f t="shared" ref="B39:G39" si="8">IFERROR(B32/B7," ")</f>
        <v xml:space="preserve"> </v>
      </c>
      <c r="C39" s="143">
        <f t="shared" si="8"/>
        <v>0</v>
      </c>
      <c r="D39" s="143">
        <f t="shared" si="8"/>
        <v>0</v>
      </c>
      <c r="E39" s="143">
        <f t="shared" si="8"/>
        <v>0</v>
      </c>
      <c r="F39" s="143">
        <f t="shared" si="8"/>
        <v>0</v>
      </c>
      <c r="G39" s="143">
        <f t="shared" si="8"/>
        <v>0</v>
      </c>
    </row>
    <row r="40" spans="1:7" ht="15.75" thickBot="1" x14ac:dyDescent="0.3">
      <c r="A40" s="139" t="s">
        <v>165</v>
      </c>
      <c r="B40" s="143" t="str">
        <f>IFERROR(B33/B8," ")</f>
        <v xml:space="preserve"> </v>
      </c>
      <c r="C40" s="143">
        <f>IFERROR(C33/C7," ")</f>
        <v>0</v>
      </c>
      <c r="D40" s="143">
        <f>IFERROR(D33/D7," ")</f>
        <v>0</v>
      </c>
      <c r="E40" s="143">
        <f>IFERROR(E33/E7," ")</f>
        <v>0</v>
      </c>
      <c r="F40" s="143">
        <f>IFERROR(F33/F7," ")</f>
        <v>0</v>
      </c>
      <c r="G40" s="143">
        <f>IFERROR(G33/G7," ")</f>
        <v>0</v>
      </c>
    </row>
    <row r="41" spans="1:7" ht="15.75" thickBot="1" x14ac:dyDescent="0.3">
      <c r="A41" s="139" t="s">
        <v>166</v>
      </c>
      <c r="B41" s="143" t="str">
        <f t="shared" ref="B41:G41" si="9">IFERROR(B34/B7," ")</f>
        <v xml:space="preserve"> </v>
      </c>
      <c r="C41" s="143">
        <f t="shared" si="9"/>
        <v>0</v>
      </c>
      <c r="D41" s="143">
        <f t="shared" si="9"/>
        <v>0</v>
      </c>
      <c r="E41" s="143">
        <f t="shared" si="9"/>
        <v>0</v>
      </c>
      <c r="F41" s="143">
        <f t="shared" si="9"/>
        <v>0</v>
      </c>
      <c r="G41" s="143">
        <f t="shared" si="9"/>
        <v>0</v>
      </c>
    </row>
    <row r="42" spans="1:7" x14ac:dyDescent="0.25">
      <c r="B42" s="156"/>
      <c r="C42" s="156"/>
    </row>
    <row r="43" spans="1:7" x14ac:dyDescent="0.25">
      <c r="B43" s="156"/>
      <c r="C43" s="156"/>
    </row>
    <row r="108" spans="1:1" x14ac:dyDescent="0.25">
      <c r="A108" s="140">
        <v>388</v>
      </c>
    </row>
    <row r="109" spans="1:1" x14ac:dyDescent="0.25">
      <c r="A109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D52AF-8104-4968-B21A-2891BF732178}">
  <sheetPr>
    <tabColor theme="4" tint="0.79998168889431442"/>
  </sheetPr>
  <dimension ref="A1:M109"/>
  <sheetViews>
    <sheetView zoomScale="85" zoomScaleNormal="85" workbookViewId="0">
      <selection activeCell="H2" sqref="H2"/>
    </sheetView>
  </sheetViews>
  <sheetFormatPr defaultColWidth="10.7109375" defaultRowHeight="15" x14ac:dyDescent="0.25"/>
  <cols>
    <col min="1" max="1" width="24.28515625" style="140" bestFit="1" customWidth="1"/>
    <col min="2" max="2" width="10.7109375" style="140" bestFit="1" customWidth="1"/>
    <col min="3" max="3" width="15" style="140" bestFit="1" customWidth="1"/>
    <col min="4" max="5" width="12.5703125" style="140" bestFit="1" customWidth="1"/>
    <col min="6" max="6" width="10.7109375" style="140"/>
    <col min="7" max="7" width="15.7109375" style="140" customWidth="1"/>
    <col min="8" max="8" width="12.5703125" style="140" bestFit="1" customWidth="1"/>
    <col min="9" max="9" width="8.5703125" style="140" bestFit="1" customWidth="1"/>
    <col min="10" max="10" width="15.28515625" style="140" bestFit="1" customWidth="1"/>
    <col min="11" max="11" width="10.7109375" style="140"/>
    <col min="12" max="12" width="16.28515625" style="140" bestFit="1" customWidth="1"/>
    <col min="13" max="16384" width="10.7109375" style="140"/>
  </cols>
  <sheetData>
    <row r="1" spans="1:13" ht="15.75" thickBot="1" x14ac:dyDescent="0.3"/>
    <row r="2" spans="1:13" ht="15.75" thickBot="1" x14ac:dyDescent="0.3">
      <c r="A2" s="416" t="s">
        <v>120</v>
      </c>
      <c r="B2" s="24"/>
      <c r="C2" s="150"/>
      <c r="G2" s="145" t="s">
        <v>121</v>
      </c>
      <c r="H2" s="215">
        <v>0</v>
      </c>
      <c r="L2" s="212" t="s">
        <v>122</v>
      </c>
      <c r="M2" s="212" t="s">
        <v>7</v>
      </c>
    </row>
    <row r="3" spans="1:13" ht="15.75" thickBot="1" x14ac:dyDescent="0.3">
      <c r="A3" s="417"/>
      <c r="B3" s="172"/>
      <c r="C3" s="173"/>
      <c r="E3" s="145" t="s">
        <v>123</v>
      </c>
      <c r="F3" s="147">
        <v>738</v>
      </c>
      <c r="G3" s="145" t="s">
        <v>124</v>
      </c>
      <c r="H3" s="145">
        <f>H4/12</f>
        <v>0</v>
      </c>
      <c r="J3" s="200" t="s">
        <v>125</v>
      </c>
      <c r="L3" s="212">
        <v>737</v>
      </c>
      <c r="M3" s="212">
        <v>1</v>
      </c>
    </row>
    <row r="4" spans="1:13" ht="15.75" thickBot="1" x14ac:dyDescent="0.3">
      <c r="E4" s="145" t="s">
        <v>2</v>
      </c>
      <c r="F4" s="146">
        <f>'P&amp;L'!P4</f>
        <v>0.8</v>
      </c>
      <c r="G4" s="145" t="s">
        <v>126</v>
      </c>
      <c r="H4" s="145">
        <f>H2*52</f>
        <v>0</v>
      </c>
      <c r="J4" s="201">
        <f>H17*H4</f>
        <v>0</v>
      </c>
      <c r="L4" s="212"/>
      <c r="M4" s="212"/>
    </row>
    <row r="5" spans="1:13" ht="15.75" thickBot="1" x14ac:dyDescent="0.3">
      <c r="A5" s="141" t="s">
        <v>127</v>
      </c>
      <c r="L5" s="212"/>
      <c r="M5" s="212"/>
    </row>
    <row r="6" spans="1:13" ht="15.75" thickBot="1" x14ac:dyDescent="0.3">
      <c r="A6" s="161" t="s">
        <v>128</v>
      </c>
      <c r="B6" s="161" t="s">
        <v>38</v>
      </c>
      <c r="C6" s="161" t="s">
        <v>39</v>
      </c>
      <c r="D6" s="161" t="s">
        <v>40</v>
      </c>
      <c r="E6" s="161" t="s">
        <v>41</v>
      </c>
      <c r="F6" s="161" t="s">
        <v>42</v>
      </c>
      <c r="G6" s="161" t="s">
        <v>43</v>
      </c>
      <c r="H6" s="161" t="s">
        <v>129</v>
      </c>
      <c r="I6" s="160" t="s">
        <v>130</v>
      </c>
      <c r="L6" s="211"/>
      <c r="M6" s="211"/>
    </row>
    <row r="7" spans="1:13" ht="15.75" thickBot="1" x14ac:dyDescent="0.3">
      <c r="A7" s="139" t="s">
        <v>131</v>
      </c>
      <c r="B7" s="139">
        <f>+FlightConfig!B17</f>
        <v>0</v>
      </c>
      <c r="C7" s="139">
        <f>+FlightConfig!C17</f>
        <v>32</v>
      </c>
      <c r="D7" s="139">
        <f>+FlightConfig!D17</f>
        <v>56</v>
      </c>
      <c r="E7" s="139">
        <f>+FlightConfig!E17</f>
        <v>174</v>
      </c>
      <c r="F7" s="139">
        <f>+FlightConfig!F17</f>
        <v>2</v>
      </c>
      <c r="G7" s="139">
        <f>+FlightConfig!G17</f>
        <v>8</v>
      </c>
      <c r="H7" s="139">
        <f>SUM(B7:G7)</f>
        <v>272</v>
      </c>
      <c r="L7" s="211"/>
      <c r="M7" s="211"/>
    </row>
    <row r="8" spans="1:13" ht="15.75" thickBot="1" x14ac:dyDescent="0.3">
      <c r="A8" s="139" t="s">
        <v>132</v>
      </c>
      <c r="B8" s="139">
        <f t="shared" ref="B8:G8" si="0">ROUNDUP(B7*$F$4,0)</f>
        <v>0</v>
      </c>
      <c r="C8" s="139">
        <f t="shared" si="0"/>
        <v>26</v>
      </c>
      <c r="D8" s="139">
        <f t="shared" si="0"/>
        <v>45</v>
      </c>
      <c r="E8" s="139">
        <f t="shared" si="0"/>
        <v>140</v>
      </c>
      <c r="F8" s="139">
        <f t="shared" si="0"/>
        <v>2</v>
      </c>
      <c r="G8" s="139">
        <f t="shared" si="0"/>
        <v>7</v>
      </c>
      <c r="H8" s="139">
        <f>SUM(B8:G8)</f>
        <v>220</v>
      </c>
      <c r="L8" s="211"/>
      <c r="M8" s="211"/>
    </row>
    <row r="9" spans="1:13" ht="15.75" thickBot="1" x14ac:dyDescent="0.3">
      <c r="A9" s="244"/>
      <c r="B9" s="245" t="s">
        <v>133</v>
      </c>
      <c r="C9" s="245" t="s">
        <v>134</v>
      </c>
      <c r="D9" s="245" t="s">
        <v>135</v>
      </c>
      <c r="E9" s="245" t="s">
        <v>136</v>
      </c>
      <c r="F9" s="245" t="s">
        <v>137</v>
      </c>
      <c r="G9" s="245" t="s">
        <v>138</v>
      </c>
      <c r="H9" s="161" t="s">
        <v>139</v>
      </c>
      <c r="J9" s="161" t="s">
        <v>140</v>
      </c>
    </row>
    <row r="10" spans="1:13" ht="15.75" thickBot="1" x14ac:dyDescent="0.3">
      <c r="A10" s="139" t="s">
        <v>141</v>
      </c>
      <c r="B10" s="143">
        <f t="shared" ref="B10:G10" si="1">B37*B8</f>
        <v>0</v>
      </c>
      <c r="C10" s="143">
        <f t="shared" si="1"/>
        <v>104</v>
      </c>
      <c r="D10" s="143">
        <f t="shared" si="1"/>
        <v>135</v>
      </c>
      <c r="E10" s="143">
        <f t="shared" si="1"/>
        <v>350</v>
      </c>
      <c r="F10" s="143">
        <f t="shared" si="1"/>
        <v>6</v>
      </c>
      <c r="G10" s="143">
        <f t="shared" si="1"/>
        <v>21</v>
      </c>
      <c r="H10" s="142">
        <f t="shared" ref="H10:H16" si="2">SUM(B10:G10)</f>
        <v>616</v>
      </c>
      <c r="J10" s="142">
        <f>H10*$H$4</f>
        <v>0</v>
      </c>
    </row>
    <row r="11" spans="1:13" ht="15.75" thickBot="1" x14ac:dyDescent="0.3">
      <c r="A11" s="139" t="s">
        <v>142</v>
      </c>
      <c r="B11" s="143">
        <f>IFERROR(B38*B8,0)</f>
        <v>0</v>
      </c>
      <c r="C11" s="143">
        <f>IFERROR(C38*$C$8,0)</f>
        <v>0</v>
      </c>
      <c r="D11" s="143">
        <f>IFERROR(D38*$D$8,0)</f>
        <v>0</v>
      </c>
      <c r="E11" s="143">
        <f>IFERROR(E38*$E$8,0)</f>
        <v>0</v>
      </c>
      <c r="F11" s="143">
        <f>IFERROR(F38*$F$8,0)</f>
        <v>0</v>
      </c>
      <c r="G11" s="143">
        <f>IFERROR(G38*G8,0)</f>
        <v>0</v>
      </c>
      <c r="H11" s="142">
        <f t="shared" si="2"/>
        <v>0</v>
      </c>
      <c r="I11" s="179">
        <f>I12*45%</f>
        <v>0</v>
      </c>
      <c r="J11" s="142">
        <f>H11*$H$4</f>
        <v>0</v>
      </c>
    </row>
    <row r="12" spans="1:13" ht="15.75" thickBot="1" x14ac:dyDescent="0.3">
      <c r="A12" s="139" t="s">
        <v>143</v>
      </c>
      <c r="B12" s="143">
        <f>IFERROR(B39*B8,0)</f>
        <v>0</v>
      </c>
      <c r="C12" s="143">
        <f>IFERROR(C39*$C$8,0)</f>
        <v>0</v>
      </c>
      <c r="D12" s="143">
        <f>IFERROR(D39*$D$8,0)</f>
        <v>0</v>
      </c>
      <c r="E12" s="143">
        <f>IFERROR(E39*$E$8,0)</f>
        <v>0</v>
      </c>
      <c r="F12" s="143">
        <f>IFERROR(F39*$F$8,0)</f>
        <v>0</v>
      </c>
      <c r="G12" s="143">
        <f>IFERROR(G39*G8,0)</f>
        <v>0</v>
      </c>
      <c r="H12" s="142">
        <f t="shared" si="2"/>
        <v>0</v>
      </c>
      <c r="I12" s="217">
        <f>H11+H12</f>
        <v>0</v>
      </c>
      <c r="J12" s="142">
        <f t="shared" ref="J12:J17" si="3">H12*$H$4</f>
        <v>0</v>
      </c>
    </row>
    <row r="13" spans="1:13" ht="15.75" thickBot="1" x14ac:dyDescent="0.3">
      <c r="A13" s="139" t="s">
        <v>144</v>
      </c>
      <c r="B13" s="143" t="str">
        <f>IFERROR(B40*B8," ")</f>
        <v xml:space="preserve"> </v>
      </c>
      <c r="C13" s="143">
        <f>IFERROR(C40*$C$8,0)</f>
        <v>0</v>
      </c>
      <c r="D13" s="143">
        <f>IFERROR(D40*$D$8,0)</f>
        <v>0</v>
      </c>
      <c r="E13" s="143">
        <f>IFERROR(E40*$E$8,0)</f>
        <v>0</v>
      </c>
      <c r="F13" s="143">
        <f>IFERROR(F40*$F$8,0)</f>
        <v>0</v>
      </c>
      <c r="G13" s="143">
        <v>0</v>
      </c>
      <c r="H13" s="142">
        <f t="shared" si="2"/>
        <v>0</v>
      </c>
      <c r="J13" s="142">
        <f t="shared" si="3"/>
        <v>0</v>
      </c>
    </row>
    <row r="14" spans="1:13" ht="15.75" thickBot="1" x14ac:dyDescent="0.3">
      <c r="A14" s="139" t="s">
        <v>145</v>
      </c>
      <c r="B14" s="143" t="str">
        <f>IFERROR(B41*B8," ")</f>
        <v xml:space="preserve"> </v>
      </c>
      <c r="C14" s="143">
        <f>IFERROR(C41*$C$8,0)</f>
        <v>0</v>
      </c>
      <c r="D14" s="143">
        <f>IFERROR(D41*$D$8,0)</f>
        <v>0</v>
      </c>
      <c r="E14" s="143">
        <f>IFERROR(E41*$E$8,0)</f>
        <v>0</v>
      </c>
      <c r="F14" s="143">
        <f>IFERROR(F41*$F$8,0)</f>
        <v>0</v>
      </c>
      <c r="G14" s="143">
        <v>0</v>
      </c>
      <c r="H14" s="142">
        <f t="shared" si="2"/>
        <v>0</v>
      </c>
      <c r="J14" s="142">
        <f t="shared" si="3"/>
        <v>0</v>
      </c>
      <c r="L14" s="161" t="s">
        <v>147</v>
      </c>
      <c r="M14" s="161"/>
    </row>
    <row r="15" spans="1:13" ht="15.75" thickBot="1" x14ac:dyDescent="0.3">
      <c r="A15" s="139" t="s">
        <v>148</v>
      </c>
      <c r="B15" s="143">
        <v>0</v>
      </c>
      <c r="C15" s="143">
        <v>0</v>
      </c>
      <c r="D15" s="143">
        <v>0</v>
      </c>
      <c r="E15" s="143">
        <f>+B20</f>
        <v>0</v>
      </c>
      <c r="F15" s="143">
        <v>0</v>
      </c>
      <c r="G15" s="143">
        <v>0</v>
      </c>
      <c r="H15" s="142">
        <f t="shared" si="2"/>
        <v>0</v>
      </c>
      <c r="I15" s="179"/>
      <c r="J15" s="142">
        <f t="shared" si="3"/>
        <v>0</v>
      </c>
      <c r="L15" s="207">
        <f>J12+J15</f>
        <v>0</v>
      </c>
      <c r="M15" s="209">
        <v>1</v>
      </c>
    </row>
    <row r="16" spans="1:13" ht="15.75" thickBot="1" x14ac:dyDescent="0.3">
      <c r="A16" s="139" t="s">
        <v>149</v>
      </c>
      <c r="B16" s="144">
        <v>0</v>
      </c>
      <c r="C16" s="144">
        <v>0</v>
      </c>
      <c r="D16" s="144">
        <v>0</v>
      </c>
      <c r="E16" s="143">
        <f>+C20</f>
        <v>0</v>
      </c>
      <c r="F16" s="144">
        <v>0</v>
      </c>
      <c r="G16" s="144">
        <v>0</v>
      </c>
      <c r="H16" s="142">
        <f t="shared" si="2"/>
        <v>0</v>
      </c>
      <c r="I16" s="159"/>
      <c r="J16" s="142">
        <f t="shared" si="3"/>
        <v>0</v>
      </c>
      <c r="L16" s="208">
        <f>L15*M16</f>
        <v>0</v>
      </c>
      <c r="M16" s="209">
        <v>0.8</v>
      </c>
    </row>
    <row r="17" spans="1:13" ht="15.75" thickBot="1" x14ac:dyDescent="0.3">
      <c r="A17" s="162" t="s">
        <v>150</v>
      </c>
      <c r="B17" s="163">
        <f>SUM(B11:B16)</f>
        <v>0</v>
      </c>
      <c r="C17" s="163">
        <f>SUM(C11:C16)</f>
        <v>0</v>
      </c>
      <c r="D17" s="163">
        <f>SUM(D10:D16)</f>
        <v>135</v>
      </c>
      <c r="E17" s="163">
        <f>SUM(E10:E16)</f>
        <v>350</v>
      </c>
      <c r="F17" s="163">
        <f>SUM(F10:F16)</f>
        <v>6</v>
      </c>
      <c r="G17" s="163">
        <f>SUM(G10:G16)</f>
        <v>21</v>
      </c>
      <c r="H17" s="163">
        <f>SUM(H10:H16)</f>
        <v>616</v>
      </c>
      <c r="J17" s="199">
        <f t="shared" si="3"/>
        <v>0</v>
      </c>
      <c r="L17" s="208">
        <f>L15*M17</f>
        <v>0</v>
      </c>
      <c r="M17" s="209">
        <v>0.2</v>
      </c>
    </row>
    <row r="18" spans="1:13" ht="15.75" thickBot="1" x14ac:dyDescent="0.3">
      <c r="A18" s="187"/>
      <c r="B18" s="188">
        <f>B17</f>
        <v>0</v>
      </c>
      <c r="C18" s="188">
        <f>C17</f>
        <v>0</v>
      </c>
      <c r="D18" s="188">
        <f>D17</f>
        <v>135</v>
      </c>
      <c r="E18" s="188">
        <f>E17-E15-E16</f>
        <v>350</v>
      </c>
      <c r="F18" s="188">
        <f>F17</f>
        <v>6</v>
      </c>
      <c r="G18" s="188">
        <f>G17</f>
        <v>21</v>
      </c>
      <c r="H18" s="188"/>
      <c r="I18" s="188">
        <f>E15+E16</f>
        <v>0</v>
      </c>
      <c r="J18" s="188"/>
      <c r="L18" s="206"/>
    </row>
    <row r="19" spans="1:13" ht="15.75" thickBot="1" x14ac:dyDescent="0.3">
      <c r="A19" s="161" t="s">
        <v>151</v>
      </c>
      <c r="B19" s="191" t="s">
        <v>152</v>
      </c>
      <c r="C19" s="191" t="s">
        <v>153</v>
      </c>
      <c r="D19" s="191" t="s">
        <v>154</v>
      </c>
      <c r="E19" s="158"/>
      <c r="F19" s="158"/>
      <c r="G19" s="158"/>
      <c r="H19" s="160"/>
      <c r="I19" s="158">
        <f>E16</f>
        <v>0</v>
      </c>
    </row>
    <row r="20" spans="1:13" ht="15.75" thickBot="1" x14ac:dyDescent="0.3">
      <c r="A20" s="189" t="s">
        <v>170</v>
      </c>
      <c r="B20" s="190">
        <f>Handling!C58</f>
        <v>0</v>
      </c>
      <c r="C20" s="190">
        <f>B20*'P&amp;L'!$P$10</f>
        <v>0</v>
      </c>
      <c r="D20" s="190">
        <f>SUM(B20:C20)</f>
        <v>0</v>
      </c>
      <c r="G20" s="179"/>
    </row>
    <row r="21" spans="1:13" ht="15.75" hidden="1" thickBot="1" x14ac:dyDescent="0.3">
      <c r="A21" s="162" t="s">
        <v>156</v>
      </c>
      <c r="B21" s="143" t="e">
        <f>Handling!#REF!</f>
        <v>#REF!</v>
      </c>
      <c r="C21" s="143" t="e">
        <f>Handling!#REF!</f>
        <v>#REF!</v>
      </c>
      <c r="D21" s="143" t="e">
        <f>Handling!#REF!</f>
        <v>#REF!</v>
      </c>
      <c r="G21" s="179"/>
    </row>
    <row r="22" spans="1:13" ht="15.75" hidden="1" thickBot="1" x14ac:dyDescent="0.3">
      <c r="A22" s="162" t="s">
        <v>157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</row>
    <row r="23" spans="1:13" ht="15.75" thickBot="1" x14ac:dyDescent="0.3"/>
    <row r="24" spans="1:13" ht="15.75" thickBot="1" x14ac:dyDescent="0.3">
      <c r="A24" s="139" t="s">
        <v>159</v>
      </c>
      <c r="B24" s="143">
        <f>IFERROR(((B11+B12+B13+B14)/B8),0)</f>
        <v>0</v>
      </c>
      <c r="C24" s="143">
        <f>IFERROR(((C11+C12+C13+C14)/C8),0)</f>
        <v>0</v>
      </c>
      <c r="D24" s="143">
        <f>IFERROR(((D10+D11+D12+D13+D14)/D8),0)</f>
        <v>3</v>
      </c>
      <c r="E24" s="143">
        <f>IFERROR(((E10+E11+E12+E13+E14)/E8),0)</f>
        <v>2.5</v>
      </c>
      <c r="F24" s="143">
        <f>IFERROR(((F10+F11+F12+F13+F14)/F8),0)</f>
        <v>3</v>
      </c>
      <c r="G24" s="143">
        <f>IFERROR(((G10+G11+G12+G13+G14)/G8),0)</f>
        <v>3</v>
      </c>
    </row>
    <row r="25" spans="1:13" ht="15.75" thickBot="1" x14ac:dyDescent="0.3">
      <c r="A25" s="139" t="s">
        <v>160</v>
      </c>
      <c r="B25" s="143">
        <f t="shared" ref="B25:G25" si="4">IFERROR(((B13+B14)/B8),0)</f>
        <v>0</v>
      </c>
      <c r="C25" s="143">
        <f t="shared" si="4"/>
        <v>0</v>
      </c>
      <c r="D25" s="143">
        <f t="shared" si="4"/>
        <v>0</v>
      </c>
      <c r="E25" s="143">
        <f t="shared" si="4"/>
        <v>0</v>
      </c>
      <c r="F25" s="143">
        <f t="shared" si="4"/>
        <v>0</v>
      </c>
      <c r="G25" s="143">
        <f t="shared" si="4"/>
        <v>0</v>
      </c>
    </row>
    <row r="26" spans="1:13" ht="15.75" thickBot="1" x14ac:dyDescent="0.3">
      <c r="A26" s="139" t="s">
        <v>161</v>
      </c>
      <c r="B26" s="143">
        <f t="shared" ref="B26:G26" si="5">IFERROR((B10/B8),0)</f>
        <v>0</v>
      </c>
      <c r="C26" s="143">
        <f t="shared" si="5"/>
        <v>4</v>
      </c>
      <c r="D26" s="143">
        <f t="shared" si="5"/>
        <v>3</v>
      </c>
      <c r="E26" s="143">
        <f t="shared" si="5"/>
        <v>2.5</v>
      </c>
      <c r="F26" s="143">
        <f t="shared" si="5"/>
        <v>3</v>
      </c>
      <c r="G26" s="143">
        <f t="shared" si="5"/>
        <v>3</v>
      </c>
    </row>
    <row r="27" spans="1:13" s="203" customFormat="1" x14ac:dyDescent="0.25">
      <c r="A27" s="204"/>
      <c r="B27" s="205"/>
      <c r="C27" s="205"/>
      <c r="D27" s="205"/>
      <c r="E27" s="205"/>
      <c r="F27" s="205"/>
      <c r="G27" s="205"/>
    </row>
    <row r="28" spans="1:13" x14ac:dyDescent="0.25">
      <c r="B28" s="162" t="s">
        <v>162</v>
      </c>
      <c r="C28" s="162" t="s">
        <v>163</v>
      </c>
    </row>
    <row r="29" spans="1:13" ht="15.75" thickBot="1" x14ac:dyDescent="0.3">
      <c r="A29" s="162" t="s">
        <v>164</v>
      </c>
      <c r="B29" s="162">
        <f>'P&amp;L'!P5</f>
        <v>3</v>
      </c>
      <c r="C29" s="162">
        <v>2682</v>
      </c>
    </row>
    <row r="30" spans="1:13" ht="15.75" thickBot="1" x14ac:dyDescent="0.3">
      <c r="A30" s="139" t="s">
        <v>141</v>
      </c>
      <c r="B30" s="143">
        <f t="shared" ref="B30:G30" si="6">B37*B8</f>
        <v>0</v>
      </c>
      <c r="C30" s="143">
        <f t="shared" si="6"/>
        <v>104</v>
      </c>
      <c r="D30" s="143">
        <f t="shared" si="6"/>
        <v>135</v>
      </c>
      <c r="E30" s="143">
        <f t="shared" si="6"/>
        <v>350</v>
      </c>
      <c r="F30" s="143">
        <f t="shared" si="6"/>
        <v>6</v>
      </c>
      <c r="G30" s="143">
        <f t="shared" si="6"/>
        <v>21</v>
      </c>
    </row>
    <row r="31" spans="1:13" ht="15.75" thickBot="1" x14ac:dyDescent="0.3">
      <c r="A31" s="139" t="s">
        <v>142</v>
      </c>
      <c r="B31" s="143">
        <f>IFERROR(IF($B$29=$B$29,SUMIF(Food!$C:$C,B$9&amp;$B$29&amp;$C$29,Food!$V:$V),0),"")</f>
        <v>0</v>
      </c>
      <c r="C31" s="143">
        <f>IFERROR(IF($B$29=$B$29,SUMIF(Food!$C:$C,C$9&amp;$B$29&amp;$C$29,Food!$V:$V),0),"")</f>
        <v>0</v>
      </c>
      <c r="D31" s="143">
        <f>IFERROR(IF($B$29=$B$29,SUMIF(Food!$C:$C,D$9&amp;$B$29&amp;$C$29,Food!$V:$V),0),"")</f>
        <v>0</v>
      </c>
      <c r="E31" s="143">
        <f>IFERROR(IF($B$29=$B$29,SUMIF(Food!$C:$C,E$9&amp;$B$29&amp;$C$29,Food!$V:$V),0),"")</f>
        <v>0</v>
      </c>
      <c r="F31" s="143">
        <f>IFERROR(IF($B$29=$B$29,SUMIF(Food!$C:$C,F$9&amp;$B$29&amp;$C$29,Food!$V:$V),0),"")</f>
        <v>0</v>
      </c>
      <c r="G31" s="143">
        <f>IFERROR(IF($B$29=$B$29,SUMIF(Food!$C:$C,G$9&amp;$B$29&amp;$C$29,Food!$V:$V),0),"")</f>
        <v>0</v>
      </c>
    </row>
    <row r="32" spans="1:13" ht="15.75" thickBot="1" x14ac:dyDescent="0.3">
      <c r="A32" s="139" t="s">
        <v>143</v>
      </c>
      <c r="B32" s="143">
        <f>IFERROR(IF($B$29=$B$29,SUMIF(Food!$C:$C,B$9&amp;$B$29&amp;$C$29,Food!$X:$X),0),"")</f>
        <v>0</v>
      </c>
      <c r="C32" s="143">
        <f>IFERROR(IF($B$29=$B$29,SUMIF(Food!$C:$C,C$9&amp;$B$29&amp;$C$29,Food!$X:$X),0),"")</f>
        <v>0</v>
      </c>
      <c r="D32" s="143">
        <f>IFERROR(IF($B$29=$B$29,SUMIF(Food!$C:$C,D$9&amp;$B$29&amp;$C$29,Food!$X:$X),0),"")</f>
        <v>0</v>
      </c>
      <c r="E32" s="143">
        <f>IFERROR(IF($B$29=$B$29,SUMIF(Food!$C:$C,E$9&amp;$B$29&amp;$C$29,Food!$X:$X),0),"")</f>
        <v>0</v>
      </c>
      <c r="F32" s="143">
        <f>IFERROR(IF($B$29=$B$29,SUMIF(Food!$C:$C,F$9&amp;$B$29&amp;$C$29,Food!$X:$X),0),"")</f>
        <v>0</v>
      </c>
      <c r="G32" s="143">
        <f>IFERROR(IF($B$29=$B$29,SUMIF(Food!$C:$C,G$9&amp;$B$29&amp;$C$29,Food!$X:$X),0),"")</f>
        <v>0</v>
      </c>
    </row>
    <row r="33" spans="1:7" ht="15.75" thickBot="1" x14ac:dyDescent="0.3">
      <c r="A33" s="139" t="s">
        <v>165</v>
      </c>
      <c r="B33" s="143">
        <f>IFERROR(IF($B$29=$B$29,SUMIF(Food!$C:$C,B$9&amp;$B$29&amp;$C$29,Food!$Z:$Z),0),"")</f>
        <v>0</v>
      </c>
      <c r="C33" s="143">
        <f>IFERROR(IF($B$29=$B$29,SUMIF(Food!$C:$C,C$9&amp;$B$29&amp;$C$29,Food!$Z:$Z),0),"")</f>
        <v>0</v>
      </c>
      <c r="D33" s="143">
        <f>IFERROR(IF($B$29=$B$29,SUMIF(Food!$C:$C,D$9&amp;$B$29&amp;$C$29,Food!$Z:$Z),0),"")</f>
        <v>0</v>
      </c>
      <c r="E33" s="143">
        <f>IFERROR(IF($B$29=$B$29,SUMIF(Food!$C:$C,E$9&amp;$B$29&amp;$C$29,Food!$Z:$Z),0),"")</f>
        <v>0</v>
      </c>
      <c r="F33" s="143">
        <f>IFERROR(IF($B$29=$B$29,SUMIF(Food!$C:$C,F$9&amp;$B$29&amp;$C$29,Food!$Z:$Z),0),"")</f>
        <v>0</v>
      </c>
      <c r="G33" s="143">
        <f>IFERROR(IF($B$29=$B$29,SUMIF(Food!$C:$C,G$9&amp;$B$29&amp;$C$29,Food!$O:$O),0),"")</f>
        <v>0</v>
      </c>
    </row>
    <row r="34" spans="1:7" ht="15.75" thickBot="1" x14ac:dyDescent="0.3">
      <c r="A34" s="139" t="s">
        <v>166</v>
      </c>
      <c r="B34" s="143">
        <f>IFERROR(IF($B$29=$B$29,SUMIF(Food!$C:$C,B$9&amp;$B$29&amp;$C$29,Food!$AA:$AA),0),"")</f>
        <v>0</v>
      </c>
      <c r="C34" s="143">
        <f>IFERROR(IF($B$29=$B$29,SUMIF(Food!$C:$C,C$9&amp;$B$29&amp;$C$29,Food!$AA:$AA),0),"")</f>
        <v>0</v>
      </c>
      <c r="D34" s="143">
        <f>IFERROR(IF($B$29=$B$29,SUMIF(Food!$C:$C,D$9&amp;$B$29&amp;$C$29,Food!$AA:$AA),0),"")</f>
        <v>0</v>
      </c>
      <c r="E34" s="143">
        <f>IFERROR(IF($B$29=$B$29,SUMIF(Food!$C:$C,E$9&amp;$B$29&amp;$C$29,Food!$AA:$AA),0),"")</f>
        <v>0</v>
      </c>
      <c r="F34" s="143">
        <f>IFERROR(IF($B$29=$B$29,SUMIF(Food!$C:$C,F$9&amp;$B$29&amp;$C$29,Food!$AA:$AA),0),"")</f>
        <v>0</v>
      </c>
      <c r="G34" s="143">
        <f>IFERROR(IF($B$29=$B$29,SUMIF(Food!$C:$C,G$9&amp;$B$29&amp;$C$29,Food!$P:$P),0),"")</f>
        <v>0</v>
      </c>
    </row>
    <row r="35" spans="1:7" x14ac:dyDescent="0.25">
      <c r="A35" s="154"/>
      <c r="B35" s="155"/>
      <c r="C35" s="155"/>
      <c r="D35" s="155"/>
      <c r="E35" s="155"/>
      <c r="F35" s="155"/>
      <c r="G35" s="155"/>
    </row>
    <row r="36" spans="1:7" ht="15.75" thickBot="1" x14ac:dyDescent="0.3">
      <c r="A36" s="162" t="s">
        <v>168</v>
      </c>
    </row>
    <row r="37" spans="1:7" ht="15.75" thickBot="1" x14ac:dyDescent="0.3">
      <c r="A37" s="139" t="s">
        <v>141</v>
      </c>
      <c r="B37" s="143">
        <f>'P&amp;L'!$J$30</f>
        <v>0</v>
      </c>
      <c r="C37" s="143">
        <f>'P&amp;L'!$K$30</f>
        <v>4</v>
      </c>
      <c r="D37" s="143">
        <f>'P&amp;L'!$L$30</f>
        <v>3</v>
      </c>
      <c r="E37" s="143">
        <f>'P&amp;L'!$M$30</f>
        <v>2.5</v>
      </c>
      <c r="F37" s="143">
        <f>'P&amp;L'!$N$30</f>
        <v>3</v>
      </c>
      <c r="G37" s="143">
        <f>'P&amp;L'!$O$30</f>
        <v>3</v>
      </c>
    </row>
    <row r="38" spans="1:7" ht="15.75" thickBot="1" x14ac:dyDescent="0.3">
      <c r="A38" s="139" t="s">
        <v>142</v>
      </c>
      <c r="B38" s="143" t="str">
        <f t="shared" ref="B38:G38" si="7">IFERROR(B31/B7," ")</f>
        <v xml:space="preserve"> </v>
      </c>
      <c r="C38" s="143">
        <f t="shared" si="7"/>
        <v>0</v>
      </c>
      <c r="D38" s="143">
        <f t="shared" si="7"/>
        <v>0</v>
      </c>
      <c r="E38" s="143">
        <f t="shared" si="7"/>
        <v>0</v>
      </c>
      <c r="F38" s="143">
        <f t="shared" si="7"/>
        <v>0</v>
      </c>
      <c r="G38" s="143">
        <f t="shared" si="7"/>
        <v>0</v>
      </c>
    </row>
    <row r="39" spans="1:7" ht="15.75" thickBot="1" x14ac:dyDescent="0.3">
      <c r="A39" s="139" t="s">
        <v>143</v>
      </c>
      <c r="B39" s="143" t="str">
        <f t="shared" ref="B39:G39" si="8">IFERROR(B32/B7," ")</f>
        <v xml:space="preserve"> </v>
      </c>
      <c r="C39" s="143">
        <f t="shared" si="8"/>
        <v>0</v>
      </c>
      <c r="D39" s="143">
        <f t="shared" si="8"/>
        <v>0</v>
      </c>
      <c r="E39" s="143">
        <f t="shared" si="8"/>
        <v>0</v>
      </c>
      <c r="F39" s="143">
        <f t="shared" si="8"/>
        <v>0</v>
      </c>
      <c r="G39" s="143">
        <f t="shared" si="8"/>
        <v>0</v>
      </c>
    </row>
    <row r="40" spans="1:7" ht="15.75" thickBot="1" x14ac:dyDescent="0.3">
      <c r="A40" s="139" t="s">
        <v>165</v>
      </c>
      <c r="B40" s="143" t="str">
        <f>IFERROR(B33/B8," ")</f>
        <v xml:space="preserve"> </v>
      </c>
      <c r="C40" s="143">
        <f>IFERROR(C33/C7," ")</f>
        <v>0</v>
      </c>
      <c r="D40" s="143">
        <f>IFERROR(D33/D7," ")</f>
        <v>0</v>
      </c>
      <c r="E40" s="143">
        <f>IFERROR(E33/E7," ")</f>
        <v>0</v>
      </c>
      <c r="F40" s="143">
        <f>IFERROR(F33/F7," ")</f>
        <v>0</v>
      </c>
      <c r="G40" s="143">
        <f>IFERROR(G33/G7," ")</f>
        <v>0</v>
      </c>
    </row>
    <row r="41" spans="1:7" ht="15.75" thickBot="1" x14ac:dyDescent="0.3">
      <c r="A41" s="139" t="s">
        <v>166</v>
      </c>
      <c r="B41" s="143" t="str">
        <f t="shared" ref="B41:G41" si="9">IFERROR(B34/B7," ")</f>
        <v xml:space="preserve"> </v>
      </c>
      <c r="C41" s="143">
        <f t="shared" si="9"/>
        <v>0</v>
      </c>
      <c r="D41" s="143">
        <f t="shared" si="9"/>
        <v>0</v>
      </c>
      <c r="E41" s="143">
        <f t="shared" si="9"/>
        <v>0</v>
      </c>
      <c r="F41" s="143">
        <f t="shared" si="9"/>
        <v>0</v>
      </c>
      <c r="G41" s="143">
        <f t="shared" si="9"/>
        <v>0</v>
      </c>
    </row>
    <row r="42" spans="1:7" x14ac:dyDescent="0.25">
      <c r="B42" s="156"/>
      <c r="C42" s="156"/>
    </row>
    <row r="43" spans="1:7" x14ac:dyDescent="0.25">
      <c r="B43" s="156"/>
      <c r="C43" s="156"/>
    </row>
    <row r="108" spans="1:1" x14ac:dyDescent="0.25">
      <c r="A108" s="140">
        <v>388</v>
      </c>
    </row>
    <row r="109" spans="1:1" x14ac:dyDescent="0.25">
      <c r="A109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7C853-B964-4AEF-B269-762CC6D17930}">
  <sheetPr>
    <tabColor theme="4" tint="0.79998168889431442"/>
  </sheetPr>
  <dimension ref="A1:M109"/>
  <sheetViews>
    <sheetView zoomScale="85" zoomScaleNormal="85" workbookViewId="0">
      <selection activeCell="I2" sqref="I2"/>
    </sheetView>
  </sheetViews>
  <sheetFormatPr defaultColWidth="10.7109375" defaultRowHeight="15" x14ac:dyDescent="0.25"/>
  <cols>
    <col min="1" max="1" width="24.28515625" style="140" bestFit="1" customWidth="1"/>
    <col min="2" max="2" width="10.7109375" style="140" bestFit="1" customWidth="1"/>
    <col min="3" max="3" width="15" style="140" bestFit="1" customWidth="1"/>
    <col min="4" max="5" width="12.5703125" style="140" bestFit="1" customWidth="1"/>
    <col min="6" max="6" width="10.7109375" style="140"/>
    <col min="7" max="7" width="15.7109375" style="140" customWidth="1"/>
    <col min="8" max="8" width="12.5703125" style="140" bestFit="1" customWidth="1"/>
    <col min="9" max="9" width="8.5703125" style="140" bestFit="1" customWidth="1"/>
    <col min="10" max="10" width="15.28515625" style="140" bestFit="1" customWidth="1"/>
    <col min="11" max="11" width="10.7109375" style="140"/>
    <col min="12" max="12" width="16.28515625" style="140" bestFit="1" customWidth="1"/>
    <col min="13" max="16384" width="10.7109375" style="140"/>
  </cols>
  <sheetData>
    <row r="1" spans="1:13" ht="15.75" thickBot="1" x14ac:dyDescent="0.3"/>
    <row r="2" spans="1:13" ht="15.75" thickBot="1" x14ac:dyDescent="0.3">
      <c r="A2" s="416" t="s">
        <v>120</v>
      </c>
      <c r="B2" s="24"/>
      <c r="C2" s="150"/>
      <c r="G2" s="145" t="s">
        <v>121</v>
      </c>
      <c r="H2" s="215">
        <v>0</v>
      </c>
      <c r="L2" s="212" t="s">
        <v>122</v>
      </c>
      <c r="M2" s="212" t="s">
        <v>7</v>
      </c>
    </row>
    <row r="3" spans="1:13" ht="15.75" thickBot="1" x14ac:dyDescent="0.3">
      <c r="A3" s="417"/>
      <c r="B3" s="172"/>
      <c r="C3" s="173"/>
      <c r="E3" s="145" t="s">
        <v>123</v>
      </c>
      <c r="F3" s="147">
        <v>738</v>
      </c>
      <c r="G3" s="145" t="s">
        <v>124</v>
      </c>
      <c r="H3" s="145">
        <f>H4/12</f>
        <v>0</v>
      </c>
      <c r="J3" s="200" t="s">
        <v>125</v>
      </c>
      <c r="L3" s="212">
        <v>737</v>
      </c>
      <c r="M3" s="212">
        <v>1</v>
      </c>
    </row>
    <row r="4" spans="1:13" ht="15.75" thickBot="1" x14ac:dyDescent="0.3">
      <c r="E4" s="145" t="s">
        <v>2</v>
      </c>
      <c r="F4" s="146">
        <f>'P&amp;L'!P4</f>
        <v>0.8</v>
      </c>
      <c r="G4" s="145" t="s">
        <v>126</v>
      </c>
      <c r="H4" s="145">
        <f>H2*52</f>
        <v>0</v>
      </c>
      <c r="J4" s="201">
        <f>H17*H4</f>
        <v>0</v>
      </c>
      <c r="L4" s="212"/>
      <c r="M4" s="212"/>
    </row>
    <row r="5" spans="1:13" ht="15.75" thickBot="1" x14ac:dyDescent="0.3">
      <c r="A5" s="141" t="s">
        <v>127</v>
      </c>
      <c r="L5" s="212"/>
      <c r="M5" s="212"/>
    </row>
    <row r="6" spans="1:13" ht="15.75" thickBot="1" x14ac:dyDescent="0.3">
      <c r="A6" s="161" t="s">
        <v>128</v>
      </c>
      <c r="B6" s="161" t="s">
        <v>38</v>
      </c>
      <c r="C6" s="161" t="s">
        <v>39</v>
      </c>
      <c r="D6" s="161" t="s">
        <v>40</v>
      </c>
      <c r="E6" s="161" t="s">
        <v>41</v>
      </c>
      <c r="F6" s="161" t="s">
        <v>42</v>
      </c>
      <c r="G6" s="161" t="s">
        <v>43</v>
      </c>
      <c r="H6" s="161" t="s">
        <v>129</v>
      </c>
      <c r="I6" s="160" t="s">
        <v>130</v>
      </c>
      <c r="L6" s="211"/>
      <c r="M6" s="211"/>
    </row>
    <row r="7" spans="1:13" ht="15.75" thickBot="1" x14ac:dyDescent="0.3">
      <c r="A7" s="139" t="s">
        <v>131</v>
      </c>
      <c r="B7" s="139">
        <f>+FlightConfig!B17</f>
        <v>0</v>
      </c>
      <c r="C7" s="139">
        <f>+FlightConfig!C17</f>
        <v>32</v>
      </c>
      <c r="D7" s="139">
        <f>+FlightConfig!D17</f>
        <v>56</v>
      </c>
      <c r="E7" s="139">
        <f>+FlightConfig!E17</f>
        <v>174</v>
      </c>
      <c r="F7" s="139">
        <f>+FlightConfig!F17</f>
        <v>2</v>
      </c>
      <c r="G7" s="139">
        <f>+FlightConfig!G17</f>
        <v>8</v>
      </c>
      <c r="H7" s="139">
        <f>SUM(B7:G7)</f>
        <v>272</v>
      </c>
      <c r="L7" s="211"/>
      <c r="M7" s="211"/>
    </row>
    <row r="8" spans="1:13" ht="15.75" thickBot="1" x14ac:dyDescent="0.3">
      <c r="A8" s="139" t="s">
        <v>132</v>
      </c>
      <c r="B8" s="139">
        <f t="shared" ref="B8:G8" si="0">ROUNDUP(B7*$F$4,0)</f>
        <v>0</v>
      </c>
      <c r="C8" s="139">
        <f t="shared" si="0"/>
        <v>26</v>
      </c>
      <c r="D8" s="139">
        <f t="shared" si="0"/>
        <v>45</v>
      </c>
      <c r="E8" s="139">
        <f t="shared" si="0"/>
        <v>140</v>
      </c>
      <c r="F8" s="139">
        <f t="shared" si="0"/>
        <v>2</v>
      </c>
      <c r="G8" s="139">
        <f t="shared" si="0"/>
        <v>7</v>
      </c>
      <c r="H8" s="139">
        <f>SUM(B8:G8)</f>
        <v>220</v>
      </c>
      <c r="L8" s="211"/>
      <c r="M8" s="211"/>
    </row>
    <row r="9" spans="1:13" ht="15.75" thickBot="1" x14ac:dyDescent="0.3">
      <c r="A9" s="244"/>
      <c r="B9" s="245" t="s">
        <v>133</v>
      </c>
      <c r="C9" s="245" t="s">
        <v>134</v>
      </c>
      <c r="D9" s="245" t="s">
        <v>135</v>
      </c>
      <c r="E9" s="245" t="s">
        <v>136</v>
      </c>
      <c r="F9" s="245" t="s">
        <v>137</v>
      </c>
      <c r="G9" s="245" t="s">
        <v>138</v>
      </c>
      <c r="H9" s="161" t="s">
        <v>139</v>
      </c>
      <c r="J9" s="161" t="s">
        <v>140</v>
      </c>
    </row>
    <row r="10" spans="1:13" ht="15.75" thickBot="1" x14ac:dyDescent="0.3">
      <c r="A10" s="139" t="s">
        <v>141</v>
      </c>
      <c r="B10" s="143">
        <f t="shared" ref="B10:G10" si="1">B37*B8</f>
        <v>0</v>
      </c>
      <c r="C10" s="143">
        <f t="shared" si="1"/>
        <v>104</v>
      </c>
      <c r="D10" s="143">
        <f t="shared" si="1"/>
        <v>135</v>
      </c>
      <c r="E10" s="143">
        <f t="shared" si="1"/>
        <v>350</v>
      </c>
      <c r="F10" s="143">
        <f t="shared" si="1"/>
        <v>6</v>
      </c>
      <c r="G10" s="143">
        <f t="shared" si="1"/>
        <v>21</v>
      </c>
      <c r="H10" s="142">
        <f t="shared" ref="H10:H16" si="2">SUM(B10:G10)</f>
        <v>616</v>
      </c>
      <c r="J10" s="142">
        <f>H10*$H$4</f>
        <v>0</v>
      </c>
    </row>
    <row r="11" spans="1:13" ht="15.75" thickBot="1" x14ac:dyDescent="0.3">
      <c r="A11" s="139" t="s">
        <v>142</v>
      </c>
      <c r="B11" s="143">
        <f>IFERROR(B38*B8,0)</f>
        <v>0</v>
      </c>
      <c r="C11" s="143">
        <f>IFERROR(C38*$C$8,0)</f>
        <v>0</v>
      </c>
      <c r="D11" s="143">
        <f>IFERROR(D38*$D$8,0)</f>
        <v>0</v>
      </c>
      <c r="E11" s="143">
        <f>IFERROR(E38*$E$8,0)</f>
        <v>0</v>
      </c>
      <c r="F11" s="143">
        <f>IFERROR(F38*$F$8,0)</f>
        <v>0</v>
      </c>
      <c r="G11" s="143">
        <f>IFERROR(G38*G8,0)</f>
        <v>0</v>
      </c>
      <c r="H11" s="142">
        <f t="shared" si="2"/>
        <v>0</v>
      </c>
      <c r="I11" s="179">
        <f>I12*45%</f>
        <v>0</v>
      </c>
      <c r="J11" s="142">
        <f>H11*$H$4</f>
        <v>0</v>
      </c>
    </row>
    <row r="12" spans="1:13" ht="15.75" thickBot="1" x14ac:dyDescent="0.3">
      <c r="A12" s="139" t="s">
        <v>143</v>
      </c>
      <c r="B12" s="143">
        <f>IFERROR(B39*B8,0)</f>
        <v>0</v>
      </c>
      <c r="C12" s="143">
        <f>IFERROR(C39*$C$8,0)</f>
        <v>0</v>
      </c>
      <c r="D12" s="143">
        <f>IFERROR(D39*$D$8,0)</f>
        <v>0</v>
      </c>
      <c r="E12" s="143">
        <f>IFERROR(E39*$E$8,0)</f>
        <v>0</v>
      </c>
      <c r="F12" s="143">
        <f>IFERROR(F39*$F$8,0)</f>
        <v>0</v>
      </c>
      <c r="G12" s="143">
        <f>IFERROR(G39*G8,0)</f>
        <v>0</v>
      </c>
      <c r="H12" s="142">
        <f t="shared" si="2"/>
        <v>0</v>
      </c>
      <c r="I12" s="217">
        <f>H11+H12</f>
        <v>0</v>
      </c>
      <c r="J12" s="142">
        <f t="shared" ref="J12:J17" si="3">H12*$H$4</f>
        <v>0</v>
      </c>
    </row>
    <row r="13" spans="1:13" ht="15.75" thickBot="1" x14ac:dyDescent="0.3">
      <c r="A13" s="139" t="s">
        <v>144</v>
      </c>
      <c r="B13" s="143" t="str">
        <f>IFERROR(B40*B8," ")</f>
        <v xml:space="preserve"> </v>
      </c>
      <c r="C13" s="143">
        <f>IFERROR(C40*$C$8,0)</f>
        <v>0</v>
      </c>
      <c r="D13" s="143">
        <f>IFERROR(D40*$D$8,0)</f>
        <v>0</v>
      </c>
      <c r="E13" s="143">
        <f>IFERROR(E40*$E$8,0)</f>
        <v>0</v>
      </c>
      <c r="F13" s="143">
        <f>IFERROR(F40*$F$8,0)</f>
        <v>0</v>
      </c>
      <c r="G13" s="143">
        <v>0</v>
      </c>
      <c r="H13" s="142">
        <f t="shared" si="2"/>
        <v>0</v>
      </c>
      <c r="J13" s="142">
        <f t="shared" si="3"/>
        <v>0</v>
      </c>
    </row>
    <row r="14" spans="1:13" ht="15.75" thickBot="1" x14ac:dyDescent="0.3">
      <c r="A14" s="139" t="s">
        <v>145</v>
      </c>
      <c r="B14" s="143" t="str">
        <f>IFERROR(B41*B8," ")</f>
        <v xml:space="preserve"> </v>
      </c>
      <c r="C14" s="143">
        <f>IFERROR(C41*$C$8,0)</f>
        <v>0</v>
      </c>
      <c r="D14" s="143">
        <f>IFERROR(D41*$D$8,0)</f>
        <v>0</v>
      </c>
      <c r="E14" s="143">
        <f>IFERROR(E41*$E$8,0)</f>
        <v>0</v>
      </c>
      <c r="F14" s="143">
        <f>IFERROR(F41*$F$8,0)</f>
        <v>0</v>
      </c>
      <c r="G14" s="143">
        <v>0</v>
      </c>
      <c r="H14" s="142">
        <f t="shared" si="2"/>
        <v>0</v>
      </c>
      <c r="J14" s="142">
        <f t="shared" si="3"/>
        <v>0</v>
      </c>
      <c r="L14" s="161" t="s">
        <v>147</v>
      </c>
      <c r="M14" s="161"/>
    </row>
    <row r="15" spans="1:13" ht="15.75" thickBot="1" x14ac:dyDescent="0.3">
      <c r="A15" s="139" t="s">
        <v>148</v>
      </c>
      <c r="B15" s="143">
        <v>0</v>
      </c>
      <c r="C15" s="143">
        <v>0</v>
      </c>
      <c r="D15" s="143">
        <v>0</v>
      </c>
      <c r="E15" s="143">
        <f>+B20</f>
        <v>0</v>
      </c>
      <c r="F15" s="143">
        <v>0</v>
      </c>
      <c r="G15" s="143">
        <v>0</v>
      </c>
      <c r="H15" s="142">
        <f t="shared" si="2"/>
        <v>0</v>
      </c>
      <c r="I15" s="179"/>
      <c r="J15" s="142">
        <f t="shared" si="3"/>
        <v>0</v>
      </c>
      <c r="L15" s="207">
        <f>J12+J15</f>
        <v>0</v>
      </c>
      <c r="M15" s="209">
        <v>1</v>
      </c>
    </row>
    <row r="16" spans="1:13" ht="15.75" thickBot="1" x14ac:dyDescent="0.3">
      <c r="A16" s="139" t="s">
        <v>149</v>
      </c>
      <c r="B16" s="144">
        <v>0</v>
      </c>
      <c r="C16" s="144">
        <v>0</v>
      </c>
      <c r="D16" s="144">
        <v>0</v>
      </c>
      <c r="E16" s="143">
        <f>+C20</f>
        <v>0</v>
      </c>
      <c r="F16" s="144">
        <v>0</v>
      </c>
      <c r="G16" s="144">
        <v>0</v>
      </c>
      <c r="H16" s="142">
        <f t="shared" si="2"/>
        <v>0</v>
      </c>
      <c r="I16" s="159"/>
      <c r="J16" s="142">
        <f t="shared" si="3"/>
        <v>0</v>
      </c>
      <c r="L16" s="208">
        <f>L15*M16</f>
        <v>0</v>
      </c>
      <c r="M16" s="209">
        <v>0.8</v>
      </c>
    </row>
    <row r="17" spans="1:13" ht="15.75" thickBot="1" x14ac:dyDescent="0.3">
      <c r="A17" s="162" t="s">
        <v>150</v>
      </c>
      <c r="B17" s="163">
        <f>SUM(B11:B16)</f>
        <v>0</v>
      </c>
      <c r="C17" s="163">
        <f>SUM(C11:C16)</f>
        <v>0</v>
      </c>
      <c r="D17" s="163">
        <f>SUM(D10:D16)</f>
        <v>135</v>
      </c>
      <c r="E17" s="163">
        <f>SUM(E10:E16)</f>
        <v>350</v>
      </c>
      <c r="F17" s="163">
        <f>SUM(F10:F16)</f>
        <v>6</v>
      </c>
      <c r="G17" s="163">
        <f>SUM(G10:G16)</f>
        <v>21</v>
      </c>
      <c r="H17" s="163">
        <f>SUM(H10:H16)</f>
        <v>616</v>
      </c>
      <c r="J17" s="199">
        <f t="shared" si="3"/>
        <v>0</v>
      </c>
      <c r="L17" s="208">
        <f>L15*M17</f>
        <v>0</v>
      </c>
      <c r="M17" s="209">
        <v>0.2</v>
      </c>
    </row>
    <row r="18" spans="1:13" ht="15.75" thickBot="1" x14ac:dyDescent="0.3">
      <c r="A18" s="187"/>
      <c r="B18" s="188">
        <f>B17</f>
        <v>0</v>
      </c>
      <c r="C18" s="188">
        <f>C17</f>
        <v>0</v>
      </c>
      <c r="D18" s="188">
        <f>D17</f>
        <v>135</v>
      </c>
      <c r="E18" s="188">
        <f>E17-E15-E16</f>
        <v>350</v>
      </c>
      <c r="F18" s="188">
        <f>F17</f>
        <v>6</v>
      </c>
      <c r="G18" s="188">
        <f>G17</f>
        <v>21</v>
      </c>
      <c r="H18" s="188"/>
      <c r="I18" s="188">
        <f>E15+E16</f>
        <v>0</v>
      </c>
      <c r="J18" s="188"/>
      <c r="L18" s="206"/>
    </row>
    <row r="19" spans="1:13" ht="15.75" thickBot="1" x14ac:dyDescent="0.3">
      <c r="A19" s="161" t="s">
        <v>151</v>
      </c>
      <c r="B19" s="191" t="s">
        <v>152</v>
      </c>
      <c r="C19" s="191" t="s">
        <v>153</v>
      </c>
      <c r="D19" s="191" t="s">
        <v>154</v>
      </c>
      <c r="E19" s="158"/>
      <c r="F19" s="158"/>
      <c r="G19" s="158"/>
      <c r="H19" s="160"/>
      <c r="I19" s="158">
        <f>E16</f>
        <v>0</v>
      </c>
    </row>
    <row r="20" spans="1:13" ht="15.75" thickBot="1" x14ac:dyDescent="0.3">
      <c r="A20" s="189" t="s">
        <v>170</v>
      </c>
      <c r="B20" s="190">
        <f>Handling!C58</f>
        <v>0</v>
      </c>
      <c r="C20" s="190">
        <f>B20*'P&amp;L'!$P$10</f>
        <v>0</v>
      </c>
      <c r="D20" s="190">
        <f>SUM(B20:C20)</f>
        <v>0</v>
      </c>
      <c r="G20" s="179"/>
    </row>
    <row r="21" spans="1:13" ht="15.75" hidden="1" thickBot="1" x14ac:dyDescent="0.3">
      <c r="A21" s="162" t="s">
        <v>156</v>
      </c>
      <c r="B21" s="143" t="e">
        <f>Handling!#REF!</f>
        <v>#REF!</v>
      </c>
      <c r="C21" s="143" t="e">
        <f>Handling!#REF!</f>
        <v>#REF!</v>
      </c>
      <c r="D21" s="143" t="e">
        <f>Handling!#REF!</f>
        <v>#REF!</v>
      </c>
      <c r="G21" s="179"/>
    </row>
    <row r="22" spans="1:13" ht="15.75" hidden="1" thickBot="1" x14ac:dyDescent="0.3">
      <c r="A22" s="162" t="s">
        <v>157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</row>
    <row r="23" spans="1:13" ht="15.75" thickBot="1" x14ac:dyDescent="0.3"/>
    <row r="24" spans="1:13" ht="15.75" thickBot="1" x14ac:dyDescent="0.3">
      <c r="A24" s="139" t="s">
        <v>159</v>
      </c>
      <c r="B24" s="143">
        <f>IFERROR(((B11+B12+B13+B14)/B8),0)</f>
        <v>0</v>
      </c>
      <c r="C24" s="143">
        <f>IFERROR(((C11+C12+C13+C14)/C8),0)</f>
        <v>0</v>
      </c>
      <c r="D24" s="143">
        <f>IFERROR(((D10+D11+D12+D13+D14)/D8),0)</f>
        <v>3</v>
      </c>
      <c r="E24" s="143">
        <f>IFERROR(((E10+E11+E12+E13+E14)/E8),0)</f>
        <v>2.5</v>
      </c>
      <c r="F24" s="143">
        <f>IFERROR(((F10+F11+F12+F13+F14)/F8),0)</f>
        <v>3</v>
      </c>
      <c r="G24" s="143">
        <f>IFERROR(((G10+G11+G12+G13+G14)/G8),0)</f>
        <v>3</v>
      </c>
    </row>
    <row r="25" spans="1:13" ht="15.75" thickBot="1" x14ac:dyDescent="0.3">
      <c r="A25" s="139" t="s">
        <v>160</v>
      </c>
      <c r="B25" s="143">
        <f t="shared" ref="B25:G25" si="4">IFERROR(((B13+B14)/B8),0)</f>
        <v>0</v>
      </c>
      <c r="C25" s="143">
        <f t="shared" si="4"/>
        <v>0</v>
      </c>
      <c r="D25" s="143">
        <f t="shared" si="4"/>
        <v>0</v>
      </c>
      <c r="E25" s="143">
        <f t="shared" si="4"/>
        <v>0</v>
      </c>
      <c r="F25" s="143">
        <f t="shared" si="4"/>
        <v>0</v>
      </c>
      <c r="G25" s="143">
        <f t="shared" si="4"/>
        <v>0</v>
      </c>
    </row>
    <row r="26" spans="1:13" ht="15.75" thickBot="1" x14ac:dyDescent="0.3">
      <c r="A26" s="139" t="s">
        <v>161</v>
      </c>
      <c r="B26" s="143">
        <f t="shared" ref="B26:G26" si="5">IFERROR((B10/B8),0)</f>
        <v>0</v>
      </c>
      <c r="C26" s="143">
        <f t="shared" si="5"/>
        <v>4</v>
      </c>
      <c r="D26" s="143">
        <f t="shared" si="5"/>
        <v>3</v>
      </c>
      <c r="E26" s="143">
        <f t="shared" si="5"/>
        <v>2.5</v>
      </c>
      <c r="F26" s="143">
        <f t="shared" si="5"/>
        <v>3</v>
      </c>
      <c r="G26" s="143">
        <f t="shared" si="5"/>
        <v>3</v>
      </c>
    </row>
    <row r="27" spans="1:13" s="203" customFormat="1" x14ac:dyDescent="0.25">
      <c r="A27" s="204"/>
      <c r="B27" s="205"/>
      <c r="C27" s="205"/>
      <c r="D27" s="205"/>
      <c r="E27" s="205"/>
      <c r="F27" s="205"/>
      <c r="G27" s="205"/>
    </row>
    <row r="28" spans="1:13" x14ac:dyDescent="0.25">
      <c r="B28" s="162" t="s">
        <v>162</v>
      </c>
      <c r="C28" s="162" t="s">
        <v>163</v>
      </c>
    </row>
    <row r="29" spans="1:13" ht="15.75" thickBot="1" x14ac:dyDescent="0.3">
      <c r="A29" s="162" t="s">
        <v>164</v>
      </c>
      <c r="B29" s="162">
        <f>'P&amp;L'!P5</f>
        <v>3</v>
      </c>
      <c r="C29" s="162">
        <v>2855</v>
      </c>
    </row>
    <row r="30" spans="1:13" ht="15.75" thickBot="1" x14ac:dyDescent="0.3">
      <c r="A30" s="139" t="s">
        <v>141</v>
      </c>
      <c r="B30" s="143">
        <f t="shared" ref="B30:G30" si="6">B37*B8</f>
        <v>0</v>
      </c>
      <c r="C30" s="143">
        <f>C37*C8</f>
        <v>104</v>
      </c>
      <c r="D30" s="143">
        <f t="shared" si="6"/>
        <v>135</v>
      </c>
      <c r="E30" s="143">
        <f t="shared" si="6"/>
        <v>350</v>
      </c>
      <c r="F30" s="143">
        <f t="shared" si="6"/>
        <v>6</v>
      </c>
      <c r="G30" s="143">
        <f t="shared" si="6"/>
        <v>21</v>
      </c>
    </row>
    <row r="31" spans="1:13" ht="15.75" thickBot="1" x14ac:dyDescent="0.3">
      <c r="A31" s="139" t="s">
        <v>142</v>
      </c>
      <c r="B31" s="143">
        <f>IFERROR(IF($B$29=$B$29,SUMIF(Food!$C:$C,B$9&amp;$B$29&amp;$C$29,Food!$V:$V),0),"")</f>
        <v>0</v>
      </c>
      <c r="C31" s="143">
        <f>IFERROR(IF($B$29=$B$29,SUMIF(Food!$C:$C,C$9&amp;$B$29&amp;$C$29,Food!$V:$V),0),"")</f>
        <v>0</v>
      </c>
      <c r="D31" s="143">
        <f>IFERROR(IF($B$29=$B$29,SUMIF(Food!$C:$C,D$9&amp;$B$29&amp;$C$29,Food!$V:$V),0),"")</f>
        <v>0</v>
      </c>
      <c r="E31" s="143">
        <f>IFERROR(IF($B$29=$B$29,SUMIF(Food!$C:$C,E$9&amp;$B$29&amp;$C$29,Food!$V:$V),0),"")</f>
        <v>0</v>
      </c>
      <c r="F31" s="143">
        <f>IFERROR(IF($B$29=$B$29,SUMIF(Food!$C:$C,F$9&amp;$B$29&amp;$C$29,Food!$V:$V),0),"")</f>
        <v>0</v>
      </c>
      <c r="G31" s="143">
        <f>IFERROR(IF($B$29=$B$29,SUMIF(Food!$C:$C,G$9&amp;$B$29&amp;$C$29,Food!$V:$V),0),"")</f>
        <v>0</v>
      </c>
    </row>
    <row r="32" spans="1:13" ht="15.75" thickBot="1" x14ac:dyDescent="0.3">
      <c r="A32" s="139" t="s">
        <v>143</v>
      </c>
      <c r="B32" s="143">
        <f>IFERROR(IF($B$29=$B$29,SUMIF(Food!$C:$C,B$9&amp;$B$29&amp;$C$29,Food!$X:$X),0),"")</f>
        <v>0</v>
      </c>
      <c r="C32" s="143">
        <f>IFERROR(IF($B$29=$B$29,SUMIF(Food!$C:$C,C$9&amp;$B$29&amp;$C$29,Food!$X:$X),0),"")</f>
        <v>0</v>
      </c>
      <c r="D32" s="143">
        <f>IFERROR(IF($B$29=$B$29,SUMIF(Food!$C:$C,D$9&amp;$B$29&amp;$C$29,Food!$X:$X),0),"")</f>
        <v>0</v>
      </c>
      <c r="E32" s="143">
        <f>IFERROR(IF($B$29=$B$29,SUMIF(Food!$C:$C,E$9&amp;$B$29&amp;$C$29,Food!$X:$X),0),"")</f>
        <v>0</v>
      </c>
      <c r="F32" s="143">
        <f>IFERROR(IF($B$29=$B$29,SUMIF(Food!$C:$C,F$9&amp;$B$29&amp;$C$29,Food!$X:$X),0),"")</f>
        <v>0</v>
      </c>
      <c r="G32" s="143">
        <f>IFERROR(IF($B$29=$B$29,SUMIF(Food!$C:$C,G$9&amp;$B$29&amp;$C$29,Food!$X:$X),0),"")</f>
        <v>0</v>
      </c>
    </row>
    <row r="33" spans="1:7" ht="15.75" thickBot="1" x14ac:dyDescent="0.3">
      <c r="A33" s="139" t="s">
        <v>165</v>
      </c>
      <c r="B33" s="143">
        <f>IFERROR(IF($B$29=$B$29,SUMIF(Food!$C:$C,B$9&amp;$B$29&amp;$C$29,Food!$Z:$Z),0),"")</f>
        <v>0</v>
      </c>
      <c r="C33" s="143">
        <f>IFERROR(IF($B$29=$B$29,SUMIF(Food!$C:$C,C$9&amp;$B$29&amp;$C$29,Food!$Z:$Z),0),"")</f>
        <v>0</v>
      </c>
      <c r="D33" s="143">
        <f>IFERROR(IF($B$29=$B$29,SUMIF(Food!$C:$C,D$9&amp;$B$29&amp;$C$29,Food!$Z:$Z),0),"")</f>
        <v>0</v>
      </c>
      <c r="E33" s="143">
        <f>IFERROR(IF($B$29=$B$29,SUMIF(Food!$C:$C,E$9&amp;$B$29&amp;$C$29,Food!$Z:$Z),0),"")</f>
        <v>0</v>
      </c>
      <c r="F33" s="143">
        <f>IFERROR(IF($B$29=$B$29,SUMIF(Food!$C:$C,F$9&amp;$B$29&amp;$C$29,Food!$Z:$Z),0),"")</f>
        <v>0</v>
      </c>
      <c r="G33" s="143">
        <f>IFERROR(IF($B$29=$B$29,SUMIF(Food!$C:$C,G$9&amp;$B$29&amp;$C$29,Food!$O:$O),0),"")</f>
        <v>0</v>
      </c>
    </row>
    <row r="34" spans="1:7" ht="15.75" thickBot="1" x14ac:dyDescent="0.3">
      <c r="A34" s="139" t="s">
        <v>166</v>
      </c>
      <c r="B34" s="143">
        <f>IFERROR(IF($B$29=$B$29,SUMIF(Food!$C:$C,B$9&amp;$B$29&amp;$C$29,Food!$AA:$AA),0),"")</f>
        <v>0</v>
      </c>
      <c r="C34" s="143">
        <f>IFERROR(IF($B$29=$B$29,SUMIF(Food!$C:$C,C$9&amp;$B$29&amp;$C$29,Food!$AA:$AA),0),"")</f>
        <v>0</v>
      </c>
      <c r="D34" s="143">
        <f>IFERROR(IF($B$29=$B$29,SUMIF(Food!$C:$C,D$9&amp;$B$29&amp;$C$29,Food!$AA:$AA),0),"")</f>
        <v>0</v>
      </c>
      <c r="E34" s="143">
        <f>IFERROR(IF($B$29=$B$29,SUMIF(Food!$C:$C,E$9&amp;$B$29&amp;$C$29,Food!$AA:$AA),0),"")</f>
        <v>0</v>
      </c>
      <c r="F34" s="143">
        <f>IFERROR(IF($B$29=$B$29,SUMIF(Food!$C:$C,F$9&amp;$B$29&amp;$C$29,Food!$AA:$AA),0),"")</f>
        <v>0</v>
      </c>
      <c r="G34" s="143">
        <f>IFERROR(IF($B$29=$B$29,SUMIF(Food!$C:$C,G$9&amp;$B$29&amp;$C$29,Food!$P:$P),0),"")</f>
        <v>0</v>
      </c>
    </row>
    <row r="35" spans="1:7" x14ac:dyDescent="0.25">
      <c r="A35" s="154"/>
      <c r="B35" s="155"/>
      <c r="C35" s="155"/>
      <c r="D35" s="155"/>
      <c r="E35" s="155"/>
      <c r="F35" s="155"/>
      <c r="G35" s="155"/>
    </row>
    <row r="36" spans="1:7" ht="15.75" thickBot="1" x14ac:dyDescent="0.3">
      <c r="A36" s="162" t="s">
        <v>168</v>
      </c>
    </row>
    <row r="37" spans="1:7" ht="15.75" thickBot="1" x14ac:dyDescent="0.3">
      <c r="A37" s="139" t="s">
        <v>141</v>
      </c>
      <c r="B37" s="143">
        <f>'P&amp;L'!$J$30</f>
        <v>0</v>
      </c>
      <c r="C37" s="143">
        <f>'P&amp;L'!$K$30</f>
        <v>4</v>
      </c>
      <c r="D37" s="143">
        <f>'P&amp;L'!$L$30</f>
        <v>3</v>
      </c>
      <c r="E37" s="143">
        <f>'P&amp;L'!$M$30</f>
        <v>2.5</v>
      </c>
      <c r="F37" s="143">
        <f>'P&amp;L'!$N$30</f>
        <v>3</v>
      </c>
      <c r="G37" s="143">
        <f>'P&amp;L'!$O$30</f>
        <v>3</v>
      </c>
    </row>
    <row r="38" spans="1:7" ht="15.75" thickBot="1" x14ac:dyDescent="0.3">
      <c r="A38" s="139" t="s">
        <v>142</v>
      </c>
      <c r="B38" s="143" t="str">
        <f t="shared" ref="B38:G38" si="7">IFERROR(B31/B7," ")</f>
        <v xml:space="preserve"> </v>
      </c>
      <c r="C38" s="143">
        <f t="shared" si="7"/>
        <v>0</v>
      </c>
      <c r="D38" s="143">
        <f t="shared" si="7"/>
        <v>0</v>
      </c>
      <c r="E38" s="143">
        <f t="shared" si="7"/>
        <v>0</v>
      </c>
      <c r="F38" s="143">
        <f t="shared" si="7"/>
        <v>0</v>
      </c>
      <c r="G38" s="143">
        <f t="shared" si="7"/>
        <v>0</v>
      </c>
    </row>
    <row r="39" spans="1:7" ht="15.75" thickBot="1" x14ac:dyDescent="0.3">
      <c r="A39" s="139" t="s">
        <v>143</v>
      </c>
      <c r="B39" s="143" t="str">
        <f t="shared" ref="B39:G39" si="8">IFERROR(B32/B7," ")</f>
        <v xml:space="preserve"> </v>
      </c>
      <c r="C39" s="143">
        <f t="shared" si="8"/>
        <v>0</v>
      </c>
      <c r="D39" s="143">
        <f t="shared" si="8"/>
        <v>0</v>
      </c>
      <c r="E39" s="143">
        <f t="shared" si="8"/>
        <v>0</v>
      </c>
      <c r="F39" s="143">
        <f t="shared" si="8"/>
        <v>0</v>
      </c>
      <c r="G39" s="143">
        <f t="shared" si="8"/>
        <v>0</v>
      </c>
    </row>
    <row r="40" spans="1:7" ht="15.75" thickBot="1" x14ac:dyDescent="0.3">
      <c r="A40" s="139" t="s">
        <v>165</v>
      </c>
      <c r="B40" s="143" t="str">
        <f>IFERROR(B33/B8," ")</f>
        <v xml:space="preserve"> </v>
      </c>
      <c r="C40" s="143">
        <f>IFERROR(C33/C7," ")</f>
        <v>0</v>
      </c>
      <c r="D40" s="143">
        <f>IFERROR(D33/D7," ")</f>
        <v>0</v>
      </c>
      <c r="E40" s="143">
        <f>IFERROR(E33/E7," ")</f>
        <v>0</v>
      </c>
      <c r="F40" s="143">
        <f>IFERROR(F33/F7," ")</f>
        <v>0</v>
      </c>
      <c r="G40" s="143">
        <f>IFERROR(G33/G7," ")</f>
        <v>0</v>
      </c>
    </row>
    <row r="41" spans="1:7" ht="15.75" thickBot="1" x14ac:dyDescent="0.3">
      <c r="A41" s="139" t="s">
        <v>166</v>
      </c>
      <c r="B41" s="143" t="str">
        <f t="shared" ref="B41:G41" si="9">IFERROR(B34/B7," ")</f>
        <v xml:space="preserve"> </v>
      </c>
      <c r="C41" s="143">
        <f t="shared" si="9"/>
        <v>0</v>
      </c>
      <c r="D41" s="143">
        <f t="shared" si="9"/>
        <v>0</v>
      </c>
      <c r="E41" s="143">
        <f t="shared" si="9"/>
        <v>0</v>
      </c>
      <c r="F41" s="143">
        <f t="shared" si="9"/>
        <v>0</v>
      </c>
      <c r="G41" s="143">
        <f t="shared" si="9"/>
        <v>0</v>
      </c>
    </row>
    <row r="42" spans="1:7" x14ac:dyDescent="0.25">
      <c r="B42" s="156"/>
      <c r="C42" s="156"/>
    </row>
    <row r="43" spans="1:7" x14ac:dyDescent="0.25">
      <c r="B43" s="156"/>
      <c r="C43" s="156"/>
    </row>
    <row r="108" spans="1:1" x14ac:dyDescent="0.25">
      <c r="A108" s="140">
        <v>388</v>
      </c>
    </row>
    <row r="109" spans="1:1" x14ac:dyDescent="0.25">
      <c r="A109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D95B4-7AD4-420D-B268-855BF2F87E59}">
  <sheetPr>
    <tabColor theme="5" tint="0.79998168889431442"/>
  </sheetPr>
  <dimension ref="A1:M115"/>
  <sheetViews>
    <sheetView topLeftCell="A4" zoomScaleNormal="100" workbookViewId="0">
      <selection activeCell="E10" sqref="E10"/>
    </sheetView>
  </sheetViews>
  <sheetFormatPr defaultColWidth="10.7109375" defaultRowHeight="15" x14ac:dyDescent="0.25"/>
  <cols>
    <col min="1" max="1" width="24.28515625" style="140" bestFit="1" customWidth="1"/>
    <col min="2" max="2" width="10.7109375" style="140" bestFit="1" customWidth="1"/>
    <col min="3" max="3" width="15" style="140" bestFit="1" customWidth="1"/>
    <col min="4" max="5" width="12.5703125" style="140" bestFit="1" customWidth="1"/>
    <col min="6" max="6" width="10.7109375" style="140"/>
    <col min="7" max="7" width="15.7109375" style="140" customWidth="1"/>
    <col min="8" max="8" width="12.5703125" style="140" bestFit="1" customWidth="1"/>
    <col min="9" max="9" width="8.5703125" style="140" bestFit="1" customWidth="1"/>
    <col min="10" max="10" width="15.28515625" style="140" bestFit="1" customWidth="1"/>
    <col min="11" max="11" width="10.7109375" style="140"/>
    <col min="12" max="12" width="16.28515625" style="140" bestFit="1" customWidth="1"/>
    <col min="13" max="16384" width="10.7109375" style="140"/>
  </cols>
  <sheetData>
    <row r="1" spans="1:13" ht="15.75" thickBot="1" x14ac:dyDescent="0.3"/>
    <row r="2" spans="1:13" ht="15.75" thickBot="1" x14ac:dyDescent="0.3">
      <c r="A2" s="416" t="s">
        <v>120</v>
      </c>
      <c r="B2" s="24"/>
      <c r="C2" s="150"/>
      <c r="G2" s="145" t="s">
        <v>121</v>
      </c>
      <c r="H2" s="215">
        <f>'Summary '!H2</f>
        <v>7</v>
      </c>
      <c r="L2" s="212" t="s">
        <v>122</v>
      </c>
      <c r="M2" s="212" t="s">
        <v>7</v>
      </c>
    </row>
    <row r="3" spans="1:13" ht="15.75" thickBot="1" x14ac:dyDescent="0.3">
      <c r="A3" s="417"/>
      <c r="B3" s="172"/>
      <c r="C3" s="173"/>
      <c r="E3" s="145" t="s">
        <v>123</v>
      </c>
      <c r="F3" s="147">
        <v>738</v>
      </c>
      <c r="G3" s="145" t="s">
        <v>124</v>
      </c>
      <c r="H3" s="215">
        <f>H4/2</f>
        <v>182</v>
      </c>
      <c r="J3" s="200" t="s">
        <v>125</v>
      </c>
      <c r="L3" s="212">
        <v>737</v>
      </c>
      <c r="M3" s="212">
        <v>1</v>
      </c>
    </row>
    <row r="4" spans="1:13" ht="15.75" thickBot="1" x14ac:dyDescent="0.3">
      <c r="E4" s="145" t="s">
        <v>2</v>
      </c>
      <c r="F4" s="146">
        <f>'P&amp;L'!P4</f>
        <v>0.8</v>
      </c>
      <c r="G4" s="145" t="s">
        <v>126</v>
      </c>
      <c r="H4" s="145">
        <f>H2*52</f>
        <v>364</v>
      </c>
      <c r="J4" s="201">
        <f>H18*H4</f>
        <v>1786695.0747458946</v>
      </c>
      <c r="L4" s="212"/>
      <c r="M4" s="212"/>
    </row>
    <row r="5" spans="1:13" ht="15.75" thickBot="1" x14ac:dyDescent="0.3">
      <c r="A5" s="141" t="s">
        <v>127</v>
      </c>
      <c r="L5" s="212"/>
      <c r="M5" s="212"/>
    </row>
    <row r="6" spans="1:13" ht="15.75" thickBot="1" x14ac:dyDescent="0.3">
      <c r="A6" s="161" t="s">
        <v>128</v>
      </c>
      <c r="B6" s="161" t="s">
        <v>38</v>
      </c>
      <c r="C6" s="161" t="s">
        <v>39</v>
      </c>
      <c r="D6" s="161" t="s">
        <v>40</v>
      </c>
      <c r="E6" s="161" t="s">
        <v>41</v>
      </c>
      <c r="F6" s="161" t="s">
        <v>42</v>
      </c>
      <c r="G6" s="161" t="s">
        <v>43</v>
      </c>
      <c r="H6" s="161" t="s">
        <v>129</v>
      </c>
      <c r="I6" s="160" t="s">
        <v>130</v>
      </c>
      <c r="L6" s="211"/>
      <c r="M6" s="211"/>
    </row>
    <row r="7" spans="1:13" ht="15.75" thickBot="1" x14ac:dyDescent="0.3">
      <c r="A7" s="139" t="s">
        <v>131</v>
      </c>
      <c r="B7" s="139">
        <f>+FlightConfig!B17</f>
        <v>0</v>
      </c>
      <c r="C7" s="139">
        <f>+FlightConfig!C17</f>
        <v>32</v>
      </c>
      <c r="D7" s="139">
        <f>+FlightConfig!D17</f>
        <v>56</v>
      </c>
      <c r="E7" s="139">
        <f>+FlightConfig!E17</f>
        <v>174</v>
      </c>
      <c r="F7" s="139">
        <f>+FlightConfig!F17</f>
        <v>2</v>
      </c>
      <c r="G7" s="139">
        <f>+FlightConfig!G17</f>
        <v>8</v>
      </c>
      <c r="H7" s="139">
        <f>SUM(B7:G7)</f>
        <v>272</v>
      </c>
      <c r="L7" s="211"/>
      <c r="M7" s="211"/>
    </row>
    <row r="8" spans="1:13" ht="15.75" thickBot="1" x14ac:dyDescent="0.3">
      <c r="A8" s="139" t="s">
        <v>132</v>
      </c>
      <c r="B8" s="139">
        <f t="shared" ref="B8:G8" si="0">ROUNDUP(B7*$F$4,0)</f>
        <v>0</v>
      </c>
      <c r="C8" s="139">
        <f t="shared" si="0"/>
        <v>26</v>
      </c>
      <c r="D8" s="139">
        <f t="shared" si="0"/>
        <v>45</v>
      </c>
      <c r="E8" s="139">
        <f t="shared" si="0"/>
        <v>140</v>
      </c>
      <c r="F8" s="139">
        <f t="shared" si="0"/>
        <v>2</v>
      </c>
      <c r="G8" s="139">
        <f t="shared" si="0"/>
        <v>7</v>
      </c>
      <c r="H8" s="139">
        <f>SUM(B8:G8)</f>
        <v>220</v>
      </c>
      <c r="L8" s="211"/>
      <c r="M8" s="211"/>
    </row>
    <row r="9" spans="1:13" ht="15.75" thickBot="1" x14ac:dyDescent="0.3">
      <c r="A9" s="244"/>
      <c r="B9" s="245" t="s">
        <v>133</v>
      </c>
      <c r="C9" s="245" t="s">
        <v>134</v>
      </c>
      <c r="D9" s="245" t="s">
        <v>135</v>
      </c>
      <c r="E9" s="245" t="s">
        <v>136</v>
      </c>
      <c r="F9" s="245" t="s">
        <v>137</v>
      </c>
      <c r="G9" s="245" t="s">
        <v>138</v>
      </c>
      <c r="H9" s="161" t="s">
        <v>139</v>
      </c>
      <c r="J9" s="161" t="s">
        <v>140</v>
      </c>
    </row>
    <row r="10" spans="1:13" ht="15.75" thickBot="1" x14ac:dyDescent="0.3">
      <c r="A10" s="139" t="s">
        <v>141</v>
      </c>
      <c r="B10" s="143">
        <f t="shared" ref="B10:G10" si="1">B43*B8</f>
        <v>0</v>
      </c>
      <c r="C10" s="143">
        <f t="shared" si="1"/>
        <v>104</v>
      </c>
      <c r="D10" s="143">
        <f t="shared" si="1"/>
        <v>135</v>
      </c>
      <c r="E10" s="143">
        <f t="shared" si="1"/>
        <v>350</v>
      </c>
      <c r="F10" s="143">
        <f t="shared" si="1"/>
        <v>6</v>
      </c>
      <c r="G10" s="143">
        <f t="shared" si="1"/>
        <v>21</v>
      </c>
      <c r="H10" s="142">
        <f t="shared" ref="H10:H16" si="2">SUM(B10:G10)</f>
        <v>616</v>
      </c>
      <c r="J10" s="142">
        <f>H10*$H$4</f>
        <v>224224</v>
      </c>
    </row>
    <row r="11" spans="1:13" ht="15.75" thickBot="1" x14ac:dyDescent="0.3">
      <c r="A11" s="139" t="s">
        <v>142</v>
      </c>
      <c r="B11" s="143">
        <f>IFERROR(B44*B8,0)</f>
        <v>0</v>
      </c>
      <c r="C11" s="143">
        <f>IFERROR(C44*$C$8,0)</f>
        <v>479.50820119640338</v>
      </c>
      <c r="D11" s="143">
        <f>IFERROR(D44*$D$8,0)</f>
        <v>549.19246387500004</v>
      </c>
      <c r="E11" s="143">
        <f>IFERROR(E44*$E$8,0)</f>
        <v>708.75660319655174</v>
      </c>
      <c r="F11" s="143">
        <f>IFERROR(F44*$F$8,0)</f>
        <v>21.938409875948579</v>
      </c>
      <c r="G11" s="143">
        <f>IFERROR(G44*G8,0)</f>
        <v>87.896649626895055</v>
      </c>
      <c r="H11" s="142">
        <f t="shared" si="2"/>
        <v>1847.2923277707987</v>
      </c>
      <c r="I11" s="179">
        <f>I12*45%</f>
        <v>1404.6051798860219</v>
      </c>
      <c r="J11" s="142">
        <f>H11*$H$4</f>
        <v>672414.40730857069</v>
      </c>
    </row>
    <row r="12" spans="1:13" ht="15.75" thickBot="1" x14ac:dyDescent="0.3">
      <c r="A12" s="139" t="s">
        <v>143</v>
      </c>
      <c r="B12" s="143">
        <f>IFERROR(B45*B8,0)</f>
        <v>0</v>
      </c>
      <c r="C12" s="143">
        <f>IFERROR(C45*$C$8,0)</f>
        <v>274.26749999999993</v>
      </c>
      <c r="D12" s="143">
        <f>IFERROR(D45*$D$8,0)</f>
        <v>325.83214285714286</v>
      </c>
      <c r="E12" s="143">
        <f>IFERROR(E45*$E$8,0)</f>
        <v>619.93287356321832</v>
      </c>
      <c r="F12" s="143">
        <f>IFERROR(F45*$F$8,0)</f>
        <v>9.64</v>
      </c>
      <c r="G12" s="143">
        <f>IFERROR(G45*G8,0)</f>
        <v>44.379999999999995</v>
      </c>
      <c r="H12" s="142">
        <f t="shared" si="2"/>
        <v>1274.0525164203609</v>
      </c>
      <c r="I12" s="217">
        <f>H11+H12</f>
        <v>3121.3448441911596</v>
      </c>
      <c r="J12" s="142">
        <f t="shared" ref="J12:J18" si="3">H12*$H$4</f>
        <v>463755.11597701139</v>
      </c>
    </row>
    <row r="13" spans="1:13" ht="15.75" thickBot="1" x14ac:dyDescent="0.3">
      <c r="A13" s="139" t="s">
        <v>144</v>
      </c>
      <c r="B13" s="143" t="str">
        <f>IFERROR(B46*B8," ")</f>
        <v xml:space="preserve"> </v>
      </c>
      <c r="C13" s="143">
        <f>IFERROR(C46*$C$8,0)</f>
        <v>68.792522667264933</v>
      </c>
      <c r="D13" s="143">
        <f>IFERROR(D46*$D$8,0)</f>
        <v>59.877061278749984</v>
      </c>
      <c r="E13" s="143">
        <f>IFERROR(E46*$E$8,0)</f>
        <v>107.64986817537927</v>
      </c>
      <c r="F13" s="143">
        <f>IFERROR(F46*$F$8,0)</f>
        <v>2.8519932838733122</v>
      </c>
      <c r="G13" s="143">
        <v>0</v>
      </c>
      <c r="H13" s="142">
        <f t="shared" si="2"/>
        <v>239.17144540526749</v>
      </c>
      <c r="J13" s="142">
        <f t="shared" si="3"/>
        <v>87058.406127517374</v>
      </c>
    </row>
    <row r="14" spans="1:13" ht="15.75" thickBot="1" x14ac:dyDescent="0.3">
      <c r="A14" s="139" t="s">
        <v>145</v>
      </c>
      <c r="B14" s="143" t="str">
        <f>IFERROR(B47*B8," ")</f>
        <v xml:space="preserve"> </v>
      </c>
      <c r="C14" s="143">
        <f>IFERROR(C47*$C$8,0)</f>
        <v>35.654774999999972</v>
      </c>
      <c r="D14" s="143">
        <f>IFERROR(D47*$D$8,0)</f>
        <v>42.358178571428525</v>
      </c>
      <c r="E14" s="143">
        <f>IFERROR(E47*$E$8,0)</f>
        <v>92.827917241379225</v>
      </c>
      <c r="F14" s="143">
        <f>IFERROR(F47*$F$8,0)</f>
        <v>1.2531999999999988</v>
      </c>
      <c r="G14" s="143">
        <v>0</v>
      </c>
      <c r="H14" s="142">
        <f t="shared" si="2"/>
        <v>172.09407081280773</v>
      </c>
      <c r="J14" s="142">
        <f t="shared" si="3"/>
        <v>62642.241775862014</v>
      </c>
      <c r="L14" s="161" t="s">
        <v>147</v>
      </c>
      <c r="M14" s="161"/>
    </row>
    <row r="15" spans="1:13" ht="15.75" thickBot="1" x14ac:dyDescent="0.3">
      <c r="A15" s="139" t="s">
        <v>148</v>
      </c>
      <c r="B15" s="143">
        <v>0</v>
      </c>
      <c r="C15" s="143">
        <v>0</v>
      </c>
      <c r="D15" s="143">
        <v>0</v>
      </c>
      <c r="E15" s="143">
        <f>+B21+B26</f>
        <v>715.08058159096367</v>
      </c>
      <c r="F15" s="143">
        <v>0</v>
      </c>
      <c r="G15" s="143">
        <v>0</v>
      </c>
      <c r="H15" s="142">
        <f t="shared" si="2"/>
        <v>715.08058159096367</v>
      </c>
      <c r="I15" s="179"/>
      <c r="J15" s="142">
        <f t="shared" si="3"/>
        <v>260289.33169911077</v>
      </c>
      <c r="L15" s="207">
        <f>J12+J15</f>
        <v>724044.44767612219</v>
      </c>
      <c r="M15" s="209">
        <v>1</v>
      </c>
    </row>
    <row r="16" spans="1:13" ht="15.75" thickBot="1" x14ac:dyDescent="0.3">
      <c r="A16" s="288" t="s">
        <v>149</v>
      </c>
      <c r="B16" s="289">
        <v>0</v>
      </c>
      <c r="C16" s="289">
        <v>0</v>
      </c>
      <c r="D16" s="289">
        <v>0</v>
      </c>
      <c r="E16" s="290">
        <f>+C21+C26</f>
        <v>44.812010598413835</v>
      </c>
      <c r="F16" s="289">
        <v>0</v>
      </c>
      <c r="G16" s="289">
        <v>0</v>
      </c>
      <c r="H16" s="291">
        <f t="shared" si="2"/>
        <v>44.812010598413835</v>
      </c>
      <c r="I16" s="159"/>
      <c r="J16" s="142">
        <f t="shared" si="3"/>
        <v>16311.571857822635</v>
      </c>
      <c r="L16" s="208">
        <f>L15*M16</f>
        <v>579235.55814089777</v>
      </c>
      <c r="M16" s="209">
        <v>0.8</v>
      </c>
    </row>
    <row r="17" spans="1:13" ht="15.75" thickBot="1" x14ac:dyDescent="0.3">
      <c r="A17" s="139" t="s">
        <v>146</v>
      </c>
      <c r="B17" s="143">
        <f t="shared" ref="B17" si="4">IFERROR(B48*$E$8,0)</f>
        <v>0</v>
      </c>
      <c r="C17" s="143">
        <f>IFERROR(C48*$B$8,0)</f>
        <v>0</v>
      </c>
      <c r="D17" s="143">
        <f>IFERROR(D48*F$8,0)</f>
        <v>0</v>
      </c>
      <c r="E17" s="143">
        <f>IFERROR(E48*E$8,0)</f>
        <v>0</v>
      </c>
      <c r="F17" s="143">
        <f>IFERROR(F48*F$8,0)</f>
        <v>0</v>
      </c>
      <c r="G17" s="143">
        <f t="shared" ref="G17" si="5">IFERROR(G48*G$8,0)</f>
        <v>0</v>
      </c>
      <c r="H17" s="142">
        <f>SUM(B17:G17)</f>
        <v>0</v>
      </c>
      <c r="I17" s="159"/>
      <c r="J17" s="142">
        <f t="shared" ref="J17" si="6">H17*$H$4</f>
        <v>0</v>
      </c>
      <c r="L17" s="208">
        <f>L16*M17</f>
        <v>115847.11162817955</v>
      </c>
      <c r="M17" s="209">
        <v>0.2</v>
      </c>
    </row>
    <row r="18" spans="1:13" ht="15.75" thickBot="1" x14ac:dyDescent="0.3">
      <c r="A18" s="189" t="s">
        <v>150</v>
      </c>
      <c r="B18" s="292">
        <f>SUM(B11:B16)</f>
        <v>0</v>
      </c>
      <c r="C18" s="292">
        <f>SUM(C11:C16)</f>
        <v>858.22299886366829</v>
      </c>
      <c r="D18" s="292">
        <f>SUM(D10:D16)</f>
        <v>1112.2598465823214</v>
      </c>
      <c r="E18" s="292">
        <f>SUM(E10:E16)</f>
        <v>2639.0598543659062</v>
      </c>
      <c r="F18" s="292">
        <f>SUM(F10:F16)</f>
        <v>41.683603159821892</v>
      </c>
      <c r="G18" s="292">
        <f>SUM(G10:G16)</f>
        <v>153.27664962689505</v>
      </c>
      <c r="H18" s="292">
        <f>SUM(H10:H17)</f>
        <v>4908.502952598612</v>
      </c>
      <c r="J18" s="199">
        <f t="shared" si="3"/>
        <v>1786695.0747458946</v>
      </c>
    </row>
    <row r="19" spans="1:13" ht="15.75" thickBot="1" x14ac:dyDescent="0.3">
      <c r="A19" s="187"/>
      <c r="B19" s="188">
        <f>B18</f>
        <v>0</v>
      </c>
      <c r="C19" s="188">
        <f>C18</f>
        <v>858.22299886366829</v>
      </c>
      <c r="D19" s="188">
        <f>D18</f>
        <v>1112.2598465823214</v>
      </c>
      <c r="E19" s="188">
        <f>E18-E15-E16</f>
        <v>1879.1672621765288</v>
      </c>
      <c r="F19" s="188">
        <f>F18</f>
        <v>41.683603159821892</v>
      </c>
      <c r="G19" s="188">
        <f>G18</f>
        <v>153.27664962689505</v>
      </c>
      <c r="H19" s="188"/>
      <c r="I19" s="188">
        <f>E15+E16</f>
        <v>759.89259218937752</v>
      </c>
      <c r="J19" s="188"/>
      <c r="L19" s="206"/>
    </row>
    <row r="20" spans="1:13" ht="15.75" thickBot="1" x14ac:dyDescent="0.3">
      <c r="A20" s="161" t="s">
        <v>151</v>
      </c>
      <c r="B20" s="191" t="s">
        <v>152</v>
      </c>
      <c r="C20" s="191" t="s">
        <v>153</v>
      </c>
      <c r="D20" s="191" t="s">
        <v>154</v>
      </c>
      <c r="E20" s="158"/>
      <c r="F20" s="158"/>
      <c r="G20" s="158"/>
      <c r="H20" s="160"/>
      <c r="I20" s="158">
        <f>E16</f>
        <v>44.812010598413835</v>
      </c>
    </row>
    <row r="21" spans="1:13" ht="15.75" thickBot="1" x14ac:dyDescent="0.3">
      <c r="A21" s="189">
        <v>330</v>
      </c>
      <c r="B21" s="190">
        <f>Handling!C22</f>
        <v>515.08058159096367</v>
      </c>
      <c r="C21" s="190">
        <f>B21*'P&amp;L'!$P$10</f>
        <v>44.812010598413835</v>
      </c>
      <c r="D21" s="190">
        <f>SUM(B21:C21)</f>
        <v>559.89259218937752</v>
      </c>
      <c r="G21" s="179"/>
    </row>
    <row r="22" spans="1:13" ht="15.75" hidden="1" thickBot="1" x14ac:dyDescent="0.3">
      <c r="A22" s="162" t="s">
        <v>156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  <c r="G22" s="179"/>
    </row>
    <row r="23" spans="1:13" ht="15.75" hidden="1" thickBot="1" x14ac:dyDescent="0.3">
      <c r="A23" s="162" t="s">
        <v>157</v>
      </c>
      <c r="B23" s="143" t="e">
        <f>Handling!#REF!</f>
        <v>#REF!</v>
      </c>
      <c r="C23" s="143" t="e">
        <f>Handling!#REF!</f>
        <v>#REF!</v>
      </c>
      <c r="D23" s="143" t="e">
        <f>Handling!#REF!</f>
        <v>#REF!</v>
      </c>
    </row>
    <row r="24" spans="1:13" ht="15.75" thickBot="1" x14ac:dyDescent="0.3"/>
    <row r="25" spans="1:13" ht="15.75" thickBot="1" x14ac:dyDescent="0.3">
      <c r="A25" s="161" t="s">
        <v>158</v>
      </c>
      <c r="B25" s="191" t="s">
        <v>152</v>
      </c>
      <c r="C25" s="191" t="s">
        <v>153</v>
      </c>
      <c r="D25" s="191" t="s">
        <v>154</v>
      </c>
      <c r="E25" s="158"/>
      <c r="F25" s="158"/>
      <c r="G25" s="158"/>
      <c r="H25" s="160"/>
      <c r="I25" s="158">
        <f>E21</f>
        <v>0</v>
      </c>
    </row>
    <row r="26" spans="1:13" ht="15.75" thickBot="1" x14ac:dyDescent="0.3">
      <c r="A26" s="189">
        <v>330</v>
      </c>
      <c r="B26" s="190">
        <f>Handling!C26</f>
        <v>200</v>
      </c>
      <c r="C26" s="190">
        <f>B26*'P&amp;L'!$P$11</f>
        <v>0</v>
      </c>
      <c r="D26" s="190">
        <f>SUM(B26:C26)</f>
        <v>200</v>
      </c>
      <c r="G26" s="179"/>
    </row>
    <row r="27" spans="1:13" customFormat="1" ht="15.75" thickBot="1" x14ac:dyDescent="0.3"/>
    <row r="28" spans="1:13" ht="15.75" thickBot="1" x14ac:dyDescent="0.3">
      <c r="A28" s="139" t="s">
        <v>159</v>
      </c>
      <c r="B28" s="143">
        <f>IFERROR(((B11+B12+B13+B14)/B8),0)</f>
        <v>0</v>
      </c>
      <c r="C28" s="143">
        <f>IFERROR(((C11+C12+C13+C14)/C8),0)</f>
        <v>33.008576879371859</v>
      </c>
      <c r="D28" s="143">
        <f>IFERROR(((D10+D11+D12+D13+D14)/D8),0)</f>
        <v>24.716885479607143</v>
      </c>
      <c r="E28" s="143">
        <f>IFERROR(((E10+E11+E12+E13+E14)/E8),0)</f>
        <v>13.422623301260918</v>
      </c>
      <c r="F28" s="143">
        <f>IFERROR(((F10+F11+F12+F13+F14)/F8),0)</f>
        <v>20.841801579910946</v>
      </c>
      <c r="G28" s="143">
        <f>IFERROR(((G10+G11+G12+G13+G14)/G8),0)</f>
        <v>21.896664232413578</v>
      </c>
    </row>
    <row r="29" spans="1:13" ht="15.75" thickBot="1" x14ac:dyDescent="0.3">
      <c r="A29" s="139" t="s">
        <v>160</v>
      </c>
      <c r="B29" s="143">
        <f t="shared" ref="B29:G29" si="7">IFERROR(((B13+B14)/B8),0)</f>
        <v>0</v>
      </c>
      <c r="C29" s="143">
        <f t="shared" si="7"/>
        <v>4.0172037564332657</v>
      </c>
      <c r="D29" s="143">
        <f t="shared" si="7"/>
        <v>2.2718942188928559</v>
      </c>
      <c r="E29" s="143">
        <f t="shared" si="7"/>
        <v>1.4319841815482748</v>
      </c>
      <c r="F29" s="143">
        <f t="shared" si="7"/>
        <v>2.0525966419366553</v>
      </c>
      <c r="G29" s="143">
        <f t="shared" si="7"/>
        <v>0</v>
      </c>
    </row>
    <row r="30" spans="1:13" ht="15.75" thickBot="1" x14ac:dyDescent="0.3">
      <c r="A30" s="139" t="s">
        <v>161</v>
      </c>
      <c r="B30" s="143">
        <f t="shared" ref="B30:G30" si="8">IFERROR((B10/B8),0)</f>
        <v>0</v>
      </c>
      <c r="C30" s="143">
        <f t="shared" si="8"/>
        <v>4</v>
      </c>
      <c r="D30" s="143">
        <f t="shared" si="8"/>
        <v>3</v>
      </c>
      <c r="E30" s="143">
        <f t="shared" si="8"/>
        <v>2.5</v>
      </c>
      <c r="F30" s="143">
        <f t="shared" si="8"/>
        <v>3</v>
      </c>
      <c r="G30" s="143">
        <f t="shared" si="8"/>
        <v>3</v>
      </c>
    </row>
    <row r="31" spans="1:13" ht="15.75" thickBot="1" x14ac:dyDescent="0.3">
      <c r="A31" s="139" t="s">
        <v>171</v>
      </c>
      <c r="B31" s="143">
        <f>IFERROR((B17/B8),0)</f>
        <v>0</v>
      </c>
      <c r="C31" s="143">
        <f>IFERROR((C17/C8),0)</f>
        <v>0</v>
      </c>
      <c r="D31" s="143">
        <f t="shared" ref="D31:G31" si="9">IFERROR((D17/D8),0)</f>
        <v>0</v>
      </c>
      <c r="E31" s="143">
        <f t="shared" si="9"/>
        <v>0</v>
      </c>
      <c r="F31" s="143">
        <f t="shared" si="9"/>
        <v>0</v>
      </c>
      <c r="G31" s="143">
        <f t="shared" si="9"/>
        <v>0</v>
      </c>
    </row>
    <row r="32" spans="1:13" s="203" customFormat="1" x14ac:dyDescent="0.25">
      <c r="A32" s="204"/>
      <c r="B32" s="205"/>
      <c r="C32" s="205"/>
      <c r="D32" s="205"/>
      <c r="E32" s="205"/>
      <c r="F32" s="205"/>
      <c r="G32" s="205"/>
    </row>
    <row r="33" spans="1:8" x14ac:dyDescent="0.25">
      <c r="B33" s="162" t="s">
        <v>162</v>
      </c>
      <c r="C33" s="162" t="s">
        <v>163</v>
      </c>
    </row>
    <row r="34" spans="1:8" ht="15.75" thickBot="1" x14ac:dyDescent="0.3">
      <c r="A34" s="162" t="s">
        <v>164</v>
      </c>
      <c r="B34" s="162">
        <f>'P&amp;L'!P5</f>
        <v>3</v>
      </c>
      <c r="C34" s="162"/>
    </row>
    <row r="35" spans="1:8" ht="15.75" thickBot="1" x14ac:dyDescent="0.3">
      <c r="A35" s="139" t="s">
        <v>141</v>
      </c>
      <c r="B35" s="143">
        <f t="shared" ref="B35:G35" si="10">B43*B8</f>
        <v>0</v>
      </c>
      <c r="C35" s="143">
        <f t="shared" si="10"/>
        <v>104</v>
      </c>
      <c r="D35" s="143">
        <f t="shared" si="10"/>
        <v>135</v>
      </c>
      <c r="E35" s="143">
        <f t="shared" si="10"/>
        <v>350</v>
      </c>
      <c r="F35" s="143">
        <f t="shared" si="10"/>
        <v>6</v>
      </c>
      <c r="G35" s="143">
        <f t="shared" si="10"/>
        <v>21</v>
      </c>
    </row>
    <row r="36" spans="1:8" ht="15.75" thickBot="1" x14ac:dyDescent="0.3">
      <c r="A36" s="139" t="s">
        <v>142</v>
      </c>
      <c r="B36" s="143">
        <f>IFERROR(IF($B$34=$B$34,SUMIF(Food!$C:$C,B$9&amp;$B$34&amp;$C$34,Food!$V:$V),0),"")</f>
        <v>0</v>
      </c>
      <c r="C36" s="143">
        <f>IFERROR(IF($B$34=$B$34,SUMIF(Food!$C:$C,C$9&amp;$B$34&amp;$C$34,Food!$V:$V),0),"")</f>
        <v>590.16393993403494</v>
      </c>
      <c r="D36" s="143">
        <f>IFERROR(IF($B$34=$B$34,SUMIF(Food!$C:$C,D$9&amp;$B$34&amp;$C$34,Food!$V:$V),0),"")</f>
        <v>683.43951060000006</v>
      </c>
      <c r="E36" s="143">
        <f>IFERROR(IF($B$34=$B$34,SUMIF(Food!$C:$C,E$9&amp;$B$34&amp;$C$34,Food!$V:$V),0),"")</f>
        <v>880.88320682999995</v>
      </c>
      <c r="F36" s="143">
        <f>IFERROR(IF($B$34=$B$34,SUMIF(Food!$C:$C,F$9&amp;$B$34&amp;$C$34,Food!$V:$V),0),"")</f>
        <v>21.938409875948579</v>
      </c>
      <c r="G36" s="143">
        <f>IFERROR(IF($B$34=$B$34,SUMIF(Food!$C:$C,G$9&amp;$B$34&amp;$C$34,Food!$V:$V),0),"")</f>
        <v>100.45331385930864</v>
      </c>
      <c r="H36" s="270"/>
    </row>
    <row r="37" spans="1:8" ht="15.75" thickBot="1" x14ac:dyDescent="0.3">
      <c r="A37" s="139" t="s">
        <v>143</v>
      </c>
      <c r="B37" s="143">
        <f>IFERROR(IF($B$34=$B$34,SUMIF(Food!$C:$C,B$9&amp;$B$34&amp;$C$34,Food!$X:$X),0),"")</f>
        <v>0</v>
      </c>
      <c r="C37" s="143">
        <f>IFERROR(IF($B$34=$B$34,SUMIF(Food!$C:$C,C$9&amp;$B$34&amp;$C$34,Food!$X:$X),0),"")</f>
        <v>337.55999999999995</v>
      </c>
      <c r="D37" s="143">
        <f>IFERROR(IF($B$34=$B$34,SUMIF(Food!$C:$C,D$9&amp;$B$34&amp;$C$34,Food!$X:$X),0),"")</f>
        <v>405.48</v>
      </c>
      <c r="E37" s="143">
        <f>IFERROR(IF($B$34=$B$34,SUMIF(Food!$C:$C,E$9&amp;$B$34&amp;$C$34,Food!$X:$X),0),"")</f>
        <v>770.48799999999994</v>
      </c>
      <c r="F37" s="143">
        <f>IFERROR(IF($B$34=$B$34,SUMIF(Food!$C:$C,F$9&amp;$B$34&amp;$C$34,Food!$X:$X),0),"")</f>
        <v>9.64</v>
      </c>
      <c r="G37" s="143">
        <f>IFERROR(IF($B$34=$B$34,SUMIF(Food!$C:$C,G$9&amp;$B$34&amp;$C$34,Food!$X:$X),0),"")</f>
        <v>50.72</v>
      </c>
    </row>
    <row r="38" spans="1:8" ht="15.75" thickBot="1" x14ac:dyDescent="0.3">
      <c r="A38" s="139" t="s">
        <v>165</v>
      </c>
      <c r="B38" s="143">
        <f>IFERROR(IF($B$34=$B$34,SUMIF(Food!$C:$C,B$9&amp;$B$34&amp;$C$34,Food!$Z:$Z),0),"")</f>
        <v>0</v>
      </c>
      <c r="C38" s="143">
        <f>IFERROR(IF($B$34=$B$34,SUMIF(Food!$C:$C,C$9&amp;$B$34&amp;$C$34,Food!$Z:$Z),0),"")</f>
        <v>84.667720205864526</v>
      </c>
      <c r="D38" s="143">
        <f>IFERROR(IF($B$34=$B$34,SUMIF(Food!$C:$C,D$9&amp;$B$34&amp;$C$34,Food!$Z:$Z),0),"")</f>
        <v>74.513676257999975</v>
      </c>
      <c r="E38" s="143">
        <f>IFERROR(IF($B$34=$B$34,SUMIF(Food!$C:$C,E$9&amp;$B$34&amp;$C$34,Food!$Z:$Z),0),"")</f>
        <v>133.79340758939995</v>
      </c>
      <c r="F38" s="143">
        <f>IFERROR(IF($B$34=$B$34,SUMIF(Food!$C:$C,F$9&amp;$B$34&amp;$C$34,Food!$Z:$Z),0),"")</f>
        <v>2.8519932838733122</v>
      </c>
      <c r="G38" s="143">
        <f>IFERROR(IF($B$34=$B$34,SUMIF(Food!$C:$C,G$9&amp;$B$34&amp;$C$34,Food!$O:$O),0),"")</f>
        <v>2.3732393735787642</v>
      </c>
    </row>
    <row r="39" spans="1:8" ht="15.75" thickBot="1" x14ac:dyDescent="0.3">
      <c r="A39" s="139" t="s">
        <v>166</v>
      </c>
      <c r="B39" s="143">
        <f>IFERROR(IF($B$34=$B$34,SUMIF(Food!$C:$C,B$9&amp;$B$34&amp;$C$34,Food!$AA:$AA),0),"")</f>
        <v>0</v>
      </c>
      <c r="C39" s="143">
        <f>IFERROR(IF($B$34=$B$34,SUMIF(Food!$C:$C,C$9&amp;$B$34&amp;$C$34,Food!$AA:$AA),0),"")</f>
        <v>43.882799999999968</v>
      </c>
      <c r="D39" s="143">
        <f>IFERROR(IF($B$34=$B$34,SUMIF(Food!$C:$C,D$9&amp;$B$34&amp;$C$34,Food!$AA:$AA),0),"")</f>
        <v>52.712399999999946</v>
      </c>
      <c r="E39" s="143">
        <f>IFERROR(IF($B$34=$B$34,SUMIF(Food!$C:$C,E$9&amp;$B$34&amp;$C$34,Food!$AA:$AA),0),"")</f>
        <v>115.37183999999991</v>
      </c>
      <c r="F39" s="143">
        <f>IFERROR(IF($B$34=$B$34,SUMIF(Food!$C:$C,F$9&amp;$B$34&amp;$C$34,Food!$AA:$AA),0),"")</f>
        <v>1.2531999999999988</v>
      </c>
      <c r="G39" s="143">
        <f>IFERROR(IF($B$34=$B$34,SUMIF(Food!$C:$C,G$9&amp;$B$34&amp;$C$34,Food!$P:$P),0),"")</f>
        <v>1.3311999999999984</v>
      </c>
    </row>
    <row r="40" spans="1:8" ht="15.75" thickBot="1" x14ac:dyDescent="0.3">
      <c r="A40" s="139" t="s">
        <v>146</v>
      </c>
      <c r="B40" s="143">
        <f>IFERROR(IF($B$34=$B$34,SUMIF(Food!$C:$C,B$9&amp;$B$34&amp;$C$34,Food!$AA:$AA),0),"")</f>
        <v>0</v>
      </c>
      <c r="C40" s="143" t="str">
        <f>IFERROR(IF($B$34=$B$34,SUMIF(Food!$C:$C,C$9&amp;$B$34&amp;$C$34,Food!#REF!),0),"")</f>
        <v/>
      </c>
      <c r="D40" s="143" t="str">
        <f>IFERROR(IF($B$34=$B$34,SUMIF(Food!$C:$C,D$9&amp;$B$34&amp;$C$34,Food!#REF!),0),"")</f>
        <v/>
      </c>
      <c r="E40" s="143" t="str">
        <f>IFERROR(IF($B$34=$B$34,SUMIF(Food!$C:$C,E$9&amp;$B$34&amp;$C$34,Food!#REF!),0),"")</f>
        <v/>
      </c>
      <c r="F40" s="143" t="str">
        <f>IFERROR(IF($B$34=$B$34,SUMIF(Food!$C:$C,F$9&amp;$B$34&amp;$C$34,Food!#REF!),0),"")</f>
        <v/>
      </c>
      <c r="G40" s="143" t="str">
        <f>IFERROR(IF($B$34=$B$34,SUMIF(Food!$C:$C,G$9&amp;$B$34&amp;$C$34,Food!#REF!),0),"")</f>
        <v/>
      </c>
    </row>
    <row r="41" spans="1:8" x14ac:dyDescent="0.25">
      <c r="A41" s="154"/>
      <c r="B41" s="155"/>
      <c r="C41" s="155"/>
      <c r="D41" s="155"/>
      <c r="E41" s="155"/>
      <c r="F41" s="155"/>
      <c r="G41" s="155"/>
    </row>
    <row r="42" spans="1:8" ht="15.75" thickBot="1" x14ac:dyDescent="0.3">
      <c r="A42" s="162" t="s">
        <v>168</v>
      </c>
    </row>
    <row r="43" spans="1:8" ht="15.75" thickBot="1" x14ac:dyDescent="0.3">
      <c r="A43" s="139" t="s">
        <v>141</v>
      </c>
      <c r="B43" s="143">
        <f>'P&amp;L'!$J$30</f>
        <v>0</v>
      </c>
      <c r="C43" s="143">
        <f>'P&amp;L'!$K$30</f>
        <v>4</v>
      </c>
      <c r="D43" s="143">
        <f>'P&amp;L'!$L$30</f>
        <v>3</v>
      </c>
      <c r="E43" s="143">
        <f>'P&amp;L'!$M$30</f>
        <v>2.5</v>
      </c>
      <c r="F43" s="143">
        <f>'P&amp;L'!$N$30</f>
        <v>3</v>
      </c>
      <c r="G43" s="143">
        <f>'P&amp;L'!$O$30</f>
        <v>3</v>
      </c>
    </row>
    <row r="44" spans="1:8" ht="15.75" thickBot="1" x14ac:dyDescent="0.3">
      <c r="A44" s="139" t="s">
        <v>142</v>
      </c>
      <c r="B44" s="143" t="str">
        <f t="shared" ref="B44:G44" si="11">IFERROR(B36/B7," ")</f>
        <v xml:space="preserve"> </v>
      </c>
      <c r="C44" s="143">
        <f>IFERROR(C36/C7," ")</f>
        <v>18.442623122938592</v>
      </c>
      <c r="D44" s="143">
        <f t="shared" si="11"/>
        <v>12.204276975000001</v>
      </c>
      <c r="E44" s="143">
        <f t="shared" si="11"/>
        <v>5.0625471656896552</v>
      </c>
      <c r="F44" s="143">
        <f t="shared" si="11"/>
        <v>10.96920493797429</v>
      </c>
      <c r="G44" s="143">
        <f t="shared" si="11"/>
        <v>12.55666423241358</v>
      </c>
    </row>
    <row r="45" spans="1:8" ht="15.75" thickBot="1" x14ac:dyDescent="0.3">
      <c r="A45" s="139" t="s">
        <v>143</v>
      </c>
      <c r="B45" s="143" t="str">
        <f t="shared" ref="B45:G45" si="12">IFERROR(B37/B7," ")</f>
        <v xml:space="preserve"> </v>
      </c>
      <c r="C45" s="143">
        <f t="shared" si="12"/>
        <v>10.548749999999998</v>
      </c>
      <c r="D45" s="143">
        <f t="shared" si="12"/>
        <v>7.2407142857142857</v>
      </c>
      <c r="E45" s="143">
        <f t="shared" si="12"/>
        <v>4.4280919540229879</v>
      </c>
      <c r="F45" s="143">
        <f t="shared" si="12"/>
        <v>4.82</v>
      </c>
      <c r="G45" s="143">
        <f t="shared" si="12"/>
        <v>6.34</v>
      </c>
    </row>
    <row r="46" spans="1:8" ht="15.75" thickBot="1" x14ac:dyDescent="0.3">
      <c r="A46" s="139" t="s">
        <v>165</v>
      </c>
      <c r="B46" s="143" t="str">
        <f>IFERROR(B38/B8," ")</f>
        <v xml:space="preserve"> </v>
      </c>
      <c r="C46" s="143">
        <f>IFERROR(C38/C7," ")</f>
        <v>2.6458662564332665</v>
      </c>
      <c r="D46" s="143">
        <f>IFERROR(D38/D7," ")</f>
        <v>1.3306013617499997</v>
      </c>
      <c r="E46" s="143">
        <f>IFERROR(E38/E7," ")</f>
        <v>0.76892762982413765</v>
      </c>
      <c r="F46" s="143">
        <f>IFERROR(F38/F7," ")</f>
        <v>1.4259966419366561</v>
      </c>
      <c r="G46" s="143">
        <f>IFERROR(G38/G7," ")</f>
        <v>0.29665492169734553</v>
      </c>
    </row>
    <row r="47" spans="1:8" ht="15.75" thickBot="1" x14ac:dyDescent="0.3">
      <c r="A47" s="139" t="s">
        <v>166</v>
      </c>
      <c r="B47" s="143" t="str">
        <f t="shared" ref="B47:G48" si="13">IFERROR(B39/B7," ")</f>
        <v xml:space="preserve"> </v>
      </c>
      <c r="C47" s="143">
        <f t="shared" si="13"/>
        <v>1.371337499999999</v>
      </c>
      <c r="D47" s="143">
        <f t="shared" si="13"/>
        <v>0.94129285714285615</v>
      </c>
      <c r="E47" s="143">
        <f t="shared" si="13"/>
        <v>0.66305655172413736</v>
      </c>
      <c r="F47" s="143">
        <f t="shared" si="13"/>
        <v>0.62659999999999938</v>
      </c>
      <c r="G47" s="143">
        <f t="shared" si="13"/>
        <v>0.1663999999999998</v>
      </c>
    </row>
    <row r="48" spans="1:8" ht="15.75" thickBot="1" x14ac:dyDescent="0.3">
      <c r="A48" s="139" t="s">
        <v>146</v>
      </c>
      <c r="B48" s="143" t="str">
        <f t="shared" si="13"/>
        <v xml:space="preserve"> </v>
      </c>
      <c r="C48" s="143" t="str">
        <f t="shared" si="13"/>
        <v xml:space="preserve"> </v>
      </c>
      <c r="D48" s="143" t="str">
        <f t="shared" si="13"/>
        <v xml:space="preserve"> </v>
      </c>
      <c r="E48" s="143" t="str">
        <f t="shared" si="13"/>
        <v xml:space="preserve"> </v>
      </c>
      <c r="F48" s="143" t="str">
        <f t="shared" si="13"/>
        <v xml:space="preserve"> </v>
      </c>
      <c r="G48" s="143" t="str">
        <f t="shared" si="13"/>
        <v xml:space="preserve"> </v>
      </c>
    </row>
    <row r="49" spans="2:3" x14ac:dyDescent="0.25">
      <c r="B49" s="156"/>
      <c r="C49" s="156"/>
    </row>
    <row r="114" spans="1:1" x14ac:dyDescent="0.25">
      <c r="A114" s="140">
        <v>388</v>
      </c>
    </row>
    <row r="115" spans="1:1" x14ac:dyDescent="0.25">
      <c r="A115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18372-CA23-4106-9F90-EBFF6BF0D77E}">
  <sheetPr>
    <tabColor theme="5" tint="0.79998168889431442"/>
  </sheetPr>
  <dimension ref="A1:M109"/>
  <sheetViews>
    <sheetView zoomScale="85" zoomScaleNormal="85" workbookViewId="0">
      <selection activeCell="G44" sqref="G44"/>
    </sheetView>
  </sheetViews>
  <sheetFormatPr defaultColWidth="10.7109375" defaultRowHeight="15" x14ac:dyDescent="0.25"/>
  <cols>
    <col min="1" max="1" width="24.28515625" style="140" bestFit="1" customWidth="1"/>
    <col min="2" max="2" width="10.7109375" style="140" bestFit="1" customWidth="1"/>
    <col min="3" max="3" width="15" style="140" bestFit="1" customWidth="1"/>
    <col min="4" max="5" width="12.5703125" style="140" bestFit="1" customWidth="1"/>
    <col min="6" max="6" width="10.7109375" style="140"/>
    <col min="7" max="7" width="15.7109375" style="140" customWidth="1"/>
    <col min="8" max="8" width="12.5703125" style="140" bestFit="1" customWidth="1"/>
    <col min="9" max="9" width="8.5703125" style="140" bestFit="1" customWidth="1"/>
    <col min="10" max="10" width="15.28515625" style="140" bestFit="1" customWidth="1"/>
    <col min="11" max="11" width="10.7109375" style="140"/>
    <col min="12" max="12" width="16.28515625" style="140" bestFit="1" customWidth="1"/>
    <col min="13" max="16384" width="10.7109375" style="140"/>
  </cols>
  <sheetData>
    <row r="1" spans="1:13" ht="15.75" thickBot="1" x14ac:dyDescent="0.3"/>
    <row r="2" spans="1:13" ht="15.75" thickBot="1" x14ac:dyDescent="0.3">
      <c r="A2" s="416" t="s">
        <v>120</v>
      </c>
      <c r="B2" s="24"/>
      <c r="C2" s="150"/>
      <c r="G2" s="145" t="s">
        <v>121</v>
      </c>
      <c r="H2" s="215">
        <v>0</v>
      </c>
      <c r="L2" s="212" t="s">
        <v>122</v>
      </c>
      <c r="M2" s="212" t="s">
        <v>7</v>
      </c>
    </row>
    <row r="3" spans="1:13" ht="15.75" thickBot="1" x14ac:dyDescent="0.3">
      <c r="A3" s="417"/>
      <c r="B3" s="172"/>
      <c r="C3" s="173"/>
      <c r="E3" s="145" t="s">
        <v>123</v>
      </c>
      <c r="F3" s="147">
        <v>738</v>
      </c>
      <c r="G3" s="145" t="s">
        <v>124</v>
      </c>
      <c r="H3" s="145">
        <f>H4/12</f>
        <v>0</v>
      </c>
      <c r="J3" s="200" t="s">
        <v>125</v>
      </c>
      <c r="L3" s="212">
        <v>737</v>
      </c>
      <c r="M3" s="212">
        <v>1</v>
      </c>
    </row>
    <row r="4" spans="1:13" ht="15.75" thickBot="1" x14ac:dyDescent="0.3">
      <c r="E4" s="145" t="s">
        <v>2</v>
      </c>
      <c r="F4" s="146">
        <f>'P&amp;L'!P4</f>
        <v>0.8</v>
      </c>
      <c r="G4" s="145" t="s">
        <v>126</v>
      </c>
      <c r="H4" s="145">
        <f>H2*52</f>
        <v>0</v>
      </c>
      <c r="J4" s="201">
        <f>H17*H4</f>
        <v>0</v>
      </c>
      <c r="L4" s="212"/>
      <c r="M4" s="212"/>
    </row>
    <row r="5" spans="1:13" ht="15.75" thickBot="1" x14ac:dyDescent="0.3">
      <c r="A5" s="141" t="s">
        <v>127</v>
      </c>
      <c r="L5" s="212"/>
      <c r="M5" s="212"/>
    </row>
    <row r="6" spans="1:13" ht="15.75" thickBot="1" x14ac:dyDescent="0.3">
      <c r="A6" s="161" t="s">
        <v>128</v>
      </c>
      <c r="B6" s="161" t="s">
        <v>38</v>
      </c>
      <c r="C6" s="161" t="s">
        <v>39</v>
      </c>
      <c r="D6" s="161" t="s">
        <v>40</v>
      </c>
      <c r="E6" s="161" t="s">
        <v>41</v>
      </c>
      <c r="F6" s="161" t="s">
        <v>42</v>
      </c>
      <c r="G6" s="161" t="s">
        <v>43</v>
      </c>
      <c r="H6" s="161" t="s">
        <v>129</v>
      </c>
      <c r="I6" s="160" t="s">
        <v>130</v>
      </c>
      <c r="L6" s="211"/>
      <c r="M6" s="211"/>
    </row>
    <row r="7" spans="1:13" ht="15.75" thickBot="1" x14ac:dyDescent="0.3">
      <c r="A7" s="139" t="s">
        <v>131</v>
      </c>
      <c r="B7" s="139">
        <f>+FlightConfig!B17</f>
        <v>0</v>
      </c>
      <c r="C7" s="139">
        <f>+FlightConfig!C17</f>
        <v>32</v>
      </c>
      <c r="D7" s="139">
        <f>+FlightConfig!D17</f>
        <v>56</v>
      </c>
      <c r="E7" s="139">
        <f>+FlightConfig!E17</f>
        <v>174</v>
      </c>
      <c r="F7" s="139">
        <f>+FlightConfig!F17</f>
        <v>2</v>
      </c>
      <c r="G7" s="139">
        <f>+FlightConfig!G17</f>
        <v>8</v>
      </c>
      <c r="H7" s="139">
        <f>SUM(B7:G7)</f>
        <v>272</v>
      </c>
      <c r="L7" s="211"/>
      <c r="M7" s="211"/>
    </row>
    <row r="8" spans="1:13" ht="15.75" thickBot="1" x14ac:dyDescent="0.3">
      <c r="A8" s="139" t="s">
        <v>132</v>
      </c>
      <c r="B8" s="139">
        <f t="shared" ref="B8:G8" si="0">ROUNDUP(B7*$F$4,0)</f>
        <v>0</v>
      </c>
      <c r="C8" s="139">
        <f t="shared" si="0"/>
        <v>26</v>
      </c>
      <c r="D8" s="139">
        <f t="shared" si="0"/>
        <v>45</v>
      </c>
      <c r="E8" s="139">
        <f t="shared" si="0"/>
        <v>140</v>
      </c>
      <c r="F8" s="139">
        <f t="shared" si="0"/>
        <v>2</v>
      </c>
      <c r="G8" s="139">
        <f t="shared" si="0"/>
        <v>7</v>
      </c>
      <c r="H8" s="139">
        <f>SUM(B8:G8)</f>
        <v>220</v>
      </c>
      <c r="L8" s="211"/>
      <c r="M8" s="211"/>
    </row>
    <row r="9" spans="1:13" ht="15.75" thickBot="1" x14ac:dyDescent="0.3">
      <c r="A9" s="244"/>
      <c r="B9" s="245" t="s">
        <v>133</v>
      </c>
      <c r="C9" s="245" t="s">
        <v>134</v>
      </c>
      <c r="D9" s="245" t="s">
        <v>135</v>
      </c>
      <c r="E9" s="245" t="s">
        <v>136</v>
      </c>
      <c r="F9" s="245" t="s">
        <v>137</v>
      </c>
      <c r="G9" s="245" t="s">
        <v>138</v>
      </c>
      <c r="H9" s="161" t="s">
        <v>139</v>
      </c>
      <c r="J9" s="161" t="s">
        <v>140</v>
      </c>
    </row>
    <row r="10" spans="1:13" ht="15.75" thickBot="1" x14ac:dyDescent="0.3">
      <c r="A10" s="139" t="s">
        <v>141</v>
      </c>
      <c r="B10" s="143">
        <f t="shared" ref="B10:G10" si="1">B37*B8</f>
        <v>0</v>
      </c>
      <c r="C10" s="143">
        <f t="shared" si="1"/>
        <v>104</v>
      </c>
      <c r="D10" s="143">
        <f t="shared" si="1"/>
        <v>135</v>
      </c>
      <c r="E10" s="143">
        <f t="shared" si="1"/>
        <v>350</v>
      </c>
      <c r="F10" s="143">
        <f t="shared" si="1"/>
        <v>6</v>
      </c>
      <c r="G10" s="143">
        <f t="shared" si="1"/>
        <v>21</v>
      </c>
      <c r="H10" s="142">
        <f t="shared" ref="H10:H16" si="2">SUM(B10:G10)</f>
        <v>616</v>
      </c>
      <c r="J10" s="142">
        <f>H10*$H$4</f>
        <v>0</v>
      </c>
    </row>
    <row r="11" spans="1:13" ht="15.75" thickBot="1" x14ac:dyDescent="0.3">
      <c r="A11" s="139" t="s">
        <v>142</v>
      </c>
      <c r="B11" s="143">
        <f>IFERROR(B38*B8,0)</f>
        <v>0</v>
      </c>
      <c r="C11" s="143">
        <f>IFERROR(C38*$C$8,0)</f>
        <v>0</v>
      </c>
      <c r="D11" s="143">
        <f>IFERROR(D38*$D$8,0)</f>
        <v>0</v>
      </c>
      <c r="E11" s="143">
        <f>IFERROR(E38*$E$8,0)</f>
        <v>0</v>
      </c>
      <c r="F11" s="143">
        <f>IFERROR(F38*$F$8,0)</f>
        <v>0</v>
      </c>
      <c r="G11" s="143">
        <f>IFERROR(G38*G8,0)</f>
        <v>0</v>
      </c>
      <c r="H11" s="142">
        <f t="shared" si="2"/>
        <v>0</v>
      </c>
      <c r="I11" s="179">
        <f>I12*45%</f>
        <v>0</v>
      </c>
      <c r="J11" s="142">
        <f>H11*$H$4</f>
        <v>0</v>
      </c>
    </row>
    <row r="12" spans="1:13" ht="15.75" thickBot="1" x14ac:dyDescent="0.3">
      <c r="A12" s="139" t="s">
        <v>143</v>
      </c>
      <c r="B12" s="143">
        <f>IFERROR(B39*B8,0)</f>
        <v>0</v>
      </c>
      <c r="C12" s="143">
        <f>IFERROR(C39*$C$8,0)</f>
        <v>0</v>
      </c>
      <c r="D12" s="143">
        <f>IFERROR(D39*$D$8,0)</f>
        <v>0</v>
      </c>
      <c r="E12" s="143">
        <f>IFERROR(E39*$E$8,0)</f>
        <v>0</v>
      </c>
      <c r="F12" s="143">
        <f>IFERROR(F39*$F$8,0)</f>
        <v>0</v>
      </c>
      <c r="G12" s="143">
        <f>IFERROR(G39*G8,0)</f>
        <v>0</v>
      </c>
      <c r="H12" s="142">
        <f t="shared" si="2"/>
        <v>0</v>
      </c>
      <c r="I12" s="217">
        <f>H11+H12</f>
        <v>0</v>
      </c>
      <c r="J12" s="142">
        <f t="shared" ref="J12:J17" si="3">H12*$H$4</f>
        <v>0</v>
      </c>
    </row>
    <row r="13" spans="1:13" ht="15.75" thickBot="1" x14ac:dyDescent="0.3">
      <c r="A13" s="139" t="s">
        <v>144</v>
      </c>
      <c r="B13" s="143" t="str">
        <f>IFERROR(B40*B8," ")</f>
        <v xml:space="preserve"> </v>
      </c>
      <c r="C13" s="143">
        <f>IFERROR(C40*$C$8,0)</f>
        <v>0</v>
      </c>
      <c r="D13" s="143">
        <f>IFERROR(D40*$D$8,0)</f>
        <v>0</v>
      </c>
      <c r="E13" s="143">
        <f>IFERROR(E40*$E$8,0)</f>
        <v>0</v>
      </c>
      <c r="F13" s="143">
        <f>IFERROR(F40*$F$8,0)</f>
        <v>0</v>
      </c>
      <c r="G13" s="143">
        <v>0</v>
      </c>
      <c r="H13" s="142">
        <f t="shared" si="2"/>
        <v>0</v>
      </c>
      <c r="J13" s="142">
        <f t="shared" si="3"/>
        <v>0</v>
      </c>
    </row>
    <row r="14" spans="1:13" ht="15.75" thickBot="1" x14ac:dyDescent="0.3">
      <c r="A14" s="139" t="s">
        <v>145</v>
      </c>
      <c r="B14" s="143" t="str">
        <f>IFERROR(B41*B8," ")</f>
        <v xml:space="preserve"> </v>
      </c>
      <c r="C14" s="143">
        <f>IFERROR(C41*$C$8,0)</f>
        <v>0</v>
      </c>
      <c r="D14" s="143">
        <f>IFERROR(D41*$D$8,0)</f>
        <v>0</v>
      </c>
      <c r="E14" s="143">
        <f>IFERROR(E41*$E$8,0)</f>
        <v>0</v>
      </c>
      <c r="F14" s="143">
        <f>IFERROR(F41*$F$8,0)</f>
        <v>0</v>
      </c>
      <c r="G14" s="143">
        <v>0</v>
      </c>
      <c r="H14" s="142">
        <f t="shared" si="2"/>
        <v>0</v>
      </c>
      <c r="J14" s="142">
        <f t="shared" si="3"/>
        <v>0</v>
      </c>
      <c r="L14" s="161" t="s">
        <v>147</v>
      </c>
      <c r="M14" s="161"/>
    </row>
    <row r="15" spans="1:13" ht="15.75" thickBot="1" x14ac:dyDescent="0.3">
      <c r="A15" s="139" t="s">
        <v>148</v>
      </c>
      <c r="B15" s="143">
        <v>0</v>
      </c>
      <c r="C15" s="143">
        <v>0</v>
      </c>
      <c r="D15" s="143">
        <v>0</v>
      </c>
      <c r="E15" s="143">
        <f>+B20</f>
        <v>515.08058159096367</v>
      </c>
      <c r="F15" s="143">
        <v>0</v>
      </c>
      <c r="G15" s="143">
        <v>0</v>
      </c>
      <c r="H15" s="142">
        <f t="shared" si="2"/>
        <v>515.08058159096367</v>
      </c>
      <c r="I15" s="179"/>
      <c r="J15" s="142">
        <f t="shared" si="3"/>
        <v>0</v>
      </c>
      <c r="L15" s="207">
        <f>J12+J15</f>
        <v>0</v>
      </c>
      <c r="M15" s="209">
        <v>1</v>
      </c>
    </row>
    <row r="16" spans="1:13" ht="15.75" thickBot="1" x14ac:dyDescent="0.3">
      <c r="A16" s="139" t="s">
        <v>149</v>
      </c>
      <c r="B16" s="144">
        <v>0</v>
      </c>
      <c r="C16" s="144">
        <v>0</v>
      </c>
      <c r="D16" s="144">
        <v>0</v>
      </c>
      <c r="E16" s="143">
        <f>+C20</f>
        <v>44.812010598413835</v>
      </c>
      <c r="F16" s="144">
        <v>0</v>
      </c>
      <c r="G16" s="144">
        <v>0</v>
      </c>
      <c r="H16" s="142">
        <f t="shared" si="2"/>
        <v>44.812010598413835</v>
      </c>
      <c r="I16" s="159"/>
      <c r="J16" s="142">
        <f t="shared" si="3"/>
        <v>0</v>
      </c>
      <c r="L16" s="208">
        <f>L15*M16</f>
        <v>0</v>
      </c>
      <c r="M16" s="209">
        <v>0.8</v>
      </c>
    </row>
    <row r="17" spans="1:13" ht="15.75" thickBot="1" x14ac:dyDescent="0.3">
      <c r="A17" s="162" t="s">
        <v>150</v>
      </c>
      <c r="B17" s="163">
        <f>SUM(B11:B16)</f>
        <v>0</v>
      </c>
      <c r="C17" s="163">
        <f>SUM(C11:C16)</f>
        <v>0</v>
      </c>
      <c r="D17" s="163">
        <f>SUM(D10:D16)</f>
        <v>135</v>
      </c>
      <c r="E17" s="163">
        <f>SUM(E10:E16)</f>
        <v>909.89259218937752</v>
      </c>
      <c r="F17" s="163">
        <f>SUM(F10:F16)</f>
        <v>6</v>
      </c>
      <c r="G17" s="163">
        <f>SUM(G10:G16)</f>
        <v>21</v>
      </c>
      <c r="H17" s="163">
        <f>SUM(H10:H16)</f>
        <v>1175.8925921893774</v>
      </c>
      <c r="J17" s="199">
        <f t="shared" si="3"/>
        <v>0</v>
      </c>
      <c r="L17" s="208">
        <f>L15*M17</f>
        <v>0</v>
      </c>
      <c r="M17" s="209">
        <v>0.2</v>
      </c>
    </row>
    <row r="18" spans="1:13" ht="15.75" thickBot="1" x14ac:dyDescent="0.3">
      <c r="A18" s="187"/>
      <c r="B18" s="188">
        <f>B17</f>
        <v>0</v>
      </c>
      <c r="C18" s="188">
        <f>C17</f>
        <v>0</v>
      </c>
      <c r="D18" s="188">
        <f>D17</f>
        <v>135</v>
      </c>
      <c r="E18" s="188">
        <f>E17-E15-E16</f>
        <v>350</v>
      </c>
      <c r="F18" s="188">
        <f>F17</f>
        <v>6</v>
      </c>
      <c r="G18" s="188">
        <f>G17</f>
        <v>21</v>
      </c>
      <c r="H18" s="188"/>
      <c r="I18" s="188">
        <f>E15+E16</f>
        <v>559.89259218937752</v>
      </c>
      <c r="J18" s="188"/>
      <c r="L18" s="206"/>
    </row>
    <row r="19" spans="1:13" ht="15.75" thickBot="1" x14ac:dyDescent="0.3">
      <c r="A19" s="161" t="s">
        <v>151</v>
      </c>
      <c r="B19" s="191" t="s">
        <v>152</v>
      </c>
      <c r="C19" s="191" t="s">
        <v>153</v>
      </c>
      <c r="D19" s="191" t="s">
        <v>154</v>
      </c>
      <c r="E19" s="158"/>
      <c r="F19" s="158"/>
      <c r="G19" s="158"/>
      <c r="H19" s="160"/>
      <c r="I19" s="158">
        <f>E16</f>
        <v>44.812010598413835</v>
      </c>
    </row>
    <row r="20" spans="1:13" ht="15.75" thickBot="1" x14ac:dyDescent="0.3">
      <c r="A20" s="189" t="s">
        <v>170</v>
      </c>
      <c r="B20" s="190">
        <f>Handling!C22</f>
        <v>515.08058159096367</v>
      </c>
      <c r="C20" s="190">
        <f>B20*'P&amp;L'!$P$10</f>
        <v>44.812010598413835</v>
      </c>
      <c r="D20" s="190">
        <f>SUM(B20:C20)</f>
        <v>559.89259218937752</v>
      </c>
      <c r="G20" s="179"/>
    </row>
    <row r="21" spans="1:13" ht="15.75" hidden="1" thickBot="1" x14ac:dyDescent="0.3">
      <c r="A21" s="162" t="s">
        <v>156</v>
      </c>
      <c r="B21" s="143" t="e">
        <f>Handling!#REF!</f>
        <v>#REF!</v>
      </c>
      <c r="C21" s="143" t="e">
        <f>Handling!#REF!</f>
        <v>#REF!</v>
      </c>
      <c r="D21" s="143" t="e">
        <f>Handling!#REF!</f>
        <v>#REF!</v>
      </c>
      <c r="G21" s="179"/>
    </row>
    <row r="22" spans="1:13" ht="15.75" hidden="1" thickBot="1" x14ac:dyDescent="0.3">
      <c r="A22" s="162" t="s">
        <v>157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</row>
    <row r="23" spans="1:13" ht="15.75" thickBot="1" x14ac:dyDescent="0.3"/>
    <row r="24" spans="1:13" ht="15.75" thickBot="1" x14ac:dyDescent="0.3">
      <c r="A24" s="139" t="s">
        <v>159</v>
      </c>
      <c r="B24" s="143">
        <f>IFERROR(((B11+B12+B13+B14)/B8),0)</f>
        <v>0</v>
      </c>
      <c r="C24" s="143">
        <f>IFERROR(((C11+C12+C13+C14)/C8),0)</f>
        <v>0</v>
      </c>
      <c r="D24" s="143">
        <f>IFERROR(((D10+D11+D12+D13+D14)/D8),0)</f>
        <v>3</v>
      </c>
      <c r="E24" s="143">
        <f>IFERROR(((E10+E11+E12+E13+E14)/E8),0)</f>
        <v>2.5</v>
      </c>
      <c r="F24" s="143">
        <f>IFERROR(((F10+F11+F12+F13+F14)/F8),0)</f>
        <v>3</v>
      </c>
      <c r="G24" s="143">
        <f>IFERROR(((G10+G11+G12+G13+G14)/G8),0)</f>
        <v>3</v>
      </c>
    </row>
    <row r="25" spans="1:13" ht="15.75" thickBot="1" x14ac:dyDescent="0.3">
      <c r="A25" s="139" t="s">
        <v>160</v>
      </c>
      <c r="B25" s="143">
        <f t="shared" ref="B25:G25" si="4">IFERROR(((B13+B14)/B8),0)</f>
        <v>0</v>
      </c>
      <c r="C25" s="143">
        <f t="shared" si="4"/>
        <v>0</v>
      </c>
      <c r="D25" s="143">
        <f t="shared" si="4"/>
        <v>0</v>
      </c>
      <c r="E25" s="143">
        <f t="shared" si="4"/>
        <v>0</v>
      </c>
      <c r="F25" s="143">
        <f t="shared" si="4"/>
        <v>0</v>
      </c>
      <c r="G25" s="143">
        <f t="shared" si="4"/>
        <v>0</v>
      </c>
    </row>
    <row r="26" spans="1:13" ht="15.75" thickBot="1" x14ac:dyDescent="0.3">
      <c r="A26" s="139" t="s">
        <v>161</v>
      </c>
      <c r="B26" s="143">
        <f t="shared" ref="B26:G26" si="5">IFERROR((B10/B8),0)</f>
        <v>0</v>
      </c>
      <c r="C26" s="143">
        <f t="shared" si="5"/>
        <v>4</v>
      </c>
      <c r="D26" s="143">
        <f t="shared" si="5"/>
        <v>3</v>
      </c>
      <c r="E26" s="143">
        <f t="shared" si="5"/>
        <v>2.5</v>
      </c>
      <c r="F26" s="143">
        <f t="shared" si="5"/>
        <v>3</v>
      </c>
      <c r="G26" s="143">
        <f t="shared" si="5"/>
        <v>3</v>
      </c>
    </row>
    <row r="27" spans="1:13" s="203" customFormat="1" x14ac:dyDescent="0.25">
      <c r="A27" s="204"/>
      <c r="B27" s="205"/>
      <c r="C27" s="205"/>
      <c r="D27" s="205"/>
      <c r="E27" s="205"/>
      <c r="F27" s="205"/>
      <c r="G27" s="205"/>
    </row>
    <row r="28" spans="1:13" x14ac:dyDescent="0.25">
      <c r="B28" s="162" t="s">
        <v>162</v>
      </c>
      <c r="C28" s="162" t="s">
        <v>163</v>
      </c>
    </row>
    <row r="29" spans="1:13" ht="15.75" thickBot="1" x14ac:dyDescent="0.3">
      <c r="A29" s="162" t="s">
        <v>164</v>
      </c>
      <c r="B29" s="162">
        <f>'P&amp;L'!P5</f>
        <v>3</v>
      </c>
      <c r="C29" s="162">
        <v>2037</v>
      </c>
    </row>
    <row r="30" spans="1:13" ht="15.75" thickBot="1" x14ac:dyDescent="0.3">
      <c r="A30" s="139" t="s">
        <v>141</v>
      </c>
      <c r="B30" s="143">
        <f t="shared" ref="B30:G30" si="6">B37*B8</f>
        <v>0</v>
      </c>
      <c r="C30" s="143">
        <f t="shared" si="6"/>
        <v>104</v>
      </c>
      <c r="D30" s="143">
        <f t="shared" si="6"/>
        <v>135</v>
      </c>
      <c r="E30" s="143">
        <f t="shared" si="6"/>
        <v>350</v>
      </c>
      <c r="F30" s="143">
        <f t="shared" si="6"/>
        <v>6</v>
      </c>
      <c r="G30" s="143">
        <f t="shared" si="6"/>
        <v>21</v>
      </c>
    </row>
    <row r="31" spans="1:13" ht="15.75" thickBot="1" x14ac:dyDescent="0.3">
      <c r="A31" s="139" t="s">
        <v>142</v>
      </c>
      <c r="B31" s="143">
        <f>IFERROR(IF($B$29=$B$29,SUMIF(Food!$C:$C,B$9&amp;$B$29&amp;$C$29,Food!$V:$V),0),"")</f>
        <v>0</v>
      </c>
      <c r="C31" s="143">
        <f>IFERROR(IF($B$29=$B$29,SUMIF(Food!$C:$C,C$9&amp;$B$29&amp;$C$29,Food!$V:$V),0),"")</f>
        <v>0</v>
      </c>
      <c r="D31" s="143">
        <f>IFERROR(IF($B$29=$B$29,SUMIF(Food!$C:$C,D$9&amp;$B$29&amp;$C$29,Food!$V:$V),0),"")</f>
        <v>0</v>
      </c>
      <c r="E31" s="143">
        <f>IFERROR(IF($B$29=$B$29,SUMIF(Food!$C:$C,E$9&amp;$B$29&amp;$C$29,Food!$V:$V),0),"")</f>
        <v>0</v>
      </c>
      <c r="F31" s="143">
        <f>IFERROR(IF($B$29=$B$29,SUMIF(Food!$C:$C,F$9&amp;$B$29&amp;$C$29,Food!$V:$V),0),"")</f>
        <v>0</v>
      </c>
      <c r="G31" s="143">
        <f>IFERROR(IF($B$29=$B$29,SUMIF(Food!$C:$C,G$9&amp;$B$29&amp;$C$29,Food!$V:$V),0),"")</f>
        <v>0</v>
      </c>
    </row>
    <row r="32" spans="1:13" ht="15.75" thickBot="1" x14ac:dyDescent="0.3">
      <c r="A32" s="139" t="s">
        <v>143</v>
      </c>
      <c r="B32" s="143">
        <f>IFERROR(IF($B$29=$B$29,SUMIF(Food!$C:$C,B$9&amp;$B$29&amp;$C$29,Food!$X:$X),0),"")</f>
        <v>0</v>
      </c>
      <c r="C32" s="143">
        <f>IFERROR(IF($B$29=$B$29,SUMIF(Food!$C:$C,C$9&amp;$B$29&amp;$C$29,Food!$X:$X),0),"")</f>
        <v>0</v>
      </c>
      <c r="D32" s="143">
        <f>IFERROR(IF($B$29=$B$29,SUMIF(Food!$C:$C,D$9&amp;$B$29&amp;$C$29,Food!$X:$X),0),"")</f>
        <v>0</v>
      </c>
      <c r="E32" s="143">
        <f>IFERROR(IF($B$29=$B$29,SUMIF(Food!$C:$C,E$9&amp;$B$29&amp;$C$29,Food!$X:$X),0),"")</f>
        <v>0</v>
      </c>
      <c r="F32" s="143">
        <f>IFERROR(IF($B$29=$B$29,SUMIF(Food!$C:$C,F$9&amp;$B$29&amp;$C$29,Food!$X:$X),0),"")</f>
        <v>0</v>
      </c>
      <c r="G32" s="143">
        <f>IFERROR(IF($B$29=$B$29,SUMIF(Food!$C:$C,G$9&amp;$B$29&amp;$C$29,Food!$X:$X),0),"")</f>
        <v>0</v>
      </c>
    </row>
    <row r="33" spans="1:7" ht="15.75" thickBot="1" x14ac:dyDescent="0.3">
      <c r="A33" s="139" t="s">
        <v>165</v>
      </c>
      <c r="B33" s="143">
        <f>IFERROR(IF($B$29=$B$29,SUMIF(Food!$C:$C,B$9&amp;$B$29&amp;$C$29,Food!$Z:$Z),0),"")</f>
        <v>0</v>
      </c>
      <c r="C33" s="143">
        <f>IFERROR(IF($B$29=$B$29,SUMIF(Food!$C:$C,C$9&amp;$B$29&amp;$C$29,Food!$Z:$Z),0),"")</f>
        <v>0</v>
      </c>
      <c r="D33" s="143">
        <f>IFERROR(IF($B$29=$B$29,SUMIF(Food!$C:$C,D$9&amp;$B$29&amp;$C$29,Food!$Z:$Z),0),"")</f>
        <v>0</v>
      </c>
      <c r="E33" s="143">
        <f>IFERROR(IF($B$29=$B$29,SUMIF(Food!$C:$C,E$9&amp;$B$29&amp;$C$29,Food!$Z:$Z),0),"")</f>
        <v>0</v>
      </c>
      <c r="F33" s="143">
        <f>IFERROR(IF($B$29=$B$29,SUMIF(Food!$C:$C,F$9&amp;$B$29&amp;$C$29,Food!$Z:$Z),0),"")</f>
        <v>0</v>
      </c>
      <c r="G33" s="143">
        <f>IFERROR(IF($B$29=$B$29,SUMIF(Food!$C:$C,G$9&amp;$B$29&amp;$C$29,Food!$O:$O),0),"")</f>
        <v>0</v>
      </c>
    </row>
    <row r="34" spans="1:7" ht="15.75" thickBot="1" x14ac:dyDescent="0.3">
      <c r="A34" s="139" t="s">
        <v>166</v>
      </c>
      <c r="B34" s="143">
        <f>IFERROR(IF($B$29=$B$29,SUMIF(Food!$C:$C,B$9&amp;$B$29&amp;$C$29,Food!$AA:$AA),0),"")</f>
        <v>0</v>
      </c>
      <c r="C34" s="143">
        <f>IFERROR(IF($B$29=$B$29,SUMIF(Food!$C:$C,C$9&amp;$B$29&amp;$C$29,Food!$AA:$AA),0),"")</f>
        <v>0</v>
      </c>
      <c r="D34" s="143">
        <f>IFERROR(IF($B$29=$B$29,SUMIF(Food!$C:$C,D$9&amp;$B$29&amp;$C$29,Food!$AA:$AA),0),"")</f>
        <v>0</v>
      </c>
      <c r="E34" s="143">
        <f>IFERROR(IF($B$29=$B$29,SUMIF(Food!$C:$C,E$9&amp;$B$29&amp;$C$29,Food!$AA:$AA),0),"")</f>
        <v>0</v>
      </c>
      <c r="F34" s="143">
        <f>IFERROR(IF($B$29=$B$29,SUMIF(Food!$C:$C,F$9&amp;$B$29&amp;$C$29,Food!$AA:$AA),0),"")</f>
        <v>0</v>
      </c>
      <c r="G34" s="143">
        <f>IFERROR(IF($B$29=$B$29,SUMIF(Food!$C:$C,G$9&amp;$B$29&amp;$C$29,Food!$P:$P),0),"")</f>
        <v>0</v>
      </c>
    </row>
    <row r="35" spans="1:7" x14ac:dyDescent="0.25">
      <c r="A35" s="154"/>
      <c r="B35" s="155"/>
      <c r="C35" s="155"/>
      <c r="D35" s="155"/>
      <c r="E35" s="155"/>
      <c r="F35" s="155"/>
      <c r="G35" s="155"/>
    </row>
    <row r="36" spans="1:7" ht="15.75" thickBot="1" x14ac:dyDescent="0.3">
      <c r="A36" s="162" t="s">
        <v>168</v>
      </c>
    </row>
    <row r="37" spans="1:7" ht="15.75" thickBot="1" x14ac:dyDescent="0.3">
      <c r="A37" s="139" t="s">
        <v>141</v>
      </c>
      <c r="B37" s="143">
        <f>'P&amp;L'!$J$30</f>
        <v>0</v>
      </c>
      <c r="C37" s="143">
        <f>'P&amp;L'!$K$30</f>
        <v>4</v>
      </c>
      <c r="D37" s="143">
        <f>'P&amp;L'!$L$30</f>
        <v>3</v>
      </c>
      <c r="E37" s="143">
        <f>'P&amp;L'!$M$30</f>
        <v>2.5</v>
      </c>
      <c r="F37" s="143">
        <f>'P&amp;L'!$N$30</f>
        <v>3</v>
      </c>
      <c r="G37" s="143">
        <f>'P&amp;L'!$O$30</f>
        <v>3</v>
      </c>
    </row>
    <row r="38" spans="1:7" ht="15.75" thickBot="1" x14ac:dyDescent="0.3">
      <c r="A38" s="139" t="s">
        <v>142</v>
      </c>
      <c r="B38" s="143" t="str">
        <f t="shared" ref="B38:G38" si="7">IFERROR(B31/B7," ")</f>
        <v xml:space="preserve"> </v>
      </c>
      <c r="C38" s="143">
        <f t="shared" si="7"/>
        <v>0</v>
      </c>
      <c r="D38" s="143">
        <f t="shared" si="7"/>
        <v>0</v>
      </c>
      <c r="E38" s="143">
        <f t="shared" si="7"/>
        <v>0</v>
      </c>
      <c r="F38" s="143">
        <f t="shared" si="7"/>
        <v>0</v>
      </c>
      <c r="G38" s="143">
        <f t="shared" si="7"/>
        <v>0</v>
      </c>
    </row>
    <row r="39" spans="1:7" ht="15.75" thickBot="1" x14ac:dyDescent="0.3">
      <c r="A39" s="139" t="s">
        <v>143</v>
      </c>
      <c r="B39" s="143" t="str">
        <f t="shared" ref="B39:G39" si="8">IFERROR(B32/B7," ")</f>
        <v xml:space="preserve"> </v>
      </c>
      <c r="C39" s="143">
        <f t="shared" si="8"/>
        <v>0</v>
      </c>
      <c r="D39" s="143">
        <f t="shared" si="8"/>
        <v>0</v>
      </c>
      <c r="E39" s="143">
        <f t="shared" si="8"/>
        <v>0</v>
      </c>
      <c r="F39" s="143">
        <f t="shared" si="8"/>
        <v>0</v>
      </c>
      <c r="G39" s="143">
        <f t="shared" si="8"/>
        <v>0</v>
      </c>
    </row>
    <row r="40" spans="1:7" ht="15.75" thickBot="1" x14ac:dyDescent="0.3">
      <c r="A40" s="139" t="s">
        <v>165</v>
      </c>
      <c r="B40" s="143" t="str">
        <f>IFERROR(B33/B8," ")</f>
        <v xml:space="preserve"> </v>
      </c>
      <c r="C40" s="143">
        <f>IFERROR(C33/C7," ")</f>
        <v>0</v>
      </c>
      <c r="D40" s="143">
        <f>IFERROR(D33/D7," ")</f>
        <v>0</v>
      </c>
      <c r="E40" s="143">
        <f>IFERROR(E33/E7," ")</f>
        <v>0</v>
      </c>
      <c r="F40" s="143">
        <f>IFERROR(F33/F7," ")</f>
        <v>0</v>
      </c>
      <c r="G40" s="143">
        <f>IFERROR(G33/G7," ")</f>
        <v>0</v>
      </c>
    </row>
    <row r="41" spans="1:7" ht="15.75" thickBot="1" x14ac:dyDescent="0.3">
      <c r="A41" s="139" t="s">
        <v>166</v>
      </c>
      <c r="B41" s="143" t="str">
        <f t="shared" ref="B41:G41" si="9">IFERROR(B34/B7," ")</f>
        <v xml:space="preserve"> </v>
      </c>
      <c r="C41" s="143">
        <f t="shared" si="9"/>
        <v>0</v>
      </c>
      <c r="D41" s="143">
        <f t="shared" si="9"/>
        <v>0</v>
      </c>
      <c r="E41" s="143">
        <f t="shared" si="9"/>
        <v>0</v>
      </c>
      <c r="F41" s="143">
        <f t="shared" si="9"/>
        <v>0</v>
      </c>
      <c r="G41" s="143">
        <f t="shared" si="9"/>
        <v>0</v>
      </c>
    </row>
    <row r="42" spans="1:7" x14ac:dyDescent="0.25">
      <c r="B42" s="156"/>
      <c r="C42" s="156"/>
    </row>
    <row r="43" spans="1:7" x14ac:dyDescent="0.25">
      <c r="B43" s="156"/>
      <c r="C43" s="156"/>
    </row>
    <row r="108" spans="1:1" x14ac:dyDescent="0.25">
      <c r="A108" s="140">
        <v>388</v>
      </c>
    </row>
    <row r="109" spans="1:1" x14ac:dyDescent="0.25">
      <c r="A109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EF65A-A115-4189-8B02-6D23F4032951}">
  <sheetPr>
    <tabColor theme="5" tint="0.79998168889431442"/>
  </sheetPr>
  <dimension ref="A1:M109"/>
  <sheetViews>
    <sheetView zoomScale="85" zoomScaleNormal="85" workbookViewId="0">
      <selection activeCell="I2" sqref="I2"/>
    </sheetView>
  </sheetViews>
  <sheetFormatPr defaultColWidth="10.7109375" defaultRowHeight="15" x14ac:dyDescent="0.25"/>
  <cols>
    <col min="1" max="1" width="24.28515625" style="140" bestFit="1" customWidth="1"/>
    <col min="2" max="2" width="10.7109375" style="140" bestFit="1" customWidth="1"/>
    <col min="3" max="3" width="15" style="140" bestFit="1" customWidth="1"/>
    <col min="4" max="5" width="12.5703125" style="140" bestFit="1" customWidth="1"/>
    <col min="6" max="6" width="10.7109375" style="140"/>
    <col min="7" max="7" width="15.7109375" style="140" customWidth="1"/>
    <col min="8" max="8" width="12.5703125" style="140" bestFit="1" customWidth="1"/>
    <col min="9" max="9" width="8.5703125" style="140" bestFit="1" customWidth="1"/>
    <col min="10" max="10" width="15.28515625" style="140" bestFit="1" customWidth="1"/>
    <col min="11" max="11" width="10.7109375" style="140"/>
    <col min="12" max="12" width="16.28515625" style="140" bestFit="1" customWidth="1"/>
    <col min="13" max="16384" width="10.7109375" style="140"/>
  </cols>
  <sheetData>
    <row r="1" spans="1:13" ht="15.75" thickBot="1" x14ac:dyDescent="0.3"/>
    <row r="2" spans="1:13" ht="15.75" thickBot="1" x14ac:dyDescent="0.3">
      <c r="A2" s="416" t="s">
        <v>120</v>
      </c>
      <c r="B2" s="24"/>
      <c r="C2" s="150"/>
      <c r="G2" s="145" t="s">
        <v>121</v>
      </c>
      <c r="H2" s="215">
        <v>0</v>
      </c>
      <c r="L2" s="212" t="s">
        <v>122</v>
      </c>
      <c r="M2" s="212" t="s">
        <v>7</v>
      </c>
    </row>
    <row r="3" spans="1:13" ht="15.75" thickBot="1" x14ac:dyDescent="0.3">
      <c r="A3" s="417"/>
      <c r="B3" s="172"/>
      <c r="C3" s="173"/>
      <c r="E3" s="145" t="s">
        <v>123</v>
      </c>
      <c r="F3" s="147">
        <v>738</v>
      </c>
      <c r="G3" s="145" t="s">
        <v>124</v>
      </c>
      <c r="H3" s="145">
        <f>H4/12</f>
        <v>0</v>
      </c>
      <c r="J3" s="200" t="s">
        <v>125</v>
      </c>
      <c r="L3" s="212">
        <v>737</v>
      </c>
      <c r="M3" s="212">
        <v>1</v>
      </c>
    </row>
    <row r="4" spans="1:13" ht="15.75" thickBot="1" x14ac:dyDescent="0.3">
      <c r="E4" s="145" t="s">
        <v>2</v>
      </c>
      <c r="F4" s="146">
        <f>'P&amp;L'!P4</f>
        <v>0.8</v>
      </c>
      <c r="G4" s="145" t="s">
        <v>126</v>
      </c>
      <c r="H4" s="145">
        <f>H2*52</f>
        <v>0</v>
      </c>
      <c r="J4" s="201">
        <f>H17*H4</f>
        <v>0</v>
      </c>
      <c r="L4" s="212"/>
      <c r="M4" s="212"/>
    </row>
    <row r="5" spans="1:13" ht="15.75" thickBot="1" x14ac:dyDescent="0.3">
      <c r="A5" s="141" t="s">
        <v>127</v>
      </c>
      <c r="L5" s="212"/>
      <c r="M5" s="212"/>
    </row>
    <row r="6" spans="1:13" ht="15.75" thickBot="1" x14ac:dyDescent="0.3">
      <c r="A6" s="161" t="s">
        <v>128</v>
      </c>
      <c r="B6" s="161" t="s">
        <v>38</v>
      </c>
      <c r="C6" s="161" t="s">
        <v>39</v>
      </c>
      <c r="D6" s="161" t="s">
        <v>40</v>
      </c>
      <c r="E6" s="161" t="s">
        <v>41</v>
      </c>
      <c r="F6" s="161" t="s">
        <v>42</v>
      </c>
      <c r="G6" s="161" t="s">
        <v>43</v>
      </c>
      <c r="H6" s="161" t="s">
        <v>129</v>
      </c>
      <c r="I6" s="160" t="s">
        <v>130</v>
      </c>
      <c r="L6" s="211"/>
      <c r="M6" s="211"/>
    </row>
    <row r="7" spans="1:13" ht="15.75" thickBot="1" x14ac:dyDescent="0.3">
      <c r="A7" s="139" t="s">
        <v>131</v>
      </c>
      <c r="B7" s="139">
        <f>+FlightConfig!B17</f>
        <v>0</v>
      </c>
      <c r="C7" s="139">
        <f>+FlightConfig!C17</f>
        <v>32</v>
      </c>
      <c r="D7" s="139">
        <f>+FlightConfig!D17</f>
        <v>56</v>
      </c>
      <c r="E7" s="139">
        <f>+FlightConfig!E17</f>
        <v>174</v>
      </c>
      <c r="F7" s="139">
        <f>+FlightConfig!F17</f>
        <v>2</v>
      </c>
      <c r="G7" s="139">
        <f>+FlightConfig!G17</f>
        <v>8</v>
      </c>
      <c r="H7" s="139">
        <f>SUM(B7:G7)</f>
        <v>272</v>
      </c>
      <c r="L7" s="211"/>
      <c r="M7" s="211"/>
    </row>
    <row r="8" spans="1:13" ht="15.75" thickBot="1" x14ac:dyDescent="0.3">
      <c r="A8" s="139" t="s">
        <v>132</v>
      </c>
      <c r="B8" s="139">
        <f t="shared" ref="B8:G8" si="0">ROUNDUP(B7*$F$4,0)</f>
        <v>0</v>
      </c>
      <c r="C8" s="139">
        <f t="shared" si="0"/>
        <v>26</v>
      </c>
      <c r="D8" s="139">
        <f t="shared" si="0"/>
        <v>45</v>
      </c>
      <c r="E8" s="139">
        <f t="shared" si="0"/>
        <v>140</v>
      </c>
      <c r="F8" s="139">
        <f t="shared" si="0"/>
        <v>2</v>
      </c>
      <c r="G8" s="139">
        <f t="shared" si="0"/>
        <v>7</v>
      </c>
      <c r="H8" s="139">
        <f>SUM(B8:G8)</f>
        <v>220</v>
      </c>
      <c r="L8" s="211"/>
      <c r="M8" s="211"/>
    </row>
    <row r="9" spans="1:13" ht="15.75" thickBot="1" x14ac:dyDescent="0.3">
      <c r="A9" s="244"/>
      <c r="B9" s="245" t="s">
        <v>133</v>
      </c>
      <c r="C9" s="245" t="s">
        <v>134</v>
      </c>
      <c r="D9" s="245" t="s">
        <v>135</v>
      </c>
      <c r="E9" s="245" t="s">
        <v>136</v>
      </c>
      <c r="F9" s="245" t="s">
        <v>137</v>
      </c>
      <c r="G9" s="245" t="s">
        <v>138</v>
      </c>
      <c r="H9" s="161" t="s">
        <v>139</v>
      </c>
      <c r="J9" s="161" t="s">
        <v>140</v>
      </c>
    </row>
    <row r="10" spans="1:13" ht="15.75" thickBot="1" x14ac:dyDescent="0.3">
      <c r="A10" s="139" t="s">
        <v>141</v>
      </c>
      <c r="B10" s="143">
        <f t="shared" ref="B10:G10" si="1">B37*B8</f>
        <v>0</v>
      </c>
      <c r="C10" s="143">
        <f t="shared" si="1"/>
        <v>104</v>
      </c>
      <c r="D10" s="143">
        <f t="shared" si="1"/>
        <v>135</v>
      </c>
      <c r="E10" s="143">
        <f t="shared" si="1"/>
        <v>350</v>
      </c>
      <c r="F10" s="143">
        <f t="shared" si="1"/>
        <v>6</v>
      </c>
      <c r="G10" s="143">
        <f t="shared" si="1"/>
        <v>21</v>
      </c>
      <c r="H10" s="142">
        <f t="shared" ref="H10:H16" si="2">SUM(B10:G10)</f>
        <v>616</v>
      </c>
      <c r="J10" s="142">
        <f>H10*$H$4</f>
        <v>0</v>
      </c>
    </row>
    <row r="11" spans="1:13" ht="15.75" thickBot="1" x14ac:dyDescent="0.3">
      <c r="A11" s="139" t="s">
        <v>142</v>
      </c>
      <c r="B11" s="143">
        <f>IFERROR(B38*B8,0)</f>
        <v>0</v>
      </c>
      <c r="C11" s="143">
        <f>IFERROR(C38*$C$8,0)</f>
        <v>0</v>
      </c>
      <c r="D11" s="143">
        <f>IFERROR(D38*$D$8,0)</f>
        <v>0</v>
      </c>
      <c r="E11" s="143">
        <f>IFERROR(E38*$E$8,0)</f>
        <v>0</v>
      </c>
      <c r="F11" s="143">
        <f>IFERROR(F38*$F$8,0)</f>
        <v>0</v>
      </c>
      <c r="G11" s="143">
        <f>IFERROR(G38*G8,0)</f>
        <v>0</v>
      </c>
      <c r="H11" s="142">
        <f t="shared" si="2"/>
        <v>0</v>
      </c>
      <c r="I11" s="179">
        <f>I12*45%</f>
        <v>0</v>
      </c>
      <c r="J11" s="142">
        <f>H11*$H$4</f>
        <v>0</v>
      </c>
    </row>
    <row r="12" spans="1:13" ht="15.75" thickBot="1" x14ac:dyDescent="0.3">
      <c r="A12" s="139" t="s">
        <v>143</v>
      </c>
      <c r="B12" s="143">
        <f>IFERROR(B39*B8,0)</f>
        <v>0</v>
      </c>
      <c r="C12" s="143">
        <f>IFERROR(C39*$C$8,0)</f>
        <v>0</v>
      </c>
      <c r="D12" s="143">
        <f>IFERROR(D39*$D$8,0)</f>
        <v>0</v>
      </c>
      <c r="E12" s="143">
        <f>IFERROR(E39*$E$8,0)</f>
        <v>0</v>
      </c>
      <c r="F12" s="143">
        <f>IFERROR(F39*$F$8,0)</f>
        <v>0</v>
      </c>
      <c r="G12" s="143">
        <f>IFERROR(G39*G8,0)</f>
        <v>0</v>
      </c>
      <c r="H12" s="142">
        <f t="shared" si="2"/>
        <v>0</v>
      </c>
      <c r="I12" s="217">
        <f>H11+H12</f>
        <v>0</v>
      </c>
      <c r="J12" s="142">
        <f t="shared" ref="J12:J17" si="3">H12*$H$4</f>
        <v>0</v>
      </c>
    </row>
    <row r="13" spans="1:13" ht="15.75" thickBot="1" x14ac:dyDescent="0.3">
      <c r="A13" s="139" t="s">
        <v>144</v>
      </c>
      <c r="B13" s="143" t="str">
        <f>IFERROR(B40*B8," ")</f>
        <v xml:space="preserve"> </v>
      </c>
      <c r="C13" s="143">
        <f>IFERROR(C40*$C$8,0)</f>
        <v>0</v>
      </c>
      <c r="D13" s="143">
        <f>IFERROR(D40*$D$8,0)</f>
        <v>0</v>
      </c>
      <c r="E13" s="143">
        <f>IFERROR(E40*$E$8,0)</f>
        <v>0</v>
      </c>
      <c r="F13" s="143">
        <f>IFERROR(F40*$F$8,0)</f>
        <v>0</v>
      </c>
      <c r="G13" s="143">
        <v>0</v>
      </c>
      <c r="H13" s="142">
        <f t="shared" si="2"/>
        <v>0</v>
      </c>
      <c r="J13" s="142">
        <f t="shared" si="3"/>
        <v>0</v>
      </c>
    </row>
    <row r="14" spans="1:13" ht="15.75" thickBot="1" x14ac:dyDescent="0.3">
      <c r="A14" s="139" t="s">
        <v>145</v>
      </c>
      <c r="B14" s="143" t="str">
        <f>IFERROR(B41*B8," ")</f>
        <v xml:space="preserve"> </v>
      </c>
      <c r="C14" s="143">
        <f>IFERROR(C41*$C$8,0)</f>
        <v>0</v>
      </c>
      <c r="D14" s="143">
        <f>IFERROR(D41*$D$8,0)</f>
        <v>0</v>
      </c>
      <c r="E14" s="143">
        <f>IFERROR(E41*$E$8,0)</f>
        <v>0</v>
      </c>
      <c r="F14" s="143">
        <f>IFERROR(F41*$F$8,0)</f>
        <v>0</v>
      </c>
      <c r="G14" s="143">
        <v>0</v>
      </c>
      <c r="H14" s="142">
        <f>SUM(B14:G14)</f>
        <v>0</v>
      </c>
      <c r="J14" s="142">
        <f t="shared" si="3"/>
        <v>0</v>
      </c>
      <c r="L14" s="161" t="s">
        <v>147</v>
      </c>
      <c r="M14" s="161"/>
    </row>
    <row r="15" spans="1:13" ht="15.75" thickBot="1" x14ac:dyDescent="0.3">
      <c r="A15" s="139" t="s">
        <v>148</v>
      </c>
      <c r="B15" s="143">
        <v>0</v>
      </c>
      <c r="C15" s="143">
        <v>0</v>
      </c>
      <c r="D15" s="143">
        <v>0</v>
      </c>
      <c r="E15" s="143">
        <f>+B20</f>
        <v>515.08058159096367</v>
      </c>
      <c r="F15" s="143">
        <v>0</v>
      </c>
      <c r="G15" s="143">
        <v>0</v>
      </c>
      <c r="H15" s="142">
        <f t="shared" si="2"/>
        <v>515.08058159096367</v>
      </c>
      <c r="I15" s="179"/>
      <c r="J15" s="142">
        <f t="shared" si="3"/>
        <v>0</v>
      </c>
      <c r="L15" s="207">
        <f>J12+J15</f>
        <v>0</v>
      </c>
      <c r="M15" s="209">
        <v>1</v>
      </c>
    </row>
    <row r="16" spans="1:13" ht="15.75" thickBot="1" x14ac:dyDescent="0.3">
      <c r="A16" s="139" t="s">
        <v>149</v>
      </c>
      <c r="B16" s="144">
        <v>0</v>
      </c>
      <c r="C16" s="144">
        <v>0</v>
      </c>
      <c r="D16" s="144">
        <v>0</v>
      </c>
      <c r="E16" s="143">
        <f>+C20</f>
        <v>44.812010598413835</v>
      </c>
      <c r="F16" s="144">
        <v>0</v>
      </c>
      <c r="G16" s="144">
        <v>0</v>
      </c>
      <c r="H16" s="142">
        <f t="shared" si="2"/>
        <v>44.812010598413835</v>
      </c>
      <c r="I16" s="159"/>
      <c r="J16" s="142">
        <f t="shared" si="3"/>
        <v>0</v>
      </c>
      <c r="L16" s="208">
        <f>L15*M16</f>
        <v>0</v>
      </c>
      <c r="M16" s="209">
        <v>0.8</v>
      </c>
    </row>
    <row r="17" spans="1:13" ht="15.75" thickBot="1" x14ac:dyDescent="0.3">
      <c r="A17" s="162" t="s">
        <v>150</v>
      </c>
      <c r="B17" s="163">
        <f>SUM(B11:B16)</f>
        <v>0</v>
      </c>
      <c r="C17" s="163">
        <f>SUM(C11:C16)</f>
        <v>0</v>
      </c>
      <c r="D17" s="163">
        <f>SUM(D10:D16)</f>
        <v>135</v>
      </c>
      <c r="E17" s="163">
        <f>SUM(E10:E16)</f>
        <v>909.89259218937752</v>
      </c>
      <c r="F17" s="163">
        <f>SUM(F10:F16)</f>
        <v>6</v>
      </c>
      <c r="G17" s="163">
        <f>SUM(G10:G16)</f>
        <v>21</v>
      </c>
      <c r="H17" s="163">
        <f>SUM(H10:H16)</f>
        <v>1175.8925921893774</v>
      </c>
      <c r="J17" s="199">
        <f t="shared" si="3"/>
        <v>0</v>
      </c>
      <c r="L17" s="208">
        <f>L15*M17</f>
        <v>0</v>
      </c>
      <c r="M17" s="209">
        <v>0.2</v>
      </c>
    </row>
    <row r="18" spans="1:13" ht="15.75" thickBot="1" x14ac:dyDescent="0.3">
      <c r="A18" s="187"/>
      <c r="B18" s="188">
        <f>B17</f>
        <v>0</v>
      </c>
      <c r="C18" s="188">
        <f>C17</f>
        <v>0</v>
      </c>
      <c r="D18" s="188">
        <f>D17</f>
        <v>135</v>
      </c>
      <c r="E18" s="188">
        <f>E17-E15-E16</f>
        <v>350</v>
      </c>
      <c r="F18" s="188">
        <f>F17</f>
        <v>6</v>
      </c>
      <c r="G18" s="188">
        <f>G17</f>
        <v>21</v>
      </c>
      <c r="H18" s="188"/>
      <c r="I18" s="188">
        <f>E15+E16</f>
        <v>559.89259218937752</v>
      </c>
      <c r="J18" s="188"/>
      <c r="L18" s="206"/>
    </row>
    <row r="19" spans="1:13" ht="15.75" thickBot="1" x14ac:dyDescent="0.3">
      <c r="A19" s="161" t="s">
        <v>151</v>
      </c>
      <c r="B19" s="191" t="s">
        <v>152</v>
      </c>
      <c r="C19" s="191" t="s">
        <v>153</v>
      </c>
      <c r="D19" s="191" t="s">
        <v>154</v>
      </c>
      <c r="E19" s="158"/>
      <c r="F19" s="158"/>
      <c r="G19" s="158"/>
      <c r="H19" s="160"/>
      <c r="I19" s="158">
        <f>E16</f>
        <v>44.812010598413835</v>
      </c>
    </row>
    <row r="20" spans="1:13" ht="15.75" thickBot="1" x14ac:dyDescent="0.3">
      <c r="A20" s="189" t="s">
        <v>170</v>
      </c>
      <c r="B20" s="190">
        <f>Handling!C22</f>
        <v>515.08058159096367</v>
      </c>
      <c r="C20" s="190">
        <f>B20*'P&amp;L'!$P$10</f>
        <v>44.812010598413835</v>
      </c>
      <c r="D20" s="190">
        <f>SUM(B20:C20)</f>
        <v>559.89259218937752</v>
      </c>
      <c r="G20" s="179"/>
    </row>
    <row r="21" spans="1:13" ht="15.75" hidden="1" thickBot="1" x14ac:dyDescent="0.3">
      <c r="A21" s="162" t="s">
        <v>156</v>
      </c>
      <c r="B21" s="143" t="e">
        <f>Handling!#REF!</f>
        <v>#REF!</v>
      </c>
      <c r="C21" s="143" t="e">
        <f>Handling!#REF!</f>
        <v>#REF!</v>
      </c>
      <c r="D21" s="143" t="e">
        <f>Handling!#REF!</f>
        <v>#REF!</v>
      </c>
      <c r="G21" s="179"/>
    </row>
    <row r="22" spans="1:13" ht="15.75" hidden="1" thickBot="1" x14ac:dyDescent="0.3">
      <c r="A22" s="162" t="s">
        <v>157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</row>
    <row r="23" spans="1:13" ht="15.75" thickBot="1" x14ac:dyDescent="0.3"/>
    <row r="24" spans="1:13" ht="15.75" thickBot="1" x14ac:dyDescent="0.3">
      <c r="A24" s="139" t="s">
        <v>159</v>
      </c>
      <c r="B24" s="143">
        <f>IFERROR(((B11+B12+B13+B14)/B8),0)</f>
        <v>0</v>
      </c>
      <c r="C24" s="143">
        <f>IFERROR(((C11+C12+C13+C14)/C8),0)</f>
        <v>0</v>
      </c>
      <c r="D24" s="143">
        <f>IFERROR(((D10+D11+D12+D13+D14)/D8),0)</f>
        <v>3</v>
      </c>
      <c r="E24" s="143">
        <f>IFERROR(((E10+E11+E12+E13+E14)/E8),0)</f>
        <v>2.5</v>
      </c>
      <c r="F24" s="143">
        <f>IFERROR(((F10+F11+F12+F13+F14)/F8),0)</f>
        <v>3</v>
      </c>
      <c r="G24" s="143">
        <f>IFERROR(((G10+G11+G12+G13+G14)/G8),0)</f>
        <v>3</v>
      </c>
    </row>
    <row r="25" spans="1:13" ht="15.75" thickBot="1" x14ac:dyDescent="0.3">
      <c r="A25" s="139" t="s">
        <v>160</v>
      </c>
      <c r="B25" s="143">
        <f t="shared" ref="B25:G25" si="4">IFERROR(((B13+B14)/B8),0)</f>
        <v>0</v>
      </c>
      <c r="C25" s="143">
        <f t="shared" si="4"/>
        <v>0</v>
      </c>
      <c r="D25" s="143">
        <f t="shared" si="4"/>
        <v>0</v>
      </c>
      <c r="E25" s="143">
        <f t="shared" si="4"/>
        <v>0</v>
      </c>
      <c r="F25" s="143">
        <f t="shared" si="4"/>
        <v>0</v>
      </c>
      <c r="G25" s="143">
        <f t="shared" si="4"/>
        <v>0</v>
      </c>
    </row>
    <row r="26" spans="1:13" ht="15.75" thickBot="1" x14ac:dyDescent="0.3">
      <c r="A26" s="139" t="s">
        <v>161</v>
      </c>
      <c r="B26" s="143">
        <f t="shared" ref="B26:G26" si="5">IFERROR((B10/B8),0)</f>
        <v>0</v>
      </c>
      <c r="C26" s="143">
        <f t="shared" si="5"/>
        <v>4</v>
      </c>
      <c r="D26" s="143">
        <f t="shared" si="5"/>
        <v>3</v>
      </c>
      <c r="E26" s="143">
        <f t="shared" si="5"/>
        <v>2.5</v>
      </c>
      <c r="F26" s="143">
        <f t="shared" si="5"/>
        <v>3</v>
      </c>
      <c r="G26" s="143">
        <f t="shared" si="5"/>
        <v>3</v>
      </c>
    </row>
    <row r="27" spans="1:13" s="203" customFormat="1" x14ac:dyDescent="0.25">
      <c r="A27" s="204"/>
      <c r="B27" s="205"/>
      <c r="C27" s="205"/>
      <c r="D27" s="205"/>
      <c r="E27" s="205"/>
      <c r="F27" s="205"/>
      <c r="G27" s="205"/>
    </row>
    <row r="28" spans="1:13" x14ac:dyDescent="0.25">
      <c r="B28" s="162" t="s">
        <v>162</v>
      </c>
      <c r="C28" s="162" t="s">
        <v>163</v>
      </c>
    </row>
    <row r="29" spans="1:13" ht="15.75" thickBot="1" x14ac:dyDescent="0.3">
      <c r="A29" s="162" t="s">
        <v>164</v>
      </c>
      <c r="B29" s="162">
        <f>'P&amp;L'!P5</f>
        <v>3</v>
      </c>
      <c r="C29" s="162">
        <v>2817</v>
      </c>
    </row>
    <row r="30" spans="1:13" ht="15.75" thickBot="1" x14ac:dyDescent="0.3">
      <c r="A30" s="139" t="s">
        <v>141</v>
      </c>
      <c r="B30" s="143">
        <f t="shared" ref="B30:G30" si="6">B37*B8</f>
        <v>0</v>
      </c>
      <c r="C30" s="143">
        <f t="shared" si="6"/>
        <v>104</v>
      </c>
      <c r="D30" s="143">
        <f t="shared" si="6"/>
        <v>135</v>
      </c>
      <c r="E30" s="143">
        <f t="shared" si="6"/>
        <v>350</v>
      </c>
      <c r="F30" s="143">
        <f t="shared" si="6"/>
        <v>6</v>
      </c>
      <c r="G30" s="143">
        <f t="shared" si="6"/>
        <v>21</v>
      </c>
    </row>
    <row r="31" spans="1:13" ht="15.75" thickBot="1" x14ac:dyDescent="0.3">
      <c r="A31" s="139" t="s">
        <v>142</v>
      </c>
      <c r="B31" s="143">
        <f>IFERROR(IF($B$29=$B$29,SUMIF(Food!$C:$C,B$9&amp;$B$29&amp;$C$29,Food!$V:$V),0),"")</f>
        <v>0</v>
      </c>
      <c r="C31" s="143">
        <f>IFERROR(IF($B$29=$B$29,SUMIF(Food!$C:$C,C$9&amp;$B$29&amp;$C$29,Food!$V:$V),0),"")</f>
        <v>0</v>
      </c>
      <c r="D31" s="143">
        <f>IFERROR(IF($B$29=$B$29,SUMIF(Food!$C:$C,D$9&amp;$B$29&amp;$C$29,Food!$V:$V),0),"")</f>
        <v>0</v>
      </c>
      <c r="E31" s="143">
        <f>IFERROR(IF($B$29=$B$29,SUMIF(Food!$C:$C,E$9&amp;$B$29&amp;$C$29,Food!$V:$V),0),"")</f>
        <v>0</v>
      </c>
      <c r="F31" s="143">
        <f>IFERROR(IF($B$29=$B$29,SUMIF(Food!$C:$C,F$9&amp;$B$29&amp;$C$29,Food!$V:$V),0),"")</f>
        <v>0</v>
      </c>
      <c r="G31" s="143">
        <f>IFERROR(IF($B$29=$B$29,SUMIF(Food!$C:$C,G$9&amp;$B$29&amp;$C$29,Food!$V:$V),0),"")</f>
        <v>0</v>
      </c>
    </row>
    <row r="32" spans="1:13" ht="15.75" thickBot="1" x14ac:dyDescent="0.3">
      <c r="A32" s="139" t="s">
        <v>143</v>
      </c>
      <c r="B32" s="143">
        <f>IFERROR(IF($B$29=$B$29,SUMIF(Food!$C:$C,B$9&amp;$B$29&amp;$C$29,Food!$X:$X),0),"")</f>
        <v>0</v>
      </c>
      <c r="C32" s="143">
        <f>IFERROR(IF($B$29=$B$29,SUMIF(Food!$C:$C,C$9&amp;$B$29&amp;$C$29,Food!$X:$X),0),"")</f>
        <v>0</v>
      </c>
      <c r="D32" s="143">
        <f>IFERROR(IF($B$29=$B$29,SUMIF(Food!$C:$C,D$9&amp;$B$29&amp;$C$29,Food!$X:$X),0),"")</f>
        <v>0</v>
      </c>
      <c r="E32" s="143">
        <f>IFERROR(IF($B$29=$B$29,SUMIF(Food!$C:$C,E$9&amp;$B$29&amp;$C$29,Food!$X:$X),0),"")</f>
        <v>0</v>
      </c>
      <c r="F32" s="143">
        <f>IFERROR(IF($B$29=$B$29,SUMIF(Food!$C:$C,F$9&amp;$B$29&amp;$C$29,Food!$X:$X),0),"")</f>
        <v>0</v>
      </c>
      <c r="G32" s="143">
        <f>IFERROR(IF($B$29=$B$29,SUMIF(Food!$C:$C,G$9&amp;$B$29&amp;$C$29,Food!$X:$X),0),"")</f>
        <v>0</v>
      </c>
    </row>
    <row r="33" spans="1:7" ht="15.75" thickBot="1" x14ac:dyDescent="0.3">
      <c r="A33" s="139" t="s">
        <v>165</v>
      </c>
      <c r="B33" s="143">
        <f>IFERROR(IF($B$29=$B$29,SUMIF(Food!$C:$C,B$9&amp;$B$29&amp;$C$29,Food!$Z:$Z),0),"")</f>
        <v>0</v>
      </c>
      <c r="C33" s="143">
        <f>IFERROR(IF($B$29=$B$29,SUMIF(Food!$C:$C,C$9&amp;$B$29&amp;$C$29,Food!$Z:$Z),0),"")</f>
        <v>0</v>
      </c>
      <c r="D33" s="143">
        <f>IFERROR(IF($B$29=$B$29,SUMIF(Food!$C:$C,D$9&amp;$B$29&amp;$C$29,Food!$Z:$Z),0),"")</f>
        <v>0</v>
      </c>
      <c r="E33" s="143">
        <f>IFERROR(IF($B$29=$B$29,SUMIF(Food!$C:$C,E$9&amp;$B$29&amp;$C$29,Food!$Z:$Z),0),"")</f>
        <v>0</v>
      </c>
      <c r="F33" s="143">
        <f>IFERROR(IF($B$29=$B$29,SUMIF(Food!$C:$C,F$9&amp;$B$29&amp;$C$29,Food!$Z:$Z),0),"")</f>
        <v>0</v>
      </c>
      <c r="G33" s="143">
        <f>IFERROR(IF($B$29=$B$29,SUMIF(Food!$C:$C,G$9&amp;$B$29&amp;$C$29,Food!$O:$O),0),"")</f>
        <v>0</v>
      </c>
    </row>
    <row r="34" spans="1:7" ht="15.75" thickBot="1" x14ac:dyDescent="0.3">
      <c r="A34" s="139" t="s">
        <v>166</v>
      </c>
      <c r="B34" s="143">
        <f>IFERROR(IF($B$29=$B$29,SUMIF(Food!$C:$C,B$9&amp;$B$29&amp;$C$29,Food!$AA:$AA),0),"")</f>
        <v>0</v>
      </c>
      <c r="C34" s="143">
        <f>IFERROR(IF($B$29=$B$29,SUMIF(Food!$C:$C,C$9&amp;$B$29&amp;$C$29,Food!$AA:$AA),0),"")</f>
        <v>0</v>
      </c>
      <c r="D34" s="143">
        <f>IFERROR(IF($B$29=$B$29,SUMIF(Food!$C:$C,D$9&amp;$B$29&amp;$C$29,Food!$AA:$AA),0),"")</f>
        <v>0</v>
      </c>
      <c r="E34" s="143">
        <f>IFERROR(IF($B$29=$B$29,SUMIF(Food!$C:$C,E$9&amp;$B$29&amp;$C$29,Food!$AA:$AA),0),"")</f>
        <v>0</v>
      </c>
      <c r="F34" s="143">
        <f>IFERROR(IF($B$29=$B$29,SUMIF(Food!$C:$C,F$9&amp;$B$29&amp;$C$29,Food!$AA:$AA),0),"")</f>
        <v>0</v>
      </c>
      <c r="G34" s="143">
        <f>IFERROR(IF($B$29=$B$29,SUMIF(Food!$C:$C,G$9&amp;$B$29&amp;$C$29,Food!$P:$P),0),"")</f>
        <v>0</v>
      </c>
    </row>
    <row r="35" spans="1:7" x14ac:dyDescent="0.25">
      <c r="A35" s="154"/>
      <c r="B35" s="155"/>
      <c r="C35" s="155"/>
      <c r="D35" s="155"/>
      <c r="E35" s="155"/>
      <c r="F35" s="155"/>
      <c r="G35" s="155"/>
    </row>
    <row r="36" spans="1:7" ht="15.75" thickBot="1" x14ac:dyDescent="0.3">
      <c r="A36" s="162" t="s">
        <v>168</v>
      </c>
    </row>
    <row r="37" spans="1:7" ht="15.75" thickBot="1" x14ac:dyDescent="0.3">
      <c r="A37" s="139" t="s">
        <v>141</v>
      </c>
      <c r="B37" s="143">
        <f>'P&amp;L'!$J$30</f>
        <v>0</v>
      </c>
      <c r="C37" s="143">
        <f>'P&amp;L'!$K$30</f>
        <v>4</v>
      </c>
      <c r="D37" s="143">
        <f>'P&amp;L'!$L$30</f>
        <v>3</v>
      </c>
      <c r="E37" s="143">
        <f>'P&amp;L'!$M$30</f>
        <v>2.5</v>
      </c>
      <c r="F37" s="143">
        <f>'P&amp;L'!$N$30</f>
        <v>3</v>
      </c>
      <c r="G37" s="143">
        <f>'P&amp;L'!$O$30</f>
        <v>3</v>
      </c>
    </row>
    <row r="38" spans="1:7" ht="15.75" thickBot="1" x14ac:dyDescent="0.3">
      <c r="A38" s="139" t="s">
        <v>142</v>
      </c>
      <c r="B38" s="143" t="str">
        <f t="shared" ref="B38:G38" si="7">IFERROR(B31/B7," ")</f>
        <v xml:space="preserve"> </v>
      </c>
      <c r="C38" s="143">
        <f t="shared" si="7"/>
        <v>0</v>
      </c>
      <c r="D38" s="143">
        <f t="shared" si="7"/>
        <v>0</v>
      </c>
      <c r="E38" s="143">
        <f t="shared" si="7"/>
        <v>0</v>
      </c>
      <c r="F38" s="143">
        <f t="shared" si="7"/>
        <v>0</v>
      </c>
      <c r="G38" s="143">
        <f t="shared" si="7"/>
        <v>0</v>
      </c>
    </row>
    <row r="39" spans="1:7" ht="15.75" thickBot="1" x14ac:dyDescent="0.3">
      <c r="A39" s="139" t="s">
        <v>143</v>
      </c>
      <c r="B39" s="143" t="str">
        <f t="shared" ref="B39:G39" si="8">IFERROR(B32/B7," ")</f>
        <v xml:space="preserve"> </v>
      </c>
      <c r="C39" s="143">
        <f t="shared" si="8"/>
        <v>0</v>
      </c>
      <c r="D39" s="143">
        <f t="shared" si="8"/>
        <v>0</v>
      </c>
      <c r="E39" s="143">
        <f t="shared" si="8"/>
        <v>0</v>
      </c>
      <c r="F39" s="143">
        <f t="shared" si="8"/>
        <v>0</v>
      </c>
      <c r="G39" s="143">
        <f t="shared" si="8"/>
        <v>0</v>
      </c>
    </row>
    <row r="40" spans="1:7" ht="15.75" thickBot="1" x14ac:dyDescent="0.3">
      <c r="A40" s="139" t="s">
        <v>165</v>
      </c>
      <c r="B40" s="143" t="str">
        <f>IFERROR(B33/B8," ")</f>
        <v xml:space="preserve"> </v>
      </c>
      <c r="C40" s="143">
        <f>IFERROR(C33/C7," ")</f>
        <v>0</v>
      </c>
      <c r="D40" s="143">
        <f>IFERROR(D33/D7," ")</f>
        <v>0</v>
      </c>
      <c r="E40" s="143">
        <f>IFERROR(E33/E7," ")</f>
        <v>0</v>
      </c>
      <c r="F40" s="143">
        <f>IFERROR(F33/F7," ")</f>
        <v>0</v>
      </c>
      <c r="G40" s="143">
        <f>IFERROR(G33/G7," ")</f>
        <v>0</v>
      </c>
    </row>
    <row r="41" spans="1:7" ht="15.75" thickBot="1" x14ac:dyDescent="0.3">
      <c r="A41" s="139" t="s">
        <v>166</v>
      </c>
      <c r="B41" s="143" t="str">
        <f t="shared" ref="B41:G41" si="9">IFERROR(B34/B7," ")</f>
        <v xml:space="preserve"> </v>
      </c>
      <c r="C41" s="143">
        <f t="shared" si="9"/>
        <v>0</v>
      </c>
      <c r="D41" s="143">
        <f t="shared" si="9"/>
        <v>0</v>
      </c>
      <c r="E41" s="143">
        <f t="shared" si="9"/>
        <v>0</v>
      </c>
      <c r="F41" s="143">
        <f t="shared" si="9"/>
        <v>0</v>
      </c>
      <c r="G41" s="143">
        <f t="shared" si="9"/>
        <v>0</v>
      </c>
    </row>
    <row r="42" spans="1:7" x14ac:dyDescent="0.25">
      <c r="B42" s="156"/>
      <c r="C42" s="156"/>
    </row>
    <row r="43" spans="1:7" x14ac:dyDescent="0.25">
      <c r="B43" s="156"/>
      <c r="C43" s="156"/>
    </row>
    <row r="108" spans="1:1" x14ac:dyDescent="0.25">
      <c r="A108" s="140">
        <v>388</v>
      </c>
    </row>
    <row r="109" spans="1:1" x14ac:dyDescent="0.25">
      <c r="A109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E7BAF-6FA8-460C-A616-6ED76DBB8C43}">
  <sheetPr>
    <tabColor theme="7" tint="0.59999389629810485"/>
  </sheetPr>
  <dimension ref="A1:T106"/>
  <sheetViews>
    <sheetView zoomScale="115" zoomScaleNormal="115" workbookViewId="0">
      <selection activeCell="C13" sqref="C13"/>
    </sheetView>
  </sheetViews>
  <sheetFormatPr defaultColWidth="8.7109375" defaultRowHeight="15" x14ac:dyDescent="0.25"/>
  <cols>
    <col min="1" max="1" width="25.28515625" style="30" customWidth="1"/>
    <col min="2" max="2" width="20.28515625" style="30" customWidth="1"/>
    <col min="3" max="3" width="22.85546875" style="30" customWidth="1"/>
    <col min="4" max="4" width="13.5703125" style="30" bestFit="1" customWidth="1"/>
    <col min="5" max="5" width="14.28515625" style="30" bestFit="1" customWidth="1"/>
    <col min="6" max="6" width="14.7109375" style="30" bestFit="1" customWidth="1"/>
    <col min="7" max="8" width="9.42578125" style="30" bestFit="1" customWidth="1"/>
    <col min="9" max="9" width="14.5703125" style="30" bestFit="1" customWidth="1"/>
    <col min="10" max="10" width="10.28515625" style="30" bestFit="1" customWidth="1"/>
    <col min="11" max="11" width="10.42578125" style="30" bestFit="1" customWidth="1"/>
    <col min="12" max="13" width="11" style="30" bestFit="1" customWidth="1"/>
    <col min="14" max="14" width="16.7109375" style="30" bestFit="1" customWidth="1"/>
    <col min="15" max="15" width="8.28515625" style="30" bestFit="1" customWidth="1"/>
    <col min="16" max="16" width="12.7109375" style="30" bestFit="1" customWidth="1"/>
    <col min="17" max="17" width="6.42578125" style="30" bestFit="1" customWidth="1"/>
    <col min="18" max="16384" width="8.7109375" style="30"/>
  </cols>
  <sheetData>
    <row r="1" spans="1:16" x14ac:dyDescent="0.25">
      <c r="A1" s="29" t="s">
        <v>172</v>
      </c>
    </row>
    <row r="2" spans="1:16" ht="15.75" thickBot="1" x14ac:dyDescent="0.3">
      <c r="A2" s="29"/>
      <c r="B2" s="246" t="s">
        <v>173</v>
      </c>
    </row>
    <row r="3" spans="1:16" ht="15.75" thickBot="1" x14ac:dyDescent="0.3">
      <c r="A3" s="31" t="s">
        <v>174</v>
      </c>
      <c r="B3" s="32" t="s">
        <v>128</v>
      </c>
      <c r="D3" s="5" t="s">
        <v>175</v>
      </c>
      <c r="E3" s="5">
        <f>FlightConfig!B1</f>
        <v>330</v>
      </c>
      <c r="F3" s="33"/>
      <c r="G3" s="33"/>
      <c r="H3" s="33"/>
      <c r="I3" s="33"/>
      <c r="J3" s="34"/>
    </row>
    <row r="4" spans="1:16" ht="15.75" thickBot="1" x14ac:dyDescent="0.3">
      <c r="A4" s="35" t="s">
        <v>176</v>
      </c>
      <c r="B4" s="36">
        <f>+E3</f>
        <v>330</v>
      </c>
      <c r="C4" s="246"/>
      <c r="D4" s="10" t="s">
        <v>128</v>
      </c>
      <c r="E4" s="37" t="s">
        <v>38</v>
      </c>
      <c r="F4" s="37" t="s">
        <v>39</v>
      </c>
      <c r="G4" s="37" t="s">
        <v>177</v>
      </c>
      <c r="H4" s="37" t="s">
        <v>41</v>
      </c>
      <c r="I4" s="37" t="s">
        <v>43</v>
      </c>
      <c r="J4" s="37" t="s">
        <v>129</v>
      </c>
    </row>
    <row r="5" spans="1:16" ht="15.75" thickBot="1" x14ac:dyDescent="0.3">
      <c r="A5" s="38" t="s">
        <v>178</v>
      </c>
      <c r="B5" s="124">
        <f>+FlightConfig!K2</f>
        <v>7</v>
      </c>
      <c r="D5" s="13" t="s">
        <v>131</v>
      </c>
      <c r="E5" s="39">
        <f>FlightConfig!B3</f>
        <v>0</v>
      </c>
      <c r="F5" s="39">
        <f>FlightConfig!C3</f>
        <v>32</v>
      </c>
      <c r="G5" s="39">
        <f>FlightConfig!D3</f>
        <v>56</v>
      </c>
      <c r="H5" s="39">
        <f>FlightConfig!E3</f>
        <v>174</v>
      </c>
      <c r="I5" s="39">
        <f>FlightConfig!G3+FlightConfig!F11</f>
        <v>9</v>
      </c>
      <c r="J5" s="39">
        <f>SUM(E5:I5)</f>
        <v>271</v>
      </c>
    </row>
    <row r="7" spans="1:16" ht="15.75" thickBot="1" x14ac:dyDescent="0.3">
      <c r="A7" s="29" t="s">
        <v>179</v>
      </c>
      <c r="H7" s="40">
        <v>0.2</v>
      </c>
    </row>
    <row r="8" spans="1:16" ht="15.75" thickBot="1" x14ac:dyDescent="0.3">
      <c r="A8" s="228" t="s">
        <v>180</v>
      </c>
      <c r="B8" s="229" t="s">
        <v>181</v>
      </c>
      <c r="C8" s="229" t="s">
        <v>182</v>
      </c>
      <c r="D8" s="229" t="s">
        <v>183</v>
      </c>
      <c r="E8" s="229" t="s">
        <v>184</v>
      </c>
      <c r="F8" s="229" t="s">
        <v>185</v>
      </c>
      <c r="G8" s="229" t="s">
        <v>186</v>
      </c>
      <c r="H8" s="229" t="s">
        <v>187</v>
      </c>
      <c r="I8" s="229" t="s">
        <v>188</v>
      </c>
      <c r="J8" s="230" t="s">
        <v>189</v>
      </c>
      <c r="L8" s="29"/>
    </row>
    <row r="9" spans="1:16" x14ac:dyDescent="0.25">
      <c r="A9" s="231" t="s">
        <v>190</v>
      </c>
      <c r="B9" s="232">
        <v>2</v>
      </c>
      <c r="C9" s="232">
        <v>2.5</v>
      </c>
      <c r="D9" s="232">
        <f>$B$5*B9</f>
        <v>14</v>
      </c>
      <c r="E9" s="232">
        <f>C9*D9*52</f>
        <v>1820</v>
      </c>
      <c r="F9" s="233">
        <v>18</v>
      </c>
      <c r="G9" s="234">
        <f>F9*$H$7</f>
        <v>3.6</v>
      </c>
      <c r="H9" s="234">
        <f>F9+G9</f>
        <v>21.6</v>
      </c>
      <c r="I9" s="234">
        <f>E9*H9</f>
        <v>39312</v>
      </c>
      <c r="J9" s="240">
        <f>(B9*H9)*C9</f>
        <v>108</v>
      </c>
      <c r="K9" s="246"/>
      <c r="L9" s="46" t="s">
        <v>191</v>
      </c>
      <c r="M9" s="45"/>
      <c r="N9" s="45"/>
      <c r="O9" s="45"/>
      <c r="P9" s="46"/>
    </row>
    <row r="10" spans="1:16" x14ac:dyDescent="0.25">
      <c r="A10" s="44" t="s">
        <v>192</v>
      </c>
      <c r="B10" s="45">
        <v>2</v>
      </c>
      <c r="C10" s="45">
        <v>3</v>
      </c>
      <c r="D10" s="45">
        <f>$B$5*B10</f>
        <v>14</v>
      </c>
      <c r="E10" s="45">
        <f>C10*D10*52</f>
        <v>2184</v>
      </c>
      <c r="F10" s="235">
        <v>17</v>
      </c>
      <c r="G10" s="46">
        <f>F10*$H$7</f>
        <v>3.4000000000000004</v>
      </c>
      <c r="H10" s="46">
        <f>F10+G10</f>
        <v>20.399999999999999</v>
      </c>
      <c r="I10" s="46">
        <f>E10*H10</f>
        <v>44553.599999999999</v>
      </c>
      <c r="J10" s="241">
        <f>(B10*H10)*C10</f>
        <v>122.39999999999999</v>
      </c>
      <c r="K10" s="246"/>
      <c r="L10" s="46" t="s">
        <v>193</v>
      </c>
      <c r="M10" s="45"/>
      <c r="N10" s="45"/>
      <c r="O10" s="64">
        <f>'P&amp;L'!P10</f>
        <v>8.6999999999999994E-2</v>
      </c>
      <c r="P10" s="46"/>
    </row>
    <row r="11" spans="1:16" x14ac:dyDescent="0.25">
      <c r="A11" s="44" t="s">
        <v>194</v>
      </c>
      <c r="B11" s="45">
        <v>1</v>
      </c>
      <c r="C11" s="262">
        <v>3</v>
      </c>
      <c r="D11" s="45">
        <f>$B$5*B11</f>
        <v>7</v>
      </c>
      <c r="E11" s="45">
        <f>C11*D11*52</f>
        <v>1092</v>
      </c>
      <c r="F11" s="235">
        <v>22</v>
      </c>
      <c r="G11" s="46">
        <f>F11*$H$7</f>
        <v>4.4000000000000004</v>
      </c>
      <c r="H11" s="46">
        <f>F11+G11</f>
        <v>26.4</v>
      </c>
      <c r="I11" s="46">
        <f>E11*H11</f>
        <v>28828.799999999999</v>
      </c>
      <c r="J11" s="241">
        <f>(B11*H11)*C11</f>
        <v>79.199999999999989</v>
      </c>
      <c r="K11" s="47"/>
      <c r="L11" s="279" t="s">
        <v>195</v>
      </c>
      <c r="M11" s="279" t="s">
        <v>196</v>
      </c>
      <c r="N11" s="279" t="s">
        <v>197</v>
      </c>
      <c r="O11" s="279" t="s">
        <v>198</v>
      </c>
      <c r="P11" s="279" t="s">
        <v>199</v>
      </c>
    </row>
    <row r="12" spans="1:16" x14ac:dyDescent="0.25">
      <c r="A12" s="44" t="s">
        <v>200</v>
      </c>
      <c r="B12" s="45">
        <v>1</v>
      </c>
      <c r="C12" s="45">
        <v>0.25</v>
      </c>
      <c r="D12" s="45">
        <f>$B$5*B12</f>
        <v>7</v>
      </c>
      <c r="E12" s="45">
        <f>C12*D12*52</f>
        <v>91</v>
      </c>
      <c r="F12" s="235">
        <v>19</v>
      </c>
      <c r="G12" s="46">
        <f>F12*$H$7</f>
        <v>3.8000000000000003</v>
      </c>
      <c r="H12" s="46">
        <f>F12+G12</f>
        <v>22.8</v>
      </c>
      <c r="I12" s="46">
        <f>E12*H12</f>
        <v>2074.8000000000002</v>
      </c>
      <c r="J12" s="241">
        <f>(B12*H12)*C12</f>
        <v>5.7</v>
      </c>
      <c r="K12" s="246"/>
      <c r="L12" s="279">
        <f>H13/2</f>
        <v>15</v>
      </c>
      <c r="M12" s="279">
        <v>12</v>
      </c>
      <c r="N12" s="279">
        <f>L12+M12</f>
        <v>27</v>
      </c>
      <c r="O12" s="279">
        <f>N12*O10</f>
        <v>2.3489999999999998</v>
      </c>
      <c r="P12" s="280">
        <f>N12+O12</f>
        <v>29.349</v>
      </c>
    </row>
    <row r="13" spans="1:16" ht="15.75" thickBot="1" x14ac:dyDescent="0.3">
      <c r="A13" s="59" t="s">
        <v>201</v>
      </c>
      <c r="B13" s="60">
        <v>2</v>
      </c>
      <c r="C13" s="60">
        <v>3</v>
      </c>
      <c r="D13" s="60">
        <f>$B$5*B13</f>
        <v>14</v>
      </c>
      <c r="E13" s="60">
        <f>C13*D13*52</f>
        <v>2184</v>
      </c>
      <c r="F13" s="242">
        <v>25</v>
      </c>
      <c r="G13" s="61">
        <f>F13*$H$7</f>
        <v>5</v>
      </c>
      <c r="H13" s="61">
        <f>F13+G13</f>
        <v>30</v>
      </c>
      <c r="I13" s="61">
        <f>E13*H13</f>
        <v>65520</v>
      </c>
      <c r="J13" s="243">
        <f>(B13*H13)*C13</f>
        <v>180</v>
      </c>
      <c r="K13" s="246" t="s">
        <v>202</v>
      </c>
      <c r="L13" s="47"/>
      <c r="M13" s="47"/>
      <c r="O13" s="47"/>
    </row>
    <row r="14" spans="1:16" ht="15.75" thickBot="1" x14ac:dyDescent="0.3">
      <c r="A14" s="236" t="s">
        <v>203</v>
      </c>
      <c r="B14" s="237"/>
      <c r="C14" s="237"/>
      <c r="D14" s="237"/>
      <c r="E14" s="237"/>
      <c r="F14" s="237"/>
      <c r="G14" s="237"/>
      <c r="H14" s="237"/>
      <c r="I14" s="238">
        <f>SUM(I9:I13)</f>
        <v>180289.2</v>
      </c>
      <c r="J14" s="239">
        <f>SUM(J9:J13)</f>
        <v>495.29999999999995</v>
      </c>
    </row>
    <row r="16" spans="1:16" ht="15.75" thickBot="1" x14ac:dyDescent="0.3"/>
    <row r="17" spans="1:15" x14ac:dyDescent="0.25">
      <c r="A17" s="41" t="s">
        <v>204</v>
      </c>
      <c r="B17" s="42" t="s">
        <v>205</v>
      </c>
      <c r="C17" s="42" t="s">
        <v>206</v>
      </c>
      <c r="D17" s="42" t="s">
        <v>207</v>
      </c>
      <c r="E17" s="42" t="s">
        <v>208</v>
      </c>
      <c r="F17" s="42" t="s">
        <v>209</v>
      </c>
      <c r="G17" s="56" t="s">
        <v>210</v>
      </c>
      <c r="H17" s="56" t="s">
        <v>211</v>
      </c>
      <c r="I17" s="42" t="s">
        <v>212</v>
      </c>
      <c r="J17" s="57"/>
      <c r="K17" s="56" t="s">
        <v>213</v>
      </c>
      <c r="L17" s="43" t="s">
        <v>214</v>
      </c>
      <c r="N17" s="418" t="s">
        <v>215</v>
      </c>
      <c r="O17" s="419"/>
    </row>
    <row r="18" spans="1:15" x14ac:dyDescent="0.25">
      <c r="A18" s="44" t="s">
        <v>216</v>
      </c>
      <c r="B18" s="45">
        <v>0</v>
      </c>
      <c r="C18" s="45">
        <v>0</v>
      </c>
      <c r="D18" s="45">
        <f>B18*C18</f>
        <v>0</v>
      </c>
      <c r="E18" s="46">
        <f>500000/10/365</f>
        <v>136.98630136986301</v>
      </c>
      <c r="F18" s="45">
        <f>24/3</f>
        <v>8</v>
      </c>
      <c r="G18" s="55">
        <f>(E18/24)*F18*$B18</f>
        <v>0</v>
      </c>
      <c r="H18" s="55">
        <f>O23*B18</f>
        <v>0</v>
      </c>
      <c r="I18" s="46">
        <f>8000/365</f>
        <v>21.917808219178081</v>
      </c>
      <c r="J18" s="45"/>
      <c r="K18" s="55">
        <f>(I18/24)*$G18*$C18</f>
        <v>0</v>
      </c>
      <c r="L18" s="58">
        <f>G18+H18+K18</f>
        <v>0</v>
      </c>
      <c r="N18" s="48" t="s">
        <v>217</v>
      </c>
      <c r="O18" s="49">
        <v>10</v>
      </c>
    </row>
    <row r="19" spans="1:15" ht="15.75" thickBot="1" x14ac:dyDescent="0.3">
      <c r="A19" s="59" t="s">
        <v>218</v>
      </c>
      <c r="B19" s="60">
        <v>1</v>
      </c>
      <c r="C19" s="60">
        <v>3</v>
      </c>
      <c r="D19" s="60">
        <f>B19*C19</f>
        <v>3</v>
      </c>
      <c r="E19" s="61">
        <f>100000/365</f>
        <v>273.97260273972603</v>
      </c>
      <c r="F19" s="60">
        <v>1</v>
      </c>
      <c r="G19" s="62">
        <f>E19*F19/'[4]P&amp;L'!$P$2</f>
        <v>7.2098053352559477</v>
      </c>
      <c r="H19" s="62">
        <f>O23</f>
        <v>12</v>
      </c>
      <c r="I19" s="61">
        <f>5000/365</f>
        <v>13.698630136986301</v>
      </c>
      <c r="J19" s="60"/>
      <c r="K19" s="62">
        <f>(I19/24)*$F19*$B19</f>
        <v>0.57077625570776258</v>
      </c>
      <c r="L19" s="63">
        <f>G19+H19+K19</f>
        <v>19.78058159096371</v>
      </c>
      <c r="N19" s="50" t="s">
        <v>219</v>
      </c>
      <c r="O19" s="51">
        <v>5</v>
      </c>
    </row>
    <row r="20" spans="1:15" x14ac:dyDescent="0.25">
      <c r="N20" s="50" t="s">
        <v>220</v>
      </c>
      <c r="O20" s="51">
        <f>O18+O19</f>
        <v>15</v>
      </c>
    </row>
    <row r="21" spans="1:15" ht="15.75" thickBot="1" x14ac:dyDescent="0.3">
      <c r="N21" s="50" t="s">
        <v>221</v>
      </c>
      <c r="O21" s="51">
        <v>5</v>
      </c>
    </row>
    <row r="22" spans="1:15" x14ac:dyDescent="0.25">
      <c r="A22" s="31" t="s">
        <v>222</v>
      </c>
      <c r="B22" s="65"/>
      <c r="C22" s="66">
        <f>SUM(J14,L18,L19)</f>
        <v>515.08058159096367</v>
      </c>
      <c r="L22" s="47"/>
      <c r="N22" s="50" t="s">
        <v>223</v>
      </c>
      <c r="O22" s="52">
        <v>4</v>
      </c>
    </row>
    <row r="23" spans="1:15" x14ac:dyDescent="0.25">
      <c r="A23" s="35" t="s">
        <v>224</v>
      </c>
      <c r="B23" s="64">
        <f>+'P&amp;L'!$P$10</f>
        <v>8.6999999999999994E-2</v>
      </c>
      <c r="C23" s="58">
        <f>C22*B23</f>
        <v>44.812010598413835</v>
      </c>
      <c r="E23" s="30" t="s">
        <v>225</v>
      </c>
      <c r="F23" s="30" t="s">
        <v>226</v>
      </c>
      <c r="N23" s="53" t="s">
        <v>227</v>
      </c>
      <c r="O23" s="54">
        <f>(O20/O21)*O22</f>
        <v>12</v>
      </c>
    </row>
    <row r="24" spans="1:15" ht="15.75" thickBot="1" x14ac:dyDescent="0.3">
      <c r="A24" s="67" t="s">
        <v>228</v>
      </c>
      <c r="B24" s="68"/>
      <c r="C24" s="69">
        <f>C22+C23</f>
        <v>559.89259218937752</v>
      </c>
      <c r="D24" s="30" t="s">
        <v>229</v>
      </c>
      <c r="E24" s="263">
        <f>C24*1.25*0.6</f>
        <v>419.91944414203311</v>
      </c>
      <c r="F24" s="263">
        <f>C24*1.25-E24</f>
        <v>279.94629609468876</v>
      </c>
    </row>
    <row r="25" spans="1:15" ht="15.75" thickBot="1" x14ac:dyDescent="0.3"/>
    <row r="26" spans="1:15" x14ac:dyDescent="0.25">
      <c r="A26" s="31" t="s">
        <v>28</v>
      </c>
      <c r="B26" s="65"/>
      <c r="C26" s="66">
        <v>200</v>
      </c>
    </row>
    <row r="27" spans="1:15" x14ac:dyDescent="0.25">
      <c r="A27" s="35" t="s">
        <v>224</v>
      </c>
      <c r="B27" s="64">
        <f>'P&amp;L'!P11</f>
        <v>0</v>
      </c>
      <c r="C27" s="58">
        <f>C26*B27</f>
        <v>0</v>
      </c>
    </row>
    <row r="28" spans="1:15" ht="15.75" thickBot="1" x14ac:dyDescent="0.3">
      <c r="A28" s="67" t="s">
        <v>228</v>
      </c>
      <c r="B28" s="68"/>
      <c r="C28" s="69">
        <f>C26+C27</f>
        <v>200</v>
      </c>
    </row>
    <row r="29" spans="1:15" ht="15.75" thickBot="1" x14ac:dyDescent="0.3"/>
    <row r="30" spans="1:15" ht="15.75" thickBot="1" x14ac:dyDescent="0.3">
      <c r="A30" s="70" t="s">
        <v>230</v>
      </c>
    </row>
    <row r="31" spans="1:15" x14ac:dyDescent="0.25">
      <c r="A31" s="30" t="s">
        <v>231</v>
      </c>
    </row>
    <row r="32" spans="1:15" x14ac:dyDescent="0.25">
      <c r="A32" s="30" t="s">
        <v>232</v>
      </c>
    </row>
    <row r="33" spans="1:20" x14ac:dyDescent="0.25">
      <c r="A33" s="30" t="s">
        <v>233</v>
      </c>
    </row>
    <row r="34" spans="1:20" ht="33" customHeight="1" x14ac:dyDescent="0.25"/>
    <row r="35" spans="1:20" customFormat="1" x14ac:dyDescent="0.25"/>
    <row r="36" spans="1:20" customFormat="1" x14ac:dyDescent="0.25"/>
    <row r="37" spans="1:20" customFormat="1" x14ac:dyDescent="0.25">
      <c r="A37" s="29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</row>
    <row r="38" spans="1:20" customFormat="1" x14ac:dyDescent="0.25">
      <c r="A38" s="29"/>
      <c r="B38" s="246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</row>
    <row r="39" spans="1:20" customFormat="1" ht="15.75" customHeight="1" x14ac:dyDescent="0.25">
      <c r="A39" s="29" t="s">
        <v>172</v>
      </c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</row>
    <row r="40" spans="1:20" customFormat="1" ht="15.75" customHeight="1" x14ac:dyDescent="0.25">
      <c r="A40" s="29"/>
      <c r="B40" s="246" t="s">
        <v>173</v>
      </c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</row>
    <row r="41" spans="1:20" customFormat="1" ht="15.75" customHeight="1" x14ac:dyDescent="0.25">
      <c r="A41" s="31" t="s">
        <v>174</v>
      </c>
      <c r="B41" s="32" t="s">
        <v>128</v>
      </c>
      <c r="C41" s="30"/>
      <c r="D41" s="5" t="s">
        <v>175</v>
      </c>
      <c r="E41" s="5" t="e">
        <f>FlightConfig!#REF!</f>
        <v>#REF!</v>
      </c>
      <c r="F41" s="33"/>
      <c r="G41" s="33"/>
      <c r="H41" s="33"/>
      <c r="I41" s="33"/>
      <c r="J41" s="34"/>
      <c r="K41" s="30"/>
      <c r="L41" s="30"/>
      <c r="M41" s="30"/>
      <c r="N41" s="30"/>
      <c r="O41" s="30"/>
      <c r="P41" s="30"/>
      <c r="Q41" s="30"/>
      <c r="R41" s="30"/>
      <c r="S41" s="30"/>
      <c r="T41" s="30"/>
    </row>
    <row r="42" spans="1:20" customFormat="1" x14ac:dyDescent="0.25">
      <c r="A42" s="35" t="s">
        <v>176</v>
      </c>
      <c r="B42" s="36">
        <v>350</v>
      </c>
      <c r="C42" s="246"/>
      <c r="D42" s="10" t="s">
        <v>234</v>
      </c>
      <c r="E42" s="37" t="s">
        <v>38</v>
      </c>
      <c r="F42" s="37" t="s">
        <v>39</v>
      </c>
      <c r="G42" s="37" t="s">
        <v>177</v>
      </c>
      <c r="H42" s="37" t="s">
        <v>41</v>
      </c>
      <c r="I42" s="37" t="s">
        <v>43</v>
      </c>
      <c r="J42" s="37" t="s">
        <v>129</v>
      </c>
      <c r="K42" s="30"/>
      <c r="L42" s="30"/>
      <c r="M42" s="30"/>
      <c r="N42" s="30"/>
      <c r="O42" s="30"/>
      <c r="P42" s="30"/>
      <c r="Q42" s="30"/>
      <c r="R42" s="30"/>
      <c r="S42" s="30"/>
      <c r="T42" s="30"/>
    </row>
    <row r="43" spans="1:20" customFormat="1" ht="15.75" customHeight="1" x14ac:dyDescent="0.25">
      <c r="A43" s="38" t="s">
        <v>178</v>
      </c>
      <c r="B43" s="124">
        <v>5</v>
      </c>
      <c r="C43" s="30"/>
      <c r="D43" s="13" t="s">
        <v>131</v>
      </c>
      <c r="E43" s="39">
        <v>0</v>
      </c>
      <c r="F43" s="39">
        <v>40</v>
      </c>
      <c r="G43" s="39">
        <v>32</v>
      </c>
      <c r="H43" s="39">
        <v>228</v>
      </c>
      <c r="I43" s="39">
        <v>2</v>
      </c>
      <c r="J43" s="39">
        <v>9</v>
      </c>
      <c r="K43" s="30"/>
      <c r="L43" s="30"/>
      <c r="M43" s="30"/>
      <c r="N43" s="30"/>
      <c r="O43" s="30"/>
      <c r="P43" s="30"/>
      <c r="Q43" s="30"/>
      <c r="R43" s="30"/>
      <c r="S43" s="30"/>
      <c r="T43" s="30"/>
    </row>
    <row r="44" spans="1:20" customFormat="1" ht="15.75" customHeight="1" x14ac:dyDescent="0.25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</row>
    <row r="45" spans="1:20" customFormat="1" x14ac:dyDescent="0.25">
      <c r="A45" s="29" t="s">
        <v>179</v>
      </c>
      <c r="B45" s="30"/>
      <c r="C45" s="30"/>
      <c r="D45" s="30"/>
      <c r="E45" s="30"/>
      <c r="F45" s="30"/>
      <c r="G45" s="30"/>
      <c r="H45" s="40">
        <v>0.2</v>
      </c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</row>
    <row r="46" spans="1:20" customFormat="1" x14ac:dyDescent="0.25">
      <c r="A46" s="228" t="s">
        <v>180</v>
      </c>
      <c r="B46" s="229" t="s">
        <v>181</v>
      </c>
      <c r="C46" s="229" t="s">
        <v>182</v>
      </c>
      <c r="D46" s="229" t="s">
        <v>183</v>
      </c>
      <c r="E46" s="229" t="s">
        <v>184</v>
      </c>
      <c r="F46" s="229" t="s">
        <v>185</v>
      </c>
      <c r="G46" s="229" t="s">
        <v>186</v>
      </c>
      <c r="H46" s="229" t="s">
        <v>187</v>
      </c>
      <c r="I46" s="229" t="s">
        <v>188</v>
      </c>
      <c r="J46" s="230" t="s">
        <v>189</v>
      </c>
      <c r="K46" s="30"/>
      <c r="L46" s="29"/>
      <c r="M46" s="30"/>
      <c r="N46" s="30"/>
      <c r="O46" s="30"/>
      <c r="P46" s="30"/>
      <c r="Q46" s="30"/>
      <c r="R46" s="30"/>
      <c r="S46" s="30"/>
      <c r="T46" s="30"/>
    </row>
    <row r="47" spans="1:20" customFormat="1" x14ac:dyDescent="0.25">
      <c r="A47" s="231" t="s">
        <v>235</v>
      </c>
      <c r="B47" s="232">
        <v>2</v>
      </c>
      <c r="C47" s="232">
        <v>3</v>
      </c>
      <c r="D47" s="232">
        <f>$B$5*B47</f>
        <v>14</v>
      </c>
      <c r="E47" s="232">
        <f>C47*D47*52</f>
        <v>2184</v>
      </c>
      <c r="F47" s="233">
        <v>18</v>
      </c>
      <c r="G47" s="234">
        <f>F47*$H$7</f>
        <v>3.6</v>
      </c>
      <c r="H47" s="234">
        <f>F47+G47</f>
        <v>21.6</v>
      </c>
      <c r="I47" s="234">
        <f>E47*H47</f>
        <v>47174.400000000001</v>
      </c>
      <c r="J47" s="240">
        <f>(B47*H47)*C47</f>
        <v>129.60000000000002</v>
      </c>
      <c r="K47" s="246"/>
      <c r="L47" s="46" t="s">
        <v>191</v>
      </c>
      <c r="M47" s="45"/>
      <c r="N47" s="45"/>
      <c r="O47" s="45"/>
      <c r="P47" s="46"/>
      <c r="Q47" s="30"/>
      <c r="R47" s="30"/>
      <c r="S47" s="30"/>
      <c r="T47" s="30"/>
    </row>
    <row r="48" spans="1:20" customFormat="1" x14ac:dyDescent="0.25">
      <c r="A48" s="44" t="s">
        <v>192</v>
      </c>
      <c r="B48" s="45">
        <v>2</v>
      </c>
      <c r="C48" s="45">
        <v>3</v>
      </c>
      <c r="D48" s="45">
        <f>$B$5*B48</f>
        <v>14</v>
      </c>
      <c r="E48" s="45">
        <f>C48*D48*52</f>
        <v>2184</v>
      </c>
      <c r="F48" s="235">
        <v>17</v>
      </c>
      <c r="G48" s="46">
        <f>F48*$H$7</f>
        <v>3.4000000000000004</v>
      </c>
      <c r="H48" s="46">
        <f>F48+G48</f>
        <v>20.399999999999999</v>
      </c>
      <c r="I48" s="46">
        <f>E48*H48</f>
        <v>44553.599999999999</v>
      </c>
      <c r="J48" s="241">
        <f>(B48*H48)*C48</f>
        <v>122.39999999999999</v>
      </c>
      <c r="K48" s="246"/>
      <c r="L48" s="46" t="s">
        <v>193</v>
      </c>
      <c r="M48" s="45"/>
      <c r="N48" s="45"/>
      <c r="O48" s="64">
        <f>'P&amp;L'!P45</f>
        <v>0</v>
      </c>
      <c r="P48" s="46"/>
      <c r="Q48" s="30"/>
      <c r="R48" s="30"/>
      <c r="S48" s="30"/>
      <c r="T48" s="30"/>
    </row>
    <row r="49" spans="1:20" customFormat="1" ht="15.75" customHeight="1" x14ac:dyDescent="0.25">
      <c r="A49" s="44" t="s">
        <v>194</v>
      </c>
      <c r="B49" s="45">
        <v>1</v>
      </c>
      <c r="C49" s="262">
        <v>3</v>
      </c>
      <c r="D49" s="45">
        <f>$B$5*B49</f>
        <v>7</v>
      </c>
      <c r="E49" s="45">
        <f>C49*D49*52</f>
        <v>1092</v>
      </c>
      <c r="F49" s="235">
        <v>22</v>
      </c>
      <c r="G49" s="46">
        <f>F49*$H$7</f>
        <v>4.4000000000000004</v>
      </c>
      <c r="H49" s="46">
        <f>F49+G49</f>
        <v>26.4</v>
      </c>
      <c r="I49" s="46">
        <f>E49*H49</f>
        <v>28828.799999999999</v>
      </c>
      <c r="J49" s="241">
        <f>(B49*H49)*C49</f>
        <v>79.199999999999989</v>
      </c>
      <c r="K49" s="47"/>
      <c r="L49" s="279" t="s">
        <v>195</v>
      </c>
      <c r="M49" s="279" t="s">
        <v>196</v>
      </c>
      <c r="N49" s="279" t="s">
        <v>197</v>
      </c>
      <c r="O49" s="279" t="s">
        <v>198</v>
      </c>
      <c r="P49" s="279" t="s">
        <v>199</v>
      </c>
      <c r="Q49" s="30"/>
      <c r="R49" s="30"/>
      <c r="S49" s="30"/>
      <c r="T49" s="30"/>
    </row>
    <row r="50" spans="1:20" customFormat="1" ht="15.75" customHeight="1" x14ac:dyDescent="0.25">
      <c r="A50" s="44" t="s">
        <v>200</v>
      </c>
      <c r="B50" s="45">
        <v>1</v>
      </c>
      <c r="C50" s="45">
        <v>0.25</v>
      </c>
      <c r="D50" s="45">
        <f>$B$5*B50</f>
        <v>7</v>
      </c>
      <c r="E50" s="45">
        <f>C50*D50*52</f>
        <v>91</v>
      </c>
      <c r="F50" s="235">
        <v>19</v>
      </c>
      <c r="G50" s="46">
        <f>F50*$H$7</f>
        <v>3.8000000000000003</v>
      </c>
      <c r="H50" s="46">
        <f>F50+G50</f>
        <v>22.8</v>
      </c>
      <c r="I50" s="46">
        <f>E50*H50</f>
        <v>2074.8000000000002</v>
      </c>
      <c r="J50" s="241">
        <f>(B50*H50)*C50</f>
        <v>5.7</v>
      </c>
      <c r="K50" s="246"/>
      <c r="L50" s="279">
        <f>H51/2</f>
        <v>15</v>
      </c>
      <c r="M50" s="279">
        <v>12</v>
      </c>
      <c r="N50" s="279">
        <f>L50+M50</f>
        <v>27</v>
      </c>
      <c r="O50" s="279">
        <f>N50*O48</f>
        <v>0</v>
      </c>
      <c r="P50" s="280">
        <f>N50+O50</f>
        <v>27</v>
      </c>
      <c r="Q50" s="30"/>
      <c r="R50" s="30"/>
      <c r="S50" s="30"/>
      <c r="T50" s="30"/>
    </row>
    <row r="51" spans="1:20" customFormat="1" x14ac:dyDescent="0.25">
      <c r="A51" s="59" t="s">
        <v>201</v>
      </c>
      <c r="B51" s="60">
        <v>2</v>
      </c>
      <c r="C51" s="60">
        <v>3</v>
      </c>
      <c r="D51" s="60">
        <f>$B$5*B51</f>
        <v>14</v>
      </c>
      <c r="E51" s="60">
        <f>C51*D51*52</f>
        <v>2184</v>
      </c>
      <c r="F51" s="242">
        <v>25</v>
      </c>
      <c r="G51" s="61">
        <f>F51*$H$7</f>
        <v>5</v>
      </c>
      <c r="H51" s="61">
        <f>F51+G51</f>
        <v>30</v>
      </c>
      <c r="I51" s="61">
        <f>E51*H51</f>
        <v>65520</v>
      </c>
      <c r="J51" s="243">
        <f>(B51*H51)*C51</f>
        <v>180</v>
      </c>
      <c r="K51" s="30"/>
      <c r="L51" s="47"/>
      <c r="M51" s="47"/>
      <c r="N51" s="30"/>
      <c r="O51" s="47"/>
      <c r="P51" s="30"/>
      <c r="Q51" s="30"/>
      <c r="R51" s="30"/>
      <c r="S51" s="30"/>
      <c r="T51" s="30"/>
    </row>
    <row r="52" spans="1:20" customFormat="1" ht="15.75" customHeight="1" x14ac:dyDescent="0.25">
      <c r="A52" s="236" t="s">
        <v>203</v>
      </c>
      <c r="B52" s="237"/>
      <c r="C52" s="237"/>
      <c r="D52" s="237"/>
      <c r="E52" s="237"/>
      <c r="F52" s="237"/>
      <c r="G52" s="237"/>
      <c r="H52" s="237"/>
      <c r="I52" s="238">
        <f>SUM(I47:I51)</f>
        <v>188151.6</v>
      </c>
      <c r="J52" s="239">
        <f>SUM(J47:J51)</f>
        <v>516.9</v>
      </c>
      <c r="K52" s="30"/>
      <c r="L52" s="30"/>
      <c r="M52" s="30"/>
      <c r="N52" s="30"/>
      <c r="O52" s="30"/>
      <c r="P52" s="30"/>
      <c r="Q52" s="30"/>
      <c r="R52" s="30"/>
      <c r="S52" s="30"/>
      <c r="T52" s="30"/>
    </row>
    <row r="53" spans="1:20" customFormat="1" x14ac:dyDescent="0.25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</row>
    <row r="54" spans="1:20" customFormat="1" x14ac:dyDescent="0.25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</row>
    <row r="55" spans="1:20" customFormat="1" ht="15.75" customHeight="1" x14ac:dyDescent="0.25">
      <c r="A55" s="41" t="s">
        <v>204</v>
      </c>
      <c r="B55" s="42" t="s">
        <v>205</v>
      </c>
      <c r="C55" s="42" t="s">
        <v>206</v>
      </c>
      <c r="D55" s="42" t="s">
        <v>207</v>
      </c>
      <c r="E55" s="42" t="s">
        <v>208</v>
      </c>
      <c r="F55" s="42" t="s">
        <v>209</v>
      </c>
      <c r="G55" s="56" t="s">
        <v>210</v>
      </c>
      <c r="H55" s="56" t="s">
        <v>211</v>
      </c>
      <c r="I55" s="42" t="s">
        <v>212</v>
      </c>
      <c r="J55" s="57"/>
      <c r="K55" s="56" t="s">
        <v>213</v>
      </c>
      <c r="L55" s="43" t="s">
        <v>214</v>
      </c>
      <c r="M55" s="30"/>
      <c r="N55" s="418" t="s">
        <v>215</v>
      </c>
      <c r="O55" s="419"/>
      <c r="P55" s="30"/>
      <c r="Q55" s="30"/>
      <c r="R55" s="30"/>
      <c r="S55" s="30"/>
      <c r="T55" s="30"/>
    </row>
    <row r="56" spans="1:20" customFormat="1" x14ac:dyDescent="0.25">
      <c r="A56" s="44" t="s">
        <v>216</v>
      </c>
      <c r="B56" s="45">
        <v>0</v>
      </c>
      <c r="C56" s="45">
        <v>0</v>
      </c>
      <c r="D56" s="45">
        <f>B56*C56</f>
        <v>0</v>
      </c>
      <c r="E56" s="46">
        <f>500000/10/365</f>
        <v>136.98630136986301</v>
      </c>
      <c r="F56" s="45">
        <f>24/3</f>
        <v>8</v>
      </c>
      <c r="G56" s="55">
        <f>(E56/24)*F56*$B56</f>
        <v>0</v>
      </c>
      <c r="H56" s="55">
        <f>O61*B56</f>
        <v>0</v>
      </c>
      <c r="I56" s="46">
        <f>8000/365</f>
        <v>21.917808219178081</v>
      </c>
      <c r="J56" s="45"/>
      <c r="K56" s="55">
        <f>(I56/24)*$G56*$C56</f>
        <v>0</v>
      </c>
      <c r="L56" s="58">
        <f>G56+H56+K56</f>
        <v>0</v>
      </c>
      <c r="M56" s="30"/>
      <c r="N56" s="48" t="s">
        <v>217</v>
      </c>
      <c r="O56" s="49">
        <v>10</v>
      </c>
      <c r="P56" s="30"/>
      <c r="Q56" s="30"/>
      <c r="R56" s="30"/>
      <c r="S56" s="30"/>
      <c r="T56" s="30"/>
    </row>
    <row r="57" spans="1:20" customFormat="1" ht="15.75" customHeight="1" x14ac:dyDescent="0.25">
      <c r="A57" s="59" t="s">
        <v>218</v>
      </c>
      <c r="B57" s="60">
        <v>1</v>
      </c>
      <c r="C57" s="60">
        <v>3</v>
      </c>
      <c r="D57" s="60">
        <f>B57*C57</f>
        <v>3</v>
      </c>
      <c r="E57" s="61">
        <f>100000/365</f>
        <v>273.97260273972603</v>
      </c>
      <c r="F57" s="60">
        <v>1</v>
      </c>
      <c r="G57" s="62">
        <f>E57*F57/'[4]P&amp;L'!$P$2</f>
        <v>7.2098053352559477</v>
      </c>
      <c r="H57" s="62">
        <f>O61</f>
        <v>12</v>
      </c>
      <c r="I57" s="61">
        <f>5000/365</f>
        <v>13.698630136986301</v>
      </c>
      <c r="J57" s="60"/>
      <c r="K57" s="62">
        <f>(I57/24)*$F57*$B57</f>
        <v>0.57077625570776258</v>
      </c>
      <c r="L57" s="63">
        <f>G57+H57+K57</f>
        <v>19.78058159096371</v>
      </c>
      <c r="M57" s="30"/>
      <c r="N57" s="50" t="s">
        <v>219</v>
      </c>
      <c r="O57" s="51">
        <v>5</v>
      </c>
      <c r="P57" s="30"/>
      <c r="Q57" s="30"/>
      <c r="R57" s="30"/>
      <c r="S57" s="30"/>
      <c r="T57" s="30"/>
    </row>
    <row r="58" spans="1:20" customFormat="1" x14ac:dyDescent="0.25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50" t="s">
        <v>220</v>
      </c>
      <c r="O58" s="51">
        <f>O56+O57</f>
        <v>15</v>
      </c>
      <c r="P58" s="30"/>
      <c r="Q58" s="30"/>
      <c r="R58" s="30"/>
      <c r="S58" s="30"/>
      <c r="T58" s="30"/>
    </row>
    <row r="59" spans="1:20" customFormat="1" x14ac:dyDescent="0.25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50" t="s">
        <v>221</v>
      </c>
      <c r="O59" s="51">
        <v>5</v>
      </c>
      <c r="P59" s="30"/>
      <c r="Q59" s="30"/>
      <c r="R59" s="30"/>
      <c r="S59" s="30"/>
      <c r="T59" s="30"/>
    </row>
    <row r="60" spans="1:20" customFormat="1" ht="15.75" customHeight="1" x14ac:dyDescent="0.25">
      <c r="A60" s="31" t="s">
        <v>222</v>
      </c>
      <c r="B60" s="65"/>
      <c r="C60" s="66">
        <f>SUM(J52,L56,L57)</f>
        <v>536.6805815909637</v>
      </c>
      <c r="D60" s="30"/>
      <c r="E60" s="30"/>
      <c r="F60" s="30"/>
      <c r="G60" s="30"/>
      <c r="H60" s="30"/>
      <c r="I60" s="30"/>
      <c r="J60" s="30"/>
      <c r="K60" s="30"/>
      <c r="L60" s="47"/>
      <c r="M60" s="30"/>
      <c r="N60" s="50" t="s">
        <v>223</v>
      </c>
      <c r="O60" s="52">
        <v>4</v>
      </c>
      <c r="P60" s="30"/>
      <c r="Q60" s="30"/>
      <c r="R60" s="30"/>
      <c r="S60" s="30"/>
      <c r="T60" s="30"/>
    </row>
    <row r="61" spans="1:20" customFormat="1" x14ac:dyDescent="0.25">
      <c r="A61" s="35" t="s">
        <v>224</v>
      </c>
      <c r="B61" s="64">
        <f>'P&amp;L'!P10</f>
        <v>8.6999999999999994E-2</v>
      </c>
      <c r="C61" s="58">
        <f>C60*B61</f>
        <v>46.691210598413839</v>
      </c>
      <c r="D61" s="30"/>
      <c r="E61" s="30" t="s">
        <v>236</v>
      </c>
      <c r="F61" s="30" t="s">
        <v>237</v>
      </c>
      <c r="G61" s="30"/>
      <c r="H61" s="30"/>
      <c r="I61" s="30"/>
      <c r="J61" s="30"/>
      <c r="K61" s="30"/>
      <c r="L61" s="30"/>
      <c r="M61" s="30"/>
      <c r="N61" s="53" t="s">
        <v>227</v>
      </c>
      <c r="O61" s="54">
        <f>(O58/O59)*O60</f>
        <v>12</v>
      </c>
      <c r="P61" s="30"/>
      <c r="Q61" s="30"/>
      <c r="R61" s="30"/>
      <c r="S61" s="30"/>
      <c r="T61" s="30"/>
    </row>
    <row r="62" spans="1:20" customFormat="1" x14ac:dyDescent="0.25">
      <c r="A62" s="67" t="s">
        <v>228</v>
      </c>
      <c r="B62" s="68"/>
      <c r="C62" s="69">
        <f>C60+C61</f>
        <v>583.37179218937752</v>
      </c>
      <c r="D62" s="30" t="s">
        <v>229</v>
      </c>
      <c r="E62" s="263">
        <v>544.68493150684924</v>
      </c>
      <c r="F62" s="263">
        <v>399.93493150684935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</row>
    <row r="63" spans="1:20" customFormat="1" ht="15.75" customHeight="1" x14ac:dyDescent="0.25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</row>
    <row r="64" spans="1:20" customFormat="1" ht="15.75" customHeight="1" x14ac:dyDescent="0.25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</row>
    <row r="65" spans="1:15" customFormat="1" x14ac:dyDescent="0.2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</row>
    <row r="66" spans="1:15" customFormat="1" x14ac:dyDescent="0.25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</row>
    <row r="67" spans="1:15" customFormat="1" x14ac:dyDescent="0.25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</row>
    <row r="68" spans="1:15" customFormat="1" x14ac:dyDescent="0.25"/>
    <row r="69" spans="1:15" customFormat="1" x14ac:dyDescent="0.25"/>
    <row r="70" spans="1:15" customFormat="1" x14ac:dyDescent="0.25"/>
    <row r="71" spans="1:15" customFormat="1" x14ac:dyDescent="0.25"/>
    <row r="72" spans="1:15" customFormat="1" x14ac:dyDescent="0.25"/>
    <row r="73" spans="1:15" customFormat="1" x14ac:dyDescent="0.25"/>
    <row r="74" spans="1:15" customFormat="1" x14ac:dyDescent="0.25"/>
    <row r="75" spans="1:15" customFormat="1" x14ac:dyDescent="0.25"/>
    <row r="76" spans="1:15" customFormat="1" x14ac:dyDescent="0.25"/>
    <row r="77" spans="1:15" customFormat="1" x14ac:dyDescent="0.25"/>
    <row r="78" spans="1:15" customFormat="1" x14ac:dyDescent="0.25"/>
    <row r="79" spans="1:15" customFormat="1" x14ac:dyDescent="0.25"/>
    <row r="80" spans="1:15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</sheetData>
  <mergeCells count="2">
    <mergeCell ref="N17:O17"/>
    <mergeCell ref="N55:O55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8CE4A-0462-4EC6-BCEA-3BEFE947E0D8}">
  <sheetPr>
    <tabColor theme="7" tint="0.59999389629810485"/>
  </sheetPr>
  <dimension ref="A1:W33"/>
  <sheetViews>
    <sheetView zoomScaleNormal="100" workbookViewId="0">
      <selection activeCell="D29" sqref="D29"/>
    </sheetView>
  </sheetViews>
  <sheetFormatPr defaultColWidth="9.5703125" defaultRowHeight="15" x14ac:dyDescent="0.25"/>
  <cols>
    <col min="1" max="1" width="18.5703125" bestFit="1" customWidth="1"/>
    <col min="2" max="2" width="12.28515625" bestFit="1" customWidth="1"/>
    <col min="10" max="10" width="13.5703125" bestFit="1" customWidth="1"/>
  </cols>
  <sheetData>
    <row r="1" spans="1:23" ht="15.75" thickBot="1" x14ac:dyDescent="0.3">
      <c r="A1" s="5" t="s">
        <v>175</v>
      </c>
      <c r="B1" s="5">
        <v>330</v>
      </c>
      <c r="C1" s="6"/>
      <c r="D1" s="6"/>
      <c r="E1" s="6"/>
      <c r="F1" s="6"/>
      <c r="G1" s="6"/>
      <c r="H1" s="7"/>
      <c r="I1" s="7"/>
      <c r="J1" s="8" t="s">
        <v>238</v>
      </c>
      <c r="K1" s="9">
        <f>IF($B$1=388,K15,K9)</f>
        <v>52</v>
      </c>
      <c r="N1" s="166"/>
      <c r="O1" s="166"/>
      <c r="P1" s="7"/>
      <c r="Q1" s="7"/>
      <c r="R1" s="7"/>
      <c r="S1" s="7"/>
      <c r="T1" s="7"/>
      <c r="U1" s="7"/>
    </row>
    <row r="2" spans="1:23" ht="15.75" thickBot="1" x14ac:dyDescent="0.3">
      <c r="A2" s="10" t="s">
        <v>239</v>
      </c>
      <c r="B2" s="11" t="s">
        <v>38</v>
      </c>
      <c r="C2" s="11" t="s">
        <v>39</v>
      </c>
      <c r="D2" s="11" t="s">
        <v>177</v>
      </c>
      <c r="E2" s="11" t="s">
        <v>41</v>
      </c>
      <c r="F2" s="11" t="s">
        <v>42</v>
      </c>
      <c r="G2" s="11" t="s">
        <v>43</v>
      </c>
      <c r="H2" s="11" t="s">
        <v>129</v>
      </c>
      <c r="I2" s="7"/>
      <c r="J2" s="8" t="s">
        <v>240</v>
      </c>
      <c r="K2" s="9">
        <f>IF($B$1=330,K16,K16)</f>
        <v>7</v>
      </c>
      <c r="N2" s="167"/>
      <c r="O2" s="168"/>
      <c r="P2" s="168"/>
      <c r="Q2" s="168"/>
      <c r="R2" s="168"/>
      <c r="S2" s="168"/>
      <c r="T2" s="168"/>
      <c r="U2" s="168"/>
      <c r="V2" s="168"/>
    </row>
    <row r="3" spans="1:23" ht="15.75" thickBot="1" x14ac:dyDescent="0.3">
      <c r="A3" s="13" t="s">
        <v>131</v>
      </c>
      <c r="B3" s="9">
        <v>0</v>
      </c>
      <c r="C3" s="9">
        <v>32</v>
      </c>
      <c r="D3" s="9">
        <v>56</v>
      </c>
      <c r="E3" s="9">
        <v>174</v>
      </c>
      <c r="F3" s="9">
        <v>2</v>
      </c>
      <c r="G3" s="9">
        <v>8</v>
      </c>
      <c r="H3" s="9" t="b">
        <f t="shared" ref="H3" si="0">IF($B$1=737,H17,IF($B$1=737,H23,IF($B$1=380,H23)))</f>
        <v>0</v>
      </c>
      <c r="I3" s="14"/>
      <c r="J3" s="8" t="s">
        <v>241</v>
      </c>
      <c r="K3" s="9">
        <f>IF($B$1=330,K17,K11)</f>
        <v>364</v>
      </c>
      <c r="N3" s="169"/>
      <c r="O3" s="7"/>
      <c r="P3" s="7"/>
      <c r="Q3" s="7"/>
      <c r="R3" s="7"/>
      <c r="S3" s="7"/>
      <c r="T3" s="7"/>
      <c r="U3" s="7"/>
      <c r="V3" s="7"/>
      <c r="W3" s="7"/>
    </row>
    <row r="4" spans="1:23" ht="15.75" thickBot="1" x14ac:dyDescent="0.3">
      <c r="A4" s="13" t="s">
        <v>242</v>
      </c>
      <c r="B4" s="15">
        <f>+'P&amp;L'!$P$4</f>
        <v>0.8</v>
      </c>
      <c r="C4" s="15">
        <f>+'P&amp;L'!$P$4</f>
        <v>0.8</v>
      </c>
      <c r="D4" s="15">
        <f>+'P&amp;L'!$P$4</f>
        <v>0.8</v>
      </c>
      <c r="E4" s="15">
        <f>+'P&amp;L'!$P$4</f>
        <v>0.8</v>
      </c>
      <c r="F4" s="15">
        <f>+'P&amp;L'!$P$4</f>
        <v>0.8</v>
      </c>
      <c r="G4" s="15">
        <f>+'P&amp;L'!$P$4</f>
        <v>0.8</v>
      </c>
      <c r="H4" s="15"/>
      <c r="I4" s="7"/>
      <c r="J4" s="8" t="s">
        <v>243</v>
      </c>
      <c r="K4" s="9">
        <f>IF($B$1=737,K18,K12)</f>
        <v>1</v>
      </c>
      <c r="N4" s="169"/>
      <c r="O4" s="171"/>
      <c r="P4" s="171"/>
      <c r="Q4" s="171"/>
      <c r="R4" s="171"/>
      <c r="S4" s="171"/>
      <c r="T4" s="171"/>
      <c r="U4" s="171"/>
    </row>
    <row r="5" spans="1:23" ht="15.75" thickBot="1" x14ac:dyDescent="0.3">
      <c r="A5" s="16" t="s">
        <v>244</v>
      </c>
      <c r="B5" s="17">
        <f t="shared" ref="B5:G5" si="1">ROUNDUP(B3*B4,0)</f>
        <v>0</v>
      </c>
      <c r="C5" s="17">
        <f t="shared" si="1"/>
        <v>26</v>
      </c>
      <c r="D5" s="17">
        <f t="shared" si="1"/>
        <v>45</v>
      </c>
      <c r="E5" s="17">
        <f t="shared" si="1"/>
        <v>140</v>
      </c>
      <c r="F5" s="17">
        <f t="shared" si="1"/>
        <v>2</v>
      </c>
      <c r="G5" s="17">
        <f t="shared" si="1"/>
        <v>7</v>
      </c>
      <c r="H5" s="17">
        <f>SUM(B5:G5)</f>
        <v>220</v>
      </c>
      <c r="I5" s="14"/>
      <c r="J5" s="18" t="s">
        <v>245</v>
      </c>
      <c r="K5" s="12">
        <f>K19</f>
        <v>365</v>
      </c>
      <c r="N5" s="169"/>
      <c r="O5" s="14"/>
      <c r="P5" s="14"/>
      <c r="Q5" s="14"/>
      <c r="R5" s="14"/>
      <c r="S5" s="14"/>
      <c r="T5" s="14"/>
      <c r="U5" s="14"/>
    </row>
    <row r="8" spans="1:23" ht="4.1500000000000004" customHeight="1" x14ac:dyDescent="0.25"/>
    <row r="9" spans="1:23" ht="13.9" hidden="1" customHeight="1" thickBot="1" x14ac:dyDescent="0.3">
      <c r="A9" s="5" t="s">
        <v>175</v>
      </c>
      <c r="B9" s="5">
        <v>787</v>
      </c>
      <c r="C9" s="6"/>
      <c r="D9" s="6"/>
      <c r="E9" s="6"/>
      <c r="F9" s="6"/>
      <c r="G9" s="6"/>
      <c r="H9" s="7"/>
      <c r="I9" s="7"/>
      <c r="J9" s="8" t="s">
        <v>238</v>
      </c>
      <c r="K9" s="9">
        <v>52</v>
      </c>
      <c r="N9" s="166"/>
      <c r="O9" s="166"/>
      <c r="P9" s="7"/>
      <c r="Q9" s="7"/>
      <c r="R9" s="7"/>
      <c r="S9" s="7"/>
      <c r="T9" s="7"/>
      <c r="U9" s="7"/>
    </row>
    <row r="10" spans="1:23" ht="13.9" hidden="1" customHeight="1" thickBot="1" x14ac:dyDescent="0.3">
      <c r="A10" s="10" t="s">
        <v>239</v>
      </c>
      <c r="B10" s="11" t="s">
        <v>38</v>
      </c>
      <c r="C10" s="11" t="s">
        <v>39</v>
      </c>
      <c r="D10" s="11" t="s">
        <v>177</v>
      </c>
      <c r="E10" s="11" t="s">
        <v>41</v>
      </c>
      <c r="F10" s="11" t="s">
        <v>42</v>
      </c>
      <c r="G10" s="11" t="s">
        <v>43</v>
      </c>
      <c r="H10" s="11" t="s">
        <v>129</v>
      </c>
      <c r="I10" s="7"/>
      <c r="J10" s="8" t="s">
        <v>240</v>
      </c>
      <c r="K10" s="12">
        <v>5</v>
      </c>
      <c r="N10" s="167"/>
      <c r="O10" s="168"/>
      <c r="P10" s="168"/>
      <c r="Q10" s="168"/>
      <c r="R10" s="168"/>
      <c r="S10" s="168"/>
      <c r="T10" s="168"/>
      <c r="U10" s="168"/>
    </row>
    <row r="11" spans="1:23" ht="13.9" hidden="1" customHeight="1" thickBot="1" x14ac:dyDescent="0.3">
      <c r="A11" s="13" t="s">
        <v>131</v>
      </c>
      <c r="B11" s="9">
        <v>0</v>
      </c>
      <c r="C11" s="9">
        <v>0</v>
      </c>
      <c r="D11" s="9">
        <v>36</v>
      </c>
      <c r="E11" s="9">
        <v>323</v>
      </c>
      <c r="F11" s="9">
        <v>1</v>
      </c>
      <c r="G11" s="157">
        <v>10</v>
      </c>
      <c r="H11" s="9">
        <f>SUM(B11:G11)</f>
        <v>370</v>
      </c>
      <c r="I11" s="14"/>
      <c r="J11" s="8" t="s">
        <v>241</v>
      </c>
      <c r="K11" s="12">
        <f>K9*K10</f>
        <v>260</v>
      </c>
      <c r="N11" s="169"/>
      <c r="O11" s="7"/>
      <c r="P11" s="7"/>
      <c r="Q11" s="7"/>
      <c r="R11" s="7"/>
      <c r="S11" s="7"/>
      <c r="T11" s="170"/>
      <c r="U11" s="7"/>
    </row>
    <row r="12" spans="1:23" ht="13.9" hidden="1" customHeight="1" thickBot="1" x14ac:dyDescent="0.3">
      <c r="A12" s="13" t="s">
        <v>242</v>
      </c>
      <c r="B12" s="15">
        <v>1</v>
      </c>
      <c r="C12" s="15">
        <v>1</v>
      </c>
      <c r="D12" s="15">
        <v>1</v>
      </c>
      <c r="E12" s="15">
        <v>1</v>
      </c>
      <c r="F12" s="15">
        <v>1</v>
      </c>
      <c r="G12" s="15">
        <v>1</v>
      </c>
      <c r="H12" s="15"/>
      <c r="I12" s="7"/>
      <c r="J12" s="8" t="s">
        <v>243</v>
      </c>
      <c r="K12" s="9">
        <v>1</v>
      </c>
      <c r="N12" s="169"/>
      <c r="O12" s="171"/>
      <c r="P12" s="171"/>
      <c r="Q12" s="171"/>
      <c r="R12" s="171"/>
      <c r="S12" s="171"/>
      <c r="T12" s="171"/>
      <c r="U12" s="171"/>
    </row>
    <row r="13" spans="1:23" ht="13.9" hidden="1" customHeight="1" thickBot="1" x14ac:dyDescent="0.3">
      <c r="A13" s="16" t="s">
        <v>244</v>
      </c>
      <c r="B13" s="17">
        <f t="shared" ref="B13:G13" si="2">ROUNDUP(B11*B12,0)</f>
        <v>0</v>
      </c>
      <c r="C13" s="17">
        <f t="shared" si="2"/>
        <v>0</v>
      </c>
      <c r="D13" s="17">
        <f t="shared" si="2"/>
        <v>36</v>
      </c>
      <c r="E13" s="17">
        <f t="shared" si="2"/>
        <v>323</v>
      </c>
      <c r="F13" s="17">
        <f t="shared" si="2"/>
        <v>1</v>
      </c>
      <c r="G13" s="17">
        <f t="shared" si="2"/>
        <v>10</v>
      </c>
      <c r="H13" s="17">
        <f>SUM(B13:G13)</f>
        <v>370</v>
      </c>
      <c r="I13" s="14"/>
      <c r="J13" s="18" t="s">
        <v>245</v>
      </c>
      <c r="K13" s="19">
        <f>K11/K12</f>
        <v>260</v>
      </c>
      <c r="N13" s="169"/>
      <c r="O13" s="14"/>
      <c r="P13" s="14"/>
      <c r="Q13" s="14"/>
      <c r="R13" s="14"/>
      <c r="S13" s="14"/>
      <c r="T13" s="14"/>
      <c r="U13" s="14"/>
    </row>
    <row r="14" spans="1:23" ht="13.9" customHeight="1" thickBot="1" x14ac:dyDescent="0.3">
      <c r="A14" s="247"/>
    </row>
    <row r="15" spans="1:23" ht="15.75" thickBot="1" x14ac:dyDescent="0.3">
      <c r="A15" s="5" t="s">
        <v>175</v>
      </c>
      <c r="B15" s="5">
        <v>330</v>
      </c>
      <c r="C15" s="6"/>
      <c r="D15" s="6"/>
      <c r="E15" s="6"/>
      <c r="F15" s="6"/>
      <c r="G15" s="6"/>
      <c r="H15" s="7"/>
      <c r="I15" s="7"/>
      <c r="J15" s="8" t="s">
        <v>238</v>
      </c>
      <c r="K15" s="9">
        <v>52</v>
      </c>
    </row>
    <row r="16" spans="1:23" ht="15.75" thickBot="1" x14ac:dyDescent="0.3">
      <c r="A16" s="10" t="s">
        <v>239</v>
      </c>
      <c r="B16" s="11" t="s">
        <v>38</v>
      </c>
      <c r="C16" s="11" t="s">
        <v>39</v>
      </c>
      <c r="D16" s="11" t="s">
        <v>177</v>
      </c>
      <c r="E16" s="11" t="s">
        <v>41</v>
      </c>
      <c r="F16" s="11" t="s">
        <v>42</v>
      </c>
      <c r="G16" s="11" t="s">
        <v>43</v>
      </c>
      <c r="H16" s="11" t="s">
        <v>129</v>
      </c>
      <c r="I16" s="7"/>
      <c r="J16" s="8" t="s">
        <v>240</v>
      </c>
      <c r="K16" s="12">
        <f>'P&amp;L'!P2</f>
        <v>7</v>
      </c>
    </row>
    <row r="17" spans="1:11" ht="15.75" thickBot="1" x14ac:dyDescent="0.3">
      <c r="A17" s="13" t="s">
        <v>131</v>
      </c>
      <c r="B17" s="12">
        <v>0</v>
      </c>
      <c r="C17" s="12">
        <v>32</v>
      </c>
      <c r="D17" s="12">
        <v>56</v>
      </c>
      <c r="E17" s="12">
        <v>174</v>
      </c>
      <c r="F17" s="12">
        <v>2</v>
      </c>
      <c r="G17" s="157">
        <v>8</v>
      </c>
      <c r="H17" s="9">
        <f>SUM(B17:G17)</f>
        <v>272</v>
      </c>
      <c r="I17" s="14"/>
      <c r="J17" s="8" t="s">
        <v>241</v>
      </c>
      <c r="K17" s="12">
        <f>K15*K16</f>
        <v>364</v>
      </c>
    </row>
    <row r="18" spans="1:11" ht="15.75" thickBot="1" x14ac:dyDescent="0.3">
      <c r="A18" s="13" t="s">
        <v>242</v>
      </c>
      <c r="B18" s="15">
        <f>+'P&amp;L'!$P$4</f>
        <v>0.8</v>
      </c>
      <c r="C18" s="15">
        <f>+'P&amp;L'!$P$4</f>
        <v>0.8</v>
      </c>
      <c r="D18" s="15">
        <f>+'P&amp;L'!$P$4</f>
        <v>0.8</v>
      </c>
      <c r="E18" s="15">
        <f>+'P&amp;L'!$P$4</f>
        <v>0.8</v>
      </c>
      <c r="F18" s="15">
        <f>+'P&amp;L'!$P$4</f>
        <v>0.8</v>
      </c>
      <c r="G18" s="15">
        <f>+'P&amp;L'!$P$4</f>
        <v>0.8</v>
      </c>
      <c r="H18" s="15"/>
      <c r="I18" s="7"/>
      <c r="J18" s="8" t="s">
        <v>243</v>
      </c>
      <c r="K18" s="9">
        <v>1</v>
      </c>
    </row>
    <row r="19" spans="1:11" ht="15.75" thickBot="1" x14ac:dyDescent="0.3">
      <c r="A19" s="16" t="s">
        <v>244</v>
      </c>
      <c r="B19" s="17">
        <f t="shared" ref="B19:G19" si="3">ROUNDUP(B17*B18,0)</f>
        <v>0</v>
      </c>
      <c r="C19" s="17">
        <f t="shared" si="3"/>
        <v>26</v>
      </c>
      <c r="D19" s="17">
        <f t="shared" si="3"/>
        <v>45</v>
      </c>
      <c r="E19" s="17">
        <f t="shared" si="3"/>
        <v>140</v>
      </c>
      <c r="F19" s="17">
        <f t="shared" si="3"/>
        <v>2</v>
      </c>
      <c r="G19" s="17">
        <f t="shared" si="3"/>
        <v>7</v>
      </c>
      <c r="H19" s="17">
        <f>SUM(B19:G19)</f>
        <v>220</v>
      </c>
      <c r="I19" s="14"/>
      <c r="J19" s="18" t="s">
        <v>245</v>
      </c>
      <c r="K19" s="19">
        <v>365</v>
      </c>
    </row>
    <row r="21" spans="1:11" ht="15.75" thickBot="1" x14ac:dyDescent="0.3">
      <c r="A21" s="5"/>
      <c r="B21" s="5"/>
      <c r="C21" s="6"/>
      <c r="D21" s="6"/>
      <c r="E21" s="6"/>
      <c r="F21" s="6"/>
      <c r="G21" s="6"/>
      <c r="H21" s="7"/>
      <c r="I21" s="7"/>
      <c r="J21" s="8"/>
      <c r="K21" s="9"/>
    </row>
    <row r="22" spans="1:11" ht="15.75" thickBot="1" x14ac:dyDescent="0.3">
      <c r="A22" s="10"/>
      <c r="B22" s="11"/>
      <c r="C22" s="11"/>
      <c r="D22" s="11"/>
      <c r="E22" s="11"/>
      <c r="F22" s="11"/>
      <c r="G22" s="11"/>
      <c r="H22" s="11"/>
      <c r="I22" s="7"/>
      <c r="J22" s="8"/>
      <c r="K22" s="12"/>
    </row>
    <row r="23" spans="1:11" ht="15.75" thickBot="1" x14ac:dyDescent="0.3">
      <c r="A23" s="13"/>
      <c r="B23" s="9"/>
      <c r="C23" s="9"/>
      <c r="D23" s="9"/>
      <c r="E23" s="9"/>
      <c r="F23" s="9"/>
      <c r="G23" s="157"/>
      <c r="H23" s="9"/>
      <c r="I23" s="14"/>
      <c r="J23" s="8"/>
      <c r="K23" s="12"/>
    </row>
    <row r="24" spans="1:11" ht="15.75" thickBot="1" x14ac:dyDescent="0.3">
      <c r="A24" s="13"/>
      <c r="B24" s="15"/>
      <c r="C24" s="15"/>
      <c r="D24" s="15"/>
      <c r="E24" s="15"/>
      <c r="F24" s="15"/>
      <c r="G24" s="15"/>
      <c r="H24" s="15"/>
      <c r="I24" s="7"/>
      <c r="J24" s="8"/>
      <c r="K24" s="9"/>
    </row>
    <row r="25" spans="1:11" ht="15.75" thickBot="1" x14ac:dyDescent="0.3">
      <c r="A25" s="16"/>
      <c r="B25" s="17"/>
      <c r="C25" s="17"/>
      <c r="D25" s="17"/>
      <c r="E25" s="17"/>
      <c r="F25" s="17"/>
      <c r="G25" s="17"/>
      <c r="H25" s="17"/>
      <c r="I25" s="14"/>
      <c r="J25" s="18"/>
      <c r="K25" s="19"/>
    </row>
    <row r="28" spans="1:11" ht="45" x14ac:dyDescent="0.25">
      <c r="B28" s="123" t="s">
        <v>133</v>
      </c>
      <c r="C28" s="123" t="s">
        <v>134</v>
      </c>
      <c r="D28" s="123" t="s">
        <v>135</v>
      </c>
      <c r="E28" s="123" t="s">
        <v>136</v>
      </c>
      <c r="F28" s="123" t="s">
        <v>137</v>
      </c>
      <c r="G28" s="123" t="s">
        <v>246</v>
      </c>
    </row>
    <row r="29" spans="1:11" x14ac:dyDescent="0.25">
      <c r="B29" s="218"/>
      <c r="C29" s="218">
        <v>32</v>
      </c>
      <c r="D29" s="218">
        <v>56</v>
      </c>
      <c r="E29" s="218">
        <v>174</v>
      </c>
      <c r="F29" s="218">
        <v>2</v>
      </c>
      <c r="G29" s="218">
        <v>8</v>
      </c>
    </row>
    <row r="33" spans="2:2" x14ac:dyDescent="0.25">
      <c r="B33" t="s">
        <v>247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9053F-E28F-4FE2-A8A7-22CF0134E920}">
  <sheetPr>
    <tabColor theme="7" tint="0.59999389629810485"/>
  </sheetPr>
  <dimension ref="A1:AI217"/>
  <sheetViews>
    <sheetView tabSelected="1" zoomScaleNormal="100" workbookViewId="0">
      <pane ySplit="3" topLeftCell="A131" activePane="bottomLeft" state="frozen"/>
      <selection pane="bottomLeft" activeCell="S159" sqref="S159"/>
    </sheetView>
  </sheetViews>
  <sheetFormatPr defaultRowHeight="15" x14ac:dyDescent="0.25"/>
  <cols>
    <col min="1" max="1" width="15.140625" customWidth="1"/>
    <col min="2" max="2" width="5.7109375" bestFit="1" customWidth="1"/>
    <col min="3" max="3" width="23.42578125" customWidth="1"/>
    <col min="4" max="4" width="8.7109375" customWidth="1"/>
    <col min="5" max="5" width="10.7109375" style="270" bestFit="1" customWidth="1"/>
    <col min="6" max="6" width="11.28515625" style="30" bestFit="1" customWidth="1"/>
    <col min="7" max="7" width="85" style="123" customWidth="1"/>
    <col min="8" max="8" width="8" style="253" customWidth="1"/>
    <col min="9" max="9" width="9.5703125" customWidth="1"/>
    <col min="10" max="10" width="8.42578125" style="257" customWidth="1"/>
    <col min="11" max="11" width="9.5703125" style="131" customWidth="1"/>
    <col min="12" max="12" width="6.28515625" style="183" customWidth="1"/>
    <col min="13" max="13" width="8.42578125" style="131" customWidth="1"/>
    <col min="14" max="14" width="8.42578125" customWidth="1"/>
    <col min="15" max="15" width="8.28515625" customWidth="1"/>
    <col min="16" max="16" width="11" customWidth="1"/>
    <col min="17" max="18" width="8.5703125" customWidth="1"/>
    <col min="22" max="22" width="11" bestFit="1" customWidth="1"/>
    <col min="23" max="23" width="11" customWidth="1"/>
    <col min="24" max="24" width="8.42578125" bestFit="1" customWidth="1"/>
    <col min="25" max="25" width="7.7109375" bestFit="1" customWidth="1"/>
    <col min="26" max="27" width="7.7109375" customWidth="1"/>
    <col min="28" max="28" width="12.5703125" bestFit="1" customWidth="1"/>
    <col min="30" max="30" width="13.42578125" bestFit="1" customWidth="1"/>
    <col min="31" max="34" width="11.7109375" bestFit="1" customWidth="1"/>
    <col min="35" max="35" width="13.42578125" bestFit="1" customWidth="1"/>
  </cols>
  <sheetData>
    <row r="1" spans="1:35" ht="15.75" thickBot="1" x14ac:dyDescent="0.3">
      <c r="A1" s="24"/>
      <c r="B1" s="25"/>
      <c r="C1" s="25"/>
      <c r="D1" s="25"/>
      <c r="E1" s="267"/>
      <c r="F1" s="273"/>
      <c r="G1" s="120"/>
      <c r="H1" s="248"/>
      <c r="I1" s="25"/>
      <c r="J1" s="254"/>
      <c r="K1" s="213"/>
      <c r="L1" s="213"/>
      <c r="M1" s="128"/>
      <c r="N1" s="25"/>
      <c r="O1" s="25"/>
      <c r="P1" s="283"/>
      <c r="Q1" s="284"/>
      <c r="R1" s="293"/>
      <c r="V1" s="420" t="s">
        <v>139</v>
      </c>
      <c r="W1" s="421"/>
      <c r="X1" s="421"/>
      <c r="Y1" s="421"/>
      <c r="Z1" s="421"/>
      <c r="AA1" s="421"/>
      <c r="AB1" s="422"/>
      <c r="AE1" s="423" t="s">
        <v>248</v>
      </c>
      <c r="AF1" s="424"/>
      <c r="AG1" s="424"/>
      <c r="AH1" s="424"/>
      <c r="AI1" s="425"/>
    </row>
    <row r="2" spans="1:35" ht="15.75" thickBot="1" x14ac:dyDescent="0.3">
      <c r="A2" s="26"/>
      <c r="B2" s="27"/>
      <c r="C2" s="27"/>
      <c r="D2" s="27"/>
      <c r="E2" s="268"/>
      <c r="F2" s="274"/>
      <c r="G2" s="121"/>
      <c r="H2" s="249"/>
      <c r="I2" s="27"/>
      <c r="J2" s="255"/>
      <c r="K2" s="129"/>
      <c r="L2" s="210"/>
      <c r="M2" s="132">
        <f>20/60*1.2</f>
        <v>0.39999999999999997</v>
      </c>
      <c r="N2" s="133"/>
      <c r="O2" s="180">
        <f>'P&amp;L'!P8</f>
        <v>0.13</v>
      </c>
      <c r="P2" s="182">
        <f>'P&amp;L'!P9</f>
        <v>0.13</v>
      </c>
      <c r="Q2" s="181"/>
      <c r="R2" s="317"/>
      <c r="V2" s="302"/>
      <c r="W2" s="287"/>
      <c r="X2" s="287"/>
      <c r="Y2" s="287"/>
      <c r="Z2" s="287"/>
      <c r="AA2" s="287"/>
      <c r="AB2" s="303"/>
      <c r="AE2" s="20"/>
      <c r="AF2" s="21"/>
      <c r="AG2" s="21"/>
      <c r="AH2" s="21"/>
      <c r="AI2" s="22"/>
    </row>
    <row r="3" spans="1:35" ht="60.75" thickBot="1" x14ac:dyDescent="0.3">
      <c r="A3" s="23" t="s">
        <v>249</v>
      </c>
      <c r="B3" s="23" t="s">
        <v>162</v>
      </c>
      <c r="C3" s="23"/>
      <c r="D3" s="23" t="s">
        <v>250</v>
      </c>
      <c r="E3" s="269" t="s">
        <v>251</v>
      </c>
      <c r="F3" s="275"/>
      <c r="G3" s="122" t="s">
        <v>3</v>
      </c>
      <c r="H3" s="250" t="s">
        <v>252</v>
      </c>
      <c r="I3" s="1" t="s">
        <v>253</v>
      </c>
      <c r="J3" s="256" t="s">
        <v>254</v>
      </c>
      <c r="K3" s="130" t="s">
        <v>255</v>
      </c>
      <c r="L3" s="23" t="s">
        <v>256</v>
      </c>
      <c r="M3" s="130" t="s">
        <v>257</v>
      </c>
      <c r="N3" s="2" t="s">
        <v>214</v>
      </c>
      <c r="O3" s="2" t="s">
        <v>82</v>
      </c>
      <c r="P3" s="2" t="s">
        <v>258</v>
      </c>
      <c r="Q3" s="2" t="s">
        <v>259</v>
      </c>
      <c r="R3" s="320" t="s">
        <v>260</v>
      </c>
      <c r="T3" s="3" t="s">
        <v>261</v>
      </c>
      <c r="V3" s="304" t="s">
        <v>262</v>
      </c>
      <c r="W3" s="305" t="s">
        <v>263</v>
      </c>
      <c r="X3" s="305" t="s">
        <v>264</v>
      </c>
      <c r="Y3" s="305" t="s">
        <v>265</v>
      </c>
      <c r="Z3" s="305" t="s">
        <v>266</v>
      </c>
      <c r="AA3" s="305" t="s">
        <v>267</v>
      </c>
      <c r="AB3" s="306" t="s">
        <v>268</v>
      </c>
      <c r="AD3" s="2" t="s">
        <v>269</v>
      </c>
      <c r="AE3" s="2" t="s">
        <v>270</v>
      </c>
      <c r="AF3" s="2" t="s">
        <v>271</v>
      </c>
      <c r="AG3" s="2" t="s">
        <v>272</v>
      </c>
      <c r="AH3" s="3" t="s">
        <v>273</v>
      </c>
      <c r="AI3" s="4" t="s">
        <v>274</v>
      </c>
    </row>
    <row r="4" spans="1:35" x14ac:dyDescent="0.25">
      <c r="A4" s="125"/>
      <c r="B4" s="300"/>
      <c r="C4" s="126"/>
      <c r="D4" s="125"/>
      <c r="F4" s="276"/>
      <c r="G4" s="127"/>
      <c r="H4" s="251"/>
      <c r="I4" s="125"/>
    </row>
    <row r="5" spans="1:35" x14ac:dyDescent="0.25">
      <c r="A5" t="s">
        <v>134</v>
      </c>
      <c r="B5" s="301">
        <v>2</v>
      </c>
      <c r="C5" s="178" t="str">
        <f>CONCATENATE(A5&amp;B5&amp;F5)</f>
        <v>BUSINESS CLASS2</v>
      </c>
      <c r="D5" s="175"/>
      <c r="E5" s="271">
        <v>10001</v>
      </c>
      <c r="F5" s="277"/>
      <c r="G5" s="123" t="str">
        <f>VLOOKUP(E5,'[5]FG MASTER'!$A$10:$AB$203,2,0)</f>
        <v>BC TSU</v>
      </c>
      <c r="H5" s="252">
        <v>40</v>
      </c>
      <c r="I5" s="176" t="s">
        <v>275</v>
      </c>
      <c r="J5" s="258">
        <f>IFERROR(IF(I5="std",H5,HLOOKUP(A5,FlightConfig!$B$28:$G$29,2,0)*I5),"")</f>
        <v>40</v>
      </c>
      <c r="K5" s="213">
        <f>VLOOKUP(Food!E5,'[5]FG MASTER'!$A$1:$AC$521,16,0)</f>
        <v>0</v>
      </c>
      <c r="L5" s="214">
        <f>VLOOKUP(Food!E5,'FG MASTER'!A:AJ,17,0)</f>
        <v>2</v>
      </c>
      <c r="M5" s="136">
        <f t="shared" ref="M5:M19" si="0">IFERROR(L5*$M$2,"")</f>
        <v>0.79999999999999993</v>
      </c>
      <c r="N5" s="136">
        <f>IFERROR((K5)+M5,"")</f>
        <v>0.79999999999999993</v>
      </c>
      <c r="O5" s="136">
        <f t="shared" ref="O5:O41" si="1">IFERROR($K5*(1+$O$2)-$K5+R5,0)</f>
        <v>0</v>
      </c>
      <c r="P5" s="136">
        <f>IFERROR($M5*(1+$P$2)-$M5,0)</f>
        <v>0.10399999999999987</v>
      </c>
      <c r="Q5" s="136">
        <f>SUM(N5:P5)</f>
        <v>0.9039999999999998</v>
      </c>
      <c r="R5" s="318"/>
      <c r="S5" s="131"/>
      <c r="T5">
        <f>L5*J5</f>
        <v>80</v>
      </c>
      <c r="V5">
        <f t="shared" ref="V5:V36" si="2">IFERROR(K5*J5-R5*J5,"")</f>
        <v>0</v>
      </c>
      <c r="W5">
        <f>IFERROR(+L5*J5,"")</f>
        <v>80</v>
      </c>
      <c r="X5" s="131">
        <f>IFERROR(+M5*J5,"")</f>
        <v>31.999999999999996</v>
      </c>
      <c r="Y5" s="131">
        <f>IFERROR(+N5*J5,"")</f>
        <v>31.999999999999996</v>
      </c>
      <c r="Z5" s="131">
        <f t="shared" ref="Z5:Z49" si="3">IFERROR(O5*$J5,"")</f>
        <v>0</v>
      </c>
      <c r="AA5" s="131">
        <f t="shared" ref="AA5:AA49" si="4">IFERROR(P5*$J5,"")</f>
        <v>4.1599999999999948</v>
      </c>
      <c r="AB5" s="131">
        <f t="shared" ref="AB5:AB36" si="5">IFERROR(+(Q5+R5)*J5,"")</f>
        <v>36.159999999999989</v>
      </c>
      <c r="AD5" s="131" t="str">
        <f>IFERROR(#REF!*FlightConfig!$K$3,"")</f>
        <v/>
      </c>
      <c r="AE5" s="131">
        <f>IFERROR(V5*FlightConfig!$K$3,"")</f>
        <v>0</v>
      </c>
      <c r="AF5" s="131">
        <f>IFERROR(W5*FlightConfig!$K$3,"")</f>
        <v>29120</v>
      </c>
      <c r="AG5" s="131">
        <f>IFERROR(X5*FlightConfig!$K$3,"")</f>
        <v>11647.999999999998</v>
      </c>
      <c r="AH5" s="131">
        <f>IFERROR(Y5*FlightConfig!$K$3,"")</f>
        <v>11647.999999999998</v>
      </c>
      <c r="AI5" s="131">
        <f>IFERROR(AB5*FlightConfig!$K$3,"")</f>
        <v>13162.239999999996</v>
      </c>
    </row>
    <row r="6" spans="1:35" x14ac:dyDescent="0.25">
      <c r="A6" t="s">
        <v>134</v>
      </c>
      <c r="B6" s="301">
        <v>2</v>
      </c>
      <c r="C6" s="178" t="str">
        <f t="shared" ref="C6:C23" si="6">CONCATENATE(A6&amp;B6&amp;F6)</f>
        <v>BUSINESS CLASS2</v>
      </c>
      <c r="D6" s="175"/>
      <c r="E6" s="307">
        <v>10002</v>
      </c>
      <c r="F6" s="277"/>
      <c r="G6" s="123" t="str">
        <f>VLOOKUP(E6,'[5]FG MASTER'!$A$10:$AB$203,2,0)</f>
        <v>BC C2 SALAD MESCLUN MIX GREEN250g</v>
      </c>
      <c r="H6" s="252">
        <v>1</v>
      </c>
      <c r="I6" s="176">
        <v>0.1</v>
      </c>
      <c r="J6" s="258">
        <f>IFERROR(IF(I6="std",H6,ROUND(HLOOKUP(A6,FlightConfig!$B$28:$G$29,2,0)*I6,0)),"")</f>
        <v>3</v>
      </c>
      <c r="K6" s="213">
        <f>VLOOKUP(Food!E6,'[5]FG MASTER'!$A$1:$AC$521,16,0)</f>
        <v>1.6204507499999998</v>
      </c>
      <c r="L6" s="214">
        <f>VLOOKUP(Food!E6,'FG MASTER'!A:AJ,17,0)</f>
        <v>2.5</v>
      </c>
      <c r="M6" s="136">
        <f t="shared" si="0"/>
        <v>0.99999999999999989</v>
      </c>
      <c r="N6" s="136">
        <f t="shared" ref="N6:N49" si="7">IFERROR((K6)+M6,"")</f>
        <v>2.6204507499999998</v>
      </c>
      <c r="O6" s="136">
        <f t="shared" si="1"/>
        <v>0.21065859749999971</v>
      </c>
      <c r="P6" s="136">
        <f t="shared" ref="P6:P94" si="8">IFERROR($M6*(1+$P$2)-$M6,0)</f>
        <v>0.12999999999999978</v>
      </c>
      <c r="Q6" s="136">
        <f t="shared" ref="Q6:Q13" si="9">SUM(N6:P6)</f>
        <v>2.9611093474999994</v>
      </c>
      <c r="R6" s="318"/>
      <c r="S6" s="131"/>
      <c r="T6">
        <f t="shared" ref="T6:T74" si="10">L6*J6</f>
        <v>7.5</v>
      </c>
      <c r="V6">
        <f t="shared" si="2"/>
        <v>4.8613522499999995</v>
      </c>
      <c r="W6">
        <f>IFERROR(+L6*J6,"")</f>
        <v>7.5</v>
      </c>
      <c r="X6" s="131">
        <f>IFERROR(+M6*J6,"")</f>
        <v>2.9999999999999996</v>
      </c>
      <c r="Y6" s="131">
        <f t="shared" ref="Y6:Y70" si="11">IFERROR(+N6*J6+R6*J6,"")</f>
        <v>7.8613522499999995</v>
      </c>
      <c r="Z6" s="131">
        <f t="shared" si="3"/>
        <v>0.63197579249999913</v>
      </c>
      <c r="AA6" s="131">
        <f t="shared" si="4"/>
        <v>0.38999999999999935</v>
      </c>
      <c r="AB6" s="131">
        <f t="shared" si="5"/>
        <v>8.8833280424999987</v>
      </c>
      <c r="AD6" s="131" t="str">
        <f>IFERROR(#REF!*FlightConfig!$K$3,"")</f>
        <v/>
      </c>
      <c r="AE6" s="131">
        <f>IFERROR(V6*FlightConfig!$K$3,"")</f>
        <v>1769.5322189999997</v>
      </c>
      <c r="AF6" s="131">
        <f>IFERROR(W6*FlightConfig!$K$3,"")</f>
        <v>2730</v>
      </c>
      <c r="AG6" s="131">
        <f>IFERROR(X6*FlightConfig!$K$3,"")</f>
        <v>1091.9999999999998</v>
      </c>
      <c r="AH6" s="131">
        <f>IFERROR(Y6*FlightConfig!$K$3,"")</f>
        <v>2861.5322189999997</v>
      </c>
      <c r="AI6" s="131">
        <f>IFERROR(AB6*FlightConfig!$K$3,"")</f>
        <v>3233.5314074699995</v>
      </c>
    </row>
    <row r="7" spans="1:35" x14ac:dyDescent="0.25">
      <c r="A7" t="s">
        <v>134</v>
      </c>
      <c r="B7" s="301">
        <v>2</v>
      </c>
      <c r="C7" s="178" t="str">
        <f t="shared" si="6"/>
        <v>BUSINESS CLASS2</v>
      </c>
      <c r="D7" s="175"/>
      <c r="E7" s="271">
        <v>10004</v>
      </c>
      <c r="F7" s="277"/>
      <c r="G7" s="123" t="str">
        <f>VLOOKUP(E7,'[5]FG MASTER'!$A$10:$AB$203,2,0)</f>
        <v xml:space="preserve">BC C2 GARNISH SUNFLOWER SEED </v>
      </c>
      <c r="H7" s="252">
        <v>1</v>
      </c>
      <c r="I7" s="176">
        <v>0.1</v>
      </c>
      <c r="J7" s="258">
        <f>IFERROR(IF(I7="std",H7,ROUND(HLOOKUP(A7,FlightConfig!$B$28:$G$29,2,0)*I7,0)),"")</f>
        <v>3</v>
      </c>
      <c r="K7" s="213">
        <f>VLOOKUP(Food!E7,'[5]FG MASTER'!$A$1:$AC$521,16,0)</f>
        <v>0.26569619999999999</v>
      </c>
      <c r="L7" s="214">
        <f>VLOOKUP(Food!E7,'FG MASTER'!A:AJ,17,0)</f>
        <v>1.5</v>
      </c>
      <c r="M7" s="136">
        <f t="shared" si="0"/>
        <v>0.6</v>
      </c>
      <c r="N7" s="136">
        <f t="shared" si="7"/>
        <v>0.86569619999999992</v>
      </c>
      <c r="O7" s="136">
        <f t="shared" si="1"/>
        <v>3.4540505999999971E-2</v>
      </c>
      <c r="P7" s="136">
        <f t="shared" si="8"/>
        <v>7.7999999999999958E-2</v>
      </c>
      <c r="Q7" s="136">
        <f t="shared" si="9"/>
        <v>0.97823670599999979</v>
      </c>
      <c r="R7" s="318"/>
      <c r="S7" s="131"/>
      <c r="T7">
        <f t="shared" si="10"/>
        <v>4.5</v>
      </c>
      <c r="V7">
        <f t="shared" si="2"/>
        <v>0.79708859999999992</v>
      </c>
      <c r="W7">
        <f>IFERROR(+L7*J7,"")</f>
        <v>4.5</v>
      </c>
      <c r="X7" s="131">
        <f>IFERROR(+M7*J7,"")</f>
        <v>1.7999999999999998</v>
      </c>
      <c r="Y7" s="131">
        <f t="shared" si="11"/>
        <v>2.5970885999999997</v>
      </c>
      <c r="Z7" s="131">
        <f t="shared" si="3"/>
        <v>0.10362151799999991</v>
      </c>
      <c r="AA7" s="131">
        <f t="shared" si="4"/>
        <v>0.23399999999999987</v>
      </c>
      <c r="AB7" s="131">
        <f t="shared" si="5"/>
        <v>2.9347101179999995</v>
      </c>
      <c r="AD7" s="131" t="str">
        <f>IFERROR(#REF!*FlightConfig!$K$3,"")</f>
        <v/>
      </c>
      <c r="AE7" s="131">
        <f>IFERROR(V7*FlightConfig!$K$3,"")</f>
        <v>290.14025039999996</v>
      </c>
      <c r="AF7" s="131">
        <f>IFERROR(W7*FlightConfig!$K$3,"")</f>
        <v>1638</v>
      </c>
      <c r="AG7" s="131">
        <f>IFERROR(X7*FlightConfig!$K$3,"")</f>
        <v>655.19999999999993</v>
      </c>
      <c r="AH7" s="131">
        <f>IFERROR(Y7*FlightConfig!$K$3,"")</f>
        <v>945.34025039999995</v>
      </c>
      <c r="AI7" s="131">
        <f>IFERROR(AB7*FlightConfig!$K$3,"")</f>
        <v>1068.2344829519998</v>
      </c>
    </row>
    <row r="8" spans="1:35" x14ac:dyDescent="0.25">
      <c r="A8" t="s">
        <v>134</v>
      </c>
      <c r="B8" s="301">
        <v>2</v>
      </c>
      <c r="C8" s="178" t="str">
        <f t="shared" si="6"/>
        <v>BUSINESS CLASS2</v>
      </c>
      <c r="D8" s="175"/>
      <c r="E8" s="271">
        <v>10006</v>
      </c>
      <c r="F8" s="277"/>
      <c r="G8" s="123" t="str">
        <f>VLOOKUP(E8,'[5]FG MASTER'!$A$10:$AB$203,2,0)</f>
        <v>BC BUTTER</v>
      </c>
      <c r="H8" s="252">
        <v>1</v>
      </c>
      <c r="I8" s="176">
        <v>1</v>
      </c>
      <c r="J8" s="258">
        <f>IFERROR(IF(I8="std",H8,ROUND(HLOOKUP(A8,FlightConfig!$B$28:$G$29,2,0)*I8,0)),"")</f>
        <v>32</v>
      </c>
      <c r="K8" s="213">
        <f>VLOOKUP(Food!E8,'[5]FG MASTER'!$A$1:$AC$521,16,0)</f>
        <v>8.5199999999999998E-2</v>
      </c>
      <c r="L8" s="214">
        <f>VLOOKUP(Food!E8,'FG MASTER'!A:AJ,17,0)</f>
        <v>0.75</v>
      </c>
      <c r="M8" s="136">
        <f t="shared" si="0"/>
        <v>0.3</v>
      </c>
      <c r="N8" s="136">
        <f t="shared" si="7"/>
        <v>0.38519999999999999</v>
      </c>
      <c r="O8" s="136">
        <f t="shared" si="1"/>
        <v>1.1075999999999989E-2</v>
      </c>
      <c r="P8" s="136">
        <f t="shared" si="8"/>
        <v>3.8999999999999979E-2</v>
      </c>
      <c r="Q8" s="136">
        <f t="shared" si="9"/>
        <v>0.43527599999999994</v>
      </c>
      <c r="R8" s="318"/>
      <c r="S8" s="131"/>
      <c r="T8">
        <f t="shared" si="10"/>
        <v>24</v>
      </c>
      <c r="V8">
        <f t="shared" si="2"/>
        <v>2.7263999999999999</v>
      </c>
      <c r="W8">
        <f>IFERROR(+L8*J8,"")</f>
        <v>24</v>
      </c>
      <c r="X8" s="131">
        <f>IFERROR(+M8*J8,"")</f>
        <v>9.6</v>
      </c>
      <c r="Y8" s="131">
        <f t="shared" si="11"/>
        <v>12.3264</v>
      </c>
      <c r="Z8" s="131">
        <f t="shared" si="3"/>
        <v>0.35443199999999964</v>
      </c>
      <c r="AA8" s="131">
        <f t="shared" si="4"/>
        <v>1.2479999999999993</v>
      </c>
      <c r="AB8" s="131">
        <f t="shared" si="5"/>
        <v>13.928831999999998</v>
      </c>
      <c r="AD8" s="131" t="str">
        <f>IFERROR(#REF!*FlightConfig!$K$3,"")</f>
        <v/>
      </c>
      <c r="AE8" s="131">
        <f>IFERROR(V8*FlightConfig!$K$3,"")</f>
        <v>992.40959999999995</v>
      </c>
      <c r="AF8" s="131">
        <f>IFERROR(W8*FlightConfig!$K$3,"")</f>
        <v>8736</v>
      </c>
      <c r="AG8" s="131">
        <f>IFERROR(X8*FlightConfig!$K$3,"")</f>
        <v>3494.4</v>
      </c>
      <c r="AH8" s="131">
        <f>IFERROR(Y8*FlightConfig!$K$3,"")</f>
        <v>4486.8095999999996</v>
      </c>
      <c r="AI8" s="131">
        <f>IFERROR(AB8*FlightConfig!$K$3,"")</f>
        <v>5070.0948479999997</v>
      </c>
    </row>
    <row r="9" spans="1:35" ht="30" x14ac:dyDescent="0.25">
      <c r="A9" t="s">
        <v>134</v>
      </c>
      <c r="B9" s="301">
        <v>2</v>
      </c>
      <c r="C9" s="321" t="str">
        <f t="shared" si="6"/>
        <v>BUSINESS CLASS2</v>
      </c>
      <c r="D9" s="175"/>
      <c r="E9" s="271">
        <v>10007</v>
      </c>
      <c r="F9" s="277"/>
      <c r="G9" s="123" t="str">
        <f>VLOOKUP(E9,'[5]FG MASTER'!$A$10:$AB$203,2,0)</f>
        <v xml:space="preserve">BC C2 STARTER A MEAT BEEF PASTRAMI, DUCK RILLET, SOOORESSATA, FIG JAM AND MESCULIN LETTUCE OKRA BLACK MISSION FIG </v>
      </c>
      <c r="H9" s="252">
        <v>1</v>
      </c>
      <c r="I9" s="176">
        <v>0.6</v>
      </c>
      <c r="J9" s="258">
        <f>IFERROR(IF(I9="std",H9,ROUND(HLOOKUP(A9,FlightConfig!$B$28:$G$29,2,0)*I9,0)),"")</f>
        <v>19</v>
      </c>
      <c r="K9" s="213">
        <f>VLOOKUP(Food!E9,'[5]FG MASTER'!$A$1:$AC$521,16,0)</f>
        <v>1.56555</v>
      </c>
      <c r="L9" s="214">
        <f>VLOOKUP(Food!E9,'FG MASTER'!A:AJ,17,0)</f>
        <v>3</v>
      </c>
      <c r="M9" s="136">
        <f t="shared" si="0"/>
        <v>1.2</v>
      </c>
      <c r="N9" s="136">
        <f t="shared" si="7"/>
        <v>2.7655500000000002</v>
      </c>
      <c r="O9" s="136">
        <f t="shared" si="1"/>
        <v>-0.24433342100000011</v>
      </c>
      <c r="P9" s="136">
        <f t="shared" si="8"/>
        <v>0.15599999999999992</v>
      </c>
      <c r="Q9" s="136">
        <f>SUM(N9:P9)</f>
        <v>2.6772165789999995</v>
      </c>
      <c r="R9" s="318">
        <v>-0.44785492100000002</v>
      </c>
      <c r="S9" s="131">
        <f>R9*J9</f>
        <v>-8.5092434990000001</v>
      </c>
      <c r="T9">
        <f t="shared" si="10"/>
        <v>57</v>
      </c>
      <c r="V9">
        <f t="shared" si="2"/>
        <v>38.254693498999998</v>
      </c>
      <c r="W9">
        <f>L9*J9</f>
        <v>57</v>
      </c>
      <c r="X9" s="131">
        <f>+M9*J9</f>
        <v>22.8</v>
      </c>
      <c r="Y9" s="131">
        <f t="shared" si="11"/>
        <v>44.036206501000002</v>
      </c>
      <c r="Z9" s="131">
        <f t="shared" si="3"/>
        <v>-4.6423349990000018</v>
      </c>
      <c r="AA9" s="131">
        <f t="shared" si="4"/>
        <v>2.9639999999999986</v>
      </c>
      <c r="AB9" s="131">
        <f t="shared" si="5"/>
        <v>42.357871501999988</v>
      </c>
      <c r="AD9" s="131" t="str">
        <f>IFERROR(#REF!*FlightConfig!$K$3,"")</f>
        <v/>
      </c>
      <c r="AE9" s="131">
        <f>IFERROR(V9*FlightConfig!$K$3,"")</f>
        <v>13924.708433635999</v>
      </c>
      <c r="AF9" s="131">
        <f>IFERROR(W9*FlightConfig!$K$3,"")</f>
        <v>20748</v>
      </c>
      <c r="AG9" s="131">
        <f>IFERROR(X9*FlightConfig!$K$3,"")</f>
        <v>8299.2000000000007</v>
      </c>
      <c r="AH9" s="131">
        <f>IFERROR(Y9*FlightConfig!$K$3,"")</f>
        <v>16029.179166364002</v>
      </c>
      <c r="AI9" s="131">
        <f>IFERROR(AB9*FlightConfig!$K$3,"")</f>
        <v>15418.265226727995</v>
      </c>
    </row>
    <row r="10" spans="1:35" ht="30" x14ac:dyDescent="0.25">
      <c r="A10" t="s">
        <v>134</v>
      </c>
      <c r="B10" s="301">
        <v>2</v>
      </c>
      <c r="C10" s="178" t="str">
        <f t="shared" si="6"/>
        <v>BUSINESS CLASS2</v>
      </c>
      <c r="D10" s="175"/>
      <c r="E10" s="271">
        <v>10009</v>
      </c>
      <c r="F10" s="277"/>
      <c r="G10" s="123" t="str">
        <f>VLOOKUP(E10,'[5]FG MASTER'!$A$10:$AB$203,2,0)</f>
        <v>BC C2 STARTER B FISH SMOKED TROUT, PICKLED RED ONION, CUCUMBER APPLE SALAD AND MESCLUN MIX</v>
      </c>
      <c r="H10" s="252">
        <v>1</v>
      </c>
      <c r="I10" s="176">
        <v>0.6</v>
      </c>
      <c r="J10" s="258">
        <f>IFERROR(IF(I10="std",H10,ROUND(HLOOKUP(A10,FlightConfig!$B$28:$G$29,2,0)*I10,0)),"")</f>
        <v>19</v>
      </c>
      <c r="K10" s="213">
        <f>VLOOKUP(Food!E10,'[5]FG MASTER'!$A$1:$AC$521,16,0)</f>
        <v>1.805388</v>
      </c>
      <c r="L10" s="214">
        <f>VLOOKUP(Food!E10,'FG MASTER'!A:AJ,17,0)</f>
        <v>3.5</v>
      </c>
      <c r="M10" s="136">
        <f t="shared" si="0"/>
        <v>1.4</v>
      </c>
      <c r="N10" s="136">
        <f t="shared" si="7"/>
        <v>3.2053880000000001</v>
      </c>
      <c r="O10" s="136">
        <f t="shared" si="1"/>
        <v>0.2141362829999999</v>
      </c>
      <c r="P10" s="136">
        <f t="shared" si="8"/>
        <v>0.18199999999999994</v>
      </c>
      <c r="Q10" s="136">
        <f t="shared" si="9"/>
        <v>3.6015242829999998</v>
      </c>
      <c r="R10" s="318">
        <v>-2.0564157E-2</v>
      </c>
      <c r="S10" s="131">
        <f>R10*J10</f>
        <v>-0.39071898299999996</v>
      </c>
      <c r="T10">
        <f t="shared" si="10"/>
        <v>66.5</v>
      </c>
      <c r="V10">
        <f t="shared" si="2"/>
        <v>34.693090982999998</v>
      </c>
      <c r="W10">
        <f t="shared" ref="W10:W28" si="12">IFERROR(+L10*J10,"")</f>
        <v>66.5</v>
      </c>
      <c r="X10" s="131">
        <f t="shared" ref="X10:X28" si="13">IFERROR(+M10*J10,"")</f>
        <v>26.599999999999998</v>
      </c>
      <c r="Y10" s="131">
        <f t="shared" si="11"/>
        <v>60.511653017</v>
      </c>
      <c r="Z10" s="131">
        <f t="shared" si="3"/>
        <v>4.0685893769999977</v>
      </c>
      <c r="AA10" s="131">
        <f t="shared" si="4"/>
        <v>3.4579999999999989</v>
      </c>
      <c r="AB10" s="131">
        <f t="shared" si="5"/>
        <v>68.038242393999994</v>
      </c>
      <c r="AD10" s="131" t="str">
        <f>IFERROR(#REF!*FlightConfig!$K$3,"")</f>
        <v/>
      </c>
      <c r="AE10" s="131">
        <f>IFERROR(V10*FlightConfig!$K$3,"")</f>
        <v>12628.285117812</v>
      </c>
      <c r="AF10" s="131">
        <f>IFERROR(W10*FlightConfig!$K$3,"")</f>
        <v>24206</v>
      </c>
      <c r="AG10" s="131">
        <f>IFERROR(X10*FlightConfig!$K$3,"")</f>
        <v>9682.4</v>
      </c>
      <c r="AH10" s="131">
        <f>IFERROR(Y10*FlightConfig!$K$3,"")</f>
        <v>22026.241698188001</v>
      </c>
      <c r="AI10" s="131">
        <f>IFERROR(AB10*FlightConfig!$K$3,"")</f>
        <v>24765.920231415999</v>
      </c>
    </row>
    <row r="11" spans="1:35" x14ac:dyDescent="0.25">
      <c r="A11" t="s">
        <v>134</v>
      </c>
      <c r="B11" s="301">
        <v>2</v>
      </c>
      <c r="C11" s="178" t="str">
        <f t="shared" si="6"/>
        <v>BUSINESS CLASS2</v>
      </c>
      <c r="D11" s="175"/>
      <c r="E11" s="271">
        <v>10011</v>
      </c>
      <c r="F11" s="277"/>
      <c r="G11" s="123" t="str">
        <f>VLOOKUP(E11,'[5]FG MASTER'!$A$10:$AB$203,2,0)</f>
        <v>BC C2 STARTER GARNISH SHAVED RADISH 100G</v>
      </c>
      <c r="H11" s="252">
        <v>2</v>
      </c>
      <c r="I11" s="176">
        <v>0.1</v>
      </c>
      <c r="J11" s="258">
        <f>IFERROR(IF(I11="std",H11,ROUND(HLOOKUP(A11,FlightConfig!$B$28:$G$29,2,0)*I11,0)),"")</f>
        <v>3</v>
      </c>
      <c r="K11" s="213">
        <f>VLOOKUP(Food!E11,'[5]FG MASTER'!$A$1:$AC$521,16,0)</f>
        <v>0.69029572499999992</v>
      </c>
      <c r="L11" s="214">
        <f>VLOOKUP(Food!E11,'FG MASTER'!A:AJ,17,0)</f>
        <v>2.5</v>
      </c>
      <c r="M11" s="136">
        <f t="shared" si="0"/>
        <v>0.99999999999999989</v>
      </c>
      <c r="N11" s="136">
        <f t="shared" si="7"/>
        <v>1.6902957249999999</v>
      </c>
      <c r="O11" s="136">
        <f t="shared" si="1"/>
        <v>8.9738444249999882E-2</v>
      </c>
      <c r="P11" s="136">
        <f t="shared" si="8"/>
        <v>0.12999999999999978</v>
      </c>
      <c r="Q11" s="136">
        <f t="shared" si="9"/>
        <v>1.9100341692499998</v>
      </c>
      <c r="R11" s="318"/>
      <c r="S11" s="131"/>
      <c r="T11">
        <f t="shared" si="10"/>
        <v>7.5</v>
      </c>
      <c r="V11">
        <f t="shared" si="2"/>
        <v>2.0708871749999997</v>
      </c>
      <c r="W11">
        <f t="shared" si="12"/>
        <v>7.5</v>
      </c>
      <c r="X11" s="131">
        <f t="shared" si="13"/>
        <v>2.9999999999999996</v>
      </c>
      <c r="Y11" s="131">
        <f t="shared" si="11"/>
        <v>5.0708871749999993</v>
      </c>
      <c r="Z11" s="131">
        <f t="shared" si="3"/>
        <v>0.26921533274999965</v>
      </c>
      <c r="AA11" s="131">
        <f t="shared" si="4"/>
        <v>0.38999999999999935</v>
      </c>
      <c r="AB11" s="131">
        <f t="shared" si="5"/>
        <v>5.730102507749999</v>
      </c>
      <c r="AD11" s="131" t="str">
        <f>IFERROR(#REF!*FlightConfig!$K$3,"")</f>
        <v/>
      </c>
      <c r="AE11" s="131">
        <f>IFERROR(V11*FlightConfig!$K$3,"")</f>
        <v>753.80293169999993</v>
      </c>
      <c r="AF11" s="131">
        <f>IFERROR(W11*FlightConfig!$K$3,"")</f>
        <v>2730</v>
      </c>
      <c r="AG11" s="131">
        <f>IFERROR(X11*FlightConfig!$K$3,"")</f>
        <v>1091.9999999999998</v>
      </c>
      <c r="AH11" s="131">
        <f>IFERROR(Y11*FlightConfig!$K$3,"")</f>
        <v>1845.8029316999998</v>
      </c>
      <c r="AI11" s="131">
        <f>IFERROR(AB11*FlightConfig!$K$3,"")</f>
        <v>2085.7573128209997</v>
      </c>
    </row>
    <row r="12" spans="1:35" ht="30" x14ac:dyDescent="0.25">
      <c r="A12" t="s">
        <v>134</v>
      </c>
      <c r="B12" s="301">
        <v>2</v>
      </c>
      <c r="C12" s="178" t="str">
        <f t="shared" si="6"/>
        <v>BUSINESS CLASS2</v>
      </c>
      <c r="D12" s="175"/>
      <c r="E12" s="271">
        <v>10013</v>
      </c>
      <c r="F12" s="277"/>
      <c r="G12" s="123" t="str">
        <f>VLOOKUP(E12,'[5]FG MASTER'!$A$10:$AB$203,2,0)</f>
        <v>BC C2 HM A MEAT GRILLED BEEF TENDERLOIN, SMOKED TOMATO JAM, FINGERLING POTATOES, ASPARAGUS</v>
      </c>
      <c r="H12" s="252">
        <v>1</v>
      </c>
      <c r="I12" s="176">
        <v>0.4</v>
      </c>
      <c r="J12" s="258">
        <f>IFERROR(IF(I12="std",H12,ROUND(HLOOKUP(A12,FlightConfig!$B$28:$G$29,2,0)*I12,0)),"")</f>
        <v>13</v>
      </c>
      <c r="K12" s="213">
        <f>VLOOKUP(Food!E12,'[5]FG MASTER'!$A$1:$AC$521,16,0)</f>
        <v>8.7456734999999988</v>
      </c>
      <c r="L12" s="214">
        <f>VLOOKUP(Food!E12,'FG MASTER'!A:AJ,17,0)</f>
        <v>8</v>
      </c>
      <c r="M12" s="136">
        <f t="shared" si="0"/>
        <v>3.1999999999999997</v>
      </c>
      <c r="N12" s="136">
        <f t="shared" si="7"/>
        <v>11.945673499999998</v>
      </c>
      <c r="O12" s="136">
        <f t="shared" si="1"/>
        <v>2.9910664329999994</v>
      </c>
      <c r="P12" s="136">
        <f t="shared" si="8"/>
        <v>0.41599999999999948</v>
      </c>
      <c r="Q12" s="136">
        <f t="shared" si="9"/>
        <v>15.352739932999999</v>
      </c>
      <c r="R12" s="319">
        <v>1.854128878</v>
      </c>
      <c r="S12" s="131">
        <f>R12*J12</f>
        <v>24.103675414000001</v>
      </c>
      <c r="T12" s="293">
        <f>(L12/2)*J12</f>
        <v>52</v>
      </c>
      <c r="V12">
        <f t="shared" si="2"/>
        <v>89.590080085999972</v>
      </c>
      <c r="W12">
        <f t="shared" si="12"/>
        <v>104</v>
      </c>
      <c r="X12" s="131">
        <f t="shared" si="13"/>
        <v>41.599999999999994</v>
      </c>
      <c r="Y12" s="131">
        <f t="shared" si="11"/>
        <v>179.39743091399998</v>
      </c>
      <c r="Z12" s="131">
        <f t="shared" si="3"/>
        <v>38.88386362899999</v>
      </c>
      <c r="AA12" s="131">
        <f t="shared" si="4"/>
        <v>5.4079999999999933</v>
      </c>
      <c r="AB12" s="131">
        <f t="shared" si="5"/>
        <v>223.68929454299999</v>
      </c>
      <c r="AD12" s="131" t="str">
        <f>IFERROR(#REF!*FlightConfig!$K$3,"")</f>
        <v/>
      </c>
      <c r="AE12" s="131">
        <f>IFERROR(V12*FlightConfig!$K$3,"")</f>
        <v>32610.78915130399</v>
      </c>
      <c r="AF12" s="131">
        <f>IFERROR(W12*FlightConfig!$K$3,"")</f>
        <v>37856</v>
      </c>
      <c r="AG12" s="131">
        <f>IFERROR(X12*FlightConfig!$K$3,"")</f>
        <v>15142.399999999998</v>
      </c>
      <c r="AH12" s="131">
        <f>IFERROR(Y12*FlightConfig!$K$3,"")</f>
        <v>65300.664852695991</v>
      </c>
      <c r="AI12" s="131">
        <f>IFERROR(AB12*FlightConfig!$K$3,"")</f>
        <v>81422.903213651996</v>
      </c>
    </row>
    <row r="13" spans="1:35" ht="30" x14ac:dyDescent="0.25">
      <c r="A13" t="s">
        <v>134</v>
      </c>
      <c r="B13" s="301">
        <v>2</v>
      </c>
      <c r="C13" s="178" t="str">
        <f t="shared" si="6"/>
        <v>BUSINESS CLASS2</v>
      </c>
      <c r="D13" s="175"/>
      <c r="E13" s="271">
        <v>10015</v>
      </c>
      <c r="F13" s="277"/>
      <c r="G13" s="123" t="str">
        <f>VLOOKUP(E13,'[5]FG MASTER'!$A$10:$AB$203,2,0)</f>
        <v>BC C2 HM C POULTRY LEMON CHICKEN LEG CONFIT, WILD MUSHROOM CONSERVA, MASH POTATOES, BABY CARROT</v>
      </c>
      <c r="H13" s="252">
        <v>1</v>
      </c>
      <c r="I13" s="176">
        <v>0.4</v>
      </c>
      <c r="J13" s="258">
        <f>IFERROR(IF(I13="std",H13,ROUND(HLOOKUP(A13,FlightConfig!$B$28:$G$29,2,0)*I13,0)),"")</f>
        <v>13</v>
      </c>
      <c r="K13" s="213">
        <f>VLOOKUP(Food!E13,'[5]FG MASTER'!$A$1:$AC$521,16,0)</f>
        <v>4.3527433949999992</v>
      </c>
      <c r="L13" s="214">
        <f>VLOOKUP(Food!E13,'FG MASTER'!A:AJ,17,0)</f>
        <v>6.5</v>
      </c>
      <c r="M13" s="136">
        <f t="shared" si="0"/>
        <v>2.5999999999999996</v>
      </c>
      <c r="N13" s="136">
        <f t="shared" si="7"/>
        <v>6.9527433949999988</v>
      </c>
      <c r="O13" s="136">
        <f t="shared" si="1"/>
        <v>0.56585664134999902</v>
      </c>
      <c r="P13" s="136">
        <f t="shared" si="8"/>
        <v>0.33799999999999963</v>
      </c>
      <c r="Q13" s="136">
        <f t="shared" si="9"/>
        <v>7.856600036349997</v>
      </c>
      <c r="R13" s="318"/>
      <c r="S13" s="131"/>
      <c r="T13" s="293">
        <f>(L13/2)*J13</f>
        <v>42.25</v>
      </c>
      <c r="V13">
        <f t="shared" si="2"/>
        <v>56.585664134999988</v>
      </c>
      <c r="W13">
        <f t="shared" si="12"/>
        <v>84.5</v>
      </c>
      <c r="X13" s="131">
        <f t="shared" si="13"/>
        <v>33.799999999999997</v>
      </c>
      <c r="Y13" s="131">
        <f t="shared" si="11"/>
        <v>90.385664134999985</v>
      </c>
      <c r="Z13" s="131">
        <f t="shared" si="3"/>
        <v>7.3561363375499873</v>
      </c>
      <c r="AA13" s="131">
        <f t="shared" si="4"/>
        <v>4.3939999999999948</v>
      </c>
      <c r="AB13" s="131">
        <f t="shared" si="5"/>
        <v>102.13580047254996</v>
      </c>
      <c r="AD13" s="131" t="str">
        <f>IFERROR(#REF!*FlightConfig!$K$3,"")</f>
        <v/>
      </c>
      <c r="AE13" s="131">
        <f>IFERROR(V13*FlightConfig!$K$3,"")</f>
        <v>20597.181745139995</v>
      </c>
      <c r="AF13" s="131">
        <f>IFERROR(W13*FlightConfig!$K$3,"")</f>
        <v>30758</v>
      </c>
      <c r="AG13" s="131">
        <f>IFERROR(X13*FlightConfig!$K$3,"")</f>
        <v>12303.199999999999</v>
      </c>
      <c r="AH13" s="131">
        <f>IFERROR(Y13*FlightConfig!$K$3,"")</f>
        <v>32900.381745139995</v>
      </c>
      <c r="AI13" s="131">
        <f>IFERROR(AB13*FlightConfig!$K$3,"")</f>
        <v>37177.431372008185</v>
      </c>
    </row>
    <row r="14" spans="1:35" ht="30" x14ac:dyDescent="0.25">
      <c r="A14" t="s">
        <v>134</v>
      </c>
      <c r="B14" s="301">
        <v>2</v>
      </c>
      <c r="C14" s="178" t="str">
        <f t="shared" si="6"/>
        <v>BUSINESS CLASS2</v>
      </c>
      <c r="D14" s="175"/>
      <c r="E14" s="271">
        <v>10017</v>
      </c>
      <c r="F14" s="277"/>
      <c r="G14" s="123" t="str">
        <f>VLOOKUP(E14,'[5]FG MASTER'!$A$10:$AB$203,2,0)</f>
        <v>BC C2 HM D VEG PASTA MAMI SMOKED MOZZERELLA RAVIOLI 25GX4, POMODRINI SAUCE, BUFFALA MOZZARELLA, BROCCOLINI</v>
      </c>
      <c r="H14" s="252">
        <v>1</v>
      </c>
      <c r="I14" s="176">
        <v>0.4</v>
      </c>
      <c r="J14" s="258">
        <f>IFERROR(IF(I14="std",H14,ROUND(HLOOKUP(A14,FlightConfig!$B$28:$G$29,2,0)*I14,0)),"")</f>
        <v>13</v>
      </c>
      <c r="K14" s="213">
        <f>VLOOKUP(Food!E14,'[5]FG MASTER'!$A$1:$AC$521,16,0)</f>
        <v>4.2014888999999993</v>
      </c>
      <c r="L14" s="214">
        <f>VLOOKUP(Food!E14,'FG MASTER'!A:AJ,17,0)</f>
        <v>4</v>
      </c>
      <c r="M14" s="136">
        <f t="shared" si="0"/>
        <v>1.5999999999999999</v>
      </c>
      <c r="N14" s="136">
        <f t="shared" si="7"/>
        <v>5.8014888999999989</v>
      </c>
      <c r="O14" s="136">
        <f t="shared" si="1"/>
        <v>0.54619355699999961</v>
      </c>
      <c r="P14" s="136">
        <f t="shared" si="8"/>
        <v>0.20799999999999974</v>
      </c>
      <c r="Q14" s="136">
        <f>SUM(N14:P14)</f>
        <v>6.5556824569999979</v>
      </c>
      <c r="R14" s="318"/>
      <c r="S14" s="131"/>
      <c r="T14" s="293">
        <f>(L14/2)*J14</f>
        <v>26</v>
      </c>
      <c r="V14">
        <f t="shared" si="2"/>
        <v>54.619355699999993</v>
      </c>
      <c r="W14">
        <f t="shared" si="12"/>
        <v>52</v>
      </c>
      <c r="X14" s="131">
        <f t="shared" si="13"/>
        <v>20.799999999999997</v>
      </c>
      <c r="Y14" s="131">
        <f t="shared" si="11"/>
        <v>75.419355699999983</v>
      </c>
      <c r="Z14" s="131">
        <f t="shared" si="3"/>
        <v>7.1005162409999949</v>
      </c>
      <c r="AA14" s="131">
        <f t="shared" si="4"/>
        <v>2.7039999999999966</v>
      </c>
      <c r="AB14" s="131">
        <f t="shared" si="5"/>
        <v>85.22387194099997</v>
      </c>
      <c r="AD14" s="131" t="str">
        <f>IFERROR(#REF!*FlightConfig!$K$3,"")</f>
        <v/>
      </c>
      <c r="AE14" s="131">
        <f>IFERROR(V14*FlightConfig!$K$3,"")</f>
        <v>19881.445474799999</v>
      </c>
      <c r="AF14" s="131">
        <f>IFERROR(W14*FlightConfig!$K$3,"")</f>
        <v>18928</v>
      </c>
      <c r="AG14" s="131">
        <f>IFERROR(X14*FlightConfig!$K$3,"")</f>
        <v>7571.1999999999989</v>
      </c>
      <c r="AH14" s="131">
        <f>IFERROR(Y14*FlightConfig!$K$3,"")</f>
        <v>27452.645474799992</v>
      </c>
      <c r="AI14" s="131">
        <f>IFERROR(AB14*FlightConfig!$K$3,"")</f>
        <v>31021.48938652399</v>
      </c>
    </row>
    <row r="15" spans="1:35" x14ac:dyDescent="0.25">
      <c r="A15" t="s">
        <v>134</v>
      </c>
      <c r="B15" s="301">
        <v>2</v>
      </c>
      <c r="C15" s="178" t="str">
        <f t="shared" si="6"/>
        <v>BUSINESS CLASS2</v>
      </c>
      <c r="D15" s="175"/>
      <c r="E15" s="271">
        <v>10019</v>
      </c>
      <c r="F15" s="277"/>
      <c r="G15" s="123" t="str">
        <f>VLOOKUP(E15,'[5]FG MASTER'!$A$10:$AB$203,2,0)</f>
        <v>BC HM GARNISH MICRO GREEN 90G</v>
      </c>
      <c r="H15" s="252">
        <v>2</v>
      </c>
      <c r="I15" s="176">
        <v>0.1</v>
      </c>
      <c r="J15" s="258">
        <f>IFERROR(IF(I15="std",H15,ROUND(HLOOKUP(A15,FlightConfig!$B$28:$G$29,2,0)*I15,0)),"")</f>
        <v>3</v>
      </c>
      <c r="K15" s="213">
        <f>VLOOKUP(Food!E15,'[5]FG MASTER'!$A$1:$AC$521,16,0)</f>
        <v>8.675495325</v>
      </c>
      <c r="L15" s="214">
        <f>VLOOKUP(Food!E15,'FG MASTER'!A:AJ,17,0)</f>
        <v>2</v>
      </c>
      <c r="M15" s="136">
        <f t="shared" si="0"/>
        <v>0.79999999999999993</v>
      </c>
      <c r="N15" s="136">
        <f t="shared" si="7"/>
        <v>9.4754953250000007</v>
      </c>
      <c r="O15" s="136">
        <f t="shared" si="1"/>
        <v>1.1278143922499986</v>
      </c>
      <c r="P15" s="136">
        <f t="shared" si="8"/>
        <v>0.10399999999999987</v>
      </c>
      <c r="Q15" s="136">
        <f t="shared" ref="Q15:Q17" si="14">SUM(N15:P15)</f>
        <v>10.707309717249998</v>
      </c>
      <c r="R15" s="318"/>
      <c r="S15" s="131"/>
      <c r="T15">
        <f t="shared" si="10"/>
        <v>6</v>
      </c>
      <c r="V15">
        <f t="shared" si="2"/>
        <v>26.026485975</v>
      </c>
      <c r="W15">
        <f t="shared" si="12"/>
        <v>6</v>
      </c>
      <c r="X15" s="131">
        <f t="shared" si="13"/>
        <v>2.4</v>
      </c>
      <c r="Y15" s="131">
        <f t="shared" si="11"/>
        <v>28.426485975000002</v>
      </c>
      <c r="Z15" s="131">
        <f t="shared" si="3"/>
        <v>3.3834431767499957</v>
      </c>
      <c r="AA15" s="131">
        <f t="shared" si="4"/>
        <v>0.31199999999999961</v>
      </c>
      <c r="AB15" s="131">
        <f t="shared" si="5"/>
        <v>32.121929151749995</v>
      </c>
      <c r="AD15" s="131" t="str">
        <f>IFERROR(#REF!*FlightConfig!$K$3,"")</f>
        <v/>
      </c>
      <c r="AE15" s="131">
        <f>IFERROR(V15*FlightConfig!$K$3,"")</f>
        <v>9473.6408948999997</v>
      </c>
      <c r="AF15" s="131">
        <f>IFERROR(W15*FlightConfig!$K$3,"")</f>
        <v>2184</v>
      </c>
      <c r="AG15" s="131">
        <f>IFERROR(X15*FlightConfig!$K$3,"")</f>
        <v>873.6</v>
      </c>
      <c r="AH15" s="131">
        <f>IFERROR(Y15*FlightConfig!$K$3,"")</f>
        <v>10347.2408949</v>
      </c>
      <c r="AI15" s="131">
        <f>IFERROR(AB15*FlightConfig!$K$3,"")</f>
        <v>11692.382211236998</v>
      </c>
    </row>
    <row r="16" spans="1:35" x14ac:dyDescent="0.25">
      <c r="A16" t="s">
        <v>134</v>
      </c>
      <c r="B16" s="301">
        <v>2</v>
      </c>
      <c r="C16" s="178" t="str">
        <f t="shared" si="6"/>
        <v>BUSINESS CLASS2</v>
      </c>
      <c r="D16" s="175"/>
      <c r="E16" s="272">
        <v>10020</v>
      </c>
      <c r="F16" s="277"/>
      <c r="G16" s="123" t="str">
        <f>VLOOKUP(E16,'[5]FG MASTER'!$A$10:$AB$203,2,0)</f>
        <v>BC C2 DE CHEESE THOMASVILLE TOMME AND BRIE</v>
      </c>
      <c r="H16" s="252">
        <v>1</v>
      </c>
      <c r="I16" s="176">
        <v>0.1</v>
      </c>
      <c r="J16" s="258">
        <f>IFERROR(IF(I16="std",H16,ROUND(HLOOKUP(A16,FlightConfig!$B$28:$G$29,2,0)*I16,0)),"")</f>
        <v>3</v>
      </c>
      <c r="K16" s="213">
        <f>VLOOKUP(Food!E16,'[5]FG MASTER'!$A$1:$AC$521,16,0)</f>
        <v>2.5484917499999997</v>
      </c>
      <c r="L16" s="214">
        <f>VLOOKUP(Food!E16,'FG MASTER'!A:AJ,17,0)</f>
        <v>2</v>
      </c>
      <c r="M16" s="136">
        <f t="shared" si="0"/>
        <v>0.79999999999999993</v>
      </c>
      <c r="N16" s="136">
        <f t="shared" si="7"/>
        <v>3.3484917499999995</v>
      </c>
      <c r="O16" s="136">
        <f t="shared" si="1"/>
        <v>0.3313039274999996</v>
      </c>
      <c r="P16" s="136">
        <f t="shared" si="8"/>
        <v>0.10399999999999987</v>
      </c>
      <c r="Q16" s="136">
        <f t="shared" si="14"/>
        <v>3.7837956774999988</v>
      </c>
      <c r="R16" s="318"/>
      <c r="S16" s="131"/>
      <c r="T16">
        <f t="shared" si="10"/>
        <v>6</v>
      </c>
      <c r="V16">
        <f t="shared" si="2"/>
        <v>7.6454752499999987</v>
      </c>
      <c r="W16">
        <f t="shared" si="12"/>
        <v>6</v>
      </c>
      <c r="X16" s="131">
        <f t="shared" si="13"/>
        <v>2.4</v>
      </c>
      <c r="Y16" s="131">
        <f t="shared" si="11"/>
        <v>10.045475249999999</v>
      </c>
      <c r="Z16" s="131">
        <f t="shared" si="3"/>
        <v>0.99391178249999879</v>
      </c>
      <c r="AA16" s="131">
        <f t="shared" si="4"/>
        <v>0.31199999999999961</v>
      </c>
      <c r="AB16" s="131">
        <f t="shared" si="5"/>
        <v>11.351387032499996</v>
      </c>
      <c r="AD16" s="131" t="str">
        <f>IFERROR(#REF!*FlightConfig!$K$3,"")</f>
        <v/>
      </c>
      <c r="AE16" s="131">
        <f>IFERROR(V16*FlightConfig!$K$3,"")</f>
        <v>2782.9529909999997</v>
      </c>
      <c r="AF16" s="131">
        <f>IFERROR(W16*FlightConfig!$K$3,"")</f>
        <v>2184</v>
      </c>
      <c r="AG16" s="131">
        <f>IFERROR(X16*FlightConfig!$K$3,"")</f>
        <v>873.6</v>
      </c>
      <c r="AH16" s="131">
        <f>IFERROR(Y16*FlightConfig!$K$3,"")</f>
        <v>3656.5529909999996</v>
      </c>
      <c r="AI16" s="131">
        <f>IFERROR(AB16*FlightConfig!$K$3,"")</f>
        <v>4131.9048798299991</v>
      </c>
    </row>
    <row r="17" spans="1:35" x14ac:dyDescent="0.25">
      <c r="A17" t="s">
        <v>134</v>
      </c>
      <c r="B17" s="301">
        <v>2</v>
      </c>
      <c r="C17" s="178" t="str">
        <f t="shared" si="6"/>
        <v>BUSINESS CLASS2</v>
      </c>
      <c r="D17" s="175"/>
      <c r="E17" s="272">
        <v>10022</v>
      </c>
      <c r="F17" s="277"/>
      <c r="G17" s="123" t="str">
        <f>VLOOKUP(E17,'[5]FG MASTER'!$A$10:$AB$203,2,0)</f>
        <v>BC C2 DE CAKE BANANA PUDDING CHEESECAKE WITH STRUSEL CRUMBLE AND BLUEBERRIES</v>
      </c>
      <c r="H17" s="252">
        <v>16</v>
      </c>
      <c r="I17" s="176" t="s">
        <v>275</v>
      </c>
      <c r="J17" s="258">
        <f>IFERROR(IF(I17="std",H17,ROUND(HLOOKUP(A17,FlightConfig!$B$28:$G$29,2,0)*I17,0)),"")</f>
        <v>16</v>
      </c>
      <c r="K17" s="213">
        <f>VLOOKUP(Food!E17,'[5]FG MASTER'!$A$1:$AC$521,16,0)</f>
        <v>0.80838292499999997</v>
      </c>
      <c r="L17" s="214">
        <f>VLOOKUP(Food!E17,'FG MASTER'!A:AJ,17,0)</f>
        <v>2.5</v>
      </c>
      <c r="M17" s="136">
        <f t="shared" si="0"/>
        <v>0.99999999999999989</v>
      </c>
      <c r="N17" s="136">
        <f t="shared" si="7"/>
        <v>1.8083829249999999</v>
      </c>
      <c r="O17" s="136">
        <f t="shared" si="1"/>
        <v>0.10508978024999993</v>
      </c>
      <c r="P17" s="136">
        <f t="shared" si="8"/>
        <v>0.12999999999999978</v>
      </c>
      <c r="Q17" s="136">
        <f t="shared" si="14"/>
        <v>2.0434727052499997</v>
      </c>
      <c r="R17" s="318"/>
      <c r="S17" s="131"/>
      <c r="T17" s="293">
        <f>(L17/2)*J17</f>
        <v>20</v>
      </c>
      <c r="V17">
        <f t="shared" si="2"/>
        <v>12.9341268</v>
      </c>
      <c r="W17">
        <f t="shared" si="12"/>
        <v>40</v>
      </c>
      <c r="X17" s="131">
        <f t="shared" si="13"/>
        <v>15.999999999999998</v>
      </c>
      <c r="Y17" s="131">
        <f t="shared" si="11"/>
        <v>28.934126799999998</v>
      </c>
      <c r="Z17" s="131">
        <f t="shared" si="3"/>
        <v>1.6814364839999989</v>
      </c>
      <c r="AA17" s="131">
        <f t="shared" si="4"/>
        <v>2.0799999999999965</v>
      </c>
      <c r="AB17" s="131">
        <f t="shared" si="5"/>
        <v>32.695563283999995</v>
      </c>
      <c r="AD17" s="131" t="str">
        <f>IFERROR(#REF!*FlightConfig!$K$3,"")</f>
        <v/>
      </c>
      <c r="AE17" s="131">
        <f>IFERROR(V17*FlightConfig!$K$3,"")</f>
        <v>4708.0221552000003</v>
      </c>
      <c r="AF17" s="131">
        <f>IFERROR(W17*FlightConfig!$K$3,"")</f>
        <v>14560</v>
      </c>
      <c r="AG17" s="131">
        <f>IFERROR(X17*FlightConfig!$K$3,"")</f>
        <v>5823.9999999999991</v>
      </c>
      <c r="AH17" s="131">
        <f>IFERROR(Y17*FlightConfig!$K$3,"")</f>
        <v>10532.022155199998</v>
      </c>
      <c r="AI17" s="131">
        <f>IFERROR(AB17*FlightConfig!$K$3,"")</f>
        <v>11901.185035375998</v>
      </c>
    </row>
    <row r="18" spans="1:35" x14ac:dyDescent="0.25">
      <c r="A18" t="s">
        <v>134</v>
      </c>
      <c r="B18" s="301">
        <v>2</v>
      </c>
      <c r="C18" s="178" t="str">
        <f t="shared" si="6"/>
        <v>BUSINESS CLASS2</v>
      </c>
      <c r="D18" s="175"/>
      <c r="E18" s="270">
        <v>10024</v>
      </c>
      <c r="F18" s="277"/>
      <c r="G18" s="123" t="str">
        <f>VLOOKUP(E18,'[5]FG MASTER'!$A$10:$AB$203,2,0)</f>
        <v>BC C2 DE CAKE GARNISH RHUN CARAMEL 200G</v>
      </c>
      <c r="H18" s="252">
        <v>1</v>
      </c>
      <c r="I18" s="176">
        <v>0.1</v>
      </c>
      <c r="J18" s="258">
        <f>IFERROR(IF(I18="std",H18,ROUND(HLOOKUP(A18,FlightConfig!$B$28:$G$29,2,0)*I18,0)),"")</f>
        <v>3</v>
      </c>
      <c r="K18" s="213">
        <f>VLOOKUP(Food!E18,'[5]FG MASTER'!$A$1:$AC$521,16,0)</f>
        <v>4.9617870749999993</v>
      </c>
      <c r="L18" s="214">
        <f>VLOOKUP(Food!E18,'FG MASTER'!A:AJ,17,0)</f>
        <v>2</v>
      </c>
      <c r="M18" s="136">
        <f t="shared" si="0"/>
        <v>0.79999999999999993</v>
      </c>
      <c r="N18" s="136">
        <f t="shared" si="7"/>
        <v>5.7617870749999991</v>
      </c>
      <c r="O18" s="136">
        <f t="shared" si="1"/>
        <v>0.64503231974999942</v>
      </c>
      <c r="P18" s="136">
        <f t="shared" si="8"/>
        <v>0.10399999999999987</v>
      </c>
      <c r="Q18" s="136">
        <f>SUM(N18:P18)</f>
        <v>6.5108193947499986</v>
      </c>
      <c r="R18" s="318"/>
      <c r="S18" s="131"/>
      <c r="T18">
        <f t="shared" si="10"/>
        <v>6</v>
      </c>
      <c r="V18">
        <f t="shared" si="2"/>
        <v>14.885361224999997</v>
      </c>
      <c r="W18">
        <f t="shared" si="12"/>
        <v>6</v>
      </c>
      <c r="X18" s="131">
        <f t="shared" si="13"/>
        <v>2.4</v>
      </c>
      <c r="Y18" s="131">
        <f t="shared" si="11"/>
        <v>17.285361224999995</v>
      </c>
      <c r="Z18" s="131">
        <f t="shared" si="3"/>
        <v>1.9350969592499982</v>
      </c>
      <c r="AA18" s="131">
        <f t="shared" si="4"/>
        <v>0.31199999999999961</v>
      </c>
      <c r="AB18" s="131">
        <f t="shared" si="5"/>
        <v>19.532458184249997</v>
      </c>
      <c r="AD18" s="131" t="str">
        <f>IFERROR(#REF!*FlightConfig!$K$3,"")</f>
        <v/>
      </c>
      <c r="AE18" s="131">
        <f>IFERROR(V18*FlightConfig!$K$3,"")</f>
        <v>5418.2714858999989</v>
      </c>
      <c r="AF18" s="131">
        <f>IFERROR(W18*FlightConfig!$K$3,"")</f>
        <v>2184</v>
      </c>
      <c r="AG18" s="131">
        <f>IFERROR(X18*FlightConfig!$K$3,"")</f>
        <v>873.6</v>
      </c>
      <c r="AH18" s="131">
        <f>IFERROR(Y18*FlightConfig!$K$3,"")</f>
        <v>6291.8714858999983</v>
      </c>
      <c r="AI18" s="131">
        <f>IFERROR(AB18*FlightConfig!$K$3,"")</f>
        <v>7109.8147790669991</v>
      </c>
    </row>
    <row r="19" spans="1:35" x14ac:dyDescent="0.25">
      <c r="A19" t="s">
        <v>134</v>
      </c>
      <c r="B19" s="301">
        <v>2</v>
      </c>
      <c r="C19" s="178" t="str">
        <f t="shared" si="6"/>
        <v>BUSINESS CLASS2</v>
      </c>
      <c r="D19" s="175"/>
      <c r="E19" s="270">
        <v>10026</v>
      </c>
      <c r="F19" s="277"/>
      <c r="G19" s="123" t="str">
        <f>VLOOKUP(E19,'[5]FG MASTER'!$A$10:$AB$203,2,0)</f>
        <v>BC C2 DE FRUIT GRAPE, HONEYDEW, CANTALOUPE, WATERMELON</v>
      </c>
      <c r="H19" s="252">
        <v>1</v>
      </c>
      <c r="I19" s="176">
        <v>0.1</v>
      </c>
      <c r="J19" s="258">
        <f>IFERROR(IF(I19="std",H19,ROUND(HLOOKUP(A19,FlightConfig!$B$28:$G$29,2,0)*I19,0)),"")</f>
        <v>3</v>
      </c>
      <c r="K19" s="213">
        <f>VLOOKUP(Food!E19,'[5]FG MASTER'!$A$1:$AC$521,16,0)</f>
        <v>2.5654784999999998</v>
      </c>
      <c r="L19" s="214">
        <f>VLOOKUP(Food!E19,'FG MASTER'!A:AJ,17,0)</f>
        <v>3.5</v>
      </c>
      <c r="M19" s="136">
        <f t="shared" si="0"/>
        <v>1.4</v>
      </c>
      <c r="N19" s="136">
        <f t="shared" si="7"/>
        <v>3.9654784999999997</v>
      </c>
      <c r="O19" s="136">
        <f t="shared" si="1"/>
        <v>0.33351220499999989</v>
      </c>
      <c r="P19" s="136">
        <f t="shared" si="8"/>
        <v>0.18199999999999994</v>
      </c>
      <c r="Q19" s="136">
        <f t="shared" ref="Q19:Q22" si="15">SUM(N19:P19)</f>
        <v>4.480990705</v>
      </c>
      <c r="R19" s="318"/>
      <c r="S19" s="131"/>
      <c r="T19">
        <f t="shared" si="10"/>
        <v>10.5</v>
      </c>
      <c r="V19">
        <f t="shared" si="2"/>
        <v>7.6964354999999998</v>
      </c>
      <c r="W19">
        <f t="shared" si="12"/>
        <v>10.5</v>
      </c>
      <c r="X19" s="131">
        <f t="shared" si="13"/>
        <v>4.1999999999999993</v>
      </c>
      <c r="Y19" s="131">
        <f t="shared" si="11"/>
        <v>11.896435499999999</v>
      </c>
      <c r="Z19" s="131">
        <f t="shared" si="3"/>
        <v>1.0005366149999997</v>
      </c>
      <c r="AA19" s="131">
        <f t="shared" si="4"/>
        <v>0.54599999999999982</v>
      </c>
      <c r="AB19" s="131">
        <f t="shared" si="5"/>
        <v>13.442972115</v>
      </c>
      <c r="AD19" s="131" t="str">
        <f>IFERROR(#REF!*FlightConfig!$K$3,"")</f>
        <v/>
      </c>
      <c r="AE19" s="131">
        <f>IFERROR(V19*FlightConfig!$K$3,"")</f>
        <v>2801.5025219999998</v>
      </c>
      <c r="AF19" s="131">
        <f>IFERROR(W19*FlightConfig!$K$3,"")</f>
        <v>3822</v>
      </c>
      <c r="AG19" s="131">
        <f>IFERROR(X19*FlightConfig!$K$3,"")</f>
        <v>1528.7999999999997</v>
      </c>
      <c r="AH19" s="131">
        <f>IFERROR(Y19*FlightConfig!$K$3,"")</f>
        <v>4330.302522</v>
      </c>
      <c r="AI19" s="131">
        <f>IFERROR(AB19*FlightConfig!$K$3,"")</f>
        <v>4893.24184986</v>
      </c>
    </row>
    <row r="20" spans="1:35" x14ac:dyDescent="0.25">
      <c r="A20" t="s">
        <v>134</v>
      </c>
      <c r="B20" s="301">
        <v>2</v>
      </c>
      <c r="C20" s="178" t="str">
        <f t="shared" si="6"/>
        <v>BUSINESS CLASS2</v>
      </c>
      <c r="D20" s="175"/>
      <c r="E20" s="270">
        <v>10028</v>
      </c>
      <c r="F20" s="277"/>
      <c r="G20" s="123" t="str">
        <f>VLOOKUP(E20,'[5]FG MASTER'!$A$10:$AB$203,2,0)</f>
        <v>BC BRD TYPE 1 HERB SOURDOUGH 30G AND MULTIGRAIN CHEESE ROLL 40G</v>
      </c>
      <c r="H20" s="252">
        <v>1</v>
      </c>
      <c r="I20" s="176">
        <v>0.6</v>
      </c>
      <c r="J20" s="258">
        <f>IFERROR(IF(I20="std",H20,ROUND(HLOOKUP(A20,FlightConfig!$B$28:$G$29,2,0)*I20,0)),"")</f>
        <v>19</v>
      </c>
      <c r="K20" s="213">
        <f>VLOOKUP(Food!E20,'[5]FG MASTER'!$A$1:$AC$521,16,0)</f>
        <v>1.11825</v>
      </c>
      <c r="L20" s="214">
        <f>VLOOKUP(Food!E20,'FG MASTER'!A:AJ,17,0)</f>
        <v>1</v>
      </c>
      <c r="M20" s="136">
        <f>IFERROR(L20*$M$2,"")</f>
        <v>0.39999999999999997</v>
      </c>
      <c r="N20" s="136">
        <f t="shared" si="7"/>
        <v>1.5182499999999999</v>
      </c>
      <c r="O20" s="136">
        <f t="shared" si="1"/>
        <v>0.1453724999999999</v>
      </c>
      <c r="P20" s="136">
        <f t="shared" si="8"/>
        <v>5.1999999999999935E-2</v>
      </c>
      <c r="Q20" s="136">
        <f t="shared" si="15"/>
        <v>1.7156224999999998</v>
      </c>
      <c r="R20" s="318"/>
      <c r="S20" s="131"/>
      <c r="T20" s="293">
        <f>0.32*J20</f>
        <v>6.08</v>
      </c>
      <c r="V20">
        <f t="shared" si="2"/>
        <v>21.246749999999999</v>
      </c>
      <c r="W20">
        <f t="shared" si="12"/>
        <v>19</v>
      </c>
      <c r="X20" s="131">
        <f t="shared" si="13"/>
        <v>7.6</v>
      </c>
      <c r="Y20" s="131">
        <f t="shared" si="11"/>
        <v>28.846749999999997</v>
      </c>
      <c r="Z20" s="131">
        <f t="shared" si="3"/>
        <v>2.7620774999999984</v>
      </c>
      <c r="AA20" s="131">
        <f t="shared" si="4"/>
        <v>0.98799999999999877</v>
      </c>
      <c r="AB20" s="131">
        <f t="shared" si="5"/>
        <v>32.596827499999996</v>
      </c>
      <c r="AD20" s="131" t="str">
        <f>IFERROR(#REF!*FlightConfig!$K$3,"")</f>
        <v/>
      </c>
      <c r="AE20" s="131">
        <f>IFERROR(V20*FlightConfig!$K$3,"")</f>
        <v>7733.8169999999991</v>
      </c>
      <c r="AF20" s="131">
        <f>IFERROR(W20*FlightConfig!$K$3,"")</f>
        <v>6916</v>
      </c>
      <c r="AG20" s="131">
        <f>IFERROR(X20*FlightConfig!$K$3,"")</f>
        <v>2766.4</v>
      </c>
      <c r="AH20" s="131">
        <f>IFERROR(Y20*FlightConfig!$K$3,"")</f>
        <v>10500.216999999999</v>
      </c>
      <c r="AI20" s="131">
        <f>IFERROR(AB20*FlightConfig!$K$3,"")</f>
        <v>11865.245209999999</v>
      </c>
    </row>
    <row r="21" spans="1:35" x14ac:dyDescent="0.25">
      <c r="A21" t="s">
        <v>134</v>
      </c>
      <c r="B21" s="301">
        <v>2</v>
      </c>
      <c r="C21" s="178" t="str">
        <f t="shared" si="6"/>
        <v>BUSINESS CLASS2</v>
      </c>
      <c r="D21" s="175"/>
      <c r="E21" s="270">
        <v>10030</v>
      </c>
      <c r="F21" s="277"/>
      <c r="G21" s="123" t="str">
        <f>VLOOKUP(E21,'[5]FG MASTER'!$A$10:$AB$203,2,0)</f>
        <v>BC BRD TYPE 3 ARTISAN BAGUETTE</v>
      </c>
      <c r="H21" s="252">
        <v>2</v>
      </c>
      <c r="I21" s="176">
        <v>0.1</v>
      </c>
      <c r="J21" s="258">
        <f>IFERROR(IF(I21="std",H21,ROUND(HLOOKUP(A21,FlightConfig!$B$28:$G$29,2,0)*I21,0)),"")</f>
        <v>3</v>
      </c>
      <c r="K21" s="213">
        <f>VLOOKUP(Food!E21,'[5]FG MASTER'!$A$1:$AC$521,16,0)</f>
        <v>2.4175499999999999</v>
      </c>
      <c r="L21" s="214">
        <f>VLOOKUP(Food!E21,'FG MASTER'!A:AJ,17,0)</f>
        <v>0.2</v>
      </c>
      <c r="M21" s="136">
        <f t="shared" ref="M21:M26" si="16">IFERROR(L21*$M$2,"")</f>
        <v>0.08</v>
      </c>
      <c r="N21" s="136">
        <f t="shared" si="7"/>
        <v>2.4975499999999999</v>
      </c>
      <c r="O21" s="136">
        <f t="shared" si="1"/>
        <v>0.31428149999999988</v>
      </c>
      <c r="P21" s="136">
        <f t="shared" si="8"/>
        <v>1.0399999999999993E-2</v>
      </c>
      <c r="Q21" s="136">
        <f t="shared" si="15"/>
        <v>2.8222315</v>
      </c>
      <c r="R21" s="318"/>
      <c r="S21" s="131"/>
      <c r="T21">
        <f t="shared" si="10"/>
        <v>0.60000000000000009</v>
      </c>
      <c r="V21">
        <f t="shared" si="2"/>
        <v>7.2526499999999992</v>
      </c>
      <c r="W21">
        <f t="shared" si="12"/>
        <v>0.60000000000000009</v>
      </c>
      <c r="X21" s="131">
        <f t="shared" si="13"/>
        <v>0.24</v>
      </c>
      <c r="Y21" s="131">
        <f t="shared" si="11"/>
        <v>7.4926499999999994</v>
      </c>
      <c r="Z21" s="131">
        <f t="shared" si="3"/>
        <v>0.94284449999999964</v>
      </c>
      <c r="AA21" s="131">
        <f t="shared" si="4"/>
        <v>3.1199999999999978E-2</v>
      </c>
      <c r="AB21" s="131">
        <f t="shared" si="5"/>
        <v>8.4666944999999991</v>
      </c>
      <c r="AD21" s="131" t="str">
        <f>IFERROR(#REF!*FlightConfig!$K$3,"")</f>
        <v/>
      </c>
      <c r="AE21" s="131">
        <f>IFERROR(V21*FlightConfig!$K$3,"")</f>
        <v>2639.9645999999998</v>
      </c>
      <c r="AF21" s="131">
        <f>IFERROR(W21*FlightConfig!$K$3,"")</f>
        <v>218.40000000000003</v>
      </c>
      <c r="AG21" s="131">
        <f>IFERROR(X21*FlightConfig!$K$3,"")</f>
        <v>87.36</v>
      </c>
      <c r="AH21" s="131">
        <f>IFERROR(Y21*FlightConfig!$K$3,"")</f>
        <v>2727.3245999999999</v>
      </c>
      <c r="AI21" s="131">
        <f>IFERROR(AB21*FlightConfig!$K$3,"")</f>
        <v>3081.8767979999998</v>
      </c>
    </row>
    <row r="22" spans="1:35" x14ac:dyDescent="0.25">
      <c r="A22" t="s">
        <v>134</v>
      </c>
      <c r="B22" s="301">
        <v>2</v>
      </c>
      <c r="C22" s="178" t="str">
        <f t="shared" si="6"/>
        <v>BUSINESS CLASS2</v>
      </c>
      <c r="D22" s="175"/>
      <c r="E22" s="270">
        <v>10031</v>
      </c>
      <c r="F22" s="277"/>
      <c r="G22" s="123" t="str">
        <f>VLOOKUP(E22,'[5]FG MASTER'!$A$10:$AB$203,2,0)</f>
        <v>BC BRD C2 CROISSANT MINI</v>
      </c>
      <c r="H22" s="252">
        <v>1</v>
      </c>
      <c r="I22" s="176">
        <v>0.4</v>
      </c>
      <c r="J22" s="258">
        <f>IFERROR(IF(I22="std",H22,ROUND(HLOOKUP(A22,FlightConfig!$B$28:$G$29,2,0)*I22,0)),"")</f>
        <v>13</v>
      </c>
      <c r="K22" s="213">
        <f>VLOOKUP(Food!E22,'[5]FG MASTER'!$A$1:$AC$521,16,0)</f>
        <v>0.62834999999999996</v>
      </c>
      <c r="L22" s="214">
        <f>VLOOKUP(Food!E22,'FG MASTER'!A:AJ,17,0)</f>
        <v>0.6</v>
      </c>
      <c r="M22" s="136">
        <f t="shared" si="16"/>
        <v>0.23999999999999996</v>
      </c>
      <c r="N22" s="136">
        <f t="shared" si="7"/>
        <v>0.86834999999999996</v>
      </c>
      <c r="O22" s="136">
        <f t="shared" si="1"/>
        <v>8.1685499999999966E-2</v>
      </c>
      <c r="P22" s="136">
        <f t="shared" si="8"/>
        <v>3.1199999999999978E-2</v>
      </c>
      <c r="Q22" s="136">
        <f t="shared" si="15"/>
        <v>0.98123549999999993</v>
      </c>
      <c r="R22" s="318"/>
      <c r="S22" s="131"/>
      <c r="T22">
        <f t="shared" si="10"/>
        <v>7.8</v>
      </c>
      <c r="V22">
        <f t="shared" si="2"/>
        <v>8.1685499999999998</v>
      </c>
      <c r="W22">
        <f t="shared" si="12"/>
        <v>7.8</v>
      </c>
      <c r="X22" s="131">
        <f t="shared" si="13"/>
        <v>3.1199999999999997</v>
      </c>
      <c r="Y22" s="131">
        <f t="shared" si="11"/>
        <v>11.288549999999999</v>
      </c>
      <c r="Z22" s="131">
        <f t="shared" si="3"/>
        <v>1.0619114999999995</v>
      </c>
      <c r="AA22" s="131">
        <f t="shared" si="4"/>
        <v>0.40559999999999974</v>
      </c>
      <c r="AB22" s="131">
        <f t="shared" si="5"/>
        <v>12.756061499999999</v>
      </c>
      <c r="AD22" s="131" t="str">
        <f>IFERROR(#REF!*FlightConfig!$K$3,"")</f>
        <v/>
      </c>
      <c r="AE22" s="131">
        <f>IFERROR(V22*FlightConfig!$K$3,"")</f>
        <v>2973.3521999999998</v>
      </c>
      <c r="AF22" s="131">
        <f>IFERROR(W22*FlightConfig!$K$3,"")</f>
        <v>2839.2</v>
      </c>
      <c r="AG22" s="131">
        <f>IFERROR(X22*FlightConfig!$K$3,"")</f>
        <v>1135.6799999999998</v>
      </c>
      <c r="AH22" s="131">
        <f>IFERROR(Y22*FlightConfig!$K$3,"")</f>
        <v>4109.0321999999996</v>
      </c>
      <c r="AI22" s="131">
        <f>IFERROR(AB22*FlightConfig!$K$3,"")</f>
        <v>4643.2063859999998</v>
      </c>
    </row>
    <row r="23" spans="1:35" x14ac:dyDescent="0.25">
      <c r="A23" t="s">
        <v>134</v>
      </c>
      <c r="B23" s="301">
        <v>2</v>
      </c>
      <c r="C23" s="178" t="str">
        <f t="shared" si="6"/>
        <v>BUSINESS CLASS2</v>
      </c>
      <c r="D23" s="175"/>
      <c r="E23" s="271">
        <v>10001</v>
      </c>
      <c r="F23" s="277"/>
      <c r="G23" s="123" t="str">
        <f>VLOOKUP(E23,'[5]FG MASTER'!$A$10:$AB$203,2,0)</f>
        <v>BC TSU</v>
      </c>
      <c r="H23" s="252">
        <v>1</v>
      </c>
      <c r="I23" s="176">
        <v>1</v>
      </c>
      <c r="J23" s="258">
        <f>IFERROR(IF(I23="std",H23,ROUND(HLOOKUP(A23,FlightConfig!$B$28:$G$29,2,0)*I23,0)),"")</f>
        <v>32</v>
      </c>
      <c r="K23" s="213">
        <f>VLOOKUP(Food!E23,'[5]FG MASTER'!$A$1:$AC$521,16,0)</f>
        <v>0</v>
      </c>
      <c r="L23" s="214">
        <f>VLOOKUP(Food!E23,'FG MASTER'!A:AJ,17,0)</f>
        <v>2</v>
      </c>
      <c r="M23" s="136">
        <f t="shared" si="16"/>
        <v>0.79999999999999993</v>
      </c>
      <c r="N23" s="136">
        <f t="shared" si="7"/>
        <v>0.79999999999999993</v>
      </c>
      <c r="O23" s="136">
        <f t="shared" si="1"/>
        <v>0</v>
      </c>
      <c r="P23" s="136">
        <f t="shared" si="8"/>
        <v>0.10399999999999987</v>
      </c>
      <c r="Q23" s="136">
        <f>SUM(N23:P23)</f>
        <v>0.9039999999999998</v>
      </c>
      <c r="R23" s="318"/>
      <c r="S23" s="131"/>
      <c r="T23">
        <f t="shared" si="10"/>
        <v>64</v>
      </c>
      <c r="V23">
        <f t="shared" si="2"/>
        <v>0</v>
      </c>
      <c r="W23">
        <f t="shared" si="12"/>
        <v>64</v>
      </c>
      <c r="X23" s="131">
        <f t="shared" si="13"/>
        <v>25.599999999999998</v>
      </c>
      <c r="Y23" s="131">
        <f t="shared" si="11"/>
        <v>25.599999999999998</v>
      </c>
      <c r="Z23" s="131">
        <f t="shared" si="3"/>
        <v>0</v>
      </c>
      <c r="AA23" s="131">
        <f t="shared" si="4"/>
        <v>3.3279999999999959</v>
      </c>
      <c r="AB23" s="131">
        <f t="shared" si="5"/>
        <v>28.927999999999994</v>
      </c>
      <c r="AD23" s="131" t="str">
        <f>IFERROR(#REF!*FlightConfig!$K$3,"")</f>
        <v/>
      </c>
      <c r="AE23" s="131">
        <f>IFERROR(V23*FlightConfig!$K$3,"")</f>
        <v>0</v>
      </c>
      <c r="AF23" s="131">
        <f>IFERROR(W23*FlightConfig!$K$3,"")</f>
        <v>23296</v>
      </c>
      <c r="AG23" s="131">
        <f>IFERROR(X23*FlightConfig!$K$3,"")</f>
        <v>9318.4</v>
      </c>
      <c r="AH23" s="131">
        <f>IFERROR(Y23*FlightConfig!$K$3,"")</f>
        <v>9318.4</v>
      </c>
      <c r="AI23" s="131">
        <f>IFERROR(AB23*FlightConfig!$K$3,"")</f>
        <v>10529.791999999998</v>
      </c>
    </row>
    <row r="24" spans="1:35" ht="30" x14ac:dyDescent="0.25">
      <c r="A24" t="s">
        <v>134</v>
      </c>
      <c r="B24" s="301">
        <v>2</v>
      </c>
      <c r="C24" s="178" t="str">
        <f>CONCATENATE(A24&amp;B24&amp;F24)</f>
        <v>BUSINESS CLASS2</v>
      </c>
      <c r="D24" s="175"/>
      <c r="E24" s="270">
        <v>10033</v>
      </c>
      <c r="F24" s="277"/>
      <c r="G24" s="123" t="str">
        <f>VLOOKUP(E24,'[5]FG MASTER'!$A$10:$AB$203,2,0)</f>
        <v>BC C2 COLD CUT CHIVE CREAM CHEESE, GEORGIA GOUDA, HAM, PROSUITTO, GREEN LEAF LETTUCE, CUCUMBER, BABY PEPPER</v>
      </c>
      <c r="H24" s="252">
        <v>1</v>
      </c>
      <c r="I24" s="176">
        <v>1</v>
      </c>
      <c r="J24" s="258">
        <f>IFERROR(IF(I24="std",H24,ROUND(HLOOKUP(A24,FlightConfig!$B$28:$G$29,2,0)*I24,0)),"")</f>
        <v>32</v>
      </c>
      <c r="K24" s="213">
        <f>VLOOKUP(Food!E24,'[5]FG MASTER'!$A$1:$AC$521,16,0)</f>
        <v>3.8311287599999995</v>
      </c>
      <c r="L24" s="214">
        <f>VLOOKUP(Food!E24,'FG MASTER'!A:AJ,17,0)</f>
        <v>3</v>
      </c>
      <c r="M24" s="136">
        <f t="shared" si="16"/>
        <v>1.2</v>
      </c>
      <c r="N24" s="136">
        <f t="shared" si="7"/>
        <v>5.0311287599999996</v>
      </c>
      <c r="O24" s="136">
        <f t="shared" si="1"/>
        <v>0.49804673879999939</v>
      </c>
      <c r="P24" s="136">
        <f t="shared" si="8"/>
        <v>0.15599999999999992</v>
      </c>
      <c r="Q24" s="136">
        <f>SUM(N24:P24)</f>
        <v>5.6851754987999987</v>
      </c>
      <c r="R24" s="318"/>
      <c r="S24" s="131"/>
      <c r="T24">
        <f t="shared" si="10"/>
        <v>96</v>
      </c>
      <c r="V24">
        <f t="shared" si="2"/>
        <v>122.59612031999998</v>
      </c>
      <c r="W24">
        <f t="shared" si="12"/>
        <v>96</v>
      </c>
      <c r="X24" s="131">
        <f t="shared" si="13"/>
        <v>38.4</v>
      </c>
      <c r="Y24" s="131">
        <f t="shared" si="11"/>
        <v>160.99612031999999</v>
      </c>
      <c r="Z24" s="131">
        <f t="shared" si="3"/>
        <v>15.93749564159998</v>
      </c>
      <c r="AA24" s="131">
        <f t="shared" si="4"/>
        <v>4.9919999999999973</v>
      </c>
      <c r="AB24" s="131">
        <f t="shared" si="5"/>
        <v>181.92561596159996</v>
      </c>
      <c r="AD24" s="131" t="str">
        <f>IFERROR(#REF!*FlightConfig!$K$3,"")</f>
        <v/>
      </c>
      <c r="AE24" s="131">
        <f>IFERROR(V24*FlightConfig!$K$3,"")</f>
        <v>44624.987796479996</v>
      </c>
      <c r="AF24" s="131">
        <f>IFERROR(W24*FlightConfig!$K$3,"")</f>
        <v>34944</v>
      </c>
      <c r="AG24" s="131">
        <f>IFERROR(X24*FlightConfig!$K$3,"")</f>
        <v>13977.6</v>
      </c>
      <c r="AH24" s="131">
        <f>IFERROR(Y24*FlightConfig!$K$3,"")</f>
        <v>58602.587796479995</v>
      </c>
      <c r="AI24" s="131">
        <f>IFERROR(AB24*FlightConfig!$K$3,"")</f>
        <v>66220.924210022378</v>
      </c>
    </row>
    <row r="25" spans="1:35" x14ac:dyDescent="0.25">
      <c r="A25" t="s">
        <v>134</v>
      </c>
      <c r="B25" s="301">
        <v>2</v>
      </c>
      <c r="C25" s="178" t="str">
        <f t="shared" ref="C25:C26" si="17">CONCATENATE(A25&amp;B25&amp;F25)</f>
        <v>BUSINESS CLASS2</v>
      </c>
      <c r="D25" s="175"/>
      <c r="E25" s="270">
        <v>10035</v>
      </c>
      <c r="F25" s="277"/>
      <c r="G25" s="123" t="str">
        <f>VLOOKUP(E25,'[5]FG MASTER'!$A$10:$AB$203,2,0)</f>
        <v>BC C2 BRK FRUIT COCONUT CHIA OVERNIGHT OAT, MANGO, BLUEBERRIES</v>
      </c>
      <c r="H25" s="252">
        <v>1</v>
      </c>
      <c r="I25" s="176">
        <v>1</v>
      </c>
      <c r="J25" s="258">
        <f>IFERROR(IF(I25="std",H25,ROUND(HLOOKUP(A25,FlightConfig!$B$28:$G$29,2,0)*I25,0)),"")</f>
        <v>32</v>
      </c>
      <c r="K25" s="213">
        <f>VLOOKUP(Food!E25,'[5]FG MASTER'!$A$1:$AC$521,16,0)</f>
        <v>0.91484032500000001</v>
      </c>
      <c r="L25" s="214">
        <f>VLOOKUP(Food!E25,'FG MASTER'!A:AJ,17,0)</f>
        <v>2.25</v>
      </c>
      <c r="M25" s="136">
        <f t="shared" si="16"/>
        <v>0.89999999999999991</v>
      </c>
      <c r="N25" s="136">
        <f t="shared" si="7"/>
        <v>1.814840325</v>
      </c>
      <c r="O25" s="136">
        <f t="shared" si="1"/>
        <v>0.11892924225000001</v>
      </c>
      <c r="P25" s="136">
        <f t="shared" si="8"/>
        <v>0.11699999999999999</v>
      </c>
      <c r="Q25" s="136">
        <f t="shared" ref="Q25:Q26" si="18">SUM(N25:P25)</f>
        <v>2.0507695672500001</v>
      </c>
      <c r="R25" s="318"/>
      <c r="S25" s="131"/>
      <c r="T25">
        <f t="shared" si="10"/>
        <v>72</v>
      </c>
      <c r="V25">
        <f t="shared" si="2"/>
        <v>29.2748904</v>
      </c>
      <c r="W25">
        <f t="shared" si="12"/>
        <v>72</v>
      </c>
      <c r="X25" s="131">
        <f t="shared" si="13"/>
        <v>28.799999999999997</v>
      </c>
      <c r="Y25" s="131">
        <f t="shared" si="11"/>
        <v>58.074890400000001</v>
      </c>
      <c r="Z25" s="131">
        <f t="shared" si="3"/>
        <v>3.8057357520000004</v>
      </c>
      <c r="AA25" s="131">
        <f t="shared" si="4"/>
        <v>3.7439999999999998</v>
      </c>
      <c r="AB25" s="131">
        <f t="shared" si="5"/>
        <v>65.624626152000005</v>
      </c>
      <c r="AD25" s="131" t="str">
        <f>IFERROR(#REF!*FlightConfig!$K$3,"")</f>
        <v/>
      </c>
      <c r="AE25" s="131">
        <f>IFERROR(V25*FlightConfig!$K$3,"")</f>
        <v>10656.0601056</v>
      </c>
      <c r="AF25" s="131">
        <f>IFERROR(W25*FlightConfig!$K$3,"")</f>
        <v>26208</v>
      </c>
      <c r="AG25" s="131">
        <f>IFERROR(X25*FlightConfig!$K$3,"")</f>
        <v>10483.199999999999</v>
      </c>
      <c r="AH25" s="131">
        <f>IFERROR(Y25*FlightConfig!$K$3,"")</f>
        <v>21139.260105600002</v>
      </c>
      <c r="AI25" s="131">
        <f>IFERROR(AB25*FlightConfig!$K$3,"")</f>
        <v>23887.363919328003</v>
      </c>
    </row>
    <row r="26" spans="1:35" x14ac:dyDescent="0.25">
      <c r="A26" t="s">
        <v>134</v>
      </c>
      <c r="B26" s="301">
        <v>2</v>
      </c>
      <c r="C26" s="178" t="str">
        <f t="shared" si="17"/>
        <v>BUSINESS CLASS2</v>
      </c>
      <c r="D26" s="175"/>
      <c r="E26" s="270">
        <v>10037</v>
      </c>
      <c r="F26" s="277"/>
      <c r="G26" s="123" t="str">
        <f>VLOOKUP(E26,'[5]FG MASTER'!$A$10:$AB$203,2,0)</f>
        <v>BC C2 YOGURT VANILLA GREEK YOGURT CHOBANI 4OZ</v>
      </c>
      <c r="H26" s="252">
        <v>1</v>
      </c>
      <c r="I26" s="176">
        <v>1</v>
      </c>
      <c r="J26" s="258">
        <f>IFERROR(IF(I26="std",H26,ROUND(HLOOKUP(A26,FlightConfig!$B$28:$G$29,2,0)*I26,0)),"")</f>
        <v>32</v>
      </c>
      <c r="K26" s="213">
        <f>VLOOKUP(Food!E26,'[5]FG MASTER'!$A$1:$AC$521,16,0)</f>
        <v>0.8839499999999999</v>
      </c>
      <c r="L26" s="214">
        <f>VLOOKUP(Food!E26,'FG MASTER'!A:AJ,17,0)</f>
        <v>0.25</v>
      </c>
      <c r="M26" s="136">
        <f t="shared" si="16"/>
        <v>9.9999999999999992E-2</v>
      </c>
      <c r="N26" s="136">
        <f t="shared" si="7"/>
        <v>0.98394999999999988</v>
      </c>
      <c r="O26" s="136">
        <f t="shared" si="1"/>
        <v>0.11491349999999989</v>
      </c>
      <c r="P26" s="136">
        <f t="shared" si="8"/>
        <v>1.2999999999999984E-2</v>
      </c>
      <c r="Q26" s="136">
        <f t="shared" si="18"/>
        <v>1.1118634999999997</v>
      </c>
      <c r="R26" s="318"/>
      <c r="S26" s="131"/>
      <c r="T26">
        <f t="shared" si="10"/>
        <v>8</v>
      </c>
      <c r="V26">
        <f t="shared" si="2"/>
        <v>28.286399999999997</v>
      </c>
      <c r="W26">
        <f t="shared" si="12"/>
        <v>8</v>
      </c>
      <c r="X26" s="131">
        <f t="shared" si="13"/>
        <v>3.1999999999999997</v>
      </c>
      <c r="Y26" s="131">
        <f t="shared" si="11"/>
        <v>31.486399999999996</v>
      </c>
      <c r="Z26" s="131">
        <f t="shared" si="3"/>
        <v>3.6772319999999965</v>
      </c>
      <c r="AA26" s="131">
        <f t="shared" si="4"/>
        <v>0.41599999999999948</v>
      </c>
      <c r="AB26" s="131">
        <f t="shared" si="5"/>
        <v>35.579631999999989</v>
      </c>
      <c r="AD26" s="131" t="str">
        <f>IFERROR(#REF!*FlightConfig!$K$3,"")</f>
        <v/>
      </c>
      <c r="AE26" s="131">
        <f>IFERROR(V26*FlightConfig!$K$3,"")</f>
        <v>10296.249599999999</v>
      </c>
      <c r="AF26" s="131">
        <f>IFERROR(W26*FlightConfig!$K$3,"")</f>
        <v>2912</v>
      </c>
      <c r="AG26" s="131">
        <f>IFERROR(X26*FlightConfig!$K$3,"")</f>
        <v>1164.8</v>
      </c>
      <c r="AH26" s="131">
        <f>IFERROR(Y26*FlightConfig!$K$3,"")</f>
        <v>11461.049599999998</v>
      </c>
      <c r="AI26" s="131">
        <f>IFERROR(AB26*FlightConfig!$K$3,"")</f>
        <v>12950.986047999997</v>
      </c>
    </row>
    <row r="27" spans="1:35" x14ac:dyDescent="0.25">
      <c r="A27" t="s">
        <v>135</v>
      </c>
      <c r="B27" s="301">
        <v>2</v>
      </c>
      <c r="C27" s="178" t="str">
        <f t="shared" ref="C27" si="19">CONCATENATE(A27&amp;B27&amp;F27)</f>
        <v>PREMIUM ECONOMY CLASS2</v>
      </c>
      <c r="D27" s="278"/>
      <c r="E27" s="270">
        <v>10041</v>
      </c>
      <c r="F27" s="277"/>
      <c r="G27" s="123" t="str">
        <f>VLOOKUP(E27,'[5]FG MASTER'!$A$10:$AB$203,2,0)</f>
        <v xml:space="preserve">PY TSU </v>
      </c>
      <c r="H27" s="252">
        <v>1</v>
      </c>
      <c r="I27" s="176">
        <v>1</v>
      </c>
      <c r="J27" s="258">
        <f>IFERROR(IF(I27="std",H27,ROUND(HLOOKUP(A27,FlightConfig!$B$28:$G$29,2,0)*I27,0)),"")</f>
        <v>56</v>
      </c>
      <c r="K27" s="213">
        <f>VLOOKUP(Food!E27,'[5]FG MASTER'!$A$1:$AC$521,16,0)</f>
        <v>0</v>
      </c>
      <c r="L27" s="214">
        <f>VLOOKUP(Food!E27,'FG MASTER'!A:AJ,17,0)</f>
        <v>2</v>
      </c>
      <c r="M27" s="136">
        <f t="shared" ref="M27" si="20">IFERROR(L27*$M$2,"")</f>
        <v>0.79999999999999993</v>
      </c>
      <c r="N27" s="136">
        <f t="shared" ref="N27" si="21">IFERROR((K27)+M27,"")</f>
        <v>0.79999999999999993</v>
      </c>
      <c r="O27" s="136">
        <f t="shared" si="1"/>
        <v>0</v>
      </c>
      <c r="P27" s="136">
        <f t="shared" si="8"/>
        <v>0.10399999999999987</v>
      </c>
      <c r="Q27" s="136">
        <f t="shared" ref="Q27" si="22">SUM(N27:P27)</f>
        <v>0.9039999999999998</v>
      </c>
      <c r="R27" s="318"/>
      <c r="S27" s="131"/>
      <c r="T27">
        <f t="shared" si="10"/>
        <v>112</v>
      </c>
      <c r="V27">
        <f t="shared" si="2"/>
        <v>0</v>
      </c>
      <c r="W27">
        <f t="shared" ref="W27" si="23">IFERROR(+L27*J27,"")</f>
        <v>112</v>
      </c>
      <c r="X27" s="131">
        <f t="shared" ref="X27" si="24">IFERROR(+M27*J27,"")</f>
        <v>44.8</v>
      </c>
      <c r="Y27" s="131">
        <f t="shared" si="11"/>
        <v>44.8</v>
      </c>
      <c r="Z27" s="131">
        <f t="shared" ref="Z27" si="25">IFERROR(O27*$J27,"")</f>
        <v>0</v>
      </c>
      <c r="AA27" s="131">
        <f t="shared" ref="AA27" si="26">IFERROR(P27*$J27,"")</f>
        <v>5.8239999999999927</v>
      </c>
      <c r="AB27" s="131">
        <f t="shared" si="5"/>
        <v>50.623999999999988</v>
      </c>
      <c r="AD27" s="131" t="str">
        <f>IFERROR(#REF!*FlightConfig!$K$3,"")</f>
        <v/>
      </c>
      <c r="AE27" s="131">
        <f>IFERROR(V27*FlightConfig!$K$3,"")</f>
        <v>0</v>
      </c>
      <c r="AF27" s="131">
        <f>IFERROR(W27*FlightConfig!$K$3,"")</f>
        <v>40768</v>
      </c>
      <c r="AG27" s="131">
        <f>IFERROR(X27*FlightConfig!$K$3,"")</f>
        <v>16307.199999999999</v>
      </c>
      <c r="AH27" s="131">
        <f>IFERROR(Y27*FlightConfig!$K$3,"")</f>
        <v>16307.199999999999</v>
      </c>
      <c r="AI27" s="131">
        <f>IFERROR(AB27*FlightConfig!$K$3,"")</f>
        <v>18427.135999999995</v>
      </c>
    </row>
    <row r="28" spans="1:35" x14ac:dyDescent="0.25">
      <c r="A28" t="s">
        <v>135</v>
      </c>
      <c r="B28" s="301">
        <v>2</v>
      </c>
      <c r="C28" s="178" t="str">
        <f t="shared" ref="C28:C51" si="27">CONCATENATE(A28&amp;B28&amp;F28)</f>
        <v>PREMIUM ECONOMY CLASS2</v>
      </c>
      <c r="D28" s="278"/>
      <c r="E28" s="270">
        <v>10070</v>
      </c>
      <c r="F28" s="277"/>
      <c r="G28" s="123" t="str">
        <f>VLOOKUP(E28,'[5]FG MASTER'!$A$10:$AB$203,2,0)</f>
        <v>PY/YC BUTTER</v>
      </c>
      <c r="H28" s="252">
        <v>1</v>
      </c>
      <c r="I28" s="176">
        <v>1</v>
      </c>
      <c r="J28" s="258">
        <f>IFERROR(IF(I28="std",H28,ROUND(HLOOKUP(A28,FlightConfig!$B$28:$G$29,2,0)*I28,0)),"")</f>
        <v>56</v>
      </c>
      <c r="K28" s="213">
        <f>VLOOKUP(Food!E28,'[5]FG MASTER'!$A$1:$AC$521,16,0)</f>
        <v>0.11714999999999999</v>
      </c>
      <c r="L28" s="214">
        <f>VLOOKUP(Food!E28,'FG MASTER'!A:AJ,17,0)</f>
        <v>0.2</v>
      </c>
      <c r="M28" s="136">
        <f t="shared" ref="M28:M48" si="28">IFERROR(L28*$M$2,"")</f>
        <v>0.08</v>
      </c>
      <c r="N28" s="136">
        <f t="shared" si="7"/>
        <v>0.19714999999999999</v>
      </c>
      <c r="O28" s="136">
        <f t="shared" si="1"/>
        <v>1.5229499999999993E-2</v>
      </c>
      <c r="P28" s="136">
        <f t="shared" si="8"/>
        <v>1.0399999999999993E-2</v>
      </c>
      <c r="Q28" s="136">
        <f t="shared" ref="Q28:Q29" si="29">SUM(N28:P28)</f>
        <v>0.22277949999999999</v>
      </c>
      <c r="R28" s="318"/>
      <c r="S28" s="131"/>
      <c r="T28">
        <f t="shared" si="10"/>
        <v>11.200000000000001</v>
      </c>
      <c r="V28">
        <f t="shared" si="2"/>
        <v>6.5603999999999996</v>
      </c>
      <c r="W28">
        <f t="shared" si="12"/>
        <v>11.200000000000001</v>
      </c>
      <c r="X28" s="131">
        <f t="shared" si="13"/>
        <v>4.4800000000000004</v>
      </c>
      <c r="Y28" s="131">
        <f t="shared" si="11"/>
        <v>11.0404</v>
      </c>
      <c r="Z28" s="131">
        <f t="shared" si="3"/>
        <v>0.85285199999999961</v>
      </c>
      <c r="AA28" s="131">
        <f t="shared" si="4"/>
        <v>0.58239999999999958</v>
      </c>
      <c r="AB28" s="131">
        <f t="shared" si="5"/>
        <v>12.475652</v>
      </c>
      <c r="AD28" s="131" t="str">
        <f>IFERROR(#REF!*FlightConfig!$K$3,"")</f>
        <v/>
      </c>
      <c r="AE28" s="131">
        <f>IFERROR(V28*FlightConfig!$K$3,"")</f>
        <v>2387.9856</v>
      </c>
      <c r="AF28" s="131">
        <f>IFERROR(W28*FlightConfig!$K$3,"")</f>
        <v>4076.8</v>
      </c>
      <c r="AG28" s="131">
        <f>IFERROR(X28*FlightConfig!$K$3,"")</f>
        <v>1630.7200000000003</v>
      </c>
      <c r="AH28" s="131">
        <f>IFERROR(Y28*FlightConfig!$K$3,"")</f>
        <v>4018.7055999999998</v>
      </c>
      <c r="AI28" s="131">
        <f>IFERROR(AB28*FlightConfig!$K$3,"")</f>
        <v>4541.1373279999998</v>
      </c>
    </row>
    <row r="29" spans="1:35" x14ac:dyDescent="0.25">
      <c r="A29" t="s">
        <v>135</v>
      </c>
      <c r="B29" s="301">
        <v>2</v>
      </c>
      <c r="C29" s="178" t="str">
        <f t="shared" si="27"/>
        <v>PREMIUM ECONOMY CLASS2</v>
      </c>
      <c r="D29" s="278"/>
      <c r="E29" s="270">
        <v>10091</v>
      </c>
      <c r="F29" s="277"/>
      <c r="G29" s="123" t="str">
        <f>VLOOKUP(E29,'[5]FG MASTER'!$A$10:$AB$203,2,0)</f>
        <v xml:space="preserve">PY TSU CHEESE - MINI BRIE WEDGE INVD WRAP, ILE DE GRANCE CHEESE </v>
      </c>
      <c r="H29" s="252">
        <v>1</v>
      </c>
      <c r="I29" s="176">
        <v>1</v>
      </c>
      <c r="J29" s="258">
        <f>IFERROR(IF(I29="std",H29,ROUND(HLOOKUP(A29,FlightConfig!$B$28:$G$29,2,0)*I29,0)),"")</f>
        <v>56</v>
      </c>
      <c r="K29" s="213">
        <f>VLOOKUP(Food!E29,'[5]FG MASTER'!$A$1:$AC$521,16,0)</f>
        <v>0.92122499999999996</v>
      </c>
      <c r="L29" s="214">
        <f>VLOOKUP(Food!E29,'FG MASTER'!A:AJ,17,0)</f>
        <v>0.2</v>
      </c>
      <c r="M29" s="136">
        <f t="shared" si="28"/>
        <v>0.08</v>
      </c>
      <c r="N29" s="136">
        <f t="shared" si="7"/>
        <v>1.001225</v>
      </c>
      <c r="O29" s="136">
        <f t="shared" si="1"/>
        <v>0.11975924999999998</v>
      </c>
      <c r="P29" s="136">
        <f t="shared" si="8"/>
        <v>1.0399999999999993E-2</v>
      </c>
      <c r="Q29" s="136">
        <f t="shared" si="29"/>
        <v>1.13138425</v>
      </c>
      <c r="R29" s="318"/>
      <c r="S29" s="131"/>
      <c r="T29">
        <f t="shared" si="10"/>
        <v>11.200000000000001</v>
      </c>
      <c r="V29">
        <f t="shared" si="2"/>
        <v>51.5886</v>
      </c>
      <c r="W29">
        <f>L29*J29</f>
        <v>11.200000000000001</v>
      </c>
      <c r="X29" s="131">
        <f>+M29*J29</f>
        <v>4.4800000000000004</v>
      </c>
      <c r="Y29" s="131">
        <f t="shared" si="11"/>
        <v>56.068600000000004</v>
      </c>
      <c r="Z29" s="131">
        <f t="shared" si="3"/>
        <v>6.7065179999999991</v>
      </c>
      <c r="AA29" s="131">
        <f t="shared" si="4"/>
        <v>0.58239999999999958</v>
      </c>
      <c r="AB29" s="131">
        <f t="shared" si="5"/>
        <v>63.357517999999999</v>
      </c>
      <c r="AD29" s="131" t="str">
        <f>IFERROR(#REF!*FlightConfig!$K$3,"")</f>
        <v/>
      </c>
      <c r="AE29" s="131">
        <f>IFERROR(V29*FlightConfig!$K$3,"")</f>
        <v>18778.250400000001</v>
      </c>
      <c r="AF29" s="131">
        <f>IFERROR(W29*FlightConfig!$K$3,"")</f>
        <v>4076.8</v>
      </c>
      <c r="AG29" s="131">
        <f>IFERROR(X29*FlightConfig!$K$3,"")</f>
        <v>1630.7200000000003</v>
      </c>
      <c r="AH29" s="131">
        <f>IFERROR(Y29*FlightConfig!$K$3,"")</f>
        <v>20408.970400000002</v>
      </c>
      <c r="AI29" s="131">
        <f>IFERROR(AB29*FlightConfig!$K$3,"")</f>
        <v>23062.136552</v>
      </c>
    </row>
    <row r="30" spans="1:35" x14ac:dyDescent="0.25">
      <c r="A30" t="s">
        <v>135</v>
      </c>
      <c r="B30" s="301">
        <v>2</v>
      </c>
      <c r="C30" s="178" t="str">
        <f t="shared" ref="C30" si="30">CONCATENATE(A30&amp;B30&amp;F30)</f>
        <v>PREMIUM ECONOMY CLASS2</v>
      </c>
      <c r="D30" s="278"/>
      <c r="E30" s="271">
        <v>10086</v>
      </c>
      <c r="F30" s="277"/>
      <c r="G30" s="123" t="str">
        <f>VLOOKUP(E30,'[5]FG MASTER'!$A$10:$AB$203,2,0)</f>
        <v xml:space="preserve">PY CRACKER </v>
      </c>
      <c r="H30" s="252">
        <v>1</v>
      </c>
      <c r="I30" s="176">
        <v>1</v>
      </c>
      <c r="J30" s="258">
        <f>IFERROR(IF(I30="std",H30,ROUND(HLOOKUP(A30,FlightConfig!$B$28:$G$29,2,0)*I30,0)),"")</f>
        <v>56</v>
      </c>
      <c r="K30" s="213">
        <f>VLOOKUP(Food!E30,'[5]FG MASTER'!$A$1:$AC$521,16,0)</f>
        <v>5.3249999999999999E-2</v>
      </c>
      <c r="L30" s="214">
        <f>VLOOKUP(Food!E30,'FG MASTER'!A:AJ,17,0)</f>
        <v>0.2</v>
      </c>
      <c r="M30" s="136">
        <f t="shared" ref="M30" si="31">IFERROR(L30*$M$2,"")</f>
        <v>0.08</v>
      </c>
      <c r="N30" s="136">
        <f t="shared" ref="N30" si="32">IFERROR((K30)+M30,"")</f>
        <v>0.13325000000000001</v>
      </c>
      <c r="O30" s="136">
        <f t="shared" si="1"/>
        <v>6.9224999999999912E-3</v>
      </c>
      <c r="P30" s="136">
        <f t="shared" si="8"/>
        <v>1.0399999999999993E-2</v>
      </c>
      <c r="Q30" s="136">
        <f t="shared" ref="Q30" si="33">SUM(N30:P30)</f>
        <v>0.1505725</v>
      </c>
      <c r="R30" s="318"/>
      <c r="S30" s="131"/>
      <c r="T30" s="293">
        <f>(L30/2)*J30</f>
        <v>5.6000000000000005</v>
      </c>
      <c r="V30">
        <f t="shared" si="2"/>
        <v>2.9819999999999998</v>
      </c>
      <c r="W30">
        <f t="shared" ref="W30" si="34">IFERROR(+L30*J30,"")</f>
        <v>11.200000000000001</v>
      </c>
      <c r="X30" s="131">
        <f t="shared" ref="X30" si="35">IFERROR(+M30*J30,"")</f>
        <v>4.4800000000000004</v>
      </c>
      <c r="Y30" s="131">
        <f t="shared" si="11"/>
        <v>7.4620000000000006</v>
      </c>
      <c r="Z30" s="131">
        <f t="shared" ref="Z30" si="36">IFERROR(O30*$J30,"")</f>
        <v>0.3876599999999995</v>
      </c>
      <c r="AA30" s="131">
        <f t="shared" ref="AA30" si="37">IFERROR(P30*$J30,"")</f>
        <v>0.58239999999999958</v>
      </c>
      <c r="AB30" s="131">
        <f t="shared" si="5"/>
        <v>8.4320599999999999</v>
      </c>
      <c r="AD30" s="131" t="str">
        <f>IFERROR(#REF!*FlightConfig!$K$3,"")</f>
        <v/>
      </c>
      <c r="AE30" s="131">
        <f>IFERROR(V30*FlightConfig!$K$3,"")</f>
        <v>1085.4479999999999</v>
      </c>
      <c r="AF30" s="131">
        <f>IFERROR(W30*FlightConfig!$K$3,"")</f>
        <v>4076.8</v>
      </c>
      <c r="AG30" s="131">
        <f>IFERROR(X30*FlightConfig!$K$3,"")</f>
        <v>1630.7200000000003</v>
      </c>
      <c r="AH30" s="131">
        <f>IFERROR(Y30*FlightConfig!$K$3,"")</f>
        <v>2716.1680000000001</v>
      </c>
      <c r="AI30" s="131">
        <f>IFERROR(AB30*FlightConfig!$K$3,"")</f>
        <v>3069.2698399999999</v>
      </c>
    </row>
    <row r="31" spans="1:35" ht="30" x14ac:dyDescent="0.25">
      <c r="A31" t="s">
        <v>135</v>
      </c>
      <c r="B31" s="301">
        <v>2</v>
      </c>
      <c r="C31" s="178" t="str">
        <f t="shared" si="27"/>
        <v>PREMIUM ECONOMY CLASS2</v>
      </c>
      <c r="D31" s="278"/>
      <c r="E31" s="271">
        <v>10044</v>
      </c>
      <c r="F31" s="277"/>
      <c r="G31" s="123" t="str">
        <f>VLOOKUP(E31,'[5]FG MASTER'!$A$10:$AB$203,2,0)</f>
        <v xml:space="preserve">PY C2 HM A FISH COD ALMONDINE, TARRAGON CREAM SAUCE, WILD RICE PILAF, ROASTED CAULIFLOWER, CHERRY TOAMTO </v>
      </c>
      <c r="H31" s="252">
        <v>1</v>
      </c>
      <c r="I31" s="176">
        <v>0.6</v>
      </c>
      <c r="J31" s="258">
        <f>IFERROR(IF(I31="std",H31,ROUND(HLOOKUP(A31,FlightConfig!$B$28:$G$29,2,0)*I31,0)),"")</f>
        <v>34</v>
      </c>
      <c r="K31" s="213">
        <f>VLOOKUP(Food!E31,'[5]FG MASTER'!$A$1:$AC$521,16,0)</f>
        <v>3.6294294749999998</v>
      </c>
      <c r="L31" s="214">
        <f>VLOOKUP(Food!E31,'FG MASTER'!A:AJ,17,0)</f>
        <v>7</v>
      </c>
      <c r="M31" s="136">
        <f t="shared" si="28"/>
        <v>2.8</v>
      </c>
      <c r="N31" s="136">
        <f t="shared" si="7"/>
        <v>6.4294294749999992</v>
      </c>
      <c r="O31" s="136">
        <f t="shared" si="1"/>
        <v>0.47182583174999992</v>
      </c>
      <c r="P31" s="136">
        <f t="shared" si="8"/>
        <v>0.36399999999999988</v>
      </c>
      <c r="Q31" s="136">
        <f t="shared" ref="Q31:Q51" si="38">SUM(N31:P31)</f>
        <v>7.2652553067499985</v>
      </c>
      <c r="R31" s="318"/>
      <c r="S31" s="131"/>
      <c r="T31" s="293">
        <f>(L31/2)*J31</f>
        <v>119</v>
      </c>
      <c r="V31">
        <f t="shared" si="2"/>
        <v>123.40060215</v>
      </c>
      <c r="W31">
        <f t="shared" ref="W31:W38" si="39">IFERROR(+L31*J31,"")</f>
        <v>238</v>
      </c>
      <c r="X31" s="131">
        <f t="shared" ref="X31:X38" si="40">IFERROR(+M31*J31,"")</f>
        <v>95.199999999999989</v>
      </c>
      <c r="Y31" s="131">
        <f t="shared" si="11"/>
        <v>218.60060214999999</v>
      </c>
      <c r="Z31" s="131">
        <f t="shared" si="3"/>
        <v>16.042078279499997</v>
      </c>
      <c r="AA31" s="131">
        <f t="shared" si="4"/>
        <v>12.375999999999996</v>
      </c>
      <c r="AB31" s="131">
        <f t="shared" si="5"/>
        <v>247.01868042949994</v>
      </c>
      <c r="AD31" s="131" t="str">
        <f>IFERROR(#REF!*FlightConfig!$K$3,"")</f>
        <v/>
      </c>
      <c r="AE31" s="131">
        <f>IFERROR(V31*FlightConfig!$K$3,"")</f>
        <v>44917.819182599997</v>
      </c>
      <c r="AF31" s="131">
        <f>IFERROR(W31*FlightConfig!$K$3,"")</f>
        <v>86632</v>
      </c>
      <c r="AG31" s="131">
        <f>IFERROR(X31*FlightConfig!$K$3,"")</f>
        <v>34652.799999999996</v>
      </c>
      <c r="AH31" s="131">
        <f>IFERROR(Y31*FlightConfig!$K$3,"")</f>
        <v>79570.619182599999</v>
      </c>
      <c r="AI31" s="131">
        <f>IFERROR(AB31*FlightConfig!$K$3,"")</f>
        <v>89914.799676337978</v>
      </c>
    </row>
    <row r="32" spans="1:35" x14ac:dyDescent="0.25">
      <c r="A32" t="s">
        <v>135</v>
      </c>
      <c r="B32" s="301">
        <v>2</v>
      </c>
      <c r="C32" s="178" t="str">
        <f t="shared" ref="C32" si="41">CONCATENATE(A32&amp;B32&amp;F32)</f>
        <v>PREMIUM ECONOMY CLASS2</v>
      </c>
      <c r="D32" s="278"/>
      <c r="E32" s="270">
        <v>10042</v>
      </c>
      <c r="F32" s="277"/>
      <c r="G32" s="123" t="str">
        <f>VLOOKUP(E32,'[5]FG MASTER'!$A$10:$AB$203,2,0)</f>
        <v xml:space="preserve">PY C2 STARTER PASTRAMI, FARRO SALAD, </v>
      </c>
      <c r="H32" s="252">
        <v>1</v>
      </c>
      <c r="I32" s="176">
        <v>1</v>
      </c>
      <c r="J32" s="258">
        <f>IFERROR(IF(I32="std",H32,ROUND(HLOOKUP(A32,FlightConfig!$B$28:$G$29,2,0)*I32,0)),"")</f>
        <v>56</v>
      </c>
      <c r="K32" s="213">
        <f>VLOOKUP(Food!E32,'[5]FG MASTER'!$A$1:$AC$521,16,0)</f>
        <v>0.59434987499999992</v>
      </c>
      <c r="L32" s="214">
        <f>VLOOKUP(Food!E32,'FG MASTER'!A:AJ,17,0)</f>
        <v>1.25</v>
      </c>
      <c r="M32" s="136">
        <f t="shared" ref="M32" si="42">IFERROR(L32*$M$2,"")</f>
        <v>0.49999999999999994</v>
      </c>
      <c r="N32" s="136">
        <f t="shared" ref="N32" si="43">IFERROR((K32)+M32,"")</f>
        <v>1.0943498749999998</v>
      </c>
      <c r="O32" s="136">
        <f t="shared" si="1"/>
        <v>-0.31459390425</v>
      </c>
      <c r="P32" s="136">
        <f>IFERROR($M32*(1+$P$2)-$M32,0)</f>
        <v>6.4999999999999891E-2</v>
      </c>
      <c r="Q32" s="136">
        <f t="shared" ref="Q32" si="44">SUM(N32:P32)</f>
        <v>0.84475597074999964</v>
      </c>
      <c r="R32" s="318">
        <v>-0.39185938799999998</v>
      </c>
      <c r="S32" s="131">
        <f>R32*J32</f>
        <v>-21.944125727999999</v>
      </c>
      <c r="T32">
        <f t="shared" ref="T32" si="45">L32*J32</f>
        <v>70</v>
      </c>
      <c r="V32">
        <f t="shared" si="2"/>
        <v>55.227718727999999</v>
      </c>
      <c r="W32">
        <f>L32*J32</f>
        <v>70</v>
      </c>
      <c r="X32" s="131">
        <f>+M32*J32</f>
        <v>27.999999999999996</v>
      </c>
      <c r="Y32" s="131">
        <f t="shared" si="11"/>
        <v>39.339467271999993</v>
      </c>
      <c r="Z32" s="131">
        <f>IFERROR(O32*$J32,"")</f>
        <v>-17.617258637999999</v>
      </c>
      <c r="AA32" s="131">
        <f>IFERROR(P32*$J32,"")</f>
        <v>3.6399999999999939</v>
      </c>
      <c r="AB32" s="131">
        <f t="shared" si="5"/>
        <v>25.36220863399998</v>
      </c>
      <c r="AD32" s="131" t="str">
        <f>IFERROR(#REF!*FlightConfig!$K$3,"")</f>
        <v/>
      </c>
      <c r="AE32" s="131">
        <f>IFERROR(V32*FlightConfig!$K$3,"")</f>
        <v>20102.889616992001</v>
      </c>
      <c r="AF32" s="131">
        <f>IFERROR(W32*FlightConfig!$K$3,"")</f>
        <v>25480</v>
      </c>
      <c r="AG32" s="131">
        <f>IFERROR(X32*FlightConfig!$K$3,"")</f>
        <v>10191.999999999998</v>
      </c>
      <c r="AH32" s="131">
        <f>IFERROR(Y32*FlightConfig!$K$3,"")</f>
        <v>14319.566087007997</v>
      </c>
      <c r="AI32" s="131">
        <f>IFERROR(AB32*FlightConfig!$K$3,"")</f>
        <v>9231.8439427759931</v>
      </c>
    </row>
    <row r="33" spans="1:35" ht="30" x14ac:dyDescent="0.25">
      <c r="A33" t="s">
        <v>135</v>
      </c>
      <c r="B33" s="301">
        <v>2</v>
      </c>
      <c r="C33" s="178" t="str">
        <f t="shared" si="27"/>
        <v>PREMIUM ECONOMY CLASS2</v>
      </c>
      <c r="D33" s="278"/>
      <c r="E33" s="271">
        <v>10046</v>
      </c>
      <c r="F33" s="277"/>
      <c r="G33" s="123" t="str">
        <f>VLOOKUP(E33,'[5]FG MASTER'!$A$10:$AB$203,2,0)</f>
        <v>PY C2 HM B MEAT ROASTED CHICKEN THIGH WITH TRUFFLE CREAM SAUCE, SPINACH WITH GARLIC, MASH POTATOES, AND BABY CARROT</v>
      </c>
      <c r="H33" s="252">
        <v>1</v>
      </c>
      <c r="I33" s="176">
        <v>0.4</v>
      </c>
      <c r="J33" s="258">
        <f>IFERROR(IF(I33="std",H33,ROUND(HLOOKUP(A33,FlightConfig!$B$28:$G$29,2,0)*I33,0)),"")</f>
        <v>22</v>
      </c>
      <c r="K33" s="213">
        <f>VLOOKUP(Food!E33,'[5]FG MASTER'!$A$1:$AC$521,16,0)</f>
        <v>2.0468850569999999</v>
      </c>
      <c r="L33" s="214">
        <f>VLOOKUP(Food!E33,'FG MASTER'!A:AJ,17,0)</f>
        <v>6.5</v>
      </c>
      <c r="M33" s="136">
        <f t="shared" si="28"/>
        <v>2.5999999999999996</v>
      </c>
      <c r="N33" s="136">
        <f t="shared" si="7"/>
        <v>4.6468850569999995</v>
      </c>
      <c r="O33" s="136">
        <f t="shared" si="1"/>
        <v>0.26609505740999984</v>
      </c>
      <c r="P33" s="136">
        <f t="shared" si="8"/>
        <v>0.33799999999999963</v>
      </c>
      <c r="Q33" s="136">
        <f t="shared" si="38"/>
        <v>5.2509801144099981</v>
      </c>
      <c r="R33" s="318"/>
      <c r="S33" s="131"/>
      <c r="T33" s="293">
        <f>(L33/2)*J33</f>
        <v>71.5</v>
      </c>
      <c r="V33">
        <f t="shared" si="2"/>
        <v>45.031471253999996</v>
      </c>
      <c r="W33">
        <f t="shared" si="39"/>
        <v>143</v>
      </c>
      <c r="X33" s="131">
        <f t="shared" si="40"/>
        <v>57.199999999999989</v>
      </c>
      <c r="Y33" s="131">
        <f t="shared" si="11"/>
        <v>102.23147125399998</v>
      </c>
      <c r="Z33" s="131">
        <f t="shared" si="3"/>
        <v>5.8540912630199964</v>
      </c>
      <c r="AA33" s="131">
        <f t="shared" si="4"/>
        <v>7.4359999999999919</v>
      </c>
      <c r="AB33" s="131">
        <f t="shared" si="5"/>
        <v>115.52156251701996</v>
      </c>
      <c r="AD33" s="131" t="str">
        <f>IFERROR(#REF!*FlightConfig!$K$3,"")</f>
        <v/>
      </c>
      <c r="AE33" s="131">
        <f>IFERROR(V33*FlightConfig!$K$3,"")</f>
        <v>16391.455536456</v>
      </c>
      <c r="AF33" s="131">
        <f>IFERROR(W33*FlightConfig!$K$3,"")</f>
        <v>52052</v>
      </c>
      <c r="AG33" s="131">
        <f>IFERROR(X33*FlightConfig!$K$3,"")</f>
        <v>20820.799999999996</v>
      </c>
      <c r="AH33" s="131">
        <f>IFERROR(Y33*FlightConfig!$K$3,"")</f>
        <v>37212.255536455996</v>
      </c>
      <c r="AI33" s="131">
        <f>IFERROR(AB33*FlightConfig!$K$3,"")</f>
        <v>42049.848756195264</v>
      </c>
    </row>
    <row r="34" spans="1:35" x14ac:dyDescent="0.25">
      <c r="A34" t="s">
        <v>135</v>
      </c>
      <c r="B34" s="301">
        <v>2</v>
      </c>
      <c r="C34" s="178" t="str">
        <f t="shared" si="27"/>
        <v>PREMIUM ECONOMY CLASS2</v>
      </c>
      <c r="D34" s="278"/>
      <c r="E34" s="271">
        <v>10048</v>
      </c>
      <c r="F34" s="277"/>
      <c r="G34" s="313" t="str">
        <f>VLOOKUP(E34,'[5]FG MASTER'!$A$10:$AB$203,2,0)</f>
        <v>PY C2 DE PEACH COBBLER TART, BLACKBERRY PASTRY CREAM</v>
      </c>
      <c r="H34" s="252">
        <v>1</v>
      </c>
      <c r="I34" s="176">
        <v>1</v>
      </c>
      <c r="J34" s="258">
        <f>IFERROR(IF(I34="std",H34,ROUND(HLOOKUP(A34,FlightConfig!$B$28:$G$29,2,0)*I34,0)),"")</f>
        <v>56</v>
      </c>
      <c r="K34" s="213">
        <f>VLOOKUP(Food!E34,'[5]FG MASTER'!$A$1:$AC$521,16,0)</f>
        <v>0.75437144999999994</v>
      </c>
      <c r="L34" s="214">
        <f>VLOOKUP(Food!E34,'FG MASTER'!A:AJ,17,0)</f>
        <v>2.25</v>
      </c>
      <c r="M34" s="136">
        <f t="shared" si="28"/>
        <v>0.89999999999999991</v>
      </c>
      <c r="N34" s="136">
        <f t="shared" si="7"/>
        <v>1.6543714499999997</v>
      </c>
      <c r="O34" s="136">
        <f t="shared" si="1"/>
        <v>9.8068288499999934E-2</v>
      </c>
      <c r="P34" s="136">
        <f t="shared" si="8"/>
        <v>0.11699999999999999</v>
      </c>
      <c r="Q34" s="136">
        <f t="shared" si="38"/>
        <v>1.8694397384999997</v>
      </c>
      <c r="R34" s="318"/>
      <c r="S34" s="131"/>
      <c r="T34" s="293">
        <f>(L34/2)*J34</f>
        <v>63</v>
      </c>
      <c r="V34">
        <f t="shared" si="2"/>
        <v>42.244801199999998</v>
      </c>
      <c r="W34">
        <f t="shared" si="39"/>
        <v>126</v>
      </c>
      <c r="X34" s="131">
        <f t="shared" si="40"/>
        <v>50.399999999999991</v>
      </c>
      <c r="Y34" s="131">
        <f t="shared" si="11"/>
        <v>92.644801199999989</v>
      </c>
      <c r="Z34" s="131">
        <f t="shared" si="3"/>
        <v>5.4918241559999963</v>
      </c>
      <c r="AA34" s="131">
        <f t="shared" si="4"/>
        <v>6.5519999999999996</v>
      </c>
      <c r="AB34" s="131">
        <f t="shared" si="5"/>
        <v>104.68862535599999</v>
      </c>
      <c r="AD34" s="131" t="str">
        <f>IFERROR(#REF!*FlightConfig!$K$3,"")</f>
        <v/>
      </c>
      <c r="AE34" s="131">
        <f>IFERROR(V34*FlightConfig!$K$3,"")</f>
        <v>15377.107636799999</v>
      </c>
      <c r="AF34" s="131">
        <f>IFERROR(W34*FlightConfig!$K$3,"")</f>
        <v>45864</v>
      </c>
      <c r="AG34" s="131">
        <f>IFERROR(X34*FlightConfig!$K$3,"")</f>
        <v>18345.599999999999</v>
      </c>
      <c r="AH34" s="131">
        <f>IFERROR(Y34*FlightConfig!$K$3,"")</f>
        <v>33722.707636799998</v>
      </c>
      <c r="AI34" s="131">
        <f>IFERROR(AB34*FlightConfig!$K$3,"")</f>
        <v>38106.659629583999</v>
      </c>
    </row>
    <row r="35" spans="1:35" x14ac:dyDescent="0.25">
      <c r="A35" t="s">
        <v>135</v>
      </c>
      <c r="B35" s="301">
        <v>2</v>
      </c>
      <c r="C35" s="178" t="str">
        <f t="shared" si="27"/>
        <v>PREMIUM ECONOMY CLASS2</v>
      </c>
      <c r="D35" s="278"/>
      <c r="E35" s="271">
        <v>10050</v>
      </c>
      <c r="F35" s="277"/>
      <c r="G35" s="123" t="str">
        <f>VLOOKUP(E35,'[5]FG MASTER'!$A$10:$AB$203,2,0)</f>
        <v xml:space="preserve">PY BRD TYPE 1 SIX GRAIN ROLL </v>
      </c>
      <c r="H35" s="252">
        <v>1</v>
      </c>
      <c r="I35" s="176">
        <v>1.2</v>
      </c>
      <c r="J35" s="258">
        <f>IFERROR(IF(I35="std",H35,ROUND(HLOOKUP(A35,FlightConfig!$B$28:$G$29,2,0)*I35,0)),"")</f>
        <v>67</v>
      </c>
      <c r="K35" s="213">
        <f>VLOOKUP(Food!E35,'[5]FG MASTER'!$A$1:$AC$521,16,0)</f>
        <v>0.50321249999999995</v>
      </c>
      <c r="L35" s="214">
        <f>VLOOKUP(Food!E35,'FG MASTER'!A:AJ,17,0)</f>
        <v>0.5</v>
      </c>
      <c r="M35" s="136">
        <f t="shared" si="28"/>
        <v>0.19999999999999998</v>
      </c>
      <c r="N35" s="136">
        <f t="shared" si="7"/>
        <v>0.70321249999999991</v>
      </c>
      <c r="O35" s="136">
        <f t="shared" si="1"/>
        <v>6.5417624999999924E-2</v>
      </c>
      <c r="P35" s="136">
        <f t="shared" si="8"/>
        <v>2.5999999999999968E-2</v>
      </c>
      <c r="Q35" s="136">
        <f t="shared" si="38"/>
        <v>0.79463012499999985</v>
      </c>
      <c r="R35" s="318"/>
      <c r="S35" s="131"/>
      <c r="T35">
        <f t="shared" si="10"/>
        <v>33.5</v>
      </c>
      <c r="V35">
        <f t="shared" si="2"/>
        <v>33.715237499999994</v>
      </c>
      <c r="W35">
        <f t="shared" si="39"/>
        <v>33.5</v>
      </c>
      <c r="X35" s="131">
        <f t="shared" si="40"/>
        <v>13.399999999999999</v>
      </c>
      <c r="Y35" s="131">
        <f t="shared" si="11"/>
        <v>47.115237499999992</v>
      </c>
      <c r="Z35" s="131">
        <f t="shared" si="3"/>
        <v>4.382980874999995</v>
      </c>
      <c r="AA35" s="131">
        <f t="shared" si="4"/>
        <v>1.7419999999999978</v>
      </c>
      <c r="AB35" s="131">
        <f t="shared" si="5"/>
        <v>53.240218374999991</v>
      </c>
      <c r="AD35" s="131" t="str">
        <f>IFERROR(#REF!*FlightConfig!$K$3,"")</f>
        <v/>
      </c>
      <c r="AE35" s="131">
        <f>IFERROR(V35*FlightConfig!$K$3,"")</f>
        <v>12272.346449999997</v>
      </c>
      <c r="AF35" s="131">
        <f>IFERROR(W35*FlightConfig!$K$3,"")</f>
        <v>12194</v>
      </c>
      <c r="AG35" s="131">
        <f>IFERROR(X35*FlightConfig!$K$3,"")</f>
        <v>4877.5999999999995</v>
      </c>
      <c r="AH35" s="131">
        <f>IFERROR(Y35*FlightConfig!$K$3,"")</f>
        <v>17149.946449999996</v>
      </c>
      <c r="AI35" s="131">
        <f>IFERROR(AB35*FlightConfig!$K$3,"")</f>
        <v>19379.439488499997</v>
      </c>
    </row>
    <row r="36" spans="1:35" x14ac:dyDescent="0.25">
      <c r="A36" t="s">
        <v>135</v>
      </c>
      <c r="B36" s="301">
        <v>2</v>
      </c>
      <c r="C36" s="178" t="str">
        <f t="shared" si="27"/>
        <v>PREMIUM ECONOMY CLASS2</v>
      </c>
      <c r="D36" s="278"/>
      <c r="E36" s="270">
        <v>10041</v>
      </c>
      <c r="F36" s="277"/>
      <c r="G36" s="123" t="str">
        <f>VLOOKUP(E36,'[5]FG MASTER'!$A$10:$AB$203,2,0)</f>
        <v xml:space="preserve">PY TSU </v>
      </c>
      <c r="H36" s="252">
        <v>1</v>
      </c>
      <c r="I36" s="176">
        <v>1</v>
      </c>
      <c r="J36" s="258">
        <f>IFERROR(IF(I36="std",H36,ROUND(HLOOKUP(A36,FlightConfig!$B$28:$G$29,2,0)*I36,0)),"")</f>
        <v>56</v>
      </c>
      <c r="K36" s="213">
        <f>VLOOKUP(Food!E36,'[5]FG MASTER'!$A$1:$AC$521,16,0)</f>
        <v>0</v>
      </c>
      <c r="L36" s="214">
        <f>VLOOKUP(Food!E36,'FG MASTER'!A:AJ,17,0)</f>
        <v>2</v>
      </c>
      <c r="M36" s="136">
        <f t="shared" si="28"/>
        <v>0.79999999999999993</v>
      </c>
      <c r="N36" s="136">
        <f t="shared" si="7"/>
        <v>0.79999999999999993</v>
      </c>
      <c r="O36" s="136">
        <f t="shared" si="1"/>
        <v>0</v>
      </c>
      <c r="P36" s="136">
        <f t="shared" si="8"/>
        <v>0.10399999999999987</v>
      </c>
      <c r="Q36" s="136">
        <f t="shared" si="38"/>
        <v>0.9039999999999998</v>
      </c>
      <c r="R36" s="318"/>
      <c r="S36" s="131"/>
      <c r="T36">
        <f t="shared" si="10"/>
        <v>112</v>
      </c>
      <c r="V36">
        <f t="shared" si="2"/>
        <v>0</v>
      </c>
      <c r="W36">
        <f t="shared" si="39"/>
        <v>112</v>
      </c>
      <c r="X36" s="131">
        <f t="shared" si="40"/>
        <v>44.8</v>
      </c>
      <c r="Y36" s="131">
        <f t="shared" si="11"/>
        <v>44.8</v>
      </c>
      <c r="Z36" s="131">
        <f t="shared" si="3"/>
        <v>0</v>
      </c>
      <c r="AA36" s="131">
        <f t="shared" si="4"/>
        <v>5.8239999999999927</v>
      </c>
      <c r="AB36" s="131">
        <f t="shared" si="5"/>
        <v>50.623999999999988</v>
      </c>
      <c r="AD36" s="131" t="str">
        <f>IFERROR(#REF!*FlightConfig!$K$3,"")</f>
        <v/>
      </c>
      <c r="AE36" s="131">
        <f>IFERROR(V36*FlightConfig!$K$3,"")</f>
        <v>0</v>
      </c>
      <c r="AF36" s="131">
        <f>IFERROR(W36*FlightConfig!$K$3,"")</f>
        <v>40768</v>
      </c>
      <c r="AG36" s="131">
        <f>IFERROR(X36*FlightConfig!$K$3,"")</f>
        <v>16307.199999999999</v>
      </c>
      <c r="AH36" s="131">
        <f>IFERROR(Y36*FlightConfig!$K$3,"")</f>
        <v>16307.199999999999</v>
      </c>
      <c r="AI36" s="131">
        <f>IFERROR(AB36*FlightConfig!$K$3,"")</f>
        <v>18427.135999999995</v>
      </c>
    </row>
    <row r="37" spans="1:35" x14ac:dyDescent="0.25">
      <c r="A37" t="s">
        <v>135</v>
      </c>
      <c r="B37" s="301">
        <v>2</v>
      </c>
      <c r="C37" s="178" t="str">
        <f>CONCATENATE(A37&amp;B37&amp;F37)</f>
        <v>PREMIUM ECONOMY CLASS2</v>
      </c>
      <c r="D37" s="278"/>
      <c r="E37" s="271">
        <v>10088</v>
      </c>
      <c r="F37" s="277"/>
      <c r="G37" s="123" t="str">
        <f>VLOOKUP(E37,'[5]FG MASTER'!$A$10:$AB$203,2,0)</f>
        <v xml:space="preserve">NATURE VALLEY GRANOLA BAR </v>
      </c>
      <c r="H37" s="252">
        <v>1</v>
      </c>
      <c r="I37" s="176">
        <v>1</v>
      </c>
      <c r="J37" s="258">
        <f>IFERROR(IF(I37="std",H37,ROUND(HLOOKUP(A37,FlightConfig!$B$28:$G$29,2,0)*I37,0)),"")</f>
        <v>56</v>
      </c>
      <c r="K37" s="213">
        <f>VLOOKUP(Food!E37,'[5]FG MASTER'!$A$1:$AC$521,16,0)</f>
        <v>0.60215099999999999</v>
      </c>
      <c r="L37" s="214">
        <f>VLOOKUP(Food!E37,'FG MASTER'!A:AJ,17,0)</f>
        <v>0.2</v>
      </c>
      <c r="M37" s="136">
        <f>IFERROR(L37*$M$2,"")</f>
        <v>0.08</v>
      </c>
      <c r="N37" s="136">
        <f>IFERROR((K37)+M37,"")</f>
        <v>0.68215099999999995</v>
      </c>
      <c r="O37" s="136">
        <f t="shared" si="1"/>
        <v>7.8279629999999933E-2</v>
      </c>
      <c r="P37" s="136">
        <f>IFERROR($M37*(1+$P$2)-$M37,0)</f>
        <v>1.0399999999999993E-2</v>
      </c>
      <c r="Q37" s="136">
        <f>SUM(N37:P37)</f>
        <v>0.77083062999999985</v>
      </c>
      <c r="R37" s="318"/>
      <c r="S37" s="131"/>
      <c r="T37">
        <f>L37*J37</f>
        <v>11.200000000000001</v>
      </c>
      <c r="V37">
        <f t="shared" ref="V37:V68" si="46">IFERROR(K37*J37-R37*J37,"")</f>
        <v>33.720455999999999</v>
      </c>
      <c r="W37">
        <f>IFERROR(+L37*J37,"")</f>
        <v>11.200000000000001</v>
      </c>
      <c r="X37" s="131">
        <f>IFERROR(+M37*J37,"")</f>
        <v>4.4800000000000004</v>
      </c>
      <c r="Y37" s="131">
        <f t="shared" si="11"/>
        <v>38.200455999999996</v>
      </c>
      <c r="Z37" s="131">
        <f>IFERROR(O37*$J37,"")</f>
        <v>4.3836592799999963</v>
      </c>
      <c r="AA37" s="131">
        <f>IFERROR(P37*$J37,"")</f>
        <v>0.58239999999999958</v>
      </c>
      <c r="AB37" s="131">
        <f t="shared" ref="AB37:AB68" si="47">IFERROR(+(Q37+R37)*J37,"")</f>
        <v>43.166515279999992</v>
      </c>
      <c r="AD37" s="131" t="str">
        <f>IFERROR(#REF!*FlightConfig!$K$3,"")</f>
        <v/>
      </c>
      <c r="AE37" s="131">
        <f>IFERROR(V37*FlightConfig!$K$3,"")</f>
        <v>12274.245983999999</v>
      </c>
      <c r="AF37" s="131">
        <f>IFERROR(W37*FlightConfig!$K$3,"")</f>
        <v>4076.8</v>
      </c>
      <c r="AG37" s="131">
        <f>IFERROR(X37*FlightConfig!$K$3,"")</f>
        <v>1630.7200000000003</v>
      </c>
      <c r="AH37" s="131">
        <f>IFERROR(Y37*FlightConfig!$K$3,"")</f>
        <v>13904.965983999999</v>
      </c>
      <c r="AI37" s="131">
        <f>IFERROR(AB37*FlightConfig!$K$3,"")</f>
        <v>15712.611561919997</v>
      </c>
    </row>
    <row r="38" spans="1:35" x14ac:dyDescent="0.25">
      <c r="A38" t="s">
        <v>135</v>
      </c>
      <c r="B38" s="301">
        <v>2</v>
      </c>
      <c r="C38" s="178" t="str">
        <f t="shared" ref="C38:C40" si="48">CONCATENATE(A38&amp;B38&amp;F38)</f>
        <v>PREMIUM ECONOMY CLASS2</v>
      </c>
      <c r="D38" s="278"/>
      <c r="E38" s="270">
        <v>10070</v>
      </c>
      <c r="F38" s="277"/>
      <c r="G38" s="123" t="str">
        <f>VLOOKUP(E38,'[5]FG MASTER'!$A$10:$AB$203,2,0)</f>
        <v>PY/YC BUTTER</v>
      </c>
      <c r="H38" s="252">
        <v>1</v>
      </c>
      <c r="I38" s="176">
        <v>1</v>
      </c>
      <c r="J38" s="258">
        <f>IFERROR(IF(I38="std",H38,ROUND(HLOOKUP(A38,FlightConfig!$B$28:$G$29,2,0)*I38,0)),"")</f>
        <v>56</v>
      </c>
      <c r="K38" s="213">
        <f>VLOOKUP(Food!E38,'[5]FG MASTER'!$A$1:$AC$521,16,0)</f>
        <v>0.11714999999999999</v>
      </c>
      <c r="L38" s="214">
        <f>VLOOKUP(Food!E38,'FG MASTER'!A:AJ,17,0)</f>
        <v>0.2</v>
      </c>
      <c r="M38" s="136">
        <f t="shared" ref="M38:M40" si="49">IFERROR(L38*$M$2,"")</f>
        <v>0.08</v>
      </c>
      <c r="N38" s="136">
        <f t="shared" ref="N38:N40" si="50">IFERROR((K38)+M38,"")</f>
        <v>0.19714999999999999</v>
      </c>
      <c r="O38" s="136">
        <f t="shared" si="1"/>
        <v>1.5229499999999993E-2</v>
      </c>
      <c r="P38" s="136">
        <f t="shared" si="8"/>
        <v>1.0399999999999993E-2</v>
      </c>
      <c r="Q38" s="136">
        <f t="shared" ref="Q38:Q39" si="51">SUM(N38:P38)</f>
        <v>0.22277949999999999</v>
      </c>
      <c r="R38" s="318"/>
      <c r="S38" s="131"/>
      <c r="T38">
        <f t="shared" ref="T38:T39" si="52">L38*J38</f>
        <v>11.200000000000001</v>
      </c>
      <c r="V38">
        <f t="shared" si="46"/>
        <v>6.5603999999999996</v>
      </c>
      <c r="W38">
        <f t="shared" si="39"/>
        <v>11.200000000000001</v>
      </c>
      <c r="X38" s="131">
        <f t="shared" si="40"/>
        <v>4.4800000000000004</v>
      </c>
      <c r="Y38" s="131">
        <f t="shared" si="11"/>
        <v>11.0404</v>
      </c>
      <c r="Z38" s="131">
        <f t="shared" ref="Z38:Z40" si="53">IFERROR(O38*$J38,"")</f>
        <v>0.85285199999999961</v>
      </c>
      <c r="AA38" s="131">
        <f t="shared" ref="AA38:AA40" si="54">IFERROR(P38*$J38,"")</f>
        <v>0.58239999999999958</v>
      </c>
      <c r="AB38" s="131">
        <f t="shared" si="47"/>
        <v>12.475652</v>
      </c>
      <c r="AD38" s="131" t="str">
        <f>IFERROR(#REF!*FlightConfig!$K$3,"")</f>
        <v/>
      </c>
      <c r="AE38" s="131">
        <f>IFERROR(V38*FlightConfig!$K$3,"")</f>
        <v>2387.9856</v>
      </c>
      <c r="AF38" s="131">
        <f>IFERROR(W38*FlightConfig!$K$3,"")</f>
        <v>4076.8</v>
      </c>
      <c r="AG38" s="131">
        <f>IFERROR(X38*FlightConfig!$K$3,"")</f>
        <v>1630.7200000000003</v>
      </c>
      <c r="AH38" s="131">
        <f>IFERROR(Y38*FlightConfig!$K$3,"")</f>
        <v>4018.7055999999998</v>
      </c>
      <c r="AI38" s="131">
        <f>IFERROR(AB38*FlightConfig!$K$3,"")</f>
        <v>4541.1373279999998</v>
      </c>
    </row>
    <row r="39" spans="1:35" x14ac:dyDescent="0.25">
      <c r="A39" t="s">
        <v>135</v>
      </c>
      <c r="B39" s="301">
        <v>2</v>
      </c>
      <c r="C39" s="178" t="str">
        <f t="shared" si="48"/>
        <v>PREMIUM ECONOMY CLASS2</v>
      </c>
      <c r="D39" s="278"/>
      <c r="E39" s="270">
        <v>10089</v>
      </c>
      <c r="F39" s="277"/>
      <c r="G39" s="123" t="str">
        <f>VLOOKUP(E39,'[5]FG MASTER'!$A$10:$AB$203,2,0)</f>
        <v>YOGURT UPSTATE</v>
      </c>
      <c r="H39" s="252">
        <v>1</v>
      </c>
      <c r="I39" s="176">
        <v>1</v>
      </c>
      <c r="J39" s="258">
        <f>IFERROR(IF(I39="std",H39,ROUND(HLOOKUP(A39,FlightConfig!$B$28:$G$29,2,0)*I39,0)),"")</f>
        <v>56</v>
      </c>
      <c r="K39" s="213">
        <f>VLOOKUP(Food!E39,'[5]FG MASTER'!$A$1:$AC$521,16,0)</f>
        <v>0.58574999999999999</v>
      </c>
      <c r="L39" s="214">
        <f>VLOOKUP(Food!E39,'FG MASTER'!A:AJ,17,0)</f>
        <v>0.2</v>
      </c>
      <c r="M39" s="136">
        <f t="shared" si="49"/>
        <v>0.08</v>
      </c>
      <c r="N39" s="136">
        <f t="shared" si="50"/>
        <v>0.66574999999999995</v>
      </c>
      <c r="O39" s="136">
        <f t="shared" si="1"/>
        <v>7.6147499999999924E-2</v>
      </c>
      <c r="P39" s="136">
        <f t="shared" si="8"/>
        <v>1.0399999999999993E-2</v>
      </c>
      <c r="Q39" s="136">
        <f t="shared" si="51"/>
        <v>0.75229749999999984</v>
      </c>
      <c r="R39" s="318"/>
      <c r="S39" s="131"/>
      <c r="T39">
        <f t="shared" si="52"/>
        <v>11.200000000000001</v>
      </c>
      <c r="V39">
        <f t="shared" si="46"/>
        <v>32.802</v>
      </c>
      <c r="W39">
        <f>L39*J39</f>
        <v>11.200000000000001</v>
      </c>
      <c r="X39" s="131">
        <f>+M39*J39</f>
        <v>4.4800000000000004</v>
      </c>
      <c r="Y39" s="131">
        <f t="shared" si="11"/>
        <v>37.281999999999996</v>
      </c>
      <c r="Z39" s="131">
        <f t="shared" si="53"/>
        <v>4.2642599999999957</v>
      </c>
      <c r="AA39" s="131">
        <f t="shared" si="54"/>
        <v>0.58239999999999958</v>
      </c>
      <c r="AB39" s="131">
        <f t="shared" si="47"/>
        <v>42.128659999999989</v>
      </c>
      <c r="AD39" s="131" t="str">
        <f>IFERROR(#REF!*FlightConfig!$K$3,"")</f>
        <v/>
      </c>
      <c r="AE39" s="131">
        <f>IFERROR(V39*FlightConfig!$K$3,"")</f>
        <v>11939.928</v>
      </c>
      <c r="AF39" s="131">
        <f>IFERROR(W39*FlightConfig!$K$3,"")</f>
        <v>4076.8</v>
      </c>
      <c r="AG39" s="131">
        <f>IFERROR(X39*FlightConfig!$K$3,"")</f>
        <v>1630.7200000000003</v>
      </c>
      <c r="AH39" s="131">
        <f>IFERROR(Y39*FlightConfig!$K$3,"")</f>
        <v>13570.647999999999</v>
      </c>
      <c r="AI39" s="131">
        <f>IFERROR(AB39*FlightConfig!$K$3,"")</f>
        <v>15334.832239999996</v>
      </c>
    </row>
    <row r="40" spans="1:35" x14ac:dyDescent="0.25">
      <c r="A40" t="s">
        <v>135</v>
      </c>
      <c r="B40" s="301">
        <v>2</v>
      </c>
      <c r="C40" s="178" t="str">
        <f t="shared" si="48"/>
        <v>PREMIUM ECONOMY CLASS2</v>
      </c>
      <c r="D40" s="278"/>
      <c r="E40" s="271">
        <v>10090</v>
      </c>
      <c r="F40" s="277"/>
      <c r="G40" s="123" t="str">
        <f>VLOOKUP(E40,'[5]FG MASTER'!$A$10:$AB$203,2,0)</f>
        <v xml:space="preserve">MARMALADE ORANGE JM SMUCKER </v>
      </c>
      <c r="H40" s="252">
        <v>1</v>
      </c>
      <c r="I40" s="176">
        <v>1</v>
      </c>
      <c r="J40" s="258">
        <f>IFERROR(IF(I40="std",H40,ROUND(HLOOKUP(A40,FlightConfig!$B$28:$G$29,2,0)*I40,0)),"")</f>
        <v>56</v>
      </c>
      <c r="K40" s="213">
        <f>VLOOKUP(Food!E40,'[5]FG MASTER'!$A$1:$AC$521,16,0)</f>
        <v>7.4550000000000005E-2</v>
      </c>
      <c r="L40" s="214">
        <f>VLOOKUP(Food!E40,'FG MASTER'!A:AJ,17,0)</f>
        <v>0.2</v>
      </c>
      <c r="M40" s="136">
        <f t="shared" si="49"/>
        <v>0.08</v>
      </c>
      <c r="N40" s="136">
        <f t="shared" si="50"/>
        <v>0.15455000000000002</v>
      </c>
      <c r="O40" s="136">
        <f t="shared" si="1"/>
        <v>9.6914999999999918E-3</v>
      </c>
      <c r="P40" s="136">
        <f t="shared" si="8"/>
        <v>1.0399999999999993E-2</v>
      </c>
      <c r="Q40" s="136">
        <f t="shared" ref="Q40" si="55">SUM(N40:P40)</f>
        <v>0.17464150000000001</v>
      </c>
      <c r="R40" s="318"/>
      <c r="S40" s="131"/>
      <c r="T40" s="293">
        <f>(L40/2)*J40</f>
        <v>5.6000000000000005</v>
      </c>
      <c r="V40">
        <f t="shared" si="46"/>
        <v>4.1748000000000003</v>
      </c>
      <c r="W40">
        <f t="shared" ref="W40" si="56">IFERROR(+L40*J40,"")</f>
        <v>11.200000000000001</v>
      </c>
      <c r="X40" s="131">
        <f t="shared" ref="X40" si="57">IFERROR(+M40*J40,"")</f>
        <v>4.4800000000000004</v>
      </c>
      <c r="Y40" s="131">
        <f t="shared" si="11"/>
        <v>8.6548000000000016</v>
      </c>
      <c r="Z40" s="131">
        <f t="shared" si="53"/>
        <v>0.54272399999999954</v>
      </c>
      <c r="AA40" s="131">
        <f t="shared" si="54"/>
        <v>0.58239999999999958</v>
      </c>
      <c r="AB40" s="131">
        <f t="shared" si="47"/>
        <v>9.7799240000000012</v>
      </c>
      <c r="AD40" s="131" t="str">
        <f>IFERROR(#REF!*FlightConfig!$K$3,"")</f>
        <v/>
      </c>
      <c r="AE40" s="131">
        <f>IFERROR(V40*FlightConfig!$K$3,"")</f>
        <v>1519.6272000000001</v>
      </c>
      <c r="AF40" s="131">
        <f>IFERROR(W40*FlightConfig!$K$3,"")</f>
        <v>4076.8</v>
      </c>
      <c r="AG40" s="131">
        <f>IFERROR(X40*FlightConfig!$K$3,"")</f>
        <v>1630.7200000000003</v>
      </c>
      <c r="AH40" s="131">
        <f>IFERROR(Y40*FlightConfig!$K$3,"")</f>
        <v>3150.3472000000006</v>
      </c>
      <c r="AI40" s="131">
        <f>IFERROR(AB40*FlightConfig!$K$3,"")</f>
        <v>3559.8923360000003</v>
      </c>
    </row>
    <row r="41" spans="1:35" ht="14.45" customHeight="1" x14ac:dyDescent="0.25">
      <c r="A41" t="s">
        <v>135</v>
      </c>
      <c r="B41" s="301">
        <v>2</v>
      </c>
      <c r="C41" s="178" t="str">
        <f t="shared" ref="C41" si="58">CONCATENATE(A41&amp;B41&amp;F41)</f>
        <v>PREMIUM ECONOMY CLASS2</v>
      </c>
      <c r="D41" s="278"/>
      <c r="E41" s="271">
        <v>10052</v>
      </c>
      <c r="F41" s="277"/>
      <c r="G41" s="123" t="str">
        <f>VLOOKUP(E41,'[5]FG MASTER'!$A$10:$AB$203,2,0)</f>
        <v>PY C2 BREAKFAST PLATE HAM, GEORGIA GOUDA, EGG, CHERRY TOMATO, GREEN LEAF LETTUCE, CANTALOUPE AND HONEYDEW</v>
      </c>
      <c r="H41" s="252">
        <v>1</v>
      </c>
      <c r="I41" s="176">
        <v>1</v>
      </c>
      <c r="J41" s="258">
        <f>IFERROR(IF(I41="std",H41,ROUND(HLOOKUP(A41,FlightConfig!$B$28:$G$29,2,0)*I41,0)),"")</f>
        <v>56</v>
      </c>
      <c r="K41" s="213">
        <f>VLOOKUP(Food!E41,'[5]FG MASTER'!$A$1:$AC$521,16,0)</f>
        <v>1.4795512500000001</v>
      </c>
      <c r="L41" s="214">
        <f>VLOOKUP(Food!E41,'FG MASTER'!A:AJ,17,0)</f>
        <v>2.75</v>
      </c>
      <c r="M41" s="136">
        <f t="shared" ref="M41" si="59">IFERROR(L41*$M$2,"")</f>
        <v>1.0999999999999999</v>
      </c>
      <c r="N41" s="136">
        <f t="shared" ref="N41" si="60">IFERROR((K41)+M41,"")</f>
        <v>2.5795512499999997</v>
      </c>
      <c r="O41" s="136">
        <f t="shared" si="1"/>
        <v>3.5284689499999855E-2</v>
      </c>
      <c r="P41" s="136">
        <f t="shared" si="8"/>
        <v>0.14299999999999979</v>
      </c>
      <c r="Q41" s="136">
        <f t="shared" ref="Q41" si="61">SUM(N41:P41)</f>
        <v>2.7578359394999996</v>
      </c>
      <c r="R41" s="318">
        <v>-0.15705697299999999</v>
      </c>
      <c r="S41" s="131">
        <f>R41*J41</f>
        <v>-8.7951904879999994</v>
      </c>
      <c r="T41" s="293">
        <f>(L41/2)*J41</f>
        <v>77</v>
      </c>
      <c r="V41">
        <f t="shared" si="46"/>
        <v>91.650060488000008</v>
      </c>
      <c r="W41">
        <f t="shared" ref="W41" si="62">IFERROR(+L41*J41,"")</f>
        <v>154</v>
      </c>
      <c r="X41" s="131">
        <f t="shared" ref="X41" si="63">IFERROR(+M41*J41,"")</f>
        <v>61.599999999999994</v>
      </c>
      <c r="Y41" s="131">
        <f t="shared" ref="Y41" si="64">IFERROR(+N41*J41+R41*J41,"")</f>
        <v>135.65967951199997</v>
      </c>
      <c r="Z41" s="131">
        <f t="shared" ref="Z41" si="65">IFERROR(O41*$J41,"")</f>
        <v>1.9759426119999919</v>
      </c>
      <c r="AA41" s="131">
        <f t="shared" ref="AA41" si="66">IFERROR(P41*$J41,"")</f>
        <v>8.0079999999999885</v>
      </c>
      <c r="AB41" s="131">
        <f t="shared" si="47"/>
        <v>145.64362212399999</v>
      </c>
      <c r="AD41" s="131" t="str">
        <f>IFERROR(#REF!*FlightConfig!$K$3,"")</f>
        <v/>
      </c>
      <c r="AE41" s="131">
        <f>IFERROR(V41*FlightConfig!$K$3,"")</f>
        <v>33360.622017632006</v>
      </c>
      <c r="AF41" s="131">
        <f>IFERROR(W41*FlightConfig!$K$3,"")</f>
        <v>56056</v>
      </c>
      <c r="AG41" s="131">
        <f>IFERROR(X41*FlightConfig!$K$3,"")</f>
        <v>22422.399999999998</v>
      </c>
      <c r="AH41" s="131">
        <f>IFERROR(Y41*FlightConfig!$K$3,"")</f>
        <v>49380.123342367988</v>
      </c>
      <c r="AI41" s="131">
        <f>IFERROR(AB41*FlightConfig!$K$3,"")</f>
        <v>53014.278453135994</v>
      </c>
    </row>
    <row r="42" spans="1:35" x14ac:dyDescent="0.25">
      <c r="A42" t="s">
        <v>136</v>
      </c>
      <c r="B42" s="301">
        <v>2</v>
      </c>
      <c r="C42" s="178" t="str">
        <f t="shared" si="27"/>
        <v>ECONOMY CLASS2</v>
      </c>
      <c r="D42" s="261"/>
      <c r="E42" s="271">
        <v>10054</v>
      </c>
      <c r="F42" s="277"/>
      <c r="G42" s="123" t="str">
        <f>VLOOKUP(E42,'[5]FG MASTER'!$A$10:$AB$203,2,0)</f>
        <v>YC TSU</v>
      </c>
      <c r="H42" s="252">
        <v>1</v>
      </c>
      <c r="I42" s="176">
        <v>1</v>
      </c>
      <c r="J42" s="258">
        <f>IFERROR(IF(I42="std",H42,ROUND(HLOOKUP(A42,FlightConfig!$B$28:$G$29,2,0)*I42,0)),"")</f>
        <v>174</v>
      </c>
      <c r="K42" s="213">
        <f>VLOOKUP(Food!E42,'[5]FG MASTER'!$A$1:$AC$521,16,0)</f>
        <v>0</v>
      </c>
      <c r="L42" s="214">
        <f>VLOOKUP(Food!E42,'FG MASTER'!A:AJ,17,0)</f>
        <v>0.93</v>
      </c>
      <c r="M42" s="136">
        <f t="shared" si="28"/>
        <v>0.372</v>
      </c>
      <c r="N42" s="136">
        <f t="shared" si="7"/>
        <v>0.372</v>
      </c>
      <c r="O42" s="235">
        <f>IFERROR($K42*(1+18%)-$K42+R42,0)</f>
        <v>0</v>
      </c>
      <c r="P42" s="235">
        <f>IFERROR($M42*(1+18%)-$M42,0)</f>
        <v>6.6959999999999964E-2</v>
      </c>
      <c r="Q42" s="136">
        <f t="shared" si="38"/>
        <v>0.43895999999999996</v>
      </c>
      <c r="R42" s="318"/>
      <c r="S42" s="131"/>
      <c r="T42">
        <f t="shared" si="10"/>
        <v>161.82000000000002</v>
      </c>
      <c r="V42">
        <f t="shared" si="46"/>
        <v>0</v>
      </c>
      <c r="W42">
        <f>L42*J42</f>
        <v>161.82000000000002</v>
      </c>
      <c r="X42" s="131">
        <f>+M42*J42</f>
        <v>64.727999999999994</v>
      </c>
      <c r="Y42" s="131">
        <f t="shared" si="11"/>
        <v>64.727999999999994</v>
      </c>
      <c r="Z42" s="131">
        <f t="shared" si="3"/>
        <v>0</v>
      </c>
      <c r="AA42" s="131">
        <f t="shared" si="4"/>
        <v>11.651039999999993</v>
      </c>
      <c r="AB42" s="131">
        <f t="shared" si="47"/>
        <v>76.379039999999989</v>
      </c>
      <c r="AD42" s="131" t="str">
        <f>IFERROR(#REF!*FlightConfig!$K$3,"")</f>
        <v/>
      </c>
      <c r="AE42" s="131">
        <f>IFERROR(V42*FlightConfig!$K$3,"")</f>
        <v>0</v>
      </c>
      <c r="AF42" s="131">
        <f>IFERROR(W42*FlightConfig!$K$3,"")</f>
        <v>58902.48000000001</v>
      </c>
      <c r="AG42" s="131">
        <f>IFERROR(X42*FlightConfig!$K$3,"")</f>
        <v>23560.991999999998</v>
      </c>
      <c r="AH42" s="131">
        <f>IFERROR(Y42*FlightConfig!$K$3,"")</f>
        <v>23560.991999999998</v>
      </c>
      <c r="AI42" s="131">
        <f>IFERROR(AB42*FlightConfig!$K$3,"")</f>
        <v>27801.970559999994</v>
      </c>
    </row>
    <row r="43" spans="1:35" x14ac:dyDescent="0.25">
      <c r="A43" t="s">
        <v>136</v>
      </c>
      <c r="B43" s="301">
        <v>2</v>
      </c>
      <c r="C43" s="178" t="str">
        <f>CONCATENATE(A43&amp;B43&amp;F43)</f>
        <v>ECONOMY CLASS2</v>
      </c>
      <c r="D43" s="261"/>
      <c r="E43" s="270">
        <v>10070</v>
      </c>
      <c r="F43" s="277"/>
      <c r="G43" s="123" t="str">
        <f>VLOOKUP(E43,'[5]FG MASTER'!$A$10:$AB$203,2,0)</f>
        <v>PY/YC BUTTER</v>
      </c>
      <c r="H43" s="252">
        <v>1</v>
      </c>
      <c r="I43" s="176">
        <v>1</v>
      </c>
      <c r="J43" s="258">
        <f>IFERROR(IF(I43="std",H43,ROUND(HLOOKUP(A43,FlightConfig!$B$28:$G$29,2,0)*I43,0)),"")</f>
        <v>174</v>
      </c>
      <c r="K43" s="213">
        <f>VLOOKUP(Food!E43,'[5]FG MASTER'!$A$1:$AC$521,16,0)</f>
        <v>0.11714999999999999</v>
      </c>
      <c r="L43" s="214">
        <f>VLOOKUP(Food!E43,'FG MASTER'!A:AJ,17,0)</f>
        <v>0.2</v>
      </c>
      <c r="M43" s="136">
        <f>IFERROR(L43*$M$2,"")</f>
        <v>0.08</v>
      </c>
      <c r="N43" s="136">
        <f>IFERROR((K43)+M43,"")</f>
        <v>0.19714999999999999</v>
      </c>
      <c r="O43" s="136">
        <f>IFERROR($K43*(1+$O$2)-$K43+R43,0)</f>
        <v>1.5229499999999993E-2</v>
      </c>
      <c r="P43" s="136">
        <f>IFERROR($M43*(1+$P$2)-$M43,0)</f>
        <v>1.0399999999999993E-2</v>
      </c>
      <c r="Q43" s="136">
        <f t="shared" ref="Q43" si="67">SUM(N43:P43)</f>
        <v>0.22277949999999999</v>
      </c>
      <c r="R43" s="318"/>
      <c r="S43" s="131"/>
      <c r="T43">
        <f>L43*J43</f>
        <v>34.800000000000004</v>
      </c>
      <c r="V43">
        <f t="shared" si="46"/>
        <v>20.384099999999997</v>
      </c>
      <c r="W43">
        <f t="shared" ref="W43" si="68">IFERROR(+L43*J43,"")</f>
        <v>34.800000000000004</v>
      </c>
      <c r="X43" s="131">
        <f t="shared" ref="X43" si="69">IFERROR(+M43*J43,"")</f>
        <v>13.92</v>
      </c>
      <c r="Y43" s="131">
        <f t="shared" si="11"/>
        <v>34.304099999999998</v>
      </c>
      <c r="Z43" s="131">
        <f>IFERROR(O43*$J43,"")</f>
        <v>2.649932999999999</v>
      </c>
      <c r="AA43" s="131">
        <f>IFERROR(P43*$J43,"")</f>
        <v>1.8095999999999988</v>
      </c>
      <c r="AB43" s="131">
        <f t="shared" si="47"/>
        <v>38.763632999999999</v>
      </c>
      <c r="AD43" s="131" t="str">
        <f>IFERROR(#REF!*FlightConfig!$K$3,"")</f>
        <v/>
      </c>
      <c r="AE43" s="131">
        <f>IFERROR(V43*FlightConfig!$K$3,"")</f>
        <v>7419.8123999999989</v>
      </c>
      <c r="AF43" s="131">
        <f>IFERROR(W43*FlightConfig!$K$3,"")</f>
        <v>12667.2</v>
      </c>
      <c r="AG43" s="131">
        <f>IFERROR(X43*FlightConfig!$K$3,"")</f>
        <v>5066.88</v>
      </c>
      <c r="AH43" s="131">
        <f>IFERROR(Y43*FlightConfig!$K$3,"")</f>
        <v>12486.6924</v>
      </c>
      <c r="AI43" s="131">
        <f>IFERROR(AB43*FlightConfig!$K$3,"")</f>
        <v>14109.962411999999</v>
      </c>
    </row>
    <row r="44" spans="1:35" ht="30" x14ac:dyDescent="0.25">
      <c r="A44" t="s">
        <v>136</v>
      </c>
      <c r="B44" s="301">
        <v>2</v>
      </c>
      <c r="C44" s="178" t="str">
        <f t="shared" si="27"/>
        <v>ECONOMY CLASS2</v>
      </c>
      <c r="D44" s="261"/>
      <c r="E44" s="271">
        <v>10055</v>
      </c>
      <c r="F44" s="277"/>
      <c r="G44" s="123" t="str">
        <f>VLOOKUP(E44,'[5]FG MASTER'!$A$10:$AB$203,2,0)</f>
        <v xml:space="preserve">YC C2 SALAD MESCLUN GREEN, CUCUMBER SLICE, SHREDDED CARROT, BOCCANCINI MOZZARELLA BALL </v>
      </c>
      <c r="H44" s="252">
        <v>1</v>
      </c>
      <c r="I44" s="176">
        <v>1</v>
      </c>
      <c r="J44" s="258">
        <f>IFERROR(IF(I44="std",H44,ROUND(HLOOKUP(A44,FlightConfig!$B$28:$G$29,2,0)*I44,0)),"")</f>
        <v>174</v>
      </c>
      <c r="K44" s="213">
        <f>VLOOKUP(Food!E44,'[5]FG MASTER'!$A$1:$AC$521,16,0)</f>
        <v>0.45113399999999998</v>
      </c>
      <c r="L44" s="214">
        <f>VLOOKUP(Food!E44,'FG MASTER'!A:AJ,17,0)</f>
        <v>1</v>
      </c>
      <c r="M44" s="136">
        <f t="shared" si="28"/>
        <v>0.39999999999999997</v>
      </c>
      <c r="N44" s="136">
        <f t="shared" si="7"/>
        <v>0.85113399999999995</v>
      </c>
      <c r="O44" s="235">
        <f t="shared" ref="O44:O49" si="70">IFERROR($K44*(1+18%)-$K44+R44,0)</f>
        <v>8.1204119999999935E-2</v>
      </c>
      <c r="P44" s="235">
        <f>IFERROR($M44*(1+18%)-$M44,0)</f>
        <v>7.1999999999999953E-2</v>
      </c>
      <c r="Q44" s="136">
        <f t="shared" si="38"/>
        <v>1.0043381199999999</v>
      </c>
      <c r="R44" s="318"/>
      <c r="S44" s="131"/>
      <c r="T44">
        <f t="shared" si="10"/>
        <v>174</v>
      </c>
      <c r="V44">
        <f t="shared" si="46"/>
        <v>78.497315999999998</v>
      </c>
      <c r="W44">
        <f>L44*J44</f>
        <v>174</v>
      </c>
      <c r="X44" s="131">
        <f>+M44*J44</f>
        <v>69.599999999999994</v>
      </c>
      <c r="Y44" s="131">
        <f t="shared" si="11"/>
        <v>148.09731599999998</v>
      </c>
      <c r="Z44" s="131">
        <f t="shared" si="3"/>
        <v>14.129516879999988</v>
      </c>
      <c r="AA44" s="131">
        <f t="shared" si="4"/>
        <v>12.527999999999992</v>
      </c>
      <c r="AB44" s="131">
        <f t="shared" si="47"/>
        <v>174.75483287999998</v>
      </c>
      <c r="AD44" s="131" t="str">
        <f>IFERROR(#REF!*FlightConfig!$K$3,"")</f>
        <v/>
      </c>
      <c r="AE44" s="131">
        <f>IFERROR(V44*FlightConfig!$K$3,"")</f>
        <v>28573.023023999998</v>
      </c>
      <c r="AF44" s="131">
        <f>IFERROR(W44*FlightConfig!$K$3,"")</f>
        <v>63336</v>
      </c>
      <c r="AG44" s="131">
        <f>IFERROR(X44*FlightConfig!$K$3,"")</f>
        <v>25334.399999999998</v>
      </c>
      <c r="AH44" s="131">
        <f>IFERROR(Y44*FlightConfig!$K$3,"")</f>
        <v>53907.423023999989</v>
      </c>
      <c r="AI44" s="131">
        <f>IFERROR(AB44*FlightConfig!$K$3,"")</f>
        <v>63610.759168319993</v>
      </c>
    </row>
    <row r="45" spans="1:35" ht="30" x14ac:dyDescent="0.25">
      <c r="A45" t="s">
        <v>136</v>
      </c>
      <c r="B45" s="301">
        <v>2</v>
      </c>
      <c r="C45" s="178" t="str">
        <f t="shared" si="27"/>
        <v>ECONOMY CLASS2</v>
      </c>
      <c r="D45" s="261"/>
      <c r="E45" s="271">
        <v>10057</v>
      </c>
      <c r="F45" s="277"/>
      <c r="G45" s="123" t="str">
        <f>VLOOKUP(E45,'[5]FG MASTER'!$A$10:$AB$203,2,0)</f>
        <v>YC C2 HM B ROASTED CHICKEN THIGH WITH TRUFFLE CREAM SAUCE, SPINACH WITH GARLIC, MASH POTATOES, AND BABY CARROT</v>
      </c>
      <c r="H45" s="252">
        <v>1</v>
      </c>
      <c r="I45" s="176">
        <v>1</v>
      </c>
      <c r="J45" s="258">
        <f>IFERROR(IF(I45="std",H45,ROUND(HLOOKUP(A45,FlightConfig!$B$28:$G$29,2,0)*I45,0)),"")</f>
        <v>174</v>
      </c>
      <c r="K45" s="213">
        <f>VLOOKUP(Food!E45,'[5]FG MASTER'!$A$1:$AC$521,16,0)</f>
        <v>2.0468850569999999</v>
      </c>
      <c r="L45" s="214">
        <f>VLOOKUP(Food!E45,'FG MASTER'!A:AJ,17,0)</f>
        <v>6.5</v>
      </c>
      <c r="M45" s="136">
        <f t="shared" si="28"/>
        <v>2.5999999999999996</v>
      </c>
      <c r="N45" s="136">
        <f t="shared" si="7"/>
        <v>4.6468850569999995</v>
      </c>
      <c r="O45" s="235">
        <f t="shared" si="70"/>
        <v>0.36843931025999987</v>
      </c>
      <c r="P45" s="235">
        <f t="shared" ref="P45:P49" si="71">IFERROR($M45*(1+18%)-$M45,0)</f>
        <v>0.46799999999999997</v>
      </c>
      <c r="Q45" s="136">
        <f t="shared" si="38"/>
        <v>5.4833243672599998</v>
      </c>
      <c r="R45" s="318"/>
      <c r="S45" s="131"/>
      <c r="T45" s="293">
        <f>(L45/2)*J45</f>
        <v>565.5</v>
      </c>
      <c r="V45">
        <f t="shared" si="46"/>
        <v>356.15799991799997</v>
      </c>
      <c r="W45">
        <f>IFERROR(+L45*J45,"")</f>
        <v>1131</v>
      </c>
      <c r="X45" s="131">
        <f>IFERROR(+M45*J45,"")</f>
        <v>452.39999999999992</v>
      </c>
      <c r="Y45" s="131">
        <f t="shared" si="11"/>
        <v>808.55799991799995</v>
      </c>
      <c r="Z45" s="131">
        <f t="shared" si="3"/>
        <v>64.108439985239983</v>
      </c>
      <c r="AA45" s="131">
        <f t="shared" si="4"/>
        <v>81.431999999999988</v>
      </c>
      <c r="AB45" s="131">
        <f t="shared" si="47"/>
        <v>954.09843990323998</v>
      </c>
      <c r="AD45" s="131" t="str">
        <f>IFERROR(#REF!*FlightConfig!$K$3,"")</f>
        <v/>
      </c>
      <c r="AE45" s="131">
        <f>IFERROR(V45*FlightConfig!$K$3,"")</f>
        <v>129641.51197015199</v>
      </c>
      <c r="AF45" s="131">
        <f>IFERROR(W45*FlightConfig!$K$3,"")</f>
        <v>411684</v>
      </c>
      <c r="AG45" s="131">
        <f>IFERROR(X45*FlightConfig!$K$3,"")</f>
        <v>164673.59999999998</v>
      </c>
      <c r="AH45" s="131">
        <f>IFERROR(Y45*FlightConfig!$K$3,"")</f>
        <v>294315.11197015201</v>
      </c>
      <c r="AI45" s="131">
        <f>IFERROR(AB45*FlightConfig!$K$3,"")</f>
        <v>347291.83212477935</v>
      </c>
    </row>
    <row r="46" spans="1:35" x14ac:dyDescent="0.25">
      <c r="A46" t="s">
        <v>136</v>
      </c>
      <c r="B46" s="301">
        <v>2</v>
      </c>
      <c r="C46" s="178" t="str">
        <f t="shared" si="27"/>
        <v>ECONOMY CLASS2</v>
      </c>
      <c r="D46" s="261"/>
      <c r="E46" s="271">
        <v>10059</v>
      </c>
      <c r="F46" s="277"/>
      <c r="G46" s="313" t="str">
        <f>VLOOKUP(E46,'[5]FG MASTER'!$A$10:$AB$203,2,0)</f>
        <v>YC C2 DE STRAWBERRY MOUSSE, WHITE CHOCOLATE CURLS</v>
      </c>
      <c r="H46" s="252">
        <v>1</v>
      </c>
      <c r="I46" s="176">
        <v>1</v>
      </c>
      <c r="J46" s="258">
        <f>IFERROR(IF(I46="std",H46,ROUND(HLOOKUP(A46,FlightConfig!$B$28:$G$29,2,0)*I46,0)),"")</f>
        <v>174</v>
      </c>
      <c r="K46" s="213">
        <f>VLOOKUP(Food!E46,'[5]FG MASTER'!$A$1:$AC$521,16,0)</f>
        <v>0.58926449999999997</v>
      </c>
      <c r="L46" s="214">
        <f>VLOOKUP(Food!E46,'FG MASTER'!A:AJ,17,0)</f>
        <v>1</v>
      </c>
      <c r="M46" s="136">
        <f t="shared" si="28"/>
        <v>0.39999999999999997</v>
      </c>
      <c r="N46" s="136">
        <f t="shared" si="7"/>
        <v>0.98926449999999999</v>
      </c>
      <c r="O46" s="235">
        <f t="shared" si="70"/>
        <v>0.10606760999999998</v>
      </c>
      <c r="P46" s="235">
        <f t="shared" si="71"/>
        <v>7.1999999999999953E-2</v>
      </c>
      <c r="Q46" s="136">
        <f t="shared" si="38"/>
        <v>1.1673321099999998</v>
      </c>
      <c r="R46" s="318"/>
      <c r="S46" s="131"/>
      <c r="T46" s="293">
        <f>(L46/2)*J46</f>
        <v>87</v>
      </c>
      <c r="V46">
        <f t="shared" si="46"/>
        <v>102.532023</v>
      </c>
      <c r="W46">
        <f>IFERROR(+L46*J46,"")</f>
        <v>174</v>
      </c>
      <c r="X46" s="131">
        <f>IFERROR(+M46*J46,"")</f>
        <v>69.599999999999994</v>
      </c>
      <c r="Y46" s="131">
        <f t="shared" si="11"/>
        <v>172.132023</v>
      </c>
      <c r="Z46" s="131">
        <f t="shared" si="3"/>
        <v>18.455764139999996</v>
      </c>
      <c r="AA46" s="131">
        <f t="shared" si="4"/>
        <v>12.527999999999992</v>
      </c>
      <c r="AB46" s="131">
        <f t="shared" si="47"/>
        <v>203.11578713999998</v>
      </c>
      <c r="AD46" s="131" t="str">
        <f>IFERROR(#REF!*FlightConfig!$K$3,"")</f>
        <v/>
      </c>
      <c r="AE46" s="131">
        <f>IFERROR(V46*FlightConfig!$K$3,"")</f>
        <v>37321.656371999998</v>
      </c>
      <c r="AF46" s="131">
        <f>IFERROR(W46*FlightConfig!$K$3,"")</f>
        <v>63336</v>
      </c>
      <c r="AG46" s="131">
        <f>IFERROR(X46*FlightConfig!$K$3,"")</f>
        <v>25334.399999999998</v>
      </c>
      <c r="AH46" s="131">
        <f>IFERROR(Y46*FlightConfig!$K$3,"")</f>
        <v>62656.056371999999</v>
      </c>
      <c r="AI46" s="131">
        <f>IFERROR(AB46*FlightConfig!$K$3,"")</f>
        <v>73934.146518959999</v>
      </c>
    </row>
    <row r="47" spans="1:35" x14ac:dyDescent="0.25">
      <c r="A47" t="s">
        <v>136</v>
      </c>
      <c r="B47" s="301">
        <v>2</v>
      </c>
      <c r="C47" s="178" t="str">
        <f t="shared" si="27"/>
        <v>ECONOMY CLASS2</v>
      </c>
      <c r="D47" s="261"/>
      <c r="E47" s="271">
        <v>10061</v>
      </c>
      <c r="F47" s="277"/>
      <c r="G47" s="123" t="str">
        <f>VLOOKUP(E47,'[5]FG MASTER'!$A$10:$AB$203,2,0)</f>
        <v xml:space="preserve">YC C2 BRD TYPE 1 HONEY WHEAT ROLL </v>
      </c>
      <c r="H47" s="252">
        <v>1</v>
      </c>
      <c r="I47" s="176">
        <v>1.2</v>
      </c>
      <c r="J47" s="258">
        <f>IFERROR(IF(I47="std",H47,ROUND(HLOOKUP(A47,FlightConfig!$B$28:$G$29,2,0)*I47,0)),"")</f>
        <v>209</v>
      </c>
      <c r="K47" s="213">
        <f>VLOOKUP(Food!E47,'[5]FG MASTER'!$A$1:$AC$521,16,0)</f>
        <v>0.15974999999999998</v>
      </c>
      <c r="L47" s="214">
        <f>VLOOKUP(Food!E47,'FG MASTER'!A:AJ,17,0)</f>
        <v>0.2</v>
      </c>
      <c r="M47" s="136">
        <f t="shared" si="28"/>
        <v>0.08</v>
      </c>
      <c r="N47" s="136">
        <f t="shared" si="7"/>
        <v>0.23974999999999996</v>
      </c>
      <c r="O47" s="235">
        <f t="shared" si="70"/>
        <v>2.8754999999999975E-2</v>
      </c>
      <c r="P47" s="235">
        <f t="shared" si="71"/>
        <v>1.4399999999999996E-2</v>
      </c>
      <c r="Q47" s="136">
        <f t="shared" si="38"/>
        <v>0.28290499999999996</v>
      </c>
      <c r="R47" s="318"/>
      <c r="S47" s="131"/>
      <c r="T47">
        <f t="shared" si="10"/>
        <v>41.800000000000004</v>
      </c>
      <c r="V47">
        <f t="shared" si="46"/>
        <v>33.387749999999997</v>
      </c>
      <c r="W47">
        <f>IFERROR(+L47*J47,"")</f>
        <v>41.800000000000004</v>
      </c>
      <c r="X47" s="131">
        <f>IFERROR(+M47*J47,"")</f>
        <v>16.72</v>
      </c>
      <c r="Y47" s="131">
        <f t="shared" si="11"/>
        <v>50.107749999999996</v>
      </c>
      <c r="Z47" s="131">
        <f t="shared" si="3"/>
        <v>6.0097949999999951</v>
      </c>
      <c r="AA47" s="131">
        <f t="shared" si="4"/>
        <v>3.0095999999999994</v>
      </c>
      <c r="AB47" s="131">
        <f t="shared" si="47"/>
        <v>59.127144999999992</v>
      </c>
      <c r="AD47" s="131" t="str">
        <f>IFERROR(#REF!*FlightConfig!$K$3,"")</f>
        <v/>
      </c>
      <c r="AE47" s="131">
        <f>IFERROR(V47*FlightConfig!$K$3,"")</f>
        <v>12153.141</v>
      </c>
      <c r="AF47" s="131">
        <f>IFERROR(W47*FlightConfig!$K$3,"")</f>
        <v>15215.2</v>
      </c>
      <c r="AG47" s="131">
        <f>IFERROR(X47*FlightConfig!$K$3,"")</f>
        <v>6086.08</v>
      </c>
      <c r="AH47" s="131">
        <f>IFERROR(Y47*FlightConfig!$K$3,"")</f>
        <v>18239.220999999998</v>
      </c>
      <c r="AI47" s="131">
        <f>IFERROR(AB47*FlightConfig!$K$3,"")</f>
        <v>21522.280779999997</v>
      </c>
    </row>
    <row r="48" spans="1:35" x14ac:dyDescent="0.25">
      <c r="A48" t="s">
        <v>136</v>
      </c>
      <c r="B48" s="301">
        <v>2</v>
      </c>
      <c r="C48" s="178" t="str">
        <f t="shared" si="27"/>
        <v>ECONOMY CLASS2</v>
      </c>
      <c r="D48" s="261"/>
      <c r="E48" s="271">
        <v>10063</v>
      </c>
      <c r="F48" s="277"/>
      <c r="G48" s="123" t="str">
        <f>VLOOKUP(E48,'[5]FG MASTER'!$A$10:$AB$203,2,0)</f>
        <v xml:space="preserve">YC C2 JUICE CUP APPLE JUICE </v>
      </c>
      <c r="H48" s="252">
        <v>1</v>
      </c>
      <c r="I48" s="176">
        <v>1</v>
      </c>
      <c r="J48" s="258">
        <f>IFERROR(IF(I48="std",H48,ROUND(HLOOKUP(A48,FlightConfig!$B$28:$G$29,2,0)*I48,0)),"")</f>
        <v>174</v>
      </c>
      <c r="K48" s="213">
        <f>VLOOKUP(Food!E48,'[5]FG MASTER'!$A$1:$AC$521,16,0)</f>
        <v>0.42599999999999999</v>
      </c>
      <c r="L48" s="214">
        <f>VLOOKUP(Food!E48,'FG MASTER'!A:AJ,17,0)</f>
        <v>0.2</v>
      </c>
      <c r="M48" s="136">
        <f t="shared" si="28"/>
        <v>0.08</v>
      </c>
      <c r="N48" s="136">
        <f t="shared" si="7"/>
        <v>0.50600000000000001</v>
      </c>
      <c r="O48" s="235">
        <f t="shared" si="70"/>
        <v>7.6680000000000026E-2</v>
      </c>
      <c r="P48" s="235">
        <f t="shared" si="71"/>
        <v>1.4399999999999996E-2</v>
      </c>
      <c r="Q48" s="136">
        <f t="shared" si="38"/>
        <v>0.59708000000000006</v>
      </c>
      <c r="R48" s="318"/>
      <c r="S48" s="131"/>
      <c r="T48">
        <f t="shared" si="10"/>
        <v>34.800000000000004</v>
      </c>
      <c r="V48">
        <f t="shared" si="46"/>
        <v>74.123999999999995</v>
      </c>
      <c r="W48">
        <f>IFERROR(+L48*J48,"")</f>
        <v>34.800000000000004</v>
      </c>
      <c r="X48" s="131">
        <f>IFERROR(+M48*J48,"")</f>
        <v>13.92</v>
      </c>
      <c r="Y48" s="131">
        <f t="shared" si="11"/>
        <v>88.043999999999997</v>
      </c>
      <c r="Z48" s="131">
        <f t="shared" si="3"/>
        <v>13.342320000000004</v>
      </c>
      <c r="AA48" s="131">
        <f t="shared" si="4"/>
        <v>2.5055999999999994</v>
      </c>
      <c r="AB48" s="131">
        <f t="shared" si="47"/>
        <v>103.89192000000001</v>
      </c>
      <c r="AD48" s="131" t="str">
        <f>IFERROR(#REF!*FlightConfig!$K$3,"")</f>
        <v/>
      </c>
      <c r="AE48" s="131">
        <f>IFERROR(V48*FlightConfig!$K$3,"")</f>
        <v>26981.135999999999</v>
      </c>
      <c r="AF48" s="131">
        <f>IFERROR(W48*FlightConfig!$K$3,"")</f>
        <v>12667.2</v>
      </c>
      <c r="AG48" s="131">
        <f>IFERROR(X48*FlightConfig!$K$3,"")</f>
        <v>5066.88</v>
      </c>
      <c r="AH48" s="131">
        <f>IFERROR(Y48*FlightConfig!$K$3,"")</f>
        <v>32048.016</v>
      </c>
      <c r="AI48" s="131">
        <f>IFERROR(AB48*FlightConfig!$K$3,"")</f>
        <v>37816.658880000003</v>
      </c>
    </row>
    <row r="49" spans="1:35" x14ac:dyDescent="0.25">
      <c r="A49" t="s">
        <v>136</v>
      </c>
      <c r="B49" s="301">
        <v>2</v>
      </c>
      <c r="C49" s="178" t="str">
        <f t="shared" si="27"/>
        <v>ECONOMY CLASS2</v>
      </c>
      <c r="D49" s="261"/>
      <c r="E49" s="271">
        <v>10065</v>
      </c>
      <c r="F49" s="277"/>
      <c r="G49" s="123" t="str">
        <f>VLOOKUP(E49,'[5]FG MASTER'!$A$10:$AB$203,2,0)</f>
        <v>YC C2 SW NOMINATED SANDWICH (COST PASS THROUGH)</v>
      </c>
      <c r="H49" s="252">
        <v>1</v>
      </c>
      <c r="I49" s="176">
        <v>1</v>
      </c>
      <c r="J49" s="258">
        <f>IFERROR(IF(I49="std",H49,ROUND(HLOOKUP(A49,FlightConfig!$B$28:$G$29,2,0)*I49,0)),"")</f>
        <v>174</v>
      </c>
      <c r="K49" s="213">
        <f>VLOOKUP(Food!E49,'[5]FG MASTER'!$A$1:$AC$521,16,0)</f>
        <v>0</v>
      </c>
      <c r="L49" s="214">
        <f>VLOOKUP(Food!E49,'FG MASTER'!A:AJ,17,0)</f>
        <v>1</v>
      </c>
      <c r="M49" s="136">
        <f>IFERROR(L49*$M$2,"")</f>
        <v>0.39999999999999997</v>
      </c>
      <c r="N49" s="136">
        <f t="shared" si="7"/>
        <v>0.39999999999999997</v>
      </c>
      <c r="O49" s="235">
        <f t="shared" si="70"/>
        <v>0</v>
      </c>
      <c r="P49" s="235">
        <f t="shared" si="71"/>
        <v>7.1999999999999953E-2</v>
      </c>
      <c r="Q49" s="136">
        <f t="shared" si="38"/>
        <v>0.47199999999999992</v>
      </c>
      <c r="R49" s="318"/>
      <c r="S49" s="131"/>
      <c r="T49">
        <f t="shared" si="10"/>
        <v>174</v>
      </c>
      <c r="V49">
        <f t="shared" si="46"/>
        <v>0</v>
      </c>
      <c r="W49">
        <f>IFERROR(+L49*J49,"")</f>
        <v>174</v>
      </c>
      <c r="X49" s="131">
        <f>IFERROR(+M49*J49,"")</f>
        <v>69.599999999999994</v>
      </c>
      <c r="Y49" s="131">
        <f t="shared" si="11"/>
        <v>69.599999999999994</v>
      </c>
      <c r="Z49" s="131">
        <f t="shared" si="3"/>
        <v>0</v>
      </c>
      <c r="AA49" s="131">
        <f t="shared" si="4"/>
        <v>12.527999999999992</v>
      </c>
      <c r="AB49" s="131">
        <f t="shared" si="47"/>
        <v>82.127999999999986</v>
      </c>
      <c r="AD49" s="131" t="str">
        <f>IFERROR(#REF!*FlightConfig!$K$3,"")</f>
        <v/>
      </c>
      <c r="AE49" s="131">
        <f>IFERROR(V49*FlightConfig!$K$3,"")</f>
        <v>0</v>
      </c>
      <c r="AF49" s="131">
        <f>IFERROR(W49*FlightConfig!$K$3,"")</f>
        <v>63336</v>
      </c>
      <c r="AG49" s="131">
        <f>IFERROR(X49*FlightConfig!$K$3,"")</f>
        <v>25334.399999999998</v>
      </c>
      <c r="AH49" s="131">
        <f>IFERROR(Y49*FlightConfig!$K$3,"")</f>
        <v>25334.399999999998</v>
      </c>
      <c r="AI49" s="131">
        <f>IFERROR(AB49*FlightConfig!$K$3,"")</f>
        <v>29894.591999999993</v>
      </c>
    </row>
    <row r="50" spans="1:35" x14ac:dyDescent="0.25">
      <c r="A50" t="s">
        <v>137</v>
      </c>
      <c r="B50" s="301">
        <v>2</v>
      </c>
      <c r="C50" s="178" t="str">
        <f t="shared" si="27"/>
        <v>TECH CREW CLASS2</v>
      </c>
      <c r="D50" s="278"/>
      <c r="E50" s="270">
        <v>10073</v>
      </c>
      <c r="F50" s="277"/>
      <c r="G50" s="123" t="str">
        <f>VLOOKUP(E50,'[5]FG MASTER'!$A$10:$AB$203,2,0)</f>
        <v>CREW CUTLERY DISPOSAL</v>
      </c>
      <c r="H50" s="252">
        <v>1</v>
      </c>
      <c r="I50" s="176">
        <v>1</v>
      </c>
      <c r="J50" s="258">
        <f>IFERROR(IF(I50="std",H50,ROUND(HLOOKUP(A50,FlightConfig!$B$28:$G$29,2,0)*I50,0)),"")</f>
        <v>2</v>
      </c>
      <c r="K50" s="213">
        <f>VLOOKUP(Food!E50,'[5]FG MASTER'!$A$1:$AC$521,16,0)</f>
        <v>0.1065</v>
      </c>
      <c r="L50" s="214">
        <f>VLOOKUP(Food!E50,'FG MASTER'!A:AJ,17,0)</f>
        <v>0.2</v>
      </c>
      <c r="M50" s="136">
        <f t="shared" ref="M50:M51" si="72">IFERROR(L50*$M$2,"")</f>
        <v>0.08</v>
      </c>
      <c r="N50" s="136">
        <f t="shared" ref="N50:N74" si="73">IFERROR((K50)+M50,"")</f>
        <v>0.1865</v>
      </c>
      <c r="O50" s="136">
        <f t="shared" ref="O50:O82" si="74">IFERROR($K50*(1+$O$2)-$K50+R50,0)</f>
        <v>1.3844999999999982E-2</v>
      </c>
      <c r="P50" s="136">
        <f t="shared" si="8"/>
        <v>1.0399999999999993E-2</v>
      </c>
      <c r="Q50" s="136">
        <f t="shared" si="38"/>
        <v>0.21074499999999999</v>
      </c>
      <c r="R50" s="318"/>
      <c r="S50" s="131"/>
      <c r="T50">
        <f t="shared" si="10"/>
        <v>0.4</v>
      </c>
      <c r="V50">
        <f t="shared" si="46"/>
        <v>0.21299999999999999</v>
      </c>
      <c r="W50">
        <f t="shared" ref="W50:W53" si="75">IFERROR(+L50*J50,"")</f>
        <v>0.4</v>
      </c>
      <c r="X50" s="131">
        <f t="shared" ref="X50:X53" si="76">IFERROR(+M50*J50,"")</f>
        <v>0.16</v>
      </c>
      <c r="Y50" s="131">
        <f t="shared" si="11"/>
        <v>0.373</v>
      </c>
      <c r="Z50" s="131">
        <f t="shared" ref="Z50:Z74" si="77">IFERROR(O50*$J50,"")</f>
        <v>2.7689999999999965E-2</v>
      </c>
      <c r="AA50" s="131">
        <f t="shared" ref="AA50:AA74" si="78">IFERROR(P50*$J50,"")</f>
        <v>2.0799999999999985E-2</v>
      </c>
      <c r="AB50" s="131">
        <f t="shared" si="47"/>
        <v>0.42148999999999998</v>
      </c>
      <c r="AD50" s="131" t="str">
        <f>IFERROR(#REF!*FlightConfig!$K$3,"")</f>
        <v/>
      </c>
      <c r="AE50" s="131">
        <f>IFERROR(V50*FlightConfig!$K$3,"")</f>
        <v>77.531999999999996</v>
      </c>
      <c r="AF50" s="131">
        <f>IFERROR(W50*FlightConfig!$K$3,"")</f>
        <v>145.6</v>
      </c>
      <c r="AG50" s="131">
        <f>IFERROR(X50*FlightConfig!$K$3,"")</f>
        <v>58.24</v>
      </c>
      <c r="AH50" s="131">
        <f>IFERROR(Y50*FlightConfig!$K$3,"")</f>
        <v>135.77199999999999</v>
      </c>
      <c r="AI50" s="131">
        <f>IFERROR(AB50*FlightConfig!$K$3,"")</f>
        <v>153.42236</v>
      </c>
    </row>
    <row r="51" spans="1:35" x14ac:dyDescent="0.25">
      <c r="A51" t="s">
        <v>137</v>
      </c>
      <c r="B51" s="301">
        <v>2</v>
      </c>
      <c r="C51" s="178" t="str">
        <f t="shared" si="27"/>
        <v>TECH CREW CLASS2</v>
      </c>
      <c r="D51" s="278"/>
      <c r="E51" s="270">
        <v>10072</v>
      </c>
      <c r="F51" s="277"/>
      <c r="G51" s="123" t="str">
        <f>VLOOKUP(E51,'[5]FG MASTER'!$A$10:$AB$203,2,0)</f>
        <v>CREW BUTTER</v>
      </c>
      <c r="H51" s="252">
        <v>1</v>
      </c>
      <c r="I51" s="176">
        <v>1</v>
      </c>
      <c r="J51" s="258">
        <f>IFERROR(IF(I51="std",H51,ROUND(HLOOKUP(A51,FlightConfig!$B$28:$G$29,2,0)*I51,0)),"")</f>
        <v>2</v>
      </c>
      <c r="K51" s="213">
        <f>VLOOKUP(Food!E51,'[5]FG MASTER'!$A$1:$AC$521,16,0)</f>
        <v>0.11714999999999999</v>
      </c>
      <c r="L51" s="214">
        <f>VLOOKUP(Food!E51,'FG MASTER'!A:AJ,17,0)</f>
        <v>0.2</v>
      </c>
      <c r="M51" s="136">
        <f t="shared" si="72"/>
        <v>0.08</v>
      </c>
      <c r="N51" s="136">
        <f t="shared" si="73"/>
        <v>0.19714999999999999</v>
      </c>
      <c r="O51" s="136">
        <f t="shared" si="74"/>
        <v>1.5229499999999993E-2</v>
      </c>
      <c r="P51" s="136">
        <f t="shared" si="8"/>
        <v>1.0399999999999993E-2</v>
      </c>
      <c r="Q51" s="136">
        <f t="shared" si="38"/>
        <v>0.22277949999999999</v>
      </c>
      <c r="R51" s="318"/>
      <c r="S51" s="131"/>
      <c r="T51">
        <f t="shared" si="10"/>
        <v>0.4</v>
      </c>
      <c r="V51">
        <f t="shared" si="46"/>
        <v>0.23429999999999998</v>
      </c>
      <c r="W51">
        <f t="shared" si="75"/>
        <v>0.4</v>
      </c>
      <c r="X51" s="131">
        <f t="shared" si="76"/>
        <v>0.16</v>
      </c>
      <c r="Y51" s="131">
        <f t="shared" si="11"/>
        <v>0.39429999999999998</v>
      </c>
      <c r="Z51" s="131">
        <f t="shared" si="77"/>
        <v>3.0458999999999986E-2</v>
      </c>
      <c r="AA51" s="131">
        <f t="shared" si="78"/>
        <v>2.0799999999999985E-2</v>
      </c>
      <c r="AB51" s="131">
        <f t="shared" si="47"/>
        <v>0.44555899999999998</v>
      </c>
      <c r="AD51" s="131" t="str">
        <f>IFERROR(#REF!*FlightConfig!$K$3,"")</f>
        <v/>
      </c>
      <c r="AE51" s="131">
        <f>IFERROR(V51*FlightConfig!$K$3,"")</f>
        <v>85.285199999999989</v>
      </c>
      <c r="AF51" s="131">
        <f>IFERROR(W51*FlightConfig!$K$3,"")</f>
        <v>145.6</v>
      </c>
      <c r="AG51" s="131">
        <f>IFERROR(X51*FlightConfig!$K$3,"")</f>
        <v>58.24</v>
      </c>
      <c r="AH51" s="131">
        <f>IFERROR(Y51*FlightConfig!$K$3,"")</f>
        <v>143.52519999999998</v>
      </c>
      <c r="AI51" s="131">
        <f>IFERROR(AB51*FlightConfig!$K$3,"")</f>
        <v>162.18347599999998</v>
      </c>
    </row>
    <row r="52" spans="1:35" x14ac:dyDescent="0.25">
      <c r="A52" t="s">
        <v>137</v>
      </c>
      <c r="B52" s="301">
        <v>2</v>
      </c>
      <c r="C52" s="178" t="str">
        <f>CONCATENATE(A52&amp;B52&amp;F52)</f>
        <v>TECH CREW CLASS2</v>
      </c>
      <c r="D52" s="278"/>
      <c r="E52" s="270">
        <v>10074</v>
      </c>
      <c r="F52" s="277"/>
      <c r="G52" s="123" t="str">
        <f>VLOOKUP(E52,'[5]FG MASTER'!$A$10:$AB$203,2,0)</f>
        <v>CREW BREAD MILTIGRAIN</v>
      </c>
      <c r="H52" s="252">
        <v>1</v>
      </c>
      <c r="I52" s="176">
        <v>1</v>
      </c>
      <c r="J52" s="258">
        <f>IFERROR(IF(I52="std",H52,ROUND(HLOOKUP(A52,FlightConfig!$B$28:$G$29,2,0)*I52,0)),"")</f>
        <v>2</v>
      </c>
      <c r="K52" s="213">
        <f>VLOOKUP(Food!E52,'[5]FG MASTER'!$A$1:$AC$521,16,0)</f>
        <v>0.26624999999999999</v>
      </c>
      <c r="L52" s="214">
        <f>VLOOKUP(Food!E52,'FG MASTER'!A:AJ,17,0)</f>
        <v>0.2</v>
      </c>
      <c r="M52" s="136">
        <f>IFERROR(L52*$M$2,"")</f>
        <v>0.08</v>
      </c>
      <c r="N52" s="136">
        <f t="shared" si="73"/>
        <v>0.34625</v>
      </c>
      <c r="O52" s="136">
        <f t="shared" si="74"/>
        <v>3.461249999999999E-2</v>
      </c>
      <c r="P52" s="136">
        <f t="shared" si="8"/>
        <v>1.0399999999999993E-2</v>
      </c>
      <c r="Q52" s="136">
        <f>SUM(N52:P52)</f>
        <v>0.39126249999999996</v>
      </c>
      <c r="R52" s="318"/>
      <c r="S52" s="131"/>
      <c r="T52">
        <f t="shared" si="10"/>
        <v>0.4</v>
      </c>
      <c r="V52">
        <f t="shared" si="46"/>
        <v>0.53249999999999997</v>
      </c>
      <c r="W52">
        <f t="shared" si="75"/>
        <v>0.4</v>
      </c>
      <c r="X52" s="131">
        <f t="shared" si="76"/>
        <v>0.16</v>
      </c>
      <c r="Y52" s="131">
        <f t="shared" si="11"/>
        <v>0.6925</v>
      </c>
      <c r="Z52" s="131">
        <f t="shared" si="77"/>
        <v>6.9224999999999981E-2</v>
      </c>
      <c r="AA52" s="131">
        <f t="shared" si="78"/>
        <v>2.0799999999999985E-2</v>
      </c>
      <c r="AB52" s="131">
        <f t="shared" si="47"/>
        <v>0.78252499999999992</v>
      </c>
      <c r="AD52" s="131" t="str">
        <f>IFERROR(#REF!*FlightConfig!$K$3,"")</f>
        <v/>
      </c>
      <c r="AE52" s="131">
        <f>IFERROR(V52*FlightConfig!$K$3,"")</f>
        <v>193.82999999999998</v>
      </c>
      <c r="AF52" s="131">
        <f>IFERROR(W52*FlightConfig!$K$3,"")</f>
        <v>145.6</v>
      </c>
      <c r="AG52" s="131">
        <f>IFERROR(X52*FlightConfig!$K$3,"")</f>
        <v>58.24</v>
      </c>
      <c r="AH52" s="131">
        <f>IFERROR(Y52*FlightConfig!$K$3,"")</f>
        <v>252.07</v>
      </c>
      <c r="AI52" s="131">
        <f>IFERROR(AB52*FlightConfig!$K$3,"")</f>
        <v>284.83909999999997</v>
      </c>
    </row>
    <row r="53" spans="1:35" ht="30" x14ac:dyDescent="0.25">
      <c r="A53" t="s">
        <v>137</v>
      </c>
      <c r="B53" s="301">
        <v>2</v>
      </c>
      <c r="C53" s="178" t="str">
        <f t="shared" ref="C53:C74" si="79">CONCATENATE(A53&amp;B53&amp;F53)</f>
        <v>TECH CREW CLASS2</v>
      </c>
      <c r="D53" s="278"/>
      <c r="E53" s="270">
        <v>10077</v>
      </c>
      <c r="F53" s="277"/>
      <c r="G53" s="123" t="str">
        <f>VLOOKUP(E53,'[5]FG MASTER'!$A$10:$AB$203,2,0)</f>
        <v xml:space="preserve">DECK CREW CM SMOKE SALMON, GOUDA CHEESE SLICE, BABY SPINACH, PICKLED RED ONION, RED CHERRY TOMATO, CAPER, POTATO SALAD </v>
      </c>
      <c r="H53" s="252">
        <v>1</v>
      </c>
      <c r="I53" s="176">
        <v>0.5</v>
      </c>
      <c r="J53" s="258">
        <f>IFERROR(IF(I53="std",H53,ROUND(HLOOKUP(A53,FlightConfig!$B$28:$G$29,2,0)*I53,0)),"")</f>
        <v>1</v>
      </c>
      <c r="K53" s="213">
        <f>VLOOKUP(Food!E53,'[5]FG MASTER'!$A$1:$AC$521,16,0)</f>
        <v>1.8101166</v>
      </c>
      <c r="L53" s="214">
        <f>VLOOKUP(Food!E53,'FG MASTER'!A:AJ,17,0)</f>
        <v>2.75</v>
      </c>
      <c r="M53" s="136">
        <f t="shared" ref="M53:M74" si="80">IFERROR(L53*$M$2,"")</f>
        <v>1.0999999999999999</v>
      </c>
      <c r="N53" s="136">
        <f t="shared" si="73"/>
        <v>2.9101165999999998</v>
      </c>
      <c r="O53" s="136">
        <f t="shared" si="74"/>
        <v>0.21811100099999992</v>
      </c>
      <c r="P53" s="136">
        <f t="shared" si="8"/>
        <v>0.14299999999999979</v>
      </c>
      <c r="Q53" s="136">
        <f t="shared" ref="Q53:Q54" si="81">SUM(N53:P53)</f>
        <v>3.2712276009999997</v>
      </c>
      <c r="R53" s="318">
        <v>-1.7204157000000001E-2</v>
      </c>
      <c r="S53" s="131">
        <f>R53*J53</f>
        <v>-1.7204157000000001E-2</v>
      </c>
      <c r="T53">
        <f t="shared" si="10"/>
        <v>2.75</v>
      </c>
      <c r="V53">
        <f t="shared" si="46"/>
        <v>1.8273207570000001</v>
      </c>
      <c r="W53">
        <f t="shared" si="75"/>
        <v>2.75</v>
      </c>
      <c r="X53" s="131">
        <f t="shared" si="76"/>
        <v>1.0999999999999999</v>
      </c>
      <c r="Y53" s="131">
        <f t="shared" si="11"/>
        <v>2.8929124429999997</v>
      </c>
      <c r="Z53" s="131">
        <f t="shared" si="77"/>
        <v>0.21811100099999992</v>
      </c>
      <c r="AA53" s="131">
        <f t="shared" si="78"/>
        <v>0.14299999999999979</v>
      </c>
      <c r="AB53" s="131">
        <f t="shared" si="47"/>
        <v>3.2540234439999995</v>
      </c>
      <c r="AD53" s="131" t="str">
        <f>IFERROR(#REF!*FlightConfig!$K$3,"")</f>
        <v/>
      </c>
      <c r="AE53" s="131">
        <f>IFERROR(V53*FlightConfig!$K$3,"")</f>
        <v>665.14475554800003</v>
      </c>
      <c r="AF53" s="131">
        <f>IFERROR(W53*FlightConfig!$K$3,"")</f>
        <v>1001</v>
      </c>
      <c r="AG53" s="131">
        <f>IFERROR(X53*FlightConfig!$K$3,"")</f>
        <v>400.4</v>
      </c>
      <c r="AH53" s="131">
        <f>IFERROR(Y53*FlightConfig!$K$3,"")</f>
        <v>1053.0201292519998</v>
      </c>
      <c r="AI53" s="131">
        <f>IFERROR(AB53*FlightConfig!$K$3,"")</f>
        <v>1184.4645336159999</v>
      </c>
    </row>
    <row r="54" spans="1:35" ht="30" x14ac:dyDescent="0.25">
      <c r="A54" t="s">
        <v>137</v>
      </c>
      <c r="B54" s="301">
        <v>2</v>
      </c>
      <c r="C54" s="178" t="str">
        <f t="shared" si="79"/>
        <v>TECH CREW CLASS2</v>
      </c>
      <c r="D54" s="278"/>
      <c r="E54" s="270">
        <v>10078</v>
      </c>
      <c r="F54" s="277"/>
      <c r="G54" s="123" t="str">
        <f>VLOOKUP(E54,'[5]FG MASTER'!$A$10:$AB$203,2,0)</f>
        <v>DECK CREW CM A PASTRAMI, GOUDA CHEESE, MESCLUN MIX, CHERRY TOMATO RED GRAPES, PASTA PESTO SALAD</v>
      </c>
      <c r="H54" s="252">
        <v>1</v>
      </c>
      <c r="I54" s="176">
        <v>1</v>
      </c>
      <c r="J54" s="258">
        <f>IFERROR(IF(I54="std",H54,ROUND(HLOOKUP(A54,FlightConfig!$B$28:$G$29,2,0)*I54,0)),"")</f>
        <v>2</v>
      </c>
      <c r="K54" s="213">
        <f>VLOOKUP(Food!E54,'[5]FG MASTER'!$A$1:$AC$521,16,0)</f>
        <v>1.4504874000000001</v>
      </c>
      <c r="L54" s="214">
        <f>VLOOKUP(Food!E54,'FG MASTER'!A:AJ,17,0)</f>
        <v>2.75</v>
      </c>
      <c r="M54" s="136">
        <f t="shared" si="80"/>
        <v>1.0999999999999999</v>
      </c>
      <c r="N54" s="136">
        <f t="shared" si="73"/>
        <v>2.5504873999999997</v>
      </c>
      <c r="O54" s="136">
        <f t="shared" si="74"/>
        <v>-0.59515541400000016</v>
      </c>
      <c r="P54" s="136">
        <f t="shared" si="8"/>
        <v>0.14299999999999979</v>
      </c>
      <c r="Q54" s="136">
        <f t="shared" si="81"/>
        <v>2.0983319859999994</v>
      </c>
      <c r="R54" s="318">
        <v>-0.78371877599999995</v>
      </c>
      <c r="S54" s="131">
        <f>R54*J54</f>
        <v>-1.5674375519999999</v>
      </c>
      <c r="T54">
        <f t="shared" si="10"/>
        <v>5.5</v>
      </c>
      <c r="V54">
        <f t="shared" si="46"/>
        <v>4.4684123519999996</v>
      </c>
      <c r="W54">
        <f>L54*J54</f>
        <v>5.5</v>
      </c>
      <c r="X54" s="131">
        <f>+M54*J54</f>
        <v>2.1999999999999997</v>
      </c>
      <c r="Y54" s="131">
        <f t="shared" si="11"/>
        <v>3.5335372479999996</v>
      </c>
      <c r="Z54" s="131">
        <f t="shared" si="77"/>
        <v>-1.1903108280000003</v>
      </c>
      <c r="AA54" s="131">
        <f t="shared" si="78"/>
        <v>0.28599999999999959</v>
      </c>
      <c r="AB54" s="131">
        <f t="shared" si="47"/>
        <v>2.6292264199999988</v>
      </c>
      <c r="AD54" s="131" t="str">
        <f>IFERROR(#REF!*FlightConfig!$K$3,"")</f>
        <v/>
      </c>
      <c r="AE54" s="131">
        <f>IFERROR(V54*FlightConfig!$K$3,"")</f>
        <v>1626.5020961279999</v>
      </c>
      <c r="AF54" s="131">
        <f>IFERROR(W54*FlightConfig!$K$3,"")</f>
        <v>2002</v>
      </c>
      <c r="AG54" s="131">
        <f>IFERROR(X54*FlightConfig!$K$3,"")</f>
        <v>800.8</v>
      </c>
      <c r="AH54" s="131">
        <f>IFERROR(Y54*FlightConfig!$K$3,"")</f>
        <v>1286.2075582719999</v>
      </c>
      <c r="AI54" s="131">
        <f>IFERROR(AB54*FlightConfig!$K$3,"")</f>
        <v>957.03841687999955</v>
      </c>
    </row>
    <row r="55" spans="1:35" x14ac:dyDescent="0.25">
      <c r="A55" t="s">
        <v>137</v>
      </c>
      <c r="B55" s="301">
        <v>2</v>
      </c>
      <c r="C55" s="178" t="str">
        <f t="shared" si="79"/>
        <v>TECH CREW CLASS2</v>
      </c>
      <c r="D55" s="278"/>
      <c r="E55" s="271">
        <v>10079</v>
      </c>
      <c r="F55" s="277"/>
      <c r="G55" s="123" t="str">
        <f>VLOOKUP(E55,'[5]FG MASTER'!$A$10:$AB$203,2,0)</f>
        <v>CREW VINAIGRETTE DRESSING</v>
      </c>
      <c r="H55" s="252">
        <v>1</v>
      </c>
      <c r="I55" s="176">
        <v>1</v>
      </c>
      <c r="J55" s="258">
        <f>IFERROR(IF(I55="std",H55,ROUND(HLOOKUP(A55,FlightConfig!$B$28:$G$29,2,0)*I55,0)),"")</f>
        <v>2</v>
      </c>
      <c r="K55" s="213">
        <f>VLOOKUP(Food!E55,'[5]FG MASTER'!$A$1:$AC$521,16,0)</f>
        <v>0.1065</v>
      </c>
      <c r="L55" s="214">
        <f>VLOOKUP(Food!E55,'FG MASTER'!A:AJ,17,0)</f>
        <v>0.2</v>
      </c>
      <c r="M55" s="136">
        <f t="shared" si="80"/>
        <v>0.08</v>
      </c>
      <c r="N55" s="136">
        <f t="shared" si="73"/>
        <v>0.1865</v>
      </c>
      <c r="O55" s="136">
        <f t="shared" si="74"/>
        <v>1.3844999999999982E-2</v>
      </c>
      <c r="P55" s="136">
        <f t="shared" si="8"/>
        <v>1.0399999999999993E-2</v>
      </c>
      <c r="Q55" s="136">
        <f t="shared" ref="Q55:Q74" si="82">SUM(N55:P55)</f>
        <v>0.21074499999999999</v>
      </c>
      <c r="R55" s="318"/>
      <c r="S55" s="131"/>
      <c r="T55">
        <f t="shared" si="10"/>
        <v>0.4</v>
      </c>
      <c r="V55">
        <f t="shared" si="46"/>
        <v>0.21299999999999999</v>
      </c>
      <c r="W55">
        <f t="shared" ref="W55:W68" si="83">IFERROR(+L55*J55,"")</f>
        <v>0.4</v>
      </c>
      <c r="X55" s="131">
        <f t="shared" ref="X55:X68" si="84">IFERROR(+M55*J55,"")</f>
        <v>0.16</v>
      </c>
      <c r="Y55" s="131">
        <f t="shared" si="11"/>
        <v>0.373</v>
      </c>
      <c r="Z55" s="131">
        <f t="shared" si="77"/>
        <v>2.7689999999999965E-2</v>
      </c>
      <c r="AA55" s="131">
        <f t="shared" si="78"/>
        <v>2.0799999999999985E-2</v>
      </c>
      <c r="AB55" s="131">
        <f t="shared" si="47"/>
        <v>0.42148999999999998</v>
      </c>
      <c r="AD55" s="131" t="str">
        <f>IFERROR(#REF!*FlightConfig!$K$3,"")</f>
        <v/>
      </c>
      <c r="AE55" s="131">
        <f>IFERROR(V55*FlightConfig!$K$3,"")</f>
        <v>77.531999999999996</v>
      </c>
      <c r="AF55" s="131">
        <f>IFERROR(W55*FlightConfig!$K$3,"")</f>
        <v>145.6</v>
      </c>
      <c r="AG55" s="131">
        <f>IFERROR(X55*FlightConfig!$K$3,"")</f>
        <v>58.24</v>
      </c>
      <c r="AH55" s="131">
        <f>IFERROR(Y55*FlightConfig!$K$3,"")</f>
        <v>135.77199999999999</v>
      </c>
      <c r="AI55" s="131">
        <f>IFERROR(AB55*FlightConfig!$K$3,"")</f>
        <v>153.42236</v>
      </c>
    </row>
    <row r="56" spans="1:35" x14ac:dyDescent="0.25">
      <c r="A56" t="s">
        <v>137</v>
      </c>
      <c r="B56" s="301">
        <v>2</v>
      </c>
      <c r="C56" s="178" t="str">
        <f t="shared" si="79"/>
        <v>TECH CREW CLASS2</v>
      </c>
      <c r="D56" s="278"/>
      <c r="E56" s="270">
        <v>10072</v>
      </c>
      <c r="F56" s="277"/>
      <c r="G56" s="123" t="str">
        <f>VLOOKUP(E56,'[5]FG MASTER'!$A$10:$AB$203,2,0)</f>
        <v>CREW BUTTER</v>
      </c>
      <c r="H56" s="252">
        <v>1</v>
      </c>
      <c r="I56" s="176">
        <v>1</v>
      </c>
      <c r="J56" s="258">
        <f>IFERROR(IF(I56="std",H56,ROUND(HLOOKUP(A56,FlightConfig!$B$28:$G$29,2,0)*I56,0)),"")</f>
        <v>2</v>
      </c>
      <c r="K56" s="213">
        <f>VLOOKUP(Food!E56,'[5]FG MASTER'!$A$1:$AC$521,16,0)</f>
        <v>0.11714999999999999</v>
      </c>
      <c r="L56" s="214">
        <f>VLOOKUP(Food!E56,'FG MASTER'!A:AJ,17,0)</f>
        <v>0.2</v>
      </c>
      <c r="M56" s="136">
        <f t="shared" si="80"/>
        <v>0.08</v>
      </c>
      <c r="N56" s="136">
        <f t="shared" si="73"/>
        <v>0.19714999999999999</v>
      </c>
      <c r="O56" s="136">
        <f t="shared" si="74"/>
        <v>1.5229499999999993E-2</v>
      </c>
      <c r="P56" s="136">
        <f t="shared" si="8"/>
        <v>1.0399999999999993E-2</v>
      </c>
      <c r="Q56" s="136">
        <f t="shared" si="82"/>
        <v>0.22277949999999999</v>
      </c>
      <c r="R56" s="318"/>
      <c r="S56" s="131"/>
      <c r="T56">
        <f t="shared" si="10"/>
        <v>0.4</v>
      </c>
      <c r="V56">
        <f t="shared" si="46"/>
        <v>0.23429999999999998</v>
      </c>
      <c r="W56">
        <f t="shared" si="83"/>
        <v>0.4</v>
      </c>
      <c r="X56" s="131">
        <f t="shared" si="84"/>
        <v>0.16</v>
      </c>
      <c r="Y56" s="131">
        <f t="shared" si="11"/>
        <v>0.39429999999999998</v>
      </c>
      <c r="Z56" s="131">
        <f t="shared" si="77"/>
        <v>3.0458999999999986E-2</v>
      </c>
      <c r="AA56" s="131">
        <f t="shared" si="78"/>
        <v>2.0799999999999985E-2</v>
      </c>
      <c r="AB56" s="131">
        <f t="shared" si="47"/>
        <v>0.44555899999999998</v>
      </c>
      <c r="AD56" s="131" t="str">
        <f>IFERROR(#REF!*FlightConfig!$K$3,"")</f>
        <v/>
      </c>
      <c r="AE56" s="131">
        <f>IFERROR(V56*FlightConfig!$K$3,"")</f>
        <v>85.285199999999989</v>
      </c>
      <c r="AF56" s="131">
        <f>IFERROR(W56*FlightConfig!$K$3,"")</f>
        <v>145.6</v>
      </c>
      <c r="AG56" s="131">
        <f>IFERROR(X56*FlightConfig!$K$3,"")</f>
        <v>58.24</v>
      </c>
      <c r="AH56" s="131">
        <f>IFERROR(Y56*FlightConfig!$K$3,"")</f>
        <v>143.52519999999998</v>
      </c>
      <c r="AI56" s="131">
        <f>IFERROR(AB56*FlightConfig!$K$3,"")</f>
        <v>162.18347599999998</v>
      </c>
    </row>
    <row r="57" spans="1:35" x14ac:dyDescent="0.25">
      <c r="A57" t="s">
        <v>137</v>
      </c>
      <c r="B57" s="301">
        <v>2</v>
      </c>
      <c r="C57" s="178" t="str">
        <f t="shared" si="79"/>
        <v>TECH CREW CLASS2</v>
      </c>
      <c r="D57" s="278"/>
      <c r="E57" s="271">
        <v>10073</v>
      </c>
      <c r="F57" s="277"/>
      <c r="G57" s="123" t="str">
        <f>VLOOKUP(E57,'[5]FG MASTER'!$A$10:$AB$203,2,0)</f>
        <v>CREW CUTLERY DISPOSAL</v>
      </c>
      <c r="H57" s="252">
        <v>1</v>
      </c>
      <c r="I57" s="176">
        <v>1</v>
      </c>
      <c r="J57" s="258">
        <f>IFERROR(IF(I57="std",H57,ROUND(HLOOKUP(A57,FlightConfig!$B$28:$G$29,2,0)*I57,0)),"")</f>
        <v>2</v>
      </c>
      <c r="K57" s="213">
        <f>VLOOKUP(Food!E57,'[5]FG MASTER'!$A$1:$AC$521,16,0)</f>
        <v>0.1065</v>
      </c>
      <c r="L57" s="214">
        <f>VLOOKUP(Food!E57,'FG MASTER'!A:AJ,17,0)</f>
        <v>0.2</v>
      </c>
      <c r="M57" s="136">
        <f t="shared" si="80"/>
        <v>0.08</v>
      </c>
      <c r="N57" s="136">
        <f t="shared" si="73"/>
        <v>0.1865</v>
      </c>
      <c r="O57" s="136">
        <f t="shared" si="74"/>
        <v>1.3844999999999982E-2</v>
      </c>
      <c r="P57" s="136">
        <f t="shared" si="8"/>
        <v>1.0399999999999993E-2</v>
      </c>
      <c r="Q57" s="136">
        <f t="shared" si="82"/>
        <v>0.21074499999999999</v>
      </c>
      <c r="R57" s="318"/>
      <c r="S57" s="131"/>
      <c r="T57">
        <f t="shared" si="10"/>
        <v>0.4</v>
      </c>
      <c r="V57">
        <f t="shared" si="46"/>
        <v>0.21299999999999999</v>
      </c>
      <c r="W57">
        <f t="shared" si="83"/>
        <v>0.4</v>
      </c>
      <c r="X57" s="131">
        <f t="shared" si="84"/>
        <v>0.16</v>
      </c>
      <c r="Y57" s="131">
        <f t="shared" si="11"/>
        <v>0.373</v>
      </c>
      <c r="Z57" s="131">
        <f t="shared" si="77"/>
        <v>2.7689999999999965E-2</v>
      </c>
      <c r="AA57" s="131">
        <f t="shared" si="78"/>
        <v>2.0799999999999985E-2</v>
      </c>
      <c r="AB57" s="131">
        <f t="shared" si="47"/>
        <v>0.42148999999999998</v>
      </c>
      <c r="AD57" s="131" t="str">
        <f>IFERROR(#REF!*FlightConfig!$K$3,"")</f>
        <v/>
      </c>
      <c r="AE57" s="131">
        <f>IFERROR(V57*FlightConfig!$K$3,"")</f>
        <v>77.531999999999996</v>
      </c>
      <c r="AF57" s="131">
        <f>IFERROR(W57*FlightConfig!$K$3,"")</f>
        <v>145.6</v>
      </c>
      <c r="AG57" s="131">
        <f>IFERROR(X57*FlightConfig!$K$3,"")</f>
        <v>58.24</v>
      </c>
      <c r="AH57" s="131">
        <f>IFERROR(Y57*FlightConfig!$K$3,"")</f>
        <v>135.77199999999999</v>
      </c>
      <c r="AI57" s="131">
        <f>IFERROR(AB57*FlightConfig!$K$3,"")</f>
        <v>153.42236</v>
      </c>
    </row>
    <row r="58" spans="1:35" x14ac:dyDescent="0.25">
      <c r="A58" t="s">
        <v>137</v>
      </c>
      <c r="B58" s="301">
        <v>2</v>
      </c>
      <c r="C58" s="178" t="str">
        <f t="shared" si="79"/>
        <v>TECH CREW CLASS2</v>
      </c>
      <c r="D58" s="278"/>
      <c r="E58" s="271">
        <v>10074</v>
      </c>
      <c r="F58" s="277"/>
      <c r="G58" s="123" t="str">
        <f>VLOOKUP(E58,'[5]FG MASTER'!$A$10:$AB$203,2,0)</f>
        <v>CREW BREAD MILTIGRAIN</v>
      </c>
      <c r="H58" s="252">
        <v>1</v>
      </c>
      <c r="I58" s="176">
        <v>1.2</v>
      </c>
      <c r="J58" s="258">
        <f>IFERROR(IF(I58="std",H58,ROUND(HLOOKUP(A58,FlightConfig!$B$28:$G$29,2,0)*I58,0)),"")</f>
        <v>2</v>
      </c>
      <c r="K58" s="213">
        <f>VLOOKUP(Food!E58,'[5]FG MASTER'!$A$1:$AC$521,16,0)</f>
        <v>0.26624999999999999</v>
      </c>
      <c r="L58" s="214">
        <f>VLOOKUP(Food!E58,'FG MASTER'!A:AJ,17,0)</f>
        <v>0.2</v>
      </c>
      <c r="M58" s="136">
        <f t="shared" si="80"/>
        <v>0.08</v>
      </c>
      <c r="N58" s="136">
        <f t="shared" si="73"/>
        <v>0.34625</v>
      </c>
      <c r="O58" s="136">
        <f t="shared" si="74"/>
        <v>3.461249999999999E-2</v>
      </c>
      <c r="P58" s="136">
        <f t="shared" si="8"/>
        <v>1.0399999999999993E-2</v>
      </c>
      <c r="Q58" s="136">
        <f t="shared" si="82"/>
        <v>0.39126249999999996</v>
      </c>
      <c r="R58" s="318"/>
      <c r="S58" s="131"/>
      <c r="T58">
        <f t="shared" si="10"/>
        <v>0.4</v>
      </c>
      <c r="V58">
        <f t="shared" si="46"/>
        <v>0.53249999999999997</v>
      </c>
      <c r="W58">
        <f t="shared" si="83"/>
        <v>0.4</v>
      </c>
      <c r="X58" s="131">
        <f t="shared" si="84"/>
        <v>0.16</v>
      </c>
      <c r="Y58" s="131">
        <f t="shared" si="11"/>
        <v>0.6925</v>
      </c>
      <c r="Z58" s="131">
        <f t="shared" si="77"/>
        <v>6.9224999999999981E-2</v>
      </c>
      <c r="AA58" s="131">
        <f t="shared" si="78"/>
        <v>2.0799999999999985E-2</v>
      </c>
      <c r="AB58" s="131">
        <f t="shared" si="47"/>
        <v>0.78252499999999992</v>
      </c>
      <c r="AD58" s="131" t="str">
        <f>IFERROR(#REF!*FlightConfig!$K$3,"")</f>
        <v/>
      </c>
      <c r="AE58" s="131">
        <f>IFERROR(V58*FlightConfig!$K$3,"")</f>
        <v>193.82999999999998</v>
      </c>
      <c r="AF58" s="131">
        <f>IFERROR(W58*FlightConfig!$K$3,"")</f>
        <v>145.6</v>
      </c>
      <c r="AG58" s="131">
        <f>IFERROR(X58*FlightConfig!$K$3,"")</f>
        <v>58.24</v>
      </c>
      <c r="AH58" s="131">
        <f>IFERROR(Y58*FlightConfig!$K$3,"")</f>
        <v>252.07</v>
      </c>
      <c r="AI58" s="131">
        <f>IFERROR(AB58*FlightConfig!$K$3,"")</f>
        <v>284.83909999999997</v>
      </c>
    </row>
    <row r="59" spans="1:35" x14ac:dyDescent="0.25">
      <c r="A59" t="s">
        <v>137</v>
      </c>
      <c r="B59" s="301">
        <v>2</v>
      </c>
      <c r="C59" s="178" t="str">
        <f t="shared" si="79"/>
        <v>TECH CREW CLASS2</v>
      </c>
      <c r="D59" s="278"/>
      <c r="E59" s="270">
        <v>10080</v>
      </c>
      <c r="F59" s="277"/>
      <c r="G59" s="123" t="str">
        <f>VLOOKUP(E59,'[5]FG MASTER'!$A$10:$AB$203,2,0)</f>
        <v>DECK CREW P HM SALAD CHOPPED ROMAIN LETTUCE, CUCUMBER SLICE, CARROT JULIENCE</v>
      </c>
      <c r="H59" s="252">
        <v>1</v>
      </c>
      <c r="I59" s="176">
        <v>1</v>
      </c>
      <c r="J59" s="258">
        <f>IFERROR(IF(I59="std",H59,ROUND(HLOOKUP(A59,FlightConfig!$B$28:$G$29,2,0)*I59,0)),"")</f>
        <v>2</v>
      </c>
      <c r="K59" s="213">
        <f>VLOOKUP(Food!E59,'[5]FG MASTER'!$A$1:$AC$521,16,0)</f>
        <v>0.30884999999999996</v>
      </c>
      <c r="L59" s="214">
        <f>VLOOKUP(Food!E59,'FG MASTER'!A:AJ,17,0)</f>
        <v>1.05</v>
      </c>
      <c r="M59" s="136">
        <f t="shared" si="80"/>
        <v>0.42</v>
      </c>
      <c r="N59" s="136">
        <f t="shared" si="73"/>
        <v>0.72885</v>
      </c>
      <c r="O59" s="136">
        <f t="shared" si="74"/>
        <v>4.0150499999999978E-2</v>
      </c>
      <c r="P59" s="136">
        <f t="shared" si="8"/>
        <v>5.4599999999999926E-2</v>
      </c>
      <c r="Q59" s="136">
        <f t="shared" si="82"/>
        <v>0.82360049999999996</v>
      </c>
      <c r="R59" s="318"/>
      <c r="S59" s="131"/>
      <c r="T59">
        <f t="shared" si="10"/>
        <v>2.1</v>
      </c>
      <c r="V59">
        <f t="shared" si="46"/>
        <v>0.61769999999999992</v>
      </c>
      <c r="W59">
        <f t="shared" si="83"/>
        <v>2.1</v>
      </c>
      <c r="X59" s="131">
        <f t="shared" si="84"/>
        <v>0.84</v>
      </c>
      <c r="Y59" s="131">
        <f t="shared" si="11"/>
        <v>1.4577</v>
      </c>
      <c r="Z59" s="131">
        <f t="shared" si="77"/>
        <v>8.0300999999999956E-2</v>
      </c>
      <c r="AA59" s="131">
        <f t="shared" si="78"/>
        <v>0.10919999999999985</v>
      </c>
      <c r="AB59" s="131">
        <f t="shared" si="47"/>
        <v>1.6472009999999999</v>
      </c>
      <c r="AD59" s="131" t="str">
        <f>IFERROR(#REF!*FlightConfig!$K$3,"")</f>
        <v/>
      </c>
      <c r="AE59" s="131">
        <f>IFERROR(V59*FlightConfig!$K$3,"")</f>
        <v>224.84279999999998</v>
      </c>
      <c r="AF59" s="131">
        <f>IFERROR(W59*FlightConfig!$K$3,"")</f>
        <v>764.4</v>
      </c>
      <c r="AG59" s="131">
        <f>IFERROR(X59*FlightConfig!$K$3,"")</f>
        <v>305.76</v>
      </c>
      <c r="AH59" s="131">
        <f>IFERROR(Y59*FlightConfig!$K$3,"")</f>
        <v>530.6028</v>
      </c>
      <c r="AI59" s="131">
        <f>IFERROR(AB59*FlightConfig!$K$3,"")</f>
        <v>599.58116399999994</v>
      </c>
    </row>
    <row r="60" spans="1:35" ht="30" x14ac:dyDescent="0.25">
      <c r="A60" t="s">
        <v>137</v>
      </c>
      <c r="B60" s="301">
        <v>2</v>
      </c>
      <c r="C60" s="178" t="str">
        <f t="shared" ref="C60:C64" si="85">CONCATENATE(A60&amp;B60&amp;F60)</f>
        <v>TECH CREW CLASS2</v>
      </c>
      <c r="D60" s="278"/>
      <c r="E60" s="270">
        <v>10015</v>
      </c>
      <c r="F60" s="277"/>
      <c r="G60" s="123" t="str">
        <f>VLOOKUP(E60,'[5]FG MASTER'!$A$10:$AB$203,2,0)</f>
        <v>BC C2 HM C POULTRY LEMON CHICKEN LEG CONFIT, WILD MUSHROOM CONSERVA, MASH POTATOES, BABY CARROT</v>
      </c>
      <c r="H60" s="252">
        <v>1</v>
      </c>
      <c r="I60" s="176">
        <v>0.5</v>
      </c>
      <c r="J60" s="258">
        <f>IFERROR(IF(I60="std",H60,ROUND(HLOOKUP(A60,FlightConfig!$B$28:$G$29,2,0)*I60,0)),"")</f>
        <v>1</v>
      </c>
      <c r="K60" s="213">
        <f>VLOOKUP(Food!E60,'[5]FG MASTER'!$A$1:$AC$521,16,0)</f>
        <v>4.3527433949999992</v>
      </c>
      <c r="L60" s="214">
        <f>VLOOKUP(Food!E60,'FG MASTER'!A:AJ,17,0)</f>
        <v>6.5</v>
      </c>
      <c r="M60" s="136">
        <f t="shared" ref="M60:M64" si="86">IFERROR(L60*$M$2,"")</f>
        <v>2.5999999999999996</v>
      </c>
      <c r="N60" s="136">
        <f t="shared" ref="N60:N64" si="87">IFERROR((K60)+M60,"")</f>
        <v>6.9527433949999988</v>
      </c>
      <c r="O60" s="136">
        <f t="shared" si="74"/>
        <v>0.56585664134999902</v>
      </c>
      <c r="P60" s="136">
        <f t="shared" si="8"/>
        <v>0.33799999999999963</v>
      </c>
      <c r="Q60" s="136">
        <f t="shared" ref="Q60" si="88">SUM(N60:P60)</f>
        <v>7.856600036349997</v>
      </c>
      <c r="R60" s="318"/>
      <c r="S60" s="131"/>
      <c r="T60" s="293">
        <f>(L60/2)*J60</f>
        <v>3.25</v>
      </c>
      <c r="V60">
        <f t="shared" si="46"/>
        <v>4.3527433949999992</v>
      </c>
      <c r="W60">
        <f>L60*J60</f>
        <v>6.5</v>
      </c>
      <c r="X60" s="131">
        <f>+M60*J60</f>
        <v>2.5999999999999996</v>
      </c>
      <c r="Y60" s="131">
        <f t="shared" si="11"/>
        <v>6.9527433949999988</v>
      </c>
      <c r="Z60" s="131">
        <f t="shared" ref="Z60:Z64" si="89">IFERROR(O60*$J60,"")</f>
        <v>0.56585664134999902</v>
      </c>
      <c r="AA60" s="131">
        <f t="shared" ref="AA60:AA64" si="90">IFERROR(P60*$J60,"")</f>
        <v>0.33799999999999963</v>
      </c>
      <c r="AB60" s="131">
        <f t="shared" si="47"/>
        <v>7.856600036349997</v>
      </c>
      <c r="AD60" s="131" t="str">
        <f>IFERROR(#REF!*FlightConfig!$K$3,"")</f>
        <v/>
      </c>
      <c r="AE60" s="131">
        <f>IFERROR(V60*FlightConfig!$K$3,"")</f>
        <v>1584.3985957799996</v>
      </c>
      <c r="AF60" s="131">
        <f>IFERROR(W60*FlightConfig!$K$3,"")</f>
        <v>2366</v>
      </c>
      <c r="AG60" s="131">
        <f>IFERROR(X60*FlightConfig!$K$3,"")</f>
        <v>946.39999999999986</v>
      </c>
      <c r="AH60" s="131">
        <f>IFERROR(Y60*FlightConfig!$K$3,"")</f>
        <v>2530.7985957799997</v>
      </c>
      <c r="AI60" s="131">
        <f>IFERROR(AB60*FlightConfig!$K$3,"")</f>
        <v>2859.802413231399</v>
      </c>
    </row>
    <row r="61" spans="1:35" ht="30" x14ac:dyDescent="0.25">
      <c r="A61" t="s">
        <v>137</v>
      </c>
      <c r="B61" s="301">
        <v>2</v>
      </c>
      <c r="C61" s="178" t="str">
        <f t="shared" si="85"/>
        <v>TECH CREW CLASS2</v>
      </c>
      <c r="D61" s="278"/>
      <c r="E61" s="271">
        <v>10013</v>
      </c>
      <c r="F61" s="277"/>
      <c r="G61" s="123" t="str">
        <f>VLOOKUP(E61,'[5]FG MASTER'!$A$10:$AB$203,2,0)</f>
        <v>BC C2 HM A MEAT GRILLED BEEF TENDERLOIN, SMOKED TOMATO JAM, FINGERLING POTATOES, ASPARAGUS</v>
      </c>
      <c r="H61" s="252">
        <v>1</v>
      </c>
      <c r="I61" s="176">
        <v>1</v>
      </c>
      <c r="J61" s="258">
        <f>IFERROR(IF(I61="std",H61,ROUND(HLOOKUP(A61,FlightConfig!$B$28:$G$29,2,0)*I61,0)),"")</f>
        <v>2</v>
      </c>
      <c r="K61" s="213">
        <f>VLOOKUP(Food!E61,'[5]FG MASTER'!$A$1:$AC$521,16,0)</f>
        <v>8.7456734999999988</v>
      </c>
      <c r="L61" s="214">
        <f>VLOOKUP(Food!E61,'FG MASTER'!A:AJ,17,0)</f>
        <v>8</v>
      </c>
      <c r="M61" s="136">
        <f t="shared" si="86"/>
        <v>3.1999999999999997</v>
      </c>
      <c r="N61" s="136">
        <f t="shared" si="87"/>
        <v>11.945673499999998</v>
      </c>
      <c r="O61" s="136">
        <f t="shared" si="74"/>
        <v>1.1369375549999994</v>
      </c>
      <c r="P61" s="136">
        <f t="shared" si="8"/>
        <v>0.41599999999999948</v>
      </c>
      <c r="Q61" s="136">
        <f t="shared" ref="Q61:Q64" si="91">SUM(N61:P61)</f>
        <v>13.498611054999998</v>
      </c>
      <c r="R61" s="318"/>
      <c r="S61" s="131"/>
      <c r="T61" s="293">
        <f>(L61/2)*J61</f>
        <v>8</v>
      </c>
      <c r="V61">
        <f t="shared" si="46"/>
        <v>17.491346999999998</v>
      </c>
      <c r="W61">
        <f t="shared" ref="W61:W64" si="92">IFERROR(+L61*J61,"")</f>
        <v>16</v>
      </c>
      <c r="X61" s="131">
        <f t="shared" ref="X61:X64" si="93">IFERROR(+M61*J61,"")</f>
        <v>6.3999999999999995</v>
      </c>
      <c r="Y61" s="131">
        <f t="shared" si="11"/>
        <v>23.891346999999996</v>
      </c>
      <c r="Z61" s="131">
        <f t="shared" si="89"/>
        <v>2.2738751099999988</v>
      </c>
      <c r="AA61" s="131">
        <f t="shared" si="90"/>
        <v>0.83199999999999896</v>
      </c>
      <c r="AB61" s="131">
        <f t="shared" si="47"/>
        <v>26.997222109999996</v>
      </c>
      <c r="AD61" s="131" t="str">
        <f>IFERROR(#REF!*FlightConfig!$K$3,"")</f>
        <v/>
      </c>
      <c r="AE61" s="131">
        <f>IFERROR(V61*FlightConfig!$K$3,"")</f>
        <v>6366.8503079999991</v>
      </c>
      <c r="AF61" s="131">
        <f>IFERROR(W61*FlightConfig!$K$3,"")</f>
        <v>5824</v>
      </c>
      <c r="AG61" s="131">
        <f>IFERROR(X61*FlightConfig!$K$3,"")</f>
        <v>2329.6</v>
      </c>
      <c r="AH61" s="131">
        <f>IFERROR(Y61*FlightConfig!$K$3,"")</f>
        <v>8696.4503079999995</v>
      </c>
      <c r="AI61" s="131">
        <f>IFERROR(AB61*FlightConfig!$K$3,"")</f>
        <v>9826.9888480399986</v>
      </c>
    </row>
    <row r="62" spans="1:35" x14ac:dyDescent="0.25">
      <c r="A62" t="s">
        <v>137</v>
      </c>
      <c r="B62" s="301">
        <v>2</v>
      </c>
      <c r="C62" s="178" t="str">
        <f t="shared" si="85"/>
        <v>TECH CREW CLASS2</v>
      </c>
      <c r="D62" s="278"/>
      <c r="E62" s="271">
        <v>10073</v>
      </c>
      <c r="F62" s="277"/>
      <c r="G62" s="123" t="str">
        <f>VLOOKUP(E62,'[5]FG MASTER'!$A$10:$AB$203,2,0)</f>
        <v>CREW CUTLERY DISPOSAL</v>
      </c>
      <c r="H62" s="252">
        <v>1</v>
      </c>
      <c r="I62" s="176">
        <v>1</v>
      </c>
      <c r="J62" s="258">
        <f>IFERROR(IF(I62="std",H62,ROUND(HLOOKUP(A62,FlightConfig!$B$28:$G$29,2,0)*I62,0)),"")</f>
        <v>2</v>
      </c>
      <c r="K62" s="213">
        <f>VLOOKUP(Food!E62,'[5]FG MASTER'!$A$1:$AC$521,16,0)</f>
        <v>0.1065</v>
      </c>
      <c r="L62" s="214">
        <f>VLOOKUP(Food!E62,'FG MASTER'!A:AJ,17,0)</f>
        <v>0.2</v>
      </c>
      <c r="M62" s="136">
        <f t="shared" si="86"/>
        <v>0.08</v>
      </c>
      <c r="N62" s="136">
        <f t="shared" si="87"/>
        <v>0.1865</v>
      </c>
      <c r="O62" s="136">
        <f t="shared" si="74"/>
        <v>1.3844999999999982E-2</v>
      </c>
      <c r="P62" s="136">
        <f t="shared" si="8"/>
        <v>1.0399999999999993E-2</v>
      </c>
      <c r="Q62" s="136">
        <f t="shared" si="91"/>
        <v>0.21074499999999999</v>
      </c>
      <c r="R62" s="318"/>
      <c r="S62" s="131"/>
      <c r="T62">
        <f t="shared" si="10"/>
        <v>0.4</v>
      </c>
      <c r="V62">
        <f t="shared" si="46"/>
        <v>0.21299999999999999</v>
      </c>
      <c r="W62">
        <f t="shared" si="92"/>
        <v>0.4</v>
      </c>
      <c r="X62" s="131">
        <f t="shared" si="93"/>
        <v>0.16</v>
      </c>
      <c r="Y62" s="131">
        <f t="shared" si="11"/>
        <v>0.373</v>
      </c>
      <c r="Z62" s="131">
        <f t="shared" si="89"/>
        <v>2.7689999999999965E-2</v>
      </c>
      <c r="AA62" s="131">
        <f t="shared" si="90"/>
        <v>2.0799999999999985E-2</v>
      </c>
      <c r="AB62" s="131">
        <f t="shared" si="47"/>
        <v>0.42148999999999998</v>
      </c>
      <c r="AD62" s="131" t="str">
        <f>IFERROR(#REF!*FlightConfig!$K$3,"")</f>
        <v/>
      </c>
      <c r="AE62" s="131">
        <f>IFERROR(V62*FlightConfig!$K$3,"")</f>
        <v>77.531999999999996</v>
      </c>
      <c r="AF62" s="131">
        <f>IFERROR(W62*FlightConfig!$K$3,"")</f>
        <v>145.6</v>
      </c>
      <c r="AG62" s="131">
        <f>IFERROR(X62*FlightConfig!$K$3,"")</f>
        <v>58.24</v>
      </c>
      <c r="AH62" s="131">
        <f>IFERROR(Y62*FlightConfig!$K$3,"")</f>
        <v>135.77199999999999</v>
      </c>
      <c r="AI62" s="131">
        <f>IFERROR(AB62*FlightConfig!$K$3,"")</f>
        <v>153.42236</v>
      </c>
    </row>
    <row r="63" spans="1:35" x14ac:dyDescent="0.25">
      <c r="A63" t="s">
        <v>137</v>
      </c>
      <c r="B63" s="301">
        <v>2</v>
      </c>
      <c r="C63" s="178" t="str">
        <f t="shared" si="85"/>
        <v>TECH CREW CLASS2</v>
      </c>
      <c r="D63" s="278"/>
      <c r="E63" s="271">
        <v>10082</v>
      </c>
      <c r="F63" s="277"/>
      <c r="G63" s="123" t="str">
        <f>VLOOKUP(E63,'[5]FG MASTER'!$A$10:$AB$203,2,0)</f>
        <v>CREW YOGURT</v>
      </c>
      <c r="H63" s="252">
        <v>1</v>
      </c>
      <c r="I63" s="176">
        <v>1</v>
      </c>
      <c r="J63" s="258">
        <f>IFERROR(IF(I63="std",H63,ROUND(HLOOKUP(A63,FlightConfig!$B$28:$G$29,2,0)*I63,0)),"")</f>
        <v>2</v>
      </c>
      <c r="K63" s="213">
        <f>VLOOKUP(Food!E63,'[5]FG MASTER'!$A$1:$AC$521,16,0)</f>
        <v>0.47925000000000001</v>
      </c>
      <c r="L63" s="214">
        <f>VLOOKUP(Food!E63,'FG MASTER'!A:AJ,17,0)</f>
        <v>0.2</v>
      </c>
      <c r="M63" s="136">
        <f t="shared" si="86"/>
        <v>0.08</v>
      </c>
      <c r="N63" s="136">
        <f t="shared" si="87"/>
        <v>0.55925000000000002</v>
      </c>
      <c r="O63" s="136">
        <f t="shared" si="74"/>
        <v>6.2302499999999983E-2</v>
      </c>
      <c r="P63" s="136">
        <f t="shared" si="8"/>
        <v>1.0399999999999993E-2</v>
      </c>
      <c r="Q63" s="136">
        <f t="shared" si="91"/>
        <v>0.63195249999999992</v>
      </c>
      <c r="R63" s="318"/>
      <c r="S63" s="131"/>
      <c r="T63">
        <f t="shared" si="10"/>
        <v>0.4</v>
      </c>
      <c r="V63">
        <f t="shared" si="46"/>
        <v>0.95850000000000002</v>
      </c>
      <c r="W63">
        <f t="shared" si="92"/>
        <v>0.4</v>
      </c>
      <c r="X63" s="131">
        <f t="shared" si="93"/>
        <v>0.16</v>
      </c>
      <c r="Y63" s="131">
        <f t="shared" si="11"/>
        <v>1.1185</v>
      </c>
      <c r="Z63" s="131">
        <f t="shared" si="89"/>
        <v>0.12460499999999997</v>
      </c>
      <c r="AA63" s="131">
        <f t="shared" si="90"/>
        <v>2.0799999999999985E-2</v>
      </c>
      <c r="AB63" s="131">
        <f t="shared" si="47"/>
        <v>1.2639049999999998</v>
      </c>
      <c r="AD63" s="131" t="str">
        <f>IFERROR(#REF!*FlightConfig!$K$3,"")</f>
        <v/>
      </c>
      <c r="AE63" s="131">
        <f>IFERROR(V63*FlightConfig!$K$3,"")</f>
        <v>348.89400000000001</v>
      </c>
      <c r="AF63" s="131">
        <f>IFERROR(W63*FlightConfig!$K$3,"")</f>
        <v>145.6</v>
      </c>
      <c r="AG63" s="131">
        <f>IFERROR(X63*FlightConfig!$K$3,"")</f>
        <v>58.24</v>
      </c>
      <c r="AH63" s="131">
        <f>IFERROR(Y63*FlightConfig!$K$3,"")</f>
        <v>407.13400000000001</v>
      </c>
      <c r="AI63" s="131">
        <f>IFERROR(AB63*FlightConfig!$K$3,"")</f>
        <v>460.06141999999994</v>
      </c>
    </row>
    <row r="64" spans="1:35" x14ac:dyDescent="0.25">
      <c r="A64" t="s">
        <v>137</v>
      </c>
      <c r="B64" s="301">
        <v>2</v>
      </c>
      <c r="C64" s="178" t="str">
        <f t="shared" si="85"/>
        <v>TECH CREW CLASS2</v>
      </c>
      <c r="D64" s="278"/>
      <c r="E64" s="271">
        <v>10083</v>
      </c>
      <c r="F64" s="277"/>
      <c r="G64" s="123" t="str">
        <f>VLOOKUP(E64,'[5]FG MASTER'!$A$10:$AB$203,2,0)</f>
        <v xml:space="preserve">CREW CHEESE </v>
      </c>
      <c r="H64" s="252">
        <v>1</v>
      </c>
      <c r="I64" s="176">
        <v>1</v>
      </c>
      <c r="J64" s="258">
        <f>IFERROR(IF(I64="std",H64,ROUND(HLOOKUP(A64,FlightConfig!$B$28:$G$29,2,0)*I64,0)),"")</f>
        <v>2</v>
      </c>
      <c r="K64" s="213">
        <f>VLOOKUP(Food!E64,'[5]FG MASTER'!$A$1:$AC$521,16,0)</f>
        <v>0.31949999999999995</v>
      </c>
      <c r="L64" s="214">
        <f>VLOOKUP(Food!E64,'FG MASTER'!A:AJ,17,0)</f>
        <v>0.2</v>
      </c>
      <c r="M64" s="136">
        <f t="shared" si="86"/>
        <v>0.08</v>
      </c>
      <c r="N64" s="136">
        <f t="shared" si="87"/>
        <v>0.39949999999999997</v>
      </c>
      <c r="O64" s="136">
        <f t="shared" si="74"/>
        <v>4.1534999999999933E-2</v>
      </c>
      <c r="P64" s="136">
        <f t="shared" si="8"/>
        <v>1.0399999999999993E-2</v>
      </c>
      <c r="Q64" s="136">
        <f t="shared" si="91"/>
        <v>0.45143499999999992</v>
      </c>
      <c r="R64" s="318"/>
      <c r="S64" s="131"/>
      <c r="T64">
        <f t="shared" si="10"/>
        <v>0.4</v>
      </c>
      <c r="V64">
        <f t="shared" si="46"/>
        <v>0.6389999999999999</v>
      </c>
      <c r="W64">
        <f t="shared" si="92"/>
        <v>0.4</v>
      </c>
      <c r="X64" s="131">
        <f t="shared" si="93"/>
        <v>0.16</v>
      </c>
      <c r="Y64" s="131">
        <f t="shared" si="11"/>
        <v>0.79899999999999993</v>
      </c>
      <c r="Z64" s="131">
        <f t="shared" si="89"/>
        <v>8.3069999999999866E-2</v>
      </c>
      <c r="AA64" s="131">
        <f t="shared" si="90"/>
        <v>2.0799999999999985E-2</v>
      </c>
      <c r="AB64" s="131">
        <f t="shared" si="47"/>
        <v>0.90286999999999984</v>
      </c>
      <c r="AD64" s="131" t="str">
        <f>IFERROR(#REF!*FlightConfig!$K$3,"")</f>
        <v/>
      </c>
      <c r="AE64" s="131">
        <f>IFERROR(V64*FlightConfig!$K$3,"")</f>
        <v>232.59599999999998</v>
      </c>
      <c r="AF64" s="131">
        <f>IFERROR(W64*FlightConfig!$K$3,"")</f>
        <v>145.6</v>
      </c>
      <c r="AG64" s="131">
        <f>IFERROR(X64*FlightConfig!$K$3,"")</f>
        <v>58.24</v>
      </c>
      <c r="AH64" s="131">
        <f>IFERROR(Y64*FlightConfig!$K$3,"")</f>
        <v>290.83599999999996</v>
      </c>
      <c r="AI64" s="131">
        <f>IFERROR(AB64*FlightConfig!$K$3,"")</f>
        <v>328.64467999999994</v>
      </c>
    </row>
    <row r="65" spans="1:35" x14ac:dyDescent="0.25">
      <c r="A65" t="s">
        <v>137</v>
      </c>
      <c r="B65" s="301">
        <v>2</v>
      </c>
      <c r="C65" s="178" t="str">
        <f t="shared" ref="C65:C67" si="94">CONCATENATE(A65&amp;B65&amp;F65)</f>
        <v>TECH CREW CLASS2</v>
      </c>
      <c r="D65" s="278"/>
      <c r="E65" s="270">
        <v>10074</v>
      </c>
      <c r="F65" s="277"/>
      <c r="G65" s="123" t="str">
        <f>VLOOKUP(E65,'[5]FG MASTER'!$A$10:$AB$203,2,0)</f>
        <v>CREW BREAD MILTIGRAIN</v>
      </c>
      <c r="H65" s="252">
        <v>1</v>
      </c>
      <c r="I65" s="176">
        <v>1</v>
      </c>
      <c r="J65" s="258">
        <f>IFERROR(IF(I65="std",H65,ROUND(HLOOKUP(A65,FlightConfig!$B$28:$G$29,2,0)*I65,0)),"")</f>
        <v>2</v>
      </c>
      <c r="K65" s="213">
        <f>VLOOKUP(Food!E65,'[5]FG MASTER'!$A$1:$AC$521,16,0)</f>
        <v>0.26624999999999999</v>
      </c>
      <c r="L65" s="214">
        <f>VLOOKUP(Food!E65,'FG MASTER'!A:AJ,17,0)</f>
        <v>0.2</v>
      </c>
      <c r="M65" s="136">
        <f t="shared" ref="M65:M67" si="95">IFERROR(L65*$M$2,"")</f>
        <v>0.08</v>
      </c>
      <c r="N65" s="136">
        <f t="shared" ref="N65:N67" si="96">IFERROR((K65)+M65,"")</f>
        <v>0.34625</v>
      </c>
      <c r="O65" s="136">
        <f t="shared" si="74"/>
        <v>3.461249999999999E-2</v>
      </c>
      <c r="P65" s="136">
        <f t="shared" si="8"/>
        <v>1.0399999999999993E-2</v>
      </c>
      <c r="Q65" s="136">
        <f t="shared" ref="Q65:Q67" si="97">SUM(N65:P65)</f>
        <v>0.39126249999999996</v>
      </c>
      <c r="R65" s="318"/>
      <c r="S65" s="131"/>
      <c r="T65">
        <f t="shared" si="10"/>
        <v>0.4</v>
      </c>
      <c r="V65">
        <f t="shared" si="46"/>
        <v>0.53249999999999997</v>
      </c>
      <c r="W65">
        <f t="shared" ref="W65:W67" si="98">IFERROR(+L65*J65,"")</f>
        <v>0.4</v>
      </c>
      <c r="X65" s="131">
        <f t="shared" ref="X65:X67" si="99">IFERROR(+M65*J65,"")</f>
        <v>0.16</v>
      </c>
      <c r="Y65" s="131">
        <f t="shared" si="11"/>
        <v>0.6925</v>
      </c>
      <c r="Z65" s="131">
        <f t="shared" ref="Z65:Z67" si="100">IFERROR(O65*$J65,"")</f>
        <v>6.9224999999999981E-2</v>
      </c>
      <c r="AA65" s="131">
        <f t="shared" ref="AA65:AA67" si="101">IFERROR(P65*$J65,"")</f>
        <v>2.0799999999999985E-2</v>
      </c>
      <c r="AB65" s="131">
        <f t="shared" si="47"/>
        <v>0.78252499999999992</v>
      </c>
      <c r="AD65" s="131" t="str">
        <f>IFERROR(#REF!*FlightConfig!$K$3,"")</f>
        <v/>
      </c>
      <c r="AE65" s="131">
        <f>IFERROR(V65*FlightConfig!$K$3,"")</f>
        <v>193.82999999999998</v>
      </c>
      <c r="AF65" s="131">
        <f>IFERROR(W65*FlightConfig!$K$3,"")</f>
        <v>145.6</v>
      </c>
      <c r="AG65" s="131">
        <f>IFERROR(X65*FlightConfig!$K$3,"")</f>
        <v>58.24</v>
      </c>
      <c r="AH65" s="131">
        <f>IFERROR(Y65*FlightConfig!$K$3,"")</f>
        <v>252.07</v>
      </c>
      <c r="AI65" s="131">
        <f>IFERROR(AB65*FlightConfig!$K$3,"")</f>
        <v>284.83909999999997</v>
      </c>
    </row>
    <row r="66" spans="1:35" x14ac:dyDescent="0.25">
      <c r="A66" t="s">
        <v>137</v>
      </c>
      <c r="B66" s="301">
        <v>2</v>
      </c>
      <c r="C66" s="178" t="str">
        <f t="shared" si="94"/>
        <v>TECH CREW CLASS2</v>
      </c>
      <c r="D66" s="278"/>
      <c r="E66" s="271">
        <v>10072</v>
      </c>
      <c r="F66" s="277"/>
      <c r="G66" s="123" t="str">
        <f>VLOOKUP(E66,'[5]FG MASTER'!$A$10:$AB$203,2,0)</f>
        <v>CREW BUTTER</v>
      </c>
      <c r="H66" s="252">
        <v>1</v>
      </c>
      <c r="I66" s="176">
        <v>1</v>
      </c>
      <c r="J66" s="258">
        <f>IFERROR(IF(I66="std",H66,ROUND(HLOOKUP(A66,FlightConfig!$B$28:$G$29,2,0)*I66,0)),"")</f>
        <v>2</v>
      </c>
      <c r="K66" s="213">
        <f>VLOOKUP(Food!E66,'[5]FG MASTER'!$A$1:$AC$521,16,0)</f>
        <v>0.11714999999999999</v>
      </c>
      <c r="L66" s="214">
        <f>VLOOKUP(Food!E66,'FG MASTER'!A:AJ,17,0)</f>
        <v>0.2</v>
      </c>
      <c r="M66" s="136">
        <f t="shared" si="95"/>
        <v>0.08</v>
      </c>
      <c r="N66" s="136">
        <f t="shared" si="96"/>
        <v>0.19714999999999999</v>
      </c>
      <c r="O66" s="136">
        <f t="shared" si="74"/>
        <v>1.5229499999999993E-2</v>
      </c>
      <c r="P66" s="136">
        <f t="shared" si="8"/>
        <v>1.0399999999999993E-2</v>
      </c>
      <c r="Q66" s="136">
        <f t="shared" si="97"/>
        <v>0.22277949999999999</v>
      </c>
      <c r="R66" s="318"/>
      <c r="S66" s="131"/>
      <c r="T66">
        <f t="shared" si="10"/>
        <v>0.4</v>
      </c>
      <c r="V66">
        <f t="shared" si="46"/>
        <v>0.23429999999999998</v>
      </c>
      <c r="W66">
        <f t="shared" si="98"/>
        <v>0.4</v>
      </c>
      <c r="X66" s="131">
        <f t="shared" si="99"/>
        <v>0.16</v>
      </c>
      <c r="Y66" s="131">
        <f t="shared" si="11"/>
        <v>0.39429999999999998</v>
      </c>
      <c r="Z66" s="131">
        <f t="shared" si="100"/>
        <v>3.0458999999999986E-2</v>
      </c>
      <c r="AA66" s="131">
        <f t="shared" si="101"/>
        <v>2.0799999999999985E-2</v>
      </c>
      <c r="AB66" s="131">
        <f t="shared" si="47"/>
        <v>0.44555899999999998</v>
      </c>
      <c r="AD66" s="131" t="str">
        <f>IFERROR(#REF!*FlightConfig!$K$3,"")</f>
        <v/>
      </c>
      <c r="AE66" s="131">
        <f>IFERROR(V66*FlightConfig!$K$3,"")</f>
        <v>85.285199999999989</v>
      </c>
      <c r="AF66" s="131">
        <f>IFERROR(W66*FlightConfig!$K$3,"")</f>
        <v>145.6</v>
      </c>
      <c r="AG66" s="131">
        <f>IFERROR(X66*FlightConfig!$K$3,"")</f>
        <v>58.24</v>
      </c>
      <c r="AH66" s="131">
        <f>IFERROR(Y66*FlightConfig!$K$3,"")</f>
        <v>143.52519999999998</v>
      </c>
      <c r="AI66" s="131">
        <f>IFERROR(AB66*FlightConfig!$K$3,"")</f>
        <v>162.18347599999998</v>
      </c>
    </row>
    <row r="67" spans="1:35" x14ac:dyDescent="0.25">
      <c r="A67" t="s">
        <v>137</v>
      </c>
      <c r="B67" s="301">
        <v>2</v>
      </c>
      <c r="C67" s="178" t="str">
        <f t="shared" si="94"/>
        <v>TECH CREW CLASS2</v>
      </c>
      <c r="D67" s="278"/>
      <c r="E67" s="271">
        <v>10084</v>
      </c>
      <c r="F67" s="277"/>
      <c r="G67" s="123" t="str">
        <f>VLOOKUP(E67,'[5]FG MASTER'!$A$10:$AB$203,2,0)</f>
        <v>DECK CREW P HB SCRAMBLE EGG, KALE, POTATOES, TURKEY SAUSAGE, HAM</v>
      </c>
      <c r="H67" s="252">
        <v>1</v>
      </c>
      <c r="I67" s="176">
        <v>1</v>
      </c>
      <c r="J67" s="258">
        <f>IFERROR(IF(I67="std",H67,ROUND(HLOOKUP(A67,FlightConfig!$B$28:$G$29,2,0)*I67,0)),"")</f>
        <v>2</v>
      </c>
      <c r="K67" s="213">
        <f>VLOOKUP(Food!E67,'[5]FG MASTER'!$A$1:$AC$521,16,0)</f>
        <v>1.5648044999999999</v>
      </c>
      <c r="L67" s="214">
        <f>VLOOKUP(Food!E67,'FG MASTER'!A:AJ,17,0)</f>
        <v>4.5</v>
      </c>
      <c r="M67" s="136">
        <f t="shared" si="95"/>
        <v>1.7999999999999998</v>
      </c>
      <c r="N67" s="136">
        <f t="shared" si="96"/>
        <v>3.3648045</v>
      </c>
      <c r="O67" s="136">
        <f t="shared" si="74"/>
        <v>0.20342458499999982</v>
      </c>
      <c r="P67" s="136">
        <f t="shared" si="8"/>
        <v>0.23399999999999999</v>
      </c>
      <c r="Q67" s="136">
        <f t="shared" si="97"/>
        <v>3.8022290849999996</v>
      </c>
      <c r="R67" s="318"/>
      <c r="S67" s="131"/>
      <c r="T67" s="293">
        <f>(L67/2)*J67</f>
        <v>4.5</v>
      </c>
      <c r="V67">
        <f t="shared" si="46"/>
        <v>3.1296089999999999</v>
      </c>
      <c r="W67">
        <f t="shared" si="98"/>
        <v>9</v>
      </c>
      <c r="X67" s="131">
        <f t="shared" si="99"/>
        <v>3.5999999999999996</v>
      </c>
      <c r="Y67" s="131">
        <f t="shared" si="11"/>
        <v>6.729609</v>
      </c>
      <c r="Z67" s="131">
        <f t="shared" si="100"/>
        <v>0.40684916999999965</v>
      </c>
      <c r="AA67" s="131">
        <f t="shared" si="101"/>
        <v>0.46799999999999997</v>
      </c>
      <c r="AB67" s="131">
        <f t="shared" si="47"/>
        <v>7.6044581699999991</v>
      </c>
      <c r="AD67" s="131" t="str">
        <f>IFERROR(#REF!*FlightConfig!$K$3,"")</f>
        <v/>
      </c>
      <c r="AE67" s="131">
        <f>IFERROR(V67*FlightConfig!$K$3,"")</f>
        <v>1139.177676</v>
      </c>
      <c r="AF67" s="131">
        <f>IFERROR(W67*FlightConfig!$K$3,"")</f>
        <v>3276</v>
      </c>
      <c r="AG67" s="131">
        <f>IFERROR(X67*FlightConfig!$K$3,"")</f>
        <v>1310.3999999999999</v>
      </c>
      <c r="AH67" s="131">
        <f>IFERROR(Y67*FlightConfig!$K$3,"")</f>
        <v>2449.5776759999999</v>
      </c>
      <c r="AI67" s="131">
        <f>IFERROR(AB67*FlightConfig!$K$3,"")</f>
        <v>2768.0227738799995</v>
      </c>
    </row>
    <row r="68" spans="1:35" ht="45" customHeight="1" x14ac:dyDescent="0.25">
      <c r="A68" t="s">
        <v>246</v>
      </c>
      <c r="B68" s="301">
        <v>2</v>
      </c>
      <c r="C68" s="178" t="str">
        <f t="shared" si="79"/>
        <v>CABIN CREW CLASS2</v>
      </c>
      <c r="D68" s="261"/>
      <c r="E68" s="271">
        <v>10075</v>
      </c>
      <c r="F68" s="277"/>
      <c r="G68" s="123" t="str">
        <f>VLOOKUP(E68,'[5]FG MASTER'!$A$10:$AB$203,2,0)</f>
        <v>CABIN CREW CM A - HAM, MAYO, RED PEPPER STRIP, ROMAIN LETTUCE, CIABATTA BREADCUMBER, MESCLUN MIX, PEMPERNICKEL ROLL POTATO SALAD</v>
      </c>
      <c r="H68" s="252">
        <v>1</v>
      </c>
      <c r="I68" s="176">
        <v>0.5</v>
      </c>
      <c r="J68" s="258">
        <f>IFERROR(IF(I68="std",H68,ROUND(HLOOKUP(A68,FlightConfig!$B$28:$G$29,2,0)*I68,0)),"")</f>
        <v>4</v>
      </c>
      <c r="K68" s="213">
        <f>VLOOKUP(Food!E68,'[5]FG MASTER'!$A$1:$AC$521,16,0)</f>
        <v>1.3373098499999998</v>
      </c>
      <c r="L68" s="214">
        <f>VLOOKUP(Food!E68,'FG MASTER'!A:AJ,17,0)</f>
        <v>2.75</v>
      </c>
      <c r="M68" s="136">
        <f t="shared" si="80"/>
        <v>1.0999999999999999</v>
      </c>
      <c r="N68" s="136">
        <f t="shared" si="73"/>
        <v>2.4373098499999997</v>
      </c>
      <c r="O68" s="136">
        <f t="shared" si="74"/>
        <v>-0.38734669250000031</v>
      </c>
      <c r="P68" s="136">
        <f t="shared" si="8"/>
        <v>0.14299999999999979</v>
      </c>
      <c r="Q68" s="136">
        <f t="shared" si="82"/>
        <v>2.192963157499999</v>
      </c>
      <c r="R68" s="318">
        <v>-0.56119697300000004</v>
      </c>
      <c r="S68" s="131">
        <f>R68*J68</f>
        <v>-2.2447878920000002</v>
      </c>
      <c r="T68">
        <f t="shared" si="10"/>
        <v>11</v>
      </c>
      <c r="V68">
        <f t="shared" si="46"/>
        <v>7.5940272919999998</v>
      </c>
      <c r="W68">
        <f t="shared" si="83"/>
        <v>11</v>
      </c>
      <c r="X68" s="131">
        <f t="shared" si="84"/>
        <v>4.3999999999999995</v>
      </c>
      <c r="Y68" s="131">
        <f t="shared" si="11"/>
        <v>7.5044515079999989</v>
      </c>
      <c r="Z68" s="131">
        <f t="shared" si="77"/>
        <v>-1.5493867700000012</v>
      </c>
      <c r="AA68" s="131">
        <f t="shared" si="78"/>
        <v>0.57199999999999918</v>
      </c>
      <c r="AB68" s="131">
        <f t="shared" si="47"/>
        <v>6.5270647379999964</v>
      </c>
      <c r="AD68" s="131" t="str">
        <f>IFERROR(#REF!*FlightConfig!$K$3,"")</f>
        <v/>
      </c>
      <c r="AE68" s="131">
        <f>IFERROR(V68*FlightConfig!$K$3,"")</f>
        <v>2764.2259342879997</v>
      </c>
      <c r="AF68" s="131">
        <f>IFERROR(W68*FlightConfig!$K$3,"")</f>
        <v>4004</v>
      </c>
      <c r="AG68" s="131">
        <f>IFERROR(X68*FlightConfig!$K$3,"")</f>
        <v>1601.6</v>
      </c>
      <c r="AH68" s="131">
        <f>IFERROR(Y68*FlightConfig!$K$3,"")</f>
        <v>2731.6203489119998</v>
      </c>
      <c r="AI68" s="131">
        <f>IFERROR(AB68*FlightConfig!$K$3,"")</f>
        <v>2375.8515646319988</v>
      </c>
    </row>
    <row r="69" spans="1:35" ht="30" x14ac:dyDescent="0.25">
      <c r="A69" t="s">
        <v>246</v>
      </c>
      <c r="B69" s="301">
        <v>2</v>
      </c>
      <c r="C69" s="178" t="str">
        <f t="shared" si="79"/>
        <v>CABIN CREW CLASS2</v>
      </c>
      <c r="D69" s="261"/>
      <c r="E69" s="271">
        <v>10076</v>
      </c>
      <c r="F69" s="277"/>
      <c r="G69" s="123" t="str">
        <f>VLOOKUP(E69,'[5]FG MASTER'!$A$10:$AB$203,2,0)</f>
        <v>CABIN CREW CM B - FRESH MOZZARELLA, PESTO MAYO, ROASTED TOMATO, BABY SPINACH, WHEAT TOLL, PASTA  PESTO SALAD</v>
      </c>
      <c r="H69" s="252">
        <v>1</v>
      </c>
      <c r="I69" s="176">
        <v>0.5</v>
      </c>
      <c r="J69" s="258">
        <f>IFERROR(IF(I69="std",H69,ROUND(HLOOKUP(A69,FlightConfig!$B$28:$G$29,2,0)*I69,0)),"")</f>
        <v>4</v>
      </c>
      <c r="K69" s="213">
        <f>VLOOKUP(Food!E69,'[5]FG MASTER'!$A$1:$AC$521,16,0)</f>
        <v>1.8118738499999998</v>
      </c>
      <c r="L69" s="214">
        <f>VLOOKUP(Food!E69,'FG MASTER'!A:AJ,17,0)</f>
        <v>2.75</v>
      </c>
      <c r="M69" s="136">
        <f t="shared" si="80"/>
        <v>1.0999999999999999</v>
      </c>
      <c r="N69" s="136">
        <f t="shared" si="73"/>
        <v>2.9118738499999997</v>
      </c>
      <c r="O69" s="136">
        <f t="shared" si="74"/>
        <v>0.23554360049999956</v>
      </c>
      <c r="P69" s="136">
        <f t="shared" si="8"/>
        <v>0.14299999999999979</v>
      </c>
      <c r="Q69" s="136">
        <f t="shared" si="82"/>
        <v>3.2904174504999988</v>
      </c>
      <c r="R69" s="318"/>
      <c r="S69" s="131"/>
      <c r="T69">
        <f t="shared" si="10"/>
        <v>11</v>
      </c>
      <c r="V69">
        <f t="shared" ref="V69:V133" si="102">IFERROR(K69*J69-R69*J69,"")</f>
        <v>7.2474953999999991</v>
      </c>
      <c r="W69">
        <f>L69*J69</f>
        <v>11</v>
      </c>
      <c r="X69" s="131">
        <f>+M69*J69</f>
        <v>4.3999999999999995</v>
      </c>
      <c r="Y69" s="131">
        <f t="shared" si="11"/>
        <v>11.647495399999999</v>
      </c>
      <c r="Z69" s="131">
        <f t="shared" si="77"/>
        <v>0.94217440199999825</v>
      </c>
      <c r="AA69" s="131">
        <f t="shared" si="78"/>
        <v>0.57199999999999918</v>
      </c>
      <c r="AB69" s="131">
        <f t="shared" ref="AB69:AB82" si="103">IFERROR(+(Q69+R69)*J69,"")</f>
        <v>13.161669801999995</v>
      </c>
      <c r="AD69" s="131" t="str">
        <f>IFERROR(#REF!*FlightConfig!$K$3,"")</f>
        <v/>
      </c>
      <c r="AE69" s="131">
        <f>IFERROR(V69*FlightConfig!$K$3,"")</f>
        <v>2638.0883255999997</v>
      </c>
      <c r="AF69" s="131">
        <f>IFERROR(W69*FlightConfig!$K$3,"")</f>
        <v>4004</v>
      </c>
      <c r="AG69" s="131">
        <f>IFERROR(X69*FlightConfig!$K$3,"")</f>
        <v>1601.6</v>
      </c>
      <c r="AH69" s="131">
        <f>IFERROR(Y69*FlightConfig!$K$3,"")</f>
        <v>4239.6883255999992</v>
      </c>
      <c r="AI69" s="131">
        <f>IFERROR(AB69*FlightConfig!$K$3,"")</f>
        <v>4790.8478079279985</v>
      </c>
    </row>
    <row r="70" spans="1:35" x14ac:dyDescent="0.25">
      <c r="A70" t="s">
        <v>246</v>
      </c>
      <c r="B70" s="301">
        <v>2</v>
      </c>
      <c r="C70" s="178" t="str">
        <f t="shared" si="79"/>
        <v>CABIN CREW CLASS2</v>
      </c>
      <c r="D70" s="261"/>
      <c r="E70" s="271">
        <v>10079</v>
      </c>
      <c r="F70" s="277"/>
      <c r="G70" s="123" t="str">
        <f>VLOOKUP(E70,'[5]FG MASTER'!$A$10:$AB$203,2,0)</f>
        <v>CREW VINAIGRETTE DRESSING</v>
      </c>
      <c r="H70" s="252">
        <v>1</v>
      </c>
      <c r="I70" s="176">
        <v>1</v>
      </c>
      <c r="J70" s="258">
        <f>IFERROR(IF(I70="std",H70,ROUND(HLOOKUP(A70,FlightConfig!$B$28:$G$29,2,0)*I70,0)),"")</f>
        <v>8</v>
      </c>
      <c r="K70" s="213">
        <f>VLOOKUP(Food!E70,'[5]FG MASTER'!$A$1:$AC$521,16,0)</f>
        <v>0.1065</v>
      </c>
      <c r="L70" s="214">
        <f>VLOOKUP(Food!E70,'FG MASTER'!A:AJ,17,0)</f>
        <v>0.2</v>
      </c>
      <c r="M70" s="136">
        <f t="shared" si="80"/>
        <v>0.08</v>
      </c>
      <c r="N70" s="136">
        <f t="shared" si="73"/>
        <v>0.1865</v>
      </c>
      <c r="O70" s="136">
        <f t="shared" si="74"/>
        <v>1.3844999999999982E-2</v>
      </c>
      <c r="P70" s="136">
        <f t="shared" si="8"/>
        <v>1.0399999999999993E-2</v>
      </c>
      <c r="Q70" s="136">
        <f t="shared" si="82"/>
        <v>0.21074499999999999</v>
      </c>
      <c r="R70" s="318"/>
      <c r="S70" s="131"/>
      <c r="T70">
        <f t="shared" si="10"/>
        <v>1.6</v>
      </c>
      <c r="V70">
        <f t="shared" si="102"/>
        <v>0.85199999999999998</v>
      </c>
      <c r="W70">
        <f>L70*J70</f>
        <v>1.6</v>
      </c>
      <c r="X70" s="131">
        <f>+M70*J70</f>
        <v>0.64</v>
      </c>
      <c r="Y70" s="131">
        <f t="shared" si="11"/>
        <v>1.492</v>
      </c>
      <c r="Z70" s="131">
        <f t="shared" si="77"/>
        <v>0.11075999999999986</v>
      </c>
      <c r="AA70" s="131">
        <f t="shared" si="78"/>
        <v>8.3199999999999941E-2</v>
      </c>
      <c r="AB70" s="131">
        <f t="shared" si="103"/>
        <v>1.6859599999999999</v>
      </c>
      <c r="AD70" s="131" t="str">
        <f>IFERROR(#REF!*FlightConfig!$K$3,"")</f>
        <v/>
      </c>
      <c r="AE70" s="131">
        <f>IFERROR(V70*FlightConfig!$K$3,"")</f>
        <v>310.12799999999999</v>
      </c>
      <c r="AF70" s="131">
        <f>IFERROR(W70*FlightConfig!$K$3,"")</f>
        <v>582.4</v>
      </c>
      <c r="AG70" s="131">
        <f>IFERROR(X70*FlightConfig!$K$3,"")</f>
        <v>232.96</v>
      </c>
      <c r="AH70" s="131">
        <f>IFERROR(Y70*FlightConfig!$K$3,"")</f>
        <v>543.08799999999997</v>
      </c>
      <c r="AI70" s="131">
        <f>IFERROR(AB70*FlightConfig!$K$3,"")</f>
        <v>613.68943999999999</v>
      </c>
    </row>
    <row r="71" spans="1:35" x14ac:dyDescent="0.25">
      <c r="A71" t="s">
        <v>246</v>
      </c>
      <c r="B71" s="301">
        <v>2</v>
      </c>
      <c r="C71" s="178" t="str">
        <f t="shared" si="79"/>
        <v>CABIN CREW CLASS2</v>
      </c>
      <c r="D71" s="261"/>
      <c r="E71" s="270">
        <v>10072</v>
      </c>
      <c r="F71" s="277"/>
      <c r="G71" s="123" t="str">
        <f>VLOOKUP(E71,'[5]FG MASTER'!$A$10:$AB$203,2,0)</f>
        <v>CREW BUTTER</v>
      </c>
      <c r="H71" s="252">
        <v>1</v>
      </c>
      <c r="I71" s="176">
        <v>1</v>
      </c>
      <c r="J71" s="258">
        <f>IFERROR(IF(I71="std",H71,ROUND(HLOOKUP(A71,FlightConfig!$B$28:$G$29,2,0)*I71,0)),"")</f>
        <v>8</v>
      </c>
      <c r="K71" s="213">
        <f>VLOOKUP(Food!E71,'[5]FG MASTER'!$A$1:$AC$521,16,0)</f>
        <v>0.11714999999999999</v>
      </c>
      <c r="L71" s="214">
        <f>VLOOKUP(Food!E71,'FG MASTER'!A:AJ,17,0)</f>
        <v>0.2</v>
      </c>
      <c r="M71" s="136">
        <f t="shared" si="80"/>
        <v>0.08</v>
      </c>
      <c r="N71" s="136">
        <f t="shared" si="73"/>
        <v>0.19714999999999999</v>
      </c>
      <c r="O71" s="136">
        <f t="shared" si="74"/>
        <v>1.5229499999999993E-2</v>
      </c>
      <c r="P71" s="136">
        <f t="shared" si="8"/>
        <v>1.0399999999999993E-2</v>
      </c>
      <c r="Q71" s="136">
        <f t="shared" si="82"/>
        <v>0.22277949999999999</v>
      </c>
      <c r="R71" s="318"/>
      <c r="S71" s="131"/>
      <c r="T71">
        <f t="shared" si="10"/>
        <v>1.6</v>
      </c>
      <c r="V71">
        <f t="shared" si="102"/>
        <v>0.93719999999999992</v>
      </c>
      <c r="W71">
        <f>IFERROR(+L71*J71,"")</f>
        <v>1.6</v>
      </c>
      <c r="X71" s="131">
        <f>IFERROR(+M71*J71,"")</f>
        <v>0.64</v>
      </c>
      <c r="Y71" s="131">
        <f t="shared" ref="Y71:Y83" si="104">IFERROR(+N71*J71+R71*J71,"")</f>
        <v>1.5771999999999999</v>
      </c>
      <c r="Z71" s="131">
        <f t="shared" si="77"/>
        <v>0.12183599999999994</v>
      </c>
      <c r="AA71" s="131">
        <f t="shared" si="78"/>
        <v>8.3199999999999941E-2</v>
      </c>
      <c r="AB71" s="131">
        <f t="shared" si="103"/>
        <v>1.7822359999999999</v>
      </c>
      <c r="AD71" s="131" t="str">
        <f>IFERROR(#REF!*FlightConfig!$K$3,"")</f>
        <v/>
      </c>
      <c r="AE71" s="131">
        <f>IFERROR(V71*FlightConfig!$K$3,"")</f>
        <v>341.14079999999996</v>
      </c>
      <c r="AF71" s="131">
        <f>IFERROR(W71*FlightConfig!$K$3,"")</f>
        <v>582.4</v>
      </c>
      <c r="AG71" s="131">
        <f>IFERROR(X71*FlightConfig!$K$3,"")</f>
        <v>232.96</v>
      </c>
      <c r="AH71" s="131">
        <f>IFERROR(Y71*FlightConfig!$K$3,"")</f>
        <v>574.10079999999994</v>
      </c>
      <c r="AI71" s="131">
        <f>IFERROR(AB71*FlightConfig!$K$3,"")</f>
        <v>648.73390399999994</v>
      </c>
    </row>
    <row r="72" spans="1:35" x14ac:dyDescent="0.25">
      <c r="A72" t="s">
        <v>246</v>
      </c>
      <c r="B72" s="301">
        <v>2</v>
      </c>
      <c r="C72" s="178" t="str">
        <f t="shared" si="79"/>
        <v>CABIN CREW CLASS2</v>
      </c>
      <c r="D72" s="261"/>
      <c r="E72" s="271">
        <v>10073</v>
      </c>
      <c r="F72" s="277"/>
      <c r="G72" s="123" t="str">
        <f>VLOOKUP(E72,'[5]FG MASTER'!$A$10:$AB$203,2,0)</f>
        <v>CREW CUTLERY DISPOSAL</v>
      </c>
      <c r="H72" s="252">
        <v>1</v>
      </c>
      <c r="I72" s="176">
        <v>1</v>
      </c>
      <c r="J72" s="258">
        <f>IFERROR(IF(I72="std",H72,ROUND(HLOOKUP(A72,FlightConfig!$B$28:$G$29,2,0)*I72,0)),"")</f>
        <v>8</v>
      </c>
      <c r="K72" s="213">
        <f>VLOOKUP(Food!E72,'[5]FG MASTER'!$A$1:$AC$521,16,0)</f>
        <v>0.1065</v>
      </c>
      <c r="L72" s="214">
        <f>VLOOKUP(Food!E72,'FG MASTER'!A:AJ,17,0)</f>
        <v>0.2</v>
      </c>
      <c r="M72" s="136">
        <f t="shared" si="80"/>
        <v>0.08</v>
      </c>
      <c r="N72" s="136">
        <f t="shared" si="73"/>
        <v>0.1865</v>
      </c>
      <c r="O72" s="136">
        <f t="shared" si="74"/>
        <v>1.3844999999999982E-2</v>
      </c>
      <c r="P72" s="136">
        <f t="shared" si="8"/>
        <v>1.0399999999999993E-2</v>
      </c>
      <c r="Q72" s="136">
        <f t="shared" si="82"/>
        <v>0.21074499999999999</v>
      </c>
      <c r="R72" s="318"/>
      <c r="S72" s="131"/>
      <c r="T72">
        <f t="shared" si="10"/>
        <v>1.6</v>
      </c>
      <c r="V72">
        <f t="shared" si="102"/>
        <v>0.85199999999999998</v>
      </c>
      <c r="W72">
        <f>IFERROR(+L72*J72,"")</f>
        <v>1.6</v>
      </c>
      <c r="X72" s="131">
        <f>IFERROR(+M72*J72,"")</f>
        <v>0.64</v>
      </c>
      <c r="Y72" s="131">
        <f t="shared" si="104"/>
        <v>1.492</v>
      </c>
      <c r="Z72" s="131">
        <f t="shared" si="77"/>
        <v>0.11075999999999986</v>
      </c>
      <c r="AA72" s="131">
        <f t="shared" si="78"/>
        <v>8.3199999999999941E-2</v>
      </c>
      <c r="AB72" s="131">
        <f t="shared" si="103"/>
        <v>1.6859599999999999</v>
      </c>
      <c r="AD72" s="131" t="str">
        <f>IFERROR(#REF!*FlightConfig!$K$3,"")</f>
        <v/>
      </c>
      <c r="AE72" s="131">
        <f>IFERROR(V72*FlightConfig!$K$3,"")</f>
        <v>310.12799999999999</v>
      </c>
      <c r="AF72" s="131">
        <f>IFERROR(W72*FlightConfig!$K$3,"")</f>
        <v>582.4</v>
      </c>
      <c r="AG72" s="131">
        <f>IFERROR(X72*FlightConfig!$K$3,"")</f>
        <v>232.96</v>
      </c>
      <c r="AH72" s="131">
        <f>IFERROR(Y72*FlightConfig!$K$3,"")</f>
        <v>543.08799999999997</v>
      </c>
      <c r="AI72" s="131">
        <f>IFERROR(AB72*FlightConfig!$K$3,"")</f>
        <v>613.68943999999999</v>
      </c>
    </row>
    <row r="73" spans="1:35" x14ac:dyDescent="0.25">
      <c r="A73" t="s">
        <v>246</v>
      </c>
      <c r="B73" s="301">
        <v>2</v>
      </c>
      <c r="C73" s="178" t="str">
        <f t="shared" si="79"/>
        <v>CABIN CREW CLASS2</v>
      </c>
      <c r="D73" s="261"/>
      <c r="E73" s="271">
        <v>10074</v>
      </c>
      <c r="F73" s="277"/>
      <c r="G73" s="123" t="str">
        <f>VLOOKUP(E73,'[5]FG MASTER'!$A$10:$AB$203,2,0)</f>
        <v>CREW BREAD MILTIGRAIN</v>
      </c>
      <c r="H73" s="252">
        <v>1</v>
      </c>
      <c r="I73" s="176">
        <v>1</v>
      </c>
      <c r="J73" s="258">
        <f>IFERROR(IF(I73="std",H73,ROUND(HLOOKUP(A73,FlightConfig!$B$28:$G$29,2,0)*I73,0)),"")</f>
        <v>8</v>
      </c>
      <c r="K73" s="213">
        <f>VLOOKUP(Food!E73,'[5]FG MASTER'!$A$1:$AC$521,16,0)</f>
        <v>0.26624999999999999</v>
      </c>
      <c r="L73" s="214">
        <f>VLOOKUP(Food!E73,'FG MASTER'!A:AJ,17,0)</f>
        <v>0.2</v>
      </c>
      <c r="M73" s="136">
        <f t="shared" si="80"/>
        <v>0.08</v>
      </c>
      <c r="N73" s="136">
        <f t="shared" si="73"/>
        <v>0.34625</v>
      </c>
      <c r="O73" s="136">
        <f t="shared" si="74"/>
        <v>3.461249999999999E-2</v>
      </c>
      <c r="P73" s="136">
        <f t="shared" si="8"/>
        <v>1.0399999999999993E-2</v>
      </c>
      <c r="Q73" s="136">
        <f t="shared" si="82"/>
        <v>0.39126249999999996</v>
      </c>
      <c r="R73" s="318"/>
      <c r="S73" s="131"/>
      <c r="T73">
        <f t="shared" si="10"/>
        <v>1.6</v>
      </c>
      <c r="V73">
        <f t="shared" si="102"/>
        <v>2.13</v>
      </c>
      <c r="W73">
        <f>IFERROR(+L73*J73,"")</f>
        <v>1.6</v>
      </c>
      <c r="X73" s="131">
        <f>IFERROR(+M73*J73,"")</f>
        <v>0.64</v>
      </c>
      <c r="Y73" s="131">
        <f t="shared" si="104"/>
        <v>2.77</v>
      </c>
      <c r="Z73" s="131">
        <f t="shared" si="77"/>
        <v>0.27689999999999992</v>
      </c>
      <c r="AA73" s="131">
        <f t="shared" si="78"/>
        <v>8.3199999999999941E-2</v>
      </c>
      <c r="AB73" s="131">
        <f t="shared" si="103"/>
        <v>3.1300999999999997</v>
      </c>
      <c r="AD73" s="131" t="str">
        <f>IFERROR(#REF!*FlightConfig!$K$3,"")</f>
        <v/>
      </c>
      <c r="AE73" s="131">
        <f>IFERROR(V73*FlightConfig!$K$3,"")</f>
        <v>775.31999999999994</v>
      </c>
      <c r="AF73" s="131">
        <f>IFERROR(W73*FlightConfig!$K$3,"")</f>
        <v>582.4</v>
      </c>
      <c r="AG73" s="131">
        <f>IFERROR(X73*FlightConfig!$K$3,"")</f>
        <v>232.96</v>
      </c>
      <c r="AH73" s="131">
        <f>IFERROR(Y73*FlightConfig!$K$3,"")</f>
        <v>1008.28</v>
      </c>
      <c r="AI73" s="131">
        <f>IFERROR(AB73*FlightConfig!$K$3,"")</f>
        <v>1139.3563999999999</v>
      </c>
    </row>
    <row r="74" spans="1:35" x14ac:dyDescent="0.25">
      <c r="A74" t="s">
        <v>246</v>
      </c>
      <c r="B74" s="301">
        <v>2</v>
      </c>
      <c r="C74" s="178" t="str">
        <f t="shared" si="79"/>
        <v>CABIN CREW CLASS2</v>
      </c>
      <c r="D74" s="261"/>
      <c r="E74" s="271">
        <v>10081</v>
      </c>
      <c r="F74" s="277"/>
      <c r="G74" s="123" t="str">
        <f>VLOOKUP(E74,'[5]FG MASTER'!$A$10:$AB$203,2,0)</f>
        <v>CABIN CREW K HM SALAD CHOPPED ROMAIN LETTUCE, CUCUMBER SLICE, CARROT JULIENNE</v>
      </c>
      <c r="H74" s="252">
        <v>1</v>
      </c>
      <c r="I74" s="176">
        <v>0.5</v>
      </c>
      <c r="J74" s="258">
        <f>IFERROR(IF(I74="std",H74,ROUND(HLOOKUP(A74,FlightConfig!$B$28:$G$29,2,0)*I74,0)),"")</f>
        <v>4</v>
      </c>
      <c r="K74" s="213">
        <f>VLOOKUP(Food!E74,'[5]FG MASTER'!$A$1:$AC$521,16,0)</f>
        <v>0.30884999999999996</v>
      </c>
      <c r="L74" s="214">
        <f>VLOOKUP(Food!E74,'FG MASTER'!A:AJ,17,0)</f>
        <v>1.05</v>
      </c>
      <c r="M74" s="136">
        <f t="shared" si="80"/>
        <v>0.42</v>
      </c>
      <c r="N74" s="136">
        <f t="shared" si="73"/>
        <v>0.72885</v>
      </c>
      <c r="O74" s="136">
        <f t="shared" si="74"/>
        <v>4.0150499999999978E-2</v>
      </c>
      <c r="P74" s="136">
        <f t="shared" si="8"/>
        <v>5.4599999999999926E-2</v>
      </c>
      <c r="Q74" s="136">
        <f t="shared" si="82"/>
        <v>0.82360049999999996</v>
      </c>
      <c r="R74" s="318"/>
      <c r="S74" s="131"/>
      <c r="T74">
        <f t="shared" si="10"/>
        <v>4.2</v>
      </c>
      <c r="V74">
        <f t="shared" si="102"/>
        <v>1.2353999999999998</v>
      </c>
      <c r="W74">
        <f>IFERROR(+L74*J74,"")</f>
        <v>4.2</v>
      </c>
      <c r="X74" s="131">
        <f>IFERROR(+M74*J74,"")</f>
        <v>1.68</v>
      </c>
      <c r="Y74" s="131">
        <f t="shared" si="104"/>
        <v>2.9154</v>
      </c>
      <c r="Z74" s="131">
        <f t="shared" si="77"/>
        <v>0.16060199999999991</v>
      </c>
      <c r="AA74" s="131">
        <f t="shared" si="78"/>
        <v>0.21839999999999971</v>
      </c>
      <c r="AB74" s="131">
        <f t="shared" si="103"/>
        <v>3.2944019999999998</v>
      </c>
      <c r="AD74" s="131" t="str">
        <f>IFERROR(#REF!*FlightConfig!$K$3,"")</f>
        <v/>
      </c>
      <c r="AE74" s="131">
        <f>IFERROR(V74*FlightConfig!$K$3,"")</f>
        <v>449.68559999999997</v>
      </c>
      <c r="AF74" s="131">
        <f>IFERROR(W74*FlightConfig!$K$3,"")</f>
        <v>1528.8</v>
      </c>
      <c r="AG74" s="131">
        <f>IFERROR(X74*FlightConfig!$K$3,"")</f>
        <v>611.52</v>
      </c>
      <c r="AH74" s="131">
        <f>IFERROR(Y74*FlightConfig!$K$3,"")</f>
        <v>1061.2056</v>
      </c>
      <c r="AI74" s="131">
        <f>IFERROR(AB74*FlightConfig!$K$3,"")</f>
        <v>1199.1623279999999</v>
      </c>
    </row>
    <row r="75" spans="1:35" ht="30" x14ac:dyDescent="0.25">
      <c r="A75" t="s">
        <v>246</v>
      </c>
      <c r="B75" s="301">
        <v>2</v>
      </c>
      <c r="C75" s="178" t="str">
        <f t="shared" ref="C75:C82" si="105">CONCATENATE(A75&amp;B75&amp;F75)</f>
        <v>CABIN CREW CLASS2</v>
      </c>
      <c r="D75" s="261"/>
      <c r="E75" s="271">
        <v>10016</v>
      </c>
      <c r="F75" s="277"/>
      <c r="G75" s="123" t="str">
        <f>VLOOKUP(E75,'[5]FG MASTER'!$A$10:$AB$203,2,0)</f>
        <v>BC C3 HM C POULTRY ROAST LEMON CHICKEN LEG QUARTER, PICCATA SAUCE, FINGERLING POTATO, BROCCOLINI, YELLOW SQUASH</v>
      </c>
      <c r="H75" s="252">
        <v>1</v>
      </c>
      <c r="I75" s="176">
        <v>0.5</v>
      </c>
      <c r="J75" s="258">
        <f>IFERROR(IF(I75="std",H75,ROUND(HLOOKUP(A75,FlightConfig!$B$28:$G$29,2,0)*I75,0)),"")</f>
        <v>4</v>
      </c>
      <c r="K75" s="213">
        <f>VLOOKUP(Food!E75,'[5]FG MASTER'!$A$1:$AC$521,16,0)</f>
        <v>1.8201915</v>
      </c>
      <c r="L75" s="214">
        <f>VLOOKUP(Food!E75,'FG MASTER'!A:AJ,17,0)</f>
        <v>6.5</v>
      </c>
      <c r="M75" s="136">
        <f t="shared" ref="M75:M82" si="106">IFERROR(L75*$M$2,"")</f>
        <v>2.5999999999999996</v>
      </c>
      <c r="N75" s="136">
        <f t="shared" ref="N75:N82" si="107">IFERROR((K75)+M75,"")</f>
        <v>4.4201914999999996</v>
      </c>
      <c r="O75" s="136">
        <f t="shared" si="74"/>
        <v>0.23662489499999984</v>
      </c>
      <c r="P75" s="136">
        <f t="shared" si="8"/>
        <v>0.33799999999999963</v>
      </c>
      <c r="Q75" s="136">
        <f t="shared" ref="Q75:Q82" si="108">SUM(N75:P75)</f>
        <v>4.9948163949999991</v>
      </c>
      <c r="R75" s="318"/>
      <c r="S75" s="131"/>
      <c r="T75" s="293">
        <f>(L75/2)*J75</f>
        <v>13</v>
      </c>
      <c r="V75">
        <f t="shared" si="102"/>
        <v>7.2807659999999998</v>
      </c>
      <c r="W75">
        <f>L75*J75</f>
        <v>26</v>
      </c>
      <c r="X75" s="131">
        <f>+M75*J75</f>
        <v>10.399999999999999</v>
      </c>
      <c r="Y75" s="131">
        <f t="shared" si="104"/>
        <v>17.680765999999998</v>
      </c>
      <c r="Z75" s="131">
        <f t="shared" ref="Z75:Z82" si="109">IFERROR(O75*$J75,"")</f>
        <v>0.94649957999999934</v>
      </c>
      <c r="AA75" s="131">
        <f t="shared" ref="AA75:AA82" si="110">IFERROR(P75*$J75,"")</f>
        <v>1.3519999999999985</v>
      </c>
      <c r="AB75" s="131">
        <f t="shared" si="103"/>
        <v>19.979265579999996</v>
      </c>
      <c r="AD75" s="131" t="str">
        <f>IFERROR(#REF!*FlightConfig!$K$3,"")</f>
        <v/>
      </c>
      <c r="AE75" s="131">
        <f>IFERROR(V75*FlightConfig!$K$3,"")</f>
        <v>2650.1988240000001</v>
      </c>
      <c r="AF75" s="131">
        <f>IFERROR(W75*FlightConfig!$K$3,"")</f>
        <v>9464</v>
      </c>
      <c r="AG75" s="131">
        <f>IFERROR(X75*FlightConfig!$K$3,"")</f>
        <v>3785.5999999999995</v>
      </c>
      <c r="AH75" s="131">
        <f>IFERROR(Y75*FlightConfig!$K$3,"")</f>
        <v>6435.7988239999995</v>
      </c>
      <c r="AI75" s="131">
        <f>IFERROR(AB75*FlightConfig!$K$3,"")</f>
        <v>7272.4526711199987</v>
      </c>
    </row>
    <row r="76" spans="1:35" ht="30" x14ac:dyDescent="0.25">
      <c r="A76" t="s">
        <v>246</v>
      </c>
      <c r="B76" s="301">
        <v>2</v>
      </c>
      <c r="C76" s="178" t="str">
        <f t="shared" si="105"/>
        <v>CABIN CREW CLASS2</v>
      </c>
      <c r="D76" s="261"/>
      <c r="E76" s="271">
        <v>10014</v>
      </c>
      <c r="F76" s="277"/>
      <c r="G76" s="123" t="str">
        <f>VLOOKUP(E76,'[5]FG MASTER'!$A$10:$AB$203,2,0)</f>
        <v>BC C3 HM A MEAT SMOKED BRAISED SHORT RIB, BBQ JUS, MASHED POTATOES, GREEN BEANS, CHERRY TOMATOES</v>
      </c>
      <c r="H76" s="252">
        <v>1</v>
      </c>
      <c r="I76" s="176">
        <v>0.5</v>
      </c>
      <c r="J76" s="258">
        <f>IFERROR(IF(I76="std",H76,ROUND(HLOOKUP(A76,FlightConfig!$B$28:$G$29,2,0)*I76,0)),"")</f>
        <v>4</v>
      </c>
      <c r="K76" s="213">
        <f>VLOOKUP(Food!E76,'[5]FG MASTER'!$A$1:$AC$521,16,0)</f>
        <v>10.4415795</v>
      </c>
      <c r="L76" s="214">
        <f>VLOOKUP(Food!E76,'FG MASTER'!A:AJ,17,0)</f>
        <v>6</v>
      </c>
      <c r="M76" s="136">
        <f t="shared" si="106"/>
        <v>2.4</v>
      </c>
      <c r="N76" s="136">
        <f t="shared" si="107"/>
        <v>12.8415795</v>
      </c>
      <c r="O76" s="136">
        <f t="shared" si="74"/>
        <v>1.3574053349999993</v>
      </c>
      <c r="P76" s="136">
        <f t="shared" si="8"/>
        <v>0.31199999999999983</v>
      </c>
      <c r="Q76" s="136">
        <f t="shared" si="108"/>
        <v>14.510984834999999</v>
      </c>
      <c r="R76" s="318"/>
      <c r="S76" s="131"/>
      <c r="T76" s="293">
        <f>(L76/2)*J76</f>
        <v>12</v>
      </c>
      <c r="V76">
        <f t="shared" si="102"/>
        <v>41.766317999999998</v>
      </c>
      <c r="W76">
        <f>L76*J76</f>
        <v>24</v>
      </c>
      <c r="X76" s="131">
        <f>+M76*J76</f>
        <v>9.6</v>
      </c>
      <c r="Y76" s="131">
        <f t="shared" si="104"/>
        <v>51.366318</v>
      </c>
      <c r="Z76" s="131">
        <f t="shared" si="109"/>
        <v>5.4296213399999971</v>
      </c>
      <c r="AA76" s="131">
        <f t="shared" si="110"/>
        <v>1.2479999999999993</v>
      </c>
      <c r="AB76" s="131">
        <f t="shared" si="103"/>
        <v>58.043939339999994</v>
      </c>
      <c r="AD76" s="131" t="str">
        <f>IFERROR(#REF!*FlightConfig!$K$3,"")</f>
        <v/>
      </c>
      <c r="AE76" s="131">
        <f>IFERROR(V76*FlightConfig!$K$3,"")</f>
        <v>15202.939752</v>
      </c>
      <c r="AF76" s="131">
        <f>IFERROR(W76*FlightConfig!$K$3,"")</f>
        <v>8736</v>
      </c>
      <c r="AG76" s="131">
        <f>IFERROR(X76*FlightConfig!$K$3,"")</f>
        <v>3494.4</v>
      </c>
      <c r="AH76" s="131">
        <f>IFERROR(Y76*FlightConfig!$K$3,"")</f>
        <v>18697.339752</v>
      </c>
      <c r="AI76" s="131">
        <f>IFERROR(AB76*FlightConfig!$K$3,"")</f>
        <v>21127.99391976</v>
      </c>
    </row>
    <row r="77" spans="1:35" x14ac:dyDescent="0.25">
      <c r="A77" t="s">
        <v>246</v>
      </c>
      <c r="B77" s="301">
        <v>2</v>
      </c>
      <c r="C77" s="178" t="str">
        <f t="shared" si="105"/>
        <v>CABIN CREW CLASS2</v>
      </c>
      <c r="D77" s="261"/>
      <c r="E77" s="271">
        <v>10073</v>
      </c>
      <c r="F77" s="277"/>
      <c r="G77" s="123" t="str">
        <f>VLOOKUP(E77,'[5]FG MASTER'!$A$10:$AB$203,2,0)</f>
        <v>CREW CUTLERY DISPOSAL</v>
      </c>
      <c r="H77" s="252">
        <v>1</v>
      </c>
      <c r="I77" s="176">
        <v>1</v>
      </c>
      <c r="J77" s="258">
        <f>IFERROR(IF(I77="std",H77,ROUND(HLOOKUP(A77,FlightConfig!$B$28:$G$29,2,0)*I77,0)),"")</f>
        <v>8</v>
      </c>
      <c r="K77" s="213">
        <f>VLOOKUP(Food!E77,'[5]FG MASTER'!$A$1:$AC$521,16,0)</f>
        <v>0.1065</v>
      </c>
      <c r="L77" s="214">
        <f>VLOOKUP(Food!E77,'FG MASTER'!A:AJ,17,0)</f>
        <v>0.2</v>
      </c>
      <c r="M77" s="136">
        <f t="shared" si="106"/>
        <v>0.08</v>
      </c>
      <c r="N77" s="136">
        <f t="shared" si="107"/>
        <v>0.1865</v>
      </c>
      <c r="O77" s="136">
        <f t="shared" si="74"/>
        <v>1.3844999999999982E-2</v>
      </c>
      <c r="P77" s="136">
        <f t="shared" si="8"/>
        <v>1.0399999999999993E-2</v>
      </c>
      <c r="Q77" s="136">
        <f t="shared" si="108"/>
        <v>0.21074499999999999</v>
      </c>
      <c r="R77" s="318"/>
      <c r="S77" s="131"/>
      <c r="T77">
        <f t="shared" ref="T77:T82" si="111">L77*J77</f>
        <v>1.6</v>
      </c>
      <c r="V77">
        <f t="shared" si="102"/>
        <v>0.85199999999999998</v>
      </c>
      <c r="W77">
        <f t="shared" ref="W77:W82" si="112">IFERROR(+L77*J77,"")</f>
        <v>1.6</v>
      </c>
      <c r="X77" s="131">
        <f t="shared" ref="X77:X82" si="113">IFERROR(+M77*J77,"")</f>
        <v>0.64</v>
      </c>
      <c r="Y77" s="131">
        <f t="shared" si="104"/>
        <v>1.492</v>
      </c>
      <c r="Z77" s="131">
        <f t="shared" si="109"/>
        <v>0.11075999999999986</v>
      </c>
      <c r="AA77" s="131">
        <f t="shared" si="110"/>
        <v>8.3199999999999941E-2</v>
      </c>
      <c r="AB77" s="131">
        <f t="shared" si="103"/>
        <v>1.6859599999999999</v>
      </c>
      <c r="AD77" s="131" t="str">
        <f>IFERROR(#REF!*FlightConfig!$K$3,"")</f>
        <v/>
      </c>
      <c r="AE77" s="131">
        <f>IFERROR(V77*FlightConfig!$K$3,"")</f>
        <v>310.12799999999999</v>
      </c>
      <c r="AF77" s="131">
        <f>IFERROR(W77*FlightConfig!$K$3,"")</f>
        <v>582.4</v>
      </c>
      <c r="AG77" s="131">
        <f>IFERROR(X77*FlightConfig!$K$3,"")</f>
        <v>232.96</v>
      </c>
      <c r="AH77" s="131">
        <f>IFERROR(Y77*FlightConfig!$K$3,"")</f>
        <v>543.08799999999997</v>
      </c>
      <c r="AI77" s="131">
        <f>IFERROR(AB77*FlightConfig!$K$3,"")</f>
        <v>613.68943999999999</v>
      </c>
    </row>
    <row r="78" spans="1:35" x14ac:dyDescent="0.25">
      <c r="A78" t="s">
        <v>246</v>
      </c>
      <c r="B78" s="301">
        <v>2</v>
      </c>
      <c r="C78" s="178" t="str">
        <f t="shared" si="105"/>
        <v>CABIN CREW CLASS2</v>
      </c>
      <c r="D78" s="261"/>
      <c r="E78" s="271">
        <v>10082</v>
      </c>
      <c r="F78" s="277"/>
      <c r="G78" s="123" t="str">
        <f>VLOOKUP(E78,'[5]FG MASTER'!$A$10:$AB$203,2,0)</f>
        <v>CREW YOGURT</v>
      </c>
      <c r="H78" s="252">
        <v>1</v>
      </c>
      <c r="I78" s="176">
        <v>1</v>
      </c>
      <c r="J78" s="258">
        <f>IFERROR(IF(I78="std",H78,ROUND(HLOOKUP(A78,FlightConfig!$B$28:$G$29,2,0)*I78,0)),"")</f>
        <v>8</v>
      </c>
      <c r="K78" s="213">
        <f>VLOOKUP(Food!E78,'[5]FG MASTER'!$A$1:$AC$521,16,0)</f>
        <v>0.47925000000000001</v>
      </c>
      <c r="L78" s="214">
        <f>VLOOKUP(Food!E78,'FG MASTER'!A:AJ,17,0)</f>
        <v>0.2</v>
      </c>
      <c r="M78" s="136">
        <f t="shared" si="106"/>
        <v>0.08</v>
      </c>
      <c r="N78" s="136">
        <f t="shared" si="107"/>
        <v>0.55925000000000002</v>
      </c>
      <c r="O78" s="136">
        <f t="shared" si="74"/>
        <v>6.2302499999999983E-2</v>
      </c>
      <c r="P78" s="136">
        <f t="shared" si="8"/>
        <v>1.0399999999999993E-2</v>
      </c>
      <c r="Q78" s="136">
        <f t="shared" si="108"/>
        <v>0.63195249999999992</v>
      </c>
      <c r="R78" s="318"/>
      <c r="S78" s="131"/>
      <c r="T78">
        <f t="shared" si="111"/>
        <v>1.6</v>
      </c>
      <c r="V78">
        <f t="shared" si="102"/>
        <v>3.8340000000000001</v>
      </c>
      <c r="W78">
        <f t="shared" si="112"/>
        <v>1.6</v>
      </c>
      <c r="X78" s="131">
        <f t="shared" si="113"/>
        <v>0.64</v>
      </c>
      <c r="Y78" s="131">
        <f t="shared" si="104"/>
        <v>4.4740000000000002</v>
      </c>
      <c r="Z78" s="131">
        <f t="shared" si="109"/>
        <v>0.49841999999999986</v>
      </c>
      <c r="AA78" s="131">
        <f t="shared" si="110"/>
        <v>8.3199999999999941E-2</v>
      </c>
      <c r="AB78" s="131">
        <f t="shared" si="103"/>
        <v>5.0556199999999993</v>
      </c>
      <c r="AD78" s="131" t="str">
        <f>IFERROR(#REF!*FlightConfig!$K$3,"")</f>
        <v/>
      </c>
      <c r="AE78" s="131">
        <f>IFERROR(V78*FlightConfig!$K$3,"")</f>
        <v>1395.576</v>
      </c>
      <c r="AF78" s="131">
        <f>IFERROR(W78*FlightConfig!$K$3,"")</f>
        <v>582.4</v>
      </c>
      <c r="AG78" s="131">
        <f>IFERROR(X78*FlightConfig!$K$3,"")</f>
        <v>232.96</v>
      </c>
      <c r="AH78" s="131">
        <f>IFERROR(Y78*FlightConfig!$K$3,"")</f>
        <v>1628.5360000000001</v>
      </c>
      <c r="AI78" s="131">
        <f>IFERROR(AB78*FlightConfig!$K$3,"")</f>
        <v>1840.2456799999998</v>
      </c>
    </row>
    <row r="79" spans="1:35" x14ac:dyDescent="0.25">
      <c r="A79" t="s">
        <v>246</v>
      </c>
      <c r="B79" s="301">
        <v>2</v>
      </c>
      <c r="C79" s="178" t="str">
        <f t="shared" si="105"/>
        <v>CABIN CREW CLASS2</v>
      </c>
      <c r="D79" s="261"/>
      <c r="E79" s="271">
        <v>10083</v>
      </c>
      <c r="F79" s="277"/>
      <c r="G79" s="123" t="str">
        <f>VLOOKUP(E79,'[5]FG MASTER'!$A$10:$AB$203,2,0)</f>
        <v xml:space="preserve">CREW CHEESE </v>
      </c>
      <c r="H79" s="252">
        <v>1</v>
      </c>
      <c r="I79" s="176">
        <v>1</v>
      </c>
      <c r="J79" s="258">
        <f>IFERROR(IF(I79="std",H79,ROUND(HLOOKUP(A79,FlightConfig!$B$28:$G$29,2,0)*I79,0)),"")</f>
        <v>8</v>
      </c>
      <c r="K79" s="213">
        <f>VLOOKUP(Food!E79,'[5]FG MASTER'!$A$1:$AC$521,16,0)</f>
        <v>0.31949999999999995</v>
      </c>
      <c r="L79" s="214">
        <f>VLOOKUP(Food!E79,'FG MASTER'!A:AJ,17,0)</f>
        <v>0.2</v>
      </c>
      <c r="M79" s="136">
        <f t="shared" si="106"/>
        <v>0.08</v>
      </c>
      <c r="N79" s="136">
        <f t="shared" si="107"/>
        <v>0.39949999999999997</v>
      </c>
      <c r="O79" s="136">
        <f t="shared" si="74"/>
        <v>4.1534999999999933E-2</v>
      </c>
      <c r="P79" s="136">
        <f t="shared" si="8"/>
        <v>1.0399999999999993E-2</v>
      </c>
      <c r="Q79" s="136">
        <f t="shared" si="108"/>
        <v>0.45143499999999992</v>
      </c>
      <c r="R79" s="318"/>
      <c r="S79" s="131"/>
      <c r="T79">
        <f t="shared" si="111"/>
        <v>1.6</v>
      </c>
      <c r="V79">
        <f t="shared" si="102"/>
        <v>2.5559999999999996</v>
      </c>
      <c r="W79">
        <f t="shared" si="112"/>
        <v>1.6</v>
      </c>
      <c r="X79" s="131">
        <f t="shared" si="113"/>
        <v>0.64</v>
      </c>
      <c r="Y79" s="131">
        <f t="shared" si="104"/>
        <v>3.1959999999999997</v>
      </c>
      <c r="Z79" s="131">
        <f t="shared" si="109"/>
        <v>0.33227999999999946</v>
      </c>
      <c r="AA79" s="131">
        <f t="shared" si="110"/>
        <v>8.3199999999999941E-2</v>
      </c>
      <c r="AB79" s="131">
        <f t="shared" si="103"/>
        <v>3.6114799999999994</v>
      </c>
      <c r="AD79" s="131" t="str">
        <f>IFERROR(#REF!*FlightConfig!$K$3,"")</f>
        <v/>
      </c>
      <c r="AE79" s="131">
        <f>IFERROR(V79*FlightConfig!$K$3,"")</f>
        <v>930.3839999999999</v>
      </c>
      <c r="AF79" s="131">
        <f>IFERROR(W79*FlightConfig!$K$3,"")</f>
        <v>582.4</v>
      </c>
      <c r="AG79" s="131">
        <f>IFERROR(X79*FlightConfig!$K$3,"")</f>
        <v>232.96</v>
      </c>
      <c r="AH79" s="131">
        <f>IFERROR(Y79*FlightConfig!$K$3,"")</f>
        <v>1163.3439999999998</v>
      </c>
      <c r="AI79" s="131">
        <f>IFERROR(AB79*FlightConfig!$K$3,"")</f>
        <v>1314.5787199999997</v>
      </c>
    </row>
    <row r="80" spans="1:35" x14ac:dyDescent="0.25">
      <c r="A80" t="s">
        <v>246</v>
      </c>
      <c r="B80" s="301">
        <v>2</v>
      </c>
      <c r="C80" s="178" t="str">
        <f t="shared" si="105"/>
        <v>CABIN CREW CLASS2</v>
      </c>
      <c r="D80" s="261"/>
      <c r="E80" s="270">
        <v>10074</v>
      </c>
      <c r="F80" s="277"/>
      <c r="G80" s="123" t="str">
        <f>VLOOKUP(E80,'[5]FG MASTER'!$A$10:$AB$203,2,0)</f>
        <v>CREW BREAD MILTIGRAIN</v>
      </c>
      <c r="H80" s="252">
        <v>1</v>
      </c>
      <c r="I80" s="176">
        <v>1</v>
      </c>
      <c r="J80" s="258">
        <f>IFERROR(IF(I80="std",H80,ROUND(HLOOKUP(A80,FlightConfig!$B$28:$G$29,2,0)*I80,0)),"")</f>
        <v>8</v>
      </c>
      <c r="K80" s="213">
        <f>VLOOKUP(Food!E80,'[5]FG MASTER'!$A$1:$AC$521,16,0)</f>
        <v>0.26624999999999999</v>
      </c>
      <c r="L80" s="214">
        <f>VLOOKUP(Food!E80,'FG MASTER'!A:AJ,17,0)</f>
        <v>0.2</v>
      </c>
      <c r="M80" s="136">
        <f t="shared" si="106"/>
        <v>0.08</v>
      </c>
      <c r="N80" s="136">
        <f t="shared" si="107"/>
        <v>0.34625</v>
      </c>
      <c r="O80" s="136">
        <f t="shared" si="74"/>
        <v>3.461249999999999E-2</v>
      </c>
      <c r="P80" s="136">
        <f t="shared" si="8"/>
        <v>1.0399999999999993E-2</v>
      </c>
      <c r="Q80" s="136">
        <f t="shared" si="108"/>
        <v>0.39126249999999996</v>
      </c>
      <c r="R80" s="318"/>
      <c r="S80" s="131"/>
      <c r="T80">
        <f t="shared" si="111"/>
        <v>1.6</v>
      </c>
      <c r="V80">
        <f t="shared" si="102"/>
        <v>2.13</v>
      </c>
      <c r="W80">
        <f t="shared" si="112"/>
        <v>1.6</v>
      </c>
      <c r="X80" s="131">
        <f t="shared" si="113"/>
        <v>0.64</v>
      </c>
      <c r="Y80" s="131">
        <f t="shared" si="104"/>
        <v>2.77</v>
      </c>
      <c r="Z80" s="131">
        <f t="shared" si="109"/>
        <v>0.27689999999999992</v>
      </c>
      <c r="AA80" s="131">
        <f t="shared" si="110"/>
        <v>8.3199999999999941E-2</v>
      </c>
      <c r="AB80" s="131">
        <f t="shared" si="103"/>
        <v>3.1300999999999997</v>
      </c>
      <c r="AD80" s="131" t="str">
        <f>IFERROR(#REF!*FlightConfig!$K$3,"")</f>
        <v/>
      </c>
      <c r="AE80" s="131">
        <f>IFERROR(V80*FlightConfig!$K$3,"")</f>
        <v>775.31999999999994</v>
      </c>
      <c r="AF80" s="131">
        <f>IFERROR(W80*FlightConfig!$K$3,"")</f>
        <v>582.4</v>
      </c>
      <c r="AG80" s="131">
        <f>IFERROR(X80*FlightConfig!$K$3,"")</f>
        <v>232.96</v>
      </c>
      <c r="AH80" s="131">
        <f>IFERROR(Y80*FlightConfig!$K$3,"")</f>
        <v>1008.28</v>
      </c>
      <c r="AI80" s="131">
        <f>IFERROR(AB80*FlightConfig!$K$3,"")</f>
        <v>1139.3563999999999</v>
      </c>
    </row>
    <row r="81" spans="1:35" x14ac:dyDescent="0.25">
      <c r="A81" t="s">
        <v>246</v>
      </c>
      <c r="B81" s="301">
        <v>2</v>
      </c>
      <c r="C81" s="178" t="str">
        <f t="shared" si="105"/>
        <v>CABIN CREW CLASS2</v>
      </c>
      <c r="D81" s="261"/>
      <c r="E81" s="271">
        <v>10072</v>
      </c>
      <c r="F81" s="277"/>
      <c r="G81" s="123" t="str">
        <f>VLOOKUP(E81,'[5]FG MASTER'!$A$10:$AB$203,2,0)</f>
        <v>CREW BUTTER</v>
      </c>
      <c r="H81" s="252">
        <v>1</v>
      </c>
      <c r="I81" s="176">
        <v>1</v>
      </c>
      <c r="J81" s="258">
        <f>IFERROR(IF(I81="std",H81,ROUND(HLOOKUP(A81,FlightConfig!$B$28:$G$29,2,0)*I81,0)),"")</f>
        <v>8</v>
      </c>
      <c r="K81" s="213">
        <f>VLOOKUP(Food!E81,'[5]FG MASTER'!$A$1:$AC$521,16,0)</f>
        <v>0.11714999999999999</v>
      </c>
      <c r="L81" s="214">
        <f>VLOOKUP(Food!E81,'FG MASTER'!A:AJ,17,0)</f>
        <v>0.2</v>
      </c>
      <c r="M81" s="136">
        <f t="shared" si="106"/>
        <v>0.08</v>
      </c>
      <c r="N81" s="136">
        <f t="shared" si="107"/>
        <v>0.19714999999999999</v>
      </c>
      <c r="O81" s="136">
        <f t="shared" si="74"/>
        <v>1.5229499999999993E-2</v>
      </c>
      <c r="P81" s="136">
        <f t="shared" si="8"/>
        <v>1.0399999999999993E-2</v>
      </c>
      <c r="Q81" s="136">
        <f t="shared" si="108"/>
        <v>0.22277949999999999</v>
      </c>
      <c r="R81" s="318"/>
      <c r="S81" s="131"/>
      <c r="T81">
        <f t="shared" si="111"/>
        <v>1.6</v>
      </c>
      <c r="V81">
        <f t="shared" si="102"/>
        <v>0.93719999999999992</v>
      </c>
      <c r="W81">
        <f t="shared" si="112"/>
        <v>1.6</v>
      </c>
      <c r="X81" s="131">
        <f t="shared" si="113"/>
        <v>0.64</v>
      </c>
      <c r="Y81" s="131">
        <f t="shared" si="104"/>
        <v>1.5771999999999999</v>
      </c>
      <c r="Z81" s="131">
        <f t="shared" si="109"/>
        <v>0.12183599999999994</v>
      </c>
      <c r="AA81" s="131">
        <f t="shared" si="110"/>
        <v>8.3199999999999941E-2</v>
      </c>
      <c r="AB81" s="131">
        <f t="shared" si="103"/>
        <v>1.7822359999999999</v>
      </c>
      <c r="AD81" s="131" t="str">
        <f>IFERROR(#REF!*FlightConfig!$K$3,"")</f>
        <v/>
      </c>
      <c r="AE81" s="131">
        <f>IFERROR(V81*FlightConfig!$K$3,"")</f>
        <v>341.14079999999996</v>
      </c>
      <c r="AF81" s="131">
        <f>IFERROR(W81*FlightConfig!$K$3,"")</f>
        <v>582.4</v>
      </c>
      <c r="AG81" s="131">
        <f>IFERROR(X81*FlightConfig!$K$3,"")</f>
        <v>232.96</v>
      </c>
      <c r="AH81" s="131">
        <f>IFERROR(Y81*FlightConfig!$K$3,"")</f>
        <v>574.10079999999994</v>
      </c>
      <c r="AI81" s="131">
        <f>IFERROR(AB81*FlightConfig!$K$3,"")</f>
        <v>648.73390399999994</v>
      </c>
    </row>
    <row r="82" spans="1:35" x14ac:dyDescent="0.25">
      <c r="A82" t="s">
        <v>246</v>
      </c>
      <c r="B82" s="301">
        <v>2</v>
      </c>
      <c r="C82" s="178" t="str">
        <f t="shared" si="105"/>
        <v>CABIN CREW CLASS2</v>
      </c>
      <c r="D82" s="261"/>
      <c r="E82" s="271">
        <v>10085</v>
      </c>
      <c r="F82" s="277"/>
      <c r="G82" s="123" t="str">
        <f>VLOOKUP(E82,'[5]FG MASTER'!$A$10:$AB$203,2,0)</f>
        <v>CABIN CREW K HB SCRAMBLE EGG, KALE, POTATOES, TURKEY SAUSAGE, HAM</v>
      </c>
      <c r="H82" s="252">
        <v>1</v>
      </c>
      <c r="I82" s="176">
        <v>1</v>
      </c>
      <c r="J82" s="258">
        <f>IFERROR(IF(I82="std",H82,ROUND(HLOOKUP(A82,FlightConfig!$B$28:$G$29,2,0)*I82,0)),"")</f>
        <v>8</v>
      </c>
      <c r="K82" s="213">
        <f>VLOOKUP(Food!E82,'[5]FG MASTER'!$A$1:$AC$521,16,0)</f>
        <v>1.5648044999999999</v>
      </c>
      <c r="L82" s="214">
        <f>VLOOKUP(Food!E82,'FG MASTER'!A:AJ,17,0)</f>
        <v>4.5</v>
      </c>
      <c r="M82" s="136">
        <f t="shared" si="106"/>
        <v>1.7999999999999998</v>
      </c>
      <c r="N82" s="136">
        <f t="shared" si="107"/>
        <v>3.3648045</v>
      </c>
      <c r="O82" s="136">
        <f t="shared" si="74"/>
        <v>0.20342458499999982</v>
      </c>
      <c r="P82" s="136">
        <f t="shared" si="8"/>
        <v>0.23399999999999999</v>
      </c>
      <c r="Q82" s="136">
        <f t="shared" si="108"/>
        <v>3.8022290849999996</v>
      </c>
      <c r="R82" s="318"/>
      <c r="S82" s="131"/>
      <c r="T82">
        <f t="shared" si="111"/>
        <v>36</v>
      </c>
      <c r="V82">
        <f t="shared" si="102"/>
        <v>12.518435999999999</v>
      </c>
      <c r="W82">
        <f t="shared" si="112"/>
        <v>36</v>
      </c>
      <c r="X82" s="131">
        <f t="shared" si="113"/>
        <v>14.399999999999999</v>
      </c>
      <c r="Y82" s="131">
        <f t="shared" si="104"/>
        <v>26.918436</v>
      </c>
      <c r="Z82" s="131">
        <f t="shared" si="109"/>
        <v>1.6273966799999986</v>
      </c>
      <c r="AA82" s="131">
        <f t="shared" si="110"/>
        <v>1.8719999999999999</v>
      </c>
      <c r="AB82" s="131">
        <f t="shared" si="103"/>
        <v>30.417832679999997</v>
      </c>
      <c r="AD82" s="131" t="str">
        <f>IFERROR(#REF!*FlightConfig!$K$3,"")</f>
        <v/>
      </c>
      <c r="AE82" s="131">
        <f>IFERROR(V82*FlightConfig!$K$3,"")</f>
        <v>4556.7107040000001</v>
      </c>
      <c r="AF82" s="131">
        <f>IFERROR(W82*FlightConfig!$K$3,"")</f>
        <v>13104</v>
      </c>
      <c r="AG82" s="131">
        <f>IFERROR(X82*FlightConfig!$K$3,"")</f>
        <v>5241.5999999999995</v>
      </c>
      <c r="AH82" s="131">
        <f>IFERROR(Y82*FlightConfig!$K$3,"")</f>
        <v>9798.3107039999995</v>
      </c>
      <c r="AI82" s="131">
        <f>IFERROR(AB82*FlightConfig!$K$3,"")</f>
        <v>11072.091095519998</v>
      </c>
    </row>
    <row r="83" spans="1:35" x14ac:dyDescent="0.25">
      <c r="E83"/>
      <c r="F83"/>
      <c r="G83"/>
      <c r="H83"/>
      <c r="J83"/>
      <c r="K83"/>
      <c r="L83" s="214" t="e">
        <f>VLOOKUP(Food!E83,'FG MASTER'!A:AJ,17,0)</f>
        <v>#N/A</v>
      </c>
      <c r="M83"/>
      <c r="R83" s="293"/>
      <c r="T83" s="316">
        <f>SUM(T5:T82)</f>
        <v>2801.6500000000005</v>
      </c>
      <c r="U83">
        <f>T83/60</f>
        <v>46.694166666666675</v>
      </c>
      <c r="V83">
        <f t="shared" si="102"/>
        <v>0</v>
      </c>
      <c r="Y83" s="131">
        <f t="shared" si="104"/>
        <v>0</v>
      </c>
      <c r="AB83" s="131">
        <f t="shared" ref="AB83" si="114">IFERROR(+(Q83-R83)*J83,"")</f>
        <v>0</v>
      </c>
    </row>
    <row r="84" spans="1:35" x14ac:dyDescent="0.25">
      <c r="A84" t="s">
        <v>134</v>
      </c>
      <c r="B84" s="324">
        <v>3</v>
      </c>
      <c r="C84" s="178" t="str">
        <f>CONCATENATE(A84&amp;B84&amp;F84)</f>
        <v>BUSINESS CLASS3</v>
      </c>
      <c r="D84" s="175"/>
      <c r="E84" s="271">
        <v>10001</v>
      </c>
      <c r="F84" s="277"/>
      <c r="G84" s="123" t="str">
        <f>VLOOKUP(E84,'[5]FG MASTER'!$A$10:$AB$203,2,0)</f>
        <v>BC TSU</v>
      </c>
      <c r="H84" s="252">
        <v>40</v>
      </c>
      <c r="I84" s="176" t="s">
        <v>275</v>
      </c>
      <c r="J84" s="258">
        <f>IFERROR(IF(I84="std",H84,HLOOKUP(A84,FlightConfig!$B$28:$G$29,2,0)*I84),"")</f>
        <v>40</v>
      </c>
      <c r="K84" s="213">
        <f>VLOOKUP(Food!E84,'FG MASTER'!A:AJ,16,0)</f>
        <v>0</v>
      </c>
      <c r="L84" s="214">
        <f>VLOOKUP(Food!E84,'FG MASTER'!A:AJ,17,0)</f>
        <v>2</v>
      </c>
      <c r="M84" s="136">
        <f t="shared" ref="M84:M99" si="115">IFERROR(L84*$M$2,"")</f>
        <v>0.79999999999999993</v>
      </c>
      <c r="N84" s="136">
        <f>IFERROR((K84)+M84,"")</f>
        <v>0.79999999999999993</v>
      </c>
      <c r="O84" s="136">
        <f t="shared" ref="O84:O118" si="116">IFERROR($K84*(1+$O$2)-$K84+R84,0)</f>
        <v>0</v>
      </c>
      <c r="P84" s="136">
        <f>IFERROR($M84*(1+$P$2)-$M84,0)</f>
        <v>0.10399999999999987</v>
      </c>
      <c r="Q84" s="136">
        <f>SUM(N84:P84)</f>
        <v>0.9039999999999998</v>
      </c>
      <c r="R84" s="318"/>
      <c r="S84" s="131"/>
      <c r="T84">
        <f>L84*J84</f>
        <v>80</v>
      </c>
      <c r="V84">
        <f t="shared" si="102"/>
        <v>0</v>
      </c>
      <c r="W84">
        <f>IFERROR(+L84*J84,"")</f>
        <v>80</v>
      </c>
      <c r="X84" s="131">
        <f>IFERROR(+M84*J84,"")</f>
        <v>31.999999999999996</v>
      </c>
      <c r="Y84" s="131">
        <f>IFERROR(+N84*J84,"")</f>
        <v>31.999999999999996</v>
      </c>
      <c r="Z84" s="131">
        <f t="shared" ref="Z84:Z111" si="117">IFERROR(O84*$J84,"")</f>
        <v>0</v>
      </c>
      <c r="AA84" s="131">
        <f t="shared" ref="AA84:AA111" si="118">IFERROR(P84*$J84,"")</f>
        <v>4.1599999999999948</v>
      </c>
      <c r="AB84" s="131">
        <f t="shared" ref="AB84:AB144" si="119">IFERROR(+(Q84+R84)*J84,"")</f>
        <v>36.159999999999989</v>
      </c>
      <c r="AD84" s="131" t="str">
        <f>IFERROR(#REF!*FlightConfig!$K$3,"")</f>
        <v/>
      </c>
      <c r="AE84" s="131">
        <f>IFERROR(V84*FlightConfig!$K$3,"")</f>
        <v>0</v>
      </c>
      <c r="AF84" s="131">
        <f>IFERROR(W84*FlightConfig!$K$3,"")</f>
        <v>29120</v>
      </c>
      <c r="AG84" s="131">
        <f>IFERROR(X84*FlightConfig!$K$3,"")</f>
        <v>11647.999999999998</v>
      </c>
      <c r="AH84" s="131">
        <f>IFERROR(Y84*FlightConfig!$K$3,"")</f>
        <v>11647.999999999998</v>
      </c>
      <c r="AI84" s="131">
        <f>IFERROR(AB84*FlightConfig!$K$3,"")</f>
        <v>13162.239999999996</v>
      </c>
    </row>
    <row r="85" spans="1:35" x14ac:dyDescent="0.25">
      <c r="A85" t="s">
        <v>134</v>
      </c>
      <c r="B85" s="324">
        <v>3</v>
      </c>
      <c r="C85" s="178" t="str">
        <f t="shared" ref="C85:C103" si="120">CONCATENATE(A85&amp;B85&amp;F85)</f>
        <v>BUSINESS CLASS3</v>
      </c>
      <c r="D85" s="175"/>
      <c r="E85" s="307">
        <v>10093</v>
      </c>
      <c r="F85" s="277"/>
      <c r="G85" s="123" t="str">
        <f>VLOOKUP(E85,'[5]FG MASTER'!$A$10:$AB$203,2,0)</f>
        <v>BC C3 SALAD MESCLUN MIX GREEN 250G</v>
      </c>
      <c r="H85" s="252">
        <v>1</v>
      </c>
      <c r="I85" s="176">
        <v>0.1</v>
      </c>
      <c r="J85" s="258">
        <f>IFERROR(IF(I85="std",H85,ROUND(HLOOKUP(A85,FlightConfig!$B$28:$G$29,2,0)*I85,0)),"")</f>
        <v>3</v>
      </c>
      <c r="K85" s="213">
        <f>VLOOKUP(Food!E85,'FG MASTER'!A:AJ,16,0)</f>
        <v>1.6204507499999998</v>
      </c>
      <c r="L85" s="214">
        <f>VLOOKUP(Food!E85,'FG MASTER'!A:AJ,17,0)</f>
        <v>2.5</v>
      </c>
      <c r="M85" s="136">
        <f t="shared" si="115"/>
        <v>0.99999999999999989</v>
      </c>
      <c r="N85" s="136">
        <f t="shared" ref="N85:N115" si="121">IFERROR((K85)+M85,"")</f>
        <v>2.6204507499999998</v>
      </c>
      <c r="O85" s="136">
        <f t="shared" si="116"/>
        <v>0.21065859749999971</v>
      </c>
      <c r="P85" s="136">
        <f t="shared" si="8"/>
        <v>0.12999999999999978</v>
      </c>
      <c r="Q85" s="136">
        <f t="shared" ref="Q85:Q87" si="122">SUM(N85:P85)</f>
        <v>2.9611093474999994</v>
      </c>
      <c r="R85" s="318"/>
      <c r="S85" s="131"/>
      <c r="T85">
        <f t="shared" ref="T85:T90" si="123">L85*J85</f>
        <v>7.5</v>
      </c>
      <c r="V85">
        <f t="shared" si="102"/>
        <v>4.8613522499999995</v>
      </c>
      <c r="W85">
        <f>IFERROR(+L85*J85,"")</f>
        <v>7.5</v>
      </c>
      <c r="X85" s="131">
        <f>IFERROR(+M85*J85,"")</f>
        <v>2.9999999999999996</v>
      </c>
      <c r="Y85" s="131">
        <f t="shared" ref="Y85:Y146" si="124">IFERROR(+N85*J85+R85*J85,"")</f>
        <v>7.8613522499999995</v>
      </c>
      <c r="Z85" s="131">
        <f t="shared" si="117"/>
        <v>0.63197579249999913</v>
      </c>
      <c r="AA85" s="131">
        <f t="shared" si="118"/>
        <v>0.38999999999999935</v>
      </c>
      <c r="AB85" s="131">
        <f t="shared" si="119"/>
        <v>8.8833280424999987</v>
      </c>
      <c r="AD85" s="131" t="str">
        <f>IFERROR(#REF!*FlightConfig!$K$3,"")</f>
        <v/>
      </c>
      <c r="AE85" s="131">
        <f>IFERROR(V85*FlightConfig!$K$3,"")</f>
        <v>1769.5322189999997</v>
      </c>
      <c r="AF85" s="131">
        <f>IFERROR(W85*FlightConfig!$K$3,"")</f>
        <v>2730</v>
      </c>
      <c r="AG85" s="131">
        <f>IFERROR(X85*FlightConfig!$K$3,"")</f>
        <v>1091.9999999999998</v>
      </c>
      <c r="AH85" s="131">
        <f>IFERROR(Y85*FlightConfig!$K$3,"")</f>
        <v>2861.5322189999997</v>
      </c>
      <c r="AI85" s="131">
        <f>IFERROR(AB85*FlightConfig!$K$3,"")</f>
        <v>3233.5314074699995</v>
      </c>
    </row>
    <row r="86" spans="1:35" x14ac:dyDescent="0.25">
      <c r="A86" t="s">
        <v>134</v>
      </c>
      <c r="B86" s="324">
        <v>3</v>
      </c>
      <c r="C86" s="178" t="str">
        <f t="shared" si="120"/>
        <v>BUSINESS CLASS3</v>
      </c>
      <c r="D86" s="175"/>
      <c r="E86" s="271">
        <v>10094</v>
      </c>
      <c r="F86" s="277"/>
      <c r="G86" s="123" t="str">
        <f>VLOOKUP(E86,'[5]FG MASTER'!$A$10:$AB$203,2,0)</f>
        <v>BC C3 GARNISH SAVORY GRANOLA 100G</v>
      </c>
      <c r="H86" s="252">
        <v>1</v>
      </c>
      <c r="I86" s="176">
        <v>0.1</v>
      </c>
      <c r="J86" s="258">
        <f>IFERROR(IF(I86="std",H86,ROUND(HLOOKUP(A86,FlightConfig!$B$28:$G$29,2,0)*I86,0)),"")</f>
        <v>3</v>
      </c>
      <c r="K86" s="213">
        <f>VLOOKUP(Food!E86,'FG MASTER'!A:AJ,16,0)</f>
        <v>1.7651963909999999</v>
      </c>
      <c r="L86" s="214">
        <f>VLOOKUP(Food!E86,'FG MASTER'!A:AJ,17,0)</f>
        <v>1.5</v>
      </c>
      <c r="M86" s="136">
        <f t="shared" si="115"/>
        <v>0.6</v>
      </c>
      <c r="N86" s="136">
        <f t="shared" si="121"/>
        <v>2.365196391</v>
      </c>
      <c r="O86" s="136">
        <f t="shared" si="116"/>
        <v>0.22947553082999983</v>
      </c>
      <c r="P86" s="136">
        <f t="shared" si="8"/>
        <v>7.7999999999999958E-2</v>
      </c>
      <c r="Q86" s="136">
        <f t="shared" si="122"/>
        <v>2.6726719218299997</v>
      </c>
      <c r="R86" s="318"/>
      <c r="S86" s="131"/>
      <c r="T86">
        <f t="shared" si="123"/>
        <v>4.5</v>
      </c>
      <c r="V86">
        <f t="shared" si="102"/>
        <v>5.2955891729999998</v>
      </c>
      <c r="W86">
        <f>IFERROR(+L86*J86,"")</f>
        <v>4.5</v>
      </c>
      <c r="X86" s="131">
        <f>IFERROR(+M86*J86,"")</f>
        <v>1.7999999999999998</v>
      </c>
      <c r="Y86" s="131">
        <f t="shared" si="124"/>
        <v>7.0955891730000005</v>
      </c>
      <c r="Z86" s="131">
        <f t="shared" si="117"/>
        <v>0.68842659248999949</v>
      </c>
      <c r="AA86" s="131">
        <f t="shared" si="118"/>
        <v>0.23399999999999987</v>
      </c>
      <c r="AB86" s="131">
        <f t="shared" si="119"/>
        <v>8.0180157654899986</v>
      </c>
      <c r="AD86" s="131" t="str">
        <f>IFERROR(#REF!*FlightConfig!$K$3,"")</f>
        <v/>
      </c>
      <c r="AE86" s="131">
        <f>IFERROR(V86*FlightConfig!$K$3,"")</f>
        <v>1927.594458972</v>
      </c>
      <c r="AF86" s="131">
        <f>IFERROR(W86*FlightConfig!$K$3,"")</f>
        <v>1638</v>
      </c>
      <c r="AG86" s="131">
        <f>IFERROR(X86*FlightConfig!$K$3,"")</f>
        <v>655.19999999999993</v>
      </c>
      <c r="AH86" s="131">
        <f>IFERROR(Y86*FlightConfig!$K$3,"")</f>
        <v>2582.794458972</v>
      </c>
      <c r="AI86" s="131">
        <f>IFERROR(AB86*FlightConfig!$K$3,"")</f>
        <v>2918.5577386383593</v>
      </c>
    </row>
    <row r="87" spans="1:35" x14ac:dyDescent="0.25">
      <c r="A87" t="s">
        <v>134</v>
      </c>
      <c r="B87" s="324">
        <v>3</v>
      </c>
      <c r="C87" s="178" t="str">
        <f t="shared" si="120"/>
        <v>BUSINESS CLASS3</v>
      </c>
      <c r="D87" s="175"/>
      <c r="E87" s="271">
        <v>10006</v>
      </c>
      <c r="F87" s="277"/>
      <c r="G87" s="123" t="str">
        <f>VLOOKUP(E87,'[5]FG MASTER'!$A$10:$AB$203,2,0)</f>
        <v>BC BUTTER</v>
      </c>
      <c r="H87" s="252">
        <v>1</v>
      </c>
      <c r="I87" s="176">
        <v>1</v>
      </c>
      <c r="J87" s="258">
        <f>IFERROR(IF(I87="std",H87,ROUND(HLOOKUP(A87,FlightConfig!$B$28:$G$29,2,0)*I87,0)),"")</f>
        <v>32</v>
      </c>
      <c r="K87" s="213">
        <f>VLOOKUP(Food!E87,'FG MASTER'!A:AJ,16,0)</f>
        <v>8.5199999999999998E-2</v>
      </c>
      <c r="L87" s="214">
        <f>VLOOKUP(Food!E87,'FG MASTER'!A:AJ,17,0)</f>
        <v>0.75</v>
      </c>
      <c r="M87" s="136">
        <f t="shared" si="115"/>
        <v>0.3</v>
      </c>
      <c r="N87" s="136">
        <f t="shared" si="121"/>
        <v>0.38519999999999999</v>
      </c>
      <c r="O87" s="136">
        <f t="shared" si="116"/>
        <v>1.1075999999999989E-2</v>
      </c>
      <c r="P87" s="136">
        <f t="shared" si="8"/>
        <v>3.8999999999999979E-2</v>
      </c>
      <c r="Q87" s="136">
        <f t="shared" si="122"/>
        <v>0.43527599999999994</v>
      </c>
      <c r="R87" s="318"/>
      <c r="S87" s="131"/>
      <c r="T87">
        <f t="shared" si="123"/>
        <v>24</v>
      </c>
      <c r="V87">
        <f t="shared" si="102"/>
        <v>2.7263999999999999</v>
      </c>
      <c r="W87">
        <f>IFERROR(+L87*J87,"")</f>
        <v>24</v>
      </c>
      <c r="X87" s="131">
        <f>IFERROR(+M87*J87,"")</f>
        <v>9.6</v>
      </c>
      <c r="Y87" s="131">
        <f t="shared" si="124"/>
        <v>12.3264</v>
      </c>
      <c r="Z87" s="131">
        <f t="shared" si="117"/>
        <v>0.35443199999999964</v>
      </c>
      <c r="AA87" s="131">
        <f t="shared" si="118"/>
        <v>1.2479999999999993</v>
      </c>
      <c r="AB87" s="131">
        <f t="shared" si="119"/>
        <v>13.928831999999998</v>
      </c>
      <c r="AD87" s="131" t="str">
        <f>IFERROR(#REF!*FlightConfig!$K$3,"")</f>
        <v/>
      </c>
      <c r="AE87" s="131">
        <f>IFERROR(V87*FlightConfig!$K$3,"")</f>
        <v>992.40959999999995</v>
      </c>
      <c r="AF87" s="131">
        <f>IFERROR(W87*FlightConfig!$K$3,"")</f>
        <v>8736</v>
      </c>
      <c r="AG87" s="131">
        <f>IFERROR(X87*FlightConfig!$K$3,"")</f>
        <v>3494.4</v>
      </c>
      <c r="AH87" s="131">
        <f>IFERROR(Y87*FlightConfig!$K$3,"")</f>
        <v>4486.8095999999996</v>
      </c>
      <c r="AI87" s="131">
        <f>IFERROR(AB87*FlightConfig!$K$3,"")</f>
        <v>5070.0948479999997</v>
      </c>
    </row>
    <row r="88" spans="1:35" ht="30" x14ac:dyDescent="0.25">
      <c r="A88" t="s">
        <v>134</v>
      </c>
      <c r="B88" s="324">
        <v>3</v>
      </c>
      <c r="C88" s="321" t="str">
        <f t="shared" si="120"/>
        <v>BUSINESS CLASS3</v>
      </c>
      <c r="D88" s="175"/>
      <c r="E88" s="271">
        <v>10095</v>
      </c>
      <c r="F88" s="277"/>
      <c r="G88" s="123" t="str">
        <f>VLOOKUP(E88,'[5]FG MASTER'!$A$10:$AB$203,2,0)</f>
        <v>BC C3 STARTER A GRILLED PEACHES WRAPPED WITH PROSCUITTO, MOZZARELLA, ARUGULA, BALSAMIC PEARLS, OLIVE OIL</v>
      </c>
      <c r="H88" s="252">
        <v>1</v>
      </c>
      <c r="I88" s="176">
        <v>0.6</v>
      </c>
      <c r="J88" s="258">
        <f>IFERROR(IF(I88="std",H88,ROUND(HLOOKUP(A88,FlightConfig!$B$28:$G$29,2,0)*I88,0)),"")</f>
        <v>19</v>
      </c>
      <c r="K88" s="213">
        <f>VLOOKUP(Food!E88,'FG MASTER'!A:AJ,16,0)</f>
        <v>2.1846245954999999</v>
      </c>
      <c r="L88" s="214">
        <f>VLOOKUP(Food!E88,'FG MASTER'!A:AJ,17,0)</f>
        <v>3</v>
      </c>
      <c r="M88" s="136">
        <f t="shared" si="115"/>
        <v>1.2</v>
      </c>
      <c r="N88" s="136">
        <f t="shared" si="121"/>
        <v>3.3846245955000001</v>
      </c>
      <c r="O88" s="136">
        <f t="shared" si="116"/>
        <v>0.28400119741499985</v>
      </c>
      <c r="P88" s="136">
        <f t="shared" si="8"/>
        <v>0.15599999999999992</v>
      </c>
      <c r="Q88" s="136">
        <f>SUM(N88:P88)</f>
        <v>3.8246257929149996</v>
      </c>
      <c r="R88" s="318"/>
      <c r="S88" s="131">
        <f>R88*J88</f>
        <v>0</v>
      </c>
      <c r="T88">
        <f t="shared" si="123"/>
        <v>57</v>
      </c>
      <c r="V88">
        <f t="shared" si="102"/>
        <v>41.507867314499997</v>
      </c>
      <c r="W88">
        <f>L88*J88</f>
        <v>57</v>
      </c>
      <c r="X88" s="131">
        <f>+M88*J88</f>
        <v>22.8</v>
      </c>
      <c r="Y88" s="131">
        <f t="shared" si="124"/>
        <v>64.307867314500001</v>
      </c>
      <c r="Z88" s="131">
        <f t="shared" si="117"/>
        <v>5.3960227508849972</v>
      </c>
      <c r="AA88" s="131">
        <f t="shared" si="118"/>
        <v>2.9639999999999986</v>
      </c>
      <c r="AB88" s="131">
        <f t="shared" si="119"/>
        <v>72.667890065384995</v>
      </c>
      <c r="AD88" s="131" t="str">
        <f>IFERROR(#REF!*FlightConfig!$K$3,"")</f>
        <v/>
      </c>
      <c r="AE88" s="131">
        <f>IFERROR(V88*FlightConfig!$K$3,"")</f>
        <v>15108.863702477998</v>
      </c>
      <c r="AF88" s="131">
        <f>IFERROR(W88*FlightConfig!$K$3,"")</f>
        <v>20748</v>
      </c>
      <c r="AG88" s="131">
        <f>IFERROR(X88*FlightConfig!$K$3,"")</f>
        <v>8299.2000000000007</v>
      </c>
      <c r="AH88" s="131">
        <f>IFERROR(Y88*FlightConfig!$K$3,"")</f>
        <v>23408.063702478001</v>
      </c>
      <c r="AI88" s="131">
        <f>IFERROR(AB88*FlightConfig!$K$3,"")</f>
        <v>26451.11198380014</v>
      </c>
    </row>
    <row r="89" spans="1:35" ht="30" x14ac:dyDescent="0.25">
      <c r="A89" t="s">
        <v>134</v>
      </c>
      <c r="B89" s="324">
        <v>3</v>
      </c>
      <c r="C89" s="178" t="str">
        <f t="shared" si="120"/>
        <v>BUSINESS CLASS3</v>
      </c>
      <c r="D89" s="175"/>
      <c r="E89" s="271">
        <v>10096</v>
      </c>
      <c r="F89" s="277"/>
      <c r="G89" s="123" t="str">
        <f>VLOOKUP(E89,'[5]FG MASTER'!$A$10:$AB$203,2,0)</f>
        <v>BC C3 STARTER B SEARED AHI TUNA, POACHED GINGERLING POTATO. CONFIT TOMATO, CAPER GARLIC AOILI</v>
      </c>
      <c r="H89" s="252">
        <v>1</v>
      </c>
      <c r="I89" s="176">
        <v>0.6</v>
      </c>
      <c r="J89" s="258">
        <f>IFERROR(IF(I89="std",H89,ROUND(HLOOKUP(A89,FlightConfig!$B$28:$G$29,2,0)*I89,0)),"")</f>
        <v>19</v>
      </c>
      <c r="K89" s="213">
        <f>VLOOKUP(Food!E89,'FG MASTER'!A:AJ,16,0)</f>
        <v>3.2408595613649998</v>
      </c>
      <c r="L89" s="214">
        <f>VLOOKUP(Food!E89,'FG MASTER'!A:AJ,17,0)</f>
        <v>3.5</v>
      </c>
      <c r="M89" s="136">
        <f t="shared" si="115"/>
        <v>1.4</v>
      </c>
      <c r="N89" s="136">
        <f t="shared" si="121"/>
        <v>4.6408595613649997</v>
      </c>
      <c r="O89" s="136">
        <f t="shared" si="116"/>
        <v>0.42131174297744955</v>
      </c>
      <c r="P89" s="136">
        <f t="shared" si="8"/>
        <v>0.18199999999999994</v>
      </c>
      <c r="Q89" s="136">
        <f t="shared" ref="Q89:Q92" si="125">SUM(N89:P89)</f>
        <v>5.2441713043424496</v>
      </c>
      <c r="R89" s="318"/>
      <c r="S89" s="131">
        <f>R89*J89</f>
        <v>0</v>
      </c>
      <c r="T89">
        <f t="shared" si="123"/>
        <v>66.5</v>
      </c>
      <c r="V89">
        <f t="shared" si="102"/>
        <v>61.576331665934994</v>
      </c>
      <c r="W89">
        <f t="shared" ref="W89:W107" si="126">IFERROR(+L89*J89,"")</f>
        <v>66.5</v>
      </c>
      <c r="X89" s="131">
        <f t="shared" ref="X89:X107" si="127">IFERROR(+M89*J89,"")</f>
        <v>26.599999999999998</v>
      </c>
      <c r="Y89" s="131">
        <f t="shared" si="124"/>
        <v>88.176331665934995</v>
      </c>
      <c r="Z89" s="131">
        <f t="shared" si="117"/>
        <v>8.0049231165715415</v>
      </c>
      <c r="AA89" s="131">
        <f t="shared" si="118"/>
        <v>3.4579999999999989</v>
      </c>
      <c r="AB89" s="131">
        <f t="shared" si="119"/>
        <v>99.639254782506541</v>
      </c>
      <c r="AD89" s="131" t="str">
        <f>IFERROR(#REF!*FlightConfig!$K$3,"")</f>
        <v/>
      </c>
      <c r="AE89" s="131">
        <f>IFERROR(V89*FlightConfig!$K$3,"")</f>
        <v>22413.784726400339</v>
      </c>
      <c r="AF89" s="131">
        <f>IFERROR(W89*FlightConfig!$K$3,"")</f>
        <v>24206</v>
      </c>
      <c r="AG89" s="131">
        <f>IFERROR(X89*FlightConfig!$K$3,"")</f>
        <v>9682.4</v>
      </c>
      <c r="AH89" s="131">
        <f>IFERROR(Y89*FlightConfig!$K$3,"")</f>
        <v>32096.184726400337</v>
      </c>
      <c r="AI89" s="131">
        <f>IFERROR(AB89*FlightConfig!$K$3,"")</f>
        <v>36268.688740832382</v>
      </c>
    </row>
    <row r="90" spans="1:35" x14ac:dyDescent="0.25">
      <c r="A90" t="s">
        <v>134</v>
      </c>
      <c r="B90" s="324">
        <v>3</v>
      </c>
      <c r="C90" s="178" t="str">
        <f t="shared" si="120"/>
        <v>BUSINESS CLASS3</v>
      </c>
      <c r="D90" s="175"/>
      <c r="E90" s="271">
        <v>10097</v>
      </c>
      <c r="F90" s="277"/>
      <c r="G90" s="123" t="str">
        <f>VLOOKUP(E90,'[5]FG MASTER'!$A$10:$AB$203,2,0)</f>
        <v>BC C3 STARTER GARNISH CRISPY TORTILLA STRIPS 100G</v>
      </c>
      <c r="H90" s="252">
        <v>2</v>
      </c>
      <c r="I90" s="176">
        <v>0.1</v>
      </c>
      <c r="J90" s="258">
        <f>IFERROR(IF(I90="std",H90,ROUND(HLOOKUP(A90,FlightConfig!$B$28:$G$29,2,0)*I90,0)),"")</f>
        <v>3</v>
      </c>
      <c r="K90" s="213">
        <f>VLOOKUP(Food!E90,'FG MASTER'!A:AJ,16,0)</f>
        <v>0.49836461999999992</v>
      </c>
      <c r="L90" s="214">
        <f>VLOOKUP(Food!E90,'FG MASTER'!A:AJ,17,0)</f>
        <v>2.5</v>
      </c>
      <c r="M90" s="136">
        <f t="shared" si="115"/>
        <v>0.99999999999999989</v>
      </c>
      <c r="N90" s="136">
        <f t="shared" si="121"/>
        <v>1.4983646199999998</v>
      </c>
      <c r="O90" s="136">
        <f t="shared" si="116"/>
        <v>6.4787400599999989E-2</v>
      </c>
      <c r="P90" s="136">
        <f t="shared" si="8"/>
        <v>0.12999999999999978</v>
      </c>
      <c r="Q90" s="136">
        <f t="shared" si="125"/>
        <v>1.6931520205999995</v>
      </c>
      <c r="R90" s="318"/>
      <c r="S90" s="131"/>
      <c r="T90">
        <f t="shared" si="123"/>
        <v>7.5</v>
      </c>
      <c r="V90">
        <f t="shared" si="102"/>
        <v>1.4950938599999999</v>
      </c>
      <c r="W90">
        <f t="shared" si="126"/>
        <v>7.5</v>
      </c>
      <c r="X90" s="131">
        <f t="shared" si="127"/>
        <v>2.9999999999999996</v>
      </c>
      <c r="Y90" s="131">
        <f t="shared" si="124"/>
        <v>4.495093859999999</v>
      </c>
      <c r="Z90" s="131">
        <f t="shared" si="117"/>
        <v>0.19436220179999997</v>
      </c>
      <c r="AA90" s="131">
        <f t="shared" si="118"/>
        <v>0.38999999999999935</v>
      </c>
      <c r="AB90" s="131">
        <f t="shared" si="119"/>
        <v>5.0794560617999984</v>
      </c>
      <c r="AD90" s="131" t="str">
        <f>IFERROR(#REF!*FlightConfig!$K$3,"")</f>
        <v/>
      </c>
      <c r="AE90" s="131">
        <f>IFERROR(V90*FlightConfig!$K$3,"")</f>
        <v>544.21416504000001</v>
      </c>
      <c r="AF90" s="131">
        <f>IFERROR(W90*FlightConfig!$K$3,"")</f>
        <v>2730</v>
      </c>
      <c r="AG90" s="131">
        <f>IFERROR(X90*FlightConfig!$K$3,"")</f>
        <v>1091.9999999999998</v>
      </c>
      <c r="AH90" s="131">
        <f>IFERROR(Y90*FlightConfig!$K$3,"")</f>
        <v>1636.2141650399997</v>
      </c>
      <c r="AI90" s="131">
        <f>IFERROR(AB90*FlightConfig!$K$3,"")</f>
        <v>1848.9220064951994</v>
      </c>
    </row>
    <row r="91" spans="1:35" ht="30" x14ac:dyDescent="0.25">
      <c r="A91" t="s">
        <v>134</v>
      </c>
      <c r="B91" s="324">
        <v>3</v>
      </c>
      <c r="C91" s="178" t="str">
        <f t="shared" si="120"/>
        <v>BUSINESS CLASS3</v>
      </c>
      <c r="D91" s="175"/>
      <c r="E91" s="271">
        <v>10098</v>
      </c>
      <c r="F91" s="277"/>
      <c r="G91" s="123" t="str">
        <f>VLOOKUP(E91,'[5]FG MASTER'!$A$10:$AB$203,2,0)</f>
        <v>BC C3 HM A MEAT SMOKED BRAISED SHORT RIB, BBQ JUS, CARAMELIZED ONION, GROUND GRITS, SWEET CORN SUCCOTASH</v>
      </c>
      <c r="H91" s="252">
        <v>1</v>
      </c>
      <c r="I91" s="176">
        <v>0.5</v>
      </c>
      <c r="J91" s="258">
        <f>IFERROR(IF(I91="std",H91,ROUND(HLOOKUP(A91,FlightConfig!$B$28:$G$29,2,0)*I91,0)),"")</f>
        <v>16</v>
      </c>
      <c r="K91" s="213">
        <f>VLOOKUP(Food!E91,'FG MASTER'!A:AJ,16,0)</f>
        <v>12.018908431949999</v>
      </c>
      <c r="L91" s="214">
        <f>VLOOKUP(Food!E91,'FG MASTER'!A:AJ,17,0)</f>
        <v>6</v>
      </c>
      <c r="M91" s="136">
        <f t="shared" si="115"/>
        <v>2.4</v>
      </c>
      <c r="N91" s="136">
        <f t="shared" si="121"/>
        <v>14.418908431949999</v>
      </c>
      <c r="O91" s="235">
        <f>IFERROR($K91*(1+8%)-$K91+R91,0)</f>
        <v>0.9615126745560012</v>
      </c>
      <c r="P91" s="136">
        <f t="shared" si="8"/>
        <v>0.31199999999999983</v>
      </c>
      <c r="Q91" s="136">
        <f t="shared" si="125"/>
        <v>15.692421106506</v>
      </c>
      <c r="R91" s="319"/>
      <c r="S91" s="375" t="s">
        <v>451</v>
      </c>
      <c r="T91" s="293">
        <f>(L91/2)*J91</f>
        <v>48</v>
      </c>
      <c r="V91">
        <f t="shared" si="102"/>
        <v>192.30253491119998</v>
      </c>
      <c r="W91">
        <f t="shared" si="126"/>
        <v>96</v>
      </c>
      <c r="X91" s="131">
        <f t="shared" si="127"/>
        <v>38.4</v>
      </c>
      <c r="Y91" s="131">
        <f t="shared" si="124"/>
        <v>230.70253491119999</v>
      </c>
      <c r="Z91" s="131">
        <f t="shared" si="117"/>
        <v>15.384202792896019</v>
      </c>
      <c r="AA91" s="131">
        <f t="shared" si="118"/>
        <v>4.9919999999999973</v>
      </c>
      <c r="AB91" s="131">
        <f t="shared" si="119"/>
        <v>251.078737704096</v>
      </c>
      <c r="AD91" s="131" t="str">
        <f>IFERROR(#REF!*FlightConfig!$K$3,"")</f>
        <v/>
      </c>
      <c r="AE91" s="131">
        <f>IFERROR(V91*FlightConfig!$K$3,"")</f>
        <v>69998.122707676797</v>
      </c>
      <c r="AF91" s="131">
        <f>IFERROR(W91*FlightConfig!$K$3,"")</f>
        <v>34944</v>
      </c>
      <c r="AG91" s="131">
        <f>IFERROR(X91*FlightConfig!$K$3,"")</f>
        <v>13977.6</v>
      </c>
      <c r="AH91" s="131">
        <f>IFERROR(Y91*FlightConfig!$K$3,"")</f>
        <v>83975.722707676803</v>
      </c>
      <c r="AI91" s="131">
        <f>IFERROR(AB91*FlightConfig!$K$3,"")</f>
        <v>91392.660524290943</v>
      </c>
    </row>
    <row r="92" spans="1:35" ht="30" x14ac:dyDescent="0.25">
      <c r="A92" t="s">
        <v>134</v>
      </c>
      <c r="B92" s="324">
        <v>3</v>
      </c>
      <c r="C92" s="178" t="str">
        <f t="shared" si="120"/>
        <v>BUSINESS CLASS3</v>
      </c>
      <c r="D92" s="175"/>
      <c r="E92" s="271">
        <v>10099</v>
      </c>
      <c r="F92" s="277"/>
      <c r="G92" s="123" t="str">
        <f>VLOOKUP(E92,'[5]FG MASTER'!$A$10:$AB$203,2,0)</f>
        <v>BC C3 HM C POULTRY HOT HONEY GLAZED CHICKEN THIHG, TRICOLOR PEPPER, SWEET POTATO RISOTTO, GARLIC BROCCOLI</v>
      </c>
      <c r="H92" s="252">
        <v>1</v>
      </c>
      <c r="I92" s="176">
        <v>0.5</v>
      </c>
      <c r="J92" s="258">
        <f>IFERROR(IF(I92="std",H92,ROUND(HLOOKUP(A92,FlightConfig!$B$28:$G$29,2,0)*I92,0)),"")</f>
        <v>16</v>
      </c>
      <c r="K92" s="213">
        <f>VLOOKUP(Food!E92,'FG MASTER'!A:AJ,16,0)</f>
        <v>3.6400165334999999</v>
      </c>
      <c r="L92" s="214">
        <f>VLOOKUP(Food!E92,'FG MASTER'!A:AJ,17,0)</f>
        <v>6.5</v>
      </c>
      <c r="M92" s="136">
        <f t="shared" si="115"/>
        <v>2.5999999999999996</v>
      </c>
      <c r="N92" s="136">
        <f t="shared" si="121"/>
        <v>6.2400165334999995</v>
      </c>
      <c r="O92" s="136">
        <f t="shared" si="116"/>
        <v>0.47320214935499916</v>
      </c>
      <c r="P92" s="136">
        <f t="shared" si="8"/>
        <v>0.33799999999999963</v>
      </c>
      <c r="Q92" s="136">
        <f t="shared" si="125"/>
        <v>7.0512186828549979</v>
      </c>
      <c r="R92" s="318"/>
      <c r="S92" s="131"/>
      <c r="T92" s="293">
        <f>(L92/2)*J92</f>
        <v>52</v>
      </c>
      <c r="V92">
        <f t="shared" si="102"/>
        <v>58.240264535999998</v>
      </c>
      <c r="W92">
        <f t="shared" si="126"/>
        <v>104</v>
      </c>
      <c r="X92" s="131">
        <f t="shared" si="127"/>
        <v>41.599999999999994</v>
      </c>
      <c r="Y92" s="131">
        <f t="shared" si="124"/>
        <v>99.840264535999992</v>
      </c>
      <c r="Z92" s="131">
        <f t="shared" si="117"/>
        <v>7.5712343896799865</v>
      </c>
      <c r="AA92" s="131">
        <f t="shared" si="118"/>
        <v>5.4079999999999941</v>
      </c>
      <c r="AB92" s="131">
        <f t="shared" si="119"/>
        <v>112.81949892567997</v>
      </c>
      <c r="AD92" s="131" t="str">
        <f>IFERROR(#REF!*FlightConfig!$K$3,"")</f>
        <v/>
      </c>
      <c r="AE92" s="131">
        <f>IFERROR(V92*FlightConfig!$K$3,"")</f>
        <v>21199.456291103998</v>
      </c>
      <c r="AF92" s="131">
        <f>IFERROR(W92*FlightConfig!$K$3,"")</f>
        <v>37856</v>
      </c>
      <c r="AG92" s="131">
        <f>IFERROR(X92*FlightConfig!$K$3,"")</f>
        <v>15142.399999999998</v>
      </c>
      <c r="AH92" s="131">
        <f>IFERROR(Y92*FlightConfig!$K$3,"")</f>
        <v>36341.856291103999</v>
      </c>
      <c r="AI92" s="131">
        <f>IFERROR(AB92*FlightConfig!$K$3,"")</f>
        <v>41066.297608947505</v>
      </c>
    </row>
    <row r="93" spans="1:35" x14ac:dyDescent="0.25">
      <c r="A93" t="s">
        <v>134</v>
      </c>
      <c r="B93" s="324">
        <v>3</v>
      </c>
      <c r="C93" s="178" t="str">
        <f t="shared" si="120"/>
        <v>BUSINESS CLASS3</v>
      </c>
      <c r="D93" s="175"/>
      <c r="E93" s="271">
        <v>10100</v>
      </c>
      <c r="F93" s="277"/>
      <c r="G93" s="123" t="str">
        <f>VLOOKUP(E93,'[5]FG MASTER'!$A$10:$AB$203,2,0)</f>
        <v>BC C3 HM D VEG PASTA MAMI GOAT CHEESE APPLE RAVIOLI</v>
      </c>
      <c r="H93" s="252">
        <v>1</v>
      </c>
      <c r="I93" s="176">
        <v>0.2</v>
      </c>
      <c r="J93" s="258">
        <f>IFERROR(IF(I93="std",H93,ROUND(HLOOKUP(A93,FlightConfig!$B$28:$G$29,2,0)*I93,0)),"")</f>
        <v>6</v>
      </c>
      <c r="K93" s="213">
        <f>VLOOKUP(Food!E93,'FG MASTER'!A:AJ,16,0)</f>
        <v>4.3567464105000004</v>
      </c>
      <c r="L93" s="214">
        <f>VLOOKUP(Food!E93,'FG MASTER'!A:AJ,17,0)</f>
        <v>4</v>
      </c>
      <c r="M93" s="136">
        <f t="shared" si="115"/>
        <v>1.5999999999999999</v>
      </c>
      <c r="N93" s="136">
        <f t="shared" si="121"/>
        <v>5.9567464105000001</v>
      </c>
      <c r="O93" s="136">
        <f t="shared" si="116"/>
        <v>0.56637703336499978</v>
      </c>
      <c r="P93" s="136">
        <f t="shared" si="8"/>
        <v>0.20799999999999974</v>
      </c>
      <c r="Q93" s="136">
        <f>SUM(N93:P93)</f>
        <v>6.7311234438650001</v>
      </c>
      <c r="R93" s="318"/>
      <c r="S93" s="131"/>
      <c r="T93" s="293">
        <f>(L93/2)*J93</f>
        <v>12</v>
      </c>
      <c r="V93">
        <f t="shared" si="102"/>
        <v>26.140478463000001</v>
      </c>
      <c r="W93">
        <f t="shared" si="126"/>
        <v>24</v>
      </c>
      <c r="X93" s="131">
        <f t="shared" si="127"/>
        <v>9.6</v>
      </c>
      <c r="Y93" s="131">
        <f t="shared" si="124"/>
        <v>35.740478463000002</v>
      </c>
      <c r="Z93" s="131">
        <f t="shared" si="117"/>
        <v>3.3982622001899987</v>
      </c>
      <c r="AA93" s="131">
        <f t="shared" si="118"/>
        <v>1.2479999999999984</v>
      </c>
      <c r="AB93" s="131">
        <f t="shared" si="119"/>
        <v>40.386740663189997</v>
      </c>
      <c r="AD93" s="131" t="str">
        <f>IFERROR(#REF!*FlightConfig!$K$3,"")</f>
        <v/>
      </c>
      <c r="AE93" s="131">
        <f>IFERROR(V93*FlightConfig!$K$3,"")</f>
        <v>9515.1341605319994</v>
      </c>
      <c r="AF93" s="131">
        <f>IFERROR(W93*FlightConfig!$K$3,"")</f>
        <v>8736</v>
      </c>
      <c r="AG93" s="131">
        <f>IFERROR(X93*FlightConfig!$K$3,"")</f>
        <v>3494.4</v>
      </c>
      <c r="AH93" s="131">
        <f>IFERROR(Y93*FlightConfig!$K$3,"")</f>
        <v>13009.534160532001</v>
      </c>
      <c r="AI93" s="131">
        <f>IFERROR(AB93*FlightConfig!$K$3,"")</f>
        <v>14700.773601401159</v>
      </c>
    </row>
    <row r="94" spans="1:35" x14ac:dyDescent="0.25">
      <c r="A94" t="s">
        <v>134</v>
      </c>
      <c r="B94" s="324">
        <v>3</v>
      </c>
      <c r="C94" s="178" t="str">
        <f t="shared" si="120"/>
        <v>BUSINESS CLASS3</v>
      </c>
      <c r="D94" s="175"/>
      <c r="E94" s="271">
        <v>10101</v>
      </c>
      <c r="F94" s="277"/>
      <c r="G94" s="123" t="str">
        <f>VLOOKUP(E94,'[5]FG MASTER'!$A$10:$AB$203,2,0)</f>
        <v>BC C3 HM GARNISH PICKLED DAIKON</v>
      </c>
      <c r="H94" s="252">
        <v>2</v>
      </c>
      <c r="I94" s="176">
        <v>0.1</v>
      </c>
      <c r="J94" s="258">
        <f>IFERROR(IF(I94="std",H94,ROUND(HLOOKUP(A94,FlightConfig!$B$28:$G$29,2,0)*I94,0)),"")</f>
        <v>3</v>
      </c>
      <c r="K94" s="213">
        <f>VLOOKUP(Food!E94,'FG MASTER'!A:AJ,16,0)</f>
        <v>1.5559030169999999</v>
      </c>
      <c r="L94" s="214">
        <f>VLOOKUP(Food!E94,'FG MASTER'!A:AJ,17,0)</f>
        <v>3</v>
      </c>
      <c r="M94" s="136">
        <f t="shared" si="115"/>
        <v>1.2</v>
      </c>
      <c r="N94" s="136">
        <f t="shared" si="121"/>
        <v>2.7559030169999996</v>
      </c>
      <c r="O94" s="136">
        <f t="shared" si="116"/>
        <v>0.20226739220999979</v>
      </c>
      <c r="P94" s="136">
        <f t="shared" si="8"/>
        <v>0.15599999999999992</v>
      </c>
      <c r="Q94" s="136">
        <f t="shared" ref="Q94:Q97" si="128">SUM(N94:P94)</f>
        <v>3.1141704092099989</v>
      </c>
      <c r="R94" s="318"/>
      <c r="S94" s="131"/>
      <c r="T94">
        <f t="shared" ref="T94:T96" si="129">L94*J94</f>
        <v>9</v>
      </c>
      <c r="V94">
        <f t="shared" si="102"/>
        <v>4.6677090509999992</v>
      </c>
      <c r="W94">
        <f t="shared" si="126"/>
        <v>9</v>
      </c>
      <c r="X94" s="131">
        <f t="shared" si="127"/>
        <v>3.5999999999999996</v>
      </c>
      <c r="Y94" s="131">
        <f t="shared" si="124"/>
        <v>8.2677090509999989</v>
      </c>
      <c r="Z94" s="131">
        <f t="shared" si="117"/>
        <v>0.60680217662999936</v>
      </c>
      <c r="AA94" s="131">
        <f t="shared" si="118"/>
        <v>0.46799999999999975</v>
      </c>
      <c r="AB94" s="131">
        <f t="shared" si="119"/>
        <v>9.3425112276299966</v>
      </c>
      <c r="AD94" s="131" t="str">
        <f>IFERROR(#REF!*FlightConfig!$K$3,"")</f>
        <v/>
      </c>
      <c r="AE94" s="131">
        <f>IFERROR(V94*FlightConfig!$K$3,"")</f>
        <v>1699.0460945639998</v>
      </c>
      <c r="AF94" s="131">
        <f>IFERROR(W94*FlightConfig!$K$3,"")</f>
        <v>3276</v>
      </c>
      <c r="AG94" s="131">
        <f>IFERROR(X94*FlightConfig!$K$3,"")</f>
        <v>1310.3999999999999</v>
      </c>
      <c r="AH94" s="131">
        <f>IFERROR(Y94*FlightConfig!$K$3,"")</f>
        <v>3009.4460945639994</v>
      </c>
      <c r="AI94" s="131">
        <f>IFERROR(AB94*FlightConfig!$K$3,"")</f>
        <v>3400.6740868573188</v>
      </c>
    </row>
    <row r="95" spans="1:35" ht="30" x14ac:dyDescent="0.25">
      <c r="A95" t="s">
        <v>134</v>
      </c>
      <c r="B95" s="324">
        <v>3</v>
      </c>
      <c r="C95" s="178" t="str">
        <f t="shared" ref="C95" si="130">CONCATENATE(A95&amp;B95&amp;F95)</f>
        <v>BUSINESS CLASS3</v>
      </c>
      <c r="D95" s="175"/>
      <c r="E95" s="272">
        <v>10102</v>
      </c>
      <c r="F95" s="277"/>
      <c r="G95" s="123" t="str">
        <f>VLOOKUP(E95,'[5]FG MASTER'!$A$10:$AB$203,2,0)</f>
        <v>BC C3 HM PRE-SELECT FISH DISH MISO GLAZED SALMON, SHITAKE RICE, BABY BOK CHOY, SOY GINGER BROTH</v>
      </c>
      <c r="H95" s="252">
        <v>1</v>
      </c>
      <c r="I95" s="176" t="s">
        <v>448</v>
      </c>
      <c r="J95" s="258" t="str">
        <f>IFERROR(IF(I95="std",H95,ROUND(HLOOKUP(A95,FlightConfig!$B$28:$G$29,2,0)*I95,0)),"")</f>
        <v/>
      </c>
      <c r="K95" s="213">
        <f>VLOOKUP(Food!E95,'FG MASTER'!A:AJ,16,0)</f>
        <v>8.3769012749999998</v>
      </c>
      <c r="L95" s="214">
        <f>VLOOKUP(Food!E95,'FG MASTER'!A:AJ,17,0)</f>
        <v>8</v>
      </c>
      <c r="M95" s="136">
        <f t="shared" ref="M95" si="131">IFERROR(L95*$M$2,"")</f>
        <v>3.1999999999999997</v>
      </c>
      <c r="N95" s="136">
        <f t="shared" ref="N95" si="132">IFERROR((K95)+M95,"")</f>
        <v>11.576901274999999</v>
      </c>
      <c r="O95" s="136">
        <f t="shared" ref="O95" si="133">IFERROR($K95*(1+$O$2)-$K95+R95,0)</f>
        <v>1.0889971657499995</v>
      </c>
      <c r="P95" s="136">
        <f t="shared" ref="P95:P157" si="134">IFERROR($M95*(1+$P$2)-$M95,0)</f>
        <v>0.41599999999999948</v>
      </c>
      <c r="Q95" s="136">
        <f t="shared" ref="Q95" si="135">SUM(N95:P95)</f>
        <v>13.081898440749999</v>
      </c>
      <c r="R95" s="318"/>
      <c r="S95" s="131"/>
      <c r="T95" t="e">
        <f t="shared" ref="T95" si="136">L95*J95</f>
        <v>#VALUE!</v>
      </c>
      <c r="V95" t="str">
        <f t="shared" ref="V95" si="137">IFERROR(K95*J95-R95*J95,"")</f>
        <v/>
      </c>
      <c r="W95" t="str">
        <f t="shared" ref="W95" si="138">IFERROR(+L95*J95,"")</f>
        <v/>
      </c>
      <c r="X95" s="131" t="str">
        <f t="shared" ref="X95" si="139">IFERROR(+M95*J95,"")</f>
        <v/>
      </c>
      <c r="Y95" s="131" t="str">
        <f t="shared" ref="Y95" si="140">IFERROR(+N95*J95+R95*J95,"")</f>
        <v/>
      </c>
      <c r="Z95" s="131" t="str">
        <f t="shared" ref="Z95" si="141">IFERROR(O95*$J95,"")</f>
        <v/>
      </c>
      <c r="AA95" s="131" t="str">
        <f t="shared" ref="AA95" si="142">IFERROR(P95*$J95,"")</f>
        <v/>
      </c>
      <c r="AB95" s="131" t="str">
        <f t="shared" ref="AB95" si="143">IFERROR(+(Q95+R95)*J95,"")</f>
        <v/>
      </c>
      <c r="AD95" s="131" t="str">
        <f>IFERROR(#REF!*FlightConfig!$K$3,"")</f>
        <v/>
      </c>
      <c r="AE95" s="131" t="str">
        <f>IFERROR(V95*FlightConfig!$K$3,"")</f>
        <v/>
      </c>
      <c r="AF95" s="131" t="str">
        <f>IFERROR(W95*FlightConfig!$K$3,"")</f>
        <v/>
      </c>
      <c r="AG95" s="131" t="str">
        <f>IFERROR(X95*FlightConfig!$K$3,"")</f>
        <v/>
      </c>
      <c r="AH95" s="131" t="str">
        <f>IFERROR(Y95*FlightConfig!$K$3,"")</f>
        <v/>
      </c>
      <c r="AI95" s="131" t="str">
        <f>IFERROR(AB95*FlightConfig!$K$3,"")</f>
        <v/>
      </c>
    </row>
    <row r="96" spans="1:35" x14ac:dyDescent="0.25">
      <c r="A96" t="s">
        <v>134</v>
      </c>
      <c r="B96" s="324">
        <v>3</v>
      </c>
      <c r="C96" s="178" t="str">
        <f t="shared" si="120"/>
        <v>BUSINESS CLASS3</v>
      </c>
      <c r="D96" s="175"/>
      <c r="E96" s="272">
        <v>10103</v>
      </c>
      <c r="F96" s="277"/>
      <c r="G96" s="123" t="str">
        <f>VLOOKUP(E96,'[5]FG MASTER'!$A$10:$AB$203,2,0)</f>
        <v>BC C3 DE CHEESE GRIFFIN, ASHER BLUE</v>
      </c>
      <c r="H96" s="252">
        <v>1</v>
      </c>
      <c r="I96" s="176">
        <v>0.1</v>
      </c>
      <c r="J96" s="258">
        <f>IFERROR(IF(I96="std",H96,ROUND(HLOOKUP(A96,FlightConfig!$B$28:$G$29,2,0)*I96,0)),"")</f>
        <v>3</v>
      </c>
      <c r="K96" s="213">
        <f>VLOOKUP(Food!E96,'FG MASTER'!A:AJ,16,0)</f>
        <v>7.6023959999999997</v>
      </c>
      <c r="L96" s="214">
        <f>VLOOKUP(Food!E96,'FG MASTER'!A:AJ,17,0)</f>
        <v>16</v>
      </c>
      <c r="M96" s="136">
        <f t="shared" si="115"/>
        <v>6.3999999999999995</v>
      </c>
      <c r="N96" s="136">
        <f t="shared" si="121"/>
        <v>14.002395999999999</v>
      </c>
      <c r="O96" s="235">
        <f>IFERROR($K96*(1+90%)-$K96+R96,0)</f>
        <v>6.8421563999999995</v>
      </c>
      <c r="P96" s="136">
        <f>IFERROR($M96*(1+$P$2)-$M96,0)</f>
        <v>0.83199999999999896</v>
      </c>
      <c r="Q96" s="136">
        <f>SUM(N96:P96)</f>
        <v>21.676552399999998</v>
      </c>
      <c r="R96" s="318"/>
      <c r="S96" s="375" t="s">
        <v>452</v>
      </c>
      <c r="T96">
        <f t="shared" si="129"/>
        <v>48</v>
      </c>
      <c r="V96">
        <f t="shared" si="102"/>
        <v>22.807188</v>
      </c>
      <c r="W96">
        <f t="shared" si="126"/>
        <v>48</v>
      </c>
      <c r="X96" s="131">
        <f t="shared" si="127"/>
        <v>19.2</v>
      </c>
      <c r="Y96" s="131">
        <f t="shared" si="124"/>
        <v>42.007187999999999</v>
      </c>
      <c r="Z96" s="131">
        <f t="shared" si="117"/>
        <v>20.526469199999998</v>
      </c>
      <c r="AA96" s="131">
        <f t="shared" si="118"/>
        <v>2.4959999999999969</v>
      </c>
      <c r="AB96" s="131">
        <f t="shared" si="119"/>
        <v>65.029657200000003</v>
      </c>
      <c r="AD96" s="131" t="str">
        <f>IFERROR(#REF!*FlightConfig!$K$3,"")</f>
        <v/>
      </c>
      <c r="AE96" s="131">
        <f>IFERROR(V96*FlightConfig!$K$3,"")</f>
        <v>8301.8164319999996</v>
      </c>
      <c r="AF96" s="131">
        <f>IFERROR(W96*FlightConfig!$K$3,"")</f>
        <v>17472</v>
      </c>
      <c r="AG96" s="131">
        <f>IFERROR(X96*FlightConfig!$K$3,"")</f>
        <v>6988.8</v>
      </c>
      <c r="AH96" s="131">
        <f>IFERROR(Y96*FlightConfig!$K$3,"")</f>
        <v>15290.616431999999</v>
      </c>
      <c r="AI96" s="131">
        <f>IFERROR(AB96*FlightConfig!$K$3,"")</f>
        <v>23670.795220800002</v>
      </c>
    </row>
    <row r="97" spans="1:35" x14ac:dyDescent="0.25">
      <c r="A97" t="s">
        <v>134</v>
      </c>
      <c r="B97" s="324">
        <v>3</v>
      </c>
      <c r="C97" s="178" t="str">
        <f t="shared" si="120"/>
        <v>BUSINESS CLASS3</v>
      </c>
      <c r="D97" s="175"/>
      <c r="E97" s="272">
        <v>10104</v>
      </c>
      <c r="F97" s="277"/>
      <c r="G97" s="123" t="str">
        <f>VLOOKUP(E97,'[5]FG MASTER'!$A$10:$AB$203,2,0)</f>
        <v xml:space="preserve">BC C3 DE CAKE CHOCOLATE MOUSSE CAKE </v>
      </c>
      <c r="H97" s="252">
        <v>16</v>
      </c>
      <c r="I97" s="176" t="s">
        <v>275</v>
      </c>
      <c r="J97" s="258">
        <f>IFERROR(IF(I97="std",H97,ROUND(HLOOKUP(A97,FlightConfig!$B$28:$G$29,2,0)*I97,0)),"")</f>
        <v>16</v>
      </c>
      <c r="K97" s="213">
        <f>VLOOKUP(Food!E97,'FG MASTER'!A:AJ,16,0)</f>
        <v>0.89859085852499987</v>
      </c>
      <c r="L97" s="214">
        <f>VLOOKUP(Food!E97,'FG MASTER'!A:AJ,17,0)</f>
        <v>2.5</v>
      </c>
      <c r="M97" s="136">
        <f t="shared" si="115"/>
        <v>0.99999999999999989</v>
      </c>
      <c r="N97" s="136">
        <f t="shared" si="121"/>
        <v>1.8985908585249998</v>
      </c>
      <c r="O97" s="136">
        <f t="shared" si="116"/>
        <v>0.11681681160824986</v>
      </c>
      <c r="P97" s="136">
        <f t="shared" si="134"/>
        <v>0.12999999999999978</v>
      </c>
      <c r="Q97" s="136">
        <f t="shared" si="128"/>
        <v>2.1454076701332494</v>
      </c>
      <c r="R97" s="318"/>
      <c r="S97" s="131"/>
      <c r="T97" s="293">
        <f>(L97/2)*J97</f>
        <v>20</v>
      </c>
      <c r="V97">
        <f t="shared" si="102"/>
        <v>14.377453736399998</v>
      </c>
      <c r="W97">
        <f t="shared" si="126"/>
        <v>40</v>
      </c>
      <c r="X97" s="131">
        <f t="shared" si="127"/>
        <v>15.999999999999998</v>
      </c>
      <c r="Y97" s="131">
        <f t="shared" si="124"/>
        <v>30.377453736399996</v>
      </c>
      <c r="Z97" s="131">
        <f t="shared" si="117"/>
        <v>1.8690689857319978</v>
      </c>
      <c r="AA97" s="131">
        <f t="shared" si="118"/>
        <v>2.0799999999999965</v>
      </c>
      <c r="AB97" s="131">
        <f t="shared" si="119"/>
        <v>34.32652272213199</v>
      </c>
      <c r="AD97" s="131" t="str">
        <f>IFERROR(#REF!*FlightConfig!$K$3,"")</f>
        <v/>
      </c>
      <c r="AE97" s="131">
        <f>IFERROR(V97*FlightConfig!$K$3,"")</f>
        <v>5233.3931600495989</v>
      </c>
      <c r="AF97" s="131">
        <f>IFERROR(W97*FlightConfig!$K$3,"")</f>
        <v>14560</v>
      </c>
      <c r="AG97" s="131">
        <f>IFERROR(X97*FlightConfig!$K$3,"")</f>
        <v>5823.9999999999991</v>
      </c>
      <c r="AH97" s="131">
        <f>IFERROR(Y97*FlightConfig!$K$3,"")</f>
        <v>11057.393160049598</v>
      </c>
      <c r="AI97" s="131">
        <f>IFERROR(AB97*FlightConfig!$K$3,"")</f>
        <v>12494.854270856045</v>
      </c>
    </row>
    <row r="98" spans="1:35" x14ac:dyDescent="0.25">
      <c r="A98" t="s">
        <v>134</v>
      </c>
      <c r="B98" s="324">
        <v>3</v>
      </c>
      <c r="C98" s="178" t="str">
        <f t="shared" si="120"/>
        <v>BUSINESS CLASS3</v>
      </c>
      <c r="D98" s="175"/>
      <c r="E98" s="270">
        <v>10105</v>
      </c>
      <c r="F98" s="277"/>
      <c r="G98" s="123" t="str">
        <f>VLOOKUP(E98,'[5]FG MASTER'!$A$10:$AB$203,2,0)</f>
        <v>BC C3 DE CAKE GARNISH STRAWBERRY COULIS 200G</v>
      </c>
      <c r="H98" s="252">
        <v>1</v>
      </c>
      <c r="I98" s="176">
        <v>0.1</v>
      </c>
      <c r="J98" s="258">
        <f>IFERROR(IF(I98="std",H98,ROUND(HLOOKUP(A98,FlightConfig!$B$28:$G$29,2,0)*I98,0)),"")</f>
        <v>3</v>
      </c>
      <c r="K98" s="213">
        <f>VLOOKUP(Food!E98,'FG MASTER'!A:AJ,16,0)</f>
        <v>1.6460876429999998</v>
      </c>
      <c r="L98" s="214">
        <f>VLOOKUP(Food!E98,'FG MASTER'!A:AJ,17,0)</f>
        <v>2</v>
      </c>
      <c r="M98" s="136">
        <f t="shared" si="115"/>
        <v>0.79999999999999993</v>
      </c>
      <c r="N98" s="136">
        <f t="shared" si="121"/>
        <v>2.4460876429999998</v>
      </c>
      <c r="O98" s="136">
        <f t="shared" si="116"/>
        <v>0.21399139358999975</v>
      </c>
      <c r="P98" s="136">
        <f t="shared" si="134"/>
        <v>0.10399999999999987</v>
      </c>
      <c r="Q98" s="136">
        <f>SUM(N98:P98)</f>
        <v>2.7640790365899992</v>
      </c>
      <c r="R98" s="318"/>
      <c r="S98" s="131"/>
      <c r="T98">
        <f t="shared" ref="T98:T99" si="144">L98*J98</f>
        <v>6</v>
      </c>
      <c r="V98">
        <f t="shared" si="102"/>
        <v>4.9382629289999995</v>
      </c>
      <c r="W98">
        <f t="shared" si="126"/>
        <v>6</v>
      </c>
      <c r="X98" s="131">
        <f t="shared" si="127"/>
        <v>2.4</v>
      </c>
      <c r="Y98" s="131">
        <f t="shared" si="124"/>
        <v>7.338262928999999</v>
      </c>
      <c r="Z98" s="131">
        <f t="shared" si="117"/>
        <v>0.64197418076999924</v>
      </c>
      <c r="AA98" s="131">
        <f t="shared" si="118"/>
        <v>0.31199999999999961</v>
      </c>
      <c r="AB98" s="131">
        <f t="shared" si="119"/>
        <v>8.2922371097699976</v>
      </c>
      <c r="AD98" s="131" t="str">
        <f>IFERROR(#REF!*FlightConfig!$K$3,"")</f>
        <v/>
      </c>
      <c r="AE98" s="131">
        <f>IFERROR(V98*FlightConfig!$K$3,"")</f>
        <v>1797.5277061559998</v>
      </c>
      <c r="AF98" s="131">
        <f>IFERROR(W98*FlightConfig!$K$3,"")</f>
        <v>2184</v>
      </c>
      <c r="AG98" s="131">
        <f>IFERROR(X98*FlightConfig!$K$3,"")</f>
        <v>873.6</v>
      </c>
      <c r="AH98" s="131">
        <f>IFERROR(Y98*FlightConfig!$K$3,"")</f>
        <v>2671.1277061559995</v>
      </c>
      <c r="AI98" s="131">
        <f>IFERROR(AB98*FlightConfig!$K$3,"")</f>
        <v>3018.3743079562792</v>
      </c>
    </row>
    <row r="99" spans="1:35" x14ac:dyDescent="0.25">
      <c r="A99" t="s">
        <v>134</v>
      </c>
      <c r="B99" s="324">
        <v>3</v>
      </c>
      <c r="C99" s="178" t="str">
        <f t="shared" si="120"/>
        <v>BUSINESS CLASS3</v>
      </c>
      <c r="D99" s="175"/>
      <c r="E99" s="270">
        <v>10026</v>
      </c>
      <c r="F99" s="277"/>
      <c r="G99" s="123" t="str">
        <f>VLOOKUP(E99,'[5]FG MASTER'!$A$10:$AB$203,2,0)</f>
        <v>BC C2 DE FRUIT GRAPE, HONEYDEW, CANTALOUPE, WATERMELON</v>
      </c>
      <c r="H99" s="252">
        <v>1</v>
      </c>
      <c r="I99" s="176">
        <v>0.1</v>
      </c>
      <c r="J99" s="258">
        <f>IFERROR(IF(I99="std",H99,ROUND(HLOOKUP(A99,FlightConfig!$B$28:$G$29,2,0)*I99,0)),"")</f>
        <v>3</v>
      </c>
      <c r="K99" s="213">
        <f>VLOOKUP(Food!E99,'FG MASTER'!A:AJ,16,0)</f>
        <v>2.5654784999999998</v>
      </c>
      <c r="L99" s="214">
        <f>VLOOKUP(Food!E99,'FG MASTER'!A:AJ,17,0)</f>
        <v>3.5</v>
      </c>
      <c r="M99" s="136">
        <f t="shared" si="115"/>
        <v>1.4</v>
      </c>
      <c r="N99" s="136">
        <f t="shared" si="121"/>
        <v>3.9654784999999997</v>
      </c>
      <c r="O99" s="136">
        <f t="shared" si="116"/>
        <v>0.33351220499999989</v>
      </c>
      <c r="P99" s="136">
        <f t="shared" si="134"/>
        <v>0.18199999999999994</v>
      </c>
      <c r="Q99" s="136">
        <f t="shared" ref="Q99:Q102" si="145">SUM(N99:P99)</f>
        <v>4.480990705</v>
      </c>
      <c r="R99" s="318"/>
      <c r="S99" s="131"/>
      <c r="T99">
        <f t="shared" si="144"/>
        <v>10.5</v>
      </c>
      <c r="V99">
        <f t="shared" si="102"/>
        <v>7.6964354999999998</v>
      </c>
      <c r="W99">
        <f t="shared" si="126"/>
        <v>10.5</v>
      </c>
      <c r="X99" s="131">
        <f t="shared" si="127"/>
        <v>4.1999999999999993</v>
      </c>
      <c r="Y99" s="131">
        <f t="shared" si="124"/>
        <v>11.896435499999999</v>
      </c>
      <c r="Z99" s="131">
        <f t="shared" si="117"/>
        <v>1.0005366149999997</v>
      </c>
      <c r="AA99" s="131">
        <f t="shared" si="118"/>
        <v>0.54599999999999982</v>
      </c>
      <c r="AB99" s="131">
        <f t="shared" si="119"/>
        <v>13.442972115</v>
      </c>
      <c r="AD99" s="131" t="str">
        <f>IFERROR(#REF!*FlightConfig!$K$3,"")</f>
        <v/>
      </c>
      <c r="AE99" s="131">
        <f>IFERROR(V99*FlightConfig!$K$3,"")</f>
        <v>2801.5025219999998</v>
      </c>
      <c r="AF99" s="131">
        <f>IFERROR(W99*FlightConfig!$K$3,"")</f>
        <v>3822</v>
      </c>
      <c r="AG99" s="131">
        <f>IFERROR(X99*FlightConfig!$K$3,"")</f>
        <v>1528.7999999999997</v>
      </c>
      <c r="AH99" s="131">
        <f>IFERROR(Y99*FlightConfig!$K$3,"")</f>
        <v>4330.302522</v>
      </c>
      <c r="AI99" s="131">
        <f>IFERROR(AB99*FlightConfig!$K$3,"")</f>
        <v>4893.24184986</v>
      </c>
    </row>
    <row r="100" spans="1:35" x14ac:dyDescent="0.25">
      <c r="A100" t="s">
        <v>134</v>
      </c>
      <c r="B100" s="324">
        <v>3</v>
      </c>
      <c r="C100" s="178" t="str">
        <f t="shared" si="120"/>
        <v>BUSINESS CLASS3</v>
      </c>
      <c r="D100" s="175"/>
      <c r="E100" s="270">
        <v>10028</v>
      </c>
      <c r="F100" s="277"/>
      <c r="G100" s="123" t="str">
        <f>VLOOKUP(E100,'[5]FG MASTER'!$A$10:$AB$203,2,0)</f>
        <v>BC BRD TYPE 1 HERB SOURDOUGH 30G AND MULTIGRAIN CHEESE ROLL 40G</v>
      </c>
      <c r="H100" s="252">
        <v>1</v>
      </c>
      <c r="I100" s="176">
        <v>0.6</v>
      </c>
      <c r="J100" s="258">
        <f>IFERROR(IF(I100="std",H100,ROUND(HLOOKUP(A100,FlightConfig!$B$28:$G$29,2,0)*I100,0)),"")</f>
        <v>19</v>
      </c>
      <c r="K100" s="213">
        <f>VLOOKUP(Food!E100,'FG MASTER'!A:AJ,16,0)</f>
        <v>1.11825</v>
      </c>
      <c r="L100" s="214">
        <f>VLOOKUP(Food!E100,'FG MASTER'!A:AJ,17,0)</f>
        <v>1</v>
      </c>
      <c r="M100" s="136">
        <f>IFERROR(L100*$M$2,"")</f>
        <v>0.39999999999999997</v>
      </c>
      <c r="N100" s="136">
        <f t="shared" si="121"/>
        <v>1.5182499999999999</v>
      </c>
      <c r="O100" s="136">
        <f t="shared" si="116"/>
        <v>0.1453724999999999</v>
      </c>
      <c r="P100" s="136">
        <f t="shared" si="134"/>
        <v>5.1999999999999935E-2</v>
      </c>
      <c r="Q100" s="136">
        <f t="shared" si="145"/>
        <v>1.7156224999999998</v>
      </c>
      <c r="R100" s="318"/>
      <c r="S100" s="131"/>
      <c r="T100" s="293">
        <f>0.32*J100</f>
        <v>6.08</v>
      </c>
      <c r="V100">
        <f t="shared" si="102"/>
        <v>21.246749999999999</v>
      </c>
      <c r="W100">
        <f t="shared" si="126"/>
        <v>19</v>
      </c>
      <c r="X100" s="131">
        <f t="shared" si="127"/>
        <v>7.6</v>
      </c>
      <c r="Y100" s="131">
        <f t="shared" si="124"/>
        <v>28.846749999999997</v>
      </c>
      <c r="Z100" s="131">
        <f t="shared" si="117"/>
        <v>2.7620774999999984</v>
      </c>
      <c r="AA100" s="131">
        <f t="shared" si="118"/>
        <v>0.98799999999999877</v>
      </c>
      <c r="AB100" s="131">
        <f t="shared" si="119"/>
        <v>32.596827499999996</v>
      </c>
      <c r="AD100" s="131" t="str">
        <f>IFERROR(#REF!*FlightConfig!$K$3,"")</f>
        <v/>
      </c>
      <c r="AE100" s="131">
        <f>IFERROR(V100*FlightConfig!$K$3,"")</f>
        <v>7733.8169999999991</v>
      </c>
      <c r="AF100" s="131">
        <f>IFERROR(W100*FlightConfig!$K$3,"")</f>
        <v>6916</v>
      </c>
      <c r="AG100" s="131">
        <f>IFERROR(X100*FlightConfig!$K$3,"")</f>
        <v>2766.4</v>
      </c>
      <c r="AH100" s="131">
        <f>IFERROR(Y100*FlightConfig!$K$3,"")</f>
        <v>10500.216999999999</v>
      </c>
      <c r="AI100" s="131">
        <f>IFERROR(AB100*FlightConfig!$K$3,"")</f>
        <v>11865.245209999999</v>
      </c>
    </row>
    <row r="101" spans="1:35" x14ac:dyDescent="0.25">
      <c r="A101" t="s">
        <v>134</v>
      </c>
      <c r="B101" s="324">
        <v>3</v>
      </c>
      <c r="C101" s="178" t="str">
        <f t="shared" si="120"/>
        <v>BUSINESS CLASS3</v>
      </c>
      <c r="D101" s="175"/>
      <c r="E101" s="270">
        <v>10030</v>
      </c>
      <c r="F101" s="277"/>
      <c r="G101" s="123" t="str">
        <f>VLOOKUP(E101,'[5]FG MASTER'!$A$10:$AB$203,2,0)</f>
        <v>BC BRD TYPE 3 ARTISAN BAGUETTE</v>
      </c>
      <c r="H101" s="252">
        <v>2</v>
      </c>
      <c r="I101" s="176">
        <v>0.1</v>
      </c>
      <c r="J101" s="258">
        <f>IFERROR(IF(I101="std",H101,ROUND(HLOOKUP(A101,FlightConfig!$B$28:$G$29,2,0)*I101,0)),"")</f>
        <v>3</v>
      </c>
      <c r="K101" s="213">
        <f>VLOOKUP(Food!E101,'FG MASTER'!A:AJ,16,0)</f>
        <v>2.4175499999999999</v>
      </c>
      <c r="L101" s="214">
        <f>VLOOKUP(Food!E101,'FG MASTER'!A:AJ,17,0)</f>
        <v>0.2</v>
      </c>
      <c r="M101" s="136">
        <f t="shared" ref="M101:M115" si="146">IFERROR(L101*$M$2,"")</f>
        <v>0.08</v>
      </c>
      <c r="N101" s="136">
        <f t="shared" si="121"/>
        <v>2.4975499999999999</v>
      </c>
      <c r="O101" s="136">
        <f t="shared" si="116"/>
        <v>0.31428149999999988</v>
      </c>
      <c r="P101" s="136">
        <f t="shared" si="134"/>
        <v>1.0399999999999993E-2</v>
      </c>
      <c r="Q101" s="136">
        <f t="shared" si="145"/>
        <v>2.8222315</v>
      </c>
      <c r="R101" s="318"/>
      <c r="S101" s="131"/>
      <c r="T101">
        <f t="shared" ref="T101:T108" si="147">L101*J101</f>
        <v>0.60000000000000009</v>
      </c>
      <c r="V101">
        <f t="shared" si="102"/>
        <v>7.2526499999999992</v>
      </c>
      <c r="W101">
        <f t="shared" si="126"/>
        <v>0.60000000000000009</v>
      </c>
      <c r="X101" s="131">
        <f t="shared" si="127"/>
        <v>0.24</v>
      </c>
      <c r="Y101" s="131">
        <f t="shared" si="124"/>
        <v>7.4926499999999994</v>
      </c>
      <c r="Z101" s="131">
        <f t="shared" si="117"/>
        <v>0.94284449999999964</v>
      </c>
      <c r="AA101" s="131">
        <f t="shared" si="118"/>
        <v>3.1199999999999978E-2</v>
      </c>
      <c r="AB101" s="131">
        <f t="shared" si="119"/>
        <v>8.4666944999999991</v>
      </c>
      <c r="AD101" s="131" t="str">
        <f>IFERROR(#REF!*FlightConfig!$K$3,"")</f>
        <v/>
      </c>
      <c r="AE101" s="131">
        <f>IFERROR(V101*FlightConfig!$K$3,"")</f>
        <v>2639.9645999999998</v>
      </c>
      <c r="AF101" s="131">
        <f>IFERROR(W101*FlightConfig!$K$3,"")</f>
        <v>218.40000000000003</v>
      </c>
      <c r="AG101" s="131">
        <f>IFERROR(X101*FlightConfig!$K$3,"")</f>
        <v>87.36</v>
      </c>
      <c r="AH101" s="131">
        <f>IFERROR(Y101*FlightConfig!$K$3,"")</f>
        <v>2727.3245999999999</v>
      </c>
      <c r="AI101" s="131">
        <f>IFERROR(AB101*FlightConfig!$K$3,"")</f>
        <v>3081.8767979999998</v>
      </c>
    </row>
    <row r="102" spans="1:35" x14ac:dyDescent="0.25">
      <c r="A102" t="s">
        <v>134</v>
      </c>
      <c r="B102" s="324">
        <v>3</v>
      </c>
      <c r="C102" s="178" t="str">
        <f t="shared" si="120"/>
        <v>BUSINESS CLASS3</v>
      </c>
      <c r="D102" s="175"/>
      <c r="E102" s="270">
        <v>10031</v>
      </c>
      <c r="F102" s="277"/>
      <c r="G102" s="123" t="str">
        <f>VLOOKUP(E102,'[5]FG MASTER'!$A$10:$AB$203,2,0)</f>
        <v>BC BRD C2 CROISSANT MINI</v>
      </c>
      <c r="H102" s="252">
        <v>1</v>
      </c>
      <c r="I102" s="176">
        <v>0.4</v>
      </c>
      <c r="J102" s="258">
        <f>IFERROR(IF(I102="std",H102,ROUND(HLOOKUP(A102,FlightConfig!$B$28:$G$29,2,0)*I102,0)),"")</f>
        <v>13</v>
      </c>
      <c r="K102" s="213">
        <f>VLOOKUP(Food!E102,'FG MASTER'!A:AJ,16,0)</f>
        <v>0.62834999999999996</v>
      </c>
      <c r="L102" s="214">
        <f>VLOOKUP(Food!E102,'FG MASTER'!A:AJ,17,0)</f>
        <v>0.6</v>
      </c>
      <c r="M102" s="136">
        <f t="shared" si="146"/>
        <v>0.23999999999999996</v>
      </c>
      <c r="N102" s="136">
        <f t="shared" si="121"/>
        <v>0.86834999999999996</v>
      </c>
      <c r="O102" s="136">
        <f t="shared" si="116"/>
        <v>8.1685499999999966E-2</v>
      </c>
      <c r="P102" s="136">
        <f t="shared" si="134"/>
        <v>3.1199999999999978E-2</v>
      </c>
      <c r="Q102" s="136">
        <f t="shared" si="145"/>
        <v>0.98123549999999993</v>
      </c>
      <c r="R102" s="318"/>
      <c r="S102" s="131"/>
      <c r="T102">
        <f t="shared" si="147"/>
        <v>7.8</v>
      </c>
      <c r="V102">
        <f t="shared" si="102"/>
        <v>8.1685499999999998</v>
      </c>
      <c r="W102">
        <f t="shared" si="126"/>
        <v>7.8</v>
      </c>
      <c r="X102" s="131">
        <f t="shared" si="127"/>
        <v>3.1199999999999997</v>
      </c>
      <c r="Y102" s="131">
        <f t="shared" si="124"/>
        <v>11.288549999999999</v>
      </c>
      <c r="Z102" s="131">
        <f t="shared" si="117"/>
        <v>1.0619114999999995</v>
      </c>
      <c r="AA102" s="131">
        <f t="shared" si="118"/>
        <v>0.40559999999999974</v>
      </c>
      <c r="AB102" s="131">
        <f t="shared" si="119"/>
        <v>12.756061499999999</v>
      </c>
      <c r="AD102" s="131" t="str">
        <f>IFERROR(#REF!*FlightConfig!$K$3,"")</f>
        <v/>
      </c>
      <c r="AE102" s="131">
        <f>IFERROR(V102*FlightConfig!$K$3,"")</f>
        <v>2973.3521999999998</v>
      </c>
      <c r="AF102" s="131">
        <f>IFERROR(W102*FlightConfig!$K$3,"")</f>
        <v>2839.2</v>
      </c>
      <c r="AG102" s="131">
        <f>IFERROR(X102*FlightConfig!$K$3,"")</f>
        <v>1135.6799999999998</v>
      </c>
      <c r="AH102" s="131">
        <f>IFERROR(Y102*FlightConfig!$K$3,"")</f>
        <v>4109.0321999999996</v>
      </c>
      <c r="AI102" s="131">
        <f>IFERROR(AB102*FlightConfig!$K$3,"")</f>
        <v>4643.2063859999998</v>
      </c>
    </row>
    <row r="103" spans="1:35" x14ac:dyDescent="0.25">
      <c r="A103" t="s">
        <v>134</v>
      </c>
      <c r="B103" s="324">
        <v>3</v>
      </c>
      <c r="C103" s="178" t="str">
        <f t="shared" si="120"/>
        <v>BUSINESS CLASS3</v>
      </c>
      <c r="D103" s="175"/>
      <c r="E103" s="271">
        <v>10001</v>
      </c>
      <c r="F103" s="277"/>
      <c r="G103" s="123" t="str">
        <f>VLOOKUP(E103,'[5]FG MASTER'!$A$10:$AB$203,2,0)</f>
        <v>BC TSU</v>
      </c>
      <c r="H103" s="252">
        <v>1</v>
      </c>
      <c r="I103" s="176">
        <v>1</v>
      </c>
      <c r="J103" s="258">
        <f>IFERROR(IF(I103="std",H103,ROUND(HLOOKUP(A103,FlightConfig!$B$28:$G$29,2,0)*I103,0)),"")</f>
        <v>32</v>
      </c>
      <c r="K103" s="213">
        <f>VLOOKUP(Food!E103,'FG MASTER'!A:AJ,16,0)</f>
        <v>0</v>
      </c>
      <c r="L103" s="214">
        <f>VLOOKUP(Food!E103,'FG MASTER'!A:AJ,17,0)</f>
        <v>2</v>
      </c>
      <c r="M103" s="136">
        <f t="shared" si="146"/>
        <v>0.79999999999999993</v>
      </c>
      <c r="N103" s="136">
        <f t="shared" si="121"/>
        <v>0.79999999999999993</v>
      </c>
      <c r="O103" s="136">
        <f t="shared" si="116"/>
        <v>0</v>
      </c>
      <c r="P103" s="136">
        <f t="shared" si="134"/>
        <v>0.10399999999999987</v>
      </c>
      <c r="Q103" s="136">
        <f>SUM(N103:P103)</f>
        <v>0.9039999999999998</v>
      </c>
      <c r="R103" s="318"/>
      <c r="S103" s="131"/>
      <c r="T103">
        <f t="shared" si="147"/>
        <v>64</v>
      </c>
      <c r="V103">
        <f t="shared" si="102"/>
        <v>0</v>
      </c>
      <c r="W103">
        <f t="shared" si="126"/>
        <v>64</v>
      </c>
      <c r="X103" s="131">
        <f t="shared" si="127"/>
        <v>25.599999999999998</v>
      </c>
      <c r="Y103" s="131">
        <f t="shared" si="124"/>
        <v>25.599999999999998</v>
      </c>
      <c r="Z103" s="131">
        <f t="shared" si="117"/>
        <v>0</v>
      </c>
      <c r="AA103" s="131">
        <f t="shared" si="118"/>
        <v>3.3279999999999959</v>
      </c>
      <c r="AB103" s="131">
        <f t="shared" si="119"/>
        <v>28.927999999999994</v>
      </c>
      <c r="AD103" s="131" t="str">
        <f>IFERROR(#REF!*FlightConfig!$K$3,"")</f>
        <v/>
      </c>
      <c r="AE103" s="131">
        <f>IFERROR(V103*FlightConfig!$K$3,"")</f>
        <v>0</v>
      </c>
      <c r="AF103" s="131">
        <f>IFERROR(W103*FlightConfig!$K$3,"")</f>
        <v>23296</v>
      </c>
      <c r="AG103" s="131">
        <f>IFERROR(X103*FlightConfig!$K$3,"")</f>
        <v>9318.4</v>
      </c>
      <c r="AH103" s="131">
        <f>IFERROR(Y103*FlightConfig!$K$3,"")</f>
        <v>9318.4</v>
      </c>
      <c r="AI103" s="131">
        <f>IFERROR(AB103*FlightConfig!$K$3,"")</f>
        <v>10529.791999999998</v>
      </c>
    </row>
    <row r="104" spans="1:35" ht="30" x14ac:dyDescent="0.25">
      <c r="A104" t="s">
        <v>134</v>
      </c>
      <c r="B104" s="324">
        <v>3</v>
      </c>
      <c r="C104" s="178" t="str">
        <f>CONCATENATE(A104&amp;B104&amp;F104)</f>
        <v>BUSINESS CLASS3</v>
      </c>
      <c r="D104" s="175"/>
      <c r="E104" s="270">
        <v>10107</v>
      </c>
      <c r="F104" s="277"/>
      <c r="G104" s="123" t="str">
        <f>VLOOKUP(E104,'[5]FG MASTER'!$A$10:$AB$203,2,0)</f>
        <v xml:space="preserve">BC C3 COLD CUT CHIVE CREAM CHEESE, BEECHER FLAGSHIP CHEDDAR, TURKEY BREAST HEYWOOD, SALAMI, LEAF, CUCUMBER, CHERRY TOMATO </v>
      </c>
      <c r="H104" s="252">
        <v>1</v>
      </c>
      <c r="I104" s="176">
        <v>1</v>
      </c>
      <c r="J104" s="258">
        <f>IFERROR(IF(I104="std",H104,ROUND(HLOOKUP(A104,FlightConfig!$B$28:$G$29,2,0)*I104,0)),"")</f>
        <v>32</v>
      </c>
      <c r="K104" s="213">
        <f>VLOOKUP(Food!E104,'FG MASTER'!A:AJ,16,0)</f>
        <v>2.2214044769999997</v>
      </c>
      <c r="L104" s="214">
        <f>VLOOKUP(Food!E104,'FG MASTER'!A:AJ,17,0)</f>
        <v>3</v>
      </c>
      <c r="M104" s="136">
        <f t="shared" si="146"/>
        <v>1.2</v>
      </c>
      <c r="N104" s="136">
        <f t="shared" si="121"/>
        <v>3.4214044769999994</v>
      </c>
      <c r="O104" s="136">
        <f t="shared" si="116"/>
        <v>0.28878258200999962</v>
      </c>
      <c r="P104" s="136">
        <f t="shared" si="134"/>
        <v>0.15599999999999992</v>
      </c>
      <c r="Q104" s="136">
        <f>SUM(N104:P104)</f>
        <v>3.8661870590099987</v>
      </c>
      <c r="R104" s="318"/>
      <c r="S104" s="131"/>
      <c r="T104">
        <f t="shared" si="147"/>
        <v>96</v>
      </c>
      <c r="V104">
        <f t="shared" si="102"/>
        <v>71.084943263999989</v>
      </c>
      <c r="W104">
        <f t="shared" si="126"/>
        <v>96</v>
      </c>
      <c r="X104" s="131">
        <f t="shared" si="127"/>
        <v>38.4</v>
      </c>
      <c r="Y104" s="131">
        <f t="shared" si="124"/>
        <v>109.48494326399998</v>
      </c>
      <c r="Z104" s="131">
        <f t="shared" si="117"/>
        <v>9.2410426243199879</v>
      </c>
      <c r="AA104" s="131">
        <f t="shared" si="118"/>
        <v>4.9919999999999973</v>
      </c>
      <c r="AB104" s="131">
        <f t="shared" si="119"/>
        <v>123.71798588831996</v>
      </c>
      <c r="AD104" s="131" t="str">
        <f>IFERROR(#REF!*FlightConfig!$K$3,"")</f>
        <v/>
      </c>
      <c r="AE104" s="131">
        <f>IFERROR(V104*FlightConfig!$K$3,"")</f>
        <v>25874.919348095995</v>
      </c>
      <c r="AF104" s="131">
        <f>IFERROR(W104*FlightConfig!$K$3,"")</f>
        <v>34944</v>
      </c>
      <c r="AG104" s="131">
        <f>IFERROR(X104*FlightConfig!$K$3,"")</f>
        <v>13977.6</v>
      </c>
      <c r="AH104" s="131">
        <f>IFERROR(Y104*FlightConfig!$K$3,"")</f>
        <v>39852.519348095993</v>
      </c>
      <c r="AI104" s="131">
        <f>IFERROR(AB104*FlightConfig!$K$3,"")</f>
        <v>45033.346863348466</v>
      </c>
    </row>
    <row r="105" spans="1:35" x14ac:dyDescent="0.25">
      <c r="A105" t="s">
        <v>134</v>
      </c>
      <c r="B105" s="324">
        <v>3</v>
      </c>
      <c r="C105" s="178" t="str">
        <f t="shared" ref="C105:C115" si="148">CONCATENATE(A105&amp;B105&amp;F105)</f>
        <v>BUSINESS CLASS3</v>
      </c>
      <c r="D105" s="175"/>
      <c r="E105" s="270">
        <v>10108</v>
      </c>
      <c r="F105" s="277"/>
      <c r="G105" s="123" t="str">
        <f>VLOOKUP(E105,'[5]FG MASTER'!$A$10:$AB$203,2,0)</f>
        <v>BC C3 BRK FRUIT MUESLI, GEOGIA PEACH, BLUEBERRY</v>
      </c>
      <c r="H105" s="252">
        <v>1</v>
      </c>
      <c r="I105" s="176">
        <v>1</v>
      </c>
      <c r="J105" s="258">
        <f>IFERROR(IF(I105="std",H105,ROUND(HLOOKUP(A105,FlightConfig!$B$28:$G$29,2,0)*I105,0)),"")</f>
        <v>32</v>
      </c>
      <c r="K105" s="213">
        <f>VLOOKUP(Food!E105,'FG MASTER'!A:AJ,16,0)</f>
        <v>1.055565165</v>
      </c>
      <c r="L105" s="214">
        <f>VLOOKUP(Food!E105,'FG MASTER'!A:AJ,17,0)</f>
        <v>2.25</v>
      </c>
      <c r="M105" s="136">
        <f t="shared" si="146"/>
        <v>0.89999999999999991</v>
      </c>
      <c r="N105" s="136">
        <f t="shared" si="121"/>
        <v>1.9555651649999999</v>
      </c>
      <c r="O105" s="136">
        <f t="shared" si="116"/>
        <v>0.1372234714499998</v>
      </c>
      <c r="P105" s="136">
        <f t="shared" si="134"/>
        <v>0.11699999999999999</v>
      </c>
      <c r="Q105" s="136">
        <f t="shared" ref="Q105" si="149">SUM(N105:P105)</f>
        <v>2.2097886364499999</v>
      </c>
      <c r="R105" s="318"/>
      <c r="S105" s="131"/>
      <c r="T105">
        <f t="shared" si="147"/>
        <v>72</v>
      </c>
      <c r="V105">
        <f t="shared" si="102"/>
        <v>33.778085279999999</v>
      </c>
      <c r="W105">
        <f t="shared" si="126"/>
        <v>72</v>
      </c>
      <c r="X105" s="131">
        <f t="shared" si="127"/>
        <v>28.799999999999997</v>
      </c>
      <c r="Y105" s="131">
        <f t="shared" si="124"/>
        <v>62.578085279999996</v>
      </c>
      <c r="Z105" s="131">
        <f t="shared" si="117"/>
        <v>4.3911510863999936</v>
      </c>
      <c r="AA105" s="131">
        <f t="shared" si="118"/>
        <v>3.7439999999999998</v>
      </c>
      <c r="AB105" s="131">
        <f t="shared" si="119"/>
        <v>70.713236366399997</v>
      </c>
      <c r="AD105" s="131" t="str">
        <f>IFERROR(#REF!*FlightConfig!$K$3,"")</f>
        <v/>
      </c>
      <c r="AE105" s="131">
        <f>IFERROR(V105*FlightConfig!$K$3,"")</f>
        <v>12295.22304192</v>
      </c>
      <c r="AF105" s="131">
        <f>IFERROR(W105*FlightConfig!$K$3,"")</f>
        <v>26208</v>
      </c>
      <c r="AG105" s="131">
        <f>IFERROR(X105*FlightConfig!$K$3,"")</f>
        <v>10483.199999999999</v>
      </c>
      <c r="AH105" s="131">
        <f>IFERROR(Y105*FlightConfig!$K$3,"")</f>
        <v>22778.423041919999</v>
      </c>
      <c r="AI105" s="131">
        <f>IFERROR(AB105*FlightConfig!$K$3,"")</f>
        <v>25739.618037369597</v>
      </c>
    </row>
    <row r="106" spans="1:35" x14ac:dyDescent="0.25">
      <c r="A106" t="s">
        <v>135</v>
      </c>
      <c r="B106" s="324">
        <v>3</v>
      </c>
      <c r="C106" s="178" t="str">
        <f t="shared" si="148"/>
        <v>PREMIUM ECONOMY CLASS3</v>
      </c>
      <c r="D106" s="278"/>
      <c r="E106" s="270">
        <v>10041</v>
      </c>
      <c r="F106" s="277"/>
      <c r="G106" s="123" t="str">
        <f>VLOOKUP(E106,'[5]FG MASTER'!$A$10:$AB$203,2,0)</f>
        <v xml:space="preserve">PY TSU </v>
      </c>
      <c r="H106" s="252">
        <v>1</v>
      </c>
      <c r="I106" s="176">
        <v>1</v>
      </c>
      <c r="J106" s="258">
        <f>IFERROR(IF(I106="std",H106,ROUND(HLOOKUP(A106,FlightConfig!$B$28:$G$29,2,0)*I106,0)),"")</f>
        <v>56</v>
      </c>
      <c r="K106" s="213">
        <f>VLOOKUP(Food!E106,'FG MASTER'!A:AJ,16,0)</f>
        <v>0</v>
      </c>
      <c r="L106" s="214">
        <f>VLOOKUP(Food!E106,'FG MASTER'!A:AJ,17,0)</f>
        <v>2</v>
      </c>
      <c r="M106" s="136">
        <f t="shared" si="146"/>
        <v>0.79999999999999993</v>
      </c>
      <c r="N106" s="136">
        <f t="shared" si="121"/>
        <v>0.79999999999999993</v>
      </c>
      <c r="O106" s="136">
        <f t="shared" si="116"/>
        <v>0</v>
      </c>
      <c r="P106" s="136">
        <f t="shared" si="134"/>
        <v>0.10399999999999987</v>
      </c>
      <c r="Q106" s="136">
        <f t="shared" ref="Q106" si="150">SUM(N106:P106)</f>
        <v>0.9039999999999998</v>
      </c>
      <c r="R106" s="318"/>
      <c r="S106" s="131"/>
      <c r="T106">
        <f t="shared" si="147"/>
        <v>112</v>
      </c>
      <c r="V106">
        <f t="shared" si="102"/>
        <v>0</v>
      </c>
      <c r="W106">
        <f t="shared" si="126"/>
        <v>112</v>
      </c>
      <c r="X106" s="131">
        <f t="shared" si="127"/>
        <v>44.8</v>
      </c>
      <c r="Y106" s="131">
        <f t="shared" si="124"/>
        <v>44.8</v>
      </c>
      <c r="Z106" s="131">
        <f t="shared" si="117"/>
        <v>0</v>
      </c>
      <c r="AA106" s="131">
        <f t="shared" si="118"/>
        <v>5.8239999999999927</v>
      </c>
      <c r="AB106" s="131">
        <f t="shared" si="119"/>
        <v>50.623999999999988</v>
      </c>
      <c r="AD106" s="131" t="str">
        <f>IFERROR(#REF!*FlightConfig!$K$3,"")</f>
        <v/>
      </c>
      <c r="AE106" s="131">
        <f>IFERROR(V106*FlightConfig!$K$3,"")</f>
        <v>0</v>
      </c>
      <c r="AF106" s="131">
        <f>IFERROR(W106*FlightConfig!$K$3,"")</f>
        <v>40768</v>
      </c>
      <c r="AG106" s="131">
        <f>IFERROR(X106*FlightConfig!$K$3,"")</f>
        <v>16307.199999999999</v>
      </c>
      <c r="AH106" s="131">
        <f>IFERROR(Y106*FlightConfig!$K$3,"")</f>
        <v>16307.199999999999</v>
      </c>
      <c r="AI106" s="131">
        <f>IFERROR(AB106*FlightConfig!$K$3,"")</f>
        <v>18427.135999999995</v>
      </c>
    </row>
    <row r="107" spans="1:35" x14ac:dyDescent="0.25">
      <c r="A107" t="s">
        <v>135</v>
      </c>
      <c r="B107" s="324">
        <v>3</v>
      </c>
      <c r="C107" s="178" t="str">
        <f t="shared" si="148"/>
        <v>PREMIUM ECONOMY CLASS3</v>
      </c>
      <c r="D107" s="278"/>
      <c r="E107" s="270">
        <v>10070</v>
      </c>
      <c r="F107" s="277"/>
      <c r="G107" s="123" t="str">
        <f>VLOOKUP(E107,'[5]FG MASTER'!$A$10:$AB$203,2,0)</f>
        <v>PY/YC BUTTER</v>
      </c>
      <c r="H107" s="252">
        <v>1</v>
      </c>
      <c r="I107" s="176">
        <v>1</v>
      </c>
      <c r="J107" s="258">
        <f>IFERROR(IF(I107="std",H107,ROUND(HLOOKUP(A107,FlightConfig!$B$28:$G$29,2,0)*I107,0)),"")</f>
        <v>56</v>
      </c>
      <c r="K107" s="213">
        <f>VLOOKUP(Food!E107,'FG MASTER'!A:AJ,16,0)</f>
        <v>0.11714999999999999</v>
      </c>
      <c r="L107" s="214">
        <f>VLOOKUP(Food!E107,'FG MASTER'!A:AJ,17,0)</f>
        <v>0.2</v>
      </c>
      <c r="M107" s="136">
        <f t="shared" si="146"/>
        <v>0.08</v>
      </c>
      <c r="N107" s="136">
        <f t="shared" si="121"/>
        <v>0.19714999999999999</v>
      </c>
      <c r="O107" s="136">
        <f t="shared" si="116"/>
        <v>1.5229499999999993E-2</v>
      </c>
      <c r="P107" s="136">
        <f t="shared" si="134"/>
        <v>1.0399999999999993E-2</v>
      </c>
      <c r="Q107" s="136">
        <f t="shared" ref="Q107:Q108" si="151">SUM(N107:P107)</f>
        <v>0.22277949999999999</v>
      </c>
      <c r="R107" s="318"/>
      <c r="S107" s="131"/>
      <c r="T107">
        <f t="shared" si="147"/>
        <v>11.200000000000001</v>
      </c>
      <c r="V107">
        <f t="shared" si="102"/>
        <v>6.5603999999999996</v>
      </c>
      <c r="W107">
        <f t="shared" si="126"/>
        <v>11.200000000000001</v>
      </c>
      <c r="X107" s="131">
        <f t="shared" si="127"/>
        <v>4.4800000000000004</v>
      </c>
      <c r="Y107" s="131">
        <f t="shared" si="124"/>
        <v>11.0404</v>
      </c>
      <c r="Z107" s="131">
        <f t="shared" si="117"/>
        <v>0.85285199999999961</v>
      </c>
      <c r="AA107" s="131">
        <f t="shared" si="118"/>
        <v>0.58239999999999958</v>
      </c>
      <c r="AB107" s="131">
        <f t="shared" si="119"/>
        <v>12.475652</v>
      </c>
      <c r="AD107" s="131" t="str">
        <f>IFERROR(#REF!*FlightConfig!$K$3,"")</f>
        <v/>
      </c>
      <c r="AE107" s="131">
        <f>IFERROR(V107*FlightConfig!$K$3,"")</f>
        <v>2387.9856</v>
      </c>
      <c r="AF107" s="131">
        <f>IFERROR(W107*FlightConfig!$K$3,"")</f>
        <v>4076.8</v>
      </c>
      <c r="AG107" s="131">
        <f>IFERROR(X107*FlightConfig!$K$3,"")</f>
        <v>1630.7200000000003</v>
      </c>
      <c r="AH107" s="131">
        <f>IFERROR(Y107*FlightConfig!$K$3,"")</f>
        <v>4018.7055999999998</v>
      </c>
      <c r="AI107" s="131">
        <f>IFERROR(AB107*FlightConfig!$K$3,"")</f>
        <v>4541.1373279999998</v>
      </c>
    </row>
    <row r="108" spans="1:35" x14ac:dyDescent="0.25">
      <c r="A108" t="s">
        <v>135</v>
      </c>
      <c r="B108" s="324">
        <v>3</v>
      </c>
      <c r="C108" s="178" t="str">
        <f t="shared" si="148"/>
        <v>PREMIUM ECONOMY CLASS3</v>
      </c>
      <c r="D108" s="278"/>
      <c r="E108" s="270">
        <v>10091</v>
      </c>
      <c r="F108" s="277"/>
      <c r="G108" s="123" t="str">
        <f>VLOOKUP(E108,'[5]FG MASTER'!$A$10:$AB$203,2,0)</f>
        <v xml:space="preserve">PY TSU CHEESE - MINI BRIE WEDGE INVD WRAP, ILE DE GRANCE CHEESE </v>
      </c>
      <c r="H108" s="252">
        <v>1</v>
      </c>
      <c r="I108" s="176">
        <v>1</v>
      </c>
      <c r="J108" s="258">
        <f>IFERROR(IF(I108="std",H108,ROUND(HLOOKUP(A108,FlightConfig!$B$28:$G$29,2,0)*I108,0)),"")</f>
        <v>56</v>
      </c>
      <c r="K108" s="213">
        <f>VLOOKUP(Food!E108,'FG MASTER'!A:AJ,16,0)</f>
        <v>0.92122499999999996</v>
      </c>
      <c r="L108" s="214">
        <f>VLOOKUP(Food!E108,'FG MASTER'!A:AJ,17,0)</f>
        <v>0.2</v>
      </c>
      <c r="M108" s="136">
        <f t="shared" si="146"/>
        <v>0.08</v>
      </c>
      <c r="N108" s="136">
        <f t="shared" si="121"/>
        <v>1.001225</v>
      </c>
      <c r="O108" s="136">
        <f>IFERROR($K108*(1+$O$2)-$K108+R108,0)</f>
        <v>0.11975924999999998</v>
      </c>
      <c r="P108" s="136">
        <f t="shared" si="134"/>
        <v>1.0399999999999993E-2</v>
      </c>
      <c r="Q108" s="136">
        <f t="shared" si="151"/>
        <v>1.13138425</v>
      </c>
      <c r="R108" s="318"/>
      <c r="S108" s="131"/>
      <c r="T108">
        <f t="shared" si="147"/>
        <v>11.200000000000001</v>
      </c>
      <c r="V108">
        <f t="shared" si="102"/>
        <v>51.5886</v>
      </c>
      <c r="W108">
        <f>L108*J108</f>
        <v>11.200000000000001</v>
      </c>
      <c r="X108" s="131">
        <f>+M108*J108</f>
        <v>4.4800000000000004</v>
      </c>
      <c r="Y108" s="131">
        <f t="shared" si="124"/>
        <v>56.068600000000004</v>
      </c>
      <c r="Z108" s="131">
        <f t="shared" si="117"/>
        <v>6.7065179999999991</v>
      </c>
      <c r="AA108" s="131">
        <f t="shared" si="118"/>
        <v>0.58239999999999958</v>
      </c>
      <c r="AB108" s="131">
        <f t="shared" si="119"/>
        <v>63.357517999999999</v>
      </c>
      <c r="AD108" s="131" t="str">
        <f>IFERROR(#REF!*FlightConfig!$K$3,"")</f>
        <v/>
      </c>
      <c r="AE108" s="131">
        <f>IFERROR(V108*FlightConfig!$K$3,"")</f>
        <v>18778.250400000001</v>
      </c>
      <c r="AF108" s="131">
        <f>IFERROR(W108*FlightConfig!$K$3,"")</f>
        <v>4076.8</v>
      </c>
      <c r="AG108" s="131">
        <f>IFERROR(X108*FlightConfig!$K$3,"")</f>
        <v>1630.7200000000003</v>
      </c>
      <c r="AH108" s="131">
        <f>IFERROR(Y108*FlightConfig!$K$3,"")</f>
        <v>20408.970400000002</v>
      </c>
      <c r="AI108" s="131">
        <f>IFERROR(AB108*FlightConfig!$K$3,"")</f>
        <v>23062.136552</v>
      </c>
    </row>
    <row r="109" spans="1:35" x14ac:dyDescent="0.25">
      <c r="A109" t="s">
        <v>135</v>
      </c>
      <c r="B109" s="324">
        <v>3</v>
      </c>
      <c r="C109" s="178" t="str">
        <f t="shared" si="148"/>
        <v>PREMIUM ECONOMY CLASS3</v>
      </c>
      <c r="D109" s="278"/>
      <c r="E109" s="271">
        <v>10086</v>
      </c>
      <c r="F109" s="277"/>
      <c r="G109" s="123" t="str">
        <f>VLOOKUP(E109,'[5]FG MASTER'!$A$10:$AB$203,2,0)</f>
        <v xml:space="preserve">PY CRACKER </v>
      </c>
      <c r="H109" s="252">
        <v>1</v>
      </c>
      <c r="I109" s="176">
        <v>1</v>
      </c>
      <c r="J109" s="258">
        <f>IFERROR(IF(I109="std",H109,ROUND(HLOOKUP(A109,FlightConfig!$B$28:$G$29,2,0)*I109,0)),"")</f>
        <v>56</v>
      </c>
      <c r="K109" s="213">
        <f>VLOOKUP(Food!E109,'FG MASTER'!A:AJ,16,0)</f>
        <v>5.3249999999999999E-2</v>
      </c>
      <c r="L109" s="214">
        <f>VLOOKUP(Food!E109,'FG MASTER'!A:AJ,17,0)</f>
        <v>0.2</v>
      </c>
      <c r="M109" s="136">
        <f t="shared" si="146"/>
        <v>0.08</v>
      </c>
      <c r="N109" s="136">
        <f t="shared" si="121"/>
        <v>0.13325000000000001</v>
      </c>
      <c r="O109" s="136">
        <f t="shared" si="116"/>
        <v>6.9224999999999912E-3</v>
      </c>
      <c r="P109" s="136">
        <f t="shared" si="134"/>
        <v>1.0399999999999993E-2</v>
      </c>
      <c r="Q109" s="136">
        <f t="shared" ref="Q109" si="152">SUM(N109:P109)</f>
        <v>0.1505725</v>
      </c>
      <c r="R109" s="318"/>
      <c r="S109" s="131"/>
      <c r="T109" s="293">
        <f>(L109/2)*J109</f>
        <v>5.6000000000000005</v>
      </c>
      <c r="V109">
        <f t="shared" si="102"/>
        <v>2.9819999999999998</v>
      </c>
      <c r="W109">
        <f t="shared" ref="W109:W111" si="153">IFERROR(+L109*J109,"")</f>
        <v>11.200000000000001</v>
      </c>
      <c r="X109" s="131">
        <f t="shared" ref="X109:X111" si="154">IFERROR(+M109*J109,"")</f>
        <v>4.4800000000000004</v>
      </c>
      <c r="Y109" s="131">
        <f t="shared" si="124"/>
        <v>7.4620000000000006</v>
      </c>
      <c r="Z109" s="131">
        <f t="shared" si="117"/>
        <v>0.3876599999999995</v>
      </c>
      <c r="AA109" s="131">
        <f t="shared" si="118"/>
        <v>0.58239999999999958</v>
      </c>
      <c r="AB109" s="131">
        <f t="shared" si="119"/>
        <v>8.4320599999999999</v>
      </c>
      <c r="AD109" s="131" t="str">
        <f>IFERROR(#REF!*FlightConfig!$K$3,"")</f>
        <v/>
      </c>
      <c r="AE109" s="131">
        <f>IFERROR(V109*FlightConfig!$K$3,"")</f>
        <v>1085.4479999999999</v>
      </c>
      <c r="AF109" s="131">
        <f>IFERROR(W109*FlightConfig!$K$3,"")</f>
        <v>4076.8</v>
      </c>
      <c r="AG109" s="131">
        <f>IFERROR(X109*FlightConfig!$K$3,"")</f>
        <v>1630.7200000000003</v>
      </c>
      <c r="AH109" s="131">
        <f>IFERROR(Y109*FlightConfig!$K$3,"")</f>
        <v>2716.1680000000001</v>
      </c>
      <c r="AI109" s="131">
        <f>IFERROR(AB109*FlightConfig!$K$3,"")</f>
        <v>3069.2698399999999</v>
      </c>
    </row>
    <row r="110" spans="1:35" x14ac:dyDescent="0.25">
      <c r="A110" t="s">
        <v>135</v>
      </c>
      <c r="B110" s="324">
        <v>3</v>
      </c>
      <c r="C110" s="178" t="str">
        <f>CONCATENATE(A110&amp;B110&amp;F110)</f>
        <v>PREMIUM ECONOMY CLASS3</v>
      </c>
      <c r="D110" s="278"/>
      <c r="E110" s="270">
        <v>10109</v>
      </c>
      <c r="F110" s="277"/>
      <c r="G110" s="123" t="str">
        <f>VLOOKUP(E110,'[5]FG MASTER'!$A$10:$AB$203,2,0)</f>
        <v>PY C3 STARTER GRILLED CHICKEN BREAST WITH QUINOA SALAD</v>
      </c>
      <c r="H110" s="252">
        <v>1</v>
      </c>
      <c r="I110" s="176">
        <v>1</v>
      </c>
      <c r="J110" s="258">
        <f>IFERROR(IF(I110="std",H110,ROUND(HLOOKUP(A110,FlightConfig!$B$28:$G$29,2,0)*I110,0)),"")</f>
        <v>56</v>
      </c>
      <c r="K110" s="213">
        <f>VLOOKUP(Food!E110,'FG MASTER'!A:AJ,16,0)</f>
        <v>0.89161800000000002</v>
      </c>
      <c r="L110" s="214">
        <f>VLOOKUP(Food!E110,'FG MASTER'!A:AJ,17,0)</f>
        <v>1.5</v>
      </c>
      <c r="M110" s="136">
        <f>IFERROR(L110*$M$2,"")</f>
        <v>0.6</v>
      </c>
      <c r="N110" s="136">
        <f>IFERROR((K110)+M110,"")</f>
        <v>1.4916179999999999</v>
      </c>
      <c r="O110" s="136">
        <f>IFERROR($K110*(1+$O$2)-$K110+R110,0)</f>
        <v>0.11591033999999989</v>
      </c>
      <c r="P110" s="136">
        <f>IFERROR($M110*(1+$P$2)-$M110,0)</f>
        <v>7.7999999999999958E-2</v>
      </c>
      <c r="Q110" s="136">
        <f t="shared" ref="Q110" si="155">SUM(N110:P110)</f>
        <v>1.6855283399999998</v>
      </c>
      <c r="R110" s="318"/>
      <c r="S110" s="131">
        <f>R110*J110</f>
        <v>0</v>
      </c>
      <c r="T110">
        <f t="shared" ref="T110" si="156">L110*J110</f>
        <v>84</v>
      </c>
      <c r="V110">
        <f>IFERROR(K110*J110-R110*J110,"")</f>
        <v>49.930607999999999</v>
      </c>
      <c r="W110">
        <f>L110*J110</f>
        <v>84</v>
      </c>
      <c r="X110" s="131">
        <f>+M110*J110</f>
        <v>33.6</v>
      </c>
      <c r="Y110" s="131">
        <f>IFERROR(+N110*J110+R110*J110,"")</f>
        <v>83.530608000000001</v>
      </c>
      <c r="Z110" s="131">
        <f>IFERROR(O110*$J110,"")</f>
        <v>6.4909790399999938</v>
      </c>
      <c r="AA110" s="131">
        <f>IFERROR(P110*$J110,"")</f>
        <v>4.3679999999999977</v>
      </c>
      <c r="AB110" s="131">
        <f>IFERROR(+(Q110+R110)*J110,"")</f>
        <v>94.389587039999995</v>
      </c>
      <c r="AD110" s="131" t="str">
        <f>IFERROR(#REF!*FlightConfig!$K$3,"")</f>
        <v/>
      </c>
      <c r="AE110" s="131">
        <f>IFERROR(V110*FlightConfig!$K$3,"")</f>
        <v>18174.741311999998</v>
      </c>
      <c r="AF110" s="131">
        <f>IFERROR(W110*FlightConfig!$K$3,"")</f>
        <v>30576</v>
      </c>
      <c r="AG110" s="131">
        <f>IFERROR(X110*FlightConfig!$K$3,"")</f>
        <v>12230.4</v>
      </c>
      <c r="AH110" s="131">
        <f>IFERROR(Y110*FlightConfig!$K$3,"")</f>
        <v>30405.141312</v>
      </c>
      <c r="AI110" s="131">
        <f>IFERROR(AB110*FlightConfig!$K$3,"")</f>
        <v>34357.809682560001</v>
      </c>
    </row>
    <row r="111" spans="1:35" ht="18" customHeight="1" x14ac:dyDescent="0.25">
      <c r="A111" t="s">
        <v>135</v>
      </c>
      <c r="B111" s="324">
        <v>3</v>
      </c>
      <c r="C111" s="178" t="str">
        <f t="shared" si="148"/>
        <v>PREMIUM ECONOMY CLASS3</v>
      </c>
      <c r="D111" s="278"/>
      <c r="E111" s="271">
        <v>10110</v>
      </c>
      <c r="F111" s="277"/>
      <c r="G111" s="123" t="str">
        <f>VLOOKUP(E111,'[5]FG MASTER'!$A$10:$AB$203,2,0)</f>
        <v>PY C3 HM A FISH SHRIMP ETOUFFEE, CAJUN SEASONED RICE, ROASTED PEPPER ONION AND OKRA</v>
      </c>
      <c r="H111" s="252">
        <v>1</v>
      </c>
      <c r="I111" s="176">
        <v>0.6</v>
      </c>
      <c r="J111" s="258">
        <f>IFERROR(IF(I111="std",H111,ROUND(HLOOKUP(A111,FlightConfig!$B$28:$G$29,2,0)*I111,0)),"")</f>
        <v>34</v>
      </c>
      <c r="K111" s="213">
        <f>VLOOKUP(Food!E111,'FG MASTER'!A:AJ,16,0)</f>
        <v>3.5931289499999997</v>
      </c>
      <c r="L111" s="214">
        <f>VLOOKUP(Food!E111,'FG MASTER'!A:AJ,17,0)</f>
        <v>7</v>
      </c>
      <c r="M111" s="136">
        <f t="shared" si="146"/>
        <v>2.8</v>
      </c>
      <c r="N111" s="136">
        <f t="shared" si="121"/>
        <v>6.3931289499999995</v>
      </c>
      <c r="O111" s="136">
        <f t="shared" si="116"/>
        <v>0.46710676349999947</v>
      </c>
      <c r="P111" s="136">
        <f t="shared" si="134"/>
        <v>0.36399999999999988</v>
      </c>
      <c r="Q111" s="136">
        <f t="shared" ref="Q111" si="157">SUM(N111:P111)</f>
        <v>7.2242357134999988</v>
      </c>
      <c r="R111" s="318"/>
      <c r="S111" s="131"/>
      <c r="T111" s="293">
        <f>(L111/2)*J111</f>
        <v>119</v>
      </c>
      <c r="V111">
        <f t="shared" si="102"/>
        <v>122.16638429999999</v>
      </c>
      <c r="W111">
        <f t="shared" si="153"/>
        <v>238</v>
      </c>
      <c r="X111" s="131">
        <f t="shared" si="154"/>
        <v>95.199999999999989</v>
      </c>
      <c r="Y111" s="131">
        <f t="shared" si="124"/>
        <v>217.36638429999999</v>
      </c>
      <c r="Z111" s="131">
        <f t="shared" si="117"/>
        <v>15.881629958999982</v>
      </c>
      <c r="AA111" s="131">
        <f t="shared" si="118"/>
        <v>12.375999999999996</v>
      </c>
      <c r="AB111" s="131">
        <f t="shared" si="119"/>
        <v>245.62401425899995</v>
      </c>
      <c r="AD111" s="131" t="str">
        <f>IFERROR(#REF!*FlightConfig!$K$3,"")</f>
        <v/>
      </c>
      <c r="AE111" s="131">
        <f>IFERROR(V111*FlightConfig!$K$3,"")</f>
        <v>44468.563885199997</v>
      </c>
      <c r="AF111" s="131">
        <f>IFERROR(W111*FlightConfig!$K$3,"")</f>
        <v>86632</v>
      </c>
      <c r="AG111" s="131">
        <f>IFERROR(X111*FlightConfig!$K$3,"")</f>
        <v>34652.799999999996</v>
      </c>
      <c r="AH111" s="131">
        <f>IFERROR(Y111*FlightConfig!$K$3,"")</f>
        <v>79121.3638852</v>
      </c>
      <c r="AI111" s="131">
        <f>IFERROR(AB111*FlightConfig!$K$3,"")</f>
        <v>89407.141190275986</v>
      </c>
    </row>
    <row r="112" spans="1:35" ht="16.149999999999999" customHeight="1" x14ac:dyDescent="0.25">
      <c r="A112" t="s">
        <v>135</v>
      </c>
      <c r="B112" s="324">
        <v>3</v>
      </c>
      <c r="C112" s="178" t="str">
        <f t="shared" si="148"/>
        <v>PREMIUM ECONOMY CLASS3</v>
      </c>
      <c r="D112" s="278"/>
      <c r="E112" s="271">
        <v>10111</v>
      </c>
      <c r="F112" s="277"/>
      <c r="G112" s="123" t="str">
        <f>VLOOKUP(E112,'[5]FG MASTER'!$A$10:$AB$203,2,0)</f>
        <v xml:space="preserve">PY C3 HM B BBQ GRILLED CHICKEN RHIGH, BBQ SAUCE, CORN SUCCOTASH, MAPLE SWEET POTATO MASH </v>
      </c>
      <c r="H112" s="252">
        <v>1</v>
      </c>
      <c r="I112" s="176">
        <v>0.4</v>
      </c>
      <c r="J112" s="258">
        <f>IFERROR(IF(I112="std",H112,ROUND(HLOOKUP(A112,FlightConfig!$B$28:$G$29,2,0)*I112,0)),"")</f>
        <v>22</v>
      </c>
      <c r="K112" s="213">
        <f>VLOOKUP(Food!E112,'FG MASTER'!A:AJ,16,0)</f>
        <v>2.7294671999999998</v>
      </c>
      <c r="L112" s="214">
        <f>VLOOKUP(Food!E112,'FG MASTER'!A:AJ,17,0)</f>
        <v>6.5</v>
      </c>
      <c r="M112" s="136">
        <f t="shared" si="146"/>
        <v>2.5999999999999996</v>
      </c>
      <c r="N112" s="136">
        <f t="shared" si="121"/>
        <v>5.3294671999999998</v>
      </c>
      <c r="O112" s="136">
        <f t="shared" si="116"/>
        <v>0.35483073599999981</v>
      </c>
      <c r="P112" s="136">
        <f t="shared" si="134"/>
        <v>0.33799999999999963</v>
      </c>
      <c r="Q112" s="136">
        <f t="shared" ref="Q112:Q115" si="158">SUM(N112:P112)</f>
        <v>6.0222979359999993</v>
      </c>
      <c r="R112" s="318"/>
      <c r="S112" s="131"/>
      <c r="T112" s="293">
        <f>(L112/2)*J112</f>
        <v>71.5</v>
      </c>
      <c r="V112">
        <f t="shared" si="102"/>
        <v>60.048278399999994</v>
      </c>
      <c r="W112">
        <f t="shared" ref="W112:W115" si="159">IFERROR(+L112*J112,"")</f>
        <v>143</v>
      </c>
      <c r="X112" s="131">
        <f t="shared" ref="X112:X115" si="160">IFERROR(+M112*J112,"")</f>
        <v>57.199999999999989</v>
      </c>
      <c r="Y112" s="131">
        <f t="shared" si="124"/>
        <v>117.2482784</v>
      </c>
      <c r="Z112" s="131">
        <f t="shared" ref="Z112:Z115" si="161">IFERROR(O112*$J112,"")</f>
        <v>7.8062761919999959</v>
      </c>
      <c r="AA112" s="131">
        <f t="shared" ref="AA112:AA115" si="162">IFERROR(P112*$J112,"")</f>
        <v>7.4359999999999919</v>
      </c>
      <c r="AB112" s="131">
        <f t="shared" si="119"/>
        <v>132.490554592</v>
      </c>
      <c r="AD112" s="131" t="str">
        <f>IFERROR(#REF!*FlightConfig!$K$3,"")</f>
        <v/>
      </c>
      <c r="AE112" s="131">
        <f>IFERROR(V112*FlightConfig!$K$3,"")</f>
        <v>21857.573337599999</v>
      </c>
      <c r="AF112" s="131">
        <f>IFERROR(W112*FlightConfig!$K$3,"")</f>
        <v>52052</v>
      </c>
      <c r="AG112" s="131">
        <f>IFERROR(X112*FlightConfig!$K$3,"")</f>
        <v>20820.799999999996</v>
      </c>
      <c r="AH112" s="131">
        <f>IFERROR(Y112*FlightConfig!$K$3,"")</f>
        <v>42678.373337600002</v>
      </c>
      <c r="AI112" s="131">
        <f>IFERROR(AB112*FlightConfig!$K$3,"")</f>
        <v>48226.561871487997</v>
      </c>
    </row>
    <row r="113" spans="1:35" x14ac:dyDescent="0.25">
      <c r="A113" t="s">
        <v>135</v>
      </c>
      <c r="B113" s="324">
        <v>3</v>
      </c>
      <c r="C113" s="178" t="str">
        <f t="shared" si="148"/>
        <v>PREMIUM ECONOMY CLASS3</v>
      </c>
      <c r="D113" s="278"/>
      <c r="E113" s="271">
        <v>10112</v>
      </c>
      <c r="F113" s="277"/>
      <c r="G113" s="123" t="str">
        <f>VLOOKUP(E113,'[5]FG MASTER'!$A$10:$AB$203,2,0)</f>
        <v>PY C3 DE MINI PUMPKIN PIE, WITH SPICE CRÈME GRAICHE</v>
      </c>
      <c r="H113" s="252">
        <v>1</v>
      </c>
      <c r="I113" s="176">
        <v>1</v>
      </c>
      <c r="J113" s="258">
        <f>IFERROR(IF(I113="std",H113,ROUND(HLOOKUP(A113,FlightConfig!$B$28:$G$29,2,0)*I113,0)),"")</f>
        <v>56</v>
      </c>
      <c r="K113" s="213">
        <f>VLOOKUP(Food!E113,'FG MASTER'!A:AJ,16,0)</f>
        <v>2.3392618499999998</v>
      </c>
      <c r="L113" s="214">
        <f>VLOOKUP(Food!E113,'FG MASTER'!A:AJ,17,0)</f>
        <v>1</v>
      </c>
      <c r="M113" s="136">
        <f t="shared" si="146"/>
        <v>0.39999999999999997</v>
      </c>
      <c r="N113" s="136">
        <f t="shared" si="121"/>
        <v>2.7392618499999997</v>
      </c>
      <c r="O113" s="235">
        <f>IFERROR($K113*(1+8%)-$K113+R113,0)</f>
        <v>0.18714094800000014</v>
      </c>
      <c r="P113" s="136">
        <f t="shared" si="134"/>
        <v>5.1999999999999935E-2</v>
      </c>
      <c r="Q113" s="136">
        <f t="shared" si="158"/>
        <v>2.9784027979999999</v>
      </c>
      <c r="R113" s="318"/>
      <c r="S113" s="375" t="s">
        <v>451</v>
      </c>
      <c r="T113" s="293">
        <f>(L113/2)*J113</f>
        <v>28</v>
      </c>
      <c r="V113">
        <f t="shared" si="102"/>
        <v>130.99866359999999</v>
      </c>
      <c r="W113">
        <f t="shared" si="159"/>
        <v>56</v>
      </c>
      <c r="X113" s="131">
        <f t="shared" si="160"/>
        <v>22.4</v>
      </c>
      <c r="Y113" s="131">
        <f t="shared" si="124"/>
        <v>153.39866359999999</v>
      </c>
      <c r="Z113" s="131">
        <f t="shared" si="161"/>
        <v>10.479893088000008</v>
      </c>
      <c r="AA113" s="131">
        <f t="shared" si="162"/>
        <v>2.9119999999999964</v>
      </c>
      <c r="AB113" s="131">
        <f t="shared" si="119"/>
        <v>166.79055668799998</v>
      </c>
      <c r="AD113" s="131" t="str">
        <f>IFERROR(#REF!*FlightConfig!$K$3,"")</f>
        <v/>
      </c>
      <c r="AE113" s="131">
        <f>IFERROR(V113*FlightConfig!$K$3,"")</f>
        <v>47683.513550399992</v>
      </c>
      <c r="AF113" s="131">
        <f>IFERROR(W113*FlightConfig!$K$3,"")</f>
        <v>20384</v>
      </c>
      <c r="AG113" s="131">
        <f>IFERROR(X113*FlightConfig!$K$3,"")</f>
        <v>8153.5999999999995</v>
      </c>
      <c r="AH113" s="131">
        <f>IFERROR(Y113*FlightConfig!$K$3,"")</f>
        <v>55837.113550399998</v>
      </c>
      <c r="AI113" s="131">
        <f>IFERROR(AB113*FlightConfig!$K$3,"")</f>
        <v>60711.762634431994</v>
      </c>
    </row>
    <row r="114" spans="1:35" x14ac:dyDescent="0.25">
      <c r="A114" t="s">
        <v>135</v>
      </c>
      <c r="B114" s="324">
        <v>3</v>
      </c>
      <c r="C114" s="178" t="str">
        <f t="shared" si="148"/>
        <v>PREMIUM ECONOMY CLASS3</v>
      </c>
      <c r="D114" s="278"/>
      <c r="E114" s="271">
        <v>10050</v>
      </c>
      <c r="F114" s="277"/>
      <c r="G114" s="123" t="str">
        <f>VLOOKUP(E114,'[5]FG MASTER'!$A$10:$AB$203,2,0)</f>
        <v xml:space="preserve">PY BRD TYPE 1 SIX GRAIN ROLL </v>
      </c>
      <c r="H114" s="252">
        <v>1</v>
      </c>
      <c r="I114" s="176">
        <v>1.2</v>
      </c>
      <c r="J114" s="258">
        <f>IFERROR(IF(I114="std",H114,ROUND(HLOOKUP(A114,FlightConfig!$B$28:$G$29,2,0)*I114,0)),"")</f>
        <v>67</v>
      </c>
      <c r="K114" s="213">
        <f>VLOOKUP(Food!E114,'FG MASTER'!A:AJ,16,0)</f>
        <v>0.50321249999999995</v>
      </c>
      <c r="L114" s="214">
        <f>VLOOKUP(Food!E114,'FG MASTER'!A:AJ,17,0)</f>
        <v>0.5</v>
      </c>
      <c r="M114" s="136">
        <f t="shared" si="146"/>
        <v>0.19999999999999998</v>
      </c>
      <c r="N114" s="136">
        <f t="shared" si="121"/>
        <v>0.70321249999999991</v>
      </c>
      <c r="O114" s="136">
        <f t="shared" si="116"/>
        <v>6.5417624999999924E-2</v>
      </c>
      <c r="P114" s="136">
        <f t="shared" si="134"/>
        <v>2.5999999999999968E-2</v>
      </c>
      <c r="Q114" s="136">
        <f t="shared" si="158"/>
        <v>0.79463012499999985</v>
      </c>
      <c r="R114" s="318"/>
      <c r="S114" s="131"/>
      <c r="T114">
        <f t="shared" ref="T114:T115" si="163">L114*J114</f>
        <v>33.5</v>
      </c>
      <c r="V114">
        <f t="shared" si="102"/>
        <v>33.715237499999994</v>
      </c>
      <c r="W114">
        <f t="shared" si="159"/>
        <v>33.5</v>
      </c>
      <c r="X114" s="131">
        <f t="shared" si="160"/>
        <v>13.399999999999999</v>
      </c>
      <c r="Y114" s="131">
        <f t="shared" si="124"/>
        <v>47.115237499999992</v>
      </c>
      <c r="Z114" s="131">
        <f t="shared" si="161"/>
        <v>4.382980874999995</v>
      </c>
      <c r="AA114" s="131">
        <f t="shared" si="162"/>
        <v>1.7419999999999978</v>
      </c>
      <c r="AB114" s="131">
        <f t="shared" si="119"/>
        <v>53.240218374999991</v>
      </c>
      <c r="AD114" s="131" t="str">
        <f>IFERROR(#REF!*FlightConfig!$K$3,"")</f>
        <v/>
      </c>
      <c r="AE114" s="131">
        <f>IFERROR(V114*FlightConfig!$K$3,"")</f>
        <v>12272.346449999997</v>
      </c>
      <c r="AF114" s="131">
        <f>IFERROR(W114*FlightConfig!$K$3,"")</f>
        <v>12194</v>
      </c>
      <c r="AG114" s="131">
        <f>IFERROR(X114*FlightConfig!$K$3,"")</f>
        <v>4877.5999999999995</v>
      </c>
      <c r="AH114" s="131">
        <f>IFERROR(Y114*FlightConfig!$K$3,"")</f>
        <v>17149.946449999996</v>
      </c>
      <c r="AI114" s="131">
        <f>IFERROR(AB114*FlightConfig!$K$3,"")</f>
        <v>19379.439488499997</v>
      </c>
    </row>
    <row r="115" spans="1:35" x14ac:dyDescent="0.25">
      <c r="A115" t="s">
        <v>135</v>
      </c>
      <c r="B115" s="324">
        <v>3</v>
      </c>
      <c r="C115" s="178" t="str">
        <f t="shared" si="148"/>
        <v>PREMIUM ECONOMY CLASS3</v>
      </c>
      <c r="D115" s="278"/>
      <c r="E115" s="270">
        <v>10041</v>
      </c>
      <c r="F115" s="277"/>
      <c r="G115" s="123" t="str">
        <f>VLOOKUP(E115,'[5]FG MASTER'!$A$10:$AB$203,2,0)</f>
        <v xml:space="preserve">PY TSU </v>
      </c>
      <c r="H115" s="252">
        <v>1</v>
      </c>
      <c r="I115" s="176">
        <v>1</v>
      </c>
      <c r="J115" s="258">
        <f>IFERROR(IF(I115="std",H115,ROUND(HLOOKUP(A115,FlightConfig!$B$28:$G$29,2,0)*I115,0)),"")</f>
        <v>56</v>
      </c>
      <c r="K115" s="213">
        <f>VLOOKUP(Food!E115,'FG MASTER'!A:AJ,16,0)</f>
        <v>0</v>
      </c>
      <c r="L115" s="214">
        <f>VLOOKUP(Food!E115,'FG MASTER'!A:AJ,17,0)</f>
        <v>2</v>
      </c>
      <c r="M115" s="136">
        <f t="shared" si="146"/>
        <v>0.79999999999999993</v>
      </c>
      <c r="N115" s="136">
        <f t="shared" si="121"/>
        <v>0.79999999999999993</v>
      </c>
      <c r="O115" s="136">
        <f t="shared" si="116"/>
        <v>0</v>
      </c>
      <c r="P115" s="136">
        <f t="shared" si="134"/>
        <v>0.10399999999999987</v>
      </c>
      <c r="Q115" s="136">
        <f t="shared" si="158"/>
        <v>0.9039999999999998</v>
      </c>
      <c r="R115" s="318"/>
      <c r="S115" s="131"/>
      <c r="T115">
        <f t="shared" si="163"/>
        <v>112</v>
      </c>
      <c r="V115">
        <f t="shared" si="102"/>
        <v>0</v>
      </c>
      <c r="W115">
        <f t="shared" si="159"/>
        <v>112</v>
      </c>
      <c r="X115" s="131">
        <f t="shared" si="160"/>
        <v>44.8</v>
      </c>
      <c r="Y115" s="131">
        <f t="shared" si="124"/>
        <v>44.8</v>
      </c>
      <c r="Z115" s="131">
        <f t="shared" si="161"/>
        <v>0</v>
      </c>
      <c r="AA115" s="131">
        <f t="shared" si="162"/>
        <v>5.8239999999999927</v>
      </c>
      <c r="AB115" s="131">
        <f t="shared" si="119"/>
        <v>50.623999999999988</v>
      </c>
      <c r="AD115" s="131" t="str">
        <f>IFERROR(#REF!*FlightConfig!$K$3,"")</f>
        <v/>
      </c>
      <c r="AE115" s="131">
        <f>IFERROR(V115*FlightConfig!$K$3,"")</f>
        <v>0</v>
      </c>
      <c r="AF115" s="131">
        <f>IFERROR(W115*FlightConfig!$K$3,"")</f>
        <v>40768</v>
      </c>
      <c r="AG115" s="131">
        <f>IFERROR(X115*FlightConfig!$K$3,"")</f>
        <v>16307.199999999999</v>
      </c>
      <c r="AH115" s="131">
        <f>IFERROR(Y115*FlightConfig!$K$3,"")</f>
        <v>16307.199999999999</v>
      </c>
      <c r="AI115" s="131">
        <f>IFERROR(AB115*FlightConfig!$K$3,"")</f>
        <v>18427.135999999995</v>
      </c>
    </row>
    <row r="116" spans="1:35" x14ac:dyDescent="0.25">
      <c r="A116" t="s">
        <v>135</v>
      </c>
      <c r="B116" s="324">
        <v>3</v>
      </c>
      <c r="C116" s="178" t="str">
        <f>CONCATENATE(A116&amp;B116&amp;F116)</f>
        <v>PREMIUM ECONOMY CLASS3</v>
      </c>
      <c r="D116" s="278"/>
      <c r="E116" s="271">
        <v>10088</v>
      </c>
      <c r="F116" s="277"/>
      <c r="G116" s="123" t="str">
        <f>VLOOKUP(E116,'[5]FG MASTER'!$A$10:$AB$203,2,0)</f>
        <v xml:space="preserve">NATURE VALLEY GRANOLA BAR </v>
      </c>
      <c r="H116" s="252">
        <v>1</v>
      </c>
      <c r="I116" s="176">
        <v>0</v>
      </c>
      <c r="J116" s="258">
        <f>IFERROR(IF(I116="std",H116,ROUND(HLOOKUP(A116,FlightConfig!$B$28:$G$29,2,0)*I116,0)),"")</f>
        <v>0</v>
      </c>
      <c r="K116" s="213">
        <f>VLOOKUP(Food!E116,'FG MASTER'!A:AJ,16,0)</f>
        <v>0.60215099999999999</v>
      </c>
      <c r="L116" s="214">
        <f>VLOOKUP(Food!E116,'FG MASTER'!A:AJ,17,0)</f>
        <v>0.2</v>
      </c>
      <c r="M116" s="136">
        <f>IFERROR(L116*$M$2,"")</f>
        <v>0.08</v>
      </c>
      <c r="N116" s="136">
        <f>IFERROR((K116)+M116,"")</f>
        <v>0.68215099999999995</v>
      </c>
      <c r="O116" s="136">
        <f t="shared" si="116"/>
        <v>7.8279629999999933E-2</v>
      </c>
      <c r="P116" s="136">
        <f>IFERROR($M116*(1+$P$2)-$M116,0)</f>
        <v>1.0399999999999993E-2</v>
      </c>
      <c r="Q116" s="136">
        <f>SUM(N116:P116)</f>
        <v>0.77083062999999985</v>
      </c>
      <c r="R116" s="318"/>
      <c r="S116" s="131"/>
      <c r="T116">
        <f>L116*J116</f>
        <v>0</v>
      </c>
      <c r="V116">
        <f t="shared" si="102"/>
        <v>0</v>
      </c>
      <c r="W116">
        <f>IFERROR(+L116*J116,"")</f>
        <v>0</v>
      </c>
      <c r="X116" s="131">
        <f>IFERROR(+M116*J116,"")</f>
        <v>0</v>
      </c>
      <c r="Y116" s="131">
        <f t="shared" si="124"/>
        <v>0</v>
      </c>
      <c r="Z116" s="131">
        <f>IFERROR(O116*$J116,"")</f>
        <v>0</v>
      </c>
      <c r="AA116" s="131">
        <f>IFERROR(P116*$J116,"")</f>
        <v>0</v>
      </c>
      <c r="AB116" s="131">
        <f t="shared" si="119"/>
        <v>0</v>
      </c>
      <c r="AD116" s="131" t="str">
        <f>IFERROR(#REF!*FlightConfig!$K$3,"")</f>
        <v/>
      </c>
      <c r="AE116" s="131">
        <f>IFERROR(V116*FlightConfig!$K$3,"")</f>
        <v>0</v>
      </c>
      <c r="AF116" s="131">
        <f>IFERROR(W116*FlightConfig!$K$3,"")</f>
        <v>0</v>
      </c>
      <c r="AG116" s="131">
        <f>IFERROR(X116*FlightConfig!$K$3,"")</f>
        <v>0</v>
      </c>
      <c r="AH116" s="131">
        <f>IFERROR(Y116*FlightConfig!$K$3,"")</f>
        <v>0</v>
      </c>
      <c r="AI116" s="131">
        <f>IFERROR(AB116*FlightConfig!$K$3,"")</f>
        <v>0</v>
      </c>
    </row>
    <row r="117" spans="1:35" x14ac:dyDescent="0.25">
      <c r="A117" t="s">
        <v>135</v>
      </c>
      <c r="B117" s="324">
        <v>3</v>
      </c>
      <c r="C117" s="178" t="str">
        <f t="shared" ref="C117:C122" si="164">CONCATENATE(A117&amp;B117&amp;F117)</f>
        <v>PREMIUM ECONOMY CLASS3</v>
      </c>
      <c r="D117" s="278"/>
      <c r="E117" s="270">
        <v>10070</v>
      </c>
      <c r="F117" s="277"/>
      <c r="G117" s="123" t="str">
        <f>VLOOKUP(E117,'[5]FG MASTER'!$A$10:$AB$203,2,0)</f>
        <v>PY/YC BUTTER</v>
      </c>
      <c r="H117" s="252">
        <v>1</v>
      </c>
      <c r="I117" s="176">
        <v>1</v>
      </c>
      <c r="J117" s="258">
        <f>IFERROR(IF(I117="std",H117,ROUND(HLOOKUP(A117,FlightConfig!$B$28:$G$29,2,0)*I117,0)),"")</f>
        <v>56</v>
      </c>
      <c r="K117" s="213">
        <f>VLOOKUP(Food!E117,'FG MASTER'!A:AJ,16,0)</f>
        <v>0.11714999999999999</v>
      </c>
      <c r="L117" s="214">
        <f>VLOOKUP(Food!E117,'FG MASTER'!A:AJ,17,0)</f>
        <v>0.2</v>
      </c>
      <c r="M117" s="136">
        <f t="shared" ref="M117:M122" si="165">IFERROR(L117*$M$2,"")</f>
        <v>0.08</v>
      </c>
      <c r="N117" s="136">
        <f t="shared" ref="N117:N122" si="166">IFERROR((K117)+M117,"")</f>
        <v>0.19714999999999999</v>
      </c>
      <c r="O117" s="136">
        <f t="shared" si="116"/>
        <v>1.5229499999999993E-2</v>
      </c>
      <c r="P117" s="136">
        <f t="shared" si="134"/>
        <v>1.0399999999999993E-2</v>
      </c>
      <c r="Q117" s="136">
        <f t="shared" ref="Q117:Q118" si="167">SUM(N117:P117)</f>
        <v>0.22277949999999999</v>
      </c>
      <c r="R117" s="318"/>
      <c r="S117" s="131"/>
      <c r="T117">
        <f t="shared" ref="T117:T118" si="168">L117*J117</f>
        <v>11.200000000000001</v>
      </c>
      <c r="V117">
        <f t="shared" si="102"/>
        <v>6.5603999999999996</v>
      </c>
      <c r="W117">
        <f t="shared" ref="W117" si="169">IFERROR(+L117*J117,"")</f>
        <v>11.200000000000001</v>
      </c>
      <c r="X117" s="131">
        <f t="shared" ref="X117" si="170">IFERROR(+M117*J117,"")</f>
        <v>4.4800000000000004</v>
      </c>
      <c r="Y117" s="131">
        <f t="shared" si="124"/>
        <v>11.0404</v>
      </c>
      <c r="Z117" s="131">
        <f t="shared" ref="Z117:Z122" si="171">IFERROR(O117*$J117,"")</f>
        <v>0.85285199999999961</v>
      </c>
      <c r="AA117" s="131">
        <f t="shared" ref="AA117:AA122" si="172">IFERROR(P117*$J117,"")</f>
        <v>0.58239999999999958</v>
      </c>
      <c r="AB117" s="131">
        <f t="shared" si="119"/>
        <v>12.475652</v>
      </c>
      <c r="AD117" s="131" t="str">
        <f>IFERROR(#REF!*FlightConfig!$K$3,"")</f>
        <v/>
      </c>
      <c r="AE117" s="131">
        <f>IFERROR(V117*FlightConfig!$K$3,"")</f>
        <v>2387.9856</v>
      </c>
      <c r="AF117" s="131">
        <f>IFERROR(W117*FlightConfig!$K$3,"")</f>
        <v>4076.8</v>
      </c>
      <c r="AG117" s="131">
        <f>IFERROR(X117*FlightConfig!$K$3,"")</f>
        <v>1630.7200000000003</v>
      </c>
      <c r="AH117" s="131">
        <f>IFERROR(Y117*FlightConfig!$K$3,"")</f>
        <v>4018.7055999999998</v>
      </c>
      <c r="AI117" s="131">
        <f>IFERROR(AB117*FlightConfig!$K$3,"")</f>
        <v>4541.1373279999998</v>
      </c>
    </row>
    <row r="118" spans="1:35" x14ac:dyDescent="0.25">
      <c r="A118" t="s">
        <v>135</v>
      </c>
      <c r="B118" s="324">
        <v>3</v>
      </c>
      <c r="C118" s="178" t="str">
        <f t="shared" si="164"/>
        <v>PREMIUM ECONOMY CLASS3</v>
      </c>
      <c r="D118" s="278"/>
      <c r="E118" s="270">
        <v>10089</v>
      </c>
      <c r="F118" s="277"/>
      <c r="G118" s="123" t="str">
        <f>VLOOKUP(E118,'[5]FG MASTER'!$A$10:$AB$203,2,0)</f>
        <v>YOGURT UPSTATE</v>
      </c>
      <c r="H118" s="252">
        <v>1</v>
      </c>
      <c r="I118" s="176">
        <v>1</v>
      </c>
      <c r="J118" s="258">
        <f>IFERROR(IF(I118="std",H118,ROUND(HLOOKUP(A118,FlightConfig!$B$28:$G$29,2,0)*I118,0)),"")</f>
        <v>56</v>
      </c>
      <c r="K118" s="213">
        <f>VLOOKUP(Food!E118,'FG MASTER'!A:AJ,16,0)</f>
        <v>0.58574999999999999</v>
      </c>
      <c r="L118" s="214">
        <f>VLOOKUP(Food!E118,'FG MASTER'!A:AJ,17,0)</f>
        <v>0.2</v>
      </c>
      <c r="M118" s="136">
        <f t="shared" si="165"/>
        <v>0.08</v>
      </c>
      <c r="N118" s="136">
        <f t="shared" si="166"/>
        <v>0.66574999999999995</v>
      </c>
      <c r="O118" s="136">
        <f t="shared" si="116"/>
        <v>7.6147499999999924E-2</v>
      </c>
      <c r="P118" s="136">
        <f t="shared" si="134"/>
        <v>1.0399999999999993E-2</v>
      </c>
      <c r="Q118" s="136">
        <f t="shared" si="167"/>
        <v>0.75229749999999984</v>
      </c>
      <c r="R118" s="318"/>
      <c r="S118" s="131"/>
      <c r="T118">
        <f t="shared" si="168"/>
        <v>11.200000000000001</v>
      </c>
      <c r="V118">
        <f t="shared" si="102"/>
        <v>32.802</v>
      </c>
      <c r="W118">
        <f>L118*J118</f>
        <v>11.200000000000001</v>
      </c>
      <c r="X118" s="131">
        <f>+M118*J118</f>
        <v>4.4800000000000004</v>
      </c>
      <c r="Y118" s="131">
        <f t="shared" si="124"/>
        <v>37.281999999999996</v>
      </c>
      <c r="Z118" s="131">
        <f t="shared" si="171"/>
        <v>4.2642599999999957</v>
      </c>
      <c r="AA118" s="131">
        <f t="shared" si="172"/>
        <v>0.58239999999999958</v>
      </c>
      <c r="AB118" s="131">
        <f t="shared" si="119"/>
        <v>42.128659999999989</v>
      </c>
      <c r="AD118" s="131" t="str">
        <f>IFERROR(#REF!*FlightConfig!$K$3,"")</f>
        <v/>
      </c>
      <c r="AE118" s="131">
        <f>IFERROR(V118*FlightConfig!$K$3,"")</f>
        <v>11939.928</v>
      </c>
      <c r="AF118" s="131">
        <f>IFERROR(W118*FlightConfig!$K$3,"")</f>
        <v>4076.8</v>
      </c>
      <c r="AG118" s="131">
        <f>IFERROR(X118*FlightConfig!$K$3,"")</f>
        <v>1630.7200000000003</v>
      </c>
      <c r="AH118" s="131">
        <f>IFERROR(Y118*FlightConfig!$K$3,"")</f>
        <v>13570.647999999999</v>
      </c>
      <c r="AI118" s="131">
        <f>IFERROR(AB118*FlightConfig!$K$3,"")</f>
        <v>15334.832239999996</v>
      </c>
    </row>
    <row r="119" spans="1:35" x14ac:dyDescent="0.25">
      <c r="A119" t="s">
        <v>135</v>
      </c>
      <c r="B119" s="324">
        <v>3</v>
      </c>
      <c r="C119" s="178" t="str">
        <f t="shared" si="164"/>
        <v>PREMIUM ECONOMY CLASS3</v>
      </c>
      <c r="D119" s="278"/>
      <c r="E119" s="271">
        <v>10090</v>
      </c>
      <c r="F119" s="277"/>
      <c r="G119" s="123" t="str">
        <f>VLOOKUP(E119,'[5]FG MASTER'!$A$10:$AB$203,2,0)</f>
        <v xml:space="preserve">MARMALADE ORANGE JM SMUCKER </v>
      </c>
      <c r="H119" s="252">
        <v>1</v>
      </c>
      <c r="I119" s="176">
        <v>1</v>
      </c>
      <c r="J119" s="258">
        <f>IFERROR(IF(I119="std",H119,ROUND(HLOOKUP(A119,FlightConfig!$B$28:$G$29,2,0)*I119,0)),"")</f>
        <v>56</v>
      </c>
      <c r="K119" s="213">
        <f>VLOOKUP(Food!E119,'FG MASTER'!A:AJ,16,0)</f>
        <v>7.4550000000000005E-2</v>
      </c>
      <c r="L119" s="214">
        <f>VLOOKUP(Food!E119,'FG MASTER'!A:AJ,17,0)</f>
        <v>0.2</v>
      </c>
      <c r="M119" s="136">
        <f t="shared" si="165"/>
        <v>0.08</v>
      </c>
      <c r="N119" s="136">
        <f t="shared" si="166"/>
        <v>0.15455000000000002</v>
      </c>
      <c r="O119" s="136">
        <f>IFERROR($K119*(1+$O$2)-$K119+R119,0)</f>
        <v>9.6914999999999918E-3</v>
      </c>
      <c r="P119" s="136">
        <f t="shared" si="134"/>
        <v>1.0399999999999993E-2</v>
      </c>
      <c r="Q119" s="136">
        <f t="shared" ref="Q119:Q120" si="173">SUM(N119:P119)</f>
        <v>0.17464150000000001</v>
      </c>
      <c r="R119" s="318"/>
      <c r="S119" s="131"/>
      <c r="T119" s="293">
        <f>(L119/2)*J119</f>
        <v>5.6000000000000005</v>
      </c>
      <c r="V119">
        <f t="shared" si="102"/>
        <v>4.1748000000000003</v>
      </c>
      <c r="W119">
        <f t="shared" ref="W119:W121" si="174">IFERROR(+L119*J119,"")</f>
        <v>11.200000000000001</v>
      </c>
      <c r="X119" s="131">
        <f t="shared" ref="X119:X121" si="175">IFERROR(+M119*J119,"")</f>
        <v>4.4800000000000004</v>
      </c>
      <c r="Y119" s="131">
        <f t="shared" si="124"/>
        <v>8.6548000000000016</v>
      </c>
      <c r="Z119" s="131">
        <f t="shared" si="171"/>
        <v>0.54272399999999954</v>
      </c>
      <c r="AA119" s="131">
        <f t="shared" si="172"/>
        <v>0.58239999999999958</v>
      </c>
      <c r="AB119" s="131">
        <f t="shared" si="119"/>
        <v>9.7799240000000012</v>
      </c>
      <c r="AD119" s="131" t="str">
        <f>IFERROR(#REF!*FlightConfig!$K$3,"")</f>
        <v/>
      </c>
      <c r="AE119" s="131">
        <f>IFERROR(V119*FlightConfig!$K$3,"")</f>
        <v>1519.6272000000001</v>
      </c>
      <c r="AF119" s="131">
        <f>IFERROR(W119*FlightConfig!$K$3,"")</f>
        <v>4076.8</v>
      </c>
      <c r="AG119" s="131">
        <f>IFERROR(X119*FlightConfig!$K$3,"")</f>
        <v>1630.7200000000003</v>
      </c>
      <c r="AH119" s="131">
        <f>IFERROR(Y119*FlightConfig!$K$3,"")</f>
        <v>3150.3472000000006</v>
      </c>
      <c r="AI119" s="131">
        <f>IFERROR(AB119*FlightConfig!$K$3,"")</f>
        <v>3559.8923360000003</v>
      </c>
    </row>
    <row r="120" spans="1:35" ht="14.45" customHeight="1" x14ac:dyDescent="0.25">
      <c r="A120" t="s">
        <v>135</v>
      </c>
      <c r="B120" s="324">
        <v>3</v>
      </c>
      <c r="C120" s="178" t="str">
        <f t="shared" ref="C120" si="176">CONCATENATE(A120&amp;B120&amp;F120)</f>
        <v>PREMIUM ECONOMY CLASS3</v>
      </c>
      <c r="D120" s="278"/>
      <c r="E120" s="271">
        <v>10130</v>
      </c>
      <c r="F120" s="277"/>
      <c r="G120" s="123" t="str">
        <f>VLOOKUP(E120,Table1[],2,0)</f>
        <v>PY BRD BREAD SOURDOUGH 40G</v>
      </c>
      <c r="H120" s="252">
        <v>1</v>
      </c>
      <c r="I120" s="176">
        <v>1</v>
      </c>
      <c r="J120" s="258">
        <f>IFERROR(IF(I120="std",H120,ROUND(HLOOKUP(A120,FlightConfig!$B$28:$G$29,2,0)*I120,0)),"")</f>
        <v>56</v>
      </c>
      <c r="K120" s="213">
        <f>VLOOKUP(Food!E120,'FG MASTER'!A:AJ,16,0)</f>
        <v>0.46859999999999996</v>
      </c>
      <c r="L120" s="214">
        <f>VLOOKUP(Food!E120,'FG MASTER'!A:AJ,17,0)</f>
        <v>0.5</v>
      </c>
      <c r="M120" s="136">
        <f t="shared" si="165"/>
        <v>0.19999999999999998</v>
      </c>
      <c r="N120" s="136">
        <f t="shared" si="166"/>
        <v>0.66859999999999997</v>
      </c>
      <c r="O120" s="136">
        <f t="shared" ref="O120" si="177">IFERROR($K120*(1+$O$2)-$K120+R120,0)</f>
        <v>6.0917999999999972E-2</v>
      </c>
      <c r="P120" s="136">
        <f t="shared" si="134"/>
        <v>2.5999999999999968E-2</v>
      </c>
      <c r="Q120" s="136">
        <f t="shared" si="173"/>
        <v>0.75551799999999991</v>
      </c>
      <c r="R120" s="318"/>
      <c r="S120" s="131">
        <f>R120*J120</f>
        <v>0</v>
      </c>
      <c r="T120" s="293">
        <f>(L120/2)*J120</f>
        <v>14</v>
      </c>
      <c r="V120">
        <f t="shared" ref="V120" si="178">IFERROR(K120*J120-R120*J120,"")</f>
        <v>26.241599999999998</v>
      </c>
      <c r="W120">
        <f t="shared" ref="W120" si="179">IFERROR(+L120*J120,"")</f>
        <v>28</v>
      </c>
      <c r="X120" s="131">
        <f t="shared" ref="X120" si="180">IFERROR(+M120*J120,"")</f>
        <v>11.2</v>
      </c>
      <c r="Y120" s="131">
        <f t="shared" ref="Y120" si="181">IFERROR(+N120*J120+R120*J120,"")</f>
        <v>37.441600000000001</v>
      </c>
      <c r="Z120" s="131">
        <f t="shared" ref="Z120" si="182">IFERROR(O120*$J120,"")</f>
        <v>3.4114079999999984</v>
      </c>
      <c r="AA120" s="131">
        <f t="shared" ref="AA120" si="183">IFERROR(P120*$J120,"")</f>
        <v>1.4559999999999982</v>
      </c>
      <c r="AB120" s="131">
        <f t="shared" ref="AB120" si="184">IFERROR(+(Q120+R120)*J120,"")</f>
        <v>42.309007999999992</v>
      </c>
      <c r="AD120" s="131" t="str">
        <f>IFERROR(#REF!*FlightConfig!$K$3,"")</f>
        <v/>
      </c>
      <c r="AE120" s="131">
        <f>IFERROR(V120*FlightConfig!$K$3,"")</f>
        <v>9551.9423999999999</v>
      </c>
      <c r="AF120" s="131">
        <f>IFERROR(W120*FlightConfig!$K$3,"")</f>
        <v>10192</v>
      </c>
      <c r="AG120" s="131">
        <f>IFERROR(X120*FlightConfig!$K$3,"")</f>
        <v>4076.7999999999997</v>
      </c>
      <c r="AH120" s="131">
        <f>IFERROR(Y120*FlightConfig!$K$3,"")</f>
        <v>13628.742400000001</v>
      </c>
      <c r="AI120" s="131">
        <f>IFERROR(AB120*FlightConfig!$K$3,"")</f>
        <v>15400.478911999997</v>
      </c>
    </row>
    <row r="121" spans="1:35" ht="14.45" customHeight="1" x14ac:dyDescent="0.25">
      <c r="A121" t="s">
        <v>135</v>
      </c>
      <c r="B121" s="324">
        <v>3</v>
      </c>
      <c r="C121" s="178" t="str">
        <f t="shared" si="164"/>
        <v>PREMIUM ECONOMY CLASS3</v>
      </c>
      <c r="D121" s="278"/>
      <c r="E121" s="271">
        <v>10113</v>
      </c>
      <c r="F121" s="277"/>
      <c r="G121" s="123" t="str">
        <f>VLOOKUP(E121,'[5]FG MASTER'!$A$10:$AB$203,2,0)</f>
        <v>PY C3 BREAKFAST PLATE HERB ROASTED TURKEY BREAST, AGEN WHITE CHEDDAR, BOILD EGG, CHERRY TOMATO, CUCUMBER BATON, LEAF, CANTALOUPE, PINEAPPLE</v>
      </c>
      <c r="H121" s="252">
        <v>1</v>
      </c>
      <c r="I121" s="176">
        <v>1</v>
      </c>
      <c r="J121" s="258">
        <f>IFERROR(IF(I121="std",H121,ROUND(HLOOKUP(A121,FlightConfig!$B$28:$G$29,2,0)*I121,0)),"")</f>
        <v>56</v>
      </c>
      <c r="K121" s="213">
        <f>VLOOKUP(Food!E121,'FG MASTER'!A:AJ,16,0)</f>
        <v>2.7798310499999999</v>
      </c>
      <c r="L121" s="214">
        <f>VLOOKUP(Food!E121,'FG MASTER'!A:AJ,17,0)</f>
        <v>2.5</v>
      </c>
      <c r="M121" s="136">
        <f t="shared" si="165"/>
        <v>0.99999999999999989</v>
      </c>
      <c r="N121" s="136">
        <f t="shared" si="166"/>
        <v>3.7798310499999999</v>
      </c>
      <c r="O121" s="235">
        <f>IFERROR($K121*(1+8%)-$K121+R121,0)</f>
        <v>0.22238648400000027</v>
      </c>
      <c r="P121" s="136">
        <f t="shared" si="134"/>
        <v>0.12999999999999978</v>
      </c>
      <c r="Q121" s="136">
        <f t="shared" ref="Q121" si="185">SUM(N121:P121)</f>
        <v>4.1322175339999996</v>
      </c>
      <c r="R121" s="318"/>
      <c r="S121" s="375" t="s">
        <v>451</v>
      </c>
      <c r="T121" s="293">
        <f>(L121/2)*J121</f>
        <v>70</v>
      </c>
      <c r="V121">
        <f t="shared" si="102"/>
        <v>155.6705388</v>
      </c>
      <c r="W121">
        <f t="shared" si="174"/>
        <v>140</v>
      </c>
      <c r="X121" s="131">
        <f t="shared" si="175"/>
        <v>55.999999999999993</v>
      </c>
      <c r="Y121" s="131">
        <f t="shared" si="124"/>
        <v>211.6705388</v>
      </c>
      <c r="Z121" s="131">
        <f t="shared" si="171"/>
        <v>12.453643104000015</v>
      </c>
      <c r="AA121" s="131">
        <f t="shared" si="172"/>
        <v>7.2799999999999878</v>
      </c>
      <c r="AB121" s="131">
        <f t="shared" si="119"/>
        <v>231.40418190399998</v>
      </c>
      <c r="AD121" s="131" t="str">
        <f>IFERROR(#REF!*FlightConfig!$K$3,"")</f>
        <v/>
      </c>
      <c r="AE121" s="131">
        <f>IFERROR(V121*FlightConfig!$K$3,"")</f>
        <v>56664.0761232</v>
      </c>
      <c r="AF121" s="131">
        <f>IFERROR(W121*FlightConfig!$K$3,"")</f>
        <v>50960</v>
      </c>
      <c r="AG121" s="131">
        <f>IFERROR(X121*FlightConfig!$K$3,"")</f>
        <v>20383.999999999996</v>
      </c>
      <c r="AH121" s="131">
        <f>IFERROR(Y121*FlightConfig!$K$3,"")</f>
        <v>77048.076123200008</v>
      </c>
      <c r="AI121" s="131">
        <f>IFERROR(AB121*FlightConfig!$K$3,"")</f>
        <v>84231.122213055991</v>
      </c>
    </row>
    <row r="122" spans="1:35" x14ac:dyDescent="0.25">
      <c r="A122" t="s">
        <v>136</v>
      </c>
      <c r="B122" s="324">
        <v>3</v>
      </c>
      <c r="C122" s="178" t="str">
        <f t="shared" si="164"/>
        <v>ECONOMY CLASS3</v>
      </c>
      <c r="D122" s="261"/>
      <c r="E122" s="271">
        <v>10054</v>
      </c>
      <c r="F122" s="277"/>
      <c r="G122" s="123" t="str">
        <f>VLOOKUP(E122,'[5]FG MASTER'!$A$10:$AB$203,2,0)</f>
        <v>YC TSU</v>
      </c>
      <c r="H122" s="252">
        <v>1</v>
      </c>
      <c r="I122" s="176">
        <v>1</v>
      </c>
      <c r="J122" s="258">
        <f>IFERROR(IF(I122="std",H122,ROUND(HLOOKUP(A122,FlightConfig!$B$28:$G$29,2,0)*I122,0)),"")</f>
        <v>174</v>
      </c>
      <c r="K122" s="213">
        <f>VLOOKUP(Food!E122,'FG MASTER'!A:AJ,16,0)</f>
        <v>0</v>
      </c>
      <c r="L122" s="214">
        <f>VLOOKUP(Food!E122,'FG MASTER'!A:AJ,17,0)</f>
        <v>0.93</v>
      </c>
      <c r="M122" s="136">
        <f t="shared" si="165"/>
        <v>0.372</v>
      </c>
      <c r="N122" s="136">
        <f t="shared" si="166"/>
        <v>0.372</v>
      </c>
      <c r="O122" s="235">
        <f>IFERROR($K122*(1+18%)-$K122+R122,0)</f>
        <v>0</v>
      </c>
      <c r="P122" s="235">
        <f>IFERROR($M122*(1+18%)-$M122,0)</f>
        <v>6.6959999999999964E-2</v>
      </c>
      <c r="Q122" s="136">
        <f t="shared" ref="Q122" si="186">SUM(N122:P122)</f>
        <v>0.43895999999999996</v>
      </c>
      <c r="R122" s="318"/>
      <c r="S122" s="131"/>
      <c r="T122">
        <f t="shared" ref="T122" si="187">L122*J122</f>
        <v>161.82000000000002</v>
      </c>
      <c r="V122">
        <f t="shared" si="102"/>
        <v>0</v>
      </c>
      <c r="W122">
        <f>L122*J122</f>
        <v>161.82000000000002</v>
      </c>
      <c r="X122" s="131">
        <f>+M122*J122</f>
        <v>64.727999999999994</v>
      </c>
      <c r="Y122" s="131">
        <f t="shared" si="124"/>
        <v>64.727999999999994</v>
      </c>
      <c r="Z122" s="131">
        <f t="shared" si="171"/>
        <v>0</v>
      </c>
      <c r="AA122" s="131">
        <f t="shared" si="172"/>
        <v>11.651039999999993</v>
      </c>
      <c r="AB122" s="131">
        <f t="shared" si="119"/>
        <v>76.379039999999989</v>
      </c>
      <c r="AD122" s="131" t="str">
        <f>IFERROR(#REF!*FlightConfig!$K$3,"")</f>
        <v/>
      </c>
      <c r="AE122" s="131">
        <f>IFERROR(V122*FlightConfig!$K$3,"")</f>
        <v>0</v>
      </c>
      <c r="AF122" s="131">
        <f>IFERROR(W122*FlightConfig!$K$3,"")</f>
        <v>58902.48000000001</v>
      </c>
      <c r="AG122" s="131">
        <f>IFERROR(X122*FlightConfig!$K$3,"")</f>
        <v>23560.991999999998</v>
      </c>
      <c r="AH122" s="131">
        <f>IFERROR(Y122*FlightConfig!$K$3,"")</f>
        <v>23560.991999999998</v>
      </c>
      <c r="AI122" s="131">
        <f>IFERROR(AB122*FlightConfig!$K$3,"")</f>
        <v>27801.970559999994</v>
      </c>
    </row>
    <row r="123" spans="1:35" x14ac:dyDescent="0.25">
      <c r="A123" t="s">
        <v>136</v>
      </c>
      <c r="B123" s="324">
        <v>3</v>
      </c>
      <c r="C123" s="178" t="str">
        <f>CONCATENATE(A123&amp;B123&amp;F123)</f>
        <v>ECONOMY CLASS3</v>
      </c>
      <c r="D123" s="261"/>
      <c r="E123" s="270">
        <v>10070</v>
      </c>
      <c r="F123" s="277"/>
      <c r="G123" s="123" t="str">
        <f>VLOOKUP(E123,'[5]FG MASTER'!$A$10:$AB$203,2,0)</f>
        <v>PY/YC BUTTER</v>
      </c>
      <c r="H123" s="252">
        <v>1</v>
      </c>
      <c r="I123" s="176">
        <v>1</v>
      </c>
      <c r="J123" s="258">
        <f>IFERROR(IF(I123="std",H123,ROUND(HLOOKUP(A123,FlightConfig!$B$28:$G$29,2,0)*I123,0)),"")</f>
        <v>174</v>
      </c>
      <c r="K123" s="213">
        <f>VLOOKUP(Food!E123,'FG MASTER'!A:AJ,16,0)</f>
        <v>0.11714999999999999</v>
      </c>
      <c r="L123" s="214">
        <f>VLOOKUP(Food!E123,'FG MASTER'!A:AJ,17,0)</f>
        <v>0.2</v>
      </c>
      <c r="M123" s="136">
        <f>IFERROR(L123*$M$2,"")</f>
        <v>0.08</v>
      </c>
      <c r="N123" s="136">
        <f>IFERROR((K123)+M123,"")</f>
        <v>0.19714999999999999</v>
      </c>
      <c r="O123" s="136">
        <f>IFERROR($K123*(1+$O$2)-$K123+R123,0)</f>
        <v>1.5229499999999993E-2</v>
      </c>
      <c r="P123" s="136">
        <f>IFERROR($M123*(1+$P$2)-$M123,0)</f>
        <v>1.0399999999999993E-2</v>
      </c>
      <c r="Q123" s="136">
        <f t="shared" ref="Q123" si="188">SUM(N123:P123)</f>
        <v>0.22277949999999999</v>
      </c>
      <c r="R123" s="318"/>
      <c r="S123" s="131"/>
      <c r="T123">
        <f>L123*J123</f>
        <v>34.800000000000004</v>
      </c>
      <c r="V123">
        <f t="shared" si="102"/>
        <v>20.384099999999997</v>
      </c>
      <c r="W123">
        <f t="shared" ref="W123" si="189">IFERROR(+L123*J123,"")</f>
        <v>34.800000000000004</v>
      </c>
      <c r="X123" s="131">
        <f t="shared" ref="X123" si="190">IFERROR(+M123*J123,"")</f>
        <v>13.92</v>
      </c>
      <c r="Y123" s="131">
        <f t="shared" si="124"/>
        <v>34.304099999999998</v>
      </c>
      <c r="Z123" s="131">
        <f>IFERROR(O123*$J123,"")</f>
        <v>2.649932999999999</v>
      </c>
      <c r="AA123" s="131">
        <f>IFERROR(P123*$J123,"")</f>
        <v>1.8095999999999988</v>
      </c>
      <c r="AB123" s="131">
        <f t="shared" si="119"/>
        <v>38.763632999999999</v>
      </c>
      <c r="AD123" s="131" t="str">
        <f>IFERROR(#REF!*FlightConfig!$K$3,"")</f>
        <v/>
      </c>
      <c r="AE123" s="131">
        <f>IFERROR(V123*FlightConfig!$K$3,"")</f>
        <v>7419.8123999999989</v>
      </c>
      <c r="AF123" s="131">
        <f>IFERROR(W123*FlightConfig!$K$3,"")</f>
        <v>12667.2</v>
      </c>
      <c r="AG123" s="131">
        <f>IFERROR(X123*FlightConfig!$K$3,"")</f>
        <v>5066.88</v>
      </c>
      <c r="AH123" s="131">
        <f>IFERROR(Y123*FlightConfig!$K$3,"")</f>
        <v>12486.6924</v>
      </c>
      <c r="AI123" s="131">
        <f>IFERROR(AB123*FlightConfig!$K$3,"")</f>
        <v>14109.962411999999</v>
      </c>
    </row>
    <row r="124" spans="1:35" x14ac:dyDescent="0.25">
      <c r="A124" t="s">
        <v>136</v>
      </c>
      <c r="B124" s="324">
        <v>3</v>
      </c>
      <c r="C124" s="178" t="str">
        <f t="shared" ref="C124:C131" si="191">CONCATENATE(A124&amp;B124&amp;F124)</f>
        <v>ECONOMY CLASS3</v>
      </c>
      <c r="D124" s="261"/>
      <c r="E124" s="271">
        <v>10114</v>
      </c>
      <c r="F124" s="277"/>
      <c r="G124" s="123" t="str">
        <f>VLOOKUP(E124,'[5]FG MASTER'!$A$10:$AB$203,2,0)</f>
        <v>YC C3 SALAD MIX MESCLUN, CARROT, CHERRY TOMATO AGED CHEDDAR</v>
      </c>
      <c r="H124" s="252">
        <v>1</v>
      </c>
      <c r="I124" s="176">
        <v>1</v>
      </c>
      <c r="J124" s="258">
        <f>IFERROR(IF(I124="std",H124,ROUND(HLOOKUP(A124,FlightConfig!$B$28:$G$29,2,0)*I124,0)),"")</f>
        <v>174</v>
      </c>
      <c r="K124" s="213">
        <f>VLOOKUP(Food!E124,'FG MASTER'!A:AJ,16,0)</f>
        <v>0.39299564999999997</v>
      </c>
      <c r="L124" s="214">
        <f>VLOOKUP(Food!E124,'FG MASTER'!A:AJ,17,0)</f>
        <v>1</v>
      </c>
      <c r="M124" s="136">
        <f t="shared" ref="M124:M128" si="192">IFERROR(L124*$M$2,"")</f>
        <v>0.39999999999999997</v>
      </c>
      <c r="N124" s="136">
        <f t="shared" ref="N124:N157" si="193">IFERROR((K124)+M124,"")</f>
        <v>0.79299564999999994</v>
      </c>
      <c r="O124" s="235">
        <f t="shared" ref="O124:O129" si="194">IFERROR($K124*(1+18%)-$K124+R124,0)</f>
        <v>7.0739216999999965E-2</v>
      </c>
      <c r="P124" s="235">
        <f>IFERROR($M124*(1+18%)-$M124,0)</f>
        <v>7.1999999999999953E-2</v>
      </c>
      <c r="Q124" s="136">
        <f t="shared" ref="Q124:Q131" si="195">SUM(N124:P124)</f>
        <v>0.93573486699999986</v>
      </c>
      <c r="R124" s="318"/>
      <c r="S124" s="131"/>
      <c r="T124">
        <f t="shared" ref="T124" si="196">L124*J124</f>
        <v>174</v>
      </c>
      <c r="V124">
        <f t="shared" si="102"/>
        <v>68.381243099999992</v>
      </c>
      <c r="W124">
        <f>L124*J124</f>
        <v>174</v>
      </c>
      <c r="X124" s="131">
        <f>+M124*J124</f>
        <v>69.599999999999994</v>
      </c>
      <c r="Y124" s="131">
        <f t="shared" si="124"/>
        <v>137.9812431</v>
      </c>
      <c r="Z124" s="131">
        <f t="shared" ref="Z124:Z157" si="197">IFERROR(O124*$J124,"")</f>
        <v>12.308623757999994</v>
      </c>
      <c r="AA124" s="131">
        <f t="shared" ref="AA124:AA157" si="198">IFERROR(P124*$J124,"")</f>
        <v>12.527999999999992</v>
      </c>
      <c r="AB124" s="131">
        <f t="shared" si="119"/>
        <v>162.81786685799997</v>
      </c>
      <c r="AD124" s="131" t="str">
        <f>IFERROR(#REF!*FlightConfig!$K$3,"")</f>
        <v/>
      </c>
      <c r="AE124" s="131">
        <f>IFERROR(V124*FlightConfig!$K$3,"")</f>
        <v>24890.772488399998</v>
      </c>
      <c r="AF124" s="131">
        <f>IFERROR(W124*FlightConfig!$K$3,"")</f>
        <v>63336</v>
      </c>
      <c r="AG124" s="131">
        <f>IFERROR(X124*FlightConfig!$K$3,"")</f>
        <v>25334.399999999998</v>
      </c>
      <c r="AH124" s="131">
        <f>IFERROR(Y124*FlightConfig!$K$3,"")</f>
        <v>50225.1724884</v>
      </c>
      <c r="AI124" s="131">
        <f>IFERROR(AB124*FlightConfig!$K$3,"")</f>
        <v>59265.703536311994</v>
      </c>
    </row>
    <row r="125" spans="1:35" ht="30" x14ac:dyDescent="0.25">
      <c r="A125" t="s">
        <v>136</v>
      </c>
      <c r="B125" s="324">
        <v>3</v>
      </c>
      <c r="C125" s="178" t="str">
        <f t="shared" si="191"/>
        <v>ECONOMY CLASS3</v>
      </c>
      <c r="D125" s="261"/>
      <c r="E125" s="271">
        <v>10115</v>
      </c>
      <c r="F125" s="277"/>
      <c r="G125" s="123" t="str">
        <f>VLOOKUP(E125,'[5]FG MASTER'!$A$10:$AB$203,2,0)</f>
        <v xml:space="preserve">YC C3 HM B BBQ GRILLED CHICKEN RHIGH, BBQ SAUCE, CORN SUCCOTASH, MAPLE SWEET POTATO MASH </v>
      </c>
      <c r="H125" s="252">
        <v>1</v>
      </c>
      <c r="I125" s="176">
        <v>1</v>
      </c>
      <c r="J125" s="258">
        <f>IFERROR(IF(I125="std",H125,ROUND(HLOOKUP(A125,FlightConfig!$B$28:$G$29,2,0)*I125,0)),"")</f>
        <v>174</v>
      </c>
      <c r="K125" s="213">
        <f>VLOOKUP(Food!E125,'FG MASTER'!A:AJ,16,0)</f>
        <v>2.7294671999999998</v>
      </c>
      <c r="L125" s="214">
        <f>VLOOKUP(Food!E125,'FG MASTER'!A:AJ,17,0)</f>
        <v>6.5</v>
      </c>
      <c r="M125" s="136">
        <f t="shared" si="192"/>
        <v>2.5999999999999996</v>
      </c>
      <c r="N125" s="136">
        <f t="shared" si="193"/>
        <v>5.3294671999999998</v>
      </c>
      <c r="O125" s="136">
        <f t="shared" ref="O125" si="199">IFERROR($K125*(1+$O$2)-$K125+R125,0)</f>
        <v>0.35483073599999981</v>
      </c>
      <c r="P125" s="136">
        <f t="shared" si="134"/>
        <v>0.33799999999999963</v>
      </c>
      <c r="Q125" s="136">
        <f t="shared" si="195"/>
        <v>6.0222979359999993</v>
      </c>
      <c r="R125" s="318"/>
      <c r="S125" s="131"/>
      <c r="T125" s="293">
        <f>(L125/2)*J125</f>
        <v>565.5</v>
      </c>
      <c r="V125">
        <f t="shared" si="102"/>
        <v>474.92729279999998</v>
      </c>
      <c r="W125">
        <f>IFERROR(+L125*J125,"")</f>
        <v>1131</v>
      </c>
      <c r="X125" s="131">
        <f>IFERROR(+M125*J125,"")</f>
        <v>452.39999999999992</v>
      </c>
      <c r="Y125" s="131">
        <f t="shared" si="124"/>
        <v>927.32729280000001</v>
      </c>
      <c r="Z125" s="131">
        <f t="shared" si="197"/>
        <v>61.740548063999967</v>
      </c>
      <c r="AA125" s="131">
        <f t="shared" si="198"/>
        <v>58.811999999999934</v>
      </c>
      <c r="AB125" s="131">
        <f t="shared" si="119"/>
        <v>1047.8798408639998</v>
      </c>
      <c r="AD125" s="131" t="str">
        <f>IFERROR(#REF!*FlightConfig!$K$3,"")</f>
        <v/>
      </c>
      <c r="AE125" s="131">
        <f>IFERROR(V125*FlightConfig!$K$3,"")</f>
        <v>172873.5345792</v>
      </c>
      <c r="AF125" s="131">
        <f>IFERROR(W125*FlightConfig!$K$3,"")</f>
        <v>411684</v>
      </c>
      <c r="AG125" s="131">
        <f>IFERROR(X125*FlightConfig!$K$3,"")</f>
        <v>164673.59999999998</v>
      </c>
      <c r="AH125" s="131">
        <f>IFERROR(Y125*FlightConfig!$K$3,"")</f>
        <v>337547.13457920001</v>
      </c>
      <c r="AI125" s="131">
        <f>IFERROR(AB125*FlightConfig!$K$3,"")</f>
        <v>381428.2620744959</v>
      </c>
    </row>
    <row r="126" spans="1:35" x14ac:dyDescent="0.25">
      <c r="A126" t="s">
        <v>136</v>
      </c>
      <c r="B126" s="324">
        <v>3</v>
      </c>
      <c r="C126" s="178" t="str">
        <f t="shared" si="191"/>
        <v>ECONOMY CLASS3</v>
      </c>
      <c r="D126" s="261"/>
      <c r="E126" s="271">
        <v>10116</v>
      </c>
      <c r="F126" s="277"/>
      <c r="G126" s="123" t="str">
        <f>VLOOKUP(E126,'[5]FG MASTER'!$A$10:$AB$203,2,0)</f>
        <v>YC C3 DE PUMPKIN CHEESE CAKE BAR</v>
      </c>
      <c r="H126" s="252">
        <v>1</v>
      </c>
      <c r="I126" s="176">
        <v>1</v>
      </c>
      <c r="J126" s="258">
        <f>IFERROR(IF(I126="std",H126,ROUND(HLOOKUP(A126,FlightConfig!$B$28:$G$29,2,0)*I126,0)),"")</f>
        <v>174</v>
      </c>
      <c r="K126" s="213">
        <f>VLOOKUP(Food!E126,'FG MASTER'!A:AJ,16,0)</f>
        <v>1.2050506949999999</v>
      </c>
      <c r="L126" s="214">
        <f>VLOOKUP(Food!E126,'FG MASTER'!A:AJ,17,0)</f>
        <v>1</v>
      </c>
      <c r="M126" s="136">
        <f t="shared" si="192"/>
        <v>0.39999999999999997</v>
      </c>
      <c r="N126" s="136">
        <f t="shared" si="193"/>
        <v>1.6050506949999999</v>
      </c>
      <c r="O126" s="235">
        <f t="shared" si="194"/>
        <v>0.21690912509999993</v>
      </c>
      <c r="P126" s="235">
        <f t="shared" ref="P126:P129" si="200">IFERROR($M126*(1+18%)-$M126,0)</f>
        <v>7.1999999999999953E-2</v>
      </c>
      <c r="Q126" s="136">
        <f t="shared" si="195"/>
        <v>1.8939598200999996</v>
      </c>
      <c r="R126" s="318"/>
      <c r="S126" s="131"/>
      <c r="T126" s="293">
        <f>(L126/2)*J126</f>
        <v>87</v>
      </c>
      <c r="V126">
        <f t="shared" si="102"/>
        <v>209.67882093</v>
      </c>
      <c r="W126">
        <f>IFERROR(+L126*J126,"")</f>
        <v>174</v>
      </c>
      <c r="X126" s="131">
        <f>IFERROR(+M126*J126,"")</f>
        <v>69.599999999999994</v>
      </c>
      <c r="Y126" s="131">
        <f t="shared" si="124"/>
        <v>279.27882092999999</v>
      </c>
      <c r="Z126" s="131">
        <f t="shared" si="197"/>
        <v>37.74218776739999</v>
      </c>
      <c r="AA126" s="131">
        <f t="shared" si="198"/>
        <v>12.527999999999992</v>
      </c>
      <c r="AB126" s="131">
        <f t="shared" si="119"/>
        <v>329.54900869739993</v>
      </c>
      <c r="AD126" s="131" t="str">
        <f>IFERROR(#REF!*FlightConfig!$K$3,"")</f>
        <v/>
      </c>
      <c r="AE126" s="131">
        <f>IFERROR(V126*FlightConfig!$K$3,"")</f>
        <v>76323.090818519995</v>
      </c>
      <c r="AF126" s="131">
        <f>IFERROR(W126*FlightConfig!$K$3,"")</f>
        <v>63336</v>
      </c>
      <c r="AG126" s="131">
        <f>IFERROR(X126*FlightConfig!$K$3,"")</f>
        <v>25334.399999999998</v>
      </c>
      <c r="AH126" s="131">
        <f>IFERROR(Y126*FlightConfig!$K$3,"")</f>
        <v>101657.49081852</v>
      </c>
      <c r="AI126" s="131">
        <f>IFERROR(AB126*FlightConfig!$K$3,"")</f>
        <v>119955.83916585357</v>
      </c>
    </row>
    <row r="127" spans="1:35" x14ac:dyDescent="0.25">
      <c r="A127" t="s">
        <v>136</v>
      </c>
      <c r="B127" s="324">
        <v>3</v>
      </c>
      <c r="C127" s="178" t="str">
        <f t="shared" si="191"/>
        <v>ECONOMY CLASS3</v>
      </c>
      <c r="D127" s="261"/>
      <c r="E127" s="271">
        <v>10061</v>
      </c>
      <c r="F127" s="277"/>
      <c r="G127" s="123" t="str">
        <f>VLOOKUP(E127,'[5]FG MASTER'!$A$10:$AB$203,2,0)</f>
        <v xml:space="preserve">YC C2 BRD TYPE 1 HONEY WHEAT ROLL </v>
      </c>
      <c r="H127" s="252">
        <v>1</v>
      </c>
      <c r="I127" s="176">
        <v>1.2</v>
      </c>
      <c r="J127" s="258">
        <f>IFERROR(IF(I127="std",H127,ROUND(HLOOKUP(A127,FlightConfig!$B$28:$G$29,2,0)*I127,0)),"")</f>
        <v>209</v>
      </c>
      <c r="K127" s="213">
        <f>VLOOKUP(Food!E127,'FG MASTER'!A:AJ,16,0)</f>
        <v>0.15974999999999998</v>
      </c>
      <c r="L127" s="214">
        <f>VLOOKUP(Food!E127,'FG MASTER'!A:AJ,17,0)</f>
        <v>0.2</v>
      </c>
      <c r="M127" s="136">
        <f t="shared" si="192"/>
        <v>0.08</v>
      </c>
      <c r="N127" s="136">
        <f t="shared" si="193"/>
        <v>0.23974999999999996</v>
      </c>
      <c r="O127" s="235">
        <f t="shared" si="194"/>
        <v>2.8754999999999975E-2</v>
      </c>
      <c r="P127" s="235">
        <f t="shared" si="200"/>
        <v>1.4399999999999996E-2</v>
      </c>
      <c r="Q127" s="136">
        <f t="shared" si="195"/>
        <v>0.28290499999999996</v>
      </c>
      <c r="R127" s="318"/>
      <c r="S127" s="131"/>
      <c r="T127">
        <f t="shared" ref="T127:T137" si="201">L127*J127</f>
        <v>41.800000000000004</v>
      </c>
      <c r="V127">
        <f t="shared" si="102"/>
        <v>33.387749999999997</v>
      </c>
      <c r="W127">
        <f>IFERROR(+L127*J127,"")</f>
        <v>41.800000000000004</v>
      </c>
      <c r="X127" s="131">
        <f>IFERROR(+M127*J127,"")</f>
        <v>16.72</v>
      </c>
      <c r="Y127" s="131">
        <f t="shared" si="124"/>
        <v>50.107749999999996</v>
      </c>
      <c r="Z127" s="131">
        <f t="shared" si="197"/>
        <v>6.0097949999999951</v>
      </c>
      <c r="AA127" s="131">
        <f t="shared" si="198"/>
        <v>3.0095999999999994</v>
      </c>
      <c r="AB127" s="131">
        <f t="shared" si="119"/>
        <v>59.127144999999992</v>
      </c>
      <c r="AD127" s="131" t="str">
        <f>IFERROR(#REF!*FlightConfig!$K$3,"")</f>
        <v/>
      </c>
      <c r="AE127" s="131">
        <f>IFERROR(V127*FlightConfig!$K$3,"")</f>
        <v>12153.141</v>
      </c>
      <c r="AF127" s="131">
        <f>IFERROR(W127*FlightConfig!$K$3,"")</f>
        <v>15215.2</v>
      </c>
      <c r="AG127" s="131">
        <f>IFERROR(X127*FlightConfig!$K$3,"")</f>
        <v>6086.08</v>
      </c>
      <c r="AH127" s="131">
        <f>IFERROR(Y127*FlightConfig!$K$3,"")</f>
        <v>18239.220999999998</v>
      </c>
      <c r="AI127" s="131">
        <f>IFERROR(AB127*FlightConfig!$K$3,"")</f>
        <v>21522.280779999997</v>
      </c>
    </row>
    <row r="128" spans="1:35" x14ac:dyDescent="0.25">
      <c r="A128" t="s">
        <v>136</v>
      </c>
      <c r="B128" s="324">
        <v>3</v>
      </c>
      <c r="C128" s="178" t="str">
        <f t="shared" si="191"/>
        <v>ECONOMY CLASS3</v>
      </c>
      <c r="D128" s="261"/>
      <c r="E128" s="271">
        <v>10063</v>
      </c>
      <c r="F128" s="277"/>
      <c r="G128" s="123" t="str">
        <f>VLOOKUP(E128,'[5]FG MASTER'!$A$10:$AB$203,2,0)</f>
        <v xml:space="preserve">YC C2 JUICE CUP APPLE JUICE </v>
      </c>
      <c r="H128" s="252">
        <v>1</v>
      </c>
      <c r="I128" s="176">
        <v>1</v>
      </c>
      <c r="J128" s="258">
        <f>IFERROR(IF(I128="std",H128,ROUND(HLOOKUP(A128,FlightConfig!$B$28:$G$29,2,0)*I128,0)),"")</f>
        <v>174</v>
      </c>
      <c r="K128" s="213">
        <f>VLOOKUP(Food!E128,'FG MASTER'!A:AJ,16,0)</f>
        <v>0.42599999999999999</v>
      </c>
      <c r="L128" s="214">
        <f>VLOOKUP(Food!E128,'FG MASTER'!A:AJ,17,0)</f>
        <v>0.2</v>
      </c>
      <c r="M128" s="136">
        <f t="shared" si="192"/>
        <v>0.08</v>
      </c>
      <c r="N128" s="136">
        <f t="shared" si="193"/>
        <v>0.50600000000000001</v>
      </c>
      <c r="O128" s="235">
        <f t="shared" si="194"/>
        <v>7.6680000000000026E-2</v>
      </c>
      <c r="P128" s="235">
        <f t="shared" si="200"/>
        <v>1.4399999999999996E-2</v>
      </c>
      <c r="Q128" s="136">
        <f t="shared" si="195"/>
        <v>0.59708000000000006</v>
      </c>
      <c r="R128" s="318"/>
      <c r="S128" s="131"/>
      <c r="T128">
        <f t="shared" si="201"/>
        <v>34.800000000000004</v>
      </c>
      <c r="V128">
        <f t="shared" si="102"/>
        <v>74.123999999999995</v>
      </c>
      <c r="W128">
        <f>IFERROR(+L128*J128,"")</f>
        <v>34.800000000000004</v>
      </c>
      <c r="X128" s="131">
        <f>IFERROR(+M128*J128,"")</f>
        <v>13.92</v>
      </c>
      <c r="Y128" s="131">
        <f t="shared" si="124"/>
        <v>88.043999999999997</v>
      </c>
      <c r="Z128" s="131">
        <f t="shared" si="197"/>
        <v>13.342320000000004</v>
      </c>
      <c r="AA128" s="131">
        <f t="shared" si="198"/>
        <v>2.5055999999999994</v>
      </c>
      <c r="AB128" s="131">
        <f t="shared" si="119"/>
        <v>103.89192000000001</v>
      </c>
      <c r="AD128" s="131" t="str">
        <f>IFERROR(#REF!*FlightConfig!$K$3,"")</f>
        <v/>
      </c>
      <c r="AE128" s="131">
        <f>IFERROR(V128*FlightConfig!$K$3,"")</f>
        <v>26981.135999999999</v>
      </c>
      <c r="AF128" s="131">
        <f>IFERROR(W128*FlightConfig!$K$3,"")</f>
        <v>12667.2</v>
      </c>
      <c r="AG128" s="131">
        <f>IFERROR(X128*FlightConfig!$K$3,"")</f>
        <v>5066.88</v>
      </c>
      <c r="AH128" s="131">
        <f>IFERROR(Y128*FlightConfig!$K$3,"")</f>
        <v>32048.016</v>
      </c>
      <c r="AI128" s="131">
        <f>IFERROR(AB128*FlightConfig!$K$3,"")</f>
        <v>37816.658880000003</v>
      </c>
    </row>
    <row r="129" spans="1:35" x14ac:dyDescent="0.25">
      <c r="A129" t="s">
        <v>136</v>
      </c>
      <c r="B129" s="324">
        <v>3</v>
      </c>
      <c r="C129" s="178" t="str">
        <f t="shared" si="191"/>
        <v>ECONOMY CLASS3</v>
      </c>
      <c r="D129" s="261"/>
      <c r="E129" s="271">
        <v>10065</v>
      </c>
      <c r="F129" s="277"/>
      <c r="G129" s="123" t="str">
        <f>VLOOKUP(E129,'[5]FG MASTER'!$A$10:$AB$203,2,0)</f>
        <v>YC C2 SW NOMINATED SANDWICH (COST PASS THROUGH)</v>
      </c>
      <c r="H129" s="252">
        <v>1</v>
      </c>
      <c r="I129" s="176">
        <v>1</v>
      </c>
      <c r="J129" s="258">
        <f>IFERROR(IF(I129="std",H129,ROUND(HLOOKUP(A129,FlightConfig!$B$28:$G$29,2,0)*I129,0)),"")</f>
        <v>174</v>
      </c>
      <c r="K129" s="213">
        <f>VLOOKUP(Food!E129,'FG MASTER'!A:AJ,16,0)</f>
        <v>0</v>
      </c>
      <c r="L129" s="214">
        <f>VLOOKUP(Food!E129,'FG MASTER'!A:AJ,17,0)</f>
        <v>1</v>
      </c>
      <c r="M129" s="136">
        <f>IFERROR(L129*$M$2,"")</f>
        <v>0.39999999999999997</v>
      </c>
      <c r="N129" s="136">
        <f t="shared" si="193"/>
        <v>0.39999999999999997</v>
      </c>
      <c r="O129" s="235">
        <f t="shared" si="194"/>
        <v>0</v>
      </c>
      <c r="P129" s="235">
        <f t="shared" si="200"/>
        <v>7.1999999999999953E-2</v>
      </c>
      <c r="Q129" s="136">
        <f t="shared" si="195"/>
        <v>0.47199999999999992</v>
      </c>
      <c r="R129" s="318"/>
      <c r="S129" s="131"/>
      <c r="T129">
        <f t="shared" si="201"/>
        <v>174</v>
      </c>
      <c r="V129">
        <f t="shared" si="102"/>
        <v>0</v>
      </c>
      <c r="W129">
        <f>IFERROR(+L129*J129,"")</f>
        <v>174</v>
      </c>
      <c r="X129" s="131">
        <f>IFERROR(+M129*J129,"")</f>
        <v>69.599999999999994</v>
      </c>
      <c r="Y129" s="131">
        <f t="shared" si="124"/>
        <v>69.599999999999994</v>
      </c>
      <c r="Z129" s="131">
        <f t="shared" si="197"/>
        <v>0</v>
      </c>
      <c r="AA129" s="131">
        <f t="shared" si="198"/>
        <v>12.527999999999992</v>
      </c>
      <c r="AB129" s="131">
        <f t="shared" si="119"/>
        <v>82.127999999999986</v>
      </c>
      <c r="AD129" s="131" t="str">
        <f>IFERROR(#REF!*FlightConfig!$K$3,"")</f>
        <v/>
      </c>
      <c r="AE129" s="131">
        <f>IFERROR(V129*FlightConfig!$K$3,"")</f>
        <v>0</v>
      </c>
      <c r="AF129" s="131">
        <f>IFERROR(W129*FlightConfig!$K$3,"")</f>
        <v>63336</v>
      </c>
      <c r="AG129" s="131">
        <f>IFERROR(X129*FlightConfig!$K$3,"")</f>
        <v>25334.399999999998</v>
      </c>
      <c r="AH129" s="131">
        <f>IFERROR(Y129*FlightConfig!$K$3,"")</f>
        <v>25334.399999999998</v>
      </c>
      <c r="AI129" s="131">
        <f>IFERROR(AB129*FlightConfig!$K$3,"")</f>
        <v>29894.591999999993</v>
      </c>
    </row>
    <row r="130" spans="1:35" x14ac:dyDescent="0.25">
      <c r="A130" t="s">
        <v>137</v>
      </c>
      <c r="B130" s="324">
        <v>3</v>
      </c>
      <c r="C130" s="178" t="str">
        <f t="shared" si="191"/>
        <v>TECH CREW CLASS3</v>
      </c>
      <c r="D130" s="278"/>
      <c r="E130" s="270">
        <v>10073</v>
      </c>
      <c r="F130" s="277"/>
      <c r="G130" s="123" t="str">
        <f>VLOOKUP(E130,'[5]FG MASTER'!$A$10:$AB$203,2,0)</f>
        <v>CREW CUTLERY DISPOSAL</v>
      </c>
      <c r="H130" s="252">
        <v>1</v>
      </c>
      <c r="I130" s="176">
        <v>1</v>
      </c>
      <c r="J130" s="258">
        <f>IFERROR(IF(I130="std",H130,ROUND(HLOOKUP(A130,FlightConfig!$B$28:$G$29,2,0)*I130,0)),"")</f>
        <v>2</v>
      </c>
      <c r="K130" s="213">
        <f>VLOOKUP(Food!E130,'FG MASTER'!A:AJ,16,0)</f>
        <v>0.1065</v>
      </c>
      <c r="L130" s="214">
        <f>VLOOKUP(Food!E130,'FG MASTER'!A:AJ,17,0)</f>
        <v>0.2</v>
      </c>
      <c r="M130" s="136">
        <f t="shared" ref="M130:M131" si="202">IFERROR(L130*$M$2,"")</f>
        <v>0.08</v>
      </c>
      <c r="N130" s="136">
        <f t="shared" si="193"/>
        <v>0.1865</v>
      </c>
      <c r="O130" s="136">
        <f t="shared" ref="O130:O156" si="203">IFERROR($K130*(1+$O$2)-$K130+R130,0)</f>
        <v>1.3844999999999982E-2</v>
      </c>
      <c r="P130" s="136">
        <f t="shared" si="134"/>
        <v>1.0399999999999993E-2</v>
      </c>
      <c r="Q130" s="136">
        <f t="shared" si="195"/>
        <v>0.21074499999999999</v>
      </c>
      <c r="R130" s="318"/>
      <c r="S130" s="131"/>
      <c r="T130">
        <f t="shared" si="201"/>
        <v>0.4</v>
      </c>
      <c r="V130">
        <f t="shared" si="102"/>
        <v>0.21299999999999999</v>
      </c>
      <c r="W130">
        <f t="shared" ref="W130:W133" si="204">IFERROR(+L130*J130,"")</f>
        <v>0.4</v>
      </c>
      <c r="X130" s="131">
        <f t="shared" ref="X130:X133" si="205">IFERROR(+M130*J130,"")</f>
        <v>0.16</v>
      </c>
      <c r="Y130" s="131">
        <f t="shared" si="124"/>
        <v>0.373</v>
      </c>
      <c r="Z130" s="131">
        <f t="shared" si="197"/>
        <v>2.7689999999999965E-2</v>
      </c>
      <c r="AA130" s="131">
        <f t="shared" si="198"/>
        <v>2.0799999999999985E-2</v>
      </c>
      <c r="AB130" s="131">
        <f t="shared" si="119"/>
        <v>0.42148999999999998</v>
      </c>
      <c r="AD130" s="131" t="str">
        <f>IFERROR(#REF!*FlightConfig!$K$3,"")</f>
        <v/>
      </c>
      <c r="AE130" s="131">
        <f>IFERROR(V130*FlightConfig!$K$3,"")</f>
        <v>77.531999999999996</v>
      </c>
      <c r="AF130" s="131">
        <f>IFERROR(W130*FlightConfig!$K$3,"")</f>
        <v>145.6</v>
      </c>
      <c r="AG130" s="131">
        <f>IFERROR(X130*FlightConfig!$K$3,"")</f>
        <v>58.24</v>
      </c>
      <c r="AH130" s="131">
        <f>IFERROR(Y130*FlightConfig!$K$3,"")</f>
        <v>135.77199999999999</v>
      </c>
      <c r="AI130" s="131">
        <f>IFERROR(AB130*FlightConfig!$K$3,"")</f>
        <v>153.42236</v>
      </c>
    </row>
    <row r="131" spans="1:35" x14ac:dyDescent="0.25">
      <c r="A131" t="s">
        <v>137</v>
      </c>
      <c r="B131" s="324">
        <v>3</v>
      </c>
      <c r="C131" s="178" t="str">
        <f t="shared" si="191"/>
        <v>TECH CREW CLASS3</v>
      </c>
      <c r="D131" s="278"/>
      <c r="E131" s="270">
        <v>10072</v>
      </c>
      <c r="F131" s="277"/>
      <c r="G131" s="123" t="str">
        <f>VLOOKUP(E131,'[5]FG MASTER'!$A$10:$AB$203,2,0)</f>
        <v>CREW BUTTER</v>
      </c>
      <c r="H131" s="252">
        <v>1</v>
      </c>
      <c r="I131" s="176">
        <v>1</v>
      </c>
      <c r="J131" s="258">
        <f>IFERROR(IF(I131="std",H131,ROUND(HLOOKUP(A131,FlightConfig!$B$28:$G$29,2,0)*I131,0)),"")</f>
        <v>2</v>
      </c>
      <c r="K131" s="213">
        <f>VLOOKUP(Food!E131,'FG MASTER'!A:AJ,16,0)</f>
        <v>0.11714999999999999</v>
      </c>
      <c r="L131" s="214">
        <f>VLOOKUP(Food!E131,'FG MASTER'!A:AJ,17,0)</f>
        <v>0.2</v>
      </c>
      <c r="M131" s="136">
        <f t="shared" si="202"/>
        <v>0.08</v>
      </c>
      <c r="N131" s="136">
        <f t="shared" si="193"/>
        <v>0.19714999999999999</v>
      </c>
      <c r="O131" s="136">
        <f t="shared" si="203"/>
        <v>1.5229499999999993E-2</v>
      </c>
      <c r="P131" s="136">
        <f t="shared" si="134"/>
        <v>1.0399999999999993E-2</v>
      </c>
      <c r="Q131" s="136">
        <f t="shared" si="195"/>
        <v>0.22277949999999999</v>
      </c>
      <c r="R131" s="318"/>
      <c r="S131" s="131"/>
      <c r="T131">
        <f t="shared" si="201"/>
        <v>0.4</v>
      </c>
      <c r="V131">
        <f t="shared" si="102"/>
        <v>0.23429999999999998</v>
      </c>
      <c r="W131">
        <f t="shared" si="204"/>
        <v>0.4</v>
      </c>
      <c r="X131" s="131">
        <f t="shared" si="205"/>
        <v>0.16</v>
      </c>
      <c r="Y131" s="131">
        <f t="shared" si="124"/>
        <v>0.39429999999999998</v>
      </c>
      <c r="Z131" s="131">
        <f t="shared" si="197"/>
        <v>3.0458999999999986E-2</v>
      </c>
      <c r="AA131" s="131">
        <f t="shared" si="198"/>
        <v>2.0799999999999985E-2</v>
      </c>
      <c r="AB131" s="131">
        <f t="shared" si="119"/>
        <v>0.44555899999999998</v>
      </c>
      <c r="AD131" s="131" t="str">
        <f>IFERROR(#REF!*FlightConfig!$K$3,"")</f>
        <v/>
      </c>
      <c r="AE131" s="131">
        <f>IFERROR(V131*FlightConfig!$K$3,"")</f>
        <v>85.285199999999989</v>
      </c>
      <c r="AF131" s="131">
        <f>IFERROR(W131*FlightConfig!$K$3,"")</f>
        <v>145.6</v>
      </c>
      <c r="AG131" s="131">
        <f>IFERROR(X131*FlightConfig!$K$3,"")</f>
        <v>58.24</v>
      </c>
      <c r="AH131" s="131">
        <f>IFERROR(Y131*FlightConfig!$K$3,"")</f>
        <v>143.52519999999998</v>
      </c>
      <c r="AI131" s="131">
        <f>IFERROR(AB131*FlightConfig!$K$3,"")</f>
        <v>162.18347599999998</v>
      </c>
    </row>
    <row r="132" spans="1:35" x14ac:dyDescent="0.25">
      <c r="A132" t="s">
        <v>137</v>
      </c>
      <c r="B132" s="324">
        <v>3</v>
      </c>
      <c r="C132" s="178" t="str">
        <f>CONCATENATE(A132&amp;B132&amp;F132)</f>
        <v>TECH CREW CLASS3</v>
      </c>
      <c r="D132" s="278"/>
      <c r="E132" s="270">
        <v>10074</v>
      </c>
      <c r="F132" s="277"/>
      <c r="G132" s="123" t="str">
        <f>VLOOKUP(E132,'[5]FG MASTER'!$A$10:$AB$203,2,0)</f>
        <v>CREW BREAD MILTIGRAIN</v>
      </c>
      <c r="H132" s="252">
        <v>1</v>
      </c>
      <c r="I132" s="176">
        <v>1</v>
      </c>
      <c r="J132" s="258">
        <f>IFERROR(IF(I132="std",H132,ROUND(HLOOKUP(A132,FlightConfig!$B$28:$G$29,2,0)*I132,0)),"")</f>
        <v>2</v>
      </c>
      <c r="K132" s="213">
        <f>VLOOKUP(Food!E132,'FG MASTER'!A:AJ,16,0)</f>
        <v>0.26624999999999999</v>
      </c>
      <c r="L132" s="214">
        <f>VLOOKUP(Food!E132,'FG MASTER'!A:AJ,17,0)</f>
        <v>0.2</v>
      </c>
      <c r="M132" s="136">
        <f>IFERROR(L132*$M$2,"")</f>
        <v>0.08</v>
      </c>
      <c r="N132" s="136">
        <f t="shared" si="193"/>
        <v>0.34625</v>
      </c>
      <c r="O132" s="136">
        <f t="shared" si="203"/>
        <v>3.461249999999999E-2</v>
      </c>
      <c r="P132" s="136">
        <f t="shared" si="134"/>
        <v>1.0399999999999993E-2</v>
      </c>
      <c r="Q132" s="136">
        <f>SUM(N132:P132)</f>
        <v>0.39126249999999996</v>
      </c>
      <c r="R132" s="318"/>
      <c r="S132" s="131"/>
      <c r="T132">
        <f t="shared" si="201"/>
        <v>0.4</v>
      </c>
      <c r="V132">
        <f t="shared" si="102"/>
        <v>0.53249999999999997</v>
      </c>
      <c r="W132">
        <f t="shared" si="204"/>
        <v>0.4</v>
      </c>
      <c r="X132" s="131">
        <f t="shared" si="205"/>
        <v>0.16</v>
      </c>
      <c r="Y132" s="131">
        <f t="shared" si="124"/>
        <v>0.6925</v>
      </c>
      <c r="Z132" s="131">
        <f t="shared" si="197"/>
        <v>6.9224999999999981E-2</v>
      </c>
      <c r="AA132" s="131">
        <f t="shared" si="198"/>
        <v>2.0799999999999985E-2</v>
      </c>
      <c r="AB132" s="131">
        <f t="shared" si="119"/>
        <v>0.78252499999999992</v>
      </c>
      <c r="AD132" s="131" t="str">
        <f>IFERROR(#REF!*FlightConfig!$K$3,"")</f>
        <v/>
      </c>
      <c r="AE132" s="131">
        <f>IFERROR(V132*FlightConfig!$K$3,"")</f>
        <v>193.82999999999998</v>
      </c>
      <c r="AF132" s="131">
        <f>IFERROR(W132*FlightConfig!$K$3,"")</f>
        <v>145.6</v>
      </c>
      <c r="AG132" s="131">
        <f>IFERROR(X132*FlightConfig!$K$3,"")</f>
        <v>58.24</v>
      </c>
      <c r="AH132" s="131">
        <f>IFERROR(Y132*FlightConfig!$K$3,"")</f>
        <v>252.07</v>
      </c>
      <c r="AI132" s="131">
        <f>IFERROR(AB132*FlightConfig!$K$3,"")</f>
        <v>284.83909999999997</v>
      </c>
    </row>
    <row r="133" spans="1:35" ht="30" x14ac:dyDescent="0.25">
      <c r="A133" t="s">
        <v>137</v>
      </c>
      <c r="B133" s="324">
        <v>3</v>
      </c>
      <c r="C133" s="178" t="str">
        <f t="shared" ref="C133:C157" si="206">CONCATENATE(A133&amp;B133&amp;F133)</f>
        <v>TECH CREW CLASS3</v>
      </c>
      <c r="D133" s="278"/>
      <c r="E133" s="270">
        <v>10120</v>
      </c>
      <c r="F133" s="277"/>
      <c r="G133" s="123" t="str">
        <f>VLOOKUP(E133,'[5]FG MASTER'!$A$10:$AB$203,2,0)</f>
        <v xml:space="preserve">DECK CREW C3 P CM A ROASTED TURKEY BREAST, CHEDDAR CHEESE, LETTUCE LEAF, CUCUMBER, CHERRY TOMATO, QUINOA SALAD </v>
      </c>
      <c r="H133" s="252">
        <v>1</v>
      </c>
      <c r="I133" s="176">
        <v>0.5</v>
      </c>
      <c r="J133" s="258">
        <f>IFERROR(IF(I133="std",H133,ROUND(HLOOKUP(A133,FlightConfig!$B$28:$G$29,2,0)*I133,0)),"")</f>
        <v>1</v>
      </c>
      <c r="K133" s="213">
        <f>VLOOKUP(Food!E133,'FG MASTER'!A:AJ,16,0)</f>
        <v>4.1785082873999997</v>
      </c>
      <c r="L133" s="214">
        <f>VLOOKUP(Food!E133,'FG MASTER'!A:AJ,17,0)</f>
        <v>3</v>
      </c>
      <c r="M133" s="136">
        <f t="shared" ref="M133:M157" si="207">IFERROR(L133*$M$2,"")</f>
        <v>1.2</v>
      </c>
      <c r="N133" s="136">
        <f t="shared" si="193"/>
        <v>5.3785082873999999</v>
      </c>
      <c r="O133" s="136">
        <f t="shared" si="203"/>
        <v>0.54320607736199911</v>
      </c>
      <c r="P133" s="136">
        <f t="shared" si="134"/>
        <v>0.15599999999999992</v>
      </c>
      <c r="Q133" s="136">
        <f t="shared" ref="Q133:Q134" si="208">SUM(N133:P133)</f>
        <v>6.0777143647619987</v>
      </c>
      <c r="R133" s="318"/>
      <c r="S133" s="131">
        <f>R133*J133</f>
        <v>0</v>
      </c>
      <c r="T133">
        <f t="shared" si="201"/>
        <v>3</v>
      </c>
      <c r="V133">
        <f t="shared" si="102"/>
        <v>4.1785082873999997</v>
      </c>
      <c r="W133">
        <f t="shared" si="204"/>
        <v>3</v>
      </c>
      <c r="X133" s="131">
        <f t="shared" si="205"/>
        <v>1.2</v>
      </c>
      <c r="Y133" s="131">
        <f t="shared" si="124"/>
        <v>5.3785082873999999</v>
      </c>
      <c r="Z133" s="131">
        <f t="shared" si="197"/>
        <v>0.54320607736199911</v>
      </c>
      <c r="AA133" s="131">
        <f t="shared" si="198"/>
        <v>0.15599999999999992</v>
      </c>
      <c r="AB133" s="131">
        <f t="shared" si="119"/>
        <v>6.0777143647619987</v>
      </c>
      <c r="AD133" s="131" t="str">
        <f>IFERROR(#REF!*FlightConfig!$K$3,"")</f>
        <v/>
      </c>
      <c r="AE133" s="131">
        <f>IFERROR(V133*FlightConfig!$K$3,"")</f>
        <v>1520.9770166136</v>
      </c>
      <c r="AF133" s="131">
        <f>IFERROR(W133*FlightConfig!$K$3,"")</f>
        <v>1092</v>
      </c>
      <c r="AG133" s="131">
        <f>IFERROR(X133*FlightConfig!$K$3,"")</f>
        <v>436.8</v>
      </c>
      <c r="AH133" s="131">
        <f>IFERROR(Y133*FlightConfig!$K$3,"")</f>
        <v>1957.7770166135999</v>
      </c>
      <c r="AI133" s="131">
        <f>IFERROR(AB133*FlightConfig!$K$3,"")</f>
        <v>2212.2880287733674</v>
      </c>
    </row>
    <row r="134" spans="1:35" ht="30" x14ac:dyDescent="0.25">
      <c r="A134" t="s">
        <v>137</v>
      </c>
      <c r="B134" s="324">
        <v>3</v>
      </c>
      <c r="C134" s="178" t="str">
        <f t="shared" si="206"/>
        <v>TECH CREW CLASS3</v>
      </c>
      <c r="D134" s="278"/>
      <c r="E134" s="271">
        <v>10121</v>
      </c>
      <c r="F134" s="277"/>
      <c r="G134" s="123" t="str">
        <f>VLOOKUP(E134,'[5]FG MASTER'!$A$10:$AB$203,2,0)</f>
        <v xml:space="preserve">DECK CREW C3 P CM B PASTRAMI, BEECHER CHEEDAR, LETTUCE CHERRY TOMATO, RED GRAPE, QUINOA SALAD </v>
      </c>
      <c r="H134" s="252">
        <v>1</v>
      </c>
      <c r="I134" s="176">
        <v>0.5</v>
      </c>
      <c r="J134" s="258">
        <f>IFERROR(IF(I134="std",H134,ROUND(HLOOKUP(A134,FlightConfig!$B$28:$G$29,2,0)*I134,0)),"")</f>
        <v>1</v>
      </c>
      <c r="K134" s="213">
        <f>VLOOKUP(Food!E134,'FG MASTER'!A:AJ,16,0)</f>
        <v>3.1879866331349995</v>
      </c>
      <c r="L134" s="214">
        <f>VLOOKUP(Food!E134,'FG MASTER'!A:AJ,17,0)</f>
        <v>3</v>
      </c>
      <c r="M134" s="136">
        <f t="shared" si="207"/>
        <v>1.2</v>
      </c>
      <c r="N134" s="136">
        <f t="shared" si="193"/>
        <v>4.3879866331349993</v>
      </c>
      <c r="O134" s="136">
        <f t="shared" si="203"/>
        <v>0.41443826230754954</v>
      </c>
      <c r="P134" s="136">
        <f t="shared" si="134"/>
        <v>0.15599999999999992</v>
      </c>
      <c r="Q134" s="136">
        <f t="shared" si="208"/>
        <v>4.9584248954425485</v>
      </c>
      <c r="R134" s="318"/>
      <c r="S134" s="131">
        <f>R134*J134</f>
        <v>0</v>
      </c>
      <c r="T134">
        <f t="shared" si="201"/>
        <v>3</v>
      </c>
      <c r="V134">
        <f t="shared" ref="V134:V157" si="209">IFERROR(K134*J134-R134*J134,"")</f>
        <v>3.1879866331349995</v>
      </c>
      <c r="W134">
        <f>L134*J134</f>
        <v>3</v>
      </c>
      <c r="X134" s="131">
        <f>+M134*J134</f>
        <v>1.2</v>
      </c>
      <c r="Y134" s="131">
        <f t="shared" si="124"/>
        <v>4.3879866331349993</v>
      </c>
      <c r="Z134" s="131">
        <f t="shared" si="197"/>
        <v>0.41443826230754954</v>
      </c>
      <c r="AA134" s="131">
        <f t="shared" si="198"/>
        <v>0.15599999999999992</v>
      </c>
      <c r="AB134" s="131">
        <f t="shared" si="119"/>
        <v>4.9584248954425485</v>
      </c>
      <c r="AD134" s="131" t="str">
        <f>IFERROR(#REF!*FlightConfig!$K$3,"")</f>
        <v/>
      </c>
      <c r="AE134" s="131">
        <f>IFERROR(V134*FlightConfig!$K$3,"")</f>
        <v>1160.4271344611398</v>
      </c>
      <c r="AF134" s="131">
        <f>IFERROR(W134*FlightConfig!$K$3,"")</f>
        <v>1092</v>
      </c>
      <c r="AG134" s="131">
        <f>IFERROR(X134*FlightConfig!$K$3,"")</f>
        <v>436.8</v>
      </c>
      <c r="AH134" s="131">
        <f>IFERROR(Y134*FlightConfig!$K$3,"")</f>
        <v>1597.2271344611397</v>
      </c>
      <c r="AI134" s="131">
        <f>IFERROR(AB134*FlightConfig!$K$3,"")</f>
        <v>1804.8666619410876</v>
      </c>
    </row>
    <row r="135" spans="1:35" x14ac:dyDescent="0.25">
      <c r="A135" t="s">
        <v>137</v>
      </c>
      <c r="B135" s="324">
        <v>3</v>
      </c>
      <c r="C135" s="178" t="str">
        <f t="shared" si="206"/>
        <v>TECH CREW CLASS3</v>
      </c>
      <c r="D135" s="278"/>
      <c r="E135" s="271">
        <v>10122</v>
      </c>
      <c r="F135" s="277"/>
      <c r="G135" s="123" t="str">
        <f>VLOOKUP(E135,'[5]FG MASTER'!$A$10:$AB$203,2,0)</f>
        <v>CREW P C3 HM SALAD MESCLUN MIX, CUCUMBER CCHERRY TOMATO AGED CHEDDAR</v>
      </c>
      <c r="H135" s="252">
        <v>1</v>
      </c>
      <c r="I135" s="176">
        <v>0.5</v>
      </c>
      <c r="J135" s="258">
        <f>IFERROR(IF(I135="std",H135,ROUND(HLOOKUP(A135,FlightConfig!$B$28:$G$29,2,0)*I135,0)),"")</f>
        <v>1</v>
      </c>
      <c r="K135" s="213">
        <f>VLOOKUP(Food!E135,'FG MASTER'!A:AJ,16,0)</f>
        <v>0.39299922191358028</v>
      </c>
      <c r="L135" s="214">
        <f>VLOOKUP(Food!E135,'FG MASTER'!A:AJ,17,0)</f>
        <v>1</v>
      </c>
      <c r="M135" s="136">
        <f t="shared" si="207"/>
        <v>0.39999999999999997</v>
      </c>
      <c r="N135" s="136">
        <f t="shared" si="193"/>
        <v>0.79299922191358019</v>
      </c>
      <c r="O135" s="136">
        <f t="shared" si="203"/>
        <v>5.1089898848765414E-2</v>
      </c>
      <c r="P135" s="136">
        <f t="shared" si="134"/>
        <v>5.1999999999999935E-2</v>
      </c>
      <c r="Q135" s="136">
        <f t="shared" ref="Q135:Q137" si="210">SUM(N135:P135)</f>
        <v>0.89608912076234548</v>
      </c>
      <c r="R135" s="318"/>
      <c r="S135" s="131"/>
      <c r="T135">
        <f t="shared" si="201"/>
        <v>1</v>
      </c>
      <c r="V135">
        <f t="shared" si="209"/>
        <v>0.39299922191358028</v>
      </c>
      <c r="W135">
        <f t="shared" ref="W135:W137" si="211">IFERROR(+L135*J135,"")</f>
        <v>1</v>
      </c>
      <c r="X135" s="131">
        <f t="shared" ref="X135:X137" si="212">IFERROR(+M135*J135,"")</f>
        <v>0.39999999999999997</v>
      </c>
      <c r="Y135" s="131">
        <f t="shared" si="124"/>
        <v>0.79299922191358019</v>
      </c>
      <c r="Z135" s="131">
        <f t="shared" si="197"/>
        <v>5.1089898848765414E-2</v>
      </c>
      <c r="AA135" s="131">
        <f t="shared" si="198"/>
        <v>5.1999999999999935E-2</v>
      </c>
      <c r="AB135" s="131">
        <f t="shared" si="119"/>
        <v>0.89608912076234548</v>
      </c>
      <c r="AD135" s="131" t="str">
        <f>IFERROR(#REF!*FlightConfig!$K$3,"")</f>
        <v/>
      </c>
      <c r="AE135" s="131">
        <f>IFERROR(V135*FlightConfig!$K$3,"")</f>
        <v>143.05171677654323</v>
      </c>
      <c r="AF135" s="131">
        <f>IFERROR(W135*FlightConfig!$K$3,"")</f>
        <v>364</v>
      </c>
      <c r="AG135" s="131">
        <f>IFERROR(X135*FlightConfig!$K$3,"")</f>
        <v>145.6</v>
      </c>
      <c r="AH135" s="131">
        <f>IFERROR(Y135*FlightConfig!$K$3,"")</f>
        <v>288.6517167765432</v>
      </c>
      <c r="AI135" s="131">
        <f>IFERROR(AB135*FlightConfig!$K$3,"")</f>
        <v>326.17643995749376</v>
      </c>
    </row>
    <row r="136" spans="1:35" ht="30" x14ac:dyDescent="0.25">
      <c r="A136" t="s">
        <v>137</v>
      </c>
      <c r="B136" s="324">
        <v>3</v>
      </c>
      <c r="C136" s="178" t="str">
        <f t="shared" si="206"/>
        <v>TECH CREW CLASS3</v>
      </c>
      <c r="D136" s="278"/>
      <c r="E136" s="270">
        <v>10124</v>
      </c>
      <c r="F136" s="277"/>
      <c r="G136" s="123" t="str">
        <f>VLOOKUP(E136,'[5]FG MASTER'!$A$10:$AB$203,2,0)</f>
        <v>CREW P C3 HM A C3 POULTRY HOT HONEY GLAZED CHICKEN THIHG, TRICOLOR PEPPER, SWEET POTATO RISOTTO, GARLIC BROCCOLI</v>
      </c>
      <c r="H136" s="252">
        <v>1</v>
      </c>
      <c r="I136" s="176">
        <v>0.5</v>
      </c>
      <c r="J136" s="258">
        <f>IFERROR(IF(I136="std",H136,ROUND(HLOOKUP(A136,FlightConfig!$B$28:$G$29,2,0)*I136,0)),"")</f>
        <v>1</v>
      </c>
      <c r="K136" s="213">
        <f>VLOOKUP(Food!E136,'FG MASTER'!A:AJ,16,0)</f>
        <v>3.6400165334999999</v>
      </c>
      <c r="L136" s="214">
        <f>VLOOKUP(Food!E136,'FG MASTER'!A:AJ,17,0)</f>
        <v>6.5</v>
      </c>
      <c r="M136" s="136">
        <f t="shared" si="207"/>
        <v>2.5999999999999996</v>
      </c>
      <c r="N136" s="136">
        <f t="shared" si="193"/>
        <v>6.2400165334999995</v>
      </c>
      <c r="O136" s="136">
        <f t="shared" si="203"/>
        <v>0.47320214935499916</v>
      </c>
      <c r="P136" s="136">
        <f t="shared" si="134"/>
        <v>0.33799999999999963</v>
      </c>
      <c r="Q136" s="136">
        <f t="shared" si="210"/>
        <v>7.0512186828549979</v>
      </c>
      <c r="R136" s="318"/>
      <c r="S136" s="131"/>
      <c r="T136">
        <f t="shared" si="201"/>
        <v>6.5</v>
      </c>
      <c r="V136">
        <f t="shared" si="209"/>
        <v>3.6400165334999999</v>
      </c>
      <c r="W136">
        <f t="shared" si="211"/>
        <v>6.5</v>
      </c>
      <c r="X136" s="131">
        <f t="shared" si="212"/>
        <v>2.5999999999999996</v>
      </c>
      <c r="Y136" s="131">
        <f t="shared" si="124"/>
        <v>6.2400165334999995</v>
      </c>
      <c r="Z136" s="131">
        <f t="shared" si="197"/>
        <v>0.47320214935499916</v>
      </c>
      <c r="AA136" s="131">
        <f t="shared" si="198"/>
        <v>0.33799999999999963</v>
      </c>
      <c r="AB136" s="131">
        <f t="shared" si="119"/>
        <v>7.0512186828549979</v>
      </c>
      <c r="AD136" s="131" t="str">
        <f>IFERROR(#REF!*FlightConfig!$K$3,"")</f>
        <v/>
      </c>
      <c r="AE136" s="131">
        <f>IFERROR(V136*FlightConfig!$K$3,"")</f>
        <v>1324.9660181939998</v>
      </c>
      <c r="AF136" s="131">
        <f>IFERROR(W136*FlightConfig!$K$3,"")</f>
        <v>2366</v>
      </c>
      <c r="AG136" s="131">
        <f>IFERROR(X136*FlightConfig!$K$3,"")</f>
        <v>946.39999999999986</v>
      </c>
      <c r="AH136" s="131">
        <f>IFERROR(Y136*FlightConfig!$K$3,"")</f>
        <v>2271.3660181939999</v>
      </c>
      <c r="AI136" s="131">
        <f>IFERROR(AB136*FlightConfig!$K$3,"")</f>
        <v>2566.6436005592191</v>
      </c>
    </row>
    <row r="137" spans="1:35" x14ac:dyDescent="0.25">
      <c r="A137" t="s">
        <v>137</v>
      </c>
      <c r="B137" s="324">
        <v>3</v>
      </c>
      <c r="C137" s="178" t="str">
        <f t="shared" si="206"/>
        <v>TECH CREW CLASS3</v>
      </c>
      <c r="D137" s="278"/>
      <c r="E137" s="271">
        <v>10073</v>
      </c>
      <c r="F137" s="277"/>
      <c r="G137" s="123" t="str">
        <f>VLOOKUP(E137,'[5]FG MASTER'!$A$10:$AB$203,2,0)</f>
        <v>CREW CUTLERY DISPOSAL</v>
      </c>
      <c r="H137" s="252">
        <v>1</v>
      </c>
      <c r="I137" s="176">
        <v>1</v>
      </c>
      <c r="J137" s="258">
        <f>IFERROR(IF(I137="std",H137,ROUND(HLOOKUP(A137,FlightConfig!$B$28:$G$29,2,0)*I137,0)),"")</f>
        <v>2</v>
      </c>
      <c r="K137" s="213">
        <f>VLOOKUP(Food!E137,'FG MASTER'!A:AJ,16,0)</f>
        <v>0.1065</v>
      </c>
      <c r="L137" s="214">
        <f>VLOOKUP(Food!E137,'FG MASTER'!A:AJ,17,0)</f>
        <v>0.2</v>
      </c>
      <c r="M137" s="136">
        <f t="shared" si="207"/>
        <v>0.08</v>
      </c>
      <c r="N137" s="136">
        <f t="shared" si="193"/>
        <v>0.1865</v>
      </c>
      <c r="O137" s="136">
        <f t="shared" si="203"/>
        <v>1.3844999999999982E-2</v>
      </c>
      <c r="P137" s="136">
        <f t="shared" si="134"/>
        <v>1.0399999999999993E-2</v>
      </c>
      <c r="Q137" s="136">
        <f t="shared" si="210"/>
        <v>0.21074499999999999</v>
      </c>
      <c r="R137" s="318"/>
      <c r="S137" s="131"/>
      <c r="T137">
        <f t="shared" si="201"/>
        <v>0.4</v>
      </c>
      <c r="V137">
        <f t="shared" si="209"/>
        <v>0.21299999999999999</v>
      </c>
      <c r="W137">
        <f t="shared" si="211"/>
        <v>0.4</v>
      </c>
      <c r="X137" s="131">
        <f t="shared" si="212"/>
        <v>0.16</v>
      </c>
      <c r="Y137" s="131">
        <f t="shared" si="124"/>
        <v>0.373</v>
      </c>
      <c r="Z137" s="131">
        <f t="shared" si="197"/>
        <v>2.7689999999999965E-2</v>
      </c>
      <c r="AA137" s="131">
        <f t="shared" si="198"/>
        <v>2.0799999999999985E-2</v>
      </c>
      <c r="AB137" s="131">
        <f t="shared" si="119"/>
        <v>0.42148999999999998</v>
      </c>
      <c r="AD137" s="131" t="str">
        <f>IFERROR(#REF!*FlightConfig!$K$3,"")</f>
        <v/>
      </c>
      <c r="AE137" s="131">
        <f>IFERROR(V137*FlightConfig!$K$3,"")</f>
        <v>77.531999999999996</v>
      </c>
      <c r="AF137" s="131">
        <f>IFERROR(W137*FlightConfig!$K$3,"")</f>
        <v>145.6</v>
      </c>
      <c r="AG137" s="131">
        <f>IFERROR(X137*FlightConfig!$K$3,"")</f>
        <v>58.24</v>
      </c>
      <c r="AH137" s="131">
        <f>IFERROR(Y137*FlightConfig!$K$3,"")</f>
        <v>135.77199999999999</v>
      </c>
      <c r="AI137" s="131">
        <f>IFERROR(AB137*FlightConfig!$K$3,"")</f>
        <v>153.42236</v>
      </c>
    </row>
    <row r="138" spans="1:35" x14ac:dyDescent="0.25">
      <c r="A138" t="s">
        <v>137</v>
      </c>
      <c r="B138" s="324">
        <v>3</v>
      </c>
      <c r="C138" s="178" t="str">
        <f t="shared" si="206"/>
        <v>TECH CREW CLASS3</v>
      </c>
      <c r="D138" s="278"/>
      <c r="E138" s="271">
        <v>10073</v>
      </c>
      <c r="F138" s="277"/>
      <c r="G138" s="123" t="str">
        <f>VLOOKUP(E138,'[5]FG MASTER'!$A$10:$AB$203,2,0)</f>
        <v>CREW CUTLERY DISPOSAL</v>
      </c>
      <c r="H138" s="252">
        <v>1</v>
      </c>
      <c r="I138" s="176">
        <v>1</v>
      </c>
      <c r="J138" s="258">
        <f>IFERROR(IF(I138="std",H138,ROUND(HLOOKUP(A138,FlightConfig!$B$28:$G$29,2,0)*I138,0)),"")</f>
        <v>2</v>
      </c>
      <c r="K138" s="213">
        <f>VLOOKUP(Food!E138,'FG MASTER'!A:AJ,16,0)</f>
        <v>0.1065</v>
      </c>
      <c r="L138" s="214">
        <f>VLOOKUP(Food!E138,'FG MASTER'!A:AJ,17,0)</f>
        <v>0.2</v>
      </c>
      <c r="M138" s="136">
        <f t="shared" si="207"/>
        <v>0.08</v>
      </c>
      <c r="N138" s="136">
        <f t="shared" si="193"/>
        <v>0.1865</v>
      </c>
      <c r="O138" s="136">
        <f t="shared" si="203"/>
        <v>1.3844999999999982E-2</v>
      </c>
      <c r="P138" s="136">
        <f t="shared" si="134"/>
        <v>1.0399999999999993E-2</v>
      </c>
      <c r="Q138" s="136">
        <f t="shared" ref="Q138:Q140" si="213">SUM(N138:P138)</f>
        <v>0.21074499999999999</v>
      </c>
      <c r="R138" s="318"/>
      <c r="S138" s="131"/>
      <c r="T138">
        <f t="shared" ref="T138:T142" si="214">L138*J138</f>
        <v>0.4</v>
      </c>
      <c r="V138">
        <f t="shared" si="209"/>
        <v>0.21299999999999999</v>
      </c>
      <c r="W138">
        <f t="shared" ref="W138:W144" si="215">IFERROR(+L138*J138,"")</f>
        <v>0.4</v>
      </c>
      <c r="X138" s="131">
        <f t="shared" ref="X138:X144" si="216">IFERROR(+M138*J138,"")</f>
        <v>0.16</v>
      </c>
      <c r="Y138" s="131">
        <f t="shared" si="124"/>
        <v>0.373</v>
      </c>
      <c r="Z138" s="131">
        <f t="shared" si="197"/>
        <v>2.7689999999999965E-2</v>
      </c>
      <c r="AA138" s="131">
        <f t="shared" si="198"/>
        <v>2.0799999999999985E-2</v>
      </c>
      <c r="AB138" s="131">
        <f t="shared" si="119"/>
        <v>0.42148999999999998</v>
      </c>
      <c r="AD138" s="131" t="str">
        <f>IFERROR(#REF!*FlightConfig!$K$3,"")</f>
        <v/>
      </c>
      <c r="AE138" s="131">
        <f>IFERROR(V138*FlightConfig!$K$3,"")</f>
        <v>77.531999999999996</v>
      </c>
      <c r="AF138" s="131">
        <f>IFERROR(W138*FlightConfig!$K$3,"")</f>
        <v>145.6</v>
      </c>
      <c r="AG138" s="131">
        <f>IFERROR(X138*FlightConfig!$K$3,"")</f>
        <v>58.24</v>
      </c>
      <c r="AH138" s="131">
        <f>IFERROR(Y138*FlightConfig!$K$3,"")</f>
        <v>135.77199999999999</v>
      </c>
      <c r="AI138" s="131">
        <f>IFERROR(AB138*FlightConfig!$K$3,"")</f>
        <v>153.42236</v>
      </c>
    </row>
    <row r="139" spans="1:35" x14ac:dyDescent="0.25">
      <c r="A139" t="s">
        <v>137</v>
      </c>
      <c r="B139" s="324">
        <v>3</v>
      </c>
      <c r="C139" s="178" t="str">
        <f t="shared" si="206"/>
        <v>TECH CREW CLASS3</v>
      </c>
      <c r="D139" s="278"/>
      <c r="E139" s="271">
        <v>10082</v>
      </c>
      <c r="F139" s="277"/>
      <c r="G139" s="123" t="str">
        <f>VLOOKUP(E139,'[5]FG MASTER'!$A$10:$AB$203,2,0)</f>
        <v>CREW YOGURT</v>
      </c>
      <c r="H139" s="252">
        <v>1</v>
      </c>
      <c r="I139" s="176">
        <v>1</v>
      </c>
      <c r="J139" s="258">
        <f>IFERROR(IF(I139="std",H139,ROUND(HLOOKUP(A139,FlightConfig!$B$28:$G$29,2,0)*I139,0)),"")</f>
        <v>2</v>
      </c>
      <c r="K139" s="213">
        <f>VLOOKUP(Food!E139,'FG MASTER'!A:AJ,16,0)</f>
        <v>0.47925000000000001</v>
      </c>
      <c r="L139" s="214">
        <f>VLOOKUP(Food!E139,'FG MASTER'!A:AJ,17,0)</f>
        <v>0.2</v>
      </c>
      <c r="M139" s="136">
        <f t="shared" si="207"/>
        <v>0.08</v>
      </c>
      <c r="N139" s="136">
        <f t="shared" si="193"/>
        <v>0.55925000000000002</v>
      </c>
      <c r="O139" s="136">
        <f t="shared" si="203"/>
        <v>6.2302499999999983E-2</v>
      </c>
      <c r="P139" s="136">
        <f t="shared" si="134"/>
        <v>1.0399999999999993E-2</v>
      </c>
      <c r="Q139" s="136">
        <f t="shared" si="213"/>
        <v>0.63195249999999992</v>
      </c>
      <c r="R139" s="318"/>
      <c r="S139" s="131"/>
      <c r="T139">
        <f t="shared" si="214"/>
        <v>0.4</v>
      </c>
      <c r="V139">
        <f t="shared" si="209"/>
        <v>0.95850000000000002</v>
      </c>
      <c r="W139">
        <f t="shared" si="215"/>
        <v>0.4</v>
      </c>
      <c r="X139" s="131">
        <f t="shared" si="216"/>
        <v>0.16</v>
      </c>
      <c r="Y139" s="131">
        <f t="shared" si="124"/>
        <v>1.1185</v>
      </c>
      <c r="Z139" s="131">
        <f t="shared" si="197"/>
        <v>0.12460499999999997</v>
      </c>
      <c r="AA139" s="131">
        <f t="shared" si="198"/>
        <v>2.0799999999999985E-2</v>
      </c>
      <c r="AB139" s="131">
        <f t="shared" si="119"/>
        <v>1.2639049999999998</v>
      </c>
      <c r="AD139" s="131" t="str">
        <f>IFERROR(#REF!*FlightConfig!$K$3,"")</f>
        <v/>
      </c>
      <c r="AE139" s="131">
        <f>IFERROR(V139*FlightConfig!$K$3,"")</f>
        <v>348.89400000000001</v>
      </c>
      <c r="AF139" s="131">
        <f>IFERROR(W139*FlightConfig!$K$3,"")</f>
        <v>145.6</v>
      </c>
      <c r="AG139" s="131">
        <f>IFERROR(X139*FlightConfig!$K$3,"")</f>
        <v>58.24</v>
      </c>
      <c r="AH139" s="131">
        <f>IFERROR(Y139*FlightConfig!$K$3,"")</f>
        <v>407.13400000000001</v>
      </c>
      <c r="AI139" s="131">
        <f>IFERROR(AB139*FlightConfig!$K$3,"")</f>
        <v>460.06141999999994</v>
      </c>
    </row>
    <row r="140" spans="1:35" x14ac:dyDescent="0.25">
      <c r="A140" t="s">
        <v>137</v>
      </c>
      <c r="B140" s="324">
        <v>3</v>
      </c>
      <c r="C140" s="178" t="str">
        <f t="shared" si="206"/>
        <v>TECH CREW CLASS3</v>
      </c>
      <c r="D140" s="278"/>
      <c r="E140" s="271">
        <v>10083</v>
      </c>
      <c r="F140" s="277"/>
      <c r="G140" s="123" t="str">
        <f>VLOOKUP(E140,'[5]FG MASTER'!$A$10:$AB$203,2,0)</f>
        <v xml:space="preserve">CREW CHEESE </v>
      </c>
      <c r="H140" s="252">
        <v>1</v>
      </c>
      <c r="I140" s="176">
        <v>1</v>
      </c>
      <c r="J140" s="258">
        <f>IFERROR(IF(I140="std",H140,ROUND(HLOOKUP(A140,FlightConfig!$B$28:$G$29,2,0)*I140,0)),"")</f>
        <v>2</v>
      </c>
      <c r="K140" s="213">
        <f>VLOOKUP(Food!E140,'FG MASTER'!A:AJ,16,0)</f>
        <v>0.31949999999999995</v>
      </c>
      <c r="L140" s="214">
        <f>VLOOKUP(Food!E140,'FG MASTER'!A:AJ,17,0)</f>
        <v>0.2</v>
      </c>
      <c r="M140" s="136">
        <f t="shared" si="207"/>
        <v>0.08</v>
      </c>
      <c r="N140" s="136">
        <f t="shared" si="193"/>
        <v>0.39949999999999997</v>
      </c>
      <c r="O140" s="136">
        <f t="shared" si="203"/>
        <v>4.1534999999999933E-2</v>
      </c>
      <c r="P140" s="136">
        <f t="shared" si="134"/>
        <v>1.0399999999999993E-2</v>
      </c>
      <c r="Q140" s="136">
        <f t="shared" si="213"/>
        <v>0.45143499999999992</v>
      </c>
      <c r="R140" s="318"/>
      <c r="S140" s="131"/>
      <c r="T140">
        <f t="shared" si="214"/>
        <v>0.4</v>
      </c>
      <c r="V140">
        <f t="shared" si="209"/>
        <v>0.6389999999999999</v>
      </c>
      <c r="W140">
        <f t="shared" si="215"/>
        <v>0.4</v>
      </c>
      <c r="X140" s="131">
        <f t="shared" si="216"/>
        <v>0.16</v>
      </c>
      <c r="Y140" s="131">
        <f t="shared" si="124"/>
        <v>0.79899999999999993</v>
      </c>
      <c r="Z140" s="131">
        <f t="shared" si="197"/>
        <v>8.3069999999999866E-2</v>
      </c>
      <c r="AA140" s="131">
        <f t="shared" si="198"/>
        <v>2.0799999999999985E-2</v>
      </c>
      <c r="AB140" s="131">
        <f t="shared" si="119"/>
        <v>0.90286999999999984</v>
      </c>
      <c r="AD140" s="131" t="str">
        <f>IFERROR(#REF!*FlightConfig!$K$3,"")</f>
        <v/>
      </c>
      <c r="AE140" s="131">
        <f>IFERROR(V140*FlightConfig!$K$3,"")</f>
        <v>232.59599999999998</v>
      </c>
      <c r="AF140" s="131">
        <f>IFERROR(W140*FlightConfig!$K$3,"")</f>
        <v>145.6</v>
      </c>
      <c r="AG140" s="131">
        <f>IFERROR(X140*FlightConfig!$K$3,"")</f>
        <v>58.24</v>
      </c>
      <c r="AH140" s="131">
        <f>IFERROR(Y140*FlightConfig!$K$3,"")</f>
        <v>290.83599999999996</v>
      </c>
      <c r="AI140" s="131">
        <f>IFERROR(AB140*FlightConfig!$K$3,"")</f>
        <v>328.64467999999994</v>
      </c>
    </row>
    <row r="141" spans="1:35" x14ac:dyDescent="0.25">
      <c r="A141" t="s">
        <v>137</v>
      </c>
      <c r="B141" s="324">
        <v>3</v>
      </c>
      <c r="C141" s="178" t="str">
        <f t="shared" si="206"/>
        <v>TECH CREW CLASS3</v>
      </c>
      <c r="D141" s="278"/>
      <c r="E141" s="270">
        <v>10074</v>
      </c>
      <c r="F141" s="277"/>
      <c r="G141" s="123" t="str">
        <f>VLOOKUP(E141,'[5]FG MASTER'!$A$10:$AB$203,2,0)</f>
        <v>CREW BREAD MILTIGRAIN</v>
      </c>
      <c r="H141" s="252">
        <v>1</v>
      </c>
      <c r="I141" s="176">
        <v>1</v>
      </c>
      <c r="J141" s="258">
        <f>IFERROR(IF(I141="std",H141,ROUND(HLOOKUP(A141,FlightConfig!$B$28:$G$29,2,0)*I141,0)),"")</f>
        <v>2</v>
      </c>
      <c r="K141" s="213">
        <f>VLOOKUP(Food!E141,'FG MASTER'!A:AJ,16,0)</f>
        <v>0.26624999999999999</v>
      </c>
      <c r="L141" s="214">
        <f>VLOOKUP(Food!E141,'FG MASTER'!A:AJ,17,0)</f>
        <v>0.2</v>
      </c>
      <c r="M141" s="136">
        <f t="shared" si="207"/>
        <v>0.08</v>
      </c>
      <c r="N141" s="136">
        <f t="shared" si="193"/>
        <v>0.34625</v>
      </c>
      <c r="O141" s="136">
        <f t="shared" si="203"/>
        <v>3.461249999999999E-2</v>
      </c>
      <c r="P141" s="136">
        <f t="shared" si="134"/>
        <v>1.0399999999999993E-2</v>
      </c>
      <c r="Q141" s="136">
        <f t="shared" ref="Q141:Q143" si="217">SUM(N141:P141)</f>
        <v>0.39126249999999996</v>
      </c>
      <c r="R141" s="318"/>
      <c r="S141" s="131"/>
      <c r="T141">
        <f t="shared" si="214"/>
        <v>0.4</v>
      </c>
      <c r="V141">
        <f t="shared" si="209"/>
        <v>0.53249999999999997</v>
      </c>
      <c r="W141">
        <f t="shared" si="215"/>
        <v>0.4</v>
      </c>
      <c r="X141" s="131">
        <f t="shared" si="216"/>
        <v>0.16</v>
      </c>
      <c r="Y141" s="131">
        <f t="shared" si="124"/>
        <v>0.6925</v>
      </c>
      <c r="Z141" s="131">
        <f t="shared" si="197"/>
        <v>6.9224999999999981E-2</v>
      </c>
      <c r="AA141" s="131">
        <f t="shared" si="198"/>
        <v>2.0799999999999985E-2</v>
      </c>
      <c r="AB141" s="131">
        <f t="shared" si="119"/>
        <v>0.78252499999999992</v>
      </c>
      <c r="AD141" s="131" t="str">
        <f>IFERROR(#REF!*FlightConfig!$K$3,"")</f>
        <v/>
      </c>
      <c r="AE141" s="131">
        <f>IFERROR(V141*FlightConfig!$K$3,"")</f>
        <v>193.82999999999998</v>
      </c>
      <c r="AF141" s="131">
        <f>IFERROR(W141*FlightConfig!$K$3,"")</f>
        <v>145.6</v>
      </c>
      <c r="AG141" s="131">
        <f>IFERROR(X141*FlightConfig!$K$3,"")</f>
        <v>58.24</v>
      </c>
      <c r="AH141" s="131">
        <f>IFERROR(Y141*FlightConfig!$K$3,"")</f>
        <v>252.07</v>
      </c>
      <c r="AI141" s="131">
        <f>IFERROR(AB141*FlightConfig!$K$3,"")</f>
        <v>284.83909999999997</v>
      </c>
    </row>
    <row r="142" spans="1:35" x14ac:dyDescent="0.25">
      <c r="A142" t="s">
        <v>137</v>
      </c>
      <c r="B142" s="324">
        <v>3</v>
      </c>
      <c r="C142" s="178" t="str">
        <f t="shared" si="206"/>
        <v>TECH CREW CLASS3</v>
      </c>
      <c r="D142" s="278"/>
      <c r="E142" s="271">
        <v>10072</v>
      </c>
      <c r="F142" s="277"/>
      <c r="G142" s="123" t="str">
        <f>VLOOKUP(E142,'[5]FG MASTER'!$A$10:$AB$203,2,0)</f>
        <v>CREW BUTTER</v>
      </c>
      <c r="H142" s="252">
        <v>1</v>
      </c>
      <c r="I142" s="176">
        <v>1</v>
      </c>
      <c r="J142" s="258">
        <f>IFERROR(IF(I142="std",H142,ROUND(HLOOKUP(A142,FlightConfig!$B$28:$G$29,2,0)*I142,0)),"")</f>
        <v>2</v>
      </c>
      <c r="K142" s="213">
        <f>VLOOKUP(Food!E142,'FG MASTER'!A:AJ,16,0)</f>
        <v>0.11714999999999999</v>
      </c>
      <c r="L142" s="214">
        <f>VLOOKUP(Food!E142,'FG MASTER'!A:AJ,17,0)</f>
        <v>0.2</v>
      </c>
      <c r="M142" s="136">
        <f t="shared" si="207"/>
        <v>0.08</v>
      </c>
      <c r="N142" s="136">
        <f t="shared" si="193"/>
        <v>0.19714999999999999</v>
      </c>
      <c r="O142" s="136">
        <f t="shared" si="203"/>
        <v>1.5229499999999993E-2</v>
      </c>
      <c r="P142" s="136">
        <f t="shared" si="134"/>
        <v>1.0399999999999993E-2</v>
      </c>
      <c r="Q142" s="136">
        <f t="shared" si="217"/>
        <v>0.22277949999999999</v>
      </c>
      <c r="R142" s="318"/>
      <c r="S142" s="131"/>
      <c r="T142">
        <f t="shared" si="214"/>
        <v>0.4</v>
      </c>
      <c r="V142">
        <f t="shared" si="209"/>
        <v>0.23429999999999998</v>
      </c>
      <c r="W142">
        <f t="shared" si="215"/>
        <v>0.4</v>
      </c>
      <c r="X142" s="131">
        <f t="shared" si="216"/>
        <v>0.16</v>
      </c>
      <c r="Y142" s="131">
        <f t="shared" si="124"/>
        <v>0.39429999999999998</v>
      </c>
      <c r="Z142" s="131">
        <f t="shared" si="197"/>
        <v>3.0458999999999986E-2</v>
      </c>
      <c r="AA142" s="131">
        <f t="shared" si="198"/>
        <v>2.0799999999999985E-2</v>
      </c>
      <c r="AB142" s="131">
        <f t="shared" si="119"/>
        <v>0.44555899999999998</v>
      </c>
      <c r="AD142" s="131" t="str">
        <f>IFERROR(#REF!*FlightConfig!$K$3,"")</f>
        <v/>
      </c>
      <c r="AE142" s="131">
        <f>IFERROR(V142*FlightConfig!$K$3,"")</f>
        <v>85.285199999999989</v>
      </c>
      <c r="AF142" s="131">
        <f>IFERROR(W142*FlightConfig!$K$3,"")</f>
        <v>145.6</v>
      </c>
      <c r="AG142" s="131">
        <f>IFERROR(X142*FlightConfig!$K$3,"")</f>
        <v>58.24</v>
      </c>
      <c r="AH142" s="131">
        <f>IFERROR(Y142*FlightConfig!$K$3,"")</f>
        <v>143.52519999999998</v>
      </c>
      <c r="AI142" s="131">
        <f>IFERROR(AB142*FlightConfig!$K$3,"")</f>
        <v>162.18347599999998</v>
      </c>
    </row>
    <row r="143" spans="1:35" x14ac:dyDescent="0.25">
      <c r="A143" t="s">
        <v>137</v>
      </c>
      <c r="B143" s="324">
        <v>3</v>
      </c>
      <c r="C143" s="178" t="str">
        <f t="shared" si="206"/>
        <v>TECH CREW CLASS3</v>
      </c>
      <c r="D143" s="278"/>
      <c r="E143" s="271">
        <v>10128</v>
      </c>
      <c r="F143" s="277"/>
      <c r="G143" s="123" t="str">
        <f>VLOOKUP(E143,'[5]FG MASTER'!$A$10:$AB$203,2,0)</f>
        <v xml:space="preserve">CREW P C3 HB FRITTATA, KALE, BREAKFAST POTATOES, TURKEY SAUSAGE LINK </v>
      </c>
      <c r="H143" s="252">
        <v>1</v>
      </c>
      <c r="I143" s="176">
        <v>1</v>
      </c>
      <c r="J143" s="258">
        <f>IFERROR(IF(I143="std",H143,ROUND(HLOOKUP(A143,FlightConfig!$B$28:$G$29,2,0)*I143,0)),"")</f>
        <v>2</v>
      </c>
      <c r="K143" s="213">
        <f>VLOOKUP(Food!E143,'FG MASTER'!A:AJ,16,0)</f>
        <v>3.3843996000000001</v>
      </c>
      <c r="L143" s="214">
        <f>VLOOKUP(Food!E143,'FG MASTER'!A:AJ,17,0)</f>
        <v>3.5</v>
      </c>
      <c r="M143" s="136">
        <f t="shared" si="207"/>
        <v>1.4</v>
      </c>
      <c r="N143" s="136">
        <f t="shared" si="193"/>
        <v>4.7843996000000004</v>
      </c>
      <c r="O143" s="136">
        <f t="shared" si="203"/>
        <v>0.43997194799999972</v>
      </c>
      <c r="P143" s="136">
        <f t="shared" si="134"/>
        <v>0.18199999999999994</v>
      </c>
      <c r="Q143" s="136">
        <f t="shared" si="217"/>
        <v>5.406371548000001</v>
      </c>
      <c r="R143" s="318"/>
      <c r="S143" s="131"/>
      <c r="T143" s="293">
        <f>(L143/2)*J143</f>
        <v>3.5</v>
      </c>
      <c r="V143">
        <f t="shared" si="209"/>
        <v>6.7687992000000001</v>
      </c>
      <c r="W143">
        <f t="shared" si="215"/>
        <v>7</v>
      </c>
      <c r="X143" s="131">
        <f t="shared" si="216"/>
        <v>2.8</v>
      </c>
      <c r="Y143" s="131">
        <f t="shared" si="124"/>
        <v>9.5687992000000008</v>
      </c>
      <c r="Z143" s="131">
        <f t="shared" si="197"/>
        <v>0.87994389599999945</v>
      </c>
      <c r="AA143" s="131">
        <f t="shared" si="198"/>
        <v>0.36399999999999988</v>
      </c>
      <c r="AB143" s="131">
        <f t="shared" si="119"/>
        <v>10.812743096000002</v>
      </c>
      <c r="AD143" s="131" t="str">
        <f>IFERROR(#REF!*FlightConfig!$K$3,"")</f>
        <v/>
      </c>
      <c r="AE143" s="131">
        <f>IFERROR(V143*FlightConfig!$K$3,"")</f>
        <v>2463.8429088000003</v>
      </c>
      <c r="AF143" s="131">
        <f>IFERROR(W143*FlightConfig!$K$3,"")</f>
        <v>2548</v>
      </c>
      <c r="AG143" s="131">
        <f>IFERROR(X143*FlightConfig!$K$3,"")</f>
        <v>1019.1999999999999</v>
      </c>
      <c r="AH143" s="131">
        <f>IFERROR(Y143*FlightConfig!$K$3,"")</f>
        <v>3483.0429088000001</v>
      </c>
      <c r="AI143" s="131">
        <f>IFERROR(AB143*FlightConfig!$K$3,"")</f>
        <v>3935.8384869440006</v>
      </c>
    </row>
    <row r="144" spans="1:35" ht="45" customHeight="1" x14ac:dyDescent="0.25">
      <c r="A144" t="s">
        <v>246</v>
      </c>
      <c r="B144" s="324">
        <v>3</v>
      </c>
      <c r="C144" s="178" t="str">
        <f t="shared" si="206"/>
        <v>CABIN CREW CLASS3</v>
      </c>
      <c r="D144" s="261"/>
      <c r="E144" s="271">
        <v>10118</v>
      </c>
      <c r="F144" s="277"/>
      <c r="G144" s="123" t="str">
        <f>VLOOKUP(E144,'[5]FG MASTER'!$A$10:$AB$203,2,0)</f>
        <v>CABIN CREW C3 K CM A - HAM, MAYO, CUCUMBER, ROMAIN LETTUCE,WHEAT ROLL</v>
      </c>
      <c r="H144" s="252">
        <v>1</v>
      </c>
      <c r="I144" s="176">
        <v>0.5</v>
      </c>
      <c r="J144" s="258">
        <f>IFERROR(IF(I144="std",H144,ROUND(HLOOKUP(A144,FlightConfig!$B$28:$G$29,2,0)*I144,0)),"")</f>
        <v>4</v>
      </c>
      <c r="K144" s="213">
        <f>VLOOKUP(Food!E144,'FG MASTER'!A:AJ,16,0)</f>
        <v>0.83161589999999996</v>
      </c>
      <c r="L144" s="214">
        <f>VLOOKUP(Food!E144,'FG MASTER'!A:AJ,17,0)</f>
        <v>2.5</v>
      </c>
      <c r="M144" s="136">
        <f t="shared" si="207"/>
        <v>0.99999999999999989</v>
      </c>
      <c r="N144" s="136">
        <f t="shared" si="193"/>
        <v>1.8316158999999999</v>
      </c>
      <c r="O144" s="136">
        <f t="shared" si="203"/>
        <v>0.10811006699999992</v>
      </c>
      <c r="P144" s="136">
        <f t="shared" si="134"/>
        <v>0.12999999999999978</v>
      </c>
      <c r="Q144" s="136">
        <f t="shared" ref="Q144:Q150" si="218">SUM(N144:P144)</f>
        <v>2.0697259669999997</v>
      </c>
      <c r="R144" s="318"/>
      <c r="S144" s="131">
        <f>R144*J144</f>
        <v>0</v>
      </c>
      <c r="T144">
        <f t="shared" ref="T144:T150" si="219">L144*J144</f>
        <v>10</v>
      </c>
      <c r="V144">
        <f t="shared" si="209"/>
        <v>3.3264635999999999</v>
      </c>
      <c r="W144">
        <f t="shared" si="215"/>
        <v>10</v>
      </c>
      <c r="X144" s="131">
        <f t="shared" si="216"/>
        <v>3.9999999999999996</v>
      </c>
      <c r="Y144" s="131">
        <f t="shared" si="124"/>
        <v>7.3264635999999994</v>
      </c>
      <c r="Z144" s="131">
        <f t="shared" si="197"/>
        <v>0.43244026799999968</v>
      </c>
      <c r="AA144" s="131">
        <f t="shared" si="198"/>
        <v>0.51999999999999913</v>
      </c>
      <c r="AB144" s="131">
        <f t="shared" si="119"/>
        <v>8.2789038679999987</v>
      </c>
      <c r="AD144" s="131" t="str">
        <f>IFERROR(#REF!*FlightConfig!$K$3,"")</f>
        <v/>
      </c>
      <c r="AE144" s="131">
        <f>IFERROR(V144*FlightConfig!$K$3,"")</f>
        <v>1210.8327503999999</v>
      </c>
      <c r="AF144" s="131">
        <f>IFERROR(W144*FlightConfig!$K$3,"")</f>
        <v>3640</v>
      </c>
      <c r="AG144" s="131">
        <f>IFERROR(X144*FlightConfig!$K$3,"")</f>
        <v>1455.9999999999998</v>
      </c>
      <c r="AH144" s="131">
        <f>IFERROR(Y144*FlightConfig!$K$3,"")</f>
        <v>2666.8327503999999</v>
      </c>
      <c r="AI144" s="131">
        <f>IFERROR(AB144*FlightConfig!$K$3,"")</f>
        <v>3013.5210079519993</v>
      </c>
    </row>
    <row r="145" spans="1:35" x14ac:dyDescent="0.25">
      <c r="A145" t="s">
        <v>246</v>
      </c>
      <c r="B145" s="324">
        <v>3</v>
      </c>
      <c r="C145" s="178" t="str">
        <f t="shared" si="206"/>
        <v>CABIN CREW CLASS3</v>
      </c>
      <c r="D145" s="261"/>
      <c r="E145" s="271">
        <v>10119</v>
      </c>
      <c r="F145" s="277"/>
      <c r="G145" s="123" t="str">
        <f>VLOOKUP(E145,'[5]FG MASTER'!$A$10:$AB$203,2,0)</f>
        <v xml:space="preserve">CABIN CREW C3 K CM B- MOZZERELLA, MAYO, ROASTE TOMATO, LETTUCE, WHEAT ROLL </v>
      </c>
      <c r="H145" s="252">
        <v>1</v>
      </c>
      <c r="I145" s="176">
        <v>0.5</v>
      </c>
      <c r="J145" s="258">
        <f>IFERROR(IF(I145="std",H145,ROUND(HLOOKUP(A145,FlightConfig!$B$28:$G$29,2,0)*I145,0)),"")</f>
        <v>4</v>
      </c>
      <c r="K145" s="213">
        <f>VLOOKUP(Food!E145,'FG MASTER'!A:AJ,16,0)</f>
        <v>1.1528971124999998</v>
      </c>
      <c r="L145" s="214">
        <f>VLOOKUP(Food!E145,'FG MASTER'!A:AJ,17,0)</f>
        <v>2.5</v>
      </c>
      <c r="M145" s="136">
        <f t="shared" si="207"/>
        <v>0.99999999999999989</v>
      </c>
      <c r="N145" s="136">
        <f t="shared" si="193"/>
        <v>2.1528971124999998</v>
      </c>
      <c r="O145" s="136">
        <f t="shared" si="203"/>
        <v>0.14987662462499984</v>
      </c>
      <c r="P145" s="136">
        <f t="shared" si="134"/>
        <v>0.12999999999999978</v>
      </c>
      <c r="Q145" s="136">
        <f t="shared" si="218"/>
        <v>2.4327737371249993</v>
      </c>
      <c r="R145" s="318"/>
      <c r="S145" s="131"/>
      <c r="T145">
        <f t="shared" si="219"/>
        <v>10</v>
      </c>
      <c r="V145">
        <f t="shared" si="209"/>
        <v>4.6115884499999993</v>
      </c>
      <c r="W145">
        <f>L145*J145</f>
        <v>10</v>
      </c>
      <c r="X145" s="131">
        <f>+M145*J145</f>
        <v>3.9999999999999996</v>
      </c>
      <c r="Y145" s="131">
        <f t="shared" si="124"/>
        <v>8.6115884499999993</v>
      </c>
      <c r="Z145" s="131">
        <f t="shared" si="197"/>
        <v>0.59950649849999937</v>
      </c>
      <c r="AA145" s="131">
        <f t="shared" si="198"/>
        <v>0.51999999999999913</v>
      </c>
      <c r="AB145" s="131">
        <f t="shared" ref="AB145:AB157" si="220">IFERROR(+(Q145+R145)*J145,"")</f>
        <v>9.7310949484999973</v>
      </c>
      <c r="AD145" s="131" t="str">
        <f>IFERROR(#REF!*FlightConfig!$K$3,"")</f>
        <v/>
      </c>
      <c r="AE145" s="131">
        <f>IFERROR(V145*FlightConfig!$K$3,"")</f>
        <v>1678.6181957999997</v>
      </c>
      <c r="AF145" s="131">
        <f>IFERROR(W145*FlightConfig!$K$3,"")</f>
        <v>3640</v>
      </c>
      <c r="AG145" s="131">
        <f>IFERROR(X145*FlightConfig!$K$3,"")</f>
        <v>1455.9999999999998</v>
      </c>
      <c r="AH145" s="131">
        <f>IFERROR(Y145*FlightConfig!$K$3,"")</f>
        <v>3134.6181957999997</v>
      </c>
      <c r="AI145" s="131">
        <f>IFERROR(AB145*FlightConfig!$K$3,"")</f>
        <v>3542.1185612539989</v>
      </c>
    </row>
    <row r="146" spans="1:35" x14ac:dyDescent="0.25">
      <c r="A146" t="s">
        <v>246</v>
      </c>
      <c r="B146" s="324">
        <v>3</v>
      </c>
      <c r="C146" s="178" t="str">
        <f t="shared" si="206"/>
        <v>CABIN CREW CLASS3</v>
      </c>
      <c r="D146" s="261"/>
      <c r="E146" s="271">
        <v>10123</v>
      </c>
      <c r="F146" s="277"/>
      <c r="G146" s="123" t="str">
        <f>VLOOKUP(E146,'[5]FG MASTER'!$A$10:$AB$203,2,0)</f>
        <v>CREW K C3 HM SALAD MESCLUN MIX, CUCUMBER CCHERRY TOMATO AGED CHEDDAR</v>
      </c>
      <c r="H146" s="252">
        <v>1</v>
      </c>
      <c r="I146" s="176">
        <v>1</v>
      </c>
      <c r="J146" s="258">
        <f>IFERROR(IF(I146="std",H146,ROUND(HLOOKUP(A146,FlightConfig!$B$28:$G$29,2,0)*I146,0)),"")</f>
        <v>8</v>
      </c>
      <c r="K146" s="213">
        <f>VLOOKUP(Food!E146,'FG MASTER'!A:AJ,16,0)</f>
        <v>0.39299922191358028</v>
      </c>
      <c r="L146" s="214">
        <f>VLOOKUP(Food!E146,'FG MASTER'!A:AJ,17,0)</f>
        <v>1</v>
      </c>
      <c r="M146" s="136">
        <f t="shared" si="207"/>
        <v>0.39999999999999997</v>
      </c>
      <c r="N146" s="136">
        <f t="shared" si="193"/>
        <v>0.79299922191358019</v>
      </c>
      <c r="O146" s="136">
        <f t="shared" si="203"/>
        <v>5.1089898848765414E-2</v>
      </c>
      <c r="P146" s="136">
        <f t="shared" si="134"/>
        <v>5.1999999999999935E-2</v>
      </c>
      <c r="Q146" s="136">
        <f t="shared" si="218"/>
        <v>0.89608912076234548</v>
      </c>
      <c r="R146" s="318"/>
      <c r="S146" s="131"/>
      <c r="T146">
        <f t="shared" si="219"/>
        <v>8</v>
      </c>
      <c r="V146">
        <f t="shared" si="209"/>
        <v>3.1439937753086422</v>
      </c>
      <c r="W146">
        <f>L146*J146</f>
        <v>8</v>
      </c>
      <c r="X146" s="131">
        <f>+M146*J146</f>
        <v>3.1999999999999997</v>
      </c>
      <c r="Y146" s="131">
        <f t="shared" si="124"/>
        <v>6.3439937753086415</v>
      </c>
      <c r="Z146" s="131">
        <f t="shared" si="197"/>
        <v>0.40871919079012331</v>
      </c>
      <c r="AA146" s="131">
        <f t="shared" si="198"/>
        <v>0.41599999999999948</v>
      </c>
      <c r="AB146" s="131">
        <f t="shared" si="220"/>
        <v>7.1687129660987639</v>
      </c>
      <c r="AD146" s="131" t="str">
        <f>IFERROR(#REF!*FlightConfig!$K$3,"")</f>
        <v/>
      </c>
      <c r="AE146" s="131">
        <f>IFERROR(V146*FlightConfig!$K$3,"")</f>
        <v>1144.4137342123458</v>
      </c>
      <c r="AF146" s="131">
        <f>IFERROR(W146*FlightConfig!$K$3,"")</f>
        <v>2912</v>
      </c>
      <c r="AG146" s="131">
        <f>IFERROR(X146*FlightConfig!$K$3,"")</f>
        <v>1164.8</v>
      </c>
      <c r="AH146" s="131">
        <f>IFERROR(Y146*FlightConfig!$K$3,"")</f>
        <v>2309.2137342123456</v>
      </c>
      <c r="AI146" s="131">
        <f>IFERROR(AB146*FlightConfig!$K$3,"")</f>
        <v>2609.41151965995</v>
      </c>
    </row>
    <row r="147" spans="1:35" x14ac:dyDescent="0.25">
      <c r="A147" t="s">
        <v>246</v>
      </c>
      <c r="B147" s="324">
        <v>3</v>
      </c>
      <c r="C147" s="178" t="str">
        <f t="shared" si="206"/>
        <v>CABIN CREW CLASS3</v>
      </c>
      <c r="D147" s="261"/>
      <c r="E147" s="270">
        <v>10072</v>
      </c>
      <c r="F147" s="277"/>
      <c r="G147" s="123" t="str">
        <f>VLOOKUP(E147,'[5]FG MASTER'!$A$10:$AB$203,2,0)</f>
        <v>CREW BUTTER</v>
      </c>
      <c r="H147" s="252">
        <v>1</v>
      </c>
      <c r="I147" s="176">
        <v>1</v>
      </c>
      <c r="J147" s="258">
        <f>IFERROR(IF(I147="std",H147,ROUND(HLOOKUP(A147,FlightConfig!$B$28:$G$29,2,0)*I147,0)),"")</f>
        <v>8</v>
      </c>
      <c r="K147" s="213">
        <f>VLOOKUP(Food!E147,'FG MASTER'!A:AJ,16,0)</f>
        <v>0.11714999999999999</v>
      </c>
      <c r="L147" s="214">
        <f>VLOOKUP(Food!E147,'FG MASTER'!A:AJ,17,0)</f>
        <v>0.2</v>
      </c>
      <c r="M147" s="136">
        <f t="shared" si="207"/>
        <v>0.08</v>
      </c>
      <c r="N147" s="136">
        <f t="shared" si="193"/>
        <v>0.19714999999999999</v>
      </c>
      <c r="O147" s="136">
        <f t="shared" si="203"/>
        <v>1.5229499999999993E-2</v>
      </c>
      <c r="P147" s="136">
        <f t="shared" si="134"/>
        <v>1.0399999999999993E-2</v>
      </c>
      <c r="Q147" s="136">
        <f t="shared" si="218"/>
        <v>0.22277949999999999</v>
      </c>
      <c r="R147" s="318"/>
      <c r="S147" s="131"/>
      <c r="T147">
        <f t="shared" si="219"/>
        <v>1.6</v>
      </c>
      <c r="V147">
        <f t="shared" si="209"/>
        <v>0.93719999999999992</v>
      </c>
      <c r="W147">
        <f>IFERROR(+L147*J147,"")</f>
        <v>1.6</v>
      </c>
      <c r="X147" s="131">
        <f>IFERROR(+M147*J147,"")</f>
        <v>0.64</v>
      </c>
      <c r="Y147" s="131">
        <f t="shared" ref="Y147:Y157" si="221">IFERROR(+N147*J147+R147*J147,"")</f>
        <v>1.5771999999999999</v>
      </c>
      <c r="Z147" s="131">
        <f t="shared" si="197"/>
        <v>0.12183599999999994</v>
      </c>
      <c r="AA147" s="131">
        <f t="shared" si="198"/>
        <v>8.3199999999999941E-2</v>
      </c>
      <c r="AB147" s="131">
        <f t="shared" si="220"/>
        <v>1.7822359999999999</v>
      </c>
      <c r="AD147" s="131" t="str">
        <f>IFERROR(#REF!*FlightConfig!$K$3,"")</f>
        <v/>
      </c>
      <c r="AE147" s="131">
        <f>IFERROR(V147*FlightConfig!$K$3,"")</f>
        <v>341.14079999999996</v>
      </c>
      <c r="AF147" s="131">
        <f>IFERROR(W147*FlightConfig!$K$3,"")</f>
        <v>582.4</v>
      </c>
      <c r="AG147" s="131">
        <f>IFERROR(X147*FlightConfig!$K$3,"")</f>
        <v>232.96</v>
      </c>
      <c r="AH147" s="131">
        <f>IFERROR(Y147*FlightConfig!$K$3,"")</f>
        <v>574.10079999999994</v>
      </c>
      <c r="AI147" s="131">
        <f>IFERROR(AB147*FlightConfig!$K$3,"")</f>
        <v>648.73390399999994</v>
      </c>
    </row>
    <row r="148" spans="1:35" x14ac:dyDescent="0.25">
      <c r="A148" t="s">
        <v>246</v>
      </c>
      <c r="B148" s="324">
        <v>3</v>
      </c>
      <c r="C148" s="178" t="str">
        <f t="shared" si="206"/>
        <v>CABIN CREW CLASS3</v>
      </c>
      <c r="D148" s="261"/>
      <c r="E148" s="271">
        <v>10073</v>
      </c>
      <c r="F148" s="277"/>
      <c r="G148" s="123" t="str">
        <f>VLOOKUP(E148,'[5]FG MASTER'!$A$10:$AB$203,2,0)</f>
        <v>CREW CUTLERY DISPOSAL</v>
      </c>
      <c r="H148" s="252">
        <v>1</v>
      </c>
      <c r="I148" s="176">
        <v>1</v>
      </c>
      <c r="J148" s="258">
        <f>IFERROR(IF(I148="std",H148,ROUND(HLOOKUP(A148,FlightConfig!$B$28:$G$29,2,0)*I148,0)),"")</f>
        <v>8</v>
      </c>
      <c r="K148" s="213">
        <f>VLOOKUP(Food!E148,'FG MASTER'!A:AJ,16,0)</f>
        <v>0.1065</v>
      </c>
      <c r="L148" s="214">
        <f>VLOOKUP(Food!E148,'FG MASTER'!A:AJ,17,0)</f>
        <v>0.2</v>
      </c>
      <c r="M148" s="136">
        <f t="shared" si="207"/>
        <v>0.08</v>
      </c>
      <c r="N148" s="136">
        <f t="shared" si="193"/>
        <v>0.1865</v>
      </c>
      <c r="O148" s="136">
        <f t="shared" si="203"/>
        <v>1.3844999999999982E-2</v>
      </c>
      <c r="P148" s="136">
        <f t="shared" si="134"/>
        <v>1.0399999999999993E-2</v>
      </c>
      <c r="Q148" s="136">
        <f t="shared" si="218"/>
        <v>0.21074499999999999</v>
      </c>
      <c r="R148" s="318"/>
      <c r="S148" s="131"/>
      <c r="T148">
        <f t="shared" si="219"/>
        <v>1.6</v>
      </c>
      <c r="V148">
        <f t="shared" si="209"/>
        <v>0.85199999999999998</v>
      </c>
      <c r="W148">
        <f>IFERROR(+L148*J148,"")</f>
        <v>1.6</v>
      </c>
      <c r="X148" s="131">
        <f>IFERROR(+M148*J148,"")</f>
        <v>0.64</v>
      </c>
      <c r="Y148" s="131">
        <f t="shared" si="221"/>
        <v>1.492</v>
      </c>
      <c r="Z148" s="131">
        <f t="shared" si="197"/>
        <v>0.11075999999999986</v>
      </c>
      <c r="AA148" s="131">
        <f t="shared" si="198"/>
        <v>8.3199999999999941E-2</v>
      </c>
      <c r="AB148" s="131">
        <f t="shared" si="220"/>
        <v>1.6859599999999999</v>
      </c>
      <c r="AD148" s="131" t="str">
        <f>IFERROR(#REF!*FlightConfig!$K$3,"")</f>
        <v/>
      </c>
      <c r="AE148" s="131">
        <f>IFERROR(V148*FlightConfig!$K$3,"")</f>
        <v>310.12799999999999</v>
      </c>
      <c r="AF148" s="131">
        <f>IFERROR(W148*FlightConfig!$K$3,"")</f>
        <v>582.4</v>
      </c>
      <c r="AG148" s="131">
        <f>IFERROR(X148*FlightConfig!$K$3,"")</f>
        <v>232.96</v>
      </c>
      <c r="AH148" s="131">
        <f>IFERROR(Y148*FlightConfig!$K$3,"")</f>
        <v>543.08799999999997</v>
      </c>
      <c r="AI148" s="131">
        <f>IFERROR(AB148*FlightConfig!$K$3,"")</f>
        <v>613.68943999999999</v>
      </c>
    </row>
    <row r="149" spans="1:35" x14ac:dyDescent="0.25">
      <c r="A149" t="s">
        <v>246</v>
      </c>
      <c r="B149" s="324">
        <v>3</v>
      </c>
      <c r="C149" s="178" t="str">
        <f t="shared" si="206"/>
        <v>CABIN CREW CLASS3</v>
      </c>
      <c r="D149" s="261"/>
      <c r="E149" s="271">
        <v>10074</v>
      </c>
      <c r="F149" s="277"/>
      <c r="G149" s="123" t="str">
        <f>VLOOKUP(E149,'[5]FG MASTER'!$A$10:$AB$203,2,0)</f>
        <v>CREW BREAD MILTIGRAIN</v>
      </c>
      <c r="H149" s="252">
        <v>1</v>
      </c>
      <c r="I149" s="176">
        <v>1</v>
      </c>
      <c r="J149" s="258">
        <f>IFERROR(IF(I149="std",H149,ROUND(HLOOKUP(A149,FlightConfig!$B$28:$G$29,2,0)*I149,0)),"")</f>
        <v>8</v>
      </c>
      <c r="K149" s="213">
        <f>VLOOKUP(Food!E149,'FG MASTER'!A:AJ,16,0)</f>
        <v>0.26624999999999999</v>
      </c>
      <c r="L149" s="214">
        <f>VLOOKUP(Food!E149,'FG MASTER'!A:AJ,17,0)</f>
        <v>0.2</v>
      </c>
      <c r="M149" s="136">
        <f t="shared" si="207"/>
        <v>0.08</v>
      </c>
      <c r="N149" s="136">
        <f t="shared" si="193"/>
        <v>0.34625</v>
      </c>
      <c r="O149" s="136">
        <f t="shared" si="203"/>
        <v>3.461249999999999E-2</v>
      </c>
      <c r="P149" s="136">
        <f t="shared" si="134"/>
        <v>1.0399999999999993E-2</v>
      </c>
      <c r="Q149" s="136">
        <f t="shared" si="218"/>
        <v>0.39126249999999996</v>
      </c>
      <c r="R149" s="318"/>
      <c r="S149" s="131"/>
      <c r="T149">
        <f t="shared" si="219"/>
        <v>1.6</v>
      </c>
      <c r="V149">
        <f t="shared" si="209"/>
        <v>2.13</v>
      </c>
      <c r="W149">
        <f>IFERROR(+L149*J149,"")</f>
        <v>1.6</v>
      </c>
      <c r="X149" s="131">
        <f>IFERROR(+M149*J149,"")</f>
        <v>0.64</v>
      </c>
      <c r="Y149" s="131">
        <f t="shared" si="221"/>
        <v>2.77</v>
      </c>
      <c r="Z149" s="131">
        <f t="shared" si="197"/>
        <v>0.27689999999999992</v>
      </c>
      <c r="AA149" s="131">
        <f t="shared" si="198"/>
        <v>8.3199999999999941E-2</v>
      </c>
      <c r="AB149" s="131">
        <f t="shared" si="220"/>
        <v>3.1300999999999997</v>
      </c>
      <c r="AD149" s="131" t="str">
        <f>IFERROR(#REF!*FlightConfig!$K$3,"")</f>
        <v/>
      </c>
      <c r="AE149" s="131">
        <f>IFERROR(V149*FlightConfig!$K$3,"")</f>
        <v>775.31999999999994</v>
      </c>
      <c r="AF149" s="131">
        <f>IFERROR(W149*FlightConfig!$K$3,"")</f>
        <v>582.4</v>
      </c>
      <c r="AG149" s="131">
        <f>IFERROR(X149*FlightConfig!$K$3,"")</f>
        <v>232.96</v>
      </c>
      <c r="AH149" s="131">
        <f>IFERROR(Y149*FlightConfig!$K$3,"")</f>
        <v>1008.28</v>
      </c>
      <c r="AI149" s="131">
        <f>IFERROR(AB149*FlightConfig!$K$3,"")</f>
        <v>1139.3563999999999</v>
      </c>
    </row>
    <row r="150" spans="1:35" ht="30" x14ac:dyDescent="0.25">
      <c r="A150" t="s">
        <v>246</v>
      </c>
      <c r="B150" s="324">
        <v>3</v>
      </c>
      <c r="C150" s="178" t="str">
        <f t="shared" si="206"/>
        <v>CABIN CREW CLASS3</v>
      </c>
      <c r="D150" s="261"/>
      <c r="E150" s="271">
        <v>10125</v>
      </c>
      <c r="F150" s="277"/>
      <c r="G150" s="123" t="str">
        <f>VLOOKUP(E150,'[5]FG MASTER'!$A$10:$AB$203,2,0)</f>
        <v>CREW K C3 HM B C3 POULTRY HOT HONEY GLAZED CHICKEN THIHG, TRICOLOR PEPPER, SWEET POTATO RISOTTO, GARLIC BROCCOLI</v>
      </c>
      <c r="H150" s="252">
        <v>1</v>
      </c>
      <c r="I150" s="176">
        <v>0.5</v>
      </c>
      <c r="J150" s="258">
        <f>IFERROR(IF(I150="std",H150,ROUND(HLOOKUP(A150,FlightConfig!$B$28:$G$29,2,0)*I150,0)),"")</f>
        <v>4</v>
      </c>
      <c r="K150" s="213">
        <f>VLOOKUP(Food!E150,'FG MASTER'!A:AJ,16,0)</f>
        <v>3.6400165334999999</v>
      </c>
      <c r="L150" s="214">
        <f>VLOOKUP(Food!E150,'FG MASTER'!A:AJ,17,0)</f>
        <v>6.5</v>
      </c>
      <c r="M150" s="136">
        <f t="shared" si="207"/>
        <v>2.5999999999999996</v>
      </c>
      <c r="N150" s="136">
        <f t="shared" si="193"/>
        <v>6.2400165334999995</v>
      </c>
      <c r="O150" s="136">
        <f t="shared" si="203"/>
        <v>0.47320214935499916</v>
      </c>
      <c r="P150" s="136">
        <f t="shared" si="134"/>
        <v>0.33799999999999963</v>
      </c>
      <c r="Q150" s="136">
        <f t="shared" si="218"/>
        <v>7.0512186828549979</v>
      </c>
      <c r="R150" s="318"/>
      <c r="S150" s="131"/>
      <c r="T150">
        <f t="shared" si="219"/>
        <v>26</v>
      </c>
      <c r="V150">
        <f t="shared" si="209"/>
        <v>14.560066133999999</v>
      </c>
      <c r="W150">
        <f>IFERROR(+L150*J150,"")</f>
        <v>26</v>
      </c>
      <c r="X150" s="131">
        <f>IFERROR(+M150*J150,"")</f>
        <v>10.399999999999999</v>
      </c>
      <c r="Y150" s="131">
        <f t="shared" si="221"/>
        <v>24.960066133999998</v>
      </c>
      <c r="Z150" s="131">
        <f t="shared" si="197"/>
        <v>1.8928085974199966</v>
      </c>
      <c r="AA150" s="131">
        <f t="shared" si="198"/>
        <v>1.3519999999999985</v>
      </c>
      <c r="AB150" s="131">
        <f t="shared" si="220"/>
        <v>28.204874731419991</v>
      </c>
      <c r="AD150" s="131" t="str">
        <f>IFERROR(#REF!*FlightConfig!$K$3,"")</f>
        <v/>
      </c>
      <c r="AE150" s="131">
        <f>IFERROR(V150*FlightConfig!$K$3,"")</f>
        <v>5299.8640727759994</v>
      </c>
      <c r="AF150" s="131">
        <f>IFERROR(W150*FlightConfig!$K$3,"")</f>
        <v>9464</v>
      </c>
      <c r="AG150" s="131">
        <f>IFERROR(X150*FlightConfig!$K$3,"")</f>
        <v>3785.5999999999995</v>
      </c>
      <c r="AH150" s="131">
        <f>IFERROR(Y150*FlightConfig!$K$3,"")</f>
        <v>9085.4640727759997</v>
      </c>
      <c r="AI150" s="131">
        <f>IFERROR(AB150*FlightConfig!$K$3,"")</f>
        <v>10266.574402236876</v>
      </c>
    </row>
    <row r="151" spans="1:35" x14ac:dyDescent="0.25">
      <c r="A151" t="s">
        <v>246</v>
      </c>
      <c r="B151" s="324">
        <v>3</v>
      </c>
      <c r="C151" s="178" t="str">
        <f t="shared" si="206"/>
        <v>CABIN CREW CLASS3</v>
      </c>
      <c r="D151" s="261"/>
      <c r="E151" s="271">
        <v>10127</v>
      </c>
      <c r="F151" s="277"/>
      <c r="G151" s="123" t="str">
        <f>VLOOKUP(E151,'[5]FG MASTER'!$A$10:$AB$203,2,0)</f>
        <v>CREW K C3 HM B MISO GLAZED SALMON, SHITAKE RICE, BABY BOK CHOY, SOY GINGER BROTH</v>
      </c>
      <c r="H151" s="252">
        <v>1</v>
      </c>
      <c r="I151" s="176">
        <v>0.5</v>
      </c>
      <c r="J151" s="258">
        <f>IFERROR(IF(I151="std",H151,ROUND(HLOOKUP(A151,FlightConfig!$B$28:$G$29,2,0)*I151,0)),"")</f>
        <v>4</v>
      </c>
      <c r="K151" s="213">
        <f>VLOOKUP(Food!E151,'FG MASTER'!A:AJ,16,0)</f>
        <v>8.3769012749999998</v>
      </c>
      <c r="L151" s="214">
        <f>VLOOKUP(Food!E151,'FG MASTER'!A:AJ,17,0)</f>
        <v>8</v>
      </c>
      <c r="M151" s="136">
        <f t="shared" si="207"/>
        <v>3.1999999999999997</v>
      </c>
      <c r="N151" s="136">
        <f t="shared" si="193"/>
        <v>11.576901274999999</v>
      </c>
      <c r="O151" s="136">
        <f t="shared" si="203"/>
        <v>1.0889971657499995</v>
      </c>
      <c r="P151" s="136">
        <f t="shared" si="134"/>
        <v>0.41599999999999948</v>
      </c>
      <c r="Q151" s="136">
        <f t="shared" ref="Q151:Q157" si="222">SUM(N151:P151)</f>
        <v>13.081898440749999</v>
      </c>
      <c r="R151" s="318"/>
      <c r="S151" s="131"/>
      <c r="T151" s="293">
        <f>(L151/2)*J151</f>
        <v>16</v>
      </c>
      <c r="V151">
        <f t="shared" si="209"/>
        <v>33.507605099999999</v>
      </c>
      <c r="W151">
        <f>L151*J151</f>
        <v>32</v>
      </c>
      <c r="X151" s="131">
        <f>+M151*J151</f>
        <v>12.799999999999999</v>
      </c>
      <c r="Y151" s="131">
        <f t="shared" si="221"/>
        <v>46.307605099999996</v>
      </c>
      <c r="Z151" s="131">
        <f t="shared" si="197"/>
        <v>4.355988662999998</v>
      </c>
      <c r="AA151" s="131">
        <f t="shared" si="198"/>
        <v>1.6639999999999979</v>
      </c>
      <c r="AB151" s="131">
        <f t="shared" si="220"/>
        <v>52.327593762999996</v>
      </c>
      <c r="AD151" s="131" t="str">
        <f>IFERROR(#REF!*FlightConfig!$K$3,"")</f>
        <v/>
      </c>
      <c r="AE151" s="131">
        <f>IFERROR(V151*FlightConfig!$K$3,"")</f>
        <v>12196.768256400001</v>
      </c>
      <c r="AF151" s="131">
        <f>IFERROR(W151*FlightConfig!$K$3,"")</f>
        <v>11648</v>
      </c>
      <c r="AG151" s="131">
        <f>IFERROR(X151*FlightConfig!$K$3,"")</f>
        <v>4659.2</v>
      </c>
      <c r="AH151" s="131">
        <f>IFERROR(Y151*FlightConfig!$K$3,"")</f>
        <v>16855.9682564</v>
      </c>
      <c r="AI151" s="131">
        <f>IFERROR(AB151*FlightConfig!$K$3,"")</f>
        <v>19047.244129732</v>
      </c>
    </row>
    <row r="152" spans="1:35" x14ac:dyDescent="0.25">
      <c r="A152" t="s">
        <v>246</v>
      </c>
      <c r="B152" s="324">
        <v>3</v>
      </c>
      <c r="C152" s="178" t="str">
        <f t="shared" si="206"/>
        <v>CABIN CREW CLASS3</v>
      </c>
      <c r="D152" s="261"/>
      <c r="E152" s="271">
        <v>10073</v>
      </c>
      <c r="F152" s="277"/>
      <c r="G152" s="123" t="str">
        <f>VLOOKUP(E152,'[5]FG MASTER'!$A$10:$AB$203,2,0)</f>
        <v>CREW CUTLERY DISPOSAL</v>
      </c>
      <c r="H152" s="252">
        <v>1</v>
      </c>
      <c r="I152" s="176">
        <v>1</v>
      </c>
      <c r="J152" s="258">
        <f>IFERROR(IF(I152="std",H152,ROUND(HLOOKUP(A152,FlightConfig!$B$28:$G$29,2,0)*I152,0)),"")</f>
        <v>8</v>
      </c>
      <c r="K152" s="213">
        <f>VLOOKUP(Food!E152,'FG MASTER'!A:AJ,16,0)</f>
        <v>0.1065</v>
      </c>
      <c r="L152" s="214">
        <f>VLOOKUP(Food!E152,'FG MASTER'!A:AJ,17,0)</f>
        <v>0.2</v>
      </c>
      <c r="M152" s="136">
        <f t="shared" si="207"/>
        <v>0.08</v>
      </c>
      <c r="N152" s="136">
        <f t="shared" si="193"/>
        <v>0.1865</v>
      </c>
      <c r="O152" s="136">
        <f t="shared" si="203"/>
        <v>1.3844999999999982E-2</v>
      </c>
      <c r="P152" s="136">
        <f t="shared" si="134"/>
        <v>1.0399999999999993E-2</v>
      </c>
      <c r="Q152" s="136">
        <f t="shared" si="222"/>
        <v>0.21074499999999999</v>
      </c>
      <c r="R152" s="318"/>
      <c r="S152" s="131"/>
      <c r="T152">
        <f t="shared" ref="T152:T157" si="223">L152*J152</f>
        <v>1.6</v>
      </c>
      <c r="V152">
        <f t="shared" si="209"/>
        <v>0.85199999999999998</v>
      </c>
      <c r="W152">
        <f t="shared" ref="W152:W157" si="224">IFERROR(+L152*J152,"")</f>
        <v>1.6</v>
      </c>
      <c r="X152" s="131">
        <f t="shared" ref="X152:X157" si="225">IFERROR(+M152*J152,"")</f>
        <v>0.64</v>
      </c>
      <c r="Y152" s="131">
        <f t="shared" si="221"/>
        <v>1.492</v>
      </c>
      <c r="Z152" s="131">
        <f t="shared" si="197"/>
        <v>0.11075999999999986</v>
      </c>
      <c r="AA152" s="131">
        <f t="shared" si="198"/>
        <v>8.3199999999999941E-2</v>
      </c>
      <c r="AB152" s="131">
        <f t="shared" si="220"/>
        <v>1.6859599999999999</v>
      </c>
      <c r="AD152" s="131" t="str">
        <f>IFERROR(#REF!*FlightConfig!$K$3,"")</f>
        <v/>
      </c>
      <c r="AE152" s="131">
        <f>IFERROR(V152*FlightConfig!$K$3,"")</f>
        <v>310.12799999999999</v>
      </c>
      <c r="AF152" s="131">
        <f>IFERROR(W152*FlightConfig!$K$3,"")</f>
        <v>582.4</v>
      </c>
      <c r="AG152" s="131">
        <f>IFERROR(X152*FlightConfig!$K$3,"")</f>
        <v>232.96</v>
      </c>
      <c r="AH152" s="131">
        <f>IFERROR(Y152*FlightConfig!$K$3,"")</f>
        <v>543.08799999999997</v>
      </c>
      <c r="AI152" s="131">
        <f>IFERROR(AB152*FlightConfig!$K$3,"")</f>
        <v>613.68943999999999</v>
      </c>
    </row>
    <row r="153" spans="1:35" x14ac:dyDescent="0.25">
      <c r="A153" t="s">
        <v>246</v>
      </c>
      <c r="B153" s="324">
        <v>3</v>
      </c>
      <c r="C153" s="178" t="str">
        <f t="shared" si="206"/>
        <v>CABIN CREW CLASS3</v>
      </c>
      <c r="D153" s="261"/>
      <c r="E153" s="271">
        <v>10082</v>
      </c>
      <c r="F153" s="277"/>
      <c r="G153" s="123" t="str">
        <f>VLOOKUP(E153,'[5]FG MASTER'!$A$10:$AB$203,2,0)</f>
        <v>CREW YOGURT</v>
      </c>
      <c r="H153" s="252">
        <v>1</v>
      </c>
      <c r="I153" s="176">
        <v>1</v>
      </c>
      <c r="J153" s="258">
        <f>IFERROR(IF(I153="std",H153,ROUND(HLOOKUP(A153,FlightConfig!$B$28:$G$29,2,0)*I153,0)),"")</f>
        <v>8</v>
      </c>
      <c r="K153" s="213">
        <f>VLOOKUP(Food!E153,'FG MASTER'!A:AJ,16,0)</f>
        <v>0.47925000000000001</v>
      </c>
      <c r="L153" s="214">
        <f>VLOOKUP(Food!E153,'FG MASTER'!A:AJ,17,0)</f>
        <v>0.2</v>
      </c>
      <c r="M153" s="136">
        <f t="shared" si="207"/>
        <v>0.08</v>
      </c>
      <c r="N153" s="136">
        <f t="shared" si="193"/>
        <v>0.55925000000000002</v>
      </c>
      <c r="O153" s="136">
        <f t="shared" si="203"/>
        <v>6.2302499999999983E-2</v>
      </c>
      <c r="P153" s="136">
        <f t="shared" si="134"/>
        <v>1.0399999999999993E-2</v>
      </c>
      <c r="Q153" s="136">
        <f t="shared" si="222"/>
        <v>0.63195249999999992</v>
      </c>
      <c r="R153" s="318"/>
      <c r="S153" s="131"/>
      <c r="T153">
        <f t="shared" si="223"/>
        <v>1.6</v>
      </c>
      <c r="V153">
        <f t="shared" si="209"/>
        <v>3.8340000000000001</v>
      </c>
      <c r="W153">
        <f t="shared" si="224"/>
        <v>1.6</v>
      </c>
      <c r="X153" s="131">
        <f t="shared" si="225"/>
        <v>0.64</v>
      </c>
      <c r="Y153" s="131">
        <f t="shared" si="221"/>
        <v>4.4740000000000002</v>
      </c>
      <c r="Z153" s="131">
        <f t="shared" si="197"/>
        <v>0.49841999999999986</v>
      </c>
      <c r="AA153" s="131">
        <f t="shared" si="198"/>
        <v>8.3199999999999941E-2</v>
      </c>
      <c r="AB153" s="131">
        <f t="shared" si="220"/>
        <v>5.0556199999999993</v>
      </c>
      <c r="AD153" s="131" t="str">
        <f>IFERROR(#REF!*FlightConfig!$K$3,"")</f>
        <v/>
      </c>
      <c r="AE153" s="131">
        <f>IFERROR(V153*FlightConfig!$K$3,"")</f>
        <v>1395.576</v>
      </c>
      <c r="AF153" s="131">
        <f>IFERROR(W153*FlightConfig!$K$3,"")</f>
        <v>582.4</v>
      </c>
      <c r="AG153" s="131">
        <f>IFERROR(X153*FlightConfig!$K$3,"")</f>
        <v>232.96</v>
      </c>
      <c r="AH153" s="131">
        <f>IFERROR(Y153*FlightConfig!$K$3,"")</f>
        <v>1628.5360000000001</v>
      </c>
      <c r="AI153" s="131">
        <f>IFERROR(AB153*FlightConfig!$K$3,"")</f>
        <v>1840.2456799999998</v>
      </c>
    </row>
    <row r="154" spans="1:35" x14ac:dyDescent="0.25">
      <c r="A154" t="s">
        <v>246</v>
      </c>
      <c r="B154" s="324">
        <v>3</v>
      </c>
      <c r="C154" s="178" t="str">
        <f t="shared" si="206"/>
        <v>CABIN CREW CLASS3</v>
      </c>
      <c r="D154" s="261"/>
      <c r="E154" s="271">
        <v>10083</v>
      </c>
      <c r="F154" s="277"/>
      <c r="G154" s="123" t="str">
        <f>VLOOKUP(E154,'[5]FG MASTER'!$A$10:$AB$203,2,0)</f>
        <v xml:space="preserve">CREW CHEESE </v>
      </c>
      <c r="H154" s="252">
        <v>1</v>
      </c>
      <c r="I154" s="176">
        <v>1</v>
      </c>
      <c r="J154" s="258">
        <f>IFERROR(IF(I154="std",H154,ROUND(HLOOKUP(A154,FlightConfig!$B$28:$G$29,2,0)*I154,0)),"")</f>
        <v>8</v>
      </c>
      <c r="K154" s="213">
        <f>VLOOKUP(Food!E154,'FG MASTER'!A:AJ,16,0)</f>
        <v>0.31949999999999995</v>
      </c>
      <c r="L154" s="214">
        <f>VLOOKUP(Food!E154,'FG MASTER'!A:AJ,17,0)</f>
        <v>0.2</v>
      </c>
      <c r="M154" s="136">
        <f t="shared" si="207"/>
        <v>0.08</v>
      </c>
      <c r="N154" s="136">
        <f t="shared" si="193"/>
        <v>0.39949999999999997</v>
      </c>
      <c r="O154" s="136">
        <f t="shared" si="203"/>
        <v>4.1534999999999933E-2</v>
      </c>
      <c r="P154" s="136">
        <f t="shared" si="134"/>
        <v>1.0399999999999993E-2</v>
      </c>
      <c r="Q154" s="136">
        <f t="shared" si="222"/>
        <v>0.45143499999999992</v>
      </c>
      <c r="R154" s="318"/>
      <c r="S154" s="131"/>
      <c r="T154">
        <f t="shared" si="223"/>
        <v>1.6</v>
      </c>
      <c r="V154">
        <f t="shared" si="209"/>
        <v>2.5559999999999996</v>
      </c>
      <c r="W154">
        <f t="shared" si="224"/>
        <v>1.6</v>
      </c>
      <c r="X154" s="131">
        <f t="shared" si="225"/>
        <v>0.64</v>
      </c>
      <c r="Y154" s="131">
        <f t="shared" si="221"/>
        <v>3.1959999999999997</v>
      </c>
      <c r="Z154" s="131">
        <f t="shared" si="197"/>
        <v>0.33227999999999946</v>
      </c>
      <c r="AA154" s="131">
        <f t="shared" si="198"/>
        <v>8.3199999999999941E-2</v>
      </c>
      <c r="AB154" s="131">
        <f t="shared" si="220"/>
        <v>3.6114799999999994</v>
      </c>
      <c r="AD154" s="131" t="str">
        <f>IFERROR(#REF!*FlightConfig!$K$3,"")</f>
        <v/>
      </c>
      <c r="AE154" s="131">
        <f>IFERROR(V154*FlightConfig!$K$3,"")</f>
        <v>930.3839999999999</v>
      </c>
      <c r="AF154" s="131">
        <f>IFERROR(W154*FlightConfig!$K$3,"")</f>
        <v>582.4</v>
      </c>
      <c r="AG154" s="131">
        <f>IFERROR(X154*FlightConfig!$K$3,"")</f>
        <v>232.96</v>
      </c>
      <c r="AH154" s="131">
        <f>IFERROR(Y154*FlightConfig!$K$3,"")</f>
        <v>1163.3439999999998</v>
      </c>
      <c r="AI154" s="131">
        <f>IFERROR(AB154*FlightConfig!$K$3,"")</f>
        <v>1314.5787199999997</v>
      </c>
    </row>
    <row r="155" spans="1:35" x14ac:dyDescent="0.25">
      <c r="A155" t="s">
        <v>246</v>
      </c>
      <c r="B155" s="324">
        <v>3</v>
      </c>
      <c r="C155" s="178" t="str">
        <f t="shared" si="206"/>
        <v>CABIN CREW CLASS3</v>
      </c>
      <c r="D155" s="261"/>
      <c r="E155" s="270">
        <v>10074</v>
      </c>
      <c r="F155" s="277"/>
      <c r="G155" s="123" t="str">
        <f>VLOOKUP(E155,'[5]FG MASTER'!$A$10:$AB$203,2,0)</f>
        <v>CREW BREAD MILTIGRAIN</v>
      </c>
      <c r="H155" s="252">
        <v>1</v>
      </c>
      <c r="I155" s="176">
        <v>1</v>
      </c>
      <c r="J155" s="258">
        <f>IFERROR(IF(I155="std",H155,ROUND(HLOOKUP(A155,FlightConfig!$B$28:$G$29,2,0)*I155,0)),"")</f>
        <v>8</v>
      </c>
      <c r="K155" s="213">
        <f>VLOOKUP(Food!E155,'FG MASTER'!A:AJ,16,0)</f>
        <v>0.26624999999999999</v>
      </c>
      <c r="L155" s="214">
        <f>VLOOKUP(Food!E155,'FG MASTER'!A:AJ,17,0)</f>
        <v>0.2</v>
      </c>
      <c r="M155" s="136">
        <f t="shared" si="207"/>
        <v>0.08</v>
      </c>
      <c r="N155" s="136">
        <f t="shared" si="193"/>
        <v>0.34625</v>
      </c>
      <c r="O155" s="136">
        <f t="shared" si="203"/>
        <v>3.461249999999999E-2</v>
      </c>
      <c r="P155" s="136">
        <f t="shared" si="134"/>
        <v>1.0399999999999993E-2</v>
      </c>
      <c r="Q155" s="136">
        <f t="shared" si="222"/>
        <v>0.39126249999999996</v>
      </c>
      <c r="R155" s="318"/>
      <c r="S155" s="131"/>
      <c r="T155">
        <f t="shared" si="223"/>
        <v>1.6</v>
      </c>
      <c r="V155">
        <f t="shared" si="209"/>
        <v>2.13</v>
      </c>
      <c r="W155">
        <f t="shared" si="224"/>
        <v>1.6</v>
      </c>
      <c r="X155" s="131">
        <f t="shared" si="225"/>
        <v>0.64</v>
      </c>
      <c r="Y155" s="131">
        <f t="shared" si="221"/>
        <v>2.77</v>
      </c>
      <c r="Z155" s="131">
        <f t="shared" si="197"/>
        <v>0.27689999999999992</v>
      </c>
      <c r="AA155" s="131">
        <f t="shared" si="198"/>
        <v>8.3199999999999941E-2</v>
      </c>
      <c r="AB155" s="131">
        <f t="shared" si="220"/>
        <v>3.1300999999999997</v>
      </c>
      <c r="AD155" s="131" t="str">
        <f>IFERROR(#REF!*FlightConfig!$K$3,"")</f>
        <v/>
      </c>
      <c r="AE155" s="131">
        <f>IFERROR(V155*FlightConfig!$K$3,"")</f>
        <v>775.31999999999994</v>
      </c>
      <c r="AF155" s="131">
        <f>IFERROR(W155*FlightConfig!$K$3,"")</f>
        <v>582.4</v>
      </c>
      <c r="AG155" s="131">
        <f>IFERROR(X155*FlightConfig!$K$3,"")</f>
        <v>232.96</v>
      </c>
      <c r="AH155" s="131">
        <f>IFERROR(Y155*FlightConfig!$K$3,"")</f>
        <v>1008.28</v>
      </c>
      <c r="AI155" s="131">
        <f>IFERROR(AB155*FlightConfig!$K$3,"")</f>
        <v>1139.3563999999999</v>
      </c>
    </row>
    <row r="156" spans="1:35" x14ac:dyDescent="0.25">
      <c r="A156" t="s">
        <v>246</v>
      </c>
      <c r="B156" s="324">
        <v>3</v>
      </c>
      <c r="C156" s="178" t="str">
        <f t="shared" si="206"/>
        <v>CABIN CREW CLASS3</v>
      </c>
      <c r="D156" s="261"/>
      <c r="E156" s="271">
        <v>10072</v>
      </c>
      <c r="F156" s="277"/>
      <c r="G156" s="123" t="str">
        <f>VLOOKUP(E156,'[5]FG MASTER'!$A$10:$AB$203,2,0)</f>
        <v>CREW BUTTER</v>
      </c>
      <c r="H156" s="252">
        <v>1</v>
      </c>
      <c r="I156" s="176">
        <v>1</v>
      </c>
      <c r="J156" s="258">
        <f>IFERROR(IF(I156="std",H156,ROUND(HLOOKUP(A156,FlightConfig!$B$28:$G$29,2,0)*I156,0)),"")</f>
        <v>8</v>
      </c>
      <c r="K156" s="213">
        <f>VLOOKUP(Food!E156,'FG MASTER'!A:AJ,16,0)</f>
        <v>0.11714999999999999</v>
      </c>
      <c r="L156" s="214">
        <f>VLOOKUP(Food!E156,'FG MASTER'!A:AJ,17,0)</f>
        <v>0.2</v>
      </c>
      <c r="M156" s="136">
        <f t="shared" si="207"/>
        <v>0.08</v>
      </c>
      <c r="N156" s="136">
        <f t="shared" si="193"/>
        <v>0.19714999999999999</v>
      </c>
      <c r="O156" s="136">
        <f t="shared" si="203"/>
        <v>1.5229499999999993E-2</v>
      </c>
      <c r="P156" s="136">
        <f t="shared" si="134"/>
        <v>1.0399999999999993E-2</v>
      </c>
      <c r="Q156" s="136">
        <f t="shared" si="222"/>
        <v>0.22277949999999999</v>
      </c>
      <c r="R156" s="318"/>
      <c r="S156" s="131"/>
      <c r="T156">
        <f t="shared" si="223"/>
        <v>1.6</v>
      </c>
      <c r="V156">
        <f t="shared" si="209"/>
        <v>0.93719999999999992</v>
      </c>
      <c r="W156">
        <f t="shared" si="224"/>
        <v>1.6</v>
      </c>
      <c r="X156" s="131">
        <f t="shared" si="225"/>
        <v>0.64</v>
      </c>
      <c r="Y156" s="131">
        <f t="shared" si="221"/>
        <v>1.5771999999999999</v>
      </c>
      <c r="Z156" s="131">
        <f t="shared" si="197"/>
        <v>0.12183599999999994</v>
      </c>
      <c r="AA156" s="131">
        <f t="shared" si="198"/>
        <v>8.3199999999999941E-2</v>
      </c>
      <c r="AB156" s="131">
        <f t="shared" si="220"/>
        <v>1.7822359999999999</v>
      </c>
      <c r="AD156" s="131" t="str">
        <f>IFERROR(#REF!*FlightConfig!$K$3,"")</f>
        <v/>
      </c>
      <c r="AE156" s="131">
        <f>IFERROR(V156*FlightConfig!$K$3,"")</f>
        <v>341.14079999999996</v>
      </c>
      <c r="AF156" s="131">
        <f>IFERROR(W156*FlightConfig!$K$3,"")</f>
        <v>582.4</v>
      </c>
      <c r="AG156" s="131">
        <f>IFERROR(X156*FlightConfig!$K$3,"")</f>
        <v>232.96</v>
      </c>
      <c r="AH156" s="131">
        <f>IFERROR(Y156*FlightConfig!$K$3,"")</f>
        <v>574.10079999999994</v>
      </c>
      <c r="AI156" s="131">
        <f>IFERROR(AB156*FlightConfig!$K$3,"")</f>
        <v>648.73390399999994</v>
      </c>
    </row>
    <row r="157" spans="1:35" x14ac:dyDescent="0.25">
      <c r="A157" t="s">
        <v>246</v>
      </c>
      <c r="B157" s="324">
        <v>3</v>
      </c>
      <c r="C157" s="178" t="str">
        <f t="shared" si="206"/>
        <v>CABIN CREW CLASS3</v>
      </c>
      <c r="D157" s="261"/>
      <c r="E157" s="271">
        <v>10129</v>
      </c>
      <c r="F157" s="277"/>
      <c r="G157" s="123" t="str">
        <f>VLOOKUP(E157,'[5]FG MASTER'!$A$10:$AB$203,2,0)</f>
        <v xml:space="preserve">CREW K C3 HB FRITTATA, KALE, BREAKFAST POTATOES, TURKEY SAUSAGE LINK </v>
      </c>
      <c r="H157" s="252">
        <v>1</v>
      </c>
      <c r="I157" s="176">
        <v>1</v>
      </c>
      <c r="J157" s="258">
        <f>IFERROR(IF(I157="std",H157,ROUND(HLOOKUP(A157,FlightConfig!$B$28:$G$29,2,0)*I157,0)),"")</f>
        <v>8</v>
      </c>
      <c r="K157" s="213">
        <f>VLOOKUP(Food!E157,'FG MASTER'!A:AJ,16,0)</f>
        <v>3.3843996000000001</v>
      </c>
      <c r="L157" s="214">
        <f>VLOOKUP(Food!E157,'FG MASTER'!A:AJ,17,0)</f>
        <v>3.5</v>
      </c>
      <c r="M157" s="136">
        <f t="shared" si="207"/>
        <v>1.4</v>
      </c>
      <c r="N157" s="136">
        <f t="shared" si="193"/>
        <v>4.7843996000000004</v>
      </c>
      <c r="O157" s="235">
        <f>IFERROR($K157*(1+8%)-$K157+R157,0)</f>
        <v>0.27075196800000034</v>
      </c>
      <c r="P157" s="136">
        <f t="shared" si="134"/>
        <v>0.18199999999999994</v>
      </c>
      <c r="Q157" s="136">
        <f t="shared" si="222"/>
        <v>5.2371515680000016</v>
      </c>
      <c r="R157" s="318"/>
      <c r="S157" s="375" t="s">
        <v>451</v>
      </c>
      <c r="T157">
        <f t="shared" si="223"/>
        <v>28</v>
      </c>
      <c r="V157">
        <f t="shared" si="209"/>
        <v>27.075196800000001</v>
      </c>
      <c r="W157">
        <f t="shared" si="224"/>
        <v>28</v>
      </c>
      <c r="X157" s="131">
        <f t="shared" si="225"/>
        <v>11.2</v>
      </c>
      <c r="Y157" s="131">
        <f t="shared" si="221"/>
        <v>38.275196800000003</v>
      </c>
      <c r="Z157" s="131">
        <f t="shared" si="197"/>
        <v>2.1660157440000027</v>
      </c>
      <c r="AA157" s="131">
        <f t="shared" si="198"/>
        <v>1.4559999999999995</v>
      </c>
      <c r="AB157" s="131">
        <f t="shared" si="220"/>
        <v>41.897212544000013</v>
      </c>
      <c r="AD157" s="131" t="str">
        <f>IFERROR(#REF!*FlightConfig!$K$3,"")</f>
        <v/>
      </c>
      <c r="AE157" s="131">
        <f>IFERROR(V157*FlightConfig!$K$3,"")</f>
        <v>9855.371635200001</v>
      </c>
      <c r="AF157" s="131">
        <f>IFERROR(W157*FlightConfig!$K$3,"")</f>
        <v>10192</v>
      </c>
      <c r="AG157" s="131">
        <f>IFERROR(X157*FlightConfig!$K$3,"")</f>
        <v>4076.7999999999997</v>
      </c>
      <c r="AH157" s="131">
        <f>IFERROR(Y157*FlightConfig!$K$3,"")</f>
        <v>13932.1716352</v>
      </c>
      <c r="AI157" s="131">
        <f>IFERROR(AB157*FlightConfig!$K$3,"")</f>
        <v>15250.585366016005</v>
      </c>
    </row>
    <row r="158" spans="1:35" x14ac:dyDescent="0.25">
      <c r="B158" s="174"/>
      <c r="C158" s="178"/>
      <c r="D158" s="281"/>
      <c r="E158" s="271"/>
      <c r="F158" s="277"/>
      <c r="G158" s="123" t="e">
        <f>VLOOKUP(E158,'[5]FG MASTER'!$A$10:$AB$203,2,0)</f>
        <v>#N/A</v>
      </c>
      <c r="H158" s="252">
        <v>1</v>
      </c>
      <c r="I158" s="176">
        <v>0.9</v>
      </c>
      <c r="J158" s="258" t="str">
        <f>IFERROR(IF(I158="std",H158,HLOOKUP(A158,FlightConfig!$B$28:$G$29,2,0)*I158),"")</f>
        <v/>
      </c>
      <c r="K158" s="213" t="e">
        <f>VLOOKUP(Food!E158,'FG MASTER'!A:AJ,16,0)</f>
        <v>#N/A</v>
      </c>
      <c r="L158" s="214" t="e">
        <f>VLOOKUP(Food!E158,'FG MASTER'!A:AJ,17,0)</f>
        <v>#N/A</v>
      </c>
      <c r="M158" s="136" t="str">
        <f t="shared" ref="M158:M163" si="226">IFERROR(L158*$M$2,"")</f>
        <v/>
      </c>
      <c r="N158" s="136" t="str">
        <f t="shared" ref="N158:N163" si="227">IFERROR((K158)+M158,"")</f>
        <v/>
      </c>
      <c r="O158" s="136">
        <f t="shared" ref="O158:O174" si="228">IFERROR($K158*(1+$O$2)-$K158,0)</f>
        <v>0</v>
      </c>
      <c r="P158" s="136">
        <f t="shared" ref="P158:P175" si="229">IFERROR($M158*(1+$P$2)-$M158,0)</f>
        <v>0</v>
      </c>
      <c r="Q158" s="136">
        <f t="shared" ref="Q158:Q163" si="230">SUM(N158:P158)</f>
        <v>0</v>
      </c>
      <c r="R158" s="136"/>
      <c r="V158" s="131" t="str">
        <f t="shared" ref="V158:V184" si="231">IFERROR(+K158*J158,"")</f>
        <v/>
      </c>
      <c r="W158" t="str">
        <f t="shared" ref="W158:W182" si="232">IFERROR(+L158*J158,"")</f>
        <v/>
      </c>
      <c r="X158" s="131" t="str">
        <f t="shared" ref="X158:X182" si="233">IFERROR(+M158*J158,"")</f>
        <v/>
      </c>
      <c r="Y158" s="131" t="str">
        <f t="shared" ref="Y158:Y182" si="234">IFERROR(+N158*J158,"")</f>
        <v/>
      </c>
      <c r="Z158" s="131" t="str">
        <f t="shared" ref="Z158:Z176" si="235">IFERROR(O158*$J158,"")</f>
        <v/>
      </c>
      <c r="AA158" s="131" t="str">
        <f t="shared" ref="AA158:AA176" si="236">IFERROR(P158*$J158,"")</f>
        <v/>
      </c>
      <c r="AB158" s="131" t="str">
        <f t="shared" ref="AB158:AB182" si="237">IFERROR(+(Q158-R158)*J158,"")</f>
        <v/>
      </c>
      <c r="AD158" s="131" t="str">
        <f>IFERROR(#REF!*FlightConfig!$K$3,"")</f>
        <v/>
      </c>
      <c r="AE158" s="131" t="str">
        <f>IFERROR(V158*FlightConfig!$K$3,"")</f>
        <v/>
      </c>
      <c r="AF158" s="131" t="str">
        <f>IFERROR(W158*FlightConfig!$K$3,"")</f>
        <v/>
      </c>
      <c r="AG158" s="131" t="str">
        <f>IFERROR(X158*FlightConfig!$K$3,"")</f>
        <v/>
      </c>
      <c r="AH158" s="131" t="str">
        <f>IFERROR(Y158*FlightConfig!$K$3,"")</f>
        <v/>
      </c>
      <c r="AI158" s="131" t="str">
        <f>IFERROR(AB158*FlightConfig!$K$3,"")</f>
        <v/>
      </c>
    </row>
    <row r="159" spans="1:35" x14ac:dyDescent="0.25">
      <c r="B159" s="174"/>
      <c r="C159" s="178"/>
      <c r="D159" s="281"/>
      <c r="E159" s="427">
        <v>10131</v>
      </c>
      <c r="F159" s="428"/>
      <c r="G159" s="313" t="str">
        <f>VLOOKUP(Food!E159,'FG MASTER'!A:AJ,2,0)</f>
        <v xml:space="preserve">YC C3 HM B BBQ GRILLED CHICKEN RHIGH, BBQ SAUCE, CORN SUCCOTASH, MAPLE SWEET POTATO MASH </v>
      </c>
      <c r="H159" s="252">
        <v>1</v>
      </c>
      <c r="I159" s="176">
        <v>0.9</v>
      </c>
      <c r="J159" s="258" t="str">
        <f>IFERROR(IF(I159="std",H159,HLOOKUP(A159,FlightConfig!$B$28:$G$29,2,0)*I159),"")</f>
        <v/>
      </c>
      <c r="K159" s="213">
        <f>VLOOKUP(Food!E159,'FG MASTER'!A:AJ,16,0)</f>
        <v>2.8940408240333335</v>
      </c>
      <c r="L159" s="214">
        <f>VLOOKUP(Food!E159,'FG MASTER'!A:AJ,17,0)</f>
        <v>6.5</v>
      </c>
      <c r="M159" s="136">
        <f t="shared" si="226"/>
        <v>2.5999999999999996</v>
      </c>
      <c r="N159" s="136">
        <f t="shared" si="227"/>
        <v>5.4940408240333332</v>
      </c>
      <c r="O159" s="136">
        <f t="shared" si="228"/>
        <v>0.37622530712433289</v>
      </c>
      <c r="P159" s="136">
        <f t="shared" si="229"/>
        <v>0.33799999999999963</v>
      </c>
      <c r="Q159" s="136">
        <f t="shared" si="230"/>
        <v>6.2082661311576661</v>
      </c>
      <c r="R159" s="136"/>
      <c r="V159" s="131" t="str">
        <f t="shared" si="231"/>
        <v/>
      </c>
      <c r="W159" t="str">
        <f t="shared" si="232"/>
        <v/>
      </c>
      <c r="X159" s="131" t="str">
        <f t="shared" si="233"/>
        <v/>
      </c>
      <c r="Y159" s="131" t="str">
        <f t="shared" si="234"/>
        <v/>
      </c>
      <c r="Z159" s="131" t="str">
        <f t="shared" si="235"/>
        <v/>
      </c>
      <c r="AA159" s="131" t="str">
        <f t="shared" si="236"/>
        <v/>
      </c>
      <c r="AB159" s="131" t="str">
        <f t="shared" si="237"/>
        <v/>
      </c>
      <c r="AD159" s="131" t="str">
        <f>IFERROR(#REF!*FlightConfig!$K$3,"")</f>
        <v/>
      </c>
      <c r="AE159" s="131" t="str">
        <f>IFERROR(V159*FlightConfig!$K$3,"")</f>
        <v/>
      </c>
      <c r="AF159" s="131" t="str">
        <f>IFERROR(W159*FlightConfig!$K$3,"")</f>
        <v/>
      </c>
      <c r="AG159" s="131" t="str">
        <f>IFERROR(X159*FlightConfig!$K$3,"")</f>
        <v/>
      </c>
      <c r="AH159" s="131" t="str">
        <f>IFERROR(Y159*FlightConfig!$K$3,"")</f>
        <v/>
      </c>
      <c r="AI159" s="131" t="str">
        <f>IFERROR(AB159*FlightConfig!$K$3,"")</f>
        <v/>
      </c>
    </row>
    <row r="160" spans="1:35" x14ac:dyDescent="0.25">
      <c r="B160" s="174"/>
      <c r="C160" s="178"/>
      <c r="D160" s="281"/>
      <c r="E160" s="271"/>
      <c r="F160" s="277"/>
      <c r="G160" s="123" t="e">
        <f>VLOOKUP(E160,'[5]FG MASTER'!$A$10:$AB$203,2,0)</f>
        <v>#N/A</v>
      </c>
      <c r="H160" s="252">
        <v>1</v>
      </c>
      <c r="I160" s="176">
        <v>0.9</v>
      </c>
      <c r="J160" s="258" t="str">
        <f>IFERROR(IF(I160="std",H160,HLOOKUP(A160,FlightConfig!$B$28:$G$29,2,0)*I160),"")</f>
        <v/>
      </c>
      <c r="K160" s="213" t="e">
        <f>VLOOKUP(Food!E160,'FG MASTER'!A:AJ,16,0)</f>
        <v>#N/A</v>
      </c>
      <c r="L160" s="214" t="e">
        <f>VLOOKUP(Food!E160,'FG MASTER'!A:AJ,17,0)</f>
        <v>#N/A</v>
      </c>
      <c r="M160" s="136" t="str">
        <f t="shared" si="226"/>
        <v/>
      </c>
      <c r="N160" s="136" t="str">
        <f t="shared" si="227"/>
        <v/>
      </c>
      <c r="O160" s="136">
        <f t="shared" si="228"/>
        <v>0</v>
      </c>
      <c r="P160" s="136">
        <f t="shared" si="229"/>
        <v>0</v>
      </c>
      <c r="Q160" s="136">
        <f t="shared" si="230"/>
        <v>0</v>
      </c>
      <c r="R160" s="136"/>
      <c r="V160" s="131" t="str">
        <f t="shared" si="231"/>
        <v/>
      </c>
      <c r="W160" t="str">
        <f t="shared" si="232"/>
        <v/>
      </c>
      <c r="X160" s="131" t="str">
        <f t="shared" si="233"/>
        <v/>
      </c>
      <c r="Y160" s="131" t="str">
        <f t="shared" si="234"/>
        <v/>
      </c>
      <c r="Z160" s="131" t="str">
        <f t="shared" si="235"/>
        <v/>
      </c>
      <c r="AA160" s="131" t="str">
        <f t="shared" si="236"/>
        <v/>
      </c>
      <c r="AB160" s="131" t="str">
        <f t="shared" si="237"/>
        <v/>
      </c>
      <c r="AD160" s="131" t="str">
        <f>IFERROR(#REF!*FlightConfig!$K$3,"")</f>
        <v/>
      </c>
      <c r="AE160" s="131" t="str">
        <f>IFERROR(V160*FlightConfig!$K$3,"")</f>
        <v/>
      </c>
      <c r="AF160" s="131" t="str">
        <f>IFERROR(W160*FlightConfig!$K$3,"")</f>
        <v/>
      </c>
      <c r="AG160" s="131" t="str">
        <f>IFERROR(X160*FlightConfig!$K$3,"")</f>
        <v/>
      </c>
      <c r="AH160" s="131" t="str">
        <f>IFERROR(Y160*FlightConfig!$K$3,"")</f>
        <v/>
      </c>
      <c r="AI160" s="131" t="str">
        <f>IFERROR(AB160*FlightConfig!$K$3,"")</f>
        <v/>
      </c>
    </row>
    <row r="161" spans="2:35" x14ac:dyDescent="0.25">
      <c r="B161" s="174"/>
      <c r="C161" s="178"/>
      <c r="D161" s="281"/>
      <c r="E161" s="271"/>
      <c r="F161" s="277"/>
      <c r="G161" s="123" t="e">
        <f>VLOOKUP(E161,'[5]FG MASTER'!$A$10:$AB$203,2,0)</f>
        <v>#N/A</v>
      </c>
      <c r="H161" s="252">
        <v>1</v>
      </c>
      <c r="I161" s="176">
        <v>0.9</v>
      </c>
      <c r="J161" s="258" t="str">
        <f>IFERROR(IF(I161="std",H161,HLOOKUP(A161,FlightConfig!$B$28:$G$29,2,0)*I161),"")</f>
        <v/>
      </c>
      <c r="K161" s="213" t="e">
        <f>VLOOKUP(Food!E161,'FG MASTER'!A:AJ,16,0)</f>
        <v>#N/A</v>
      </c>
      <c r="L161" s="214" t="e">
        <f>VLOOKUP(Food!E161,'FG MASTER'!A:AJ,17,0)</f>
        <v>#N/A</v>
      </c>
      <c r="M161" s="136" t="str">
        <f t="shared" si="226"/>
        <v/>
      </c>
      <c r="N161" s="136" t="str">
        <f t="shared" si="227"/>
        <v/>
      </c>
      <c r="O161" s="136">
        <f t="shared" si="228"/>
        <v>0</v>
      </c>
      <c r="P161" s="136">
        <f t="shared" si="229"/>
        <v>0</v>
      </c>
      <c r="Q161" s="136">
        <f t="shared" si="230"/>
        <v>0</v>
      </c>
      <c r="R161" s="136"/>
      <c r="V161" s="131" t="str">
        <f t="shared" si="231"/>
        <v/>
      </c>
      <c r="W161" t="str">
        <f t="shared" si="232"/>
        <v/>
      </c>
      <c r="X161" s="131" t="str">
        <f t="shared" si="233"/>
        <v/>
      </c>
      <c r="Y161" s="131" t="str">
        <f t="shared" si="234"/>
        <v/>
      </c>
      <c r="Z161" s="131" t="str">
        <f t="shared" si="235"/>
        <v/>
      </c>
      <c r="AA161" s="131" t="str">
        <f t="shared" si="236"/>
        <v/>
      </c>
      <c r="AB161" s="131" t="str">
        <f t="shared" si="237"/>
        <v/>
      </c>
      <c r="AD161" s="131" t="str">
        <f>IFERROR(#REF!*FlightConfig!$K$3,"")</f>
        <v/>
      </c>
      <c r="AE161" s="131" t="str">
        <f>IFERROR(V161*FlightConfig!$K$3,"")</f>
        <v/>
      </c>
      <c r="AF161" s="131" t="str">
        <f>IFERROR(W161*FlightConfig!$K$3,"")</f>
        <v/>
      </c>
      <c r="AG161" s="131" t="str">
        <f>IFERROR(X161*FlightConfig!$K$3,"")</f>
        <v/>
      </c>
      <c r="AH161" s="131" t="str">
        <f>IFERROR(Y161*FlightConfig!$K$3,"")</f>
        <v/>
      </c>
      <c r="AI161" s="131" t="str">
        <f>IFERROR(AB161*FlightConfig!$K$3,"")</f>
        <v/>
      </c>
    </row>
    <row r="162" spans="2:35" x14ac:dyDescent="0.25">
      <c r="B162" s="174"/>
      <c r="C162" s="178"/>
      <c r="D162" s="281"/>
      <c r="E162" s="271"/>
      <c r="F162" s="277"/>
      <c r="G162" s="123" t="e">
        <f>VLOOKUP(E162,'[5]FG MASTER'!$A$10:$AB$203,2,0)</f>
        <v>#N/A</v>
      </c>
      <c r="H162" s="252">
        <v>1</v>
      </c>
      <c r="I162" s="176">
        <v>0.9</v>
      </c>
      <c r="J162" s="258" t="str">
        <f>IFERROR(IF(I162="std",H162,HLOOKUP(A162,FlightConfig!$B$28:$G$29,2,0)*I162),"")</f>
        <v/>
      </c>
      <c r="K162" s="213" t="e">
        <f>VLOOKUP(Food!E162,'FG MASTER'!A:AJ,16,0)</f>
        <v>#N/A</v>
      </c>
      <c r="L162" s="214" t="e">
        <f>VLOOKUP(Food!E162,'FG MASTER'!A:AJ,17,0)</f>
        <v>#N/A</v>
      </c>
      <c r="M162" s="136" t="str">
        <f t="shared" si="226"/>
        <v/>
      </c>
      <c r="N162" s="136" t="str">
        <f t="shared" si="227"/>
        <v/>
      </c>
      <c r="O162" s="136">
        <f t="shared" si="228"/>
        <v>0</v>
      </c>
      <c r="P162" s="136">
        <f t="shared" si="229"/>
        <v>0</v>
      </c>
      <c r="Q162" s="136">
        <f t="shared" si="230"/>
        <v>0</v>
      </c>
      <c r="R162" s="136"/>
      <c r="V162" s="131" t="str">
        <f t="shared" si="231"/>
        <v/>
      </c>
      <c r="W162" t="str">
        <f t="shared" si="232"/>
        <v/>
      </c>
      <c r="X162" s="131" t="str">
        <f t="shared" si="233"/>
        <v/>
      </c>
      <c r="Y162" s="131" t="str">
        <f t="shared" si="234"/>
        <v/>
      </c>
      <c r="Z162" s="131" t="str">
        <f t="shared" si="235"/>
        <v/>
      </c>
      <c r="AA162" s="131" t="str">
        <f t="shared" si="236"/>
        <v/>
      </c>
      <c r="AB162" s="131" t="str">
        <f t="shared" si="237"/>
        <v/>
      </c>
      <c r="AD162" s="131" t="str">
        <f>IFERROR(#REF!*FlightConfig!$K$3,"")</f>
        <v/>
      </c>
      <c r="AE162" s="131" t="str">
        <f>IFERROR(V162*FlightConfig!$K$3,"")</f>
        <v/>
      </c>
      <c r="AF162" s="131" t="str">
        <f>IFERROR(W162*FlightConfig!$K$3,"")</f>
        <v/>
      </c>
      <c r="AG162" s="131" t="str">
        <f>IFERROR(X162*FlightConfig!$K$3,"")</f>
        <v/>
      </c>
      <c r="AH162" s="131" t="str">
        <f>IFERROR(Y162*FlightConfig!$K$3,"")</f>
        <v/>
      </c>
      <c r="AI162" s="131" t="str">
        <f>IFERROR(AB162*FlightConfig!$K$3,"")</f>
        <v/>
      </c>
    </row>
    <row r="163" spans="2:35" x14ac:dyDescent="0.25">
      <c r="B163" s="174"/>
      <c r="C163" s="178"/>
      <c r="D163" s="281"/>
      <c r="E163" s="271"/>
      <c r="F163" s="277"/>
      <c r="G163" s="123" t="e">
        <f>VLOOKUP(E163,'[5]FG MASTER'!$A$10:$AB$203,2,0)</f>
        <v>#N/A</v>
      </c>
      <c r="H163" s="252">
        <v>1</v>
      </c>
      <c r="I163" s="176">
        <v>0.9</v>
      </c>
      <c r="J163" s="258" t="str">
        <f>IFERROR(IF(I163="std",H163,HLOOKUP(A163,FlightConfig!$B$28:$G$29,2,0)*I163),"")</f>
        <v/>
      </c>
      <c r="K163" s="213" t="e">
        <f>VLOOKUP(Food!E163,'FG MASTER'!A:AJ,16,0)</f>
        <v>#N/A</v>
      </c>
      <c r="L163" s="214" t="e">
        <f>VLOOKUP(Food!E163,'FG MASTER'!A:AJ,17,0)</f>
        <v>#N/A</v>
      </c>
      <c r="M163" s="136" t="str">
        <f t="shared" si="226"/>
        <v/>
      </c>
      <c r="N163" s="136" t="str">
        <f t="shared" si="227"/>
        <v/>
      </c>
      <c r="O163" s="136">
        <f t="shared" si="228"/>
        <v>0</v>
      </c>
      <c r="P163" s="136">
        <f t="shared" si="229"/>
        <v>0</v>
      </c>
      <c r="Q163" s="136">
        <f t="shared" si="230"/>
        <v>0</v>
      </c>
      <c r="R163" s="136"/>
      <c r="V163" s="131" t="str">
        <f t="shared" si="231"/>
        <v/>
      </c>
      <c r="W163" t="str">
        <f t="shared" si="232"/>
        <v/>
      </c>
      <c r="X163" s="131" t="str">
        <f t="shared" si="233"/>
        <v/>
      </c>
      <c r="Y163" s="131" t="str">
        <f t="shared" si="234"/>
        <v/>
      </c>
      <c r="Z163" s="131" t="str">
        <f t="shared" si="235"/>
        <v/>
      </c>
      <c r="AA163" s="131" t="str">
        <f t="shared" si="236"/>
        <v/>
      </c>
      <c r="AB163" s="131" t="str">
        <f t="shared" si="237"/>
        <v/>
      </c>
      <c r="AD163" s="131" t="str">
        <f>IFERROR(#REF!*FlightConfig!$K$3,"")</f>
        <v/>
      </c>
      <c r="AE163" s="131" t="str">
        <f>IFERROR(V163*FlightConfig!$K$3,"")</f>
        <v/>
      </c>
      <c r="AF163" s="131" t="str">
        <f>IFERROR(W163*FlightConfig!$K$3,"")</f>
        <v/>
      </c>
      <c r="AG163" s="131" t="str">
        <f>IFERROR(X163*FlightConfig!$K$3,"")</f>
        <v/>
      </c>
      <c r="AH163" s="131" t="str">
        <f>IFERROR(Y163*FlightConfig!$K$3,"")</f>
        <v/>
      </c>
      <c r="AI163" s="131" t="str">
        <f>IFERROR(AB163*FlightConfig!$K$3,"")</f>
        <v/>
      </c>
    </row>
    <row r="164" spans="2:35" x14ac:dyDescent="0.25">
      <c r="B164" s="174"/>
      <c r="C164" s="178"/>
      <c r="D164" s="281"/>
      <c r="E164" s="271"/>
      <c r="F164" s="277"/>
      <c r="G164" s="123" t="e">
        <f>VLOOKUP(E164,'[5]FG MASTER'!$A$10:$AB$203,2,0)</f>
        <v>#N/A</v>
      </c>
      <c r="H164" s="252">
        <v>1</v>
      </c>
      <c r="I164" s="176">
        <v>0.9</v>
      </c>
      <c r="J164" s="258" t="str">
        <f>IFERROR(IF(I164="std",H164,HLOOKUP(A164,FlightConfig!$B$28:$G$29,2,0)*I164),"")</f>
        <v/>
      </c>
      <c r="K164" s="213" t="e">
        <f>VLOOKUP(Food!E164,'FG MASTER'!A:AJ,16,0)</f>
        <v>#N/A</v>
      </c>
      <c r="L164" s="214" t="e">
        <f>VLOOKUP(Food!E164,'FG MASTER'!A:AJ,17,0)</f>
        <v>#N/A</v>
      </c>
      <c r="M164" s="136" t="str">
        <f t="shared" ref="M164:M217" si="238">IFERROR(L164*$M$2,"")</f>
        <v/>
      </c>
      <c r="N164" s="136" t="str">
        <f t="shared" ref="N164:N217" si="239">IFERROR((K164)+M164,"")</f>
        <v/>
      </c>
      <c r="O164" s="136">
        <f t="shared" si="228"/>
        <v>0</v>
      </c>
      <c r="P164" s="136">
        <f t="shared" si="229"/>
        <v>0</v>
      </c>
      <c r="Q164" s="136">
        <f t="shared" ref="Q164:Q217" si="240">SUM(N164:P164)</f>
        <v>0</v>
      </c>
      <c r="R164" s="136"/>
      <c r="V164" s="131" t="str">
        <f t="shared" si="231"/>
        <v/>
      </c>
      <c r="W164" t="str">
        <f t="shared" si="232"/>
        <v/>
      </c>
      <c r="X164" s="131" t="str">
        <f t="shared" si="233"/>
        <v/>
      </c>
      <c r="Y164" s="131" t="str">
        <f t="shared" si="234"/>
        <v/>
      </c>
      <c r="Z164" s="131" t="str">
        <f t="shared" si="235"/>
        <v/>
      </c>
      <c r="AA164" s="131" t="str">
        <f t="shared" si="236"/>
        <v/>
      </c>
      <c r="AB164" s="131" t="str">
        <f t="shared" si="237"/>
        <v/>
      </c>
      <c r="AD164" s="131" t="str">
        <f>IFERROR(#REF!*FlightConfig!$K$3,"")</f>
        <v/>
      </c>
      <c r="AE164" s="131" t="str">
        <f>IFERROR(V164*FlightConfig!$K$3,"")</f>
        <v/>
      </c>
      <c r="AF164" s="131" t="str">
        <f>IFERROR(W164*FlightConfig!$K$3,"")</f>
        <v/>
      </c>
      <c r="AG164" s="131" t="str">
        <f>IFERROR(X164*FlightConfig!$K$3,"")</f>
        <v/>
      </c>
      <c r="AH164" s="131" t="str">
        <f>IFERROR(Y164*FlightConfig!$K$3,"")</f>
        <v/>
      </c>
      <c r="AI164" s="131" t="str">
        <f>IFERROR(AB164*FlightConfig!$K$3,"")</f>
        <v/>
      </c>
    </row>
    <row r="165" spans="2:35" x14ac:dyDescent="0.25">
      <c r="B165" s="174"/>
      <c r="C165" s="178"/>
      <c r="D165" s="281"/>
      <c r="E165" s="271"/>
      <c r="F165" s="277"/>
      <c r="G165" s="123" t="e">
        <f>VLOOKUP(E165,'[5]FG MASTER'!$A$10:$AB$203,2,0)</f>
        <v>#N/A</v>
      </c>
      <c r="H165" s="252">
        <v>1</v>
      </c>
      <c r="I165" s="176">
        <v>0.9</v>
      </c>
      <c r="J165" s="258" t="str">
        <f>IFERROR(IF(I165="std",H165,HLOOKUP(A165,FlightConfig!$B$28:$G$29,2,0)*I165),"")</f>
        <v/>
      </c>
      <c r="K165" s="213" t="e">
        <f>VLOOKUP(Food!E165,'FG MASTER'!A:AJ,16,0)</f>
        <v>#N/A</v>
      </c>
      <c r="L165" s="214" t="e">
        <f>VLOOKUP(Food!E165,'FG MASTER'!A:AJ,17,0)</f>
        <v>#N/A</v>
      </c>
      <c r="M165" s="136" t="str">
        <f t="shared" si="238"/>
        <v/>
      </c>
      <c r="N165" s="136" t="str">
        <f t="shared" si="239"/>
        <v/>
      </c>
      <c r="O165" s="136">
        <f t="shared" si="228"/>
        <v>0</v>
      </c>
      <c r="P165" s="136">
        <f t="shared" si="229"/>
        <v>0</v>
      </c>
      <c r="Q165" s="136">
        <f t="shared" si="240"/>
        <v>0</v>
      </c>
      <c r="R165" s="136"/>
      <c r="V165" s="131" t="str">
        <f t="shared" si="231"/>
        <v/>
      </c>
      <c r="W165" t="str">
        <f t="shared" si="232"/>
        <v/>
      </c>
      <c r="X165" s="131" t="str">
        <f t="shared" si="233"/>
        <v/>
      </c>
      <c r="Y165" s="131" t="str">
        <f t="shared" si="234"/>
        <v/>
      </c>
      <c r="Z165" s="131" t="str">
        <f t="shared" si="235"/>
        <v/>
      </c>
      <c r="AA165" s="131" t="str">
        <f t="shared" si="236"/>
        <v/>
      </c>
      <c r="AB165" s="131" t="str">
        <f t="shared" si="237"/>
        <v/>
      </c>
      <c r="AD165" s="131" t="str">
        <f>IFERROR(#REF!*FlightConfig!$K$3,"")</f>
        <v/>
      </c>
      <c r="AE165" s="131" t="str">
        <f>IFERROR(V165*FlightConfig!$K$3,"")</f>
        <v/>
      </c>
      <c r="AF165" s="131" t="str">
        <f>IFERROR(W165*FlightConfig!$K$3,"")</f>
        <v/>
      </c>
      <c r="AG165" s="131" t="str">
        <f>IFERROR(X165*FlightConfig!$K$3,"")</f>
        <v/>
      </c>
      <c r="AH165" s="131" t="str">
        <f>IFERROR(Y165*FlightConfig!$K$3,"")</f>
        <v/>
      </c>
      <c r="AI165" s="131" t="str">
        <f>IFERROR(AB165*FlightConfig!$K$3,"")</f>
        <v/>
      </c>
    </row>
    <row r="166" spans="2:35" x14ac:dyDescent="0.25">
      <c r="B166" s="174"/>
      <c r="C166" s="178"/>
      <c r="D166" s="281"/>
      <c r="E166" s="271"/>
      <c r="F166" s="277"/>
      <c r="G166" s="123" t="e">
        <f>VLOOKUP(E166,'[5]FG MASTER'!$A$10:$AB$203,2,0)</f>
        <v>#N/A</v>
      </c>
      <c r="H166" s="252">
        <v>1</v>
      </c>
      <c r="I166" s="176">
        <v>0.9</v>
      </c>
      <c r="J166" s="258" t="str">
        <f>IFERROR(IF(I166="std",H166,HLOOKUP(A166,FlightConfig!$B$28:$G$29,2,0)*I166),"")</f>
        <v/>
      </c>
      <c r="K166" s="213" t="e">
        <f>VLOOKUP(Food!E166,'FG MASTER'!A:AJ,16,0)</f>
        <v>#N/A</v>
      </c>
      <c r="L166" s="214" t="e">
        <f>VLOOKUP(Food!E166,'FG MASTER'!A:AJ,17,0)</f>
        <v>#N/A</v>
      </c>
      <c r="M166" s="136" t="str">
        <f t="shared" si="238"/>
        <v/>
      </c>
      <c r="N166" s="136" t="str">
        <f t="shared" si="239"/>
        <v/>
      </c>
      <c r="O166" s="136">
        <f t="shared" si="228"/>
        <v>0</v>
      </c>
      <c r="P166" s="136">
        <f t="shared" si="229"/>
        <v>0</v>
      </c>
      <c r="Q166" s="136">
        <f t="shared" si="240"/>
        <v>0</v>
      </c>
      <c r="R166" s="136"/>
      <c r="V166" s="131" t="str">
        <f t="shared" si="231"/>
        <v/>
      </c>
      <c r="W166" t="str">
        <f t="shared" si="232"/>
        <v/>
      </c>
      <c r="X166" s="131" t="str">
        <f t="shared" si="233"/>
        <v/>
      </c>
      <c r="Y166" s="131" t="str">
        <f t="shared" si="234"/>
        <v/>
      </c>
      <c r="Z166" s="131" t="str">
        <f t="shared" si="235"/>
        <v/>
      </c>
      <c r="AA166" s="131" t="str">
        <f t="shared" si="236"/>
        <v/>
      </c>
      <c r="AB166" s="131" t="str">
        <f t="shared" si="237"/>
        <v/>
      </c>
      <c r="AD166" s="131" t="str">
        <f>IFERROR(#REF!*FlightConfig!$K$3,"")</f>
        <v/>
      </c>
      <c r="AE166" s="131" t="str">
        <f>IFERROR(V166*FlightConfig!$K$3,"")</f>
        <v/>
      </c>
      <c r="AF166" s="131" t="str">
        <f>IFERROR(W166*FlightConfig!$K$3,"")</f>
        <v/>
      </c>
      <c r="AG166" s="131" t="str">
        <f>IFERROR(X166*FlightConfig!$K$3,"")</f>
        <v/>
      </c>
      <c r="AH166" s="131" t="str">
        <f>IFERROR(Y166*FlightConfig!$K$3,"")</f>
        <v/>
      </c>
      <c r="AI166" s="131" t="str">
        <f>IFERROR(AB166*FlightConfig!$K$3,"")</f>
        <v/>
      </c>
    </row>
    <row r="167" spans="2:35" x14ac:dyDescent="0.25">
      <c r="B167" s="174"/>
      <c r="C167" s="178"/>
      <c r="D167" s="281"/>
      <c r="E167" s="271"/>
      <c r="F167" s="277"/>
      <c r="G167" s="123" t="e">
        <f>VLOOKUP(E167,'[5]FG MASTER'!$A$10:$AB$203,2,0)</f>
        <v>#N/A</v>
      </c>
      <c r="H167" s="252">
        <v>1</v>
      </c>
      <c r="I167" s="176">
        <v>0.9</v>
      </c>
      <c r="J167" s="258" t="str">
        <f>IFERROR(IF(I167="std",H167,HLOOKUP(A167,FlightConfig!$B$28:$G$29,2,0)*I167),"")</f>
        <v/>
      </c>
      <c r="K167" s="213" t="e">
        <f>VLOOKUP(Food!E167,'FG MASTER'!A:AJ,16,0)</f>
        <v>#N/A</v>
      </c>
      <c r="L167" s="214" t="e">
        <f>VLOOKUP(Food!E167,'FG MASTER'!A:AJ,17,0)</f>
        <v>#N/A</v>
      </c>
      <c r="M167" s="136" t="str">
        <f t="shared" si="238"/>
        <v/>
      </c>
      <c r="N167" s="136" t="str">
        <f t="shared" si="239"/>
        <v/>
      </c>
      <c r="O167" s="136">
        <f t="shared" si="228"/>
        <v>0</v>
      </c>
      <c r="P167" s="136">
        <f t="shared" si="229"/>
        <v>0</v>
      </c>
      <c r="Q167" s="136">
        <f t="shared" si="240"/>
        <v>0</v>
      </c>
      <c r="R167" s="136"/>
      <c r="V167" s="131" t="str">
        <f t="shared" si="231"/>
        <v/>
      </c>
      <c r="W167" t="str">
        <f t="shared" si="232"/>
        <v/>
      </c>
      <c r="X167" s="131" t="str">
        <f t="shared" si="233"/>
        <v/>
      </c>
      <c r="Y167" s="131" t="str">
        <f t="shared" si="234"/>
        <v/>
      </c>
      <c r="Z167" s="131" t="str">
        <f t="shared" si="235"/>
        <v/>
      </c>
      <c r="AA167" s="131" t="str">
        <f t="shared" si="236"/>
        <v/>
      </c>
      <c r="AB167" s="131" t="str">
        <f t="shared" si="237"/>
        <v/>
      </c>
      <c r="AD167" s="131" t="str">
        <f>IFERROR(#REF!*FlightConfig!$K$3,"")</f>
        <v/>
      </c>
      <c r="AE167" s="131" t="str">
        <f>IFERROR(V167*FlightConfig!$K$3,"")</f>
        <v/>
      </c>
      <c r="AF167" s="131" t="str">
        <f>IFERROR(W167*FlightConfig!$K$3,"")</f>
        <v/>
      </c>
      <c r="AG167" s="131" t="str">
        <f>IFERROR(X167*FlightConfig!$K$3,"")</f>
        <v/>
      </c>
      <c r="AH167" s="131" t="str">
        <f>IFERROR(Y167*FlightConfig!$K$3,"")</f>
        <v/>
      </c>
      <c r="AI167" s="131" t="str">
        <f>IFERROR(AB167*FlightConfig!$K$3,"")</f>
        <v/>
      </c>
    </row>
    <row r="168" spans="2:35" x14ac:dyDescent="0.25">
      <c r="B168" s="174"/>
      <c r="C168" s="178"/>
      <c r="D168" s="281"/>
      <c r="E168" s="271"/>
      <c r="F168" s="277"/>
      <c r="G168" s="123" t="e">
        <f>VLOOKUP(E168,'[5]FG MASTER'!$A$10:$AB$203,2,0)</f>
        <v>#N/A</v>
      </c>
      <c r="H168" s="252">
        <v>1</v>
      </c>
      <c r="I168" s="176">
        <v>0.9</v>
      </c>
      <c r="J168" s="258" t="str">
        <f>IFERROR(IF(I168="std",H168,HLOOKUP(A168,FlightConfig!$B$28:$G$29,2,0)*I168),"")</f>
        <v/>
      </c>
      <c r="K168" s="213" t="e">
        <f>VLOOKUP(Food!E168,'FG MASTER'!A:AJ,16,0)</f>
        <v>#N/A</v>
      </c>
      <c r="L168" s="214" t="e">
        <f>VLOOKUP(Food!E168,'FG MASTER'!A:AJ,17,0)</f>
        <v>#N/A</v>
      </c>
      <c r="M168" s="136" t="str">
        <f t="shared" si="238"/>
        <v/>
      </c>
      <c r="N168" s="136" t="str">
        <f t="shared" si="239"/>
        <v/>
      </c>
      <c r="O168" s="136">
        <f t="shared" si="228"/>
        <v>0</v>
      </c>
      <c r="P168" s="136">
        <f t="shared" si="229"/>
        <v>0</v>
      </c>
      <c r="Q168" s="136">
        <f t="shared" si="240"/>
        <v>0</v>
      </c>
      <c r="R168" s="136"/>
      <c r="V168" s="131" t="str">
        <f t="shared" si="231"/>
        <v/>
      </c>
      <c r="W168" t="str">
        <f t="shared" si="232"/>
        <v/>
      </c>
      <c r="X168" s="131" t="str">
        <f t="shared" si="233"/>
        <v/>
      </c>
      <c r="Y168" s="131" t="str">
        <f t="shared" si="234"/>
        <v/>
      </c>
      <c r="Z168" s="131" t="str">
        <f t="shared" si="235"/>
        <v/>
      </c>
      <c r="AA168" s="131" t="str">
        <f t="shared" si="236"/>
        <v/>
      </c>
      <c r="AB168" s="131" t="str">
        <f t="shared" si="237"/>
        <v/>
      </c>
      <c r="AD168" s="131" t="str">
        <f>IFERROR(#REF!*FlightConfig!$K$3,"")</f>
        <v/>
      </c>
      <c r="AE168" s="131" t="str">
        <f>IFERROR(V168*FlightConfig!$K$3,"")</f>
        <v/>
      </c>
      <c r="AF168" s="131" t="str">
        <f>IFERROR(W168*FlightConfig!$K$3,"")</f>
        <v/>
      </c>
      <c r="AG168" s="131" t="str">
        <f>IFERROR(X168*FlightConfig!$K$3,"")</f>
        <v/>
      </c>
      <c r="AH168" s="131" t="str">
        <f>IFERROR(Y168*FlightConfig!$K$3,"")</f>
        <v/>
      </c>
      <c r="AI168" s="131" t="str">
        <f>IFERROR(AB168*FlightConfig!$K$3,"")</f>
        <v/>
      </c>
    </row>
    <row r="169" spans="2:35" x14ac:dyDescent="0.25">
      <c r="B169" s="174"/>
      <c r="C169" s="178"/>
      <c r="D169" s="281"/>
      <c r="E169" s="271"/>
      <c r="F169" s="277"/>
      <c r="G169" s="123" t="e">
        <f>VLOOKUP(E169,'[5]FG MASTER'!$A$10:$AB$203,2,0)</f>
        <v>#N/A</v>
      </c>
      <c r="H169" s="252">
        <v>1</v>
      </c>
      <c r="I169" s="176">
        <v>0.9</v>
      </c>
      <c r="J169" s="258" t="str">
        <f>IFERROR(IF(I169="std",H169,HLOOKUP(A169,FlightConfig!$B$28:$G$29,2,0)*I169),"")</f>
        <v/>
      </c>
      <c r="K169" s="213" t="e">
        <f>VLOOKUP(Food!E169,'FG MASTER'!A:AJ,16,0)</f>
        <v>#N/A</v>
      </c>
      <c r="L169" s="214" t="e">
        <f>VLOOKUP(Food!E169,'FG MASTER'!A:AJ,17,0)</f>
        <v>#N/A</v>
      </c>
      <c r="M169" s="136" t="str">
        <f t="shared" si="238"/>
        <v/>
      </c>
      <c r="N169" s="136" t="str">
        <f t="shared" si="239"/>
        <v/>
      </c>
      <c r="O169" s="136">
        <f t="shared" si="228"/>
        <v>0</v>
      </c>
      <c r="P169" s="136">
        <f t="shared" si="229"/>
        <v>0</v>
      </c>
      <c r="Q169" s="136">
        <f t="shared" si="240"/>
        <v>0</v>
      </c>
      <c r="R169" s="136"/>
      <c r="V169" s="131" t="str">
        <f t="shared" si="231"/>
        <v/>
      </c>
      <c r="W169" t="str">
        <f t="shared" si="232"/>
        <v/>
      </c>
      <c r="X169" s="131" t="str">
        <f t="shared" si="233"/>
        <v/>
      </c>
      <c r="Y169" s="131" t="str">
        <f t="shared" si="234"/>
        <v/>
      </c>
      <c r="Z169" s="131" t="str">
        <f t="shared" si="235"/>
        <v/>
      </c>
      <c r="AA169" s="131" t="str">
        <f t="shared" si="236"/>
        <v/>
      </c>
      <c r="AB169" s="131" t="str">
        <f t="shared" si="237"/>
        <v/>
      </c>
      <c r="AD169" s="131" t="str">
        <f>IFERROR(#REF!*FlightConfig!$K$3,"")</f>
        <v/>
      </c>
      <c r="AE169" s="131" t="str">
        <f>IFERROR(V169*FlightConfig!$K$3,"")</f>
        <v/>
      </c>
      <c r="AF169" s="131" t="str">
        <f>IFERROR(W169*FlightConfig!$K$3,"")</f>
        <v/>
      </c>
      <c r="AG169" s="131" t="str">
        <f>IFERROR(X169*FlightConfig!$K$3,"")</f>
        <v/>
      </c>
      <c r="AH169" s="131" t="str">
        <f>IFERROR(Y169*FlightConfig!$K$3,"")</f>
        <v/>
      </c>
      <c r="AI169" s="131" t="str">
        <f>IFERROR(AB169*FlightConfig!$K$3,"")</f>
        <v/>
      </c>
    </row>
    <row r="170" spans="2:35" x14ac:dyDescent="0.25">
      <c r="B170" s="174"/>
      <c r="C170" s="178"/>
      <c r="D170" s="281"/>
      <c r="E170" s="271"/>
      <c r="F170" s="277"/>
      <c r="G170" s="123" t="e">
        <f>VLOOKUP(E170,'[5]FG MASTER'!$A$10:$AB$203,2,0)</f>
        <v>#N/A</v>
      </c>
      <c r="H170" s="252">
        <v>1</v>
      </c>
      <c r="I170" s="176">
        <v>0.9</v>
      </c>
      <c r="J170" s="258" t="str">
        <f>IFERROR(IF(I170="std",H170,HLOOKUP(A170,FlightConfig!$B$28:$G$29,2,0)*I170),"")</f>
        <v/>
      </c>
      <c r="K170" s="213" t="e">
        <f>VLOOKUP(Food!E170,'FG MASTER'!A:AJ,16,0)</f>
        <v>#N/A</v>
      </c>
      <c r="L170" s="214" t="e">
        <f>VLOOKUP(Food!E170,'FG MASTER'!A:AJ,17,0)</f>
        <v>#N/A</v>
      </c>
      <c r="M170" s="136" t="str">
        <f t="shared" si="238"/>
        <v/>
      </c>
      <c r="N170" s="136" t="str">
        <f t="shared" si="239"/>
        <v/>
      </c>
      <c r="O170" s="136">
        <f t="shared" si="228"/>
        <v>0</v>
      </c>
      <c r="P170" s="136">
        <f t="shared" si="229"/>
        <v>0</v>
      </c>
      <c r="Q170" s="136">
        <f t="shared" si="240"/>
        <v>0</v>
      </c>
      <c r="R170" s="136"/>
      <c r="V170" s="131" t="str">
        <f t="shared" si="231"/>
        <v/>
      </c>
      <c r="W170" t="str">
        <f t="shared" si="232"/>
        <v/>
      </c>
      <c r="X170" s="131" t="str">
        <f t="shared" si="233"/>
        <v/>
      </c>
      <c r="Y170" s="131" t="str">
        <f t="shared" si="234"/>
        <v/>
      </c>
      <c r="Z170" s="131" t="str">
        <f t="shared" si="235"/>
        <v/>
      </c>
      <c r="AA170" s="131" t="str">
        <f t="shared" si="236"/>
        <v/>
      </c>
      <c r="AB170" s="131" t="str">
        <f t="shared" si="237"/>
        <v/>
      </c>
      <c r="AD170" s="131" t="str">
        <f>IFERROR(#REF!*FlightConfig!$K$3,"")</f>
        <v/>
      </c>
      <c r="AE170" s="131" t="str">
        <f>IFERROR(V170*FlightConfig!$K$3,"")</f>
        <v/>
      </c>
      <c r="AF170" s="131" t="str">
        <f>IFERROR(W170*FlightConfig!$K$3,"")</f>
        <v/>
      </c>
      <c r="AG170" s="131" t="str">
        <f>IFERROR(X170*FlightConfig!$K$3,"")</f>
        <v/>
      </c>
      <c r="AH170" s="131" t="str">
        <f>IFERROR(Y170*FlightConfig!$K$3,"")</f>
        <v/>
      </c>
      <c r="AI170" s="131" t="str">
        <f>IFERROR(AB170*FlightConfig!$K$3,"")</f>
        <v/>
      </c>
    </row>
    <row r="171" spans="2:35" x14ac:dyDescent="0.25">
      <c r="B171" s="174"/>
      <c r="C171" s="178"/>
      <c r="D171" s="281"/>
      <c r="E171" s="271"/>
      <c r="F171" s="277"/>
      <c r="G171" s="123" t="e">
        <f>VLOOKUP(E171,'[5]FG MASTER'!$A$10:$AB$203,2,0)</f>
        <v>#N/A</v>
      </c>
      <c r="H171" s="252">
        <v>1</v>
      </c>
      <c r="I171" s="176">
        <v>0.9</v>
      </c>
      <c r="J171" s="258" t="str">
        <f>IFERROR(IF(I171="std",H171,HLOOKUP(A171,FlightConfig!$B$28:$G$29,2,0)*I171),"")</f>
        <v/>
      </c>
      <c r="K171" s="213" t="e">
        <f>VLOOKUP(Food!E171,'FG MASTER'!A:AJ,16,0)</f>
        <v>#N/A</v>
      </c>
      <c r="L171" s="214" t="e">
        <f>VLOOKUP(Food!E171,'FG MASTER'!A:AJ,17,0)</f>
        <v>#N/A</v>
      </c>
      <c r="M171" s="136" t="str">
        <f t="shared" si="238"/>
        <v/>
      </c>
      <c r="N171" s="136" t="str">
        <f t="shared" si="239"/>
        <v/>
      </c>
      <c r="O171" s="136">
        <f t="shared" si="228"/>
        <v>0</v>
      </c>
      <c r="P171" s="136">
        <f t="shared" si="229"/>
        <v>0</v>
      </c>
      <c r="Q171" s="136">
        <f t="shared" si="240"/>
        <v>0</v>
      </c>
      <c r="R171" s="136"/>
      <c r="V171" s="131" t="str">
        <f t="shared" si="231"/>
        <v/>
      </c>
      <c r="W171" t="str">
        <f t="shared" si="232"/>
        <v/>
      </c>
      <c r="X171" s="131" t="str">
        <f t="shared" si="233"/>
        <v/>
      </c>
      <c r="Y171" s="131" t="str">
        <f t="shared" si="234"/>
        <v/>
      </c>
      <c r="Z171" s="131" t="str">
        <f t="shared" si="235"/>
        <v/>
      </c>
      <c r="AA171" s="131" t="str">
        <f t="shared" si="236"/>
        <v/>
      </c>
      <c r="AB171" s="131" t="str">
        <f t="shared" si="237"/>
        <v/>
      </c>
      <c r="AD171" s="131" t="str">
        <f>IFERROR(#REF!*FlightConfig!$K$3,"")</f>
        <v/>
      </c>
      <c r="AE171" s="131" t="str">
        <f>IFERROR(V171*FlightConfig!$K$3,"")</f>
        <v/>
      </c>
      <c r="AF171" s="131" t="str">
        <f>IFERROR(W171*FlightConfig!$K$3,"")</f>
        <v/>
      </c>
      <c r="AG171" s="131" t="str">
        <f>IFERROR(X171*FlightConfig!$K$3,"")</f>
        <v/>
      </c>
      <c r="AH171" s="131" t="str">
        <f>IFERROR(Y171*FlightConfig!$K$3,"")</f>
        <v/>
      </c>
      <c r="AI171" s="131" t="str">
        <f>IFERROR(AB171*FlightConfig!$K$3,"")</f>
        <v/>
      </c>
    </row>
    <row r="172" spans="2:35" x14ac:dyDescent="0.25">
      <c r="B172" s="174"/>
      <c r="C172" s="178"/>
      <c r="D172" s="281"/>
      <c r="E172" s="271"/>
      <c r="F172" s="277"/>
      <c r="G172" s="123" t="e">
        <f>VLOOKUP(E172,'[5]FG MASTER'!$A$10:$AB$203,2,0)</f>
        <v>#N/A</v>
      </c>
      <c r="H172" s="252">
        <v>1</v>
      </c>
      <c r="I172" s="176">
        <v>0.9</v>
      </c>
      <c r="J172" s="258" t="str">
        <f>IFERROR(IF(I172="std",H172,HLOOKUP(A172,FlightConfig!$B$28:$G$29,2,0)*I172),"")</f>
        <v/>
      </c>
      <c r="K172" s="213" t="e">
        <f>VLOOKUP(Food!E172,'FG MASTER'!A:AJ,16,0)</f>
        <v>#N/A</v>
      </c>
      <c r="L172" s="214" t="e">
        <f>VLOOKUP(Food!E172,'FG MASTER'!A:AJ,17,0)</f>
        <v>#N/A</v>
      </c>
      <c r="M172" s="136" t="str">
        <f t="shared" si="238"/>
        <v/>
      </c>
      <c r="N172" s="136" t="str">
        <f t="shared" si="239"/>
        <v/>
      </c>
      <c r="O172" s="136">
        <f t="shared" si="228"/>
        <v>0</v>
      </c>
      <c r="P172" s="136">
        <f t="shared" si="229"/>
        <v>0</v>
      </c>
      <c r="Q172" s="136">
        <f t="shared" si="240"/>
        <v>0</v>
      </c>
      <c r="R172" s="136"/>
      <c r="V172" s="131" t="str">
        <f t="shared" si="231"/>
        <v/>
      </c>
      <c r="W172" t="str">
        <f t="shared" si="232"/>
        <v/>
      </c>
      <c r="X172" s="131" t="str">
        <f t="shared" si="233"/>
        <v/>
      </c>
      <c r="Y172" s="131" t="str">
        <f t="shared" si="234"/>
        <v/>
      </c>
      <c r="Z172" s="131" t="str">
        <f t="shared" si="235"/>
        <v/>
      </c>
      <c r="AA172" s="131" t="str">
        <f t="shared" si="236"/>
        <v/>
      </c>
      <c r="AB172" s="131" t="str">
        <f t="shared" si="237"/>
        <v/>
      </c>
      <c r="AD172" s="131" t="str">
        <f>IFERROR(#REF!*FlightConfig!$K$3,"")</f>
        <v/>
      </c>
      <c r="AE172" s="131" t="str">
        <f>IFERROR(V172*FlightConfig!$K$3,"")</f>
        <v/>
      </c>
      <c r="AF172" s="131" t="str">
        <f>IFERROR(W172*FlightConfig!$K$3,"")</f>
        <v/>
      </c>
      <c r="AG172" s="131" t="str">
        <f>IFERROR(X172*FlightConfig!$K$3,"")</f>
        <v/>
      </c>
      <c r="AH172" s="131" t="str">
        <f>IFERROR(Y172*FlightConfig!$K$3,"")</f>
        <v/>
      </c>
      <c r="AI172" s="131" t="str">
        <f>IFERROR(AB172*FlightConfig!$K$3,"")</f>
        <v/>
      </c>
    </row>
    <row r="173" spans="2:35" x14ac:dyDescent="0.25">
      <c r="B173" s="174"/>
      <c r="C173" s="178"/>
      <c r="D173" s="281"/>
      <c r="E173" s="271"/>
      <c r="F173" s="277"/>
      <c r="G173" s="123" t="e">
        <f>VLOOKUP(E173,'[5]FG MASTER'!$A$10:$AB$203,2,0)</f>
        <v>#N/A</v>
      </c>
      <c r="H173" s="252">
        <v>1</v>
      </c>
      <c r="I173" s="176">
        <v>0.9</v>
      </c>
      <c r="J173" s="258" t="str">
        <f>IFERROR(IF(I173="std",H173,HLOOKUP(A173,FlightConfig!$B$28:$G$29,2,0)*I173),"")</f>
        <v/>
      </c>
      <c r="K173" s="213" t="e">
        <f>VLOOKUP(Food!E173,'FG MASTER'!A:AJ,16,0)</f>
        <v>#N/A</v>
      </c>
      <c r="L173" s="214" t="e">
        <f>VLOOKUP(Food!E173,'FG MASTER'!A:AJ,17,0)</f>
        <v>#N/A</v>
      </c>
      <c r="M173" s="136" t="str">
        <f t="shared" si="238"/>
        <v/>
      </c>
      <c r="N173" s="136" t="str">
        <f t="shared" si="239"/>
        <v/>
      </c>
      <c r="O173" s="136">
        <f t="shared" si="228"/>
        <v>0</v>
      </c>
      <c r="P173" s="136">
        <f t="shared" si="229"/>
        <v>0</v>
      </c>
      <c r="Q173" s="136">
        <f t="shared" si="240"/>
        <v>0</v>
      </c>
      <c r="R173" s="136"/>
      <c r="V173" s="131" t="str">
        <f t="shared" si="231"/>
        <v/>
      </c>
      <c r="W173" t="str">
        <f t="shared" si="232"/>
        <v/>
      </c>
      <c r="X173" s="131" t="str">
        <f t="shared" si="233"/>
        <v/>
      </c>
      <c r="Y173" s="131" t="str">
        <f t="shared" si="234"/>
        <v/>
      </c>
      <c r="Z173" s="131" t="str">
        <f t="shared" si="235"/>
        <v/>
      </c>
      <c r="AA173" s="131" t="str">
        <f t="shared" si="236"/>
        <v/>
      </c>
      <c r="AB173" s="131" t="str">
        <f t="shared" si="237"/>
        <v/>
      </c>
      <c r="AD173" s="131" t="str">
        <f>IFERROR(#REF!*FlightConfig!$K$3,"")</f>
        <v/>
      </c>
      <c r="AE173" s="131" t="str">
        <f>IFERROR(V173*FlightConfig!$K$3,"")</f>
        <v/>
      </c>
      <c r="AF173" s="131" t="str">
        <f>IFERROR(W173*FlightConfig!$K$3,"")</f>
        <v/>
      </c>
      <c r="AG173" s="131" t="str">
        <f>IFERROR(X173*FlightConfig!$K$3,"")</f>
        <v/>
      </c>
      <c r="AH173" s="131" t="str">
        <f>IFERROR(Y173*FlightConfig!$K$3,"")</f>
        <v/>
      </c>
      <c r="AI173" s="131" t="str">
        <f>IFERROR(AB173*FlightConfig!$K$3,"")</f>
        <v/>
      </c>
    </row>
    <row r="174" spans="2:35" x14ac:dyDescent="0.25">
      <c r="B174" s="174"/>
      <c r="C174" s="178"/>
      <c r="D174" s="281"/>
      <c r="E174" s="271"/>
      <c r="F174" s="277"/>
      <c r="G174" s="123" t="e">
        <f>VLOOKUP(E174,'[5]FG MASTER'!$A$10:$AB$203,2,0)</f>
        <v>#N/A</v>
      </c>
      <c r="H174" s="252">
        <v>1</v>
      </c>
      <c r="I174" s="176">
        <v>0.9</v>
      </c>
      <c r="J174" s="258" t="str">
        <f>IFERROR(IF(I174="std",H174,HLOOKUP(A174,FlightConfig!$B$28:$G$29,2,0)*I174),"")</f>
        <v/>
      </c>
      <c r="K174" s="213" t="e">
        <f>VLOOKUP(Food!E174,'FG MASTER'!A:AJ,16,0)</f>
        <v>#N/A</v>
      </c>
      <c r="L174" s="214" t="e">
        <f>VLOOKUP(Food!E174,'FG MASTER'!A:AJ,17,0)</f>
        <v>#N/A</v>
      </c>
      <c r="M174" s="136" t="str">
        <f t="shared" si="238"/>
        <v/>
      </c>
      <c r="N174" s="136" t="str">
        <f t="shared" si="239"/>
        <v/>
      </c>
      <c r="O174" s="136">
        <f t="shared" si="228"/>
        <v>0</v>
      </c>
      <c r="P174" s="136">
        <f t="shared" si="229"/>
        <v>0</v>
      </c>
      <c r="Q174" s="136">
        <f t="shared" si="240"/>
        <v>0</v>
      </c>
      <c r="R174" s="136"/>
      <c r="V174" s="131" t="str">
        <f t="shared" si="231"/>
        <v/>
      </c>
      <c r="W174" t="str">
        <f t="shared" si="232"/>
        <v/>
      </c>
      <c r="X174" s="131" t="str">
        <f t="shared" si="233"/>
        <v/>
      </c>
      <c r="Y174" s="131" t="str">
        <f t="shared" si="234"/>
        <v/>
      </c>
      <c r="Z174" s="131" t="str">
        <f t="shared" si="235"/>
        <v/>
      </c>
      <c r="AA174" s="131" t="str">
        <f t="shared" si="236"/>
        <v/>
      </c>
      <c r="AB174" s="131" t="str">
        <f t="shared" si="237"/>
        <v/>
      </c>
      <c r="AD174" s="131" t="str">
        <f>IFERROR(#REF!*FlightConfig!$K$3,"")</f>
        <v/>
      </c>
      <c r="AE174" s="131" t="str">
        <f>IFERROR(V174*FlightConfig!$K$3,"")</f>
        <v/>
      </c>
      <c r="AF174" s="131" t="str">
        <f>IFERROR(W174*FlightConfig!$K$3,"")</f>
        <v/>
      </c>
      <c r="AG174" s="131" t="str">
        <f>IFERROR(X174*FlightConfig!$K$3,"")</f>
        <v/>
      </c>
      <c r="AH174" s="131" t="str">
        <f>IFERROR(Y174*FlightConfig!$K$3,"")</f>
        <v/>
      </c>
      <c r="AI174" s="131" t="str">
        <f>IFERROR(AB174*FlightConfig!$K$3,"")</f>
        <v/>
      </c>
    </row>
    <row r="175" spans="2:35" x14ac:dyDescent="0.25">
      <c r="B175" s="174"/>
      <c r="C175" s="178"/>
      <c r="D175" s="281"/>
      <c r="E175" s="271"/>
      <c r="F175" s="277"/>
      <c r="G175" s="123" t="e">
        <f>VLOOKUP(E175,'[5]FG MASTER'!$A$10:$AB$203,2,0)</f>
        <v>#N/A</v>
      </c>
      <c r="H175" s="252">
        <v>1</v>
      </c>
      <c r="I175" s="176">
        <v>0.9</v>
      </c>
      <c r="J175" s="258" t="str">
        <f>IFERROR(IF(I175="std",H175,HLOOKUP(A175,FlightConfig!$B$28:$G$29,2,0)*I175),"")</f>
        <v/>
      </c>
      <c r="K175" s="213" t="e">
        <f>VLOOKUP(Food!E175,'FG MASTER'!A:AJ,16,0)</f>
        <v>#N/A</v>
      </c>
      <c r="L175" s="214" t="e">
        <f>VLOOKUP(Food!E175,'FG MASTER'!A:AJ,17,0)</f>
        <v>#N/A</v>
      </c>
      <c r="M175" s="136" t="str">
        <f t="shared" si="238"/>
        <v/>
      </c>
      <c r="N175" s="136" t="str">
        <f t="shared" si="239"/>
        <v/>
      </c>
      <c r="O175" s="136">
        <f t="shared" ref="O175:O217" si="241">IFERROR($K175*(1+$O$2)-$K175,0)</f>
        <v>0</v>
      </c>
      <c r="P175" s="136">
        <f t="shared" si="229"/>
        <v>0</v>
      </c>
      <c r="Q175" s="136">
        <f t="shared" si="240"/>
        <v>0</v>
      </c>
      <c r="R175" s="136"/>
      <c r="V175" s="131" t="str">
        <f t="shared" si="231"/>
        <v/>
      </c>
      <c r="W175" t="str">
        <f t="shared" si="232"/>
        <v/>
      </c>
      <c r="X175" s="131" t="str">
        <f t="shared" si="233"/>
        <v/>
      </c>
      <c r="Y175" s="131" t="str">
        <f t="shared" si="234"/>
        <v/>
      </c>
      <c r="Z175" s="131" t="str">
        <f t="shared" si="235"/>
        <v/>
      </c>
      <c r="AA175" s="131" t="str">
        <f t="shared" si="236"/>
        <v/>
      </c>
      <c r="AB175" s="131" t="str">
        <f t="shared" si="237"/>
        <v/>
      </c>
      <c r="AD175" s="131" t="str">
        <f>IFERROR(#REF!*FlightConfig!$K$3,"")</f>
        <v/>
      </c>
      <c r="AE175" s="131" t="str">
        <f>IFERROR(V175*FlightConfig!$K$3,"")</f>
        <v/>
      </c>
      <c r="AF175" s="131" t="str">
        <f>IFERROR(W175*FlightConfig!$K$3,"")</f>
        <v/>
      </c>
      <c r="AG175" s="131" t="str">
        <f>IFERROR(X175*FlightConfig!$K$3,"")</f>
        <v/>
      </c>
      <c r="AH175" s="131" t="str">
        <f>IFERROR(Y175*FlightConfig!$K$3,"")</f>
        <v/>
      </c>
      <c r="AI175" s="131" t="str">
        <f>IFERROR(AB175*FlightConfig!$K$3,"")</f>
        <v/>
      </c>
    </row>
    <row r="176" spans="2:35" x14ac:dyDescent="0.25">
      <c r="B176" s="174"/>
      <c r="C176" s="178"/>
      <c r="D176" s="281"/>
      <c r="E176" s="271"/>
      <c r="F176" s="277"/>
      <c r="G176" s="123" t="e">
        <f>VLOOKUP(E176,'[5]FG MASTER'!$A$10:$AB$203,2,0)</f>
        <v>#N/A</v>
      </c>
      <c r="H176" s="252">
        <v>1</v>
      </c>
      <c r="I176" s="176">
        <v>0.9</v>
      </c>
      <c r="J176" s="258" t="str">
        <f>IFERROR(IF(I176="std",H176,HLOOKUP(A176,FlightConfig!$B$28:$G$29,2,0)*I176),"")</f>
        <v/>
      </c>
      <c r="K176" s="213" t="e">
        <f>VLOOKUP(Food!E176,'FG MASTER'!A:AJ,16,0)</f>
        <v>#N/A</v>
      </c>
      <c r="L176" s="214" t="e">
        <f>VLOOKUP(Food!E176,'FG MASTER'!A:AJ,17,0)</f>
        <v>#N/A</v>
      </c>
      <c r="M176" s="136" t="str">
        <f t="shared" si="238"/>
        <v/>
      </c>
      <c r="N176" s="136" t="str">
        <f t="shared" si="239"/>
        <v/>
      </c>
      <c r="O176" s="136">
        <f t="shared" si="241"/>
        <v>0</v>
      </c>
      <c r="P176" s="136">
        <f t="shared" ref="P176:P217" si="242">IFERROR($M176*(1+$P$2)-$M176,0)</f>
        <v>0</v>
      </c>
      <c r="Q176" s="136">
        <f t="shared" si="240"/>
        <v>0</v>
      </c>
      <c r="R176" s="136"/>
      <c r="V176" s="131" t="str">
        <f t="shared" si="231"/>
        <v/>
      </c>
      <c r="W176" t="str">
        <f t="shared" si="232"/>
        <v/>
      </c>
      <c r="X176" s="131" t="str">
        <f t="shared" si="233"/>
        <v/>
      </c>
      <c r="Y176" s="131" t="str">
        <f t="shared" si="234"/>
        <v/>
      </c>
      <c r="Z176" s="131" t="str">
        <f t="shared" si="235"/>
        <v/>
      </c>
      <c r="AA176" s="131" t="str">
        <f t="shared" si="236"/>
        <v/>
      </c>
      <c r="AB176" s="131" t="str">
        <f t="shared" si="237"/>
        <v/>
      </c>
      <c r="AD176" s="131" t="str">
        <f>IFERROR(#REF!*FlightConfig!$K$3,"")</f>
        <v/>
      </c>
      <c r="AE176" s="131" t="str">
        <f>IFERROR(V176*FlightConfig!$K$3,"")</f>
        <v/>
      </c>
      <c r="AF176" s="131" t="str">
        <f>IFERROR(W176*FlightConfig!$K$3,"")</f>
        <v/>
      </c>
      <c r="AG176" s="131" t="str">
        <f>IFERROR(X176*FlightConfig!$K$3,"")</f>
        <v/>
      </c>
      <c r="AH176" s="131" t="str">
        <f>IFERROR(Y176*FlightConfig!$K$3,"")</f>
        <v/>
      </c>
      <c r="AI176" s="131" t="str">
        <f>IFERROR(AB176*FlightConfig!$K$3,"")</f>
        <v/>
      </c>
    </row>
    <row r="177" spans="2:35" x14ac:dyDescent="0.25">
      <c r="B177" s="174"/>
      <c r="C177" s="178"/>
      <c r="D177" s="281"/>
      <c r="E177" s="271"/>
      <c r="F177" s="277"/>
      <c r="G177" s="123" t="e">
        <f>VLOOKUP(E177,'[5]FG MASTER'!$A$10:$AB$203,2,0)</f>
        <v>#N/A</v>
      </c>
      <c r="H177" s="252">
        <v>1</v>
      </c>
      <c r="I177" s="176">
        <v>0.9</v>
      </c>
      <c r="J177" s="258" t="str">
        <f>IFERROR(IF(I177="std",H177,HLOOKUP(A177,FlightConfig!$B$28:$G$29,2,0)*I177),"")</f>
        <v/>
      </c>
      <c r="K177" s="213" t="e">
        <f>VLOOKUP(Food!E177,'FG MASTER'!A:AJ,16,0)</f>
        <v>#N/A</v>
      </c>
      <c r="L177" s="214" t="e">
        <f>VLOOKUP(Food!E177,'FG MASTER'!A:AJ,17,0)</f>
        <v>#N/A</v>
      </c>
      <c r="M177" s="136" t="str">
        <f t="shared" si="238"/>
        <v/>
      </c>
      <c r="N177" s="136" t="str">
        <f t="shared" si="239"/>
        <v/>
      </c>
      <c r="O177" s="136">
        <f t="shared" si="241"/>
        <v>0</v>
      </c>
      <c r="P177" s="136">
        <f t="shared" si="242"/>
        <v>0</v>
      </c>
      <c r="Q177" s="136">
        <f t="shared" si="240"/>
        <v>0</v>
      </c>
      <c r="R177" s="136"/>
      <c r="V177" s="131" t="str">
        <f t="shared" si="231"/>
        <v/>
      </c>
      <c r="W177" t="str">
        <f t="shared" si="232"/>
        <v/>
      </c>
      <c r="X177" s="131" t="str">
        <f t="shared" si="233"/>
        <v/>
      </c>
      <c r="Y177" s="131" t="str">
        <f t="shared" si="234"/>
        <v/>
      </c>
      <c r="Z177" s="131" t="str">
        <f t="shared" ref="Z177:Z208" si="243">IFERROR(O177*$J177,"")</f>
        <v/>
      </c>
      <c r="AA177" s="131" t="str">
        <f t="shared" ref="AA177:AA208" si="244">IFERROR(P177*$J177,"")</f>
        <v/>
      </c>
      <c r="AB177" s="131" t="str">
        <f t="shared" si="237"/>
        <v/>
      </c>
      <c r="AD177" s="131" t="str">
        <f>IFERROR(#REF!*FlightConfig!$K$3,"")</f>
        <v/>
      </c>
      <c r="AE177" s="131" t="str">
        <f>IFERROR(V177*FlightConfig!$K$3,"")</f>
        <v/>
      </c>
      <c r="AF177" s="131" t="str">
        <f>IFERROR(W177*FlightConfig!$K$3,"")</f>
        <v/>
      </c>
      <c r="AG177" s="131" t="str">
        <f>IFERROR(X177*FlightConfig!$K$3,"")</f>
        <v/>
      </c>
      <c r="AH177" s="131" t="str">
        <f>IFERROR(Y177*FlightConfig!$K$3,"")</f>
        <v/>
      </c>
      <c r="AI177" s="131" t="str">
        <f>IFERROR(AB177*FlightConfig!$K$3,"")</f>
        <v/>
      </c>
    </row>
    <row r="178" spans="2:35" x14ac:dyDescent="0.25">
      <c r="B178" s="174"/>
      <c r="C178" s="178"/>
      <c r="D178" s="281"/>
      <c r="E178" s="271"/>
      <c r="F178" s="277"/>
      <c r="G178" s="123" t="e">
        <f>VLOOKUP(E178,'[5]FG MASTER'!$A$10:$AB$203,2,0)</f>
        <v>#N/A</v>
      </c>
      <c r="H178" s="252">
        <v>1</v>
      </c>
      <c r="I178" s="176">
        <v>0.9</v>
      </c>
      <c r="J178" s="258" t="str">
        <f>IFERROR(IF(I178="std",H178,HLOOKUP(A178,FlightConfig!$B$28:$G$29,2,0)*I178),"")</f>
        <v/>
      </c>
      <c r="K178" s="213" t="e">
        <f>VLOOKUP(Food!E178,'FG MASTER'!A:AJ,16,0)</f>
        <v>#N/A</v>
      </c>
      <c r="L178" s="214" t="e">
        <f>VLOOKUP(Food!E178,'FG MASTER'!A:AJ,17,0)</f>
        <v>#N/A</v>
      </c>
      <c r="M178" s="136" t="str">
        <f t="shared" si="238"/>
        <v/>
      </c>
      <c r="N178" s="136" t="str">
        <f t="shared" si="239"/>
        <v/>
      </c>
      <c r="O178" s="136">
        <f t="shared" si="241"/>
        <v>0</v>
      </c>
      <c r="P178" s="136">
        <f t="shared" si="242"/>
        <v>0</v>
      </c>
      <c r="Q178" s="136">
        <f t="shared" si="240"/>
        <v>0</v>
      </c>
      <c r="R178" s="136"/>
      <c r="V178" s="131" t="str">
        <f t="shared" si="231"/>
        <v/>
      </c>
      <c r="W178" t="str">
        <f t="shared" si="232"/>
        <v/>
      </c>
      <c r="X178" s="131" t="str">
        <f t="shared" si="233"/>
        <v/>
      </c>
      <c r="Y178" s="131" t="str">
        <f t="shared" si="234"/>
        <v/>
      </c>
      <c r="Z178" s="131" t="str">
        <f t="shared" si="243"/>
        <v/>
      </c>
      <c r="AA178" s="131" t="str">
        <f t="shared" si="244"/>
        <v/>
      </c>
      <c r="AB178" s="131" t="str">
        <f t="shared" si="237"/>
        <v/>
      </c>
      <c r="AD178" s="131" t="str">
        <f>IFERROR(#REF!*FlightConfig!$K$3,"")</f>
        <v/>
      </c>
      <c r="AE178" s="131" t="str">
        <f>IFERROR(V178*FlightConfig!$K$3,"")</f>
        <v/>
      </c>
      <c r="AF178" s="131" t="str">
        <f>IFERROR(W178*FlightConfig!$K$3,"")</f>
        <v/>
      </c>
      <c r="AG178" s="131" t="str">
        <f>IFERROR(X178*FlightConfig!$K$3,"")</f>
        <v/>
      </c>
      <c r="AH178" s="131" t="str">
        <f>IFERROR(Y178*FlightConfig!$K$3,"")</f>
        <v/>
      </c>
      <c r="AI178" s="131" t="str">
        <f>IFERROR(AB178*FlightConfig!$K$3,"")</f>
        <v/>
      </c>
    </row>
    <row r="179" spans="2:35" x14ac:dyDescent="0.25">
      <c r="B179" s="174"/>
      <c r="C179" s="178"/>
      <c r="D179" s="281"/>
      <c r="E179" s="271"/>
      <c r="F179" s="277"/>
      <c r="G179" s="123" t="e">
        <f>VLOOKUP(E179,'[5]FG MASTER'!$A$10:$AB$203,2,0)</f>
        <v>#N/A</v>
      </c>
      <c r="H179" s="252">
        <v>1</v>
      </c>
      <c r="I179" s="176">
        <v>0.9</v>
      </c>
      <c r="J179" s="258" t="str">
        <f>IFERROR(IF(I179="std",H179,HLOOKUP(A179,FlightConfig!$B$28:$G$29,2,0)*I179),"")</f>
        <v/>
      </c>
      <c r="K179" s="213" t="e">
        <f>VLOOKUP(Food!E179,'FG MASTER'!A:AJ,16,0)</f>
        <v>#N/A</v>
      </c>
      <c r="L179" s="214" t="e">
        <f>VLOOKUP(Food!E179,'FG MASTER'!A:AJ,17,0)</f>
        <v>#N/A</v>
      </c>
      <c r="M179" s="136" t="str">
        <f t="shared" si="238"/>
        <v/>
      </c>
      <c r="N179" s="136" t="str">
        <f t="shared" si="239"/>
        <v/>
      </c>
      <c r="O179" s="136">
        <f t="shared" si="241"/>
        <v>0</v>
      </c>
      <c r="P179" s="136">
        <f t="shared" si="242"/>
        <v>0</v>
      </c>
      <c r="Q179" s="136">
        <f t="shared" si="240"/>
        <v>0</v>
      </c>
      <c r="R179" s="136"/>
      <c r="V179" s="131" t="str">
        <f t="shared" si="231"/>
        <v/>
      </c>
      <c r="W179" t="str">
        <f t="shared" si="232"/>
        <v/>
      </c>
      <c r="X179" s="131" t="str">
        <f t="shared" si="233"/>
        <v/>
      </c>
      <c r="Y179" s="131" t="str">
        <f t="shared" si="234"/>
        <v/>
      </c>
      <c r="Z179" s="131" t="str">
        <f t="shared" si="243"/>
        <v/>
      </c>
      <c r="AA179" s="131" t="str">
        <f t="shared" si="244"/>
        <v/>
      </c>
      <c r="AB179" s="131" t="str">
        <f t="shared" si="237"/>
        <v/>
      </c>
      <c r="AD179" s="131" t="str">
        <f>IFERROR(#REF!*FlightConfig!$K$3,"")</f>
        <v/>
      </c>
      <c r="AE179" s="131" t="str">
        <f>IFERROR(V179*FlightConfig!$K$3,"")</f>
        <v/>
      </c>
      <c r="AF179" s="131" t="str">
        <f>IFERROR(W179*FlightConfig!$K$3,"")</f>
        <v/>
      </c>
      <c r="AG179" s="131" t="str">
        <f>IFERROR(X179*FlightConfig!$K$3,"")</f>
        <v/>
      </c>
      <c r="AH179" s="131" t="str">
        <f>IFERROR(Y179*FlightConfig!$K$3,"")</f>
        <v/>
      </c>
      <c r="AI179" s="131" t="str">
        <f>IFERROR(AB179*FlightConfig!$K$3,"")</f>
        <v/>
      </c>
    </row>
    <row r="180" spans="2:35" x14ac:dyDescent="0.25">
      <c r="B180" s="174"/>
      <c r="C180" s="178"/>
      <c r="D180" s="281"/>
      <c r="E180" s="271"/>
      <c r="F180" s="277"/>
      <c r="G180" s="123" t="e">
        <f>VLOOKUP(E180,'[5]FG MASTER'!$A$10:$AB$203,2,0)</f>
        <v>#N/A</v>
      </c>
      <c r="H180" s="252">
        <v>1</v>
      </c>
      <c r="I180" s="176">
        <v>0.9</v>
      </c>
      <c r="J180" s="258" t="str">
        <f>IFERROR(IF(I180="std",H180,HLOOKUP(A180,FlightConfig!$B$28:$G$29,2,0)*I180),"")</f>
        <v/>
      </c>
      <c r="K180" s="213" t="e">
        <f>VLOOKUP(Food!E180,'FG MASTER'!A:AJ,16,0)</f>
        <v>#N/A</v>
      </c>
      <c r="L180" s="214" t="e">
        <f>VLOOKUP(Food!E180,'FG MASTER'!A:AJ,17,0)</f>
        <v>#N/A</v>
      </c>
      <c r="M180" s="136" t="str">
        <f t="shared" si="238"/>
        <v/>
      </c>
      <c r="N180" s="136" t="str">
        <f t="shared" si="239"/>
        <v/>
      </c>
      <c r="O180" s="136">
        <f t="shared" si="241"/>
        <v>0</v>
      </c>
      <c r="P180" s="136">
        <f t="shared" si="242"/>
        <v>0</v>
      </c>
      <c r="Q180" s="136">
        <f t="shared" si="240"/>
        <v>0</v>
      </c>
      <c r="R180" s="136"/>
      <c r="V180" s="131" t="str">
        <f t="shared" si="231"/>
        <v/>
      </c>
      <c r="W180" t="str">
        <f t="shared" si="232"/>
        <v/>
      </c>
      <c r="X180" s="131" t="str">
        <f t="shared" si="233"/>
        <v/>
      </c>
      <c r="Y180" s="131" t="str">
        <f t="shared" si="234"/>
        <v/>
      </c>
      <c r="Z180" s="131" t="str">
        <f t="shared" si="243"/>
        <v/>
      </c>
      <c r="AA180" s="131" t="str">
        <f t="shared" si="244"/>
        <v/>
      </c>
      <c r="AB180" s="131" t="str">
        <f t="shared" si="237"/>
        <v/>
      </c>
      <c r="AD180" s="131" t="str">
        <f>IFERROR(#REF!*FlightConfig!$K$3,"")</f>
        <v/>
      </c>
      <c r="AE180" s="131" t="str">
        <f>IFERROR(V180*FlightConfig!$K$3,"")</f>
        <v/>
      </c>
      <c r="AF180" s="131" t="str">
        <f>IFERROR(W180*FlightConfig!$K$3,"")</f>
        <v/>
      </c>
      <c r="AG180" s="131" t="str">
        <f>IFERROR(X180*FlightConfig!$K$3,"")</f>
        <v/>
      </c>
      <c r="AH180" s="131" t="str">
        <f>IFERROR(Y180*FlightConfig!$K$3,"")</f>
        <v/>
      </c>
      <c r="AI180" s="131" t="str">
        <f>IFERROR(AB180*FlightConfig!$K$3,"")</f>
        <v/>
      </c>
    </row>
    <row r="181" spans="2:35" x14ac:dyDescent="0.25">
      <c r="B181" s="174"/>
      <c r="C181" s="178"/>
      <c r="D181" s="281"/>
      <c r="E181" s="271"/>
      <c r="F181" s="277"/>
      <c r="G181" s="123" t="e">
        <f>VLOOKUP(E181,'[5]FG MASTER'!$A$10:$AB$203,2,0)</f>
        <v>#N/A</v>
      </c>
      <c r="H181" s="252">
        <v>1</v>
      </c>
      <c r="I181" s="176">
        <v>0.9</v>
      </c>
      <c r="J181" s="258" t="str">
        <f>IFERROR(IF(I181="std",H181,HLOOKUP(A181,FlightConfig!$B$28:$G$29,2,0)*I181),"")</f>
        <v/>
      </c>
      <c r="K181" s="213" t="e">
        <f>VLOOKUP(Food!E181,'FG MASTER'!A:AJ,16,0)</f>
        <v>#N/A</v>
      </c>
      <c r="L181" s="214" t="e">
        <f>VLOOKUP(Food!E181,'FG MASTER'!A:AJ,17,0)</f>
        <v>#N/A</v>
      </c>
      <c r="M181" s="136" t="str">
        <f t="shared" si="238"/>
        <v/>
      </c>
      <c r="N181" s="136" t="str">
        <f t="shared" si="239"/>
        <v/>
      </c>
      <c r="O181" s="136">
        <f t="shared" si="241"/>
        <v>0</v>
      </c>
      <c r="P181" s="136">
        <f t="shared" si="242"/>
        <v>0</v>
      </c>
      <c r="Q181" s="136">
        <f t="shared" si="240"/>
        <v>0</v>
      </c>
      <c r="R181" s="136"/>
      <c r="V181" s="131" t="str">
        <f t="shared" si="231"/>
        <v/>
      </c>
      <c r="W181" t="str">
        <f t="shared" si="232"/>
        <v/>
      </c>
      <c r="X181" s="131" t="str">
        <f t="shared" si="233"/>
        <v/>
      </c>
      <c r="Y181" s="131" t="str">
        <f t="shared" si="234"/>
        <v/>
      </c>
      <c r="Z181" s="131" t="str">
        <f t="shared" si="243"/>
        <v/>
      </c>
      <c r="AA181" s="131" t="str">
        <f t="shared" si="244"/>
        <v/>
      </c>
      <c r="AB181" s="131" t="str">
        <f t="shared" si="237"/>
        <v/>
      </c>
      <c r="AD181" s="131" t="str">
        <f>IFERROR(#REF!*FlightConfig!$K$3,"")</f>
        <v/>
      </c>
      <c r="AE181" s="131" t="str">
        <f>IFERROR(V181*FlightConfig!$K$3,"")</f>
        <v/>
      </c>
      <c r="AF181" s="131" t="str">
        <f>IFERROR(W181*FlightConfig!$K$3,"")</f>
        <v/>
      </c>
      <c r="AG181" s="131" t="str">
        <f>IFERROR(X181*FlightConfig!$K$3,"")</f>
        <v/>
      </c>
      <c r="AH181" s="131" t="str">
        <f>IFERROR(Y181*FlightConfig!$K$3,"")</f>
        <v/>
      </c>
      <c r="AI181" s="131" t="str">
        <f>IFERROR(AB181*FlightConfig!$K$3,"")</f>
        <v/>
      </c>
    </row>
    <row r="182" spans="2:35" x14ac:dyDescent="0.25">
      <c r="B182" s="174"/>
      <c r="C182" s="178"/>
      <c r="D182" s="281"/>
      <c r="E182" s="271"/>
      <c r="F182" s="277"/>
      <c r="G182" s="123" t="e">
        <f>VLOOKUP(E182,'[5]FG MASTER'!$A$10:$AB$203,2,0)</f>
        <v>#N/A</v>
      </c>
      <c r="H182" s="252">
        <v>1</v>
      </c>
      <c r="I182" s="176">
        <v>0.9</v>
      </c>
      <c r="J182" s="258" t="str">
        <f>IFERROR(IF(I182="std",H182,HLOOKUP(A182,FlightConfig!$B$28:$G$29,2,0)*I182),"")</f>
        <v/>
      </c>
      <c r="K182" s="213" t="e">
        <f>VLOOKUP(Food!E182,'FG MASTER'!A:AJ,16,0)</f>
        <v>#N/A</v>
      </c>
      <c r="L182" s="214" t="e">
        <f>VLOOKUP(Food!E182,'FG MASTER'!A:AJ,17,0)</f>
        <v>#N/A</v>
      </c>
      <c r="M182" s="136" t="str">
        <f t="shared" si="238"/>
        <v/>
      </c>
      <c r="N182" s="136" t="str">
        <f t="shared" si="239"/>
        <v/>
      </c>
      <c r="O182" s="136">
        <f t="shared" si="241"/>
        <v>0</v>
      </c>
      <c r="P182" s="136">
        <f t="shared" si="242"/>
        <v>0</v>
      </c>
      <c r="Q182" s="136">
        <f t="shared" si="240"/>
        <v>0</v>
      </c>
      <c r="R182" s="136"/>
      <c r="V182" s="131" t="str">
        <f t="shared" si="231"/>
        <v/>
      </c>
      <c r="W182" t="str">
        <f t="shared" si="232"/>
        <v/>
      </c>
      <c r="X182" s="131" t="str">
        <f t="shared" si="233"/>
        <v/>
      </c>
      <c r="Y182" s="131" t="str">
        <f t="shared" si="234"/>
        <v/>
      </c>
      <c r="Z182" s="131" t="str">
        <f t="shared" si="243"/>
        <v/>
      </c>
      <c r="AA182" s="131" t="str">
        <f t="shared" si="244"/>
        <v/>
      </c>
      <c r="AB182" s="131" t="str">
        <f t="shared" si="237"/>
        <v/>
      </c>
      <c r="AD182" s="131" t="str">
        <f>IFERROR(#REF!*FlightConfig!$K$3,"")</f>
        <v/>
      </c>
      <c r="AE182" s="131" t="str">
        <f>IFERROR(V182*FlightConfig!$K$3,"")</f>
        <v/>
      </c>
      <c r="AF182" s="131" t="str">
        <f>IFERROR(W182*FlightConfig!$K$3,"")</f>
        <v/>
      </c>
      <c r="AG182" s="131" t="str">
        <f>IFERROR(X182*FlightConfig!$K$3,"")</f>
        <v/>
      </c>
      <c r="AH182" s="131" t="str">
        <f>IFERROR(Y182*FlightConfig!$K$3,"")</f>
        <v/>
      </c>
      <c r="AI182" s="131" t="str">
        <f>IFERROR(AB182*FlightConfig!$K$3,"")</f>
        <v/>
      </c>
    </row>
    <row r="183" spans="2:35" x14ac:dyDescent="0.25">
      <c r="B183" s="174"/>
      <c r="C183" s="178"/>
      <c r="D183" s="281"/>
      <c r="E183" s="271"/>
      <c r="F183" s="277"/>
      <c r="G183" s="123" t="e">
        <f>VLOOKUP(E183,'[5]FG MASTER'!$A$10:$AB$203,2,0)</f>
        <v>#N/A</v>
      </c>
      <c r="H183" s="252">
        <v>1</v>
      </c>
      <c r="I183" s="176">
        <v>0.9</v>
      </c>
      <c r="J183" s="258" t="str">
        <f>IFERROR(IF(I183="std",H183,HLOOKUP(A183,FlightConfig!$B$28:$G$29,2,0)*I183),"")</f>
        <v/>
      </c>
      <c r="K183" s="213" t="e">
        <f>VLOOKUP(Food!E183,'FG MASTER'!A:AJ,16,0)</f>
        <v>#N/A</v>
      </c>
      <c r="L183" s="214" t="e">
        <f>VLOOKUP(Food!E183,'FG MASTER'!A:AJ,17,0)</f>
        <v>#N/A</v>
      </c>
      <c r="M183" s="136" t="str">
        <f t="shared" si="238"/>
        <v/>
      </c>
      <c r="N183" s="136" t="str">
        <f t="shared" si="239"/>
        <v/>
      </c>
      <c r="O183" s="136">
        <f t="shared" si="241"/>
        <v>0</v>
      </c>
      <c r="P183" s="136">
        <f t="shared" si="242"/>
        <v>0</v>
      </c>
      <c r="Q183" s="136">
        <f t="shared" si="240"/>
        <v>0</v>
      </c>
      <c r="R183" s="136"/>
      <c r="V183" s="131" t="str">
        <f t="shared" si="231"/>
        <v/>
      </c>
      <c r="W183" t="str">
        <f t="shared" ref="W183:W217" si="245">IFERROR(+L183*J183,"")</f>
        <v/>
      </c>
      <c r="X183" s="131" t="str">
        <f t="shared" ref="X183:X217" si="246">IFERROR(+M183*J183,"")</f>
        <v/>
      </c>
      <c r="Y183" s="131" t="str">
        <f t="shared" ref="Y183:Y217" si="247">IFERROR(+N183*J183,"")</f>
        <v/>
      </c>
      <c r="Z183" s="131" t="str">
        <f t="shared" si="243"/>
        <v/>
      </c>
      <c r="AA183" s="131" t="str">
        <f t="shared" si="244"/>
        <v/>
      </c>
      <c r="AB183" s="131" t="str">
        <f t="shared" ref="AB183:AB208" si="248">IFERROR(+Q183*J183,"")</f>
        <v/>
      </c>
      <c r="AD183" s="131" t="str">
        <f>IFERROR(#REF!*FlightConfig!$K$3,"")</f>
        <v/>
      </c>
      <c r="AE183" s="131" t="str">
        <f>IFERROR(V183*FlightConfig!$K$3,"")</f>
        <v/>
      </c>
      <c r="AF183" s="131" t="str">
        <f>IFERROR(W183*FlightConfig!$K$3,"")</f>
        <v/>
      </c>
      <c r="AG183" s="131" t="str">
        <f>IFERROR(X183*FlightConfig!$K$3,"")</f>
        <v/>
      </c>
      <c r="AH183" s="131" t="str">
        <f>IFERROR(Y183*FlightConfig!$K$3,"")</f>
        <v/>
      </c>
      <c r="AI183" s="131" t="str">
        <f>IFERROR(AB183*FlightConfig!$K$3,"")</f>
        <v/>
      </c>
    </row>
    <row r="184" spans="2:35" x14ac:dyDescent="0.25">
      <c r="B184" s="174"/>
      <c r="C184" s="178"/>
      <c r="D184" s="281"/>
      <c r="E184" s="271"/>
      <c r="F184" s="277"/>
      <c r="G184" s="123" t="e">
        <f>VLOOKUP(E184,'[5]FG MASTER'!$A$10:$AB$203,2,0)</f>
        <v>#N/A</v>
      </c>
      <c r="H184" s="252">
        <v>1</v>
      </c>
      <c r="I184" s="176">
        <v>0.9</v>
      </c>
      <c r="J184" s="258" t="str">
        <f>IFERROR(IF(I184="std",H184,HLOOKUP(A184,FlightConfig!$B$28:$G$29,2,0)*I184),"")</f>
        <v/>
      </c>
      <c r="K184" s="213" t="e">
        <f>VLOOKUP(Food!E184,'FG MASTER'!A:AJ,16,0)</f>
        <v>#N/A</v>
      </c>
      <c r="L184" s="214" t="e">
        <f>VLOOKUP(Food!E184,'FG MASTER'!A:AJ,17,0)</f>
        <v>#N/A</v>
      </c>
      <c r="M184" s="136" t="str">
        <f t="shared" si="238"/>
        <v/>
      </c>
      <c r="N184" s="136" t="str">
        <f t="shared" si="239"/>
        <v/>
      </c>
      <c r="O184" s="136">
        <f t="shared" si="241"/>
        <v>0</v>
      </c>
      <c r="P184" s="136">
        <f t="shared" si="242"/>
        <v>0</v>
      </c>
      <c r="Q184" s="136">
        <f t="shared" si="240"/>
        <v>0</v>
      </c>
      <c r="R184" s="136"/>
      <c r="V184" s="131" t="str">
        <f t="shared" si="231"/>
        <v/>
      </c>
      <c r="W184" t="str">
        <f t="shared" si="245"/>
        <v/>
      </c>
      <c r="X184" s="131" t="str">
        <f t="shared" si="246"/>
        <v/>
      </c>
      <c r="Y184" s="131" t="str">
        <f t="shared" si="247"/>
        <v/>
      </c>
      <c r="Z184" s="131" t="str">
        <f t="shared" si="243"/>
        <v/>
      </c>
      <c r="AA184" s="131" t="str">
        <f t="shared" si="244"/>
        <v/>
      </c>
      <c r="AB184" s="131" t="str">
        <f t="shared" si="248"/>
        <v/>
      </c>
      <c r="AD184" s="131" t="str">
        <f>IFERROR(#REF!*FlightConfig!$K$3,"")</f>
        <v/>
      </c>
      <c r="AE184" s="131" t="str">
        <f>IFERROR(V184*FlightConfig!$K$3,"")</f>
        <v/>
      </c>
      <c r="AF184" s="131" t="str">
        <f>IFERROR(W184*FlightConfig!$K$3,"")</f>
        <v/>
      </c>
      <c r="AG184" s="131" t="str">
        <f>IFERROR(X184*FlightConfig!$K$3,"")</f>
        <v/>
      </c>
      <c r="AH184" s="131" t="str">
        <f>IFERROR(Y184*FlightConfig!$K$3,"")</f>
        <v/>
      </c>
      <c r="AI184" s="131" t="str">
        <f>IFERROR(AB184*FlightConfig!$K$3,"")</f>
        <v/>
      </c>
    </row>
    <row r="185" spans="2:35" x14ac:dyDescent="0.25">
      <c r="B185" s="174"/>
      <c r="C185" s="178"/>
      <c r="D185" s="281"/>
      <c r="E185" s="271"/>
      <c r="F185" s="277"/>
      <c r="G185" s="123" t="e">
        <f>VLOOKUP(E185,'[5]FG MASTER'!$A$10:$AB$203,2,0)</f>
        <v>#N/A</v>
      </c>
      <c r="H185" s="252">
        <v>1</v>
      </c>
      <c r="I185" s="176">
        <v>0.9</v>
      </c>
      <c r="J185" s="258" t="str">
        <f>IFERROR(IF(I185="std",H185,HLOOKUP(A185,FlightConfig!$B$28:$G$29,2,0)*I185),"")</f>
        <v/>
      </c>
      <c r="K185" s="213" t="e">
        <f>VLOOKUP(Food!E185,'FG MASTER'!A:AJ,16,0)</f>
        <v>#N/A</v>
      </c>
      <c r="L185" s="214" t="e">
        <f>VLOOKUP(Food!E185,'FG MASTER'!A:AJ,17,0)</f>
        <v>#N/A</v>
      </c>
      <c r="M185" s="136" t="str">
        <f t="shared" si="238"/>
        <v/>
      </c>
      <c r="N185" s="136" t="str">
        <f t="shared" si="239"/>
        <v/>
      </c>
      <c r="O185" s="136">
        <f t="shared" si="241"/>
        <v>0</v>
      </c>
      <c r="P185" s="136">
        <f t="shared" si="242"/>
        <v>0</v>
      </c>
      <c r="Q185" s="136">
        <f t="shared" si="240"/>
        <v>0</v>
      </c>
      <c r="R185" s="136"/>
      <c r="V185" s="131" t="str">
        <f t="shared" ref="V185:V217" si="249">IFERROR(+K185*J185,"")</f>
        <v/>
      </c>
      <c r="W185" t="str">
        <f t="shared" si="245"/>
        <v/>
      </c>
      <c r="X185" s="131" t="str">
        <f t="shared" si="246"/>
        <v/>
      </c>
      <c r="Y185" s="131" t="str">
        <f t="shared" si="247"/>
        <v/>
      </c>
      <c r="Z185" s="131" t="str">
        <f t="shared" si="243"/>
        <v/>
      </c>
      <c r="AA185" s="131" t="str">
        <f t="shared" si="244"/>
        <v/>
      </c>
      <c r="AB185" s="131" t="str">
        <f t="shared" si="248"/>
        <v/>
      </c>
      <c r="AD185" s="131" t="str">
        <f>IFERROR(#REF!*FlightConfig!$K$3,"")</f>
        <v/>
      </c>
      <c r="AE185" s="131" t="str">
        <f>IFERROR(V185*FlightConfig!$K$3,"")</f>
        <v/>
      </c>
      <c r="AF185" s="131" t="str">
        <f>IFERROR(W185*FlightConfig!$K$3,"")</f>
        <v/>
      </c>
      <c r="AG185" s="131" t="str">
        <f>IFERROR(X185*FlightConfig!$K$3,"")</f>
        <v/>
      </c>
      <c r="AH185" s="131" t="str">
        <f>IFERROR(Y185*FlightConfig!$K$3,"")</f>
        <v/>
      </c>
      <c r="AI185" s="131" t="str">
        <f>IFERROR(AB185*FlightConfig!$K$3,"")</f>
        <v/>
      </c>
    </row>
    <row r="186" spans="2:35" x14ac:dyDescent="0.25">
      <c r="B186" s="174"/>
      <c r="C186" s="178"/>
      <c r="D186" s="281"/>
      <c r="E186" s="271"/>
      <c r="F186" s="277"/>
      <c r="G186" s="123" t="e">
        <f>VLOOKUP(E186,'[5]FG MASTER'!$A$10:$AB$203,2,0)</f>
        <v>#N/A</v>
      </c>
      <c r="H186" s="252">
        <v>1</v>
      </c>
      <c r="I186" s="176">
        <v>0.9</v>
      </c>
      <c r="J186" s="258" t="str">
        <f>IFERROR(IF(I186="std",H186,HLOOKUP(A186,FlightConfig!$B$28:$G$29,2,0)*I186),"")</f>
        <v/>
      </c>
      <c r="K186" s="213" t="e">
        <f>VLOOKUP(Food!E186,'FG MASTER'!A:AJ,16,0)</f>
        <v>#N/A</v>
      </c>
      <c r="L186" s="214" t="e">
        <f>VLOOKUP(Food!E186,'FG MASTER'!A:AJ,17,0)</f>
        <v>#N/A</v>
      </c>
      <c r="M186" s="136" t="str">
        <f t="shared" si="238"/>
        <v/>
      </c>
      <c r="N186" s="136" t="str">
        <f t="shared" si="239"/>
        <v/>
      </c>
      <c r="O186" s="136">
        <f t="shared" si="241"/>
        <v>0</v>
      </c>
      <c r="P186" s="136">
        <f t="shared" si="242"/>
        <v>0</v>
      </c>
      <c r="Q186" s="136">
        <f t="shared" si="240"/>
        <v>0</v>
      </c>
      <c r="R186" s="136"/>
      <c r="V186" s="131" t="str">
        <f t="shared" si="249"/>
        <v/>
      </c>
      <c r="W186" t="str">
        <f t="shared" si="245"/>
        <v/>
      </c>
      <c r="X186" s="131" t="str">
        <f t="shared" si="246"/>
        <v/>
      </c>
      <c r="Y186" s="131" t="str">
        <f t="shared" si="247"/>
        <v/>
      </c>
      <c r="Z186" s="131" t="str">
        <f t="shared" si="243"/>
        <v/>
      </c>
      <c r="AA186" s="131" t="str">
        <f t="shared" si="244"/>
        <v/>
      </c>
      <c r="AB186" s="131" t="str">
        <f t="shared" si="248"/>
        <v/>
      </c>
      <c r="AD186" s="131" t="str">
        <f>IFERROR(#REF!*FlightConfig!$K$3,"")</f>
        <v/>
      </c>
      <c r="AE186" s="131" t="str">
        <f>IFERROR(V186*FlightConfig!$K$3,"")</f>
        <v/>
      </c>
      <c r="AF186" s="131" t="str">
        <f>IFERROR(W186*FlightConfig!$K$3,"")</f>
        <v/>
      </c>
      <c r="AG186" s="131" t="str">
        <f>IFERROR(X186*FlightConfig!$K$3,"")</f>
        <v/>
      </c>
      <c r="AH186" s="131" t="str">
        <f>IFERROR(Y186*FlightConfig!$K$3,"")</f>
        <v/>
      </c>
      <c r="AI186" s="131" t="str">
        <f>IFERROR(AB186*FlightConfig!$K$3,"")</f>
        <v/>
      </c>
    </row>
    <row r="187" spans="2:35" x14ac:dyDescent="0.25">
      <c r="B187" s="174"/>
      <c r="C187" s="178"/>
      <c r="D187" s="281"/>
      <c r="E187" s="271"/>
      <c r="F187" s="277"/>
      <c r="G187" s="123" t="e">
        <f>VLOOKUP(E187,'[5]FG MASTER'!$A$10:$AB$203,2,0)</f>
        <v>#N/A</v>
      </c>
      <c r="H187" s="252">
        <v>1</v>
      </c>
      <c r="I187" s="176">
        <v>0.9</v>
      </c>
      <c r="J187" s="258" t="str">
        <f>IFERROR(IF(I187="std",H187,HLOOKUP(A187,FlightConfig!$B$28:$G$29,2,0)*I187),"")</f>
        <v/>
      </c>
      <c r="K187" s="213" t="e">
        <f>VLOOKUP(Food!E187,'FG MASTER'!A:AJ,16,0)</f>
        <v>#N/A</v>
      </c>
      <c r="L187" s="214" t="e">
        <f>VLOOKUP(Food!E187,'FG MASTER'!A:AJ,17,0)</f>
        <v>#N/A</v>
      </c>
      <c r="M187" s="136" t="str">
        <f t="shared" si="238"/>
        <v/>
      </c>
      <c r="N187" s="136" t="str">
        <f t="shared" si="239"/>
        <v/>
      </c>
      <c r="O187" s="136">
        <f t="shared" si="241"/>
        <v>0</v>
      </c>
      <c r="P187" s="136">
        <f t="shared" si="242"/>
        <v>0</v>
      </c>
      <c r="Q187" s="136">
        <f t="shared" si="240"/>
        <v>0</v>
      </c>
      <c r="R187" s="136"/>
      <c r="V187" s="131" t="str">
        <f t="shared" si="249"/>
        <v/>
      </c>
      <c r="W187" t="str">
        <f t="shared" si="245"/>
        <v/>
      </c>
      <c r="X187" s="131" t="str">
        <f t="shared" si="246"/>
        <v/>
      </c>
      <c r="Y187" s="131" t="str">
        <f t="shared" si="247"/>
        <v/>
      </c>
      <c r="Z187" s="131" t="str">
        <f t="shared" si="243"/>
        <v/>
      </c>
      <c r="AA187" s="131" t="str">
        <f t="shared" si="244"/>
        <v/>
      </c>
      <c r="AB187" s="131" t="str">
        <f t="shared" si="248"/>
        <v/>
      </c>
      <c r="AD187" s="131" t="str">
        <f>IFERROR(#REF!*FlightConfig!$K$3,"")</f>
        <v/>
      </c>
      <c r="AE187" s="131" t="str">
        <f>IFERROR(V187*FlightConfig!$K$3,"")</f>
        <v/>
      </c>
      <c r="AF187" s="131" t="str">
        <f>IFERROR(W187*FlightConfig!$K$3,"")</f>
        <v/>
      </c>
      <c r="AG187" s="131" t="str">
        <f>IFERROR(X187*FlightConfig!$K$3,"")</f>
        <v/>
      </c>
      <c r="AH187" s="131" t="str">
        <f>IFERROR(Y187*FlightConfig!$K$3,"")</f>
        <v/>
      </c>
      <c r="AI187" s="131" t="str">
        <f>IFERROR(AB187*FlightConfig!$K$3,"")</f>
        <v/>
      </c>
    </row>
    <row r="188" spans="2:35" x14ac:dyDescent="0.25">
      <c r="B188" s="174"/>
      <c r="C188" s="178"/>
      <c r="D188" s="281"/>
      <c r="E188" s="271"/>
      <c r="F188" s="277"/>
      <c r="G188" s="123" t="e">
        <f>VLOOKUP(E188,'[5]FG MASTER'!$A$10:$AB$203,2,0)</f>
        <v>#N/A</v>
      </c>
      <c r="H188" s="252">
        <v>1</v>
      </c>
      <c r="I188" s="176">
        <v>0.9</v>
      </c>
      <c r="J188" s="258" t="str">
        <f>IFERROR(IF(I188="std",H188,HLOOKUP(A188,FlightConfig!$B$28:$G$29,2,0)*I188),"")</f>
        <v/>
      </c>
      <c r="K188" s="213" t="e">
        <f>VLOOKUP(Food!E188,'FG MASTER'!A:AJ,16,0)</f>
        <v>#N/A</v>
      </c>
      <c r="L188" s="214" t="e">
        <f>VLOOKUP(Food!E188,'FG MASTER'!A:AJ,17,0)</f>
        <v>#N/A</v>
      </c>
      <c r="M188" s="136" t="str">
        <f t="shared" si="238"/>
        <v/>
      </c>
      <c r="N188" s="136" t="str">
        <f t="shared" si="239"/>
        <v/>
      </c>
      <c r="O188" s="136">
        <f t="shared" si="241"/>
        <v>0</v>
      </c>
      <c r="P188" s="136">
        <f t="shared" si="242"/>
        <v>0</v>
      </c>
      <c r="Q188" s="136">
        <f t="shared" si="240"/>
        <v>0</v>
      </c>
      <c r="R188" s="136"/>
      <c r="V188" s="131" t="str">
        <f t="shared" si="249"/>
        <v/>
      </c>
      <c r="W188" t="str">
        <f t="shared" si="245"/>
        <v/>
      </c>
      <c r="X188" s="131" t="str">
        <f t="shared" si="246"/>
        <v/>
      </c>
      <c r="Y188" s="131" t="str">
        <f t="shared" si="247"/>
        <v/>
      </c>
      <c r="Z188" s="131" t="str">
        <f t="shared" si="243"/>
        <v/>
      </c>
      <c r="AA188" s="131" t="str">
        <f t="shared" si="244"/>
        <v/>
      </c>
      <c r="AB188" s="131" t="str">
        <f t="shared" si="248"/>
        <v/>
      </c>
      <c r="AD188" s="131" t="str">
        <f>IFERROR(#REF!*FlightConfig!$K$3,"")</f>
        <v/>
      </c>
      <c r="AE188" s="131" t="str">
        <f>IFERROR(V188*FlightConfig!$K$3,"")</f>
        <v/>
      </c>
      <c r="AF188" s="131" t="str">
        <f>IFERROR(W188*FlightConfig!$K$3,"")</f>
        <v/>
      </c>
      <c r="AG188" s="131" t="str">
        <f>IFERROR(X188*FlightConfig!$K$3,"")</f>
        <v/>
      </c>
      <c r="AH188" s="131" t="str">
        <f>IFERROR(Y188*FlightConfig!$K$3,"")</f>
        <v/>
      </c>
      <c r="AI188" s="131" t="str">
        <f>IFERROR(AB188*FlightConfig!$K$3,"")</f>
        <v/>
      </c>
    </row>
    <row r="189" spans="2:35" x14ac:dyDescent="0.25">
      <c r="B189" s="174"/>
      <c r="C189" s="178"/>
      <c r="D189" s="281"/>
      <c r="E189" s="271"/>
      <c r="F189" s="277"/>
      <c r="G189" s="123" t="e">
        <f>VLOOKUP(E189,'[5]FG MASTER'!$A$10:$AB$203,2,0)</f>
        <v>#N/A</v>
      </c>
      <c r="H189" s="252">
        <v>1</v>
      </c>
      <c r="I189" s="176">
        <v>0.9</v>
      </c>
      <c r="J189" s="258" t="str">
        <f>IFERROR(IF(I189="std",H189,HLOOKUP(A189,FlightConfig!$B$28:$G$29,2,0)*I189),"")</f>
        <v/>
      </c>
      <c r="K189" s="213" t="e">
        <f>VLOOKUP(Food!E189,'FG MASTER'!A:AJ,16,0)</f>
        <v>#N/A</v>
      </c>
      <c r="L189" s="214" t="e">
        <f>VLOOKUP(Food!E189,'FG MASTER'!A:AJ,17,0)</f>
        <v>#N/A</v>
      </c>
      <c r="M189" s="136" t="str">
        <f t="shared" si="238"/>
        <v/>
      </c>
      <c r="N189" s="136" t="str">
        <f t="shared" si="239"/>
        <v/>
      </c>
      <c r="O189" s="136">
        <f t="shared" si="241"/>
        <v>0</v>
      </c>
      <c r="P189" s="136">
        <f t="shared" si="242"/>
        <v>0</v>
      </c>
      <c r="Q189" s="136">
        <f t="shared" si="240"/>
        <v>0</v>
      </c>
      <c r="R189" s="136"/>
      <c r="V189" s="131" t="str">
        <f t="shared" si="249"/>
        <v/>
      </c>
      <c r="W189" t="str">
        <f t="shared" si="245"/>
        <v/>
      </c>
      <c r="X189" s="131" t="str">
        <f t="shared" si="246"/>
        <v/>
      </c>
      <c r="Y189" s="131" t="str">
        <f t="shared" si="247"/>
        <v/>
      </c>
      <c r="Z189" s="131" t="str">
        <f t="shared" si="243"/>
        <v/>
      </c>
      <c r="AA189" s="131" t="str">
        <f t="shared" si="244"/>
        <v/>
      </c>
      <c r="AB189" s="131" t="str">
        <f t="shared" si="248"/>
        <v/>
      </c>
      <c r="AD189" s="131" t="str">
        <f>IFERROR(#REF!*FlightConfig!$K$3,"")</f>
        <v/>
      </c>
      <c r="AE189" s="131" t="str">
        <f>IFERROR(V189*FlightConfig!$K$3,"")</f>
        <v/>
      </c>
      <c r="AF189" s="131" t="str">
        <f>IFERROR(W189*FlightConfig!$K$3,"")</f>
        <v/>
      </c>
      <c r="AG189" s="131" t="str">
        <f>IFERROR(X189*FlightConfig!$K$3,"")</f>
        <v/>
      </c>
      <c r="AH189" s="131" t="str">
        <f>IFERROR(Y189*FlightConfig!$K$3,"")</f>
        <v/>
      </c>
      <c r="AI189" s="131" t="str">
        <f>IFERROR(AB189*FlightConfig!$K$3,"")</f>
        <v/>
      </c>
    </row>
    <row r="190" spans="2:35" x14ac:dyDescent="0.25">
      <c r="B190" s="174"/>
      <c r="C190" s="178"/>
      <c r="D190" s="281"/>
      <c r="E190" s="271"/>
      <c r="F190" s="277"/>
      <c r="G190" s="123" t="e">
        <f>VLOOKUP(E190,'[5]FG MASTER'!$A$10:$AB$203,2,0)</f>
        <v>#N/A</v>
      </c>
      <c r="H190" s="252">
        <v>1</v>
      </c>
      <c r="I190" s="176">
        <v>0.9</v>
      </c>
      <c r="J190" s="258" t="str">
        <f>IFERROR(IF(I190="std",H190,HLOOKUP(A190,FlightConfig!$B$28:$G$29,2,0)*I190),"")</f>
        <v/>
      </c>
      <c r="K190" s="213" t="e">
        <f>VLOOKUP(Food!E190,'FG MASTER'!A:AJ,16,0)</f>
        <v>#N/A</v>
      </c>
      <c r="L190" s="214" t="e">
        <f>VLOOKUP(Food!E190,'FG MASTER'!A:AJ,17,0)</f>
        <v>#N/A</v>
      </c>
      <c r="M190" s="136" t="str">
        <f t="shared" si="238"/>
        <v/>
      </c>
      <c r="N190" s="136" t="str">
        <f t="shared" si="239"/>
        <v/>
      </c>
      <c r="O190" s="136">
        <f t="shared" si="241"/>
        <v>0</v>
      </c>
      <c r="P190" s="136">
        <f t="shared" si="242"/>
        <v>0</v>
      </c>
      <c r="Q190" s="136">
        <f t="shared" si="240"/>
        <v>0</v>
      </c>
      <c r="R190" s="136"/>
      <c r="V190" s="131" t="str">
        <f t="shared" si="249"/>
        <v/>
      </c>
      <c r="W190" t="str">
        <f t="shared" si="245"/>
        <v/>
      </c>
      <c r="X190" s="131" t="str">
        <f t="shared" si="246"/>
        <v/>
      </c>
      <c r="Y190" s="131" t="str">
        <f t="shared" si="247"/>
        <v/>
      </c>
      <c r="Z190" s="131" t="str">
        <f t="shared" si="243"/>
        <v/>
      </c>
      <c r="AA190" s="131" t="str">
        <f t="shared" si="244"/>
        <v/>
      </c>
      <c r="AB190" s="131" t="str">
        <f t="shared" si="248"/>
        <v/>
      </c>
      <c r="AD190" s="131" t="str">
        <f>IFERROR(#REF!*FlightConfig!$K$3,"")</f>
        <v/>
      </c>
      <c r="AE190" s="131" t="str">
        <f>IFERROR(V190*FlightConfig!$K$3,"")</f>
        <v/>
      </c>
      <c r="AF190" s="131" t="str">
        <f>IFERROR(W190*FlightConfig!$K$3,"")</f>
        <v/>
      </c>
      <c r="AG190" s="131" t="str">
        <f>IFERROR(X190*FlightConfig!$K$3,"")</f>
        <v/>
      </c>
      <c r="AH190" s="131" t="str">
        <f>IFERROR(Y190*FlightConfig!$K$3,"")</f>
        <v/>
      </c>
      <c r="AI190" s="131" t="str">
        <f>IFERROR(AB190*FlightConfig!$K$3,"")</f>
        <v/>
      </c>
    </row>
    <row r="191" spans="2:35" x14ac:dyDescent="0.25">
      <c r="B191" s="174"/>
      <c r="C191" s="178"/>
      <c r="D191" s="281"/>
      <c r="E191" s="271"/>
      <c r="F191" s="277"/>
      <c r="G191" s="123" t="e">
        <f>VLOOKUP(E191,'[5]FG MASTER'!$A$10:$AB$203,2,0)</f>
        <v>#N/A</v>
      </c>
      <c r="H191" s="252">
        <v>1</v>
      </c>
      <c r="I191" s="176">
        <v>0.9</v>
      </c>
      <c r="J191" s="258" t="str">
        <f>IFERROR(IF(I191="std",H191,HLOOKUP(A191,FlightConfig!$B$28:$G$29,2,0)*I191),"")</f>
        <v/>
      </c>
      <c r="K191" s="213" t="e">
        <f>VLOOKUP(Food!E191,'FG MASTER'!A:AJ,16,0)</f>
        <v>#N/A</v>
      </c>
      <c r="L191" s="214" t="e">
        <f>VLOOKUP(Food!E191,'FG MASTER'!A:AJ,17,0)</f>
        <v>#N/A</v>
      </c>
      <c r="M191" s="136" t="str">
        <f t="shared" si="238"/>
        <v/>
      </c>
      <c r="N191" s="136" t="str">
        <f t="shared" si="239"/>
        <v/>
      </c>
      <c r="O191" s="136">
        <f t="shared" si="241"/>
        <v>0</v>
      </c>
      <c r="P191" s="136">
        <f t="shared" si="242"/>
        <v>0</v>
      </c>
      <c r="Q191" s="136">
        <f t="shared" si="240"/>
        <v>0</v>
      </c>
      <c r="R191" s="136"/>
      <c r="V191" s="131" t="str">
        <f t="shared" si="249"/>
        <v/>
      </c>
      <c r="W191" t="str">
        <f t="shared" si="245"/>
        <v/>
      </c>
      <c r="X191" s="131" t="str">
        <f t="shared" si="246"/>
        <v/>
      </c>
      <c r="Y191" s="131" t="str">
        <f t="shared" si="247"/>
        <v/>
      </c>
      <c r="Z191" s="131" t="str">
        <f t="shared" si="243"/>
        <v/>
      </c>
      <c r="AA191" s="131" t="str">
        <f t="shared" si="244"/>
        <v/>
      </c>
      <c r="AB191" s="131" t="str">
        <f t="shared" si="248"/>
        <v/>
      </c>
      <c r="AD191" s="131" t="str">
        <f>IFERROR(#REF!*FlightConfig!$K$3,"")</f>
        <v/>
      </c>
      <c r="AE191" s="131" t="str">
        <f>IFERROR(V191*FlightConfig!$K$3,"")</f>
        <v/>
      </c>
      <c r="AF191" s="131" t="str">
        <f>IFERROR(W191*FlightConfig!$K$3,"")</f>
        <v/>
      </c>
      <c r="AG191" s="131" t="str">
        <f>IFERROR(X191*FlightConfig!$K$3,"")</f>
        <v/>
      </c>
      <c r="AH191" s="131" t="str">
        <f>IFERROR(Y191*FlightConfig!$K$3,"")</f>
        <v/>
      </c>
      <c r="AI191" s="131" t="str">
        <f>IFERROR(AB191*FlightConfig!$K$3,"")</f>
        <v/>
      </c>
    </row>
    <row r="192" spans="2:35" x14ac:dyDescent="0.25">
      <c r="B192" s="174"/>
      <c r="C192" s="178"/>
      <c r="D192" s="281"/>
      <c r="E192" s="271"/>
      <c r="F192" s="277"/>
      <c r="G192" s="123" t="e">
        <f>VLOOKUP(E192,'[5]FG MASTER'!$A$10:$AB$203,2,0)</f>
        <v>#N/A</v>
      </c>
      <c r="H192" s="252">
        <v>1</v>
      </c>
      <c r="I192" s="176">
        <v>0.9</v>
      </c>
      <c r="J192" s="258" t="str">
        <f>IFERROR(IF(I192="std",H192,HLOOKUP(A192,FlightConfig!$B$28:$G$29,2,0)*I192),"")</f>
        <v/>
      </c>
      <c r="K192" s="213" t="e">
        <f>VLOOKUP(Food!E192,'FG MASTER'!A:AJ,16,0)</f>
        <v>#N/A</v>
      </c>
      <c r="L192" s="214" t="e">
        <f>VLOOKUP(Food!E192,'FG MASTER'!A:AJ,17,0)</f>
        <v>#N/A</v>
      </c>
      <c r="M192" s="136" t="str">
        <f t="shared" si="238"/>
        <v/>
      </c>
      <c r="N192" s="136" t="str">
        <f t="shared" si="239"/>
        <v/>
      </c>
      <c r="O192" s="136">
        <f t="shared" si="241"/>
        <v>0</v>
      </c>
      <c r="P192" s="136">
        <f t="shared" si="242"/>
        <v>0</v>
      </c>
      <c r="Q192" s="136">
        <f t="shared" si="240"/>
        <v>0</v>
      </c>
      <c r="R192" s="136"/>
      <c r="V192" s="131" t="str">
        <f t="shared" si="249"/>
        <v/>
      </c>
      <c r="W192" t="str">
        <f t="shared" si="245"/>
        <v/>
      </c>
      <c r="X192" s="131" t="str">
        <f t="shared" si="246"/>
        <v/>
      </c>
      <c r="Y192" s="131" t="str">
        <f t="shared" si="247"/>
        <v/>
      </c>
      <c r="Z192" s="131" t="str">
        <f t="shared" si="243"/>
        <v/>
      </c>
      <c r="AA192" s="131" t="str">
        <f t="shared" si="244"/>
        <v/>
      </c>
      <c r="AB192" s="131" t="str">
        <f t="shared" si="248"/>
        <v/>
      </c>
      <c r="AD192" s="131" t="str">
        <f>IFERROR(#REF!*FlightConfig!$K$3,"")</f>
        <v/>
      </c>
      <c r="AE192" s="131" t="str">
        <f>IFERROR(V192*FlightConfig!$K$3,"")</f>
        <v/>
      </c>
      <c r="AF192" s="131" t="str">
        <f>IFERROR(W192*FlightConfig!$K$3,"")</f>
        <v/>
      </c>
      <c r="AG192" s="131" t="str">
        <f>IFERROR(X192*FlightConfig!$K$3,"")</f>
        <v/>
      </c>
      <c r="AH192" s="131" t="str">
        <f>IFERROR(Y192*FlightConfig!$K$3,"")</f>
        <v/>
      </c>
      <c r="AI192" s="131" t="str">
        <f>IFERROR(AB192*FlightConfig!$K$3,"")</f>
        <v/>
      </c>
    </row>
    <row r="193" spans="2:35" x14ac:dyDescent="0.25">
      <c r="B193" s="174"/>
      <c r="C193" s="178"/>
      <c r="D193" s="281"/>
      <c r="E193" s="271"/>
      <c r="F193" s="277"/>
      <c r="G193" s="123" t="e">
        <f>VLOOKUP(E193,'[5]FG MASTER'!$A$10:$AB$203,2,0)</f>
        <v>#N/A</v>
      </c>
      <c r="H193" s="252">
        <v>1</v>
      </c>
      <c r="I193" s="176">
        <v>0.9</v>
      </c>
      <c r="J193" s="258" t="str">
        <f>IFERROR(IF(I193="std",H193,HLOOKUP(A193,FlightConfig!$B$28:$G$29,2,0)*I193),"")</f>
        <v/>
      </c>
      <c r="K193" s="213" t="e">
        <f>VLOOKUP(Food!E193,'FG MASTER'!A:AJ,16,0)</f>
        <v>#N/A</v>
      </c>
      <c r="L193" s="214" t="e">
        <f>VLOOKUP(Food!E193,'FG MASTER'!A:AJ,17,0)</f>
        <v>#N/A</v>
      </c>
      <c r="M193" s="136" t="str">
        <f t="shared" si="238"/>
        <v/>
      </c>
      <c r="N193" s="136" t="str">
        <f t="shared" si="239"/>
        <v/>
      </c>
      <c r="O193" s="136">
        <f t="shared" si="241"/>
        <v>0</v>
      </c>
      <c r="P193" s="136">
        <f t="shared" si="242"/>
        <v>0</v>
      </c>
      <c r="Q193" s="136">
        <f t="shared" si="240"/>
        <v>0</v>
      </c>
      <c r="R193" s="136"/>
      <c r="V193" s="131" t="str">
        <f t="shared" si="249"/>
        <v/>
      </c>
      <c r="W193" t="str">
        <f t="shared" si="245"/>
        <v/>
      </c>
      <c r="X193" s="131" t="str">
        <f t="shared" si="246"/>
        <v/>
      </c>
      <c r="Y193" s="131" t="str">
        <f t="shared" si="247"/>
        <v/>
      </c>
      <c r="Z193" s="131" t="str">
        <f t="shared" si="243"/>
        <v/>
      </c>
      <c r="AA193" s="131" t="str">
        <f t="shared" si="244"/>
        <v/>
      </c>
      <c r="AB193" s="131" t="str">
        <f t="shared" si="248"/>
        <v/>
      </c>
      <c r="AD193" s="131" t="str">
        <f>IFERROR(#REF!*FlightConfig!$K$3,"")</f>
        <v/>
      </c>
      <c r="AE193" s="131" t="str">
        <f>IFERROR(V193*FlightConfig!$K$3,"")</f>
        <v/>
      </c>
      <c r="AF193" s="131" t="str">
        <f>IFERROR(W193*FlightConfig!$K$3,"")</f>
        <v/>
      </c>
      <c r="AG193" s="131" t="str">
        <f>IFERROR(X193*FlightConfig!$K$3,"")</f>
        <v/>
      </c>
      <c r="AH193" s="131" t="str">
        <f>IFERROR(Y193*FlightConfig!$K$3,"")</f>
        <v/>
      </c>
      <c r="AI193" s="131" t="str">
        <f>IFERROR(AB193*FlightConfig!$K$3,"")</f>
        <v/>
      </c>
    </row>
    <row r="194" spans="2:35" x14ac:dyDescent="0.25">
      <c r="B194" s="174"/>
      <c r="C194" s="178"/>
      <c r="D194" s="281"/>
      <c r="E194" s="271"/>
      <c r="F194" s="277"/>
      <c r="G194" s="123" t="e">
        <f>VLOOKUP(E194,'[5]FG MASTER'!$A$10:$AB$203,2,0)</f>
        <v>#N/A</v>
      </c>
      <c r="H194" s="252">
        <v>1</v>
      </c>
      <c r="I194" s="176">
        <v>0.9</v>
      </c>
      <c r="J194" s="258" t="str">
        <f>IFERROR(IF(I194="std",H194,HLOOKUP(A194,FlightConfig!$B$28:$G$29,2,0)*I194),"")</f>
        <v/>
      </c>
      <c r="K194" s="213" t="e">
        <f>VLOOKUP(Food!E194,'FG MASTER'!A:AJ,16,0)</f>
        <v>#N/A</v>
      </c>
      <c r="L194" s="214" t="e">
        <f>VLOOKUP(Food!E194,'FG MASTER'!A:AJ,17,0)</f>
        <v>#N/A</v>
      </c>
      <c r="M194" s="136" t="str">
        <f t="shared" si="238"/>
        <v/>
      </c>
      <c r="N194" s="136" t="str">
        <f t="shared" si="239"/>
        <v/>
      </c>
      <c r="O194" s="136">
        <f t="shared" si="241"/>
        <v>0</v>
      </c>
      <c r="P194" s="136">
        <f t="shared" si="242"/>
        <v>0</v>
      </c>
      <c r="Q194" s="136">
        <f t="shared" si="240"/>
        <v>0</v>
      </c>
      <c r="R194" s="136"/>
      <c r="V194" s="131" t="str">
        <f t="shared" si="249"/>
        <v/>
      </c>
      <c r="W194" t="str">
        <f t="shared" si="245"/>
        <v/>
      </c>
      <c r="X194" s="131" t="str">
        <f t="shared" si="246"/>
        <v/>
      </c>
      <c r="Y194" s="131" t="str">
        <f t="shared" si="247"/>
        <v/>
      </c>
      <c r="Z194" s="131" t="str">
        <f t="shared" si="243"/>
        <v/>
      </c>
      <c r="AA194" s="131" t="str">
        <f t="shared" si="244"/>
        <v/>
      </c>
      <c r="AB194" s="131" t="str">
        <f t="shared" si="248"/>
        <v/>
      </c>
      <c r="AD194" s="131" t="str">
        <f>IFERROR(#REF!*FlightConfig!$K$3,"")</f>
        <v/>
      </c>
      <c r="AE194" s="131" t="str">
        <f>IFERROR(V194*FlightConfig!$K$3,"")</f>
        <v/>
      </c>
      <c r="AF194" s="131" t="str">
        <f>IFERROR(W194*FlightConfig!$K$3,"")</f>
        <v/>
      </c>
      <c r="AG194" s="131" t="str">
        <f>IFERROR(X194*FlightConfig!$K$3,"")</f>
        <v/>
      </c>
      <c r="AH194" s="131" t="str">
        <f>IFERROR(Y194*FlightConfig!$K$3,"")</f>
        <v/>
      </c>
      <c r="AI194" s="131" t="str">
        <f>IFERROR(AB194*FlightConfig!$K$3,"")</f>
        <v/>
      </c>
    </row>
    <row r="195" spans="2:35" x14ac:dyDescent="0.25">
      <c r="B195" s="174"/>
      <c r="C195" s="178"/>
      <c r="D195" s="281"/>
      <c r="E195" s="271"/>
      <c r="F195" s="277"/>
      <c r="G195" s="123" t="e">
        <f>VLOOKUP(E195,'[5]FG MASTER'!$A$10:$AB$203,2,0)</f>
        <v>#N/A</v>
      </c>
      <c r="H195" s="252">
        <v>1</v>
      </c>
      <c r="I195" s="176">
        <v>0.9</v>
      </c>
      <c r="J195" s="258" t="str">
        <f>IFERROR(IF(I195="std",H195,HLOOKUP(A195,FlightConfig!$B$28:$G$29,2,0)*I195),"")</f>
        <v/>
      </c>
      <c r="K195" s="213" t="e">
        <f>VLOOKUP(Food!E195,'FG MASTER'!A:AJ,16,0)</f>
        <v>#N/A</v>
      </c>
      <c r="L195" s="214" t="e">
        <f>VLOOKUP(Food!E195,'FG MASTER'!A:AJ,17,0)</f>
        <v>#N/A</v>
      </c>
      <c r="M195" s="136" t="str">
        <f t="shared" si="238"/>
        <v/>
      </c>
      <c r="N195" s="136" t="str">
        <f t="shared" si="239"/>
        <v/>
      </c>
      <c r="O195" s="136">
        <f t="shared" si="241"/>
        <v>0</v>
      </c>
      <c r="P195" s="136">
        <f t="shared" si="242"/>
        <v>0</v>
      </c>
      <c r="Q195" s="136">
        <f t="shared" si="240"/>
        <v>0</v>
      </c>
      <c r="R195" s="136"/>
      <c r="V195" s="131" t="str">
        <f t="shared" si="249"/>
        <v/>
      </c>
      <c r="W195" t="str">
        <f t="shared" si="245"/>
        <v/>
      </c>
      <c r="X195" s="131" t="str">
        <f t="shared" si="246"/>
        <v/>
      </c>
      <c r="Y195" s="131" t="str">
        <f t="shared" si="247"/>
        <v/>
      </c>
      <c r="Z195" s="131" t="str">
        <f t="shared" si="243"/>
        <v/>
      </c>
      <c r="AA195" s="131" t="str">
        <f t="shared" si="244"/>
        <v/>
      </c>
      <c r="AB195" s="131" t="str">
        <f t="shared" si="248"/>
        <v/>
      </c>
      <c r="AD195" s="131" t="str">
        <f>IFERROR(#REF!*FlightConfig!$K$3,"")</f>
        <v/>
      </c>
      <c r="AE195" s="131" t="str">
        <f>IFERROR(V195*FlightConfig!$K$3,"")</f>
        <v/>
      </c>
      <c r="AF195" s="131" t="str">
        <f>IFERROR(W195*FlightConfig!$K$3,"")</f>
        <v/>
      </c>
      <c r="AG195" s="131" t="str">
        <f>IFERROR(X195*FlightConfig!$K$3,"")</f>
        <v/>
      </c>
      <c r="AH195" s="131" t="str">
        <f>IFERROR(Y195*FlightConfig!$K$3,"")</f>
        <v/>
      </c>
      <c r="AI195" s="131" t="str">
        <f>IFERROR(AB195*FlightConfig!$K$3,"")</f>
        <v/>
      </c>
    </row>
    <row r="196" spans="2:35" x14ac:dyDescent="0.25">
      <c r="B196" s="174"/>
      <c r="C196" s="178"/>
      <c r="D196" s="281"/>
      <c r="E196" s="271"/>
      <c r="F196" s="277"/>
      <c r="G196" s="123" t="e">
        <f>VLOOKUP(E196,'[5]FG MASTER'!$A$10:$AB$203,2,0)</f>
        <v>#N/A</v>
      </c>
      <c r="H196" s="252">
        <v>1</v>
      </c>
      <c r="I196" s="176">
        <v>0.9</v>
      </c>
      <c r="J196" s="258" t="str">
        <f>IFERROR(IF(I196="std",H196,HLOOKUP(A196,FlightConfig!$B$28:$G$29,2,0)*I196),"")</f>
        <v/>
      </c>
      <c r="K196" s="213" t="e">
        <f>VLOOKUP(Food!E196,'FG MASTER'!A:AJ,16,0)</f>
        <v>#N/A</v>
      </c>
      <c r="L196" s="214" t="e">
        <f>VLOOKUP(Food!E196,'FG MASTER'!A:AJ,17,0)</f>
        <v>#N/A</v>
      </c>
      <c r="M196" s="136" t="str">
        <f t="shared" si="238"/>
        <v/>
      </c>
      <c r="N196" s="136" t="str">
        <f t="shared" si="239"/>
        <v/>
      </c>
      <c r="O196" s="136">
        <f t="shared" si="241"/>
        <v>0</v>
      </c>
      <c r="P196" s="136">
        <f t="shared" si="242"/>
        <v>0</v>
      </c>
      <c r="Q196" s="136">
        <f t="shared" si="240"/>
        <v>0</v>
      </c>
      <c r="R196" s="136"/>
      <c r="V196" s="131" t="str">
        <f t="shared" si="249"/>
        <v/>
      </c>
      <c r="W196" t="str">
        <f t="shared" si="245"/>
        <v/>
      </c>
      <c r="X196" s="131" t="str">
        <f t="shared" si="246"/>
        <v/>
      </c>
      <c r="Y196" s="131" t="str">
        <f t="shared" si="247"/>
        <v/>
      </c>
      <c r="Z196" s="131" t="str">
        <f t="shared" si="243"/>
        <v/>
      </c>
      <c r="AA196" s="131" t="str">
        <f t="shared" si="244"/>
        <v/>
      </c>
      <c r="AB196" s="131" t="str">
        <f t="shared" si="248"/>
        <v/>
      </c>
      <c r="AD196" s="131" t="str">
        <f>IFERROR(#REF!*FlightConfig!$K$3,"")</f>
        <v/>
      </c>
      <c r="AE196" s="131" t="str">
        <f>IFERROR(V196*FlightConfig!$K$3,"")</f>
        <v/>
      </c>
      <c r="AF196" s="131" t="str">
        <f>IFERROR(W196*FlightConfig!$K$3,"")</f>
        <v/>
      </c>
      <c r="AG196" s="131" t="str">
        <f>IFERROR(X196*FlightConfig!$K$3,"")</f>
        <v/>
      </c>
      <c r="AH196" s="131" t="str">
        <f>IFERROR(Y196*FlightConfig!$K$3,"")</f>
        <v/>
      </c>
      <c r="AI196" s="131" t="str">
        <f>IFERROR(AB196*FlightConfig!$K$3,"")</f>
        <v/>
      </c>
    </row>
    <row r="197" spans="2:35" x14ac:dyDescent="0.25">
      <c r="B197" s="174"/>
      <c r="C197" s="178"/>
      <c r="D197" s="281"/>
      <c r="E197" s="271"/>
      <c r="F197" s="277"/>
      <c r="G197" s="123" t="e">
        <f>VLOOKUP(E197,'[5]FG MASTER'!$A$10:$AB$203,2,0)</f>
        <v>#N/A</v>
      </c>
      <c r="H197" s="252">
        <v>1</v>
      </c>
      <c r="I197" s="176">
        <v>0.9</v>
      </c>
      <c r="J197" s="258" t="str">
        <f>IFERROR(IF(I197="std",H197,HLOOKUP(A197,FlightConfig!$B$28:$G$29,2,0)*I197),"")</f>
        <v/>
      </c>
      <c r="K197" s="213" t="e">
        <f>VLOOKUP(Food!E197,'FG MASTER'!A:AJ,16,0)</f>
        <v>#N/A</v>
      </c>
      <c r="L197" s="214" t="e">
        <f>VLOOKUP(Food!E197,'FG MASTER'!A:AJ,17,0)</f>
        <v>#N/A</v>
      </c>
      <c r="M197" s="136" t="str">
        <f t="shared" si="238"/>
        <v/>
      </c>
      <c r="N197" s="136" t="str">
        <f t="shared" si="239"/>
        <v/>
      </c>
      <c r="O197" s="136">
        <f t="shared" si="241"/>
        <v>0</v>
      </c>
      <c r="P197" s="136">
        <f t="shared" si="242"/>
        <v>0</v>
      </c>
      <c r="Q197" s="136">
        <f t="shared" si="240"/>
        <v>0</v>
      </c>
      <c r="R197" s="136"/>
      <c r="V197" s="131" t="str">
        <f t="shared" si="249"/>
        <v/>
      </c>
      <c r="W197" t="str">
        <f t="shared" si="245"/>
        <v/>
      </c>
      <c r="X197" s="131" t="str">
        <f t="shared" si="246"/>
        <v/>
      </c>
      <c r="Y197" s="131" t="str">
        <f t="shared" si="247"/>
        <v/>
      </c>
      <c r="Z197" s="131" t="str">
        <f t="shared" si="243"/>
        <v/>
      </c>
      <c r="AA197" s="131" t="str">
        <f t="shared" si="244"/>
        <v/>
      </c>
      <c r="AB197" s="131" t="str">
        <f t="shared" si="248"/>
        <v/>
      </c>
      <c r="AD197" s="131" t="str">
        <f>IFERROR(#REF!*FlightConfig!$K$3,"")</f>
        <v/>
      </c>
      <c r="AE197" s="131" t="str">
        <f>IFERROR(V197*FlightConfig!$K$3,"")</f>
        <v/>
      </c>
      <c r="AF197" s="131" t="str">
        <f>IFERROR(W197*FlightConfig!$K$3,"")</f>
        <v/>
      </c>
      <c r="AG197" s="131" t="str">
        <f>IFERROR(X197*FlightConfig!$K$3,"")</f>
        <v/>
      </c>
      <c r="AH197" s="131" t="str">
        <f>IFERROR(Y197*FlightConfig!$K$3,"")</f>
        <v/>
      </c>
      <c r="AI197" s="131" t="str">
        <f>IFERROR(AB197*FlightConfig!$K$3,"")</f>
        <v/>
      </c>
    </row>
    <row r="198" spans="2:35" x14ac:dyDescent="0.25">
      <c r="B198" s="174"/>
      <c r="C198" s="178"/>
      <c r="D198" s="281"/>
      <c r="E198" s="271"/>
      <c r="F198" s="277"/>
      <c r="G198" s="123" t="e">
        <f>VLOOKUP(E198,'[5]FG MASTER'!$A$10:$AB$203,2,0)</f>
        <v>#N/A</v>
      </c>
      <c r="H198" s="252">
        <v>1</v>
      </c>
      <c r="I198" s="176">
        <v>0.9</v>
      </c>
      <c r="J198" s="258" t="str">
        <f>IFERROR(IF(I198="std",H198,HLOOKUP(A198,FlightConfig!$B$28:$G$29,2,0)*I198),"")</f>
        <v/>
      </c>
      <c r="K198" s="213" t="e">
        <f>VLOOKUP(Food!E198,'FG MASTER'!A:AJ,16,0)</f>
        <v>#N/A</v>
      </c>
      <c r="L198" s="214" t="e">
        <f>VLOOKUP(Food!E198,'FG MASTER'!A:AJ,17,0)</f>
        <v>#N/A</v>
      </c>
      <c r="M198" s="136" t="str">
        <f t="shared" si="238"/>
        <v/>
      </c>
      <c r="N198" s="136" t="str">
        <f t="shared" si="239"/>
        <v/>
      </c>
      <c r="O198" s="136">
        <f t="shared" si="241"/>
        <v>0</v>
      </c>
      <c r="P198" s="136">
        <f t="shared" si="242"/>
        <v>0</v>
      </c>
      <c r="Q198" s="136">
        <f t="shared" si="240"/>
        <v>0</v>
      </c>
      <c r="R198" s="136"/>
      <c r="V198" s="131" t="str">
        <f t="shared" si="249"/>
        <v/>
      </c>
      <c r="W198" t="str">
        <f t="shared" si="245"/>
        <v/>
      </c>
      <c r="X198" s="131" t="str">
        <f t="shared" si="246"/>
        <v/>
      </c>
      <c r="Y198" s="131" t="str">
        <f t="shared" si="247"/>
        <v/>
      </c>
      <c r="Z198" s="131" t="str">
        <f t="shared" si="243"/>
        <v/>
      </c>
      <c r="AA198" s="131" t="str">
        <f t="shared" si="244"/>
        <v/>
      </c>
      <c r="AB198" s="131" t="str">
        <f t="shared" si="248"/>
        <v/>
      </c>
      <c r="AD198" s="131" t="str">
        <f>IFERROR(#REF!*FlightConfig!$K$3,"")</f>
        <v/>
      </c>
      <c r="AE198" s="131" t="str">
        <f>IFERROR(V198*FlightConfig!$K$3,"")</f>
        <v/>
      </c>
      <c r="AF198" s="131" t="str">
        <f>IFERROR(W198*FlightConfig!$K$3,"")</f>
        <v/>
      </c>
      <c r="AG198" s="131" t="str">
        <f>IFERROR(X198*FlightConfig!$K$3,"")</f>
        <v/>
      </c>
      <c r="AH198" s="131" t="str">
        <f>IFERROR(Y198*FlightConfig!$K$3,"")</f>
        <v/>
      </c>
      <c r="AI198" s="131" t="str">
        <f>IFERROR(AB198*FlightConfig!$K$3,"")</f>
        <v/>
      </c>
    </row>
    <row r="199" spans="2:35" x14ac:dyDescent="0.25">
      <c r="B199" s="174"/>
      <c r="C199" s="178"/>
      <c r="D199" s="281"/>
      <c r="E199" s="271"/>
      <c r="F199" s="277"/>
      <c r="G199" s="123" t="e">
        <f>VLOOKUP(E199,'[5]FG MASTER'!$A$10:$AB$203,2,0)</f>
        <v>#N/A</v>
      </c>
      <c r="H199" s="252">
        <v>1</v>
      </c>
      <c r="I199" s="176">
        <v>0.9</v>
      </c>
      <c r="J199" s="258" t="str">
        <f>IFERROR(IF(I199="std",H199,HLOOKUP(A199,FlightConfig!$B$28:$G$29,2,0)*I199),"")</f>
        <v/>
      </c>
      <c r="K199" s="213" t="e">
        <f>VLOOKUP(Food!E199,'FG MASTER'!A:AJ,16,0)</f>
        <v>#N/A</v>
      </c>
      <c r="L199" s="214" t="e">
        <f>VLOOKUP(Food!E199,'FG MASTER'!A:AJ,17,0)</f>
        <v>#N/A</v>
      </c>
      <c r="M199" s="136" t="str">
        <f t="shared" si="238"/>
        <v/>
      </c>
      <c r="N199" s="136" t="str">
        <f t="shared" si="239"/>
        <v/>
      </c>
      <c r="O199" s="136">
        <f t="shared" si="241"/>
        <v>0</v>
      </c>
      <c r="P199" s="136">
        <f t="shared" si="242"/>
        <v>0</v>
      </c>
      <c r="Q199" s="136">
        <f t="shared" si="240"/>
        <v>0</v>
      </c>
      <c r="R199" s="136"/>
      <c r="V199" s="131" t="str">
        <f t="shared" si="249"/>
        <v/>
      </c>
      <c r="W199" t="str">
        <f t="shared" si="245"/>
        <v/>
      </c>
      <c r="X199" s="131" t="str">
        <f t="shared" si="246"/>
        <v/>
      </c>
      <c r="Y199" s="131" t="str">
        <f t="shared" si="247"/>
        <v/>
      </c>
      <c r="Z199" s="131" t="str">
        <f t="shared" si="243"/>
        <v/>
      </c>
      <c r="AA199" s="131" t="str">
        <f t="shared" si="244"/>
        <v/>
      </c>
      <c r="AB199" s="131" t="str">
        <f t="shared" si="248"/>
        <v/>
      </c>
      <c r="AD199" s="131" t="str">
        <f>IFERROR(#REF!*FlightConfig!$K$3,"")</f>
        <v/>
      </c>
      <c r="AE199" s="131" t="str">
        <f>IFERROR(V199*FlightConfig!$K$3,"")</f>
        <v/>
      </c>
      <c r="AF199" s="131" t="str">
        <f>IFERROR(W199*FlightConfig!$K$3,"")</f>
        <v/>
      </c>
      <c r="AG199" s="131" t="str">
        <f>IFERROR(X199*FlightConfig!$K$3,"")</f>
        <v/>
      </c>
      <c r="AH199" s="131" t="str">
        <f>IFERROR(Y199*FlightConfig!$K$3,"")</f>
        <v/>
      </c>
      <c r="AI199" s="131" t="str">
        <f>IFERROR(AB199*FlightConfig!$K$3,"")</f>
        <v/>
      </c>
    </row>
    <row r="200" spans="2:35" x14ac:dyDescent="0.25">
      <c r="B200" s="174"/>
      <c r="C200" s="178"/>
      <c r="D200" s="281"/>
      <c r="E200" s="271"/>
      <c r="F200" s="277"/>
      <c r="G200" s="123" t="e">
        <f>VLOOKUP(E200,'[5]FG MASTER'!$A$10:$AB$203,2,0)</f>
        <v>#N/A</v>
      </c>
      <c r="H200" s="252">
        <v>1</v>
      </c>
      <c r="I200" s="176">
        <v>0.9</v>
      </c>
      <c r="J200" s="258" t="str">
        <f>IFERROR(IF(I200="std",H200,HLOOKUP(A200,FlightConfig!$B$28:$G$29,2,0)*I200),"")</f>
        <v/>
      </c>
      <c r="K200" s="213" t="e">
        <f>VLOOKUP(Food!E200,'FG MASTER'!A:AJ,16,0)</f>
        <v>#N/A</v>
      </c>
      <c r="L200" s="214" t="e">
        <f>VLOOKUP(Food!E200,'FG MASTER'!A:AJ,17,0)</f>
        <v>#N/A</v>
      </c>
      <c r="M200" s="136" t="str">
        <f t="shared" si="238"/>
        <v/>
      </c>
      <c r="N200" s="136" t="str">
        <f t="shared" si="239"/>
        <v/>
      </c>
      <c r="O200" s="136">
        <f t="shared" si="241"/>
        <v>0</v>
      </c>
      <c r="P200" s="136">
        <f t="shared" si="242"/>
        <v>0</v>
      </c>
      <c r="Q200" s="136">
        <f t="shared" si="240"/>
        <v>0</v>
      </c>
      <c r="R200" s="136"/>
      <c r="V200" s="131" t="str">
        <f t="shared" si="249"/>
        <v/>
      </c>
      <c r="W200" t="str">
        <f t="shared" si="245"/>
        <v/>
      </c>
      <c r="X200" s="131" t="str">
        <f t="shared" si="246"/>
        <v/>
      </c>
      <c r="Y200" s="131" t="str">
        <f t="shared" si="247"/>
        <v/>
      </c>
      <c r="Z200" s="131" t="str">
        <f t="shared" si="243"/>
        <v/>
      </c>
      <c r="AA200" s="131" t="str">
        <f t="shared" si="244"/>
        <v/>
      </c>
      <c r="AB200" s="131" t="str">
        <f t="shared" si="248"/>
        <v/>
      </c>
      <c r="AD200" s="131" t="str">
        <f>IFERROR(#REF!*FlightConfig!$K$3,"")</f>
        <v/>
      </c>
      <c r="AE200" s="131" t="str">
        <f>IFERROR(V200*FlightConfig!$K$3,"")</f>
        <v/>
      </c>
      <c r="AF200" s="131" t="str">
        <f>IFERROR(W200*FlightConfig!$K$3,"")</f>
        <v/>
      </c>
      <c r="AG200" s="131" t="str">
        <f>IFERROR(X200*FlightConfig!$K$3,"")</f>
        <v/>
      </c>
      <c r="AH200" s="131" t="str">
        <f>IFERROR(Y200*FlightConfig!$K$3,"")</f>
        <v/>
      </c>
      <c r="AI200" s="131" t="str">
        <f>IFERROR(AB200*FlightConfig!$K$3,"")</f>
        <v/>
      </c>
    </row>
    <row r="201" spans="2:35" x14ac:dyDescent="0.25">
      <c r="B201" s="174"/>
      <c r="C201" s="178"/>
      <c r="D201" s="281"/>
      <c r="E201" s="271"/>
      <c r="F201" s="277"/>
      <c r="G201" s="123" t="e">
        <f>VLOOKUP(E201,'[5]FG MASTER'!$A$10:$AB$203,2,0)</f>
        <v>#N/A</v>
      </c>
      <c r="H201" s="252">
        <v>1</v>
      </c>
      <c r="I201" s="176">
        <v>0.9</v>
      </c>
      <c r="J201" s="258" t="str">
        <f>IFERROR(IF(I201="std",H201,HLOOKUP(A201,FlightConfig!$B$28:$G$29,2,0)*I201),"")</f>
        <v/>
      </c>
      <c r="K201" s="213" t="e">
        <f>VLOOKUP(Food!E201,'FG MASTER'!A:AJ,16,0)</f>
        <v>#N/A</v>
      </c>
      <c r="L201" s="214" t="e">
        <f>VLOOKUP(Food!E201,'FG MASTER'!A:AJ,17,0)</f>
        <v>#N/A</v>
      </c>
      <c r="M201" s="136" t="str">
        <f t="shared" si="238"/>
        <v/>
      </c>
      <c r="N201" s="136" t="str">
        <f t="shared" si="239"/>
        <v/>
      </c>
      <c r="O201" s="136">
        <f t="shared" si="241"/>
        <v>0</v>
      </c>
      <c r="P201" s="136">
        <f t="shared" si="242"/>
        <v>0</v>
      </c>
      <c r="Q201" s="136">
        <f t="shared" si="240"/>
        <v>0</v>
      </c>
      <c r="R201" s="136"/>
      <c r="V201" s="131" t="str">
        <f t="shared" si="249"/>
        <v/>
      </c>
      <c r="W201" t="str">
        <f t="shared" si="245"/>
        <v/>
      </c>
      <c r="X201" s="131" t="str">
        <f t="shared" si="246"/>
        <v/>
      </c>
      <c r="Y201" s="131" t="str">
        <f t="shared" si="247"/>
        <v/>
      </c>
      <c r="Z201" s="131" t="str">
        <f t="shared" si="243"/>
        <v/>
      </c>
      <c r="AA201" s="131" t="str">
        <f t="shared" si="244"/>
        <v/>
      </c>
      <c r="AB201" s="131" t="str">
        <f t="shared" si="248"/>
        <v/>
      </c>
      <c r="AD201" s="131" t="str">
        <f>IFERROR(#REF!*FlightConfig!$K$3,"")</f>
        <v/>
      </c>
      <c r="AE201" s="131" t="str">
        <f>IFERROR(V201*FlightConfig!$K$3,"")</f>
        <v/>
      </c>
      <c r="AF201" s="131" t="str">
        <f>IFERROR(W201*FlightConfig!$K$3,"")</f>
        <v/>
      </c>
      <c r="AG201" s="131" t="str">
        <f>IFERROR(X201*FlightConfig!$K$3,"")</f>
        <v/>
      </c>
      <c r="AH201" s="131" t="str">
        <f>IFERROR(Y201*FlightConfig!$K$3,"")</f>
        <v/>
      </c>
      <c r="AI201" s="131" t="str">
        <f>IFERROR(AB201*FlightConfig!$K$3,"")</f>
        <v/>
      </c>
    </row>
    <row r="202" spans="2:35" x14ac:dyDescent="0.25">
      <c r="B202" s="174"/>
      <c r="C202" s="178"/>
      <c r="D202" s="281"/>
      <c r="E202" s="271"/>
      <c r="F202" s="277"/>
      <c r="G202" s="123" t="e">
        <f>VLOOKUP(E202,'[5]FG MASTER'!$A$10:$AB$203,2,0)</f>
        <v>#N/A</v>
      </c>
      <c r="H202" s="252">
        <v>1</v>
      </c>
      <c r="I202" s="176">
        <v>0.9</v>
      </c>
      <c r="J202" s="258" t="str">
        <f>IFERROR(IF(I202="std",H202,HLOOKUP(A202,FlightConfig!$B$28:$G$29,2,0)*I202),"")</f>
        <v/>
      </c>
      <c r="K202" s="213" t="e">
        <f>VLOOKUP(Food!E202,'FG MASTER'!A:AJ,16,0)</f>
        <v>#N/A</v>
      </c>
      <c r="L202" s="214" t="e">
        <f>VLOOKUP(Food!E202,'FG MASTER'!A:AJ,17,0)</f>
        <v>#N/A</v>
      </c>
      <c r="M202" s="136" t="str">
        <f t="shared" si="238"/>
        <v/>
      </c>
      <c r="N202" s="136" t="str">
        <f t="shared" si="239"/>
        <v/>
      </c>
      <c r="O202" s="136">
        <f t="shared" si="241"/>
        <v>0</v>
      </c>
      <c r="P202" s="136">
        <f t="shared" si="242"/>
        <v>0</v>
      </c>
      <c r="Q202" s="136">
        <f t="shared" si="240"/>
        <v>0</v>
      </c>
      <c r="R202" s="136"/>
      <c r="V202" s="131" t="str">
        <f t="shared" si="249"/>
        <v/>
      </c>
      <c r="W202" t="str">
        <f t="shared" si="245"/>
        <v/>
      </c>
      <c r="X202" s="131" t="str">
        <f t="shared" si="246"/>
        <v/>
      </c>
      <c r="Y202" s="131" t="str">
        <f t="shared" si="247"/>
        <v/>
      </c>
      <c r="Z202" s="131" t="str">
        <f t="shared" si="243"/>
        <v/>
      </c>
      <c r="AA202" s="131" t="str">
        <f t="shared" si="244"/>
        <v/>
      </c>
      <c r="AB202" s="131" t="str">
        <f t="shared" si="248"/>
        <v/>
      </c>
      <c r="AD202" s="131" t="str">
        <f>IFERROR(#REF!*FlightConfig!$K$3,"")</f>
        <v/>
      </c>
      <c r="AE202" s="131" t="str">
        <f>IFERROR(V202*FlightConfig!$K$3,"")</f>
        <v/>
      </c>
      <c r="AF202" s="131" t="str">
        <f>IFERROR(W202*FlightConfig!$K$3,"")</f>
        <v/>
      </c>
      <c r="AG202" s="131" t="str">
        <f>IFERROR(X202*FlightConfig!$K$3,"")</f>
        <v/>
      </c>
      <c r="AH202" s="131" t="str">
        <f>IFERROR(Y202*FlightConfig!$K$3,"")</f>
        <v/>
      </c>
      <c r="AI202" s="131" t="str">
        <f>IFERROR(AB202*FlightConfig!$K$3,"")</f>
        <v/>
      </c>
    </row>
    <row r="203" spans="2:35" x14ac:dyDescent="0.25">
      <c r="B203" s="174"/>
      <c r="C203" s="178"/>
      <c r="D203" s="281"/>
      <c r="E203" s="271"/>
      <c r="F203" s="277"/>
      <c r="G203" s="123" t="e">
        <f>VLOOKUP(E203,'[5]FG MASTER'!$A$10:$AB$203,2,0)</f>
        <v>#N/A</v>
      </c>
      <c r="H203" s="252">
        <v>1</v>
      </c>
      <c r="I203" s="176">
        <v>0.9</v>
      </c>
      <c r="J203" s="258" t="str">
        <f>IFERROR(IF(I203="std",H203,HLOOKUP(A203,FlightConfig!$B$28:$G$29,2,0)*I203),"")</f>
        <v/>
      </c>
      <c r="K203" s="213" t="e">
        <f>VLOOKUP(Food!E203,'FG MASTER'!A:AJ,16,0)</f>
        <v>#N/A</v>
      </c>
      <c r="L203" s="214" t="e">
        <f>VLOOKUP(Food!E203,'FG MASTER'!A:AJ,17,0)</f>
        <v>#N/A</v>
      </c>
      <c r="M203" s="136" t="str">
        <f t="shared" si="238"/>
        <v/>
      </c>
      <c r="N203" s="136" t="str">
        <f t="shared" si="239"/>
        <v/>
      </c>
      <c r="O203" s="136">
        <f t="shared" si="241"/>
        <v>0</v>
      </c>
      <c r="P203" s="136">
        <f t="shared" si="242"/>
        <v>0</v>
      </c>
      <c r="Q203" s="136">
        <f t="shared" si="240"/>
        <v>0</v>
      </c>
      <c r="R203" s="136"/>
      <c r="V203" s="131" t="str">
        <f t="shared" si="249"/>
        <v/>
      </c>
      <c r="W203" t="str">
        <f t="shared" si="245"/>
        <v/>
      </c>
      <c r="X203" s="131" t="str">
        <f t="shared" si="246"/>
        <v/>
      </c>
      <c r="Y203" s="131" t="str">
        <f t="shared" si="247"/>
        <v/>
      </c>
      <c r="Z203" s="131" t="str">
        <f t="shared" si="243"/>
        <v/>
      </c>
      <c r="AA203" s="131" t="str">
        <f t="shared" si="244"/>
        <v/>
      </c>
      <c r="AB203" s="131" t="str">
        <f t="shared" si="248"/>
        <v/>
      </c>
      <c r="AD203" s="131" t="str">
        <f>IFERROR(#REF!*FlightConfig!$K$3,"")</f>
        <v/>
      </c>
      <c r="AE203" s="131" t="str">
        <f>IFERROR(V203*FlightConfig!$K$3,"")</f>
        <v/>
      </c>
      <c r="AF203" s="131" t="str">
        <f>IFERROR(W203*FlightConfig!$K$3,"")</f>
        <v/>
      </c>
      <c r="AG203" s="131" t="str">
        <f>IFERROR(X203*FlightConfig!$K$3,"")</f>
        <v/>
      </c>
      <c r="AH203" s="131" t="str">
        <f>IFERROR(Y203*FlightConfig!$K$3,"")</f>
        <v/>
      </c>
      <c r="AI203" s="131" t="str">
        <f>IFERROR(AB203*FlightConfig!$K$3,"")</f>
        <v/>
      </c>
    </row>
    <row r="204" spans="2:35" x14ac:dyDescent="0.25">
      <c r="B204" s="174"/>
      <c r="C204" s="178"/>
      <c r="D204" s="281"/>
      <c r="E204" s="271"/>
      <c r="F204" s="277"/>
      <c r="G204" s="123" t="e">
        <f>VLOOKUP(E204,'[5]FG MASTER'!$A$10:$AB$203,2,0)</f>
        <v>#N/A</v>
      </c>
      <c r="H204" s="252">
        <v>1</v>
      </c>
      <c r="I204" s="176">
        <v>0.9</v>
      </c>
      <c r="J204" s="258" t="str">
        <f>IFERROR(IF(I204="std",H204,HLOOKUP(A204,FlightConfig!$B$28:$G$29,2,0)*I204),"")</f>
        <v/>
      </c>
      <c r="K204" s="213" t="e">
        <f>VLOOKUP(Food!E204,'FG MASTER'!A:AJ,16,0)</f>
        <v>#N/A</v>
      </c>
      <c r="L204" s="214" t="e">
        <f>VLOOKUP(Food!E204,'FG MASTER'!A:AJ,17,0)</f>
        <v>#N/A</v>
      </c>
      <c r="M204" s="136" t="str">
        <f t="shared" si="238"/>
        <v/>
      </c>
      <c r="N204" s="136" t="str">
        <f t="shared" si="239"/>
        <v/>
      </c>
      <c r="O204" s="136">
        <f t="shared" si="241"/>
        <v>0</v>
      </c>
      <c r="P204" s="136">
        <f t="shared" si="242"/>
        <v>0</v>
      </c>
      <c r="Q204" s="136">
        <f t="shared" si="240"/>
        <v>0</v>
      </c>
      <c r="R204" s="136"/>
      <c r="V204" s="131" t="str">
        <f t="shared" si="249"/>
        <v/>
      </c>
      <c r="W204" t="str">
        <f t="shared" si="245"/>
        <v/>
      </c>
      <c r="X204" s="131" t="str">
        <f t="shared" si="246"/>
        <v/>
      </c>
      <c r="Y204" s="131" t="str">
        <f t="shared" si="247"/>
        <v/>
      </c>
      <c r="Z204" s="131" t="str">
        <f t="shared" si="243"/>
        <v/>
      </c>
      <c r="AA204" s="131" t="str">
        <f t="shared" si="244"/>
        <v/>
      </c>
      <c r="AB204" s="131" t="str">
        <f t="shared" si="248"/>
        <v/>
      </c>
      <c r="AD204" s="131" t="str">
        <f>IFERROR(#REF!*FlightConfig!$K$3,"")</f>
        <v/>
      </c>
      <c r="AE204" s="131" t="str">
        <f>IFERROR(V204*FlightConfig!$K$3,"")</f>
        <v/>
      </c>
      <c r="AF204" s="131" t="str">
        <f>IFERROR(W204*FlightConfig!$K$3,"")</f>
        <v/>
      </c>
      <c r="AG204" s="131" t="str">
        <f>IFERROR(X204*FlightConfig!$K$3,"")</f>
        <v/>
      </c>
      <c r="AH204" s="131" t="str">
        <f>IFERROR(Y204*FlightConfig!$K$3,"")</f>
        <v/>
      </c>
      <c r="AI204" s="131" t="str">
        <f>IFERROR(AB204*FlightConfig!$K$3,"")</f>
        <v/>
      </c>
    </row>
    <row r="205" spans="2:35" x14ac:dyDescent="0.25">
      <c r="B205" s="174"/>
      <c r="C205" s="178"/>
      <c r="D205" s="281"/>
      <c r="E205" s="271"/>
      <c r="F205" s="277"/>
      <c r="G205" s="123" t="e">
        <f>VLOOKUP(E205,'[5]FG MASTER'!$A$10:$AB$203,2,0)</f>
        <v>#N/A</v>
      </c>
      <c r="H205" s="252">
        <v>1</v>
      </c>
      <c r="I205" s="176">
        <v>0.9</v>
      </c>
      <c r="J205" s="258" t="str">
        <f>IFERROR(IF(I205="std",H205,HLOOKUP(A205,FlightConfig!$B$28:$G$29,2,0)*I205),"")</f>
        <v/>
      </c>
      <c r="K205" s="213" t="e">
        <f>VLOOKUP(Food!E205,'FG MASTER'!A:AJ,16,0)</f>
        <v>#N/A</v>
      </c>
      <c r="L205" s="214" t="e">
        <f>VLOOKUP(Food!E205,'FG MASTER'!A:AJ,17,0)</f>
        <v>#N/A</v>
      </c>
      <c r="M205" s="136" t="str">
        <f t="shared" si="238"/>
        <v/>
      </c>
      <c r="N205" s="136" t="str">
        <f t="shared" si="239"/>
        <v/>
      </c>
      <c r="O205" s="136">
        <f t="shared" si="241"/>
        <v>0</v>
      </c>
      <c r="P205" s="136">
        <f t="shared" si="242"/>
        <v>0</v>
      </c>
      <c r="Q205" s="136">
        <f t="shared" si="240"/>
        <v>0</v>
      </c>
      <c r="R205" s="136"/>
      <c r="V205" s="131" t="str">
        <f t="shared" si="249"/>
        <v/>
      </c>
      <c r="W205" t="str">
        <f t="shared" si="245"/>
        <v/>
      </c>
      <c r="X205" s="131" t="str">
        <f t="shared" si="246"/>
        <v/>
      </c>
      <c r="Y205" s="131" t="str">
        <f t="shared" si="247"/>
        <v/>
      </c>
      <c r="Z205" s="131" t="str">
        <f t="shared" si="243"/>
        <v/>
      </c>
      <c r="AA205" s="131" t="str">
        <f t="shared" si="244"/>
        <v/>
      </c>
      <c r="AB205" s="131" t="str">
        <f t="shared" si="248"/>
        <v/>
      </c>
      <c r="AD205" s="131" t="str">
        <f>IFERROR(#REF!*FlightConfig!$K$3,"")</f>
        <v/>
      </c>
      <c r="AE205" s="131" t="str">
        <f>IFERROR(V205*FlightConfig!$K$3,"")</f>
        <v/>
      </c>
      <c r="AF205" s="131" t="str">
        <f>IFERROR(W205*FlightConfig!$K$3,"")</f>
        <v/>
      </c>
      <c r="AG205" s="131" t="str">
        <f>IFERROR(X205*FlightConfig!$K$3,"")</f>
        <v/>
      </c>
      <c r="AH205" s="131" t="str">
        <f>IFERROR(Y205*FlightConfig!$K$3,"")</f>
        <v/>
      </c>
      <c r="AI205" s="131" t="str">
        <f>IFERROR(AB205*FlightConfig!$K$3,"")</f>
        <v/>
      </c>
    </row>
    <row r="206" spans="2:35" x14ac:dyDescent="0.25">
      <c r="B206" s="174"/>
      <c r="C206" s="178"/>
      <c r="D206" s="281"/>
      <c r="E206" s="271"/>
      <c r="F206" s="277"/>
      <c r="G206" s="123" t="e">
        <f>VLOOKUP(E206,'[5]FG MASTER'!$A$10:$AB$203,2,0)</f>
        <v>#N/A</v>
      </c>
      <c r="H206" s="252">
        <v>1</v>
      </c>
      <c r="I206" s="176">
        <v>0.9</v>
      </c>
      <c r="J206" s="258" t="str">
        <f>IFERROR(IF(I206="std",H206,HLOOKUP(A206,FlightConfig!$B$28:$G$29,2,0)*I206),"")</f>
        <v/>
      </c>
      <c r="K206" s="213" t="e">
        <f>VLOOKUP(Food!E206,'FG MASTER'!A:AJ,16,0)</f>
        <v>#N/A</v>
      </c>
      <c r="L206" s="214" t="e">
        <f>VLOOKUP(Food!E206,'FG MASTER'!A:AJ,17,0)</f>
        <v>#N/A</v>
      </c>
      <c r="M206" s="136" t="str">
        <f t="shared" si="238"/>
        <v/>
      </c>
      <c r="N206" s="136" t="str">
        <f t="shared" si="239"/>
        <v/>
      </c>
      <c r="O206" s="136">
        <f t="shared" si="241"/>
        <v>0</v>
      </c>
      <c r="P206" s="136">
        <f t="shared" si="242"/>
        <v>0</v>
      </c>
      <c r="Q206" s="136">
        <f t="shared" si="240"/>
        <v>0</v>
      </c>
      <c r="R206" s="136"/>
      <c r="V206" s="131" t="str">
        <f t="shared" si="249"/>
        <v/>
      </c>
      <c r="W206" t="str">
        <f t="shared" si="245"/>
        <v/>
      </c>
      <c r="X206" s="131" t="str">
        <f t="shared" si="246"/>
        <v/>
      </c>
      <c r="Y206" s="131" t="str">
        <f t="shared" si="247"/>
        <v/>
      </c>
      <c r="Z206" s="131" t="str">
        <f t="shared" si="243"/>
        <v/>
      </c>
      <c r="AA206" s="131" t="str">
        <f t="shared" si="244"/>
        <v/>
      </c>
      <c r="AB206" s="131" t="str">
        <f t="shared" si="248"/>
        <v/>
      </c>
      <c r="AD206" s="131" t="str">
        <f>IFERROR(#REF!*FlightConfig!$K$3,"")</f>
        <v/>
      </c>
      <c r="AE206" s="131" t="str">
        <f>IFERROR(V206*FlightConfig!$K$3,"")</f>
        <v/>
      </c>
      <c r="AF206" s="131" t="str">
        <f>IFERROR(W206*FlightConfig!$K$3,"")</f>
        <v/>
      </c>
      <c r="AG206" s="131" t="str">
        <f>IFERROR(X206*FlightConfig!$K$3,"")</f>
        <v/>
      </c>
      <c r="AH206" s="131" t="str">
        <f>IFERROR(Y206*FlightConfig!$K$3,"")</f>
        <v/>
      </c>
      <c r="AI206" s="131" t="str">
        <f>IFERROR(AB206*FlightConfig!$K$3,"")</f>
        <v/>
      </c>
    </row>
    <row r="207" spans="2:35" x14ac:dyDescent="0.25">
      <c r="B207" s="174"/>
      <c r="C207" s="178"/>
      <c r="D207" s="281"/>
      <c r="E207" s="271"/>
      <c r="F207" s="277"/>
      <c r="G207" s="123" t="e">
        <f>VLOOKUP(E207,'[5]FG MASTER'!$A$10:$AB$203,2,0)</f>
        <v>#N/A</v>
      </c>
      <c r="H207" s="252">
        <v>1</v>
      </c>
      <c r="I207" s="176">
        <v>0.9</v>
      </c>
      <c r="J207" s="258" t="str">
        <f>IFERROR(IF(I207="std",H207,HLOOKUP(A207,FlightConfig!$B$28:$G$29,2,0)*I207),"")</f>
        <v/>
      </c>
      <c r="K207" s="213" t="e">
        <f>VLOOKUP(Food!E207,'FG MASTER'!A:AJ,16,0)</f>
        <v>#N/A</v>
      </c>
      <c r="L207" s="214" t="e">
        <f>VLOOKUP(Food!E207,'FG MASTER'!A:AJ,17,0)</f>
        <v>#N/A</v>
      </c>
      <c r="M207" s="136" t="str">
        <f t="shared" si="238"/>
        <v/>
      </c>
      <c r="N207" s="136" t="str">
        <f t="shared" si="239"/>
        <v/>
      </c>
      <c r="O207" s="136">
        <f t="shared" si="241"/>
        <v>0</v>
      </c>
      <c r="P207" s="136">
        <f t="shared" si="242"/>
        <v>0</v>
      </c>
      <c r="Q207" s="136">
        <f t="shared" si="240"/>
        <v>0</v>
      </c>
      <c r="R207" s="136"/>
      <c r="V207" s="131" t="str">
        <f t="shared" si="249"/>
        <v/>
      </c>
      <c r="W207" t="str">
        <f t="shared" si="245"/>
        <v/>
      </c>
      <c r="X207" s="131" t="str">
        <f t="shared" si="246"/>
        <v/>
      </c>
      <c r="Y207" s="131" t="str">
        <f t="shared" si="247"/>
        <v/>
      </c>
      <c r="Z207" s="131" t="str">
        <f t="shared" si="243"/>
        <v/>
      </c>
      <c r="AA207" s="131" t="str">
        <f t="shared" si="244"/>
        <v/>
      </c>
      <c r="AB207" s="131" t="str">
        <f t="shared" si="248"/>
        <v/>
      </c>
      <c r="AD207" s="131" t="str">
        <f>IFERROR(#REF!*FlightConfig!$K$3,"")</f>
        <v/>
      </c>
      <c r="AE207" s="131" t="str">
        <f>IFERROR(V207*FlightConfig!$K$3,"")</f>
        <v/>
      </c>
      <c r="AF207" s="131" t="str">
        <f>IFERROR(W207*FlightConfig!$K$3,"")</f>
        <v/>
      </c>
      <c r="AG207" s="131" t="str">
        <f>IFERROR(X207*FlightConfig!$K$3,"")</f>
        <v/>
      </c>
      <c r="AH207" s="131" t="str">
        <f>IFERROR(Y207*FlightConfig!$K$3,"")</f>
        <v/>
      </c>
      <c r="AI207" s="131" t="str">
        <f>IFERROR(AB207*FlightConfig!$K$3,"")</f>
        <v/>
      </c>
    </row>
    <row r="208" spans="2:35" x14ac:dyDescent="0.25">
      <c r="B208" s="174"/>
      <c r="C208" s="178"/>
      <c r="D208" s="281"/>
      <c r="E208" s="271"/>
      <c r="F208" s="277"/>
      <c r="G208" s="123" t="e">
        <f>VLOOKUP(E208,'[5]FG MASTER'!$A$10:$AB$203,2,0)</f>
        <v>#N/A</v>
      </c>
      <c r="H208" s="252">
        <v>1</v>
      </c>
      <c r="I208" s="176">
        <v>0.9</v>
      </c>
      <c r="J208" s="258" t="str">
        <f>IFERROR(IF(I208="std",H208,HLOOKUP(A208,FlightConfig!$B$28:$G$29,2,0)*I208),"")</f>
        <v/>
      </c>
      <c r="K208" s="213" t="e">
        <f>VLOOKUP(Food!E208,'FG MASTER'!A:AJ,16,0)</f>
        <v>#N/A</v>
      </c>
      <c r="L208" s="214" t="e">
        <f>VLOOKUP(Food!E208,'FG MASTER'!A:AJ,17,0)</f>
        <v>#N/A</v>
      </c>
      <c r="M208" s="136" t="str">
        <f t="shared" si="238"/>
        <v/>
      </c>
      <c r="N208" s="136" t="str">
        <f t="shared" si="239"/>
        <v/>
      </c>
      <c r="O208" s="136">
        <f t="shared" si="241"/>
        <v>0</v>
      </c>
      <c r="P208" s="136">
        <f t="shared" si="242"/>
        <v>0</v>
      </c>
      <c r="Q208" s="136">
        <f t="shared" si="240"/>
        <v>0</v>
      </c>
      <c r="R208" s="136"/>
      <c r="V208" s="131" t="str">
        <f t="shared" si="249"/>
        <v/>
      </c>
      <c r="W208" t="str">
        <f t="shared" si="245"/>
        <v/>
      </c>
      <c r="X208" s="131" t="str">
        <f t="shared" si="246"/>
        <v/>
      </c>
      <c r="Y208" s="131" t="str">
        <f t="shared" si="247"/>
        <v/>
      </c>
      <c r="Z208" s="131" t="str">
        <f t="shared" si="243"/>
        <v/>
      </c>
      <c r="AA208" s="131" t="str">
        <f t="shared" si="244"/>
        <v/>
      </c>
      <c r="AB208" s="131" t="str">
        <f t="shared" si="248"/>
        <v/>
      </c>
      <c r="AD208" s="131" t="str">
        <f>IFERROR(#REF!*FlightConfig!$K$3,"")</f>
        <v/>
      </c>
      <c r="AE208" s="131" t="str">
        <f>IFERROR(V208*FlightConfig!$K$3,"")</f>
        <v/>
      </c>
      <c r="AF208" s="131" t="str">
        <f>IFERROR(W208*FlightConfig!$K$3,"")</f>
        <v/>
      </c>
      <c r="AG208" s="131" t="str">
        <f>IFERROR(X208*FlightConfig!$K$3,"")</f>
        <v/>
      </c>
      <c r="AH208" s="131" t="str">
        <f>IFERROR(Y208*FlightConfig!$K$3,"")</f>
        <v/>
      </c>
      <c r="AI208" s="131" t="str">
        <f>IFERROR(AB208*FlightConfig!$K$3,"")</f>
        <v/>
      </c>
    </row>
    <row r="209" spans="2:35" x14ac:dyDescent="0.25">
      <c r="B209" s="174"/>
      <c r="C209" s="178"/>
      <c r="D209" s="281"/>
      <c r="E209" s="271"/>
      <c r="F209" s="277"/>
      <c r="G209" s="123" t="e">
        <f>VLOOKUP(E209,'[5]FG MASTER'!$A$10:$AB$203,2,0)</f>
        <v>#N/A</v>
      </c>
      <c r="H209" s="252">
        <v>1</v>
      </c>
      <c r="I209" s="176">
        <v>0.9</v>
      </c>
      <c r="J209" s="258" t="str">
        <f>IFERROR(IF(I209="std",H209,HLOOKUP(A209,FlightConfig!$B$28:$G$29,2,0)*I209),"")</f>
        <v/>
      </c>
      <c r="K209" s="213" t="e">
        <f>VLOOKUP(Food!E209,'FG MASTER'!A:AJ,16,0)</f>
        <v>#N/A</v>
      </c>
      <c r="L209" s="214" t="e">
        <f>VLOOKUP(Food!E209,'FG MASTER'!A:AJ,17,0)</f>
        <v>#N/A</v>
      </c>
      <c r="M209" s="136" t="str">
        <f t="shared" si="238"/>
        <v/>
      </c>
      <c r="N209" s="136" t="str">
        <f t="shared" si="239"/>
        <v/>
      </c>
      <c r="O209" s="136">
        <f t="shared" si="241"/>
        <v>0</v>
      </c>
      <c r="P209" s="136">
        <f t="shared" si="242"/>
        <v>0</v>
      </c>
      <c r="Q209" s="136">
        <f t="shared" si="240"/>
        <v>0</v>
      </c>
      <c r="R209" s="136"/>
      <c r="V209" s="131" t="str">
        <f t="shared" si="249"/>
        <v/>
      </c>
      <c r="W209" t="str">
        <f t="shared" si="245"/>
        <v/>
      </c>
      <c r="X209" s="131" t="str">
        <f t="shared" si="246"/>
        <v/>
      </c>
      <c r="Y209" s="131" t="str">
        <f t="shared" si="247"/>
        <v/>
      </c>
      <c r="Z209" s="131" t="str">
        <f t="shared" ref="Z209:Z217" si="250">IFERROR(O209*$J209,"")</f>
        <v/>
      </c>
      <c r="AA209" s="131" t="str">
        <f t="shared" ref="AA209:AA217" si="251">IFERROR(P209*$J209,"")</f>
        <v/>
      </c>
      <c r="AB209" s="131" t="str">
        <f t="shared" ref="AB209:AB217" si="252">IFERROR(+Q209*J209,"")</f>
        <v/>
      </c>
      <c r="AD209" s="131" t="str">
        <f>IFERROR(#REF!*FlightConfig!$K$3,"")</f>
        <v/>
      </c>
      <c r="AE209" s="131" t="str">
        <f>IFERROR(V209*FlightConfig!$K$3,"")</f>
        <v/>
      </c>
      <c r="AF209" s="131" t="str">
        <f>IFERROR(W209*FlightConfig!$K$3,"")</f>
        <v/>
      </c>
      <c r="AG209" s="131" t="str">
        <f>IFERROR(X209*FlightConfig!$K$3,"")</f>
        <v/>
      </c>
      <c r="AH209" s="131" t="str">
        <f>IFERROR(Y209*FlightConfig!$K$3,"")</f>
        <v/>
      </c>
      <c r="AI209" s="131" t="str">
        <f>IFERROR(AB209*FlightConfig!$K$3,"")</f>
        <v/>
      </c>
    </row>
    <row r="210" spans="2:35" x14ac:dyDescent="0.25">
      <c r="B210" s="174"/>
      <c r="C210" s="178"/>
      <c r="D210" s="281"/>
      <c r="E210" s="271"/>
      <c r="F210" s="277"/>
      <c r="G210" s="123" t="e">
        <f>VLOOKUP(E210,'[5]FG MASTER'!$A$10:$AB$203,2,0)</f>
        <v>#N/A</v>
      </c>
      <c r="H210" s="252">
        <v>1</v>
      </c>
      <c r="I210" s="176">
        <v>0.9</v>
      </c>
      <c r="J210" s="258" t="str">
        <f>IFERROR(IF(I210="std",H210,HLOOKUP(A210,FlightConfig!$B$28:$G$29,2,0)*I210),"")</f>
        <v/>
      </c>
      <c r="K210" s="213" t="e">
        <f>VLOOKUP(Food!E210,'FG MASTER'!A:AJ,16,0)</f>
        <v>#N/A</v>
      </c>
      <c r="L210" s="214" t="e">
        <f>VLOOKUP(Food!E210,'FG MASTER'!A:AJ,17,0)</f>
        <v>#N/A</v>
      </c>
      <c r="M210" s="136" t="str">
        <f t="shared" si="238"/>
        <v/>
      </c>
      <c r="N210" s="136" t="str">
        <f t="shared" si="239"/>
        <v/>
      </c>
      <c r="O210" s="136">
        <f t="shared" si="241"/>
        <v>0</v>
      </c>
      <c r="P210" s="136">
        <f t="shared" si="242"/>
        <v>0</v>
      </c>
      <c r="Q210" s="136">
        <f t="shared" si="240"/>
        <v>0</v>
      </c>
      <c r="R210" s="136"/>
      <c r="V210" s="131" t="str">
        <f t="shared" si="249"/>
        <v/>
      </c>
      <c r="W210" t="str">
        <f t="shared" si="245"/>
        <v/>
      </c>
      <c r="X210" s="131" t="str">
        <f t="shared" si="246"/>
        <v/>
      </c>
      <c r="Y210" s="131" t="str">
        <f t="shared" si="247"/>
        <v/>
      </c>
      <c r="Z210" s="131" t="str">
        <f t="shared" si="250"/>
        <v/>
      </c>
      <c r="AA210" s="131" t="str">
        <f t="shared" si="251"/>
        <v/>
      </c>
      <c r="AB210" s="131" t="str">
        <f t="shared" si="252"/>
        <v/>
      </c>
      <c r="AD210" s="131" t="str">
        <f>IFERROR(#REF!*FlightConfig!$K$3,"")</f>
        <v/>
      </c>
      <c r="AE210" s="131" t="str">
        <f>IFERROR(V210*FlightConfig!$K$3,"")</f>
        <v/>
      </c>
      <c r="AF210" s="131" t="str">
        <f>IFERROR(W210*FlightConfig!$K$3,"")</f>
        <v/>
      </c>
      <c r="AG210" s="131" t="str">
        <f>IFERROR(X210*FlightConfig!$K$3,"")</f>
        <v/>
      </c>
      <c r="AH210" s="131" t="str">
        <f>IFERROR(Y210*FlightConfig!$K$3,"")</f>
        <v/>
      </c>
      <c r="AI210" s="131" t="str">
        <f>IFERROR(AB210*FlightConfig!$K$3,"")</f>
        <v/>
      </c>
    </row>
    <row r="211" spans="2:35" x14ac:dyDescent="0.25">
      <c r="B211" s="174"/>
      <c r="C211" s="178"/>
      <c r="D211" s="281"/>
      <c r="E211" s="271"/>
      <c r="F211" s="277"/>
      <c r="G211" s="123" t="e">
        <f>VLOOKUP(E211,'[5]FG MASTER'!$A$10:$AB$203,2,0)</f>
        <v>#N/A</v>
      </c>
      <c r="H211" s="252">
        <v>1</v>
      </c>
      <c r="I211" s="176">
        <v>0.9</v>
      </c>
      <c r="J211" s="258" t="str">
        <f>IFERROR(IF(I211="std",H211,HLOOKUP(A211,FlightConfig!$B$28:$G$29,2,0)*I211),"")</f>
        <v/>
      </c>
      <c r="K211" s="213" t="e">
        <f>VLOOKUP(Food!E211,'FG MASTER'!A:AJ,16,0)</f>
        <v>#N/A</v>
      </c>
      <c r="L211" s="214" t="e">
        <f>VLOOKUP(Food!E211,'FG MASTER'!A:AJ,17,0)</f>
        <v>#N/A</v>
      </c>
      <c r="M211" s="136" t="str">
        <f t="shared" si="238"/>
        <v/>
      </c>
      <c r="N211" s="136" t="str">
        <f t="shared" si="239"/>
        <v/>
      </c>
      <c r="O211" s="136">
        <f t="shared" si="241"/>
        <v>0</v>
      </c>
      <c r="P211" s="136">
        <f t="shared" si="242"/>
        <v>0</v>
      </c>
      <c r="Q211" s="136">
        <f t="shared" si="240"/>
        <v>0</v>
      </c>
      <c r="R211" s="136"/>
      <c r="V211" s="131" t="str">
        <f t="shared" si="249"/>
        <v/>
      </c>
      <c r="W211" t="str">
        <f t="shared" si="245"/>
        <v/>
      </c>
      <c r="X211" s="131" t="str">
        <f t="shared" si="246"/>
        <v/>
      </c>
      <c r="Y211" s="131" t="str">
        <f t="shared" si="247"/>
        <v/>
      </c>
      <c r="Z211" s="131" t="str">
        <f t="shared" si="250"/>
        <v/>
      </c>
      <c r="AA211" s="131" t="str">
        <f t="shared" si="251"/>
        <v/>
      </c>
      <c r="AB211" s="131" t="str">
        <f t="shared" si="252"/>
        <v/>
      </c>
      <c r="AD211" s="131" t="str">
        <f>IFERROR(#REF!*FlightConfig!$K$3,"")</f>
        <v/>
      </c>
      <c r="AE211" s="131" t="str">
        <f>IFERROR(V211*FlightConfig!$K$3,"")</f>
        <v/>
      </c>
      <c r="AF211" s="131" t="str">
        <f>IFERROR(W211*FlightConfig!$K$3,"")</f>
        <v/>
      </c>
      <c r="AG211" s="131" t="str">
        <f>IFERROR(X211*FlightConfig!$K$3,"")</f>
        <v/>
      </c>
      <c r="AH211" s="131" t="str">
        <f>IFERROR(Y211*FlightConfig!$K$3,"")</f>
        <v/>
      </c>
      <c r="AI211" s="131" t="str">
        <f>IFERROR(AB211*FlightConfig!$K$3,"")</f>
        <v/>
      </c>
    </row>
    <row r="212" spans="2:35" x14ac:dyDescent="0.25">
      <c r="B212" s="174"/>
      <c r="C212" s="178"/>
      <c r="D212" s="281"/>
      <c r="E212" s="271"/>
      <c r="F212" s="277"/>
      <c r="G212" s="123" t="e">
        <f>VLOOKUP(E212,'[5]FG MASTER'!$A$10:$AB$203,2,0)</f>
        <v>#N/A</v>
      </c>
      <c r="H212" s="252">
        <v>1</v>
      </c>
      <c r="I212" s="176">
        <v>0.9</v>
      </c>
      <c r="J212" s="258" t="str">
        <f>IFERROR(IF(I212="std",H212,HLOOKUP(A212,FlightConfig!$B$28:$G$29,2,0)*I212),"")</f>
        <v/>
      </c>
      <c r="K212" s="213" t="e">
        <f>VLOOKUP(Food!E212,'FG MASTER'!A:AJ,16,0)</f>
        <v>#N/A</v>
      </c>
      <c r="L212" s="214" t="e">
        <f>VLOOKUP(Food!E212,'FG MASTER'!A:AJ,17,0)</f>
        <v>#N/A</v>
      </c>
      <c r="M212" s="136" t="str">
        <f t="shared" si="238"/>
        <v/>
      </c>
      <c r="N212" s="136" t="str">
        <f t="shared" si="239"/>
        <v/>
      </c>
      <c r="O212" s="136">
        <f t="shared" si="241"/>
        <v>0</v>
      </c>
      <c r="P212" s="136">
        <f t="shared" si="242"/>
        <v>0</v>
      </c>
      <c r="Q212" s="136">
        <f t="shared" si="240"/>
        <v>0</v>
      </c>
      <c r="R212" s="136"/>
      <c r="V212" s="131" t="str">
        <f t="shared" si="249"/>
        <v/>
      </c>
      <c r="W212" t="str">
        <f t="shared" si="245"/>
        <v/>
      </c>
      <c r="X212" s="131" t="str">
        <f t="shared" si="246"/>
        <v/>
      </c>
      <c r="Y212" s="131" t="str">
        <f t="shared" si="247"/>
        <v/>
      </c>
      <c r="Z212" s="131" t="str">
        <f t="shared" si="250"/>
        <v/>
      </c>
      <c r="AA212" s="131" t="str">
        <f t="shared" si="251"/>
        <v/>
      </c>
      <c r="AB212" s="131" t="str">
        <f t="shared" si="252"/>
        <v/>
      </c>
      <c r="AD212" s="131" t="str">
        <f>IFERROR(#REF!*FlightConfig!$K$3,"")</f>
        <v/>
      </c>
      <c r="AE212" s="131" t="str">
        <f>IFERROR(V212*FlightConfig!$K$3,"")</f>
        <v/>
      </c>
      <c r="AF212" s="131" t="str">
        <f>IFERROR(W212*FlightConfig!$K$3,"")</f>
        <v/>
      </c>
      <c r="AG212" s="131" t="str">
        <f>IFERROR(X212*FlightConfig!$K$3,"")</f>
        <v/>
      </c>
      <c r="AH212" s="131" t="str">
        <f>IFERROR(Y212*FlightConfig!$K$3,"")</f>
        <v/>
      </c>
      <c r="AI212" s="131" t="str">
        <f>IFERROR(AB212*FlightConfig!$K$3,"")</f>
        <v/>
      </c>
    </row>
    <row r="213" spans="2:35" x14ac:dyDescent="0.25">
      <c r="B213" s="174"/>
      <c r="C213" s="178"/>
      <c r="D213" s="281"/>
      <c r="E213" s="271"/>
      <c r="F213" s="277"/>
      <c r="G213" s="123" t="e">
        <f>VLOOKUP(E213,'[5]FG MASTER'!$A$10:$AB$203,2,0)</f>
        <v>#N/A</v>
      </c>
      <c r="H213" s="252">
        <v>1</v>
      </c>
      <c r="I213" s="176">
        <v>0.9</v>
      </c>
      <c r="J213" s="258" t="str">
        <f>IFERROR(IF(I213="std",H213,HLOOKUP(A213,FlightConfig!$B$28:$G$29,2,0)*I213),"")</f>
        <v/>
      </c>
      <c r="K213" s="213" t="e">
        <f>VLOOKUP(Food!E213,'FG MASTER'!A:AJ,16,0)</f>
        <v>#N/A</v>
      </c>
      <c r="L213" s="214" t="e">
        <f>VLOOKUP(Food!E213,'FG MASTER'!A:AJ,17,0)</f>
        <v>#N/A</v>
      </c>
      <c r="M213" s="136" t="str">
        <f t="shared" si="238"/>
        <v/>
      </c>
      <c r="N213" s="136" t="str">
        <f t="shared" si="239"/>
        <v/>
      </c>
      <c r="O213" s="136">
        <f t="shared" si="241"/>
        <v>0</v>
      </c>
      <c r="P213" s="136">
        <f t="shared" si="242"/>
        <v>0</v>
      </c>
      <c r="Q213" s="136">
        <f t="shared" si="240"/>
        <v>0</v>
      </c>
      <c r="R213" s="136"/>
      <c r="V213" s="131" t="str">
        <f t="shared" si="249"/>
        <v/>
      </c>
      <c r="W213" t="str">
        <f t="shared" si="245"/>
        <v/>
      </c>
      <c r="X213" s="131" t="str">
        <f t="shared" si="246"/>
        <v/>
      </c>
      <c r="Y213" s="131" t="str">
        <f t="shared" si="247"/>
        <v/>
      </c>
      <c r="Z213" s="131" t="str">
        <f t="shared" si="250"/>
        <v/>
      </c>
      <c r="AA213" s="131" t="str">
        <f t="shared" si="251"/>
        <v/>
      </c>
      <c r="AB213" s="131" t="str">
        <f t="shared" si="252"/>
        <v/>
      </c>
      <c r="AD213" s="131" t="str">
        <f>IFERROR(#REF!*FlightConfig!$K$3,"")</f>
        <v/>
      </c>
      <c r="AE213" s="131" t="str">
        <f>IFERROR(V213*FlightConfig!$K$3,"")</f>
        <v/>
      </c>
      <c r="AF213" s="131" t="str">
        <f>IFERROR(W213*FlightConfig!$K$3,"")</f>
        <v/>
      </c>
      <c r="AG213" s="131" t="str">
        <f>IFERROR(X213*FlightConfig!$K$3,"")</f>
        <v/>
      </c>
      <c r="AH213" s="131" t="str">
        <f>IFERROR(Y213*FlightConfig!$K$3,"")</f>
        <v/>
      </c>
      <c r="AI213" s="131" t="str">
        <f>IFERROR(AB213*FlightConfig!$K$3,"")</f>
        <v/>
      </c>
    </row>
    <row r="214" spans="2:35" x14ac:dyDescent="0.25">
      <c r="B214" s="174"/>
      <c r="C214" s="178"/>
      <c r="D214" s="281"/>
      <c r="E214" s="271"/>
      <c r="F214" s="277"/>
      <c r="G214" s="123" t="e">
        <f>VLOOKUP(E214,'[5]FG MASTER'!$A$10:$AB$203,2,0)</f>
        <v>#N/A</v>
      </c>
      <c r="H214" s="252">
        <v>1</v>
      </c>
      <c r="I214" s="176">
        <v>0.9</v>
      </c>
      <c r="J214" s="258" t="str">
        <f>IFERROR(IF(I214="std",H214,HLOOKUP(A214,FlightConfig!$B$28:$G$29,2,0)*I214),"")</f>
        <v/>
      </c>
      <c r="K214" s="213" t="e">
        <f>VLOOKUP(Food!E214,'FG MASTER'!A:AJ,16,0)</f>
        <v>#N/A</v>
      </c>
      <c r="L214" s="214" t="e">
        <f>VLOOKUP(Food!E214,'FG MASTER'!A:AJ,17,0)</f>
        <v>#N/A</v>
      </c>
      <c r="M214" s="136" t="str">
        <f t="shared" si="238"/>
        <v/>
      </c>
      <c r="N214" s="136" t="str">
        <f t="shared" si="239"/>
        <v/>
      </c>
      <c r="O214" s="136">
        <f t="shared" si="241"/>
        <v>0</v>
      </c>
      <c r="P214" s="136">
        <f t="shared" si="242"/>
        <v>0</v>
      </c>
      <c r="Q214" s="136">
        <f t="shared" si="240"/>
        <v>0</v>
      </c>
      <c r="R214" s="136"/>
      <c r="V214" s="131" t="str">
        <f t="shared" si="249"/>
        <v/>
      </c>
      <c r="W214" t="str">
        <f t="shared" si="245"/>
        <v/>
      </c>
      <c r="X214" s="131" t="str">
        <f t="shared" si="246"/>
        <v/>
      </c>
      <c r="Y214" s="131" t="str">
        <f t="shared" si="247"/>
        <v/>
      </c>
      <c r="Z214" s="131" t="str">
        <f t="shared" si="250"/>
        <v/>
      </c>
      <c r="AA214" s="131" t="str">
        <f t="shared" si="251"/>
        <v/>
      </c>
      <c r="AB214" s="131" t="str">
        <f t="shared" si="252"/>
        <v/>
      </c>
      <c r="AD214" s="131" t="str">
        <f>IFERROR(#REF!*FlightConfig!$K$3,"")</f>
        <v/>
      </c>
      <c r="AE214" s="131" t="str">
        <f>IFERROR(V214*FlightConfig!$K$3,"")</f>
        <v/>
      </c>
      <c r="AF214" s="131" t="str">
        <f>IFERROR(W214*FlightConfig!$K$3,"")</f>
        <v/>
      </c>
      <c r="AG214" s="131" t="str">
        <f>IFERROR(X214*FlightConfig!$K$3,"")</f>
        <v/>
      </c>
      <c r="AH214" s="131" t="str">
        <f>IFERROR(Y214*FlightConfig!$K$3,"")</f>
        <v/>
      </c>
      <c r="AI214" s="131" t="str">
        <f>IFERROR(AB214*FlightConfig!$K$3,"")</f>
        <v/>
      </c>
    </row>
    <row r="215" spans="2:35" x14ac:dyDescent="0.25">
      <c r="B215" s="174"/>
      <c r="C215" s="178"/>
      <c r="D215" s="281"/>
      <c r="E215" s="271"/>
      <c r="F215" s="277"/>
      <c r="G215" s="123" t="e">
        <f>VLOOKUP(E215,'[5]FG MASTER'!$A$10:$AB$203,2,0)</f>
        <v>#N/A</v>
      </c>
      <c r="H215" s="252">
        <v>1</v>
      </c>
      <c r="I215" s="176">
        <v>0.9</v>
      </c>
      <c r="J215" s="258" t="str">
        <f>IFERROR(IF(I215="std",H215,HLOOKUP(A215,FlightConfig!$B$28:$G$29,2,0)*I215),"")</f>
        <v/>
      </c>
      <c r="K215" s="213" t="e">
        <f>VLOOKUP(Food!E215,'FG MASTER'!A:AJ,16,0)</f>
        <v>#N/A</v>
      </c>
      <c r="L215" s="214" t="e">
        <f>VLOOKUP(Food!E215,'FG MASTER'!A:AJ,17,0)</f>
        <v>#N/A</v>
      </c>
      <c r="M215" s="136" t="str">
        <f t="shared" si="238"/>
        <v/>
      </c>
      <c r="N215" s="136" t="str">
        <f t="shared" si="239"/>
        <v/>
      </c>
      <c r="O215" s="136">
        <f t="shared" si="241"/>
        <v>0</v>
      </c>
      <c r="P215" s="136">
        <f t="shared" si="242"/>
        <v>0</v>
      </c>
      <c r="Q215" s="136">
        <f t="shared" si="240"/>
        <v>0</v>
      </c>
      <c r="R215" s="136"/>
      <c r="V215" s="131" t="str">
        <f t="shared" si="249"/>
        <v/>
      </c>
      <c r="W215" t="str">
        <f t="shared" si="245"/>
        <v/>
      </c>
      <c r="X215" s="131" t="str">
        <f t="shared" si="246"/>
        <v/>
      </c>
      <c r="Y215" s="131" t="str">
        <f t="shared" si="247"/>
        <v/>
      </c>
      <c r="Z215" s="131" t="str">
        <f t="shared" si="250"/>
        <v/>
      </c>
      <c r="AA215" s="131" t="str">
        <f t="shared" si="251"/>
        <v/>
      </c>
      <c r="AB215" s="131" t="str">
        <f t="shared" si="252"/>
        <v/>
      </c>
      <c r="AD215" s="131" t="str">
        <f>IFERROR(#REF!*FlightConfig!$K$3,"")</f>
        <v/>
      </c>
      <c r="AE215" s="131" t="str">
        <f>IFERROR(V215*FlightConfig!$K$3,"")</f>
        <v/>
      </c>
      <c r="AF215" s="131" t="str">
        <f>IFERROR(W215*FlightConfig!$K$3,"")</f>
        <v/>
      </c>
      <c r="AG215" s="131" t="str">
        <f>IFERROR(X215*FlightConfig!$K$3,"")</f>
        <v/>
      </c>
      <c r="AH215" s="131" t="str">
        <f>IFERROR(Y215*FlightConfig!$K$3,"")</f>
        <v/>
      </c>
      <c r="AI215" s="131" t="str">
        <f>IFERROR(AB215*FlightConfig!$K$3,"")</f>
        <v/>
      </c>
    </row>
    <row r="216" spans="2:35" x14ac:dyDescent="0.25">
      <c r="B216" s="174"/>
      <c r="C216" s="178"/>
      <c r="D216" s="281"/>
      <c r="E216" s="271"/>
      <c r="F216" s="277"/>
      <c r="G216" s="123" t="e">
        <f>VLOOKUP(E216,'[5]FG MASTER'!$A$10:$AB$203,2,0)</f>
        <v>#N/A</v>
      </c>
      <c r="H216" s="252">
        <v>1</v>
      </c>
      <c r="I216" s="176">
        <v>0.9</v>
      </c>
      <c r="J216" s="258" t="str">
        <f>IFERROR(IF(I216="std",H216,HLOOKUP(A216,FlightConfig!$B$28:$G$29,2,0)*I216),"")</f>
        <v/>
      </c>
      <c r="K216" s="213" t="e">
        <f>VLOOKUP(Food!E216,'FG MASTER'!A:AJ,16,0)</f>
        <v>#N/A</v>
      </c>
      <c r="L216" s="214" t="e">
        <f>VLOOKUP(Food!E216,'FG MASTER'!A:AJ,17,0)</f>
        <v>#N/A</v>
      </c>
      <c r="M216" s="136" t="str">
        <f t="shared" si="238"/>
        <v/>
      </c>
      <c r="N216" s="136" t="str">
        <f t="shared" si="239"/>
        <v/>
      </c>
      <c r="O216" s="136">
        <f t="shared" si="241"/>
        <v>0</v>
      </c>
      <c r="P216" s="136">
        <f t="shared" si="242"/>
        <v>0</v>
      </c>
      <c r="Q216" s="136">
        <f t="shared" si="240"/>
        <v>0</v>
      </c>
      <c r="R216" s="136"/>
      <c r="V216" s="131" t="str">
        <f t="shared" si="249"/>
        <v/>
      </c>
      <c r="W216" t="str">
        <f t="shared" si="245"/>
        <v/>
      </c>
      <c r="X216" s="131" t="str">
        <f t="shared" si="246"/>
        <v/>
      </c>
      <c r="Y216" s="131" t="str">
        <f t="shared" si="247"/>
        <v/>
      </c>
      <c r="Z216" s="131" t="str">
        <f t="shared" si="250"/>
        <v/>
      </c>
      <c r="AA216" s="131" t="str">
        <f t="shared" si="251"/>
        <v/>
      </c>
      <c r="AB216" s="131" t="str">
        <f t="shared" si="252"/>
        <v/>
      </c>
      <c r="AD216" s="131" t="str">
        <f>IFERROR(#REF!*FlightConfig!$K$3,"")</f>
        <v/>
      </c>
      <c r="AE216" s="131" t="str">
        <f>IFERROR(V216*FlightConfig!$K$3,"")</f>
        <v/>
      </c>
      <c r="AF216" s="131" t="str">
        <f>IFERROR(W216*FlightConfig!$K$3,"")</f>
        <v/>
      </c>
      <c r="AG216" s="131" t="str">
        <f>IFERROR(X216*FlightConfig!$K$3,"")</f>
        <v/>
      </c>
      <c r="AH216" s="131" t="str">
        <f>IFERROR(Y216*FlightConfig!$K$3,"")</f>
        <v/>
      </c>
      <c r="AI216" s="131" t="str">
        <f>IFERROR(AB216*FlightConfig!$K$3,"")</f>
        <v/>
      </c>
    </row>
    <row r="217" spans="2:35" x14ac:dyDescent="0.25">
      <c r="B217" s="174"/>
      <c r="C217" s="178"/>
      <c r="D217" s="281"/>
      <c r="E217" s="271"/>
      <c r="F217" s="277"/>
      <c r="G217" s="123" t="e">
        <f>VLOOKUP(E217,'[5]FG MASTER'!$A$10:$AB$203,2,0)</f>
        <v>#N/A</v>
      </c>
      <c r="H217" s="252">
        <v>1</v>
      </c>
      <c r="I217" s="176">
        <v>0.9</v>
      </c>
      <c r="J217" s="258" t="str">
        <f>IFERROR(IF(I217="std",H217,HLOOKUP(A217,FlightConfig!$B$28:$G$29,2,0)*I217),"")</f>
        <v/>
      </c>
      <c r="K217" s="213" t="e">
        <f>VLOOKUP(Food!E217,'FG MASTER'!A:AJ,16,0)</f>
        <v>#N/A</v>
      </c>
      <c r="L217" s="214" t="e">
        <f>VLOOKUP(Food!E217,'[5]FG MASTER'!$A$10:$AC$521,17,0)</f>
        <v>#N/A</v>
      </c>
      <c r="M217" s="136" t="str">
        <f t="shared" si="238"/>
        <v/>
      </c>
      <c r="N217" s="136" t="str">
        <f t="shared" si="239"/>
        <v/>
      </c>
      <c r="O217" s="136">
        <f t="shared" si="241"/>
        <v>0</v>
      </c>
      <c r="P217" s="136">
        <f t="shared" si="242"/>
        <v>0</v>
      </c>
      <c r="Q217" s="136">
        <f t="shared" si="240"/>
        <v>0</v>
      </c>
      <c r="R217" s="136"/>
      <c r="V217" s="131" t="str">
        <f t="shared" si="249"/>
        <v/>
      </c>
      <c r="W217" t="str">
        <f t="shared" si="245"/>
        <v/>
      </c>
      <c r="X217" s="131" t="str">
        <f t="shared" si="246"/>
        <v/>
      </c>
      <c r="Y217" s="131" t="str">
        <f t="shared" si="247"/>
        <v/>
      </c>
      <c r="Z217" s="131" t="str">
        <f t="shared" si="250"/>
        <v/>
      </c>
      <c r="AA217" s="131" t="str">
        <f t="shared" si="251"/>
        <v/>
      </c>
      <c r="AB217" s="131" t="str">
        <f t="shared" si="252"/>
        <v/>
      </c>
      <c r="AD217" s="131" t="str">
        <f>IFERROR(#REF!*FlightConfig!$K$3,"")</f>
        <v/>
      </c>
      <c r="AE217" s="131" t="str">
        <f>IFERROR(V217*FlightConfig!$K$3,"")</f>
        <v/>
      </c>
      <c r="AF217" s="131" t="str">
        <f>IFERROR(W217*FlightConfig!$K$3,"")</f>
        <v/>
      </c>
      <c r="AG217" s="131" t="str">
        <f>IFERROR(X217*FlightConfig!$K$3,"")</f>
        <v/>
      </c>
      <c r="AH217" s="131" t="str">
        <f>IFERROR(Y217*FlightConfig!$K$3,"")</f>
        <v/>
      </c>
      <c r="AI217" s="131" t="str">
        <f>IFERROR(AB217*FlightConfig!$K$3,"")</f>
        <v/>
      </c>
    </row>
  </sheetData>
  <autoFilter ref="A3:AI217" xr:uid="{D3C12567-11D1-4E03-BF3A-C3241947D3F1}"/>
  <mergeCells count="2">
    <mergeCell ref="V1:AB1"/>
    <mergeCell ref="AE1:AI1"/>
  </mergeCells>
  <phoneticPr fontId="15" type="noConversion"/>
  <conditionalFormatting sqref="E6">
    <cfRule type="duplicateValues" dxfId="58" priority="11"/>
    <cfRule type="duplicateValues" dxfId="57" priority="12"/>
    <cfRule type="duplicateValues" dxfId="56" priority="13"/>
  </conditionalFormatting>
  <conditionalFormatting sqref="E85">
    <cfRule type="duplicateValues" dxfId="55" priority="5"/>
    <cfRule type="duplicateValues" dxfId="54" priority="6"/>
    <cfRule type="duplicateValues" dxfId="53" priority="7"/>
  </conditionalFormatting>
  <conditionalFormatting sqref="E159">
    <cfRule type="duplicateValues" dxfId="3" priority="1"/>
  </conditionalFormatting>
  <conditionalFormatting sqref="E159">
    <cfRule type="duplicateValues" dxfId="2" priority="4"/>
  </conditionalFormatting>
  <conditionalFormatting sqref="E159">
    <cfRule type="duplicateValues" dxfId="1" priority="3"/>
  </conditionalFormatting>
  <conditionalFormatting sqref="E159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70EAF-BFAC-4E36-B405-F317F85FFF57}">
  <sheetPr>
    <tabColor rgb="FFFFFF00"/>
  </sheetPr>
  <dimension ref="A1:AJ442"/>
  <sheetViews>
    <sheetView topLeftCell="A103" zoomScaleNormal="100" workbookViewId="0">
      <selection activeCell="A140" sqref="A140"/>
    </sheetView>
  </sheetViews>
  <sheetFormatPr defaultColWidth="9.28515625" defaultRowHeight="15" outlineLevelCol="1" x14ac:dyDescent="0.25"/>
  <cols>
    <col min="1" max="1" width="12.28515625" style="325" customWidth="1"/>
    <col min="2" max="2" width="122.5703125" style="325" customWidth="1"/>
    <col min="3" max="3" width="14.7109375" style="325" hidden="1" customWidth="1"/>
    <col min="4" max="4" width="20.28515625" style="329" hidden="1" customWidth="1" outlineLevel="1"/>
    <col min="5" max="8" width="20.7109375" style="329" hidden="1" customWidth="1" outlineLevel="1"/>
    <col min="9" max="9" width="13.28515625" style="325" hidden="1" customWidth="1" outlineLevel="1"/>
    <col min="10" max="10" width="7.7109375" style="325" hidden="1" customWidth="1" outlineLevel="1"/>
    <col min="11" max="11" width="19.28515625" style="325" hidden="1" customWidth="1" outlineLevel="1"/>
    <col min="12" max="12" width="23.42578125" style="329" hidden="1" customWidth="1" outlineLevel="1"/>
    <col min="13" max="13" width="28.7109375" style="325" hidden="1" customWidth="1" outlineLevel="1"/>
    <col min="14" max="14" width="0.140625" style="325" hidden="1" customWidth="1" outlineLevel="1"/>
    <col min="15" max="15" width="12" style="325" customWidth="1" collapsed="1"/>
    <col min="16" max="16" width="13.42578125" style="325" customWidth="1" outlineLevel="1"/>
    <col min="17" max="17" width="14" style="328" customWidth="1" outlineLevel="1"/>
    <col min="18" max="18" width="13.28515625" style="329" hidden="1" customWidth="1" outlineLevel="1"/>
    <col min="19" max="20" width="11.7109375" style="325" hidden="1" customWidth="1" outlineLevel="1"/>
    <col min="21" max="21" width="11.28515625" style="325" hidden="1" customWidth="1" outlineLevel="1"/>
    <col min="22" max="22" width="13.28515625" style="330" hidden="1" customWidth="1" outlineLevel="1"/>
    <col min="23" max="23" width="11.7109375" style="331" hidden="1" customWidth="1" outlineLevel="1"/>
    <col min="24" max="24" width="16.28515625" style="325" hidden="1" customWidth="1" outlineLevel="1"/>
    <col min="25" max="25" width="16.5703125" style="325" hidden="1" customWidth="1" outlineLevel="1"/>
    <col min="26" max="26" width="13.5703125" style="325" hidden="1" customWidth="1"/>
    <col min="27" max="27" width="11.7109375" style="332" hidden="1" customWidth="1"/>
    <col min="28" max="28" width="11.42578125" style="325" hidden="1" customWidth="1"/>
    <col min="29" max="29" width="2.7109375" style="325" hidden="1" customWidth="1"/>
    <col min="30" max="30" width="9.28515625" style="325" customWidth="1"/>
    <col min="31" max="35" width="9.28515625" style="325"/>
    <col min="36" max="36" width="14.85546875" style="325" bestFit="1" customWidth="1"/>
    <col min="37" max="16384" width="9.28515625" style="325"/>
  </cols>
  <sheetData>
    <row r="1" spans="1:36" ht="29.45" customHeight="1" x14ac:dyDescent="0.35">
      <c r="A1" s="325">
        <v>1</v>
      </c>
      <c r="B1" s="325">
        <v>2</v>
      </c>
      <c r="C1" s="326">
        <v>3</v>
      </c>
      <c r="D1" s="327">
        <v>4</v>
      </c>
      <c r="E1" s="327">
        <v>5</v>
      </c>
      <c r="F1" s="327">
        <v>6</v>
      </c>
      <c r="G1" s="327">
        <v>7</v>
      </c>
      <c r="H1" s="327">
        <v>8</v>
      </c>
      <c r="I1" s="326">
        <v>9</v>
      </c>
      <c r="J1" s="326">
        <v>10</v>
      </c>
      <c r="K1" s="326">
        <v>11</v>
      </c>
      <c r="L1" s="326">
        <v>12</v>
      </c>
      <c r="M1" s="326">
        <v>13</v>
      </c>
      <c r="N1" s="326">
        <v>14</v>
      </c>
      <c r="O1" s="326">
        <v>15</v>
      </c>
      <c r="P1" s="326">
        <v>16</v>
      </c>
      <c r="Q1" s="328">
        <v>17</v>
      </c>
      <c r="R1" s="329">
        <v>18</v>
      </c>
      <c r="S1" s="326">
        <v>19</v>
      </c>
      <c r="T1" s="326">
        <v>20</v>
      </c>
    </row>
    <row r="2" spans="1:36" ht="21" customHeight="1" x14ac:dyDescent="0.35">
      <c r="A2" s="326" t="s">
        <v>284</v>
      </c>
      <c r="B2" s="326"/>
      <c r="C2" s="326"/>
      <c r="D2" s="326"/>
      <c r="E2" s="326"/>
      <c r="F2" s="326"/>
      <c r="G2" s="326"/>
      <c r="H2" s="326"/>
      <c r="I2" s="326"/>
      <c r="J2" s="326"/>
      <c r="K2" s="326"/>
      <c r="L2" s="326"/>
      <c r="M2" s="326"/>
      <c r="N2" s="326"/>
      <c r="O2" s="326"/>
      <c r="P2" s="326"/>
      <c r="Q2" s="333"/>
      <c r="R2" s="326"/>
      <c r="S2" s="326">
        <v>0.42</v>
      </c>
      <c r="T2" s="326"/>
      <c r="U2" s="326"/>
      <c r="V2" s="334">
        <f>'P&amp;L'!P8</f>
        <v>0.13</v>
      </c>
      <c r="W2" s="334">
        <f>'P&amp;L'!P9</f>
        <v>0.13</v>
      </c>
      <c r="X2" s="326"/>
      <c r="Y2" s="326"/>
      <c r="Z2" s="326"/>
      <c r="AA2" s="326"/>
      <c r="AB2" s="326"/>
      <c r="AC2" s="326"/>
    </row>
    <row r="3" spans="1:36" ht="1.1499999999999999" customHeight="1" x14ac:dyDescent="0.35">
      <c r="A3" s="335"/>
      <c r="B3" s="335"/>
      <c r="C3" s="326"/>
      <c r="D3" s="327"/>
      <c r="E3" s="327"/>
      <c r="F3" s="327"/>
      <c r="G3" s="327"/>
      <c r="H3" s="327"/>
      <c r="I3" s="326"/>
      <c r="J3" s="326"/>
      <c r="K3" s="326"/>
      <c r="L3" s="326"/>
      <c r="M3" s="326"/>
      <c r="N3" s="326"/>
    </row>
    <row r="4" spans="1:36" ht="1.1499999999999999" customHeight="1" x14ac:dyDescent="0.35">
      <c r="A4" s="335"/>
      <c r="B4" s="335"/>
      <c r="C4" s="326"/>
      <c r="D4" s="327"/>
      <c r="E4" s="327"/>
      <c r="F4" s="327"/>
      <c r="G4" s="327"/>
      <c r="H4" s="327"/>
      <c r="I4" s="326"/>
      <c r="J4" s="326"/>
      <c r="K4" s="326"/>
      <c r="L4" s="326"/>
      <c r="M4" s="326"/>
      <c r="N4" s="326"/>
    </row>
    <row r="5" spans="1:36" ht="1.1499999999999999" customHeight="1" x14ac:dyDescent="0.35">
      <c r="A5" s="335"/>
      <c r="B5" s="335"/>
      <c r="C5" s="326"/>
      <c r="D5" s="327"/>
      <c r="E5" s="327"/>
      <c r="F5" s="327"/>
      <c r="G5" s="327"/>
      <c r="H5" s="327"/>
      <c r="I5" s="326"/>
      <c r="J5" s="326"/>
      <c r="K5" s="326"/>
      <c r="L5" s="326"/>
      <c r="M5" s="326"/>
      <c r="N5" s="326"/>
    </row>
    <row r="6" spans="1:36" ht="1.1499999999999999" customHeight="1" x14ac:dyDescent="0.35">
      <c r="A6" s="335"/>
      <c r="B6" s="335"/>
      <c r="C6" s="326"/>
      <c r="D6" s="327"/>
      <c r="E6" s="327"/>
      <c r="F6" s="327"/>
      <c r="G6" s="327"/>
      <c r="H6" s="327"/>
      <c r="I6" s="326"/>
      <c r="J6" s="326"/>
      <c r="K6" s="326"/>
      <c r="L6" s="326"/>
      <c r="M6" s="326"/>
      <c r="N6" s="326"/>
    </row>
    <row r="7" spans="1:36" ht="1.1499999999999999" customHeight="1" x14ac:dyDescent="0.35">
      <c r="A7" s="335"/>
      <c r="B7" s="335"/>
      <c r="C7" s="326"/>
      <c r="D7" s="327"/>
      <c r="E7" s="327"/>
      <c r="F7" s="327"/>
      <c r="G7" s="327"/>
      <c r="H7" s="327"/>
      <c r="I7" s="326"/>
      <c r="J7" s="326"/>
      <c r="K7" s="326"/>
      <c r="L7" s="326"/>
      <c r="M7" s="326"/>
      <c r="N7" s="326"/>
    </row>
    <row r="8" spans="1:36" ht="28.5" x14ac:dyDescent="0.45">
      <c r="A8" s="426" t="s">
        <v>285</v>
      </c>
      <c r="B8" s="426"/>
      <c r="C8" s="426"/>
      <c r="D8" s="426"/>
      <c r="E8" s="426"/>
      <c r="F8" s="426"/>
      <c r="G8" s="426"/>
      <c r="H8" s="426"/>
      <c r="I8" s="426"/>
      <c r="J8" s="426"/>
      <c r="K8" s="426"/>
      <c r="L8" s="426"/>
      <c r="M8" s="426"/>
      <c r="N8" s="426"/>
      <c r="O8" s="426"/>
      <c r="P8" s="426"/>
      <c r="Q8" s="426"/>
      <c r="R8" s="426"/>
      <c r="S8" s="426"/>
      <c r="T8" s="426"/>
      <c r="U8" s="426"/>
      <c r="V8" s="426"/>
      <c r="W8" s="426"/>
      <c r="X8" s="426"/>
      <c r="Y8" s="426"/>
      <c r="Z8" s="426"/>
      <c r="AA8" s="426"/>
      <c r="AB8" s="426"/>
      <c r="AC8" s="336"/>
      <c r="AF8" s="325">
        <f>Food!M2</f>
        <v>0.39999999999999997</v>
      </c>
    </row>
    <row r="9" spans="1:36" s="329" customFormat="1" ht="45" x14ac:dyDescent="0.25">
      <c r="A9" s="337" t="s">
        <v>251</v>
      </c>
      <c r="B9" s="337" t="s">
        <v>286</v>
      </c>
      <c r="C9" s="338" t="s">
        <v>287</v>
      </c>
      <c r="D9" s="338" t="s">
        <v>288</v>
      </c>
      <c r="E9" s="338" t="s">
        <v>289</v>
      </c>
      <c r="F9" s="338" t="s">
        <v>290</v>
      </c>
      <c r="G9" s="338" t="s">
        <v>291</v>
      </c>
      <c r="H9" s="338" t="s">
        <v>292</v>
      </c>
      <c r="I9" s="339" t="s">
        <v>293</v>
      </c>
      <c r="J9" s="340" t="s">
        <v>294</v>
      </c>
      <c r="K9" s="338" t="s">
        <v>295</v>
      </c>
      <c r="L9" s="338" t="s">
        <v>296</v>
      </c>
      <c r="M9" s="338" t="s">
        <v>297</v>
      </c>
      <c r="N9" s="329" t="s">
        <v>298</v>
      </c>
      <c r="O9" s="329" t="s">
        <v>299</v>
      </c>
      <c r="P9" s="341" t="s">
        <v>300</v>
      </c>
      <c r="Q9" s="342" t="s">
        <v>301</v>
      </c>
      <c r="R9" s="341" t="s">
        <v>302</v>
      </c>
      <c r="S9" s="341" t="s">
        <v>303</v>
      </c>
      <c r="T9" s="341" t="s">
        <v>304</v>
      </c>
      <c r="U9" s="341" t="s">
        <v>305</v>
      </c>
      <c r="V9" s="343" t="s">
        <v>306</v>
      </c>
      <c r="W9" s="344" t="s">
        <v>307</v>
      </c>
      <c r="X9" s="341" t="s">
        <v>308</v>
      </c>
      <c r="Y9" s="341" t="s">
        <v>309</v>
      </c>
      <c r="Z9" s="341" t="s">
        <v>310</v>
      </c>
      <c r="AA9" s="338" t="s">
        <v>311</v>
      </c>
      <c r="AB9" s="341" t="s">
        <v>312</v>
      </c>
      <c r="AC9" s="329" t="s">
        <v>313</v>
      </c>
      <c r="AD9" s="341" t="s">
        <v>314</v>
      </c>
      <c r="AE9" s="341" t="s">
        <v>315</v>
      </c>
      <c r="AF9" s="341" t="s">
        <v>316</v>
      </c>
      <c r="AG9" s="341" t="s">
        <v>317</v>
      </c>
      <c r="AH9" s="341" t="s">
        <v>318</v>
      </c>
      <c r="AI9" s="341" t="s">
        <v>319</v>
      </c>
      <c r="AJ9" s="341" t="s">
        <v>412</v>
      </c>
    </row>
    <row r="10" spans="1:36" x14ac:dyDescent="0.25">
      <c r="A10" s="329">
        <v>10001</v>
      </c>
      <c r="B10" s="325" t="s">
        <v>320</v>
      </c>
      <c r="C10" s="329">
        <v>1</v>
      </c>
      <c r="I10" s="329"/>
      <c r="J10" s="329"/>
      <c r="K10" s="329"/>
      <c r="L10" s="345"/>
      <c r="M10" s="329"/>
      <c r="N10" s="346"/>
      <c r="O10" s="347">
        <v>0</v>
      </c>
      <c r="P10" s="347">
        <f>Table1[[#This Row],[unit cost]]*1.065</f>
        <v>0</v>
      </c>
      <c r="Q10" s="348">
        <v>2</v>
      </c>
      <c r="R10" s="329">
        <v>1</v>
      </c>
      <c r="S10" s="349">
        <f t="shared" ref="S10:S41" si="0">$S$2</f>
        <v>0.42</v>
      </c>
      <c r="T10" s="350">
        <f>Table1[[#This Row],[man minutes]]*Table1[[#This Row],[labor rate]]</f>
        <v>0.84</v>
      </c>
      <c r="U10" s="350">
        <f t="shared" ref="U10:U41" si="1">P10+T10</f>
        <v>0.84</v>
      </c>
      <c r="V10" s="330">
        <f t="shared" ref="V10:V41" si="2">$V$2</f>
        <v>0.13</v>
      </c>
      <c r="W10" s="351">
        <f t="shared" ref="W10:W41" si="3">$W$2</f>
        <v>0.13</v>
      </c>
      <c r="X10" s="350">
        <f t="shared" ref="X10:X41" si="4">P10*(1+V10)</f>
        <v>0</v>
      </c>
      <c r="Y10" s="350">
        <f t="shared" ref="Y10:Y41" si="5">T10+(T10*W10)</f>
        <v>0.94919999999999993</v>
      </c>
      <c r="Z10" s="350">
        <f t="shared" ref="Z10:Z41" si="6">IFERROR(ROUNDUP(X10+Y10,2)," ")</f>
        <v>0.95</v>
      </c>
      <c r="AA10" s="352">
        <f>+Table1[[#This Row],[calculated sale price]]</f>
        <v>0.95</v>
      </c>
      <c r="AB10" s="353"/>
      <c r="AC10" s="354"/>
      <c r="AD10" s="355"/>
      <c r="AE10" s="356">
        <f>Table1[[#This Row],[cost per quantity]]*(1+'P&amp;L'!$P$8)</f>
        <v>0</v>
      </c>
      <c r="AF10" s="356">
        <f>$AF$8*Table1[[#This Row],[man minutes]]*(1+'P&amp;L'!$P$9)</f>
        <v>0.9039999999999998</v>
      </c>
      <c r="AG10" s="356"/>
      <c r="AH10" s="356"/>
      <c r="AI10" s="356">
        <f>Table1[[#This Row],[Food cost w/ MU]]+Table1[[#This Row],[labor cost W/ MU]]</f>
        <v>0.9039999999999998</v>
      </c>
      <c r="AJ10" s="357"/>
    </row>
    <row r="11" spans="1:36" x14ac:dyDescent="0.25">
      <c r="A11" s="329">
        <v>10002</v>
      </c>
      <c r="B11" s="325" t="s">
        <v>321</v>
      </c>
      <c r="C11" s="329">
        <v>1</v>
      </c>
      <c r="I11" s="329"/>
      <c r="J11" s="329"/>
      <c r="K11" s="329"/>
      <c r="L11" s="345"/>
      <c r="M11" s="329"/>
      <c r="N11" s="346"/>
      <c r="O11" s="347">
        <v>1.52155</v>
      </c>
      <c r="P11" s="347">
        <f>Table1[[#This Row],[unit cost]]*1.065</f>
        <v>1.6204507499999998</v>
      </c>
      <c r="Q11" s="348">
        <v>2.5</v>
      </c>
      <c r="R11" s="329">
        <v>1</v>
      </c>
      <c r="S11" s="349">
        <f t="shared" si="0"/>
        <v>0.42</v>
      </c>
      <c r="T11" s="350">
        <f>Table1[[#This Row],[man minutes]]*Table1[[#This Row],[labor rate]]</f>
        <v>1.05</v>
      </c>
      <c r="U11" s="350">
        <f t="shared" si="1"/>
        <v>2.6704507499999997</v>
      </c>
      <c r="V11" s="330">
        <f t="shared" si="2"/>
        <v>0.13</v>
      </c>
      <c r="W11" s="351">
        <f t="shared" si="3"/>
        <v>0.13</v>
      </c>
      <c r="X11" s="350">
        <f t="shared" si="4"/>
        <v>1.8311093474999995</v>
      </c>
      <c r="Y11" s="350">
        <f t="shared" si="5"/>
        <v>1.1865000000000001</v>
      </c>
      <c r="Z11" s="350">
        <f t="shared" si="6"/>
        <v>3.0199999999999996</v>
      </c>
      <c r="AA11" s="352">
        <f>+Table1[[#This Row],[calculated sale price]]</f>
        <v>3.0199999999999996</v>
      </c>
      <c r="AB11" s="353"/>
      <c r="AC11" s="354"/>
      <c r="AD11" s="355"/>
      <c r="AE11" s="356">
        <f>Table1[[#This Row],[cost per quantity]]*(1+'P&amp;L'!$P$8)</f>
        <v>1.8311093474999995</v>
      </c>
      <c r="AF11" s="356">
        <f>$AF$8*Table1[[#This Row],[man minutes]]*(1+'P&amp;L'!$P$9)</f>
        <v>1.1299999999999997</v>
      </c>
      <c r="AG11" s="356"/>
      <c r="AH11" s="356"/>
      <c r="AI11" s="356">
        <f>Table1[[#This Row],[Food cost w/ MU]]+Table1[[#This Row],[labor cost W/ MU]]</f>
        <v>2.961109347499999</v>
      </c>
      <c r="AJ11" s="357"/>
    </row>
    <row r="12" spans="1:36" x14ac:dyDescent="0.25">
      <c r="A12" s="329">
        <v>10003</v>
      </c>
      <c r="B12" s="325" t="s">
        <v>322</v>
      </c>
      <c r="C12" s="329">
        <v>1</v>
      </c>
      <c r="I12" s="329"/>
      <c r="J12" s="329"/>
      <c r="K12" s="329"/>
      <c r="L12" s="345"/>
      <c r="M12" s="329"/>
      <c r="N12" s="346"/>
      <c r="O12" s="347">
        <v>0.4894</v>
      </c>
      <c r="P12" s="347">
        <f>Table1[[#This Row],[unit cost]]*1.065</f>
        <v>0.52121099999999998</v>
      </c>
      <c r="Q12" s="348">
        <v>2</v>
      </c>
      <c r="R12" s="329">
        <v>1</v>
      </c>
      <c r="S12" s="349">
        <f t="shared" si="0"/>
        <v>0.42</v>
      </c>
      <c r="T12" s="350">
        <f>Table1[[#This Row],[man minutes]]*Table1[[#This Row],[labor rate]]</f>
        <v>0.84</v>
      </c>
      <c r="U12" s="350">
        <f t="shared" si="1"/>
        <v>1.3612109999999999</v>
      </c>
      <c r="V12" s="330">
        <f t="shared" si="2"/>
        <v>0.13</v>
      </c>
      <c r="W12" s="351">
        <f t="shared" si="3"/>
        <v>0.13</v>
      </c>
      <c r="X12" s="350">
        <f t="shared" si="4"/>
        <v>0.58896842999999988</v>
      </c>
      <c r="Y12" s="350">
        <f t="shared" si="5"/>
        <v>0.94919999999999993</v>
      </c>
      <c r="Z12" s="350">
        <f t="shared" si="6"/>
        <v>1.54</v>
      </c>
      <c r="AA12" s="352">
        <f>+Table1[[#This Row],[calculated sale price]]</f>
        <v>1.54</v>
      </c>
      <c r="AB12" s="353"/>
      <c r="AC12" s="354"/>
      <c r="AD12" s="355"/>
      <c r="AE12" s="356">
        <f>Table1[[#This Row],[cost per quantity]]*(1+'P&amp;L'!$P$8)</f>
        <v>0.58896842999999988</v>
      </c>
      <c r="AF12" s="356">
        <f>$AF$8*Table1[[#This Row],[man minutes]]*(1+'P&amp;L'!$P$9)</f>
        <v>0.9039999999999998</v>
      </c>
      <c r="AG12" s="356"/>
      <c r="AH12" s="356"/>
      <c r="AI12" s="356">
        <f>Table1[[#This Row],[Food cost w/ MU]]+Table1[[#This Row],[labor cost W/ MU]]</f>
        <v>1.4929684299999997</v>
      </c>
      <c r="AJ12" s="357"/>
    </row>
    <row r="13" spans="1:36" x14ac:dyDescent="0.25">
      <c r="A13" s="329">
        <v>10004</v>
      </c>
      <c r="B13" s="325" t="s">
        <v>323</v>
      </c>
      <c r="C13" s="329">
        <v>1</v>
      </c>
      <c r="I13" s="329"/>
      <c r="J13" s="329"/>
      <c r="K13" s="329"/>
      <c r="L13" s="345"/>
      <c r="M13" s="329"/>
      <c r="N13" s="346"/>
      <c r="O13" s="347">
        <v>0.24948000000000001</v>
      </c>
      <c r="P13" s="347">
        <f>Table1[[#This Row],[unit cost]]*1.065</f>
        <v>0.26569619999999999</v>
      </c>
      <c r="Q13" s="348">
        <v>1.5</v>
      </c>
      <c r="R13" s="329">
        <v>1</v>
      </c>
      <c r="S13" s="349">
        <f t="shared" si="0"/>
        <v>0.42</v>
      </c>
      <c r="T13" s="350">
        <f>Table1[[#This Row],[man minutes]]*Table1[[#This Row],[labor rate]]</f>
        <v>0.63</v>
      </c>
      <c r="U13" s="350">
        <f t="shared" si="1"/>
        <v>0.89569619999999994</v>
      </c>
      <c r="V13" s="330">
        <f t="shared" si="2"/>
        <v>0.13</v>
      </c>
      <c r="W13" s="351">
        <f t="shared" si="3"/>
        <v>0.13</v>
      </c>
      <c r="X13" s="350">
        <f t="shared" si="4"/>
        <v>0.30023670599999996</v>
      </c>
      <c r="Y13" s="350">
        <f t="shared" si="5"/>
        <v>0.71189999999999998</v>
      </c>
      <c r="Z13" s="350">
        <f t="shared" si="6"/>
        <v>1.02</v>
      </c>
      <c r="AA13" s="352">
        <f>+Table1[[#This Row],[calculated sale price]]</f>
        <v>1.02</v>
      </c>
      <c r="AB13" s="353"/>
      <c r="AC13" s="354"/>
      <c r="AD13" s="355"/>
      <c r="AE13" s="356">
        <f>Table1[[#This Row],[cost per quantity]]*(1+'P&amp;L'!$P$8)</f>
        <v>0.30023670599999996</v>
      </c>
      <c r="AF13" s="356">
        <f>$AF$8*Table1[[#This Row],[man minutes]]*(1+'P&amp;L'!$P$9)</f>
        <v>0.67799999999999994</v>
      </c>
      <c r="AG13" s="356"/>
      <c r="AH13" s="356"/>
      <c r="AI13" s="356">
        <f>Table1[[#This Row],[Food cost w/ MU]]+Table1[[#This Row],[labor cost W/ MU]]</f>
        <v>0.9782367059999999</v>
      </c>
      <c r="AJ13" s="357"/>
    </row>
    <row r="14" spans="1:36" x14ac:dyDescent="0.25">
      <c r="A14" s="329">
        <v>10005</v>
      </c>
      <c r="B14" s="325" t="s">
        <v>324</v>
      </c>
      <c r="C14" s="329">
        <v>1</v>
      </c>
      <c r="I14" s="329"/>
      <c r="J14" s="329"/>
      <c r="K14" s="329"/>
      <c r="L14" s="345"/>
      <c r="M14" s="329"/>
      <c r="N14" s="346"/>
      <c r="O14" s="347">
        <v>4.2000000000000003E-2</v>
      </c>
      <c r="P14" s="347">
        <f>Table1[[#This Row],[unit cost]]*1.065</f>
        <v>4.4729999999999999E-2</v>
      </c>
      <c r="Q14" s="348">
        <v>0.3</v>
      </c>
      <c r="R14" s="329">
        <v>1</v>
      </c>
      <c r="S14" s="349">
        <f t="shared" si="0"/>
        <v>0.42</v>
      </c>
      <c r="T14" s="350">
        <f>Table1[[#This Row],[man minutes]]*Table1[[#This Row],[labor rate]]</f>
        <v>0.126</v>
      </c>
      <c r="U14" s="350">
        <f t="shared" si="1"/>
        <v>0.17072999999999999</v>
      </c>
      <c r="V14" s="330">
        <f t="shared" si="2"/>
        <v>0.13</v>
      </c>
      <c r="W14" s="351">
        <f t="shared" si="3"/>
        <v>0.13</v>
      </c>
      <c r="X14" s="350">
        <f t="shared" si="4"/>
        <v>5.0544899999999997E-2</v>
      </c>
      <c r="Y14" s="350">
        <f t="shared" si="5"/>
        <v>0.14238000000000001</v>
      </c>
      <c r="Z14" s="350">
        <f t="shared" si="6"/>
        <v>0.2</v>
      </c>
      <c r="AA14" s="352">
        <f>+Table1[[#This Row],[calculated sale price]]</f>
        <v>0.2</v>
      </c>
      <c r="AB14" s="353"/>
      <c r="AC14" s="354"/>
      <c r="AD14" s="355"/>
      <c r="AE14" s="356">
        <f>Table1[[#This Row],[cost per quantity]]*(1+'P&amp;L'!$P$8)</f>
        <v>5.0544899999999997E-2</v>
      </c>
      <c r="AF14" s="356">
        <f>$AF$8*Table1[[#This Row],[man minutes]]*(1+'P&amp;L'!$P$9)</f>
        <v>0.13559999999999997</v>
      </c>
      <c r="AG14" s="356"/>
      <c r="AH14" s="356"/>
      <c r="AI14" s="356">
        <f>Table1[[#This Row],[Food cost w/ MU]]+Table1[[#This Row],[labor cost W/ MU]]</f>
        <v>0.18614489999999997</v>
      </c>
      <c r="AJ14" s="357"/>
    </row>
    <row r="15" spans="1:36" x14ac:dyDescent="0.25">
      <c r="A15" s="329">
        <v>10006</v>
      </c>
      <c r="B15" s="325" t="s">
        <v>325</v>
      </c>
      <c r="C15" s="329">
        <v>1</v>
      </c>
      <c r="I15" s="329"/>
      <c r="J15" s="329"/>
      <c r="K15" s="329"/>
      <c r="L15" s="345"/>
      <c r="M15" s="329"/>
      <c r="N15" s="346"/>
      <c r="O15" s="347">
        <v>0.08</v>
      </c>
      <c r="P15" s="347">
        <f>Table1[[#This Row],[unit cost]]*1.065</f>
        <v>8.5199999999999998E-2</v>
      </c>
      <c r="Q15" s="348">
        <v>0.75</v>
      </c>
      <c r="R15" s="329">
        <v>1</v>
      </c>
      <c r="S15" s="349">
        <f t="shared" si="0"/>
        <v>0.42</v>
      </c>
      <c r="T15" s="350">
        <f>Table1[[#This Row],[man minutes]]*Table1[[#This Row],[labor rate]]</f>
        <v>0.315</v>
      </c>
      <c r="U15" s="350">
        <f t="shared" si="1"/>
        <v>0.4002</v>
      </c>
      <c r="V15" s="330">
        <f t="shared" si="2"/>
        <v>0.13</v>
      </c>
      <c r="W15" s="351">
        <f t="shared" si="3"/>
        <v>0.13</v>
      </c>
      <c r="X15" s="350">
        <f t="shared" si="4"/>
        <v>9.6275999999999987E-2</v>
      </c>
      <c r="Y15" s="350">
        <f t="shared" si="5"/>
        <v>0.35594999999999999</v>
      </c>
      <c r="Z15" s="350">
        <f t="shared" si="6"/>
        <v>0.46</v>
      </c>
      <c r="AA15" s="352">
        <f>+Table1[[#This Row],[calculated sale price]]</f>
        <v>0.46</v>
      </c>
      <c r="AB15" s="353"/>
      <c r="AC15" s="354"/>
      <c r="AD15" s="355"/>
      <c r="AE15" s="356">
        <f>Table1[[#This Row],[cost per quantity]]*(1+'P&amp;L'!$P$8)</f>
        <v>9.6275999999999987E-2</v>
      </c>
      <c r="AF15" s="356">
        <f>$AF$8*Table1[[#This Row],[man minutes]]*(1+'P&amp;L'!$P$9)</f>
        <v>0.33899999999999997</v>
      </c>
      <c r="AG15" s="356"/>
      <c r="AH15" s="356"/>
      <c r="AI15" s="356">
        <f>Table1[[#This Row],[Food cost w/ MU]]+Table1[[#This Row],[labor cost W/ MU]]</f>
        <v>0.43527599999999994</v>
      </c>
      <c r="AJ15" s="357"/>
    </row>
    <row r="16" spans="1:36" x14ac:dyDescent="0.25">
      <c r="A16" s="329">
        <v>10007</v>
      </c>
      <c r="B16" s="325" t="s">
        <v>326</v>
      </c>
      <c r="C16" s="329">
        <v>1</v>
      </c>
      <c r="I16" s="329"/>
      <c r="J16" s="329"/>
      <c r="K16" s="329"/>
      <c r="L16" s="345"/>
      <c r="M16" s="329"/>
      <c r="N16" s="346"/>
      <c r="O16" s="347">
        <v>1.47</v>
      </c>
      <c r="P16" s="347">
        <f>Table1[[#This Row],[unit cost]]*1.065</f>
        <v>1.56555</v>
      </c>
      <c r="Q16" s="348">
        <v>3</v>
      </c>
      <c r="R16" s="329">
        <v>1</v>
      </c>
      <c r="S16" s="349">
        <f t="shared" si="0"/>
        <v>0.42</v>
      </c>
      <c r="T16" s="350">
        <f>Table1[[#This Row],[man minutes]]*Table1[[#This Row],[labor rate]]</f>
        <v>1.26</v>
      </c>
      <c r="U16" s="350">
        <f t="shared" si="1"/>
        <v>2.8255499999999998</v>
      </c>
      <c r="V16" s="330">
        <f t="shared" si="2"/>
        <v>0.13</v>
      </c>
      <c r="W16" s="351">
        <f t="shared" si="3"/>
        <v>0.13</v>
      </c>
      <c r="X16" s="350">
        <f t="shared" si="4"/>
        <v>1.7690714999999999</v>
      </c>
      <c r="Y16" s="350">
        <f t="shared" si="5"/>
        <v>1.4238</v>
      </c>
      <c r="Z16" s="350">
        <f t="shared" si="6"/>
        <v>3.1999999999999997</v>
      </c>
      <c r="AA16" s="352">
        <f>+Table1[[#This Row],[calculated sale price]]</f>
        <v>3.1999999999999997</v>
      </c>
      <c r="AB16" s="353"/>
      <c r="AC16" s="354"/>
      <c r="AD16" s="355"/>
      <c r="AE16" s="356">
        <f>Table1[[#This Row],[cost per quantity]]*(1+'P&amp;L'!$P$8)</f>
        <v>1.7690714999999999</v>
      </c>
      <c r="AF16" s="356">
        <f>$AF$8*Table1[[#This Row],[man minutes]]*(1+'P&amp;L'!$P$9)</f>
        <v>1.3559999999999999</v>
      </c>
      <c r="AG16" s="356"/>
      <c r="AH16" s="356"/>
      <c r="AI16" s="356">
        <f>Table1[[#This Row],[Food cost w/ MU]]+Table1[[#This Row],[labor cost W/ MU]]</f>
        <v>3.1250714999999998</v>
      </c>
      <c r="AJ16" s="357"/>
    </row>
    <row r="17" spans="1:36" x14ac:dyDescent="0.25">
      <c r="A17" s="329">
        <v>10008</v>
      </c>
      <c r="B17" s="325" t="s">
        <v>327</v>
      </c>
      <c r="C17" s="329">
        <v>1</v>
      </c>
      <c r="I17" s="329"/>
      <c r="J17" s="329"/>
      <c r="K17" s="329"/>
      <c r="L17" s="345"/>
      <c r="M17" s="329"/>
      <c r="N17" s="346"/>
      <c r="O17" s="347">
        <v>2.8304999999999998</v>
      </c>
      <c r="P17" s="347">
        <f>Table1[[#This Row],[unit cost]]*1.065</f>
        <v>3.0144824999999997</v>
      </c>
      <c r="Q17" s="348">
        <v>3</v>
      </c>
      <c r="R17" s="329">
        <v>1</v>
      </c>
      <c r="S17" s="349">
        <f t="shared" si="0"/>
        <v>0.42</v>
      </c>
      <c r="T17" s="350">
        <f>Table1[[#This Row],[man minutes]]*Table1[[#This Row],[labor rate]]</f>
        <v>1.26</v>
      </c>
      <c r="U17" s="350">
        <f t="shared" si="1"/>
        <v>4.2744824999999995</v>
      </c>
      <c r="V17" s="330">
        <f t="shared" si="2"/>
        <v>0.13</v>
      </c>
      <c r="W17" s="351">
        <f t="shared" si="3"/>
        <v>0.13</v>
      </c>
      <c r="X17" s="350">
        <f t="shared" si="4"/>
        <v>3.4063652249999992</v>
      </c>
      <c r="Y17" s="350">
        <f t="shared" si="5"/>
        <v>1.4238</v>
      </c>
      <c r="Z17" s="350">
        <f t="shared" si="6"/>
        <v>4.84</v>
      </c>
      <c r="AA17" s="352">
        <f>+Table1[[#This Row],[calculated sale price]]</f>
        <v>4.84</v>
      </c>
      <c r="AB17" s="353"/>
      <c r="AC17" s="354"/>
      <c r="AD17" s="355"/>
      <c r="AE17" s="356">
        <f>Table1[[#This Row],[cost per quantity]]*(1+'P&amp;L'!$P$8)</f>
        <v>3.4063652249999992</v>
      </c>
      <c r="AF17" s="356">
        <f>$AF$8*Table1[[#This Row],[man minutes]]*(1+'P&amp;L'!$P$9)</f>
        <v>1.3559999999999999</v>
      </c>
      <c r="AG17" s="356"/>
      <c r="AH17" s="356"/>
      <c r="AI17" s="356">
        <f>Table1[[#This Row],[Food cost w/ MU]]+Table1[[#This Row],[labor cost W/ MU]]</f>
        <v>4.762365224999999</v>
      </c>
      <c r="AJ17" s="357"/>
    </row>
    <row r="18" spans="1:36" x14ac:dyDescent="0.25">
      <c r="A18" s="329">
        <v>10009</v>
      </c>
      <c r="B18" s="325" t="s">
        <v>328</v>
      </c>
      <c r="C18" s="329">
        <v>1</v>
      </c>
      <c r="I18" s="329"/>
      <c r="J18" s="329"/>
      <c r="K18" s="329"/>
      <c r="L18" s="345"/>
      <c r="M18" s="329"/>
      <c r="N18" s="346"/>
      <c r="O18" s="347">
        <v>1.6952</v>
      </c>
      <c r="P18" s="347">
        <f>Table1[[#This Row],[unit cost]]*1.065</f>
        <v>1.805388</v>
      </c>
      <c r="Q18" s="348">
        <v>3.5</v>
      </c>
      <c r="R18" s="329">
        <v>1</v>
      </c>
      <c r="S18" s="349">
        <f t="shared" si="0"/>
        <v>0.42</v>
      </c>
      <c r="T18" s="350">
        <f>Table1[[#This Row],[man minutes]]*Table1[[#This Row],[labor rate]]</f>
        <v>1.47</v>
      </c>
      <c r="U18" s="350">
        <f t="shared" si="1"/>
        <v>3.275388</v>
      </c>
      <c r="V18" s="330">
        <f t="shared" si="2"/>
        <v>0.13</v>
      </c>
      <c r="W18" s="351">
        <f t="shared" si="3"/>
        <v>0.13</v>
      </c>
      <c r="X18" s="350">
        <f t="shared" si="4"/>
        <v>2.0400884399999999</v>
      </c>
      <c r="Y18" s="350">
        <f t="shared" si="5"/>
        <v>1.6611</v>
      </c>
      <c r="Z18" s="350">
        <f t="shared" si="6"/>
        <v>3.71</v>
      </c>
      <c r="AA18" s="352">
        <f>+Table1[[#This Row],[calculated sale price]]</f>
        <v>3.71</v>
      </c>
      <c r="AB18" s="353"/>
      <c r="AC18" s="354"/>
      <c r="AD18" s="355"/>
      <c r="AE18" s="356">
        <f>Table1[[#This Row],[cost per quantity]]*(1+'P&amp;L'!$P$8)</f>
        <v>2.0400884399999999</v>
      </c>
      <c r="AF18" s="356">
        <f>$AF$8*Table1[[#This Row],[man minutes]]*(1+'P&amp;L'!$P$9)</f>
        <v>1.5819999999999999</v>
      </c>
      <c r="AG18" s="356"/>
      <c r="AH18" s="356"/>
      <c r="AI18" s="356">
        <f>Table1[[#This Row],[Food cost w/ MU]]+Table1[[#This Row],[labor cost W/ MU]]</f>
        <v>3.6220884399999997</v>
      </c>
      <c r="AJ18" s="357"/>
    </row>
    <row r="19" spans="1:36" x14ac:dyDescent="0.25">
      <c r="A19" s="329">
        <v>10010</v>
      </c>
      <c r="B19" s="325" t="s">
        <v>329</v>
      </c>
      <c r="C19" s="329">
        <v>1</v>
      </c>
      <c r="I19" s="329"/>
      <c r="J19" s="329"/>
      <c r="K19" s="329"/>
      <c r="L19" s="345"/>
      <c r="M19" s="329"/>
      <c r="N19" s="346"/>
      <c r="O19" s="347">
        <v>1.5167999999999999</v>
      </c>
      <c r="P19" s="347">
        <f>Table1[[#This Row],[unit cost]]*1.065</f>
        <v>1.6153919999999999</v>
      </c>
      <c r="Q19" s="348">
        <v>4</v>
      </c>
      <c r="R19" s="329">
        <v>1</v>
      </c>
      <c r="S19" s="349">
        <f t="shared" si="0"/>
        <v>0.42</v>
      </c>
      <c r="T19" s="350">
        <f>Table1[[#This Row],[man minutes]]*Table1[[#This Row],[labor rate]]</f>
        <v>1.68</v>
      </c>
      <c r="U19" s="350">
        <f t="shared" si="1"/>
        <v>3.2953919999999997</v>
      </c>
      <c r="V19" s="330">
        <f t="shared" si="2"/>
        <v>0.13</v>
      </c>
      <c r="W19" s="351">
        <f t="shared" si="3"/>
        <v>0.13</v>
      </c>
      <c r="X19" s="350">
        <f t="shared" si="4"/>
        <v>1.8253929599999998</v>
      </c>
      <c r="Y19" s="350">
        <f t="shared" si="5"/>
        <v>1.8983999999999999</v>
      </c>
      <c r="Z19" s="350">
        <f t="shared" si="6"/>
        <v>3.73</v>
      </c>
      <c r="AA19" s="352">
        <f>+Table1[[#This Row],[calculated sale price]]</f>
        <v>3.73</v>
      </c>
      <c r="AB19" s="353"/>
      <c r="AC19" s="354"/>
      <c r="AD19" s="355"/>
      <c r="AE19" s="356">
        <f>Table1[[#This Row],[cost per quantity]]*(1+'P&amp;L'!$P$8)</f>
        <v>1.8253929599999998</v>
      </c>
      <c r="AF19" s="356">
        <f>$AF$8*Table1[[#This Row],[man minutes]]*(1+'P&amp;L'!$P$9)</f>
        <v>1.8079999999999996</v>
      </c>
      <c r="AG19" s="356"/>
      <c r="AH19" s="356"/>
      <c r="AI19" s="356">
        <f>Table1[[#This Row],[Food cost w/ MU]]+Table1[[#This Row],[labor cost W/ MU]]</f>
        <v>3.6333929599999992</v>
      </c>
      <c r="AJ19" s="357"/>
    </row>
    <row r="20" spans="1:36" x14ac:dyDescent="0.25">
      <c r="A20" s="329">
        <v>10011</v>
      </c>
      <c r="B20" s="325" t="s">
        <v>330</v>
      </c>
      <c r="C20" s="329">
        <v>1</v>
      </c>
      <c r="I20" s="329"/>
      <c r="J20" s="329"/>
      <c r="K20" s="329"/>
      <c r="L20" s="345"/>
      <c r="M20" s="329"/>
      <c r="N20" s="346"/>
      <c r="O20" s="347">
        <v>0.64816499999999999</v>
      </c>
      <c r="P20" s="347">
        <f>Table1[[#This Row],[unit cost]]*1.065</f>
        <v>0.69029572499999992</v>
      </c>
      <c r="Q20" s="348">
        <v>2.5</v>
      </c>
      <c r="R20" s="329">
        <v>1</v>
      </c>
      <c r="S20" s="349">
        <f t="shared" si="0"/>
        <v>0.42</v>
      </c>
      <c r="T20" s="350">
        <f>Table1[[#This Row],[man minutes]]*Table1[[#This Row],[labor rate]]</f>
        <v>1.05</v>
      </c>
      <c r="U20" s="350">
        <f t="shared" si="1"/>
        <v>1.740295725</v>
      </c>
      <c r="V20" s="330">
        <f t="shared" si="2"/>
        <v>0.13</v>
      </c>
      <c r="W20" s="351">
        <f t="shared" si="3"/>
        <v>0.13</v>
      </c>
      <c r="X20" s="350">
        <f t="shared" si="4"/>
        <v>0.7800341692499998</v>
      </c>
      <c r="Y20" s="350">
        <f t="shared" si="5"/>
        <v>1.1865000000000001</v>
      </c>
      <c r="Z20" s="350">
        <f t="shared" si="6"/>
        <v>1.97</v>
      </c>
      <c r="AA20" s="352">
        <f>+Table1[[#This Row],[calculated sale price]]</f>
        <v>1.97</v>
      </c>
      <c r="AB20" s="353"/>
      <c r="AC20" s="354"/>
      <c r="AD20" s="355"/>
      <c r="AE20" s="356">
        <f>Table1[[#This Row],[cost per quantity]]*(1+'P&amp;L'!$P$8)</f>
        <v>0.7800341692499998</v>
      </c>
      <c r="AF20" s="356">
        <f>$AF$8*Table1[[#This Row],[man minutes]]*(1+'P&amp;L'!$P$9)</f>
        <v>1.1299999999999997</v>
      </c>
      <c r="AG20" s="356"/>
      <c r="AH20" s="356"/>
      <c r="AI20" s="356">
        <f>Table1[[#This Row],[Food cost w/ MU]]+Table1[[#This Row],[labor cost W/ MU]]</f>
        <v>1.9100341692499994</v>
      </c>
      <c r="AJ20" s="357"/>
    </row>
    <row r="21" spans="1:36" x14ac:dyDescent="0.25">
      <c r="A21" s="329">
        <v>10012</v>
      </c>
      <c r="B21" s="325" t="s">
        <v>331</v>
      </c>
      <c r="C21" s="329">
        <v>1</v>
      </c>
      <c r="I21" s="329"/>
      <c r="J21" s="329"/>
      <c r="K21" s="329"/>
      <c r="L21" s="345"/>
      <c r="M21" s="329"/>
      <c r="N21" s="346"/>
      <c r="O21" s="347">
        <v>0.17879999999999999</v>
      </c>
      <c r="P21" s="347">
        <f>Table1[[#This Row],[unit cost]]*1.065</f>
        <v>0.19042199999999998</v>
      </c>
      <c r="Q21" s="348">
        <v>0.5</v>
      </c>
      <c r="R21" s="329">
        <v>1</v>
      </c>
      <c r="S21" s="349">
        <f t="shared" si="0"/>
        <v>0.42</v>
      </c>
      <c r="T21" s="350">
        <f>Table1[[#This Row],[man minutes]]*Table1[[#This Row],[labor rate]]</f>
        <v>0.21</v>
      </c>
      <c r="U21" s="350">
        <f t="shared" si="1"/>
        <v>0.40042199999999994</v>
      </c>
      <c r="V21" s="330">
        <f t="shared" si="2"/>
        <v>0.13</v>
      </c>
      <c r="W21" s="351">
        <f t="shared" si="3"/>
        <v>0.13</v>
      </c>
      <c r="X21" s="350">
        <f t="shared" si="4"/>
        <v>0.21517685999999997</v>
      </c>
      <c r="Y21" s="350">
        <f t="shared" si="5"/>
        <v>0.23729999999999998</v>
      </c>
      <c r="Z21" s="350">
        <f t="shared" si="6"/>
        <v>0.46</v>
      </c>
      <c r="AA21" s="352">
        <f>+Table1[[#This Row],[calculated sale price]]</f>
        <v>0.46</v>
      </c>
      <c r="AB21" s="353"/>
      <c r="AC21" s="354"/>
      <c r="AD21" s="355"/>
      <c r="AE21" s="356">
        <f>Table1[[#This Row],[cost per quantity]]*(1+'P&amp;L'!$P$8)</f>
        <v>0.21517685999999997</v>
      </c>
      <c r="AF21" s="356">
        <f>$AF$8*Table1[[#This Row],[man minutes]]*(1+'P&amp;L'!$P$9)</f>
        <v>0.22599999999999995</v>
      </c>
      <c r="AG21" s="356"/>
      <c r="AH21" s="356"/>
      <c r="AI21" s="356">
        <f>Table1[[#This Row],[Food cost w/ MU]]+Table1[[#This Row],[labor cost W/ MU]]</f>
        <v>0.44117685999999989</v>
      </c>
      <c r="AJ21" s="357"/>
    </row>
    <row r="22" spans="1:36" x14ac:dyDescent="0.25">
      <c r="A22" s="329">
        <v>10013</v>
      </c>
      <c r="B22" s="325" t="s">
        <v>332</v>
      </c>
      <c r="C22" s="329">
        <v>1</v>
      </c>
      <c r="I22" s="329"/>
      <c r="J22" s="329"/>
      <c r="K22" s="329"/>
      <c r="L22" s="345"/>
      <c r="M22" s="329"/>
      <c r="N22" s="346"/>
      <c r="O22" s="347">
        <v>8.2119</v>
      </c>
      <c r="P22" s="347">
        <f>Table1[[#This Row],[unit cost]]*1.065</f>
        <v>8.7456734999999988</v>
      </c>
      <c r="Q22" s="348">
        <v>8</v>
      </c>
      <c r="R22" s="329">
        <v>1</v>
      </c>
      <c r="S22" s="349">
        <f t="shared" si="0"/>
        <v>0.42</v>
      </c>
      <c r="T22" s="350">
        <f>Table1[[#This Row],[man minutes]]*Table1[[#This Row],[labor rate]]</f>
        <v>3.36</v>
      </c>
      <c r="U22" s="350">
        <f t="shared" si="1"/>
        <v>12.105673499999998</v>
      </c>
      <c r="V22" s="330">
        <f t="shared" si="2"/>
        <v>0.13</v>
      </c>
      <c r="W22" s="351">
        <f t="shared" si="3"/>
        <v>0.13</v>
      </c>
      <c r="X22" s="350">
        <f t="shared" si="4"/>
        <v>9.8826110549999981</v>
      </c>
      <c r="Y22" s="350">
        <f t="shared" si="5"/>
        <v>3.7967999999999997</v>
      </c>
      <c r="Z22" s="350">
        <f t="shared" si="6"/>
        <v>13.68</v>
      </c>
      <c r="AA22" s="352">
        <f>+Table1[[#This Row],[calculated sale price]]</f>
        <v>13.68</v>
      </c>
      <c r="AB22" s="353"/>
      <c r="AC22" s="354"/>
      <c r="AD22" s="355"/>
      <c r="AE22" s="356">
        <f>Table1[[#This Row],[cost per quantity]]*(1+'P&amp;L'!$P$8)</f>
        <v>9.8826110549999981</v>
      </c>
      <c r="AF22" s="356">
        <f>$AF$8*Table1[[#This Row],[man minutes]]*(1+'P&amp;L'!$P$9)</f>
        <v>3.6159999999999992</v>
      </c>
      <c r="AG22" s="356"/>
      <c r="AH22" s="356"/>
      <c r="AI22" s="356">
        <f>Table1[[#This Row],[Food cost w/ MU]]+Table1[[#This Row],[labor cost W/ MU]]</f>
        <v>13.498611054999998</v>
      </c>
      <c r="AJ22" s="357"/>
    </row>
    <row r="23" spans="1:36" x14ac:dyDescent="0.25">
      <c r="A23" s="329">
        <v>10014</v>
      </c>
      <c r="B23" s="325" t="s">
        <v>333</v>
      </c>
      <c r="C23" s="329">
        <v>1</v>
      </c>
      <c r="I23" s="329"/>
      <c r="J23" s="329"/>
      <c r="K23" s="329"/>
      <c r="L23" s="345"/>
      <c r="M23" s="329"/>
      <c r="N23" s="346"/>
      <c r="O23" s="347">
        <v>9.8042999999999996</v>
      </c>
      <c r="P23" s="347">
        <f>Table1[[#This Row],[unit cost]]*1.065</f>
        <v>10.4415795</v>
      </c>
      <c r="Q23" s="348">
        <v>6</v>
      </c>
      <c r="R23" s="329">
        <v>1</v>
      </c>
      <c r="S23" s="349">
        <f t="shared" si="0"/>
        <v>0.42</v>
      </c>
      <c r="T23" s="350">
        <f>Table1[[#This Row],[man minutes]]*Table1[[#This Row],[labor rate]]</f>
        <v>2.52</v>
      </c>
      <c r="U23" s="350">
        <f t="shared" si="1"/>
        <v>12.961579499999999</v>
      </c>
      <c r="V23" s="330">
        <f t="shared" si="2"/>
        <v>0.13</v>
      </c>
      <c r="W23" s="351">
        <f t="shared" si="3"/>
        <v>0.13</v>
      </c>
      <c r="X23" s="350">
        <f t="shared" si="4"/>
        <v>11.798984834999999</v>
      </c>
      <c r="Y23" s="350">
        <f t="shared" si="5"/>
        <v>2.8475999999999999</v>
      </c>
      <c r="Z23" s="350">
        <f t="shared" si="6"/>
        <v>14.65</v>
      </c>
      <c r="AA23" s="352">
        <f>+Table1[[#This Row],[calculated sale price]]</f>
        <v>14.65</v>
      </c>
      <c r="AB23" s="353"/>
      <c r="AC23" s="354"/>
      <c r="AD23" s="355"/>
      <c r="AE23" s="356">
        <f>Table1[[#This Row],[cost per quantity]]*(1+'P&amp;L'!$P$8)</f>
        <v>11.798984834999999</v>
      </c>
      <c r="AF23" s="356">
        <f>$AF$8*Table1[[#This Row],[man minutes]]*(1+'P&amp;L'!$P$9)</f>
        <v>2.7119999999999997</v>
      </c>
      <c r="AG23" s="356"/>
      <c r="AH23" s="356"/>
      <c r="AI23" s="356">
        <f>Table1[[#This Row],[Food cost w/ MU]]+Table1[[#This Row],[labor cost W/ MU]]</f>
        <v>14.510984834999999</v>
      </c>
      <c r="AJ23" s="357"/>
    </row>
    <row r="24" spans="1:36" x14ac:dyDescent="0.25">
      <c r="A24" s="329">
        <v>10015</v>
      </c>
      <c r="B24" s="325" t="s">
        <v>334</v>
      </c>
      <c r="C24" s="329">
        <v>1</v>
      </c>
      <c r="I24" s="329"/>
      <c r="J24" s="329"/>
      <c r="K24" s="329"/>
      <c r="L24" s="345"/>
      <c r="M24" s="329"/>
      <c r="N24" s="346"/>
      <c r="O24" s="347">
        <v>4.0870829999999998</v>
      </c>
      <c r="P24" s="347">
        <f>Table1[[#This Row],[unit cost]]*1.065</f>
        <v>4.3527433949999992</v>
      </c>
      <c r="Q24" s="348">
        <v>6.5</v>
      </c>
      <c r="R24" s="329">
        <v>1</v>
      </c>
      <c r="S24" s="349">
        <f t="shared" si="0"/>
        <v>0.42</v>
      </c>
      <c r="T24" s="350">
        <f>Table1[[#This Row],[man minutes]]*Table1[[#This Row],[labor rate]]</f>
        <v>2.73</v>
      </c>
      <c r="U24" s="350">
        <f t="shared" si="1"/>
        <v>7.0827433949999996</v>
      </c>
      <c r="V24" s="330">
        <f t="shared" si="2"/>
        <v>0.13</v>
      </c>
      <c r="W24" s="351">
        <f t="shared" si="3"/>
        <v>0.13</v>
      </c>
      <c r="X24" s="350">
        <f t="shared" si="4"/>
        <v>4.9186000363499982</v>
      </c>
      <c r="Y24" s="350">
        <f t="shared" si="5"/>
        <v>3.0849000000000002</v>
      </c>
      <c r="Z24" s="350">
        <f t="shared" si="6"/>
        <v>8.01</v>
      </c>
      <c r="AA24" s="352">
        <f>+Table1[[#This Row],[calculated sale price]]</f>
        <v>8.01</v>
      </c>
      <c r="AB24" s="353"/>
      <c r="AC24" s="354"/>
      <c r="AD24" s="355"/>
      <c r="AE24" s="356">
        <f>Table1[[#This Row],[cost per quantity]]*(1+'P&amp;L'!$P$8)</f>
        <v>4.9186000363499982</v>
      </c>
      <c r="AF24" s="356">
        <f>$AF$8*Table1[[#This Row],[man minutes]]*(1+'P&amp;L'!$P$9)</f>
        <v>2.9379999999999993</v>
      </c>
      <c r="AG24" s="356"/>
      <c r="AH24" s="356"/>
      <c r="AI24" s="356">
        <f>Table1[[#This Row],[Food cost w/ MU]]+Table1[[#This Row],[labor cost W/ MU]]</f>
        <v>7.856600036349997</v>
      </c>
      <c r="AJ24" s="357"/>
    </row>
    <row r="25" spans="1:36" x14ac:dyDescent="0.25">
      <c r="A25" s="329">
        <v>10016</v>
      </c>
      <c r="B25" s="325" t="s">
        <v>335</v>
      </c>
      <c r="C25" s="329">
        <v>1</v>
      </c>
      <c r="I25" s="329"/>
      <c r="J25" s="329"/>
      <c r="K25" s="329"/>
      <c r="L25" s="345"/>
      <c r="M25" s="329"/>
      <c r="N25" s="346"/>
      <c r="O25" s="347">
        <f>1.2591+0.45</f>
        <v>1.7091000000000001</v>
      </c>
      <c r="P25" s="347">
        <f>Table1[[#This Row],[unit cost]]*1.065</f>
        <v>1.8201915</v>
      </c>
      <c r="Q25" s="348">
        <v>6.5</v>
      </c>
      <c r="R25" s="329">
        <v>1</v>
      </c>
      <c r="S25" s="349">
        <f t="shared" si="0"/>
        <v>0.42</v>
      </c>
      <c r="T25" s="350">
        <f>Table1[[#This Row],[man minutes]]*Table1[[#This Row],[labor rate]]</f>
        <v>2.73</v>
      </c>
      <c r="U25" s="350">
        <f t="shared" si="1"/>
        <v>4.5501915000000004</v>
      </c>
      <c r="V25" s="330">
        <f t="shared" si="2"/>
        <v>0.13</v>
      </c>
      <c r="W25" s="351">
        <f t="shared" si="3"/>
        <v>0.13</v>
      </c>
      <c r="X25" s="350">
        <f t="shared" si="4"/>
        <v>2.0568163949999998</v>
      </c>
      <c r="Y25" s="350">
        <f t="shared" si="5"/>
        <v>3.0849000000000002</v>
      </c>
      <c r="Z25" s="350">
        <f t="shared" si="6"/>
        <v>5.1499999999999995</v>
      </c>
      <c r="AA25" s="352">
        <f>+Table1[[#This Row],[calculated sale price]]</f>
        <v>5.1499999999999995</v>
      </c>
      <c r="AB25" s="353"/>
      <c r="AC25" s="354"/>
      <c r="AD25" s="355"/>
      <c r="AE25" s="356">
        <f>Table1[[#This Row],[cost per quantity]]*(1+'P&amp;L'!$P$8)</f>
        <v>2.0568163949999998</v>
      </c>
      <c r="AF25" s="356">
        <f>$AF$8*Table1[[#This Row],[man minutes]]*(1+'P&amp;L'!$P$9)</f>
        <v>2.9379999999999993</v>
      </c>
      <c r="AG25" s="356"/>
      <c r="AH25" s="356"/>
      <c r="AI25" s="356">
        <f>Table1[[#This Row],[Food cost w/ MU]]+Table1[[#This Row],[labor cost W/ MU]]</f>
        <v>4.9948163949999991</v>
      </c>
      <c r="AJ25" s="357"/>
    </row>
    <row r="26" spans="1:36" x14ac:dyDescent="0.25">
      <c r="A26" s="329">
        <v>10017</v>
      </c>
      <c r="B26" s="325" t="s">
        <v>336</v>
      </c>
      <c r="C26" s="329">
        <v>1</v>
      </c>
      <c r="I26" s="329"/>
      <c r="J26" s="329"/>
      <c r="K26" s="329"/>
      <c r="L26" s="345"/>
      <c r="M26" s="329"/>
      <c r="N26" s="346"/>
      <c r="O26" s="347">
        <v>3.9450599999999998</v>
      </c>
      <c r="P26" s="347">
        <f>Table1[[#This Row],[unit cost]]*1.065</f>
        <v>4.2014888999999993</v>
      </c>
      <c r="Q26" s="348">
        <v>4</v>
      </c>
      <c r="R26" s="329">
        <v>1</v>
      </c>
      <c r="S26" s="349">
        <f t="shared" si="0"/>
        <v>0.42</v>
      </c>
      <c r="T26" s="350">
        <f>Table1[[#This Row],[man minutes]]*Table1[[#This Row],[labor rate]]</f>
        <v>1.68</v>
      </c>
      <c r="U26" s="350">
        <f t="shared" si="1"/>
        <v>5.881488899999999</v>
      </c>
      <c r="V26" s="330">
        <f t="shared" si="2"/>
        <v>0.13</v>
      </c>
      <c r="W26" s="351">
        <f t="shared" si="3"/>
        <v>0.13</v>
      </c>
      <c r="X26" s="350">
        <f t="shared" si="4"/>
        <v>4.7476824569999989</v>
      </c>
      <c r="Y26" s="350">
        <f t="shared" si="5"/>
        <v>1.8983999999999999</v>
      </c>
      <c r="Z26" s="350">
        <f t="shared" si="6"/>
        <v>6.6499999999999995</v>
      </c>
      <c r="AA26" s="352">
        <f>+Table1[[#This Row],[calculated sale price]]</f>
        <v>6.6499999999999995</v>
      </c>
      <c r="AB26" s="353"/>
      <c r="AC26" s="354"/>
      <c r="AD26" s="355"/>
      <c r="AE26" s="356">
        <f>Table1[[#This Row],[cost per quantity]]*(1+'P&amp;L'!$P$8)</f>
        <v>4.7476824569999989</v>
      </c>
      <c r="AF26" s="356">
        <f>$AF$8*Table1[[#This Row],[man minutes]]*(1+'P&amp;L'!$P$9)</f>
        <v>1.8079999999999996</v>
      </c>
      <c r="AG26" s="356"/>
      <c r="AH26" s="356"/>
      <c r="AI26" s="356">
        <f>Table1[[#This Row],[Food cost w/ MU]]+Table1[[#This Row],[labor cost W/ MU]]</f>
        <v>6.5556824569999987</v>
      </c>
      <c r="AJ26" s="357"/>
    </row>
    <row r="27" spans="1:36" x14ac:dyDescent="0.25">
      <c r="A27" s="329">
        <v>10018</v>
      </c>
      <c r="B27" s="325" t="s">
        <v>337</v>
      </c>
      <c r="C27" s="329">
        <v>1</v>
      </c>
      <c r="I27" s="329"/>
      <c r="J27" s="329"/>
      <c r="K27" s="329"/>
      <c r="L27" s="345"/>
      <c r="M27" s="329"/>
      <c r="N27" s="346"/>
      <c r="O27" s="347">
        <f>6.7961-1.25-0.1</f>
        <v>5.4461000000000004</v>
      </c>
      <c r="P27" s="347">
        <f>Table1[[#This Row],[unit cost]]*1.065</f>
        <v>5.8000965000000004</v>
      </c>
      <c r="Q27" s="348">
        <v>4</v>
      </c>
      <c r="R27" s="329">
        <v>1</v>
      </c>
      <c r="S27" s="349">
        <f t="shared" si="0"/>
        <v>0.42</v>
      </c>
      <c r="T27" s="350">
        <f>Table1[[#This Row],[man minutes]]*Table1[[#This Row],[labor rate]]</f>
        <v>1.68</v>
      </c>
      <c r="U27" s="350">
        <f t="shared" si="1"/>
        <v>7.4800965000000001</v>
      </c>
      <c r="V27" s="330">
        <f t="shared" si="2"/>
        <v>0.13</v>
      </c>
      <c r="W27" s="351">
        <f t="shared" si="3"/>
        <v>0.13</v>
      </c>
      <c r="X27" s="350">
        <f t="shared" si="4"/>
        <v>6.5541090449999997</v>
      </c>
      <c r="Y27" s="350">
        <f t="shared" si="5"/>
        <v>1.8983999999999999</v>
      </c>
      <c r="Z27" s="350">
        <f t="shared" si="6"/>
        <v>8.4599999999999991</v>
      </c>
      <c r="AA27" s="352">
        <f>+Table1[[#This Row],[calculated sale price]]</f>
        <v>8.4599999999999991</v>
      </c>
      <c r="AB27" s="353"/>
      <c r="AC27" s="354"/>
      <c r="AD27" s="355"/>
      <c r="AE27" s="356">
        <f>Table1[[#This Row],[cost per quantity]]*(1+'P&amp;L'!$P$8)</f>
        <v>6.5541090449999997</v>
      </c>
      <c r="AF27" s="356">
        <f>$AF$8*Table1[[#This Row],[man minutes]]*(1+'P&amp;L'!$P$9)</f>
        <v>1.8079999999999996</v>
      </c>
      <c r="AG27" s="356"/>
      <c r="AH27" s="356"/>
      <c r="AI27" s="356">
        <f>Table1[[#This Row],[Food cost w/ MU]]+Table1[[#This Row],[labor cost W/ MU]]</f>
        <v>8.3621090449999986</v>
      </c>
      <c r="AJ27" s="357"/>
    </row>
    <row r="28" spans="1:36" x14ac:dyDescent="0.25">
      <c r="A28" s="329">
        <v>10019</v>
      </c>
      <c r="B28" s="325" t="s">
        <v>338</v>
      </c>
      <c r="C28" s="329">
        <v>1</v>
      </c>
      <c r="I28" s="329"/>
      <c r="J28" s="329"/>
      <c r="K28" s="329"/>
      <c r="L28" s="345"/>
      <c r="M28" s="329"/>
      <c r="N28" s="346"/>
      <c r="O28" s="347">
        <v>8.1460050000000006</v>
      </c>
      <c r="P28" s="347">
        <f>Table1[[#This Row],[unit cost]]*1.065</f>
        <v>8.675495325</v>
      </c>
      <c r="Q28" s="348">
        <v>2</v>
      </c>
      <c r="R28" s="329">
        <v>1</v>
      </c>
      <c r="S28" s="349">
        <f t="shared" si="0"/>
        <v>0.42</v>
      </c>
      <c r="T28" s="350">
        <f>Table1[[#This Row],[man minutes]]*Table1[[#This Row],[labor rate]]</f>
        <v>0.84</v>
      </c>
      <c r="U28" s="350">
        <f t="shared" si="1"/>
        <v>9.5154953249999998</v>
      </c>
      <c r="V28" s="330">
        <f t="shared" si="2"/>
        <v>0.13</v>
      </c>
      <c r="W28" s="351">
        <f t="shared" si="3"/>
        <v>0.13</v>
      </c>
      <c r="X28" s="350">
        <f t="shared" si="4"/>
        <v>9.8033097172499986</v>
      </c>
      <c r="Y28" s="350">
        <f t="shared" si="5"/>
        <v>0.94919999999999993</v>
      </c>
      <c r="Z28" s="350">
        <f t="shared" si="6"/>
        <v>10.76</v>
      </c>
      <c r="AA28" s="352">
        <f>+Table1[[#This Row],[calculated sale price]]</f>
        <v>10.76</v>
      </c>
      <c r="AB28" s="353"/>
      <c r="AC28" s="354"/>
      <c r="AD28" s="355"/>
      <c r="AE28" s="356">
        <f>Table1[[#This Row],[cost per quantity]]*(1+'P&amp;L'!$P$8)</f>
        <v>9.8033097172499986</v>
      </c>
      <c r="AF28" s="356">
        <f>$AF$8*Table1[[#This Row],[man minutes]]*(1+'P&amp;L'!$P$9)</f>
        <v>0.9039999999999998</v>
      </c>
      <c r="AG28" s="356"/>
      <c r="AH28" s="356"/>
      <c r="AI28" s="356">
        <f>Table1[[#This Row],[Food cost w/ MU]]+Table1[[#This Row],[labor cost W/ MU]]</f>
        <v>10.707309717249998</v>
      </c>
      <c r="AJ28" s="357"/>
    </row>
    <row r="29" spans="1:36" x14ac:dyDescent="0.25">
      <c r="A29" s="329">
        <v>10020</v>
      </c>
      <c r="B29" s="325" t="s">
        <v>339</v>
      </c>
      <c r="C29" s="329">
        <v>1</v>
      </c>
      <c r="I29" s="329"/>
      <c r="J29" s="329"/>
      <c r="K29" s="329"/>
      <c r="L29" s="345"/>
      <c r="M29" s="329"/>
      <c r="N29" s="346"/>
      <c r="O29" s="347">
        <v>2.3929499999999999</v>
      </c>
      <c r="P29" s="347">
        <f>Table1[[#This Row],[unit cost]]*1.065</f>
        <v>2.5484917499999997</v>
      </c>
      <c r="Q29" s="348">
        <v>2</v>
      </c>
      <c r="R29" s="329">
        <v>1</v>
      </c>
      <c r="S29" s="349">
        <f t="shared" si="0"/>
        <v>0.42</v>
      </c>
      <c r="T29" s="350">
        <f>Table1[[#This Row],[man minutes]]*Table1[[#This Row],[labor rate]]</f>
        <v>0.84</v>
      </c>
      <c r="U29" s="350">
        <f t="shared" si="1"/>
        <v>3.3884917499999996</v>
      </c>
      <c r="V29" s="330">
        <f t="shared" si="2"/>
        <v>0.13</v>
      </c>
      <c r="W29" s="351">
        <f t="shared" si="3"/>
        <v>0.13</v>
      </c>
      <c r="X29" s="350">
        <f t="shared" si="4"/>
        <v>2.8797956774999993</v>
      </c>
      <c r="Y29" s="350">
        <f t="shared" si="5"/>
        <v>0.94919999999999993</v>
      </c>
      <c r="Z29" s="350">
        <f t="shared" si="6"/>
        <v>3.8299999999999996</v>
      </c>
      <c r="AA29" s="352">
        <f>+Table1[[#This Row],[calculated sale price]]</f>
        <v>3.8299999999999996</v>
      </c>
      <c r="AB29" s="353"/>
      <c r="AC29" s="354"/>
      <c r="AD29" s="355"/>
      <c r="AE29" s="356">
        <f>Table1[[#This Row],[cost per quantity]]*(1+'P&amp;L'!$P$8)</f>
        <v>2.8797956774999993</v>
      </c>
      <c r="AF29" s="356">
        <f>$AF$8*Table1[[#This Row],[man minutes]]*(1+'P&amp;L'!$P$9)</f>
        <v>0.9039999999999998</v>
      </c>
      <c r="AG29" s="356"/>
      <c r="AH29" s="356"/>
      <c r="AI29" s="356">
        <f>Table1[[#This Row],[Food cost w/ MU]]+Table1[[#This Row],[labor cost W/ MU]]</f>
        <v>3.7837956774999992</v>
      </c>
      <c r="AJ29" s="357"/>
    </row>
    <row r="30" spans="1:36" x14ac:dyDescent="0.25">
      <c r="A30" s="329">
        <v>10021</v>
      </c>
      <c r="B30" s="325" t="s">
        <v>340</v>
      </c>
      <c r="C30" s="329">
        <v>1</v>
      </c>
      <c r="I30" s="329"/>
      <c r="J30" s="329"/>
      <c r="K30" s="329"/>
      <c r="L30" s="345"/>
      <c r="M30" s="329"/>
      <c r="N30" s="346"/>
      <c r="O30" s="347">
        <v>2.9392</v>
      </c>
      <c r="P30" s="347">
        <f>Table1[[#This Row],[unit cost]]*1.065</f>
        <v>3.1302479999999999</v>
      </c>
      <c r="Q30" s="348">
        <v>2</v>
      </c>
      <c r="R30" s="329">
        <v>1</v>
      </c>
      <c r="S30" s="349">
        <f t="shared" si="0"/>
        <v>0.42</v>
      </c>
      <c r="T30" s="350">
        <f>Table1[[#This Row],[man minutes]]*Table1[[#This Row],[labor rate]]</f>
        <v>0.84</v>
      </c>
      <c r="U30" s="350">
        <f t="shared" si="1"/>
        <v>3.9702479999999998</v>
      </c>
      <c r="V30" s="330">
        <f t="shared" si="2"/>
        <v>0.13</v>
      </c>
      <c r="W30" s="351">
        <f t="shared" si="3"/>
        <v>0.13</v>
      </c>
      <c r="X30" s="350">
        <f t="shared" si="4"/>
        <v>3.5371802399999996</v>
      </c>
      <c r="Y30" s="350">
        <f t="shared" si="5"/>
        <v>0.94919999999999993</v>
      </c>
      <c r="Z30" s="350">
        <f t="shared" si="6"/>
        <v>4.49</v>
      </c>
      <c r="AA30" s="352">
        <f>+Table1[[#This Row],[calculated sale price]]</f>
        <v>4.49</v>
      </c>
      <c r="AB30" s="353"/>
      <c r="AC30" s="354"/>
      <c r="AD30" s="355"/>
      <c r="AE30" s="356">
        <f>Table1[[#This Row],[cost per quantity]]*(1+'P&amp;L'!$P$8)</f>
        <v>3.5371802399999996</v>
      </c>
      <c r="AF30" s="356">
        <f>$AF$8*Table1[[#This Row],[man minutes]]*(1+'P&amp;L'!$P$9)</f>
        <v>0.9039999999999998</v>
      </c>
      <c r="AG30" s="356"/>
      <c r="AH30" s="356"/>
      <c r="AI30" s="356">
        <f>Table1[[#This Row],[Food cost w/ MU]]+Table1[[#This Row],[labor cost W/ MU]]</f>
        <v>4.4411802399999996</v>
      </c>
      <c r="AJ30" s="357"/>
    </row>
    <row r="31" spans="1:36" x14ac:dyDescent="0.25">
      <c r="A31" s="329">
        <v>10022</v>
      </c>
      <c r="B31" s="325" t="s">
        <v>341</v>
      </c>
      <c r="C31" s="329">
        <v>1</v>
      </c>
      <c r="I31" s="329"/>
      <c r="J31" s="329"/>
      <c r="K31" s="329"/>
      <c r="L31" s="345"/>
      <c r="M31" s="329"/>
      <c r="N31" s="346"/>
      <c r="O31" s="347">
        <v>0.75904499999999997</v>
      </c>
      <c r="P31" s="347">
        <f>Table1[[#This Row],[unit cost]]*1.065</f>
        <v>0.80838292499999997</v>
      </c>
      <c r="Q31" s="348">
        <v>2.5</v>
      </c>
      <c r="R31" s="329">
        <v>1</v>
      </c>
      <c r="S31" s="349">
        <f t="shared" si="0"/>
        <v>0.42</v>
      </c>
      <c r="T31" s="350">
        <f>Table1[[#This Row],[man minutes]]*Table1[[#This Row],[labor rate]]</f>
        <v>1.05</v>
      </c>
      <c r="U31" s="350">
        <f t="shared" si="1"/>
        <v>1.8583829249999999</v>
      </c>
      <c r="V31" s="330">
        <f t="shared" si="2"/>
        <v>0.13</v>
      </c>
      <c r="W31" s="351">
        <f t="shared" si="3"/>
        <v>0.13</v>
      </c>
      <c r="X31" s="350">
        <f t="shared" si="4"/>
        <v>0.91347270524999991</v>
      </c>
      <c r="Y31" s="350">
        <f t="shared" si="5"/>
        <v>1.1865000000000001</v>
      </c>
      <c r="Z31" s="350">
        <f t="shared" si="6"/>
        <v>2.0999999999999996</v>
      </c>
      <c r="AA31" s="352">
        <f>+Table1[[#This Row],[calculated sale price]]</f>
        <v>2.0999999999999996</v>
      </c>
      <c r="AB31" s="353"/>
      <c r="AC31" s="354"/>
      <c r="AD31" s="355"/>
      <c r="AE31" s="356">
        <f>Table1[[#This Row],[cost per quantity]]*(1+'P&amp;L'!$P$8)</f>
        <v>0.91347270524999991</v>
      </c>
      <c r="AF31" s="356">
        <f>$AF$8*Table1[[#This Row],[man minutes]]*(1+'P&amp;L'!$P$9)</f>
        <v>1.1299999999999997</v>
      </c>
      <c r="AG31" s="356"/>
      <c r="AH31" s="356"/>
      <c r="AI31" s="356">
        <f>Table1[[#This Row],[Food cost w/ MU]]+Table1[[#This Row],[labor cost W/ MU]]</f>
        <v>2.0434727052499997</v>
      </c>
      <c r="AJ31" s="357"/>
    </row>
    <row r="32" spans="1:36" x14ac:dyDescent="0.25">
      <c r="A32" s="329">
        <v>10023</v>
      </c>
      <c r="B32" s="325" t="s">
        <v>342</v>
      </c>
      <c r="C32" s="329">
        <v>1</v>
      </c>
      <c r="I32" s="329"/>
      <c r="J32" s="329"/>
      <c r="K32" s="329"/>
      <c r="L32" s="345"/>
      <c r="M32" s="329"/>
      <c r="N32" s="346"/>
      <c r="O32" s="347">
        <v>0.4168</v>
      </c>
      <c r="P32" s="347">
        <f>Table1[[#This Row],[unit cost]]*1.065</f>
        <v>0.44389200000000001</v>
      </c>
      <c r="Q32" s="348">
        <v>2.25</v>
      </c>
      <c r="R32" s="329">
        <v>1</v>
      </c>
      <c r="S32" s="349">
        <f t="shared" si="0"/>
        <v>0.42</v>
      </c>
      <c r="T32" s="350">
        <f>Table1[[#This Row],[man minutes]]*Table1[[#This Row],[labor rate]]</f>
        <v>0.94499999999999995</v>
      </c>
      <c r="U32" s="350">
        <f t="shared" si="1"/>
        <v>1.388892</v>
      </c>
      <c r="V32" s="330">
        <f t="shared" si="2"/>
        <v>0.13</v>
      </c>
      <c r="W32" s="351">
        <f t="shared" si="3"/>
        <v>0.13</v>
      </c>
      <c r="X32" s="350">
        <f t="shared" si="4"/>
        <v>0.50159796000000001</v>
      </c>
      <c r="Y32" s="350">
        <f t="shared" si="5"/>
        <v>1.06785</v>
      </c>
      <c r="Z32" s="350">
        <f t="shared" si="6"/>
        <v>1.57</v>
      </c>
      <c r="AA32" s="352">
        <f>+Table1[[#This Row],[calculated sale price]]</f>
        <v>1.57</v>
      </c>
      <c r="AB32" s="353"/>
      <c r="AC32" s="354"/>
      <c r="AD32" s="355"/>
      <c r="AE32" s="356">
        <f>Table1[[#This Row],[cost per quantity]]*(1+'P&amp;L'!$P$8)</f>
        <v>0.50159796000000001</v>
      </c>
      <c r="AF32" s="356">
        <f>$AF$8*Table1[[#This Row],[man minutes]]*(1+'P&amp;L'!$P$9)</f>
        <v>1.0169999999999999</v>
      </c>
      <c r="AG32" s="356"/>
      <c r="AH32" s="356"/>
      <c r="AI32" s="356">
        <f>Table1[[#This Row],[Food cost w/ MU]]+Table1[[#This Row],[labor cost W/ MU]]</f>
        <v>1.5185979599999999</v>
      </c>
      <c r="AJ32" s="357"/>
    </row>
    <row r="33" spans="1:36" x14ac:dyDescent="0.25">
      <c r="A33" s="329">
        <v>10024</v>
      </c>
      <c r="B33" s="325" t="s">
        <v>343</v>
      </c>
      <c r="C33" s="329">
        <v>1</v>
      </c>
      <c r="I33" s="329"/>
      <c r="J33" s="329"/>
      <c r="K33" s="329"/>
      <c r="L33" s="345"/>
      <c r="M33" s="329"/>
      <c r="N33" s="346"/>
      <c r="O33" s="347">
        <v>4.6589549999999997</v>
      </c>
      <c r="P33" s="347">
        <f>Table1[[#This Row],[unit cost]]*1.065</f>
        <v>4.9617870749999993</v>
      </c>
      <c r="Q33" s="348">
        <v>2</v>
      </c>
      <c r="R33" s="329">
        <v>1</v>
      </c>
      <c r="S33" s="349">
        <f t="shared" si="0"/>
        <v>0.42</v>
      </c>
      <c r="T33" s="350">
        <f>Table1[[#This Row],[man minutes]]*Table1[[#This Row],[labor rate]]</f>
        <v>0.84</v>
      </c>
      <c r="U33" s="350">
        <f t="shared" si="1"/>
        <v>5.8017870749999991</v>
      </c>
      <c r="V33" s="330">
        <f t="shared" si="2"/>
        <v>0.13</v>
      </c>
      <c r="W33" s="351">
        <f t="shared" si="3"/>
        <v>0.13</v>
      </c>
      <c r="X33" s="350">
        <f t="shared" si="4"/>
        <v>5.6068193947499987</v>
      </c>
      <c r="Y33" s="350">
        <f t="shared" si="5"/>
        <v>0.94919999999999993</v>
      </c>
      <c r="Z33" s="350">
        <f t="shared" si="6"/>
        <v>6.56</v>
      </c>
      <c r="AA33" s="352">
        <f>+Table1[[#This Row],[calculated sale price]]</f>
        <v>6.56</v>
      </c>
      <c r="AB33" s="353"/>
      <c r="AC33" s="354"/>
      <c r="AD33" s="355"/>
      <c r="AE33" s="356">
        <f>Table1[[#This Row],[cost per quantity]]*(1+'P&amp;L'!$P$8)</f>
        <v>5.6068193947499987</v>
      </c>
      <c r="AF33" s="356">
        <f>$AF$8*Table1[[#This Row],[man minutes]]*(1+'P&amp;L'!$P$9)</f>
        <v>0.9039999999999998</v>
      </c>
      <c r="AG33" s="356"/>
      <c r="AH33" s="356"/>
      <c r="AI33" s="356">
        <f>Table1[[#This Row],[Food cost w/ MU]]+Table1[[#This Row],[labor cost W/ MU]]</f>
        <v>6.5108193947499986</v>
      </c>
      <c r="AJ33" s="357"/>
    </row>
    <row r="34" spans="1:36" x14ac:dyDescent="0.25">
      <c r="A34" s="329">
        <v>10025</v>
      </c>
      <c r="B34" s="325" t="s">
        <v>344</v>
      </c>
      <c r="C34" s="329">
        <v>1</v>
      </c>
      <c r="I34" s="329"/>
      <c r="J34" s="329"/>
      <c r="K34" s="329"/>
      <c r="L34" s="345"/>
      <c r="M34" s="329"/>
      <c r="N34" s="346"/>
      <c r="O34" s="347">
        <v>5.6899999999999999E-2</v>
      </c>
      <c r="P34" s="347">
        <f>Table1[[#This Row],[unit cost]]*1.065</f>
        <v>6.0598499999999993E-2</v>
      </c>
      <c r="Q34" s="348">
        <v>1</v>
      </c>
      <c r="R34" s="329">
        <v>1</v>
      </c>
      <c r="S34" s="349">
        <f t="shared" si="0"/>
        <v>0.42</v>
      </c>
      <c r="T34" s="350">
        <f>Table1[[#This Row],[man minutes]]*Table1[[#This Row],[labor rate]]</f>
        <v>0.42</v>
      </c>
      <c r="U34" s="350">
        <f t="shared" si="1"/>
        <v>0.48059849999999998</v>
      </c>
      <c r="V34" s="330">
        <f t="shared" si="2"/>
        <v>0.13</v>
      </c>
      <c r="W34" s="351">
        <f t="shared" si="3"/>
        <v>0.13</v>
      </c>
      <c r="X34" s="350">
        <f t="shared" si="4"/>
        <v>6.8476304999999987E-2</v>
      </c>
      <c r="Y34" s="350">
        <f t="shared" si="5"/>
        <v>0.47459999999999997</v>
      </c>
      <c r="Z34" s="350">
        <f t="shared" si="6"/>
        <v>0.55000000000000004</v>
      </c>
      <c r="AA34" s="352">
        <f>+Table1[[#This Row],[calculated sale price]]</f>
        <v>0.55000000000000004</v>
      </c>
      <c r="AB34" s="353"/>
      <c r="AC34" s="354"/>
      <c r="AD34" s="355"/>
      <c r="AE34" s="356">
        <f>Table1[[#This Row],[cost per quantity]]*(1+'P&amp;L'!$P$8)</f>
        <v>6.8476304999999987E-2</v>
      </c>
      <c r="AF34" s="356">
        <f>$AF$8*Table1[[#This Row],[man minutes]]*(1+'P&amp;L'!$P$9)</f>
        <v>0.4519999999999999</v>
      </c>
      <c r="AG34" s="356"/>
      <c r="AH34" s="356"/>
      <c r="AI34" s="356">
        <f>Table1[[#This Row],[Food cost w/ MU]]+Table1[[#This Row],[labor cost W/ MU]]</f>
        <v>0.52047630499999986</v>
      </c>
      <c r="AJ34" s="357"/>
    </row>
    <row r="35" spans="1:36" x14ac:dyDescent="0.25">
      <c r="A35" s="329">
        <v>10026</v>
      </c>
      <c r="B35" s="325" t="s">
        <v>345</v>
      </c>
      <c r="C35" s="329">
        <v>1</v>
      </c>
      <c r="I35" s="329"/>
      <c r="J35" s="329"/>
      <c r="K35" s="329"/>
      <c r="L35" s="345"/>
      <c r="M35" s="329"/>
      <c r="N35" s="346"/>
      <c r="O35" s="347">
        <v>2.4089</v>
      </c>
      <c r="P35" s="347">
        <f>Table1[[#This Row],[unit cost]]*1.065</f>
        <v>2.5654784999999998</v>
      </c>
      <c r="Q35" s="348">
        <v>3.5</v>
      </c>
      <c r="R35" s="329">
        <v>1</v>
      </c>
      <c r="S35" s="349">
        <f t="shared" si="0"/>
        <v>0.42</v>
      </c>
      <c r="T35" s="350">
        <f>Table1[[#This Row],[man minutes]]*Table1[[#This Row],[labor rate]]</f>
        <v>1.47</v>
      </c>
      <c r="U35" s="350">
        <f t="shared" si="1"/>
        <v>4.0354785</v>
      </c>
      <c r="V35" s="330">
        <f t="shared" si="2"/>
        <v>0.13</v>
      </c>
      <c r="W35" s="351">
        <f t="shared" si="3"/>
        <v>0.13</v>
      </c>
      <c r="X35" s="350">
        <f t="shared" si="4"/>
        <v>2.8989907049999997</v>
      </c>
      <c r="Y35" s="350">
        <f t="shared" si="5"/>
        <v>1.6611</v>
      </c>
      <c r="Z35" s="350">
        <f t="shared" si="6"/>
        <v>4.5699999999999994</v>
      </c>
      <c r="AA35" s="352">
        <f>+Table1[[#This Row],[calculated sale price]]</f>
        <v>4.5699999999999994</v>
      </c>
      <c r="AB35" s="353"/>
      <c r="AC35" s="354"/>
      <c r="AD35" s="355"/>
      <c r="AE35" s="356">
        <f>Table1[[#This Row],[cost per quantity]]*(1+'P&amp;L'!$P$8)</f>
        <v>2.8989907049999997</v>
      </c>
      <c r="AF35" s="356">
        <f>$AF$8*Table1[[#This Row],[man minutes]]*(1+'P&amp;L'!$P$9)</f>
        <v>1.5819999999999999</v>
      </c>
      <c r="AG35" s="356"/>
      <c r="AH35" s="356"/>
      <c r="AI35" s="356">
        <f>Table1[[#This Row],[Food cost w/ MU]]+Table1[[#This Row],[labor cost W/ MU]]</f>
        <v>4.480990705</v>
      </c>
      <c r="AJ35" s="357"/>
    </row>
    <row r="36" spans="1:36" x14ac:dyDescent="0.25">
      <c r="A36" s="329">
        <v>10027</v>
      </c>
      <c r="B36" s="325" t="s">
        <v>346</v>
      </c>
      <c r="C36" s="329">
        <v>1</v>
      </c>
      <c r="I36" s="329"/>
      <c r="J36" s="329"/>
      <c r="K36" s="329"/>
      <c r="L36" s="345"/>
      <c r="M36" s="329"/>
      <c r="N36" s="346"/>
      <c r="O36" s="347">
        <v>2.8367</v>
      </c>
      <c r="P36" s="347">
        <f>Table1[[#This Row],[unit cost]]*1.065</f>
        <v>3.0210854999999999</v>
      </c>
      <c r="Q36" s="348">
        <v>3.5</v>
      </c>
      <c r="R36" s="329">
        <v>1</v>
      </c>
      <c r="S36" s="349">
        <f t="shared" si="0"/>
        <v>0.42</v>
      </c>
      <c r="T36" s="350">
        <f>Table1[[#This Row],[man minutes]]*Table1[[#This Row],[labor rate]]</f>
        <v>1.47</v>
      </c>
      <c r="U36" s="350">
        <f t="shared" si="1"/>
        <v>4.4910854999999996</v>
      </c>
      <c r="V36" s="330">
        <f t="shared" si="2"/>
        <v>0.13</v>
      </c>
      <c r="W36" s="351">
        <f t="shared" si="3"/>
        <v>0.13</v>
      </c>
      <c r="X36" s="350">
        <f t="shared" si="4"/>
        <v>3.4138266149999996</v>
      </c>
      <c r="Y36" s="350">
        <f t="shared" si="5"/>
        <v>1.6611</v>
      </c>
      <c r="Z36" s="350">
        <f t="shared" si="6"/>
        <v>5.08</v>
      </c>
      <c r="AA36" s="352">
        <f>+Table1[[#This Row],[calculated sale price]]</f>
        <v>5.08</v>
      </c>
      <c r="AB36" s="353"/>
      <c r="AC36" s="354"/>
      <c r="AD36" s="355"/>
      <c r="AE36" s="356">
        <f>Table1[[#This Row],[cost per quantity]]*(1+'P&amp;L'!$P$8)</f>
        <v>3.4138266149999996</v>
      </c>
      <c r="AF36" s="356">
        <f>$AF$8*Table1[[#This Row],[man minutes]]*(1+'P&amp;L'!$P$9)</f>
        <v>1.5819999999999999</v>
      </c>
      <c r="AG36" s="356"/>
      <c r="AH36" s="356"/>
      <c r="AI36" s="356">
        <f>Table1[[#This Row],[Food cost w/ MU]]+Table1[[#This Row],[labor cost W/ MU]]</f>
        <v>4.9958266149999995</v>
      </c>
      <c r="AJ36" s="357"/>
    </row>
    <row r="37" spans="1:36" x14ac:dyDescent="0.25">
      <c r="A37" s="329">
        <v>10028</v>
      </c>
      <c r="B37" s="325" t="s">
        <v>347</v>
      </c>
      <c r="C37" s="329">
        <v>1</v>
      </c>
      <c r="I37" s="329"/>
      <c r="J37" s="329"/>
      <c r="K37" s="329"/>
      <c r="L37" s="345"/>
      <c r="M37" s="329"/>
      <c r="N37" s="346"/>
      <c r="O37" s="347">
        <v>1.05</v>
      </c>
      <c r="P37" s="347">
        <f>Table1[[#This Row],[unit cost]]*1.065</f>
        <v>1.11825</v>
      </c>
      <c r="Q37" s="348">
        <v>1</v>
      </c>
      <c r="R37" s="329">
        <v>1</v>
      </c>
      <c r="S37" s="349">
        <f t="shared" si="0"/>
        <v>0.42</v>
      </c>
      <c r="T37" s="350">
        <f>Table1[[#This Row],[man minutes]]*Table1[[#This Row],[labor rate]]</f>
        <v>0.42</v>
      </c>
      <c r="U37" s="350">
        <f t="shared" si="1"/>
        <v>1.5382499999999999</v>
      </c>
      <c r="V37" s="330">
        <f t="shared" si="2"/>
        <v>0.13</v>
      </c>
      <c r="W37" s="351">
        <f t="shared" si="3"/>
        <v>0.13</v>
      </c>
      <c r="X37" s="350">
        <f t="shared" si="4"/>
        <v>1.2636224999999999</v>
      </c>
      <c r="Y37" s="350">
        <f t="shared" si="5"/>
        <v>0.47459999999999997</v>
      </c>
      <c r="Z37" s="350">
        <f t="shared" si="6"/>
        <v>1.74</v>
      </c>
      <c r="AA37" s="352">
        <f>+Table1[[#This Row],[calculated sale price]]</f>
        <v>1.74</v>
      </c>
      <c r="AB37" s="353"/>
      <c r="AC37" s="354"/>
      <c r="AD37" s="355"/>
      <c r="AE37" s="356">
        <f>Table1[[#This Row],[cost per quantity]]*(1+'P&amp;L'!$P$8)</f>
        <v>1.2636224999999999</v>
      </c>
      <c r="AF37" s="356">
        <f>$AF$8*Table1[[#This Row],[man minutes]]*(1+'P&amp;L'!$P$9)</f>
        <v>0.4519999999999999</v>
      </c>
      <c r="AG37" s="356"/>
      <c r="AH37" s="356"/>
      <c r="AI37" s="356">
        <f>Table1[[#This Row],[Food cost w/ MU]]+Table1[[#This Row],[labor cost W/ MU]]</f>
        <v>1.7156224999999998</v>
      </c>
      <c r="AJ37" s="357"/>
    </row>
    <row r="38" spans="1:36" x14ac:dyDescent="0.25">
      <c r="A38" s="329">
        <v>10029</v>
      </c>
      <c r="B38" s="358" t="s">
        <v>348</v>
      </c>
      <c r="C38" s="329">
        <v>1</v>
      </c>
      <c r="I38" s="329"/>
      <c r="J38" s="329"/>
      <c r="K38" s="329"/>
      <c r="L38" s="345"/>
      <c r="M38" s="329"/>
      <c r="N38" s="346"/>
      <c r="O38" s="347">
        <v>0.75019999999999998</v>
      </c>
      <c r="P38" s="347">
        <f>Table1[[#This Row],[unit cost]]*1.065</f>
        <v>0.79896299999999998</v>
      </c>
      <c r="Q38" s="348">
        <v>1</v>
      </c>
      <c r="R38" s="329">
        <v>1</v>
      </c>
      <c r="S38" s="349">
        <f t="shared" si="0"/>
        <v>0.42</v>
      </c>
      <c r="T38" s="350">
        <f>Table1[[#This Row],[man minutes]]*Table1[[#This Row],[labor rate]]</f>
        <v>0.42</v>
      </c>
      <c r="U38" s="350">
        <f t="shared" si="1"/>
        <v>1.218963</v>
      </c>
      <c r="V38" s="330">
        <f t="shared" si="2"/>
        <v>0.13</v>
      </c>
      <c r="W38" s="351">
        <f t="shared" si="3"/>
        <v>0.13</v>
      </c>
      <c r="X38" s="350">
        <f t="shared" si="4"/>
        <v>0.90282818999999992</v>
      </c>
      <c r="Y38" s="350">
        <f t="shared" si="5"/>
        <v>0.47459999999999997</v>
      </c>
      <c r="Z38" s="350">
        <f t="shared" si="6"/>
        <v>1.3800000000000001</v>
      </c>
      <c r="AA38" s="352">
        <f>+Table1[[#This Row],[calculated sale price]]</f>
        <v>1.3800000000000001</v>
      </c>
      <c r="AB38" s="353"/>
      <c r="AC38" s="354"/>
      <c r="AD38" s="355"/>
      <c r="AE38" s="356">
        <f>Table1[[#This Row],[cost per quantity]]*(1+'P&amp;L'!$P$8)</f>
        <v>0.90282818999999992</v>
      </c>
      <c r="AF38" s="356">
        <f>$AF$8*Table1[[#This Row],[man minutes]]*(1+'P&amp;L'!$P$9)</f>
        <v>0.4519999999999999</v>
      </c>
      <c r="AG38" s="356"/>
      <c r="AH38" s="356"/>
      <c r="AI38" s="356">
        <f>Table1[[#This Row],[Food cost w/ MU]]+Table1[[#This Row],[labor cost W/ MU]]</f>
        <v>1.3548281899999999</v>
      </c>
      <c r="AJ38" s="357"/>
    </row>
    <row r="39" spans="1:36" x14ac:dyDescent="0.25">
      <c r="A39" s="329">
        <v>10030</v>
      </c>
      <c r="B39" s="325" t="s">
        <v>349</v>
      </c>
      <c r="C39" s="329">
        <v>1</v>
      </c>
      <c r="I39" s="329"/>
      <c r="J39" s="329"/>
      <c r="K39" s="329"/>
      <c r="L39" s="345"/>
      <c r="M39" s="329"/>
      <c r="N39" s="346"/>
      <c r="O39" s="347">
        <v>2.27</v>
      </c>
      <c r="P39" s="347">
        <f>Table1[[#This Row],[unit cost]]*1.065</f>
        <v>2.4175499999999999</v>
      </c>
      <c r="Q39" s="348">
        <v>0.2</v>
      </c>
      <c r="R39" s="329">
        <v>1</v>
      </c>
      <c r="S39" s="349">
        <f t="shared" si="0"/>
        <v>0.42</v>
      </c>
      <c r="T39" s="350">
        <f>Table1[[#This Row],[man minutes]]*Table1[[#This Row],[labor rate]]</f>
        <v>8.4000000000000005E-2</v>
      </c>
      <c r="U39" s="350">
        <f t="shared" si="1"/>
        <v>2.5015499999999999</v>
      </c>
      <c r="V39" s="330">
        <f t="shared" si="2"/>
        <v>0.13</v>
      </c>
      <c r="W39" s="351">
        <f t="shared" si="3"/>
        <v>0.13</v>
      </c>
      <c r="X39" s="350">
        <f t="shared" si="4"/>
        <v>2.7318314999999997</v>
      </c>
      <c r="Y39" s="350">
        <f t="shared" si="5"/>
        <v>9.4920000000000004E-2</v>
      </c>
      <c r="Z39" s="350">
        <f t="shared" si="6"/>
        <v>2.8299999999999996</v>
      </c>
      <c r="AA39" s="352">
        <f>+Table1[[#This Row],[calculated sale price]]</f>
        <v>2.8299999999999996</v>
      </c>
      <c r="AB39" s="353"/>
      <c r="AC39" s="354"/>
      <c r="AD39" s="355"/>
      <c r="AE39" s="356">
        <f>Table1[[#This Row],[cost per quantity]]*(1+'P&amp;L'!$P$8)</f>
        <v>2.7318314999999997</v>
      </c>
      <c r="AF39" s="356">
        <f>$AF$8*Table1[[#This Row],[man minutes]]*(1+'P&amp;L'!$P$9)</f>
        <v>9.0399999999999994E-2</v>
      </c>
      <c r="AG39" s="356"/>
      <c r="AH39" s="356"/>
      <c r="AI39" s="356">
        <f>Table1[[#This Row],[Food cost w/ MU]]+Table1[[#This Row],[labor cost W/ MU]]</f>
        <v>2.8222314999999996</v>
      </c>
      <c r="AJ39" s="357"/>
    </row>
    <row r="40" spans="1:36" x14ac:dyDescent="0.25">
      <c r="A40" s="329">
        <v>10031</v>
      </c>
      <c r="B40" s="325" t="s">
        <v>350</v>
      </c>
      <c r="C40" s="329">
        <v>1</v>
      </c>
      <c r="I40" s="329"/>
      <c r="J40" s="329"/>
      <c r="K40" s="329"/>
      <c r="L40" s="345"/>
      <c r="M40" s="329"/>
      <c r="N40" s="346"/>
      <c r="O40" s="347">
        <v>0.59</v>
      </c>
      <c r="P40" s="347">
        <f>Table1[[#This Row],[unit cost]]*1.065</f>
        <v>0.62834999999999996</v>
      </c>
      <c r="Q40" s="348">
        <v>0.6</v>
      </c>
      <c r="R40" s="329">
        <v>1</v>
      </c>
      <c r="S40" s="349">
        <f t="shared" si="0"/>
        <v>0.42</v>
      </c>
      <c r="T40" s="350">
        <f>Table1[[#This Row],[man minutes]]*Table1[[#This Row],[labor rate]]</f>
        <v>0.252</v>
      </c>
      <c r="U40" s="350">
        <f t="shared" si="1"/>
        <v>0.88034999999999997</v>
      </c>
      <c r="V40" s="330">
        <f t="shared" si="2"/>
        <v>0.13</v>
      </c>
      <c r="W40" s="351">
        <f t="shared" si="3"/>
        <v>0.13</v>
      </c>
      <c r="X40" s="350">
        <f t="shared" si="4"/>
        <v>0.71003549999999993</v>
      </c>
      <c r="Y40" s="350">
        <f t="shared" si="5"/>
        <v>0.28476000000000001</v>
      </c>
      <c r="Z40" s="350">
        <f t="shared" si="6"/>
        <v>1</v>
      </c>
      <c r="AA40" s="352">
        <f>+Table1[[#This Row],[calculated sale price]]</f>
        <v>1</v>
      </c>
      <c r="AB40" s="353"/>
      <c r="AC40" s="354"/>
      <c r="AD40" s="355"/>
      <c r="AE40" s="356">
        <f>Table1[[#This Row],[cost per quantity]]*(1+'P&amp;L'!$P$8)</f>
        <v>0.71003549999999993</v>
      </c>
      <c r="AF40" s="356">
        <f>$AF$8*Table1[[#This Row],[man minutes]]*(1+'P&amp;L'!$P$9)</f>
        <v>0.27119999999999994</v>
      </c>
      <c r="AG40" s="356"/>
      <c r="AH40" s="356"/>
      <c r="AI40" s="356">
        <f>Table1[[#This Row],[Food cost w/ MU]]+Table1[[#This Row],[labor cost W/ MU]]</f>
        <v>0.98123549999999993</v>
      </c>
      <c r="AJ40" s="357"/>
    </row>
    <row r="41" spans="1:36" x14ac:dyDescent="0.25">
      <c r="A41" s="329">
        <v>10032</v>
      </c>
      <c r="B41" s="325" t="s">
        <v>351</v>
      </c>
      <c r="C41" s="329">
        <v>1</v>
      </c>
      <c r="I41" s="329"/>
      <c r="J41" s="329"/>
      <c r="K41" s="329"/>
      <c r="L41" s="345"/>
      <c r="M41" s="329"/>
      <c r="N41" s="346"/>
      <c r="O41" s="347">
        <v>0.59</v>
      </c>
      <c r="P41" s="347">
        <f>Table1[[#This Row],[unit cost]]*1.065</f>
        <v>0.62834999999999996</v>
      </c>
      <c r="Q41" s="348">
        <v>0.2</v>
      </c>
      <c r="R41" s="329">
        <v>1</v>
      </c>
      <c r="S41" s="349">
        <f t="shared" si="0"/>
        <v>0.42</v>
      </c>
      <c r="T41" s="350">
        <f>Table1[[#This Row],[man minutes]]*Table1[[#This Row],[labor rate]]</f>
        <v>8.4000000000000005E-2</v>
      </c>
      <c r="U41" s="350">
        <f t="shared" si="1"/>
        <v>0.71234999999999993</v>
      </c>
      <c r="V41" s="330">
        <f t="shared" si="2"/>
        <v>0.13</v>
      </c>
      <c r="W41" s="351">
        <f t="shared" si="3"/>
        <v>0.13</v>
      </c>
      <c r="X41" s="350">
        <f t="shared" si="4"/>
        <v>0.71003549999999993</v>
      </c>
      <c r="Y41" s="350">
        <f t="shared" si="5"/>
        <v>9.4920000000000004E-2</v>
      </c>
      <c r="Z41" s="350">
        <f t="shared" si="6"/>
        <v>0.81</v>
      </c>
      <c r="AA41" s="352">
        <f>+Table1[[#This Row],[calculated sale price]]</f>
        <v>0.81</v>
      </c>
      <c r="AB41" s="353"/>
      <c r="AC41" s="354"/>
      <c r="AD41" s="355"/>
      <c r="AE41" s="356">
        <f>Table1[[#This Row],[cost per quantity]]*(1+'P&amp;L'!$P$8)</f>
        <v>0.71003549999999993</v>
      </c>
      <c r="AF41" s="356">
        <f>$AF$8*Table1[[#This Row],[man minutes]]*(1+'P&amp;L'!$P$9)</f>
        <v>9.0399999999999994E-2</v>
      </c>
      <c r="AG41" s="356"/>
      <c r="AH41" s="356"/>
      <c r="AI41" s="356">
        <f>Table1[[#This Row],[Food cost w/ MU]]+Table1[[#This Row],[labor cost W/ MU]]</f>
        <v>0.80043549999999997</v>
      </c>
      <c r="AJ41" s="357"/>
    </row>
    <row r="42" spans="1:36" x14ac:dyDescent="0.25">
      <c r="A42" s="329">
        <v>10033</v>
      </c>
      <c r="B42" s="325" t="s">
        <v>352</v>
      </c>
      <c r="C42" s="329">
        <v>1</v>
      </c>
      <c r="I42" s="329"/>
      <c r="J42" s="329"/>
      <c r="K42" s="329"/>
      <c r="L42" s="345"/>
      <c r="M42" s="329"/>
      <c r="N42" s="346"/>
      <c r="O42" s="347">
        <v>3.5973039999999998</v>
      </c>
      <c r="P42" s="347">
        <f>Table1[[#This Row],[unit cost]]*1.065</f>
        <v>3.8311287599999995</v>
      </c>
      <c r="Q42" s="348">
        <v>3</v>
      </c>
      <c r="R42" s="329">
        <v>1</v>
      </c>
      <c r="S42" s="349">
        <f t="shared" ref="S42:S73" si="7">$S$2</f>
        <v>0.42</v>
      </c>
      <c r="T42" s="350">
        <f>Table1[[#This Row],[man minutes]]*Table1[[#This Row],[labor rate]]</f>
        <v>1.26</v>
      </c>
      <c r="U42" s="350">
        <f t="shared" ref="U42:U73" si="8">P42+T42</f>
        <v>5.0911287599999993</v>
      </c>
      <c r="V42" s="330">
        <f t="shared" ref="V42:V73" si="9">$V$2</f>
        <v>0.13</v>
      </c>
      <c r="W42" s="351">
        <f t="shared" ref="W42:W73" si="10">$W$2</f>
        <v>0.13</v>
      </c>
      <c r="X42" s="350">
        <f t="shared" ref="X42:X73" si="11">P42*(1+V42)</f>
        <v>4.3291754987999989</v>
      </c>
      <c r="Y42" s="350">
        <f t="shared" ref="Y42:Y73" si="12">T42+(T42*W42)</f>
        <v>1.4238</v>
      </c>
      <c r="Z42" s="350">
        <f t="shared" ref="Z42:Z73" si="13">IFERROR(ROUNDUP(X42+Y42,2)," ")</f>
        <v>5.76</v>
      </c>
      <c r="AA42" s="352">
        <f>+Table1[[#This Row],[calculated sale price]]</f>
        <v>5.76</v>
      </c>
      <c r="AB42" s="353"/>
      <c r="AC42" s="354"/>
      <c r="AD42" s="355"/>
      <c r="AE42" s="356">
        <f>Table1[[#This Row],[cost per quantity]]*(1+'P&amp;L'!$P$8)</f>
        <v>4.3291754987999989</v>
      </c>
      <c r="AF42" s="356">
        <f>$AF$8*Table1[[#This Row],[man minutes]]*(1+'P&amp;L'!$P$9)</f>
        <v>1.3559999999999999</v>
      </c>
      <c r="AG42" s="356"/>
      <c r="AH42" s="356"/>
      <c r="AI42" s="356">
        <f>Table1[[#This Row],[Food cost w/ MU]]+Table1[[#This Row],[labor cost W/ MU]]</f>
        <v>5.6851754987999987</v>
      </c>
      <c r="AJ42" s="357"/>
    </row>
    <row r="43" spans="1:36" x14ac:dyDescent="0.25">
      <c r="A43" s="329">
        <v>10034</v>
      </c>
      <c r="B43" s="325" t="s">
        <v>353</v>
      </c>
      <c r="C43" s="329">
        <v>1</v>
      </c>
      <c r="I43" s="329"/>
      <c r="J43" s="329"/>
      <c r="K43" s="329"/>
      <c r="L43" s="345"/>
      <c r="M43" s="329"/>
      <c r="N43" s="346"/>
      <c r="O43" s="347">
        <v>2.3607999999999998</v>
      </c>
      <c r="P43" s="347">
        <f>Table1[[#This Row],[unit cost]]*1.065</f>
        <v>2.5142519999999995</v>
      </c>
      <c r="Q43" s="348">
        <v>3</v>
      </c>
      <c r="R43" s="329">
        <v>1</v>
      </c>
      <c r="S43" s="349">
        <f t="shared" si="7"/>
        <v>0.42</v>
      </c>
      <c r="T43" s="350">
        <f>Table1[[#This Row],[man minutes]]*Table1[[#This Row],[labor rate]]</f>
        <v>1.26</v>
      </c>
      <c r="U43" s="350">
        <f t="shared" si="8"/>
        <v>3.7742519999999997</v>
      </c>
      <c r="V43" s="330">
        <f t="shared" si="9"/>
        <v>0.13</v>
      </c>
      <c r="W43" s="351">
        <f t="shared" si="10"/>
        <v>0.13</v>
      </c>
      <c r="X43" s="350">
        <f t="shared" si="11"/>
        <v>2.841104759999999</v>
      </c>
      <c r="Y43" s="350">
        <f t="shared" si="12"/>
        <v>1.4238</v>
      </c>
      <c r="Z43" s="350">
        <f t="shared" si="13"/>
        <v>4.2699999999999996</v>
      </c>
      <c r="AA43" s="352">
        <f>+Table1[[#This Row],[calculated sale price]]</f>
        <v>4.2699999999999996</v>
      </c>
      <c r="AB43" s="353"/>
      <c r="AC43" s="354"/>
      <c r="AD43" s="355"/>
      <c r="AE43" s="356">
        <f>Table1[[#This Row],[cost per quantity]]*(1+'P&amp;L'!$P$8)</f>
        <v>2.841104759999999</v>
      </c>
      <c r="AF43" s="356">
        <f>$AF$8*Table1[[#This Row],[man minutes]]*(1+'P&amp;L'!$P$9)</f>
        <v>1.3559999999999999</v>
      </c>
      <c r="AG43" s="356"/>
      <c r="AH43" s="356"/>
      <c r="AI43" s="356">
        <f>Table1[[#This Row],[Food cost w/ MU]]+Table1[[#This Row],[labor cost W/ MU]]</f>
        <v>4.1971047599999984</v>
      </c>
      <c r="AJ43" s="357"/>
    </row>
    <row r="44" spans="1:36" x14ac:dyDescent="0.25">
      <c r="A44" s="329">
        <v>10035</v>
      </c>
      <c r="B44" s="325" t="s">
        <v>354</v>
      </c>
      <c r="C44" s="329">
        <v>1</v>
      </c>
      <c r="I44" s="329"/>
      <c r="J44" s="329"/>
      <c r="K44" s="329"/>
      <c r="L44" s="345"/>
      <c r="M44" s="329"/>
      <c r="N44" s="346"/>
      <c r="O44" s="347">
        <v>0.85900500000000002</v>
      </c>
      <c r="P44" s="347">
        <f>Table1[[#This Row],[unit cost]]*1.065</f>
        <v>0.91484032500000001</v>
      </c>
      <c r="Q44" s="348">
        <v>2.25</v>
      </c>
      <c r="R44" s="329">
        <v>1</v>
      </c>
      <c r="S44" s="349">
        <f t="shared" si="7"/>
        <v>0.42</v>
      </c>
      <c r="T44" s="350">
        <f>Table1[[#This Row],[man minutes]]*Table1[[#This Row],[labor rate]]</f>
        <v>0.94499999999999995</v>
      </c>
      <c r="U44" s="350">
        <f t="shared" si="8"/>
        <v>1.859840325</v>
      </c>
      <c r="V44" s="330">
        <f t="shared" si="9"/>
        <v>0.13</v>
      </c>
      <c r="W44" s="351">
        <f t="shared" si="10"/>
        <v>0.13</v>
      </c>
      <c r="X44" s="350">
        <f t="shared" si="11"/>
        <v>1.03376956725</v>
      </c>
      <c r="Y44" s="350">
        <f t="shared" si="12"/>
        <v>1.06785</v>
      </c>
      <c r="Z44" s="350">
        <f t="shared" si="13"/>
        <v>2.11</v>
      </c>
      <c r="AA44" s="352">
        <f>+Table1[[#This Row],[calculated sale price]]</f>
        <v>2.11</v>
      </c>
      <c r="AB44" s="353"/>
      <c r="AC44" s="354"/>
      <c r="AD44" s="355"/>
      <c r="AE44" s="356">
        <f>Table1[[#This Row],[cost per quantity]]*(1+'P&amp;L'!$P$8)</f>
        <v>1.03376956725</v>
      </c>
      <c r="AF44" s="356">
        <f>$AF$8*Table1[[#This Row],[man minutes]]*(1+'P&amp;L'!$P$9)</f>
        <v>1.0169999999999999</v>
      </c>
      <c r="AG44" s="356"/>
      <c r="AH44" s="356"/>
      <c r="AI44" s="356">
        <f>Table1[[#This Row],[Food cost w/ MU]]+Table1[[#This Row],[labor cost W/ MU]]</f>
        <v>2.0507695672499997</v>
      </c>
      <c r="AJ44" s="357"/>
    </row>
    <row r="45" spans="1:36" x14ac:dyDescent="0.25">
      <c r="A45" s="329">
        <v>10036</v>
      </c>
      <c r="B45" s="325" t="s">
        <v>355</v>
      </c>
      <c r="C45" s="329">
        <v>1</v>
      </c>
      <c r="I45" s="329"/>
      <c r="J45" s="329"/>
      <c r="K45" s="329"/>
      <c r="L45" s="345"/>
      <c r="M45" s="329"/>
      <c r="N45" s="346"/>
      <c r="O45" s="347">
        <f>0.6837+0.12</f>
        <v>0.80369999999999997</v>
      </c>
      <c r="P45" s="347">
        <f>Table1[[#This Row],[unit cost]]*1.065</f>
        <v>0.85594049999999988</v>
      </c>
      <c r="Q45" s="348">
        <v>3</v>
      </c>
      <c r="R45" s="329">
        <v>1</v>
      </c>
      <c r="S45" s="349">
        <f t="shared" si="7"/>
        <v>0.42</v>
      </c>
      <c r="T45" s="350">
        <f>Table1[[#This Row],[man minutes]]*Table1[[#This Row],[labor rate]]</f>
        <v>1.26</v>
      </c>
      <c r="U45" s="350">
        <f t="shared" si="8"/>
        <v>2.1159404999999998</v>
      </c>
      <c r="V45" s="330">
        <f t="shared" si="9"/>
        <v>0.13</v>
      </c>
      <c r="W45" s="351">
        <f t="shared" si="10"/>
        <v>0.13</v>
      </c>
      <c r="X45" s="350">
        <f t="shared" si="11"/>
        <v>0.96721276499999975</v>
      </c>
      <c r="Y45" s="350">
        <f t="shared" si="12"/>
        <v>1.4238</v>
      </c>
      <c r="Z45" s="350">
        <f t="shared" si="13"/>
        <v>2.4</v>
      </c>
      <c r="AA45" s="352">
        <f>+Table1[[#This Row],[calculated sale price]]</f>
        <v>2.4</v>
      </c>
      <c r="AB45" s="353"/>
      <c r="AC45" s="354"/>
      <c r="AD45" s="355"/>
      <c r="AE45" s="356">
        <f>Table1[[#This Row],[cost per quantity]]*(1+'P&amp;L'!$P$8)</f>
        <v>0.96721276499999975</v>
      </c>
      <c r="AF45" s="356">
        <f>$AF$8*Table1[[#This Row],[man minutes]]*(1+'P&amp;L'!$P$9)</f>
        <v>1.3559999999999999</v>
      </c>
      <c r="AG45" s="356"/>
      <c r="AH45" s="356"/>
      <c r="AI45" s="356">
        <f>Table1[[#This Row],[Food cost w/ MU]]+Table1[[#This Row],[labor cost W/ MU]]</f>
        <v>2.3232127649999996</v>
      </c>
      <c r="AJ45" s="357"/>
    </row>
    <row r="46" spans="1:36" x14ac:dyDescent="0.25">
      <c r="A46" s="329">
        <v>10037</v>
      </c>
      <c r="B46" s="325" t="s">
        <v>356</v>
      </c>
      <c r="C46" s="329">
        <v>1</v>
      </c>
      <c r="I46" s="329"/>
      <c r="J46" s="329"/>
      <c r="K46" s="329"/>
      <c r="L46" s="345"/>
      <c r="M46" s="329"/>
      <c r="N46" s="346"/>
      <c r="O46" s="347">
        <v>0.83</v>
      </c>
      <c r="P46" s="347">
        <f>Table1[[#This Row],[unit cost]]*1.065</f>
        <v>0.8839499999999999</v>
      </c>
      <c r="Q46" s="348">
        <v>0.25</v>
      </c>
      <c r="R46" s="329">
        <v>1</v>
      </c>
      <c r="S46" s="349">
        <f t="shared" si="7"/>
        <v>0.42</v>
      </c>
      <c r="T46" s="350">
        <f>Table1[[#This Row],[man minutes]]*Table1[[#This Row],[labor rate]]</f>
        <v>0.105</v>
      </c>
      <c r="U46" s="350">
        <f t="shared" si="8"/>
        <v>0.98894999999999988</v>
      </c>
      <c r="V46" s="330">
        <f t="shared" si="9"/>
        <v>0.13</v>
      </c>
      <c r="W46" s="351">
        <f t="shared" si="10"/>
        <v>0.13</v>
      </c>
      <c r="X46" s="350">
        <f t="shared" si="11"/>
        <v>0.99886349999999979</v>
      </c>
      <c r="Y46" s="350">
        <f t="shared" si="12"/>
        <v>0.11864999999999999</v>
      </c>
      <c r="Z46" s="350">
        <f t="shared" si="13"/>
        <v>1.1200000000000001</v>
      </c>
      <c r="AA46" s="352">
        <f>+Table1[[#This Row],[calculated sale price]]</f>
        <v>1.1200000000000001</v>
      </c>
      <c r="AB46" s="353"/>
      <c r="AC46" s="354"/>
      <c r="AD46" s="355"/>
      <c r="AE46" s="356">
        <f>Table1[[#This Row],[cost per quantity]]*(1+'P&amp;L'!$P$8)</f>
        <v>0.99886349999999979</v>
      </c>
      <c r="AF46" s="356">
        <f>$AF$8*Table1[[#This Row],[man minutes]]*(1+'P&amp;L'!$P$9)</f>
        <v>0.11299999999999998</v>
      </c>
      <c r="AG46" s="356"/>
      <c r="AH46" s="356"/>
      <c r="AI46" s="356">
        <f>Table1[[#This Row],[Food cost w/ MU]]+Table1[[#This Row],[labor cost W/ MU]]</f>
        <v>1.1118634999999997</v>
      </c>
      <c r="AJ46" s="357"/>
    </row>
    <row r="47" spans="1:36" x14ac:dyDescent="0.25">
      <c r="A47" s="329">
        <v>10038</v>
      </c>
      <c r="B47" s="325" t="s">
        <v>357</v>
      </c>
      <c r="C47" s="329">
        <v>1</v>
      </c>
      <c r="I47" s="329"/>
      <c r="J47" s="329"/>
      <c r="K47" s="329"/>
      <c r="L47" s="345"/>
      <c r="M47" s="329"/>
      <c r="N47" s="346"/>
      <c r="O47" s="347">
        <v>0.83</v>
      </c>
      <c r="P47" s="347">
        <f>Table1[[#This Row],[unit cost]]*1.065</f>
        <v>0.8839499999999999</v>
      </c>
      <c r="Q47" s="348">
        <v>0.25</v>
      </c>
      <c r="R47" s="329">
        <v>1</v>
      </c>
      <c r="S47" s="349">
        <f t="shared" si="7"/>
        <v>0.42</v>
      </c>
      <c r="T47" s="350">
        <f>Table1[[#This Row],[man minutes]]*Table1[[#This Row],[labor rate]]</f>
        <v>0.105</v>
      </c>
      <c r="U47" s="350">
        <f t="shared" si="8"/>
        <v>0.98894999999999988</v>
      </c>
      <c r="V47" s="330">
        <f t="shared" si="9"/>
        <v>0.13</v>
      </c>
      <c r="W47" s="351">
        <f t="shared" si="10"/>
        <v>0.13</v>
      </c>
      <c r="X47" s="350">
        <f t="shared" si="11"/>
        <v>0.99886349999999979</v>
      </c>
      <c r="Y47" s="350">
        <f t="shared" si="12"/>
        <v>0.11864999999999999</v>
      </c>
      <c r="Z47" s="350">
        <f t="shared" si="13"/>
        <v>1.1200000000000001</v>
      </c>
      <c r="AA47" s="352">
        <f>+Table1[[#This Row],[calculated sale price]]</f>
        <v>1.1200000000000001</v>
      </c>
      <c r="AB47" s="353"/>
      <c r="AC47" s="354"/>
      <c r="AD47" s="355"/>
      <c r="AE47" s="356">
        <f>Table1[[#This Row],[cost per quantity]]*(1+'P&amp;L'!$P$8)</f>
        <v>0.99886349999999979</v>
      </c>
      <c r="AF47" s="356">
        <f>$AF$8*Table1[[#This Row],[man minutes]]*(1+'P&amp;L'!$P$9)</f>
        <v>0.11299999999999998</v>
      </c>
      <c r="AG47" s="356"/>
      <c r="AH47" s="356"/>
      <c r="AI47" s="356">
        <f>Table1[[#This Row],[Food cost w/ MU]]+Table1[[#This Row],[labor cost W/ MU]]</f>
        <v>1.1118634999999997</v>
      </c>
      <c r="AJ47" s="357"/>
    </row>
    <row r="48" spans="1:36" x14ac:dyDescent="0.25">
      <c r="A48" s="329">
        <v>10039</v>
      </c>
      <c r="B48" s="359" t="s">
        <v>358</v>
      </c>
      <c r="C48" s="329">
        <v>1</v>
      </c>
      <c r="I48" s="329"/>
      <c r="J48" s="329"/>
      <c r="K48" s="329"/>
      <c r="L48" s="345"/>
      <c r="M48" s="329"/>
      <c r="N48" s="346"/>
      <c r="O48" s="347"/>
      <c r="P48" s="347"/>
      <c r="Q48" s="348"/>
      <c r="R48" s="329">
        <v>1</v>
      </c>
      <c r="S48" s="349">
        <f t="shared" si="7"/>
        <v>0.42</v>
      </c>
      <c r="T48" s="350">
        <f>Table1[[#This Row],[man minutes]]*Table1[[#This Row],[labor rate]]</f>
        <v>0</v>
      </c>
      <c r="U48" s="350">
        <f t="shared" si="8"/>
        <v>0</v>
      </c>
      <c r="V48" s="330">
        <f t="shared" si="9"/>
        <v>0.13</v>
      </c>
      <c r="W48" s="351">
        <f t="shared" si="10"/>
        <v>0.13</v>
      </c>
      <c r="X48" s="350">
        <f t="shared" si="11"/>
        <v>0</v>
      </c>
      <c r="Y48" s="350">
        <f t="shared" si="12"/>
        <v>0</v>
      </c>
      <c r="Z48" s="350">
        <f t="shared" si="13"/>
        <v>0</v>
      </c>
      <c r="AA48" s="352">
        <f>+Table1[[#This Row],[calculated sale price]]</f>
        <v>0</v>
      </c>
      <c r="AB48" s="353"/>
      <c r="AC48" s="354"/>
      <c r="AD48" s="355"/>
      <c r="AE48" s="356">
        <f>Table1[[#This Row],[cost per quantity]]*(1+'P&amp;L'!$P$8)</f>
        <v>0</v>
      </c>
      <c r="AF48" s="356">
        <f>$AF$8*Table1[[#This Row],[man minutes]]*(1+'P&amp;L'!$P$9)</f>
        <v>0</v>
      </c>
      <c r="AG48" s="356"/>
      <c r="AH48" s="356"/>
      <c r="AI48" s="356">
        <f>Table1[[#This Row],[Food cost w/ MU]]+Table1[[#This Row],[labor cost W/ MU]]</f>
        <v>0</v>
      </c>
      <c r="AJ48" s="357"/>
    </row>
    <row r="49" spans="1:36" x14ac:dyDescent="0.25">
      <c r="A49" s="329">
        <v>10040</v>
      </c>
      <c r="B49" s="325" t="s">
        <v>359</v>
      </c>
      <c r="C49" s="329">
        <v>1</v>
      </c>
      <c r="I49" s="329"/>
      <c r="J49" s="329"/>
      <c r="K49" s="329"/>
      <c r="L49" s="345"/>
      <c r="M49" s="329"/>
      <c r="N49" s="346"/>
      <c r="O49" s="347">
        <v>1.2811999999999999</v>
      </c>
      <c r="P49" s="347">
        <f>Table1[[#This Row],[unit cost]]*1.065</f>
        <v>1.3644779999999999</v>
      </c>
      <c r="Q49" s="348">
        <v>2</v>
      </c>
      <c r="R49" s="329">
        <v>1</v>
      </c>
      <c r="S49" s="349">
        <f t="shared" si="7"/>
        <v>0.42</v>
      </c>
      <c r="T49" s="350">
        <f>Table1[[#This Row],[man minutes]]*Table1[[#This Row],[labor rate]]</f>
        <v>0.84</v>
      </c>
      <c r="U49" s="350">
        <f t="shared" si="8"/>
        <v>2.2044779999999999</v>
      </c>
      <c r="V49" s="330">
        <f t="shared" si="9"/>
        <v>0.13</v>
      </c>
      <c r="W49" s="351">
        <f t="shared" si="10"/>
        <v>0.13</v>
      </c>
      <c r="X49" s="350">
        <f t="shared" si="11"/>
        <v>1.5418601399999996</v>
      </c>
      <c r="Y49" s="350">
        <f t="shared" si="12"/>
        <v>0.94919999999999993</v>
      </c>
      <c r="Z49" s="350">
        <f t="shared" si="13"/>
        <v>2.5</v>
      </c>
      <c r="AA49" s="352">
        <f>+Table1[[#This Row],[calculated sale price]]</f>
        <v>2.5</v>
      </c>
      <c r="AB49" s="353"/>
      <c r="AC49" s="354"/>
      <c r="AD49" s="355"/>
      <c r="AE49" s="356">
        <f>Table1[[#This Row],[cost per quantity]]*(1+'P&amp;L'!$P$8)</f>
        <v>1.5418601399999996</v>
      </c>
      <c r="AF49" s="356">
        <f>$AF$8*Table1[[#This Row],[man minutes]]*(1+'P&amp;L'!$P$9)</f>
        <v>0.9039999999999998</v>
      </c>
      <c r="AG49" s="356"/>
      <c r="AH49" s="356"/>
      <c r="AI49" s="356">
        <f>Table1[[#This Row],[Food cost w/ MU]]+Table1[[#This Row],[labor cost W/ MU]]</f>
        <v>2.4458601399999993</v>
      </c>
      <c r="AJ49" s="357"/>
    </row>
    <row r="50" spans="1:36" x14ac:dyDescent="0.25">
      <c r="A50" s="329">
        <v>10041</v>
      </c>
      <c r="B50" s="325" t="s">
        <v>360</v>
      </c>
      <c r="C50" s="329">
        <v>1</v>
      </c>
      <c r="I50" s="329"/>
      <c r="J50" s="329"/>
      <c r="K50" s="329"/>
      <c r="L50" s="345"/>
      <c r="M50" s="329"/>
      <c r="N50" s="346"/>
      <c r="O50" s="347">
        <v>0</v>
      </c>
      <c r="P50" s="347">
        <f>Table1[[#This Row],[unit cost]]*1.065</f>
        <v>0</v>
      </c>
      <c r="Q50" s="348">
        <v>2</v>
      </c>
      <c r="R50" s="329">
        <v>1</v>
      </c>
      <c r="S50" s="349">
        <f t="shared" si="7"/>
        <v>0.42</v>
      </c>
      <c r="T50" s="350">
        <f>Table1[[#This Row],[man minutes]]*Table1[[#This Row],[labor rate]]</f>
        <v>0.84</v>
      </c>
      <c r="U50" s="350">
        <f t="shared" si="8"/>
        <v>0.84</v>
      </c>
      <c r="V50" s="330">
        <f t="shared" si="9"/>
        <v>0.13</v>
      </c>
      <c r="W50" s="351">
        <f t="shared" si="10"/>
        <v>0.13</v>
      </c>
      <c r="X50" s="350">
        <f t="shared" si="11"/>
        <v>0</v>
      </c>
      <c r="Y50" s="350">
        <f t="shared" si="12"/>
        <v>0.94919999999999993</v>
      </c>
      <c r="Z50" s="350">
        <f t="shared" si="13"/>
        <v>0.95</v>
      </c>
      <c r="AA50" s="352">
        <f>+Table1[[#This Row],[calculated sale price]]</f>
        <v>0.95</v>
      </c>
      <c r="AB50" s="353"/>
      <c r="AC50" s="354"/>
      <c r="AD50" s="355"/>
      <c r="AE50" s="356">
        <f>Table1[[#This Row],[cost per quantity]]*(1+'P&amp;L'!$P$8)</f>
        <v>0</v>
      </c>
      <c r="AF50" s="356">
        <f>$AF$8*Table1[[#This Row],[man minutes]]*(1+'P&amp;L'!$P$9)</f>
        <v>0.9039999999999998</v>
      </c>
      <c r="AG50" s="356"/>
      <c r="AH50" s="356"/>
      <c r="AI50" s="356">
        <f>Table1[[#This Row],[Food cost w/ MU]]+Table1[[#This Row],[labor cost W/ MU]]</f>
        <v>0.9039999999999998</v>
      </c>
      <c r="AJ50" s="357"/>
    </row>
    <row r="51" spans="1:36" x14ac:dyDescent="0.25">
      <c r="A51" s="329">
        <v>10042</v>
      </c>
      <c r="B51" s="325" t="s">
        <v>361</v>
      </c>
      <c r="C51" s="329">
        <v>1</v>
      </c>
      <c r="I51" s="329"/>
      <c r="J51" s="329"/>
      <c r="K51" s="329"/>
      <c r="L51" s="345"/>
      <c r="M51" s="329"/>
      <c r="N51" s="346"/>
      <c r="O51" s="347">
        <v>0.55807499999999999</v>
      </c>
      <c r="P51" s="347">
        <f>Table1[[#This Row],[unit cost]]*1.065</f>
        <v>0.59434987499999992</v>
      </c>
      <c r="Q51" s="348">
        <v>1.25</v>
      </c>
      <c r="R51" s="329">
        <v>1</v>
      </c>
      <c r="S51" s="349">
        <f t="shared" si="7"/>
        <v>0.42</v>
      </c>
      <c r="T51" s="350">
        <f>Table1[[#This Row],[man minutes]]*Table1[[#This Row],[labor rate]]</f>
        <v>0.52500000000000002</v>
      </c>
      <c r="U51" s="350">
        <f t="shared" si="8"/>
        <v>1.1193498749999999</v>
      </c>
      <c r="V51" s="330">
        <f t="shared" si="9"/>
        <v>0.13</v>
      </c>
      <c r="W51" s="351">
        <f t="shared" si="10"/>
        <v>0.13</v>
      </c>
      <c r="X51" s="350">
        <f t="shared" si="11"/>
        <v>0.67161535874999989</v>
      </c>
      <c r="Y51" s="350">
        <f t="shared" si="12"/>
        <v>0.59325000000000006</v>
      </c>
      <c r="Z51" s="350">
        <f t="shared" si="13"/>
        <v>1.27</v>
      </c>
      <c r="AA51" s="352">
        <f>+Table1[[#This Row],[calculated sale price]]</f>
        <v>1.27</v>
      </c>
      <c r="AB51" s="353"/>
      <c r="AC51" s="354"/>
      <c r="AD51" s="355"/>
      <c r="AE51" s="356">
        <f>Table1[[#This Row],[cost per quantity]]*(1+'P&amp;L'!$P$8)</f>
        <v>0.67161535874999989</v>
      </c>
      <c r="AF51" s="356">
        <f>$AF$8*Table1[[#This Row],[man minutes]]*(1+'P&amp;L'!$P$9)</f>
        <v>0.56499999999999984</v>
      </c>
      <c r="AG51" s="356"/>
      <c r="AH51" s="356"/>
      <c r="AI51" s="356">
        <f>Table1[[#This Row],[Food cost w/ MU]]+Table1[[#This Row],[labor cost W/ MU]]</f>
        <v>1.2366153587499997</v>
      </c>
      <c r="AJ51" s="357"/>
    </row>
    <row r="52" spans="1:36" x14ac:dyDescent="0.25">
      <c r="A52" s="329">
        <v>10043</v>
      </c>
      <c r="B52" s="325" t="s">
        <v>362</v>
      </c>
      <c r="C52" s="329">
        <v>1</v>
      </c>
      <c r="I52" s="329"/>
      <c r="J52" s="329"/>
      <c r="K52" s="329"/>
      <c r="L52" s="345"/>
      <c r="M52" s="329"/>
      <c r="N52" s="346"/>
      <c r="O52" s="347">
        <v>0.89319999999999999</v>
      </c>
      <c r="P52" s="347">
        <f>Table1[[#This Row],[unit cost]]*1.065</f>
        <v>0.95125799999999994</v>
      </c>
      <c r="Q52" s="348">
        <v>1.5</v>
      </c>
      <c r="R52" s="329">
        <v>1</v>
      </c>
      <c r="S52" s="349">
        <f t="shared" si="7"/>
        <v>0.42</v>
      </c>
      <c r="T52" s="350">
        <f>Table1[[#This Row],[man minutes]]*Table1[[#This Row],[labor rate]]</f>
        <v>0.63</v>
      </c>
      <c r="U52" s="350">
        <f t="shared" si="8"/>
        <v>1.5812580000000001</v>
      </c>
      <c r="V52" s="330">
        <f t="shared" si="9"/>
        <v>0.13</v>
      </c>
      <c r="W52" s="351">
        <f t="shared" si="10"/>
        <v>0.13</v>
      </c>
      <c r="X52" s="350">
        <f t="shared" si="11"/>
        <v>1.0749215399999998</v>
      </c>
      <c r="Y52" s="350">
        <f t="shared" si="12"/>
        <v>0.71189999999999998</v>
      </c>
      <c r="Z52" s="350">
        <f t="shared" si="13"/>
        <v>1.79</v>
      </c>
      <c r="AA52" s="352">
        <f>+Table1[[#This Row],[calculated sale price]]</f>
        <v>1.79</v>
      </c>
      <c r="AB52" s="353"/>
      <c r="AC52" s="354"/>
      <c r="AD52" s="355"/>
      <c r="AE52" s="356">
        <f>Table1[[#This Row],[cost per quantity]]*(1+'P&amp;L'!$P$8)</f>
        <v>1.0749215399999998</v>
      </c>
      <c r="AF52" s="356">
        <f>$AF$8*Table1[[#This Row],[man minutes]]*(1+'P&amp;L'!$P$9)</f>
        <v>0.67799999999999994</v>
      </c>
      <c r="AG52" s="356"/>
      <c r="AH52" s="356"/>
      <c r="AI52" s="356">
        <f>Table1[[#This Row],[Food cost w/ MU]]+Table1[[#This Row],[labor cost W/ MU]]</f>
        <v>1.7529215399999998</v>
      </c>
      <c r="AJ52" s="357"/>
    </row>
    <row r="53" spans="1:36" x14ac:dyDescent="0.25">
      <c r="A53" s="329">
        <v>10044</v>
      </c>
      <c r="B53" s="325" t="s">
        <v>363</v>
      </c>
      <c r="C53" s="329">
        <v>1</v>
      </c>
      <c r="I53" s="329"/>
      <c r="J53" s="329"/>
      <c r="K53" s="329"/>
      <c r="L53" s="345"/>
      <c r="M53" s="329"/>
      <c r="N53" s="346"/>
      <c r="O53" s="347">
        <v>3.407915</v>
      </c>
      <c r="P53" s="347">
        <f>Table1[[#This Row],[unit cost]]*1.065</f>
        <v>3.6294294749999998</v>
      </c>
      <c r="Q53" s="348">
        <v>7</v>
      </c>
      <c r="R53" s="329">
        <v>1</v>
      </c>
      <c r="S53" s="349">
        <f t="shared" si="7"/>
        <v>0.42</v>
      </c>
      <c r="T53" s="350">
        <f>Table1[[#This Row],[man minutes]]*Table1[[#This Row],[labor rate]]</f>
        <v>2.94</v>
      </c>
      <c r="U53" s="350">
        <f t="shared" si="8"/>
        <v>6.5694294749999997</v>
      </c>
      <c r="V53" s="330">
        <f t="shared" si="9"/>
        <v>0.13</v>
      </c>
      <c r="W53" s="351">
        <f t="shared" si="10"/>
        <v>0.13</v>
      </c>
      <c r="X53" s="350">
        <f t="shared" si="11"/>
        <v>4.1012553067499997</v>
      </c>
      <c r="Y53" s="350">
        <f t="shared" si="12"/>
        <v>3.3222</v>
      </c>
      <c r="Z53" s="350">
        <f t="shared" si="13"/>
        <v>7.43</v>
      </c>
      <c r="AA53" s="352">
        <f>+Table1[[#This Row],[calculated sale price]]</f>
        <v>7.43</v>
      </c>
      <c r="AB53" s="353"/>
      <c r="AC53" s="354"/>
      <c r="AD53" s="355"/>
      <c r="AE53" s="356">
        <f>Table1[[#This Row],[cost per quantity]]*(1+'P&amp;L'!$P$8)</f>
        <v>4.1012553067499997</v>
      </c>
      <c r="AF53" s="356">
        <f>$AF$8*Table1[[#This Row],[man minutes]]*(1+'P&amp;L'!$P$9)</f>
        <v>3.1639999999999997</v>
      </c>
      <c r="AG53" s="356"/>
      <c r="AH53" s="356"/>
      <c r="AI53" s="356">
        <f>Table1[[#This Row],[Food cost w/ MU]]+Table1[[#This Row],[labor cost W/ MU]]</f>
        <v>7.2652553067499994</v>
      </c>
      <c r="AJ53" s="357"/>
    </row>
    <row r="54" spans="1:36" x14ac:dyDescent="0.25">
      <c r="A54" s="329">
        <v>10045</v>
      </c>
      <c r="B54" s="325" t="s">
        <v>364</v>
      </c>
      <c r="C54" s="329">
        <v>1</v>
      </c>
      <c r="I54" s="329"/>
      <c r="J54" s="329"/>
      <c r="K54" s="329"/>
      <c r="L54" s="345"/>
      <c r="M54" s="329"/>
      <c r="N54" s="346"/>
      <c r="O54" s="347">
        <v>6.7454999999999998</v>
      </c>
      <c r="P54" s="347">
        <f>Table1[[#This Row],[unit cost]]*1.065</f>
        <v>7.1839574999999991</v>
      </c>
      <c r="Q54" s="348">
        <v>7</v>
      </c>
      <c r="R54" s="329">
        <v>1</v>
      </c>
      <c r="S54" s="349">
        <f t="shared" si="7"/>
        <v>0.42</v>
      </c>
      <c r="T54" s="350">
        <f>Table1[[#This Row],[man minutes]]*Table1[[#This Row],[labor rate]]</f>
        <v>2.94</v>
      </c>
      <c r="U54" s="350">
        <f t="shared" si="8"/>
        <v>10.123957499999999</v>
      </c>
      <c r="V54" s="330">
        <f t="shared" si="9"/>
        <v>0.13</v>
      </c>
      <c r="W54" s="351">
        <f t="shared" si="10"/>
        <v>0.13</v>
      </c>
      <c r="X54" s="350">
        <f t="shared" si="11"/>
        <v>8.1178719749999981</v>
      </c>
      <c r="Y54" s="350">
        <f t="shared" si="12"/>
        <v>3.3222</v>
      </c>
      <c r="Z54" s="350">
        <f t="shared" si="13"/>
        <v>11.45</v>
      </c>
      <c r="AA54" s="352">
        <f>+Table1[[#This Row],[calculated sale price]]</f>
        <v>11.45</v>
      </c>
      <c r="AB54" s="353"/>
      <c r="AC54" s="354"/>
      <c r="AD54" s="355"/>
      <c r="AE54" s="356">
        <f>Table1[[#This Row],[cost per quantity]]*(1+'P&amp;L'!$P$8)</f>
        <v>8.1178719749999981</v>
      </c>
      <c r="AF54" s="356">
        <f>$AF$8*Table1[[#This Row],[man minutes]]*(1+'P&amp;L'!$P$9)</f>
        <v>3.1639999999999997</v>
      </c>
      <c r="AG54" s="356"/>
      <c r="AH54" s="356"/>
      <c r="AI54" s="356">
        <f>Table1[[#This Row],[Food cost w/ MU]]+Table1[[#This Row],[labor cost W/ MU]]</f>
        <v>11.281871974999998</v>
      </c>
      <c r="AJ54" s="357"/>
    </row>
    <row r="55" spans="1:36" x14ac:dyDescent="0.25">
      <c r="A55" s="329">
        <v>10046</v>
      </c>
      <c r="B55" s="325" t="s">
        <v>365</v>
      </c>
      <c r="C55" s="329">
        <v>1</v>
      </c>
      <c r="I55" s="329"/>
      <c r="J55" s="329"/>
      <c r="K55" s="329"/>
      <c r="L55" s="345"/>
      <c r="M55" s="329"/>
      <c r="N55" s="346"/>
      <c r="O55" s="347">
        <v>1.9219577999999999</v>
      </c>
      <c r="P55" s="347">
        <f>Table1[[#This Row],[unit cost]]*1.065</f>
        <v>2.0468850569999999</v>
      </c>
      <c r="Q55" s="348">
        <v>6.5</v>
      </c>
      <c r="R55" s="329">
        <v>1</v>
      </c>
      <c r="S55" s="349">
        <f t="shared" si="7"/>
        <v>0.42</v>
      </c>
      <c r="T55" s="350">
        <f>Table1[[#This Row],[man minutes]]*Table1[[#This Row],[labor rate]]</f>
        <v>2.73</v>
      </c>
      <c r="U55" s="350">
        <f t="shared" si="8"/>
        <v>4.7768850569999994</v>
      </c>
      <c r="V55" s="330">
        <f t="shared" si="9"/>
        <v>0.13</v>
      </c>
      <c r="W55" s="351">
        <f t="shared" si="10"/>
        <v>0.13</v>
      </c>
      <c r="X55" s="350">
        <f t="shared" si="11"/>
        <v>2.3129801144099997</v>
      </c>
      <c r="Y55" s="350">
        <f t="shared" si="12"/>
        <v>3.0849000000000002</v>
      </c>
      <c r="Z55" s="350">
        <f t="shared" si="13"/>
        <v>5.3999999999999995</v>
      </c>
      <c r="AA55" s="352">
        <f>+Table1[[#This Row],[calculated sale price]]</f>
        <v>5.3999999999999995</v>
      </c>
      <c r="AB55" s="353"/>
      <c r="AC55" s="354"/>
      <c r="AD55" s="355"/>
      <c r="AE55" s="356">
        <f>Table1[[#This Row],[cost per quantity]]*(1+'P&amp;L'!$P$8)</f>
        <v>2.3129801144099997</v>
      </c>
      <c r="AF55" s="356">
        <f>$AF$8*Table1[[#This Row],[man minutes]]*(1+'P&amp;L'!$P$9)</f>
        <v>2.9379999999999993</v>
      </c>
      <c r="AG55" s="356"/>
      <c r="AH55" s="356"/>
      <c r="AI55" s="356">
        <f>Table1[[#This Row],[Food cost w/ MU]]+Table1[[#This Row],[labor cost W/ MU]]</f>
        <v>5.250980114409999</v>
      </c>
      <c r="AJ55" s="357"/>
    </row>
    <row r="56" spans="1:36" x14ac:dyDescent="0.25">
      <c r="A56" s="329">
        <v>10047</v>
      </c>
      <c r="B56" s="325" t="s">
        <v>366</v>
      </c>
      <c r="C56" s="329">
        <v>1</v>
      </c>
      <c r="I56" s="329"/>
      <c r="J56" s="329"/>
      <c r="K56" s="329"/>
      <c r="L56" s="345"/>
      <c r="M56" s="329"/>
      <c r="N56" s="346"/>
      <c r="O56" s="347">
        <v>1.2591000000000001</v>
      </c>
      <c r="P56" s="347">
        <f>Table1[[#This Row],[unit cost]]*1.065</f>
        <v>1.3409415</v>
      </c>
      <c r="Q56" s="348">
        <v>6.5</v>
      </c>
      <c r="R56" s="329">
        <v>1</v>
      </c>
      <c r="S56" s="349">
        <f t="shared" si="7"/>
        <v>0.42</v>
      </c>
      <c r="T56" s="350">
        <f>Table1[[#This Row],[man minutes]]*Table1[[#This Row],[labor rate]]</f>
        <v>2.73</v>
      </c>
      <c r="U56" s="350">
        <f t="shared" si="8"/>
        <v>4.0709415</v>
      </c>
      <c r="V56" s="330">
        <f t="shared" si="9"/>
        <v>0.13</v>
      </c>
      <c r="W56" s="351">
        <f t="shared" si="10"/>
        <v>0.13</v>
      </c>
      <c r="X56" s="350">
        <f t="shared" si="11"/>
        <v>1.5152638949999999</v>
      </c>
      <c r="Y56" s="350">
        <f t="shared" si="12"/>
        <v>3.0849000000000002</v>
      </c>
      <c r="Z56" s="350">
        <f t="shared" si="13"/>
        <v>4.6099999999999994</v>
      </c>
      <c r="AA56" s="352">
        <f>+Table1[[#This Row],[calculated sale price]]</f>
        <v>4.6099999999999994</v>
      </c>
      <c r="AB56" s="353"/>
      <c r="AC56" s="354"/>
      <c r="AD56" s="355"/>
      <c r="AE56" s="356">
        <f>Table1[[#This Row],[cost per quantity]]*(1+'P&amp;L'!$P$8)</f>
        <v>1.5152638949999999</v>
      </c>
      <c r="AF56" s="356">
        <f>$AF$8*Table1[[#This Row],[man minutes]]*(1+'P&amp;L'!$P$9)</f>
        <v>2.9379999999999993</v>
      </c>
      <c r="AG56" s="356"/>
      <c r="AH56" s="356"/>
      <c r="AI56" s="356">
        <f>Table1[[#This Row],[Food cost w/ MU]]+Table1[[#This Row],[labor cost W/ MU]]</f>
        <v>4.4532638949999992</v>
      </c>
      <c r="AJ56" s="357"/>
    </row>
    <row r="57" spans="1:36" x14ac:dyDescent="0.25">
      <c r="A57" s="329">
        <v>10048</v>
      </c>
      <c r="B57" s="360" t="s">
        <v>367</v>
      </c>
      <c r="C57" s="329">
        <v>1</v>
      </c>
      <c r="I57" s="329"/>
      <c r="J57" s="329"/>
      <c r="K57" s="329"/>
      <c r="L57" s="345"/>
      <c r="M57" s="329"/>
      <c r="N57" s="346"/>
      <c r="O57" s="347">
        <v>0.70833000000000002</v>
      </c>
      <c r="P57" s="347">
        <f>Table1[[#This Row],[unit cost]]*1.065</f>
        <v>0.75437144999999994</v>
      </c>
      <c r="Q57" s="348">
        <v>2.25</v>
      </c>
      <c r="R57" s="329">
        <v>1</v>
      </c>
      <c r="S57" s="349">
        <f t="shared" si="7"/>
        <v>0.42</v>
      </c>
      <c r="T57" s="350">
        <f>Table1[[#This Row],[man minutes]]*Table1[[#This Row],[labor rate]]</f>
        <v>0.94499999999999995</v>
      </c>
      <c r="U57" s="350">
        <f t="shared" si="8"/>
        <v>1.6993714499999999</v>
      </c>
      <c r="V57" s="330">
        <f t="shared" si="9"/>
        <v>0.13</v>
      </c>
      <c r="W57" s="351">
        <f t="shared" si="10"/>
        <v>0.13</v>
      </c>
      <c r="X57" s="350">
        <f t="shared" si="11"/>
        <v>0.85243973849999988</v>
      </c>
      <c r="Y57" s="350">
        <f t="shared" si="12"/>
        <v>1.06785</v>
      </c>
      <c r="Z57" s="350">
        <f t="shared" si="13"/>
        <v>1.93</v>
      </c>
      <c r="AA57" s="352">
        <f>+Table1[[#This Row],[calculated sale price]]</f>
        <v>1.93</v>
      </c>
      <c r="AB57" s="353"/>
      <c r="AC57" s="354"/>
      <c r="AD57" s="355"/>
      <c r="AE57" s="356">
        <f>Table1[[#This Row],[cost per quantity]]*(1+'P&amp;L'!$P$8)</f>
        <v>0.85243973849999988</v>
      </c>
      <c r="AF57" s="356">
        <f>$AF$8*Table1[[#This Row],[man minutes]]*(1+'P&amp;L'!$P$9)</f>
        <v>1.0169999999999999</v>
      </c>
      <c r="AG57" s="356"/>
      <c r="AH57" s="356"/>
      <c r="AI57" s="356">
        <f>Table1[[#This Row],[Food cost w/ MU]]+Table1[[#This Row],[labor cost W/ MU]]</f>
        <v>1.8694397384999997</v>
      </c>
      <c r="AJ57" s="357"/>
    </row>
    <row r="58" spans="1:36" x14ac:dyDescent="0.25">
      <c r="A58" s="329">
        <v>10049</v>
      </c>
      <c r="B58" s="360" t="s">
        <v>368</v>
      </c>
      <c r="C58" s="329">
        <v>1</v>
      </c>
      <c r="I58" s="329"/>
      <c r="J58" s="329"/>
      <c r="K58" s="329"/>
      <c r="L58" s="345"/>
      <c r="M58" s="329"/>
      <c r="N58" s="346"/>
      <c r="O58" s="347">
        <v>0.72</v>
      </c>
      <c r="P58" s="347">
        <f>Table1[[#This Row],[unit cost]]*1.065</f>
        <v>0.76679999999999993</v>
      </c>
      <c r="Q58" s="348">
        <v>2.5</v>
      </c>
      <c r="R58" s="329">
        <v>1</v>
      </c>
      <c r="S58" s="349">
        <f t="shared" si="7"/>
        <v>0.42</v>
      </c>
      <c r="T58" s="350">
        <f>Table1[[#This Row],[man minutes]]*Table1[[#This Row],[labor rate]]</f>
        <v>1.05</v>
      </c>
      <c r="U58" s="350">
        <f t="shared" si="8"/>
        <v>1.8168</v>
      </c>
      <c r="V58" s="330">
        <f t="shared" si="9"/>
        <v>0.13</v>
      </c>
      <c r="W58" s="351">
        <f t="shared" si="10"/>
        <v>0.13</v>
      </c>
      <c r="X58" s="350">
        <f t="shared" si="11"/>
        <v>0.86648399999999981</v>
      </c>
      <c r="Y58" s="350">
        <f t="shared" si="12"/>
        <v>1.1865000000000001</v>
      </c>
      <c r="Z58" s="350">
        <f t="shared" si="13"/>
        <v>2.0599999999999996</v>
      </c>
      <c r="AA58" s="352">
        <f>+Table1[[#This Row],[calculated sale price]]</f>
        <v>2.0599999999999996</v>
      </c>
      <c r="AB58" s="353"/>
      <c r="AC58" s="354"/>
      <c r="AD58" s="355"/>
      <c r="AE58" s="356">
        <f>Table1[[#This Row],[cost per quantity]]*(1+'P&amp;L'!$P$8)</f>
        <v>0.86648399999999981</v>
      </c>
      <c r="AF58" s="356">
        <f>$AF$8*Table1[[#This Row],[man minutes]]*(1+'P&amp;L'!$P$9)</f>
        <v>1.1299999999999997</v>
      </c>
      <c r="AG58" s="356"/>
      <c r="AH58" s="356"/>
      <c r="AI58" s="356">
        <f>Table1[[#This Row],[Food cost w/ MU]]+Table1[[#This Row],[labor cost W/ MU]]</f>
        <v>1.9964839999999995</v>
      </c>
      <c r="AJ58" s="357"/>
    </row>
    <row r="59" spans="1:36" x14ac:dyDescent="0.25">
      <c r="A59" s="329">
        <v>10050</v>
      </c>
      <c r="B59" s="360" t="s">
        <v>369</v>
      </c>
      <c r="C59" s="329">
        <v>1</v>
      </c>
      <c r="I59" s="329"/>
      <c r="J59" s="329"/>
      <c r="K59" s="329"/>
      <c r="L59" s="345"/>
      <c r="M59" s="329"/>
      <c r="N59" s="346"/>
      <c r="O59" s="347">
        <v>0.47249999999999998</v>
      </c>
      <c r="P59" s="347">
        <f>Table1[[#This Row],[unit cost]]*1.065</f>
        <v>0.50321249999999995</v>
      </c>
      <c r="Q59" s="348">
        <v>0.5</v>
      </c>
      <c r="R59" s="329">
        <v>1</v>
      </c>
      <c r="S59" s="349">
        <f t="shared" si="7"/>
        <v>0.42</v>
      </c>
      <c r="T59" s="350">
        <f>Table1[[#This Row],[man minutes]]*Table1[[#This Row],[labor rate]]</f>
        <v>0.21</v>
      </c>
      <c r="U59" s="350">
        <f t="shared" si="8"/>
        <v>0.71321249999999992</v>
      </c>
      <c r="V59" s="330">
        <f t="shared" si="9"/>
        <v>0.13</v>
      </c>
      <c r="W59" s="351">
        <f t="shared" si="10"/>
        <v>0.13</v>
      </c>
      <c r="X59" s="350">
        <f t="shared" si="11"/>
        <v>0.56863012499999988</v>
      </c>
      <c r="Y59" s="350">
        <f t="shared" si="12"/>
        <v>0.23729999999999998</v>
      </c>
      <c r="Z59" s="350">
        <f t="shared" si="13"/>
        <v>0.81</v>
      </c>
      <c r="AA59" s="352">
        <f>+Table1[[#This Row],[calculated sale price]]</f>
        <v>0.81</v>
      </c>
      <c r="AB59" s="353"/>
      <c r="AC59" s="354"/>
      <c r="AD59" s="355"/>
      <c r="AE59" s="356">
        <f>Table1[[#This Row],[cost per quantity]]*(1+'P&amp;L'!$P$8)</f>
        <v>0.56863012499999988</v>
      </c>
      <c r="AF59" s="356">
        <f>$AF$8*Table1[[#This Row],[man minutes]]*(1+'P&amp;L'!$P$9)</f>
        <v>0.22599999999999995</v>
      </c>
      <c r="AG59" s="356"/>
      <c r="AH59" s="356"/>
      <c r="AI59" s="356">
        <f>Table1[[#This Row],[Food cost w/ MU]]+Table1[[#This Row],[labor cost W/ MU]]</f>
        <v>0.79463012499999985</v>
      </c>
      <c r="AJ59" s="357"/>
    </row>
    <row r="60" spans="1:36" x14ac:dyDescent="0.25">
      <c r="A60" s="329">
        <v>10051</v>
      </c>
      <c r="B60" s="325" t="s">
        <v>370</v>
      </c>
      <c r="C60" s="329">
        <v>1</v>
      </c>
      <c r="I60" s="329"/>
      <c r="J60" s="329"/>
      <c r="K60" s="329"/>
      <c r="L60" s="345"/>
      <c r="M60" s="329"/>
      <c r="N60" s="346"/>
      <c r="O60" s="347">
        <v>0.6</v>
      </c>
      <c r="P60" s="347">
        <f>Table1[[#This Row],[unit cost]]*1.065</f>
        <v>0.6389999999999999</v>
      </c>
      <c r="Q60" s="348">
        <v>0.5</v>
      </c>
      <c r="R60" s="329">
        <v>1</v>
      </c>
      <c r="S60" s="349">
        <f t="shared" si="7"/>
        <v>0.42</v>
      </c>
      <c r="T60" s="350">
        <f>Table1[[#This Row],[man minutes]]*Table1[[#This Row],[labor rate]]</f>
        <v>0.21</v>
      </c>
      <c r="U60" s="350">
        <f t="shared" si="8"/>
        <v>0.84899999999999987</v>
      </c>
      <c r="V60" s="330">
        <f t="shared" si="9"/>
        <v>0.13</v>
      </c>
      <c r="W60" s="351">
        <f t="shared" si="10"/>
        <v>0.13</v>
      </c>
      <c r="X60" s="350">
        <f t="shared" si="11"/>
        <v>0.72206999999999977</v>
      </c>
      <c r="Y60" s="350">
        <f t="shared" si="12"/>
        <v>0.23729999999999998</v>
      </c>
      <c r="Z60" s="350">
        <f t="shared" si="13"/>
        <v>0.96</v>
      </c>
      <c r="AA60" s="352">
        <f>+Table1[[#This Row],[calculated sale price]]</f>
        <v>0.96</v>
      </c>
      <c r="AB60" s="353"/>
      <c r="AC60" s="354"/>
      <c r="AD60" s="356"/>
      <c r="AE60" s="356">
        <f>Table1[[#This Row],[cost per quantity]]*(1+'P&amp;L'!$P$8)</f>
        <v>0.72206999999999977</v>
      </c>
      <c r="AF60" s="356">
        <f>$AF$8*Table1[[#This Row],[man minutes]]*(1+'P&amp;L'!$P$9)</f>
        <v>0.22599999999999995</v>
      </c>
      <c r="AG60" s="356"/>
      <c r="AH60" s="356"/>
      <c r="AI60" s="356">
        <f>Table1[[#This Row],[Food cost w/ MU]]+Table1[[#This Row],[labor cost W/ MU]]</f>
        <v>0.94806999999999975</v>
      </c>
      <c r="AJ60" s="357"/>
    </row>
    <row r="61" spans="1:36" x14ac:dyDescent="0.25">
      <c r="A61" s="329">
        <v>10052</v>
      </c>
      <c r="B61" s="325" t="s">
        <v>371</v>
      </c>
      <c r="C61" s="329">
        <v>1</v>
      </c>
      <c r="I61" s="329"/>
      <c r="J61" s="329"/>
      <c r="K61" s="329"/>
      <c r="L61" s="345"/>
      <c r="M61" s="329"/>
      <c r="N61" s="346"/>
      <c r="O61" s="347">
        <v>1.3892500000000001</v>
      </c>
      <c r="P61" s="347">
        <f>Table1[[#This Row],[unit cost]]*1.065</f>
        <v>1.4795512500000001</v>
      </c>
      <c r="Q61" s="348">
        <v>2.75</v>
      </c>
      <c r="R61" s="329">
        <v>1</v>
      </c>
      <c r="S61" s="349">
        <f t="shared" si="7"/>
        <v>0.42</v>
      </c>
      <c r="T61" s="350">
        <f>Table1[[#This Row],[man minutes]]*Table1[[#This Row],[labor rate]]</f>
        <v>1.155</v>
      </c>
      <c r="U61" s="350">
        <f t="shared" si="8"/>
        <v>2.6345512500000003</v>
      </c>
      <c r="V61" s="330">
        <f t="shared" si="9"/>
        <v>0.13</v>
      </c>
      <c r="W61" s="351">
        <f t="shared" si="10"/>
        <v>0.13</v>
      </c>
      <c r="X61" s="350">
        <f t="shared" si="11"/>
        <v>1.6718929124999999</v>
      </c>
      <c r="Y61" s="350">
        <f t="shared" si="12"/>
        <v>1.30515</v>
      </c>
      <c r="Z61" s="350">
        <f t="shared" si="13"/>
        <v>2.98</v>
      </c>
      <c r="AA61" s="352">
        <f>+Table1[[#This Row],[calculated sale price]]</f>
        <v>2.98</v>
      </c>
      <c r="AB61" s="353"/>
      <c r="AC61" s="354"/>
      <c r="AD61" s="356"/>
      <c r="AE61" s="356">
        <f>Table1[[#This Row],[cost per quantity]]*(1+'P&amp;L'!$P$8)</f>
        <v>1.6718929124999999</v>
      </c>
      <c r="AF61" s="356">
        <f>$AF$8*Table1[[#This Row],[man minutes]]*(1+'P&amp;L'!$P$9)</f>
        <v>1.2429999999999997</v>
      </c>
      <c r="AG61" s="356"/>
      <c r="AH61" s="356"/>
      <c r="AI61" s="356">
        <f>Table1[[#This Row],[Food cost w/ MU]]+Table1[[#This Row],[labor cost W/ MU]]</f>
        <v>2.9148929124999996</v>
      </c>
      <c r="AJ61" s="357"/>
    </row>
    <row r="62" spans="1:36" x14ac:dyDescent="0.25">
      <c r="A62" s="329">
        <v>10053</v>
      </c>
      <c r="B62" s="325" t="s">
        <v>372</v>
      </c>
      <c r="C62" s="329">
        <v>1</v>
      </c>
      <c r="I62" s="329"/>
      <c r="J62" s="329"/>
      <c r="K62" s="329"/>
      <c r="L62" s="345"/>
      <c r="M62" s="329"/>
      <c r="N62" s="346"/>
      <c r="O62" s="347">
        <v>1.3340000000000001</v>
      </c>
      <c r="P62" s="347">
        <f>Table1[[#This Row],[unit cost]]*1.065</f>
        <v>1.4207099999999999</v>
      </c>
      <c r="Q62" s="348">
        <v>2.5</v>
      </c>
      <c r="R62" s="329">
        <v>1</v>
      </c>
      <c r="S62" s="349">
        <f t="shared" si="7"/>
        <v>0.42</v>
      </c>
      <c r="T62" s="350">
        <f>Table1[[#This Row],[man minutes]]*Table1[[#This Row],[labor rate]]</f>
        <v>1.05</v>
      </c>
      <c r="U62" s="350">
        <f t="shared" si="8"/>
        <v>2.47071</v>
      </c>
      <c r="V62" s="330">
        <f t="shared" si="9"/>
        <v>0.13</v>
      </c>
      <c r="W62" s="351">
        <f t="shared" si="10"/>
        <v>0.13</v>
      </c>
      <c r="X62" s="350">
        <f t="shared" si="11"/>
        <v>1.6054022999999997</v>
      </c>
      <c r="Y62" s="350">
        <f t="shared" si="12"/>
        <v>1.1865000000000001</v>
      </c>
      <c r="Z62" s="350">
        <f t="shared" si="13"/>
        <v>2.8</v>
      </c>
      <c r="AA62" s="352">
        <f>+Table1[[#This Row],[calculated sale price]]</f>
        <v>2.8</v>
      </c>
      <c r="AB62" s="353"/>
      <c r="AC62" s="354"/>
      <c r="AD62" s="356"/>
      <c r="AE62" s="356">
        <f>Table1[[#This Row],[cost per quantity]]*(1+'P&amp;L'!$P$8)</f>
        <v>1.6054022999999997</v>
      </c>
      <c r="AF62" s="356">
        <f>$AF$8*Table1[[#This Row],[man minutes]]*(1+'P&amp;L'!$P$9)</f>
        <v>1.1299999999999997</v>
      </c>
      <c r="AG62" s="356"/>
      <c r="AH62" s="356"/>
      <c r="AI62" s="356">
        <f>Table1[[#This Row],[Food cost w/ MU]]+Table1[[#This Row],[labor cost W/ MU]]</f>
        <v>2.7354022999999996</v>
      </c>
      <c r="AJ62" s="357"/>
    </row>
    <row r="63" spans="1:36" x14ac:dyDescent="0.25">
      <c r="A63" s="329">
        <v>10054</v>
      </c>
      <c r="B63" s="325" t="s">
        <v>373</v>
      </c>
      <c r="C63" s="329">
        <v>1</v>
      </c>
      <c r="I63" s="329"/>
      <c r="J63" s="329"/>
      <c r="K63" s="329"/>
      <c r="L63" s="345"/>
      <c r="M63" s="329"/>
      <c r="N63" s="346"/>
      <c r="O63" s="347">
        <v>0</v>
      </c>
      <c r="P63" s="347">
        <f>Table1[[#This Row],[unit cost]]*1.065</f>
        <v>0</v>
      </c>
      <c r="Q63" s="348">
        <v>0.93</v>
      </c>
      <c r="R63" s="329">
        <v>1</v>
      </c>
      <c r="S63" s="349">
        <f t="shared" si="7"/>
        <v>0.42</v>
      </c>
      <c r="T63" s="350">
        <f>Table1[[#This Row],[man minutes]]*Table1[[#This Row],[labor rate]]</f>
        <v>0.3906</v>
      </c>
      <c r="U63" s="350">
        <f t="shared" si="8"/>
        <v>0.3906</v>
      </c>
      <c r="V63" s="330">
        <f t="shared" si="9"/>
        <v>0.13</v>
      </c>
      <c r="W63" s="351">
        <f t="shared" si="10"/>
        <v>0.13</v>
      </c>
      <c r="X63" s="350">
        <f t="shared" si="11"/>
        <v>0</v>
      </c>
      <c r="Y63" s="350">
        <f t="shared" si="12"/>
        <v>0.44137799999999999</v>
      </c>
      <c r="Z63" s="350">
        <f t="shared" si="13"/>
        <v>0.45</v>
      </c>
      <c r="AA63" s="352">
        <f>+Table1[[#This Row],[calculated sale price]]</f>
        <v>0.45</v>
      </c>
      <c r="AB63" s="353"/>
      <c r="AC63" s="354"/>
      <c r="AD63" s="356"/>
      <c r="AE63" s="356">
        <f>Table1[[#This Row],[cost per quantity]]*(1+'P&amp;L'!$P$8)</f>
        <v>0</v>
      </c>
      <c r="AF63" s="356">
        <f>$AF$8*Table1[[#This Row],[man minutes]]*(1+'P&amp;L'!$P$9)</f>
        <v>0.42035999999999996</v>
      </c>
      <c r="AG63" s="361">
        <f>Table1[[#This Row],[cost per quantity]]*1.18</f>
        <v>0</v>
      </c>
      <c r="AH63" s="361">
        <f>$AF$8*Table1[[#This Row],[man minutes]]*1.18</f>
        <v>0.43895999999999996</v>
      </c>
      <c r="AI63" s="356">
        <f>Table1[[#This Row],[Food cost w/ MU]]+Table1[[#This Row],[labor cost W/ MU]]</f>
        <v>0.42035999999999996</v>
      </c>
      <c r="AJ63" s="357"/>
    </row>
    <row r="64" spans="1:36" x14ac:dyDescent="0.25">
      <c r="A64" s="329">
        <v>10055</v>
      </c>
      <c r="B64" s="325" t="s">
        <v>374</v>
      </c>
      <c r="C64" s="329">
        <v>1</v>
      </c>
      <c r="I64" s="329"/>
      <c r="J64" s="329"/>
      <c r="K64" s="329"/>
      <c r="L64" s="345"/>
      <c r="M64" s="329"/>
      <c r="N64" s="346"/>
      <c r="O64" s="347">
        <v>0.42359999999999998</v>
      </c>
      <c r="P64" s="347">
        <f>Table1[[#This Row],[unit cost]]*1.065</f>
        <v>0.45113399999999998</v>
      </c>
      <c r="Q64" s="348">
        <v>1</v>
      </c>
      <c r="R64" s="329">
        <v>1</v>
      </c>
      <c r="S64" s="349">
        <f t="shared" si="7"/>
        <v>0.42</v>
      </c>
      <c r="T64" s="350">
        <f>Table1[[#This Row],[man minutes]]*Table1[[#This Row],[labor rate]]</f>
        <v>0.42</v>
      </c>
      <c r="U64" s="350">
        <f t="shared" si="8"/>
        <v>0.87113399999999996</v>
      </c>
      <c r="V64" s="330">
        <f t="shared" si="9"/>
        <v>0.13</v>
      </c>
      <c r="W64" s="351">
        <f t="shared" si="10"/>
        <v>0.13</v>
      </c>
      <c r="X64" s="350">
        <f t="shared" si="11"/>
        <v>0.50978141999999993</v>
      </c>
      <c r="Y64" s="350">
        <f t="shared" si="12"/>
        <v>0.47459999999999997</v>
      </c>
      <c r="Z64" s="350">
        <f t="shared" si="13"/>
        <v>0.99</v>
      </c>
      <c r="AA64" s="352">
        <f>+Table1[[#This Row],[calculated sale price]]</f>
        <v>0.99</v>
      </c>
      <c r="AB64" s="353"/>
      <c r="AC64" s="354"/>
      <c r="AD64" s="356"/>
      <c r="AE64" s="356">
        <f>Table1[[#This Row],[cost per quantity]]*(1+'P&amp;L'!$P$8)</f>
        <v>0.50978141999999993</v>
      </c>
      <c r="AF64" s="356">
        <f>$AF$8*Table1[[#This Row],[man minutes]]*(1+'P&amp;L'!$P$9)</f>
        <v>0.4519999999999999</v>
      </c>
      <c r="AG64" s="361">
        <f>Table1[[#This Row],[cost per quantity]]*1.18</f>
        <v>0.53233811999999991</v>
      </c>
      <c r="AH64" s="361">
        <f>$AF$8*Table1[[#This Row],[man minutes]]*1.18</f>
        <v>0.47199999999999992</v>
      </c>
      <c r="AI64" s="356">
        <f>Table1[[#This Row],[Food cost w/ MU]]+Table1[[#This Row],[labor cost W/ MU]]</f>
        <v>0.96178141999999989</v>
      </c>
      <c r="AJ64" s="357"/>
    </row>
    <row r="65" spans="1:36" x14ac:dyDescent="0.25">
      <c r="A65" s="329">
        <v>10056</v>
      </c>
      <c r="B65" s="325" t="s">
        <v>375</v>
      </c>
      <c r="C65" s="329">
        <v>1</v>
      </c>
      <c r="I65" s="329"/>
      <c r="J65" s="329"/>
      <c r="K65" s="329"/>
      <c r="L65" s="345"/>
      <c r="M65" s="329"/>
      <c r="N65" s="346"/>
      <c r="O65" s="347">
        <v>0.41320000000000001</v>
      </c>
      <c r="P65" s="347">
        <f>Table1[[#This Row],[unit cost]]*1.065</f>
        <v>0.440058</v>
      </c>
      <c r="Q65" s="348">
        <v>1</v>
      </c>
      <c r="R65" s="329">
        <v>1</v>
      </c>
      <c r="S65" s="349">
        <f t="shared" si="7"/>
        <v>0.42</v>
      </c>
      <c r="T65" s="350">
        <f>Table1[[#This Row],[man minutes]]*Table1[[#This Row],[labor rate]]</f>
        <v>0.42</v>
      </c>
      <c r="U65" s="350">
        <f t="shared" si="8"/>
        <v>0.86005799999999999</v>
      </c>
      <c r="V65" s="330">
        <f t="shared" si="9"/>
        <v>0.13</v>
      </c>
      <c r="W65" s="351">
        <f t="shared" si="10"/>
        <v>0.13</v>
      </c>
      <c r="X65" s="350">
        <f t="shared" si="11"/>
        <v>0.49726553999999995</v>
      </c>
      <c r="Y65" s="350">
        <f t="shared" si="12"/>
        <v>0.47459999999999997</v>
      </c>
      <c r="Z65" s="350">
        <f t="shared" si="13"/>
        <v>0.98</v>
      </c>
      <c r="AA65" s="352">
        <f>+Table1[[#This Row],[calculated sale price]]</f>
        <v>0.98</v>
      </c>
      <c r="AB65" s="353"/>
      <c r="AC65" s="354"/>
      <c r="AD65" s="356"/>
      <c r="AE65" s="356">
        <f>Table1[[#This Row],[cost per quantity]]*(1+'P&amp;L'!$P$8)</f>
        <v>0.49726553999999995</v>
      </c>
      <c r="AF65" s="356">
        <f>$AF$8*Table1[[#This Row],[man minutes]]*(1+'P&amp;L'!$P$9)</f>
        <v>0.4519999999999999</v>
      </c>
      <c r="AG65" s="361">
        <f>Table1[[#This Row],[cost per quantity]]*1.18</f>
        <v>0.51926843999999994</v>
      </c>
      <c r="AH65" s="361">
        <f>$AF$8*Table1[[#This Row],[man minutes]]*1.18</f>
        <v>0.47199999999999992</v>
      </c>
      <c r="AI65" s="356">
        <f>Table1[[#This Row],[Food cost w/ MU]]+Table1[[#This Row],[labor cost W/ MU]]</f>
        <v>0.94926553999999985</v>
      </c>
      <c r="AJ65" s="357"/>
    </row>
    <row r="66" spans="1:36" x14ac:dyDescent="0.25">
      <c r="A66" s="329">
        <v>10057</v>
      </c>
      <c r="B66" s="325" t="s">
        <v>376</v>
      </c>
      <c r="C66" s="329">
        <v>1</v>
      </c>
      <c r="I66" s="329"/>
      <c r="J66" s="329"/>
      <c r="K66" s="329"/>
      <c r="L66" s="345"/>
      <c r="M66" s="329"/>
      <c r="N66" s="346"/>
      <c r="O66" s="347">
        <v>1.9219577999999999</v>
      </c>
      <c r="P66" s="347">
        <f>Table1[[#This Row],[unit cost]]*1.065</f>
        <v>2.0468850569999999</v>
      </c>
      <c r="Q66" s="348">
        <v>6.5</v>
      </c>
      <c r="R66" s="329">
        <v>1</v>
      </c>
      <c r="S66" s="349">
        <f t="shared" si="7"/>
        <v>0.42</v>
      </c>
      <c r="T66" s="350">
        <f>Table1[[#This Row],[man minutes]]*Table1[[#This Row],[labor rate]]</f>
        <v>2.73</v>
      </c>
      <c r="U66" s="350">
        <f t="shared" si="8"/>
        <v>4.7768850569999994</v>
      </c>
      <c r="V66" s="330">
        <f t="shared" si="9"/>
        <v>0.13</v>
      </c>
      <c r="W66" s="351">
        <f t="shared" si="10"/>
        <v>0.13</v>
      </c>
      <c r="X66" s="350">
        <f t="shared" si="11"/>
        <v>2.3129801144099997</v>
      </c>
      <c r="Y66" s="350">
        <f t="shared" si="12"/>
        <v>3.0849000000000002</v>
      </c>
      <c r="Z66" s="350">
        <f t="shared" si="13"/>
        <v>5.3999999999999995</v>
      </c>
      <c r="AA66" s="352">
        <f>+Table1[[#This Row],[calculated sale price]]</f>
        <v>5.3999999999999995</v>
      </c>
      <c r="AB66" s="353"/>
      <c r="AC66" s="354"/>
      <c r="AD66" s="356"/>
      <c r="AE66" s="356">
        <f>Table1[[#This Row],[cost per quantity]]*(1+'P&amp;L'!$P$8)</f>
        <v>2.3129801144099997</v>
      </c>
      <c r="AF66" s="356">
        <f>$AF$8*Table1[[#This Row],[man minutes]]*(1+'P&amp;L'!$P$9)</f>
        <v>2.9379999999999993</v>
      </c>
      <c r="AG66" s="356"/>
      <c r="AH66" s="356"/>
      <c r="AI66" s="356">
        <f>Table1[[#This Row],[Food cost w/ MU]]+Table1[[#This Row],[labor cost W/ MU]]</f>
        <v>5.250980114409999</v>
      </c>
      <c r="AJ66" s="357"/>
    </row>
    <row r="67" spans="1:36" x14ac:dyDescent="0.25">
      <c r="A67" s="329">
        <v>10058</v>
      </c>
      <c r="B67" s="325" t="s">
        <v>377</v>
      </c>
      <c r="C67" s="329">
        <v>1</v>
      </c>
      <c r="I67" s="329"/>
      <c r="J67" s="329"/>
      <c r="K67" s="329"/>
      <c r="L67" s="345"/>
      <c r="M67" s="329"/>
      <c r="N67" s="346"/>
      <c r="O67" s="347">
        <f>0.9296+0.6</f>
        <v>1.5295999999999998</v>
      </c>
      <c r="P67" s="347">
        <f>Table1[[#This Row],[unit cost]]*1.065</f>
        <v>1.6290239999999998</v>
      </c>
      <c r="Q67" s="348">
        <v>5</v>
      </c>
      <c r="R67" s="329">
        <v>1</v>
      </c>
      <c r="S67" s="349">
        <f t="shared" si="7"/>
        <v>0.42</v>
      </c>
      <c r="T67" s="350">
        <f>Table1[[#This Row],[man minutes]]*Table1[[#This Row],[labor rate]]</f>
        <v>2.1</v>
      </c>
      <c r="U67" s="350">
        <f t="shared" si="8"/>
        <v>3.7290239999999999</v>
      </c>
      <c r="V67" s="330">
        <f t="shared" si="9"/>
        <v>0.13</v>
      </c>
      <c r="W67" s="351">
        <f t="shared" si="10"/>
        <v>0.13</v>
      </c>
      <c r="X67" s="350">
        <f t="shared" si="11"/>
        <v>1.8407971199999995</v>
      </c>
      <c r="Y67" s="350">
        <f t="shared" si="12"/>
        <v>2.3730000000000002</v>
      </c>
      <c r="Z67" s="350">
        <f t="shared" si="13"/>
        <v>4.22</v>
      </c>
      <c r="AA67" s="352">
        <f>+Table1[[#This Row],[calculated sale price]]</f>
        <v>4.22</v>
      </c>
      <c r="AB67" s="353"/>
      <c r="AC67" s="354"/>
      <c r="AD67" s="356"/>
      <c r="AE67" s="356">
        <f>Table1[[#This Row],[cost per quantity]]*(1+'P&amp;L'!$P$8)</f>
        <v>1.8407971199999995</v>
      </c>
      <c r="AF67" s="356">
        <f>$AF$8*Table1[[#This Row],[man minutes]]*(1+'P&amp;L'!$P$9)</f>
        <v>2.2599999999999993</v>
      </c>
      <c r="AG67" s="361">
        <f>Table1[[#This Row],[cost per quantity]]*1.18</f>
        <v>1.9222483199999996</v>
      </c>
      <c r="AH67" s="361">
        <f>$AF$8*Table1[[#This Row],[man minutes]]*1.18</f>
        <v>2.3599999999999994</v>
      </c>
      <c r="AI67" s="356">
        <f>Table1[[#This Row],[Food cost w/ MU]]+Table1[[#This Row],[labor cost W/ MU]]</f>
        <v>4.1007971199999993</v>
      </c>
      <c r="AJ67" s="357"/>
    </row>
    <row r="68" spans="1:36" x14ac:dyDescent="0.25">
      <c r="A68" s="329">
        <v>10059</v>
      </c>
      <c r="B68" s="325" t="s">
        <v>378</v>
      </c>
      <c r="C68" s="329">
        <v>1</v>
      </c>
      <c r="I68" s="329"/>
      <c r="J68" s="329"/>
      <c r="K68" s="329"/>
      <c r="L68" s="345"/>
      <c r="M68" s="329"/>
      <c r="N68" s="346"/>
      <c r="O68" s="347">
        <v>0.55330000000000001</v>
      </c>
      <c r="P68" s="347">
        <f>Table1[[#This Row],[unit cost]]*1.065</f>
        <v>0.58926449999999997</v>
      </c>
      <c r="Q68" s="348">
        <v>1</v>
      </c>
      <c r="R68" s="329">
        <v>1</v>
      </c>
      <c r="S68" s="349">
        <f t="shared" si="7"/>
        <v>0.42</v>
      </c>
      <c r="T68" s="350">
        <f>Table1[[#This Row],[man minutes]]*Table1[[#This Row],[labor rate]]</f>
        <v>0.42</v>
      </c>
      <c r="U68" s="350">
        <f t="shared" si="8"/>
        <v>1.0092645</v>
      </c>
      <c r="V68" s="330">
        <f t="shared" si="9"/>
        <v>0.13</v>
      </c>
      <c r="W68" s="351">
        <f t="shared" si="10"/>
        <v>0.13</v>
      </c>
      <c r="X68" s="350">
        <f t="shared" si="11"/>
        <v>0.66586888499999985</v>
      </c>
      <c r="Y68" s="350">
        <f t="shared" si="12"/>
        <v>0.47459999999999997</v>
      </c>
      <c r="Z68" s="350">
        <f t="shared" si="13"/>
        <v>1.1499999999999999</v>
      </c>
      <c r="AA68" s="352">
        <f>+Table1[[#This Row],[calculated sale price]]</f>
        <v>1.1499999999999999</v>
      </c>
      <c r="AB68" s="353"/>
      <c r="AC68" s="354"/>
      <c r="AD68" s="356"/>
      <c r="AE68" s="356">
        <f>Table1[[#This Row],[cost per quantity]]*(1+'P&amp;L'!$P$8)</f>
        <v>0.66586888499999985</v>
      </c>
      <c r="AF68" s="356">
        <f>$AF$8*Table1[[#This Row],[man minutes]]*(1+'P&amp;L'!$P$9)</f>
        <v>0.4519999999999999</v>
      </c>
      <c r="AG68" s="361">
        <f>Table1[[#This Row],[cost per quantity]]*1.18</f>
        <v>0.69533210999999995</v>
      </c>
      <c r="AH68" s="361">
        <f>$AF$8*Table1[[#This Row],[man minutes]]*1.18</f>
        <v>0.47199999999999992</v>
      </c>
      <c r="AI68" s="356">
        <f>Table1[[#This Row],[Food cost w/ MU]]+Table1[[#This Row],[labor cost W/ MU]]</f>
        <v>1.1178688849999998</v>
      </c>
      <c r="AJ68" s="357"/>
    </row>
    <row r="69" spans="1:36" x14ac:dyDescent="0.25">
      <c r="A69" s="329">
        <v>10060</v>
      </c>
      <c r="B69" s="325" t="s">
        <v>379</v>
      </c>
      <c r="C69" s="329">
        <v>1</v>
      </c>
      <c r="I69" s="329"/>
      <c r="J69" s="329"/>
      <c r="K69" s="329"/>
      <c r="L69" s="345"/>
      <c r="M69" s="329"/>
      <c r="N69" s="346"/>
      <c r="O69" s="347">
        <v>0.39500000000000002</v>
      </c>
      <c r="P69" s="347">
        <f>Table1[[#This Row],[unit cost]]*1.065</f>
        <v>0.42067500000000002</v>
      </c>
      <c r="Q69" s="348">
        <v>1</v>
      </c>
      <c r="R69" s="329">
        <v>1</v>
      </c>
      <c r="S69" s="349">
        <f t="shared" si="7"/>
        <v>0.42</v>
      </c>
      <c r="T69" s="350">
        <f>Table1[[#This Row],[man minutes]]*Table1[[#This Row],[labor rate]]</f>
        <v>0.42</v>
      </c>
      <c r="U69" s="350">
        <f t="shared" si="8"/>
        <v>0.84067500000000006</v>
      </c>
      <c r="V69" s="330">
        <f t="shared" si="9"/>
        <v>0.13</v>
      </c>
      <c r="W69" s="351">
        <f t="shared" si="10"/>
        <v>0.13</v>
      </c>
      <c r="X69" s="350">
        <f t="shared" si="11"/>
        <v>0.47536275</v>
      </c>
      <c r="Y69" s="350">
        <f t="shared" si="12"/>
        <v>0.47459999999999997</v>
      </c>
      <c r="Z69" s="350">
        <f t="shared" si="13"/>
        <v>0.95</v>
      </c>
      <c r="AA69" s="352">
        <f>+Table1[[#This Row],[calculated sale price]]</f>
        <v>0.95</v>
      </c>
      <c r="AB69" s="353"/>
      <c r="AC69" s="354"/>
      <c r="AD69" s="356"/>
      <c r="AE69" s="356">
        <f>Table1[[#This Row],[cost per quantity]]*(1+'P&amp;L'!$P$8)</f>
        <v>0.47536275</v>
      </c>
      <c r="AF69" s="356">
        <f>$AF$8*Table1[[#This Row],[man minutes]]*(1+'P&amp;L'!$P$9)</f>
        <v>0.4519999999999999</v>
      </c>
      <c r="AG69" s="361">
        <f>Table1[[#This Row],[cost per quantity]]*1.18</f>
        <v>0.49639650000000002</v>
      </c>
      <c r="AH69" s="361">
        <f>$AF$8*Table1[[#This Row],[man minutes]]*1.18</f>
        <v>0.47199999999999992</v>
      </c>
      <c r="AI69" s="356">
        <f>Table1[[#This Row],[Food cost w/ MU]]+Table1[[#This Row],[labor cost W/ MU]]</f>
        <v>0.9273627499999999</v>
      </c>
      <c r="AJ69" s="357"/>
    </row>
    <row r="70" spans="1:36" x14ac:dyDescent="0.25">
      <c r="A70" s="329">
        <v>10061</v>
      </c>
      <c r="B70" s="325" t="s">
        <v>380</v>
      </c>
      <c r="C70" s="329">
        <v>1</v>
      </c>
      <c r="I70" s="329"/>
      <c r="J70" s="329"/>
      <c r="K70" s="329"/>
      <c r="L70" s="345"/>
      <c r="M70" s="329"/>
      <c r="N70" s="346"/>
      <c r="O70" s="347">
        <v>0.15</v>
      </c>
      <c r="P70" s="347">
        <f>Table1[[#This Row],[unit cost]]*1.065</f>
        <v>0.15974999999999998</v>
      </c>
      <c r="Q70" s="348">
        <v>0.2</v>
      </c>
      <c r="R70" s="329">
        <v>1</v>
      </c>
      <c r="S70" s="349">
        <f t="shared" si="7"/>
        <v>0.42</v>
      </c>
      <c r="T70" s="350">
        <f>Table1[[#This Row],[man minutes]]*Table1[[#This Row],[labor rate]]</f>
        <v>8.4000000000000005E-2</v>
      </c>
      <c r="U70" s="350">
        <f t="shared" si="8"/>
        <v>0.24374999999999997</v>
      </c>
      <c r="V70" s="330">
        <f t="shared" si="9"/>
        <v>0.13</v>
      </c>
      <c r="W70" s="351">
        <f t="shared" si="10"/>
        <v>0.13</v>
      </c>
      <c r="X70" s="350">
        <f t="shared" si="11"/>
        <v>0.18051749999999994</v>
      </c>
      <c r="Y70" s="350">
        <f t="shared" si="12"/>
        <v>9.4920000000000004E-2</v>
      </c>
      <c r="Z70" s="350">
        <f t="shared" si="13"/>
        <v>0.28000000000000003</v>
      </c>
      <c r="AA70" s="352">
        <f>+Table1[[#This Row],[calculated sale price]]</f>
        <v>0.28000000000000003</v>
      </c>
      <c r="AB70" s="353"/>
      <c r="AC70" s="354"/>
      <c r="AD70" s="356"/>
      <c r="AE70" s="356">
        <f>Table1[[#This Row],[cost per quantity]]*(1+'P&amp;L'!$P$8)</f>
        <v>0.18051749999999994</v>
      </c>
      <c r="AF70" s="356">
        <f>$AF$8*Table1[[#This Row],[man minutes]]*(1+'P&amp;L'!$P$9)</f>
        <v>9.0399999999999994E-2</v>
      </c>
      <c r="AG70" s="361">
        <f>Table1[[#This Row],[cost per quantity]]*1.18</f>
        <v>0.18850499999999995</v>
      </c>
      <c r="AH70" s="361">
        <f>$AF$8*Table1[[#This Row],[man minutes]]*1.18</f>
        <v>9.4399999999999998E-2</v>
      </c>
      <c r="AI70" s="356">
        <f>Table1[[#This Row],[Food cost w/ MU]]+Table1[[#This Row],[labor cost W/ MU]]</f>
        <v>0.27091749999999992</v>
      </c>
      <c r="AJ70" s="357"/>
    </row>
    <row r="71" spans="1:36" x14ac:dyDescent="0.25">
      <c r="A71" s="329">
        <v>10062</v>
      </c>
      <c r="B71" s="325" t="s">
        <v>381</v>
      </c>
      <c r="C71" s="329">
        <v>1</v>
      </c>
      <c r="I71" s="329"/>
      <c r="J71" s="329"/>
      <c r="K71" s="329"/>
      <c r="L71" s="345"/>
      <c r="M71" s="329"/>
      <c r="N71" s="346"/>
      <c r="O71" s="347">
        <v>0.15</v>
      </c>
      <c r="P71" s="347">
        <f>Table1[[#This Row],[unit cost]]*1.065</f>
        <v>0.15974999999999998</v>
      </c>
      <c r="Q71" s="348">
        <v>0.2</v>
      </c>
      <c r="R71" s="329">
        <v>1</v>
      </c>
      <c r="S71" s="349">
        <f t="shared" si="7"/>
        <v>0.42</v>
      </c>
      <c r="T71" s="350">
        <f>Table1[[#This Row],[man minutes]]*Table1[[#This Row],[labor rate]]</f>
        <v>8.4000000000000005E-2</v>
      </c>
      <c r="U71" s="350">
        <f t="shared" si="8"/>
        <v>0.24374999999999997</v>
      </c>
      <c r="V71" s="330">
        <f t="shared" si="9"/>
        <v>0.13</v>
      </c>
      <c r="W71" s="351">
        <f t="shared" si="10"/>
        <v>0.13</v>
      </c>
      <c r="X71" s="350">
        <f t="shared" si="11"/>
        <v>0.18051749999999994</v>
      </c>
      <c r="Y71" s="350">
        <f t="shared" si="12"/>
        <v>9.4920000000000004E-2</v>
      </c>
      <c r="Z71" s="350">
        <f t="shared" si="13"/>
        <v>0.28000000000000003</v>
      </c>
      <c r="AA71" s="352">
        <f>+Table1[[#This Row],[calculated sale price]]</f>
        <v>0.28000000000000003</v>
      </c>
      <c r="AB71" s="353"/>
      <c r="AC71" s="354"/>
      <c r="AD71" s="356"/>
      <c r="AE71" s="356">
        <f>Table1[[#This Row],[cost per quantity]]*(1+'P&amp;L'!$P$8)</f>
        <v>0.18051749999999994</v>
      </c>
      <c r="AF71" s="356">
        <f>$AF$8*Table1[[#This Row],[man minutes]]*(1+'P&amp;L'!$P$9)</f>
        <v>9.0399999999999994E-2</v>
      </c>
      <c r="AG71" s="361">
        <f>Table1[[#This Row],[cost per quantity]]*1.18</f>
        <v>0.18850499999999995</v>
      </c>
      <c r="AH71" s="361">
        <f>$AF$8*Table1[[#This Row],[man minutes]]*1.18</f>
        <v>9.4399999999999998E-2</v>
      </c>
      <c r="AI71" s="356">
        <f>Table1[[#This Row],[Food cost w/ MU]]+Table1[[#This Row],[labor cost W/ MU]]</f>
        <v>0.27091749999999992</v>
      </c>
      <c r="AJ71" s="357"/>
    </row>
    <row r="72" spans="1:36" x14ac:dyDescent="0.25">
      <c r="A72" s="329">
        <v>10063</v>
      </c>
      <c r="B72" s="325" t="s">
        <v>382</v>
      </c>
      <c r="C72" s="329">
        <v>1</v>
      </c>
      <c r="I72" s="329"/>
      <c r="J72" s="329"/>
      <c r="K72" s="329"/>
      <c r="L72" s="345"/>
      <c r="M72" s="329"/>
      <c r="N72" s="346"/>
      <c r="O72" s="347">
        <v>0.4</v>
      </c>
      <c r="P72" s="347">
        <f>Table1[[#This Row],[unit cost]]*1.065</f>
        <v>0.42599999999999999</v>
      </c>
      <c r="Q72" s="348">
        <v>0.2</v>
      </c>
      <c r="R72" s="329">
        <v>1</v>
      </c>
      <c r="S72" s="349">
        <f t="shared" si="7"/>
        <v>0.42</v>
      </c>
      <c r="T72" s="350">
        <f>Table1[[#This Row],[man minutes]]*Table1[[#This Row],[labor rate]]</f>
        <v>8.4000000000000005E-2</v>
      </c>
      <c r="U72" s="350">
        <f t="shared" si="8"/>
        <v>0.51</v>
      </c>
      <c r="V72" s="330">
        <f t="shared" si="9"/>
        <v>0.13</v>
      </c>
      <c r="W72" s="351">
        <f t="shared" si="10"/>
        <v>0.13</v>
      </c>
      <c r="X72" s="350">
        <f t="shared" si="11"/>
        <v>0.48137999999999992</v>
      </c>
      <c r="Y72" s="350">
        <f t="shared" si="12"/>
        <v>9.4920000000000004E-2</v>
      </c>
      <c r="Z72" s="350">
        <f t="shared" si="13"/>
        <v>0.57999999999999996</v>
      </c>
      <c r="AA72" s="352">
        <f>+Table1[[#This Row],[calculated sale price]]</f>
        <v>0.57999999999999996</v>
      </c>
      <c r="AB72" s="353"/>
      <c r="AC72" s="354"/>
      <c r="AD72" s="356"/>
      <c r="AE72" s="356">
        <f>Table1[[#This Row],[cost per quantity]]*(1+'P&amp;L'!$P$8)</f>
        <v>0.48137999999999992</v>
      </c>
      <c r="AF72" s="356">
        <f>$AF$8*Table1[[#This Row],[man minutes]]*(1+'P&amp;L'!$P$9)</f>
        <v>9.0399999999999994E-2</v>
      </c>
      <c r="AG72" s="361">
        <f>Table1[[#This Row],[cost per quantity]]*1.18</f>
        <v>0.50268000000000002</v>
      </c>
      <c r="AH72" s="361">
        <f>$AF$8*Table1[[#This Row],[man minutes]]*1.18</f>
        <v>9.4399999999999998E-2</v>
      </c>
      <c r="AI72" s="356">
        <f>Table1[[#This Row],[Food cost w/ MU]]+Table1[[#This Row],[labor cost W/ MU]]</f>
        <v>0.57177999999999995</v>
      </c>
      <c r="AJ72" s="357"/>
    </row>
    <row r="73" spans="1:36" x14ac:dyDescent="0.25">
      <c r="A73" s="329">
        <v>10064</v>
      </c>
      <c r="B73" s="325" t="s">
        <v>383</v>
      </c>
      <c r="C73" s="329">
        <v>1</v>
      </c>
      <c r="I73" s="329"/>
      <c r="J73" s="329"/>
      <c r="K73" s="329"/>
      <c r="L73" s="345"/>
      <c r="M73" s="329"/>
      <c r="N73" s="346"/>
      <c r="O73" s="347">
        <v>0.4</v>
      </c>
      <c r="P73" s="347">
        <f>Table1[[#This Row],[unit cost]]*1.065</f>
        <v>0.42599999999999999</v>
      </c>
      <c r="Q73" s="348">
        <v>0.2</v>
      </c>
      <c r="R73" s="329">
        <v>1</v>
      </c>
      <c r="S73" s="349">
        <f t="shared" si="7"/>
        <v>0.42</v>
      </c>
      <c r="T73" s="350">
        <f>Table1[[#This Row],[man minutes]]*Table1[[#This Row],[labor rate]]</f>
        <v>8.4000000000000005E-2</v>
      </c>
      <c r="U73" s="350">
        <f t="shared" si="8"/>
        <v>0.51</v>
      </c>
      <c r="V73" s="330">
        <f t="shared" si="9"/>
        <v>0.13</v>
      </c>
      <c r="W73" s="351">
        <f t="shared" si="10"/>
        <v>0.13</v>
      </c>
      <c r="X73" s="350">
        <f t="shared" si="11"/>
        <v>0.48137999999999992</v>
      </c>
      <c r="Y73" s="350">
        <f t="shared" si="12"/>
        <v>9.4920000000000004E-2</v>
      </c>
      <c r="Z73" s="350">
        <f t="shared" si="13"/>
        <v>0.57999999999999996</v>
      </c>
      <c r="AA73" s="352">
        <f>+Table1[[#This Row],[calculated sale price]]</f>
        <v>0.57999999999999996</v>
      </c>
      <c r="AB73" s="353"/>
      <c r="AC73" s="354"/>
      <c r="AD73" s="356"/>
      <c r="AE73" s="356">
        <f>Table1[[#This Row],[cost per quantity]]*(1+'P&amp;L'!$P$8)</f>
        <v>0.48137999999999992</v>
      </c>
      <c r="AF73" s="356">
        <f>$AF$8*Table1[[#This Row],[man minutes]]*(1+'P&amp;L'!$P$9)</f>
        <v>9.0399999999999994E-2</v>
      </c>
      <c r="AG73" s="361">
        <f>Table1[[#This Row],[cost per quantity]]*1.18</f>
        <v>0.50268000000000002</v>
      </c>
      <c r="AH73" s="361">
        <f>$AF$8*Table1[[#This Row],[man minutes]]*1.18</f>
        <v>9.4399999999999998E-2</v>
      </c>
      <c r="AI73" s="356">
        <f>Table1[[#This Row],[Food cost w/ MU]]+Table1[[#This Row],[labor cost W/ MU]]</f>
        <v>0.57177999999999995</v>
      </c>
      <c r="AJ73" s="357"/>
    </row>
    <row r="74" spans="1:36" x14ac:dyDescent="0.25">
      <c r="A74" s="329">
        <v>10065</v>
      </c>
      <c r="B74" s="325" t="s">
        <v>384</v>
      </c>
      <c r="C74" s="329">
        <v>1</v>
      </c>
      <c r="I74" s="329"/>
      <c r="J74" s="329"/>
      <c r="K74" s="329"/>
      <c r="L74" s="345"/>
      <c r="M74" s="329"/>
      <c r="N74" s="346"/>
      <c r="O74" s="347">
        <v>0</v>
      </c>
      <c r="P74" s="347">
        <f>Table1[[#This Row],[unit cost]]*1.065</f>
        <v>0</v>
      </c>
      <c r="Q74" s="348">
        <v>1</v>
      </c>
      <c r="R74" s="329">
        <v>1</v>
      </c>
      <c r="S74" s="349">
        <f t="shared" ref="S74:S105" si="14">$S$2</f>
        <v>0.42</v>
      </c>
      <c r="T74" s="350">
        <f>Table1[[#This Row],[man minutes]]*Table1[[#This Row],[labor rate]]</f>
        <v>0.42</v>
      </c>
      <c r="U74" s="350">
        <f t="shared" ref="U74:U105" si="15">P74+T74</f>
        <v>0.42</v>
      </c>
      <c r="V74" s="330">
        <f t="shared" ref="V74:V105" si="16">$V$2</f>
        <v>0.13</v>
      </c>
      <c r="W74" s="351">
        <f t="shared" ref="W74:W105" si="17">$W$2</f>
        <v>0.13</v>
      </c>
      <c r="X74" s="350">
        <f t="shared" ref="X74:X105" si="18">P74*(1+V74)</f>
        <v>0</v>
      </c>
      <c r="Y74" s="350">
        <f t="shared" ref="Y74:Y105" si="19">T74+(T74*W74)</f>
        <v>0.47459999999999997</v>
      </c>
      <c r="Z74" s="350">
        <f t="shared" ref="Z74:Z105" si="20">IFERROR(ROUNDUP(X74+Y74,2)," ")</f>
        <v>0.48</v>
      </c>
      <c r="AA74" s="352">
        <f>+Table1[[#This Row],[calculated sale price]]</f>
        <v>0.48</v>
      </c>
      <c r="AB74" s="353"/>
      <c r="AC74" s="354"/>
      <c r="AD74" s="356"/>
      <c r="AE74" s="356">
        <f>Table1[[#This Row],[cost per quantity]]*(1+'P&amp;L'!$P$8)</f>
        <v>0</v>
      </c>
      <c r="AF74" s="356">
        <f>$AF$8*Table1[[#This Row],[man minutes]]*(1+'P&amp;L'!$P$9)</f>
        <v>0.4519999999999999</v>
      </c>
      <c r="AG74" s="361">
        <f>Table1[[#This Row],[cost per quantity]]*1.18</f>
        <v>0</v>
      </c>
      <c r="AH74" s="361">
        <f>$AF$8*Table1[[#This Row],[man minutes]]*1.18</f>
        <v>0.47199999999999992</v>
      </c>
      <c r="AI74" s="356">
        <f>Table1[[#This Row],[Food cost w/ MU]]+Table1[[#This Row],[labor cost W/ MU]]</f>
        <v>0.4519999999999999</v>
      </c>
      <c r="AJ74" s="357"/>
    </row>
    <row r="75" spans="1:36" x14ac:dyDescent="0.25">
      <c r="A75" s="329">
        <v>10066</v>
      </c>
      <c r="B75" s="325" t="s">
        <v>385</v>
      </c>
      <c r="C75" s="329">
        <v>1</v>
      </c>
      <c r="I75" s="329"/>
      <c r="J75" s="329"/>
      <c r="K75" s="329"/>
      <c r="L75" s="345"/>
      <c r="M75" s="329"/>
      <c r="N75" s="346"/>
      <c r="O75" s="347">
        <v>0.82250000000000001</v>
      </c>
      <c r="P75" s="347">
        <f>Table1[[#This Row],[unit cost]]*1.065</f>
        <v>0.87596249999999998</v>
      </c>
      <c r="Q75" s="348">
        <v>1.75</v>
      </c>
      <c r="R75" s="329">
        <v>1</v>
      </c>
      <c r="S75" s="349">
        <f t="shared" si="14"/>
        <v>0.42</v>
      </c>
      <c r="T75" s="350">
        <f>Table1[[#This Row],[man minutes]]*Table1[[#This Row],[labor rate]]</f>
        <v>0.73499999999999999</v>
      </c>
      <c r="U75" s="350">
        <f t="shared" si="15"/>
        <v>1.6109624999999999</v>
      </c>
      <c r="V75" s="330">
        <f t="shared" si="16"/>
        <v>0.13</v>
      </c>
      <c r="W75" s="351">
        <f t="shared" si="17"/>
        <v>0.13</v>
      </c>
      <c r="X75" s="350">
        <f t="shared" si="18"/>
        <v>0.98983762499999983</v>
      </c>
      <c r="Y75" s="350">
        <f t="shared" si="19"/>
        <v>0.83055000000000001</v>
      </c>
      <c r="Z75" s="350">
        <f t="shared" si="20"/>
        <v>1.83</v>
      </c>
      <c r="AA75" s="352">
        <f>+Table1[[#This Row],[calculated sale price]]</f>
        <v>1.83</v>
      </c>
      <c r="AB75" s="353"/>
      <c r="AC75" s="354"/>
      <c r="AD75" s="356"/>
      <c r="AE75" s="356">
        <f>Table1[[#This Row],[cost per quantity]]*(1+'P&amp;L'!$P$8)</f>
        <v>0.98983762499999983</v>
      </c>
      <c r="AF75" s="356">
        <f>$AF$8*Table1[[#This Row],[man minutes]]*(1+'P&amp;L'!$P$9)</f>
        <v>0.79099999999999993</v>
      </c>
      <c r="AG75" s="361">
        <f>Table1[[#This Row],[cost per quantity]]*1.18</f>
        <v>1.03363575</v>
      </c>
      <c r="AH75" s="361">
        <f>$AF$8*Table1[[#This Row],[man minutes]]*1.18</f>
        <v>0.82599999999999996</v>
      </c>
      <c r="AI75" s="356">
        <f>Table1[[#This Row],[Food cost w/ MU]]+Table1[[#This Row],[labor cost W/ MU]]</f>
        <v>1.7808376249999998</v>
      </c>
      <c r="AJ75" s="357"/>
    </row>
    <row r="76" spans="1:36" x14ac:dyDescent="0.25">
      <c r="A76" s="329">
        <v>10067</v>
      </c>
      <c r="B76" s="325" t="s">
        <v>386</v>
      </c>
      <c r="C76" s="329">
        <v>1</v>
      </c>
      <c r="I76" s="329"/>
      <c r="J76" s="329"/>
      <c r="K76" s="329"/>
      <c r="L76" s="345"/>
      <c r="M76" s="329"/>
      <c r="N76" s="346"/>
      <c r="O76" s="347">
        <v>0</v>
      </c>
      <c r="P76" s="347">
        <f>Table1[[#This Row],[unit cost]]*1.065</f>
        <v>0</v>
      </c>
      <c r="Q76" s="348">
        <v>1</v>
      </c>
      <c r="R76" s="329">
        <v>1</v>
      </c>
      <c r="S76" s="349">
        <f t="shared" si="14"/>
        <v>0.42</v>
      </c>
      <c r="T76" s="350">
        <f>Table1[[#This Row],[man minutes]]*Table1[[#This Row],[labor rate]]</f>
        <v>0.42</v>
      </c>
      <c r="U76" s="350">
        <f t="shared" si="15"/>
        <v>0.42</v>
      </c>
      <c r="V76" s="330">
        <f t="shared" si="16"/>
        <v>0.13</v>
      </c>
      <c r="W76" s="351">
        <f t="shared" si="17"/>
        <v>0.13</v>
      </c>
      <c r="X76" s="350">
        <f t="shared" si="18"/>
        <v>0</v>
      </c>
      <c r="Y76" s="350">
        <f t="shared" si="19"/>
        <v>0.47459999999999997</v>
      </c>
      <c r="Z76" s="350">
        <f t="shared" si="20"/>
        <v>0.48</v>
      </c>
      <c r="AA76" s="352">
        <f>+Table1[[#This Row],[calculated sale price]]</f>
        <v>0.48</v>
      </c>
      <c r="AB76" s="353"/>
      <c r="AC76" s="354"/>
      <c r="AD76" s="356"/>
      <c r="AE76" s="356">
        <f>Table1[[#This Row],[cost per quantity]]*(1+'P&amp;L'!$P$8)</f>
        <v>0</v>
      </c>
      <c r="AF76" s="356">
        <f>$AF$8*Table1[[#This Row],[man minutes]]*(1+'P&amp;L'!$P$9)</f>
        <v>0.4519999999999999</v>
      </c>
      <c r="AG76" s="356"/>
      <c r="AH76" s="356"/>
      <c r="AI76" s="356">
        <f>Table1[[#This Row],[Food cost w/ MU]]+Table1[[#This Row],[labor cost W/ MU]]</f>
        <v>0.4519999999999999</v>
      </c>
      <c r="AJ76" s="357"/>
    </row>
    <row r="77" spans="1:36" x14ac:dyDescent="0.25">
      <c r="A77" s="329">
        <v>10068</v>
      </c>
      <c r="B77" s="325" t="s">
        <v>387</v>
      </c>
      <c r="C77" s="329">
        <v>1</v>
      </c>
      <c r="I77" s="329"/>
      <c r="J77" s="329"/>
      <c r="K77" s="329"/>
      <c r="L77" s="345"/>
      <c r="M77" s="329"/>
      <c r="N77" s="346"/>
      <c r="O77" s="347">
        <v>0</v>
      </c>
      <c r="P77" s="347">
        <f>Table1[[#This Row],[unit cost]]*1.065</f>
        <v>0</v>
      </c>
      <c r="Q77" s="348">
        <v>1</v>
      </c>
      <c r="R77" s="329">
        <v>1</v>
      </c>
      <c r="S77" s="349">
        <f t="shared" si="14"/>
        <v>0.42</v>
      </c>
      <c r="T77" s="350">
        <f>Table1[[#This Row],[man minutes]]*Table1[[#This Row],[labor rate]]</f>
        <v>0.42</v>
      </c>
      <c r="U77" s="350">
        <f t="shared" si="15"/>
        <v>0.42</v>
      </c>
      <c r="V77" s="330">
        <f t="shared" si="16"/>
        <v>0.13</v>
      </c>
      <c r="W77" s="351">
        <f t="shared" si="17"/>
        <v>0.13</v>
      </c>
      <c r="X77" s="350">
        <f t="shared" si="18"/>
        <v>0</v>
      </c>
      <c r="Y77" s="350">
        <f t="shared" si="19"/>
        <v>0.47459999999999997</v>
      </c>
      <c r="Z77" s="350">
        <f t="shared" si="20"/>
        <v>0.48</v>
      </c>
      <c r="AA77" s="352">
        <f>+Table1[[#This Row],[calculated sale price]]</f>
        <v>0.48</v>
      </c>
      <c r="AB77" s="353"/>
      <c r="AC77" s="354"/>
      <c r="AD77" s="356"/>
      <c r="AE77" s="356">
        <f>Table1[[#This Row],[cost per quantity]]*(1+'P&amp;L'!$P$8)</f>
        <v>0</v>
      </c>
      <c r="AF77" s="356">
        <f>$AF$8*Table1[[#This Row],[man minutes]]*(1+'P&amp;L'!$P$9)</f>
        <v>0.4519999999999999</v>
      </c>
      <c r="AG77" s="356"/>
      <c r="AH77" s="356"/>
      <c r="AI77" s="356">
        <f>Table1[[#This Row],[Food cost w/ MU]]+Table1[[#This Row],[labor cost W/ MU]]</f>
        <v>0.4519999999999999</v>
      </c>
      <c r="AJ77" s="357"/>
    </row>
    <row r="78" spans="1:36" x14ac:dyDescent="0.25">
      <c r="A78" s="329">
        <v>10069</v>
      </c>
      <c r="B78" s="325" t="s">
        <v>388</v>
      </c>
      <c r="C78" s="329">
        <v>1</v>
      </c>
      <c r="I78" s="329"/>
      <c r="J78" s="329"/>
      <c r="K78" s="329"/>
      <c r="L78" s="345"/>
      <c r="M78" s="329"/>
      <c r="N78" s="346"/>
      <c r="O78" s="347">
        <v>0.9</v>
      </c>
      <c r="P78" s="347">
        <f>Table1[[#This Row],[unit cost]]*1.065</f>
        <v>0.95850000000000002</v>
      </c>
      <c r="Q78" s="348">
        <v>2</v>
      </c>
      <c r="R78" s="329">
        <v>1</v>
      </c>
      <c r="S78" s="349">
        <f t="shared" si="14"/>
        <v>0.42</v>
      </c>
      <c r="T78" s="350">
        <f>Table1[[#This Row],[man minutes]]*Table1[[#This Row],[labor rate]]</f>
        <v>0.84</v>
      </c>
      <c r="U78" s="350">
        <f t="shared" si="15"/>
        <v>1.7985</v>
      </c>
      <c r="V78" s="330">
        <f t="shared" si="16"/>
        <v>0.13</v>
      </c>
      <c r="W78" s="351">
        <f t="shared" si="17"/>
        <v>0.13</v>
      </c>
      <c r="X78" s="350">
        <f t="shared" si="18"/>
        <v>1.083105</v>
      </c>
      <c r="Y78" s="350">
        <f t="shared" si="19"/>
        <v>0.94919999999999993</v>
      </c>
      <c r="Z78" s="350">
        <f t="shared" si="20"/>
        <v>2.0399999999999996</v>
      </c>
      <c r="AA78" s="352">
        <f>+Table1[[#This Row],[calculated sale price]]</f>
        <v>2.0399999999999996</v>
      </c>
      <c r="AB78" s="353"/>
      <c r="AC78" s="354"/>
      <c r="AD78" s="356"/>
      <c r="AE78" s="356">
        <f>Table1[[#This Row],[cost per quantity]]*(1+'P&amp;L'!$P$8)</f>
        <v>1.083105</v>
      </c>
      <c r="AF78" s="356">
        <f>$AF$8*Table1[[#This Row],[man minutes]]*(1+'P&amp;L'!$P$9)</f>
        <v>0.9039999999999998</v>
      </c>
      <c r="AG78" s="356"/>
      <c r="AH78" s="356"/>
      <c r="AI78" s="356">
        <f>Table1[[#This Row],[Food cost w/ MU]]+Table1[[#This Row],[labor cost W/ MU]]</f>
        <v>1.9871049999999997</v>
      </c>
      <c r="AJ78" s="357"/>
    </row>
    <row r="79" spans="1:36" x14ac:dyDescent="0.25">
      <c r="A79" s="329">
        <v>10070</v>
      </c>
      <c r="B79" s="325" t="s">
        <v>389</v>
      </c>
      <c r="C79" s="329">
        <v>1</v>
      </c>
      <c r="I79" s="329"/>
      <c r="J79" s="329"/>
      <c r="K79" s="329"/>
      <c r="L79" s="345"/>
      <c r="M79" s="329"/>
      <c r="N79" s="346"/>
      <c r="O79" s="347">
        <v>0.11</v>
      </c>
      <c r="P79" s="347">
        <f>Table1[[#This Row],[unit cost]]*1.065</f>
        <v>0.11714999999999999</v>
      </c>
      <c r="Q79" s="348">
        <v>0.2</v>
      </c>
      <c r="R79" s="329">
        <v>1</v>
      </c>
      <c r="S79" s="349">
        <f t="shared" si="14"/>
        <v>0.42</v>
      </c>
      <c r="T79" s="350">
        <f>Table1[[#This Row],[man minutes]]*Table1[[#This Row],[labor rate]]</f>
        <v>8.4000000000000005E-2</v>
      </c>
      <c r="U79" s="350">
        <f t="shared" si="15"/>
        <v>0.20115</v>
      </c>
      <c r="V79" s="330">
        <f t="shared" si="16"/>
        <v>0.13</v>
      </c>
      <c r="W79" s="351">
        <f t="shared" si="17"/>
        <v>0.13</v>
      </c>
      <c r="X79" s="350">
        <f t="shared" si="18"/>
        <v>0.13237949999999998</v>
      </c>
      <c r="Y79" s="350">
        <f t="shared" si="19"/>
        <v>9.4920000000000004E-2</v>
      </c>
      <c r="Z79" s="350">
        <f t="shared" si="20"/>
        <v>0.23</v>
      </c>
      <c r="AA79" s="352">
        <f>+Table1[[#This Row],[calculated sale price]]</f>
        <v>0.23</v>
      </c>
      <c r="AB79" s="353"/>
      <c r="AC79" s="354"/>
      <c r="AD79" s="356"/>
      <c r="AE79" s="356">
        <f>Table1[[#This Row],[cost per quantity]]*(1+'P&amp;L'!$P$8)</f>
        <v>0.13237949999999998</v>
      </c>
      <c r="AF79" s="356">
        <f>$AF$8*Table1[[#This Row],[man minutes]]*(1+'P&amp;L'!$P$9)</f>
        <v>9.0399999999999994E-2</v>
      </c>
      <c r="AG79" s="356"/>
      <c r="AH79" s="356"/>
      <c r="AI79" s="356">
        <f>Table1[[#This Row],[Food cost w/ MU]]+Table1[[#This Row],[labor cost W/ MU]]</f>
        <v>0.22277949999999996</v>
      </c>
      <c r="AJ79" s="357"/>
    </row>
    <row r="80" spans="1:36" x14ac:dyDescent="0.25">
      <c r="A80" s="329">
        <v>10071</v>
      </c>
      <c r="B80" s="325" t="s">
        <v>390</v>
      </c>
      <c r="C80" s="329">
        <v>1</v>
      </c>
      <c r="I80" s="329"/>
      <c r="J80" s="329"/>
      <c r="K80" s="329"/>
      <c r="L80" s="345"/>
      <c r="M80" s="329"/>
      <c r="N80" s="346"/>
      <c r="O80" s="347">
        <v>0</v>
      </c>
      <c r="P80" s="347">
        <f>Table1[[#This Row],[unit cost]]*1.065</f>
        <v>0</v>
      </c>
      <c r="Q80" s="348">
        <v>1</v>
      </c>
      <c r="R80" s="329">
        <v>1</v>
      </c>
      <c r="S80" s="349">
        <f t="shared" si="14"/>
        <v>0.42</v>
      </c>
      <c r="T80" s="350">
        <f>Table1[[#This Row],[man minutes]]*Table1[[#This Row],[labor rate]]</f>
        <v>0.42</v>
      </c>
      <c r="U80" s="350">
        <f t="shared" si="15"/>
        <v>0.42</v>
      </c>
      <c r="V80" s="330">
        <f t="shared" si="16"/>
        <v>0.13</v>
      </c>
      <c r="W80" s="351">
        <f t="shared" si="17"/>
        <v>0.13</v>
      </c>
      <c r="X80" s="350">
        <f t="shared" si="18"/>
        <v>0</v>
      </c>
      <c r="Y80" s="350">
        <f t="shared" si="19"/>
        <v>0.47459999999999997</v>
      </c>
      <c r="Z80" s="350">
        <f t="shared" si="20"/>
        <v>0.48</v>
      </c>
      <c r="AA80" s="352">
        <f>+Table1[[#This Row],[calculated sale price]]</f>
        <v>0.48</v>
      </c>
      <c r="AB80" s="353"/>
      <c r="AC80" s="354"/>
      <c r="AD80" s="356"/>
      <c r="AE80" s="356">
        <f>Table1[[#This Row],[cost per quantity]]*(1+'P&amp;L'!$P$8)</f>
        <v>0</v>
      </c>
      <c r="AF80" s="356">
        <f>$AF$8*Table1[[#This Row],[man minutes]]*(1+'P&amp;L'!$P$9)</f>
        <v>0.4519999999999999</v>
      </c>
      <c r="AG80" s="356"/>
      <c r="AH80" s="356"/>
      <c r="AI80" s="356">
        <f>Table1[[#This Row],[Food cost w/ MU]]+Table1[[#This Row],[labor cost W/ MU]]</f>
        <v>0.4519999999999999</v>
      </c>
      <c r="AJ80" s="357"/>
    </row>
    <row r="81" spans="1:36" x14ac:dyDescent="0.25">
      <c r="A81" s="329">
        <v>10072</v>
      </c>
      <c r="B81" s="325" t="s">
        <v>391</v>
      </c>
      <c r="C81" s="329">
        <v>1</v>
      </c>
      <c r="I81" s="329"/>
      <c r="J81" s="329"/>
      <c r="K81" s="329"/>
      <c r="L81" s="345"/>
      <c r="M81" s="329"/>
      <c r="N81" s="346"/>
      <c r="O81" s="347">
        <v>0.11</v>
      </c>
      <c r="P81" s="347">
        <f>Table1[[#This Row],[unit cost]]*1.065</f>
        <v>0.11714999999999999</v>
      </c>
      <c r="Q81" s="348">
        <v>0.2</v>
      </c>
      <c r="R81" s="329">
        <v>1</v>
      </c>
      <c r="S81" s="349">
        <f t="shared" si="14"/>
        <v>0.42</v>
      </c>
      <c r="T81" s="350">
        <f>Table1[[#This Row],[man minutes]]*Table1[[#This Row],[labor rate]]</f>
        <v>8.4000000000000005E-2</v>
      </c>
      <c r="U81" s="350">
        <f t="shared" si="15"/>
        <v>0.20115</v>
      </c>
      <c r="V81" s="330">
        <f t="shared" si="16"/>
        <v>0.13</v>
      </c>
      <c r="W81" s="351">
        <f t="shared" si="17"/>
        <v>0.13</v>
      </c>
      <c r="X81" s="350">
        <f t="shared" si="18"/>
        <v>0.13237949999999998</v>
      </c>
      <c r="Y81" s="350">
        <f t="shared" si="19"/>
        <v>9.4920000000000004E-2</v>
      </c>
      <c r="Z81" s="350">
        <f t="shared" si="20"/>
        <v>0.23</v>
      </c>
      <c r="AA81" s="352">
        <f>+Table1[[#This Row],[calculated sale price]]</f>
        <v>0.23</v>
      </c>
      <c r="AB81" s="353"/>
      <c r="AC81" s="354"/>
      <c r="AD81" s="356"/>
      <c r="AE81" s="356">
        <f>Table1[[#This Row],[cost per quantity]]*(1+'P&amp;L'!$P$8)</f>
        <v>0.13237949999999998</v>
      </c>
      <c r="AF81" s="356">
        <f>$AF$8*Table1[[#This Row],[man minutes]]*(1+'P&amp;L'!$P$9)</f>
        <v>9.0399999999999994E-2</v>
      </c>
      <c r="AG81" s="356"/>
      <c r="AH81" s="356"/>
      <c r="AI81" s="356">
        <f>Table1[[#This Row],[Food cost w/ MU]]+Table1[[#This Row],[labor cost W/ MU]]</f>
        <v>0.22277949999999996</v>
      </c>
      <c r="AJ81" s="357"/>
    </row>
    <row r="82" spans="1:36" x14ac:dyDescent="0.25">
      <c r="A82" s="329">
        <v>10073</v>
      </c>
      <c r="B82" s="325" t="s">
        <v>392</v>
      </c>
      <c r="C82" s="329">
        <v>1</v>
      </c>
      <c r="I82" s="329"/>
      <c r="J82" s="329"/>
      <c r="K82" s="329"/>
      <c r="L82" s="345"/>
      <c r="M82" s="329"/>
      <c r="N82" s="346"/>
      <c r="O82" s="347">
        <v>0.1</v>
      </c>
      <c r="P82" s="347">
        <f>Table1[[#This Row],[unit cost]]*1.065</f>
        <v>0.1065</v>
      </c>
      <c r="Q82" s="348">
        <v>0.2</v>
      </c>
      <c r="R82" s="329">
        <v>1</v>
      </c>
      <c r="S82" s="349">
        <f t="shared" si="14"/>
        <v>0.42</v>
      </c>
      <c r="T82" s="350">
        <f>Table1[[#This Row],[man minutes]]*Table1[[#This Row],[labor rate]]</f>
        <v>8.4000000000000005E-2</v>
      </c>
      <c r="U82" s="350">
        <f t="shared" si="15"/>
        <v>0.1905</v>
      </c>
      <c r="V82" s="330">
        <f t="shared" si="16"/>
        <v>0.13</v>
      </c>
      <c r="W82" s="351">
        <f t="shared" si="17"/>
        <v>0.13</v>
      </c>
      <c r="X82" s="350">
        <f t="shared" si="18"/>
        <v>0.12034499999999998</v>
      </c>
      <c r="Y82" s="350">
        <f t="shared" si="19"/>
        <v>9.4920000000000004E-2</v>
      </c>
      <c r="Z82" s="350">
        <f t="shared" si="20"/>
        <v>0.22</v>
      </c>
      <c r="AA82" s="352">
        <f>+Table1[[#This Row],[calculated sale price]]</f>
        <v>0.22</v>
      </c>
      <c r="AB82" s="353"/>
      <c r="AC82" s="354"/>
      <c r="AD82" s="356"/>
      <c r="AE82" s="356">
        <f>Table1[[#This Row],[cost per quantity]]*(1+'P&amp;L'!$P$8)</f>
        <v>0.12034499999999998</v>
      </c>
      <c r="AF82" s="356">
        <f>$AF$8*Table1[[#This Row],[man minutes]]*(1+'P&amp;L'!$P$9)</f>
        <v>9.0399999999999994E-2</v>
      </c>
      <c r="AG82" s="356"/>
      <c r="AH82" s="356"/>
      <c r="AI82" s="356">
        <f>Table1[[#This Row],[Food cost w/ MU]]+Table1[[#This Row],[labor cost W/ MU]]</f>
        <v>0.21074499999999996</v>
      </c>
      <c r="AJ82" s="357"/>
    </row>
    <row r="83" spans="1:36" x14ac:dyDescent="0.25">
      <c r="A83" s="329">
        <v>10074</v>
      </c>
      <c r="B83" s="325" t="s">
        <v>393</v>
      </c>
      <c r="C83" s="329">
        <v>1</v>
      </c>
      <c r="I83" s="329"/>
      <c r="J83" s="329"/>
      <c r="K83" s="329"/>
      <c r="L83" s="345"/>
      <c r="M83" s="329"/>
      <c r="N83" s="346"/>
      <c r="O83" s="347">
        <v>0.25</v>
      </c>
      <c r="P83" s="347">
        <f>Table1[[#This Row],[unit cost]]*1.065</f>
        <v>0.26624999999999999</v>
      </c>
      <c r="Q83" s="348">
        <v>0.2</v>
      </c>
      <c r="R83" s="329">
        <v>1</v>
      </c>
      <c r="S83" s="349">
        <f t="shared" si="14"/>
        <v>0.42</v>
      </c>
      <c r="T83" s="350">
        <f>Table1[[#This Row],[man minutes]]*Table1[[#This Row],[labor rate]]</f>
        <v>8.4000000000000005E-2</v>
      </c>
      <c r="U83" s="350">
        <f t="shared" si="15"/>
        <v>0.35025000000000001</v>
      </c>
      <c r="V83" s="330">
        <f t="shared" si="16"/>
        <v>0.13</v>
      </c>
      <c r="W83" s="351">
        <f t="shared" si="17"/>
        <v>0.13</v>
      </c>
      <c r="X83" s="350">
        <f t="shared" si="18"/>
        <v>0.30086249999999998</v>
      </c>
      <c r="Y83" s="350">
        <f t="shared" si="19"/>
        <v>9.4920000000000004E-2</v>
      </c>
      <c r="Z83" s="350">
        <f t="shared" si="20"/>
        <v>0.4</v>
      </c>
      <c r="AA83" s="352">
        <f>+Table1[[#This Row],[calculated sale price]]</f>
        <v>0.4</v>
      </c>
      <c r="AB83" s="353"/>
      <c r="AC83" s="354"/>
      <c r="AD83" s="356"/>
      <c r="AE83" s="356">
        <f>Table1[[#This Row],[cost per quantity]]*(1+'P&amp;L'!$P$8)</f>
        <v>0.30086249999999998</v>
      </c>
      <c r="AF83" s="356">
        <f>$AF$8*Table1[[#This Row],[man minutes]]*(1+'P&amp;L'!$P$9)</f>
        <v>9.0399999999999994E-2</v>
      </c>
      <c r="AG83" s="356"/>
      <c r="AH83" s="356"/>
      <c r="AI83" s="356">
        <f>Table1[[#This Row],[Food cost w/ MU]]+Table1[[#This Row],[labor cost W/ MU]]</f>
        <v>0.39126249999999996</v>
      </c>
      <c r="AJ83" s="357"/>
    </row>
    <row r="84" spans="1:36" x14ac:dyDescent="0.25">
      <c r="A84" s="329">
        <v>10075</v>
      </c>
      <c r="B84" s="325" t="s">
        <v>394</v>
      </c>
      <c r="C84" s="329">
        <v>1</v>
      </c>
      <c r="I84" s="329"/>
      <c r="J84" s="329"/>
      <c r="K84" s="329"/>
      <c r="L84" s="345"/>
      <c r="M84" s="329"/>
      <c r="N84" s="346"/>
      <c r="O84" s="347">
        <v>1.25569</v>
      </c>
      <c r="P84" s="347">
        <f>Table1[[#This Row],[unit cost]]*1.065</f>
        <v>1.3373098499999998</v>
      </c>
      <c r="Q84" s="348">
        <v>2.75</v>
      </c>
      <c r="R84" s="329">
        <v>1</v>
      </c>
      <c r="S84" s="349">
        <f t="shared" si="14"/>
        <v>0.42</v>
      </c>
      <c r="T84" s="350">
        <f>Table1[[#This Row],[man minutes]]*Table1[[#This Row],[labor rate]]</f>
        <v>1.155</v>
      </c>
      <c r="U84" s="350">
        <f t="shared" si="15"/>
        <v>2.4923098499999998</v>
      </c>
      <c r="V84" s="330">
        <f t="shared" si="16"/>
        <v>0.13</v>
      </c>
      <c r="W84" s="351">
        <f t="shared" si="17"/>
        <v>0.13</v>
      </c>
      <c r="X84" s="350">
        <f t="shared" si="18"/>
        <v>1.5111601304999995</v>
      </c>
      <c r="Y84" s="350">
        <f t="shared" si="19"/>
        <v>1.30515</v>
      </c>
      <c r="Z84" s="350">
        <f t="shared" si="20"/>
        <v>2.82</v>
      </c>
      <c r="AA84" s="352">
        <f>+Table1[[#This Row],[calculated sale price]]</f>
        <v>2.82</v>
      </c>
      <c r="AB84" s="353"/>
      <c r="AC84" s="354"/>
      <c r="AD84" s="356"/>
      <c r="AE84" s="356">
        <f>Table1[[#This Row],[cost per quantity]]*(1+'P&amp;L'!$P$8)</f>
        <v>1.5111601304999995</v>
      </c>
      <c r="AF84" s="356">
        <f>$AF$8*Table1[[#This Row],[man minutes]]*(1+'P&amp;L'!$P$9)</f>
        <v>1.2429999999999997</v>
      </c>
      <c r="AG84" s="356"/>
      <c r="AH84" s="356"/>
      <c r="AI84" s="356">
        <f>Table1[[#This Row],[Food cost w/ MU]]+Table1[[#This Row],[labor cost W/ MU]]</f>
        <v>2.754160130499999</v>
      </c>
      <c r="AJ84" s="357"/>
    </row>
    <row r="85" spans="1:36" x14ac:dyDescent="0.25">
      <c r="A85" s="329">
        <v>10076</v>
      </c>
      <c r="B85" s="325" t="s">
        <v>395</v>
      </c>
      <c r="C85" s="329">
        <v>1</v>
      </c>
      <c r="I85" s="329"/>
      <c r="J85" s="329"/>
      <c r="K85" s="329"/>
      <c r="L85" s="345"/>
      <c r="M85" s="329"/>
      <c r="N85" s="346"/>
      <c r="O85" s="347">
        <v>1.70129</v>
      </c>
      <c r="P85" s="347">
        <f>Table1[[#This Row],[unit cost]]*1.065</f>
        <v>1.8118738499999998</v>
      </c>
      <c r="Q85" s="348">
        <v>2.75</v>
      </c>
      <c r="R85" s="329">
        <v>1</v>
      </c>
      <c r="S85" s="349">
        <f t="shared" si="14"/>
        <v>0.42</v>
      </c>
      <c r="T85" s="350">
        <f>Table1[[#This Row],[man minutes]]*Table1[[#This Row],[labor rate]]</f>
        <v>1.155</v>
      </c>
      <c r="U85" s="350">
        <f t="shared" si="15"/>
        <v>2.9668738499999998</v>
      </c>
      <c r="V85" s="330">
        <f t="shared" si="16"/>
        <v>0.13</v>
      </c>
      <c r="W85" s="351">
        <f t="shared" si="17"/>
        <v>0.13</v>
      </c>
      <c r="X85" s="350">
        <f t="shared" si="18"/>
        <v>2.0474174504999993</v>
      </c>
      <c r="Y85" s="350">
        <f t="shared" si="19"/>
        <v>1.30515</v>
      </c>
      <c r="Z85" s="350">
        <f t="shared" si="20"/>
        <v>3.36</v>
      </c>
      <c r="AA85" s="352">
        <f>+Table1[[#This Row],[calculated sale price]]</f>
        <v>3.36</v>
      </c>
      <c r="AB85" s="353"/>
      <c r="AC85" s="354"/>
      <c r="AD85" s="356"/>
      <c r="AE85" s="356">
        <f>Table1[[#This Row],[cost per quantity]]*(1+'P&amp;L'!$P$8)</f>
        <v>2.0474174504999993</v>
      </c>
      <c r="AF85" s="356">
        <f>$AF$8*Table1[[#This Row],[man minutes]]*(1+'P&amp;L'!$P$9)</f>
        <v>1.2429999999999997</v>
      </c>
      <c r="AG85" s="356"/>
      <c r="AH85" s="356"/>
      <c r="AI85" s="356">
        <f>Table1[[#This Row],[Food cost w/ MU]]+Table1[[#This Row],[labor cost W/ MU]]</f>
        <v>3.2904174504999988</v>
      </c>
      <c r="AJ85" s="357"/>
    </row>
    <row r="86" spans="1:36" x14ac:dyDescent="0.25">
      <c r="A86" s="329">
        <v>10077</v>
      </c>
      <c r="B86" s="325" t="s">
        <v>396</v>
      </c>
      <c r="C86" s="329">
        <v>1</v>
      </c>
      <c r="I86" s="329"/>
      <c r="J86" s="329"/>
      <c r="K86" s="329"/>
      <c r="L86" s="345"/>
      <c r="M86" s="329"/>
      <c r="N86" s="346"/>
      <c r="O86" s="347">
        <v>1.69964</v>
      </c>
      <c r="P86" s="347">
        <f>Table1[[#This Row],[unit cost]]*1.065</f>
        <v>1.8101166</v>
      </c>
      <c r="Q86" s="348">
        <v>2.75</v>
      </c>
      <c r="R86" s="329">
        <v>1</v>
      </c>
      <c r="S86" s="349">
        <f t="shared" si="14"/>
        <v>0.42</v>
      </c>
      <c r="T86" s="350">
        <f>Table1[[#This Row],[man minutes]]*Table1[[#This Row],[labor rate]]</f>
        <v>1.155</v>
      </c>
      <c r="U86" s="350">
        <f t="shared" si="15"/>
        <v>2.9651166</v>
      </c>
      <c r="V86" s="330">
        <f t="shared" si="16"/>
        <v>0.13</v>
      </c>
      <c r="W86" s="351">
        <f t="shared" si="17"/>
        <v>0.13</v>
      </c>
      <c r="X86" s="350">
        <f t="shared" si="18"/>
        <v>2.0454317579999999</v>
      </c>
      <c r="Y86" s="350">
        <f t="shared" si="19"/>
        <v>1.30515</v>
      </c>
      <c r="Z86" s="350">
        <f t="shared" si="20"/>
        <v>3.36</v>
      </c>
      <c r="AA86" s="352">
        <f>+Table1[[#This Row],[calculated sale price]]</f>
        <v>3.36</v>
      </c>
      <c r="AB86" s="353"/>
      <c r="AC86" s="354"/>
      <c r="AD86" s="356"/>
      <c r="AE86" s="356">
        <f>Table1[[#This Row],[cost per quantity]]*(1+'P&amp;L'!$P$8)</f>
        <v>2.0454317579999999</v>
      </c>
      <c r="AF86" s="356">
        <f>$AF$8*Table1[[#This Row],[man minutes]]*(1+'P&amp;L'!$P$9)</f>
        <v>1.2429999999999997</v>
      </c>
      <c r="AG86" s="356"/>
      <c r="AH86" s="356"/>
      <c r="AI86" s="356">
        <f>Table1[[#This Row],[Food cost w/ MU]]+Table1[[#This Row],[labor cost W/ MU]]</f>
        <v>3.2884317579999998</v>
      </c>
      <c r="AJ86" s="357"/>
    </row>
    <row r="87" spans="1:36" x14ac:dyDescent="0.25">
      <c r="A87" s="329">
        <v>10078</v>
      </c>
      <c r="B87" s="325" t="s">
        <v>397</v>
      </c>
      <c r="C87" s="329">
        <v>1</v>
      </c>
      <c r="I87" s="329"/>
      <c r="J87" s="329"/>
      <c r="K87" s="329"/>
      <c r="L87" s="345"/>
      <c r="M87" s="329"/>
      <c r="N87" s="346"/>
      <c r="O87" s="347">
        <v>1.3619600000000001</v>
      </c>
      <c r="P87" s="347">
        <f>Table1[[#This Row],[unit cost]]*1.065</f>
        <v>1.4504874000000001</v>
      </c>
      <c r="Q87" s="348">
        <v>2.75</v>
      </c>
      <c r="R87" s="329">
        <v>1</v>
      </c>
      <c r="S87" s="349">
        <f t="shared" si="14"/>
        <v>0.42</v>
      </c>
      <c r="T87" s="350">
        <f>Table1[[#This Row],[man minutes]]*Table1[[#This Row],[labor rate]]</f>
        <v>1.155</v>
      </c>
      <c r="U87" s="350">
        <f t="shared" si="15"/>
        <v>2.6054874000000003</v>
      </c>
      <c r="V87" s="330">
        <f t="shared" si="16"/>
        <v>0.13</v>
      </c>
      <c r="W87" s="351">
        <f t="shared" si="17"/>
        <v>0.13</v>
      </c>
      <c r="X87" s="350">
        <f t="shared" si="18"/>
        <v>1.6390507619999999</v>
      </c>
      <c r="Y87" s="350">
        <f t="shared" si="19"/>
        <v>1.30515</v>
      </c>
      <c r="Z87" s="350">
        <f t="shared" si="20"/>
        <v>2.9499999999999997</v>
      </c>
      <c r="AA87" s="352">
        <f>+Table1[[#This Row],[calculated sale price]]</f>
        <v>2.9499999999999997</v>
      </c>
      <c r="AB87" s="353"/>
      <c r="AC87" s="354"/>
      <c r="AD87" s="356"/>
      <c r="AE87" s="356">
        <f>Table1[[#This Row],[cost per quantity]]*(1+'P&amp;L'!$P$8)</f>
        <v>1.6390507619999999</v>
      </c>
      <c r="AF87" s="356">
        <f>$AF$8*Table1[[#This Row],[man minutes]]*(1+'P&amp;L'!$P$9)</f>
        <v>1.2429999999999997</v>
      </c>
      <c r="AG87" s="356"/>
      <c r="AH87" s="356"/>
      <c r="AI87" s="356">
        <f>Table1[[#This Row],[Food cost w/ MU]]+Table1[[#This Row],[labor cost W/ MU]]</f>
        <v>2.8820507619999995</v>
      </c>
      <c r="AJ87" s="357"/>
    </row>
    <row r="88" spans="1:36" x14ac:dyDescent="0.25">
      <c r="A88" s="329">
        <v>10079</v>
      </c>
      <c r="B88" s="325" t="s">
        <v>398</v>
      </c>
      <c r="C88" s="329">
        <v>1</v>
      </c>
      <c r="I88" s="329"/>
      <c r="J88" s="329"/>
      <c r="K88" s="329"/>
      <c r="L88" s="345"/>
      <c r="M88" s="329"/>
      <c r="N88" s="346"/>
      <c r="O88" s="347">
        <v>0.1</v>
      </c>
      <c r="P88" s="347">
        <f>Table1[[#This Row],[unit cost]]*1.065</f>
        <v>0.1065</v>
      </c>
      <c r="Q88" s="348">
        <v>0.2</v>
      </c>
      <c r="R88" s="329">
        <v>1</v>
      </c>
      <c r="S88" s="349">
        <f t="shared" si="14"/>
        <v>0.42</v>
      </c>
      <c r="T88" s="350">
        <f>Table1[[#This Row],[man minutes]]*Table1[[#This Row],[labor rate]]</f>
        <v>8.4000000000000005E-2</v>
      </c>
      <c r="U88" s="350">
        <f t="shared" si="15"/>
        <v>0.1905</v>
      </c>
      <c r="V88" s="330">
        <f t="shared" si="16"/>
        <v>0.13</v>
      </c>
      <c r="W88" s="351">
        <f t="shared" si="17"/>
        <v>0.13</v>
      </c>
      <c r="X88" s="350">
        <f t="shared" si="18"/>
        <v>0.12034499999999998</v>
      </c>
      <c r="Y88" s="350">
        <f t="shared" si="19"/>
        <v>9.4920000000000004E-2</v>
      </c>
      <c r="Z88" s="350">
        <f t="shared" si="20"/>
        <v>0.22</v>
      </c>
      <c r="AA88" s="352">
        <f>+Table1[[#This Row],[calculated sale price]]</f>
        <v>0.22</v>
      </c>
      <c r="AB88" s="353"/>
      <c r="AC88" s="354"/>
      <c r="AD88" s="356"/>
      <c r="AE88" s="356">
        <f>Table1[[#This Row],[cost per quantity]]*(1+'P&amp;L'!$P$8)</f>
        <v>0.12034499999999998</v>
      </c>
      <c r="AF88" s="356">
        <f>$AF$8*Table1[[#This Row],[man minutes]]*(1+'P&amp;L'!$P$9)</f>
        <v>9.0399999999999994E-2</v>
      </c>
      <c r="AG88" s="356"/>
      <c r="AH88" s="356"/>
      <c r="AI88" s="356">
        <f>Table1[[#This Row],[Food cost w/ MU]]+Table1[[#This Row],[labor cost W/ MU]]</f>
        <v>0.21074499999999996</v>
      </c>
      <c r="AJ88" s="357"/>
    </row>
    <row r="89" spans="1:36" x14ac:dyDescent="0.25">
      <c r="A89" s="329">
        <v>10080</v>
      </c>
      <c r="B89" s="325" t="s">
        <v>399</v>
      </c>
      <c r="C89" s="329">
        <v>1</v>
      </c>
      <c r="I89" s="329"/>
      <c r="J89" s="329"/>
      <c r="K89" s="329"/>
      <c r="L89" s="345"/>
      <c r="M89" s="329"/>
      <c r="N89" s="346"/>
      <c r="O89" s="347">
        <v>0.28999999999999998</v>
      </c>
      <c r="P89" s="347">
        <f>Table1[[#This Row],[unit cost]]*1.065</f>
        <v>0.30884999999999996</v>
      </c>
      <c r="Q89" s="348">
        <v>1.05</v>
      </c>
      <c r="R89" s="329">
        <v>1</v>
      </c>
      <c r="S89" s="349">
        <f t="shared" si="14"/>
        <v>0.42</v>
      </c>
      <c r="T89" s="350">
        <f>Table1[[#This Row],[man minutes]]*Table1[[#This Row],[labor rate]]</f>
        <v>0.441</v>
      </c>
      <c r="U89" s="350">
        <f t="shared" si="15"/>
        <v>0.74984999999999991</v>
      </c>
      <c r="V89" s="330">
        <f t="shared" si="16"/>
        <v>0.13</v>
      </c>
      <c r="W89" s="351">
        <f t="shared" si="17"/>
        <v>0.13</v>
      </c>
      <c r="X89" s="350">
        <f t="shared" si="18"/>
        <v>0.34900049999999994</v>
      </c>
      <c r="Y89" s="350">
        <f t="shared" si="19"/>
        <v>0.49833</v>
      </c>
      <c r="Z89" s="350">
        <f t="shared" si="20"/>
        <v>0.85</v>
      </c>
      <c r="AA89" s="352">
        <f>+Table1[[#This Row],[calculated sale price]]</f>
        <v>0.85</v>
      </c>
      <c r="AB89" s="353"/>
      <c r="AC89" s="354"/>
      <c r="AD89" s="356"/>
      <c r="AE89" s="356">
        <f>Table1[[#This Row],[cost per quantity]]*(1+'P&amp;L'!$P$8)</f>
        <v>0.34900049999999994</v>
      </c>
      <c r="AF89" s="356">
        <f>$AF$8*Table1[[#This Row],[man minutes]]*(1+'P&amp;L'!$P$9)</f>
        <v>0.47459999999999991</v>
      </c>
      <c r="AG89" s="356"/>
      <c r="AH89" s="356"/>
      <c r="AI89" s="356">
        <f>Table1[[#This Row],[Food cost w/ MU]]+Table1[[#This Row],[labor cost W/ MU]]</f>
        <v>0.82360049999999985</v>
      </c>
      <c r="AJ89" s="357"/>
    </row>
    <row r="90" spans="1:36" x14ac:dyDescent="0.25">
      <c r="A90" s="329">
        <v>10081</v>
      </c>
      <c r="B90" s="325" t="s">
        <v>400</v>
      </c>
      <c r="C90" s="329">
        <v>1</v>
      </c>
      <c r="I90" s="329"/>
      <c r="J90" s="329"/>
      <c r="K90" s="329"/>
      <c r="L90" s="345"/>
      <c r="M90" s="329"/>
      <c r="N90" s="346"/>
      <c r="O90" s="347">
        <v>0.28999999999999998</v>
      </c>
      <c r="P90" s="347">
        <f>Table1[[#This Row],[unit cost]]*1.065</f>
        <v>0.30884999999999996</v>
      </c>
      <c r="Q90" s="348">
        <v>1.05</v>
      </c>
      <c r="R90" s="329">
        <v>1</v>
      </c>
      <c r="S90" s="349">
        <f t="shared" si="14"/>
        <v>0.42</v>
      </c>
      <c r="T90" s="350">
        <f>Table1[[#This Row],[man minutes]]*Table1[[#This Row],[labor rate]]</f>
        <v>0.441</v>
      </c>
      <c r="U90" s="350">
        <f t="shared" si="15"/>
        <v>0.74984999999999991</v>
      </c>
      <c r="V90" s="330">
        <f t="shared" si="16"/>
        <v>0.13</v>
      </c>
      <c r="W90" s="351">
        <f t="shared" si="17"/>
        <v>0.13</v>
      </c>
      <c r="X90" s="350">
        <f t="shared" si="18"/>
        <v>0.34900049999999994</v>
      </c>
      <c r="Y90" s="350">
        <f t="shared" si="19"/>
        <v>0.49833</v>
      </c>
      <c r="Z90" s="350">
        <f t="shared" si="20"/>
        <v>0.85</v>
      </c>
      <c r="AA90" s="352">
        <f>+Table1[[#This Row],[calculated sale price]]</f>
        <v>0.85</v>
      </c>
      <c r="AB90" s="353"/>
      <c r="AC90" s="354"/>
      <c r="AD90" s="356"/>
      <c r="AE90" s="356">
        <f>Table1[[#This Row],[cost per quantity]]*(1+'P&amp;L'!$P$8)</f>
        <v>0.34900049999999994</v>
      </c>
      <c r="AF90" s="356">
        <f>$AF$8*Table1[[#This Row],[man minutes]]*(1+'P&amp;L'!$P$9)</f>
        <v>0.47459999999999991</v>
      </c>
      <c r="AG90" s="356"/>
      <c r="AH90" s="356"/>
      <c r="AI90" s="356">
        <f>Table1[[#This Row],[Food cost w/ MU]]+Table1[[#This Row],[labor cost W/ MU]]</f>
        <v>0.82360049999999985</v>
      </c>
      <c r="AJ90" s="357"/>
    </row>
    <row r="91" spans="1:36" x14ac:dyDescent="0.25">
      <c r="A91" s="329">
        <v>10082</v>
      </c>
      <c r="B91" s="325" t="s">
        <v>401</v>
      </c>
      <c r="C91" s="329">
        <v>1</v>
      </c>
      <c r="I91" s="329"/>
      <c r="J91" s="329"/>
      <c r="K91" s="329"/>
      <c r="L91" s="345"/>
      <c r="M91" s="329"/>
      <c r="N91" s="346"/>
      <c r="O91" s="347">
        <v>0.45</v>
      </c>
      <c r="P91" s="347">
        <f>Table1[[#This Row],[unit cost]]*1.065</f>
        <v>0.47925000000000001</v>
      </c>
      <c r="Q91" s="348">
        <v>0.2</v>
      </c>
      <c r="R91" s="329">
        <v>1</v>
      </c>
      <c r="S91" s="349">
        <f t="shared" si="14"/>
        <v>0.42</v>
      </c>
      <c r="T91" s="350">
        <f>Table1[[#This Row],[man minutes]]*Table1[[#This Row],[labor rate]]</f>
        <v>8.4000000000000005E-2</v>
      </c>
      <c r="U91" s="350">
        <f t="shared" si="15"/>
        <v>0.56325000000000003</v>
      </c>
      <c r="V91" s="330">
        <f t="shared" si="16"/>
        <v>0.13</v>
      </c>
      <c r="W91" s="351">
        <f t="shared" si="17"/>
        <v>0.13</v>
      </c>
      <c r="X91" s="350">
        <f t="shared" si="18"/>
        <v>0.54155249999999999</v>
      </c>
      <c r="Y91" s="350">
        <f t="shared" si="19"/>
        <v>9.4920000000000004E-2</v>
      </c>
      <c r="Z91" s="350">
        <f t="shared" si="20"/>
        <v>0.64</v>
      </c>
      <c r="AA91" s="352">
        <f>+Table1[[#This Row],[calculated sale price]]</f>
        <v>0.64</v>
      </c>
      <c r="AB91" s="353"/>
      <c r="AC91" s="354"/>
      <c r="AD91" s="356"/>
      <c r="AE91" s="356">
        <f>Table1[[#This Row],[cost per quantity]]*(1+'P&amp;L'!$P$8)</f>
        <v>0.54155249999999999</v>
      </c>
      <c r="AF91" s="356">
        <f>$AF$8*Table1[[#This Row],[man minutes]]*(1+'P&amp;L'!$P$9)</f>
        <v>9.0399999999999994E-2</v>
      </c>
      <c r="AG91" s="356"/>
      <c r="AH91" s="356"/>
      <c r="AI91" s="356">
        <f>Table1[[#This Row],[Food cost w/ MU]]+Table1[[#This Row],[labor cost W/ MU]]</f>
        <v>0.63195250000000003</v>
      </c>
      <c r="AJ91" s="357"/>
    </row>
    <row r="92" spans="1:36" x14ac:dyDescent="0.25">
      <c r="A92" s="329">
        <v>10083</v>
      </c>
      <c r="B92" s="325" t="s">
        <v>402</v>
      </c>
      <c r="C92" s="329">
        <v>1</v>
      </c>
      <c r="I92" s="329"/>
      <c r="J92" s="329"/>
      <c r="K92" s="329"/>
      <c r="L92" s="345"/>
      <c r="M92" s="329"/>
      <c r="N92" s="346"/>
      <c r="O92" s="347">
        <v>0.3</v>
      </c>
      <c r="P92" s="347">
        <f>Table1[[#This Row],[unit cost]]*1.065</f>
        <v>0.31949999999999995</v>
      </c>
      <c r="Q92" s="348">
        <v>0.2</v>
      </c>
      <c r="R92" s="329">
        <v>1</v>
      </c>
      <c r="S92" s="349">
        <f t="shared" si="14"/>
        <v>0.42</v>
      </c>
      <c r="T92" s="350">
        <f>Table1[[#This Row],[man minutes]]*Table1[[#This Row],[labor rate]]</f>
        <v>8.4000000000000005E-2</v>
      </c>
      <c r="U92" s="350">
        <f t="shared" si="15"/>
        <v>0.40349999999999997</v>
      </c>
      <c r="V92" s="330">
        <f t="shared" si="16"/>
        <v>0.13</v>
      </c>
      <c r="W92" s="351">
        <f t="shared" si="17"/>
        <v>0.13</v>
      </c>
      <c r="X92" s="350">
        <f t="shared" si="18"/>
        <v>0.36103499999999988</v>
      </c>
      <c r="Y92" s="350">
        <f t="shared" si="19"/>
        <v>9.4920000000000004E-2</v>
      </c>
      <c r="Z92" s="350">
        <f t="shared" si="20"/>
        <v>0.46</v>
      </c>
      <c r="AA92" s="352">
        <f>+Table1[[#This Row],[calculated sale price]]</f>
        <v>0.46</v>
      </c>
      <c r="AB92" s="353"/>
      <c r="AC92" s="354"/>
      <c r="AD92" s="356"/>
      <c r="AE92" s="356">
        <f>Table1[[#This Row],[cost per quantity]]*(1+'P&amp;L'!$P$8)</f>
        <v>0.36103499999999988</v>
      </c>
      <c r="AF92" s="356">
        <f>$AF$8*Table1[[#This Row],[man minutes]]*(1+'P&amp;L'!$P$9)</f>
        <v>9.0399999999999994E-2</v>
      </c>
      <c r="AG92" s="356"/>
      <c r="AH92" s="356"/>
      <c r="AI92" s="356">
        <f>Table1[[#This Row],[Food cost w/ MU]]+Table1[[#This Row],[labor cost W/ MU]]</f>
        <v>0.45143499999999986</v>
      </c>
      <c r="AJ92" s="357"/>
    </row>
    <row r="93" spans="1:36" x14ac:dyDescent="0.25">
      <c r="A93" s="329">
        <v>10084</v>
      </c>
      <c r="B93" s="325" t="s">
        <v>403</v>
      </c>
      <c r="C93" s="329">
        <v>1</v>
      </c>
      <c r="I93" s="329"/>
      <c r="J93" s="329"/>
      <c r="K93" s="329"/>
      <c r="L93" s="345"/>
      <c r="M93" s="329"/>
      <c r="N93" s="346"/>
      <c r="O93" s="347">
        <v>1.4693000000000001</v>
      </c>
      <c r="P93" s="347">
        <f>Table1[[#This Row],[unit cost]]*1.065</f>
        <v>1.5648044999999999</v>
      </c>
      <c r="Q93" s="348">
        <v>4.5</v>
      </c>
      <c r="R93" s="329">
        <v>1</v>
      </c>
      <c r="S93" s="349">
        <f t="shared" si="14"/>
        <v>0.42</v>
      </c>
      <c r="T93" s="350">
        <f>Table1[[#This Row],[man minutes]]*Table1[[#This Row],[labor rate]]</f>
        <v>1.89</v>
      </c>
      <c r="U93" s="350">
        <f t="shared" si="15"/>
        <v>3.4548044999999998</v>
      </c>
      <c r="V93" s="330">
        <f t="shared" si="16"/>
        <v>0.13</v>
      </c>
      <c r="W93" s="351">
        <f t="shared" si="17"/>
        <v>0.13</v>
      </c>
      <c r="X93" s="350">
        <f t="shared" si="18"/>
        <v>1.7682290849999998</v>
      </c>
      <c r="Y93" s="350">
        <f t="shared" si="19"/>
        <v>2.1356999999999999</v>
      </c>
      <c r="Z93" s="350">
        <f t="shared" si="20"/>
        <v>3.9099999999999997</v>
      </c>
      <c r="AA93" s="352">
        <f>+Table1[[#This Row],[calculated sale price]]</f>
        <v>3.9099999999999997</v>
      </c>
      <c r="AB93" s="353"/>
      <c r="AC93" s="354"/>
      <c r="AD93" s="356"/>
      <c r="AE93" s="356">
        <f>Table1[[#This Row],[cost per quantity]]*(1+'P&amp;L'!$P$8)</f>
        <v>1.7682290849999998</v>
      </c>
      <c r="AF93" s="356">
        <f>$AF$8*Table1[[#This Row],[man minutes]]*(1+'P&amp;L'!$P$9)</f>
        <v>2.0339999999999998</v>
      </c>
      <c r="AG93" s="356"/>
      <c r="AH93" s="356"/>
      <c r="AI93" s="356">
        <f>Table1[[#This Row],[Food cost w/ MU]]+Table1[[#This Row],[labor cost W/ MU]]</f>
        <v>3.8022290849999996</v>
      </c>
      <c r="AJ93" s="357"/>
    </row>
    <row r="94" spans="1:36" x14ac:dyDescent="0.25">
      <c r="A94" s="329">
        <v>10085</v>
      </c>
      <c r="B94" s="325" t="s">
        <v>404</v>
      </c>
      <c r="C94" s="329">
        <v>1</v>
      </c>
      <c r="I94" s="329"/>
      <c r="J94" s="329"/>
      <c r="K94" s="329"/>
      <c r="L94" s="345"/>
      <c r="M94" s="329"/>
      <c r="N94" s="346"/>
      <c r="O94" s="347">
        <v>1.4693000000000001</v>
      </c>
      <c r="P94" s="347">
        <f>Table1[[#This Row],[unit cost]]*1.065</f>
        <v>1.5648044999999999</v>
      </c>
      <c r="Q94" s="348">
        <v>4.5</v>
      </c>
      <c r="R94" s="329">
        <v>1</v>
      </c>
      <c r="S94" s="349">
        <f t="shared" si="14"/>
        <v>0.42</v>
      </c>
      <c r="T94" s="350">
        <f>Table1[[#This Row],[man minutes]]*Table1[[#This Row],[labor rate]]</f>
        <v>1.89</v>
      </c>
      <c r="U94" s="350">
        <f t="shared" si="15"/>
        <v>3.4548044999999998</v>
      </c>
      <c r="V94" s="330">
        <f t="shared" si="16"/>
        <v>0.13</v>
      </c>
      <c r="W94" s="351">
        <f t="shared" si="17"/>
        <v>0.13</v>
      </c>
      <c r="X94" s="350">
        <f t="shared" si="18"/>
        <v>1.7682290849999998</v>
      </c>
      <c r="Y94" s="350">
        <f t="shared" si="19"/>
        <v>2.1356999999999999</v>
      </c>
      <c r="Z94" s="350">
        <f t="shared" si="20"/>
        <v>3.9099999999999997</v>
      </c>
      <c r="AA94" s="352">
        <f>+Table1[[#This Row],[calculated sale price]]</f>
        <v>3.9099999999999997</v>
      </c>
      <c r="AB94" s="353"/>
      <c r="AC94" s="354"/>
      <c r="AD94" s="356"/>
      <c r="AE94" s="356">
        <f>Table1[[#This Row],[cost per quantity]]*(1+'P&amp;L'!$P$8)</f>
        <v>1.7682290849999998</v>
      </c>
      <c r="AF94" s="356">
        <f>$AF$8*Table1[[#This Row],[man minutes]]*(1+'P&amp;L'!$P$9)</f>
        <v>2.0339999999999998</v>
      </c>
      <c r="AG94" s="356"/>
      <c r="AH94" s="356"/>
      <c r="AI94" s="356">
        <f>Table1[[#This Row],[Food cost w/ MU]]+Table1[[#This Row],[labor cost W/ MU]]</f>
        <v>3.8022290849999996</v>
      </c>
      <c r="AJ94" s="357"/>
    </row>
    <row r="95" spans="1:36" x14ac:dyDescent="0.25">
      <c r="A95" s="329">
        <v>10086</v>
      </c>
      <c r="B95" s="325" t="s">
        <v>405</v>
      </c>
      <c r="C95" s="329">
        <v>1</v>
      </c>
      <c r="I95" s="329"/>
      <c r="J95" s="329"/>
      <c r="K95" s="329"/>
      <c r="L95" s="345"/>
      <c r="M95" s="329"/>
      <c r="N95" s="346"/>
      <c r="O95" s="347">
        <v>0.05</v>
      </c>
      <c r="P95" s="347">
        <f>Table1[[#This Row],[unit cost]]*1.065</f>
        <v>5.3249999999999999E-2</v>
      </c>
      <c r="Q95" s="348">
        <v>0.2</v>
      </c>
      <c r="R95" s="329">
        <v>1</v>
      </c>
      <c r="S95" s="349">
        <f t="shared" si="14"/>
        <v>0.42</v>
      </c>
      <c r="T95" s="350">
        <f>Table1[[#This Row],[man minutes]]*Table1[[#This Row],[labor rate]]</f>
        <v>8.4000000000000005E-2</v>
      </c>
      <c r="U95" s="350">
        <f t="shared" si="15"/>
        <v>0.13725000000000001</v>
      </c>
      <c r="V95" s="330">
        <f t="shared" si="16"/>
        <v>0.13</v>
      </c>
      <c r="W95" s="351">
        <f t="shared" si="17"/>
        <v>0.13</v>
      </c>
      <c r="X95" s="350">
        <f t="shared" si="18"/>
        <v>6.017249999999999E-2</v>
      </c>
      <c r="Y95" s="350">
        <f t="shared" si="19"/>
        <v>9.4920000000000004E-2</v>
      </c>
      <c r="Z95" s="350">
        <f t="shared" si="20"/>
        <v>0.16</v>
      </c>
      <c r="AA95" s="352">
        <f>+Table1[[#This Row],[calculated sale price]]</f>
        <v>0.16</v>
      </c>
      <c r="AB95" s="353"/>
      <c r="AC95" s="354"/>
      <c r="AD95" s="356"/>
      <c r="AE95" s="356">
        <f>Table1[[#This Row],[cost per quantity]]*(1+'P&amp;L'!$P$8)</f>
        <v>6.017249999999999E-2</v>
      </c>
      <c r="AF95" s="356">
        <f>$AF$8*Table1[[#This Row],[man minutes]]*(1+'P&amp;L'!$P$9)</f>
        <v>9.0399999999999994E-2</v>
      </c>
      <c r="AG95" s="356"/>
      <c r="AH95" s="356"/>
      <c r="AI95" s="356">
        <f>Table1[[#This Row],[Food cost w/ MU]]+Table1[[#This Row],[labor cost W/ MU]]</f>
        <v>0.1505725</v>
      </c>
      <c r="AJ95" s="357"/>
    </row>
    <row r="96" spans="1:36" x14ac:dyDescent="0.25">
      <c r="A96" s="329">
        <v>10087</v>
      </c>
      <c r="B96" s="325" t="s">
        <v>406</v>
      </c>
      <c r="C96" s="329">
        <v>1</v>
      </c>
      <c r="I96" s="329"/>
      <c r="J96" s="329"/>
      <c r="K96" s="329"/>
      <c r="L96" s="345"/>
      <c r="M96" s="329"/>
      <c r="N96" s="346"/>
      <c r="O96" s="347">
        <v>7.0000000000000007E-2</v>
      </c>
      <c r="P96" s="347">
        <f>Table1[[#This Row],[unit cost]]*1.065</f>
        <v>7.4550000000000005E-2</v>
      </c>
      <c r="Q96" s="348">
        <v>0.2</v>
      </c>
      <c r="R96" s="329">
        <v>1</v>
      </c>
      <c r="S96" s="349">
        <f t="shared" si="14"/>
        <v>0.42</v>
      </c>
      <c r="T96" s="350">
        <f>Table1[[#This Row],[man minutes]]*Table1[[#This Row],[labor rate]]</f>
        <v>8.4000000000000005E-2</v>
      </c>
      <c r="U96" s="350">
        <f t="shared" si="15"/>
        <v>0.15855000000000002</v>
      </c>
      <c r="V96" s="330">
        <f t="shared" si="16"/>
        <v>0.13</v>
      </c>
      <c r="W96" s="351">
        <f t="shared" si="17"/>
        <v>0.13</v>
      </c>
      <c r="X96" s="350">
        <f t="shared" si="18"/>
        <v>8.4241499999999997E-2</v>
      </c>
      <c r="Y96" s="350">
        <f t="shared" si="19"/>
        <v>9.4920000000000004E-2</v>
      </c>
      <c r="Z96" s="350">
        <f t="shared" si="20"/>
        <v>0.18000000000000002</v>
      </c>
      <c r="AA96" s="352">
        <f>+Table1[[#This Row],[calculated sale price]]</f>
        <v>0.18000000000000002</v>
      </c>
      <c r="AB96" s="353"/>
      <c r="AC96" s="354"/>
      <c r="AD96" s="356"/>
      <c r="AE96" s="356">
        <f>Table1[[#This Row],[cost per quantity]]*(1+'P&amp;L'!$P$8)</f>
        <v>8.4241499999999997E-2</v>
      </c>
      <c r="AF96" s="356">
        <f>$AF$8*Table1[[#This Row],[man minutes]]*(1+'P&amp;L'!$P$9)</f>
        <v>9.0399999999999994E-2</v>
      </c>
      <c r="AG96" s="356"/>
      <c r="AH96" s="356"/>
      <c r="AI96" s="356">
        <f>Table1[[#This Row],[Food cost w/ MU]]+Table1[[#This Row],[labor cost W/ MU]]</f>
        <v>0.17464150000000001</v>
      </c>
      <c r="AJ96" s="357"/>
    </row>
    <row r="97" spans="1:36" x14ac:dyDescent="0.25">
      <c r="A97" s="329">
        <v>10088</v>
      </c>
      <c r="B97" s="325" t="s">
        <v>407</v>
      </c>
      <c r="C97" s="329">
        <v>1</v>
      </c>
      <c r="I97" s="329"/>
      <c r="J97" s="329"/>
      <c r="K97" s="329"/>
      <c r="L97" s="345"/>
      <c r="M97" s="329"/>
      <c r="N97" s="346"/>
      <c r="O97" s="347">
        <v>0.56540000000000001</v>
      </c>
      <c r="P97" s="347">
        <f>Table1[[#This Row],[unit cost]]*1.065</f>
        <v>0.60215099999999999</v>
      </c>
      <c r="Q97" s="348">
        <v>0.2</v>
      </c>
      <c r="R97" s="329">
        <v>1</v>
      </c>
      <c r="S97" s="349">
        <f t="shared" si="14"/>
        <v>0.42</v>
      </c>
      <c r="T97" s="350">
        <f>Table1[[#This Row],[man minutes]]*Table1[[#This Row],[labor rate]]</f>
        <v>8.4000000000000005E-2</v>
      </c>
      <c r="U97" s="350">
        <f t="shared" si="15"/>
        <v>0.68615099999999996</v>
      </c>
      <c r="V97" s="330">
        <f t="shared" si="16"/>
        <v>0.13</v>
      </c>
      <c r="W97" s="351">
        <f t="shared" si="17"/>
        <v>0.13</v>
      </c>
      <c r="X97" s="350">
        <f t="shared" si="18"/>
        <v>0.68043062999999993</v>
      </c>
      <c r="Y97" s="350">
        <f t="shared" si="19"/>
        <v>9.4920000000000004E-2</v>
      </c>
      <c r="Z97" s="350">
        <f t="shared" si="20"/>
        <v>0.78</v>
      </c>
      <c r="AA97" s="352">
        <f>+Table1[[#This Row],[calculated sale price]]</f>
        <v>0.78</v>
      </c>
      <c r="AB97" s="353"/>
      <c r="AC97" s="354"/>
      <c r="AD97" s="356"/>
      <c r="AE97" s="356">
        <f>Table1[[#This Row],[cost per quantity]]*(1+'P&amp;L'!$P$8)</f>
        <v>0.68043062999999993</v>
      </c>
      <c r="AF97" s="356">
        <f>$AF$8*Table1[[#This Row],[man minutes]]*(1+'P&amp;L'!$P$9)</f>
        <v>9.0399999999999994E-2</v>
      </c>
      <c r="AG97" s="356"/>
      <c r="AH97" s="356"/>
      <c r="AI97" s="356">
        <f>Table1[[#This Row],[Food cost w/ MU]]+Table1[[#This Row],[labor cost W/ MU]]</f>
        <v>0.77083062999999996</v>
      </c>
      <c r="AJ97" s="357"/>
    </row>
    <row r="98" spans="1:36" x14ac:dyDescent="0.25">
      <c r="A98" s="329">
        <v>10089</v>
      </c>
      <c r="B98" s="325" t="s">
        <v>408</v>
      </c>
      <c r="C98" s="329">
        <v>1</v>
      </c>
      <c r="I98" s="329"/>
      <c r="J98" s="329"/>
      <c r="K98" s="329"/>
      <c r="L98" s="345"/>
      <c r="M98" s="329"/>
      <c r="N98" s="346"/>
      <c r="O98" s="347">
        <v>0.55000000000000004</v>
      </c>
      <c r="P98" s="347">
        <f>Table1[[#This Row],[unit cost]]*1.065</f>
        <v>0.58574999999999999</v>
      </c>
      <c r="Q98" s="348">
        <v>0.2</v>
      </c>
      <c r="R98" s="329">
        <v>1</v>
      </c>
      <c r="S98" s="349">
        <f t="shared" si="14"/>
        <v>0.42</v>
      </c>
      <c r="T98" s="350">
        <f>Table1[[#This Row],[man minutes]]*Table1[[#This Row],[labor rate]]</f>
        <v>8.4000000000000005E-2</v>
      </c>
      <c r="U98" s="350">
        <f t="shared" si="15"/>
        <v>0.66974999999999996</v>
      </c>
      <c r="V98" s="330">
        <f t="shared" si="16"/>
        <v>0.13</v>
      </c>
      <c r="W98" s="351">
        <f t="shared" si="17"/>
        <v>0.13</v>
      </c>
      <c r="X98" s="350">
        <f t="shared" si="18"/>
        <v>0.66189749999999992</v>
      </c>
      <c r="Y98" s="350">
        <f t="shared" si="19"/>
        <v>9.4920000000000004E-2</v>
      </c>
      <c r="Z98" s="350">
        <f t="shared" si="20"/>
        <v>0.76</v>
      </c>
      <c r="AA98" s="352">
        <f>+Table1[[#This Row],[calculated sale price]]</f>
        <v>0.76</v>
      </c>
      <c r="AB98" s="353"/>
      <c r="AC98" s="354"/>
      <c r="AD98" s="356"/>
      <c r="AE98" s="356">
        <f>Table1[[#This Row],[cost per quantity]]*(1+'P&amp;L'!$P$8)</f>
        <v>0.66189749999999992</v>
      </c>
      <c r="AF98" s="356">
        <f>$AF$8*Table1[[#This Row],[man minutes]]*(1+'P&amp;L'!$P$9)</f>
        <v>9.0399999999999994E-2</v>
      </c>
      <c r="AG98" s="356"/>
      <c r="AH98" s="356"/>
      <c r="AI98" s="356">
        <f>Table1[[#This Row],[Food cost w/ MU]]+Table1[[#This Row],[labor cost W/ MU]]</f>
        <v>0.75229749999999995</v>
      </c>
      <c r="AJ98" s="357"/>
    </row>
    <row r="99" spans="1:36" x14ac:dyDescent="0.25">
      <c r="A99" s="329">
        <v>10090</v>
      </c>
      <c r="B99" s="325" t="s">
        <v>409</v>
      </c>
      <c r="C99" s="329">
        <v>1</v>
      </c>
      <c r="I99" s="329"/>
      <c r="J99" s="329"/>
      <c r="K99" s="329"/>
      <c r="L99" s="345"/>
      <c r="M99" s="329"/>
      <c r="N99" s="346"/>
      <c r="O99" s="347">
        <v>7.0000000000000007E-2</v>
      </c>
      <c r="P99" s="347">
        <f>Table1[[#This Row],[unit cost]]*1.065</f>
        <v>7.4550000000000005E-2</v>
      </c>
      <c r="Q99" s="348">
        <v>0.2</v>
      </c>
      <c r="R99" s="329">
        <v>1</v>
      </c>
      <c r="S99" s="349">
        <f t="shared" si="14"/>
        <v>0.42</v>
      </c>
      <c r="T99" s="350">
        <f>Table1[[#This Row],[man minutes]]*Table1[[#This Row],[labor rate]]</f>
        <v>8.4000000000000005E-2</v>
      </c>
      <c r="U99" s="350">
        <f t="shared" si="15"/>
        <v>0.15855000000000002</v>
      </c>
      <c r="V99" s="330">
        <f t="shared" si="16"/>
        <v>0.13</v>
      </c>
      <c r="W99" s="351">
        <f t="shared" si="17"/>
        <v>0.13</v>
      </c>
      <c r="X99" s="350">
        <f t="shared" si="18"/>
        <v>8.4241499999999997E-2</v>
      </c>
      <c r="Y99" s="350">
        <f t="shared" si="19"/>
        <v>9.4920000000000004E-2</v>
      </c>
      <c r="Z99" s="350">
        <f t="shared" si="20"/>
        <v>0.18000000000000002</v>
      </c>
      <c r="AA99" s="352">
        <f>+Table1[[#This Row],[calculated sale price]]</f>
        <v>0.18000000000000002</v>
      </c>
      <c r="AB99" s="353"/>
      <c r="AC99" s="354"/>
      <c r="AD99" s="356"/>
      <c r="AE99" s="356">
        <f>Table1[[#This Row],[cost per quantity]]*(1+'P&amp;L'!$P$8)</f>
        <v>8.4241499999999997E-2</v>
      </c>
      <c r="AF99" s="356">
        <f>$AF$8*Table1[[#This Row],[man minutes]]*(1+'P&amp;L'!$P$9)</f>
        <v>9.0399999999999994E-2</v>
      </c>
      <c r="AG99" s="356"/>
      <c r="AH99" s="356"/>
      <c r="AI99" s="356">
        <f>Table1[[#This Row],[Food cost w/ MU]]+Table1[[#This Row],[labor cost W/ MU]]</f>
        <v>0.17464150000000001</v>
      </c>
      <c r="AJ99" s="357"/>
    </row>
    <row r="100" spans="1:36" x14ac:dyDescent="0.25">
      <c r="A100" s="329">
        <v>10091</v>
      </c>
      <c r="B100" s="325" t="s">
        <v>410</v>
      </c>
      <c r="C100" s="329">
        <v>1</v>
      </c>
      <c r="I100" s="329"/>
      <c r="J100" s="329"/>
      <c r="K100" s="329"/>
      <c r="L100" s="345"/>
      <c r="M100" s="329"/>
      <c r="N100" s="346"/>
      <c r="O100" s="347">
        <v>0.86499999999999999</v>
      </c>
      <c r="P100" s="347">
        <f>Table1[[#This Row],[unit cost]]*1.065</f>
        <v>0.92122499999999996</v>
      </c>
      <c r="Q100" s="348">
        <v>0.2</v>
      </c>
      <c r="R100" s="329">
        <v>1</v>
      </c>
      <c r="S100" s="349">
        <f t="shared" si="14"/>
        <v>0.42</v>
      </c>
      <c r="T100" s="350">
        <f>Table1[[#This Row],[man minutes]]*Table1[[#This Row],[labor rate]]</f>
        <v>8.4000000000000005E-2</v>
      </c>
      <c r="U100" s="350">
        <f t="shared" si="15"/>
        <v>1.005225</v>
      </c>
      <c r="V100" s="330">
        <f t="shared" si="16"/>
        <v>0.13</v>
      </c>
      <c r="W100" s="351">
        <f t="shared" si="17"/>
        <v>0.13</v>
      </c>
      <c r="X100" s="350">
        <f t="shared" si="18"/>
        <v>1.0409842499999999</v>
      </c>
      <c r="Y100" s="350">
        <f t="shared" si="19"/>
        <v>9.4920000000000004E-2</v>
      </c>
      <c r="Z100" s="350">
        <f t="shared" si="20"/>
        <v>1.1399999999999999</v>
      </c>
      <c r="AA100" s="352">
        <f>+Table1[[#This Row],[calculated sale price]]</f>
        <v>1.1399999999999999</v>
      </c>
      <c r="AB100" s="353"/>
      <c r="AC100" s="354"/>
      <c r="AD100" s="356"/>
      <c r="AE100" s="356">
        <f>Table1[[#This Row],[cost per quantity]]*(1+'P&amp;L'!$P$8)</f>
        <v>1.0409842499999999</v>
      </c>
      <c r="AF100" s="356">
        <f>$AF$8*Table1[[#This Row],[man minutes]]*(1+'P&amp;L'!$P$9)</f>
        <v>9.0399999999999994E-2</v>
      </c>
      <c r="AG100" s="356"/>
      <c r="AH100" s="356"/>
      <c r="AI100" s="356">
        <f>Table1[[#This Row],[Food cost w/ MU]]+Table1[[#This Row],[labor cost W/ MU]]</f>
        <v>1.13138425</v>
      </c>
      <c r="AJ100" s="357"/>
    </row>
    <row r="101" spans="1:36" x14ac:dyDescent="0.25">
      <c r="A101" s="329">
        <v>10092</v>
      </c>
      <c r="B101" s="325" t="s">
        <v>411</v>
      </c>
      <c r="C101" s="329">
        <v>1</v>
      </c>
      <c r="I101" s="329"/>
      <c r="J101" s="329"/>
      <c r="K101" s="329"/>
      <c r="L101" s="345"/>
      <c r="M101" s="329"/>
      <c r="N101" s="346"/>
      <c r="O101" s="347">
        <v>11.773</v>
      </c>
      <c r="P101" s="347">
        <f>Table1[[#This Row],[unit cost]]*1.065</f>
        <v>12.538245</v>
      </c>
      <c r="Q101" s="348">
        <v>8</v>
      </c>
      <c r="R101" s="329">
        <v>1</v>
      </c>
      <c r="S101" s="349">
        <f t="shared" si="14"/>
        <v>0.42</v>
      </c>
      <c r="T101" s="350">
        <f>Table1[[#This Row],[man minutes]]*Table1[[#This Row],[labor rate]]</f>
        <v>3.36</v>
      </c>
      <c r="U101" s="350">
        <f t="shared" si="15"/>
        <v>15.898244999999999</v>
      </c>
      <c r="V101" s="330">
        <f t="shared" si="16"/>
        <v>0.13</v>
      </c>
      <c r="W101" s="351">
        <f t="shared" si="17"/>
        <v>0.13</v>
      </c>
      <c r="X101" s="350">
        <f t="shared" si="18"/>
        <v>14.168216849999999</v>
      </c>
      <c r="Y101" s="350">
        <f t="shared" si="19"/>
        <v>3.7967999999999997</v>
      </c>
      <c r="Z101" s="350">
        <f t="shared" si="20"/>
        <v>17.970000000000002</v>
      </c>
      <c r="AA101" s="352">
        <f>+Table1[[#This Row],[calculated sale price]]</f>
        <v>17.970000000000002</v>
      </c>
      <c r="AB101" s="353"/>
      <c r="AC101" s="354"/>
      <c r="AD101" s="356"/>
      <c r="AE101" s="356">
        <f>Table1[[#This Row],[cost per quantity]]*(1+'P&amp;L'!$P$8)</f>
        <v>14.168216849999999</v>
      </c>
      <c r="AF101" s="356">
        <f>$AF$8*Table1[[#This Row],[man minutes]]*(1+'P&amp;L'!$P$9)</f>
        <v>3.6159999999999992</v>
      </c>
      <c r="AG101" s="356"/>
      <c r="AH101" s="356"/>
      <c r="AI101" s="356">
        <f>Table1[[#This Row],[Food cost w/ MU]]+Table1[[#This Row],[labor cost W/ MU]]</f>
        <v>17.784216849999996</v>
      </c>
      <c r="AJ101" s="357"/>
    </row>
    <row r="102" spans="1:36" x14ac:dyDescent="0.25">
      <c r="A102" s="329">
        <v>10093</v>
      </c>
      <c r="B102" s="325" t="s">
        <v>413</v>
      </c>
      <c r="C102" s="329">
        <v>1</v>
      </c>
      <c r="I102" s="329"/>
      <c r="J102" s="329"/>
      <c r="K102" s="329"/>
      <c r="L102" s="345"/>
      <c r="M102" s="329"/>
      <c r="N102" s="346"/>
      <c r="O102" s="347">
        <v>1.52155</v>
      </c>
      <c r="P102" s="347">
        <f>Table1[[#This Row],[unit cost]]*1.065</f>
        <v>1.6204507499999998</v>
      </c>
      <c r="Q102" s="348">
        <v>2.5</v>
      </c>
      <c r="R102" s="329">
        <v>1</v>
      </c>
      <c r="S102" s="349">
        <f t="shared" si="14"/>
        <v>0.42</v>
      </c>
      <c r="T102" s="350">
        <f>Table1[[#This Row],[man minutes]]*Table1[[#This Row],[labor rate]]</f>
        <v>1.05</v>
      </c>
      <c r="U102" s="350">
        <f t="shared" si="15"/>
        <v>2.6704507499999997</v>
      </c>
      <c r="V102" s="330">
        <f t="shared" si="16"/>
        <v>0.13</v>
      </c>
      <c r="W102" s="351">
        <f t="shared" si="17"/>
        <v>0.13</v>
      </c>
      <c r="X102" s="350">
        <f t="shared" si="18"/>
        <v>1.8311093474999995</v>
      </c>
      <c r="Y102" s="350">
        <f t="shared" si="19"/>
        <v>1.1865000000000001</v>
      </c>
      <c r="Z102" s="350">
        <f t="shared" si="20"/>
        <v>3.0199999999999996</v>
      </c>
      <c r="AA102" s="352">
        <f>+Table1[[#This Row],[calculated sale price]]</f>
        <v>3.0199999999999996</v>
      </c>
      <c r="AB102" s="353"/>
      <c r="AC102" s="354"/>
      <c r="AD102" s="356"/>
      <c r="AE102" s="356">
        <f>Table1[[#This Row],[cost per quantity]]*(1+'P&amp;L'!$P$8)</f>
        <v>1.8311093474999995</v>
      </c>
      <c r="AF102" s="356">
        <f>$AF$8*Table1[[#This Row],[man minutes]]*(1+'P&amp;L'!$P$9)</f>
        <v>1.1299999999999997</v>
      </c>
      <c r="AG102" s="356"/>
      <c r="AH102" s="356"/>
      <c r="AI102" s="356">
        <f>Table1[[#This Row],[Food cost w/ MU]]+Table1[[#This Row],[labor cost W/ MU]]</f>
        <v>2.961109347499999</v>
      </c>
      <c r="AJ102" s="362">
        <v>20240830</v>
      </c>
    </row>
    <row r="103" spans="1:36" x14ac:dyDescent="0.25">
      <c r="A103" s="329">
        <v>10094</v>
      </c>
      <c r="B103" s="325" t="s">
        <v>414</v>
      </c>
      <c r="C103" s="329">
        <v>1</v>
      </c>
      <c r="I103" s="329"/>
      <c r="J103" s="329"/>
      <c r="K103" s="329"/>
      <c r="L103" s="345"/>
      <c r="M103" s="329"/>
      <c r="N103" s="346"/>
      <c r="O103" s="347">
        <v>1.6574614000000001</v>
      </c>
      <c r="P103" s="347">
        <f>Table1[[#This Row],[unit cost]]*1.065</f>
        <v>1.7651963909999999</v>
      </c>
      <c r="Q103" s="348">
        <v>1.5</v>
      </c>
      <c r="R103" s="329">
        <v>1</v>
      </c>
      <c r="S103" s="349">
        <f t="shared" si="14"/>
        <v>0.42</v>
      </c>
      <c r="T103" s="350">
        <f>Table1[[#This Row],[man minutes]]*Table1[[#This Row],[labor rate]]</f>
        <v>0.63</v>
      </c>
      <c r="U103" s="350">
        <f t="shared" si="15"/>
        <v>2.3951963909999998</v>
      </c>
      <c r="V103" s="330">
        <f t="shared" si="16"/>
        <v>0.13</v>
      </c>
      <c r="W103" s="351">
        <f t="shared" si="17"/>
        <v>0.13</v>
      </c>
      <c r="X103" s="350">
        <f t="shared" si="18"/>
        <v>1.9946719218299998</v>
      </c>
      <c r="Y103" s="350">
        <f t="shared" si="19"/>
        <v>0.71189999999999998</v>
      </c>
      <c r="Z103" s="350">
        <f t="shared" si="20"/>
        <v>2.71</v>
      </c>
      <c r="AA103" s="352">
        <f>+Table1[[#This Row],[calculated sale price]]</f>
        <v>2.71</v>
      </c>
      <c r="AB103" s="353"/>
      <c r="AC103" s="354"/>
      <c r="AD103" s="356"/>
      <c r="AE103" s="356">
        <f>Table1[[#This Row],[cost per quantity]]*(1+'P&amp;L'!$P$8)</f>
        <v>1.9946719218299998</v>
      </c>
      <c r="AF103" s="356">
        <f>$AF$8*Table1[[#This Row],[man minutes]]*(1+'P&amp;L'!$P$9)</f>
        <v>0.67799999999999994</v>
      </c>
      <c r="AG103" s="356"/>
      <c r="AH103" s="356"/>
      <c r="AI103" s="356">
        <f>Table1[[#This Row],[Food cost w/ MU]]+Table1[[#This Row],[labor cost W/ MU]]</f>
        <v>2.6726719218299997</v>
      </c>
      <c r="AJ103" s="362">
        <v>20240830</v>
      </c>
    </row>
    <row r="104" spans="1:36" x14ac:dyDescent="0.25">
      <c r="A104" s="329">
        <v>10095</v>
      </c>
      <c r="B104" s="325" t="s">
        <v>415</v>
      </c>
      <c r="C104" s="329">
        <v>1</v>
      </c>
      <c r="I104" s="329"/>
      <c r="J104" s="329"/>
      <c r="K104" s="329"/>
      <c r="L104" s="345"/>
      <c r="M104" s="329"/>
      <c r="N104" s="346"/>
      <c r="O104" s="347">
        <v>2.0512907</v>
      </c>
      <c r="P104" s="347">
        <f>Table1[[#This Row],[unit cost]]*1.065</f>
        <v>2.1846245954999999</v>
      </c>
      <c r="Q104" s="348">
        <v>3</v>
      </c>
      <c r="R104" s="329">
        <v>1</v>
      </c>
      <c r="S104" s="349">
        <f t="shared" si="14"/>
        <v>0.42</v>
      </c>
      <c r="T104" s="350">
        <f>Table1[[#This Row],[man minutes]]*Table1[[#This Row],[labor rate]]</f>
        <v>1.26</v>
      </c>
      <c r="U104" s="350">
        <f t="shared" si="15"/>
        <v>3.4446245954999997</v>
      </c>
      <c r="V104" s="330">
        <f t="shared" si="16"/>
        <v>0.13</v>
      </c>
      <c r="W104" s="351">
        <f t="shared" si="17"/>
        <v>0.13</v>
      </c>
      <c r="X104" s="350">
        <f t="shared" si="18"/>
        <v>2.4686257929149997</v>
      </c>
      <c r="Y104" s="350">
        <f t="shared" si="19"/>
        <v>1.4238</v>
      </c>
      <c r="Z104" s="350">
        <f t="shared" si="20"/>
        <v>3.9</v>
      </c>
      <c r="AA104" s="352">
        <f>+Table1[[#This Row],[calculated sale price]]</f>
        <v>3.9</v>
      </c>
      <c r="AB104" s="353"/>
      <c r="AC104" s="354"/>
      <c r="AD104" s="356"/>
      <c r="AE104" s="356">
        <f>Table1[[#This Row],[cost per quantity]]*(1+'P&amp;L'!$P$8)</f>
        <v>2.4686257929149997</v>
      </c>
      <c r="AF104" s="356">
        <f>$AF$8*Table1[[#This Row],[man minutes]]*(1+'P&amp;L'!$P$9)</f>
        <v>1.3559999999999999</v>
      </c>
      <c r="AG104" s="356"/>
      <c r="AH104" s="356"/>
      <c r="AI104" s="356">
        <f>Table1[[#This Row],[Food cost w/ MU]]+Table1[[#This Row],[labor cost W/ MU]]</f>
        <v>3.8246257929149996</v>
      </c>
      <c r="AJ104" s="362">
        <v>20240830</v>
      </c>
    </row>
    <row r="105" spans="1:36" x14ac:dyDescent="0.25">
      <c r="A105" s="329">
        <v>10096</v>
      </c>
      <c r="B105" s="325" t="s">
        <v>416</v>
      </c>
      <c r="C105" s="329">
        <v>1</v>
      </c>
      <c r="I105" s="329"/>
      <c r="J105" s="329"/>
      <c r="K105" s="329"/>
      <c r="L105" s="345"/>
      <c r="M105" s="329"/>
      <c r="N105" s="346"/>
      <c r="O105" s="347">
        <v>3.043060621</v>
      </c>
      <c r="P105" s="347">
        <f>Table1[[#This Row],[unit cost]]*1.065</f>
        <v>3.2408595613649998</v>
      </c>
      <c r="Q105" s="348">
        <v>3.5</v>
      </c>
      <c r="R105" s="329">
        <v>1</v>
      </c>
      <c r="S105" s="349">
        <f t="shared" si="14"/>
        <v>0.42</v>
      </c>
      <c r="T105" s="350">
        <f>Table1[[#This Row],[man minutes]]*Table1[[#This Row],[labor rate]]</f>
        <v>1.47</v>
      </c>
      <c r="U105" s="350">
        <f t="shared" si="15"/>
        <v>4.7108595613649999</v>
      </c>
      <c r="V105" s="330">
        <f t="shared" si="16"/>
        <v>0.13</v>
      </c>
      <c r="W105" s="351">
        <f t="shared" si="17"/>
        <v>0.13</v>
      </c>
      <c r="X105" s="350">
        <f t="shared" si="18"/>
        <v>3.6621713043424493</v>
      </c>
      <c r="Y105" s="350">
        <f t="shared" si="19"/>
        <v>1.6611</v>
      </c>
      <c r="Z105" s="350">
        <f t="shared" si="20"/>
        <v>5.33</v>
      </c>
      <c r="AA105" s="352">
        <f>+Table1[[#This Row],[calculated sale price]]</f>
        <v>5.33</v>
      </c>
      <c r="AB105" s="353"/>
      <c r="AC105" s="354"/>
      <c r="AD105" s="356"/>
      <c r="AE105" s="356">
        <f>Table1[[#This Row],[cost per quantity]]*(1+'P&amp;L'!$P$8)</f>
        <v>3.6621713043424493</v>
      </c>
      <c r="AF105" s="356">
        <f>$AF$8*Table1[[#This Row],[man minutes]]*(1+'P&amp;L'!$P$9)</f>
        <v>1.5819999999999999</v>
      </c>
      <c r="AG105" s="356"/>
      <c r="AH105" s="356"/>
      <c r="AI105" s="356">
        <f>Table1[[#This Row],[Food cost w/ MU]]+Table1[[#This Row],[labor cost W/ MU]]</f>
        <v>5.2441713043424496</v>
      </c>
      <c r="AJ105" s="362">
        <v>20240830</v>
      </c>
    </row>
    <row r="106" spans="1:36" x14ac:dyDescent="0.25">
      <c r="A106" s="329">
        <v>10097</v>
      </c>
      <c r="B106" s="325" t="s">
        <v>417</v>
      </c>
      <c r="C106" s="329">
        <v>1</v>
      </c>
      <c r="I106" s="329"/>
      <c r="J106" s="329"/>
      <c r="K106" s="329"/>
      <c r="L106" s="345"/>
      <c r="M106" s="329"/>
      <c r="N106" s="346"/>
      <c r="O106" s="347">
        <v>0.46794799999999998</v>
      </c>
      <c r="P106" s="347">
        <f>Table1[[#This Row],[unit cost]]*1.065</f>
        <v>0.49836461999999992</v>
      </c>
      <c r="Q106" s="348">
        <v>2.5</v>
      </c>
      <c r="R106" s="329">
        <v>1</v>
      </c>
      <c r="S106" s="349">
        <f t="shared" ref="S106:S127" si="21">$S$2</f>
        <v>0.42</v>
      </c>
      <c r="T106" s="350">
        <f>Table1[[#This Row],[man minutes]]*Table1[[#This Row],[labor rate]]</f>
        <v>1.05</v>
      </c>
      <c r="U106" s="350">
        <f t="shared" ref="U106:U137" si="22">P106+T106</f>
        <v>1.5483646200000001</v>
      </c>
      <c r="V106" s="330">
        <f t="shared" ref="V106:V127" si="23">$V$2</f>
        <v>0.13</v>
      </c>
      <c r="W106" s="351">
        <f t="shared" ref="W106:W127" si="24">$W$2</f>
        <v>0.13</v>
      </c>
      <c r="X106" s="350">
        <f t="shared" ref="X106:X121" si="25">P106*(1+V106)</f>
        <v>0.56315202059999991</v>
      </c>
      <c r="Y106" s="350">
        <f t="shared" ref="Y106:Y127" si="26">T106+(T106*W106)</f>
        <v>1.1865000000000001</v>
      </c>
      <c r="Z106" s="350">
        <f t="shared" ref="Z106:Z137" si="27">IFERROR(ROUNDUP(X106+Y106,2)," ")</f>
        <v>1.75</v>
      </c>
      <c r="AA106" s="352">
        <f>+Table1[[#This Row],[calculated sale price]]</f>
        <v>1.75</v>
      </c>
      <c r="AB106" s="353"/>
      <c r="AC106" s="354"/>
      <c r="AD106" s="356"/>
      <c r="AE106" s="356">
        <f>Table1[[#This Row],[cost per quantity]]*(1+'P&amp;L'!$P$8)</f>
        <v>0.56315202059999991</v>
      </c>
      <c r="AF106" s="356">
        <f>$AF$8*Table1[[#This Row],[man minutes]]*(1+'P&amp;L'!$P$9)</f>
        <v>1.1299999999999997</v>
      </c>
      <c r="AG106" s="356"/>
      <c r="AH106" s="356"/>
      <c r="AI106" s="356">
        <f>Table1[[#This Row],[Food cost w/ MU]]+Table1[[#This Row],[labor cost W/ MU]]</f>
        <v>1.6931520205999995</v>
      </c>
      <c r="AJ106" s="362">
        <v>20240830</v>
      </c>
    </row>
    <row r="107" spans="1:36" x14ac:dyDescent="0.25">
      <c r="A107" s="329">
        <v>10098</v>
      </c>
      <c r="B107" s="325" t="s">
        <v>418</v>
      </c>
      <c r="C107" s="329">
        <v>1</v>
      </c>
      <c r="I107" s="329"/>
      <c r="J107" s="329"/>
      <c r="K107" s="329"/>
      <c r="L107" s="345"/>
      <c r="M107" s="329"/>
      <c r="N107" s="346"/>
      <c r="O107" s="347">
        <v>11.28536003</v>
      </c>
      <c r="P107" s="347">
        <f>Table1[[#This Row],[unit cost]]*1.065</f>
        <v>12.018908431949999</v>
      </c>
      <c r="Q107" s="348">
        <v>6</v>
      </c>
      <c r="R107" s="329">
        <v>1</v>
      </c>
      <c r="S107" s="349">
        <f t="shared" si="21"/>
        <v>0.42</v>
      </c>
      <c r="T107" s="350">
        <f>Table1[[#This Row],[man minutes]]*Table1[[#This Row],[labor rate]]</f>
        <v>2.52</v>
      </c>
      <c r="U107" s="350">
        <f t="shared" si="22"/>
        <v>14.538908431949999</v>
      </c>
      <c r="V107" s="330">
        <f t="shared" si="23"/>
        <v>0.13</v>
      </c>
      <c r="W107" s="351">
        <f t="shared" si="24"/>
        <v>0.13</v>
      </c>
      <c r="X107" s="350">
        <f t="shared" si="25"/>
        <v>13.581366528103498</v>
      </c>
      <c r="Y107" s="350">
        <f t="shared" si="26"/>
        <v>2.8475999999999999</v>
      </c>
      <c r="Z107" s="350">
        <f t="shared" si="27"/>
        <v>16.430000000000003</v>
      </c>
      <c r="AA107" s="352">
        <f>+Table1[[#This Row],[calculated sale price]]</f>
        <v>16.430000000000003</v>
      </c>
      <c r="AB107" s="353"/>
      <c r="AC107" s="354"/>
      <c r="AD107" s="356"/>
      <c r="AE107" s="356">
        <f>Table1[[#This Row],[cost per quantity]]*(1+'P&amp;L'!$P$8)</f>
        <v>13.581366528103498</v>
      </c>
      <c r="AF107" s="356">
        <f>$AF$8*Table1[[#This Row],[man minutes]]*(1+'P&amp;L'!$P$9)</f>
        <v>2.7119999999999997</v>
      </c>
      <c r="AG107" s="356"/>
      <c r="AH107" s="356"/>
      <c r="AI107" s="356">
        <f>Table1[[#This Row],[Food cost w/ MU]]+Table1[[#This Row],[labor cost W/ MU]]</f>
        <v>16.293366528103498</v>
      </c>
      <c r="AJ107" s="362">
        <v>20240830</v>
      </c>
    </row>
    <row r="108" spans="1:36" x14ac:dyDescent="0.25">
      <c r="A108" s="329">
        <v>10099</v>
      </c>
      <c r="B108" s="325" t="s">
        <v>419</v>
      </c>
      <c r="C108" s="329">
        <v>1</v>
      </c>
      <c r="I108" s="329"/>
      <c r="J108" s="329"/>
      <c r="K108" s="329"/>
      <c r="L108" s="345"/>
      <c r="M108" s="329"/>
      <c r="N108" s="346"/>
      <c r="O108" s="347">
        <v>3.4178559000000002</v>
      </c>
      <c r="P108" s="347">
        <f>Table1[[#This Row],[unit cost]]*1.065</f>
        <v>3.6400165334999999</v>
      </c>
      <c r="Q108" s="348">
        <v>6.5</v>
      </c>
      <c r="R108" s="329">
        <v>1</v>
      </c>
      <c r="S108" s="349">
        <f t="shared" si="21"/>
        <v>0.42</v>
      </c>
      <c r="T108" s="350">
        <f>Table1[[#This Row],[man minutes]]*Table1[[#This Row],[labor rate]]</f>
        <v>2.73</v>
      </c>
      <c r="U108" s="350">
        <f t="shared" si="22"/>
        <v>6.3700165334999994</v>
      </c>
      <c r="V108" s="330">
        <f t="shared" si="23"/>
        <v>0.13</v>
      </c>
      <c r="W108" s="351">
        <f t="shared" si="24"/>
        <v>0.13</v>
      </c>
      <c r="X108" s="350">
        <f t="shared" si="25"/>
        <v>4.113218682854999</v>
      </c>
      <c r="Y108" s="350">
        <f t="shared" si="26"/>
        <v>3.0849000000000002</v>
      </c>
      <c r="Z108" s="350">
        <f t="shared" si="27"/>
        <v>7.2</v>
      </c>
      <c r="AA108" s="352">
        <f>+Table1[[#This Row],[calculated sale price]]</f>
        <v>7.2</v>
      </c>
      <c r="AB108" s="353"/>
      <c r="AC108" s="354"/>
      <c r="AD108" s="356"/>
      <c r="AE108" s="356">
        <f>Table1[[#This Row],[cost per quantity]]*(1+'P&amp;L'!$P$8)</f>
        <v>4.113218682854999</v>
      </c>
      <c r="AF108" s="356">
        <f>$AF$8*Table1[[#This Row],[man minutes]]*(1+'P&amp;L'!$P$9)</f>
        <v>2.9379999999999993</v>
      </c>
      <c r="AG108" s="356"/>
      <c r="AH108" s="356"/>
      <c r="AI108" s="356">
        <f>Table1[[#This Row],[Food cost w/ MU]]+Table1[[#This Row],[labor cost W/ MU]]</f>
        <v>7.0512186828549979</v>
      </c>
      <c r="AJ108" s="362">
        <v>20240830</v>
      </c>
    </row>
    <row r="109" spans="1:36" x14ac:dyDescent="0.25">
      <c r="A109" s="329">
        <v>10100</v>
      </c>
      <c r="B109" s="325" t="s">
        <v>420</v>
      </c>
      <c r="C109" s="329">
        <v>1</v>
      </c>
      <c r="I109" s="329"/>
      <c r="J109" s="329"/>
      <c r="K109" s="329"/>
      <c r="L109" s="345"/>
      <c r="M109" s="329"/>
      <c r="N109" s="346"/>
      <c r="O109" s="347">
        <v>4.0908417000000004</v>
      </c>
      <c r="P109" s="347">
        <f>Table1[[#This Row],[unit cost]]*1.065</f>
        <v>4.3567464105000004</v>
      </c>
      <c r="Q109" s="348">
        <v>4</v>
      </c>
      <c r="R109" s="329">
        <v>1</v>
      </c>
      <c r="S109" s="349">
        <f t="shared" si="21"/>
        <v>0.42</v>
      </c>
      <c r="T109" s="350">
        <f>Table1[[#This Row],[man minutes]]*Table1[[#This Row],[labor rate]]</f>
        <v>1.68</v>
      </c>
      <c r="U109" s="350">
        <f t="shared" si="22"/>
        <v>6.0367464105000002</v>
      </c>
      <c r="V109" s="330">
        <f t="shared" si="23"/>
        <v>0.13</v>
      </c>
      <c r="W109" s="351">
        <f t="shared" si="24"/>
        <v>0.13</v>
      </c>
      <c r="X109" s="350">
        <f t="shared" si="25"/>
        <v>4.9231234438650002</v>
      </c>
      <c r="Y109" s="350">
        <f t="shared" si="26"/>
        <v>1.8983999999999999</v>
      </c>
      <c r="Z109" s="350">
        <f t="shared" si="27"/>
        <v>6.83</v>
      </c>
      <c r="AA109" s="352">
        <f>+Table1[[#This Row],[calculated sale price]]</f>
        <v>6.83</v>
      </c>
      <c r="AB109" s="353"/>
      <c r="AC109" s="354"/>
      <c r="AD109" s="356"/>
      <c r="AE109" s="356">
        <f>Table1[[#This Row],[cost per quantity]]*(1+'P&amp;L'!$P$8)</f>
        <v>4.9231234438650002</v>
      </c>
      <c r="AF109" s="356">
        <f>$AF$8*Table1[[#This Row],[man minutes]]*(1+'P&amp;L'!$P$9)</f>
        <v>1.8079999999999996</v>
      </c>
      <c r="AG109" s="356"/>
      <c r="AH109" s="356"/>
      <c r="AI109" s="356">
        <f>Table1[[#This Row],[Food cost w/ MU]]+Table1[[#This Row],[labor cost W/ MU]]</f>
        <v>6.7311234438650001</v>
      </c>
      <c r="AJ109" s="362">
        <v>20240830</v>
      </c>
    </row>
    <row r="110" spans="1:36" x14ac:dyDescent="0.25">
      <c r="A110" s="329">
        <v>10101</v>
      </c>
      <c r="B110" s="325" t="s">
        <v>447</v>
      </c>
      <c r="C110" s="329">
        <v>1</v>
      </c>
      <c r="I110" s="329"/>
      <c r="J110" s="329"/>
      <c r="K110" s="329"/>
      <c r="L110" s="345"/>
      <c r="M110" s="329"/>
      <c r="N110" s="346"/>
      <c r="O110" s="347">
        <v>1.4609418000000001</v>
      </c>
      <c r="P110" s="347">
        <f>[5]!Table1[[#This Row],[unit cost]]*1.065</f>
        <v>1.5559030169999999</v>
      </c>
      <c r="Q110" s="348">
        <v>3</v>
      </c>
      <c r="R110" s="329">
        <v>1</v>
      </c>
      <c r="S110" s="349">
        <f t="shared" si="21"/>
        <v>0.42</v>
      </c>
      <c r="T110" s="350">
        <f>Table1[[#This Row],[man minutes]]*Table1[[#This Row],[labor rate]]</f>
        <v>1.26</v>
      </c>
      <c r="U110" s="350">
        <f t="shared" si="22"/>
        <v>2.8159030170000001</v>
      </c>
      <c r="V110" s="330">
        <f t="shared" si="23"/>
        <v>0.13</v>
      </c>
      <c r="W110" s="351">
        <f t="shared" si="24"/>
        <v>0.13</v>
      </c>
      <c r="X110" s="350">
        <f t="shared" si="25"/>
        <v>1.7581704092099997</v>
      </c>
      <c r="Y110" s="350">
        <f t="shared" si="26"/>
        <v>1.4238</v>
      </c>
      <c r="Z110" s="350">
        <f t="shared" si="27"/>
        <v>3.19</v>
      </c>
      <c r="AA110" s="352">
        <f>+Table1[[#This Row],[calculated sale price]]</f>
        <v>3.19</v>
      </c>
      <c r="AB110" s="353"/>
      <c r="AC110" s="354"/>
      <c r="AD110" s="356"/>
      <c r="AE110" s="356">
        <f>Table1[[#This Row],[cost per quantity]]*(1+'P&amp;L'!$P$8)</f>
        <v>1.7581704092099997</v>
      </c>
      <c r="AF110" s="356">
        <f>$AF$8*Table1[[#This Row],[man minutes]]*(1+'P&amp;L'!$P$9)</f>
        <v>1.3559999999999999</v>
      </c>
      <c r="AG110" s="356"/>
      <c r="AH110" s="356"/>
      <c r="AI110" s="356">
        <f>Table1[[#This Row],[Food cost w/ MU]]+Table1[[#This Row],[labor cost W/ MU]]</f>
        <v>3.1141704092099998</v>
      </c>
      <c r="AJ110" s="362">
        <v>20240830</v>
      </c>
    </row>
    <row r="111" spans="1:36" x14ac:dyDescent="0.25">
      <c r="A111" s="329">
        <v>10102</v>
      </c>
      <c r="B111" s="325" t="s">
        <v>421</v>
      </c>
      <c r="C111" s="329">
        <v>1</v>
      </c>
      <c r="I111" s="329"/>
      <c r="J111" s="329"/>
      <c r="K111" s="329"/>
      <c r="L111" s="345"/>
      <c r="M111" s="329"/>
      <c r="N111" s="346"/>
      <c r="O111" s="347">
        <v>7.8656350000000002</v>
      </c>
      <c r="P111" s="347">
        <f>Table1[[#This Row],[unit cost]]*1.065</f>
        <v>8.3769012749999998</v>
      </c>
      <c r="Q111" s="348">
        <v>8</v>
      </c>
      <c r="R111" s="329">
        <v>1</v>
      </c>
      <c r="S111" s="349">
        <f t="shared" si="21"/>
        <v>0.42</v>
      </c>
      <c r="T111" s="350">
        <f>Table1[[#This Row],[man minutes]]*Table1[[#This Row],[labor rate]]</f>
        <v>3.36</v>
      </c>
      <c r="U111" s="350">
        <f t="shared" si="22"/>
        <v>11.736901274999999</v>
      </c>
      <c r="V111" s="330">
        <f t="shared" si="23"/>
        <v>0.13</v>
      </c>
      <c r="W111" s="351">
        <f t="shared" si="24"/>
        <v>0.13</v>
      </c>
      <c r="X111" s="350">
        <f t="shared" si="25"/>
        <v>9.4658984407499993</v>
      </c>
      <c r="Y111" s="350">
        <f t="shared" si="26"/>
        <v>3.7967999999999997</v>
      </c>
      <c r="Z111" s="350">
        <f t="shared" si="27"/>
        <v>13.27</v>
      </c>
      <c r="AA111" s="352">
        <f>+Table1[[#This Row],[calculated sale price]]</f>
        <v>13.27</v>
      </c>
      <c r="AB111" s="353"/>
      <c r="AC111" s="354"/>
      <c r="AD111" s="356"/>
      <c r="AE111" s="356">
        <f>Table1[[#This Row],[cost per quantity]]*(1+'P&amp;L'!$P$8)</f>
        <v>9.4658984407499993</v>
      </c>
      <c r="AF111" s="356">
        <f>$AF$8*Table1[[#This Row],[man minutes]]*(1+'P&amp;L'!$P$9)</f>
        <v>3.6159999999999992</v>
      </c>
      <c r="AG111" s="356"/>
      <c r="AH111" s="356"/>
      <c r="AI111" s="356">
        <f>Table1[[#This Row],[Food cost w/ MU]]+Table1[[#This Row],[labor cost W/ MU]]</f>
        <v>13.081898440749999</v>
      </c>
      <c r="AJ111" s="362">
        <v>20240830</v>
      </c>
    </row>
    <row r="112" spans="1:36" x14ac:dyDescent="0.25">
      <c r="A112" s="329">
        <v>10103</v>
      </c>
      <c r="B112" s="325" t="s">
        <v>422</v>
      </c>
      <c r="C112" s="329">
        <v>1</v>
      </c>
      <c r="I112" s="329"/>
      <c r="J112" s="329"/>
      <c r="K112" s="329"/>
      <c r="L112" s="345"/>
      <c r="M112" s="329"/>
      <c r="N112" s="346"/>
      <c r="O112" s="347">
        <f>0.8923*8</f>
        <v>7.1383999999999999</v>
      </c>
      <c r="P112" s="347">
        <f>Table1[[#This Row],[unit cost]]*1.065</f>
        <v>7.6023959999999997</v>
      </c>
      <c r="Q112" s="348">
        <f>2*8</f>
        <v>16</v>
      </c>
      <c r="R112" s="329">
        <v>1</v>
      </c>
      <c r="S112" s="349">
        <f t="shared" si="21"/>
        <v>0.42</v>
      </c>
      <c r="T112" s="350">
        <f>Table1[[#This Row],[man minutes]]*Table1[[#This Row],[labor rate]]</f>
        <v>6.72</v>
      </c>
      <c r="U112" s="350">
        <f t="shared" si="22"/>
        <v>14.322395999999999</v>
      </c>
      <c r="V112" s="330">
        <f t="shared" si="23"/>
        <v>0.13</v>
      </c>
      <c r="W112" s="351">
        <f t="shared" si="24"/>
        <v>0.13</v>
      </c>
      <c r="X112" s="350">
        <f t="shared" si="25"/>
        <v>8.590707479999999</v>
      </c>
      <c r="Y112" s="350">
        <f t="shared" si="26"/>
        <v>7.5935999999999995</v>
      </c>
      <c r="Z112" s="350">
        <f t="shared" si="27"/>
        <v>16.190000000000001</v>
      </c>
      <c r="AA112" s="352">
        <f>+Table1[[#This Row],[calculated sale price]]</f>
        <v>16.190000000000001</v>
      </c>
      <c r="AB112" s="353"/>
      <c r="AC112" s="354"/>
      <c r="AD112" s="356"/>
      <c r="AE112" s="356">
        <f>Table1[[#This Row],[cost per quantity]]*(1+'P&amp;L'!$P$8)</f>
        <v>8.590707479999999</v>
      </c>
      <c r="AF112" s="356">
        <f>$AF$8*Table1[[#This Row],[man minutes]]*(1+'P&amp;L'!$P$9)</f>
        <v>7.2319999999999984</v>
      </c>
      <c r="AG112" s="356"/>
      <c r="AH112" s="356"/>
      <c r="AI112" s="356">
        <f>Table1[[#This Row],[Food cost w/ MU]]+Table1[[#This Row],[labor cost W/ MU]]</f>
        <v>15.822707479999998</v>
      </c>
      <c r="AJ112" s="362">
        <v>20240830</v>
      </c>
    </row>
    <row r="113" spans="1:36" x14ac:dyDescent="0.25">
      <c r="A113" s="329">
        <v>10104</v>
      </c>
      <c r="B113" s="325" t="s">
        <v>342</v>
      </c>
      <c r="C113" s="329">
        <v>1</v>
      </c>
      <c r="I113" s="329"/>
      <c r="J113" s="329"/>
      <c r="K113" s="329"/>
      <c r="L113" s="345"/>
      <c r="M113" s="329"/>
      <c r="N113" s="346"/>
      <c r="O113" s="347">
        <v>0.84374728499999996</v>
      </c>
      <c r="P113" s="347">
        <f>Table1[[#This Row],[unit cost]]*1.065</f>
        <v>0.89859085852499987</v>
      </c>
      <c r="Q113" s="348">
        <v>2.5</v>
      </c>
      <c r="R113" s="329">
        <v>1</v>
      </c>
      <c r="S113" s="349">
        <f t="shared" si="21"/>
        <v>0.42</v>
      </c>
      <c r="T113" s="350">
        <f>Table1[[#This Row],[man minutes]]*Table1[[#This Row],[labor rate]]</f>
        <v>1.05</v>
      </c>
      <c r="U113" s="350">
        <f t="shared" si="22"/>
        <v>1.9485908585249998</v>
      </c>
      <c r="V113" s="330">
        <f t="shared" si="23"/>
        <v>0.13</v>
      </c>
      <c r="W113" s="351">
        <f t="shared" si="24"/>
        <v>0.13</v>
      </c>
      <c r="X113" s="350">
        <f t="shared" si="25"/>
        <v>1.0154076701332497</v>
      </c>
      <c r="Y113" s="350">
        <f t="shared" si="26"/>
        <v>1.1865000000000001</v>
      </c>
      <c r="Z113" s="350">
        <f t="shared" si="27"/>
        <v>2.21</v>
      </c>
      <c r="AA113" s="352">
        <f>+Table1[[#This Row],[calculated sale price]]</f>
        <v>2.21</v>
      </c>
      <c r="AB113" s="353"/>
      <c r="AC113" s="354"/>
      <c r="AD113" s="356"/>
      <c r="AE113" s="356">
        <f>Table1[[#This Row],[cost per quantity]]*(1+'P&amp;L'!$P$8)</f>
        <v>1.0154076701332497</v>
      </c>
      <c r="AF113" s="356">
        <f>$AF$8*Table1[[#This Row],[man minutes]]*(1+'P&amp;L'!$P$9)</f>
        <v>1.1299999999999997</v>
      </c>
      <c r="AG113" s="356"/>
      <c r="AH113" s="356"/>
      <c r="AI113" s="356">
        <f>Table1[[#This Row],[Food cost w/ MU]]+Table1[[#This Row],[labor cost W/ MU]]</f>
        <v>2.1454076701332494</v>
      </c>
      <c r="AJ113" s="362">
        <v>20240830</v>
      </c>
    </row>
    <row r="114" spans="1:36" x14ac:dyDescent="0.25">
      <c r="A114" s="329">
        <v>10105</v>
      </c>
      <c r="B114" s="325" t="s">
        <v>423</v>
      </c>
      <c r="C114" s="329">
        <v>1</v>
      </c>
      <c r="I114" s="329"/>
      <c r="J114" s="329"/>
      <c r="K114" s="329"/>
      <c r="L114" s="345"/>
      <c r="M114" s="329"/>
      <c r="N114" s="346"/>
      <c r="O114" s="347">
        <v>1.5456221999999999</v>
      </c>
      <c r="P114" s="347">
        <f>Table1[[#This Row],[unit cost]]*1.065</f>
        <v>1.6460876429999998</v>
      </c>
      <c r="Q114" s="348">
        <v>2</v>
      </c>
      <c r="R114" s="329">
        <v>1</v>
      </c>
      <c r="S114" s="349">
        <f t="shared" si="21"/>
        <v>0.42</v>
      </c>
      <c r="T114" s="350">
        <f>Table1[[#This Row],[man minutes]]*Table1[[#This Row],[labor rate]]</f>
        <v>0.84</v>
      </c>
      <c r="U114" s="350">
        <f t="shared" si="22"/>
        <v>2.4860876429999998</v>
      </c>
      <c r="V114" s="330">
        <f t="shared" si="23"/>
        <v>0.13</v>
      </c>
      <c r="W114" s="351">
        <f t="shared" si="24"/>
        <v>0.13</v>
      </c>
      <c r="X114" s="350">
        <f t="shared" si="25"/>
        <v>1.8600790365899995</v>
      </c>
      <c r="Y114" s="350">
        <f t="shared" si="26"/>
        <v>0.94919999999999993</v>
      </c>
      <c r="Z114" s="350">
        <f t="shared" si="27"/>
        <v>2.8099999999999996</v>
      </c>
      <c r="AA114" s="352">
        <f>+Table1[[#This Row],[calculated sale price]]</f>
        <v>2.8099999999999996</v>
      </c>
      <c r="AB114" s="353"/>
      <c r="AC114" s="354"/>
      <c r="AD114" s="356"/>
      <c r="AE114" s="356">
        <f>Table1[[#This Row],[cost per quantity]]*(1+'P&amp;L'!$P$8)</f>
        <v>1.8600790365899995</v>
      </c>
      <c r="AF114" s="356">
        <f>$AF$8*Table1[[#This Row],[man minutes]]*(1+'P&amp;L'!$P$9)</f>
        <v>0.9039999999999998</v>
      </c>
      <c r="AG114" s="356"/>
      <c r="AH114" s="356"/>
      <c r="AI114" s="356">
        <f>Table1[[#This Row],[Food cost w/ MU]]+Table1[[#This Row],[labor cost W/ MU]]</f>
        <v>2.7640790365899992</v>
      </c>
      <c r="AJ114" s="362">
        <v>20240830</v>
      </c>
    </row>
    <row r="115" spans="1:36" x14ac:dyDescent="0.25">
      <c r="A115" s="329">
        <v>10106</v>
      </c>
      <c r="B115" s="325" t="s">
        <v>424</v>
      </c>
      <c r="C115" s="329">
        <v>1</v>
      </c>
      <c r="I115" s="329"/>
      <c r="J115" s="329"/>
      <c r="K115" s="329"/>
      <c r="L115" s="345"/>
      <c r="M115" s="329"/>
      <c r="N115" s="346"/>
      <c r="O115" s="347"/>
      <c r="P115" s="347">
        <f>Table1[[#This Row],[unit cost]]*1.065</f>
        <v>0</v>
      </c>
      <c r="Q115" s="348">
        <v>3.5</v>
      </c>
      <c r="R115" s="329">
        <v>1</v>
      </c>
      <c r="S115" s="349">
        <f t="shared" si="21"/>
        <v>0.42</v>
      </c>
      <c r="T115" s="350">
        <f>Table1[[#This Row],[man minutes]]*Table1[[#This Row],[labor rate]]</f>
        <v>1.47</v>
      </c>
      <c r="U115" s="350">
        <f t="shared" si="22"/>
        <v>1.47</v>
      </c>
      <c r="V115" s="330">
        <f t="shared" si="23"/>
        <v>0.13</v>
      </c>
      <c r="W115" s="351">
        <f t="shared" si="24"/>
        <v>0.13</v>
      </c>
      <c r="X115" s="350">
        <f t="shared" si="25"/>
        <v>0</v>
      </c>
      <c r="Y115" s="350">
        <f t="shared" si="26"/>
        <v>1.6611</v>
      </c>
      <c r="Z115" s="350">
        <f t="shared" si="27"/>
        <v>1.67</v>
      </c>
      <c r="AA115" s="352">
        <f>+Table1[[#This Row],[calculated sale price]]</f>
        <v>1.67</v>
      </c>
      <c r="AB115" s="353"/>
      <c r="AC115" s="354"/>
      <c r="AD115" s="356"/>
      <c r="AE115" s="356">
        <f>Table1[[#This Row],[cost per quantity]]*(1+'P&amp;L'!$P$8)</f>
        <v>0</v>
      </c>
      <c r="AF115" s="356">
        <f>$AF$8*Table1[[#This Row],[man minutes]]*(1+'P&amp;L'!$P$9)</f>
        <v>1.5819999999999999</v>
      </c>
      <c r="AG115" s="356"/>
      <c r="AH115" s="356"/>
      <c r="AI115" s="356">
        <f>Table1[[#This Row],[Food cost w/ MU]]+Table1[[#This Row],[labor cost W/ MU]]</f>
        <v>1.5819999999999999</v>
      </c>
      <c r="AJ115" s="362">
        <v>20240830</v>
      </c>
    </row>
    <row r="116" spans="1:36" x14ac:dyDescent="0.25">
      <c r="A116" s="329">
        <v>10107</v>
      </c>
      <c r="B116" s="325" t="s">
        <v>425</v>
      </c>
      <c r="C116" s="329">
        <v>1</v>
      </c>
      <c r="I116" s="329"/>
      <c r="J116" s="329"/>
      <c r="K116" s="329"/>
      <c r="L116" s="345"/>
      <c r="M116" s="329"/>
      <c r="N116" s="346"/>
      <c r="O116" s="347">
        <v>2.0858257999999998</v>
      </c>
      <c r="P116" s="347">
        <f>Table1[[#This Row],[unit cost]]*1.065</f>
        <v>2.2214044769999997</v>
      </c>
      <c r="Q116" s="348">
        <v>3</v>
      </c>
      <c r="R116" s="329">
        <v>1</v>
      </c>
      <c r="S116" s="349">
        <f t="shared" si="21"/>
        <v>0.42</v>
      </c>
      <c r="T116" s="350">
        <f>Table1[[#This Row],[man minutes]]*Table1[[#This Row],[labor rate]]</f>
        <v>1.26</v>
      </c>
      <c r="U116" s="350">
        <f t="shared" si="22"/>
        <v>3.4814044769999999</v>
      </c>
      <c r="V116" s="330">
        <f t="shared" si="23"/>
        <v>0.13</v>
      </c>
      <c r="W116" s="351">
        <f t="shared" si="24"/>
        <v>0.13</v>
      </c>
      <c r="X116" s="350">
        <f t="shared" si="25"/>
        <v>2.5101870590099993</v>
      </c>
      <c r="Y116" s="350">
        <f t="shared" si="26"/>
        <v>1.4238</v>
      </c>
      <c r="Z116" s="350">
        <f t="shared" si="27"/>
        <v>3.94</v>
      </c>
      <c r="AA116" s="352">
        <f>+Table1[[#This Row],[calculated sale price]]</f>
        <v>3.94</v>
      </c>
      <c r="AB116" s="353"/>
      <c r="AC116" s="354"/>
      <c r="AD116" s="356"/>
      <c r="AE116" s="356">
        <f>Table1[[#This Row],[cost per quantity]]*(1+'P&amp;L'!$P$8)</f>
        <v>2.5101870590099993</v>
      </c>
      <c r="AF116" s="356">
        <f>$AF$8*Table1[[#This Row],[man minutes]]*(1+'P&amp;L'!$P$9)</f>
        <v>1.3559999999999999</v>
      </c>
      <c r="AG116" s="356"/>
      <c r="AH116" s="356"/>
      <c r="AI116" s="356">
        <f>Table1[[#This Row],[Food cost w/ MU]]+Table1[[#This Row],[labor cost W/ MU]]</f>
        <v>3.8661870590099991</v>
      </c>
      <c r="AJ116" s="362">
        <v>20240830</v>
      </c>
    </row>
    <row r="117" spans="1:36" x14ac:dyDescent="0.25">
      <c r="A117" s="329">
        <v>10108</v>
      </c>
      <c r="B117" s="325" t="s">
        <v>426</v>
      </c>
      <c r="C117" s="329">
        <v>1</v>
      </c>
      <c r="I117" s="329"/>
      <c r="J117" s="329"/>
      <c r="K117" s="329"/>
      <c r="L117" s="345"/>
      <c r="M117" s="329"/>
      <c r="N117" s="346"/>
      <c r="O117" s="347">
        <v>0.99114100000000005</v>
      </c>
      <c r="P117" s="347">
        <f>Table1[[#This Row],[unit cost]]*1.065</f>
        <v>1.055565165</v>
      </c>
      <c r="Q117" s="348">
        <v>2.25</v>
      </c>
      <c r="R117" s="329">
        <v>1</v>
      </c>
      <c r="S117" s="349">
        <f t="shared" si="21"/>
        <v>0.42</v>
      </c>
      <c r="T117" s="350">
        <f>Table1[[#This Row],[man minutes]]*Table1[[#This Row],[labor rate]]</f>
        <v>0.94499999999999995</v>
      </c>
      <c r="U117" s="350">
        <f t="shared" si="22"/>
        <v>2.0005651649999998</v>
      </c>
      <c r="V117" s="330">
        <f t="shared" si="23"/>
        <v>0.13</v>
      </c>
      <c r="W117" s="351">
        <f t="shared" si="24"/>
        <v>0.13</v>
      </c>
      <c r="X117" s="350">
        <f t="shared" si="25"/>
        <v>1.1927886364499998</v>
      </c>
      <c r="Y117" s="350">
        <f t="shared" si="26"/>
        <v>1.06785</v>
      </c>
      <c r="Z117" s="350">
        <f t="shared" si="27"/>
        <v>2.2699999999999996</v>
      </c>
      <c r="AA117" s="352">
        <f>+Table1[[#This Row],[calculated sale price]]</f>
        <v>2.2699999999999996</v>
      </c>
      <c r="AB117" s="353"/>
      <c r="AC117" s="354"/>
      <c r="AD117" s="356"/>
      <c r="AE117" s="356">
        <f>Table1[[#This Row],[cost per quantity]]*(1+'P&amp;L'!$P$8)</f>
        <v>1.1927886364499998</v>
      </c>
      <c r="AF117" s="356">
        <f>$AF$8*Table1[[#This Row],[man minutes]]*(1+'P&amp;L'!$P$9)</f>
        <v>1.0169999999999999</v>
      </c>
      <c r="AG117" s="356"/>
      <c r="AH117" s="356"/>
      <c r="AI117" s="356">
        <f>Table1[[#This Row],[Food cost w/ MU]]+Table1[[#This Row],[labor cost W/ MU]]</f>
        <v>2.2097886364499999</v>
      </c>
      <c r="AJ117" s="362">
        <v>20240830</v>
      </c>
    </row>
    <row r="118" spans="1:36" x14ac:dyDescent="0.25">
      <c r="A118" s="329">
        <v>10109</v>
      </c>
      <c r="B118" s="325" t="s">
        <v>449</v>
      </c>
      <c r="C118" s="348">
        <v>1.5</v>
      </c>
      <c r="I118" s="329"/>
      <c r="J118" s="329"/>
      <c r="K118" s="329"/>
      <c r="L118" s="345"/>
      <c r="M118" s="329"/>
      <c r="N118" s="346"/>
      <c r="O118" s="347">
        <v>0.83720000000000006</v>
      </c>
      <c r="P118" s="347">
        <f>Table1[[#This Row],[unit cost]]*1.065</f>
        <v>0.89161800000000002</v>
      </c>
      <c r="Q118" s="348">
        <v>1.5</v>
      </c>
      <c r="R118" s="329">
        <v>1</v>
      </c>
      <c r="S118" s="349">
        <f t="shared" si="21"/>
        <v>0.42</v>
      </c>
      <c r="T118" s="350">
        <f>Table1[[#This Row],[man minutes]]*Table1[[#This Row],[labor rate]]</f>
        <v>0.63</v>
      </c>
      <c r="U118" s="350">
        <f t="shared" si="22"/>
        <v>1.5216180000000001</v>
      </c>
      <c r="V118" s="330">
        <f t="shared" si="23"/>
        <v>0.13</v>
      </c>
      <c r="W118" s="351">
        <f t="shared" si="24"/>
        <v>0.13</v>
      </c>
      <c r="X118" s="350">
        <f t="shared" si="25"/>
        <v>1.0075283399999999</v>
      </c>
      <c r="Y118" s="350">
        <f t="shared" si="26"/>
        <v>0.71189999999999998</v>
      </c>
      <c r="Z118" s="350">
        <f t="shared" si="27"/>
        <v>1.72</v>
      </c>
      <c r="AA118" s="352">
        <f>+Table1[[#This Row],[calculated sale price]]</f>
        <v>1.72</v>
      </c>
      <c r="AB118" s="353"/>
      <c r="AC118" s="354"/>
      <c r="AD118" s="356"/>
      <c r="AE118" s="356">
        <f>Table1[[#This Row],[cost per quantity]]*(1+'P&amp;L'!$P$8)</f>
        <v>1.0075283399999999</v>
      </c>
      <c r="AF118" s="356">
        <f>$AF$8*Table1[[#This Row],[man minutes]]*(1+'P&amp;L'!$P$9)</f>
        <v>0.67799999999999994</v>
      </c>
      <c r="AG118" s="356"/>
      <c r="AH118" s="356"/>
      <c r="AI118" s="356">
        <f>Table1[[#This Row],[Food cost w/ MU]]+Table1[[#This Row],[labor cost W/ MU]]</f>
        <v>1.6855283399999998</v>
      </c>
      <c r="AJ118" s="362">
        <v>20240830</v>
      </c>
    </row>
    <row r="119" spans="1:36" x14ac:dyDescent="0.25">
      <c r="A119" s="329">
        <v>10110</v>
      </c>
      <c r="B119" s="325" t="s">
        <v>427</v>
      </c>
      <c r="C119" s="348">
        <v>7</v>
      </c>
      <c r="I119" s="329"/>
      <c r="J119" s="329"/>
      <c r="K119" s="329"/>
      <c r="L119" s="345"/>
      <c r="M119" s="329"/>
      <c r="N119" s="346"/>
      <c r="O119" s="347">
        <v>3.3738299999999999</v>
      </c>
      <c r="P119" s="347">
        <f>Table1[[#This Row],[unit cost]]*1.065</f>
        <v>3.5931289499999997</v>
      </c>
      <c r="Q119" s="348">
        <v>7</v>
      </c>
      <c r="R119" s="329">
        <v>1</v>
      </c>
      <c r="S119" s="349">
        <f t="shared" si="21"/>
        <v>0.42</v>
      </c>
      <c r="T119" s="350">
        <f>Table1[[#This Row],[man minutes]]*Table1[[#This Row],[labor rate]]</f>
        <v>2.94</v>
      </c>
      <c r="U119" s="350">
        <f t="shared" si="22"/>
        <v>6.53312895</v>
      </c>
      <c r="V119" s="330">
        <f t="shared" si="23"/>
        <v>0.13</v>
      </c>
      <c r="W119" s="351">
        <f t="shared" si="24"/>
        <v>0.13</v>
      </c>
      <c r="X119" s="350">
        <f t="shared" si="25"/>
        <v>4.0602357134999991</v>
      </c>
      <c r="Y119" s="350">
        <f t="shared" si="26"/>
        <v>3.3222</v>
      </c>
      <c r="Z119" s="350">
        <f t="shared" si="27"/>
        <v>7.39</v>
      </c>
      <c r="AA119" s="352">
        <f>+Table1[[#This Row],[calculated sale price]]</f>
        <v>7.39</v>
      </c>
      <c r="AB119" s="353"/>
      <c r="AC119" s="354"/>
      <c r="AD119" s="356"/>
      <c r="AE119" s="356">
        <f>Table1[[#This Row],[cost per quantity]]*(1+'P&amp;L'!$P$8)</f>
        <v>4.0602357134999991</v>
      </c>
      <c r="AF119" s="356">
        <f>$AF$8*Table1[[#This Row],[man minutes]]*(1+'P&amp;L'!$P$9)</f>
        <v>3.1639999999999997</v>
      </c>
      <c r="AG119" s="356"/>
      <c r="AH119" s="356"/>
      <c r="AI119" s="356">
        <f>Table1[[#This Row],[Food cost w/ MU]]+Table1[[#This Row],[labor cost W/ MU]]</f>
        <v>7.2242357134999988</v>
      </c>
      <c r="AJ119" s="362">
        <v>20240830</v>
      </c>
    </row>
    <row r="120" spans="1:36" x14ac:dyDescent="0.25">
      <c r="A120" s="329">
        <v>10111</v>
      </c>
      <c r="B120" s="325" t="s">
        <v>428</v>
      </c>
      <c r="C120" s="348">
        <v>6.5</v>
      </c>
      <c r="I120" s="329"/>
      <c r="J120" s="329"/>
      <c r="K120" s="329"/>
      <c r="L120" s="345"/>
      <c r="M120" s="329"/>
      <c r="N120" s="346"/>
      <c r="O120" s="347">
        <v>2.5628799999999998</v>
      </c>
      <c r="P120" s="347">
        <f>Table1[[#This Row],[unit cost]]*1.065</f>
        <v>2.7294671999999998</v>
      </c>
      <c r="Q120" s="348">
        <v>6.5</v>
      </c>
      <c r="R120" s="329">
        <v>1</v>
      </c>
      <c r="S120" s="349">
        <f t="shared" si="21"/>
        <v>0.42</v>
      </c>
      <c r="T120" s="350">
        <f>Table1[[#This Row],[man minutes]]*Table1[[#This Row],[labor rate]]</f>
        <v>2.73</v>
      </c>
      <c r="U120" s="350">
        <f t="shared" si="22"/>
        <v>5.4594671999999997</v>
      </c>
      <c r="V120" s="330">
        <f t="shared" si="23"/>
        <v>0.13</v>
      </c>
      <c r="W120" s="351">
        <f t="shared" si="24"/>
        <v>0.13</v>
      </c>
      <c r="X120" s="350">
        <f t="shared" si="25"/>
        <v>3.0842979359999996</v>
      </c>
      <c r="Y120" s="350">
        <f t="shared" si="26"/>
        <v>3.0849000000000002</v>
      </c>
      <c r="Z120" s="350">
        <f t="shared" si="27"/>
        <v>6.17</v>
      </c>
      <c r="AA120" s="352">
        <f>+Table1[[#This Row],[calculated sale price]]</f>
        <v>6.17</v>
      </c>
      <c r="AB120" s="353"/>
      <c r="AC120" s="354"/>
      <c r="AD120" s="356"/>
      <c r="AE120" s="356">
        <f>Table1[[#This Row],[cost per quantity]]*(1+'P&amp;L'!$P$8)</f>
        <v>3.0842979359999996</v>
      </c>
      <c r="AF120" s="356">
        <f>$AF$8*Table1[[#This Row],[man minutes]]*(1+'P&amp;L'!$P$9)</f>
        <v>2.9379999999999993</v>
      </c>
      <c r="AG120" s="356"/>
      <c r="AH120" s="356"/>
      <c r="AI120" s="356">
        <f>Table1[[#This Row],[Food cost w/ MU]]+Table1[[#This Row],[labor cost W/ MU]]</f>
        <v>6.0222979359999993</v>
      </c>
      <c r="AJ120" s="362">
        <v>20240830</v>
      </c>
    </row>
    <row r="121" spans="1:36" x14ac:dyDescent="0.25">
      <c r="A121" s="329">
        <v>10112</v>
      </c>
      <c r="B121" s="360" t="s">
        <v>429</v>
      </c>
      <c r="C121" s="348">
        <v>2.5</v>
      </c>
      <c r="I121" s="329"/>
      <c r="J121" s="329"/>
      <c r="K121" s="329"/>
      <c r="L121" s="345"/>
      <c r="M121" s="329"/>
      <c r="N121" s="346"/>
      <c r="O121" s="347">
        <v>2.1964899999999998</v>
      </c>
      <c r="P121" s="347">
        <f>Table1[[#This Row],[unit cost]]*1.065</f>
        <v>2.3392618499999998</v>
      </c>
      <c r="Q121" s="348">
        <v>1</v>
      </c>
      <c r="R121" s="329">
        <v>1</v>
      </c>
      <c r="S121" s="349">
        <f t="shared" si="21"/>
        <v>0.42</v>
      </c>
      <c r="T121" s="350">
        <f>Table1[[#This Row],[man minutes]]*Table1[[#This Row],[labor rate]]</f>
        <v>0.42</v>
      </c>
      <c r="U121" s="350">
        <f t="shared" si="22"/>
        <v>2.7592618499999997</v>
      </c>
      <c r="V121" s="330">
        <f t="shared" si="23"/>
        <v>0.13</v>
      </c>
      <c r="W121" s="351">
        <f t="shared" si="24"/>
        <v>0.13</v>
      </c>
      <c r="X121" s="350">
        <f t="shared" si="25"/>
        <v>2.6433658904999993</v>
      </c>
      <c r="Y121" s="350">
        <f t="shared" si="26"/>
        <v>0.47459999999999997</v>
      </c>
      <c r="Z121" s="350">
        <f t="shared" si="27"/>
        <v>3.1199999999999997</v>
      </c>
      <c r="AA121" s="352">
        <f>+Table1[[#This Row],[calculated sale price]]</f>
        <v>3.1199999999999997</v>
      </c>
      <c r="AB121" s="353"/>
      <c r="AC121" s="354"/>
      <c r="AD121" s="356"/>
      <c r="AE121" s="356">
        <f>Table1[[#This Row],[cost per quantity]]*(1+'P&amp;L'!$P$8)</f>
        <v>2.6433658904999993</v>
      </c>
      <c r="AF121" s="356">
        <f>$AF$8*Table1[[#This Row],[man minutes]]*(1+'P&amp;L'!$P$9)</f>
        <v>0.4519999999999999</v>
      </c>
      <c r="AG121" s="356"/>
      <c r="AH121" s="356"/>
      <c r="AI121" s="356">
        <f>Table1[[#This Row],[Food cost w/ MU]]+Table1[[#This Row],[labor cost W/ MU]]</f>
        <v>3.0953658904999992</v>
      </c>
      <c r="AJ121" s="362">
        <v>20240830</v>
      </c>
    </row>
    <row r="122" spans="1:36" x14ac:dyDescent="0.25">
      <c r="A122" s="329">
        <v>10113</v>
      </c>
      <c r="B122" s="325" t="s">
        <v>430</v>
      </c>
      <c r="C122" s="348">
        <v>2.5</v>
      </c>
      <c r="I122" s="329"/>
      <c r="J122" s="329"/>
      <c r="K122" s="329"/>
      <c r="L122" s="345"/>
      <c r="M122" s="329"/>
      <c r="N122" s="346"/>
      <c r="O122" s="347">
        <v>2.6101700000000001</v>
      </c>
      <c r="P122" s="347">
        <f>Table1[[#This Row],[unit cost]]*1.065</f>
        <v>2.7798310499999999</v>
      </c>
      <c r="Q122" s="348">
        <v>2.5</v>
      </c>
      <c r="R122" s="329">
        <v>1</v>
      </c>
      <c r="S122" s="349">
        <f t="shared" si="21"/>
        <v>0.42</v>
      </c>
      <c r="T122" s="350">
        <f>Table1[[#This Row],[man minutes]]*Table1[[#This Row],[labor rate]]</f>
        <v>1.05</v>
      </c>
      <c r="U122" s="350" t="e">
        <f>#REF!+T122</f>
        <v>#REF!</v>
      </c>
      <c r="V122" s="330">
        <f t="shared" si="23"/>
        <v>0.13</v>
      </c>
      <c r="W122" s="351">
        <f t="shared" si="24"/>
        <v>0.13</v>
      </c>
      <c r="X122" s="350" t="e">
        <f>#REF!*(1+V122)</f>
        <v>#REF!</v>
      </c>
      <c r="Y122" s="350">
        <f t="shared" si="26"/>
        <v>1.1865000000000001</v>
      </c>
      <c r="Z122" s="350" t="str">
        <f t="shared" si="27"/>
        <v xml:space="preserve"> </v>
      </c>
      <c r="AA122" s="352" t="str">
        <f>+Table1[[#This Row],[calculated sale price]]</f>
        <v xml:space="preserve"> </v>
      </c>
      <c r="AB122" s="353"/>
      <c r="AC122" s="354"/>
      <c r="AD122" s="356"/>
      <c r="AE122" s="356">
        <f>Table1[[#This Row],[cost per quantity]]*(1+'P&amp;L'!$P$8)</f>
        <v>3.1412090864999995</v>
      </c>
      <c r="AF122" s="356">
        <f>$AF$8*Table1[[#This Row],[man minutes]]*(1+'P&amp;L'!$P$9)</f>
        <v>1.1299999999999997</v>
      </c>
      <c r="AG122" s="356"/>
      <c r="AH122" s="356"/>
      <c r="AI122" s="356">
        <f>Table1[[#This Row],[Food cost w/ MU]]+Table1[[#This Row],[labor cost W/ MU]]</f>
        <v>4.271209086499999</v>
      </c>
      <c r="AJ122" s="362">
        <v>20240830</v>
      </c>
    </row>
    <row r="123" spans="1:36" x14ac:dyDescent="0.25">
      <c r="A123" s="329">
        <v>10114</v>
      </c>
      <c r="B123" s="325" t="s">
        <v>432</v>
      </c>
      <c r="C123" s="363">
        <v>1</v>
      </c>
      <c r="I123" s="329"/>
      <c r="J123" s="329"/>
      <c r="K123" s="329"/>
      <c r="L123" s="345"/>
      <c r="M123" s="329"/>
      <c r="N123" s="346"/>
      <c r="O123" s="347">
        <v>0.36901</v>
      </c>
      <c r="P123" s="364">
        <f>Table1[[#This Row],[unit cost]]*1.065</f>
        <v>0.39299564999999997</v>
      </c>
      <c r="Q123" s="348">
        <v>1</v>
      </c>
      <c r="R123" s="329">
        <v>1</v>
      </c>
      <c r="S123" s="349">
        <f t="shared" si="21"/>
        <v>0.42</v>
      </c>
      <c r="T123" s="350">
        <f>Table1[[#This Row],[man minutes]]*Table1[[#This Row],[labor rate]]</f>
        <v>0.42</v>
      </c>
      <c r="U123" s="350">
        <f>P122+T123</f>
        <v>3.1998310499999998</v>
      </c>
      <c r="V123" s="330">
        <f t="shared" si="23"/>
        <v>0.13</v>
      </c>
      <c r="W123" s="351">
        <f t="shared" si="24"/>
        <v>0.13</v>
      </c>
      <c r="X123" s="350">
        <f>P122*(1+V123)</f>
        <v>3.1412090864999995</v>
      </c>
      <c r="Y123" s="350">
        <f t="shared" si="26"/>
        <v>0.47459999999999997</v>
      </c>
      <c r="Z123" s="350">
        <f t="shared" si="27"/>
        <v>3.6199999999999997</v>
      </c>
      <c r="AA123" s="352">
        <f>+Table1[[#This Row],[calculated sale price]]</f>
        <v>3.6199999999999997</v>
      </c>
      <c r="AB123" s="353"/>
      <c r="AC123" s="354"/>
      <c r="AD123" s="356"/>
      <c r="AE123" s="356">
        <f>Table1[[#This Row],[cost per quantity]]*(1+'P&amp;L'!$P$8)</f>
        <v>0.44408508449999995</v>
      </c>
      <c r="AF123" s="356">
        <f>$AF$8*Table1[[#This Row],[man minutes]]*(1+'P&amp;L'!$P$9)</f>
        <v>0.4519999999999999</v>
      </c>
      <c r="AG123" s="361">
        <f>Table1[[#This Row],[cost per quantity]]*1.18</f>
        <v>0.46373486699999994</v>
      </c>
      <c r="AH123" s="361">
        <f>$AF$8*Table1[[#This Row],[man minutes]]*1.18</f>
        <v>0.47199999999999992</v>
      </c>
      <c r="AI123" s="356">
        <f>Table1[[#This Row],[Food cost w/ MU]]+Table1[[#This Row],[labor cost W/ MU]]</f>
        <v>0.89608508449999991</v>
      </c>
      <c r="AJ123" s="362">
        <v>20240830</v>
      </c>
    </row>
    <row r="124" spans="1:36" x14ac:dyDescent="0.25">
      <c r="A124" s="329">
        <v>10115</v>
      </c>
      <c r="B124" s="325" t="s">
        <v>431</v>
      </c>
      <c r="C124" s="348">
        <v>6.5</v>
      </c>
      <c r="I124" s="329"/>
      <c r="J124" s="329"/>
      <c r="K124" s="329"/>
      <c r="L124" s="345"/>
      <c r="M124" s="329"/>
      <c r="N124" s="346"/>
      <c r="O124" s="347">
        <v>2.5628799999999998</v>
      </c>
      <c r="P124" s="347">
        <f>Table1[[#This Row],[unit cost]]*1.065</f>
        <v>2.7294671999999998</v>
      </c>
      <c r="Q124" s="348">
        <v>6.5</v>
      </c>
      <c r="R124" s="329">
        <v>1</v>
      </c>
      <c r="S124" s="349">
        <f t="shared" si="21"/>
        <v>0.42</v>
      </c>
      <c r="T124" s="350">
        <f>Table1[[#This Row],[man minutes]]*Table1[[#This Row],[labor rate]]</f>
        <v>2.73</v>
      </c>
      <c r="U124" s="350">
        <f>P123+T124</f>
        <v>3.12299565</v>
      </c>
      <c r="V124" s="330">
        <f t="shared" si="23"/>
        <v>0.13</v>
      </c>
      <c r="W124" s="351">
        <f t="shared" si="24"/>
        <v>0.13</v>
      </c>
      <c r="X124" s="350">
        <f>P123*(1+V124)</f>
        <v>0.44408508449999995</v>
      </c>
      <c r="Y124" s="350">
        <f t="shared" si="26"/>
        <v>3.0849000000000002</v>
      </c>
      <c r="Z124" s="350">
        <f t="shared" si="27"/>
        <v>3.53</v>
      </c>
      <c r="AA124" s="352">
        <f>+Table1[[#This Row],[calculated sale price]]</f>
        <v>3.53</v>
      </c>
      <c r="AB124" s="353"/>
      <c r="AC124" s="354"/>
      <c r="AD124" s="356"/>
      <c r="AE124" s="356">
        <f>Table1[[#This Row],[cost per quantity]]*(1+'P&amp;L'!$P$8)</f>
        <v>3.0842979359999996</v>
      </c>
      <c r="AF124" s="356">
        <f>$AF$8*Table1[[#This Row],[man minutes]]*(1+'P&amp;L'!$P$9)</f>
        <v>2.9379999999999993</v>
      </c>
      <c r="AG124" s="356"/>
      <c r="AH124" s="356"/>
      <c r="AI124" s="356">
        <f>Table1[[#This Row],[Food cost w/ MU]]+Table1[[#This Row],[labor cost W/ MU]]</f>
        <v>6.0222979359999993</v>
      </c>
      <c r="AJ124" s="362">
        <v>20240830</v>
      </c>
    </row>
    <row r="125" spans="1:36" x14ac:dyDescent="0.25">
      <c r="A125" s="329">
        <v>10116</v>
      </c>
      <c r="B125" s="325" t="s">
        <v>433</v>
      </c>
      <c r="C125" s="363">
        <v>1</v>
      </c>
      <c r="I125" s="329"/>
      <c r="J125" s="329"/>
      <c r="K125" s="329"/>
      <c r="L125" s="345"/>
      <c r="M125" s="329"/>
      <c r="N125" s="346"/>
      <c r="O125" s="347">
        <f>1.131503</f>
        <v>1.1315029999999999</v>
      </c>
      <c r="P125" s="364">
        <f>Table1[[#This Row],[unit cost]]*1.065</f>
        <v>1.2050506949999999</v>
      </c>
      <c r="Q125" s="348">
        <v>1</v>
      </c>
      <c r="R125" s="329">
        <v>1</v>
      </c>
      <c r="S125" s="349">
        <f t="shared" si="21"/>
        <v>0.42</v>
      </c>
      <c r="T125" s="350">
        <f>Table1[[#This Row],[man minutes]]*Table1[[#This Row],[labor rate]]</f>
        <v>0.42</v>
      </c>
      <c r="U125" s="350">
        <f>P124+T125</f>
        <v>3.1494671999999997</v>
      </c>
      <c r="V125" s="330">
        <f t="shared" si="23"/>
        <v>0.13</v>
      </c>
      <c r="W125" s="351">
        <f t="shared" si="24"/>
        <v>0.13</v>
      </c>
      <c r="X125" s="350">
        <f>P124*(1+V125)</f>
        <v>3.0842979359999996</v>
      </c>
      <c r="Y125" s="350">
        <f t="shared" si="26"/>
        <v>0.47459999999999997</v>
      </c>
      <c r="Z125" s="350">
        <f t="shared" si="27"/>
        <v>3.5599999999999996</v>
      </c>
      <c r="AA125" s="352">
        <f>+Table1[[#This Row],[calculated sale price]]</f>
        <v>3.5599999999999996</v>
      </c>
      <c r="AB125" s="353"/>
      <c r="AC125" s="354"/>
      <c r="AD125" s="356"/>
      <c r="AE125" s="356">
        <f>Table1[[#This Row],[cost per quantity]]*(1+'P&amp;L'!$P$8)</f>
        <v>1.3617072853499999</v>
      </c>
      <c r="AF125" s="356">
        <f>$AF$8*Table1[[#This Row],[man minutes]]*(1+'P&amp;L'!$P$9)</f>
        <v>0.4519999999999999</v>
      </c>
      <c r="AG125" s="361">
        <f>Table1[[#This Row],[cost per quantity]]*1.18</f>
        <v>1.4219598200999999</v>
      </c>
      <c r="AH125" s="361">
        <f>$AF$8*Table1[[#This Row],[man minutes]]*1.18</f>
        <v>0.47199999999999992</v>
      </c>
      <c r="AI125" s="356">
        <f>Table1[[#This Row],[Food cost w/ MU]]+Table1[[#This Row],[labor cost W/ MU]]</f>
        <v>1.8137072853499998</v>
      </c>
      <c r="AJ125" s="362">
        <v>20240830</v>
      </c>
    </row>
    <row r="126" spans="1:36" x14ac:dyDescent="0.25">
      <c r="A126" s="329">
        <v>10117</v>
      </c>
      <c r="B126" s="325" t="s">
        <v>434</v>
      </c>
      <c r="C126" s="363">
        <v>0.2</v>
      </c>
      <c r="I126" s="329"/>
      <c r="J126" s="329"/>
      <c r="K126" s="329"/>
      <c r="L126" s="345"/>
      <c r="M126" s="329"/>
      <c r="N126" s="346"/>
      <c r="O126" s="347">
        <v>0.15</v>
      </c>
      <c r="P126" s="364">
        <f>Table1[[#This Row],[unit cost]]*1.065</f>
        <v>0.15974999999999998</v>
      </c>
      <c r="Q126" s="348">
        <v>0.2</v>
      </c>
      <c r="R126" s="329">
        <v>1</v>
      </c>
      <c r="S126" s="349">
        <f t="shared" si="21"/>
        <v>0.42</v>
      </c>
      <c r="T126" s="350">
        <f>Table1[[#This Row],[man minutes]]*Table1[[#This Row],[labor rate]]</f>
        <v>8.4000000000000005E-2</v>
      </c>
      <c r="U126" s="350">
        <f>P125+T126</f>
        <v>1.289050695</v>
      </c>
      <c r="V126" s="330">
        <f t="shared" si="23"/>
        <v>0.13</v>
      </c>
      <c r="W126" s="351">
        <f t="shared" si="24"/>
        <v>0.13</v>
      </c>
      <c r="X126" s="350">
        <f>P125*(1+V126)</f>
        <v>1.3617072853499999</v>
      </c>
      <c r="Y126" s="350">
        <f t="shared" si="26"/>
        <v>9.4920000000000004E-2</v>
      </c>
      <c r="Z126" s="350">
        <f t="shared" si="27"/>
        <v>1.46</v>
      </c>
      <c r="AA126" s="352">
        <f>+Table1[[#This Row],[calculated sale price]]</f>
        <v>1.46</v>
      </c>
      <c r="AB126" s="353"/>
      <c r="AC126" s="354"/>
      <c r="AD126" s="356"/>
      <c r="AE126" s="356">
        <f>Table1[[#This Row],[cost per quantity]]*(1+'P&amp;L'!$P$8)</f>
        <v>0.18051749999999994</v>
      </c>
      <c r="AF126" s="356">
        <f>$AF$8*Table1[[#This Row],[man minutes]]*(1+'P&amp;L'!$P$9)</f>
        <v>9.0399999999999994E-2</v>
      </c>
      <c r="AG126" s="361">
        <f>Table1[[#This Row],[cost per quantity]]*1.18</f>
        <v>0.18850499999999995</v>
      </c>
      <c r="AH126" s="361">
        <f>$AF$8*Table1[[#This Row],[man minutes]]*1.18</f>
        <v>9.4399999999999998E-2</v>
      </c>
      <c r="AI126" s="356">
        <f>Table1[[#This Row],[Food cost w/ MU]]+Table1[[#This Row],[labor cost W/ MU]]</f>
        <v>0.27091749999999992</v>
      </c>
      <c r="AJ126" s="362">
        <v>20240830</v>
      </c>
    </row>
    <row r="127" spans="1:36" x14ac:dyDescent="0.25">
      <c r="A127" s="329">
        <v>10118</v>
      </c>
      <c r="B127" s="325" t="s">
        <v>435</v>
      </c>
      <c r="C127" s="363"/>
      <c r="I127" s="329"/>
      <c r="J127" s="329"/>
      <c r="K127" s="329"/>
      <c r="L127" s="345"/>
      <c r="M127" s="329"/>
      <c r="N127" s="346"/>
      <c r="O127" s="347">
        <v>0.78086</v>
      </c>
      <c r="P127" s="347">
        <f>Table1[[#This Row],[unit cost]]*1.065</f>
        <v>0.83161589999999996</v>
      </c>
      <c r="Q127" s="348">
        <v>2.5</v>
      </c>
      <c r="R127" s="329">
        <v>1</v>
      </c>
      <c r="S127" s="349">
        <f t="shared" si="21"/>
        <v>0.42</v>
      </c>
      <c r="T127" s="350">
        <f>Table1[[#This Row],[man minutes]]*Table1[[#This Row],[labor rate]]</f>
        <v>1.05</v>
      </c>
      <c r="U127" s="350">
        <f>P126+T127</f>
        <v>1.2097500000000001</v>
      </c>
      <c r="V127" s="330">
        <f t="shared" si="23"/>
        <v>0.13</v>
      </c>
      <c r="W127" s="351">
        <f t="shared" si="24"/>
        <v>0.13</v>
      </c>
      <c r="X127" s="350">
        <f>P126*(1+V127)</f>
        <v>0.18051749999999994</v>
      </c>
      <c r="Y127" s="350">
        <f t="shared" si="26"/>
        <v>1.1865000000000001</v>
      </c>
      <c r="Z127" s="350">
        <f t="shared" si="27"/>
        <v>1.37</v>
      </c>
      <c r="AA127" s="352">
        <f>+Table1[[#This Row],[calculated sale price]]</f>
        <v>1.37</v>
      </c>
      <c r="AB127" s="353"/>
      <c r="AC127" s="354"/>
      <c r="AD127" s="356"/>
      <c r="AE127" s="356">
        <f>Table1[[#This Row],[cost per quantity]]*(1+'P&amp;L'!$P$8)</f>
        <v>0.93972596699999988</v>
      </c>
      <c r="AF127" s="356">
        <f>$AF$8*Table1[[#This Row],[man minutes]]*(1+'P&amp;L'!$P$9)</f>
        <v>1.1299999999999997</v>
      </c>
      <c r="AG127" s="356"/>
      <c r="AH127" s="356"/>
      <c r="AI127" s="356">
        <f>Table1[[#This Row],[Food cost w/ MU]]+Table1[[#This Row],[labor cost W/ MU]]</f>
        <v>2.0697259669999997</v>
      </c>
      <c r="AJ127" s="362">
        <v>20240830</v>
      </c>
    </row>
    <row r="128" spans="1:36" x14ac:dyDescent="0.25">
      <c r="A128" s="329">
        <v>10119</v>
      </c>
      <c r="B128" s="325" t="s">
        <v>436</v>
      </c>
      <c r="C128" s="363"/>
      <c r="I128" s="329"/>
      <c r="J128" s="329"/>
      <c r="K128" s="329"/>
      <c r="L128" s="345"/>
      <c r="M128" s="329"/>
      <c r="N128" s="346"/>
      <c r="O128" s="347">
        <v>1.0825324999999999</v>
      </c>
      <c r="P128" s="347">
        <f>Table1[[#This Row],[unit cost]]*1.065</f>
        <v>1.1528971124999998</v>
      </c>
      <c r="Q128" s="348">
        <v>2.5</v>
      </c>
      <c r="S128" s="349"/>
      <c r="T128" s="350"/>
      <c r="U128" s="350"/>
      <c r="W128" s="351"/>
      <c r="X128" s="350"/>
      <c r="Y128" s="350"/>
      <c r="Z128" s="350"/>
      <c r="AA128" s="352"/>
      <c r="AB128" s="353"/>
      <c r="AC128" s="354"/>
      <c r="AD128" s="356"/>
      <c r="AE128" s="356">
        <f>Table1[[#This Row],[cost per quantity]]*(1+'P&amp;L'!$P$8)</f>
        <v>1.3027737371249997</v>
      </c>
      <c r="AF128" s="356">
        <f>$AF$8*Table1[[#This Row],[man minutes]]*(1+'P&amp;L'!$P$9)</f>
        <v>1.1299999999999997</v>
      </c>
      <c r="AG128" s="356"/>
      <c r="AH128" s="356"/>
      <c r="AI128" s="356">
        <f>Table1[[#This Row],[Food cost w/ MU]]+Table1[[#This Row],[labor cost W/ MU]]</f>
        <v>2.4327737371249993</v>
      </c>
      <c r="AJ128" s="362">
        <v>20240830</v>
      </c>
    </row>
    <row r="129" spans="1:36" x14ac:dyDescent="0.25">
      <c r="A129" s="329">
        <v>10120</v>
      </c>
      <c r="B129" s="325" t="s">
        <v>437</v>
      </c>
      <c r="C129" s="329"/>
      <c r="I129" s="329"/>
      <c r="J129" s="329"/>
      <c r="K129" s="329"/>
      <c r="L129" s="345"/>
      <c r="M129" s="329"/>
      <c r="N129" s="346"/>
      <c r="O129" s="347">
        <v>3.9234819600000002</v>
      </c>
      <c r="P129" s="347">
        <f>Table1[[#This Row],[unit cost]]*1.065</f>
        <v>4.1785082873999997</v>
      </c>
      <c r="Q129" s="348">
        <v>3</v>
      </c>
      <c r="R129" s="329">
        <v>1</v>
      </c>
      <c r="S129" s="349">
        <f t="shared" ref="S129:S160" si="28">$S$2</f>
        <v>0.42</v>
      </c>
      <c r="T129" s="350">
        <f>Table1[[#This Row],[man minutes]]*Table1[[#This Row],[labor rate]]</f>
        <v>1.26</v>
      </c>
      <c r="U129" s="350">
        <f>P128+T129</f>
        <v>2.4128971124999996</v>
      </c>
      <c r="V129" s="330">
        <f t="shared" ref="V129:V160" si="29">$V$2</f>
        <v>0.13</v>
      </c>
      <c r="W129" s="351">
        <f t="shared" ref="W129:W160" si="30">$W$2</f>
        <v>0.13</v>
      </c>
      <c r="X129" s="350">
        <f>P128*(1+V129)</f>
        <v>1.3027737371249997</v>
      </c>
      <c r="Y129" s="350">
        <f t="shared" ref="Y129:Y160" si="31">T129+(T129*W129)</f>
        <v>1.4238</v>
      </c>
      <c r="Z129" s="350">
        <f t="shared" ref="Z129:Z160" si="32">IFERROR(ROUNDUP(X129+Y129,2)," ")</f>
        <v>2.73</v>
      </c>
      <c r="AA129" s="352">
        <f>+Table1[[#This Row],[calculated sale price]]</f>
        <v>2.73</v>
      </c>
      <c r="AB129" s="353"/>
      <c r="AC129" s="354"/>
      <c r="AD129" s="356"/>
      <c r="AE129" s="356">
        <f>Table1[[#This Row],[cost per quantity]]*(1+'P&amp;L'!$P$8)</f>
        <v>4.7217143647619988</v>
      </c>
      <c r="AF129" s="356">
        <f>$AF$8*Table1[[#This Row],[man minutes]]*(1+'P&amp;L'!$P$9)</f>
        <v>1.3559999999999999</v>
      </c>
      <c r="AG129" s="356"/>
      <c r="AH129" s="356"/>
      <c r="AI129" s="356">
        <f>Table1[[#This Row],[Food cost w/ MU]]+Table1[[#This Row],[labor cost W/ MU]]</f>
        <v>6.0777143647619987</v>
      </c>
      <c r="AJ129" s="362">
        <v>20240830</v>
      </c>
    </row>
    <row r="130" spans="1:36" x14ac:dyDescent="0.25">
      <c r="A130" s="329">
        <v>10121</v>
      </c>
      <c r="B130" s="325" t="s">
        <v>438</v>
      </c>
      <c r="C130" s="329">
        <v>1</v>
      </c>
      <c r="I130" s="329"/>
      <c r="J130" s="329"/>
      <c r="K130" s="329"/>
      <c r="L130" s="345"/>
      <c r="M130" s="329"/>
      <c r="N130" s="346"/>
      <c r="O130" s="347">
        <v>2.9934146789999998</v>
      </c>
      <c r="P130" s="347">
        <f>Table1[[#This Row],[unit cost]]*1.065</f>
        <v>3.1879866331349995</v>
      </c>
      <c r="Q130" s="348">
        <v>3</v>
      </c>
      <c r="R130" s="329">
        <v>1</v>
      </c>
      <c r="S130" s="349">
        <f t="shared" si="28"/>
        <v>0.42</v>
      </c>
      <c r="T130" s="350">
        <f>Table1[[#This Row],[man minutes]]*Table1[[#This Row],[labor rate]]</f>
        <v>1.26</v>
      </c>
      <c r="U130" s="350">
        <f t="shared" ref="U130:U161" si="33">P130+T130</f>
        <v>4.4479866331349998</v>
      </c>
      <c r="V130" s="330">
        <f t="shared" si="29"/>
        <v>0.13</v>
      </c>
      <c r="W130" s="351">
        <f t="shared" si="30"/>
        <v>0.13</v>
      </c>
      <c r="X130" s="350">
        <f t="shared" ref="X130:X161" si="34">P130*(1+V130)</f>
        <v>3.6024248954425491</v>
      </c>
      <c r="Y130" s="350">
        <f t="shared" si="31"/>
        <v>1.4238</v>
      </c>
      <c r="Z130" s="350">
        <f t="shared" si="32"/>
        <v>5.0299999999999994</v>
      </c>
      <c r="AA130" s="352">
        <f>+Table1[[#This Row],[calculated sale price]]</f>
        <v>5.0299999999999994</v>
      </c>
      <c r="AB130" s="353"/>
      <c r="AC130" s="354"/>
      <c r="AD130" s="356"/>
      <c r="AE130" s="356">
        <f>Table1[[#This Row],[cost per quantity]]*(1+'P&amp;L'!$P$8)</f>
        <v>3.6024248954425491</v>
      </c>
      <c r="AF130" s="356">
        <f>$AF$8*Table1[[#This Row],[man minutes]]*(1+'P&amp;L'!$P$9)</f>
        <v>1.3559999999999999</v>
      </c>
      <c r="AG130" s="356">
        <f>$AF$8*Table1[[#This Row],[man minutes]]*1.18</f>
        <v>1.4159999999999999</v>
      </c>
      <c r="AH130" s="356"/>
      <c r="AI130" s="356">
        <f>Table1[[#This Row],[Food cost w/ MU]]+Table1[[#This Row],[labor cost W/ MU]]</f>
        <v>4.9584248954425494</v>
      </c>
      <c r="AJ130" s="362">
        <v>20240830</v>
      </c>
    </row>
    <row r="131" spans="1:36" x14ac:dyDescent="0.25">
      <c r="A131" s="329">
        <v>10122</v>
      </c>
      <c r="B131" s="325" t="s">
        <v>439</v>
      </c>
      <c r="C131" s="329">
        <v>1</v>
      </c>
      <c r="I131" s="329"/>
      <c r="J131" s="329"/>
      <c r="K131" s="329"/>
      <c r="L131" s="345"/>
      <c r="M131" s="329"/>
      <c r="N131" s="346"/>
      <c r="O131" s="347">
        <v>0.36901335390946505</v>
      </c>
      <c r="P131" s="347">
        <f>Table1[[#This Row],[unit cost]]*1.065</f>
        <v>0.39299922191358028</v>
      </c>
      <c r="Q131" s="348">
        <v>1</v>
      </c>
      <c r="R131" s="329">
        <v>1</v>
      </c>
      <c r="S131" s="349">
        <f t="shared" si="28"/>
        <v>0.42</v>
      </c>
      <c r="T131" s="350">
        <f>Table1[[#This Row],[man minutes]]*Table1[[#This Row],[labor rate]]</f>
        <v>0.42</v>
      </c>
      <c r="U131" s="350">
        <f t="shared" si="33"/>
        <v>0.81299922191358021</v>
      </c>
      <c r="V131" s="330">
        <f t="shared" si="29"/>
        <v>0.13</v>
      </c>
      <c r="W131" s="351">
        <f t="shared" si="30"/>
        <v>0.13</v>
      </c>
      <c r="X131" s="350">
        <f t="shared" si="34"/>
        <v>0.44408912076234569</v>
      </c>
      <c r="Y131" s="350">
        <f t="shared" si="31"/>
        <v>0.47459999999999997</v>
      </c>
      <c r="Z131" s="350">
        <f t="shared" si="32"/>
        <v>0.92</v>
      </c>
      <c r="AA131" s="352">
        <f>+Table1[[#This Row],[calculated sale price]]</f>
        <v>0.92</v>
      </c>
      <c r="AB131" s="353"/>
      <c r="AC131" s="354"/>
      <c r="AD131" s="356"/>
      <c r="AE131" s="356">
        <f>Table1[[#This Row],[cost per quantity]]*(1+'P&amp;L'!$P$8)</f>
        <v>0.44408912076234569</v>
      </c>
      <c r="AF131" s="356">
        <f>$AF$8*Table1[[#This Row],[man minutes]]*(1+'P&amp;L'!$P$9)</f>
        <v>0.4519999999999999</v>
      </c>
      <c r="AG131" s="356">
        <f>$AF$8*Table1[[#This Row],[man minutes]]*1.18</f>
        <v>0.47199999999999992</v>
      </c>
      <c r="AH131" s="356"/>
      <c r="AI131" s="356">
        <f>Table1[[#This Row],[Food cost w/ MU]]+Table1[[#This Row],[labor cost W/ MU]]</f>
        <v>0.89608912076234559</v>
      </c>
      <c r="AJ131" s="362">
        <v>20240830</v>
      </c>
    </row>
    <row r="132" spans="1:36" x14ac:dyDescent="0.25">
      <c r="A132" s="329">
        <v>10123</v>
      </c>
      <c r="B132" s="325" t="s">
        <v>440</v>
      </c>
      <c r="C132" s="329">
        <v>1</v>
      </c>
      <c r="I132" s="329"/>
      <c r="J132" s="329"/>
      <c r="K132" s="329"/>
      <c r="L132" s="345"/>
      <c r="M132" s="329"/>
      <c r="N132" s="346"/>
      <c r="O132" s="347">
        <v>0.36901335390946505</v>
      </c>
      <c r="P132" s="347">
        <f>Table1[[#This Row],[unit cost]]*1.065</f>
        <v>0.39299922191358028</v>
      </c>
      <c r="Q132" s="348">
        <v>1</v>
      </c>
      <c r="R132" s="329">
        <v>1</v>
      </c>
      <c r="S132" s="349">
        <f t="shared" si="28"/>
        <v>0.42</v>
      </c>
      <c r="T132" s="350">
        <f>Table1[[#This Row],[man minutes]]*Table1[[#This Row],[labor rate]]</f>
        <v>0.42</v>
      </c>
      <c r="U132" s="350">
        <f t="shared" si="33"/>
        <v>0.81299922191358021</v>
      </c>
      <c r="V132" s="330">
        <f t="shared" si="29"/>
        <v>0.13</v>
      </c>
      <c r="W132" s="351">
        <f t="shared" si="30"/>
        <v>0.13</v>
      </c>
      <c r="X132" s="350">
        <f t="shared" si="34"/>
        <v>0.44408912076234569</v>
      </c>
      <c r="Y132" s="350">
        <f t="shared" si="31"/>
        <v>0.47459999999999997</v>
      </c>
      <c r="Z132" s="350">
        <f t="shared" si="32"/>
        <v>0.92</v>
      </c>
      <c r="AA132" s="352">
        <f>+Table1[[#This Row],[calculated sale price]]</f>
        <v>0.92</v>
      </c>
      <c r="AB132" s="353"/>
      <c r="AC132" s="354"/>
      <c r="AD132" s="356"/>
      <c r="AE132" s="356">
        <f>Table1[[#This Row],[cost per quantity]]*(1+'P&amp;L'!$P$8)</f>
        <v>0.44408912076234569</v>
      </c>
      <c r="AF132" s="356">
        <f>$AF$8*Table1[[#This Row],[man minutes]]*(1+'P&amp;L'!$P$9)</f>
        <v>0.4519999999999999</v>
      </c>
      <c r="AG132" s="356">
        <f>$AF$8*Table1[[#This Row],[man minutes]]*1.18</f>
        <v>0.47199999999999992</v>
      </c>
      <c r="AH132" s="356"/>
      <c r="AI132" s="356">
        <f>Table1[[#This Row],[Food cost w/ MU]]+Table1[[#This Row],[labor cost W/ MU]]</f>
        <v>0.89608912076234559</v>
      </c>
      <c r="AJ132" s="362">
        <v>20240830</v>
      </c>
    </row>
    <row r="133" spans="1:36" x14ac:dyDescent="0.25">
      <c r="A133" s="329">
        <v>10124</v>
      </c>
      <c r="B133" s="325" t="s">
        <v>441</v>
      </c>
      <c r="C133" s="329">
        <v>1</v>
      </c>
      <c r="I133" s="329"/>
      <c r="J133" s="329"/>
      <c r="K133" s="329"/>
      <c r="L133" s="345"/>
      <c r="M133" s="329"/>
      <c r="N133" s="346"/>
      <c r="O133" s="347">
        <v>3.4178559000000002</v>
      </c>
      <c r="P133" s="347">
        <f>Table1[[#This Row],[unit cost]]*1.065</f>
        <v>3.6400165334999999</v>
      </c>
      <c r="Q133" s="348">
        <v>6.5</v>
      </c>
      <c r="R133" s="329">
        <v>1</v>
      </c>
      <c r="S133" s="349">
        <f t="shared" si="28"/>
        <v>0.42</v>
      </c>
      <c r="T133" s="350">
        <f>Table1[[#This Row],[man minutes]]*Table1[[#This Row],[labor rate]]</f>
        <v>2.73</v>
      </c>
      <c r="U133" s="350">
        <f t="shared" si="33"/>
        <v>6.3700165334999994</v>
      </c>
      <c r="V133" s="330">
        <f t="shared" si="29"/>
        <v>0.13</v>
      </c>
      <c r="W133" s="351">
        <f t="shared" si="30"/>
        <v>0.13</v>
      </c>
      <c r="X133" s="350">
        <f t="shared" si="34"/>
        <v>4.113218682854999</v>
      </c>
      <c r="Y133" s="350">
        <f t="shared" si="31"/>
        <v>3.0849000000000002</v>
      </c>
      <c r="Z133" s="350">
        <f t="shared" si="32"/>
        <v>7.2</v>
      </c>
      <c r="AA133" s="352">
        <f>+Table1[[#This Row],[calculated sale price]]</f>
        <v>7.2</v>
      </c>
      <c r="AB133" s="353"/>
      <c r="AC133" s="354"/>
      <c r="AD133" s="356"/>
      <c r="AE133" s="356">
        <f>Table1[[#This Row],[cost per quantity]]*(1+'P&amp;L'!$P$8)</f>
        <v>4.113218682854999</v>
      </c>
      <c r="AF133" s="356">
        <f>$AF$8*Table1[[#This Row],[man minutes]]*(1+'P&amp;L'!$P$9)</f>
        <v>2.9379999999999993</v>
      </c>
      <c r="AG133" s="356">
        <f>$AF$8*Table1[[#This Row],[man minutes]]*1.18</f>
        <v>3.0679999999999996</v>
      </c>
      <c r="AH133" s="356"/>
      <c r="AI133" s="356">
        <f>Table1[[#This Row],[Food cost w/ MU]]+Table1[[#This Row],[labor cost W/ MU]]</f>
        <v>7.0512186828549979</v>
      </c>
      <c r="AJ133" s="362">
        <v>20240830</v>
      </c>
    </row>
    <row r="134" spans="1:36" x14ac:dyDescent="0.25">
      <c r="A134" s="329">
        <v>10125</v>
      </c>
      <c r="B134" s="325" t="s">
        <v>444</v>
      </c>
      <c r="C134" s="329">
        <v>1</v>
      </c>
      <c r="I134" s="329"/>
      <c r="J134" s="329"/>
      <c r="K134" s="329"/>
      <c r="L134" s="345"/>
      <c r="M134" s="329"/>
      <c r="N134" s="346"/>
      <c r="O134" s="347">
        <v>3.4178559000000002</v>
      </c>
      <c r="P134" s="347">
        <f>Table1[[#This Row],[unit cost]]*1.065</f>
        <v>3.6400165334999999</v>
      </c>
      <c r="Q134" s="348">
        <v>6.5</v>
      </c>
      <c r="R134" s="329">
        <v>1</v>
      </c>
      <c r="S134" s="349">
        <f t="shared" si="28"/>
        <v>0.42</v>
      </c>
      <c r="T134" s="350">
        <f>Table1[[#This Row],[man minutes]]*Table1[[#This Row],[labor rate]]</f>
        <v>2.73</v>
      </c>
      <c r="U134" s="350">
        <f t="shared" si="33"/>
        <v>6.3700165334999994</v>
      </c>
      <c r="V134" s="330">
        <f t="shared" si="29"/>
        <v>0.13</v>
      </c>
      <c r="W134" s="351">
        <f t="shared" si="30"/>
        <v>0.13</v>
      </c>
      <c r="X134" s="350">
        <f t="shared" si="34"/>
        <v>4.113218682854999</v>
      </c>
      <c r="Y134" s="350">
        <f t="shared" si="31"/>
        <v>3.0849000000000002</v>
      </c>
      <c r="Z134" s="350">
        <f t="shared" si="32"/>
        <v>7.2</v>
      </c>
      <c r="AA134" s="352">
        <f>+Table1[[#This Row],[calculated sale price]]</f>
        <v>7.2</v>
      </c>
      <c r="AB134" s="353"/>
      <c r="AC134" s="354"/>
      <c r="AD134" s="356"/>
      <c r="AE134" s="356">
        <f>Table1[[#This Row],[cost per quantity]]*(1+'P&amp;L'!$P$8)</f>
        <v>4.113218682854999</v>
      </c>
      <c r="AF134" s="356">
        <f>$AF$8*Table1[[#This Row],[man minutes]]*(1+'P&amp;L'!$P$9)</f>
        <v>2.9379999999999993</v>
      </c>
      <c r="AG134" s="356">
        <f>$AF$8*Table1[[#This Row],[man minutes]]*1.18</f>
        <v>3.0679999999999996</v>
      </c>
      <c r="AH134" s="356"/>
      <c r="AI134" s="356">
        <f>Table1[[#This Row],[Food cost w/ MU]]+Table1[[#This Row],[labor cost W/ MU]]</f>
        <v>7.0512186828549979</v>
      </c>
      <c r="AJ134" s="362">
        <v>20240830</v>
      </c>
    </row>
    <row r="135" spans="1:36" x14ac:dyDescent="0.25">
      <c r="A135" s="329">
        <v>10126</v>
      </c>
      <c r="B135" s="325" t="s">
        <v>443</v>
      </c>
      <c r="C135" s="329">
        <v>1</v>
      </c>
      <c r="I135" s="329"/>
      <c r="J135" s="329"/>
      <c r="K135" s="329"/>
      <c r="L135" s="345"/>
      <c r="M135" s="329"/>
      <c r="N135" s="346"/>
      <c r="O135" s="347">
        <v>7.8656350000000002</v>
      </c>
      <c r="P135" s="347">
        <f>Table1[[#This Row],[unit cost]]*1.065</f>
        <v>8.3769012749999998</v>
      </c>
      <c r="Q135" s="348">
        <v>8</v>
      </c>
      <c r="R135" s="329">
        <v>1</v>
      </c>
      <c r="S135" s="349">
        <f t="shared" si="28"/>
        <v>0.42</v>
      </c>
      <c r="T135" s="350">
        <f>Table1[[#This Row],[man minutes]]*Table1[[#This Row],[labor rate]]</f>
        <v>3.36</v>
      </c>
      <c r="U135" s="350">
        <f t="shared" si="33"/>
        <v>11.736901274999999</v>
      </c>
      <c r="V135" s="330">
        <f t="shared" si="29"/>
        <v>0.13</v>
      </c>
      <c r="W135" s="351">
        <f t="shared" si="30"/>
        <v>0.13</v>
      </c>
      <c r="X135" s="350">
        <f t="shared" si="34"/>
        <v>9.4658984407499993</v>
      </c>
      <c r="Y135" s="350">
        <f t="shared" si="31"/>
        <v>3.7967999999999997</v>
      </c>
      <c r="Z135" s="350">
        <f t="shared" si="32"/>
        <v>13.27</v>
      </c>
      <c r="AA135" s="352">
        <f>+Table1[[#This Row],[calculated sale price]]</f>
        <v>13.27</v>
      </c>
      <c r="AB135" s="353"/>
      <c r="AC135" s="354"/>
      <c r="AD135" s="356"/>
      <c r="AE135" s="356">
        <f>Table1[[#This Row],[cost per quantity]]*(1+'P&amp;L'!$P$8)</f>
        <v>9.4658984407499993</v>
      </c>
      <c r="AF135" s="356">
        <f>$AF$8*Table1[[#This Row],[man minutes]]*(1+'P&amp;L'!$P$9)</f>
        <v>3.6159999999999992</v>
      </c>
      <c r="AG135" s="356">
        <f>$AF$8*Table1[[#This Row],[man minutes]]*1.18</f>
        <v>3.7759999999999994</v>
      </c>
      <c r="AH135" s="356"/>
      <c r="AI135" s="356">
        <f>Table1[[#This Row],[Food cost w/ MU]]+Table1[[#This Row],[labor cost W/ MU]]</f>
        <v>13.081898440749999</v>
      </c>
      <c r="AJ135" s="362">
        <v>20240830</v>
      </c>
    </row>
    <row r="136" spans="1:36" x14ac:dyDescent="0.25">
      <c r="A136" s="329">
        <v>10127</v>
      </c>
      <c r="B136" s="325" t="s">
        <v>442</v>
      </c>
      <c r="C136" s="329">
        <v>1</v>
      </c>
      <c r="I136" s="329"/>
      <c r="J136" s="329"/>
      <c r="K136" s="329"/>
      <c r="L136" s="345"/>
      <c r="M136" s="329"/>
      <c r="N136" s="346"/>
      <c r="O136" s="347">
        <v>7.8656350000000002</v>
      </c>
      <c r="P136" s="347">
        <f>Table1[[#This Row],[unit cost]]*1.065</f>
        <v>8.3769012749999998</v>
      </c>
      <c r="Q136" s="348">
        <v>8</v>
      </c>
      <c r="R136" s="329">
        <v>1</v>
      </c>
      <c r="S136" s="349">
        <f t="shared" si="28"/>
        <v>0.42</v>
      </c>
      <c r="T136" s="350">
        <f>Table1[[#This Row],[man minutes]]*Table1[[#This Row],[labor rate]]</f>
        <v>3.36</v>
      </c>
      <c r="U136" s="350">
        <f t="shared" si="33"/>
        <v>11.736901274999999</v>
      </c>
      <c r="V136" s="330">
        <f t="shared" si="29"/>
        <v>0.13</v>
      </c>
      <c r="W136" s="351">
        <f t="shared" si="30"/>
        <v>0.13</v>
      </c>
      <c r="X136" s="350">
        <f t="shared" si="34"/>
        <v>9.4658984407499993</v>
      </c>
      <c r="Y136" s="350">
        <f t="shared" si="31"/>
        <v>3.7967999999999997</v>
      </c>
      <c r="Z136" s="350">
        <f t="shared" si="32"/>
        <v>13.27</v>
      </c>
      <c r="AA136" s="352">
        <f>+Table1[[#This Row],[calculated sale price]]</f>
        <v>13.27</v>
      </c>
      <c r="AB136" s="353"/>
      <c r="AC136" s="354"/>
      <c r="AD136" s="356"/>
      <c r="AE136" s="356">
        <f>Table1[[#This Row],[cost per quantity]]*(1+'P&amp;L'!$P$8)</f>
        <v>9.4658984407499993</v>
      </c>
      <c r="AF136" s="356">
        <f>$AF$8*Table1[[#This Row],[man minutes]]*(1+'P&amp;L'!$P$9)</f>
        <v>3.6159999999999992</v>
      </c>
      <c r="AG136" s="356">
        <f>$AF$8*Table1[[#This Row],[man minutes]]*1.18</f>
        <v>3.7759999999999994</v>
      </c>
      <c r="AH136" s="356"/>
      <c r="AI136" s="356">
        <f>Table1[[#This Row],[Food cost w/ MU]]+Table1[[#This Row],[labor cost W/ MU]]</f>
        <v>13.081898440749999</v>
      </c>
      <c r="AJ136" s="362">
        <v>20240830</v>
      </c>
    </row>
    <row r="137" spans="1:36" x14ac:dyDescent="0.25">
      <c r="A137" s="329">
        <v>10128</v>
      </c>
      <c r="B137" s="325" t="s">
        <v>445</v>
      </c>
      <c r="C137" s="329">
        <v>1</v>
      </c>
      <c r="I137" s="329"/>
      <c r="J137" s="329"/>
      <c r="K137" s="329"/>
      <c r="L137" s="345"/>
      <c r="M137" s="329"/>
      <c r="N137" s="346"/>
      <c r="O137" s="347">
        <v>3.1778400000000002</v>
      </c>
      <c r="P137" s="347">
        <f>Table1[[#This Row],[unit cost]]*1.065</f>
        <v>3.3843996000000001</v>
      </c>
      <c r="Q137" s="348">
        <v>3.5</v>
      </c>
      <c r="R137" s="329">
        <v>1</v>
      </c>
      <c r="S137" s="349">
        <f t="shared" si="28"/>
        <v>0.42</v>
      </c>
      <c r="T137" s="350">
        <f>Table1[[#This Row],[man minutes]]*Table1[[#This Row],[labor rate]]</f>
        <v>1.47</v>
      </c>
      <c r="U137" s="350">
        <f t="shared" si="33"/>
        <v>4.8543995999999998</v>
      </c>
      <c r="V137" s="330">
        <f t="shared" si="29"/>
        <v>0.13</v>
      </c>
      <c r="W137" s="351">
        <f t="shared" si="30"/>
        <v>0.13</v>
      </c>
      <c r="X137" s="350">
        <f t="shared" si="34"/>
        <v>3.8243715479999998</v>
      </c>
      <c r="Y137" s="350">
        <f t="shared" si="31"/>
        <v>1.6611</v>
      </c>
      <c r="Z137" s="350">
        <f t="shared" si="32"/>
        <v>5.49</v>
      </c>
      <c r="AA137" s="352">
        <f>+Table1[[#This Row],[calculated sale price]]</f>
        <v>5.49</v>
      </c>
      <c r="AB137" s="353"/>
      <c r="AC137" s="354"/>
      <c r="AD137" s="356"/>
      <c r="AE137" s="356">
        <f>Table1[[#This Row],[cost per quantity]]*(1+'P&amp;L'!$P$8)</f>
        <v>3.8243715479999998</v>
      </c>
      <c r="AF137" s="356">
        <f>$AF$8*Table1[[#This Row],[man minutes]]*(1+'P&amp;L'!$P$9)</f>
        <v>1.5819999999999999</v>
      </c>
      <c r="AG137" s="356">
        <f>$AF$8*Table1[[#This Row],[man minutes]]*1.18</f>
        <v>1.6519999999999999</v>
      </c>
      <c r="AH137" s="356"/>
      <c r="AI137" s="356">
        <f>Table1[[#This Row],[Food cost w/ MU]]+Table1[[#This Row],[labor cost W/ MU]]</f>
        <v>5.4063715479999992</v>
      </c>
      <c r="AJ137" s="362">
        <v>20240830</v>
      </c>
    </row>
    <row r="138" spans="1:36" x14ac:dyDescent="0.25">
      <c r="A138" s="329">
        <v>10129</v>
      </c>
      <c r="B138" s="325" t="s">
        <v>446</v>
      </c>
      <c r="C138" s="329">
        <v>1</v>
      </c>
      <c r="I138" s="329"/>
      <c r="J138" s="329"/>
      <c r="K138" s="329"/>
      <c r="L138" s="345"/>
      <c r="M138" s="329"/>
      <c r="N138" s="346"/>
      <c r="O138" s="347">
        <v>3.1778400000000002</v>
      </c>
      <c r="P138" s="347">
        <f>Table1[[#This Row],[unit cost]]*1.065</f>
        <v>3.3843996000000001</v>
      </c>
      <c r="Q138" s="348">
        <v>3.5</v>
      </c>
      <c r="R138" s="329">
        <v>1</v>
      </c>
      <c r="S138" s="349">
        <f t="shared" si="28"/>
        <v>0.42</v>
      </c>
      <c r="T138" s="350">
        <f>Table1[[#This Row],[man minutes]]*Table1[[#This Row],[labor rate]]</f>
        <v>1.47</v>
      </c>
      <c r="U138" s="350">
        <f t="shared" si="33"/>
        <v>4.8543995999999998</v>
      </c>
      <c r="V138" s="330">
        <f t="shared" si="29"/>
        <v>0.13</v>
      </c>
      <c r="W138" s="351">
        <f t="shared" si="30"/>
        <v>0.13</v>
      </c>
      <c r="X138" s="350">
        <f t="shared" si="34"/>
        <v>3.8243715479999998</v>
      </c>
      <c r="Y138" s="350">
        <f t="shared" si="31"/>
        <v>1.6611</v>
      </c>
      <c r="Z138" s="350">
        <f t="shared" si="32"/>
        <v>5.49</v>
      </c>
      <c r="AA138" s="352">
        <f>+Table1[[#This Row],[calculated sale price]]</f>
        <v>5.49</v>
      </c>
      <c r="AB138" s="353"/>
      <c r="AC138" s="354"/>
      <c r="AD138" s="356"/>
      <c r="AE138" s="356">
        <f>Table1[[#This Row],[cost per quantity]]*(1+'P&amp;L'!$P$8)</f>
        <v>3.8243715479999998</v>
      </c>
      <c r="AF138" s="356">
        <f>$AF$8*Table1[[#This Row],[man minutes]]*(1+'P&amp;L'!$P$9)</f>
        <v>1.5819999999999999</v>
      </c>
      <c r="AG138" s="356">
        <f>$AF$8*Table1[[#This Row],[man minutes]]*1.18</f>
        <v>1.6519999999999999</v>
      </c>
      <c r="AH138" s="356"/>
      <c r="AI138" s="356">
        <f>Table1[[#This Row],[Food cost w/ MU]]+Table1[[#This Row],[labor cost W/ MU]]</f>
        <v>5.4063715479999992</v>
      </c>
      <c r="AJ138" s="362">
        <v>20240830</v>
      </c>
    </row>
    <row r="139" spans="1:36" x14ac:dyDescent="0.25">
      <c r="A139" s="329">
        <v>10130</v>
      </c>
      <c r="B139" s="325" t="s">
        <v>450</v>
      </c>
      <c r="C139" s="329">
        <v>1</v>
      </c>
      <c r="I139" s="329"/>
      <c r="J139" s="329"/>
      <c r="K139" s="329"/>
      <c r="L139" s="345"/>
      <c r="M139" s="329"/>
      <c r="N139" s="346"/>
      <c r="O139" s="347">
        <v>0.44</v>
      </c>
      <c r="P139" s="347">
        <f>Table1[[#This Row],[unit cost]]*1.065</f>
        <v>0.46859999999999996</v>
      </c>
      <c r="Q139" s="348">
        <v>0.5</v>
      </c>
      <c r="R139" s="329">
        <v>1</v>
      </c>
      <c r="S139" s="349">
        <f t="shared" si="28"/>
        <v>0.42</v>
      </c>
      <c r="T139" s="350">
        <f>Table1[[#This Row],[man minutes]]*Table1[[#This Row],[labor rate]]</f>
        <v>0.21</v>
      </c>
      <c r="U139" s="350">
        <f t="shared" si="33"/>
        <v>0.67859999999999998</v>
      </c>
      <c r="V139" s="330">
        <f t="shared" si="29"/>
        <v>0.13</v>
      </c>
      <c r="W139" s="351">
        <f t="shared" si="30"/>
        <v>0.13</v>
      </c>
      <c r="X139" s="350">
        <f t="shared" si="34"/>
        <v>0.52951799999999993</v>
      </c>
      <c r="Y139" s="350">
        <f t="shared" si="31"/>
        <v>0.23729999999999998</v>
      </c>
      <c r="Z139" s="350">
        <f t="shared" si="32"/>
        <v>0.77</v>
      </c>
      <c r="AA139" s="352">
        <f>+Table1[[#This Row],[calculated sale price]]</f>
        <v>0.77</v>
      </c>
      <c r="AB139" s="353"/>
      <c r="AC139" s="354"/>
      <c r="AD139" s="356"/>
      <c r="AE139" s="356">
        <f>Table1[[#This Row],[cost per quantity]]*(1+'P&amp;L'!$P$8)</f>
        <v>0.52951799999999993</v>
      </c>
      <c r="AF139" s="356">
        <f>$AF$8*Table1[[#This Row],[man minutes]]*(1+'P&amp;L'!$P$9)</f>
        <v>0.22599999999999995</v>
      </c>
      <c r="AG139" s="356">
        <f>$AF$8*Table1[[#This Row],[man minutes]]*1.18</f>
        <v>0.23599999999999996</v>
      </c>
      <c r="AH139" s="356"/>
      <c r="AI139" s="356">
        <f>Table1[[#This Row],[Food cost w/ MU]]+Table1[[#This Row],[labor cost W/ MU]]</f>
        <v>0.75551799999999991</v>
      </c>
      <c r="AJ139" s="357"/>
    </row>
    <row r="140" spans="1:36" x14ac:dyDescent="0.25">
      <c r="A140" s="329">
        <v>10131</v>
      </c>
      <c r="B140" s="366" t="s">
        <v>431</v>
      </c>
      <c r="C140" s="329">
        <v>1</v>
      </c>
      <c r="I140" s="329"/>
      <c r="J140" s="329"/>
      <c r="K140" s="329"/>
      <c r="L140" s="345"/>
      <c r="M140" s="329"/>
      <c r="N140" s="346"/>
      <c r="O140" s="347">
        <v>2.7174092244444448</v>
      </c>
      <c r="P140" s="347">
        <f>Table1[[#This Row],[unit cost]]*1.065</f>
        <v>2.8940408240333335</v>
      </c>
      <c r="Q140" s="348">
        <v>6.5</v>
      </c>
      <c r="R140" s="329">
        <v>1</v>
      </c>
      <c r="S140" s="349">
        <f t="shared" si="28"/>
        <v>0.42</v>
      </c>
      <c r="T140" s="350">
        <f>Table1[[#This Row],[man minutes]]*Table1[[#This Row],[labor rate]]</f>
        <v>2.73</v>
      </c>
      <c r="U140" s="350">
        <f t="shared" si="33"/>
        <v>5.6240408240333331</v>
      </c>
      <c r="V140" s="330">
        <f t="shared" si="29"/>
        <v>0.13</v>
      </c>
      <c r="W140" s="351">
        <f t="shared" si="30"/>
        <v>0.13</v>
      </c>
      <c r="X140" s="350">
        <f t="shared" si="34"/>
        <v>3.2702661311576664</v>
      </c>
      <c r="Y140" s="350">
        <f t="shared" si="31"/>
        <v>3.0849000000000002</v>
      </c>
      <c r="Z140" s="350">
        <f t="shared" si="32"/>
        <v>6.3599999999999994</v>
      </c>
      <c r="AA140" s="352">
        <f>+Table1[[#This Row],[calculated sale price]]</f>
        <v>6.3599999999999994</v>
      </c>
      <c r="AB140" s="353"/>
      <c r="AC140" s="354"/>
      <c r="AD140" s="356"/>
      <c r="AE140" s="356">
        <f>Table1[[#This Row],[cost per quantity]]*(1+'P&amp;L'!$P$8)</f>
        <v>3.2702661311576664</v>
      </c>
      <c r="AF140" s="356">
        <f>$AF$8*Table1[[#This Row],[man minutes]]*(1+'P&amp;L'!$P$9)</f>
        <v>2.9379999999999993</v>
      </c>
      <c r="AG140" s="356">
        <f>$AF$8*Table1[[#This Row],[man minutes]]*1.18</f>
        <v>3.0679999999999996</v>
      </c>
      <c r="AH140" s="356"/>
      <c r="AI140" s="356">
        <f>Table1[[#This Row],[Food cost w/ MU]]+Table1[[#This Row],[labor cost W/ MU]]</f>
        <v>6.2082661311576661</v>
      </c>
      <c r="AJ140" s="357"/>
    </row>
    <row r="141" spans="1:36" x14ac:dyDescent="0.25">
      <c r="A141" s="329">
        <v>10132</v>
      </c>
      <c r="C141" s="329">
        <v>1</v>
      </c>
      <c r="I141" s="329"/>
      <c r="J141" s="329"/>
      <c r="K141" s="329"/>
      <c r="L141" s="345"/>
      <c r="M141" s="329"/>
      <c r="N141" s="346"/>
      <c r="O141" s="347"/>
      <c r="P141" s="347">
        <f>Table1[[#This Row],[unit cost]]*1.065</f>
        <v>0</v>
      </c>
      <c r="Q141" s="348"/>
      <c r="R141" s="329">
        <v>1</v>
      </c>
      <c r="S141" s="349">
        <f t="shared" si="28"/>
        <v>0.42</v>
      </c>
      <c r="T141" s="350">
        <f>Table1[[#This Row],[man minutes]]*Table1[[#This Row],[labor rate]]</f>
        <v>0</v>
      </c>
      <c r="U141" s="350">
        <f t="shared" si="33"/>
        <v>0</v>
      </c>
      <c r="V141" s="330">
        <f t="shared" si="29"/>
        <v>0.13</v>
      </c>
      <c r="W141" s="351">
        <f t="shared" si="30"/>
        <v>0.13</v>
      </c>
      <c r="X141" s="350">
        <f t="shared" si="34"/>
        <v>0</v>
      </c>
      <c r="Y141" s="350">
        <f t="shared" si="31"/>
        <v>0</v>
      </c>
      <c r="Z141" s="350">
        <f t="shared" si="32"/>
        <v>0</v>
      </c>
      <c r="AA141" s="352">
        <f>+Table1[[#This Row],[calculated sale price]]</f>
        <v>0</v>
      </c>
      <c r="AB141" s="353"/>
      <c r="AC141" s="354"/>
      <c r="AD141" s="356"/>
      <c r="AE141" s="356">
        <f>Table1[[#This Row],[cost per quantity]]*(1+'P&amp;L'!$P$8)</f>
        <v>0</v>
      </c>
      <c r="AF141" s="356">
        <f>$AF$8*Table1[[#This Row],[man minutes]]*(1+'P&amp;L'!$P$9)</f>
        <v>0</v>
      </c>
      <c r="AG141" s="356">
        <f>$AF$8*Table1[[#This Row],[man minutes]]*1.18</f>
        <v>0</v>
      </c>
      <c r="AH141" s="356"/>
      <c r="AI141" s="356">
        <f>Table1[[#This Row],[Food cost w/ MU]]+Table1[[#This Row],[labor cost W/ MU]]</f>
        <v>0</v>
      </c>
      <c r="AJ141" s="357"/>
    </row>
    <row r="142" spans="1:36" x14ac:dyDescent="0.25">
      <c r="A142" s="329">
        <v>10133</v>
      </c>
      <c r="C142" s="329">
        <v>1</v>
      </c>
      <c r="I142" s="329"/>
      <c r="J142" s="329"/>
      <c r="K142" s="329"/>
      <c r="L142" s="345"/>
      <c r="M142" s="329"/>
      <c r="N142" s="346"/>
      <c r="O142" s="347"/>
      <c r="P142" s="347">
        <f>Table1[[#This Row],[unit cost]]*1.065</f>
        <v>0</v>
      </c>
      <c r="Q142" s="348"/>
      <c r="R142" s="329">
        <v>1</v>
      </c>
      <c r="S142" s="349">
        <f t="shared" si="28"/>
        <v>0.42</v>
      </c>
      <c r="T142" s="350">
        <f>Table1[[#This Row],[man minutes]]*Table1[[#This Row],[labor rate]]</f>
        <v>0</v>
      </c>
      <c r="U142" s="350">
        <f t="shared" si="33"/>
        <v>0</v>
      </c>
      <c r="V142" s="330">
        <f t="shared" si="29"/>
        <v>0.13</v>
      </c>
      <c r="W142" s="351">
        <f t="shared" si="30"/>
        <v>0.13</v>
      </c>
      <c r="X142" s="350">
        <f t="shared" si="34"/>
        <v>0</v>
      </c>
      <c r="Y142" s="350">
        <f t="shared" si="31"/>
        <v>0</v>
      </c>
      <c r="Z142" s="350">
        <f t="shared" si="32"/>
        <v>0</v>
      </c>
      <c r="AA142" s="352">
        <f>+Table1[[#This Row],[calculated sale price]]</f>
        <v>0</v>
      </c>
      <c r="AB142" s="353"/>
      <c r="AC142" s="354"/>
      <c r="AD142" s="356"/>
      <c r="AE142" s="356">
        <f>Table1[[#This Row],[cost per quantity]]*(1+'P&amp;L'!$P$8)</f>
        <v>0</v>
      </c>
      <c r="AF142" s="356">
        <f>$AF$8*Table1[[#This Row],[man minutes]]*(1+'P&amp;L'!$P$9)</f>
        <v>0</v>
      </c>
      <c r="AG142" s="356">
        <f>$AF$8*Table1[[#This Row],[man minutes]]*1.18</f>
        <v>0</v>
      </c>
      <c r="AH142" s="356"/>
      <c r="AI142" s="356">
        <f>Table1[[#This Row],[Food cost w/ MU]]+Table1[[#This Row],[labor cost W/ MU]]</f>
        <v>0</v>
      </c>
      <c r="AJ142" s="357"/>
    </row>
    <row r="143" spans="1:36" x14ac:dyDescent="0.25">
      <c r="A143" s="329">
        <v>10134</v>
      </c>
      <c r="C143" s="329">
        <v>1</v>
      </c>
      <c r="I143" s="329"/>
      <c r="J143" s="329"/>
      <c r="K143" s="329"/>
      <c r="L143" s="345"/>
      <c r="M143" s="329"/>
      <c r="N143" s="346"/>
      <c r="O143" s="347"/>
      <c r="P143" s="347">
        <f>Table1[[#This Row],[unit cost]]*1.065</f>
        <v>0</v>
      </c>
      <c r="Q143" s="348"/>
      <c r="R143" s="329">
        <v>1</v>
      </c>
      <c r="S143" s="349">
        <f t="shared" si="28"/>
        <v>0.42</v>
      </c>
      <c r="T143" s="350">
        <f>Table1[[#This Row],[man minutes]]*Table1[[#This Row],[labor rate]]</f>
        <v>0</v>
      </c>
      <c r="U143" s="350">
        <f t="shared" si="33"/>
        <v>0</v>
      </c>
      <c r="V143" s="330">
        <f t="shared" si="29"/>
        <v>0.13</v>
      </c>
      <c r="W143" s="351">
        <f t="shared" si="30"/>
        <v>0.13</v>
      </c>
      <c r="X143" s="350">
        <f t="shared" si="34"/>
        <v>0</v>
      </c>
      <c r="Y143" s="350">
        <f t="shared" si="31"/>
        <v>0</v>
      </c>
      <c r="Z143" s="350">
        <f t="shared" si="32"/>
        <v>0</v>
      </c>
      <c r="AA143" s="352">
        <f>+Table1[[#This Row],[calculated sale price]]</f>
        <v>0</v>
      </c>
      <c r="AB143" s="353"/>
      <c r="AC143" s="354"/>
      <c r="AD143" s="356"/>
      <c r="AE143" s="356">
        <f>Table1[[#This Row],[cost per quantity]]*(1+'P&amp;L'!$P$8)</f>
        <v>0</v>
      </c>
      <c r="AF143" s="356">
        <f>$AF$8*Table1[[#This Row],[man minutes]]*(1+'P&amp;L'!$P$9)</f>
        <v>0</v>
      </c>
      <c r="AG143" s="356">
        <f>$AF$8*Table1[[#This Row],[man minutes]]*1.18</f>
        <v>0</v>
      </c>
      <c r="AH143" s="356"/>
      <c r="AI143" s="356">
        <f>Table1[[#This Row],[Food cost w/ MU]]+Table1[[#This Row],[labor cost W/ MU]]</f>
        <v>0</v>
      </c>
      <c r="AJ143" s="357"/>
    </row>
    <row r="144" spans="1:36" x14ac:dyDescent="0.25">
      <c r="A144" s="329">
        <v>10135</v>
      </c>
      <c r="C144" s="329">
        <v>1</v>
      </c>
      <c r="I144" s="329"/>
      <c r="J144" s="329"/>
      <c r="K144" s="329"/>
      <c r="L144" s="345"/>
      <c r="M144" s="329"/>
      <c r="N144" s="346"/>
      <c r="O144" s="347"/>
      <c r="P144" s="347">
        <f>Table1[[#This Row],[unit cost]]*1.065</f>
        <v>0</v>
      </c>
      <c r="Q144" s="348"/>
      <c r="R144" s="329">
        <v>1</v>
      </c>
      <c r="S144" s="349">
        <f t="shared" si="28"/>
        <v>0.42</v>
      </c>
      <c r="T144" s="350">
        <f>Table1[[#This Row],[man minutes]]*Table1[[#This Row],[labor rate]]</f>
        <v>0</v>
      </c>
      <c r="U144" s="350">
        <f t="shared" si="33"/>
        <v>0</v>
      </c>
      <c r="V144" s="330">
        <f t="shared" si="29"/>
        <v>0.13</v>
      </c>
      <c r="W144" s="351">
        <f t="shared" si="30"/>
        <v>0.13</v>
      </c>
      <c r="X144" s="350">
        <f t="shared" si="34"/>
        <v>0</v>
      </c>
      <c r="Y144" s="350">
        <f t="shared" si="31"/>
        <v>0</v>
      </c>
      <c r="Z144" s="350">
        <f t="shared" si="32"/>
        <v>0</v>
      </c>
      <c r="AA144" s="352">
        <f>+Table1[[#This Row],[calculated sale price]]</f>
        <v>0</v>
      </c>
      <c r="AB144" s="353"/>
      <c r="AC144" s="354"/>
      <c r="AD144" s="356"/>
      <c r="AE144" s="356">
        <f>Table1[[#This Row],[cost per quantity]]*(1+'P&amp;L'!$P$8)</f>
        <v>0</v>
      </c>
      <c r="AF144" s="356">
        <f>$AF$8*Table1[[#This Row],[man minutes]]*(1+'P&amp;L'!$P$9)</f>
        <v>0</v>
      </c>
      <c r="AG144" s="356">
        <f>$AF$8*Table1[[#This Row],[man minutes]]*1.18</f>
        <v>0</v>
      </c>
      <c r="AH144" s="356"/>
      <c r="AI144" s="356">
        <f>Table1[[#This Row],[Food cost w/ MU]]+Table1[[#This Row],[labor cost W/ MU]]</f>
        <v>0</v>
      </c>
      <c r="AJ144" s="357"/>
    </row>
    <row r="145" spans="1:36" x14ac:dyDescent="0.25">
      <c r="A145" s="329">
        <v>10136</v>
      </c>
      <c r="C145" s="329">
        <v>1</v>
      </c>
      <c r="I145" s="329"/>
      <c r="J145" s="329"/>
      <c r="K145" s="329"/>
      <c r="L145" s="345"/>
      <c r="M145" s="329"/>
      <c r="N145" s="346"/>
      <c r="O145" s="347"/>
      <c r="P145" s="347">
        <f>Table1[[#This Row],[unit cost]]*1.065</f>
        <v>0</v>
      </c>
      <c r="Q145" s="348"/>
      <c r="R145" s="329">
        <v>1</v>
      </c>
      <c r="S145" s="349">
        <f t="shared" si="28"/>
        <v>0.42</v>
      </c>
      <c r="T145" s="350">
        <f>Table1[[#This Row],[man minutes]]*Table1[[#This Row],[labor rate]]</f>
        <v>0</v>
      </c>
      <c r="U145" s="350">
        <f t="shared" si="33"/>
        <v>0</v>
      </c>
      <c r="V145" s="330">
        <f t="shared" si="29"/>
        <v>0.13</v>
      </c>
      <c r="W145" s="351">
        <f t="shared" si="30"/>
        <v>0.13</v>
      </c>
      <c r="X145" s="350">
        <f t="shared" si="34"/>
        <v>0</v>
      </c>
      <c r="Y145" s="350">
        <f t="shared" si="31"/>
        <v>0</v>
      </c>
      <c r="Z145" s="350">
        <f t="shared" si="32"/>
        <v>0</v>
      </c>
      <c r="AA145" s="352">
        <f>+Table1[[#This Row],[calculated sale price]]</f>
        <v>0</v>
      </c>
      <c r="AB145" s="353"/>
      <c r="AC145" s="354"/>
      <c r="AD145" s="356"/>
      <c r="AE145" s="356">
        <f>Table1[[#This Row],[cost per quantity]]*(1+'P&amp;L'!$P$8)</f>
        <v>0</v>
      </c>
      <c r="AF145" s="356">
        <f>$AF$8*Table1[[#This Row],[man minutes]]*(1+'P&amp;L'!$P$9)</f>
        <v>0</v>
      </c>
      <c r="AG145" s="356">
        <f>$AF$8*Table1[[#This Row],[man minutes]]*1.18</f>
        <v>0</v>
      </c>
      <c r="AH145" s="356"/>
      <c r="AI145" s="356">
        <f>Table1[[#This Row],[Food cost w/ MU]]+Table1[[#This Row],[labor cost W/ MU]]</f>
        <v>0</v>
      </c>
      <c r="AJ145" s="357"/>
    </row>
    <row r="146" spans="1:36" x14ac:dyDescent="0.25">
      <c r="A146" s="329">
        <v>10137</v>
      </c>
      <c r="C146" s="329">
        <v>1</v>
      </c>
      <c r="I146" s="329"/>
      <c r="J146" s="329"/>
      <c r="K146" s="329"/>
      <c r="L146" s="345"/>
      <c r="M146" s="329"/>
      <c r="N146" s="346"/>
      <c r="O146" s="347"/>
      <c r="P146" s="347">
        <f>Table1[[#This Row],[unit cost]]*1.065</f>
        <v>0</v>
      </c>
      <c r="Q146" s="348"/>
      <c r="R146" s="329">
        <v>1</v>
      </c>
      <c r="S146" s="349">
        <f t="shared" si="28"/>
        <v>0.42</v>
      </c>
      <c r="T146" s="350">
        <f>Table1[[#This Row],[man minutes]]*Table1[[#This Row],[labor rate]]</f>
        <v>0</v>
      </c>
      <c r="U146" s="350">
        <f t="shared" si="33"/>
        <v>0</v>
      </c>
      <c r="V146" s="330">
        <f t="shared" si="29"/>
        <v>0.13</v>
      </c>
      <c r="W146" s="351">
        <f t="shared" si="30"/>
        <v>0.13</v>
      </c>
      <c r="X146" s="350">
        <f t="shared" si="34"/>
        <v>0</v>
      </c>
      <c r="Y146" s="350">
        <f t="shared" si="31"/>
        <v>0</v>
      </c>
      <c r="Z146" s="350">
        <f t="shared" si="32"/>
        <v>0</v>
      </c>
      <c r="AA146" s="352">
        <f>+Table1[[#This Row],[calculated sale price]]</f>
        <v>0</v>
      </c>
      <c r="AB146" s="353"/>
      <c r="AC146" s="354"/>
      <c r="AD146" s="356"/>
      <c r="AE146" s="356">
        <f>Table1[[#This Row],[cost per quantity]]*(1+'P&amp;L'!$P$8)</f>
        <v>0</v>
      </c>
      <c r="AF146" s="356">
        <f>$AF$8*Table1[[#This Row],[man minutes]]*(1+'P&amp;L'!$P$9)</f>
        <v>0</v>
      </c>
      <c r="AG146" s="356">
        <f>$AF$8*Table1[[#This Row],[man minutes]]*1.18</f>
        <v>0</v>
      </c>
      <c r="AH146" s="356"/>
      <c r="AI146" s="356">
        <f>Table1[[#This Row],[Food cost w/ MU]]+Table1[[#This Row],[labor cost W/ MU]]</f>
        <v>0</v>
      </c>
      <c r="AJ146" s="357"/>
    </row>
    <row r="147" spans="1:36" x14ac:dyDescent="0.25">
      <c r="A147" s="329">
        <v>10138</v>
      </c>
      <c r="C147" s="329">
        <v>1</v>
      </c>
      <c r="I147" s="329"/>
      <c r="J147" s="329"/>
      <c r="K147" s="329"/>
      <c r="L147" s="345"/>
      <c r="M147" s="329"/>
      <c r="N147" s="346"/>
      <c r="O147" s="347"/>
      <c r="P147" s="347">
        <f>Table1[[#This Row],[unit cost]]*1.065</f>
        <v>0</v>
      </c>
      <c r="Q147" s="348"/>
      <c r="R147" s="329">
        <v>1</v>
      </c>
      <c r="S147" s="349">
        <f t="shared" si="28"/>
        <v>0.42</v>
      </c>
      <c r="T147" s="350">
        <f>Table1[[#This Row],[man minutes]]*Table1[[#This Row],[labor rate]]</f>
        <v>0</v>
      </c>
      <c r="U147" s="350">
        <f t="shared" si="33"/>
        <v>0</v>
      </c>
      <c r="V147" s="330">
        <f t="shared" si="29"/>
        <v>0.13</v>
      </c>
      <c r="W147" s="351">
        <f t="shared" si="30"/>
        <v>0.13</v>
      </c>
      <c r="X147" s="350">
        <f t="shared" si="34"/>
        <v>0</v>
      </c>
      <c r="Y147" s="350">
        <f t="shared" si="31"/>
        <v>0</v>
      </c>
      <c r="Z147" s="350">
        <f t="shared" si="32"/>
        <v>0</v>
      </c>
      <c r="AA147" s="352">
        <f>+Table1[[#This Row],[calculated sale price]]</f>
        <v>0</v>
      </c>
      <c r="AB147" s="353"/>
      <c r="AC147" s="354"/>
      <c r="AD147" s="356"/>
      <c r="AE147" s="356">
        <f>Table1[[#This Row],[cost per quantity]]*(1+'P&amp;L'!$P$8)</f>
        <v>0</v>
      </c>
      <c r="AF147" s="356">
        <f>$AF$8*Table1[[#This Row],[man minutes]]*(1+'P&amp;L'!$P$9)</f>
        <v>0</v>
      </c>
      <c r="AG147" s="356">
        <f>$AF$8*Table1[[#This Row],[man minutes]]*1.18</f>
        <v>0</v>
      </c>
      <c r="AH147" s="356"/>
      <c r="AI147" s="356">
        <f>Table1[[#This Row],[Food cost w/ MU]]+Table1[[#This Row],[labor cost W/ MU]]</f>
        <v>0</v>
      </c>
      <c r="AJ147" s="357"/>
    </row>
    <row r="148" spans="1:36" x14ac:dyDescent="0.25">
      <c r="A148" s="329">
        <v>10139</v>
      </c>
      <c r="C148" s="329">
        <v>1</v>
      </c>
      <c r="I148" s="329"/>
      <c r="J148" s="329"/>
      <c r="K148" s="329"/>
      <c r="L148" s="345"/>
      <c r="M148" s="329"/>
      <c r="N148" s="346"/>
      <c r="O148" s="347"/>
      <c r="P148" s="347">
        <f>Table1[[#This Row],[unit cost]]*1.065</f>
        <v>0</v>
      </c>
      <c r="Q148" s="348"/>
      <c r="R148" s="329">
        <v>1</v>
      </c>
      <c r="S148" s="349">
        <f t="shared" si="28"/>
        <v>0.42</v>
      </c>
      <c r="T148" s="350">
        <f>Table1[[#This Row],[man minutes]]*Table1[[#This Row],[labor rate]]</f>
        <v>0</v>
      </c>
      <c r="U148" s="350">
        <f t="shared" si="33"/>
        <v>0</v>
      </c>
      <c r="V148" s="330">
        <f t="shared" si="29"/>
        <v>0.13</v>
      </c>
      <c r="W148" s="351">
        <f t="shared" si="30"/>
        <v>0.13</v>
      </c>
      <c r="X148" s="350">
        <f t="shared" si="34"/>
        <v>0</v>
      </c>
      <c r="Y148" s="350">
        <f t="shared" si="31"/>
        <v>0</v>
      </c>
      <c r="Z148" s="350">
        <f t="shared" si="32"/>
        <v>0</v>
      </c>
      <c r="AA148" s="352">
        <f>+Table1[[#This Row],[calculated sale price]]</f>
        <v>0</v>
      </c>
      <c r="AB148" s="353"/>
      <c r="AC148" s="354"/>
      <c r="AD148" s="356"/>
      <c r="AE148" s="356">
        <f>Table1[[#This Row],[cost per quantity]]*(1+'P&amp;L'!$P$8)</f>
        <v>0</v>
      </c>
      <c r="AF148" s="356">
        <f>$AF$8*Table1[[#This Row],[man minutes]]*(1+'P&amp;L'!$P$9)</f>
        <v>0</v>
      </c>
      <c r="AG148" s="356">
        <f>$AF$8*Table1[[#This Row],[man minutes]]*1.18</f>
        <v>0</v>
      </c>
      <c r="AH148" s="356"/>
      <c r="AI148" s="356">
        <f>Table1[[#This Row],[Food cost w/ MU]]+Table1[[#This Row],[labor cost W/ MU]]</f>
        <v>0</v>
      </c>
      <c r="AJ148" s="357"/>
    </row>
    <row r="149" spans="1:36" x14ac:dyDescent="0.25">
      <c r="A149" s="329">
        <v>10140</v>
      </c>
      <c r="C149" s="329">
        <v>1</v>
      </c>
      <c r="I149" s="329"/>
      <c r="J149" s="329"/>
      <c r="K149" s="329"/>
      <c r="L149" s="345"/>
      <c r="M149" s="329"/>
      <c r="N149" s="346"/>
      <c r="O149" s="347"/>
      <c r="P149" s="347">
        <f>Table1[[#This Row],[unit cost]]*1.065</f>
        <v>0</v>
      </c>
      <c r="Q149" s="348"/>
      <c r="R149" s="329">
        <v>1</v>
      </c>
      <c r="S149" s="349">
        <f t="shared" si="28"/>
        <v>0.42</v>
      </c>
      <c r="T149" s="350">
        <f>Table1[[#This Row],[man minutes]]*Table1[[#This Row],[labor rate]]</f>
        <v>0</v>
      </c>
      <c r="U149" s="350">
        <f t="shared" si="33"/>
        <v>0</v>
      </c>
      <c r="V149" s="330">
        <f t="shared" si="29"/>
        <v>0.13</v>
      </c>
      <c r="W149" s="351">
        <f t="shared" si="30"/>
        <v>0.13</v>
      </c>
      <c r="X149" s="350">
        <f t="shared" si="34"/>
        <v>0</v>
      </c>
      <c r="Y149" s="350">
        <f t="shared" si="31"/>
        <v>0</v>
      </c>
      <c r="Z149" s="350">
        <f t="shared" si="32"/>
        <v>0</v>
      </c>
      <c r="AA149" s="352">
        <f>+Table1[[#This Row],[calculated sale price]]</f>
        <v>0</v>
      </c>
      <c r="AB149" s="353"/>
      <c r="AC149" s="354"/>
      <c r="AD149" s="356"/>
      <c r="AE149" s="356">
        <f>Table1[[#This Row],[cost per quantity]]*(1+'P&amp;L'!$P$8)</f>
        <v>0</v>
      </c>
      <c r="AF149" s="356">
        <f>$AF$8*Table1[[#This Row],[man minutes]]*(1+'P&amp;L'!$P$9)</f>
        <v>0</v>
      </c>
      <c r="AG149" s="356">
        <f>$AF$8*Table1[[#This Row],[man minutes]]*1.18</f>
        <v>0</v>
      </c>
      <c r="AH149" s="356"/>
      <c r="AI149" s="356">
        <f>Table1[[#This Row],[Food cost w/ MU]]+Table1[[#This Row],[labor cost W/ MU]]</f>
        <v>0</v>
      </c>
      <c r="AJ149" s="357"/>
    </row>
    <row r="150" spans="1:36" x14ac:dyDescent="0.25">
      <c r="A150" s="329">
        <v>10141</v>
      </c>
      <c r="C150" s="329">
        <v>1</v>
      </c>
      <c r="I150" s="329"/>
      <c r="J150" s="329"/>
      <c r="K150" s="329"/>
      <c r="L150" s="345"/>
      <c r="M150" s="329"/>
      <c r="N150" s="346"/>
      <c r="O150" s="347"/>
      <c r="P150" s="347">
        <f>Table1[[#This Row],[unit cost]]*1.065</f>
        <v>0</v>
      </c>
      <c r="Q150" s="348"/>
      <c r="R150" s="329">
        <v>1</v>
      </c>
      <c r="S150" s="349">
        <f t="shared" si="28"/>
        <v>0.42</v>
      </c>
      <c r="T150" s="350">
        <f>Table1[[#This Row],[man minutes]]*Table1[[#This Row],[labor rate]]</f>
        <v>0</v>
      </c>
      <c r="U150" s="350">
        <f t="shared" si="33"/>
        <v>0</v>
      </c>
      <c r="V150" s="330">
        <f t="shared" si="29"/>
        <v>0.13</v>
      </c>
      <c r="W150" s="351">
        <f t="shared" si="30"/>
        <v>0.13</v>
      </c>
      <c r="X150" s="350">
        <f t="shared" si="34"/>
        <v>0</v>
      </c>
      <c r="Y150" s="350">
        <f t="shared" si="31"/>
        <v>0</v>
      </c>
      <c r="Z150" s="350">
        <f t="shared" si="32"/>
        <v>0</v>
      </c>
      <c r="AA150" s="352">
        <f>+Table1[[#This Row],[calculated sale price]]</f>
        <v>0</v>
      </c>
      <c r="AB150" s="353"/>
      <c r="AC150" s="354"/>
      <c r="AD150" s="356"/>
      <c r="AE150" s="356">
        <f>Table1[[#This Row],[cost per quantity]]*(1+'P&amp;L'!$P$8)</f>
        <v>0</v>
      </c>
      <c r="AF150" s="356">
        <f>$AF$8*Table1[[#This Row],[man minutes]]*(1+'P&amp;L'!$P$9)</f>
        <v>0</v>
      </c>
      <c r="AG150" s="356">
        <f>$AF$8*Table1[[#This Row],[man minutes]]*1.18</f>
        <v>0</v>
      </c>
      <c r="AH150" s="356"/>
      <c r="AI150" s="356">
        <f>Table1[[#This Row],[Food cost w/ MU]]+Table1[[#This Row],[labor cost W/ MU]]</f>
        <v>0</v>
      </c>
      <c r="AJ150" s="357"/>
    </row>
    <row r="151" spans="1:36" x14ac:dyDescent="0.25">
      <c r="A151" s="329">
        <v>10142</v>
      </c>
      <c r="C151" s="329">
        <v>1</v>
      </c>
      <c r="I151" s="329"/>
      <c r="J151" s="329"/>
      <c r="K151" s="329"/>
      <c r="L151" s="345"/>
      <c r="M151" s="329"/>
      <c r="N151" s="346"/>
      <c r="O151" s="347"/>
      <c r="P151" s="347">
        <f>Table1[[#This Row],[unit cost]]*1.065</f>
        <v>0</v>
      </c>
      <c r="Q151" s="348"/>
      <c r="R151" s="329">
        <v>1</v>
      </c>
      <c r="S151" s="349">
        <f t="shared" si="28"/>
        <v>0.42</v>
      </c>
      <c r="T151" s="350">
        <f>Table1[[#This Row],[man minutes]]*Table1[[#This Row],[labor rate]]</f>
        <v>0</v>
      </c>
      <c r="U151" s="350">
        <f t="shared" si="33"/>
        <v>0</v>
      </c>
      <c r="V151" s="330">
        <f t="shared" si="29"/>
        <v>0.13</v>
      </c>
      <c r="W151" s="351">
        <f t="shared" si="30"/>
        <v>0.13</v>
      </c>
      <c r="X151" s="350">
        <f t="shared" si="34"/>
        <v>0</v>
      </c>
      <c r="Y151" s="350">
        <f t="shared" si="31"/>
        <v>0</v>
      </c>
      <c r="Z151" s="350">
        <f t="shared" si="32"/>
        <v>0</v>
      </c>
      <c r="AA151" s="352">
        <f>+Table1[[#This Row],[calculated sale price]]</f>
        <v>0</v>
      </c>
      <c r="AB151" s="353"/>
      <c r="AC151" s="354"/>
      <c r="AD151" s="356"/>
      <c r="AE151" s="356">
        <f>Table1[[#This Row],[cost per quantity]]*(1+'P&amp;L'!$P$8)</f>
        <v>0</v>
      </c>
      <c r="AF151" s="356">
        <f>$AF$8*Table1[[#This Row],[man minutes]]*(1+'P&amp;L'!$P$9)</f>
        <v>0</v>
      </c>
      <c r="AG151" s="356">
        <f>$AF$8*Table1[[#This Row],[man minutes]]*1.18</f>
        <v>0</v>
      </c>
      <c r="AH151" s="356"/>
      <c r="AI151" s="356">
        <f>Table1[[#This Row],[Food cost w/ MU]]+Table1[[#This Row],[labor cost W/ MU]]</f>
        <v>0</v>
      </c>
      <c r="AJ151" s="357"/>
    </row>
    <row r="152" spans="1:36" x14ac:dyDescent="0.25">
      <c r="A152" s="329">
        <v>10143</v>
      </c>
      <c r="C152" s="329">
        <v>1</v>
      </c>
      <c r="I152" s="329"/>
      <c r="J152" s="329"/>
      <c r="K152" s="329"/>
      <c r="L152" s="345"/>
      <c r="M152" s="329"/>
      <c r="N152" s="346"/>
      <c r="O152" s="347"/>
      <c r="P152" s="347">
        <f>Table1[[#This Row],[unit cost]]*1.065</f>
        <v>0</v>
      </c>
      <c r="Q152" s="348"/>
      <c r="R152" s="329">
        <v>1</v>
      </c>
      <c r="S152" s="349">
        <f t="shared" si="28"/>
        <v>0.42</v>
      </c>
      <c r="T152" s="350">
        <f>Table1[[#This Row],[man minutes]]*Table1[[#This Row],[labor rate]]</f>
        <v>0</v>
      </c>
      <c r="U152" s="350">
        <f t="shared" si="33"/>
        <v>0</v>
      </c>
      <c r="V152" s="330">
        <f t="shared" si="29"/>
        <v>0.13</v>
      </c>
      <c r="W152" s="351">
        <f t="shared" si="30"/>
        <v>0.13</v>
      </c>
      <c r="X152" s="350">
        <f t="shared" si="34"/>
        <v>0</v>
      </c>
      <c r="Y152" s="350">
        <f t="shared" si="31"/>
        <v>0</v>
      </c>
      <c r="Z152" s="350">
        <f t="shared" si="32"/>
        <v>0</v>
      </c>
      <c r="AA152" s="352">
        <f>+Table1[[#This Row],[calculated sale price]]</f>
        <v>0</v>
      </c>
      <c r="AB152" s="353"/>
      <c r="AC152" s="354"/>
      <c r="AD152" s="356"/>
      <c r="AE152" s="356">
        <f>Table1[[#This Row],[cost per quantity]]*(1+'P&amp;L'!$P$8)</f>
        <v>0</v>
      </c>
      <c r="AF152" s="356">
        <f>$AF$8*Table1[[#This Row],[man minutes]]*(1+'P&amp;L'!$P$9)</f>
        <v>0</v>
      </c>
      <c r="AG152" s="356">
        <f>$AF$8*Table1[[#This Row],[man minutes]]*1.18</f>
        <v>0</v>
      </c>
      <c r="AH152" s="356"/>
      <c r="AI152" s="356">
        <f>Table1[[#This Row],[Food cost w/ MU]]+Table1[[#This Row],[labor cost W/ MU]]</f>
        <v>0</v>
      </c>
      <c r="AJ152" s="357"/>
    </row>
    <row r="153" spans="1:36" x14ac:dyDescent="0.25">
      <c r="A153" s="329">
        <v>10144</v>
      </c>
      <c r="C153" s="329">
        <v>1</v>
      </c>
      <c r="I153" s="329"/>
      <c r="J153" s="329"/>
      <c r="K153" s="329"/>
      <c r="L153" s="345"/>
      <c r="M153" s="329"/>
      <c r="N153" s="346"/>
      <c r="O153" s="347"/>
      <c r="P153" s="347">
        <f>Table1[[#This Row],[unit cost]]*1.065</f>
        <v>0</v>
      </c>
      <c r="Q153" s="348"/>
      <c r="R153" s="329">
        <v>1</v>
      </c>
      <c r="S153" s="349">
        <f t="shared" si="28"/>
        <v>0.42</v>
      </c>
      <c r="T153" s="350">
        <f>Table1[[#This Row],[man minutes]]*Table1[[#This Row],[labor rate]]</f>
        <v>0</v>
      </c>
      <c r="U153" s="350">
        <f t="shared" si="33"/>
        <v>0</v>
      </c>
      <c r="V153" s="330">
        <f t="shared" si="29"/>
        <v>0.13</v>
      </c>
      <c r="W153" s="351">
        <f t="shared" si="30"/>
        <v>0.13</v>
      </c>
      <c r="X153" s="350">
        <f t="shared" si="34"/>
        <v>0</v>
      </c>
      <c r="Y153" s="350">
        <f t="shared" si="31"/>
        <v>0</v>
      </c>
      <c r="Z153" s="350">
        <f t="shared" si="32"/>
        <v>0</v>
      </c>
      <c r="AA153" s="352">
        <f>+Table1[[#This Row],[calculated sale price]]</f>
        <v>0</v>
      </c>
      <c r="AB153" s="353"/>
      <c r="AC153" s="354"/>
      <c r="AD153" s="356"/>
      <c r="AE153" s="356">
        <f>Table1[[#This Row],[cost per quantity]]*(1+'P&amp;L'!$P$8)</f>
        <v>0</v>
      </c>
      <c r="AF153" s="356">
        <f>$AF$8*Table1[[#This Row],[man minutes]]*(1+'P&amp;L'!$P$9)</f>
        <v>0</v>
      </c>
      <c r="AG153" s="356">
        <f>$AF$8*Table1[[#This Row],[man minutes]]*1.18</f>
        <v>0</v>
      </c>
      <c r="AH153" s="356"/>
      <c r="AI153" s="356">
        <f>Table1[[#This Row],[Food cost w/ MU]]+Table1[[#This Row],[labor cost W/ MU]]</f>
        <v>0</v>
      </c>
      <c r="AJ153" s="357"/>
    </row>
    <row r="154" spans="1:36" x14ac:dyDescent="0.25">
      <c r="A154" s="329">
        <v>10145</v>
      </c>
      <c r="C154" s="329">
        <v>1</v>
      </c>
      <c r="I154" s="329"/>
      <c r="J154" s="329"/>
      <c r="K154" s="329"/>
      <c r="L154" s="345"/>
      <c r="M154" s="329"/>
      <c r="N154" s="346"/>
      <c r="O154" s="347"/>
      <c r="P154" s="347">
        <f>Table1[[#This Row],[unit cost]]*1.065</f>
        <v>0</v>
      </c>
      <c r="Q154" s="348"/>
      <c r="R154" s="329">
        <v>1</v>
      </c>
      <c r="S154" s="349">
        <f t="shared" si="28"/>
        <v>0.42</v>
      </c>
      <c r="T154" s="350">
        <f>Table1[[#This Row],[man minutes]]*Table1[[#This Row],[labor rate]]</f>
        <v>0</v>
      </c>
      <c r="U154" s="350">
        <f t="shared" si="33"/>
        <v>0</v>
      </c>
      <c r="V154" s="330">
        <f t="shared" si="29"/>
        <v>0.13</v>
      </c>
      <c r="W154" s="351">
        <f t="shared" si="30"/>
        <v>0.13</v>
      </c>
      <c r="X154" s="350">
        <f t="shared" si="34"/>
        <v>0</v>
      </c>
      <c r="Y154" s="350">
        <f t="shared" si="31"/>
        <v>0</v>
      </c>
      <c r="Z154" s="350">
        <f t="shared" si="32"/>
        <v>0</v>
      </c>
      <c r="AA154" s="352">
        <f>+Table1[[#This Row],[calculated sale price]]</f>
        <v>0</v>
      </c>
      <c r="AB154" s="353"/>
      <c r="AC154" s="354"/>
      <c r="AD154" s="356"/>
      <c r="AE154" s="356">
        <f>Table1[[#This Row],[cost per quantity]]*(1+'P&amp;L'!$P$8)</f>
        <v>0</v>
      </c>
      <c r="AF154" s="356">
        <f>$AF$8*Table1[[#This Row],[man minutes]]*(1+'P&amp;L'!$P$9)</f>
        <v>0</v>
      </c>
      <c r="AG154" s="356">
        <f>$AF$8*Table1[[#This Row],[man minutes]]*1.18</f>
        <v>0</v>
      </c>
      <c r="AH154" s="356"/>
      <c r="AI154" s="356">
        <f>Table1[[#This Row],[Food cost w/ MU]]+Table1[[#This Row],[labor cost W/ MU]]</f>
        <v>0</v>
      </c>
      <c r="AJ154" s="357"/>
    </row>
    <row r="155" spans="1:36" x14ac:dyDescent="0.25">
      <c r="A155" s="329">
        <v>10146</v>
      </c>
      <c r="C155" s="329">
        <v>1</v>
      </c>
      <c r="I155" s="329"/>
      <c r="J155" s="329"/>
      <c r="K155" s="329"/>
      <c r="L155" s="345"/>
      <c r="M155" s="329"/>
      <c r="N155" s="346"/>
      <c r="O155" s="347"/>
      <c r="P155" s="347">
        <f>Table1[[#This Row],[unit cost]]*1.065</f>
        <v>0</v>
      </c>
      <c r="Q155" s="348"/>
      <c r="R155" s="329">
        <v>1</v>
      </c>
      <c r="S155" s="349">
        <f t="shared" si="28"/>
        <v>0.42</v>
      </c>
      <c r="T155" s="350">
        <f>Table1[[#This Row],[man minutes]]*Table1[[#This Row],[labor rate]]</f>
        <v>0</v>
      </c>
      <c r="U155" s="350">
        <f t="shared" si="33"/>
        <v>0</v>
      </c>
      <c r="V155" s="330">
        <f t="shared" si="29"/>
        <v>0.13</v>
      </c>
      <c r="W155" s="351">
        <f t="shared" si="30"/>
        <v>0.13</v>
      </c>
      <c r="X155" s="350">
        <f t="shared" si="34"/>
        <v>0</v>
      </c>
      <c r="Y155" s="350">
        <f t="shared" si="31"/>
        <v>0</v>
      </c>
      <c r="Z155" s="350">
        <f t="shared" si="32"/>
        <v>0</v>
      </c>
      <c r="AA155" s="352">
        <f>+Table1[[#This Row],[calculated sale price]]</f>
        <v>0</v>
      </c>
      <c r="AB155" s="353"/>
      <c r="AC155" s="354"/>
      <c r="AD155" s="356"/>
      <c r="AE155" s="356">
        <f>Table1[[#This Row],[cost per quantity]]*(1+'P&amp;L'!$P$8)</f>
        <v>0</v>
      </c>
      <c r="AF155" s="356">
        <f>$AF$8*Table1[[#This Row],[man minutes]]*(1+'P&amp;L'!$P$9)</f>
        <v>0</v>
      </c>
      <c r="AG155" s="356">
        <f>$AF$8*Table1[[#This Row],[man minutes]]*1.18</f>
        <v>0</v>
      </c>
      <c r="AH155" s="356"/>
      <c r="AI155" s="356">
        <f>Table1[[#This Row],[Food cost w/ MU]]+Table1[[#This Row],[labor cost W/ MU]]</f>
        <v>0</v>
      </c>
      <c r="AJ155" s="357"/>
    </row>
    <row r="156" spans="1:36" x14ac:dyDescent="0.25">
      <c r="A156" s="329">
        <v>10147</v>
      </c>
      <c r="C156" s="329">
        <v>1</v>
      </c>
      <c r="I156" s="329"/>
      <c r="J156" s="329"/>
      <c r="K156" s="329"/>
      <c r="L156" s="345"/>
      <c r="M156" s="329"/>
      <c r="N156" s="346"/>
      <c r="O156" s="347"/>
      <c r="P156" s="347">
        <f>Table1[[#This Row],[unit cost]]*1.065</f>
        <v>0</v>
      </c>
      <c r="Q156" s="348"/>
      <c r="R156" s="329">
        <v>1</v>
      </c>
      <c r="S156" s="349">
        <f t="shared" si="28"/>
        <v>0.42</v>
      </c>
      <c r="T156" s="350">
        <f>Table1[[#This Row],[man minutes]]*Table1[[#This Row],[labor rate]]</f>
        <v>0</v>
      </c>
      <c r="U156" s="350">
        <f t="shared" si="33"/>
        <v>0</v>
      </c>
      <c r="V156" s="330">
        <f t="shared" si="29"/>
        <v>0.13</v>
      </c>
      <c r="W156" s="351">
        <f t="shared" si="30"/>
        <v>0.13</v>
      </c>
      <c r="X156" s="350">
        <f t="shared" si="34"/>
        <v>0</v>
      </c>
      <c r="Y156" s="350">
        <f t="shared" si="31"/>
        <v>0</v>
      </c>
      <c r="Z156" s="350">
        <f t="shared" si="32"/>
        <v>0</v>
      </c>
      <c r="AA156" s="352">
        <f>+Table1[[#This Row],[calculated sale price]]</f>
        <v>0</v>
      </c>
      <c r="AB156" s="353"/>
      <c r="AC156" s="354"/>
      <c r="AD156" s="356"/>
      <c r="AE156" s="356">
        <f>Table1[[#This Row],[cost per quantity]]*(1+'P&amp;L'!$P$8)</f>
        <v>0</v>
      </c>
      <c r="AF156" s="356">
        <f>$AF$8*Table1[[#This Row],[man minutes]]*(1+'P&amp;L'!$P$9)</f>
        <v>0</v>
      </c>
      <c r="AG156" s="356">
        <f>$AF$8*Table1[[#This Row],[man minutes]]*1.18</f>
        <v>0</v>
      </c>
      <c r="AH156" s="356"/>
      <c r="AI156" s="356">
        <f>Table1[[#This Row],[Food cost w/ MU]]+Table1[[#This Row],[labor cost W/ MU]]</f>
        <v>0</v>
      </c>
      <c r="AJ156" s="357"/>
    </row>
    <row r="157" spans="1:36" x14ac:dyDescent="0.25">
      <c r="A157" s="329">
        <v>10148</v>
      </c>
      <c r="C157" s="329">
        <v>1</v>
      </c>
      <c r="I157" s="329"/>
      <c r="J157" s="329"/>
      <c r="K157" s="329"/>
      <c r="L157" s="345"/>
      <c r="M157" s="329"/>
      <c r="N157" s="346"/>
      <c r="O157" s="347"/>
      <c r="P157" s="347">
        <f>Table1[[#This Row],[unit cost]]*1.065</f>
        <v>0</v>
      </c>
      <c r="Q157" s="348"/>
      <c r="R157" s="329">
        <v>1</v>
      </c>
      <c r="S157" s="349">
        <f t="shared" si="28"/>
        <v>0.42</v>
      </c>
      <c r="T157" s="350">
        <f>Table1[[#This Row],[man minutes]]*Table1[[#This Row],[labor rate]]</f>
        <v>0</v>
      </c>
      <c r="U157" s="350">
        <f t="shared" si="33"/>
        <v>0</v>
      </c>
      <c r="V157" s="330">
        <f t="shared" si="29"/>
        <v>0.13</v>
      </c>
      <c r="W157" s="351">
        <f t="shared" si="30"/>
        <v>0.13</v>
      </c>
      <c r="X157" s="350">
        <f t="shared" si="34"/>
        <v>0</v>
      </c>
      <c r="Y157" s="350">
        <f t="shared" si="31"/>
        <v>0</v>
      </c>
      <c r="Z157" s="350">
        <f t="shared" si="32"/>
        <v>0</v>
      </c>
      <c r="AA157" s="352">
        <f>+Table1[[#This Row],[calculated sale price]]</f>
        <v>0</v>
      </c>
      <c r="AB157" s="353"/>
      <c r="AC157" s="354"/>
      <c r="AD157" s="356"/>
      <c r="AE157" s="356">
        <f>Table1[[#This Row],[cost per quantity]]*(1+'P&amp;L'!$P$8)</f>
        <v>0</v>
      </c>
      <c r="AF157" s="356">
        <f>$AF$8*Table1[[#This Row],[man minutes]]*(1+'P&amp;L'!$P$9)</f>
        <v>0</v>
      </c>
      <c r="AG157" s="356">
        <f>$AF$8*Table1[[#This Row],[man minutes]]*1.18</f>
        <v>0</v>
      </c>
      <c r="AH157" s="356"/>
      <c r="AI157" s="356">
        <f>Table1[[#This Row],[Food cost w/ MU]]+Table1[[#This Row],[labor cost W/ MU]]</f>
        <v>0</v>
      </c>
      <c r="AJ157" s="357"/>
    </row>
    <row r="158" spans="1:36" x14ac:dyDescent="0.25">
      <c r="A158" s="329">
        <v>10149</v>
      </c>
      <c r="C158" s="329">
        <v>1</v>
      </c>
      <c r="I158" s="329"/>
      <c r="J158" s="329"/>
      <c r="K158" s="329"/>
      <c r="L158" s="345"/>
      <c r="M158" s="329"/>
      <c r="N158" s="346"/>
      <c r="O158" s="347"/>
      <c r="P158" s="347">
        <f>Table1[[#This Row],[unit cost]]*1.065</f>
        <v>0</v>
      </c>
      <c r="Q158" s="348"/>
      <c r="R158" s="329">
        <v>1</v>
      </c>
      <c r="S158" s="349">
        <f t="shared" si="28"/>
        <v>0.42</v>
      </c>
      <c r="T158" s="350">
        <f>Table1[[#This Row],[man minutes]]*Table1[[#This Row],[labor rate]]</f>
        <v>0</v>
      </c>
      <c r="U158" s="350">
        <f t="shared" si="33"/>
        <v>0</v>
      </c>
      <c r="V158" s="330">
        <f t="shared" si="29"/>
        <v>0.13</v>
      </c>
      <c r="W158" s="351">
        <f t="shared" si="30"/>
        <v>0.13</v>
      </c>
      <c r="X158" s="350">
        <f t="shared" si="34"/>
        <v>0</v>
      </c>
      <c r="Y158" s="350">
        <f t="shared" si="31"/>
        <v>0</v>
      </c>
      <c r="Z158" s="350">
        <f t="shared" si="32"/>
        <v>0</v>
      </c>
      <c r="AA158" s="352">
        <f>+Table1[[#This Row],[calculated sale price]]</f>
        <v>0</v>
      </c>
      <c r="AB158" s="353"/>
      <c r="AC158" s="354"/>
      <c r="AD158" s="356"/>
      <c r="AE158" s="356">
        <f>Table1[[#This Row],[cost per quantity]]*(1+'P&amp;L'!$P$8)</f>
        <v>0</v>
      </c>
      <c r="AF158" s="356">
        <f>$AF$8*Table1[[#This Row],[man minutes]]*(1+'P&amp;L'!$P$9)</f>
        <v>0</v>
      </c>
      <c r="AG158" s="356">
        <f>$AF$8*Table1[[#This Row],[man minutes]]*1.18</f>
        <v>0</v>
      </c>
      <c r="AH158" s="356"/>
      <c r="AI158" s="356">
        <f>Table1[[#This Row],[Food cost w/ MU]]+Table1[[#This Row],[labor cost W/ MU]]</f>
        <v>0</v>
      </c>
      <c r="AJ158" s="357"/>
    </row>
    <row r="159" spans="1:36" x14ac:dyDescent="0.25">
      <c r="A159" s="329">
        <v>10150</v>
      </c>
      <c r="C159" s="329">
        <v>1</v>
      </c>
      <c r="I159" s="329"/>
      <c r="J159" s="329"/>
      <c r="K159" s="329"/>
      <c r="L159" s="345"/>
      <c r="M159" s="329"/>
      <c r="N159" s="346"/>
      <c r="O159" s="347"/>
      <c r="P159" s="347">
        <f>Table1[[#This Row],[unit cost]]*1.065</f>
        <v>0</v>
      </c>
      <c r="Q159" s="348"/>
      <c r="R159" s="329">
        <v>1</v>
      </c>
      <c r="S159" s="349">
        <f t="shared" si="28"/>
        <v>0.42</v>
      </c>
      <c r="T159" s="350">
        <f>Table1[[#This Row],[man minutes]]*Table1[[#This Row],[labor rate]]</f>
        <v>0</v>
      </c>
      <c r="U159" s="350">
        <f t="shared" si="33"/>
        <v>0</v>
      </c>
      <c r="V159" s="330">
        <f t="shared" si="29"/>
        <v>0.13</v>
      </c>
      <c r="W159" s="351">
        <f t="shared" si="30"/>
        <v>0.13</v>
      </c>
      <c r="X159" s="350">
        <f t="shared" si="34"/>
        <v>0</v>
      </c>
      <c r="Y159" s="350">
        <f t="shared" si="31"/>
        <v>0</v>
      </c>
      <c r="Z159" s="350">
        <f t="shared" si="32"/>
        <v>0</v>
      </c>
      <c r="AA159" s="352">
        <f>+Table1[[#This Row],[calculated sale price]]</f>
        <v>0</v>
      </c>
      <c r="AB159" s="353"/>
      <c r="AC159" s="354"/>
      <c r="AD159" s="356"/>
      <c r="AE159" s="356">
        <f>Table1[[#This Row],[cost per quantity]]*(1+'P&amp;L'!$P$8)</f>
        <v>0</v>
      </c>
      <c r="AF159" s="356">
        <f>$AF$8*Table1[[#This Row],[man minutes]]*(1+'P&amp;L'!$P$9)</f>
        <v>0</v>
      </c>
      <c r="AG159" s="356">
        <f>$AF$8*Table1[[#This Row],[man minutes]]*1.18</f>
        <v>0</v>
      </c>
      <c r="AH159" s="356"/>
      <c r="AI159" s="356">
        <f>Table1[[#This Row],[Food cost w/ MU]]+Table1[[#This Row],[labor cost W/ MU]]</f>
        <v>0</v>
      </c>
      <c r="AJ159" s="357"/>
    </row>
    <row r="160" spans="1:36" x14ac:dyDescent="0.25">
      <c r="A160" s="329">
        <v>10151</v>
      </c>
      <c r="C160" s="329">
        <v>1</v>
      </c>
      <c r="I160" s="329"/>
      <c r="J160" s="329"/>
      <c r="K160" s="329"/>
      <c r="L160" s="345"/>
      <c r="M160" s="329"/>
      <c r="N160" s="346"/>
      <c r="O160" s="347"/>
      <c r="P160" s="347">
        <f>Table1[[#This Row],[unit cost]]*1.065</f>
        <v>0</v>
      </c>
      <c r="Q160" s="348"/>
      <c r="R160" s="329">
        <v>1</v>
      </c>
      <c r="S160" s="349">
        <f t="shared" si="28"/>
        <v>0.42</v>
      </c>
      <c r="T160" s="350">
        <f>Table1[[#This Row],[man minutes]]*Table1[[#This Row],[labor rate]]</f>
        <v>0</v>
      </c>
      <c r="U160" s="350">
        <f t="shared" si="33"/>
        <v>0</v>
      </c>
      <c r="V160" s="330">
        <f t="shared" si="29"/>
        <v>0.13</v>
      </c>
      <c r="W160" s="351">
        <f t="shared" si="30"/>
        <v>0.13</v>
      </c>
      <c r="X160" s="350">
        <f t="shared" si="34"/>
        <v>0</v>
      </c>
      <c r="Y160" s="350">
        <f t="shared" si="31"/>
        <v>0</v>
      </c>
      <c r="Z160" s="350">
        <f t="shared" si="32"/>
        <v>0</v>
      </c>
      <c r="AA160" s="352">
        <f>+Table1[[#This Row],[calculated sale price]]</f>
        <v>0</v>
      </c>
      <c r="AB160" s="353"/>
      <c r="AC160" s="354"/>
      <c r="AD160" s="356"/>
      <c r="AE160" s="356">
        <f>Table1[[#This Row],[cost per quantity]]*(1+'P&amp;L'!$P$8)</f>
        <v>0</v>
      </c>
      <c r="AF160" s="356">
        <f>$AF$8*Table1[[#This Row],[man minutes]]*(1+'P&amp;L'!$P$9)</f>
        <v>0</v>
      </c>
      <c r="AG160" s="356">
        <f>$AF$8*Table1[[#This Row],[man minutes]]*1.18</f>
        <v>0</v>
      </c>
      <c r="AH160" s="356"/>
      <c r="AI160" s="356">
        <f>Table1[[#This Row],[Food cost w/ MU]]+Table1[[#This Row],[labor cost W/ MU]]</f>
        <v>0</v>
      </c>
      <c r="AJ160" s="357"/>
    </row>
    <row r="161" spans="1:36" x14ac:dyDescent="0.25">
      <c r="A161" s="329">
        <v>10152</v>
      </c>
      <c r="C161" s="329">
        <v>1</v>
      </c>
      <c r="I161" s="329"/>
      <c r="J161" s="329"/>
      <c r="K161" s="329"/>
      <c r="L161" s="345"/>
      <c r="M161" s="329"/>
      <c r="N161" s="346"/>
      <c r="O161" s="347"/>
      <c r="P161" s="347">
        <f>Table1[[#This Row],[unit cost]]*1.065</f>
        <v>0</v>
      </c>
      <c r="Q161" s="348"/>
      <c r="R161" s="329">
        <v>1</v>
      </c>
      <c r="S161" s="349">
        <f t="shared" ref="S161:S192" si="35">$S$2</f>
        <v>0.42</v>
      </c>
      <c r="T161" s="350">
        <f>Table1[[#This Row],[man minutes]]*Table1[[#This Row],[labor rate]]</f>
        <v>0</v>
      </c>
      <c r="U161" s="350">
        <f t="shared" si="33"/>
        <v>0</v>
      </c>
      <c r="V161" s="330">
        <f t="shared" ref="V161:V192" si="36">$V$2</f>
        <v>0.13</v>
      </c>
      <c r="W161" s="351">
        <f t="shared" ref="W161:W192" si="37">$W$2</f>
        <v>0.13</v>
      </c>
      <c r="X161" s="350">
        <f t="shared" si="34"/>
        <v>0</v>
      </c>
      <c r="Y161" s="350">
        <f t="shared" ref="Y161:Y192" si="38">T161+(T161*W161)</f>
        <v>0</v>
      </c>
      <c r="Z161" s="350">
        <f t="shared" ref="Z161:Z192" si="39">IFERROR(ROUNDUP(X161+Y161,2)," ")</f>
        <v>0</v>
      </c>
      <c r="AA161" s="352">
        <f>+Table1[[#This Row],[calculated sale price]]</f>
        <v>0</v>
      </c>
      <c r="AB161" s="353"/>
      <c r="AC161" s="354"/>
      <c r="AD161" s="356"/>
      <c r="AE161" s="356">
        <f>Table1[[#This Row],[cost per quantity]]*(1+'P&amp;L'!$P$8)</f>
        <v>0</v>
      </c>
      <c r="AF161" s="356">
        <f>$AF$8*Table1[[#This Row],[man minutes]]*(1+'P&amp;L'!$P$9)</f>
        <v>0</v>
      </c>
      <c r="AG161" s="356">
        <f>$AF$8*Table1[[#This Row],[man minutes]]*1.18</f>
        <v>0</v>
      </c>
      <c r="AH161" s="356"/>
      <c r="AI161" s="356">
        <f>Table1[[#This Row],[Food cost w/ MU]]+Table1[[#This Row],[labor cost W/ MU]]</f>
        <v>0</v>
      </c>
      <c r="AJ161" s="357"/>
    </row>
    <row r="162" spans="1:36" x14ac:dyDescent="0.25">
      <c r="A162" s="329">
        <v>10153</v>
      </c>
      <c r="C162" s="329">
        <v>1</v>
      </c>
      <c r="I162" s="329"/>
      <c r="J162" s="329"/>
      <c r="K162" s="329"/>
      <c r="L162" s="345"/>
      <c r="M162" s="329"/>
      <c r="N162" s="346"/>
      <c r="O162" s="347"/>
      <c r="P162" s="347">
        <f>Table1[[#This Row],[unit cost]]*1.065</f>
        <v>0</v>
      </c>
      <c r="Q162" s="348"/>
      <c r="R162" s="329">
        <v>1</v>
      </c>
      <c r="S162" s="349">
        <f t="shared" si="35"/>
        <v>0.42</v>
      </c>
      <c r="T162" s="350">
        <f>Table1[[#This Row],[man minutes]]*Table1[[#This Row],[labor rate]]</f>
        <v>0</v>
      </c>
      <c r="U162" s="350">
        <f t="shared" ref="U162:U193" si="40">P162+T162</f>
        <v>0</v>
      </c>
      <c r="V162" s="330">
        <f t="shared" si="36"/>
        <v>0.13</v>
      </c>
      <c r="W162" s="351">
        <f t="shared" si="37"/>
        <v>0.13</v>
      </c>
      <c r="X162" s="350">
        <f t="shared" ref="X162:X193" si="41">P162*(1+V162)</f>
        <v>0</v>
      </c>
      <c r="Y162" s="350">
        <f t="shared" si="38"/>
        <v>0</v>
      </c>
      <c r="Z162" s="350">
        <f t="shared" si="39"/>
        <v>0</v>
      </c>
      <c r="AA162" s="352">
        <f>+Table1[[#This Row],[calculated sale price]]</f>
        <v>0</v>
      </c>
      <c r="AB162" s="353"/>
      <c r="AC162" s="354"/>
      <c r="AD162" s="356"/>
      <c r="AE162" s="356">
        <f>Table1[[#This Row],[cost per quantity]]*(1+'P&amp;L'!$P$8)</f>
        <v>0</v>
      </c>
      <c r="AF162" s="356">
        <f>$AF$8*Table1[[#This Row],[man minutes]]*(1+'P&amp;L'!$P$9)</f>
        <v>0</v>
      </c>
      <c r="AG162" s="356">
        <f>$AF$8*Table1[[#This Row],[man minutes]]*1.18</f>
        <v>0</v>
      </c>
      <c r="AH162" s="356"/>
      <c r="AI162" s="356">
        <f>Table1[[#This Row],[Food cost w/ MU]]+Table1[[#This Row],[labor cost W/ MU]]</f>
        <v>0</v>
      </c>
      <c r="AJ162" s="357"/>
    </row>
    <row r="163" spans="1:36" x14ac:dyDescent="0.25">
      <c r="A163" s="329">
        <v>10154</v>
      </c>
      <c r="C163" s="329">
        <v>1</v>
      </c>
      <c r="I163" s="329"/>
      <c r="J163" s="329"/>
      <c r="K163" s="329"/>
      <c r="L163" s="345"/>
      <c r="M163" s="329"/>
      <c r="N163" s="346"/>
      <c r="O163" s="347"/>
      <c r="P163" s="347">
        <f>Table1[[#This Row],[unit cost]]*1.065</f>
        <v>0</v>
      </c>
      <c r="Q163" s="348"/>
      <c r="R163" s="329">
        <v>1</v>
      </c>
      <c r="S163" s="349">
        <f t="shared" si="35"/>
        <v>0.42</v>
      </c>
      <c r="T163" s="350">
        <f>Table1[[#This Row],[man minutes]]*Table1[[#This Row],[labor rate]]</f>
        <v>0</v>
      </c>
      <c r="U163" s="350">
        <f t="shared" si="40"/>
        <v>0</v>
      </c>
      <c r="V163" s="330">
        <f t="shared" si="36"/>
        <v>0.13</v>
      </c>
      <c r="W163" s="351">
        <f t="shared" si="37"/>
        <v>0.13</v>
      </c>
      <c r="X163" s="350">
        <f t="shared" si="41"/>
        <v>0</v>
      </c>
      <c r="Y163" s="350">
        <f t="shared" si="38"/>
        <v>0</v>
      </c>
      <c r="Z163" s="350">
        <f t="shared" si="39"/>
        <v>0</v>
      </c>
      <c r="AA163" s="352">
        <f>+Table1[[#This Row],[calculated sale price]]</f>
        <v>0</v>
      </c>
      <c r="AB163" s="353"/>
      <c r="AC163" s="354"/>
      <c r="AD163" s="356"/>
      <c r="AE163" s="356">
        <f>Table1[[#This Row],[cost per quantity]]*(1+'P&amp;L'!$P$8)</f>
        <v>0</v>
      </c>
      <c r="AF163" s="356">
        <f>$AF$8*Table1[[#This Row],[man minutes]]*(1+'P&amp;L'!$P$9)</f>
        <v>0</v>
      </c>
      <c r="AG163" s="356">
        <f>$AF$8*Table1[[#This Row],[man minutes]]*1.18</f>
        <v>0</v>
      </c>
      <c r="AH163" s="356"/>
      <c r="AI163" s="356">
        <f>Table1[[#This Row],[Food cost w/ MU]]+Table1[[#This Row],[labor cost W/ MU]]</f>
        <v>0</v>
      </c>
      <c r="AJ163" s="357"/>
    </row>
    <row r="164" spans="1:36" x14ac:dyDescent="0.25">
      <c r="A164" s="329">
        <v>10155</v>
      </c>
      <c r="C164" s="329">
        <v>1</v>
      </c>
      <c r="I164" s="329"/>
      <c r="J164" s="329"/>
      <c r="K164" s="329"/>
      <c r="L164" s="345"/>
      <c r="M164" s="329"/>
      <c r="N164" s="346"/>
      <c r="O164" s="347"/>
      <c r="P164" s="347">
        <f>Table1[[#This Row],[unit cost]]*1.065</f>
        <v>0</v>
      </c>
      <c r="Q164" s="348"/>
      <c r="R164" s="329">
        <v>1</v>
      </c>
      <c r="S164" s="349">
        <f t="shared" si="35"/>
        <v>0.42</v>
      </c>
      <c r="T164" s="350">
        <f>Table1[[#This Row],[man minutes]]*Table1[[#This Row],[labor rate]]</f>
        <v>0</v>
      </c>
      <c r="U164" s="350">
        <f t="shared" si="40"/>
        <v>0</v>
      </c>
      <c r="V164" s="330">
        <f t="shared" si="36"/>
        <v>0.13</v>
      </c>
      <c r="W164" s="351">
        <f t="shared" si="37"/>
        <v>0.13</v>
      </c>
      <c r="X164" s="350">
        <f t="shared" si="41"/>
        <v>0</v>
      </c>
      <c r="Y164" s="350">
        <f t="shared" si="38"/>
        <v>0</v>
      </c>
      <c r="Z164" s="350">
        <f t="shared" si="39"/>
        <v>0</v>
      </c>
      <c r="AA164" s="352">
        <f>+Table1[[#This Row],[calculated sale price]]</f>
        <v>0</v>
      </c>
      <c r="AB164" s="353"/>
      <c r="AC164" s="354"/>
      <c r="AD164" s="356"/>
      <c r="AE164" s="356">
        <f>Table1[[#This Row],[cost per quantity]]*(1+'P&amp;L'!$P$8)</f>
        <v>0</v>
      </c>
      <c r="AF164" s="356">
        <f>$AF$8*Table1[[#This Row],[man minutes]]*(1+'P&amp;L'!$P$9)</f>
        <v>0</v>
      </c>
      <c r="AG164" s="356">
        <f>$AF$8*Table1[[#This Row],[man minutes]]*1.18</f>
        <v>0</v>
      </c>
      <c r="AH164" s="356"/>
      <c r="AI164" s="356">
        <f>Table1[[#This Row],[Food cost w/ MU]]+Table1[[#This Row],[labor cost W/ MU]]</f>
        <v>0</v>
      </c>
      <c r="AJ164" s="357"/>
    </row>
    <row r="165" spans="1:36" x14ac:dyDescent="0.25">
      <c r="A165" s="329">
        <v>10156</v>
      </c>
      <c r="C165" s="329">
        <v>1</v>
      </c>
      <c r="I165" s="329"/>
      <c r="J165" s="329"/>
      <c r="K165" s="329"/>
      <c r="L165" s="345"/>
      <c r="M165" s="329"/>
      <c r="N165" s="346"/>
      <c r="O165" s="347"/>
      <c r="P165" s="347">
        <f>Table1[[#This Row],[unit cost]]*1.065</f>
        <v>0</v>
      </c>
      <c r="Q165" s="348"/>
      <c r="R165" s="329">
        <v>1</v>
      </c>
      <c r="S165" s="349">
        <f t="shared" si="35"/>
        <v>0.42</v>
      </c>
      <c r="T165" s="350">
        <f>Table1[[#This Row],[man minutes]]*Table1[[#This Row],[labor rate]]</f>
        <v>0</v>
      </c>
      <c r="U165" s="350">
        <f t="shared" si="40"/>
        <v>0</v>
      </c>
      <c r="V165" s="330">
        <f t="shared" si="36"/>
        <v>0.13</v>
      </c>
      <c r="W165" s="351">
        <f t="shared" si="37"/>
        <v>0.13</v>
      </c>
      <c r="X165" s="350">
        <f t="shared" si="41"/>
        <v>0</v>
      </c>
      <c r="Y165" s="350">
        <f t="shared" si="38"/>
        <v>0</v>
      </c>
      <c r="Z165" s="350">
        <f t="shared" si="39"/>
        <v>0</v>
      </c>
      <c r="AA165" s="352">
        <f>+Table1[[#This Row],[calculated sale price]]</f>
        <v>0</v>
      </c>
      <c r="AB165" s="353"/>
      <c r="AC165" s="354"/>
      <c r="AD165" s="356"/>
      <c r="AE165" s="356">
        <f>Table1[[#This Row],[cost per quantity]]*(1+'P&amp;L'!$P$8)</f>
        <v>0</v>
      </c>
      <c r="AF165" s="356">
        <f>$AF$8*Table1[[#This Row],[man minutes]]*(1+'P&amp;L'!$P$9)</f>
        <v>0</v>
      </c>
      <c r="AG165" s="356">
        <f>$AF$8*Table1[[#This Row],[man minutes]]*1.18</f>
        <v>0</v>
      </c>
      <c r="AH165" s="356"/>
      <c r="AI165" s="356">
        <f>Table1[[#This Row],[Food cost w/ MU]]+Table1[[#This Row],[labor cost W/ MU]]</f>
        <v>0</v>
      </c>
      <c r="AJ165" s="357"/>
    </row>
    <row r="166" spans="1:36" x14ac:dyDescent="0.25">
      <c r="A166" s="329">
        <v>10157</v>
      </c>
      <c r="C166" s="329">
        <v>1</v>
      </c>
      <c r="I166" s="329"/>
      <c r="J166" s="329"/>
      <c r="K166" s="329"/>
      <c r="L166" s="345"/>
      <c r="M166" s="329"/>
      <c r="N166" s="346"/>
      <c r="O166" s="347"/>
      <c r="P166" s="347">
        <f>Table1[[#This Row],[unit cost]]*1.065</f>
        <v>0</v>
      </c>
      <c r="Q166" s="348"/>
      <c r="R166" s="329">
        <v>1</v>
      </c>
      <c r="S166" s="349">
        <f t="shared" si="35"/>
        <v>0.42</v>
      </c>
      <c r="T166" s="350">
        <f>Table1[[#This Row],[man minutes]]*Table1[[#This Row],[labor rate]]</f>
        <v>0</v>
      </c>
      <c r="U166" s="350">
        <f t="shared" si="40"/>
        <v>0</v>
      </c>
      <c r="V166" s="330">
        <f t="shared" si="36"/>
        <v>0.13</v>
      </c>
      <c r="W166" s="351">
        <f t="shared" si="37"/>
        <v>0.13</v>
      </c>
      <c r="X166" s="350">
        <f t="shared" si="41"/>
        <v>0</v>
      </c>
      <c r="Y166" s="350">
        <f t="shared" si="38"/>
        <v>0</v>
      </c>
      <c r="Z166" s="350">
        <f t="shared" si="39"/>
        <v>0</v>
      </c>
      <c r="AA166" s="352">
        <f>+Table1[[#This Row],[calculated sale price]]</f>
        <v>0</v>
      </c>
      <c r="AB166" s="353"/>
      <c r="AC166" s="354"/>
      <c r="AD166" s="356"/>
      <c r="AE166" s="356">
        <f>Table1[[#This Row],[cost per quantity]]*(1+'P&amp;L'!$P$8)</f>
        <v>0</v>
      </c>
      <c r="AF166" s="356">
        <f>$AF$8*Table1[[#This Row],[man minutes]]*(1+'P&amp;L'!$P$9)</f>
        <v>0</v>
      </c>
      <c r="AG166" s="356">
        <f>$AF$8*Table1[[#This Row],[man minutes]]*1.18</f>
        <v>0</v>
      </c>
      <c r="AH166" s="356"/>
      <c r="AI166" s="356">
        <f>Table1[[#This Row],[Food cost w/ MU]]+Table1[[#This Row],[labor cost W/ MU]]</f>
        <v>0</v>
      </c>
      <c r="AJ166" s="357"/>
    </row>
    <row r="167" spans="1:36" x14ac:dyDescent="0.25">
      <c r="A167" s="329">
        <v>10158</v>
      </c>
      <c r="C167" s="329">
        <v>1</v>
      </c>
      <c r="I167" s="329"/>
      <c r="J167" s="329"/>
      <c r="K167" s="329"/>
      <c r="L167" s="345"/>
      <c r="M167" s="329"/>
      <c r="N167" s="346"/>
      <c r="O167" s="347"/>
      <c r="P167" s="347">
        <f>Table1[[#This Row],[unit cost]]*1.065</f>
        <v>0</v>
      </c>
      <c r="Q167" s="348"/>
      <c r="R167" s="329">
        <v>1</v>
      </c>
      <c r="S167" s="349">
        <f t="shared" si="35"/>
        <v>0.42</v>
      </c>
      <c r="T167" s="350">
        <f>Table1[[#This Row],[man minutes]]*Table1[[#This Row],[labor rate]]</f>
        <v>0</v>
      </c>
      <c r="U167" s="350">
        <f t="shared" si="40"/>
        <v>0</v>
      </c>
      <c r="V167" s="330">
        <f t="shared" si="36"/>
        <v>0.13</v>
      </c>
      <c r="W167" s="351">
        <f t="shared" si="37"/>
        <v>0.13</v>
      </c>
      <c r="X167" s="350">
        <f t="shared" si="41"/>
        <v>0</v>
      </c>
      <c r="Y167" s="350">
        <f t="shared" si="38"/>
        <v>0</v>
      </c>
      <c r="Z167" s="350">
        <f t="shared" si="39"/>
        <v>0</v>
      </c>
      <c r="AA167" s="352">
        <f>+Table1[[#This Row],[calculated sale price]]</f>
        <v>0</v>
      </c>
      <c r="AB167" s="353"/>
      <c r="AC167" s="354"/>
      <c r="AD167" s="356"/>
      <c r="AE167" s="356">
        <f>Table1[[#This Row],[cost per quantity]]*(1+'P&amp;L'!$P$8)</f>
        <v>0</v>
      </c>
      <c r="AF167" s="356">
        <f>$AF$8*Table1[[#This Row],[man minutes]]*(1+'P&amp;L'!$P$9)</f>
        <v>0</v>
      </c>
      <c r="AG167" s="356">
        <f>$AF$8*Table1[[#This Row],[man minutes]]*1.18</f>
        <v>0</v>
      </c>
      <c r="AH167" s="356"/>
      <c r="AI167" s="356">
        <f>Table1[[#This Row],[Food cost w/ MU]]+Table1[[#This Row],[labor cost W/ MU]]</f>
        <v>0</v>
      </c>
      <c r="AJ167" s="357"/>
    </row>
    <row r="168" spans="1:36" x14ac:dyDescent="0.25">
      <c r="A168" s="329">
        <v>10159</v>
      </c>
      <c r="C168" s="329">
        <v>1</v>
      </c>
      <c r="I168" s="329"/>
      <c r="J168" s="329"/>
      <c r="K168" s="329"/>
      <c r="L168" s="345"/>
      <c r="M168" s="329"/>
      <c r="N168" s="346"/>
      <c r="O168" s="347"/>
      <c r="P168" s="347">
        <f>Table1[[#This Row],[unit cost]]*1.065</f>
        <v>0</v>
      </c>
      <c r="Q168" s="348"/>
      <c r="R168" s="329">
        <v>1</v>
      </c>
      <c r="S168" s="349">
        <f t="shared" si="35"/>
        <v>0.42</v>
      </c>
      <c r="T168" s="350">
        <f>Table1[[#This Row],[man minutes]]*Table1[[#This Row],[labor rate]]</f>
        <v>0</v>
      </c>
      <c r="U168" s="350">
        <f t="shared" si="40"/>
        <v>0</v>
      </c>
      <c r="V168" s="330">
        <f t="shared" si="36"/>
        <v>0.13</v>
      </c>
      <c r="W168" s="351">
        <f t="shared" si="37"/>
        <v>0.13</v>
      </c>
      <c r="X168" s="350">
        <f t="shared" si="41"/>
        <v>0</v>
      </c>
      <c r="Y168" s="350">
        <f t="shared" si="38"/>
        <v>0</v>
      </c>
      <c r="Z168" s="350">
        <f t="shared" si="39"/>
        <v>0</v>
      </c>
      <c r="AA168" s="352">
        <f>+Table1[[#This Row],[calculated sale price]]</f>
        <v>0</v>
      </c>
      <c r="AB168" s="353"/>
      <c r="AC168" s="354"/>
      <c r="AD168" s="356"/>
      <c r="AE168" s="356">
        <f>Table1[[#This Row],[cost per quantity]]*(1+'P&amp;L'!$P$8)</f>
        <v>0</v>
      </c>
      <c r="AF168" s="356">
        <f>$AF$8*Table1[[#This Row],[man minutes]]*(1+'P&amp;L'!$P$9)</f>
        <v>0</v>
      </c>
      <c r="AG168" s="356">
        <f>$AF$8*Table1[[#This Row],[man minutes]]*1.18</f>
        <v>0</v>
      </c>
      <c r="AH168" s="356"/>
      <c r="AI168" s="356">
        <f>Table1[[#This Row],[Food cost w/ MU]]+Table1[[#This Row],[labor cost W/ MU]]</f>
        <v>0</v>
      </c>
      <c r="AJ168" s="357"/>
    </row>
    <row r="169" spans="1:36" x14ac:dyDescent="0.25">
      <c r="A169" s="329">
        <v>10160</v>
      </c>
      <c r="C169" s="329">
        <v>1</v>
      </c>
      <c r="I169" s="329"/>
      <c r="J169" s="329"/>
      <c r="K169" s="329"/>
      <c r="L169" s="345"/>
      <c r="M169" s="329"/>
      <c r="N169" s="346"/>
      <c r="O169" s="347"/>
      <c r="P169" s="347">
        <f>Table1[[#This Row],[unit cost]]*1.065</f>
        <v>0</v>
      </c>
      <c r="Q169" s="348"/>
      <c r="R169" s="329">
        <v>1</v>
      </c>
      <c r="S169" s="349">
        <f t="shared" si="35"/>
        <v>0.42</v>
      </c>
      <c r="T169" s="350">
        <f>Table1[[#This Row],[man minutes]]*Table1[[#This Row],[labor rate]]</f>
        <v>0</v>
      </c>
      <c r="U169" s="350">
        <f t="shared" si="40"/>
        <v>0</v>
      </c>
      <c r="V169" s="330">
        <f t="shared" si="36"/>
        <v>0.13</v>
      </c>
      <c r="W169" s="351">
        <f t="shared" si="37"/>
        <v>0.13</v>
      </c>
      <c r="X169" s="350">
        <f t="shared" si="41"/>
        <v>0</v>
      </c>
      <c r="Y169" s="350">
        <f t="shared" si="38"/>
        <v>0</v>
      </c>
      <c r="Z169" s="350">
        <f t="shared" si="39"/>
        <v>0</v>
      </c>
      <c r="AA169" s="352">
        <f>+Table1[[#This Row],[calculated sale price]]</f>
        <v>0</v>
      </c>
      <c r="AB169" s="353"/>
      <c r="AC169" s="354"/>
      <c r="AD169" s="356"/>
      <c r="AE169" s="356">
        <f>Table1[[#This Row],[cost per quantity]]*(1+'P&amp;L'!$P$8)</f>
        <v>0</v>
      </c>
      <c r="AF169" s="356">
        <f>$AF$8*Table1[[#This Row],[man minutes]]*(1+'P&amp;L'!$P$9)</f>
        <v>0</v>
      </c>
      <c r="AG169" s="356">
        <f>$AF$8*Table1[[#This Row],[man minutes]]*1.18</f>
        <v>0</v>
      </c>
      <c r="AH169" s="356"/>
      <c r="AI169" s="356">
        <f>Table1[[#This Row],[Food cost w/ MU]]+Table1[[#This Row],[labor cost W/ MU]]</f>
        <v>0</v>
      </c>
      <c r="AJ169" s="357"/>
    </row>
    <row r="170" spans="1:36" x14ac:dyDescent="0.25">
      <c r="A170" s="329">
        <v>10161</v>
      </c>
      <c r="C170" s="329">
        <v>1</v>
      </c>
      <c r="I170" s="329"/>
      <c r="J170" s="329"/>
      <c r="K170" s="329"/>
      <c r="L170" s="345"/>
      <c r="M170" s="329"/>
      <c r="N170" s="346"/>
      <c r="O170" s="347"/>
      <c r="P170" s="347">
        <f>Table1[[#This Row],[unit cost]]*1.065</f>
        <v>0</v>
      </c>
      <c r="Q170" s="348"/>
      <c r="R170" s="329">
        <v>1</v>
      </c>
      <c r="S170" s="349">
        <f t="shared" si="35"/>
        <v>0.42</v>
      </c>
      <c r="T170" s="350">
        <f>Table1[[#This Row],[man minutes]]*Table1[[#This Row],[labor rate]]</f>
        <v>0</v>
      </c>
      <c r="U170" s="350">
        <f t="shared" si="40"/>
        <v>0</v>
      </c>
      <c r="V170" s="330">
        <f t="shared" si="36"/>
        <v>0.13</v>
      </c>
      <c r="W170" s="351">
        <f t="shared" si="37"/>
        <v>0.13</v>
      </c>
      <c r="X170" s="350">
        <f t="shared" si="41"/>
        <v>0</v>
      </c>
      <c r="Y170" s="350">
        <f t="shared" si="38"/>
        <v>0</v>
      </c>
      <c r="Z170" s="350">
        <f t="shared" si="39"/>
        <v>0</v>
      </c>
      <c r="AA170" s="352">
        <f>+Table1[[#This Row],[calculated sale price]]</f>
        <v>0</v>
      </c>
      <c r="AB170" s="353"/>
      <c r="AC170" s="354"/>
      <c r="AD170" s="356"/>
      <c r="AE170" s="356">
        <f>Table1[[#This Row],[cost per quantity]]*(1+'P&amp;L'!$P$8)</f>
        <v>0</v>
      </c>
      <c r="AF170" s="356">
        <f>$AF$8*Table1[[#This Row],[man minutes]]*(1+'P&amp;L'!$P$9)</f>
        <v>0</v>
      </c>
      <c r="AG170" s="356">
        <f>$AF$8*Table1[[#This Row],[man minutes]]*1.18</f>
        <v>0</v>
      </c>
      <c r="AH170" s="356"/>
      <c r="AI170" s="356">
        <f>Table1[[#This Row],[Food cost w/ MU]]+Table1[[#This Row],[labor cost W/ MU]]</f>
        <v>0</v>
      </c>
      <c r="AJ170" s="357"/>
    </row>
    <row r="171" spans="1:36" x14ac:dyDescent="0.25">
      <c r="A171" s="329">
        <v>10162</v>
      </c>
      <c r="C171" s="329">
        <v>1</v>
      </c>
      <c r="I171" s="329"/>
      <c r="J171" s="329"/>
      <c r="K171" s="329"/>
      <c r="L171" s="345"/>
      <c r="M171" s="329"/>
      <c r="N171" s="346"/>
      <c r="O171" s="347"/>
      <c r="P171" s="347">
        <f>Table1[[#This Row],[unit cost]]*1.065</f>
        <v>0</v>
      </c>
      <c r="Q171" s="348"/>
      <c r="R171" s="329">
        <v>1</v>
      </c>
      <c r="S171" s="349">
        <f t="shared" si="35"/>
        <v>0.42</v>
      </c>
      <c r="T171" s="350">
        <f>Table1[[#This Row],[man minutes]]*Table1[[#This Row],[labor rate]]</f>
        <v>0</v>
      </c>
      <c r="U171" s="350">
        <f t="shared" si="40"/>
        <v>0</v>
      </c>
      <c r="V171" s="330">
        <f t="shared" si="36"/>
        <v>0.13</v>
      </c>
      <c r="W171" s="351">
        <f t="shared" si="37"/>
        <v>0.13</v>
      </c>
      <c r="X171" s="350">
        <f t="shared" si="41"/>
        <v>0</v>
      </c>
      <c r="Y171" s="350">
        <f t="shared" si="38"/>
        <v>0</v>
      </c>
      <c r="Z171" s="350">
        <f t="shared" si="39"/>
        <v>0</v>
      </c>
      <c r="AA171" s="352">
        <f>+Table1[[#This Row],[calculated sale price]]</f>
        <v>0</v>
      </c>
      <c r="AB171" s="353"/>
      <c r="AC171" s="354"/>
      <c r="AD171" s="356"/>
      <c r="AE171" s="356">
        <f>Table1[[#This Row],[cost per quantity]]*(1+'P&amp;L'!$P$8)</f>
        <v>0</v>
      </c>
      <c r="AF171" s="356">
        <f>$AF$8*Table1[[#This Row],[man minutes]]*(1+'P&amp;L'!$P$9)</f>
        <v>0</v>
      </c>
      <c r="AG171" s="356">
        <f>$AF$8*Table1[[#This Row],[man minutes]]*1.18</f>
        <v>0</v>
      </c>
      <c r="AH171" s="356"/>
      <c r="AI171" s="356">
        <f>Table1[[#This Row],[Food cost w/ MU]]+Table1[[#This Row],[labor cost W/ MU]]</f>
        <v>0</v>
      </c>
      <c r="AJ171" s="357"/>
    </row>
    <row r="172" spans="1:36" x14ac:dyDescent="0.25">
      <c r="A172" s="329">
        <v>10163</v>
      </c>
      <c r="C172" s="329">
        <v>1</v>
      </c>
      <c r="I172" s="329"/>
      <c r="J172" s="329"/>
      <c r="K172" s="329"/>
      <c r="L172" s="345"/>
      <c r="M172" s="329"/>
      <c r="N172" s="346"/>
      <c r="O172" s="347"/>
      <c r="P172" s="347">
        <f>Table1[[#This Row],[unit cost]]*1.065</f>
        <v>0</v>
      </c>
      <c r="Q172" s="348"/>
      <c r="R172" s="329">
        <v>1</v>
      </c>
      <c r="S172" s="349">
        <f t="shared" si="35"/>
        <v>0.42</v>
      </c>
      <c r="T172" s="350">
        <f>Table1[[#This Row],[man minutes]]*Table1[[#This Row],[labor rate]]</f>
        <v>0</v>
      </c>
      <c r="U172" s="350">
        <f t="shared" si="40"/>
        <v>0</v>
      </c>
      <c r="V172" s="330">
        <f t="shared" si="36"/>
        <v>0.13</v>
      </c>
      <c r="W172" s="351">
        <f t="shared" si="37"/>
        <v>0.13</v>
      </c>
      <c r="X172" s="350">
        <f t="shared" si="41"/>
        <v>0</v>
      </c>
      <c r="Y172" s="350">
        <f t="shared" si="38"/>
        <v>0</v>
      </c>
      <c r="Z172" s="350">
        <f t="shared" si="39"/>
        <v>0</v>
      </c>
      <c r="AA172" s="352">
        <f>+Table1[[#This Row],[calculated sale price]]</f>
        <v>0</v>
      </c>
      <c r="AB172" s="353"/>
      <c r="AC172" s="354"/>
      <c r="AD172" s="356"/>
      <c r="AE172" s="356">
        <f>Table1[[#This Row],[cost per quantity]]*(1+'P&amp;L'!$P$8)</f>
        <v>0</v>
      </c>
      <c r="AF172" s="356">
        <f>$AF$8*Table1[[#This Row],[man minutes]]*(1+'P&amp;L'!$P$9)</f>
        <v>0</v>
      </c>
      <c r="AG172" s="356">
        <f>$AF$8*Table1[[#This Row],[man minutes]]*1.18</f>
        <v>0</v>
      </c>
      <c r="AH172" s="356"/>
      <c r="AI172" s="356">
        <f>Table1[[#This Row],[Food cost w/ MU]]+Table1[[#This Row],[labor cost W/ MU]]</f>
        <v>0</v>
      </c>
      <c r="AJ172" s="357"/>
    </row>
    <row r="173" spans="1:36" x14ac:dyDescent="0.25">
      <c r="A173" s="329">
        <v>10164</v>
      </c>
      <c r="C173" s="329">
        <v>1</v>
      </c>
      <c r="I173" s="329"/>
      <c r="J173" s="329"/>
      <c r="K173" s="329"/>
      <c r="L173" s="345"/>
      <c r="M173" s="329"/>
      <c r="N173" s="346"/>
      <c r="O173" s="347"/>
      <c r="P173" s="347">
        <f>Table1[[#This Row],[unit cost]]*1.065</f>
        <v>0</v>
      </c>
      <c r="Q173" s="348"/>
      <c r="R173" s="329">
        <v>1</v>
      </c>
      <c r="S173" s="349">
        <f t="shared" si="35"/>
        <v>0.42</v>
      </c>
      <c r="T173" s="350">
        <f>Table1[[#This Row],[man minutes]]*Table1[[#This Row],[labor rate]]</f>
        <v>0</v>
      </c>
      <c r="U173" s="350">
        <f t="shared" si="40"/>
        <v>0</v>
      </c>
      <c r="V173" s="330">
        <f t="shared" si="36"/>
        <v>0.13</v>
      </c>
      <c r="W173" s="351">
        <f t="shared" si="37"/>
        <v>0.13</v>
      </c>
      <c r="X173" s="350">
        <f t="shared" si="41"/>
        <v>0</v>
      </c>
      <c r="Y173" s="350">
        <f t="shared" si="38"/>
        <v>0</v>
      </c>
      <c r="Z173" s="350">
        <f t="shared" si="39"/>
        <v>0</v>
      </c>
      <c r="AA173" s="352">
        <f>+Table1[[#This Row],[calculated sale price]]</f>
        <v>0</v>
      </c>
      <c r="AB173" s="353"/>
      <c r="AC173" s="354"/>
      <c r="AD173" s="356"/>
      <c r="AE173" s="356">
        <f>Table1[[#This Row],[cost per quantity]]*(1+'P&amp;L'!$P$8)</f>
        <v>0</v>
      </c>
      <c r="AF173" s="356">
        <f>$AF$8*Table1[[#This Row],[man minutes]]*(1+'P&amp;L'!$P$9)</f>
        <v>0</v>
      </c>
      <c r="AG173" s="356">
        <f>$AF$8*Table1[[#This Row],[man minutes]]*1.18</f>
        <v>0</v>
      </c>
      <c r="AH173" s="356">
        <f>$AF$8*Table1[[#This Row],[man minutes]]*1.18</f>
        <v>0</v>
      </c>
      <c r="AI173" s="356">
        <f>Table1[[#This Row],[Food cost w/ MU]]+Table1[[#This Row],[labor cost W/ MU]]</f>
        <v>0</v>
      </c>
      <c r="AJ173" s="357"/>
    </row>
    <row r="174" spans="1:36" x14ac:dyDescent="0.25">
      <c r="A174" s="329">
        <v>10165</v>
      </c>
      <c r="C174" s="329">
        <v>1</v>
      </c>
      <c r="I174" s="329"/>
      <c r="J174" s="329"/>
      <c r="K174" s="329"/>
      <c r="L174" s="345"/>
      <c r="M174" s="329"/>
      <c r="N174" s="346"/>
      <c r="O174" s="347"/>
      <c r="P174" s="347">
        <f>Table1[[#This Row],[unit cost]]*1.065</f>
        <v>0</v>
      </c>
      <c r="Q174" s="348"/>
      <c r="R174" s="329">
        <v>1</v>
      </c>
      <c r="S174" s="349">
        <f t="shared" si="35"/>
        <v>0.42</v>
      </c>
      <c r="T174" s="350">
        <f>Table1[[#This Row],[man minutes]]*Table1[[#This Row],[labor rate]]</f>
        <v>0</v>
      </c>
      <c r="U174" s="350">
        <f t="shared" si="40"/>
        <v>0</v>
      </c>
      <c r="V174" s="330">
        <f t="shared" si="36"/>
        <v>0.13</v>
      </c>
      <c r="W174" s="351">
        <f t="shared" si="37"/>
        <v>0.13</v>
      </c>
      <c r="X174" s="350">
        <f t="shared" si="41"/>
        <v>0</v>
      </c>
      <c r="Y174" s="350">
        <f t="shared" si="38"/>
        <v>0</v>
      </c>
      <c r="Z174" s="350">
        <f t="shared" si="39"/>
        <v>0</v>
      </c>
      <c r="AA174" s="352">
        <f>+Table1[[#This Row],[calculated sale price]]</f>
        <v>0</v>
      </c>
      <c r="AB174" s="353"/>
      <c r="AC174" s="354"/>
      <c r="AD174" s="356"/>
      <c r="AE174" s="356">
        <f>Table1[[#This Row],[cost per quantity]]*(1+'P&amp;L'!$P$8)</f>
        <v>0</v>
      </c>
      <c r="AF174" s="356">
        <f>$AF$8*Table1[[#This Row],[man minutes]]*(1+'P&amp;L'!$P$9)</f>
        <v>0</v>
      </c>
      <c r="AG174" s="356">
        <f>$AF$8*Table1[[#This Row],[man minutes]]*1.18</f>
        <v>0</v>
      </c>
      <c r="AH174" s="356">
        <f>$AF$8*Table1[[#This Row],[man minutes]]*1.18</f>
        <v>0</v>
      </c>
      <c r="AI174" s="356">
        <f>Table1[[#This Row],[Food cost w/ MU]]+Table1[[#This Row],[labor cost W/ MU]]</f>
        <v>0</v>
      </c>
      <c r="AJ174" s="357"/>
    </row>
    <row r="175" spans="1:36" x14ac:dyDescent="0.25">
      <c r="A175" s="329">
        <v>10166</v>
      </c>
      <c r="C175" s="329">
        <v>1</v>
      </c>
      <c r="I175" s="329"/>
      <c r="J175" s="329"/>
      <c r="K175" s="329"/>
      <c r="L175" s="345"/>
      <c r="M175" s="329"/>
      <c r="N175" s="346"/>
      <c r="O175" s="347"/>
      <c r="P175" s="347">
        <f>Table1[[#This Row],[unit cost]]*1.065</f>
        <v>0</v>
      </c>
      <c r="Q175" s="348"/>
      <c r="R175" s="329">
        <v>1</v>
      </c>
      <c r="S175" s="349">
        <f t="shared" si="35"/>
        <v>0.42</v>
      </c>
      <c r="T175" s="350">
        <f>Table1[[#This Row],[man minutes]]*Table1[[#This Row],[labor rate]]</f>
        <v>0</v>
      </c>
      <c r="U175" s="350">
        <f t="shared" si="40"/>
        <v>0</v>
      </c>
      <c r="V175" s="330">
        <f t="shared" si="36"/>
        <v>0.13</v>
      </c>
      <c r="W175" s="351">
        <f t="shared" si="37"/>
        <v>0.13</v>
      </c>
      <c r="X175" s="350">
        <f t="shared" si="41"/>
        <v>0</v>
      </c>
      <c r="Y175" s="350">
        <f t="shared" si="38"/>
        <v>0</v>
      </c>
      <c r="Z175" s="350">
        <f t="shared" si="39"/>
        <v>0</v>
      </c>
      <c r="AA175" s="352">
        <f>+Table1[[#This Row],[calculated sale price]]</f>
        <v>0</v>
      </c>
      <c r="AB175" s="353"/>
      <c r="AC175" s="354"/>
      <c r="AD175" s="356"/>
      <c r="AE175" s="356">
        <f>Table1[[#This Row],[cost per quantity]]*(1+'P&amp;L'!$P$8)</f>
        <v>0</v>
      </c>
      <c r="AF175" s="356">
        <f>$AF$8*Table1[[#This Row],[man minutes]]*(1+'P&amp;L'!$P$9)</f>
        <v>0</v>
      </c>
      <c r="AG175" s="356">
        <f>$AF$8*Table1[[#This Row],[man minutes]]*1.18</f>
        <v>0</v>
      </c>
      <c r="AH175" s="356">
        <f>$AF$8*Table1[[#This Row],[man minutes]]*1.18</f>
        <v>0</v>
      </c>
      <c r="AI175" s="356">
        <f>Table1[[#This Row],[Food cost w/ MU]]+Table1[[#This Row],[labor cost W/ MU]]</f>
        <v>0</v>
      </c>
      <c r="AJ175" s="357"/>
    </row>
    <row r="176" spans="1:36" x14ac:dyDescent="0.25">
      <c r="A176" s="329">
        <v>10167</v>
      </c>
      <c r="C176" s="329">
        <v>1</v>
      </c>
      <c r="I176" s="329"/>
      <c r="J176" s="329"/>
      <c r="K176" s="329"/>
      <c r="L176" s="345"/>
      <c r="M176" s="329"/>
      <c r="N176" s="346"/>
      <c r="O176" s="347"/>
      <c r="P176" s="347">
        <f>Table1[[#This Row],[unit cost]]*1.065</f>
        <v>0</v>
      </c>
      <c r="Q176" s="348"/>
      <c r="R176" s="329">
        <v>1</v>
      </c>
      <c r="S176" s="349">
        <f t="shared" si="35"/>
        <v>0.42</v>
      </c>
      <c r="T176" s="350">
        <f>Table1[[#This Row],[man minutes]]*Table1[[#This Row],[labor rate]]</f>
        <v>0</v>
      </c>
      <c r="U176" s="350">
        <f t="shared" si="40"/>
        <v>0</v>
      </c>
      <c r="V176" s="330">
        <f t="shared" si="36"/>
        <v>0.13</v>
      </c>
      <c r="W176" s="351">
        <f t="shared" si="37"/>
        <v>0.13</v>
      </c>
      <c r="X176" s="350">
        <f t="shared" si="41"/>
        <v>0</v>
      </c>
      <c r="Y176" s="350">
        <f t="shared" si="38"/>
        <v>0</v>
      </c>
      <c r="Z176" s="350">
        <f t="shared" si="39"/>
        <v>0</v>
      </c>
      <c r="AA176" s="352">
        <f>+Table1[[#This Row],[calculated sale price]]</f>
        <v>0</v>
      </c>
      <c r="AB176" s="353"/>
      <c r="AC176" s="354"/>
      <c r="AD176" s="356"/>
      <c r="AE176" s="356">
        <f>Table1[[#This Row],[cost per quantity]]*(1+'P&amp;L'!$P$8)</f>
        <v>0</v>
      </c>
      <c r="AF176" s="356">
        <f>$AF$8*Table1[[#This Row],[man minutes]]*(1+'P&amp;L'!$P$9)</f>
        <v>0</v>
      </c>
      <c r="AG176" s="356">
        <f>$AF$8*Table1[[#This Row],[man minutes]]*1.18</f>
        <v>0</v>
      </c>
      <c r="AH176" s="356">
        <f>$AF$8*Table1[[#This Row],[man minutes]]*1.18</f>
        <v>0</v>
      </c>
      <c r="AI176" s="356">
        <f>Table1[[#This Row],[Food cost w/ MU]]+Table1[[#This Row],[labor cost W/ MU]]</f>
        <v>0</v>
      </c>
      <c r="AJ176" s="357"/>
    </row>
    <row r="177" spans="1:36" x14ac:dyDescent="0.25">
      <c r="A177" s="329">
        <v>10168</v>
      </c>
      <c r="C177" s="329">
        <v>1</v>
      </c>
      <c r="I177" s="329"/>
      <c r="J177" s="329"/>
      <c r="K177" s="329"/>
      <c r="L177" s="345"/>
      <c r="M177" s="329"/>
      <c r="N177" s="346"/>
      <c r="O177" s="347"/>
      <c r="P177" s="347">
        <f>Table1[[#This Row],[unit cost]]*1.065</f>
        <v>0</v>
      </c>
      <c r="Q177" s="348"/>
      <c r="R177" s="329">
        <v>1</v>
      </c>
      <c r="S177" s="349">
        <f t="shared" si="35"/>
        <v>0.42</v>
      </c>
      <c r="T177" s="350">
        <f>Table1[[#This Row],[man minutes]]*Table1[[#This Row],[labor rate]]</f>
        <v>0</v>
      </c>
      <c r="U177" s="350">
        <f t="shared" si="40"/>
        <v>0</v>
      </c>
      <c r="V177" s="330">
        <f t="shared" si="36"/>
        <v>0.13</v>
      </c>
      <c r="W177" s="351">
        <f t="shared" si="37"/>
        <v>0.13</v>
      </c>
      <c r="X177" s="350">
        <f t="shared" si="41"/>
        <v>0</v>
      </c>
      <c r="Y177" s="350">
        <f t="shared" si="38"/>
        <v>0</v>
      </c>
      <c r="Z177" s="350">
        <f t="shared" si="39"/>
        <v>0</v>
      </c>
      <c r="AA177" s="352">
        <f>+Table1[[#This Row],[calculated sale price]]</f>
        <v>0</v>
      </c>
      <c r="AB177" s="353"/>
      <c r="AC177" s="354"/>
      <c r="AD177" s="356"/>
      <c r="AE177" s="356">
        <f>Table1[[#This Row],[cost per quantity]]*(1+'P&amp;L'!$P$8)</f>
        <v>0</v>
      </c>
      <c r="AF177" s="356">
        <f>$AF$8*Table1[[#This Row],[man minutes]]*(1+'P&amp;L'!$P$9)</f>
        <v>0</v>
      </c>
      <c r="AG177" s="356">
        <f>$AF$8*Table1[[#This Row],[man minutes]]*1.18</f>
        <v>0</v>
      </c>
      <c r="AH177" s="356">
        <f>$AF$8*Table1[[#This Row],[man minutes]]*1.18</f>
        <v>0</v>
      </c>
      <c r="AI177" s="356">
        <f>Table1[[#This Row],[Food cost w/ MU]]+Table1[[#This Row],[labor cost W/ MU]]</f>
        <v>0</v>
      </c>
      <c r="AJ177" s="357"/>
    </row>
    <row r="178" spans="1:36" x14ac:dyDescent="0.25">
      <c r="A178" s="329">
        <v>10169</v>
      </c>
      <c r="C178" s="329">
        <v>1</v>
      </c>
      <c r="I178" s="329"/>
      <c r="J178" s="329"/>
      <c r="K178" s="329"/>
      <c r="L178" s="345"/>
      <c r="M178" s="329"/>
      <c r="N178" s="346"/>
      <c r="O178" s="347"/>
      <c r="P178" s="347">
        <f>Table1[[#This Row],[unit cost]]*1.065</f>
        <v>0</v>
      </c>
      <c r="Q178" s="348"/>
      <c r="R178" s="329">
        <v>1</v>
      </c>
      <c r="S178" s="349">
        <f t="shared" si="35"/>
        <v>0.42</v>
      </c>
      <c r="T178" s="350">
        <f>Table1[[#This Row],[man minutes]]*Table1[[#This Row],[labor rate]]</f>
        <v>0</v>
      </c>
      <c r="U178" s="350">
        <f t="shared" si="40"/>
        <v>0</v>
      </c>
      <c r="V178" s="330">
        <f t="shared" si="36"/>
        <v>0.13</v>
      </c>
      <c r="W178" s="351">
        <f t="shared" si="37"/>
        <v>0.13</v>
      </c>
      <c r="X178" s="350">
        <f t="shared" si="41"/>
        <v>0</v>
      </c>
      <c r="Y178" s="350">
        <f t="shared" si="38"/>
        <v>0</v>
      </c>
      <c r="Z178" s="350">
        <f t="shared" si="39"/>
        <v>0</v>
      </c>
      <c r="AA178" s="352">
        <f>+Table1[[#This Row],[calculated sale price]]</f>
        <v>0</v>
      </c>
      <c r="AB178" s="353"/>
      <c r="AC178" s="354"/>
      <c r="AD178" s="356"/>
      <c r="AE178" s="356">
        <f>Table1[[#This Row],[cost per quantity]]*(1+'P&amp;L'!$P$8)</f>
        <v>0</v>
      </c>
      <c r="AF178" s="356">
        <f>$AF$8*Table1[[#This Row],[man minutes]]*(1+'P&amp;L'!$P$9)</f>
        <v>0</v>
      </c>
      <c r="AG178" s="356">
        <f>$AF$8*Table1[[#This Row],[man minutes]]*1.18</f>
        <v>0</v>
      </c>
      <c r="AH178" s="356">
        <f>$AF$8*Table1[[#This Row],[man minutes]]*1.18</f>
        <v>0</v>
      </c>
      <c r="AI178" s="356">
        <f>Table1[[#This Row],[Food cost w/ MU]]+Table1[[#This Row],[labor cost W/ MU]]</f>
        <v>0</v>
      </c>
      <c r="AJ178" s="357"/>
    </row>
    <row r="179" spans="1:36" x14ac:dyDescent="0.25">
      <c r="A179" s="329">
        <v>10170</v>
      </c>
      <c r="C179" s="329">
        <v>1</v>
      </c>
      <c r="I179" s="329"/>
      <c r="J179" s="329"/>
      <c r="K179" s="329"/>
      <c r="L179" s="345"/>
      <c r="M179" s="329"/>
      <c r="N179" s="346"/>
      <c r="O179" s="347"/>
      <c r="P179" s="347">
        <f>Table1[[#This Row],[unit cost]]*1.065</f>
        <v>0</v>
      </c>
      <c r="Q179" s="348"/>
      <c r="R179" s="329">
        <v>1</v>
      </c>
      <c r="S179" s="349">
        <f t="shared" si="35"/>
        <v>0.42</v>
      </c>
      <c r="T179" s="350">
        <f>Table1[[#This Row],[man minutes]]*Table1[[#This Row],[labor rate]]</f>
        <v>0</v>
      </c>
      <c r="U179" s="350">
        <f t="shared" si="40"/>
        <v>0</v>
      </c>
      <c r="V179" s="330">
        <f t="shared" si="36"/>
        <v>0.13</v>
      </c>
      <c r="W179" s="351">
        <f t="shared" si="37"/>
        <v>0.13</v>
      </c>
      <c r="X179" s="350">
        <f t="shared" si="41"/>
        <v>0</v>
      </c>
      <c r="Y179" s="350">
        <f t="shared" si="38"/>
        <v>0</v>
      </c>
      <c r="Z179" s="350">
        <f t="shared" si="39"/>
        <v>0</v>
      </c>
      <c r="AA179" s="352">
        <f>+Table1[[#This Row],[calculated sale price]]</f>
        <v>0</v>
      </c>
      <c r="AB179" s="353"/>
      <c r="AC179" s="354"/>
      <c r="AD179" s="356"/>
      <c r="AE179" s="356">
        <f>Table1[[#This Row],[cost per quantity]]*(1+'P&amp;L'!$P$8)</f>
        <v>0</v>
      </c>
      <c r="AF179" s="356">
        <f>$AF$8*Table1[[#This Row],[man minutes]]*(1+'P&amp;L'!$P$9)</f>
        <v>0</v>
      </c>
      <c r="AG179" s="356">
        <f>$AF$8*Table1[[#This Row],[man minutes]]*1.18</f>
        <v>0</v>
      </c>
      <c r="AH179" s="356">
        <f>$AF$8*Table1[[#This Row],[man minutes]]*1.18</f>
        <v>0</v>
      </c>
      <c r="AI179" s="356">
        <f>Table1[[#This Row],[Food cost w/ MU]]+Table1[[#This Row],[labor cost W/ MU]]</f>
        <v>0</v>
      </c>
      <c r="AJ179" s="357"/>
    </row>
    <row r="180" spans="1:36" x14ac:dyDescent="0.25">
      <c r="A180" s="329">
        <v>10171</v>
      </c>
      <c r="C180" s="329">
        <v>1</v>
      </c>
      <c r="I180" s="329"/>
      <c r="J180" s="329"/>
      <c r="K180" s="329"/>
      <c r="L180" s="345"/>
      <c r="M180" s="329"/>
      <c r="N180" s="346"/>
      <c r="O180" s="347"/>
      <c r="P180" s="347">
        <f>Table1[[#This Row],[unit cost]]*1.065</f>
        <v>0</v>
      </c>
      <c r="Q180" s="348"/>
      <c r="R180" s="329">
        <v>1</v>
      </c>
      <c r="S180" s="349">
        <f t="shared" si="35"/>
        <v>0.42</v>
      </c>
      <c r="T180" s="350">
        <f>Table1[[#This Row],[man minutes]]*Table1[[#This Row],[labor rate]]</f>
        <v>0</v>
      </c>
      <c r="U180" s="350">
        <f t="shared" si="40"/>
        <v>0</v>
      </c>
      <c r="V180" s="330">
        <f t="shared" si="36"/>
        <v>0.13</v>
      </c>
      <c r="W180" s="351">
        <f t="shared" si="37"/>
        <v>0.13</v>
      </c>
      <c r="X180" s="350">
        <f t="shared" si="41"/>
        <v>0</v>
      </c>
      <c r="Y180" s="350">
        <f t="shared" si="38"/>
        <v>0</v>
      </c>
      <c r="Z180" s="350">
        <f t="shared" si="39"/>
        <v>0</v>
      </c>
      <c r="AA180" s="352">
        <f>+Table1[[#This Row],[calculated sale price]]</f>
        <v>0</v>
      </c>
      <c r="AB180" s="353"/>
      <c r="AC180" s="354"/>
      <c r="AD180" s="356"/>
      <c r="AE180" s="356">
        <f>Table1[[#This Row],[cost per quantity]]*(1+'P&amp;L'!$P$8)</f>
        <v>0</v>
      </c>
      <c r="AF180" s="356">
        <f>$AF$8*Table1[[#This Row],[man minutes]]*(1+'P&amp;L'!$P$9)</f>
        <v>0</v>
      </c>
      <c r="AG180" s="356">
        <f>$AF$8*Table1[[#This Row],[man minutes]]*1.18</f>
        <v>0</v>
      </c>
      <c r="AH180" s="356">
        <f>$AF$8*Table1[[#This Row],[man minutes]]*1.18</f>
        <v>0</v>
      </c>
      <c r="AI180" s="356">
        <f>Table1[[#This Row],[Food cost w/ MU]]+Table1[[#This Row],[labor cost W/ MU]]</f>
        <v>0</v>
      </c>
      <c r="AJ180" s="357"/>
    </row>
    <row r="181" spans="1:36" x14ac:dyDescent="0.25">
      <c r="A181" s="329">
        <v>10172</v>
      </c>
      <c r="C181" s="329">
        <v>1</v>
      </c>
      <c r="I181" s="329"/>
      <c r="J181" s="329"/>
      <c r="K181" s="329"/>
      <c r="L181" s="345"/>
      <c r="M181" s="329"/>
      <c r="N181" s="346"/>
      <c r="O181" s="347"/>
      <c r="P181" s="347">
        <f>Table1[[#This Row],[unit cost]]*1.065</f>
        <v>0</v>
      </c>
      <c r="Q181" s="348"/>
      <c r="R181" s="329">
        <v>1</v>
      </c>
      <c r="S181" s="349">
        <f t="shared" si="35"/>
        <v>0.42</v>
      </c>
      <c r="T181" s="350">
        <f>Table1[[#This Row],[man minutes]]*Table1[[#This Row],[labor rate]]</f>
        <v>0</v>
      </c>
      <c r="U181" s="350">
        <f t="shared" si="40"/>
        <v>0</v>
      </c>
      <c r="V181" s="330">
        <f t="shared" si="36"/>
        <v>0.13</v>
      </c>
      <c r="W181" s="351">
        <f t="shared" si="37"/>
        <v>0.13</v>
      </c>
      <c r="X181" s="350">
        <f t="shared" si="41"/>
        <v>0</v>
      </c>
      <c r="Y181" s="350">
        <f t="shared" si="38"/>
        <v>0</v>
      </c>
      <c r="Z181" s="350">
        <f t="shared" si="39"/>
        <v>0</v>
      </c>
      <c r="AA181" s="352">
        <f>+Table1[[#This Row],[calculated sale price]]</f>
        <v>0</v>
      </c>
      <c r="AB181" s="353"/>
      <c r="AC181" s="354"/>
      <c r="AD181" s="356"/>
      <c r="AE181" s="356">
        <f>Table1[[#This Row],[cost per quantity]]*(1+'P&amp;L'!$P$8)</f>
        <v>0</v>
      </c>
      <c r="AF181" s="356">
        <f>$AF$8*Table1[[#This Row],[man minutes]]*(1+'P&amp;L'!$P$9)</f>
        <v>0</v>
      </c>
      <c r="AG181" s="356">
        <f>$AF$8*Table1[[#This Row],[man minutes]]*1.18</f>
        <v>0</v>
      </c>
      <c r="AH181" s="356">
        <f>$AF$8*Table1[[#This Row],[man minutes]]*1.18</f>
        <v>0</v>
      </c>
      <c r="AI181" s="356">
        <f>Table1[[#This Row],[Food cost w/ MU]]+Table1[[#This Row],[labor cost W/ MU]]</f>
        <v>0</v>
      </c>
      <c r="AJ181" s="357"/>
    </row>
    <row r="182" spans="1:36" x14ac:dyDescent="0.25">
      <c r="A182" s="329">
        <v>10173</v>
      </c>
      <c r="C182" s="329">
        <v>1</v>
      </c>
      <c r="I182" s="329"/>
      <c r="J182" s="329"/>
      <c r="K182" s="329"/>
      <c r="L182" s="345"/>
      <c r="M182" s="329"/>
      <c r="N182" s="346"/>
      <c r="O182" s="347"/>
      <c r="P182" s="347">
        <f>Table1[[#This Row],[unit cost]]*1.065</f>
        <v>0</v>
      </c>
      <c r="Q182" s="348"/>
      <c r="R182" s="329">
        <v>1</v>
      </c>
      <c r="S182" s="349">
        <f t="shared" si="35"/>
        <v>0.42</v>
      </c>
      <c r="T182" s="350">
        <f>Table1[[#This Row],[man minutes]]*Table1[[#This Row],[labor rate]]</f>
        <v>0</v>
      </c>
      <c r="U182" s="350">
        <f t="shared" si="40"/>
        <v>0</v>
      </c>
      <c r="V182" s="330">
        <f t="shared" si="36"/>
        <v>0.13</v>
      </c>
      <c r="W182" s="351">
        <f t="shared" si="37"/>
        <v>0.13</v>
      </c>
      <c r="X182" s="350">
        <f t="shared" si="41"/>
        <v>0</v>
      </c>
      <c r="Y182" s="350">
        <f t="shared" si="38"/>
        <v>0</v>
      </c>
      <c r="Z182" s="350">
        <f t="shared" si="39"/>
        <v>0</v>
      </c>
      <c r="AA182" s="352">
        <f>+Table1[[#This Row],[calculated sale price]]</f>
        <v>0</v>
      </c>
      <c r="AB182" s="353"/>
      <c r="AC182" s="354"/>
      <c r="AD182" s="356"/>
      <c r="AE182" s="356">
        <f>Table1[[#This Row],[cost per quantity]]*(1+'P&amp;L'!$P$8)</f>
        <v>0</v>
      </c>
      <c r="AF182" s="356">
        <f>$AF$8*Table1[[#This Row],[man minutes]]*(1+'P&amp;L'!$P$9)</f>
        <v>0</v>
      </c>
      <c r="AG182" s="356">
        <f>$AF$8*Table1[[#This Row],[man minutes]]*1.18</f>
        <v>0</v>
      </c>
      <c r="AH182" s="356">
        <f>$AF$8*Table1[[#This Row],[man minutes]]*1.18</f>
        <v>0</v>
      </c>
      <c r="AI182" s="356">
        <f>Table1[[#This Row],[Food cost w/ MU]]+Table1[[#This Row],[labor cost W/ MU]]</f>
        <v>0</v>
      </c>
      <c r="AJ182" s="357"/>
    </row>
    <row r="183" spans="1:36" x14ac:dyDescent="0.25">
      <c r="A183" s="329">
        <v>10174</v>
      </c>
      <c r="C183" s="329">
        <v>1</v>
      </c>
      <c r="I183" s="329"/>
      <c r="J183" s="329"/>
      <c r="K183" s="329"/>
      <c r="L183" s="345"/>
      <c r="M183" s="329"/>
      <c r="N183" s="346"/>
      <c r="O183" s="347"/>
      <c r="P183" s="347">
        <f>Table1[[#This Row],[unit cost]]*1.065</f>
        <v>0</v>
      </c>
      <c r="Q183" s="348"/>
      <c r="R183" s="329">
        <v>1</v>
      </c>
      <c r="S183" s="349">
        <f t="shared" si="35"/>
        <v>0.42</v>
      </c>
      <c r="T183" s="350">
        <f>Table1[[#This Row],[man minutes]]*Table1[[#This Row],[labor rate]]</f>
        <v>0</v>
      </c>
      <c r="U183" s="350">
        <f t="shared" si="40"/>
        <v>0</v>
      </c>
      <c r="V183" s="330">
        <f t="shared" si="36"/>
        <v>0.13</v>
      </c>
      <c r="W183" s="351">
        <f t="shared" si="37"/>
        <v>0.13</v>
      </c>
      <c r="X183" s="350">
        <f t="shared" si="41"/>
        <v>0</v>
      </c>
      <c r="Y183" s="350">
        <f t="shared" si="38"/>
        <v>0</v>
      </c>
      <c r="Z183" s="350">
        <f t="shared" si="39"/>
        <v>0</v>
      </c>
      <c r="AA183" s="352">
        <f>+Table1[[#This Row],[calculated sale price]]</f>
        <v>0</v>
      </c>
      <c r="AB183" s="353"/>
      <c r="AC183" s="354"/>
      <c r="AD183" s="356"/>
      <c r="AE183" s="356">
        <f>Table1[[#This Row],[cost per quantity]]*(1+'P&amp;L'!$P$8)</f>
        <v>0</v>
      </c>
      <c r="AF183" s="356">
        <f>$AF$8*Table1[[#This Row],[man minutes]]*(1+'P&amp;L'!$P$9)</f>
        <v>0</v>
      </c>
      <c r="AG183" s="356">
        <f>$AF$8*Table1[[#This Row],[man minutes]]*1.18</f>
        <v>0</v>
      </c>
      <c r="AH183" s="356">
        <f>$AF$8*Table1[[#This Row],[man minutes]]*1.18</f>
        <v>0</v>
      </c>
      <c r="AI183" s="356">
        <f>Table1[[#This Row],[Food cost w/ MU]]+Table1[[#This Row],[labor cost W/ MU]]</f>
        <v>0</v>
      </c>
      <c r="AJ183" s="357"/>
    </row>
    <row r="184" spans="1:36" x14ac:dyDescent="0.25">
      <c r="A184" s="329">
        <v>10175</v>
      </c>
      <c r="C184" s="329">
        <v>1</v>
      </c>
      <c r="I184" s="329"/>
      <c r="J184" s="329"/>
      <c r="K184" s="329"/>
      <c r="L184" s="345"/>
      <c r="M184" s="329"/>
      <c r="N184" s="346"/>
      <c r="O184" s="347"/>
      <c r="P184" s="347">
        <f>Table1[[#This Row],[unit cost]]*1.065</f>
        <v>0</v>
      </c>
      <c r="Q184" s="348"/>
      <c r="R184" s="329">
        <v>1</v>
      </c>
      <c r="S184" s="349">
        <f t="shared" si="35"/>
        <v>0.42</v>
      </c>
      <c r="T184" s="350">
        <f>Table1[[#This Row],[man minutes]]*Table1[[#This Row],[labor rate]]</f>
        <v>0</v>
      </c>
      <c r="U184" s="350">
        <f t="shared" si="40"/>
        <v>0</v>
      </c>
      <c r="V184" s="330">
        <f t="shared" si="36"/>
        <v>0.13</v>
      </c>
      <c r="W184" s="351">
        <f t="shared" si="37"/>
        <v>0.13</v>
      </c>
      <c r="X184" s="350">
        <f t="shared" si="41"/>
        <v>0</v>
      </c>
      <c r="Y184" s="350">
        <f t="shared" si="38"/>
        <v>0</v>
      </c>
      <c r="Z184" s="350">
        <f t="shared" si="39"/>
        <v>0</v>
      </c>
      <c r="AA184" s="352">
        <f>+Table1[[#This Row],[calculated sale price]]</f>
        <v>0</v>
      </c>
      <c r="AB184" s="353"/>
      <c r="AC184" s="354"/>
      <c r="AD184" s="356"/>
      <c r="AE184" s="356">
        <f>Table1[[#This Row],[cost per quantity]]*(1+'P&amp;L'!$P$8)</f>
        <v>0</v>
      </c>
      <c r="AF184" s="356">
        <f>$AF$8*Table1[[#This Row],[man minutes]]*(1+'P&amp;L'!$P$9)</f>
        <v>0</v>
      </c>
      <c r="AG184" s="356">
        <f>$AF$8*Table1[[#This Row],[man minutes]]*1.18</f>
        <v>0</v>
      </c>
      <c r="AH184" s="356">
        <f>$AF$8*Table1[[#This Row],[man minutes]]*1.18</f>
        <v>0</v>
      </c>
      <c r="AI184" s="356">
        <f>Table1[[#This Row],[Food cost w/ MU]]+Table1[[#This Row],[labor cost W/ MU]]</f>
        <v>0</v>
      </c>
      <c r="AJ184" s="357"/>
    </row>
    <row r="185" spans="1:36" x14ac:dyDescent="0.25">
      <c r="A185" s="329">
        <v>10176</v>
      </c>
      <c r="C185" s="329">
        <v>1</v>
      </c>
      <c r="I185" s="329"/>
      <c r="J185" s="329"/>
      <c r="K185" s="329"/>
      <c r="L185" s="345"/>
      <c r="M185" s="329"/>
      <c r="N185" s="346"/>
      <c r="O185" s="347"/>
      <c r="P185" s="347">
        <f>Table1[[#This Row],[unit cost]]*1.065</f>
        <v>0</v>
      </c>
      <c r="Q185" s="348"/>
      <c r="R185" s="329">
        <v>1</v>
      </c>
      <c r="S185" s="349">
        <f t="shared" si="35"/>
        <v>0.42</v>
      </c>
      <c r="T185" s="350">
        <f>Table1[[#This Row],[man minutes]]*Table1[[#This Row],[labor rate]]</f>
        <v>0</v>
      </c>
      <c r="U185" s="350">
        <f t="shared" si="40"/>
        <v>0</v>
      </c>
      <c r="V185" s="330">
        <f t="shared" si="36"/>
        <v>0.13</v>
      </c>
      <c r="W185" s="351">
        <f t="shared" si="37"/>
        <v>0.13</v>
      </c>
      <c r="X185" s="350">
        <f t="shared" si="41"/>
        <v>0</v>
      </c>
      <c r="Y185" s="350">
        <f t="shared" si="38"/>
        <v>0</v>
      </c>
      <c r="Z185" s="350">
        <f t="shared" si="39"/>
        <v>0</v>
      </c>
      <c r="AA185" s="352">
        <f>+Table1[[#This Row],[calculated sale price]]</f>
        <v>0</v>
      </c>
      <c r="AB185" s="353"/>
      <c r="AC185" s="354"/>
      <c r="AD185" s="356"/>
      <c r="AE185" s="356">
        <f>Table1[[#This Row],[cost per quantity]]*(1+'P&amp;L'!$P$8)</f>
        <v>0</v>
      </c>
      <c r="AF185" s="356">
        <f>$AF$8*Table1[[#This Row],[man minutes]]*(1+'P&amp;L'!$P$9)</f>
        <v>0</v>
      </c>
      <c r="AG185" s="356">
        <f>$AF$8*Table1[[#This Row],[man minutes]]*1.18</f>
        <v>0</v>
      </c>
      <c r="AH185" s="356">
        <f>$AF$8*Table1[[#This Row],[man minutes]]*1.18</f>
        <v>0</v>
      </c>
      <c r="AI185" s="356">
        <f>Table1[[#This Row],[Food cost w/ MU]]+Table1[[#This Row],[labor cost W/ MU]]</f>
        <v>0</v>
      </c>
      <c r="AJ185" s="357"/>
    </row>
    <row r="186" spans="1:36" x14ac:dyDescent="0.25">
      <c r="A186" s="329">
        <v>10177</v>
      </c>
      <c r="C186" s="329">
        <v>1</v>
      </c>
      <c r="I186" s="329"/>
      <c r="J186" s="329"/>
      <c r="K186" s="329"/>
      <c r="L186" s="345"/>
      <c r="M186" s="329"/>
      <c r="N186" s="346"/>
      <c r="O186" s="347"/>
      <c r="P186" s="347">
        <f>Table1[[#This Row],[unit cost]]*1.065</f>
        <v>0</v>
      </c>
      <c r="Q186" s="348"/>
      <c r="R186" s="329">
        <v>1</v>
      </c>
      <c r="S186" s="349">
        <f t="shared" si="35"/>
        <v>0.42</v>
      </c>
      <c r="T186" s="350">
        <f>Table1[[#This Row],[man minutes]]*Table1[[#This Row],[labor rate]]</f>
        <v>0</v>
      </c>
      <c r="U186" s="350">
        <f t="shared" si="40"/>
        <v>0</v>
      </c>
      <c r="V186" s="330">
        <f t="shared" si="36"/>
        <v>0.13</v>
      </c>
      <c r="W186" s="351">
        <f t="shared" si="37"/>
        <v>0.13</v>
      </c>
      <c r="X186" s="350">
        <f t="shared" si="41"/>
        <v>0</v>
      </c>
      <c r="Y186" s="350">
        <f t="shared" si="38"/>
        <v>0</v>
      </c>
      <c r="Z186" s="350">
        <f t="shared" si="39"/>
        <v>0</v>
      </c>
      <c r="AA186" s="352">
        <f>+Table1[[#This Row],[calculated sale price]]</f>
        <v>0</v>
      </c>
      <c r="AB186" s="353"/>
      <c r="AC186" s="354"/>
      <c r="AD186" s="356"/>
      <c r="AE186" s="356">
        <f>Table1[[#This Row],[cost per quantity]]*(1+'P&amp;L'!$P$8)</f>
        <v>0</v>
      </c>
      <c r="AF186" s="356">
        <f>$AF$8*Table1[[#This Row],[man minutes]]*(1+'P&amp;L'!$P$9)</f>
        <v>0</v>
      </c>
      <c r="AG186" s="356">
        <f>$AF$8*Table1[[#This Row],[man minutes]]*1.18</f>
        <v>0</v>
      </c>
      <c r="AH186" s="356">
        <f>$AF$8*Table1[[#This Row],[man minutes]]*1.18</f>
        <v>0</v>
      </c>
      <c r="AI186" s="356">
        <f>Table1[[#This Row],[Food cost w/ MU]]+Table1[[#This Row],[labor cost W/ MU]]</f>
        <v>0</v>
      </c>
      <c r="AJ186" s="357"/>
    </row>
    <row r="187" spans="1:36" x14ac:dyDescent="0.25">
      <c r="A187" s="329">
        <v>10178</v>
      </c>
      <c r="C187" s="329">
        <v>1</v>
      </c>
      <c r="I187" s="329"/>
      <c r="J187" s="329"/>
      <c r="K187" s="329"/>
      <c r="L187" s="345"/>
      <c r="M187" s="329"/>
      <c r="N187" s="346"/>
      <c r="O187" s="347"/>
      <c r="P187" s="347">
        <f>Table1[[#This Row],[unit cost]]*1.065</f>
        <v>0</v>
      </c>
      <c r="Q187" s="348"/>
      <c r="R187" s="329">
        <v>1</v>
      </c>
      <c r="S187" s="349">
        <f t="shared" si="35"/>
        <v>0.42</v>
      </c>
      <c r="T187" s="350">
        <f>Table1[[#This Row],[man minutes]]*Table1[[#This Row],[labor rate]]</f>
        <v>0</v>
      </c>
      <c r="U187" s="350">
        <f t="shared" si="40"/>
        <v>0</v>
      </c>
      <c r="V187" s="330">
        <f t="shared" si="36"/>
        <v>0.13</v>
      </c>
      <c r="W187" s="351">
        <f t="shared" si="37"/>
        <v>0.13</v>
      </c>
      <c r="X187" s="350">
        <f t="shared" si="41"/>
        <v>0</v>
      </c>
      <c r="Y187" s="350">
        <f t="shared" si="38"/>
        <v>0</v>
      </c>
      <c r="Z187" s="350">
        <f t="shared" si="39"/>
        <v>0</v>
      </c>
      <c r="AA187" s="352">
        <f>+Table1[[#This Row],[calculated sale price]]</f>
        <v>0</v>
      </c>
      <c r="AB187" s="353"/>
      <c r="AC187" s="354"/>
      <c r="AD187" s="356"/>
      <c r="AE187" s="356">
        <f>Table1[[#This Row],[cost per quantity]]*(1+'P&amp;L'!$P$8)</f>
        <v>0</v>
      </c>
      <c r="AF187" s="356">
        <f>$AF$8*Table1[[#This Row],[man minutes]]*(1+'P&amp;L'!$P$9)</f>
        <v>0</v>
      </c>
      <c r="AG187" s="356">
        <f>$AF$8*Table1[[#This Row],[man minutes]]*1.18</f>
        <v>0</v>
      </c>
      <c r="AH187" s="356">
        <f>$AF$8*Table1[[#This Row],[man minutes]]*1.18</f>
        <v>0</v>
      </c>
      <c r="AI187" s="356">
        <f>Table1[[#This Row],[Food cost w/ MU]]+Table1[[#This Row],[labor cost W/ MU]]</f>
        <v>0</v>
      </c>
      <c r="AJ187" s="357"/>
    </row>
    <row r="188" spans="1:36" x14ac:dyDescent="0.25">
      <c r="A188" s="329">
        <v>10179</v>
      </c>
      <c r="C188" s="329">
        <v>1</v>
      </c>
      <c r="I188" s="329"/>
      <c r="J188" s="329"/>
      <c r="K188" s="329"/>
      <c r="L188" s="345"/>
      <c r="M188" s="329"/>
      <c r="N188" s="346"/>
      <c r="O188" s="347"/>
      <c r="P188" s="347">
        <f>Table1[[#This Row],[unit cost]]*1.065</f>
        <v>0</v>
      </c>
      <c r="Q188" s="348"/>
      <c r="R188" s="329">
        <v>1</v>
      </c>
      <c r="S188" s="349">
        <f t="shared" si="35"/>
        <v>0.42</v>
      </c>
      <c r="T188" s="350">
        <f>Table1[[#This Row],[man minutes]]*Table1[[#This Row],[labor rate]]</f>
        <v>0</v>
      </c>
      <c r="U188" s="350">
        <f t="shared" si="40"/>
        <v>0</v>
      </c>
      <c r="V188" s="330">
        <f t="shared" si="36"/>
        <v>0.13</v>
      </c>
      <c r="W188" s="351">
        <f t="shared" si="37"/>
        <v>0.13</v>
      </c>
      <c r="X188" s="350">
        <f t="shared" si="41"/>
        <v>0</v>
      </c>
      <c r="Y188" s="350">
        <f t="shared" si="38"/>
        <v>0</v>
      </c>
      <c r="Z188" s="350">
        <f t="shared" si="39"/>
        <v>0</v>
      </c>
      <c r="AA188" s="352">
        <f>+Table1[[#This Row],[calculated sale price]]</f>
        <v>0</v>
      </c>
      <c r="AB188" s="353"/>
      <c r="AC188" s="354"/>
      <c r="AD188" s="356"/>
      <c r="AE188" s="356">
        <f>Table1[[#This Row],[cost per quantity]]*(1+'P&amp;L'!$P$8)</f>
        <v>0</v>
      </c>
      <c r="AF188" s="356">
        <f>$AF$8*Table1[[#This Row],[man minutes]]*(1+'P&amp;L'!$P$9)</f>
        <v>0</v>
      </c>
      <c r="AG188" s="356">
        <f>$AF$8*Table1[[#This Row],[man minutes]]*1.18</f>
        <v>0</v>
      </c>
      <c r="AH188" s="356">
        <f>$AF$8*Table1[[#This Row],[man minutes]]*1.18</f>
        <v>0</v>
      </c>
      <c r="AI188" s="356">
        <f>Table1[[#This Row],[Food cost w/ MU]]+Table1[[#This Row],[labor cost W/ MU]]</f>
        <v>0</v>
      </c>
      <c r="AJ188" s="357"/>
    </row>
    <row r="189" spans="1:36" x14ac:dyDescent="0.25">
      <c r="A189" s="329">
        <v>10180</v>
      </c>
      <c r="C189" s="329">
        <v>1</v>
      </c>
      <c r="I189" s="329"/>
      <c r="J189" s="329"/>
      <c r="K189" s="329"/>
      <c r="L189" s="345"/>
      <c r="M189" s="329"/>
      <c r="N189" s="346"/>
      <c r="O189" s="347"/>
      <c r="P189" s="347">
        <f>Table1[[#This Row],[unit cost]]*1.065</f>
        <v>0</v>
      </c>
      <c r="Q189" s="348"/>
      <c r="R189" s="329">
        <v>1</v>
      </c>
      <c r="S189" s="349">
        <f t="shared" si="35"/>
        <v>0.42</v>
      </c>
      <c r="T189" s="350">
        <f>Table1[[#This Row],[man minutes]]*Table1[[#This Row],[labor rate]]</f>
        <v>0</v>
      </c>
      <c r="U189" s="350">
        <f t="shared" si="40"/>
        <v>0</v>
      </c>
      <c r="V189" s="330">
        <f t="shared" si="36"/>
        <v>0.13</v>
      </c>
      <c r="W189" s="351">
        <f t="shared" si="37"/>
        <v>0.13</v>
      </c>
      <c r="X189" s="350">
        <f t="shared" si="41"/>
        <v>0</v>
      </c>
      <c r="Y189" s="350">
        <f t="shared" si="38"/>
        <v>0</v>
      </c>
      <c r="Z189" s="350">
        <f t="shared" si="39"/>
        <v>0</v>
      </c>
      <c r="AA189" s="352">
        <f>+Table1[[#This Row],[calculated sale price]]</f>
        <v>0</v>
      </c>
      <c r="AB189" s="353"/>
      <c r="AC189" s="354"/>
      <c r="AD189" s="356"/>
      <c r="AE189" s="356">
        <f>Table1[[#This Row],[cost per quantity]]*(1+'P&amp;L'!$P$8)</f>
        <v>0</v>
      </c>
      <c r="AF189" s="356">
        <f>$AF$8*Table1[[#This Row],[man minutes]]*(1+'P&amp;L'!$P$9)</f>
        <v>0</v>
      </c>
      <c r="AG189" s="356">
        <f>$AF$8*Table1[[#This Row],[man minutes]]*1.18</f>
        <v>0</v>
      </c>
      <c r="AH189" s="356">
        <f>$AF$8*Table1[[#This Row],[man minutes]]*1.18</f>
        <v>0</v>
      </c>
      <c r="AI189" s="356">
        <f>Table1[[#This Row],[Food cost w/ MU]]+Table1[[#This Row],[labor cost W/ MU]]</f>
        <v>0</v>
      </c>
      <c r="AJ189" s="357"/>
    </row>
    <row r="190" spans="1:36" x14ac:dyDescent="0.25">
      <c r="A190" s="329">
        <v>10181</v>
      </c>
      <c r="C190" s="329">
        <v>1</v>
      </c>
      <c r="I190" s="329"/>
      <c r="J190" s="329"/>
      <c r="K190" s="329"/>
      <c r="L190" s="345"/>
      <c r="M190" s="329"/>
      <c r="N190" s="346"/>
      <c r="O190" s="347"/>
      <c r="P190" s="347">
        <f>Table1[[#This Row],[unit cost]]*1.065</f>
        <v>0</v>
      </c>
      <c r="Q190" s="348"/>
      <c r="R190" s="329">
        <v>1</v>
      </c>
      <c r="S190" s="349">
        <f t="shared" si="35"/>
        <v>0.42</v>
      </c>
      <c r="T190" s="350">
        <f>Table1[[#This Row],[man minutes]]*Table1[[#This Row],[labor rate]]</f>
        <v>0</v>
      </c>
      <c r="U190" s="350">
        <f t="shared" si="40"/>
        <v>0</v>
      </c>
      <c r="V190" s="330">
        <f t="shared" si="36"/>
        <v>0.13</v>
      </c>
      <c r="W190" s="351">
        <f t="shared" si="37"/>
        <v>0.13</v>
      </c>
      <c r="X190" s="350">
        <f t="shared" si="41"/>
        <v>0</v>
      </c>
      <c r="Y190" s="350">
        <f t="shared" si="38"/>
        <v>0</v>
      </c>
      <c r="Z190" s="350">
        <f t="shared" si="39"/>
        <v>0</v>
      </c>
      <c r="AA190" s="352">
        <f>+Table1[[#This Row],[calculated sale price]]</f>
        <v>0</v>
      </c>
      <c r="AB190" s="353"/>
      <c r="AC190" s="354"/>
      <c r="AD190" s="356"/>
      <c r="AE190" s="356">
        <f>Table1[[#This Row],[cost per quantity]]*(1+'P&amp;L'!$P$8)</f>
        <v>0</v>
      </c>
      <c r="AF190" s="356">
        <f>$AF$8*Table1[[#This Row],[man minutes]]*(1+'P&amp;L'!$P$9)</f>
        <v>0</v>
      </c>
      <c r="AG190" s="356">
        <f>$AF$8*Table1[[#This Row],[man minutes]]*1.18</f>
        <v>0</v>
      </c>
      <c r="AH190" s="356">
        <f>$AF$8*Table1[[#This Row],[man minutes]]*1.18</f>
        <v>0</v>
      </c>
      <c r="AI190" s="356">
        <f>Table1[[#This Row],[Food cost w/ MU]]+Table1[[#This Row],[labor cost W/ MU]]</f>
        <v>0</v>
      </c>
      <c r="AJ190" s="357"/>
    </row>
    <row r="191" spans="1:36" x14ac:dyDescent="0.25">
      <c r="A191" s="329">
        <v>10182</v>
      </c>
      <c r="C191" s="329">
        <v>1</v>
      </c>
      <c r="I191" s="329"/>
      <c r="J191" s="329"/>
      <c r="K191" s="329"/>
      <c r="L191" s="345"/>
      <c r="M191" s="329"/>
      <c r="N191" s="346"/>
      <c r="O191" s="347"/>
      <c r="P191" s="347">
        <f>Table1[[#This Row],[unit cost]]*1.065</f>
        <v>0</v>
      </c>
      <c r="Q191" s="348"/>
      <c r="R191" s="329">
        <v>1</v>
      </c>
      <c r="S191" s="349">
        <f t="shared" si="35"/>
        <v>0.42</v>
      </c>
      <c r="T191" s="350">
        <f>Table1[[#This Row],[man minutes]]*Table1[[#This Row],[labor rate]]</f>
        <v>0</v>
      </c>
      <c r="U191" s="350">
        <f t="shared" si="40"/>
        <v>0</v>
      </c>
      <c r="V191" s="330">
        <f t="shared" si="36"/>
        <v>0.13</v>
      </c>
      <c r="W191" s="351">
        <f t="shared" si="37"/>
        <v>0.13</v>
      </c>
      <c r="X191" s="350">
        <f t="shared" si="41"/>
        <v>0</v>
      </c>
      <c r="Y191" s="350">
        <f t="shared" si="38"/>
        <v>0</v>
      </c>
      <c r="Z191" s="350">
        <f t="shared" si="39"/>
        <v>0</v>
      </c>
      <c r="AA191" s="352">
        <f>+Table1[[#This Row],[calculated sale price]]</f>
        <v>0</v>
      </c>
      <c r="AB191" s="353"/>
      <c r="AC191" s="354"/>
      <c r="AD191" s="356"/>
      <c r="AE191" s="356">
        <f>Table1[[#This Row],[cost per quantity]]*(1+'P&amp;L'!$P$8)</f>
        <v>0</v>
      </c>
      <c r="AF191" s="356">
        <f>$AF$8*Table1[[#This Row],[man minutes]]*(1+'P&amp;L'!$P$9)</f>
        <v>0</v>
      </c>
      <c r="AG191" s="356">
        <f>$AF$8*Table1[[#This Row],[man minutes]]*1.18</f>
        <v>0</v>
      </c>
      <c r="AH191" s="356">
        <f>$AF$8*Table1[[#This Row],[man minutes]]*1.18</f>
        <v>0</v>
      </c>
      <c r="AI191" s="356">
        <f>Table1[[#This Row],[Food cost w/ MU]]+Table1[[#This Row],[labor cost W/ MU]]</f>
        <v>0</v>
      </c>
      <c r="AJ191" s="357"/>
    </row>
    <row r="192" spans="1:36" x14ac:dyDescent="0.25">
      <c r="A192" s="329">
        <v>10183</v>
      </c>
      <c r="C192" s="329">
        <v>1</v>
      </c>
      <c r="I192" s="329"/>
      <c r="J192" s="329"/>
      <c r="K192" s="329"/>
      <c r="L192" s="345"/>
      <c r="M192" s="329"/>
      <c r="N192" s="346"/>
      <c r="O192" s="347"/>
      <c r="P192" s="347">
        <f>Table1[[#This Row],[unit cost]]*1.065</f>
        <v>0</v>
      </c>
      <c r="Q192" s="348"/>
      <c r="R192" s="329">
        <v>1</v>
      </c>
      <c r="S192" s="349">
        <f t="shared" si="35"/>
        <v>0.42</v>
      </c>
      <c r="T192" s="350">
        <f>Table1[[#This Row],[man minutes]]*Table1[[#This Row],[labor rate]]</f>
        <v>0</v>
      </c>
      <c r="U192" s="350">
        <f t="shared" si="40"/>
        <v>0</v>
      </c>
      <c r="V192" s="330">
        <f t="shared" si="36"/>
        <v>0.13</v>
      </c>
      <c r="W192" s="351">
        <f t="shared" si="37"/>
        <v>0.13</v>
      </c>
      <c r="X192" s="350">
        <f t="shared" si="41"/>
        <v>0</v>
      </c>
      <c r="Y192" s="350">
        <f t="shared" si="38"/>
        <v>0</v>
      </c>
      <c r="Z192" s="350">
        <f t="shared" si="39"/>
        <v>0</v>
      </c>
      <c r="AA192" s="352">
        <f>+Table1[[#This Row],[calculated sale price]]</f>
        <v>0</v>
      </c>
      <c r="AB192" s="353"/>
      <c r="AC192" s="354"/>
      <c r="AD192" s="356"/>
      <c r="AE192" s="356">
        <f>Table1[[#This Row],[cost per quantity]]*(1+'P&amp;L'!$P$8)</f>
        <v>0</v>
      </c>
      <c r="AF192" s="356">
        <f>$AF$8*Table1[[#This Row],[man minutes]]*(1+'P&amp;L'!$P$9)</f>
        <v>0</v>
      </c>
      <c r="AG192" s="356">
        <f>$AF$8*Table1[[#This Row],[man minutes]]*1.18</f>
        <v>0</v>
      </c>
      <c r="AH192" s="356">
        <f>$AF$8*Table1[[#This Row],[man minutes]]*1.18</f>
        <v>0</v>
      </c>
      <c r="AI192" s="356">
        <f>Table1[[#This Row],[Food cost w/ MU]]+Table1[[#This Row],[labor cost W/ MU]]</f>
        <v>0</v>
      </c>
      <c r="AJ192" s="357"/>
    </row>
    <row r="193" spans="1:36" x14ac:dyDescent="0.25">
      <c r="A193" s="329">
        <v>10184</v>
      </c>
      <c r="C193" s="329">
        <v>1</v>
      </c>
      <c r="I193" s="329"/>
      <c r="J193" s="329"/>
      <c r="K193" s="329"/>
      <c r="L193" s="345"/>
      <c r="M193" s="329"/>
      <c r="N193" s="346"/>
      <c r="O193" s="347"/>
      <c r="P193" s="347">
        <f>Table1[[#This Row],[unit cost]]*1.065</f>
        <v>0</v>
      </c>
      <c r="Q193" s="348"/>
      <c r="R193" s="329">
        <v>1</v>
      </c>
      <c r="S193" s="349">
        <f t="shared" ref="S193:S224" si="42">$S$2</f>
        <v>0.42</v>
      </c>
      <c r="T193" s="350">
        <f>Table1[[#This Row],[man minutes]]*Table1[[#This Row],[labor rate]]</f>
        <v>0</v>
      </c>
      <c r="U193" s="350">
        <f t="shared" si="40"/>
        <v>0</v>
      </c>
      <c r="V193" s="330">
        <f t="shared" ref="V193:V224" si="43">$V$2</f>
        <v>0.13</v>
      </c>
      <c r="W193" s="351">
        <f t="shared" ref="W193:W224" si="44">$W$2</f>
        <v>0.13</v>
      </c>
      <c r="X193" s="350">
        <f t="shared" si="41"/>
        <v>0</v>
      </c>
      <c r="Y193" s="350">
        <f t="shared" ref="Y193:Y224" si="45">T193+(T193*W193)</f>
        <v>0</v>
      </c>
      <c r="Z193" s="350">
        <f t="shared" ref="Z193:Z224" si="46">IFERROR(ROUNDUP(X193+Y193,2)," ")</f>
        <v>0</v>
      </c>
      <c r="AA193" s="352">
        <f>+Table1[[#This Row],[calculated sale price]]</f>
        <v>0</v>
      </c>
      <c r="AB193" s="353"/>
      <c r="AC193" s="354"/>
      <c r="AD193" s="356"/>
      <c r="AE193" s="356">
        <f>Table1[[#This Row],[cost per quantity]]*(1+'P&amp;L'!$P$8)</f>
        <v>0</v>
      </c>
      <c r="AF193" s="356">
        <f>$AF$8*Table1[[#This Row],[man minutes]]*(1+'P&amp;L'!$P$9)</f>
        <v>0</v>
      </c>
      <c r="AG193" s="356">
        <f>$AF$8*Table1[[#This Row],[man minutes]]*1.18</f>
        <v>0</v>
      </c>
      <c r="AH193" s="356">
        <f>$AF$8*Table1[[#This Row],[man minutes]]*1.18</f>
        <v>0</v>
      </c>
      <c r="AI193" s="356">
        <f>Table1[[#This Row],[Food cost w/ MU]]+Table1[[#This Row],[labor cost W/ MU]]</f>
        <v>0</v>
      </c>
      <c r="AJ193" s="357"/>
    </row>
    <row r="194" spans="1:36" x14ac:dyDescent="0.25">
      <c r="A194" s="329">
        <v>10185</v>
      </c>
      <c r="C194" s="329">
        <v>1</v>
      </c>
      <c r="I194" s="329"/>
      <c r="J194" s="329"/>
      <c r="K194" s="329"/>
      <c r="L194" s="345"/>
      <c r="M194" s="329"/>
      <c r="N194" s="346"/>
      <c r="O194" s="347"/>
      <c r="P194" s="347">
        <f>Table1[[#This Row],[unit cost]]*1.065</f>
        <v>0</v>
      </c>
      <c r="Q194" s="348"/>
      <c r="R194" s="329">
        <v>1</v>
      </c>
      <c r="S194" s="349">
        <f t="shared" si="42"/>
        <v>0.42</v>
      </c>
      <c r="T194" s="350">
        <f>Table1[[#This Row],[man minutes]]*Table1[[#This Row],[labor rate]]</f>
        <v>0</v>
      </c>
      <c r="U194" s="350">
        <f t="shared" ref="U194:U225" si="47">P194+T194</f>
        <v>0</v>
      </c>
      <c r="V194" s="330">
        <f t="shared" si="43"/>
        <v>0.13</v>
      </c>
      <c r="W194" s="351">
        <f t="shared" si="44"/>
        <v>0.13</v>
      </c>
      <c r="X194" s="350">
        <f t="shared" ref="X194:X225" si="48">P194*(1+V194)</f>
        <v>0</v>
      </c>
      <c r="Y194" s="350">
        <f t="shared" si="45"/>
        <v>0</v>
      </c>
      <c r="Z194" s="350">
        <f t="shared" si="46"/>
        <v>0</v>
      </c>
      <c r="AA194" s="352">
        <f>+Table1[[#This Row],[calculated sale price]]</f>
        <v>0</v>
      </c>
      <c r="AB194" s="353"/>
      <c r="AC194" s="354"/>
      <c r="AD194" s="356"/>
      <c r="AE194" s="356">
        <f>Table1[[#This Row],[cost per quantity]]*(1+'P&amp;L'!$P$8)</f>
        <v>0</v>
      </c>
      <c r="AF194" s="356">
        <f>$AF$8*Table1[[#This Row],[man minutes]]*(1+'P&amp;L'!$P$9)</f>
        <v>0</v>
      </c>
      <c r="AG194" s="356">
        <f>$AF$8*Table1[[#This Row],[man minutes]]*1.18</f>
        <v>0</v>
      </c>
      <c r="AH194" s="356">
        <f>$AF$8*Table1[[#This Row],[man minutes]]*1.18</f>
        <v>0</v>
      </c>
      <c r="AI194" s="356">
        <f>Table1[[#This Row],[Food cost w/ MU]]+Table1[[#This Row],[labor cost W/ MU]]</f>
        <v>0</v>
      </c>
      <c r="AJ194" s="357"/>
    </row>
    <row r="195" spans="1:36" x14ac:dyDescent="0.25">
      <c r="A195" s="329">
        <v>10186</v>
      </c>
      <c r="C195" s="329">
        <v>1</v>
      </c>
      <c r="I195" s="329"/>
      <c r="J195" s="329"/>
      <c r="K195" s="329"/>
      <c r="L195" s="345"/>
      <c r="M195" s="329"/>
      <c r="N195" s="346"/>
      <c r="O195" s="347"/>
      <c r="P195" s="347">
        <f>Table1[[#This Row],[unit cost]]*1.065</f>
        <v>0</v>
      </c>
      <c r="Q195" s="348"/>
      <c r="R195" s="329">
        <v>1</v>
      </c>
      <c r="S195" s="349">
        <f t="shared" si="42"/>
        <v>0.42</v>
      </c>
      <c r="T195" s="350">
        <f>Table1[[#This Row],[man minutes]]*Table1[[#This Row],[labor rate]]</f>
        <v>0</v>
      </c>
      <c r="U195" s="350">
        <f t="shared" si="47"/>
        <v>0</v>
      </c>
      <c r="V195" s="330">
        <f t="shared" si="43"/>
        <v>0.13</v>
      </c>
      <c r="W195" s="351">
        <f t="shared" si="44"/>
        <v>0.13</v>
      </c>
      <c r="X195" s="350">
        <f t="shared" si="48"/>
        <v>0</v>
      </c>
      <c r="Y195" s="350">
        <f t="shared" si="45"/>
        <v>0</v>
      </c>
      <c r="Z195" s="350">
        <f t="shared" si="46"/>
        <v>0</v>
      </c>
      <c r="AA195" s="352">
        <f>+Table1[[#This Row],[calculated sale price]]</f>
        <v>0</v>
      </c>
      <c r="AB195" s="353"/>
      <c r="AC195" s="354"/>
      <c r="AD195" s="356"/>
      <c r="AE195" s="356">
        <f>Table1[[#This Row],[cost per quantity]]*(1+'P&amp;L'!$P$8)</f>
        <v>0</v>
      </c>
      <c r="AF195" s="356">
        <f>$AF$8*Table1[[#This Row],[man minutes]]*(1+'P&amp;L'!$P$9)</f>
        <v>0</v>
      </c>
      <c r="AG195" s="356">
        <f>$AF$8*Table1[[#This Row],[man minutes]]*1.18</f>
        <v>0</v>
      </c>
      <c r="AH195" s="356">
        <f>$AF$8*Table1[[#This Row],[man minutes]]*1.18</f>
        <v>0</v>
      </c>
      <c r="AI195" s="356">
        <f>Table1[[#This Row],[Food cost w/ MU]]+Table1[[#This Row],[labor cost W/ MU]]</f>
        <v>0</v>
      </c>
      <c r="AJ195" s="357"/>
    </row>
    <row r="196" spans="1:36" x14ac:dyDescent="0.25">
      <c r="A196" s="329">
        <v>10187</v>
      </c>
      <c r="C196" s="329">
        <v>1</v>
      </c>
      <c r="I196" s="329"/>
      <c r="J196" s="329"/>
      <c r="K196" s="329"/>
      <c r="L196" s="345"/>
      <c r="M196" s="329"/>
      <c r="N196" s="346"/>
      <c r="O196" s="347"/>
      <c r="P196" s="347">
        <f>Table1[[#This Row],[unit cost]]*1.065</f>
        <v>0</v>
      </c>
      <c r="Q196" s="348"/>
      <c r="R196" s="329">
        <v>1</v>
      </c>
      <c r="S196" s="349">
        <f t="shared" si="42"/>
        <v>0.42</v>
      </c>
      <c r="T196" s="350">
        <f>Table1[[#This Row],[man minutes]]*Table1[[#This Row],[labor rate]]</f>
        <v>0</v>
      </c>
      <c r="U196" s="350">
        <f t="shared" si="47"/>
        <v>0</v>
      </c>
      <c r="V196" s="330">
        <f t="shared" si="43"/>
        <v>0.13</v>
      </c>
      <c r="W196" s="351">
        <f t="shared" si="44"/>
        <v>0.13</v>
      </c>
      <c r="X196" s="350">
        <f t="shared" si="48"/>
        <v>0</v>
      </c>
      <c r="Y196" s="350">
        <f t="shared" si="45"/>
        <v>0</v>
      </c>
      <c r="Z196" s="350">
        <f t="shared" si="46"/>
        <v>0</v>
      </c>
      <c r="AA196" s="352">
        <f>+Table1[[#This Row],[calculated sale price]]</f>
        <v>0</v>
      </c>
      <c r="AB196" s="353"/>
      <c r="AC196" s="354"/>
      <c r="AD196" s="356"/>
      <c r="AE196" s="356">
        <f>Table1[[#This Row],[cost per quantity]]*(1+'P&amp;L'!$P$8)</f>
        <v>0</v>
      </c>
      <c r="AF196" s="356">
        <f>$AF$8*Table1[[#This Row],[man minutes]]*(1+'P&amp;L'!$P$9)</f>
        <v>0</v>
      </c>
      <c r="AG196" s="356">
        <f>$AF$8*Table1[[#This Row],[man minutes]]*1.18</f>
        <v>0</v>
      </c>
      <c r="AH196" s="356">
        <f>$AF$8*Table1[[#This Row],[man minutes]]*1.18</f>
        <v>0</v>
      </c>
      <c r="AI196" s="356">
        <f>Table1[[#This Row],[Food cost w/ MU]]+Table1[[#This Row],[labor cost W/ MU]]</f>
        <v>0</v>
      </c>
      <c r="AJ196" s="357"/>
    </row>
    <row r="197" spans="1:36" x14ac:dyDescent="0.25">
      <c r="A197" s="329">
        <v>10188</v>
      </c>
      <c r="C197" s="329">
        <v>1</v>
      </c>
      <c r="I197" s="329"/>
      <c r="J197" s="329"/>
      <c r="K197" s="329"/>
      <c r="L197" s="345"/>
      <c r="M197" s="329"/>
      <c r="N197" s="346"/>
      <c r="O197" s="347"/>
      <c r="P197" s="347">
        <f>Table1[[#This Row],[unit cost]]*1.065</f>
        <v>0</v>
      </c>
      <c r="Q197" s="348"/>
      <c r="R197" s="329">
        <v>1</v>
      </c>
      <c r="S197" s="349">
        <f t="shared" si="42"/>
        <v>0.42</v>
      </c>
      <c r="T197" s="350">
        <f>Table1[[#This Row],[man minutes]]*Table1[[#This Row],[labor rate]]</f>
        <v>0</v>
      </c>
      <c r="U197" s="350">
        <f t="shared" si="47"/>
        <v>0</v>
      </c>
      <c r="V197" s="330">
        <f t="shared" si="43"/>
        <v>0.13</v>
      </c>
      <c r="W197" s="351">
        <f t="shared" si="44"/>
        <v>0.13</v>
      </c>
      <c r="X197" s="350">
        <f t="shared" si="48"/>
        <v>0</v>
      </c>
      <c r="Y197" s="350">
        <f t="shared" si="45"/>
        <v>0</v>
      </c>
      <c r="Z197" s="350">
        <f t="shared" si="46"/>
        <v>0</v>
      </c>
      <c r="AA197" s="352">
        <f>+Table1[[#This Row],[calculated sale price]]</f>
        <v>0</v>
      </c>
      <c r="AB197" s="353"/>
      <c r="AC197" s="354"/>
      <c r="AD197" s="356"/>
      <c r="AE197" s="356">
        <f>Table1[[#This Row],[cost per quantity]]*(1+'P&amp;L'!$P$8)</f>
        <v>0</v>
      </c>
      <c r="AF197" s="356">
        <f>$AF$8*Table1[[#This Row],[man minutes]]*(1+'P&amp;L'!$P$9)</f>
        <v>0</v>
      </c>
      <c r="AG197" s="356">
        <f>$AF$8*Table1[[#This Row],[man minutes]]*1.18</f>
        <v>0</v>
      </c>
      <c r="AH197" s="356">
        <f>$AF$8*Table1[[#This Row],[man minutes]]*1.18</f>
        <v>0</v>
      </c>
      <c r="AI197" s="356">
        <f>Table1[[#This Row],[Food cost w/ MU]]+Table1[[#This Row],[labor cost W/ MU]]</f>
        <v>0</v>
      </c>
      <c r="AJ197" s="357"/>
    </row>
    <row r="198" spans="1:36" x14ac:dyDescent="0.25">
      <c r="A198" s="329">
        <v>10189</v>
      </c>
      <c r="C198" s="329">
        <v>1</v>
      </c>
      <c r="I198" s="329"/>
      <c r="J198" s="329"/>
      <c r="K198" s="329"/>
      <c r="L198" s="345"/>
      <c r="M198" s="329"/>
      <c r="N198" s="346"/>
      <c r="O198" s="347"/>
      <c r="P198" s="347">
        <f>Table1[[#This Row],[unit cost]]*1.065</f>
        <v>0</v>
      </c>
      <c r="Q198" s="348"/>
      <c r="R198" s="329">
        <v>1</v>
      </c>
      <c r="S198" s="349">
        <f t="shared" si="42"/>
        <v>0.42</v>
      </c>
      <c r="T198" s="350">
        <f>Table1[[#This Row],[man minutes]]*Table1[[#This Row],[labor rate]]</f>
        <v>0</v>
      </c>
      <c r="U198" s="350">
        <f t="shared" si="47"/>
        <v>0</v>
      </c>
      <c r="V198" s="330">
        <f t="shared" si="43"/>
        <v>0.13</v>
      </c>
      <c r="W198" s="351">
        <f t="shared" si="44"/>
        <v>0.13</v>
      </c>
      <c r="X198" s="350">
        <f t="shared" si="48"/>
        <v>0</v>
      </c>
      <c r="Y198" s="350">
        <f t="shared" si="45"/>
        <v>0</v>
      </c>
      <c r="Z198" s="350">
        <f t="shared" si="46"/>
        <v>0</v>
      </c>
      <c r="AA198" s="352">
        <f>+Table1[[#This Row],[calculated sale price]]</f>
        <v>0</v>
      </c>
      <c r="AB198" s="353"/>
      <c r="AC198" s="354"/>
      <c r="AD198" s="356"/>
      <c r="AE198" s="356">
        <f>Table1[[#This Row],[cost per quantity]]*(1+'P&amp;L'!$P$8)</f>
        <v>0</v>
      </c>
      <c r="AF198" s="356">
        <f>$AF$8*Table1[[#This Row],[man minutes]]*(1+'P&amp;L'!$P$9)</f>
        <v>0</v>
      </c>
      <c r="AG198" s="356">
        <f>$AF$8*Table1[[#This Row],[man minutes]]*1.18</f>
        <v>0</v>
      </c>
      <c r="AH198" s="356">
        <f>$AF$8*Table1[[#This Row],[man minutes]]*1.18</f>
        <v>0</v>
      </c>
      <c r="AI198" s="356">
        <f>Table1[[#This Row],[Food cost w/ MU]]+Table1[[#This Row],[labor cost W/ MU]]</f>
        <v>0</v>
      </c>
      <c r="AJ198" s="357"/>
    </row>
    <row r="199" spans="1:36" x14ac:dyDescent="0.25">
      <c r="A199" s="329">
        <v>10190</v>
      </c>
      <c r="C199" s="329">
        <v>1</v>
      </c>
      <c r="I199" s="329"/>
      <c r="J199" s="329"/>
      <c r="K199" s="329"/>
      <c r="L199" s="345"/>
      <c r="M199" s="329"/>
      <c r="N199" s="346"/>
      <c r="O199" s="347"/>
      <c r="P199" s="347">
        <f>Table1[[#This Row],[unit cost]]*1.065</f>
        <v>0</v>
      </c>
      <c r="Q199" s="348"/>
      <c r="R199" s="329">
        <v>1</v>
      </c>
      <c r="S199" s="349">
        <f t="shared" si="42"/>
        <v>0.42</v>
      </c>
      <c r="T199" s="350">
        <f>Table1[[#This Row],[man minutes]]*Table1[[#This Row],[labor rate]]</f>
        <v>0</v>
      </c>
      <c r="U199" s="350">
        <f t="shared" si="47"/>
        <v>0</v>
      </c>
      <c r="V199" s="330">
        <f t="shared" si="43"/>
        <v>0.13</v>
      </c>
      <c r="W199" s="351">
        <f t="shared" si="44"/>
        <v>0.13</v>
      </c>
      <c r="X199" s="350">
        <f t="shared" si="48"/>
        <v>0</v>
      </c>
      <c r="Y199" s="350">
        <f t="shared" si="45"/>
        <v>0</v>
      </c>
      <c r="Z199" s="350">
        <f t="shared" si="46"/>
        <v>0</v>
      </c>
      <c r="AA199" s="352">
        <f>+Table1[[#This Row],[calculated sale price]]</f>
        <v>0</v>
      </c>
      <c r="AB199" s="353"/>
      <c r="AC199" s="354"/>
      <c r="AD199" s="356"/>
      <c r="AE199" s="356">
        <f>Table1[[#This Row],[cost per quantity]]*(1+'P&amp;L'!$P$8)</f>
        <v>0</v>
      </c>
      <c r="AF199" s="356">
        <f>$AF$8*Table1[[#This Row],[man minutes]]*(1+'P&amp;L'!$P$9)</f>
        <v>0</v>
      </c>
      <c r="AG199" s="356">
        <f>$AF$8*Table1[[#This Row],[man minutes]]*1.18</f>
        <v>0</v>
      </c>
      <c r="AH199" s="356">
        <f>$AF$8*Table1[[#This Row],[man minutes]]*1.18</f>
        <v>0</v>
      </c>
      <c r="AI199" s="356">
        <f>Table1[[#This Row],[Food cost w/ MU]]+Table1[[#This Row],[labor cost W/ MU]]</f>
        <v>0</v>
      </c>
      <c r="AJ199" s="357"/>
    </row>
    <row r="200" spans="1:36" x14ac:dyDescent="0.25">
      <c r="A200" s="329">
        <v>10191</v>
      </c>
      <c r="C200" s="329">
        <v>1</v>
      </c>
      <c r="I200" s="329"/>
      <c r="J200" s="329"/>
      <c r="K200" s="329"/>
      <c r="L200" s="345"/>
      <c r="M200" s="329"/>
      <c r="N200" s="346"/>
      <c r="O200" s="347"/>
      <c r="P200" s="347">
        <f>Table1[[#This Row],[unit cost]]*1.065</f>
        <v>0</v>
      </c>
      <c r="Q200" s="348"/>
      <c r="R200" s="329">
        <v>1</v>
      </c>
      <c r="S200" s="349">
        <f t="shared" si="42"/>
        <v>0.42</v>
      </c>
      <c r="T200" s="350">
        <f>Table1[[#This Row],[man minutes]]*Table1[[#This Row],[labor rate]]</f>
        <v>0</v>
      </c>
      <c r="U200" s="350">
        <f t="shared" si="47"/>
        <v>0</v>
      </c>
      <c r="V200" s="330">
        <f t="shared" si="43"/>
        <v>0.13</v>
      </c>
      <c r="W200" s="351">
        <f t="shared" si="44"/>
        <v>0.13</v>
      </c>
      <c r="X200" s="350">
        <f t="shared" si="48"/>
        <v>0</v>
      </c>
      <c r="Y200" s="350">
        <f t="shared" si="45"/>
        <v>0</v>
      </c>
      <c r="Z200" s="350">
        <f t="shared" si="46"/>
        <v>0</v>
      </c>
      <c r="AA200" s="352">
        <f>+Table1[[#This Row],[calculated sale price]]</f>
        <v>0</v>
      </c>
      <c r="AB200" s="353"/>
      <c r="AC200" s="354"/>
      <c r="AD200" s="356"/>
      <c r="AE200" s="356">
        <f>Table1[[#This Row],[cost per quantity]]*(1+'P&amp;L'!$P$8)</f>
        <v>0</v>
      </c>
      <c r="AF200" s="356">
        <f>$AF$8*Table1[[#This Row],[man minutes]]*(1+'P&amp;L'!$P$9)</f>
        <v>0</v>
      </c>
      <c r="AG200" s="356">
        <f>$AF$8*Table1[[#This Row],[man minutes]]*1.18</f>
        <v>0</v>
      </c>
      <c r="AH200" s="356">
        <f>$AF$8*Table1[[#This Row],[man minutes]]*1.18</f>
        <v>0</v>
      </c>
      <c r="AI200" s="356">
        <f>Table1[[#This Row],[Food cost w/ MU]]+Table1[[#This Row],[labor cost W/ MU]]</f>
        <v>0</v>
      </c>
      <c r="AJ200" s="357"/>
    </row>
    <row r="201" spans="1:36" x14ac:dyDescent="0.25">
      <c r="A201" s="329">
        <v>10192</v>
      </c>
      <c r="C201" s="329">
        <v>1</v>
      </c>
      <c r="I201" s="329"/>
      <c r="J201" s="329"/>
      <c r="K201" s="329"/>
      <c r="L201" s="345"/>
      <c r="M201" s="329"/>
      <c r="N201" s="346"/>
      <c r="O201" s="347"/>
      <c r="P201" s="347">
        <f>Table1[[#This Row],[unit cost]]*1.065</f>
        <v>0</v>
      </c>
      <c r="Q201" s="348"/>
      <c r="R201" s="329">
        <v>1</v>
      </c>
      <c r="S201" s="349">
        <f t="shared" si="42"/>
        <v>0.42</v>
      </c>
      <c r="T201" s="350">
        <f>Table1[[#This Row],[man minutes]]*Table1[[#This Row],[labor rate]]</f>
        <v>0</v>
      </c>
      <c r="U201" s="350">
        <f t="shared" si="47"/>
        <v>0</v>
      </c>
      <c r="V201" s="330">
        <f t="shared" si="43"/>
        <v>0.13</v>
      </c>
      <c r="W201" s="351">
        <f t="shared" si="44"/>
        <v>0.13</v>
      </c>
      <c r="X201" s="350">
        <f t="shared" si="48"/>
        <v>0</v>
      </c>
      <c r="Y201" s="350">
        <f t="shared" si="45"/>
        <v>0</v>
      </c>
      <c r="Z201" s="350">
        <f t="shared" si="46"/>
        <v>0</v>
      </c>
      <c r="AA201" s="352">
        <f>+Table1[[#This Row],[calculated sale price]]</f>
        <v>0</v>
      </c>
      <c r="AB201" s="353"/>
      <c r="AC201" s="354"/>
      <c r="AD201" s="356"/>
      <c r="AE201" s="356">
        <f>Table1[[#This Row],[cost per quantity]]*(1+'P&amp;L'!$P$8)</f>
        <v>0</v>
      </c>
      <c r="AF201" s="356">
        <f>$AF$8*Table1[[#This Row],[man minutes]]*(1+'P&amp;L'!$P$9)</f>
        <v>0</v>
      </c>
      <c r="AG201" s="356">
        <f>$AF$8*Table1[[#This Row],[man minutes]]*1.18</f>
        <v>0</v>
      </c>
      <c r="AH201" s="356">
        <f>$AF$8*Table1[[#This Row],[man minutes]]*1.18</f>
        <v>0</v>
      </c>
      <c r="AI201" s="356">
        <f>Table1[[#This Row],[Food cost w/ MU]]+Table1[[#This Row],[labor cost W/ MU]]</f>
        <v>0</v>
      </c>
      <c r="AJ201" s="357"/>
    </row>
    <row r="202" spans="1:36" x14ac:dyDescent="0.25">
      <c r="A202" s="329">
        <v>10193</v>
      </c>
      <c r="C202" s="329">
        <v>1</v>
      </c>
      <c r="I202" s="329"/>
      <c r="J202" s="329"/>
      <c r="K202" s="329"/>
      <c r="L202" s="345"/>
      <c r="M202" s="329"/>
      <c r="N202" s="346"/>
      <c r="O202" s="347"/>
      <c r="P202" s="347">
        <f>Table1[[#This Row],[unit cost]]*1.065</f>
        <v>0</v>
      </c>
      <c r="Q202" s="348"/>
      <c r="R202" s="329">
        <v>1</v>
      </c>
      <c r="S202" s="349">
        <f t="shared" si="42"/>
        <v>0.42</v>
      </c>
      <c r="T202" s="350">
        <f>Table1[[#This Row],[man minutes]]*Table1[[#This Row],[labor rate]]</f>
        <v>0</v>
      </c>
      <c r="U202" s="350">
        <f t="shared" si="47"/>
        <v>0</v>
      </c>
      <c r="V202" s="330">
        <f t="shared" si="43"/>
        <v>0.13</v>
      </c>
      <c r="W202" s="351">
        <f t="shared" si="44"/>
        <v>0.13</v>
      </c>
      <c r="X202" s="350">
        <f t="shared" si="48"/>
        <v>0</v>
      </c>
      <c r="Y202" s="350">
        <f t="shared" si="45"/>
        <v>0</v>
      </c>
      <c r="Z202" s="350">
        <f t="shared" si="46"/>
        <v>0</v>
      </c>
      <c r="AA202" s="352">
        <f>+Table1[[#This Row],[calculated sale price]]</f>
        <v>0</v>
      </c>
      <c r="AB202" s="353"/>
      <c r="AC202" s="354"/>
      <c r="AD202" s="356"/>
      <c r="AE202" s="356">
        <f>Table1[[#This Row],[cost per quantity]]*(1+'P&amp;L'!$P$8)</f>
        <v>0</v>
      </c>
      <c r="AF202" s="356">
        <f>$AF$8*Table1[[#This Row],[man minutes]]*(1+'P&amp;L'!$P$9)</f>
        <v>0</v>
      </c>
      <c r="AG202" s="356">
        <f>$AF$8*Table1[[#This Row],[man minutes]]*1.18</f>
        <v>0</v>
      </c>
      <c r="AH202" s="356">
        <f>$AF$8*Table1[[#This Row],[man minutes]]*1.18</f>
        <v>0</v>
      </c>
      <c r="AI202" s="356">
        <f>Table1[[#This Row],[Food cost w/ MU]]+Table1[[#This Row],[labor cost W/ MU]]</f>
        <v>0</v>
      </c>
      <c r="AJ202" s="357"/>
    </row>
    <row r="203" spans="1:36" x14ac:dyDescent="0.25">
      <c r="A203" s="329">
        <v>10194</v>
      </c>
      <c r="C203" s="329">
        <v>1</v>
      </c>
      <c r="I203" s="329"/>
      <c r="J203" s="329"/>
      <c r="K203" s="329"/>
      <c r="L203" s="345"/>
      <c r="M203" s="329"/>
      <c r="N203" s="346"/>
      <c r="O203" s="347"/>
      <c r="P203" s="347">
        <f>Table1[[#This Row],[unit cost]]*1.065</f>
        <v>0</v>
      </c>
      <c r="Q203" s="348"/>
      <c r="R203" s="329">
        <v>1</v>
      </c>
      <c r="S203" s="349">
        <f t="shared" si="42"/>
        <v>0.42</v>
      </c>
      <c r="T203" s="350">
        <f>Table1[[#This Row],[man minutes]]*Table1[[#This Row],[labor rate]]</f>
        <v>0</v>
      </c>
      <c r="U203" s="350">
        <f t="shared" si="47"/>
        <v>0</v>
      </c>
      <c r="V203" s="330">
        <f t="shared" si="43"/>
        <v>0.13</v>
      </c>
      <c r="W203" s="351">
        <f t="shared" si="44"/>
        <v>0.13</v>
      </c>
      <c r="X203" s="350">
        <f t="shared" si="48"/>
        <v>0</v>
      </c>
      <c r="Y203" s="350">
        <f t="shared" si="45"/>
        <v>0</v>
      </c>
      <c r="Z203" s="350">
        <f t="shared" si="46"/>
        <v>0</v>
      </c>
      <c r="AA203" s="352">
        <f>+Table1[[#This Row],[calculated sale price]]</f>
        <v>0</v>
      </c>
      <c r="AB203" s="353"/>
      <c r="AC203" s="354"/>
      <c r="AD203" s="356"/>
      <c r="AE203" s="356">
        <f>Table1[[#This Row],[cost per quantity]]*(1+'P&amp;L'!$P$8)</f>
        <v>0</v>
      </c>
      <c r="AF203" s="356">
        <f>$AF$8*Table1[[#This Row],[man minutes]]*(1+'P&amp;L'!$P$9)</f>
        <v>0</v>
      </c>
      <c r="AG203" s="356">
        <f>$AF$8*Table1[[#This Row],[man minutes]]*1.18</f>
        <v>0</v>
      </c>
      <c r="AH203" s="356">
        <f>$AF$8*Table1[[#This Row],[man minutes]]*1.18</f>
        <v>0</v>
      </c>
      <c r="AI203" s="356">
        <f>Table1[[#This Row],[Food cost w/ MU]]+Table1[[#This Row],[labor cost W/ MU]]</f>
        <v>0</v>
      </c>
      <c r="AJ203" s="357"/>
    </row>
    <row r="204" spans="1:36" x14ac:dyDescent="0.25">
      <c r="A204" s="329">
        <v>10195</v>
      </c>
      <c r="C204" s="329">
        <v>1</v>
      </c>
      <c r="I204" s="329"/>
      <c r="J204" s="329"/>
      <c r="K204" s="329"/>
      <c r="L204" s="345"/>
      <c r="M204" s="329"/>
      <c r="N204" s="346"/>
      <c r="O204" s="347"/>
      <c r="P204" s="347">
        <f>Table1[[#This Row],[unit cost]]*1.065</f>
        <v>0</v>
      </c>
      <c r="Q204" s="348"/>
      <c r="R204" s="329">
        <v>1</v>
      </c>
      <c r="S204" s="349">
        <f t="shared" si="42"/>
        <v>0.42</v>
      </c>
      <c r="T204" s="350">
        <f>Table1[[#This Row],[man minutes]]*Table1[[#This Row],[labor rate]]</f>
        <v>0</v>
      </c>
      <c r="U204" s="350">
        <f t="shared" si="47"/>
        <v>0</v>
      </c>
      <c r="V204" s="330">
        <f t="shared" si="43"/>
        <v>0.13</v>
      </c>
      <c r="W204" s="351">
        <f t="shared" si="44"/>
        <v>0.13</v>
      </c>
      <c r="X204" s="350">
        <f t="shared" si="48"/>
        <v>0</v>
      </c>
      <c r="Y204" s="350">
        <f t="shared" si="45"/>
        <v>0</v>
      </c>
      <c r="Z204" s="350">
        <f t="shared" si="46"/>
        <v>0</v>
      </c>
      <c r="AA204" s="352">
        <f>+Table1[[#This Row],[calculated sale price]]</f>
        <v>0</v>
      </c>
      <c r="AB204" s="353"/>
      <c r="AC204" s="354"/>
      <c r="AD204" s="356"/>
      <c r="AE204" s="356">
        <f>Table1[[#This Row],[cost per quantity]]*(1+'P&amp;L'!$P$8)</f>
        <v>0</v>
      </c>
      <c r="AF204" s="356">
        <f>$AF$8*Table1[[#This Row],[man minutes]]*(1+'P&amp;L'!$P$9)</f>
        <v>0</v>
      </c>
      <c r="AG204" s="356">
        <f>$AF$8*Table1[[#This Row],[man minutes]]*1.18</f>
        <v>0</v>
      </c>
      <c r="AH204" s="356">
        <f>$AF$8*Table1[[#This Row],[man minutes]]*1.18</f>
        <v>0</v>
      </c>
      <c r="AI204" s="356">
        <f>Table1[[#This Row],[Food cost w/ MU]]+Table1[[#This Row],[labor cost W/ MU]]</f>
        <v>0</v>
      </c>
      <c r="AJ204" s="357"/>
    </row>
    <row r="205" spans="1:36" x14ac:dyDescent="0.25">
      <c r="A205" s="329">
        <v>10196</v>
      </c>
      <c r="C205" s="329">
        <v>1</v>
      </c>
      <c r="I205" s="329"/>
      <c r="J205" s="329"/>
      <c r="K205" s="329"/>
      <c r="L205" s="345"/>
      <c r="M205" s="329"/>
      <c r="N205" s="346"/>
      <c r="O205" s="347"/>
      <c r="P205" s="347">
        <f>Table1[[#This Row],[unit cost]]*1.065</f>
        <v>0</v>
      </c>
      <c r="Q205" s="348"/>
      <c r="R205" s="329">
        <v>1</v>
      </c>
      <c r="S205" s="349">
        <f t="shared" si="42"/>
        <v>0.42</v>
      </c>
      <c r="T205" s="350">
        <f>Table1[[#This Row],[man minutes]]*Table1[[#This Row],[labor rate]]</f>
        <v>0</v>
      </c>
      <c r="U205" s="350">
        <f t="shared" si="47"/>
        <v>0</v>
      </c>
      <c r="V205" s="330">
        <f t="shared" si="43"/>
        <v>0.13</v>
      </c>
      <c r="W205" s="351">
        <f t="shared" si="44"/>
        <v>0.13</v>
      </c>
      <c r="X205" s="350">
        <f t="shared" si="48"/>
        <v>0</v>
      </c>
      <c r="Y205" s="350">
        <f t="shared" si="45"/>
        <v>0</v>
      </c>
      <c r="Z205" s="350">
        <f t="shared" si="46"/>
        <v>0</v>
      </c>
      <c r="AA205" s="352">
        <f>+Table1[[#This Row],[calculated sale price]]</f>
        <v>0</v>
      </c>
      <c r="AB205" s="353"/>
      <c r="AC205" s="354"/>
      <c r="AD205" s="356"/>
      <c r="AE205" s="356">
        <f>Table1[[#This Row],[cost per quantity]]*(1+'P&amp;L'!$P$8)</f>
        <v>0</v>
      </c>
      <c r="AF205" s="356">
        <f>$AF$8*Table1[[#This Row],[man minutes]]*(1+'P&amp;L'!$P$9)</f>
        <v>0</v>
      </c>
      <c r="AG205" s="356">
        <f>$AF$8*Table1[[#This Row],[man minutes]]*1.18</f>
        <v>0</v>
      </c>
      <c r="AH205" s="356">
        <f>$AF$8*Table1[[#This Row],[man minutes]]*1.18</f>
        <v>0</v>
      </c>
      <c r="AI205" s="356">
        <f>Table1[[#This Row],[Food cost w/ MU]]+Table1[[#This Row],[labor cost W/ MU]]</f>
        <v>0</v>
      </c>
      <c r="AJ205" s="357"/>
    </row>
    <row r="206" spans="1:36" x14ac:dyDescent="0.25">
      <c r="A206" s="329">
        <v>10197</v>
      </c>
      <c r="C206" s="329">
        <v>1</v>
      </c>
      <c r="I206" s="329"/>
      <c r="J206" s="329"/>
      <c r="K206" s="329"/>
      <c r="L206" s="345"/>
      <c r="M206" s="329"/>
      <c r="N206" s="346"/>
      <c r="O206" s="347"/>
      <c r="P206" s="347">
        <f>Table1[[#This Row],[unit cost]]*1.065</f>
        <v>0</v>
      </c>
      <c r="Q206" s="348"/>
      <c r="R206" s="329">
        <v>1</v>
      </c>
      <c r="S206" s="349">
        <f t="shared" si="42"/>
        <v>0.42</v>
      </c>
      <c r="T206" s="350">
        <f>Table1[[#This Row],[man minutes]]*Table1[[#This Row],[labor rate]]</f>
        <v>0</v>
      </c>
      <c r="U206" s="350">
        <f t="shared" si="47"/>
        <v>0</v>
      </c>
      <c r="V206" s="330">
        <f t="shared" si="43"/>
        <v>0.13</v>
      </c>
      <c r="W206" s="351">
        <f t="shared" si="44"/>
        <v>0.13</v>
      </c>
      <c r="X206" s="350">
        <f t="shared" si="48"/>
        <v>0</v>
      </c>
      <c r="Y206" s="350">
        <f t="shared" si="45"/>
        <v>0</v>
      </c>
      <c r="Z206" s="350">
        <f t="shared" si="46"/>
        <v>0</v>
      </c>
      <c r="AA206" s="352">
        <f>+Table1[[#This Row],[calculated sale price]]</f>
        <v>0</v>
      </c>
      <c r="AB206" s="353"/>
      <c r="AC206" s="354"/>
      <c r="AD206" s="356"/>
      <c r="AE206" s="356">
        <f>Table1[[#This Row],[cost per quantity]]*(1+'P&amp;L'!$P$8)</f>
        <v>0</v>
      </c>
      <c r="AF206" s="356">
        <f>$AF$8*Table1[[#This Row],[man minutes]]*(1+'P&amp;L'!$P$9)</f>
        <v>0</v>
      </c>
      <c r="AG206" s="356">
        <f>$AF$8*Table1[[#This Row],[man minutes]]*1.18</f>
        <v>0</v>
      </c>
      <c r="AH206" s="356">
        <f>$AF$8*Table1[[#This Row],[man minutes]]*1.18</f>
        <v>0</v>
      </c>
      <c r="AI206" s="356">
        <f>Table1[[#This Row],[Food cost w/ MU]]+Table1[[#This Row],[labor cost W/ MU]]</f>
        <v>0</v>
      </c>
      <c r="AJ206" s="357"/>
    </row>
    <row r="207" spans="1:36" x14ac:dyDescent="0.25">
      <c r="A207" s="329">
        <v>10198</v>
      </c>
      <c r="C207" s="329">
        <v>1</v>
      </c>
      <c r="I207" s="329"/>
      <c r="J207" s="329"/>
      <c r="K207" s="329"/>
      <c r="L207" s="345"/>
      <c r="M207" s="329"/>
      <c r="N207" s="346"/>
      <c r="O207" s="347"/>
      <c r="P207" s="347">
        <f>Table1[[#This Row],[unit cost]]*1.065</f>
        <v>0</v>
      </c>
      <c r="Q207" s="348"/>
      <c r="R207" s="329">
        <v>1</v>
      </c>
      <c r="S207" s="349">
        <f t="shared" si="42"/>
        <v>0.42</v>
      </c>
      <c r="T207" s="350">
        <f>Table1[[#This Row],[man minutes]]*Table1[[#This Row],[labor rate]]</f>
        <v>0</v>
      </c>
      <c r="U207" s="350">
        <f t="shared" si="47"/>
        <v>0</v>
      </c>
      <c r="V207" s="330">
        <f t="shared" si="43"/>
        <v>0.13</v>
      </c>
      <c r="W207" s="351">
        <f t="shared" si="44"/>
        <v>0.13</v>
      </c>
      <c r="X207" s="350">
        <f t="shared" si="48"/>
        <v>0</v>
      </c>
      <c r="Y207" s="350">
        <f t="shared" si="45"/>
        <v>0</v>
      </c>
      <c r="Z207" s="350">
        <f t="shared" si="46"/>
        <v>0</v>
      </c>
      <c r="AA207" s="352">
        <f>+Table1[[#This Row],[calculated sale price]]</f>
        <v>0</v>
      </c>
      <c r="AB207" s="353"/>
      <c r="AC207" s="354"/>
      <c r="AD207" s="356"/>
      <c r="AE207" s="356">
        <f>Table1[[#This Row],[cost per quantity]]*(1+'P&amp;L'!$P$8)</f>
        <v>0</v>
      </c>
      <c r="AF207" s="356">
        <f>$AF$8*Table1[[#This Row],[man minutes]]*(1+'P&amp;L'!$P$9)</f>
        <v>0</v>
      </c>
      <c r="AG207" s="356">
        <f>$AF$8*Table1[[#This Row],[man minutes]]*1.18</f>
        <v>0</v>
      </c>
      <c r="AH207" s="356">
        <f>$AF$8*Table1[[#This Row],[man minutes]]*1.18</f>
        <v>0</v>
      </c>
      <c r="AI207" s="356">
        <f>Table1[[#This Row],[Food cost w/ MU]]+Table1[[#This Row],[labor cost W/ MU]]</f>
        <v>0</v>
      </c>
      <c r="AJ207" s="357"/>
    </row>
    <row r="208" spans="1:36" x14ac:dyDescent="0.25">
      <c r="A208" s="329">
        <v>10199</v>
      </c>
      <c r="C208" s="329">
        <v>1</v>
      </c>
      <c r="I208" s="329"/>
      <c r="J208" s="329"/>
      <c r="K208" s="329"/>
      <c r="L208" s="345"/>
      <c r="M208" s="329"/>
      <c r="N208" s="346"/>
      <c r="O208" s="347"/>
      <c r="P208" s="347">
        <f>Table1[[#This Row],[unit cost]]*1.065</f>
        <v>0</v>
      </c>
      <c r="Q208" s="348"/>
      <c r="R208" s="329">
        <v>1</v>
      </c>
      <c r="S208" s="349">
        <f t="shared" si="42"/>
        <v>0.42</v>
      </c>
      <c r="T208" s="350">
        <f>Table1[[#This Row],[man minutes]]*Table1[[#This Row],[labor rate]]</f>
        <v>0</v>
      </c>
      <c r="U208" s="350">
        <f t="shared" si="47"/>
        <v>0</v>
      </c>
      <c r="V208" s="330">
        <f t="shared" si="43"/>
        <v>0.13</v>
      </c>
      <c r="W208" s="351">
        <f t="shared" si="44"/>
        <v>0.13</v>
      </c>
      <c r="X208" s="350">
        <f t="shared" si="48"/>
        <v>0</v>
      </c>
      <c r="Y208" s="350">
        <f t="shared" si="45"/>
        <v>0</v>
      </c>
      <c r="Z208" s="350">
        <f t="shared" si="46"/>
        <v>0</v>
      </c>
      <c r="AA208" s="352">
        <f>+Table1[[#This Row],[calculated sale price]]</f>
        <v>0</v>
      </c>
      <c r="AB208" s="353"/>
      <c r="AC208" s="354"/>
      <c r="AD208" s="356"/>
      <c r="AE208" s="356">
        <f>Table1[[#This Row],[cost per quantity]]*(1+'P&amp;L'!$P$8)</f>
        <v>0</v>
      </c>
      <c r="AF208" s="356">
        <f>$AF$8*Table1[[#This Row],[man minutes]]*(1+'P&amp;L'!$P$9)</f>
        <v>0</v>
      </c>
      <c r="AG208" s="356">
        <f>$AF$8*Table1[[#This Row],[man minutes]]*1.18</f>
        <v>0</v>
      </c>
      <c r="AH208" s="356">
        <f>$AF$8*Table1[[#This Row],[man minutes]]*1.18</f>
        <v>0</v>
      </c>
      <c r="AI208" s="356">
        <f>Table1[[#This Row],[Food cost w/ MU]]+Table1[[#This Row],[labor cost W/ MU]]</f>
        <v>0</v>
      </c>
      <c r="AJ208" s="357"/>
    </row>
    <row r="209" spans="1:36" x14ac:dyDescent="0.25">
      <c r="A209" s="329">
        <v>10200</v>
      </c>
      <c r="C209" s="329">
        <v>1</v>
      </c>
      <c r="I209" s="329"/>
      <c r="J209" s="329"/>
      <c r="K209" s="329"/>
      <c r="L209" s="345"/>
      <c r="M209" s="329"/>
      <c r="N209" s="346"/>
      <c r="O209" s="347"/>
      <c r="P209" s="347">
        <f>Table1[[#This Row],[unit cost]]*1.065</f>
        <v>0</v>
      </c>
      <c r="Q209" s="348"/>
      <c r="R209" s="329">
        <v>1</v>
      </c>
      <c r="S209" s="349">
        <f t="shared" si="42"/>
        <v>0.42</v>
      </c>
      <c r="T209" s="350">
        <f>Table1[[#This Row],[man minutes]]*Table1[[#This Row],[labor rate]]</f>
        <v>0</v>
      </c>
      <c r="U209" s="350">
        <f t="shared" si="47"/>
        <v>0</v>
      </c>
      <c r="V209" s="330">
        <f t="shared" si="43"/>
        <v>0.13</v>
      </c>
      <c r="W209" s="351">
        <f t="shared" si="44"/>
        <v>0.13</v>
      </c>
      <c r="X209" s="350">
        <f t="shared" si="48"/>
        <v>0</v>
      </c>
      <c r="Y209" s="350">
        <f t="shared" si="45"/>
        <v>0</v>
      </c>
      <c r="Z209" s="350">
        <f t="shared" si="46"/>
        <v>0</v>
      </c>
      <c r="AA209" s="352">
        <f>+Table1[[#This Row],[calculated sale price]]</f>
        <v>0</v>
      </c>
      <c r="AB209" s="353"/>
      <c r="AC209" s="354"/>
      <c r="AD209" s="356"/>
      <c r="AE209" s="356">
        <f>Table1[[#This Row],[cost per quantity]]*(1+'P&amp;L'!$P$8)</f>
        <v>0</v>
      </c>
      <c r="AF209" s="356">
        <f>$AF$8*Table1[[#This Row],[man minutes]]*(1+'P&amp;L'!$P$9)</f>
        <v>0</v>
      </c>
      <c r="AG209" s="356">
        <f>$AF$8*Table1[[#This Row],[man minutes]]*1.18</f>
        <v>0</v>
      </c>
      <c r="AH209" s="356">
        <f>$AF$8*Table1[[#This Row],[man minutes]]*1.18</f>
        <v>0</v>
      </c>
      <c r="AI209" s="356">
        <f>Table1[[#This Row],[Food cost w/ MU]]+Table1[[#This Row],[labor cost W/ MU]]</f>
        <v>0</v>
      </c>
      <c r="AJ209" s="357"/>
    </row>
    <row r="210" spans="1:36" x14ac:dyDescent="0.25">
      <c r="A210" s="329">
        <v>10201</v>
      </c>
      <c r="C210" s="329">
        <v>1</v>
      </c>
      <c r="I210" s="329"/>
      <c r="J210" s="329"/>
      <c r="K210" s="329"/>
      <c r="L210" s="345"/>
      <c r="M210" s="329"/>
      <c r="N210" s="346"/>
      <c r="O210" s="347"/>
      <c r="P210" s="347">
        <f>Table1[[#This Row],[unit cost]]*1.065</f>
        <v>0</v>
      </c>
      <c r="Q210" s="348"/>
      <c r="R210" s="329">
        <v>1</v>
      </c>
      <c r="S210" s="349">
        <f t="shared" si="42"/>
        <v>0.42</v>
      </c>
      <c r="T210" s="350">
        <f>Table1[[#This Row],[man minutes]]*Table1[[#This Row],[labor rate]]</f>
        <v>0</v>
      </c>
      <c r="U210" s="350">
        <f t="shared" si="47"/>
        <v>0</v>
      </c>
      <c r="V210" s="330">
        <f t="shared" si="43"/>
        <v>0.13</v>
      </c>
      <c r="W210" s="351">
        <f t="shared" si="44"/>
        <v>0.13</v>
      </c>
      <c r="X210" s="350">
        <f t="shared" si="48"/>
        <v>0</v>
      </c>
      <c r="Y210" s="350">
        <f t="shared" si="45"/>
        <v>0</v>
      </c>
      <c r="Z210" s="350">
        <f t="shared" si="46"/>
        <v>0</v>
      </c>
      <c r="AA210" s="352">
        <f>+Table1[[#This Row],[calculated sale price]]</f>
        <v>0</v>
      </c>
      <c r="AB210" s="353"/>
      <c r="AC210" s="354"/>
      <c r="AD210" s="356"/>
      <c r="AE210" s="356">
        <f>Table1[[#This Row],[cost per quantity]]*(1+'P&amp;L'!$P$8)</f>
        <v>0</v>
      </c>
      <c r="AF210" s="356">
        <f>$AF$8*Table1[[#This Row],[man minutes]]*(1+'P&amp;L'!$P$9)</f>
        <v>0</v>
      </c>
      <c r="AG210" s="356">
        <f>$AF$8*Table1[[#This Row],[man minutes]]*1.18</f>
        <v>0</v>
      </c>
      <c r="AH210" s="356">
        <f>$AF$8*Table1[[#This Row],[man minutes]]*1.18</f>
        <v>0</v>
      </c>
      <c r="AI210" s="356">
        <f>Table1[[#This Row],[Food cost w/ MU]]+Table1[[#This Row],[labor cost W/ MU]]</f>
        <v>0</v>
      </c>
      <c r="AJ210" s="357"/>
    </row>
    <row r="211" spans="1:36" x14ac:dyDescent="0.25">
      <c r="A211" s="329">
        <v>10202</v>
      </c>
      <c r="C211" s="329">
        <v>1</v>
      </c>
      <c r="I211" s="329"/>
      <c r="J211" s="329"/>
      <c r="K211" s="329"/>
      <c r="L211" s="345"/>
      <c r="M211" s="329"/>
      <c r="N211" s="346"/>
      <c r="O211" s="347"/>
      <c r="P211" s="347">
        <f>Table1[[#This Row],[unit cost]]*1.065</f>
        <v>0</v>
      </c>
      <c r="Q211" s="348"/>
      <c r="R211" s="329">
        <v>1</v>
      </c>
      <c r="S211" s="349">
        <f t="shared" si="42"/>
        <v>0.42</v>
      </c>
      <c r="T211" s="350">
        <f>Table1[[#This Row],[man minutes]]*Table1[[#This Row],[labor rate]]</f>
        <v>0</v>
      </c>
      <c r="U211" s="350">
        <f t="shared" si="47"/>
        <v>0</v>
      </c>
      <c r="V211" s="330">
        <f t="shared" si="43"/>
        <v>0.13</v>
      </c>
      <c r="W211" s="351">
        <f t="shared" si="44"/>
        <v>0.13</v>
      </c>
      <c r="X211" s="350">
        <f t="shared" si="48"/>
        <v>0</v>
      </c>
      <c r="Y211" s="350">
        <f t="shared" si="45"/>
        <v>0</v>
      </c>
      <c r="Z211" s="350">
        <f t="shared" si="46"/>
        <v>0</v>
      </c>
      <c r="AA211" s="352">
        <f>+Table1[[#This Row],[calculated sale price]]</f>
        <v>0</v>
      </c>
      <c r="AB211" s="353"/>
      <c r="AC211" s="354"/>
      <c r="AD211" s="356"/>
      <c r="AE211" s="356">
        <f>Table1[[#This Row],[cost per quantity]]*(1+'P&amp;L'!$P$8)</f>
        <v>0</v>
      </c>
      <c r="AF211" s="356">
        <f>$AF$8*Table1[[#This Row],[man minutes]]*(1+'P&amp;L'!$P$9)</f>
        <v>0</v>
      </c>
      <c r="AG211" s="356">
        <f>$AF$8*Table1[[#This Row],[man minutes]]*1.18</f>
        <v>0</v>
      </c>
      <c r="AH211" s="356">
        <f>$AF$8*Table1[[#This Row],[man minutes]]*1.18</f>
        <v>0</v>
      </c>
      <c r="AI211" s="356">
        <f>Table1[[#This Row],[Food cost w/ MU]]+Table1[[#This Row],[labor cost W/ MU]]</f>
        <v>0</v>
      </c>
      <c r="AJ211" s="357"/>
    </row>
    <row r="212" spans="1:36" x14ac:dyDescent="0.25">
      <c r="A212" s="329">
        <v>10203</v>
      </c>
      <c r="C212" s="329">
        <v>1</v>
      </c>
      <c r="I212" s="329"/>
      <c r="J212" s="329"/>
      <c r="K212" s="329"/>
      <c r="L212" s="345"/>
      <c r="M212" s="329"/>
      <c r="N212" s="346"/>
      <c r="O212" s="347"/>
      <c r="P212" s="347">
        <f>Table1[[#This Row],[unit cost]]*1.065</f>
        <v>0</v>
      </c>
      <c r="Q212" s="348"/>
      <c r="R212" s="329">
        <v>1</v>
      </c>
      <c r="S212" s="349">
        <f t="shared" si="42"/>
        <v>0.42</v>
      </c>
      <c r="T212" s="350">
        <f>Table1[[#This Row],[man minutes]]*Table1[[#This Row],[labor rate]]</f>
        <v>0</v>
      </c>
      <c r="U212" s="350">
        <f t="shared" si="47"/>
        <v>0</v>
      </c>
      <c r="V212" s="330">
        <f t="shared" si="43"/>
        <v>0.13</v>
      </c>
      <c r="W212" s="351">
        <f t="shared" si="44"/>
        <v>0.13</v>
      </c>
      <c r="X212" s="350">
        <f t="shared" si="48"/>
        <v>0</v>
      </c>
      <c r="Y212" s="350">
        <f t="shared" si="45"/>
        <v>0</v>
      </c>
      <c r="Z212" s="350">
        <f t="shared" si="46"/>
        <v>0</v>
      </c>
      <c r="AA212" s="352">
        <f>+Table1[[#This Row],[calculated sale price]]</f>
        <v>0</v>
      </c>
      <c r="AB212" s="353"/>
      <c r="AC212" s="354"/>
      <c r="AD212" s="356"/>
      <c r="AE212" s="356">
        <f>Table1[[#This Row],[cost per quantity]]*(1+'P&amp;L'!$P$8)</f>
        <v>0</v>
      </c>
      <c r="AF212" s="356">
        <f>$AF$8*Table1[[#This Row],[man minutes]]*(1+'P&amp;L'!$P$9)</f>
        <v>0</v>
      </c>
      <c r="AG212" s="356">
        <f>$AF$8*Table1[[#This Row],[man minutes]]*1.18</f>
        <v>0</v>
      </c>
      <c r="AH212" s="356">
        <f>$AF$8*Table1[[#This Row],[man minutes]]*1.18</f>
        <v>0</v>
      </c>
      <c r="AI212" s="356">
        <f>Table1[[#This Row],[Food cost w/ MU]]+Table1[[#This Row],[labor cost W/ MU]]</f>
        <v>0</v>
      </c>
      <c r="AJ212" s="357"/>
    </row>
    <row r="213" spans="1:36" x14ac:dyDescent="0.25">
      <c r="A213" s="329">
        <v>10204</v>
      </c>
      <c r="C213" s="329">
        <v>1</v>
      </c>
      <c r="I213" s="329"/>
      <c r="J213" s="329"/>
      <c r="K213" s="329"/>
      <c r="L213" s="345"/>
      <c r="M213" s="329"/>
      <c r="N213" s="346"/>
      <c r="O213" s="347"/>
      <c r="P213" s="347">
        <f>Table1[[#This Row],[unit cost]]*1.065</f>
        <v>0</v>
      </c>
      <c r="Q213" s="348"/>
      <c r="R213" s="329">
        <v>1</v>
      </c>
      <c r="S213" s="349">
        <f t="shared" si="42"/>
        <v>0.42</v>
      </c>
      <c r="T213" s="350">
        <f>Table1[[#This Row],[man minutes]]*Table1[[#This Row],[labor rate]]</f>
        <v>0</v>
      </c>
      <c r="U213" s="350">
        <f t="shared" si="47"/>
        <v>0</v>
      </c>
      <c r="V213" s="330">
        <f t="shared" si="43"/>
        <v>0.13</v>
      </c>
      <c r="W213" s="351">
        <f t="shared" si="44"/>
        <v>0.13</v>
      </c>
      <c r="X213" s="350">
        <f t="shared" si="48"/>
        <v>0</v>
      </c>
      <c r="Y213" s="350">
        <f t="shared" si="45"/>
        <v>0</v>
      </c>
      <c r="Z213" s="350">
        <f t="shared" si="46"/>
        <v>0</v>
      </c>
      <c r="AA213" s="352">
        <f>+Table1[[#This Row],[calculated sale price]]</f>
        <v>0</v>
      </c>
      <c r="AB213" s="353"/>
      <c r="AC213" s="354"/>
      <c r="AD213" s="356"/>
      <c r="AE213" s="356">
        <f>Table1[[#This Row],[cost per quantity]]*(1+'P&amp;L'!$P$8)</f>
        <v>0</v>
      </c>
      <c r="AF213" s="356">
        <f>$AF$8*Table1[[#This Row],[man minutes]]*(1+'P&amp;L'!$P$9)</f>
        <v>0</v>
      </c>
      <c r="AG213" s="356">
        <f>$AF$8*Table1[[#This Row],[man minutes]]*1.18</f>
        <v>0</v>
      </c>
      <c r="AH213" s="356">
        <f>$AF$8*Table1[[#This Row],[man minutes]]*1.18</f>
        <v>0</v>
      </c>
      <c r="AI213" s="356">
        <f>Table1[[#This Row],[Food cost w/ MU]]+Table1[[#This Row],[labor cost W/ MU]]</f>
        <v>0</v>
      </c>
      <c r="AJ213" s="357"/>
    </row>
    <row r="214" spans="1:36" x14ac:dyDescent="0.25">
      <c r="A214" s="329">
        <v>10205</v>
      </c>
      <c r="C214" s="329">
        <v>1</v>
      </c>
      <c r="I214" s="329"/>
      <c r="J214" s="329"/>
      <c r="K214" s="329"/>
      <c r="L214" s="345"/>
      <c r="M214" s="329"/>
      <c r="N214" s="346"/>
      <c r="O214" s="347"/>
      <c r="P214" s="347">
        <f>Table1[[#This Row],[unit cost]]*1.065</f>
        <v>0</v>
      </c>
      <c r="Q214" s="348"/>
      <c r="R214" s="329">
        <v>1</v>
      </c>
      <c r="S214" s="349">
        <f t="shared" si="42"/>
        <v>0.42</v>
      </c>
      <c r="T214" s="350">
        <f>Table1[[#This Row],[man minutes]]*Table1[[#This Row],[labor rate]]</f>
        <v>0</v>
      </c>
      <c r="U214" s="350">
        <f t="shared" si="47"/>
        <v>0</v>
      </c>
      <c r="V214" s="330">
        <f t="shared" si="43"/>
        <v>0.13</v>
      </c>
      <c r="W214" s="351">
        <f t="shared" si="44"/>
        <v>0.13</v>
      </c>
      <c r="X214" s="350">
        <f t="shared" si="48"/>
        <v>0</v>
      </c>
      <c r="Y214" s="350">
        <f t="shared" si="45"/>
        <v>0</v>
      </c>
      <c r="Z214" s="350">
        <f t="shared" si="46"/>
        <v>0</v>
      </c>
      <c r="AA214" s="352">
        <f>+Table1[[#This Row],[calculated sale price]]</f>
        <v>0</v>
      </c>
      <c r="AB214" s="353"/>
      <c r="AC214" s="354"/>
      <c r="AD214" s="356"/>
      <c r="AE214" s="356">
        <f>Table1[[#This Row],[cost per quantity]]*(1+'P&amp;L'!$P$8)</f>
        <v>0</v>
      </c>
      <c r="AF214" s="356">
        <f>$AF$8*Table1[[#This Row],[man minutes]]*(1+'P&amp;L'!$P$9)</f>
        <v>0</v>
      </c>
      <c r="AG214" s="356">
        <f>$AF$8*Table1[[#This Row],[man minutes]]*1.18</f>
        <v>0</v>
      </c>
      <c r="AH214" s="356">
        <f>$AF$8*Table1[[#This Row],[man minutes]]*1.18</f>
        <v>0</v>
      </c>
      <c r="AI214" s="356">
        <f>Table1[[#This Row],[Food cost w/ MU]]+Table1[[#This Row],[labor cost W/ MU]]</f>
        <v>0</v>
      </c>
      <c r="AJ214" s="357"/>
    </row>
    <row r="215" spans="1:36" x14ac:dyDescent="0.25">
      <c r="A215" s="329">
        <v>10206</v>
      </c>
      <c r="C215" s="329">
        <v>1</v>
      </c>
      <c r="I215" s="329"/>
      <c r="J215" s="329"/>
      <c r="K215" s="329"/>
      <c r="L215" s="345"/>
      <c r="M215" s="329"/>
      <c r="N215" s="346"/>
      <c r="O215" s="347"/>
      <c r="P215" s="347">
        <f>Table1[[#This Row],[unit cost]]*1.065</f>
        <v>0</v>
      </c>
      <c r="Q215" s="348"/>
      <c r="R215" s="329">
        <v>1</v>
      </c>
      <c r="S215" s="349">
        <f t="shared" si="42"/>
        <v>0.42</v>
      </c>
      <c r="T215" s="350">
        <f>Table1[[#This Row],[man minutes]]*Table1[[#This Row],[labor rate]]</f>
        <v>0</v>
      </c>
      <c r="U215" s="350">
        <f t="shared" si="47"/>
        <v>0</v>
      </c>
      <c r="V215" s="330">
        <f t="shared" si="43"/>
        <v>0.13</v>
      </c>
      <c r="W215" s="351">
        <f t="shared" si="44"/>
        <v>0.13</v>
      </c>
      <c r="X215" s="350">
        <f t="shared" si="48"/>
        <v>0</v>
      </c>
      <c r="Y215" s="350">
        <f t="shared" si="45"/>
        <v>0</v>
      </c>
      <c r="Z215" s="350">
        <f t="shared" si="46"/>
        <v>0</v>
      </c>
      <c r="AA215" s="352">
        <f>+Table1[[#This Row],[calculated sale price]]</f>
        <v>0</v>
      </c>
      <c r="AB215" s="353"/>
      <c r="AC215" s="354"/>
      <c r="AD215" s="356"/>
      <c r="AE215" s="356">
        <f>Table1[[#This Row],[cost per quantity]]*(1+'P&amp;L'!$P$8)</f>
        <v>0</v>
      </c>
      <c r="AF215" s="356">
        <f>$AF$8*Table1[[#This Row],[man minutes]]*(1+'P&amp;L'!$P$9)</f>
        <v>0</v>
      </c>
      <c r="AG215" s="356">
        <f>$AF$8*Table1[[#This Row],[man minutes]]*1.18</f>
        <v>0</v>
      </c>
      <c r="AH215" s="356">
        <f>$AF$8*Table1[[#This Row],[man minutes]]*1.18</f>
        <v>0</v>
      </c>
      <c r="AI215" s="356">
        <f>Table1[[#This Row],[Food cost w/ MU]]+Table1[[#This Row],[labor cost W/ MU]]</f>
        <v>0</v>
      </c>
      <c r="AJ215" s="357"/>
    </row>
    <row r="216" spans="1:36" x14ac:dyDescent="0.25">
      <c r="A216" s="329">
        <v>10207</v>
      </c>
      <c r="C216" s="329">
        <v>1</v>
      </c>
      <c r="I216" s="329"/>
      <c r="J216" s="329"/>
      <c r="K216" s="329"/>
      <c r="L216" s="345"/>
      <c r="M216" s="329"/>
      <c r="N216" s="346"/>
      <c r="O216" s="347"/>
      <c r="P216" s="347">
        <f>Table1[[#This Row],[unit cost]]*1.065</f>
        <v>0</v>
      </c>
      <c r="Q216" s="348"/>
      <c r="R216" s="329">
        <v>1</v>
      </c>
      <c r="S216" s="349">
        <f t="shared" si="42"/>
        <v>0.42</v>
      </c>
      <c r="T216" s="350">
        <f>Table1[[#This Row],[man minutes]]*Table1[[#This Row],[labor rate]]</f>
        <v>0</v>
      </c>
      <c r="U216" s="350">
        <f t="shared" si="47"/>
        <v>0</v>
      </c>
      <c r="V216" s="330">
        <f t="shared" si="43"/>
        <v>0.13</v>
      </c>
      <c r="W216" s="351">
        <f t="shared" si="44"/>
        <v>0.13</v>
      </c>
      <c r="X216" s="350">
        <f t="shared" si="48"/>
        <v>0</v>
      </c>
      <c r="Y216" s="350">
        <f t="shared" si="45"/>
        <v>0</v>
      </c>
      <c r="Z216" s="350">
        <f t="shared" si="46"/>
        <v>0</v>
      </c>
      <c r="AA216" s="352">
        <f>+Table1[[#This Row],[calculated sale price]]</f>
        <v>0</v>
      </c>
      <c r="AB216" s="353"/>
      <c r="AC216" s="354"/>
      <c r="AD216" s="356"/>
      <c r="AE216" s="356">
        <f>Table1[[#This Row],[cost per quantity]]*(1+'P&amp;L'!$P$8)</f>
        <v>0</v>
      </c>
      <c r="AF216" s="356">
        <f>$AF$8*Table1[[#This Row],[man minutes]]*(1+'P&amp;L'!$P$9)</f>
        <v>0</v>
      </c>
      <c r="AG216" s="356">
        <f>$AF$8*Table1[[#This Row],[man minutes]]*1.18</f>
        <v>0</v>
      </c>
      <c r="AH216" s="356">
        <f>$AF$8*Table1[[#This Row],[man minutes]]*1.18</f>
        <v>0</v>
      </c>
      <c r="AI216" s="356">
        <f>Table1[[#This Row],[Food cost w/ MU]]+Table1[[#This Row],[labor cost W/ MU]]</f>
        <v>0</v>
      </c>
      <c r="AJ216" s="357"/>
    </row>
    <row r="217" spans="1:36" x14ac:dyDescent="0.25">
      <c r="A217" s="329">
        <v>10208</v>
      </c>
      <c r="C217" s="329">
        <v>1</v>
      </c>
      <c r="I217" s="329"/>
      <c r="J217" s="329"/>
      <c r="K217" s="329"/>
      <c r="L217" s="345"/>
      <c r="M217" s="329"/>
      <c r="N217" s="346"/>
      <c r="O217" s="347"/>
      <c r="P217" s="347">
        <f>Table1[[#This Row],[unit cost]]*1.065</f>
        <v>0</v>
      </c>
      <c r="Q217" s="348"/>
      <c r="R217" s="329">
        <v>1</v>
      </c>
      <c r="S217" s="349">
        <f t="shared" si="42"/>
        <v>0.42</v>
      </c>
      <c r="T217" s="350">
        <f>Table1[[#This Row],[man minutes]]*Table1[[#This Row],[labor rate]]</f>
        <v>0</v>
      </c>
      <c r="U217" s="350">
        <f t="shared" si="47"/>
        <v>0</v>
      </c>
      <c r="V217" s="330">
        <f t="shared" si="43"/>
        <v>0.13</v>
      </c>
      <c r="W217" s="351">
        <f t="shared" si="44"/>
        <v>0.13</v>
      </c>
      <c r="X217" s="350">
        <f t="shared" si="48"/>
        <v>0</v>
      </c>
      <c r="Y217" s="350">
        <f t="shared" si="45"/>
        <v>0</v>
      </c>
      <c r="Z217" s="350">
        <f t="shared" si="46"/>
        <v>0</v>
      </c>
      <c r="AA217" s="352">
        <f>+Table1[[#This Row],[calculated sale price]]</f>
        <v>0</v>
      </c>
      <c r="AB217" s="353"/>
      <c r="AC217" s="354"/>
      <c r="AD217" s="356"/>
      <c r="AE217" s="356">
        <f>Table1[[#This Row],[cost per quantity]]*(1+'P&amp;L'!$P$8)</f>
        <v>0</v>
      </c>
      <c r="AF217" s="356">
        <f>$AF$8*Table1[[#This Row],[man minutes]]*(1+'P&amp;L'!$P$9)</f>
        <v>0</v>
      </c>
      <c r="AG217" s="356">
        <f>$AF$8*Table1[[#This Row],[man minutes]]*1.18</f>
        <v>0</v>
      </c>
      <c r="AH217" s="356">
        <f>$AF$8*Table1[[#This Row],[man minutes]]*1.18</f>
        <v>0</v>
      </c>
      <c r="AI217" s="356">
        <f>Table1[[#This Row],[Food cost w/ MU]]+Table1[[#This Row],[labor cost W/ MU]]</f>
        <v>0</v>
      </c>
      <c r="AJ217" s="357"/>
    </row>
    <row r="218" spans="1:36" x14ac:dyDescent="0.25">
      <c r="A218" s="329">
        <v>10209</v>
      </c>
      <c r="C218" s="329">
        <v>1</v>
      </c>
      <c r="I218" s="329"/>
      <c r="J218" s="329"/>
      <c r="K218" s="329"/>
      <c r="L218" s="345"/>
      <c r="M218" s="329"/>
      <c r="N218" s="346"/>
      <c r="O218" s="347"/>
      <c r="P218" s="347">
        <f>Table1[[#This Row],[unit cost]]*1.065</f>
        <v>0</v>
      </c>
      <c r="Q218" s="348"/>
      <c r="R218" s="329">
        <v>1</v>
      </c>
      <c r="S218" s="349">
        <f t="shared" si="42"/>
        <v>0.42</v>
      </c>
      <c r="T218" s="350">
        <f>Table1[[#This Row],[man minutes]]*Table1[[#This Row],[labor rate]]</f>
        <v>0</v>
      </c>
      <c r="U218" s="350">
        <f t="shared" si="47"/>
        <v>0</v>
      </c>
      <c r="V218" s="330">
        <f t="shared" si="43"/>
        <v>0.13</v>
      </c>
      <c r="W218" s="351">
        <f t="shared" si="44"/>
        <v>0.13</v>
      </c>
      <c r="X218" s="350">
        <f t="shared" si="48"/>
        <v>0</v>
      </c>
      <c r="Y218" s="350">
        <f t="shared" si="45"/>
        <v>0</v>
      </c>
      <c r="Z218" s="350">
        <f t="shared" si="46"/>
        <v>0</v>
      </c>
      <c r="AA218" s="352">
        <f>+Table1[[#This Row],[calculated sale price]]</f>
        <v>0</v>
      </c>
      <c r="AB218" s="353"/>
      <c r="AC218" s="354"/>
      <c r="AD218" s="356"/>
      <c r="AE218" s="356">
        <f>Table1[[#This Row],[cost per quantity]]*(1+'P&amp;L'!$P$8)</f>
        <v>0</v>
      </c>
      <c r="AF218" s="356">
        <f>$AF$8*Table1[[#This Row],[man minutes]]*(1+'P&amp;L'!$P$9)</f>
        <v>0</v>
      </c>
      <c r="AG218" s="356">
        <f>$AF$8*Table1[[#This Row],[man minutes]]*1.18</f>
        <v>0</v>
      </c>
      <c r="AH218" s="356">
        <f>$AF$8*Table1[[#This Row],[man minutes]]*1.18</f>
        <v>0</v>
      </c>
      <c r="AI218" s="356">
        <f>Table1[[#This Row],[Food cost w/ MU]]+Table1[[#This Row],[labor cost W/ MU]]</f>
        <v>0</v>
      </c>
      <c r="AJ218" s="357"/>
    </row>
    <row r="219" spans="1:36" x14ac:dyDescent="0.25">
      <c r="A219" s="329">
        <v>10210</v>
      </c>
      <c r="C219" s="329">
        <v>1</v>
      </c>
      <c r="I219" s="329"/>
      <c r="J219" s="329"/>
      <c r="K219" s="329"/>
      <c r="L219" s="345"/>
      <c r="M219" s="329"/>
      <c r="N219" s="346"/>
      <c r="O219" s="347"/>
      <c r="P219" s="347">
        <f>Table1[[#This Row],[unit cost]]*1.065</f>
        <v>0</v>
      </c>
      <c r="Q219" s="348"/>
      <c r="R219" s="329">
        <v>1</v>
      </c>
      <c r="S219" s="349">
        <f t="shared" si="42"/>
        <v>0.42</v>
      </c>
      <c r="T219" s="350">
        <f>Table1[[#This Row],[man minutes]]*Table1[[#This Row],[labor rate]]</f>
        <v>0</v>
      </c>
      <c r="U219" s="350">
        <f t="shared" si="47"/>
        <v>0</v>
      </c>
      <c r="V219" s="330">
        <f t="shared" si="43"/>
        <v>0.13</v>
      </c>
      <c r="W219" s="351">
        <f t="shared" si="44"/>
        <v>0.13</v>
      </c>
      <c r="X219" s="350">
        <f t="shared" si="48"/>
        <v>0</v>
      </c>
      <c r="Y219" s="350">
        <f t="shared" si="45"/>
        <v>0</v>
      </c>
      <c r="Z219" s="350">
        <f t="shared" si="46"/>
        <v>0</v>
      </c>
      <c r="AA219" s="352">
        <f>+Table1[[#This Row],[calculated sale price]]</f>
        <v>0</v>
      </c>
      <c r="AB219" s="353"/>
      <c r="AC219" s="354"/>
      <c r="AD219" s="356"/>
      <c r="AE219" s="356">
        <f>Table1[[#This Row],[cost per quantity]]*(1+'P&amp;L'!$P$8)</f>
        <v>0</v>
      </c>
      <c r="AF219" s="356">
        <f>$AF$8*Table1[[#This Row],[man minutes]]*(1+'P&amp;L'!$P$9)</f>
        <v>0</v>
      </c>
      <c r="AG219" s="356">
        <f>$AF$8*Table1[[#This Row],[man minutes]]*1.18</f>
        <v>0</v>
      </c>
      <c r="AH219" s="356">
        <f>$AF$8*Table1[[#This Row],[man minutes]]*1.18</f>
        <v>0</v>
      </c>
      <c r="AI219" s="356">
        <f>Table1[[#This Row],[Food cost w/ MU]]+Table1[[#This Row],[labor cost W/ MU]]</f>
        <v>0</v>
      </c>
      <c r="AJ219" s="357"/>
    </row>
    <row r="220" spans="1:36" x14ac:dyDescent="0.25">
      <c r="A220" s="329">
        <v>10211</v>
      </c>
      <c r="C220" s="329">
        <v>1</v>
      </c>
      <c r="I220" s="329"/>
      <c r="J220" s="329"/>
      <c r="K220" s="329"/>
      <c r="L220" s="345"/>
      <c r="M220" s="329"/>
      <c r="N220" s="346"/>
      <c r="O220" s="347"/>
      <c r="P220" s="347">
        <f>Table1[[#This Row],[unit cost]]*1.065</f>
        <v>0</v>
      </c>
      <c r="Q220" s="348"/>
      <c r="R220" s="329">
        <v>1</v>
      </c>
      <c r="S220" s="349">
        <f t="shared" si="42"/>
        <v>0.42</v>
      </c>
      <c r="T220" s="350">
        <f>Table1[[#This Row],[man minutes]]*Table1[[#This Row],[labor rate]]</f>
        <v>0</v>
      </c>
      <c r="U220" s="350">
        <f t="shared" si="47"/>
        <v>0</v>
      </c>
      <c r="V220" s="330">
        <f t="shared" si="43"/>
        <v>0.13</v>
      </c>
      <c r="W220" s="351">
        <f t="shared" si="44"/>
        <v>0.13</v>
      </c>
      <c r="X220" s="350">
        <f t="shared" si="48"/>
        <v>0</v>
      </c>
      <c r="Y220" s="350">
        <f t="shared" si="45"/>
        <v>0</v>
      </c>
      <c r="Z220" s="350">
        <f t="shared" si="46"/>
        <v>0</v>
      </c>
      <c r="AA220" s="352">
        <f>+Table1[[#This Row],[calculated sale price]]</f>
        <v>0</v>
      </c>
      <c r="AB220" s="353"/>
      <c r="AC220" s="354"/>
      <c r="AD220" s="356"/>
      <c r="AE220" s="356">
        <f>Table1[[#This Row],[cost per quantity]]*(1+'P&amp;L'!$P$8)</f>
        <v>0</v>
      </c>
      <c r="AF220" s="356">
        <f>$AF$8*Table1[[#This Row],[man minutes]]*(1+'P&amp;L'!$P$9)</f>
        <v>0</v>
      </c>
      <c r="AG220" s="356">
        <f>$AF$8*Table1[[#This Row],[man minutes]]*1.18</f>
        <v>0</v>
      </c>
      <c r="AH220" s="356">
        <f>$AF$8*Table1[[#This Row],[man minutes]]*1.18</f>
        <v>0</v>
      </c>
      <c r="AI220" s="356">
        <f>Table1[[#This Row],[Food cost w/ MU]]+Table1[[#This Row],[labor cost W/ MU]]</f>
        <v>0</v>
      </c>
      <c r="AJ220" s="357"/>
    </row>
    <row r="221" spans="1:36" x14ac:dyDescent="0.25">
      <c r="A221" s="329">
        <v>10212</v>
      </c>
      <c r="C221" s="329">
        <v>1</v>
      </c>
      <c r="I221" s="329"/>
      <c r="J221" s="329"/>
      <c r="K221" s="329"/>
      <c r="L221" s="345"/>
      <c r="M221" s="329"/>
      <c r="N221" s="346"/>
      <c r="O221" s="347"/>
      <c r="P221" s="347">
        <f>Table1[[#This Row],[unit cost]]*1.065</f>
        <v>0</v>
      </c>
      <c r="Q221" s="348"/>
      <c r="R221" s="329">
        <v>1</v>
      </c>
      <c r="S221" s="349">
        <f t="shared" si="42"/>
        <v>0.42</v>
      </c>
      <c r="T221" s="350">
        <f>Table1[[#This Row],[man minutes]]*Table1[[#This Row],[labor rate]]</f>
        <v>0</v>
      </c>
      <c r="U221" s="350">
        <f t="shared" si="47"/>
        <v>0</v>
      </c>
      <c r="V221" s="330">
        <f t="shared" si="43"/>
        <v>0.13</v>
      </c>
      <c r="W221" s="351">
        <f t="shared" si="44"/>
        <v>0.13</v>
      </c>
      <c r="X221" s="350">
        <f t="shared" si="48"/>
        <v>0</v>
      </c>
      <c r="Y221" s="350">
        <f t="shared" si="45"/>
        <v>0</v>
      </c>
      <c r="Z221" s="350">
        <f t="shared" si="46"/>
        <v>0</v>
      </c>
      <c r="AA221" s="352">
        <f>+Table1[[#This Row],[calculated sale price]]</f>
        <v>0</v>
      </c>
      <c r="AB221" s="353"/>
      <c r="AC221" s="354"/>
      <c r="AD221" s="356"/>
      <c r="AE221" s="356">
        <f>Table1[[#This Row],[cost per quantity]]*(1+'P&amp;L'!$P$8)</f>
        <v>0</v>
      </c>
      <c r="AF221" s="356">
        <f>$AF$8*Table1[[#This Row],[man minutes]]*(1+'P&amp;L'!$P$9)</f>
        <v>0</v>
      </c>
      <c r="AG221" s="356">
        <f>$AF$8*Table1[[#This Row],[man minutes]]*1.18</f>
        <v>0</v>
      </c>
      <c r="AH221" s="356">
        <f>$AF$8*Table1[[#This Row],[man minutes]]*1.18</f>
        <v>0</v>
      </c>
      <c r="AI221" s="356">
        <f>Table1[[#This Row],[Food cost w/ MU]]+Table1[[#This Row],[labor cost W/ MU]]</f>
        <v>0</v>
      </c>
      <c r="AJ221" s="357"/>
    </row>
    <row r="222" spans="1:36" x14ac:dyDescent="0.25">
      <c r="A222" s="329">
        <v>10213</v>
      </c>
      <c r="C222" s="329">
        <v>1</v>
      </c>
      <c r="I222" s="329"/>
      <c r="J222" s="329"/>
      <c r="K222" s="329"/>
      <c r="L222" s="345"/>
      <c r="M222" s="329"/>
      <c r="N222" s="346"/>
      <c r="O222" s="347"/>
      <c r="P222" s="347">
        <f>Table1[[#This Row],[unit cost]]*1.065</f>
        <v>0</v>
      </c>
      <c r="Q222" s="348"/>
      <c r="R222" s="329">
        <v>1</v>
      </c>
      <c r="S222" s="349">
        <f t="shared" si="42"/>
        <v>0.42</v>
      </c>
      <c r="T222" s="350">
        <f>Table1[[#This Row],[man minutes]]*Table1[[#This Row],[labor rate]]</f>
        <v>0</v>
      </c>
      <c r="U222" s="350">
        <f t="shared" si="47"/>
        <v>0</v>
      </c>
      <c r="V222" s="330">
        <f t="shared" si="43"/>
        <v>0.13</v>
      </c>
      <c r="W222" s="351">
        <f t="shared" si="44"/>
        <v>0.13</v>
      </c>
      <c r="X222" s="350">
        <f t="shared" si="48"/>
        <v>0</v>
      </c>
      <c r="Y222" s="350">
        <f t="shared" si="45"/>
        <v>0</v>
      </c>
      <c r="Z222" s="350">
        <f t="shared" si="46"/>
        <v>0</v>
      </c>
      <c r="AA222" s="352">
        <f>+Table1[[#This Row],[calculated sale price]]</f>
        <v>0</v>
      </c>
      <c r="AB222" s="353"/>
      <c r="AC222" s="354"/>
      <c r="AD222" s="356"/>
      <c r="AE222" s="356">
        <f>Table1[[#This Row],[cost per quantity]]*(1+'P&amp;L'!$P$8)</f>
        <v>0</v>
      </c>
      <c r="AF222" s="356">
        <f>$AF$8*Table1[[#This Row],[man minutes]]*(1+'P&amp;L'!$P$9)</f>
        <v>0</v>
      </c>
      <c r="AG222" s="356">
        <f>$AF$8*Table1[[#This Row],[man minutes]]*1.18</f>
        <v>0</v>
      </c>
      <c r="AH222" s="356">
        <f>$AF$8*Table1[[#This Row],[man minutes]]*1.18</f>
        <v>0</v>
      </c>
      <c r="AI222" s="356">
        <f>Table1[[#This Row],[Food cost w/ MU]]+Table1[[#This Row],[labor cost W/ MU]]</f>
        <v>0</v>
      </c>
      <c r="AJ222" s="357"/>
    </row>
    <row r="223" spans="1:36" x14ac:dyDescent="0.25">
      <c r="A223" s="329">
        <v>10214</v>
      </c>
      <c r="C223" s="329">
        <v>1</v>
      </c>
      <c r="I223" s="329"/>
      <c r="J223" s="329"/>
      <c r="K223" s="329"/>
      <c r="L223" s="345"/>
      <c r="M223" s="329"/>
      <c r="N223" s="346"/>
      <c r="O223" s="347"/>
      <c r="P223" s="347">
        <f>Table1[[#This Row],[unit cost]]*1.065</f>
        <v>0</v>
      </c>
      <c r="Q223" s="348"/>
      <c r="R223" s="329">
        <v>1</v>
      </c>
      <c r="S223" s="349">
        <f t="shared" si="42"/>
        <v>0.42</v>
      </c>
      <c r="T223" s="350">
        <f>Table1[[#This Row],[man minutes]]*Table1[[#This Row],[labor rate]]</f>
        <v>0</v>
      </c>
      <c r="U223" s="350">
        <f t="shared" si="47"/>
        <v>0</v>
      </c>
      <c r="V223" s="330">
        <f t="shared" si="43"/>
        <v>0.13</v>
      </c>
      <c r="W223" s="351">
        <f t="shared" si="44"/>
        <v>0.13</v>
      </c>
      <c r="X223" s="350">
        <f t="shared" si="48"/>
        <v>0</v>
      </c>
      <c r="Y223" s="350">
        <f t="shared" si="45"/>
        <v>0</v>
      </c>
      <c r="Z223" s="350">
        <f t="shared" si="46"/>
        <v>0</v>
      </c>
      <c r="AA223" s="352">
        <f>+Table1[[#This Row],[calculated sale price]]</f>
        <v>0</v>
      </c>
      <c r="AB223" s="353"/>
      <c r="AC223" s="354"/>
      <c r="AD223" s="356"/>
      <c r="AE223" s="356">
        <f>Table1[[#This Row],[cost per quantity]]*(1+'P&amp;L'!$P$8)</f>
        <v>0</v>
      </c>
      <c r="AF223" s="356">
        <f>$AF$8*Table1[[#This Row],[man minutes]]*(1+'P&amp;L'!$P$9)</f>
        <v>0</v>
      </c>
      <c r="AG223" s="356">
        <f>$AF$8*Table1[[#This Row],[man minutes]]*1.18</f>
        <v>0</v>
      </c>
      <c r="AH223" s="356">
        <f>$AF$8*Table1[[#This Row],[man minutes]]*1.18</f>
        <v>0</v>
      </c>
      <c r="AI223" s="356">
        <f>Table1[[#This Row],[Food cost w/ MU]]+Table1[[#This Row],[labor cost W/ MU]]</f>
        <v>0</v>
      </c>
      <c r="AJ223" s="357"/>
    </row>
    <row r="224" spans="1:36" x14ac:dyDescent="0.25">
      <c r="A224" s="329">
        <v>10215</v>
      </c>
      <c r="C224" s="329">
        <v>1</v>
      </c>
      <c r="I224" s="329"/>
      <c r="J224" s="329"/>
      <c r="K224" s="329"/>
      <c r="L224" s="345"/>
      <c r="M224" s="329"/>
      <c r="N224" s="346"/>
      <c r="O224" s="347"/>
      <c r="P224" s="347">
        <f>Table1[[#This Row],[unit cost]]*1.065</f>
        <v>0</v>
      </c>
      <c r="Q224" s="348"/>
      <c r="R224" s="329">
        <v>1</v>
      </c>
      <c r="S224" s="349">
        <f t="shared" si="42"/>
        <v>0.42</v>
      </c>
      <c r="T224" s="350">
        <f>Table1[[#This Row],[man minutes]]*Table1[[#This Row],[labor rate]]</f>
        <v>0</v>
      </c>
      <c r="U224" s="350">
        <f t="shared" si="47"/>
        <v>0</v>
      </c>
      <c r="V224" s="330">
        <f t="shared" si="43"/>
        <v>0.13</v>
      </c>
      <c r="W224" s="351">
        <f t="shared" si="44"/>
        <v>0.13</v>
      </c>
      <c r="X224" s="350">
        <f t="shared" si="48"/>
        <v>0</v>
      </c>
      <c r="Y224" s="350">
        <f t="shared" si="45"/>
        <v>0</v>
      </c>
      <c r="Z224" s="350">
        <f t="shared" si="46"/>
        <v>0</v>
      </c>
      <c r="AA224" s="352">
        <f>+Table1[[#This Row],[calculated sale price]]</f>
        <v>0</v>
      </c>
      <c r="AB224" s="353"/>
      <c r="AC224" s="354"/>
      <c r="AD224" s="356"/>
      <c r="AE224" s="356">
        <f>Table1[[#This Row],[cost per quantity]]*(1+'P&amp;L'!$P$8)</f>
        <v>0</v>
      </c>
      <c r="AF224" s="356">
        <f>$AF$8*Table1[[#This Row],[man minutes]]*(1+'P&amp;L'!$P$9)</f>
        <v>0</v>
      </c>
      <c r="AG224" s="356">
        <f>$AF$8*Table1[[#This Row],[man minutes]]*1.18</f>
        <v>0</v>
      </c>
      <c r="AH224" s="356">
        <f>$AF$8*Table1[[#This Row],[man minutes]]*1.18</f>
        <v>0</v>
      </c>
      <c r="AI224" s="356">
        <f>Table1[[#This Row],[Food cost w/ MU]]+Table1[[#This Row],[labor cost W/ MU]]</f>
        <v>0</v>
      </c>
      <c r="AJ224" s="357"/>
    </row>
    <row r="225" spans="1:36" x14ac:dyDescent="0.25">
      <c r="A225" s="329">
        <v>10216</v>
      </c>
      <c r="C225" s="329">
        <v>1</v>
      </c>
      <c r="I225" s="329"/>
      <c r="J225" s="329"/>
      <c r="K225" s="329"/>
      <c r="L225" s="345"/>
      <c r="M225" s="329"/>
      <c r="N225" s="346"/>
      <c r="O225" s="347"/>
      <c r="P225" s="347">
        <f>Table1[[#This Row],[unit cost]]*1.065</f>
        <v>0</v>
      </c>
      <c r="Q225" s="348"/>
      <c r="R225" s="329">
        <v>1</v>
      </c>
      <c r="S225" s="349">
        <f t="shared" ref="S225:S234" si="49">$S$2</f>
        <v>0.42</v>
      </c>
      <c r="T225" s="350">
        <f>Table1[[#This Row],[man minutes]]*Table1[[#This Row],[labor rate]]</f>
        <v>0</v>
      </c>
      <c r="U225" s="350">
        <f t="shared" si="47"/>
        <v>0</v>
      </c>
      <c r="V225" s="330">
        <f t="shared" ref="V225:V234" si="50">$V$2</f>
        <v>0.13</v>
      </c>
      <c r="W225" s="351">
        <f t="shared" ref="W225:W234" si="51">$W$2</f>
        <v>0.13</v>
      </c>
      <c r="X225" s="350">
        <f t="shared" si="48"/>
        <v>0</v>
      </c>
      <c r="Y225" s="350">
        <f t="shared" ref="Y225:Y234" si="52">T225+(T225*W225)</f>
        <v>0</v>
      </c>
      <c r="Z225" s="350">
        <f t="shared" ref="Z225:Z256" si="53">IFERROR(ROUNDUP(X225+Y225,2)," ")</f>
        <v>0</v>
      </c>
      <c r="AA225" s="352">
        <f>+Table1[[#This Row],[calculated sale price]]</f>
        <v>0</v>
      </c>
      <c r="AB225" s="353"/>
      <c r="AC225" s="354"/>
      <c r="AD225" s="356"/>
      <c r="AE225" s="356">
        <f>Table1[[#This Row],[cost per quantity]]*(1+'P&amp;L'!$P$8)</f>
        <v>0</v>
      </c>
      <c r="AF225" s="356">
        <f>$AF$8*Table1[[#This Row],[man minutes]]*(1+'P&amp;L'!$P$9)</f>
        <v>0</v>
      </c>
      <c r="AG225" s="356">
        <f>$AF$8*Table1[[#This Row],[man minutes]]*1.18</f>
        <v>0</v>
      </c>
      <c r="AH225" s="356">
        <f>$AF$8*Table1[[#This Row],[man minutes]]*1.18</f>
        <v>0</v>
      </c>
      <c r="AI225" s="356">
        <f>Table1[[#This Row],[Food cost w/ MU]]+Table1[[#This Row],[labor cost W/ MU]]</f>
        <v>0</v>
      </c>
      <c r="AJ225" s="357"/>
    </row>
    <row r="226" spans="1:36" x14ac:dyDescent="0.25">
      <c r="A226" s="329">
        <v>10217</v>
      </c>
      <c r="C226" s="329">
        <v>1</v>
      </c>
      <c r="I226" s="329"/>
      <c r="J226" s="329"/>
      <c r="K226" s="329"/>
      <c r="L226" s="345"/>
      <c r="M226" s="329"/>
      <c r="N226" s="346"/>
      <c r="O226" s="347"/>
      <c r="P226" s="347">
        <f>Table1[[#This Row],[unit cost]]*1.065</f>
        <v>0</v>
      </c>
      <c r="Q226" s="348"/>
      <c r="R226" s="329">
        <v>1</v>
      </c>
      <c r="S226" s="349">
        <f t="shared" si="49"/>
        <v>0.42</v>
      </c>
      <c r="T226" s="350">
        <f>Table1[[#This Row],[man minutes]]*Table1[[#This Row],[labor rate]]</f>
        <v>0</v>
      </c>
      <c r="U226" s="350">
        <f t="shared" ref="U226:U257" si="54">P226+T226</f>
        <v>0</v>
      </c>
      <c r="V226" s="330">
        <f t="shared" si="50"/>
        <v>0.13</v>
      </c>
      <c r="W226" s="351">
        <f t="shared" si="51"/>
        <v>0.13</v>
      </c>
      <c r="X226" s="350">
        <f t="shared" ref="X226:X234" si="55">P226*(1+V226)</f>
        <v>0</v>
      </c>
      <c r="Y226" s="350">
        <f t="shared" si="52"/>
        <v>0</v>
      </c>
      <c r="Z226" s="350">
        <f t="shared" si="53"/>
        <v>0</v>
      </c>
      <c r="AA226" s="352">
        <f>+Table1[[#This Row],[calculated sale price]]</f>
        <v>0</v>
      </c>
      <c r="AB226" s="353"/>
      <c r="AC226" s="354"/>
      <c r="AD226" s="356"/>
      <c r="AE226" s="356">
        <f>Table1[[#This Row],[cost per quantity]]*(1+'P&amp;L'!$P$8)</f>
        <v>0</v>
      </c>
      <c r="AF226" s="356">
        <f>$AF$8*Table1[[#This Row],[man minutes]]*(1+'P&amp;L'!$P$9)</f>
        <v>0</v>
      </c>
      <c r="AG226" s="356">
        <f>$AF$8*Table1[[#This Row],[man minutes]]*1.18</f>
        <v>0</v>
      </c>
      <c r="AH226" s="356">
        <f>$AF$8*Table1[[#This Row],[man minutes]]*1.18</f>
        <v>0</v>
      </c>
      <c r="AI226" s="356">
        <f>Table1[[#This Row],[Food cost w/ MU]]+Table1[[#This Row],[labor cost W/ MU]]</f>
        <v>0</v>
      </c>
      <c r="AJ226" s="357"/>
    </row>
    <row r="227" spans="1:36" x14ac:dyDescent="0.25">
      <c r="A227" s="329">
        <v>10218</v>
      </c>
      <c r="C227" s="329">
        <v>1</v>
      </c>
      <c r="I227" s="329"/>
      <c r="J227" s="329"/>
      <c r="K227" s="329"/>
      <c r="L227" s="345"/>
      <c r="M227" s="329"/>
      <c r="N227" s="346"/>
      <c r="O227" s="347"/>
      <c r="P227" s="347">
        <f>Table1[[#This Row],[unit cost]]*1.065</f>
        <v>0</v>
      </c>
      <c r="Q227" s="348"/>
      <c r="R227" s="329">
        <v>1</v>
      </c>
      <c r="S227" s="349">
        <f t="shared" si="49"/>
        <v>0.42</v>
      </c>
      <c r="T227" s="350">
        <f>Table1[[#This Row],[man minutes]]*Table1[[#This Row],[labor rate]]</f>
        <v>0</v>
      </c>
      <c r="U227" s="350">
        <f t="shared" si="54"/>
        <v>0</v>
      </c>
      <c r="V227" s="330">
        <f t="shared" si="50"/>
        <v>0.13</v>
      </c>
      <c r="W227" s="351">
        <f t="shared" si="51"/>
        <v>0.13</v>
      </c>
      <c r="X227" s="350">
        <f t="shared" si="55"/>
        <v>0</v>
      </c>
      <c r="Y227" s="350">
        <f t="shared" si="52"/>
        <v>0</v>
      </c>
      <c r="Z227" s="350">
        <f t="shared" si="53"/>
        <v>0</v>
      </c>
      <c r="AA227" s="352">
        <f>+Table1[[#This Row],[calculated sale price]]</f>
        <v>0</v>
      </c>
      <c r="AB227" s="353"/>
      <c r="AC227" s="354"/>
      <c r="AD227" s="356"/>
      <c r="AE227" s="356">
        <f>Table1[[#This Row],[cost per quantity]]*(1+'P&amp;L'!$P$8)</f>
        <v>0</v>
      </c>
      <c r="AF227" s="356">
        <f>$AF$8*Table1[[#This Row],[man minutes]]*(1+'P&amp;L'!$P$9)</f>
        <v>0</v>
      </c>
      <c r="AG227" s="356">
        <f>$AF$8*Table1[[#This Row],[man minutes]]*1.18</f>
        <v>0</v>
      </c>
      <c r="AH227" s="356">
        <f>$AF$8*Table1[[#This Row],[man minutes]]*1.18</f>
        <v>0</v>
      </c>
      <c r="AI227" s="356">
        <f>Table1[[#This Row],[Food cost w/ MU]]+Table1[[#This Row],[labor cost W/ MU]]</f>
        <v>0</v>
      </c>
      <c r="AJ227" s="357"/>
    </row>
    <row r="228" spans="1:36" x14ac:dyDescent="0.25">
      <c r="A228" s="329">
        <v>10219</v>
      </c>
      <c r="C228" s="329">
        <v>1</v>
      </c>
      <c r="I228" s="329"/>
      <c r="J228" s="329"/>
      <c r="K228" s="329"/>
      <c r="L228" s="345"/>
      <c r="M228" s="329"/>
      <c r="N228" s="346"/>
      <c r="O228" s="347"/>
      <c r="P228" s="347">
        <f>Table1[[#This Row],[unit cost]]*1.065</f>
        <v>0</v>
      </c>
      <c r="Q228" s="348"/>
      <c r="R228" s="329">
        <v>1</v>
      </c>
      <c r="S228" s="349">
        <f t="shared" si="49"/>
        <v>0.42</v>
      </c>
      <c r="T228" s="350">
        <f>Table1[[#This Row],[man minutes]]*Table1[[#This Row],[labor rate]]</f>
        <v>0</v>
      </c>
      <c r="U228" s="350">
        <f t="shared" si="54"/>
        <v>0</v>
      </c>
      <c r="V228" s="330">
        <f t="shared" si="50"/>
        <v>0.13</v>
      </c>
      <c r="W228" s="351">
        <f t="shared" si="51"/>
        <v>0.13</v>
      </c>
      <c r="X228" s="350">
        <f t="shared" si="55"/>
        <v>0</v>
      </c>
      <c r="Y228" s="350">
        <f t="shared" si="52"/>
        <v>0</v>
      </c>
      <c r="Z228" s="350">
        <f t="shared" si="53"/>
        <v>0</v>
      </c>
      <c r="AA228" s="352">
        <f>+Table1[[#This Row],[calculated sale price]]</f>
        <v>0</v>
      </c>
      <c r="AB228" s="353"/>
      <c r="AC228" s="354"/>
      <c r="AD228" s="356"/>
      <c r="AE228" s="356">
        <f>Table1[[#This Row],[cost per quantity]]*(1+'P&amp;L'!$P$8)</f>
        <v>0</v>
      </c>
      <c r="AF228" s="356">
        <f>$AF$8*Table1[[#This Row],[man minutes]]*(1+'P&amp;L'!$P$9)</f>
        <v>0</v>
      </c>
      <c r="AG228" s="356">
        <f>$AF$8*Table1[[#This Row],[man minutes]]*1.18</f>
        <v>0</v>
      </c>
      <c r="AH228" s="356">
        <f>$AF$8*Table1[[#This Row],[man minutes]]*1.18</f>
        <v>0</v>
      </c>
      <c r="AI228" s="356">
        <f>Table1[[#This Row],[Food cost w/ MU]]+Table1[[#This Row],[labor cost W/ MU]]</f>
        <v>0</v>
      </c>
      <c r="AJ228" s="357"/>
    </row>
    <row r="229" spans="1:36" x14ac:dyDescent="0.25">
      <c r="A229" s="329">
        <v>10220</v>
      </c>
      <c r="C229" s="329">
        <v>1</v>
      </c>
      <c r="I229" s="329"/>
      <c r="J229" s="329"/>
      <c r="K229" s="329"/>
      <c r="L229" s="345"/>
      <c r="M229" s="329"/>
      <c r="N229" s="346"/>
      <c r="O229" s="347"/>
      <c r="P229" s="347">
        <f>Table1[[#This Row],[unit cost]]*1.065</f>
        <v>0</v>
      </c>
      <c r="Q229" s="348"/>
      <c r="R229" s="329">
        <v>1</v>
      </c>
      <c r="S229" s="349">
        <f t="shared" si="49"/>
        <v>0.42</v>
      </c>
      <c r="T229" s="350">
        <f>Table1[[#This Row],[man minutes]]*Table1[[#This Row],[labor rate]]</f>
        <v>0</v>
      </c>
      <c r="U229" s="350">
        <f t="shared" si="54"/>
        <v>0</v>
      </c>
      <c r="V229" s="330">
        <f t="shared" si="50"/>
        <v>0.13</v>
      </c>
      <c r="W229" s="351">
        <f t="shared" si="51"/>
        <v>0.13</v>
      </c>
      <c r="X229" s="350">
        <f t="shared" si="55"/>
        <v>0</v>
      </c>
      <c r="Y229" s="350">
        <f t="shared" si="52"/>
        <v>0</v>
      </c>
      <c r="Z229" s="350">
        <f t="shared" si="53"/>
        <v>0</v>
      </c>
      <c r="AA229" s="352">
        <f>+Table1[[#This Row],[calculated sale price]]</f>
        <v>0</v>
      </c>
      <c r="AB229" s="353"/>
      <c r="AC229" s="354"/>
      <c r="AD229" s="356"/>
      <c r="AE229" s="356">
        <f>Table1[[#This Row],[cost per quantity]]*(1+'P&amp;L'!$P$8)</f>
        <v>0</v>
      </c>
      <c r="AF229" s="356">
        <f>$AF$8*Table1[[#This Row],[man minutes]]*(1+'P&amp;L'!$P$9)</f>
        <v>0</v>
      </c>
      <c r="AG229" s="356">
        <f>$AF$8*Table1[[#This Row],[man minutes]]*1.18</f>
        <v>0</v>
      </c>
      <c r="AH229" s="356">
        <f>$AF$8*Table1[[#This Row],[man minutes]]*1.18</f>
        <v>0</v>
      </c>
      <c r="AI229" s="356">
        <f>Table1[[#This Row],[Food cost w/ MU]]+Table1[[#This Row],[labor cost W/ MU]]</f>
        <v>0</v>
      </c>
      <c r="AJ229" s="357"/>
    </row>
    <row r="230" spans="1:36" x14ac:dyDescent="0.25">
      <c r="A230" s="329">
        <v>10221</v>
      </c>
      <c r="C230" s="329">
        <v>1</v>
      </c>
      <c r="I230" s="329"/>
      <c r="J230" s="329"/>
      <c r="K230" s="329"/>
      <c r="L230" s="345"/>
      <c r="M230" s="329"/>
      <c r="N230" s="346"/>
      <c r="O230" s="347"/>
      <c r="P230" s="347">
        <f>Table1[[#This Row],[unit cost]]*1.065</f>
        <v>0</v>
      </c>
      <c r="Q230" s="348"/>
      <c r="R230" s="329">
        <v>1</v>
      </c>
      <c r="S230" s="349">
        <f t="shared" si="49"/>
        <v>0.42</v>
      </c>
      <c r="T230" s="350">
        <f>Table1[[#This Row],[man minutes]]*Table1[[#This Row],[labor rate]]</f>
        <v>0</v>
      </c>
      <c r="U230" s="350">
        <f t="shared" si="54"/>
        <v>0</v>
      </c>
      <c r="V230" s="330">
        <f t="shared" si="50"/>
        <v>0.13</v>
      </c>
      <c r="W230" s="351">
        <f t="shared" si="51"/>
        <v>0.13</v>
      </c>
      <c r="X230" s="350">
        <f t="shared" si="55"/>
        <v>0</v>
      </c>
      <c r="Y230" s="350">
        <f t="shared" si="52"/>
        <v>0</v>
      </c>
      <c r="Z230" s="350">
        <f t="shared" si="53"/>
        <v>0</v>
      </c>
      <c r="AA230" s="352">
        <f>+Table1[[#This Row],[calculated sale price]]</f>
        <v>0</v>
      </c>
      <c r="AB230" s="353"/>
      <c r="AC230" s="354"/>
      <c r="AD230" s="356"/>
      <c r="AE230" s="356">
        <f>Table1[[#This Row],[cost per quantity]]*(1+'P&amp;L'!$P$8)</f>
        <v>0</v>
      </c>
      <c r="AF230" s="356">
        <f>$AF$8*Table1[[#This Row],[man minutes]]*(1+'P&amp;L'!$P$9)</f>
        <v>0</v>
      </c>
      <c r="AG230" s="356">
        <f>$AF$8*Table1[[#This Row],[man minutes]]*1.18</f>
        <v>0</v>
      </c>
      <c r="AH230" s="356">
        <f>$AF$8*Table1[[#This Row],[man minutes]]*1.18</f>
        <v>0</v>
      </c>
      <c r="AI230" s="356">
        <f>Table1[[#This Row],[Food cost w/ MU]]+Table1[[#This Row],[labor cost W/ MU]]</f>
        <v>0</v>
      </c>
      <c r="AJ230" s="357"/>
    </row>
    <row r="231" spans="1:36" x14ac:dyDescent="0.25">
      <c r="A231" s="329">
        <v>10222</v>
      </c>
      <c r="C231" s="329">
        <v>1</v>
      </c>
      <c r="I231" s="329"/>
      <c r="J231" s="329"/>
      <c r="K231" s="329"/>
      <c r="L231" s="345"/>
      <c r="M231" s="329"/>
      <c r="N231" s="346"/>
      <c r="O231" s="347"/>
      <c r="P231" s="347">
        <f>Table1[[#This Row],[unit cost]]*1.065</f>
        <v>0</v>
      </c>
      <c r="Q231" s="348"/>
      <c r="R231" s="329">
        <v>1</v>
      </c>
      <c r="S231" s="349">
        <f t="shared" si="49"/>
        <v>0.42</v>
      </c>
      <c r="T231" s="350">
        <f>Table1[[#This Row],[man minutes]]*Table1[[#This Row],[labor rate]]</f>
        <v>0</v>
      </c>
      <c r="U231" s="350">
        <f t="shared" si="54"/>
        <v>0</v>
      </c>
      <c r="V231" s="330">
        <f t="shared" si="50"/>
        <v>0.13</v>
      </c>
      <c r="W231" s="351">
        <f t="shared" si="51"/>
        <v>0.13</v>
      </c>
      <c r="X231" s="350">
        <f t="shared" si="55"/>
        <v>0</v>
      </c>
      <c r="Y231" s="350">
        <f t="shared" si="52"/>
        <v>0</v>
      </c>
      <c r="Z231" s="350">
        <f t="shared" si="53"/>
        <v>0</v>
      </c>
      <c r="AA231" s="352">
        <f>+Table1[[#This Row],[calculated sale price]]</f>
        <v>0</v>
      </c>
      <c r="AB231" s="353"/>
      <c r="AC231" s="354"/>
      <c r="AD231" s="356"/>
      <c r="AE231" s="356">
        <f>Table1[[#This Row],[cost per quantity]]*(1+'P&amp;L'!$P$8)</f>
        <v>0</v>
      </c>
      <c r="AF231" s="356">
        <f>$AF$8*Table1[[#This Row],[man minutes]]*(1+'P&amp;L'!$P$9)</f>
        <v>0</v>
      </c>
      <c r="AG231" s="356">
        <f>$AF$8*Table1[[#This Row],[man minutes]]*1.18</f>
        <v>0</v>
      </c>
      <c r="AH231" s="356">
        <f>$AF$8*Table1[[#This Row],[man minutes]]*1.18</f>
        <v>0</v>
      </c>
      <c r="AI231" s="356">
        <f>Table1[[#This Row],[Food cost w/ MU]]+Table1[[#This Row],[labor cost W/ MU]]</f>
        <v>0</v>
      </c>
      <c r="AJ231" s="357"/>
    </row>
    <row r="232" spans="1:36" x14ac:dyDescent="0.25">
      <c r="A232" s="329">
        <v>10223</v>
      </c>
      <c r="C232" s="329">
        <v>1</v>
      </c>
      <c r="I232" s="329"/>
      <c r="J232" s="329"/>
      <c r="K232" s="329"/>
      <c r="L232" s="345"/>
      <c r="M232" s="329"/>
      <c r="N232" s="346"/>
      <c r="O232" s="347"/>
      <c r="P232" s="347">
        <f>Table1[[#This Row],[unit cost]]*1.065</f>
        <v>0</v>
      </c>
      <c r="Q232" s="348"/>
      <c r="R232" s="329">
        <v>1</v>
      </c>
      <c r="S232" s="349">
        <f t="shared" si="49"/>
        <v>0.42</v>
      </c>
      <c r="T232" s="350">
        <f>Table1[[#This Row],[man minutes]]*Table1[[#This Row],[labor rate]]</f>
        <v>0</v>
      </c>
      <c r="U232" s="350">
        <f t="shared" si="54"/>
        <v>0</v>
      </c>
      <c r="V232" s="330">
        <f t="shared" si="50"/>
        <v>0.13</v>
      </c>
      <c r="W232" s="351">
        <f t="shared" si="51"/>
        <v>0.13</v>
      </c>
      <c r="X232" s="350">
        <f t="shared" si="55"/>
        <v>0</v>
      </c>
      <c r="Y232" s="350">
        <f t="shared" si="52"/>
        <v>0</v>
      </c>
      <c r="Z232" s="350">
        <f t="shared" si="53"/>
        <v>0</v>
      </c>
      <c r="AA232" s="352">
        <f>+Table1[[#This Row],[calculated sale price]]</f>
        <v>0</v>
      </c>
      <c r="AB232" s="353"/>
      <c r="AC232" s="354"/>
      <c r="AD232" s="356"/>
      <c r="AE232" s="356">
        <f>Table1[[#This Row],[cost per quantity]]*(1+'P&amp;L'!$P$8)</f>
        <v>0</v>
      </c>
      <c r="AF232" s="356">
        <f>$AF$8*Table1[[#This Row],[man minutes]]*(1+'P&amp;L'!$P$9)</f>
        <v>0</v>
      </c>
      <c r="AG232" s="356">
        <f>$AF$8*Table1[[#This Row],[man minutes]]*1.18</f>
        <v>0</v>
      </c>
      <c r="AH232" s="356">
        <f>$AF$8*Table1[[#This Row],[man minutes]]*1.18</f>
        <v>0</v>
      </c>
      <c r="AI232" s="356">
        <f>Table1[[#This Row],[Food cost w/ MU]]+Table1[[#This Row],[labor cost W/ MU]]</f>
        <v>0</v>
      </c>
      <c r="AJ232" s="357"/>
    </row>
    <row r="233" spans="1:36" x14ac:dyDescent="0.25">
      <c r="A233" s="329">
        <v>10224</v>
      </c>
      <c r="C233" s="329">
        <v>1</v>
      </c>
      <c r="I233" s="329"/>
      <c r="J233" s="329"/>
      <c r="K233" s="329"/>
      <c r="L233" s="345"/>
      <c r="M233" s="329"/>
      <c r="N233" s="346"/>
      <c r="O233" s="347"/>
      <c r="P233" s="347">
        <f>Table1[[#This Row],[unit cost]]*1.065</f>
        <v>0</v>
      </c>
      <c r="Q233" s="348"/>
      <c r="R233" s="329">
        <v>1</v>
      </c>
      <c r="S233" s="349">
        <f t="shared" si="49"/>
        <v>0.42</v>
      </c>
      <c r="T233" s="350">
        <f>Table1[[#This Row],[man minutes]]*Table1[[#This Row],[labor rate]]</f>
        <v>0</v>
      </c>
      <c r="U233" s="350">
        <f t="shared" si="54"/>
        <v>0</v>
      </c>
      <c r="V233" s="330">
        <f t="shared" si="50"/>
        <v>0.13</v>
      </c>
      <c r="W233" s="351">
        <f t="shared" si="51"/>
        <v>0.13</v>
      </c>
      <c r="X233" s="350">
        <f t="shared" si="55"/>
        <v>0</v>
      </c>
      <c r="Y233" s="350">
        <f t="shared" si="52"/>
        <v>0</v>
      </c>
      <c r="Z233" s="350">
        <f t="shared" si="53"/>
        <v>0</v>
      </c>
      <c r="AA233" s="352">
        <f>+Table1[[#This Row],[calculated sale price]]</f>
        <v>0</v>
      </c>
      <c r="AB233" s="353"/>
      <c r="AC233" s="354"/>
      <c r="AD233" s="356"/>
      <c r="AE233" s="356">
        <f>Table1[[#This Row],[cost per quantity]]*(1+'P&amp;L'!$P$8)</f>
        <v>0</v>
      </c>
      <c r="AF233" s="356">
        <f>$AF$8*Table1[[#This Row],[man minutes]]*(1+'P&amp;L'!$P$9)</f>
        <v>0</v>
      </c>
      <c r="AG233" s="356">
        <f>$AF$8*Table1[[#This Row],[man minutes]]*1.18</f>
        <v>0</v>
      </c>
      <c r="AH233" s="356">
        <f>$AF$8*Table1[[#This Row],[man minutes]]*1.18</f>
        <v>0</v>
      </c>
      <c r="AI233" s="356">
        <f>Table1[[#This Row],[Food cost w/ MU]]+Table1[[#This Row],[labor cost W/ MU]]</f>
        <v>0</v>
      </c>
      <c r="AJ233" s="357"/>
    </row>
    <row r="234" spans="1:36" x14ac:dyDescent="0.25">
      <c r="A234" s="329">
        <v>10225</v>
      </c>
      <c r="C234" s="329">
        <v>1</v>
      </c>
      <c r="I234" s="329"/>
      <c r="J234" s="329"/>
      <c r="K234" s="329"/>
      <c r="L234" s="345"/>
      <c r="M234" s="329"/>
      <c r="N234" s="346"/>
      <c r="O234" s="347"/>
      <c r="P234" s="347">
        <f>Table1[[#This Row],[unit cost]]*1.065</f>
        <v>0</v>
      </c>
      <c r="Q234" s="348"/>
      <c r="R234" s="329">
        <v>1</v>
      </c>
      <c r="S234" s="349">
        <f t="shared" si="49"/>
        <v>0.42</v>
      </c>
      <c r="T234" s="350">
        <f>Table1[[#This Row],[man minutes]]*Table1[[#This Row],[labor rate]]</f>
        <v>0</v>
      </c>
      <c r="U234" s="350">
        <f t="shared" si="54"/>
        <v>0</v>
      </c>
      <c r="V234" s="330">
        <f t="shared" si="50"/>
        <v>0.13</v>
      </c>
      <c r="W234" s="351">
        <f t="shared" si="51"/>
        <v>0.13</v>
      </c>
      <c r="X234" s="350">
        <f t="shared" si="55"/>
        <v>0</v>
      </c>
      <c r="Y234" s="350">
        <f t="shared" si="52"/>
        <v>0</v>
      </c>
      <c r="Z234" s="350">
        <f t="shared" si="53"/>
        <v>0</v>
      </c>
      <c r="AA234" s="352">
        <f>+Table1[[#This Row],[calculated sale price]]</f>
        <v>0</v>
      </c>
      <c r="AB234" s="353"/>
      <c r="AC234" s="354"/>
      <c r="AD234" s="356"/>
      <c r="AE234" s="356">
        <f>Table1[[#This Row],[cost per quantity]]*(1+'P&amp;L'!$P$8)</f>
        <v>0</v>
      </c>
      <c r="AF234" s="356">
        <f>$AF$8*Table1[[#This Row],[man minutes]]*(1+'P&amp;L'!$P$9)</f>
        <v>0</v>
      </c>
      <c r="AG234" s="356">
        <f>$AF$8*Table1[[#This Row],[man minutes]]*1.18</f>
        <v>0</v>
      </c>
      <c r="AH234" s="356">
        <f>$AF$8*Table1[[#This Row],[man minutes]]*1.18</f>
        <v>0</v>
      </c>
      <c r="AI234" s="356">
        <f>Table1[[#This Row],[Food cost w/ MU]]+Table1[[#This Row],[labor cost W/ MU]]</f>
        <v>0</v>
      </c>
      <c r="AJ234" s="357"/>
    </row>
    <row r="235" spans="1:36" x14ac:dyDescent="0.25">
      <c r="A235" s="329"/>
      <c r="C235" s="329"/>
      <c r="I235" s="329"/>
      <c r="J235" s="329"/>
      <c r="K235" s="329"/>
      <c r="L235" s="345"/>
      <c r="M235" s="329"/>
      <c r="N235" s="346"/>
      <c r="O235" s="347"/>
      <c r="P235" s="347">
        <f>Table1[[#This Row],[unit cost]]*1.065</f>
        <v>0</v>
      </c>
      <c r="Q235" s="348"/>
      <c r="S235" s="349"/>
      <c r="T235" s="350"/>
      <c r="U235" s="350"/>
      <c r="W235" s="351"/>
      <c r="X235" s="350"/>
      <c r="Y235" s="350"/>
      <c r="Z235" s="350"/>
      <c r="AA235" s="352"/>
      <c r="AB235" s="353"/>
      <c r="AC235" s="354"/>
      <c r="AD235" s="356"/>
      <c r="AE235" s="356">
        <f>Table1[[#This Row],[cost per quantity]]*(1+'P&amp;L'!$P$8)</f>
        <v>0</v>
      </c>
      <c r="AF235" s="356">
        <f>$AF$8*Table1[[#This Row],[man minutes]]*(1+'P&amp;L'!$P$9)</f>
        <v>0</v>
      </c>
      <c r="AG235" s="356">
        <f>$AF$8*Table1[[#This Row],[man minutes]]*1.18</f>
        <v>0</v>
      </c>
      <c r="AH235" s="356">
        <f>$AF$8*Table1[[#This Row],[man minutes]]*1.18</f>
        <v>0</v>
      </c>
      <c r="AI235" s="356">
        <f>Table1[[#This Row],[Food cost w/ MU]]+Table1[[#This Row],[labor cost W/ MU]]</f>
        <v>0</v>
      </c>
      <c r="AJ235" s="357"/>
    </row>
    <row r="236" spans="1:36" x14ac:dyDescent="0.25">
      <c r="A236" s="329"/>
      <c r="C236" s="329"/>
      <c r="I236" s="329"/>
      <c r="J236" s="329"/>
      <c r="K236" s="329"/>
      <c r="L236" s="345"/>
      <c r="M236" s="329"/>
      <c r="N236" s="346"/>
      <c r="O236" s="347"/>
      <c r="P236" s="347">
        <f>Table1[[#This Row],[unit cost]]*1.065</f>
        <v>0</v>
      </c>
      <c r="Q236" s="348"/>
      <c r="S236" s="349"/>
      <c r="T236" s="350"/>
      <c r="U236" s="350"/>
      <c r="W236" s="351"/>
      <c r="X236" s="350"/>
      <c r="Y236" s="350"/>
      <c r="Z236" s="350"/>
      <c r="AA236" s="352"/>
      <c r="AB236" s="353"/>
      <c r="AC236" s="354"/>
      <c r="AD236" s="356"/>
      <c r="AE236" s="356">
        <f>Table1[[#This Row],[cost per quantity]]*(1+'P&amp;L'!$P$8)</f>
        <v>0</v>
      </c>
      <c r="AF236" s="356">
        <f>$AF$8*Table1[[#This Row],[man minutes]]*(1+'P&amp;L'!$P$9)</f>
        <v>0</v>
      </c>
      <c r="AG236" s="356">
        <f>$AF$8*Table1[[#This Row],[man minutes]]*1.18</f>
        <v>0</v>
      </c>
      <c r="AH236" s="356">
        <f>$AF$8*Table1[[#This Row],[man minutes]]*1.18</f>
        <v>0</v>
      </c>
      <c r="AI236" s="356">
        <f>Table1[[#This Row],[Food cost w/ MU]]+Table1[[#This Row],[labor cost W/ MU]]</f>
        <v>0</v>
      </c>
      <c r="AJ236" s="357"/>
    </row>
    <row r="237" spans="1:36" x14ac:dyDescent="0.25">
      <c r="A237" s="329"/>
      <c r="C237" s="329"/>
      <c r="I237" s="329"/>
      <c r="J237" s="329"/>
      <c r="K237" s="329"/>
      <c r="L237" s="345"/>
      <c r="M237" s="329"/>
      <c r="N237" s="346"/>
      <c r="O237" s="347"/>
      <c r="P237" s="347"/>
      <c r="Q237" s="348"/>
      <c r="S237" s="349"/>
      <c r="T237" s="350"/>
      <c r="U237" s="350"/>
      <c r="W237" s="351"/>
      <c r="X237" s="350"/>
      <c r="Y237" s="350"/>
      <c r="Z237" s="350"/>
      <c r="AA237" s="352"/>
      <c r="AB237" s="353"/>
      <c r="AC237" s="354"/>
      <c r="AD237" s="356"/>
      <c r="AE237" s="356">
        <f>Table1[[#This Row],[cost per quantity]]*(1+'P&amp;L'!$P$8)</f>
        <v>0</v>
      </c>
      <c r="AF237" s="356">
        <f>$AF$8*Table1[[#This Row],[man minutes]]*(1+'P&amp;L'!$P$9)</f>
        <v>0</v>
      </c>
      <c r="AG237" s="356">
        <f>$AF$8*Table1[[#This Row],[man minutes]]*1.18</f>
        <v>0</v>
      </c>
      <c r="AH237" s="356">
        <f>$AF$8*Table1[[#This Row],[man minutes]]*1.18</f>
        <v>0</v>
      </c>
      <c r="AI237" s="356">
        <f>Table1[[#This Row],[Food cost w/ MU]]+Table1[[#This Row],[labor cost W/ MU]]</f>
        <v>0</v>
      </c>
      <c r="AJ237" s="357"/>
    </row>
    <row r="238" spans="1:36" x14ac:dyDescent="0.25">
      <c r="A238" s="329"/>
      <c r="C238" s="329"/>
      <c r="I238" s="329"/>
      <c r="J238" s="329"/>
      <c r="K238" s="329"/>
      <c r="L238" s="345"/>
      <c r="M238" s="329"/>
      <c r="N238" s="346"/>
      <c r="O238" s="347"/>
      <c r="P238" s="347"/>
      <c r="Q238" s="348"/>
      <c r="S238" s="349"/>
      <c r="T238" s="350"/>
      <c r="U238" s="350"/>
      <c r="W238" s="351"/>
      <c r="X238" s="350"/>
      <c r="Y238" s="350"/>
      <c r="Z238" s="350"/>
      <c r="AA238" s="352"/>
      <c r="AB238" s="353"/>
      <c r="AC238" s="354"/>
      <c r="AD238" s="356"/>
      <c r="AE238" s="356">
        <f>Table1[[#This Row],[cost per quantity]]*(1+'P&amp;L'!$P$8)</f>
        <v>0</v>
      </c>
      <c r="AF238" s="356">
        <f>$AF$8*Table1[[#This Row],[man minutes]]*(1+'P&amp;L'!$P$9)</f>
        <v>0</v>
      </c>
      <c r="AG238" s="356">
        <f>$AF$8*Table1[[#This Row],[man minutes]]*1.18</f>
        <v>0</v>
      </c>
      <c r="AH238" s="356">
        <f>$AF$8*Table1[[#This Row],[man minutes]]*1.18</f>
        <v>0</v>
      </c>
      <c r="AI238" s="356">
        <f>Table1[[#This Row],[Food cost w/ MU]]+Table1[[#This Row],[labor cost W/ MU]]</f>
        <v>0</v>
      </c>
      <c r="AJ238" s="357"/>
    </row>
    <row r="239" spans="1:36" x14ac:dyDescent="0.25">
      <c r="A239" s="329"/>
      <c r="C239" s="329"/>
      <c r="I239" s="329"/>
      <c r="J239" s="329"/>
      <c r="K239" s="329"/>
      <c r="L239" s="345"/>
      <c r="M239" s="329"/>
      <c r="N239" s="346"/>
      <c r="O239" s="347"/>
      <c r="P239" s="347"/>
      <c r="Q239" s="348"/>
      <c r="S239" s="350"/>
      <c r="T239" s="350"/>
      <c r="U239" s="350"/>
      <c r="X239" s="350"/>
      <c r="Y239" s="350"/>
      <c r="Z239" s="350"/>
      <c r="AA239" s="352"/>
      <c r="AB239" s="353"/>
      <c r="AC239" s="354"/>
      <c r="AD239" s="356"/>
      <c r="AE239" s="356">
        <f>Table1[[#This Row],[cost per quantity]]*(1+'P&amp;L'!$P$8)</f>
        <v>0</v>
      </c>
      <c r="AF239" s="356">
        <f>$AF$8*Table1[[#This Row],[man minutes]]*(1+'P&amp;L'!$P$9)</f>
        <v>0</v>
      </c>
      <c r="AG239" s="356">
        <f>$AF$8*Table1[[#This Row],[man minutes]]*1.18</f>
        <v>0</v>
      </c>
      <c r="AH239" s="356">
        <f>$AF$8*Table1[[#This Row],[man minutes]]*1.18</f>
        <v>0</v>
      </c>
      <c r="AI239" s="356">
        <f>Table1[[#This Row],[Food cost w/ MU]]+Table1[[#This Row],[labor cost W/ MU]]</f>
        <v>0</v>
      </c>
      <c r="AJ239" s="357"/>
    </row>
    <row r="240" spans="1:36" x14ac:dyDescent="0.25">
      <c r="A240" s="329"/>
      <c r="C240" s="329"/>
      <c r="I240" s="329"/>
      <c r="J240" s="329"/>
      <c r="K240" s="329"/>
      <c r="L240" s="345"/>
      <c r="M240" s="329"/>
      <c r="N240" s="346"/>
      <c r="O240" s="347"/>
      <c r="P240" s="347"/>
      <c r="Q240" s="348"/>
      <c r="S240" s="350"/>
      <c r="T240" s="350"/>
      <c r="U240" s="350"/>
      <c r="X240" s="350"/>
      <c r="Y240" s="350"/>
      <c r="Z240" s="350"/>
      <c r="AA240" s="352"/>
      <c r="AB240" s="353"/>
      <c r="AC240" s="354"/>
      <c r="AD240" s="356"/>
      <c r="AE240" s="356">
        <f>Table1[[#This Row],[cost per quantity]]*(1+'P&amp;L'!$P$8)</f>
        <v>0</v>
      </c>
      <c r="AF240" s="356">
        <f>$AF$8*Table1[[#This Row],[man minutes]]*(1+'P&amp;L'!$P$9)</f>
        <v>0</v>
      </c>
      <c r="AG240" s="356">
        <f>$AF$8*Table1[[#This Row],[man minutes]]*1.18</f>
        <v>0</v>
      </c>
      <c r="AH240" s="356">
        <f>$AF$8*Table1[[#This Row],[man minutes]]*1.18</f>
        <v>0</v>
      </c>
      <c r="AI240" s="356">
        <f>Table1[[#This Row],[Food cost w/ MU]]+Table1[[#This Row],[labor cost W/ MU]]</f>
        <v>0</v>
      </c>
      <c r="AJ240" s="357"/>
    </row>
    <row r="241" spans="1:36" x14ac:dyDescent="0.25">
      <c r="A241" s="329"/>
      <c r="C241" s="329"/>
      <c r="I241" s="329"/>
      <c r="J241" s="329"/>
      <c r="K241" s="329"/>
      <c r="L241" s="345"/>
      <c r="M241" s="329"/>
      <c r="N241" s="346"/>
      <c r="O241" s="347"/>
      <c r="P241" s="347"/>
      <c r="Q241" s="348"/>
      <c r="S241" s="350"/>
      <c r="T241" s="350"/>
      <c r="U241" s="350"/>
      <c r="X241" s="350"/>
      <c r="Y241" s="350"/>
      <c r="Z241" s="350"/>
      <c r="AA241" s="352"/>
      <c r="AB241" s="353"/>
      <c r="AC241" s="354"/>
      <c r="AD241" s="356"/>
      <c r="AE241" s="356">
        <f>Table1[[#This Row],[cost per quantity]]*(1+'P&amp;L'!$P$8)</f>
        <v>0</v>
      </c>
      <c r="AF241" s="356">
        <f>$AF$8*Table1[[#This Row],[man minutes]]*(1+'P&amp;L'!$P$9)</f>
        <v>0</v>
      </c>
      <c r="AG241" s="356">
        <f>$AF$8*Table1[[#This Row],[man minutes]]*1.18</f>
        <v>0</v>
      </c>
      <c r="AH241" s="356">
        <f>$AF$8*Table1[[#This Row],[man minutes]]*1.18</f>
        <v>0</v>
      </c>
      <c r="AI241" s="356">
        <f>Table1[[#This Row],[Food cost w/ MU]]+Table1[[#This Row],[labor cost W/ MU]]</f>
        <v>0</v>
      </c>
      <c r="AJ241" s="357"/>
    </row>
    <row r="242" spans="1:36" x14ac:dyDescent="0.25">
      <c r="A242" s="183"/>
      <c r="B242"/>
      <c r="C242" s="183"/>
      <c r="D242" s="183"/>
      <c r="E242" s="183"/>
      <c r="F242" s="183"/>
      <c r="G242" s="183"/>
      <c r="H242" s="183"/>
      <c r="I242" s="183"/>
      <c r="J242" s="183"/>
      <c r="K242" s="183"/>
      <c r="L242" s="368"/>
      <c r="M242" s="183"/>
      <c r="N242" s="369"/>
      <c r="O242" s="370"/>
      <c r="P242" s="371"/>
      <c r="Q242" s="372"/>
      <c r="R242" s="183"/>
      <c r="S242" s="185"/>
      <c r="T242" s="185"/>
      <c r="U242" s="185"/>
      <c r="V242" s="373"/>
      <c r="W242" s="368"/>
      <c r="X242" s="185"/>
      <c r="Y242" s="185"/>
      <c r="Z242" s="185"/>
      <c r="AA242" s="367"/>
      <c r="AB242" s="374"/>
      <c r="AC242" s="185"/>
      <c r="AD242"/>
      <c r="AE242"/>
      <c r="AF242"/>
      <c r="AG242"/>
      <c r="AH242"/>
      <c r="AI242"/>
      <c r="AJ242"/>
    </row>
    <row r="243" spans="1:36" s="365" customFormat="1" x14ac:dyDescent="0.25">
      <c r="A243" s="325"/>
      <c r="B243" s="325"/>
      <c r="C243" s="325"/>
      <c r="D243" s="329"/>
      <c r="E243" s="329"/>
      <c r="F243" s="329"/>
      <c r="G243" s="329"/>
      <c r="H243" s="329"/>
      <c r="I243" s="325"/>
      <c r="J243" s="325"/>
      <c r="K243" s="325"/>
      <c r="L243" s="329"/>
      <c r="M243" s="325"/>
      <c r="N243" s="325"/>
      <c r="O243" s="325"/>
      <c r="P243" s="325"/>
      <c r="Q243" s="328"/>
      <c r="R243" s="329"/>
      <c r="S243" s="325"/>
      <c r="T243" s="325"/>
      <c r="U243" s="325"/>
      <c r="V243" s="330"/>
      <c r="W243" s="331"/>
      <c r="X243" s="325"/>
      <c r="Y243" s="325"/>
      <c r="Z243" s="325"/>
      <c r="AA243" s="332"/>
      <c r="AB243" s="325"/>
      <c r="AC243" s="325"/>
    </row>
    <row r="251" spans="1:36" s="365" customFormat="1" x14ac:dyDescent="0.25">
      <c r="A251" s="325"/>
      <c r="B251" s="325"/>
      <c r="C251" s="325"/>
      <c r="D251" s="329"/>
      <c r="E251" s="329"/>
      <c r="F251" s="329"/>
      <c r="G251" s="329"/>
      <c r="H251" s="329"/>
      <c r="I251" s="325"/>
      <c r="J251" s="325"/>
      <c r="K251" s="325"/>
      <c r="L251" s="329"/>
      <c r="M251" s="325"/>
      <c r="N251" s="325"/>
      <c r="O251" s="325"/>
      <c r="P251" s="325"/>
      <c r="Q251" s="328"/>
      <c r="R251" s="329"/>
      <c r="S251" s="325"/>
      <c r="T251" s="325"/>
      <c r="U251" s="325"/>
      <c r="V251" s="330"/>
      <c r="W251" s="331"/>
      <c r="X251" s="325"/>
      <c r="Y251" s="325"/>
      <c r="Z251" s="325"/>
      <c r="AA251" s="332"/>
      <c r="AB251" s="325"/>
      <c r="AC251" s="325"/>
    </row>
    <row r="254" spans="1:36" s="365" customFormat="1" x14ac:dyDescent="0.25">
      <c r="A254" s="325"/>
      <c r="B254" s="325"/>
      <c r="C254" s="325"/>
      <c r="D254" s="329"/>
      <c r="E254" s="329"/>
      <c r="F254" s="329"/>
      <c r="G254" s="329"/>
      <c r="H254" s="329"/>
      <c r="I254" s="325"/>
      <c r="J254" s="325"/>
      <c r="K254" s="325"/>
      <c r="L254" s="329"/>
      <c r="M254" s="325"/>
      <c r="N254" s="325"/>
      <c r="O254" s="325"/>
      <c r="P254" s="325"/>
      <c r="Q254" s="328"/>
      <c r="R254" s="329"/>
      <c r="S254" s="325"/>
      <c r="T254" s="325"/>
      <c r="U254" s="325"/>
      <c r="V254" s="330"/>
      <c r="W254" s="331"/>
      <c r="X254" s="325"/>
      <c r="Y254" s="325"/>
      <c r="Z254" s="325"/>
      <c r="AA254" s="332"/>
      <c r="AB254" s="325"/>
      <c r="AC254" s="325"/>
    </row>
    <row r="270" spans="30:30" x14ac:dyDescent="0.25">
      <c r="AD270" s="366"/>
    </row>
    <row r="284" spans="1:29" s="365" customFormat="1" x14ac:dyDescent="0.25">
      <c r="A284" s="325"/>
      <c r="B284" s="325"/>
      <c r="C284" s="325"/>
      <c r="D284" s="329"/>
      <c r="E284" s="329"/>
      <c r="F284" s="329"/>
      <c r="G284" s="329"/>
      <c r="H284" s="329"/>
      <c r="I284" s="325"/>
      <c r="J284" s="325"/>
      <c r="K284" s="325"/>
      <c r="L284" s="329"/>
      <c r="M284" s="325"/>
      <c r="N284" s="325"/>
      <c r="O284" s="325"/>
      <c r="P284" s="325"/>
      <c r="Q284" s="328"/>
      <c r="R284" s="329"/>
      <c r="S284" s="325"/>
      <c r="T284" s="325"/>
      <c r="U284" s="325"/>
      <c r="V284" s="330"/>
      <c r="W284" s="331"/>
      <c r="X284" s="325"/>
      <c r="Y284" s="325"/>
      <c r="Z284" s="325"/>
      <c r="AA284" s="332"/>
      <c r="AB284" s="325"/>
      <c r="AC284" s="325"/>
    </row>
    <row r="301" spans="1:29" s="365" customFormat="1" x14ac:dyDescent="0.25">
      <c r="A301" s="325"/>
      <c r="B301" s="325"/>
      <c r="C301" s="325"/>
      <c r="D301" s="329"/>
      <c r="E301" s="329"/>
      <c r="F301" s="329"/>
      <c r="G301" s="329"/>
      <c r="H301" s="329"/>
      <c r="I301" s="325"/>
      <c r="J301" s="325"/>
      <c r="K301" s="325"/>
      <c r="L301" s="329"/>
      <c r="M301" s="325"/>
      <c r="N301" s="325"/>
      <c r="O301" s="325"/>
      <c r="P301" s="325"/>
      <c r="Q301" s="328"/>
      <c r="R301" s="329"/>
      <c r="S301" s="325"/>
      <c r="T301" s="325"/>
      <c r="U301" s="325"/>
      <c r="V301" s="330"/>
      <c r="W301" s="331"/>
      <c r="X301" s="325"/>
      <c r="Y301" s="325"/>
      <c r="Z301" s="325"/>
      <c r="AA301" s="332"/>
      <c r="AB301" s="325"/>
      <c r="AC301" s="325"/>
    </row>
    <row r="313" spans="1:29" s="365" customFormat="1" x14ac:dyDescent="0.25">
      <c r="A313" s="325"/>
      <c r="B313" s="325"/>
      <c r="C313" s="325"/>
      <c r="D313" s="329"/>
      <c r="E313" s="329"/>
      <c r="F313" s="329"/>
      <c r="G313" s="329"/>
      <c r="H313" s="329"/>
      <c r="I313" s="325"/>
      <c r="J313" s="325"/>
      <c r="K313" s="325"/>
      <c r="L313" s="329"/>
      <c r="M313" s="325"/>
      <c r="N313" s="325"/>
      <c r="O313" s="325"/>
      <c r="P313" s="325"/>
      <c r="Q313" s="328"/>
      <c r="R313" s="329"/>
      <c r="S313" s="325"/>
      <c r="T313" s="325"/>
      <c r="U313" s="325"/>
      <c r="V313" s="330"/>
      <c r="W313" s="331"/>
      <c r="X313" s="325"/>
      <c r="Y313" s="325"/>
      <c r="Z313" s="325"/>
      <c r="AA313" s="332"/>
      <c r="AB313" s="325"/>
      <c r="AC313" s="325"/>
    </row>
    <row r="317" spans="1:29" s="365" customFormat="1" x14ac:dyDescent="0.25">
      <c r="A317" s="325"/>
      <c r="B317" s="325"/>
      <c r="C317" s="325"/>
      <c r="D317" s="329"/>
      <c r="E317" s="329"/>
      <c r="F317" s="329"/>
      <c r="G317" s="329"/>
      <c r="H317" s="329"/>
      <c r="I317" s="325"/>
      <c r="J317" s="325"/>
      <c r="K317" s="325"/>
      <c r="L317" s="329"/>
      <c r="M317" s="325"/>
      <c r="N317" s="325"/>
      <c r="O317" s="325"/>
      <c r="P317" s="325"/>
      <c r="Q317" s="328"/>
      <c r="R317" s="329"/>
      <c r="S317" s="325"/>
      <c r="T317" s="325"/>
      <c r="U317" s="325"/>
      <c r="V317" s="330"/>
      <c r="W317" s="331"/>
      <c r="X317" s="325"/>
      <c r="Y317" s="325"/>
      <c r="Z317" s="325"/>
      <c r="AA317" s="332"/>
      <c r="AB317" s="325"/>
      <c r="AC317" s="325"/>
    </row>
    <row r="442" ht="15" customHeight="1" x14ac:dyDescent="0.25"/>
  </sheetData>
  <mergeCells count="1">
    <mergeCell ref="A8:AB8"/>
  </mergeCells>
  <conditionalFormatting sqref="A1:A1048576">
    <cfRule type="duplicateValues" dxfId="52" priority="2"/>
  </conditionalFormatting>
  <conditionalFormatting sqref="A9">
    <cfRule type="duplicateValues" dxfId="51" priority="16"/>
  </conditionalFormatting>
  <conditionalFormatting sqref="A10:A236">
    <cfRule type="duplicateValues" dxfId="50" priority="18"/>
  </conditionalFormatting>
  <conditionalFormatting sqref="A10:A242">
    <cfRule type="duplicateValues" dxfId="49" priority="17"/>
  </conditionalFormatting>
  <conditionalFormatting sqref="A28:A234">
    <cfRule type="duplicateValues" dxfId="48" priority="15"/>
  </conditionalFormatting>
  <conditionalFormatting sqref="A54">
    <cfRule type="duplicateValues" dxfId="47" priority="7"/>
    <cfRule type="duplicateValues" dxfId="46" priority="8"/>
  </conditionalFormatting>
  <conditionalFormatting sqref="A56">
    <cfRule type="duplicateValues" dxfId="45" priority="6"/>
  </conditionalFormatting>
  <conditionalFormatting sqref="A72:A75">
    <cfRule type="duplicateValues" dxfId="44" priority="9"/>
    <cfRule type="duplicateValues" dxfId="43" priority="10"/>
    <cfRule type="duplicateValues" dxfId="42" priority="11"/>
    <cfRule type="duplicateValues" dxfId="41" priority="12"/>
    <cfRule type="duplicateValues" dxfId="40" priority="13"/>
  </conditionalFormatting>
  <conditionalFormatting sqref="A86:A87 A91:A94">
    <cfRule type="duplicateValues" dxfId="39" priority="5"/>
  </conditionalFormatting>
  <conditionalFormatting sqref="A88:A90">
    <cfRule type="duplicateValues" dxfId="38" priority="3"/>
  </conditionalFormatting>
  <conditionalFormatting sqref="N10:N242">
    <cfRule type="cellIs" dxfId="37" priority="1" operator="equal">
      <formula>0</formula>
    </cfRule>
  </conditionalFormatting>
  <conditionalFormatting sqref="AA10:AA242">
    <cfRule type="expression" dxfId="36" priority="14">
      <formula>AA10&lt;&gt;Z10</formula>
    </cfRule>
  </conditionalFormatting>
  <printOptions horizontalCentered="1"/>
  <pageMargins left="0.45" right="0.45" top="0.5" bottom="0.5" header="0.3" footer="0.3"/>
  <pageSetup scale="95" orientation="landscape" verticalDpi="1200" r:id="rId1"/>
  <headerFooter>
    <oddHeader>&amp;A</oddHeader>
    <oddFooter>&amp;L&amp;B Confidential&amp;B&amp;C&amp;D&amp;RPage &amp;P</oddFooter>
  </headerFooter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4FA5D-DCE5-44EC-A168-6C93ACA026AD}">
  <sheetPr>
    <tabColor theme="7" tint="0.59999389629810485"/>
  </sheetPr>
  <dimension ref="A1:H8"/>
  <sheetViews>
    <sheetView workbookViewId="0">
      <selection activeCell="H15" sqref="H15"/>
    </sheetView>
  </sheetViews>
  <sheetFormatPr defaultRowHeight="15" x14ac:dyDescent="0.25"/>
  <cols>
    <col min="1" max="1" width="24.28515625" bestFit="1" customWidth="1"/>
    <col min="2" max="2" width="5.42578125" bestFit="1" customWidth="1"/>
    <col min="3" max="3" width="13.42578125" bestFit="1" customWidth="1"/>
    <col min="4" max="4" width="8" bestFit="1" customWidth="1"/>
    <col min="5" max="5" width="9.7109375" bestFit="1" customWidth="1"/>
    <col min="6" max="6" width="12.5703125" bestFit="1" customWidth="1"/>
    <col min="7" max="7" width="9.28515625" bestFit="1" customWidth="1"/>
    <col min="8" max="8" width="12.7109375" bestFit="1" customWidth="1"/>
  </cols>
  <sheetData>
    <row r="1" spans="1:8" x14ac:dyDescent="0.25">
      <c r="A1" s="28" t="s">
        <v>249</v>
      </c>
      <c r="B1" s="28" t="s">
        <v>276</v>
      </c>
      <c r="C1" s="28" t="s">
        <v>277</v>
      </c>
      <c r="D1" s="28" t="s">
        <v>278</v>
      </c>
      <c r="E1" s="28" t="s">
        <v>279</v>
      </c>
      <c r="F1" s="28" t="s">
        <v>280</v>
      </c>
      <c r="G1" s="28" t="s">
        <v>281</v>
      </c>
      <c r="H1" s="28" t="s">
        <v>282</v>
      </c>
    </row>
    <row r="2" spans="1:8" x14ac:dyDescent="0.25">
      <c r="A2" s="28" t="s">
        <v>133</v>
      </c>
      <c r="B2" s="28">
        <v>8</v>
      </c>
      <c r="C2" s="135">
        <f>IFERROR(SUMIF(Food!A:A,A2,Food!AB:AB),"")</f>
        <v>0</v>
      </c>
      <c r="D2" s="137">
        <f>+FlightConfig!B5</f>
        <v>0</v>
      </c>
      <c r="E2" s="135" t="str">
        <f t="shared" ref="E2:E7" si="0">IFERROR(C2/D2,"")</f>
        <v/>
      </c>
      <c r="F2" s="134">
        <f>FlightConfig!$K$3</f>
        <v>364</v>
      </c>
      <c r="G2" s="28">
        <f>F2*FlightConfig!B3</f>
        <v>0</v>
      </c>
      <c r="H2" s="135">
        <f>SUMIF(Food!A:A,A2,Food!AI:AI)</f>
        <v>0</v>
      </c>
    </row>
    <row r="3" spans="1:8" x14ac:dyDescent="0.25">
      <c r="A3" s="28" t="s">
        <v>134</v>
      </c>
      <c r="B3" s="28">
        <v>8</v>
      </c>
      <c r="C3" s="135">
        <f>IFERROR(SUMIF(Food!A:A,A3,Food!AB:AB),"")</f>
        <v>2120.3782810417993</v>
      </c>
      <c r="D3" s="137">
        <f>+FlightConfig!C5</f>
        <v>26</v>
      </c>
      <c r="E3" s="135">
        <f t="shared" si="0"/>
        <v>81.553010809299977</v>
      </c>
      <c r="F3" s="134">
        <f>FlightConfig!$K$3</f>
        <v>364</v>
      </c>
      <c r="G3" s="28">
        <f>FlightConfig!C3*'Avg Per Flight'!F3</f>
        <v>11648</v>
      </c>
      <c r="H3" s="135">
        <f>SUMIF(Food!A:A,A3,Food!AI:AI)</f>
        <v>771817.69429921475</v>
      </c>
    </row>
    <row r="4" spans="1:8" x14ac:dyDescent="0.25">
      <c r="A4" s="28" t="s">
        <v>136</v>
      </c>
      <c r="B4" s="28">
        <v>8</v>
      </c>
      <c r="C4" s="135">
        <f>IFERROR(SUMIF(Food!A:A,A4,Food!AB:AB),"")</f>
        <v>3592.7952523426397</v>
      </c>
      <c r="D4" s="137">
        <f>+FlightConfig!E5</f>
        <v>140</v>
      </c>
      <c r="E4" s="135">
        <f t="shared" si="0"/>
        <v>25.662823231018855</v>
      </c>
      <c r="F4" s="134">
        <f>FlightConfig!$K$3</f>
        <v>364</v>
      </c>
      <c r="G4" s="28">
        <f>F4*FlightConfig!E3</f>
        <v>63336</v>
      </c>
      <c r="H4" s="135">
        <f>SUMIF(Food!A:A,A4,Food!AI:AI)</f>
        <v>1307777.4718527207</v>
      </c>
    </row>
    <row r="5" spans="1:8" x14ac:dyDescent="0.25">
      <c r="A5" s="28" t="s">
        <v>246</v>
      </c>
      <c r="B5" s="28">
        <v>8</v>
      </c>
      <c r="C5" s="135">
        <f>IFERROR(SUMIF(Food!A:A,A5,Food!AB:AB),"")</f>
        <v>324.44591096101868</v>
      </c>
      <c r="D5" s="137">
        <f>+FlightConfig!G5</f>
        <v>7</v>
      </c>
      <c r="E5" s="135">
        <f t="shared" si="0"/>
        <v>46.349415851574101</v>
      </c>
      <c r="F5" s="134">
        <f>FlightConfig!$K$3</f>
        <v>364</v>
      </c>
      <c r="G5" s="28">
        <f>F5*FlightConfig!G3</f>
        <v>2912</v>
      </c>
      <c r="H5" s="135">
        <f>SUMIF(Food!A:A,A5,Food!AI:AI)</f>
        <v>118098.31158981082</v>
      </c>
    </row>
    <row r="6" spans="1:8" x14ac:dyDescent="0.25">
      <c r="A6" s="28" t="s">
        <v>135</v>
      </c>
      <c r="B6" s="28">
        <v>8</v>
      </c>
      <c r="C6" s="135">
        <f>IFERROR(SUMIF(Food!A:A,A6,Food!AB:AB),"")</f>
        <v>2200.6844855735199</v>
      </c>
      <c r="D6" s="137">
        <f>+FlightConfig!D5</f>
        <v>45</v>
      </c>
      <c r="E6" s="135">
        <f t="shared" si="0"/>
        <v>48.904099679411551</v>
      </c>
      <c r="F6" s="134">
        <f>FlightConfig!$K$3</f>
        <v>364</v>
      </c>
      <c r="G6" s="28">
        <f>F6*FlightConfig!D3</f>
        <v>20384</v>
      </c>
      <c r="H6" s="135">
        <f>SUMIF(Food!A:A,A6,Food!AI:AI)</f>
        <v>801049.152748761</v>
      </c>
    </row>
    <row r="7" spans="1:8" x14ac:dyDescent="0.25">
      <c r="A7" s="28" t="s">
        <v>137</v>
      </c>
      <c r="B7" s="28">
        <v>8</v>
      </c>
      <c r="C7" s="135">
        <f>IFERROR(SUMIF(Food!A:A,A7,Food!AB:AB),"")</f>
        <v>93.209321340171883</v>
      </c>
      <c r="D7" s="137">
        <f>+FlightConfig!F5</f>
        <v>2</v>
      </c>
      <c r="E7" s="135">
        <f t="shared" si="0"/>
        <v>46.604660670085941</v>
      </c>
      <c r="F7" s="134">
        <f>FlightConfig!$K$3</f>
        <v>364</v>
      </c>
      <c r="G7" s="28">
        <f>F7*2</f>
        <v>728</v>
      </c>
      <c r="H7" s="135">
        <f>SUMIF(Food!A:A,A7,Food!AI:AI)</f>
        <v>33928.192967822557</v>
      </c>
    </row>
    <row r="8" spans="1:8" x14ac:dyDescent="0.25">
      <c r="A8" s="28" t="s">
        <v>283</v>
      </c>
      <c r="B8" s="28">
        <v>8</v>
      </c>
      <c r="C8" s="28">
        <f>IFERROR(SUMIF(Food!A:A,A8,Food!AB:AB),"")</f>
        <v>0</v>
      </c>
      <c r="D8" s="138">
        <v>1</v>
      </c>
      <c r="E8" s="28">
        <f>IFERROR(C8*D8,"")</f>
        <v>0</v>
      </c>
      <c r="F8" s="134">
        <f>FlightConfig!$K$3</f>
        <v>364</v>
      </c>
      <c r="G8" s="28">
        <v>312</v>
      </c>
      <c r="H8" s="135">
        <f>SUMIF(Food!A:A,A8,Food!AI:AI)</f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2478ca-ca2d-4d01-83eb-90396d5625e9">
      <Terms xmlns="http://schemas.microsoft.com/office/infopath/2007/PartnerControls"/>
    </lcf76f155ced4ddcb4097134ff3c332f>
    <TaxCatchAll xmlns="70b03f2f-74c7-4926-a36d-d4bdb9e02d4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95482D03-F0D8-4DF0-95DC-EFF181A80878}">
  <ds:schemaRefs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8be24d1f-f08e-46a7-9c6b-0452813a2a77"/>
    <ds:schemaRef ds:uri="http://purl.org/dc/dcmitype/"/>
    <ds:schemaRef ds:uri="1cca795c-b702-4d9c-a00f-4ea8e3fb1866"/>
    <ds:schemaRef ds:uri="http://purl.org/dc/terms/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6FABCEC8-3000-47FD-8973-9AC62387F3B2}"/>
</file>

<file path=customXml/itemProps3.xml><?xml version="1.0" encoding="utf-8"?>
<ds:datastoreItem xmlns:ds="http://schemas.openxmlformats.org/officeDocument/2006/customXml" ds:itemID="{3F3B5CB5-B639-438A-A8B5-816D0B474C1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EDCC733-EB20-40D2-A2CA-7B85FDB740F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P&amp;L</vt:lpstr>
      <vt:lpstr>Bid Assumption </vt:lpstr>
      <vt:lpstr>Summary </vt:lpstr>
      <vt:lpstr>Summary Short Haul</vt:lpstr>
      <vt:lpstr>Summary Long Haul</vt:lpstr>
      <vt:lpstr>Summary  735</vt:lpstr>
      <vt:lpstr>Summary 2221</vt:lpstr>
      <vt:lpstr>Summary 2439</vt:lpstr>
      <vt:lpstr>Summary 2682</vt:lpstr>
      <vt:lpstr>Summary 2855</vt:lpstr>
      <vt:lpstr>Summary</vt:lpstr>
      <vt:lpstr>Summary 2037</vt:lpstr>
      <vt:lpstr>Summary 2817</vt:lpstr>
      <vt:lpstr>Handling</vt:lpstr>
      <vt:lpstr>FlightConfig</vt:lpstr>
      <vt:lpstr>Food</vt:lpstr>
      <vt:lpstr>FG MASTER</vt:lpstr>
      <vt:lpstr>Avg Per Flight</vt:lpstr>
      <vt:lpstr>'FG MASTER'!Print_Area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Preetham Rajupeta</dc:creator>
  <cp:keywords/>
  <dc:description/>
  <cp:lastModifiedBy>Sue  Lu</cp:lastModifiedBy>
  <cp:revision/>
  <dcterms:created xsi:type="dcterms:W3CDTF">2021-04-30T01:45:45Z</dcterms:created>
  <dcterms:modified xsi:type="dcterms:W3CDTF">2024-10-14T14:04:16Z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  <property fmtid="{D5CDD505-2E9C-101B-9397-08002B2CF9AE}" pid="3" name="MediaServiceImageTags">
    <vt:lpwstr/>
  </property>
</Properties>
</file>