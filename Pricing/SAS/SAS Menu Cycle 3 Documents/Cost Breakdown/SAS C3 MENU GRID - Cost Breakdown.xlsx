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goldberggroup.sharepoint.com/sites/ScandinavianAirlines/Shared Documents/General/SAS Menu Cycle 3 Documents/"/>
    </mc:Choice>
  </mc:AlternateContent>
  <xr:revisionPtr revIDLastSave="676" documentId="8_{0B6A2A6E-0B27-4A77-843C-620D2E1BDDBC}" xr6:coauthVersionLast="47" xr6:coauthVersionMax="47" xr10:uidLastSave="{14B22CAD-5D4A-49A6-B456-D212957C28C2}"/>
  <bookViews>
    <workbookView xWindow="67080" yWindow="-240" windowWidth="38640" windowHeight="21120" activeTab="4" xr2:uid="{AACAC2DE-DE14-48E2-BB41-7EEDE298DE98}"/>
  </bookViews>
  <sheets>
    <sheet name="CS C C1-3" sheetId="1" r:id="rId1"/>
    <sheet name="Express Tray Set up" sheetId="11" r:id="rId2"/>
    <sheet name="CS Y C1-3" sheetId="3" r:id="rId3"/>
    <sheet name="CS M C1-3" sheetId="4" r:id="rId4"/>
    <sheet name="CS P K C3" sheetId="5" r:id="rId5"/>
    <sheet name="BC - Special Meals" sheetId="7" r:id="rId6"/>
    <sheet name="PLUS SPECIAL MEALS" sheetId="8" r:id="rId7"/>
    <sheet name="ECONOMY GO SPML" sheetId="10" r:id="rId8"/>
    <sheet name="CREW SPML" sheetId="9" r:id="rId9"/>
    <sheet name="Sheet1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5" l="1"/>
  <c r="G15" i="5"/>
  <c r="G8" i="5"/>
  <c r="G109" i="5"/>
  <c r="G103" i="5"/>
  <c r="G102" i="5"/>
  <c r="G101" i="5"/>
  <c r="G100" i="5"/>
  <c r="G99" i="5"/>
  <c r="G98" i="5"/>
  <c r="G95" i="5"/>
  <c r="G94" i="5"/>
  <c r="G93" i="5"/>
  <c r="G92" i="5"/>
  <c r="G96" i="5" s="1"/>
  <c r="G91" i="5"/>
  <c r="G88" i="5"/>
  <c r="G87" i="5"/>
  <c r="G86" i="5"/>
  <c r="G85" i="5"/>
  <c r="G82" i="5"/>
  <c r="G81" i="5"/>
  <c r="G80" i="5"/>
  <c r="G79" i="5"/>
  <c r="G76" i="5"/>
  <c r="G75" i="5"/>
  <c r="G74" i="5"/>
  <c r="G73" i="5"/>
  <c r="G77" i="5" s="1"/>
  <c r="G72" i="5"/>
  <c r="G69" i="5"/>
  <c r="G68" i="5"/>
  <c r="G67" i="5"/>
  <c r="G66" i="5"/>
  <c r="G65" i="5"/>
  <c r="G62" i="5"/>
  <c r="G61" i="5"/>
  <c r="G60" i="5"/>
  <c r="G59" i="5"/>
  <c r="G63" i="5" s="1"/>
  <c r="G56" i="5"/>
  <c r="G55" i="5"/>
  <c r="G54" i="5"/>
  <c r="G53" i="5"/>
  <c r="G50" i="5"/>
  <c r="G49" i="5"/>
  <c r="G48" i="5"/>
  <c r="G47" i="5"/>
  <c r="G44" i="5"/>
  <c r="G43" i="5"/>
  <c r="G42" i="5"/>
  <c r="G41" i="5"/>
  <c r="G45" i="5" s="1"/>
  <c r="G37" i="5"/>
  <c r="G36" i="5"/>
  <c r="G35" i="5"/>
  <c r="G34" i="5"/>
  <c r="G33" i="5"/>
  <c r="G32" i="5"/>
  <c r="G29" i="5"/>
  <c r="G28" i="5"/>
  <c r="G27" i="5"/>
  <c r="G26" i="5"/>
  <c r="G25" i="5"/>
  <c r="G24" i="5"/>
  <c r="G21" i="5"/>
  <c r="G20" i="5"/>
  <c r="G19" i="5"/>
  <c r="G18" i="5"/>
  <c r="G17" i="5"/>
  <c r="G14" i="5"/>
  <c r="G13" i="5"/>
  <c r="G12" i="5"/>
  <c r="G11" i="5"/>
  <c r="G10" i="5"/>
  <c r="G7" i="5"/>
  <c r="G6" i="5"/>
  <c r="G5" i="5"/>
  <c r="G91" i="1"/>
  <c r="G88" i="1"/>
  <c r="G87" i="1"/>
  <c r="G84" i="1"/>
  <c r="G83" i="1"/>
  <c r="G82" i="1"/>
  <c r="G81" i="1"/>
  <c r="F43" i="3"/>
  <c r="G19" i="4"/>
  <c r="G18" i="4"/>
  <c r="F19" i="4"/>
  <c r="F66" i="1"/>
  <c r="F62" i="1"/>
  <c r="F61" i="1"/>
  <c r="F60" i="1"/>
  <c r="F57" i="1"/>
  <c r="F56" i="1"/>
  <c r="F55" i="1"/>
  <c r="F54" i="1"/>
  <c r="F50" i="1"/>
  <c r="F49" i="1"/>
  <c r="F47" i="1"/>
  <c r="F43" i="1"/>
  <c r="F42" i="1"/>
  <c r="F41" i="1"/>
  <c r="F36" i="1"/>
  <c r="F33" i="1"/>
  <c r="F32" i="1"/>
  <c r="F31" i="1"/>
  <c r="F25" i="1"/>
  <c r="F24" i="1"/>
  <c r="F22" i="1"/>
  <c r="F23" i="1"/>
  <c r="G83" i="5" l="1"/>
  <c r="G89" i="5"/>
  <c r="G70" i="5"/>
  <c r="G57" i="5"/>
  <c r="G51" i="5"/>
  <c r="G38" i="5"/>
  <c r="G44" i="4"/>
  <c r="G39" i="4"/>
  <c r="G36" i="4"/>
  <c r="G33" i="4"/>
  <c r="G29" i="4"/>
  <c r="G22" i="4"/>
  <c r="F71" i="3"/>
  <c r="F68" i="3"/>
  <c r="F44" i="3"/>
  <c r="F57" i="3" s="1"/>
  <c r="F41" i="3"/>
  <c r="F37" i="3"/>
  <c r="F30" i="3"/>
  <c r="F23" i="3"/>
  <c r="F19" i="3"/>
  <c r="G124" i="1"/>
  <c r="G119" i="1"/>
  <c r="G110" i="1"/>
  <c r="G98" i="1"/>
  <c r="G92" i="1"/>
  <c r="G89" i="1"/>
  <c r="G79" i="1"/>
  <c r="G76" i="1"/>
  <c r="G67" i="1"/>
  <c r="G19" i="1"/>
  <c r="G15" i="1"/>
  <c r="G43" i="4"/>
  <c r="G42" i="4"/>
  <c r="G41" i="4"/>
  <c r="G38" i="4"/>
  <c r="G35" i="4"/>
  <c r="G32" i="4"/>
  <c r="G31" i="4"/>
  <c r="G28" i="4"/>
  <c r="G27" i="4"/>
  <c r="G26" i="4"/>
  <c r="G25" i="4"/>
  <c r="G24" i="4"/>
  <c r="G21" i="4"/>
  <c r="G20" i="4"/>
  <c r="F70" i="3"/>
  <c r="F67" i="3"/>
  <c r="F66" i="3"/>
  <c r="F65" i="3"/>
  <c r="F64" i="3"/>
  <c r="F63" i="3"/>
  <c r="F62" i="3"/>
  <c r="F61" i="3"/>
  <c r="F60" i="3"/>
  <c r="F59" i="3"/>
  <c r="F40" i="3"/>
  <c r="F39" i="3"/>
  <c r="F36" i="3"/>
  <c r="F35" i="3"/>
  <c r="F34" i="3"/>
  <c r="F33" i="3"/>
  <c r="F32" i="3"/>
  <c r="F29" i="3"/>
  <c r="F28" i="3"/>
  <c r="F27" i="3"/>
  <c r="F26" i="3"/>
  <c r="F25" i="3"/>
  <c r="F22" i="3"/>
  <c r="F21" i="3"/>
  <c r="G128" i="1"/>
  <c r="G127" i="1"/>
  <c r="G126" i="1"/>
  <c r="G129" i="1" s="1"/>
  <c r="G123" i="1"/>
  <c r="G122" i="1"/>
  <c r="G121" i="1"/>
  <c r="G118" i="1"/>
  <c r="G117" i="1"/>
  <c r="G116" i="1"/>
  <c r="G115" i="1"/>
  <c r="G114" i="1"/>
  <c r="G113" i="1"/>
  <c r="G112" i="1"/>
  <c r="G109" i="1"/>
  <c r="G108" i="1"/>
  <c r="G107" i="1"/>
  <c r="G106" i="1"/>
  <c r="G105" i="1"/>
  <c r="G104" i="1"/>
  <c r="G103" i="1"/>
  <c r="G102" i="1"/>
  <c r="G101" i="1"/>
  <c r="G100" i="1"/>
  <c r="G97" i="1"/>
  <c r="G96" i="1"/>
  <c r="G95" i="1"/>
  <c r="G94" i="1"/>
  <c r="G85" i="1"/>
  <c r="G78" i="1"/>
  <c r="G75" i="1"/>
  <c r="G74" i="1"/>
  <c r="G73" i="1"/>
  <c r="G70" i="1"/>
  <c r="G69" i="1"/>
  <c r="G66" i="1"/>
  <c r="G63" i="1"/>
  <c r="G62" i="1"/>
  <c r="G61" i="1"/>
  <c r="G60" i="1"/>
  <c r="G57" i="1"/>
  <c r="G56" i="1"/>
  <c r="G55" i="1"/>
  <c r="G54" i="1"/>
  <c r="G53" i="1"/>
  <c r="G50" i="1"/>
  <c r="G49" i="1"/>
  <c r="G48" i="1"/>
  <c r="G47" i="1"/>
  <c r="G46" i="1"/>
  <c r="G43" i="1"/>
  <c r="G42" i="1"/>
  <c r="G41" i="1"/>
  <c r="G40" i="1"/>
  <c r="G39" i="1"/>
  <c r="G36" i="1"/>
  <c r="G37" i="1" s="1"/>
  <c r="G33" i="1"/>
  <c r="G32" i="1"/>
  <c r="G31" i="1"/>
  <c r="G30" i="1"/>
  <c r="G27" i="1"/>
  <c r="G26" i="1"/>
  <c r="G25" i="1"/>
  <c r="G24" i="1"/>
  <c r="G23" i="1"/>
  <c r="G22" i="1"/>
  <c r="G28" i="1" s="1"/>
  <c r="G21" i="1"/>
  <c r="G18" i="1"/>
  <c r="G17" i="1"/>
  <c r="G16" i="1"/>
  <c r="G14" i="1"/>
  <c r="G13" i="1"/>
  <c r="G11" i="1"/>
  <c r="G12" i="1" s="1"/>
  <c r="G64" i="1" l="1"/>
  <c r="G58" i="1"/>
  <c r="G51" i="1"/>
  <c r="G44" i="1"/>
  <c r="G34" i="1"/>
</calcChain>
</file>

<file path=xl/sharedStrings.xml><?xml version="1.0" encoding="utf-8"?>
<sst xmlns="http://schemas.openxmlformats.org/spreadsheetml/2006/main" count="2620" uniqueCount="439">
  <si>
    <t>BUSINESS CLASS - Max 32 pax</t>
  </si>
  <si>
    <t>SAS IFX Description</t>
  </si>
  <si>
    <t>Weight / Pc</t>
  </si>
  <si>
    <t>Unit of M</t>
  </si>
  <si>
    <t>Load Ratio</t>
  </si>
  <si>
    <t>Quality, brand, supplier, origin, comments</t>
  </si>
  <si>
    <t>IC C S1 CUTLERY C2</t>
  </si>
  <si>
    <t xml:space="preserve">Food Cost </t>
  </si>
  <si>
    <t>Food Waste</t>
  </si>
  <si>
    <t xml:space="preserve">Napkin/Tablecloth, Poly/Cotton, Grey </t>
  </si>
  <si>
    <t>Pc</t>
  </si>
  <si>
    <t>Bulk Packed - Drawer Interior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</si>
  <si>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</si>
  <si>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</si>
  <si>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</si>
  <si>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</si>
  <si>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</si>
  <si>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IC C S1 SALAD C3</t>
  </si>
  <si>
    <t xml:space="preserve">Mesclun Mixed Greens </t>
  </si>
  <si>
    <t>gm</t>
  </si>
  <si>
    <t>250 gm bag-10 pax  1 bag per 10 pax -2 Bag minimum 2 Cabins</t>
  </si>
  <si>
    <t>IC C S1 SA GARNISH C3</t>
  </si>
  <si>
    <t>Savory Granola</t>
  </si>
  <si>
    <t xml:space="preserve"> *PAX  Bulk Packed 2 min Wrapped Bowl with salad</t>
  </si>
  <si>
    <t>IC C S1+S2 BUTTER C3</t>
  </si>
  <si>
    <t xml:space="preserve">Premium Whipped Butter </t>
  </si>
  <si>
    <t>Bulk Packed Both Services</t>
  </si>
  <si>
    <t>Maldon Flaky Salt</t>
  </si>
  <si>
    <t>IC C S1 ST-A MEAT C3</t>
  </si>
  <si>
    <t>Grilled Peaches Wrapped with Proscuttio Ham</t>
  </si>
  <si>
    <t>Made in House</t>
  </si>
  <si>
    <t>Mozzarella</t>
  </si>
  <si>
    <t>Arugula</t>
  </si>
  <si>
    <t>Balsamic Pearls</t>
  </si>
  <si>
    <t>Christine Le Tennier - Purchase</t>
  </si>
  <si>
    <t>Olive Oil</t>
  </si>
  <si>
    <t>IC C S1 ST-B FISH C3</t>
  </si>
  <si>
    <t>Seared Ahi Tuna</t>
  </si>
  <si>
    <t>Poached Fingerling</t>
  </si>
  <si>
    <t>Confit Tomato</t>
  </si>
  <si>
    <t>Caper Garlic Aioli</t>
  </si>
  <si>
    <t>IC C S1 ST GARNISH C3</t>
  </si>
  <si>
    <t>Crispy Tortilla Strips</t>
  </si>
  <si>
    <t>Bulk Pack Bowl</t>
  </si>
  <si>
    <t>IC C S1 HM-A MEAT C3</t>
  </si>
  <si>
    <t>Smoked Short Rib</t>
  </si>
  <si>
    <t>MADE IN HOUSE / cetified angus Beef</t>
  </si>
  <si>
    <t>BBQ Jus</t>
  </si>
  <si>
    <t>Carmelized Onion Jam</t>
  </si>
  <si>
    <t>Riverview Farms Stone Ground Grits</t>
  </si>
  <si>
    <t>MADE IN HOUSE</t>
  </si>
  <si>
    <t>Sweet Corn Succotash</t>
  </si>
  <si>
    <t>IC C S1 HM-C POULTRY C3</t>
  </si>
  <si>
    <t>Hot Honey Glazed Chicken Thigh</t>
  </si>
  <si>
    <t>Bell and Evans Organic /PRODUCED IN HOUSE</t>
  </si>
  <si>
    <t>Roasted Tricolor Peppers</t>
  </si>
  <si>
    <t>Hot Honey Glaze</t>
  </si>
  <si>
    <t>Sweet Potato Risotto</t>
  </si>
  <si>
    <t>Garlic Broccoli</t>
  </si>
  <si>
    <t xml:space="preserve">MADE IN HOUSE </t>
  </si>
  <si>
    <t>IC C S1 HM-D VEG C3</t>
  </si>
  <si>
    <t xml:space="preserve">Pasta Mami Goat Cheese Apple Ravioli </t>
  </si>
  <si>
    <t>4 x 25</t>
  </si>
  <si>
    <t>PASTA MAMI LOCAL PREMIUM</t>
  </si>
  <si>
    <t>Agrodolce Squash Puree</t>
  </si>
  <si>
    <t>PREMIUM</t>
  </si>
  <si>
    <t>Toasted Georgia Pecans</t>
  </si>
  <si>
    <t>Scallions</t>
  </si>
  <si>
    <t>Sauteed Kale</t>
  </si>
  <si>
    <t>IC C S1 HM - Pre Select ONLY -FISH</t>
  </si>
  <si>
    <t>Miso Glazed King Salmon</t>
  </si>
  <si>
    <t>Pre-Select</t>
  </si>
  <si>
    <t>MADE IN HOUSE Certificaton Wild Caught</t>
  </si>
  <si>
    <t>Shitake Sticky Rice</t>
  </si>
  <si>
    <t>Baby Bok Choy</t>
  </si>
  <si>
    <t>Soy Ginger Broth</t>
  </si>
  <si>
    <t>IC C S1 HM GARNISH C3</t>
  </si>
  <si>
    <t xml:space="preserve">Pickled Diakon </t>
  </si>
  <si>
    <t>Bulk Load Rimmed Garnish Bowl</t>
  </si>
  <si>
    <t>IC C S1 DE CHEESE C3</t>
  </si>
  <si>
    <t>Sweet Grass Dairy Griffin</t>
  </si>
  <si>
    <t>8x20</t>
  </si>
  <si>
    <t>2  min</t>
  </si>
  <si>
    <t xml:space="preserve">Bulk Load LOCAL </t>
  </si>
  <si>
    <t>Sweet Grass Asher Blue</t>
  </si>
  <si>
    <t xml:space="preserve">LOCAL </t>
  </si>
  <si>
    <t>IC C S1 DE CAKE C3</t>
  </si>
  <si>
    <t>Chocolate Mousse Cake</t>
  </si>
  <si>
    <t>2 tray min</t>
  </si>
  <si>
    <t>8 dessert per tray - square platter china</t>
  </si>
  <si>
    <t>Milk Chocolate Mousse</t>
  </si>
  <si>
    <t>1 tray per 10 passsangers</t>
  </si>
  <si>
    <t>White Chocolate Pearls</t>
  </si>
  <si>
    <t>IC C S1 DE CAKE GARNISH C3</t>
  </si>
  <si>
    <t>Strawberry Coulis</t>
  </si>
  <si>
    <t>Bulk Load Rimmed Garnish Bowl  10gm per pax</t>
  </si>
  <si>
    <t>IC C S1 DE FRUIT C3</t>
  </si>
  <si>
    <t>Grapes</t>
  </si>
  <si>
    <t>2 Min</t>
  </si>
  <si>
    <t>Bulk Load square platter china</t>
  </si>
  <si>
    <t>Honeydew (0,75 inch cubes)</t>
  </si>
  <si>
    <t>3-4 Variety Seasonal</t>
  </si>
  <si>
    <t>Cantaloupe (0,75 inch cubes)</t>
  </si>
  <si>
    <t>WATERMELON (0,75 inch cubes)</t>
  </si>
  <si>
    <t>IC C S1 BRD Type 1 C2</t>
  </si>
  <si>
    <t>BAKED IN HOUSE</t>
  </si>
  <si>
    <t>Sourdough</t>
  </si>
  <si>
    <t>10 roll per bag 50/50 light/dark</t>
  </si>
  <si>
    <t>Multi Grain Beer and Cheese Roll</t>
  </si>
  <si>
    <t>IC C S1 BRD Type 2 C2</t>
  </si>
  <si>
    <t>Artisan Baguette Sliced</t>
  </si>
  <si>
    <t>Slices</t>
  </si>
  <si>
    <t>2 FIXED</t>
  </si>
  <si>
    <t xml:space="preserve">Pre-Sliced - Oven Bag </t>
  </si>
  <si>
    <t>Bar Bulk Load</t>
  </si>
  <si>
    <t xml:space="preserve">Celery Stick </t>
  </si>
  <si>
    <t>aCup</t>
  </si>
  <si>
    <t>Plastic Cup</t>
  </si>
  <si>
    <t>Sliced Lemon Half Moon</t>
  </si>
  <si>
    <t>Lemon Wedges</t>
  </si>
  <si>
    <t>Lime Wedges</t>
  </si>
  <si>
    <t>IC C S2 TSU C2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</si>
  <si>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</si>
  <si>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</si>
  <si>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</si>
  <si>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</si>
  <si>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</si>
  <si>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</si>
  <si>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</si>
  <si>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</si>
  <si>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</si>
  <si>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</si>
  <si>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IC C S2 COLD CUTS C3</t>
  </si>
  <si>
    <t>Chive Cream Cheese</t>
  </si>
  <si>
    <t>Gm</t>
  </si>
  <si>
    <t>Beechers Flagship Cheddar</t>
  </si>
  <si>
    <t>2 X 12</t>
  </si>
  <si>
    <t>Herb Roasted Turkey Breast  (Heywoods)</t>
  </si>
  <si>
    <t xml:space="preserve"> WHOLE MUSCLE PREMIUM LOCAL</t>
  </si>
  <si>
    <t>Salami Calbrese</t>
  </si>
  <si>
    <t>Leaf Lettuce</t>
  </si>
  <si>
    <t xml:space="preserve">Fresh cucumber batons x 2  </t>
  </si>
  <si>
    <t>2x 5</t>
  </si>
  <si>
    <t xml:space="preserve"> </t>
  </si>
  <si>
    <t>Cherry Tomato</t>
  </si>
  <si>
    <t>2 x 10</t>
  </si>
  <si>
    <t>IC C S2 FRUIT C3</t>
  </si>
  <si>
    <t>Bercher Muesli</t>
  </si>
  <si>
    <t>IQF Georgia Peaches</t>
  </si>
  <si>
    <t>Blueberries</t>
  </si>
  <si>
    <t xml:space="preserve">IC C S3 BRD </t>
  </si>
  <si>
    <t>Mini Croissant</t>
  </si>
  <si>
    <t>pastry box</t>
  </si>
  <si>
    <t>Sourdough Roll</t>
  </si>
  <si>
    <t>Mini Bagel</t>
  </si>
  <si>
    <t>BUSINESS CLASS - 1st service express tray 4 TSU per flight</t>
  </si>
  <si>
    <t>IC C S1 SALAD C2</t>
  </si>
  <si>
    <t>Toasted Sunflower Seeds</t>
  </si>
  <si>
    <t>IC C S1+S2 BUTTER C2</t>
  </si>
  <si>
    <t>Jam</t>
  </si>
  <si>
    <r>
      <t xml:space="preserve">Concept: </t>
    </r>
    <r>
      <rPr>
        <b/>
        <sz val="10"/>
        <color theme="1"/>
        <rFont val="Aptos Narrow"/>
        <family val="2"/>
        <scheme val="minor"/>
      </rPr>
      <t>01JUN24</t>
    </r>
    <r>
      <rPr>
        <sz val="10"/>
        <color theme="1"/>
        <rFont val="Aptos Narrow"/>
        <family val="2"/>
        <scheme val="minor"/>
      </rPr>
      <t xml:space="preserve"> | Version: 1 | Updated: 15DEC</t>
    </r>
    <r>
      <rPr>
        <b/>
        <sz val="10"/>
        <color theme="1"/>
        <rFont val="Aptos Narrow"/>
        <family val="2"/>
        <scheme val="minor"/>
      </rPr>
      <t>23</t>
    </r>
    <r>
      <rPr>
        <sz val="10"/>
        <color theme="1"/>
        <rFont val="Aptos Narrow"/>
        <family val="2"/>
        <scheme val="minor"/>
      </rPr>
      <t xml:space="preserve"> Currency USD</t>
    </r>
  </si>
  <si>
    <t>PLUS (PREMIUM ECO) MAX - 57 PAX</t>
  </si>
  <si>
    <t>IC Y S1 TSU C2</t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</si>
  <si>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</si>
  <si>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</si>
  <si>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</si>
  <si>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</si>
  <si>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</si>
  <si>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</si>
  <si>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</si>
  <si>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</si>
  <si>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</si>
  <si>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</si>
  <si>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</si>
  <si>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Portioned packed cheese 15 g</t>
  </si>
  <si>
    <t>IC Y S1 ST C3</t>
  </si>
  <si>
    <t>Herb Grilled Chicken Breast</t>
  </si>
  <si>
    <t>Quinoa Pickled Vegetable Salad</t>
  </si>
  <si>
    <t>IC Y S1 HM-A C3</t>
  </si>
  <si>
    <t>Shrimp Etouffee</t>
  </si>
  <si>
    <t>Etouffee Sauce</t>
  </si>
  <si>
    <t>Cajun Seasoned Rice</t>
  </si>
  <si>
    <t>Roasted Peppers, Onions and Okra</t>
  </si>
  <si>
    <t>IC Y/M S1 HM-B C3</t>
  </si>
  <si>
    <t>BBQ Grilled Chicken Thigh</t>
  </si>
  <si>
    <t>Georgia Style BBQ Sauce</t>
  </si>
  <si>
    <t>Fire Roasted Corn Succotash</t>
  </si>
  <si>
    <t>Maple Sweet Potato Mash</t>
  </si>
  <si>
    <t>IC Y S1 DE C3</t>
  </si>
  <si>
    <t>Mini Pumpkin Pie</t>
  </si>
  <si>
    <t>Pumpkin Spice Crème Fraiche</t>
  </si>
  <si>
    <t>BRD Y S1  C3</t>
  </si>
  <si>
    <t>Six Grain Roll</t>
  </si>
  <si>
    <t>SECOND SERVICE</t>
  </si>
  <si>
    <t>IC Y S2 TSU C3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</si>
  <si>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</si>
  <si>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</si>
  <si>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</si>
  <si>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</si>
  <si>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</si>
  <si>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</si>
  <si>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</si>
  <si>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</si>
  <si>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</si>
  <si>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</si>
  <si>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>IC Y S2 BREAKFAST PLATE C3</t>
  </si>
  <si>
    <t>Aged White Cheddar</t>
  </si>
  <si>
    <t>Hard boiled egg half</t>
  </si>
  <si>
    <t xml:space="preserve">Cherry tomato </t>
  </si>
  <si>
    <t>Cucumber Batons</t>
  </si>
  <si>
    <t>2x 10</t>
  </si>
  <si>
    <t>Cantaloupe Wedge</t>
  </si>
  <si>
    <t>pc</t>
  </si>
  <si>
    <t>Pineapple</t>
  </si>
  <si>
    <t>GO (ECONOMY) MAX - 174 PAX</t>
  </si>
  <si>
    <t>IC M S1 TSU C2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</si>
  <si>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</si>
  <si>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</si>
  <si>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</si>
  <si>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</si>
  <si>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</si>
  <si>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</si>
  <si>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</si>
  <si>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Portioaned packed Dressing</t>
  </si>
  <si>
    <t>Wholesome Farms</t>
  </si>
  <si>
    <t>milk removed</t>
  </si>
  <si>
    <t>IC M S1 SALAD C3</t>
  </si>
  <si>
    <t>Mesclun Mixed Green Mix</t>
  </si>
  <si>
    <t>Shredded Carrot</t>
  </si>
  <si>
    <t>Halved Heirloom Cherry Tomato</t>
  </si>
  <si>
    <t>PC</t>
  </si>
  <si>
    <t>Aged Cheddar</t>
  </si>
  <si>
    <t>IC M S1 DE C3</t>
  </si>
  <si>
    <t>Pumpkin Cheesecake Bar</t>
  </si>
  <si>
    <t>IC Y/M S1+S2 BRD Type 1 C3</t>
  </si>
  <si>
    <t>Honey Wheat Roll</t>
  </si>
  <si>
    <t>Purchased - MLCO</t>
  </si>
  <si>
    <t>IC M S2 JUICE C3</t>
  </si>
  <si>
    <t>PP Juice</t>
  </si>
  <si>
    <t xml:space="preserve">bulk loaded </t>
  </si>
  <si>
    <t xml:space="preserve">IC M S2 SW </t>
  </si>
  <si>
    <t>Nominated Hot Sandwich</t>
  </si>
  <si>
    <t xml:space="preserve">BUDDYS </t>
  </si>
  <si>
    <t>Crew Meals  - 8 CREW - 2 PILOT</t>
  </si>
  <si>
    <t xml:space="preserve">CRW P CM TSU </t>
  </si>
  <si>
    <t>SK Disposable cutlery</t>
  </si>
  <si>
    <t>Portion packed local butter</t>
  </si>
  <si>
    <t xml:space="preserve"> WHOLESOME FARMS </t>
  </si>
  <si>
    <t>Bread roll multigrain</t>
  </si>
  <si>
    <t xml:space="preserve"> Sourdough roll, Baked in house </t>
  </si>
  <si>
    <t>CRW K CM A</t>
  </si>
  <si>
    <t>HAM  x 2 slices</t>
  </si>
  <si>
    <t>HEY WOOD HAM</t>
  </si>
  <si>
    <t>Mayo (top and bottom)</t>
  </si>
  <si>
    <t>CUCUMBER SLICES</t>
  </si>
  <si>
    <t>WHEAT Roll</t>
  </si>
  <si>
    <t>50-60</t>
  </si>
  <si>
    <t>Baked in house</t>
  </si>
  <si>
    <t>CRW K CM B</t>
  </si>
  <si>
    <t>FRESH MOZZARELLA</t>
  </si>
  <si>
    <t>PESTO MAYO</t>
  </si>
  <si>
    <t>ROASTED TOMATO</t>
  </si>
  <si>
    <t>WHEAT Roll  (50-60gr)</t>
  </si>
  <si>
    <t>Baked  in House</t>
  </si>
  <si>
    <t xml:space="preserve">CRW P CM - Poultry or Salmon A </t>
  </si>
  <si>
    <t>Roasted Turkey Breast</t>
  </si>
  <si>
    <t>Each</t>
  </si>
  <si>
    <t>Red cherry tomato</t>
  </si>
  <si>
    <t>Quinoa Salad</t>
  </si>
  <si>
    <t xml:space="preserve">CRW P CM - Meat B </t>
  </si>
  <si>
    <t>PASTRAMI</t>
  </si>
  <si>
    <t xml:space="preserve"> Heywoods Provisions (Local Vendor) </t>
  </si>
  <si>
    <t xml:space="preserve">cherry tomato </t>
  </si>
  <si>
    <t>Red grapes x 4</t>
  </si>
  <si>
    <t xml:space="preserve">CRW P HM TSU </t>
  </si>
  <si>
    <t>Vinaigrette dressing</t>
  </si>
  <si>
    <t>PP local butter</t>
  </si>
  <si>
    <t>Bread</t>
  </si>
  <si>
    <t>SK disposable cutlery</t>
  </si>
  <si>
    <t xml:space="preserve">CRW K HM TSU </t>
  </si>
  <si>
    <t xml:space="preserve">CRW P HM Salad </t>
  </si>
  <si>
    <t>English Cucumber Slice</t>
  </si>
  <si>
    <t xml:space="preserve">CRW K HM Salad </t>
  </si>
  <si>
    <t xml:space="preserve">CRW P HM A </t>
  </si>
  <si>
    <t>captain</t>
  </si>
  <si>
    <t xml:space="preserve"> Bell and Evans Organic </t>
  </si>
  <si>
    <t xml:space="preserve">CRW K HM A </t>
  </si>
  <si>
    <t>crew</t>
  </si>
  <si>
    <t>Bell and Evans Organic</t>
  </si>
  <si>
    <t xml:space="preserve">CRW P HM B </t>
  </si>
  <si>
    <t xml:space="preserve">CRW K HM B </t>
  </si>
  <si>
    <t xml:space="preserve">CRW P HB TSU </t>
  </si>
  <si>
    <t>Portion packed local plain full fat yoghurt</t>
  </si>
  <si>
    <t xml:space="preserve"> CHIBANI YOGURT 4OZ </t>
  </si>
  <si>
    <t>Portion packed local cheese</t>
  </si>
  <si>
    <t xml:space="preserve"> MINI BRIE WEDGE INVD WRAP, ILE DE GRANCE CHEESE  </t>
  </si>
  <si>
    <t xml:space="preserve"> wheat roll, Baked in house </t>
  </si>
  <si>
    <t xml:space="preserve">CRW P HB </t>
  </si>
  <si>
    <t>FRITTATTA</t>
  </si>
  <si>
    <t>BLANCH MARINATED KALE</t>
  </si>
  <si>
    <t>BREAKFAST POTATOES</t>
  </si>
  <si>
    <t>GM</t>
  </si>
  <si>
    <t>TURKEY SAUSAGE LINK</t>
  </si>
  <si>
    <t>2 x 30</t>
  </si>
  <si>
    <t xml:space="preserve">CRW K HB </t>
  </si>
  <si>
    <t>AVML</t>
  </si>
  <si>
    <t>CHML</t>
  </si>
  <si>
    <t>LGML</t>
  </si>
  <si>
    <t>VGML</t>
  </si>
  <si>
    <t>VLML</t>
  </si>
  <si>
    <t>VEG MARGARINE CUP</t>
  </si>
  <si>
    <t>SPML - STARTER</t>
  </si>
  <si>
    <t>Green Leaf Lettuce</t>
  </si>
  <si>
    <t>Grilled Peaches</t>
  </si>
  <si>
    <t>Grilled Eggplant</t>
  </si>
  <si>
    <t>Cucumber Baton</t>
  </si>
  <si>
    <t>Grilled Zuchinii</t>
  </si>
  <si>
    <t>Grilled Yellow Squash</t>
  </si>
  <si>
    <t>Ranch Cup</t>
  </si>
  <si>
    <t>Cherry/Grape Tomato</t>
  </si>
  <si>
    <t>1 x 10</t>
  </si>
  <si>
    <t>Canteloupe Wedge</t>
  </si>
  <si>
    <t>Hummus</t>
  </si>
  <si>
    <t>Paprika</t>
  </si>
  <si>
    <t>HOT MEAL</t>
  </si>
  <si>
    <t>Grilled Tofu</t>
  </si>
  <si>
    <t>Fried Chicken Cutlet</t>
  </si>
  <si>
    <t>Marinara</t>
  </si>
  <si>
    <t>Mash Potatoes</t>
  </si>
  <si>
    <t>Buttered Spring Peas</t>
  </si>
  <si>
    <t>Parmesan Cheeese Shreds</t>
  </si>
  <si>
    <t>GLUTEN FREE ROLL</t>
  </si>
  <si>
    <t>Gluten Free Roll</t>
  </si>
  <si>
    <t>VEGAN Cream Cheese</t>
  </si>
  <si>
    <t>VEGAN SLICED CHEESES</t>
  </si>
  <si>
    <t>Pickled Daikon</t>
  </si>
  <si>
    <t>Mixed Fruit</t>
  </si>
  <si>
    <t xml:space="preserve">IC C S2 BRD </t>
  </si>
  <si>
    <t>Six Grain Bread</t>
  </si>
  <si>
    <t>Portioned packed MARGARINE10-15 gm</t>
  </si>
  <si>
    <t>Portioned packed MARGARINE 10-15 gm</t>
  </si>
  <si>
    <t>Poritoned Packed Chocolate</t>
  </si>
  <si>
    <t>IC Y S1 ST C2</t>
  </si>
  <si>
    <t>GRILLED TOFU</t>
  </si>
  <si>
    <t>celery sticks</t>
  </si>
  <si>
    <t>3X 10</t>
  </si>
  <si>
    <t>carrot sricks</t>
  </si>
  <si>
    <t>3 X 10</t>
  </si>
  <si>
    <t>IC Y S1 HM-A C2</t>
  </si>
  <si>
    <t>Chicken Cutlet</t>
  </si>
  <si>
    <t xml:space="preserve">Pasta Mami Ravioli </t>
  </si>
  <si>
    <t>3x30</t>
  </si>
  <si>
    <t>Sweet Chilli Sauce</t>
  </si>
  <si>
    <t>Parmesan Shreds</t>
  </si>
  <si>
    <t>Blanched Kale</t>
  </si>
  <si>
    <t xml:space="preserve">Green Peas </t>
  </si>
  <si>
    <t>Shredded Parmesan</t>
  </si>
  <si>
    <t>IC Y S1 DE C2</t>
  </si>
  <si>
    <t>Mixed Berries</t>
  </si>
  <si>
    <t>IC Y/M S1+S2 BRD Type 1 C2</t>
  </si>
  <si>
    <t>Gluten FreeRoll</t>
  </si>
  <si>
    <t>IC Y S2 TSU C2</t>
  </si>
  <si>
    <t>Portioned packed MARGIRINE 10-15 g</t>
  </si>
  <si>
    <t>Vegan Sliced Cheese</t>
  </si>
  <si>
    <t>ADML - asian veg meal</t>
  </si>
  <si>
    <t>CDML - CHILD MEAL</t>
  </si>
  <si>
    <t>GCML - GLUTEN FREE LACTO FREE MEAL</t>
  </si>
  <si>
    <t>VVML- VEGAN VEGETARIAN MEAL</t>
  </si>
  <si>
    <t>EVML - VEG LACTO MEAL</t>
  </si>
  <si>
    <t>MEML- PRE-S MEAT MEAL</t>
  </si>
  <si>
    <t>CKML- PRE-S CHICKEN MEAL</t>
  </si>
  <si>
    <t>GHML- PRE-S GREENMEAL- VEG LACTO MEAL</t>
  </si>
  <si>
    <t>FIML- PRE-S MEAT MEAL</t>
  </si>
  <si>
    <t xml:space="preserve">MARGIRANE </t>
  </si>
  <si>
    <t>Portioned packed milk jigger</t>
  </si>
  <si>
    <t>Portioned packed JUICE</t>
  </si>
  <si>
    <t>Portioned packed MILK</t>
  </si>
  <si>
    <t>Portioned Packed Dressing</t>
  </si>
  <si>
    <t>IC M S1 SALAD C2</t>
  </si>
  <si>
    <t>CARROT STICK</t>
  </si>
  <si>
    <t>CELERY STICKS</t>
  </si>
  <si>
    <t>3 X10</t>
  </si>
  <si>
    <t>Chocolate</t>
  </si>
  <si>
    <t>IC Y/M S1 HM-B C2</t>
  </si>
  <si>
    <t>PEAS</t>
  </si>
  <si>
    <t>MEAT MEAL</t>
  </si>
  <si>
    <t>CHICKEN MEAL</t>
  </si>
  <si>
    <t>VEG LACTO MEAL</t>
  </si>
  <si>
    <t>FISH MEAL</t>
  </si>
  <si>
    <t xml:space="preserve"> GF Roll</t>
  </si>
  <si>
    <t>IC M S2 JUICE C2</t>
  </si>
  <si>
    <t>SLICED CHEESE</t>
  </si>
  <si>
    <t>BUDDY SANDWICH</t>
  </si>
  <si>
    <t>VEGAN SLICE CHEESE</t>
  </si>
  <si>
    <t>ROASTED RED PEPPERS</t>
  </si>
  <si>
    <t>WHEAT ROLL</t>
  </si>
  <si>
    <t>WHEAT HOAGIE</t>
  </si>
  <si>
    <t>COLD MEAL STARTER 1ST SERVICE</t>
  </si>
  <si>
    <t>VEGAN CHEESE SLICES</t>
  </si>
  <si>
    <t>Pesto Mayo</t>
  </si>
  <si>
    <t>MAYO</t>
  </si>
  <si>
    <t>Lettuce</t>
  </si>
  <si>
    <t>LEAF LETTUCE</t>
  </si>
  <si>
    <t>CRW P CM - STARTER</t>
  </si>
  <si>
    <t>CRW P CM -  STARTER</t>
  </si>
  <si>
    <t>Beecher Flagship Cheddar</t>
  </si>
  <si>
    <t>Vegan Cheese</t>
  </si>
  <si>
    <t>HOT MEAL 2ND SERVICE</t>
  </si>
  <si>
    <t>MARGARINE</t>
  </si>
  <si>
    <t>GF Bread</t>
  </si>
  <si>
    <t>Mixed Greens</t>
  </si>
  <si>
    <t>Carrot julienne</t>
  </si>
  <si>
    <t>Cherry tomato halves</t>
  </si>
  <si>
    <t>Cheddar cubes</t>
  </si>
  <si>
    <t>OMIT</t>
  </si>
  <si>
    <t>Portion packed local MARGAINE</t>
  </si>
  <si>
    <t>TOFU SCRAMBLE</t>
  </si>
  <si>
    <t>Red Pepper Frittatta</t>
  </si>
  <si>
    <t>BLISTERED TOMATO</t>
  </si>
  <si>
    <t xml:space="preserve">Red Pepper Fritatta </t>
  </si>
  <si>
    <t>peach, IQF</t>
  </si>
  <si>
    <t>Proscuttio Ham</t>
  </si>
  <si>
    <t>33.29/6lb</t>
  </si>
  <si>
    <t>6.18/lb.90%</t>
  </si>
  <si>
    <t>151.49 for 6/13.4oz,75%</t>
  </si>
  <si>
    <t>174.45/22lb 0.95%</t>
  </si>
  <si>
    <t>SR203</t>
  </si>
  <si>
    <t>SR258</t>
  </si>
  <si>
    <t>SR226</t>
  </si>
  <si>
    <t>1 QUART=800G</t>
  </si>
  <si>
    <t>d342</t>
  </si>
  <si>
    <t>BD Corn Succatash</t>
  </si>
  <si>
    <t>SR158</t>
  </si>
  <si>
    <t>P145</t>
  </si>
  <si>
    <t xml:space="preserve">JASMIN E RICE </t>
  </si>
  <si>
    <t>C228 BOK CHOY</t>
  </si>
  <si>
    <t>shoe rack</t>
  </si>
  <si>
    <t>Delta Pickled Radish</t>
  </si>
  <si>
    <t>cost from 18inch of baguette, Sysco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</si>
</sst>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b/>
      <sz val="10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ptos Narrow"/>
      <family val="2"/>
    </font>
    <font>
      <sz val="6"/>
      <name val="Yu Gothic"/>
      <family val="2"/>
      <charset val="128"/>
    </font>
    <font>
      <sz val="11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48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left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1" applyNumberFormat="1" applyFont="1" applyFill="1" applyBorder="1" applyAlignment="1" applyProtection="1">
      <alignment horizontal="center"/>
      <protection locked="0"/>
    </xf>
    <xf numFmtId="43" fontId="6" fillId="5" borderId="2" xfId="1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left"/>
      <protection locked="0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43" fontId="6" fillId="0" borderId="2" xfId="1" applyFont="1" applyFill="1" applyBorder="1" applyAlignment="1" applyProtection="1">
      <alignment horizontal="left" vertical="center"/>
    </xf>
    <xf numFmtId="0" fontId="5" fillId="4" borderId="2" xfId="0" applyFont="1" applyFill="1" applyBorder="1" applyAlignment="1">
      <alignment vertical="center"/>
    </xf>
    <xf numFmtId="0" fontId="6" fillId="5" borderId="2" xfId="0" applyFont="1" applyFill="1" applyBorder="1" applyAlignment="1" applyProtection="1">
      <alignment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left" vertical="center"/>
      <protection locked="0"/>
    </xf>
    <xf numFmtId="0" fontId="9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>
      <alignment horizontal="left"/>
    </xf>
    <xf numFmtId="43" fontId="6" fillId="5" borderId="2" xfId="1" applyFont="1" applyFill="1" applyBorder="1" applyAlignment="1">
      <alignment horizontal="center"/>
    </xf>
    <xf numFmtId="8" fontId="2" fillId="0" borderId="0" xfId="0" applyNumberFormat="1" applyFont="1"/>
    <xf numFmtId="0" fontId="2" fillId="0" borderId="0" xfId="0" applyFont="1" applyAlignment="1">
      <alignment horizontal="right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3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43" fontId="6" fillId="2" borderId="4" xfId="1" applyFont="1" applyFill="1" applyBorder="1" applyAlignment="1" applyProtection="1">
      <alignment horizontal="center" vertical="center"/>
      <protection locked="0"/>
    </xf>
    <xf numFmtId="9" fontId="6" fillId="5" borderId="2" xfId="1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>
      <alignment horizontal="center" vertical="center"/>
    </xf>
    <xf numFmtId="9" fontId="6" fillId="5" borderId="2" xfId="1" applyNumberFormat="1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left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6" fillId="5" borderId="8" xfId="1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43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43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6" fillId="5" borderId="4" xfId="0" applyFont="1" applyFill="1" applyBorder="1" applyAlignment="1" applyProtection="1">
      <alignment vertical="center"/>
      <protection locked="0"/>
    </xf>
    <xf numFmtId="0" fontId="0" fillId="5" borderId="3" xfId="0" applyFill="1" applyBorder="1"/>
    <xf numFmtId="0" fontId="6" fillId="5" borderId="4" xfId="0" applyFont="1" applyFill="1" applyBorder="1" applyAlignment="1" applyProtection="1">
      <alignment horizontal="center" vertical="top"/>
      <protection locked="0"/>
    </xf>
    <xf numFmtId="43" fontId="6" fillId="5" borderId="4" xfId="1" applyFont="1" applyFill="1" applyBorder="1" applyAlignment="1" applyProtection="1">
      <alignment horizontal="center" vertical="top"/>
      <protection locked="0"/>
    </xf>
    <xf numFmtId="0" fontId="0" fillId="5" borderId="3" xfId="0" applyFill="1" applyBorder="1" applyAlignment="1">
      <alignment horizontal="center" vertical="top"/>
    </xf>
    <xf numFmtId="0" fontId="6" fillId="2" borderId="2" xfId="0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43" fontId="6" fillId="2" borderId="2" xfId="1" applyFont="1" applyFill="1" applyBorder="1" applyAlignment="1" applyProtection="1">
      <alignment horizontal="center"/>
      <protection locked="0"/>
    </xf>
    <xf numFmtId="43" fontId="6" fillId="0" borderId="7" xfId="1" applyFont="1" applyFill="1" applyBorder="1" applyAlignment="1" applyProtection="1">
      <alignment horizontal="center" vertical="center"/>
    </xf>
    <xf numFmtId="0" fontId="13" fillId="0" borderId="0" xfId="0" applyFont="1"/>
    <xf numFmtId="9" fontId="14" fillId="0" borderId="0" xfId="0" applyNumberFormat="1" applyFont="1"/>
    <xf numFmtId="0" fontId="6" fillId="0" borderId="2" xfId="0" applyFont="1" applyBorder="1" applyAlignment="1" applyProtection="1">
      <alignment horizontal="left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43" fontId="6" fillId="0" borderId="2" xfId="1" applyFont="1" applyFill="1" applyBorder="1" applyAlignment="1" applyProtection="1">
      <alignment horizontal="center"/>
      <protection locked="0"/>
    </xf>
    <xf numFmtId="43" fontId="6" fillId="0" borderId="8" xfId="1" applyFont="1" applyFill="1" applyBorder="1" applyAlignment="1" applyProtection="1">
      <alignment horizontal="left"/>
    </xf>
    <xf numFmtId="0" fontId="5" fillId="3" borderId="8" xfId="0" applyFont="1" applyFill="1" applyBorder="1" applyAlignment="1">
      <alignment horizontal="left"/>
    </xf>
    <xf numFmtId="43" fontId="6" fillId="5" borderId="8" xfId="1" applyFont="1" applyFill="1" applyBorder="1" applyAlignment="1" applyProtection="1">
      <alignment horizontal="left"/>
      <protection locked="0"/>
    </xf>
    <xf numFmtId="43" fontId="6" fillId="0" borderId="8" xfId="1" applyFont="1" applyFill="1" applyBorder="1" applyAlignment="1" applyProtection="1">
      <alignment horizontal="left"/>
      <protection locked="0"/>
    </xf>
    <xf numFmtId="9" fontId="6" fillId="5" borderId="8" xfId="1" applyNumberFormat="1" applyFont="1" applyFill="1" applyBorder="1" applyAlignment="1" applyProtection="1">
      <alignment horizontal="left"/>
      <protection locked="0"/>
    </xf>
    <xf numFmtId="43" fontId="6" fillId="2" borderId="8" xfId="1" applyFont="1" applyFill="1" applyBorder="1" applyAlignment="1" applyProtection="1">
      <alignment horizontal="left"/>
    </xf>
    <xf numFmtId="0" fontId="15" fillId="8" borderId="10" xfId="0" applyFont="1" applyFill="1" applyBorder="1"/>
    <xf numFmtId="0" fontId="16" fillId="8" borderId="11" xfId="0" applyFont="1" applyFill="1" applyBorder="1"/>
    <xf numFmtId="0" fontId="0" fillId="0" borderId="2" xfId="0" applyBorder="1"/>
    <xf numFmtId="0" fontId="18" fillId="9" borderId="3" xfId="0" applyFont="1" applyFill="1" applyBorder="1"/>
    <xf numFmtId="0" fontId="17" fillId="9" borderId="3" xfId="0" applyFont="1" applyFill="1" applyBorder="1"/>
    <xf numFmtId="0" fontId="0" fillId="0" borderId="3" xfId="0" applyBorder="1"/>
    <xf numFmtId="0" fontId="5" fillId="0" borderId="2" xfId="0" applyFont="1" applyBorder="1" applyAlignment="1">
      <alignment vertical="center"/>
    </xf>
    <xf numFmtId="0" fontId="18" fillId="0" borderId="2" xfId="0" applyFont="1" applyBorder="1"/>
    <xf numFmtId="8" fontId="18" fillId="0" borderId="2" xfId="0" applyNumberFormat="1" applyFont="1" applyBorder="1"/>
    <xf numFmtId="0" fontId="18" fillId="0" borderId="2" xfId="0" applyFont="1" applyBorder="1" applyAlignment="1">
      <alignment horizontal="right"/>
    </xf>
    <xf numFmtId="9" fontId="6" fillId="5" borderId="4" xfId="1" applyNumberFormat="1" applyFont="1" applyFill="1" applyBorder="1" applyAlignment="1" applyProtection="1">
      <alignment horizontal="center" vertical="center"/>
      <protection locked="0"/>
    </xf>
    <xf numFmtId="43" fontId="6" fillId="5" borderId="6" xfId="1" applyFont="1" applyFill="1" applyBorder="1" applyAlignment="1" applyProtection="1">
      <alignment horizontal="center" vertical="center"/>
      <protection locked="0"/>
    </xf>
    <xf numFmtId="43" fontId="6" fillId="5" borderId="7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5" borderId="3" xfId="1" applyNumberFormat="1" applyFont="1" applyFill="1" applyBorder="1" applyAlignment="1" applyProtection="1">
      <alignment horizontal="center" vertical="center"/>
      <protection locked="0"/>
    </xf>
    <xf numFmtId="43" fontId="6" fillId="5" borderId="3" xfId="1" applyFont="1" applyFill="1" applyBorder="1" applyAlignment="1" applyProtection="1">
      <alignment horizontal="center" vertical="center"/>
      <protection locked="0"/>
    </xf>
    <xf numFmtId="9" fontId="6" fillId="5" borderId="4" xfId="1" applyNumberFormat="1" applyFont="1" applyFill="1" applyBorder="1" applyAlignment="1">
      <alignment horizontal="center" vertical="center"/>
    </xf>
    <xf numFmtId="43" fontId="6" fillId="5" borderId="6" xfId="1" applyFont="1" applyFill="1" applyBorder="1" applyAlignment="1">
      <alignment horizontal="center" vertical="center"/>
    </xf>
    <xf numFmtId="43" fontId="6" fillId="5" borderId="7" xfId="1" applyFont="1" applyFill="1" applyBorder="1" applyAlignment="1">
      <alignment horizontal="center" vertical="center"/>
    </xf>
    <xf numFmtId="43" fontId="6" fillId="5" borderId="4" xfId="1" applyFont="1" applyFill="1" applyBorder="1" applyAlignment="1" applyProtection="1">
      <alignment horizontal="center" vertical="center"/>
      <protection locked="0"/>
    </xf>
    <xf numFmtId="16" fontId="6" fillId="5" borderId="4" xfId="1" applyNumberFormat="1" applyFont="1" applyFill="1" applyBorder="1" applyAlignment="1" applyProtection="1">
      <alignment horizontal="center" vertical="center"/>
      <protection locked="0"/>
    </xf>
    <xf numFmtId="0" fontId="4" fillId="7" borderId="8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6" fillId="5" borderId="6" xfId="1" applyNumberFormat="1" applyFont="1" applyFill="1" applyBorder="1" applyAlignment="1" applyProtection="1">
      <alignment horizontal="center" vertical="center"/>
      <protection locked="0"/>
    </xf>
    <xf numFmtId="9" fontId="6" fillId="5" borderId="7" xfId="1" applyNumberFormat="1" applyFont="1" applyFill="1" applyBorder="1" applyAlignment="1" applyProtection="1">
      <alignment horizontal="center" vertical="center"/>
      <protection locked="0"/>
    </xf>
    <xf numFmtId="9" fontId="6" fillId="5" borderId="4" xfId="1" applyNumberFormat="1" applyFont="1" applyFill="1" applyBorder="1" applyAlignment="1" applyProtection="1">
      <alignment horizontal="center"/>
      <protection locked="0"/>
    </xf>
    <xf numFmtId="43" fontId="6" fillId="5" borderId="6" xfId="1" applyFont="1" applyFill="1" applyBorder="1" applyAlignment="1" applyProtection="1">
      <alignment horizontal="center"/>
      <protection locked="0"/>
    </xf>
    <xf numFmtId="43" fontId="6" fillId="5" borderId="7" xfId="1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18" fillId="0" borderId="3" xfId="0" applyFont="1" applyBorder="1"/>
    <xf numFmtId="0" fontId="19" fillId="0" borderId="3" xfId="0" applyFont="1" applyBorder="1"/>
    <xf numFmtId="0" fontId="19" fillId="0" borderId="0" xfId="0" applyFont="1"/>
    <xf numFmtId="0" fontId="4" fillId="0" borderId="8" xfId="0" applyFont="1" applyBorder="1" applyAlignment="1">
      <alignment horizontal="left" vertical="top" wrapText="1"/>
    </xf>
    <xf numFmtId="0" fontId="5" fillId="4" borderId="8" xfId="0" applyFont="1" applyFill="1" applyBorder="1" applyAlignment="1">
      <alignment vertical="center"/>
    </xf>
    <xf numFmtId="43" fontId="6" fillId="2" borderId="8" xfId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/>
    <xf numFmtId="0" fontId="11" fillId="2" borderId="9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 vertical="center"/>
    </xf>
    <xf numFmtId="43" fontId="6" fillId="2" borderId="8" xfId="1" applyFont="1" applyFill="1" applyBorder="1" applyAlignment="1" applyProtection="1">
      <alignment horizontal="left" vertical="center"/>
      <protection locked="0"/>
    </xf>
    <xf numFmtId="43" fontId="6" fillId="0" borderId="8" xfId="1" applyFont="1" applyFill="1" applyBorder="1" applyAlignment="1" applyProtection="1">
      <alignment horizontal="center" vertical="center"/>
      <protection locked="0"/>
    </xf>
    <xf numFmtId="43" fontId="6" fillId="0" borderId="8" xfId="1" applyFont="1" applyFill="1" applyBorder="1" applyAlignment="1" applyProtection="1">
      <alignment horizontal="left"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11" fillId="0" borderId="9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6DC56921-D6EA-47A3-B1C3-91544455C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16565</xdr:colOff>
      <xdr:row>0</xdr:row>
      <xdr:rowOff>173934</xdr:rowOff>
    </xdr:from>
    <xdr:to>
      <xdr:col>8</xdr:col>
      <xdr:colOff>64595</xdr:colOff>
      <xdr:row>10</xdr:row>
      <xdr:rowOff>97196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DCE362-A5E3-675D-CB84-87AF55D0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18043" y="173934"/>
          <a:ext cx="2905530" cy="207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I129"/>
  <sheetViews>
    <sheetView topLeftCell="A27" zoomScaleNormal="100" workbookViewId="0">
      <selection activeCell="A53" sqref="A53"/>
    </sheetView>
  </sheetViews>
  <sheetFormatPr defaultRowHeight="14.4"/>
  <cols>
    <col min="1" max="1" width="37.109375" customWidth="1"/>
    <col min="2" max="4" width="10.6640625" style="48" customWidth="1"/>
    <col min="5" max="5" width="43.33203125" customWidth="1"/>
    <col min="6" max="6" width="15.33203125" style="15" bestFit="1" customWidth="1"/>
    <col min="7" max="7" width="17" customWidth="1"/>
  </cols>
  <sheetData>
    <row r="1" spans="1:7" ht="17.399999999999999">
      <c r="A1" s="1" t="s">
        <v>0</v>
      </c>
      <c r="B1" s="2"/>
      <c r="C1" s="2"/>
      <c r="D1" s="2"/>
      <c r="E1" s="3"/>
    </row>
    <row r="2" spans="1:7">
      <c r="A2" s="4" t="s">
        <v>1</v>
      </c>
      <c r="B2" s="46" t="s">
        <v>2</v>
      </c>
      <c r="C2" s="46" t="s">
        <v>3</v>
      </c>
      <c r="D2" s="46" t="s">
        <v>4</v>
      </c>
      <c r="E2" s="4" t="s">
        <v>5</v>
      </c>
      <c r="F2" s="89"/>
      <c r="G2" s="90">
        <v>0.05</v>
      </c>
    </row>
    <row r="3" spans="1:7">
      <c r="A3" s="5" t="s">
        <v>6</v>
      </c>
      <c r="B3" s="47"/>
      <c r="C3" s="47"/>
      <c r="D3" s="47"/>
      <c r="E3" s="6"/>
      <c r="F3" s="100" t="s">
        <v>7</v>
      </c>
      <c r="G3" s="101" t="s">
        <v>8</v>
      </c>
    </row>
    <row r="4" spans="1:7">
      <c r="A4" s="7" t="s">
        <v>9</v>
      </c>
      <c r="B4" s="44">
        <v>1</v>
      </c>
      <c r="C4" s="8" t="s">
        <v>10</v>
      </c>
      <c r="D4" s="113">
        <v>1</v>
      </c>
      <c r="E4" s="94" t="s">
        <v>11</v>
      </c>
      <c r="F4" s="107"/>
      <c r="G4" s="102"/>
    </row>
    <row r="5" spans="1:7">
      <c r="A5" s="9" t="s">
        <v>12</v>
      </c>
      <c r="B5" s="44">
        <v>3</v>
      </c>
      <c r="C5" s="8" t="s">
        <v>10</v>
      </c>
      <c r="D5" s="114"/>
      <c r="E5" s="94"/>
      <c r="F5" s="107"/>
      <c r="G5" s="102"/>
    </row>
    <row r="6" spans="1:7">
      <c r="A6" s="9" t="s">
        <v>13</v>
      </c>
      <c r="B6" s="44">
        <v>3</v>
      </c>
      <c r="C6" s="8" t="s">
        <v>10</v>
      </c>
      <c r="D6" s="114"/>
      <c r="E6" s="94"/>
      <c r="F6" s="107"/>
      <c r="G6" s="102"/>
    </row>
    <row r="7" spans="1:7">
      <c r="A7" s="9" t="s">
        <v>14</v>
      </c>
      <c r="B7" s="44">
        <v>1</v>
      </c>
      <c r="C7" s="8" t="s">
        <v>10</v>
      </c>
      <c r="D7" s="114"/>
      <c r="E7" s="94"/>
      <c r="F7" s="107"/>
      <c r="G7" s="102"/>
    </row>
    <row r="8" spans="1:7">
      <c r="A8" s="9" t="s">
        <v>15</v>
      </c>
      <c r="B8" s="44">
        <v>1</v>
      </c>
      <c r="C8" s="8" t="s">
        <v>10</v>
      </c>
      <c r="D8" s="114"/>
      <c r="E8" s="94"/>
      <c r="F8" s="107"/>
      <c r="G8" s="102"/>
    </row>
    <row r="9" spans="1:7">
      <c r="A9" s="9" t="s">
        <v>16</v>
      </c>
      <c r="B9" s="44">
        <v>1</v>
      </c>
      <c r="C9" s="8" t="s">
        <v>10</v>
      </c>
      <c r="D9" s="115"/>
      <c r="E9" s="94"/>
      <c r="F9" s="107"/>
      <c r="G9" s="102"/>
    </row>
    <row r="10" spans="1:7">
      <c r="A10" s="5" t="s">
        <v>17</v>
      </c>
      <c r="B10" s="47"/>
      <c r="C10" s="47"/>
      <c r="D10" s="47"/>
      <c r="E10" s="95"/>
      <c r="F10" s="107"/>
      <c r="G10" s="102"/>
    </row>
    <row r="11" spans="1:7">
      <c r="A11" s="10" t="s">
        <v>18</v>
      </c>
      <c r="B11" s="11">
        <v>250</v>
      </c>
      <c r="C11" s="12" t="s">
        <v>19</v>
      </c>
      <c r="D11" s="12">
        <v>2</v>
      </c>
      <c r="E11" s="96" t="s">
        <v>20</v>
      </c>
      <c r="F11" s="107">
        <v>1.4491000000000001</v>
      </c>
      <c r="G11" s="105">
        <f>F11*(1+$G$2)</f>
        <v>1.5215550000000002</v>
      </c>
    </row>
    <row r="12" spans="1:7">
      <c r="A12" s="91"/>
      <c r="B12" s="92"/>
      <c r="C12" s="93"/>
      <c r="D12" s="93"/>
      <c r="E12" s="97"/>
      <c r="F12" s="103"/>
      <c r="G12" s="104">
        <f>SUM(G11)</f>
        <v>1.5215550000000002</v>
      </c>
    </row>
    <row r="13" spans="1:7">
      <c r="A13" s="5" t="s">
        <v>21</v>
      </c>
      <c r="B13" s="47"/>
      <c r="C13" s="47"/>
      <c r="D13" s="47"/>
      <c r="E13" s="95"/>
      <c r="F13" s="107"/>
      <c r="G13" s="105">
        <f>F13*(1+$G$2)</f>
        <v>0</v>
      </c>
    </row>
    <row r="14" spans="1:7">
      <c r="A14" s="10" t="s">
        <v>22</v>
      </c>
      <c r="B14" s="13">
        <v>100</v>
      </c>
      <c r="C14" s="12" t="s">
        <v>19</v>
      </c>
      <c r="D14" s="12">
        <v>2</v>
      </c>
      <c r="E14" s="96" t="s">
        <v>23</v>
      </c>
      <c r="F14" s="107"/>
      <c r="G14" s="105">
        <f>F14*(1+$G$2)</f>
        <v>0</v>
      </c>
    </row>
    <row r="15" spans="1:7">
      <c r="A15" s="91"/>
      <c r="B15" s="92"/>
      <c r="C15" s="93"/>
      <c r="D15" s="93"/>
      <c r="E15" s="97"/>
      <c r="F15" s="103"/>
      <c r="G15" s="104">
        <f>SUM(G13:G14)</f>
        <v>0</v>
      </c>
    </row>
    <row r="16" spans="1:7">
      <c r="A16" s="68" t="s">
        <v>24</v>
      </c>
      <c r="B16" s="47"/>
      <c r="C16" s="47"/>
      <c r="D16" s="71"/>
      <c r="E16" s="95"/>
      <c r="F16" s="107"/>
      <c r="G16" s="105">
        <f t="shared" ref="G16:G18" si="0">F16*(1+$G$2)</f>
        <v>0</v>
      </c>
    </row>
    <row r="17" spans="1:8">
      <c r="A17" s="66" t="s">
        <v>25</v>
      </c>
      <c r="B17" s="67">
        <v>14</v>
      </c>
      <c r="C17" s="70" t="s">
        <v>19</v>
      </c>
      <c r="D17" s="116">
        <v>1</v>
      </c>
      <c r="E17" s="14" t="s">
        <v>26</v>
      </c>
      <c r="F17" s="107">
        <v>7.46E-2</v>
      </c>
      <c r="G17" s="105">
        <f t="shared" si="0"/>
        <v>7.8329999999999997E-2</v>
      </c>
    </row>
    <row r="18" spans="1:8">
      <c r="A18" s="66" t="s">
        <v>27</v>
      </c>
      <c r="B18" s="67">
        <v>1</v>
      </c>
      <c r="C18" s="70" t="s">
        <v>19</v>
      </c>
      <c r="D18" s="117"/>
      <c r="E18" s="14"/>
      <c r="F18" s="107">
        <v>2.3E-3</v>
      </c>
      <c r="G18" s="105">
        <f t="shared" si="0"/>
        <v>2.415E-3</v>
      </c>
    </row>
    <row r="19" spans="1:8">
      <c r="A19" s="91"/>
      <c r="B19" s="92"/>
      <c r="C19" s="93"/>
      <c r="D19" s="93"/>
      <c r="E19" s="97"/>
      <c r="F19" s="103"/>
      <c r="G19" s="104">
        <f>SUM(G16:G18)</f>
        <v>8.0744999999999997E-2</v>
      </c>
    </row>
    <row r="20" spans="1:8">
      <c r="A20" s="69" t="s">
        <v>28</v>
      </c>
      <c r="B20" s="47"/>
      <c r="C20" s="47"/>
      <c r="D20" s="72"/>
      <c r="E20" s="95"/>
      <c r="F20" s="107"/>
      <c r="G20" s="102"/>
    </row>
    <row r="21" spans="1:8">
      <c r="A21" s="10" t="s">
        <v>29</v>
      </c>
      <c r="B21" s="13">
        <v>40</v>
      </c>
      <c r="C21" s="12" t="s">
        <v>19</v>
      </c>
      <c r="D21" s="110">
        <v>0.6</v>
      </c>
      <c r="E21" s="98" t="s">
        <v>30</v>
      </c>
      <c r="F21" s="108"/>
      <c r="G21" s="105">
        <f t="shared" ref="G21:G26" si="1">F21*(1+$G$2)</f>
        <v>0</v>
      </c>
    </row>
    <row r="22" spans="1:8">
      <c r="A22" s="10" t="s">
        <v>31</v>
      </c>
      <c r="B22" s="13">
        <v>30</v>
      </c>
      <c r="C22" s="12" t="s">
        <v>19</v>
      </c>
      <c r="D22" s="111"/>
      <c r="E22" s="96"/>
      <c r="F22" s="108">
        <f>33.29/6/450*B22/0.95</f>
        <v>0.38935672514619879</v>
      </c>
      <c r="G22" s="105">
        <f t="shared" si="1"/>
        <v>0.40882456140350876</v>
      </c>
      <c r="H22" t="s">
        <v>422</v>
      </c>
    </row>
    <row r="23" spans="1:8">
      <c r="A23" s="10" t="s">
        <v>32</v>
      </c>
      <c r="B23" s="13">
        <v>10</v>
      </c>
      <c r="C23" s="12" t="s">
        <v>19</v>
      </c>
      <c r="D23" s="111"/>
      <c r="E23" s="96"/>
      <c r="F23" s="108">
        <f>6.18/0.9/450*B23</f>
        <v>0.15259259259259259</v>
      </c>
      <c r="G23" s="105">
        <f t="shared" si="1"/>
        <v>0.16022222222222221</v>
      </c>
      <c r="H23" t="s">
        <v>423</v>
      </c>
    </row>
    <row r="24" spans="1:8">
      <c r="A24" s="10" t="s">
        <v>33</v>
      </c>
      <c r="B24" s="13">
        <v>5</v>
      </c>
      <c r="C24" s="12" t="s">
        <v>19</v>
      </c>
      <c r="D24" s="111"/>
      <c r="E24" s="96" t="s">
        <v>34</v>
      </c>
      <c r="F24" s="108">
        <f>151.49/0.75/6/13.4*16/450*B24</f>
        <v>0.44662612861617834</v>
      </c>
      <c r="G24" s="105">
        <f t="shared" si="1"/>
        <v>0.46895743504698728</v>
      </c>
      <c r="H24" t="s">
        <v>424</v>
      </c>
    </row>
    <row r="25" spans="1:8">
      <c r="A25" s="10" t="s">
        <v>35</v>
      </c>
      <c r="B25" s="13">
        <v>5</v>
      </c>
      <c r="C25" s="12" t="s">
        <v>19</v>
      </c>
      <c r="D25" s="111"/>
      <c r="E25" s="96"/>
      <c r="F25" s="109">
        <f>174.45/22/0.95/450*B25</f>
        <v>9.27432216905901E-2</v>
      </c>
      <c r="G25" s="105">
        <f t="shared" si="1"/>
        <v>9.7380382775119609E-2</v>
      </c>
      <c r="H25" t="s">
        <v>425</v>
      </c>
    </row>
    <row r="26" spans="1:8">
      <c r="A26" s="10"/>
      <c r="B26" s="13"/>
      <c r="C26" s="12"/>
      <c r="D26" s="111"/>
      <c r="E26" s="96"/>
      <c r="F26" s="109"/>
      <c r="G26" s="105">
        <f t="shared" si="1"/>
        <v>0</v>
      </c>
    </row>
    <row r="27" spans="1:8">
      <c r="A27" s="10"/>
      <c r="B27" s="13"/>
      <c r="C27" s="12"/>
      <c r="D27" s="112"/>
      <c r="E27" s="96"/>
      <c r="F27" s="107"/>
      <c r="G27" s="105">
        <f>F27*(1+$G$2)</f>
        <v>0</v>
      </c>
    </row>
    <row r="28" spans="1:8">
      <c r="A28" s="91"/>
      <c r="B28" s="92"/>
      <c r="C28" s="93"/>
      <c r="D28" s="93"/>
      <c r="E28" s="97"/>
      <c r="F28" s="103"/>
      <c r="G28" s="104">
        <f>SUM(G21:G27)</f>
        <v>1.1353846014478377</v>
      </c>
    </row>
    <row r="29" spans="1:8">
      <c r="A29" s="5" t="s">
        <v>36</v>
      </c>
      <c r="B29" s="47"/>
      <c r="C29" s="47"/>
      <c r="D29" s="47"/>
      <c r="E29" s="95"/>
      <c r="F29" s="107"/>
      <c r="G29" s="102"/>
    </row>
    <row r="30" spans="1:8">
      <c r="A30" s="10" t="s">
        <v>37</v>
      </c>
      <c r="B30" s="13">
        <v>40</v>
      </c>
      <c r="C30" s="12" t="s">
        <v>19</v>
      </c>
      <c r="D30" s="110">
        <v>0.6</v>
      </c>
      <c r="E30" s="98" t="s">
        <v>30</v>
      </c>
      <c r="F30" s="107"/>
      <c r="G30" s="105">
        <f t="shared" ref="G30:G33" si="2">F30*(1+$G$2)</f>
        <v>0</v>
      </c>
    </row>
    <row r="31" spans="1:8">
      <c r="A31" s="10" t="s">
        <v>38</v>
      </c>
      <c r="B31" s="13">
        <v>20</v>
      </c>
      <c r="C31" s="12" t="s">
        <v>19</v>
      </c>
      <c r="D31" s="111"/>
      <c r="E31" s="96" t="s">
        <v>30</v>
      </c>
      <c r="F31" s="107">
        <f>27.08/15/0.9*1.3*1.3/450*B31</f>
        <v>0.15066732510288067</v>
      </c>
      <c r="G31" s="105">
        <f t="shared" si="2"/>
        <v>0.1582006913580247</v>
      </c>
      <c r="H31" t="s">
        <v>426</v>
      </c>
    </row>
    <row r="32" spans="1:8">
      <c r="A32" s="10" t="s">
        <v>39</v>
      </c>
      <c r="B32" s="13">
        <v>20</v>
      </c>
      <c r="C32" s="12" t="s">
        <v>19</v>
      </c>
      <c r="D32" s="111"/>
      <c r="E32" s="96" t="s">
        <v>30</v>
      </c>
      <c r="F32" s="107">
        <f>5.04/0.9*1.3*1.3/450*B32</f>
        <v>0.42062222222222218</v>
      </c>
      <c r="G32" s="105">
        <f t="shared" si="2"/>
        <v>0.44165333333333329</v>
      </c>
      <c r="H32" t="s">
        <v>427</v>
      </c>
    </row>
    <row r="33" spans="1:9">
      <c r="A33" s="10" t="s">
        <v>40</v>
      </c>
      <c r="B33" s="13">
        <v>10</v>
      </c>
      <c r="C33" s="12" t="s">
        <v>19</v>
      </c>
      <c r="D33" s="112"/>
      <c r="E33" s="96"/>
      <c r="F33" s="107">
        <f>33.1977/5/0.9*1.3*1.3/800*B33</f>
        <v>0.15584475833333331</v>
      </c>
      <c r="G33" s="105">
        <f t="shared" si="2"/>
        <v>0.16363699624999997</v>
      </c>
      <c r="H33" t="s">
        <v>428</v>
      </c>
      <c r="I33" t="s">
        <v>429</v>
      </c>
    </row>
    <row r="34" spans="1:9">
      <c r="A34" s="91"/>
      <c r="B34" s="92"/>
      <c r="C34" s="93"/>
      <c r="D34" s="93"/>
      <c r="E34" s="97"/>
      <c r="F34" s="103"/>
      <c r="G34" s="104">
        <f>SUM(G30:G33)</f>
        <v>0.7634910209413579</v>
      </c>
    </row>
    <row r="35" spans="1:9">
      <c r="A35" s="5" t="s">
        <v>41</v>
      </c>
      <c r="B35" s="47"/>
      <c r="C35" s="47"/>
      <c r="D35" s="47"/>
      <c r="E35" s="95"/>
      <c r="F35" s="107"/>
      <c r="G35" s="102"/>
    </row>
    <row r="36" spans="1:9">
      <c r="A36" s="10" t="s">
        <v>42</v>
      </c>
      <c r="B36" s="13">
        <v>100</v>
      </c>
      <c r="C36" s="12" t="s">
        <v>19</v>
      </c>
      <c r="D36" s="63">
        <v>2</v>
      </c>
      <c r="E36" s="96" t="s">
        <v>43</v>
      </c>
      <c r="F36" s="107">
        <f>1.2622/0.9*1.1*1.3/450*B36</f>
        <v>0.44566567901234572</v>
      </c>
      <c r="G36" s="105">
        <f>F36*(1+$G$2)</f>
        <v>0.46794896296296301</v>
      </c>
      <c r="H36" t="s">
        <v>430</v>
      </c>
    </row>
    <row r="37" spans="1:9">
      <c r="A37" s="91"/>
      <c r="B37" s="92"/>
      <c r="C37" s="93"/>
      <c r="D37" s="93"/>
      <c r="E37" s="97"/>
      <c r="F37" s="103"/>
      <c r="G37" s="104">
        <f>SUM(G36)</f>
        <v>0.46794896296296301</v>
      </c>
    </row>
    <row r="38" spans="1:9">
      <c r="A38" s="5" t="s">
        <v>44</v>
      </c>
      <c r="B38" s="47"/>
      <c r="C38" s="47"/>
      <c r="D38" s="47"/>
      <c r="E38" s="95"/>
      <c r="F38" s="107"/>
      <c r="G38" s="102"/>
    </row>
    <row r="39" spans="1:9">
      <c r="A39" s="10" t="s">
        <v>45</v>
      </c>
      <c r="B39" s="13">
        <v>90</v>
      </c>
      <c r="C39" s="12" t="s">
        <v>19</v>
      </c>
      <c r="D39" s="110">
        <v>0.5</v>
      </c>
      <c r="E39" s="96" t="s">
        <v>46</v>
      </c>
      <c r="F39" s="107"/>
      <c r="G39" s="105">
        <f t="shared" ref="G39:G43" si="3">F39*(1+$G$2)</f>
        <v>0</v>
      </c>
    </row>
    <row r="40" spans="1:9">
      <c r="A40" s="10" t="s">
        <v>47</v>
      </c>
      <c r="B40" s="13">
        <v>15</v>
      </c>
      <c r="C40" s="12" t="s">
        <v>19</v>
      </c>
      <c r="D40" s="111"/>
      <c r="E40" s="96"/>
      <c r="F40" s="107"/>
      <c r="G40" s="105">
        <f t="shared" si="3"/>
        <v>0</v>
      </c>
    </row>
    <row r="41" spans="1:9">
      <c r="A41" s="10" t="s">
        <v>48</v>
      </c>
      <c r="B41" s="13">
        <v>30</v>
      </c>
      <c r="C41" s="12" t="s">
        <v>19</v>
      </c>
      <c r="D41" s="111"/>
      <c r="E41" s="96"/>
      <c r="F41" s="107">
        <f>5.1041*1.1*1.3/0.9/450/2*B41</f>
        <v>0.2703282592592593</v>
      </c>
      <c r="G41" s="105">
        <f t="shared" si="3"/>
        <v>0.28384467222222226</v>
      </c>
      <c r="H41">
        <v>138</v>
      </c>
    </row>
    <row r="42" spans="1:9">
      <c r="A42" s="10" t="s">
        <v>49</v>
      </c>
      <c r="B42" s="13">
        <v>60</v>
      </c>
      <c r="C42" s="12" t="s">
        <v>19</v>
      </c>
      <c r="D42" s="111"/>
      <c r="E42" s="96" t="s">
        <v>50</v>
      </c>
      <c r="F42" s="107">
        <f>6.1173*1.1*1.3/0.9/5/450*B42</f>
        <v>0.25919226666666673</v>
      </c>
      <c r="G42" s="105">
        <f t="shared" si="3"/>
        <v>0.27215188000000007</v>
      </c>
      <c r="H42">
        <v>163</v>
      </c>
    </row>
    <row r="43" spans="1:9">
      <c r="A43" s="10" t="s">
        <v>51</v>
      </c>
      <c r="B43" s="13">
        <v>40</v>
      </c>
      <c r="C43" s="12" t="s">
        <v>19</v>
      </c>
      <c r="D43" s="112"/>
      <c r="E43" s="96" t="s">
        <v>50</v>
      </c>
      <c r="F43" s="107">
        <f>1.5069/0.9*1.1*1.3*1.25/450*B43</f>
        <v>0.26603296296296303</v>
      </c>
      <c r="G43" s="105">
        <f t="shared" si="3"/>
        <v>0.27933461111111119</v>
      </c>
      <c r="H43" t="s">
        <v>431</v>
      </c>
    </row>
    <row r="44" spans="1:9">
      <c r="A44" s="91"/>
      <c r="B44" s="92"/>
      <c r="C44" s="93"/>
      <c r="D44" s="93"/>
      <c r="E44" s="97"/>
      <c r="F44" s="103"/>
      <c r="G44" s="104">
        <f>SUM(G39:G43)</f>
        <v>0.83533116333333357</v>
      </c>
    </row>
    <row r="45" spans="1:9">
      <c r="A45" s="5" t="s">
        <v>52</v>
      </c>
      <c r="B45" s="47"/>
      <c r="C45" s="47"/>
      <c r="D45" s="47"/>
      <c r="E45" s="95"/>
      <c r="F45" s="107"/>
      <c r="G45" s="102"/>
    </row>
    <row r="46" spans="1:9">
      <c r="A46" s="10" t="s">
        <v>53</v>
      </c>
      <c r="B46" s="13">
        <v>90</v>
      </c>
      <c r="C46" s="12" t="s">
        <v>19</v>
      </c>
      <c r="D46" s="110">
        <v>0.5</v>
      </c>
      <c r="E46" s="96" t="s">
        <v>54</v>
      </c>
      <c r="F46" s="107"/>
      <c r="G46" s="105">
        <f t="shared" ref="G46:G50" si="4">F46*(1+$G$2)</f>
        <v>0</v>
      </c>
    </row>
    <row r="47" spans="1:9">
      <c r="A47" s="10" t="s">
        <v>55</v>
      </c>
      <c r="B47" s="13">
        <v>30</v>
      </c>
      <c r="C47" s="12" t="s">
        <v>19</v>
      </c>
      <c r="D47" s="111"/>
      <c r="E47" s="96" t="s">
        <v>50</v>
      </c>
      <c r="F47" s="107">
        <f>27.3/0.9*1.1*1.3/10/450*B47</f>
        <v>0.28917777777777781</v>
      </c>
      <c r="G47" s="105">
        <f t="shared" si="4"/>
        <v>0.30363666666666672</v>
      </c>
      <c r="H47">
        <v>207</v>
      </c>
    </row>
    <row r="48" spans="1:9">
      <c r="A48" s="10" t="s">
        <v>56</v>
      </c>
      <c r="B48" s="13">
        <v>15</v>
      </c>
      <c r="C48" s="12" t="s">
        <v>19</v>
      </c>
      <c r="D48" s="111"/>
      <c r="E48" s="96" t="s">
        <v>50</v>
      </c>
      <c r="F48" s="107"/>
      <c r="G48" s="105">
        <f t="shared" si="4"/>
        <v>0</v>
      </c>
      <c r="H48" t="s">
        <v>432</v>
      </c>
    </row>
    <row r="49" spans="1:8">
      <c r="A49" s="10" t="s">
        <v>57</v>
      </c>
      <c r="B49" s="13">
        <v>60</v>
      </c>
      <c r="C49" s="12" t="s">
        <v>19</v>
      </c>
      <c r="D49" s="111"/>
      <c r="E49" s="96" t="s">
        <v>50</v>
      </c>
      <c r="F49" s="107">
        <f>27.7294/0.9*1.1*1.3/10/450*B49</f>
        <v>0.58745247407407419</v>
      </c>
      <c r="G49" s="105">
        <f t="shared" si="4"/>
        <v>0.61682509777777794</v>
      </c>
    </row>
    <row r="50" spans="1:8">
      <c r="A50" s="10" t="s">
        <v>58</v>
      </c>
      <c r="B50" s="31">
        <v>60</v>
      </c>
      <c r="C50" s="32" t="s">
        <v>19</v>
      </c>
      <c r="D50" s="112"/>
      <c r="E50" s="96" t="s">
        <v>59</v>
      </c>
      <c r="F50" s="107">
        <f>10.5007/0.9*1.1*1.3/5/450*B50</f>
        <v>0.44491854814814813</v>
      </c>
      <c r="G50" s="105">
        <f t="shared" si="4"/>
        <v>0.46716447555555557</v>
      </c>
    </row>
    <row r="51" spans="1:8">
      <c r="A51" s="91"/>
      <c r="B51" s="92"/>
      <c r="C51" s="93"/>
      <c r="D51" s="93"/>
      <c r="E51" s="97"/>
      <c r="F51" s="103"/>
      <c r="G51" s="104">
        <f>SUM(G46:G50)</f>
        <v>1.3876262400000001</v>
      </c>
    </row>
    <row r="52" spans="1:8">
      <c r="A52" s="5" t="s">
        <v>60</v>
      </c>
      <c r="B52" s="47"/>
      <c r="C52" s="47"/>
      <c r="D52" s="47"/>
      <c r="E52" s="95"/>
      <c r="F52" s="107"/>
      <c r="G52" s="102"/>
    </row>
    <row r="53" spans="1:8">
      <c r="A53" s="10" t="s">
        <v>61</v>
      </c>
      <c r="B53" s="13" t="s">
        <v>62</v>
      </c>
      <c r="C53" s="12" t="s">
        <v>19</v>
      </c>
      <c r="D53" s="110">
        <v>0.2</v>
      </c>
      <c r="E53" s="96" t="s">
        <v>63</v>
      </c>
      <c r="F53" s="107"/>
      <c r="G53" s="105">
        <f t="shared" ref="G53:G57" si="5">F53*(1+$G$2)</f>
        <v>0</v>
      </c>
    </row>
    <row r="54" spans="1:8">
      <c r="A54" s="10" t="s">
        <v>64</v>
      </c>
      <c r="B54" s="13">
        <v>75</v>
      </c>
      <c r="C54" s="12" t="s">
        <v>19</v>
      </c>
      <c r="D54" s="111"/>
      <c r="E54" s="96" t="s">
        <v>65</v>
      </c>
      <c r="F54" s="107">
        <f>15.163/0.9*1.1*1.3/4.5/450*B54</f>
        <v>0.89230823045267504</v>
      </c>
      <c r="G54" s="105">
        <f t="shared" si="5"/>
        <v>0.93692364197530886</v>
      </c>
      <c r="H54">
        <v>414</v>
      </c>
    </row>
    <row r="55" spans="1:8">
      <c r="A55" s="10" t="s">
        <v>66</v>
      </c>
      <c r="B55" s="13">
        <v>15</v>
      </c>
      <c r="C55" s="12" t="s">
        <v>19</v>
      </c>
      <c r="D55" s="111"/>
      <c r="E55" s="96"/>
      <c r="F55" s="107">
        <f>275.45/30/0.9*1.1*1.3/450*B55</f>
        <v>0.48628827160493826</v>
      </c>
      <c r="G55" s="105">
        <f t="shared" si="5"/>
        <v>0.51060268518518515</v>
      </c>
    </row>
    <row r="56" spans="1:8">
      <c r="A56" s="10" t="s">
        <v>67</v>
      </c>
      <c r="B56" s="13">
        <v>5</v>
      </c>
      <c r="C56" s="12" t="s">
        <v>19</v>
      </c>
      <c r="D56" s="111"/>
      <c r="E56" s="96"/>
      <c r="F56" s="107">
        <f>27.46/8/0.9*1.1*1.3/450*B56</f>
        <v>6.0598456790123469E-2</v>
      </c>
      <c r="G56" s="105">
        <f t="shared" si="5"/>
        <v>6.3628379629629639E-2</v>
      </c>
    </row>
    <row r="57" spans="1:8">
      <c r="A57" s="10" t="s">
        <v>68</v>
      </c>
      <c r="B57" s="13">
        <v>40</v>
      </c>
      <c r="C57" s="12" t="s">
        <v>19</v>
      </c>
      <c r="D57" s="112"/>
      <c r="E57" s="96" t="s">
        <v>50</v>
      </c>
      <c r="F57" s="107">
        <f>18.14/0.9*1.1*1.3/4.5/450*B57</f>
        <v>0.56933223593964333</v>
      </c>
      <c r="G57" s="105">
        <f t="shared" si="5"/>
        <v>0.5977988477366255</v>
      </c>
      <c r="H57">
        <v>462</v>
      </c>
    </row>
    <row r="58" spans="1:8">
      <c r="A58" s="91"/>
      <c r="B58" s="92"/>
      <c r="C58" s="93"/>
      <c r="D58" s="93"/>
      <c r="E58" s="97"/>
      <c r="F58" s="103"/>
      <c r="G58" s="104">
        <f>SUM(G53:G57)</f>
        <v>2.108953554526749</v>
      </c>
    </row>
    <row r="59" spans="1:8">
      <c r="A59" s="5" t="s">
        <v>69</v>
      </c>
      <c r="B59" s="47"/>
      <c r="C59" s="47"/>
      <c r="D59" s="47"/>
      <c r="E59" s="95"/>
      <c r="F59" s="107"/>
      <c r="G59" s="102"/>
    </row>
    <row r="60" spans="1:8">
      <c r="A60" s="10" t="s">
        <v>70</v>
      </c>
      <c r="B60" s="13">
        <v>90</v>
      </c>
      <c r="C60" s="12" t="s">
        <v>19</v>
      </c>
      <c r="D60" s="121" t="s">
        <v>71</v>
      </c>
      <c r="E60" s="96" t="s">
        <v>72</v>
      </c>
      <c r="F60" s="107">
        <f>90.67/0.75*1.1*1.3/10/450*B60</f>
        <v>3.457549333333334</v>
      </c>
      <c r="G60" s="105">
        <f t="shared" ref="G60:G63" si="6">F60*(1+$G$2)</f>
        <v>3.6304268000000008</v>
      </c>
      <c r="H60" t="s">
        <v>433</v>
      </c>
    </row>
    <row r="61" spans="1:8">
      <c r="A61" s="10" t="s">
        <v>73</v>
      </c>
      <c r="B61" s="13">
        <v>60</v>
      </c>
      <c r="C61" s="12" t="s">
        <v>19</v>
      </c>
      <c r="D61" s="111"/>
      <c r="E61" s="96" t="s">
        <v>59</v>
      </c>
      <c r="F61" s="107">
        <f>4.81/0.85*1.1*1.3/5/450*B61</f>
        <v>0.21578980392156863</v>
      </c>
      <c r="G61" s="105">
        <f t="shared" si="6"/>
        <v>0.22657929411764707</v>
      </c>
      <c r="H61" t="s">
        <v>434</v>
      </c>
    </row>
    <row r="62" spans="1:8">
      <c r="A62" s="10" t="s">
        <v>74</v>
      </c>
      <c r="B62" s="13">
        <v>60</v>
      </c>
      <c r="C62" s="12" t="s">
        <v>19</v>
      </c>
      <c r="D62" s="111"/>
      <c r="E62" s="96" t="s">
        <v>50</v>
      </c>
      <c r="F62" s="107">
        <f>25.25/0.75*1.1*1.3/10/450*B62</f>
        <v>0.64191111111111099</v>
      </c>
      <c r="G62" s="105">
        <f t="shared" si="6"/>
        <v>0.67400666666666653</v>
      </c>
      <c r="H62" t="s">
        <v>435</v>
      </c>
    </row>
    <row r="63" spans="1:8">
      <c r="A63" s="10" t="s">
        <v>75</v>
      </c>
      <c r="B63" s="13">
        <v>30</v>
      </c>
      <c r="C63" s="12" t="s">
        <v>19</v>
      </c>
      <c r="D63" s="112"/>
      <c r="E63" s="96" t="s">
        <v>50</v>
      </c>
      <c r="F63" s="107"/>
      <c r="G63" s="105">
        <f t="shared" si="6"/>
        <v>0</v>
      </c>
    </row>
    <row r="64" spans="1:8">
      <c r="A64" s="91"/>
      <c r="B64" s="92"/>
      <c r="C64" s="93"/>
      <c r="D64" s="93"/>
      <c r="E64" s="97"/>
      <c r="F64" s="103"/>
      <c r="G64" s="104">
        <f>SUM(G60:G63)</f>
        <v>4.5310127607843143</v>
      </c>
    </row>
    <row r="65" spans="1:8">
      <c r="A65" s="5" t="s">
        <v>76</v>
      </c>
      <c r="B65" s="47"/>
      <c r="C65" s="47"/>
      <c r="D65" s="47"/>
      <c r="E65" s="95"/>
      <c r="F65" s="107"/>
      <c r="G65" s="102"/>
    </row>
    <row r="66" spans="1:8">
      <c r="A66" s="10" t="s">
        <v>77</v>
      </c>
      <c r="B66" s="13">
        <v>90</v>
      </c>
      <c r="C66" s="12" t="s">
        <v>19</v>
      </c>
      <c r="D66" s="12">
        <v>2</v>
      </c>
      <c r="E66" s="96" t="s">
        <v>78</v>
      </c>
      <c r="F66" s="107">
        <f>3.446*1.3*1.1*1.2/0.85/450*90</f>
        <v>1.3913731764705883</v>
      </c>
      <c r="G66" s="105">
        <f>F66*(1+$G$2)</f>
        <v>1.4609418352941179</v>
      </c>
      <c r="H66" t="s">
        <v>437</v>
      </c>
    </row>
    <row r="67" spans="1:8">
      <c r="A67" s="91"/>
      <c r="B67" s="92"/>
      <c r="C67" s="93"/>
      <c r="D67" s="93"/>
      <c r="E67" s="97"/>
      <c r="F67" s="103"/>
      <c r="G67" s="104">
        <f>SUM(G66)</f>
        <v>1.4609418352941179</v>
      </c>
    </row>
    <row r="68" spans="1:8">
      <c r="A68" s="5" t="s">
        <v>79</v>
      </c>
      <c r="B68" s="47"/>
      <c r="C68" s="47"/>
      <c r="D68" s="47"/>
      <c r="E68" s="95"/>
      <c r="F68" s="107"/>
      <c r="G68" s="102"/>
    </row>
    <row r="69" spans="1:8">
      <c r="A69" s="10" t="s">
        <v>80</v>
      </c>
      <c r="B69" s="13" t="s">
        <v>81</v>
      </c>
      <c r="C69" s="12" t="s">
        <v>19</v>
      </c>
      <c r="D69" s="122" t="s">
        <v>82</v>
      </c>
      <c r="E69" s="96" t="s">
        <v>83</v>
      </c>
      <c r="F69" s="107"/>
      <c r="G69" s="105">
        <f t="shared" ref="G69:G70" si="7">F69*(1+$G$2)</f>
        <v>0</v>
      </c>
    </row>
    <row r="70" spans="1:8">
      <c r="A70" s="10" t="s">
        <v>84</v>
      </c>
      <c r="B70" s="13" t="s">
        <v>81</v>
      </c>
      <c r="C70" s="12" t="s">
        <v>19</v>
      </c>
      <c r="D70" s="112"/>
      <c r="E70" s="96" t="s">
        <v>85</v>
      </c>
      <c r="F70" s="107"/>
      <c r="G70" s="105">
        <f t="shared" si="7"/>
        <v>0</v>
      </c>
    </row>
    <row r="71" spans="1:8">
      <c r="A71" s="91"/>
      <c r="B71" s="92"/>
      <c r="C71" s="93"/>
      <c r="D71" s="93"/>
      <c r="E71" s="97"/>
      <c r="F71" s="103"/>
      <c r="G71" s="104" t="s">
        <v>436</v>
      </c>
    </row>
    <row r="72" spans="1:8">
      <c r="A72" s="5" t="s">
        <v>86</v>
      </c>
      <c r="B72" s="47"/>
      <c r="C72" s="47"/>
      <c r="D72" s="64"/>
      <c r="E72" s="95" t="s">
        <v>50</v>
      </c>
      <c r="F72" s="107"/>
      <c r="G72" s="102"/>
    </row>
    <row r="73" spans="1:8">
      <c r="A73" s="10" t="s">
        <v>87</v>
      </c>
      <c r="B73" s="13">
        <v>45</v>
      </c>
      <c r="C73" s="12" t="s">
        <v>19</v>
      </c>
      <c r="D73" s="121" t="s">
        <v>88</v>
      </c>
      <c r="E73" s="96" t="s">
        <v>89</v>
      </c>
      <c r="F73" s="107"/>
      <c r="G73" s="105">
        <f t="shared" ref="G73:G75" si="8">F73*(1+$G$2)</f>
        <v>0</v>
      </c>
    </row>
    <row r="74" spans="1:8">
      <c r="A74" s="10" t="s">
        <v>90</v>
      </c>
      <c r="B74" s="13">
        <v>3</v>
      </c>
      <c r="C74" s="12" t="s">
        <v>19</v>
      </c>
      <c r="D74" s="111"/>
      <c r="E74" s="96" t="s">
        <v>91</v>
      </c>
      <c r="F74" s="107"/>
      <c r="G74" s="105">
        <f t="shared" si="8"/>
        <v>0</v>
      </c>
    </row>
    <row r="75" spans="1:8">
      <c r="A75" s="10" t="s">
        <v>92</v>
      </c>
      <c r="B75" s="13">
        <v>3</v>
      </c>
      <c r="C75" s="12" t="s">
        <v>19</v>
      </c>
      <c r="D75" s="112"/>
      <c r="E75" s="96"/>
      <c r="F75" s="107"/>
      <c r="G75" s="105">
        <f t="shared" si="8"/>
        <v>0</v>
      </c>
    </row>
    <row r="76" spans="1:8">
      <c r="A76" s="91"/>
      <c r="B76" s="92"/>
      <c r="C76" s="93"/>
      <c r="D76" s="93"/>
      <c r="E76" s="97"/>
      <c r="F76" s="103"/>
      <c r="G76" s="104">
        <f>SUM(G73:G75)</f>
        <v>0</v>
      </c>
    </row>
    <row r="77" spans="1:8">
      <c r="A77" s="5" t="s">
        <v>93</v>
      </c>
      <c r="B77" s="47"/>
      <c r="C77" s="47"/>
      <c r="D77" s="64"/>
      <c r="E77" s="95" t="s">
        <v>50</v>
      </c>
      <c r="F77" s="107"/>
      <c r="G77" s="102"/>
    </row>
    <row r="78" spans="1:8">
      <c r="A78" s="10" t="s">
        <v>94</v>
      </c>
      <c r="B78" s="13">
        <v>200</v>
      </c>
      <c r="C78" s="12" t="s">
        <v>19</v>
      </c>
      <c r="D78" s="32">
        <v>2</v>
      </c>
      <c r="E78" s="96" t="s">
        <v>95</v>
      </c>
      <c r="F78" s="107"/>
      <c r="G78" s="105">
        <f>F78*(1+$G$2)</f>
        <v>0</v>
      </c>
    </row>
    <row r="79" spans="1:8">
      <c r="A79" s="91"/>
      <c r="B79" s="92"/>
      <c r="C79" s="93"/>
      <c r="D79" s="93"/>
      <c r="E79" s="97"/>
      <c r="F79" s="103"/>
      <c r="G79" s="104">
        <f>SUM(G78)</f>
        <v>0</v>
      </c>
    </row>
    <row r="80" spans="1:8">
      <c r="A80" s="5" t="s">
        <v>96</v>
      </c>
      <c r="B80" s="47"/>
      <c r="C80" s="47"/>
      <c r="D80" s="64"/>
      <c r="E80" s="95"/>
      <c r="F80" s="107"/>
      <c r="G80" s="102"/>
    </row>
    <row r="81" spans="1:8">
      <c r="A81" s="10" t="s">
        <v>97</v>
      </c>
      <c r="B81" s="13">
        <v>150</v>
      </c>
      <c r="C81" s="12" t="s">
        <v>19</v>
      </c>
      <c r="D81" s="121" t="s">
        <v>98</v>
      </c>
      <c r="E81" s="96" t="s">
        <v>99</v>
      </c>
      <c r="F81" s="133">
        <v>0.85029999999999994</v>
      </c>
      <c r="G81" s="105">
        <f t="shared" ref="G81:G84" si="9">F81*(1+$G$2)</f>
        <v>0.89281500000000003</v>
      </c>
    </row>
    <row r="82" spans="1:8">
      <c r="A82" s="10" t="s">
        <v>100</v>
      </c>
      <c r="B82" s="13">
        <v>150</v>
      </c>
      <c r="C82" s="12" t="s">
        <v>19</v>
      </c>
      <c r="D82" s="111"/>
      <c r="E82" s="96" t="s">
        <v>101</v>
      </c>
      <c r="F82" s="133">
        <v>0.85129999999999995</v>
      </c>
      <c r="G82" s="105">
        <f t="shared" si="9"/>
        <v>0.89386500000000002</v>
      </c>
    </row>
    <row r="83" spans="1:8">
      <c r="A83" s="10" t="s">
        <v>102</v>
      </c>
      <c r="B83" s="13">
        <v>150</v>
      </c>
      <c r="C83" s="12" t="s">
        <v>19</v>
      </c>
      <c r="D83" s="111"/>
      <c r="E83" s="96"/>
      <c r="F83" s="133">
        <v>0.35049999999999998</v>
      </c>
      <c r="G83" s="105">
        <f t="shared" si="9"/>
        <v>0.36802499999999999</v>
      </c>
    </row>
    <row r="84" spans="1:8">
      <c r="A84" s="10" t="s">
        <v>103</v>
      </c>
      <c r="B84" s="13">
        <v>150</v>
      </c>
      <c r="C84" s="12" t="s">
        <v>19</v>
      </c>
      <c r="D84" s="112"/>
      <c r="E84" s="96"/>
      <c r="F84" s="133">
        <v>1.2765</v>
      </c>
      <c r="G84" s="105">
        <f t="shared" si="9"/>
        <v>1.340325</v>
      </c>
    </row>
    <row r="85" spans="1:8">
      <c r="A85" s="91"/>
      <c r="B85" s="92"/>
      <c r="C85" s="93"/>
      <c r="D85" s="93"/>
      <c r="E85" s="97"/>
      <c r="F85" s="103"/>
      <c r="G85" s="104">
        <f>SUM(G81:G84)</f>
        <v>3.4950299999999999</v>
      </c>
    </row>
    <row r="86" spans="1:8">
      <c r="A86" s="5" t="s">
        <v>104</v>
      </c>
      <c r="B86" s="47"/>
      <c r="C86" s="47"/>
      <c r="D86" s="47"/>
      <c r="E86" s="95" t="s">
        <v>105</v>
      </c>
      <c r="F86" s="107"/>
      <c r="G86" s="102"/>
    </row>
    <row r="87" spans="1:8">
      <c r="A87" s="10" t="s">
        <v>106</v>
      </c>
      <c r="B87" s="13">
        <v>30</v>
      </c>
      <c r="C87" s="12" t="s">
        <v>19</v>
      </c>
      <c r="D87" s="63">
        <v>0.75</v>
      </c>
      <c r="E87" s="96" t="s">
        <v>107</v>
      </c>
      <c r="F87" s="133">
        <v>0.49</v>
      </c>
      <c r="G87" s="105">
        <f t="shared" ref="G87:G88" si="10">F87*(1+$G$2)</f>
        <v>0.51449999999999996</v>
      </c>
    </row>
    <row r="88" spans="1:8">
      <c r="A88" s="10" t="s">
        <v>108</v>
      </c>
      <c r="B88" s="13">
        <v>40</v>
      </c>
      <c r="C88" s="12" t="s">
        <v>19</v>
      </c>
      <c r="D88" s="63">
        <v>0.75</v>
      </c>
      <c r="E88" s="96"/>
      <c r="F88" s="133">
        <v>0.51</v>
      </c>
      <c r="G88" s="105">
        <f t="shared" si="10"/>
        <v>0.53550000000000009</v>
      </c>
    </row>
    <row r="89" spans="1:8">
      <c r="A89" s="91"/>
      <c r="B89" s="92"/>
      <c r="C89" s="93"/>
      <c r="D89" s="93"/>
      <c r="E89" s="97"/>
      <c r="F89" s="103"/>
      <c r="G89" s="104">
        <f>SUM(G87:G88)</f>
        <v>1.05</v>
      </c>
    </row>
    <row r="90" spans="1:8">
      <c r="A90" s="5" t="s">
        <v>109</v>
      </c>
      <c r="B90" s="47"/>
      <c r="C90" s="47"/>
      <c r="D90" s="47"/>
      <c r="E90" s="95"/>
      <c r="F90" s="107"/>
      <c r="G90" s="102"/>
    </row>
    <row r="91" spans="1:8">
      <c r="A91" s="10" t="s">
        <v>110</v>
      </c>
      <c r="B91" s="13">
        <v>10</v>
      </c>
      <c r="C91" s="12" t="s">
        <v>111</v>
      </c>
      <c r="D91" s="12" t="s">
        <v>112</v>
      </c>
      <c r="E91" s="96" t="s">
        <v>113</v>
      </c>
      <c r="F91" s="133">
        <v>2.096666667</v>
      </c>
      <c r="G91" s="105">
        <f t="shared" ref="G91" si="11">F91*(1+$G$2)</f>
        <v>2.2015000003500003</v>
      </c>
      <c r="H91" s="135" t="s">
        <v>438</v>
      </c>
    </row>
    <row r="92" spans="1:8">
      <c r="A92" s="91"/>
      <c r="B92" s="92"/>
      <c r="C92" s="93"/>
      <c r="D92" s="93"/>
      <c r="E92" s="97"/>
      <c r="F92" s="103"/>
      <c r="G92" s="104">
        <f>SUM(G91)</f>
        <v>2.2015000003500003</v>
      </c>
    </row>
    <row r="93" spans="1:8">
      <c r="A93" s="5" t="s">
        <v>114</v>
      </c>
      <c r="B93" s="47"/>
      <c r="C93" s="47"/>
      <c r="D93" s="47"/>
      <c r="E93" s="95"/>
      <c r="F93" s="107"/>
      <c r="G93" s="102"/>
    </row>
    <row r="94" spans="1:8">
      <c r="A94" s="7" t="s">
        <v>115</v>
      </c>
      <c r="B94" s="44">
        <v>1</v>
      </c>
      <c r="C94" s="8" t="s">
        <v>116</v>
      </c>
      <c r="D94" s="113"/>
      <c r="E94" s="94" t="s">
        <v>117</v>
      </c>
      <c r="F94" s="107"/>
      <c r="G94" s="105">
        <f t="shared" ref="G94:G97" si="12">F94*(1+$G$2)</f>
        <v>0</v>
      </c>
    </row>
    <row r="95" spans="1:8">
      <c r="A95" s="9" t="s">
        <v>118</v>
      </c>
      <c r="B95" s="44">
        <v>6</v>
      </c>
      <c r="C95" s="8" t="s">
        <v>116</v>
      </c>
      <c r="D95" s="114"/>
      <c r="E95" s="94"/>
      <c r="F95" s="107"/>
      <c r="G95" s="105">
        <f t="shared" si="12"/>
        <v>0</v>
      </c>
    </row>
    <row r="96" spans="1:8">
      <c r="A96" s="9" t="s">
        <v>119</v>
      </c>
      <c r="B96" s="44">
        <v>1</v>
      </c>
      <c r="C96" s="8" t="s">
        <v>116</v>
      </c>
      <c r="D96" s="114"/>
      <c r="E96" s="94"/>
      <c r="F96" s="107"/>
      <c r="G96" s="105">
        <f t="shared" si="12"/>
        <v>0</v>
      </c>
    </row>
    <row r="97" spans="1:7">
      <c r="A97" s="9" t="s">
        <v>120</v>
      </c>
      <c r="B97" s="44">
        <v>1</v>
      </c>
      <c r="C97" s="8" t="s">
        <v>116</v>
      </c>
      <c r="D97" s="114"/>
      <c r="E97" s="94"/>
      <c r="F97" s="107"/>
      <c r="G97" s="105">
        <f t="shared" si="12"/>
        <v>0</v>
      </c>
    </row>
    <row r="98" spans="1:7">
      <c r="A98" s="91"/>
      <c r="B98" s="92"/>
      <c r="C98" s="93"/>
      <c r="D98" s="93"/>
      <c r="E98" s="97"/>
      <c r="F98" s="103"/>
      <c r="G98" s="104">
        <f>SUM(G94:G97)</f>
        <v>0</v>
      </c>
    </row>
    <row r="99" spans="1:7">
      <c r="A99" s="5" t="s">
        <v>121</v>
      </c>
      <c r="B99" s="47"/>
      <c r="C99" s="47"/>
      <c r="D99" s="47"/>
      <c r="E99" s="95"/>
      <c r="F99" s="107"/>
      <c r="G99" s="102"/>
    </row>
    <row r="100" spans="1:7">
      <c r="A100" s="49" t="s">
        <v>122</v>
      </c>
      <c r="B100" s="50">
        <v>1</v>
      </c>
      <c r="C100" s="51" t="s">
        <v>10</v>
      </c>
      <c r="D100" s="51"/>
      <c r="E100" s="99"/>
      <c r="F100" s="107"/>
      <c r="G100" s="105">
        <f t="shared" ref="G100:G109" si="13">F100*(1+$G$2)</f>
        <v>0</v>
      </c>
    </row>
    <row r="101" spans="1:7">
      <c r="A101" s="49" t="s">
        <v>123</v>
      </c>
      <c r="B101" s="50">
        <v>1</v>
      </c>
      <c r="C101" s="51" t="s">
        <v>10</v>
      </c>
      <c r="D101" s="51"/>
      <c r="E101" s="99"/>
      <c r="F101" s="107"/>
      <c r="G101" s="105">
        <f t="shared" si="13"/>
        <v>0</v>
      </c>
    </row>
    <row r="102" spans="1:7">
      <c r="A102" s="49" t="s">
        <v>124</v>
      </c>
      <c r="B102" s="50">
        <v>1</v>
      </c>
      <c r="C102" s="51" t="s">
        <v>10</v>
      </c>
      <c r="D102" s="51"/>
      <c r="E102" s="99"/>
      <c r="F102" s="107"/>
      <c r="G102" s="105">
        <f t="shared" si="13"/>
        <v>0</v>
      </c>
    </row>
    <row r="103" spans="1:7">
      <c r="A103" s="49" t="s">
        <v>125</v>
      </c>
      <c r="B103" s="50">
        <v>1</v>
      </c>
      <c r="C103" s="51" t="s">
        <v>10</v>
      </c>
      <c r="D103" s="51"/>
      <c r="E103" s="99"/>
      <c r="F103" s="107"/>
      <c r="G103" s="105">
        <f t="shared" si="13"/>
        <v>0</v>
      </c>
    </row>
    <row r="104" spans="1:7">
      <c r="A104" s="49" t="s">
        <v>126</v>
      </c>
      <c r="B104" s="50">
        <v>1</v>
      </c>
      <c r="C104" s="51" t="s">
        <v>10</v>
      </c>
      <c r="D104" s="51"/>
      <c r="E104" s="99"/>
      <c r="F104" s="107"/>
      <c r="G104" s="105">
        <f t="shared" si="13"/>
        <v>0</v>
      </c>
    </row>
    <row r="105" spans="1:7">
      <c r="A105" s="49" t="s">
        <v>127</v>
      </c>
      <c r="B105" s="50">
        <v>1</v>
      </c>
      <c r="C105" s="51" t="s">
        <v>10</v>
      </c>
      <c r="D105" s="51"/>
      <c r="E105" s="99"/>
      <c r="F105" s="107"/>
      <c r="G105" s="105">
        <f t="shared" si="13"/>
        <v>0</v>
      </c>
    </row>
    <row r="106" spans="1:7">
      <c r="A106" s="49" t="s">
        <v>128</v>
      </c>
      <c r="B106" s="50">
        <v>1</v>
      </c>
      <c r="C106" s="51" t="s">
        <v>10</v>
      </c>
      <c r="D106" s="51"/>
      <c r="E106" s="99"/>
      <c r="F106" s="107"/>
      <c r="G106" s="105">
        <f t="shared" si="13"/>
        <v>0</v>
      </c>
    </row>
    <row r="107" spans="1:7">
      <c r="A107" s="49" t="s">
        <v>129</v>
      </c>
      <c r="B107" s="50">
        <v>1</v>
      </c>
      <c r="C107" s="51" t="s">
        <v>10</v>
      </c>
      <c r="D107" s="51"/>
      <c r="E107" s="99"/>
      <c r="F107" s="107"/>
      <c r="G107" s="105">
        <f t="shared" si="13"/>
        <v>0</v>
      </c>
    </row>
    <row r="108" spans="1:7">
      <c r="A108" s="52" t="s">
        <v>130</v>
      </c>
      <c r="B108" s="50">
        <v>1</v>
      </c>
      <c r="C108" s="51" t="s">
        <v>10</v>
      </c>
      <c r="D108" s="51"/>
      <c r="E108" s="99"/>
      <c r="F108" s="107"/>
      <c r="G108" s="105">
        <f t="shared" si="13"/>
        <v>0</v>
      </c>
    </row>
    <row r="109" spans="1:7">
      <c r="A109" s="53" t="s">
        <v>131</v>
      </c>
      <c r="B109" s="54">
        <v>1</v>
      </c>
      <c r="C109" s="51" t="s">
        <v>10</v>
      </c>
      <c r="D109" s="51"/>
      <c r="E109" s="99"/>
      <c r="F109" s="107"/>
      <c r="G109" s="105">
        <f t="shared" si="13"/>
        <v>0</v>
      </c>
    </row>
    <row r="110" spans="1:7">
      <c r="A110" s="91"/>
      <c r="B110" s="92"/>
      <c r="C110" s="93"/>
      <c r="D110" s="93"/>
      <c r="E110" s="97"/>
      <c r="F110" s="103"/>
      <c r="G110" s="104">
        <f>SUM(G100:G109)</f>
        <v>0</v>
      </c>
    </row>
    <row r="111" spans="1:7">
      <c r="A111" s="5" t="s">
        <v>132</v>
      </c>
      <c r="B111" s="47"/>
      <c r="C111" s="47"/>
      <c r="D111" s="47"/>
      <c r="E111" s="95"/>
      <c r="F111" s="107"/>
      <c r="G111" s="102"/>
    </row>
    <row r="112" spans="1:7">
      <c r="A112" s="40" t="s">
        <v>133</v>
      </c>
      <c r="B112" s="45">
        <v>30</v>
      </c>
      <c r="C112" s="41" t="s">
        <v>134</v>
      </c>
      <c r="D112" s="118">
        <v>1</v>
      </c>
      <c r="E112" s="96" t="s">
        <v>59</v>
      </c>
      <c r="F112" s="107"/>
      <c r="G112" s="105">
        <f t="shared" ref="G112:G118" si="14">F112*(1+$G$2)</f>
        <v>0</v>
      </c>
    </row>
    <row r="113" spans="1:9">
      <c r="A113" s="10" t="s">
        <v>135</v>
      </c>
      <c r="B113" s="13" t="s">
        <v>136</v>
      </c>
      <c r="C113" s="12" t="s">
        <v>134</v>
      </c>
      <c r="D113" s="119"/>
      <c r="E113" s="96" t="s">
        <v>85</v>
      </c>
      <c r="F113" s="107"/>
      <c r="G113" s="105">
        <f t="shared" si="14"/>
        <v>0</v>
      </c>
    </row>
    <row r="114" spans="1:9">
      <c r="A114" s="10" t="s">
        <v>137</v>
      </c>
      <c r="B114" s="13">
        <v>15</v>
      </c>
      <c r="C114" s="12" t="s">
        <v>134</v>
      </c>
      <c r="D114" s="119"/>
      <c r="E114" s="96" t="s">
        <v>138</v>
      </c>
      <c r="F114" s="107"/>
      <c r="G114" s="105">
        <f t="shared" si="14"/>
        <v>0</v>
      </c>
    </row>
    <row r="115" spans="1:9">
      <c r="A115" s="10" t="s">
        <v>139</v>
      </c>
      <c r="B115" s="13">
        <v>10</v>
      </c>
      <c r="C115" s="12" t="s">
        <v>134</v>
      </c>
      <c r="D115" s="119"/>
      <c r="E115" s="96"/>
      <c r="F115" s="107"/>
      <c r="G115" s="105">
        <f t="shared" si="14"/>
        <v>0</v>
      </c>
    </row>
    <row r="116" spans="1:9">
      <c r="A116" s="10" t="s">
        <v>140</v>
      </c>
      <c r="B116" s="13">
        <v>8</v>
      </c>
      <c r="C116" s="12" t="s">
        <v>134</v>
      </c>
      <c r="D116" s="119"/>
      <c r="E116" s="96"/>
      <c r="F116" s="107"/>
      <c r="G116" s="105">
        <f t="shared" si="14"/>
        <v>0</v>
      </c>
    </row>
    <row r="117" spans="1:9">
      <c r="A117" s="10" t="s">
        <v>141</v>
      </c>
      <c r="B117" s="13" t="s">
        <v>142</v>
      </c>
      <c r="C117" s="12" t="s">
        <v>134</v>
      </c>
      <c r="D117" s="119"/>
      <c r="E117" s="96"/>
      <c r="F117" s="107"/>
      <c r="G117" s="105">
        <f t="shared" si="14"/>
        <v>0</v>
      </c>
      <c r="I117" t="s">
        <v>143</v>
      </c>
    </row>
    <row r="118" spans="1:9">
      <c r="A118" s="40" t="s">
        <v>144</v>
      </c>
      <c r="B118" s="45" t="s">
        <v>145</v>
      </c>
      <c r="C118" s="41" t="s">
        <v>19</v>
      </c>
      <c r="D118" s="120"/>
      <c r="E118" s="96"/>
      <c r="F118" s="107"/>
      <c r="G118" s="105">
        <f t="shared" si="14"/>
        <v>0</v>
      </c>
    </row>
    <row r="119" spans="1:9">
      <c r="A119" s="91"/>
      <c r="B119" s="92"/>
      <c r="C119" s="93"/>
      <c r="D119" s="93"/>
      <c r="E119" s="97"/>
      <c r="F119" s="103"/>
      <c r="G119" s="104">
        <f>SUM(G112:G118)</f>
        <v>0</v>
      </c>
    </row>
    <row r="120" spans="1:9">
      <c r="A120" s="5" t="s">
        <v>146</v>
      </c>
      <c r="B120" s="47"/>
      <c r="C120" s="47"/>
      <c r="D120" s="47"/>
      <c r="E120" s="95"/>
      <c r="F120" s="107"/>
      <c r="G120" s="102"/>
    </row>
    <row r="121" spans="1:9">
      <c r="A121" s="10" t="s">
        <v>147</v>
      </c>
      <c r="B121" s="13">
        <v>60</v>
      </c>
      <c r="C121" s="12" t="s">
        <v>19</v>
      </c>
      <c r="D121" s="110">
        <v>1</v>
      </c>
      <c r="E121" s="96" t="s">
        <v>50</v>
      </c>
      <c r="F121" s="107"/>
      <c r="G121" s="105">
        <f t="shared" ref="G121:G123" si="15">F121*(1+$G$2)</f>
        <v>0</v>
      </c>
    </row>
    <row r="122" spans="1:9">
      <c r="A122" s="10" t="s">
        <v>148</v>
      </c>
      <c r="B122" s="13">
        <v>15</v>
      </c>
      <c r="C122" s="12" t="s">
        <v>19</v>
      </c>
      <c r="D122" s="111"/>
      <c r="E122" s="96"/>
      <c r="F122" s="107"/>
      <c r="G122" s="105">
        <f t="shared" si="15"/>
        <v>0</v>
      </c>
    </row>
    <row r="123" spans="1:9">
      <c r="A123" s="10" t="s">
        <v>149</v>
      </c>
      <c r="B123" s="13">
        <v>3</v>
      </c>
      <c r="C123" s="12" t="s">
        <v>19</v>
      </c>
      <c r="D123" s="112"/>
      <c r="E123" s="96"/>
      <c r="F123" s="107"/>
      <c r="G123" s="105">
        <f t="shared" si="15"/>
        <v>0</v>
      </c>
    </row>
    <row r="124" spans="1:9">
      <c r="A124" s="91"/>
      <c r="B124" s="92"/>
      <c r="C124" s="93"/>
      <c r="D124" s="93"/>
      <c r="E124" s="97"/>
      <c r="F124" s="103"/>
      <c r="G124" s="104">
        <f>SUM(G121:G123)</f>
        <v>0</v>
      </c>
    </row>
    <row r="125" spans="1:9">
      <c r="A125" s="5" t="s">
        <v>150</v>
      </c>
      <c r="B125" s="47"/>
      <c r="C125" s="47"/>
      <c r="D125" s="47"/>
      <c r="E125" s="95" t="s">
        <v>105</v>
      </c>
      <c r="F125" s="107"/>
      <c r="G125" s="102"/>
    </row>
    <row r="126" spans="1:9">
      <c r="A126" s="10" t="s">
        <v>151</v>
      </c>
      <c r="B126" s="13">
        <v>30</v>
      </c>
      <c r="C126" s="12" t="s">
        <v>19</v>
      </c>
      <c r="D126" s="63">
        <v>1</v>
      </c>
      <c r="E126" s="96" t="s">
        <v>152</v>
      </c>
      <c r="F126" s="105">
        <v>0.69</v>
      </c>
      <c r="G126" s="105">
        <f t="shared" ref="G126:G127" si="16">F126*(1+$G$2)</f>
        <v>0.72449999999999992</v>
      </c>
    </row>
    <row r="127" spans="1:9">
      <c r="A127" s="10" t="s">
        <v>153</v>
      </c>
      <c r="B127" s="13">
        <v>40</v>
      </c>
      <c r="C127" s="12" t="s">
        <v>19</v>
      </c>
      <c r="D127" s="63">
        <v>0.6</v>
      </c>
      <c r="E127" s="96"/>
      <c r="F127" s="107">
        <v>0.45</v>
      </c>
      <c r="G127" s="105">
        <f t="shared" si="16"/>
        <v>0.47250000000000003</v>
      </c>
    </row>
    <row r="128" spans="1:9">
      <c r="A128" s="10" t="s">
        <v>154</v>
      </c>
      <c r="B128" s="13">
        <v>40</v>
      </c>
      <c r="C128" s="12" t="s">
        <v>19</v>
      </c>
      <c r="D128" s="63">
        <v>0.6</v>
      </c>
      <c r="E128" s="96"/>
      <c r="F128" s="107">
        <v>0.26455000000000001</v>
      </c>
      <c r="G128" s="105">
        <f>F128*(1+$G$2)</f>
        <v>0.27777750000000001</v>
      </c>
    </row>
    <row r="129" spans="1:7">
      <c r="A129" s="91"/>
      <c r="B129" s="92"/>
      <c r="C129" s="93"/>
      <c r="D129" s="93"/>
      <c r="E129" s="97"/>
      <c r="F129" s="103"/>
      <c r="G129" s="104">
        <f>SUM(G126:G128)</f>
        <v>1.4747775000000001</v>
      </c>
    </row>
  </sheetData>
  <mergeCells count="14">
    <mergeCell ref="D121:D123"/>
    <mergeCell ref="D46:D50"/>
    <mergeCell ref="D4:D9"/>
    <mergeCell ref="D17:D18"/>
    <mergeCell ref="D21:D27"/>
    <mergeCell ref="D30:D33"/>
    <mergeCell ref="D39:D43"/>
    <mergeCell ref="D112:D118"/>
    <mergeCell ref="D53:D57"/>
    <mergeCell ref="D60:D63"/>
    <mergeCell ref="D69:D70"/>
    <mergeCell ref="D81:D84"/>
    <mergeCell ref="D73:D75"/>
    <mergeCell ref="D94:D97"/>
  </mergeCells>
  <printOptions gridLines="1"/>
  <pageMargins left="0.25" right="0.25" top="0.75" bottom="0.75" header="0.3" footer="0.3"/>
  <pageSetup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E26-0A75-4934-AE0C-B9BDC700C742}">
  <sheetPr>
    <pageSetUpPr fitToPage="1"/>
  </sheetPr>
  <dimension ref="A1:H32"/>
  <sheetViews>
    <sheetView zoomScaleNormal="100" workbookViewId="0">
      <selection activeCell="A28" sqref="A28"/>
    </sheetView>
  </sheetViews>
  <sheetFormatPr defaultRowHeight="14.4"/>
  <cols>
    <col min="1" max="1" width="46" customWidth="1"/>
    <col min="2" max="4" width="10.6640625" style="48" customWidth="1"/>
    <col min="5" max="5" width="15.33203125" style="15" bestFit="1" customWidth="1"/>
  </cols>
  <sheetData>
    <row r="1" spans="1:8" ht="34.799999999999997">
      <c r="A1" s="1" t="s">
        <v>155</v>
      </c>
      <c r="B1" s="2"/>
      <c r="C1" s="2"/>
      <c r="D1" s="2"/>
    </row>
    <row r="2" spans="1:8">
      <c r="A2" s="4" t="s">
        <v>1</v>
      </c>
      <c r="B2" s="46" t="s">
        <v>2</v>
      </c>
      <c r="C2" s="46" t="s">
        <v>3</v>
      </c>
      <c r="D2" s="46" t="s">
        <v>4</v>
      </c>
    </row>
    <row r="3" spans="1:8">
      <c r="A3" s="5" t="s">
        <v>6</v>
      </c>
      <c r="B3" s="47"/>
      <c r="C3" s="47"/>
      <c r="D3" s="47"/>
    </row>
    <row r="4" spans="1:8">
      <c r="A4" s="7" t="s">
        <v>9</v>
      </c>
      <c r="B4" s="44">
        <v>1</v>
      </c>
      <c r="C4" s="8" t="s">
        <v>10</v>
      </c>
      <c r="D4" s="113">
        <v>1</v>
      </c>
    </row>
    <row r="5" spans="1:8">
      <c r="A5" s="9" t="s">
        <v>12</v>
      </c>
      <c r="B5" s="44">
        <v>3</v>
      </c>
      <c r="C5" s="8" t="s">
        <v>10</v>
      </c>
      <c r="D5" s="114"/>
    </row>
    <row r="6" spans="1:8">
      <c r="A6" s="9" t="s">
        <v>13</v>
      </c>
      <c r="B6" s="44">
        <v>3</v>
      </c>
      <c r="C6" s="8" t="s">
        <v>10</v>
      </c>
      <c r="D6" s="114"/>
    </row>
    <row r="7" spans="1:8">
      <c r="A7" s="9" t="s">
        <v>14</v>
      </c>
      <c r="B7" s="44">
        <v>1</v>
      </c>
      <c r="C7" s="8" t="s">
        <v>10</v>
      </c>
      <c r="D7" s="114"/>
    </row>
    <row r="8" spans="1:8">
      <c r="A8" s="9" t="s">
        <v>15</v>
      </c>
      <c r="B8" s="44">
        <v>1</v>
      </c>
      <c r="C8" s="8" t="s">
        <v>10</v>
      </c>
      <c r="D8" s="114"/>
    </row>
    <row r="9" spans="1:8">
      <c r="A9" s="9" t="s">
        <v>16</v>
      </c>
      <c r="B9" s="44">
        <v>1</v>
      </c>
      <c r="C9" s="8" t="s">
        <v>10</v>
      </c>
      <c r="D9" s="115"/>
    </row>
    <row r="10" spans="1:8">
      <c r="A10" s="5" t="s">
        <v>156</v>
      </c>
      <c r="B10" s="47"/>
      <c r="C10" s="47"/>
      <c r="D10" s="47"/>
    </row>
    <row r="11" spans="1:8">
      <c r="A11" s="10" t="s">
        <v>18</v>
      </c>
      <c r="B11" s="11">
        <v>30</v>
      </c>
      <c r="C11" s="12" t="s">
        <v>19</v>
      </c>
      <c r="D11" s="110">
        <v>1</v>
      </c>
    </row>
    <row r="12" spans="1:8" s="15" customFormat="1">
      <c r="A12" s="10" t="s">
        <v>157</v>
      </c>
      <c r="B12" s="13">
        <v>5</v>
      </c>
      <c r="C12" s="12" t="s">
        <v>19</v>
      </c>
      <c r="D12" s="112"/>
      <c r="F12"/>
      <c r="G12"/>
      <c r="H12"/>
    </row>
    <row r="13" spans="1:8" s="15" customFormat="1">
      <c r="A13" s="68" t="s">
        <v>158</v>
      </c>
      <c r="B13" s="47"/>
      <c r="C13" s="47"/>
      <c r="D13" s="71"/>
      <c r="F13"/>
      <c r="G13"/>
      <c r="H13"/>
    </row>
    <row r="14" spans="1:8" s="15" customFormat="1">
      <c r="A14" s="66" t="s">
        <v>25</v>
      </c>
      <c r="B14" s="67">
        <v>14</v>
      </c>
      <c r="C14" s="70" t="s">
        <v>19</v>
      </c>
      <c r="D14" s="116">
        <v>1</v>
      </c>
      <c r="F14"/>
      <c r="G14"/>
      <c r="H14"/>
    </row>
    <row r="15" spans="1:8" s="15" customFormat="1">
      <c r="A15" s="66" t="s">
        <v>27</v>
      </c>
      <c r="B15" s="67">
        <v>1</v>
      </c>
      <c r="C15" s="70" t="s">
        <v>19</v>
      </c>
      <c r="D15" s="117"/>
      <c r="F15"/>
      <c r="G15"/>
      <c r="H15"/>
    </row>
    <row r="16" spans="1:8">
      <c r="A16" s="69" t="s">
        <v>28</v>
      </c>
      <c r="B16" s="47"/>
      <c r="C16" s="47"/>
      <c r="D16" s="72"/>
    </row>
    <row r="17" spans="1:5">
      <c r="A17" s="10" t="s">
        <v>29</v>
      </c>
      <c r="B17" s="13">
        <v>40</v>
      </c>
      <c r="C17" s="12" t="s">
        <v>19</v>
      </c>
      <c r="D17" s="110">
        <v>0.5</v>
      </c>
      <c r="E17" s="42"/>
    </row>
    <row r="18" spans="1:5">
      <c r="A18" s="10" t="s">
        <v>31</v>
      </c>
      <c r="B18" s="13">
        <v>30</v>
      </c>
      <c r="C18" s="12" t="s">
        <v>19</v>
      </c>
      <c r="D18" s="111"/>
      <c r="E18" s="42"/>
    </row>
    <row r="19" spans="1:5">
      <c r="A19" s="10" t="s">
        <v>32</v>
      </c>
      <c r="B19" s="13">
        <v>10</v>
      </c>
      <c r="C19" s="12" t="s">
        <v>19</v>
      </c>
      <c r="D19" s="111"/>
      <c r="E19" s="42"/>
    </row>
    <row r="20" spans="1:5">
      <c r="A20" s="10" t="s">
        <v>33</v>
      </c>
      <c r="B20" s="13">
        <v>5</v>
      </c>
      <c r="C20" s="12" t="s">
        <v>19</v>
      </c>
      <c r="D20" s="111"/>
      <c r="E20" s="42"/>
    </row>
    <row r="21" spans="1:5">
      <c r="A21" s="10" t="s">
        <v>35</v>
      </c>
      <c r="B21" s="13">
        <v>5</v>
      </c>
      <c r="C21" s="12" t="s">
        <v>19</v>
      </c>
      <c r="D21" s="111"/>
      <c r="E21" s="43"/>
    </row>
    <row r="22" spans="1:5">
      <c r="A22" s="10"/>
      <c r="B22" s="13"/>
      <c r="C22" s="12"/>
      <c r="D22" s="111"/>
      <c r="E22" s="43"/>
    </row>
    <row r="23" spans="1:5">
      <c r="A23" s="10"/>
      <c r="B23" s="13"/>
      <c r="C23" s="12"/>
      <c r="D23" s="112"/>
    </row>
    <row r="24" spans="1:5">
      <c r="A24" s="5" t="s">
        <v>36</v>
      </c>
      <c r="B24" s="47"/>
      <c r="C24" s="47"/>
      <c r="D24" s="47"/>
    </row>
    <row r="25" spans="1:5">
      <c r="A25" s="10" t="s">
        <v>37</v>
      </c>
      <c r="B25" s="13">
        <v>40</v>
      </c>
      <c r="C25" s="12" t="s">
        <v>19</v>
      </c>
      <c r="D25" s="110">
        <v>0.5</v>
      </c>
    </row>
    <row r="26" spans="1:5">
      <c r="A26" s="10" t="s">
        <v>38</v>
      </c>
      <c r="B26" s="13">
        <v>20</v>
      </c>
      <c r="C26" s="12" t="s">
        <v>19</v>
      </c>
      <c r="D26" s="111"/>
    </row>
    <row r="27" spans="1:5">
      <c r="A27" s="10" t="s">
        <v>39</v>
      </c>
      <c r="B27" s="13">
        <v>20</v>
      </c>
      <c r="C27" s="12" t="s">
        <v>19</v>
      </c>
      <c r="D27" s="111"/>
    </row>
    <row r="28" spans="1:5">
      <c r="A28" s="10" t="s">
        <v>40</v>
      </c>
      <c r="B28" s="13">
        <v>10</v>
      </c>
      <c r="C28" s="12" t="s">
        <v>19</v>
      </c>
      <c r="D28" s="112"/>
    </row>
    <row r="29" spans="1:5">
      <c r="A29" s="5" t="s">
        <v>79</v>
      </c>
      <c r="B29" s="47"/>
      <c r="C29" s="47"/>
      <c r="D29" s="47"/>
    </row>
    <row r="30" spans="1:5">
      <c r="A30" s="10" t="s">
        <v>80</v>
      </c>
      <c r="B30" s="13">
        <v>20</v>
      </c>
      <c r="C30" s="12" t="s">
        <v>19</v>
      </c>
      <c r="D30" s="110">
        <v>1</v>
      </c>
    </row>
    <row r="31" spans="1:5">
      <c r="A31" s="10" t="s">
        <v>84</v>
      </c>
      <c r="B31" s="13">
        <v>20</v>
      </c>
      <c r="C31" s="12" t="s">
        <v>19</v>
      </c>
      <c r="D31" s="111"/>
    </row>
    <row r="32" spans="1:5">
      <c r="A32" s="10" t="s">
        <v>159</v>
      </c>
      <c r="B32" s="13">
        <v>10</v>
      </c>
      <c r="C32" s="12" t="s">
        <v>19</v>
      </c>
      <c r="D32" s="112"/>
    </row>
  </sheetData>
  <mergeCells count="6">
    <mergeCell ref="D11:D12"/>
    <mergeCell ref="D30:D32"/>
    <mergeCell ref="D4:D9"/>
    <mergeCell ref="D14:D15"/>
    <mergeCell ref="D17:D23"/>
    <mergeCell ref="D25:D28"/>
  </mergeCells>
  <printOptions gridLines="1"/>
  <pageMargins left="0.25" right="0.25" top="0.75" bottom="0.75" header="0.3" footer="0.3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F71"/>
  <sheetViews>
    <sheetView topLeftCell="A36" zoomScale="130" zoomScaleNormal="130" workbookViewId="0">
      <selection activeCell="A59" sqref="A59"/>
    </sheetView>
  </sheetViews>
  <sheetFormatPr defaultRowHeight="14.4"/>
  <cols>
    <col min="1" max="1" width="59.109375" style="16" customWidth="1"/>
    <col min="2" max="4" width="10.6640625" style="17" customWidth="1"/>
  </cols>
  <sheetData>
    <row r="1" spans="1:6">
      <c r="A1" s="16" t="s">
        <v>160</v>
      </c>
    </row>
    <row r="2" spans="1:6" ht="17.399999999999999">
      <c r="A2" s="19" t="s">
        <v>161</v>
      </c>
      <c r="B2" s="20"/>
      <c r="C2" s="20"/>
      <c r="D2" s="20"/>
    </row>
    <row r="3" spans="1:6">
      <c r="A3" s="4" t="s">
        <v>1</v>
      </c>
      <c r="B3" s="4" t="s">
        <v>2</v>
      </c>
      <c r="C3" s="4" t="s">
        <v>3</v>
      </c>
      <c r="D3" s="4" t="s">
        <v>4</v>
      </c>
      <c r="E3" s="89"/>
      <c r="F3" s="90">
        <v>0.05</v>
      </c>
    </row>
    <row r="4" spans="1:6">
      <c r="A4" s="22" t="s">
        <v>162</v>
      </c>
      <c r="B4" s="23"/>
      <c r="C4" s="23"/>
      <c r="D4" s="23"/>
      <c r="E4" s="100" t="s">
        <v>7</v>
      </c>
      <c r="F4" s="101" t="s">
        <v>8</v>
      </c>
    </row>
    <row r="5" spans="1:6">
      <c r="A5" s="55" t="s">
        <v>122</v>
      </c>
      <c r="B5" s="56">
        <v>1</v>
      </c>
      <c r="C5" s="57" t="s">
        <v>10</v>
      </c>
      <c r="D5" s="57"/>
      <c r="E5" s="102"/>
      <c r="F5" s="102"/>
    </row>
    <row r="6" spans="1:6">
      <c r="A6" s="55" t="s">
        <v>123</v>
      </c>
      <c r="B6" s="56">
        <v>1</v>
      </c>
      <c r="C6" s="57" t="s">
        <v>10</v>
      </c>
      <c r="D6" s="57"/>
      <c r="E6" s="102"/>
      <c r="F6" s="102"/>
    </row>
    <row r="7" spans="1:6">
      <c r="A7" s="55" t="s">
        <v>163</v>
      </c>
      <c r="B7" s="56">
        <v>1</v>
      </c>
      <c r="C7" s="57" t="s">
        <v>10</v>
      </c>
      <c r="D7" s="57"/>
      <c r="E7" s="102"/>
      <c r="F7" s="102"/>
    </row>
    <row r="8" spans="1:6">
      <c r="A8" s="55" t="s">
        <v>164</v>
      </c>
      <c r="B8" s="56">
        <v>1</v>
      </c>
      <c r="C8" s="57" t="s">
        <v>10</v>
      </c>
      <c r="D8" s="57"/>
      <c r="E8" s="102"/>
      <c r="F8" s="102"/>
    </row>
    <row r="9" spans="1:6">
      <c r="A9" s="55" t="s">
        <v>165</v>
      </c>
      <c r="B9" s="56">
        <v>1</v>
      </c>
      <c r="C9" s="57" t="s">
        <v>10</v>
      </c>
      <c r="D9" s="57"/>
      <c r="E9" s="102"/>
      <c r="F9" s="102"/>
    </row>
    <row r="10" spans="1:6">
      <c r="A10" s="55" t="s">
        <v>166</v>
      </c>
      <c r="B10" s="56">
        <v>1</v>
      </c>
      <c r="C10" s="57" t="s">
        <v>10</v>
      </c>
      <c r="D10" s="57"/>
      <c r="E10" s="102"/>
      <c r="F10" s="102"/>
    </row>
    <row r="11" spans="1:6">
      <c r="A11" s="55" t="s">
        <v>167</v>
      </c>
      <c r="B11" s="56">
        <v>1</v>
      </c>
      <c r="C11" s="57" t="s">
        <v>10</v>
      </c>
      <c r="D11" s="57"/>
      <c r="E11" s="102"/>
      <c r="F11" s="102"/>
    </row>
    <row r="12" spans="1:6">
      <c r="A12" s="55" t="s">
        <v>168</v>
      </c>
      <c r="B12" s="56">
        <v>1</v>
      </c>
      <c r="C12" s="57" t="s">
        <v>10</v>
      </c>
      <c r="D12" s="57"/>
      <c r="E12" s="102"/>
      <c r="F12" s="102"/>
    </row>
    <row r="13" spans="1:6">
      <c r="A13" s="55" t="s">
        <v>169</v>
      </c>
      <c r="B13" s="56">
        <v>1</v>
      </c>
      <c r="C13" s="57" t="s">
        <v>10</v>
      </c>
      <c r="D13" s="57"/>
      <c r="E13" s="102"/>
      <c r="F13" s="102"/>
    </row>
    <row r="14" spans="1:6">
      <c r="A14" s="55" t="s">
        <v>170</v>
      </c>
      <c r="B14" s="56">
        <v>1</v>
      </c>
      <c r="C14" s="57" t="s">
        <v>10</v>
      </c>
      <c r="D14" s="57"/>
      <c r="E14" s="102"/>
      <c r="F14" s="102"/>
    </row>
    <row r="15" spans="1:6">
      <c r="A15" s="55" t="s">
        <v>171</v>
      </c>
      <c r="B15" s="56">
        <v>1</v>
      </c>
      <c r="C15" s="57" t="s">
        <v>10</v>
      </c>
      <c r="D15" s="57"/>
      <c r="E15" s="102"/>
      <c r="F15" s="102"/>
    </row>
    <row r="16" spans="1:6">
      <c r="A16" s="55" t="s">
        <v>172</v>
      </c>
      <c r="B16" s="56">
        <v>1</v>
      </c>
      <c r="C16" s="57" t="s">
        <v>10</v>
      </c>
      <c r="D16" s="57"/>
      <c r="E16" s="102"/>
      <c r="F16" s="102"/>
    </row>
    <row r="17" spans="1:6">
      <c r="A17" s="55" t="s">
        <v>173</v>
      </c>
      <c r="B17" s="56">
        <v>1</v>
      </c>
      <c r="C17" s="57" t="s">
        <v>10</v>
      </c>
      <c r="D17" s="57"/>
      <c r="E17" s="102"/>
      <c r="F17" s="102"/>
    </row>
    <row r="18" spans="1:6">
      <c r="A18" s="55" t="s">
        <v>174</v>
      </c>
      <c r="B18" s="56">
        <v>1</v>
      </c>
      <c r="C18" s="57" t="s">
        <v>10</v>
      </c>
      <c r="D18" s="57"/>
      <c r="E18" s="102"/>
      <c r="F18" s="102"/>
    </row>
    <row r="19" spans="1:6">
      <c r="A19" s="25"/>
      <c r="B19" s="26"/>
      <c r="C19" s="27"/>
      <c r="D19" s="27"/>
      <c r="E19" s="103"/>
      <c r="F19" s="104">
        <f>SUM(F5:F18)</f>
        <v>0</v>
      </c>
    </row>
    <row r="20" spans="1:6">
      <c r="A20" s="22" t="s">
        <v>175</v>
      </c>
      <c r="B20" s="23"/>
      <c r="C20" s="23"/>
      <c r="D20" s="23"/>
      <c r="E20" s="102"/>
      <c r="F20" s="102"/>
    </row>
    <row r="21" spans="1:6">
      <c r="A21" s="30" t="s">
        <v>176</v>
      </c>
      <c r="B21" s="31">
        <v>30</v>
      </c>
      <c r="C21" s="32" t="s">
        <v>19</v>
      </c>
      <c r="D21" s="110">
        <v>1</v>
      </c>
      <c r="E21" s="102"/>
      <c r="F21" s="102">
        <f>E21*(1+$F$3)</f>
        <v>0</v>
      </c>
    </row>
    <row r="22" spans="1:6">
      <c r="A22" s="30" t="s">
        <v>177</v>
      </c>
      <c r="B22" s="31">
        <v>45</v>
      </c>
      <c r="C22" s="32" t="s">
        <v>19</v>
      </c>
      <c r="D22" s="112"/>
      <c r="E22" s="102"/>
      <c r="F22" s="102">
        <f>E22*(1+$F$3)</f>
        <v>0</v>
      </c>
    </row>
    <row r="23" spans="1:6">
      <c r="A23" s="25"/>
      <c r="B23" s="26"/>
      <c r="C23" s="27"/>
      <c r="D23" s="27"/>
      <c r="E23" s="103"/>
      <c r="F23" s="104">
        <f>SUM(F21:F22)</f>
        <v>0</v>
      </c>
    </row>
    <row r="24" spans="1:6">
      <c r="A24" s="22" t="s">
        <v>178</v>
      </c>
      <c r="B24" s="23"/>
      <c r="C24" s="23"/>
      <c r="D24" s="23"/>
      <c r="E24" s="102"/>
      <c r="F24" s="102"/>
    </row>
    <row r="25" spans="1:6">
      <c r="A25" s="30" t="s">
        <v>179</v>
      </c>
      <c r="B25" s="31">
        <v>90</v>
      </c>
      <c r="C25" s="32" t="s">
        <v>19</v>
      </c>
      <c r="D25" s="110">
        <v>0.6</v>
      </c>
      <c r="E25" s="102"/>
      <c r="F25" s="102">
        <f t="shared" ref="F25:F29" si="0">E25*(1+$F$3)</f>
        <v>0</v>
      </c>
    </row>
    <row r="26" spans="1:6">
      <c r="A26" s="30" t="s">
        <v>180</v>
      </c>
      <c r="B26" s="31">
        <v>15</v>
      </c>
      <c r="C26" s="32" t="s">
        <v>19</v>
      </c>
      <c r="D26" s="111"/>
      <c r="E26" s="102"/>
      <c r="F26" s="102">
        <f t="shared" si="0"/>
        <v>0</v>
      </c>
    </row>
    <row r="27" spans="1:6">
      <c r="A27" s="30" t="s">
        <v>181</v>
      </c>
      <c r="B27" s="31">
        <v>90</v>
      </c>
      <c r="C27" s="32" t="s">
        <v>19</v>
      </c>
      <c r="D27" s="111"/>
      <c r="E27" s="102"/>
      <c r="F27" s="102">
        <f t="shared" si="0"/>
        <v>0</v>
      </c>
    </row>
    <row r="28" spans="1:6">
      <c r="A28" s="30" t="s">
        <v>182</v>
      </c>
      <c r="B28" s="31">
        <v>45</v>
      </c>
      <c r="C28" s="32" t="s">
        <v>19</v>
      </c>
      <c r="D28" s="111"/>
      <c r="E28" s="102"/>
      <c r="F28" s="102">
        <f t="shared" si="0"/>
        <v>0</v>
      </c>
    </row>
    <row r="29" spans="1:6">
      <c r="A29" s="30"/>
      <c r="B29" s="31"/>
      <c r="C29" s="32"/>
      <c r="D29" s="112"/>
      <c r="E29" s="102"/>
      <c r="F29" s="102">
        <f t="shared" si="0"/>
        <v>0</v>
      </c>
    </row>
    <row r="30" spans="1:6">
      <c r="A30" s="25"/>
      <c r="B30" s="26"/>
      <c r="C30" s="27"/>
      <c r="D30" s="27"/>
      <c r="E30" s="103"/>
      <c r="F30" s="104">
        <f>SUM(F25:F29)</f>
        <v>0</v>
      </c>
    </row>
    <row r="31" spans="1:6">
      <c r="A31" s="22" t="s">
        <v>183</v>
      </c>
      <c r="B31" s="23"/>
      <c r="C31" s="23"/>
      <c r="D31" s="23"/>
      <c r="E31" s="102"/>
      <c r="F31" s="102"/>
    </row>
    <row r="32" spans="1:6">
      <c r="A32" s="10" t="s">
        <v>184</v>
      </c>
      <c r="B32" s="13">
        <v>90</v>
      </c>
      <c r="C32" s="12" t="s">
        <v>19</v>
      </c>
      <c r="D32" s="110">
        <v>0.4</v>
      </c>
      <c r="E32" s="102"/>
      <c r="F32" s="102">
        <f t="shared" ref="F32:F36" si="1">E32*(1+$F$3)</f>
        <v>0</v>
      </c>
    </row>
    <row r="33" spans="1:6">
      <c r="A33" s="10" t="s">
        <v>185</v>
      </c>
      <c r="B33" s="13">
        <v>30</v>
      </c>
      <c r="C33" s="12" t="s">
        <v>19</v>
      </c>
      <c r="D33" s="111"/>
      <c r="E33" s="102"/>
      <c r="F33" s="102">
        <f t="shared" si="1"/>
        <v>0</v>
      </c>
    </row>
    <row r="34" spans="1:6">
      <c r="A34" s="10" t="s">
        <v>186</v>
      </c>
      <c r="B34" s="13">
        <v>30</v>
      </c>
      <c r="C34" s="12" t="s">
        <v>19</v>
      </c>
      <c r="D34" s="111"/>
      <c r="E34" s="102"/>
      <c r="F34" s="102">
        <f t="shared" si="1"/>
        <v>0</v>
      </c>
    </row>
    <row r="35" spans="1:6">
      <c r="A35" s="10" t="s">
        <v>187</v>
      </c>
      <c r="B35" s="13">
        <v>60</v>
      </c>
      <c r="C35" s="12" t="s">
        <v>19</v>
      </c>
      <c r="D35" s="111"/>
      <c r="E35" s="102"/>
      <c r="F35" s="102">
        <f t="shared" si="1"/>
        <v>0</v>
      </c>
    </row>
    <row r="36" spans="1:6">
      <c r="A36" s="10"/>
      <c r="B36" s="31"/>
      <c r="C36" s="32"/>
      <c r="D36" s="112"/>
      <c r="E36" s="102"/>
      <c r="F36" s="102">
        <f t="shared" si="1"/>
        <v>0</v>
      </c>
    </row>
    <row r="37" spans="1:6">
      <c r="A37" s="25"/>
      <c r="B37" s="26"/>
      <c r="C37" s="27"/>
      <c r="D37" s="27"/>
      <c r="E37" s="103"/>
      <c r="F37" s="104">
        <f>SUM(F32:F36)</f>
        <v>0</v>
      </c>
    </row>
    <row r="38" spans="1:6">
      <c r="A38" s="22" t="s">
        <v>188</v>
      </c>
      <c r="B38" s="23"/>
      <c r="C38" s="23"/>
      <c r="D38" s="23"/>
      <c r="E38" s="102"/>
      <c r="F38" s="102"/>
    </row>
    <row r="39" spans="1:6">
      <c r="A39" s="30" t="s">
        <v>189</v>
      </c>
      <c r="B39" s="31">
        <v>60</v>
      </c>
      <c r="C39" s="32" t="s">
        <v>19</v>
      </c>
      <c r="D39" s="110">
        <v>1</v>
      </c>
      <c r="E39" s="102"/>
      <c r="F39" s="102">
        <f t="shared" ref="F39:F40" si="2">E39*(1+$F$3)</f>
        <v>0</v>
      </c>
    </row>
    <row r="40" spans="1:6">
      <c r="A40" s="30" t="s">
        <v>190</v>
      </c>
      <c r="B40" s="31">
        <v>10</v>
      </c>
      <c r="C40" s="32" t="s">
        <v>19</v>
      </c>
      <c r="D40" s="112"/>
      <c r="E40" s="102"/>
      <c r="F40" s="102">
        <f t="shared" si="2"/>
        <v>0</v>
      </c>
    </row>
    <row r="41" spans="1:6">
      <c r="A41" s="25"/>
      <c r="B41" s="26"/>
      <c r="C41" s="27"/>
      <c r="D41" s="27"/>
      <c r="E41" s="103"/>
      <c r="F41" s="104">
        <f>SUM(F39:F40)</f>
        <v>0</v>
      </c>
    </row>
    <row r="42" spans="1:6">
      <c r="A42" s="22" t="s">
        <v>191</v>
      </c>
      <c r="B42" s="23"/>
      <c r="C42" s="23"/>
      <c r="D42" s="23"/>
      <c r="E42" s="102"/>
      <c r="F42" s="102"/>
    </row>
    <row r="43" spans="1:6">
      <c r="A43" s="30" t="s">
        <v>192</v>
      </c>
      <c r="B43" s="31">
        <v>40</v>
      </c>
      <c r="C43" s="32" t="s">
        <v>19</v>
      </c>
      <c r="D43" s="65">
        <v>1.2</v>
      </c>
      <c r="E43" s="133">
        <v>0.45</v>
      </c>
      <c r="F43" s="102">
        <f t="shared" ref="F43" si="3">E43*(1+$F$3)</f>
        <v>0.47250000000000003</v>
      </c>
    </row>
    <row r="44" spans="1:6">
      <c r="A44" s="25"/>
      <c r="B44" s="26"/>
      <c r="C44" s="27"/>
      <c r="D44" s="27"/>
      <c r="E44" s="103"/>
      <c r="F44" s="104">
        <f>SUM(F43)</f>
        <v>0.47250000000000003</v>
      </c>
    </row>
    <row r="45" spans="1:6">
      <c r="A45" s="123" t="s">
        <v>193</v>
      </c>
      <c r="B45" s="124"/>
      <c r="C45" s="124"/>
      <c r="D45" s="23"/>
      <c r="E45" s="102"/>
      <c r="F45" s="102"/>
    </row>
    <row r="46" spans="1:6">
      <c r="A46" s="22" t="s">
        <v>194</v>
      </c>
      <c r="B46" s="23"/>
      <c r="C46" s="23"/>
      <c r="D46" s="27"/>
      <c r="E46" s="102"/>
      <c r="F46" s="102"/>
    </row>
    <row r="47" spans="1:6">
      <c r="A47" s="25" t="s">
        <v>195</v>
      </c>
      <c r="B47" s="26">
        <v>1</v>
      </c>
      <c r="C47" s="27" t="s">
        <v>10</v>
      </c>
      <c r="D47" s="27"/>
      <c r="E47" s="102"/>
      <c r="F47" s="102"/>
    </row>
    <row r="48" spans="1:6">
      <c r="A48" s="25" t="s">
        <v>196</v>
      </c>
      <c r="B48" s="26">
        <v>1</v>
      </c>
      <c r="C48" s="27" t="s">
        <v>10</v>
      </c>
      <c r="D48" s="27"/>
      <c r="E48" s="102"/>
      <c r="F48" s="102"/>
    </row>
    <row r="49" spans="1:6">
      <c r="A49" s="25" t="s">
        <v>197</v>
      </c>
      <c r="B49" s="26">
        <v>1</v>
      </c>
      <c r="C49" s="27" t="s">
        <v>10</v>
      </c>
      <c r="D49" s="27"/>
      <c r="E49" s="102"/>
      <c r="F49" s="102"/>
    </row>
    <row r="50" spans="1:6">
      <c r="A50" s="25" t="s">
        <v>198</v>
      </c>
      <c r="B50" s="26">
        <v>1</v>
      </c>
      <c r="C50" s="27" t="s">
        <v>10</v>
      </c>
      <c r="D50" s="27"/>
      <c r="E50" s="102"/>
      <c r="F50" s="102"/>
    </row>
    <row r="51" spans="1:6">
      <c r="A51" s="25" t="s">
        <v>199</v>
      </c>
      <c r="B51" s="26">
        <v>1</v>
      </c>
      <c r="C51" s="27" t="s">
        <v>10</v>
      </c>
      <c r="D51" s="27"/>
      <c r="E51" s="102"/>
      <c r="F51" s="102"/>
    </row>
    <row r="52" spans="1:6">
      <c r="A52" s="25" t="s">
        <v>200</v>
      </c>
      <c r="B52" s="26">
        <v>1</v>
      </c>
      <c r="C52" s="27" t="s">
        <v>10</v>
      </c>
      <c r="D52" s="27"/>
      <c r="E52" s="102"/>
      <c r="F52" s="102"/>
    </row>
    <row r="53" spans="1:6">
      <c r="A53" s="25" t="s">
        <v>201</v>
      </c>
      <c r="B53" s="26">
        <v>1</v>
      </c>
      <c r="C53" s="27" t="s">
        <v>10</v>
      </c>
      <c r="D53" s="27"/>
      <c r="E53" s="102"/>
      <c r="F53" s="102"/>
    </row>
    <row r="54" spans="1:6">
      <c r="A54" s="25" t="s">
        <v>202</v>
      </c>
      <c r="B54" s="26">
        <v>1</v>
      </c>
      <c r="C54" s="27" t="s">
        <v>10</v>
      </c>
      <c r="D54" s="27"/>
      <c r="E54" s="102"/>
      <c r="F54" s="102"/>
    </row>
    <row r="55" spans="1:6">
      <c r="A55" s="25" t="s">
        <v>203</v>
      </c>
      <c r="B55" s="26">
        <v>1</v>
      </c>
      <c r="C55" s="27" t="s">
        <v>10</v>
      </c>
      <c r="D55" s="27"/>
      <c r="E55" s="102"/>
      <c r="F55" s="102"/>
    </row>
    <row r="56" spans="1:6">
      <c r="A56" s="25" t="s">
        <v>204</v>
      </c>
      <c r="B56" s="26">
        <v>1</v>
      </c>
      <c r="C56" s="27" t="s">
        <v>10</v>
      </c>
      <c r="D56" s="106"/>
      <c r="E56" s="102"/>
      <c r="F56" s="102"/>
    </row>
    <row r="57" spans="1:6">
      <c r="A57" s="25"/>
      <c r="B57" s="26"/>
      <c r="C57" s="27"/>
      <c r="D57" s="27"/>
      <c r="E57" s="103"/>
      <c r="F57" s="104">
        <f>SUM(F44)</f>
        <v>0.47250000000000003</v>
      </c>
    </row>
    <row r="58" spans="1:6">
      <c r="A58" s="22" t="s">
        <v>205</v>
      </c>
      <c r="B58" s="23"/>
      <c r="C58" s="23"/>
      <c r="D58" s="23"/>
      <c r="E58" s="102"/>
      <c r="F58" s="102"/>
    </row>
    <row r="59" spans="1:6">
      <c r="A59" s="10" t="s">
        <v>137</v>
      </c>
      <c r="B59" s="31">
        <v>30</v>
      </c>
      <c r="C59" s="32" t="s">
        <v>134</v>
      </c>
      <c r="D59" s="110">
        <v>1</v>
      </c>
      <c r="E59" s="102"/>
      <c r="F59" s="102">
        <f t="shared" ref="F59:F67" si="4">E59*(1+$F$3)</f>
        <v>0</v>
      </c>
    </row>
    <row r="60" spans="1:6">
      <c r="A60" s="10" t="s">
        <v>206</v>
      </c>
      <c r="B60" s="31">
        <v>20</v>
      </c>
      <c r="C60" s="32" t="s">
        <v>134</v>
      </c>
      <c r="D60" s="125"/>
      <c r="E60" s="102"/>
      <c r="F60" s="102">
        <f t="shared" si="4"/>
        <v>0</v>
      </c>
    </row>
    <row r="61" spans="1:6">
      <c r="A61" s="30" t="s">
        <v>207</v>
      </c>
      <c r="B61" s="31">
        <v>1</v>
      </c>
      <c r="C61" s="32" t="s">
        <v>10</v>
      </c>
      <c r="D61" s="125"/>
      <c r="E61" s="102"/>
      <c r="F61" s="102">
        <f t="shared" si="4"/>
        <v>0</v>
      </c>
    </row>
    <row r="62" spans="1:6">
      <c r="A62" s="30" t="s">
        <v>208</v>
      </c>
      <c r="B62" s="31">
        <v>1</v>
      </c>
      <c r="C62" s="32" t="s">
        <v>10</v>
      </c>
      <c r="D62" s="125"/>
      <c r="E62" s="102"/>
      <c r="F62" s="102">
        <f t="shared" si="4"/>
        <v>0</v>
      </c>
    </row>
    <row r="63" spans="1:6">
      <c r="A63" s="30" t="s">
        <v>209</v>
      </c>
      <c r="B63" s="31" t="s">
        <v>210</v>
      </c>
      <c r="C63" s="32" t="s">
        <v>19</v>
      </c>
      <c r="D63" s="125"/>
      <c r="E63" s="102"/>
      <c r="F63" s="102">
        <f t="shared" si="4"/>
        <v>0</v>
      </c>
    </row>
    <row r="64" spans="1:6">
      <c r="A64" s="30" t="s">
        <v>140</v>
      </c>
      <c r="B64" s="31">
        <v>10</v>
      </c>
      <c r="C64" s="32" t="s">
        <v>19</v>
      </c>
      <c r="D64" s="125"/>
      <c r="E64" s="102"/>
      <c r="F64" s="102">
        <f t="shared" si="4"/>
        <v>0</v>
      </c>
    </row>
    <row r="65" spans="1:6">
      <c r="A65" s="30" t="s">
        <v>211</v>
      </c>
      <c r="B65" s="31">
        <v>1</v>
      </c>
      <c r="C65" s="32" t="s">
        <v>212</v>
      </c>
      <c r="D65" s="125"/>
      <c r="E65" s="102"/>
      <c r="F65" s="102">
        <f t="shared" si="4"/>
        <v>0</v>
      </c>
    </row>
    <row r="66" spans="1:6">
      <c r="A66" s="30" t="s">
        <v>213</v>
      </c>
      <c r="B66" s="31">
        <v>25</v>
      </c>
      <c r="C66" s="32" t="s">
        <v>134</v>
      </c>
      <c r="D66" s="125"/>
      <c r="E66" s="102"/>
      <c r="F66" s="102">
        <f t="shared" si="4"/>
        <v>0</v>
      </c>
    </row>
    <row r="67" spans="1:6">
      <c r="A67" s="30"/>
      <c r="B67" s="31"/>
      <c r="C67" s="32"/>
      <c r="D67" s="126"/>
      <c r="E67" s="102"/>
      <c r="F67" s="102">
        <f t="shared" si="4"/>
        <v>0</v>
      </c>
    </row>
    <row r="68" spans="1:6">
      <c r="A68" s="25"/>
      <c r="B68" s="26"/>
      <c r="C68" s="27"/>
      <c r="D68" s="27"/>
      <c r="E68" s="103"/>
      <c r="F68" s="104">
        <f>SUM(F59:F67)</f>
        <v>0</v>
      </c>
    </row>
    <row r="69" spans="1:6">
      <c r="A69" s="22" t="s">
        <v>191</v>
      </c>
      <c r="B69" s="23"/>
      <c r="C69" s="23"/>
      <c r="D69" s="23"/>
      <c r="E69" s="102"/>
      <c r="F69" s="102"/>
    </row>
    <row r="70" spans="1:6">
      <c r="A70" s="30" t="s">
        <v>153</v>
      </c>
      <c r="B70" s="31">
        <v>40</v>
      </c>
      <c r="C70" s="32" t="s">
        <v>19</v>
      </c>
      <c r="D70" s="65">
        <v>1.2</v>
      </c>
      <c r="E70" s="102"/>
      <c r="F70" s="102">
        <f>E70*(1+$F$3)</f>
        <v>0</v>
      </c>
    </row>
    <row r="71" spans="1:6">
      <c r="A71" s="25"/>
      <c r="B71" s="26"/>
      <c r="C71" s="27"/>
      <c r="D71" s="27"/>
      <c r="E71" s="103"/>
      <c r="F71" s="104">
        <f>SUM(F70)</f>
        <v>0</v>
      </c>
    </row>
  </sheetData>
  <mergeCells count="6">
    <mergeCell ref="D59:D67"/>
    <mergeCell ref="A45:C45"/>
    <mergeCell ref="D39:D40"/>
    <mergeCell ref="D21:D22"/>
    <mergeCell ref="D25:D29"/>
    <mergeCell ref="D32:D36"/>
  </mergeCells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G44"/>
  <sheetViews>
    <sheetView zoomScale="115" zoomScaleNormal="115" workbookViewId="0">
      <selection activeCell="G18" sqref="G18"/>
    </sheetView>
  </sheetViews>
  <sheetFormatPr defaultRowHeight="14.4"/>
  <cols>
    <col min="1" max="1" width="45.6640625" style="16" customWidth="1"/>
    <col min="2" max="4" width="10.6640625" style="17" customWidth="1"/>
    <col min="5" max="5" width="67.33203125" style="18" customWidth="1"/>
    <col min="6" max="6" width="13.44140625" customWidth="1"/>
    <col min="7" max="7" width="12.88671875" customWidth="1"/>
  </cols>
  <sheetData>
    <row r="1" spans="1:7">
      <c r="A1" s="16" t="s">
        <v>160</v>
      </c>
    </row>
    <row r="2" spans="1:7" ht="17.399999999999999">
      <c r="A2" s="19" t="s">
        <v>214</v>
      </c>
      <c r="B2" s="20"/>
      <c r="C2" s="20"/>
      <c r="D2" s="20"/>
      <c r="E2" s="21"/>
    </row>
    <row r="3" spans="1:7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89"/>
      <c r="G3" s="90">
        <v>0.05</v>
      </c>
    </row>
    <row r="4" spans="1:7">
      <c r="A4" s="22" t="s">
        <v>215</v>
      </c>
      <c r="B4" s="23"/>
      <c r="C4" s="23"/>
      <c r="D4" s="23"/>
      <c r="E4" s="24"/>
      <c r="F4" s="100" t="s">
        <v>7</v>
      </c>
      <c r="G4" s="101" t="s">
        <v>8</v>
      </c>
    </row>
    <row r="5" spans="1:7">
      <c r="A5" s="25" t="s">
        <v>195</v>
      </c>
      <c r="B5" s="26">
        <v>1</v>
      </c>
      <c r="C5" s="27" t="s">
        <v>10</v>
      </c>
      <c r="D5" s="113">
        <v>1</v>
      </c>
      <c r="E5" s="28"/>
      <c r="F5" s="102"/>
      <c r="G5" s="102"/>
    </row>
    <row r="6" spans="1:7">
      <c r="A6" s="25" t="s">
        <v>216</v>
      </c>
      <c r="B6" s="26">
        <v>1</v>
      </c>
      <c r="C6" s="27" t="s">
        <v>10</v>
      </c>
      <c r="D6" s="114"/>
      <c r="E6" s="28"/>
      <c r="F6" s="102"/>
      <c r="G6" s="102"/>
    </row>
    <row r="7" spans="1:7">
      <c r="A7" s="25" t="s">
        <v>217</v>
      </c>
      <c r="B7" s="26">
        <v>1</v>
      </c>
      <c r="C7" s="27" t="s">
        <v>10</v>
      </c>
      <c r="D7" s="114"/>
      <c r="E7" s="28"/>
      <c r="F7" s="102"/>
      <c r="G7" s="102"/>
    </row>
    <row r="8" spans="1:7">
      <c r="A8" s="25" t="s">
        <v>218</v>
      </c>
      <c r="B8" s="26">
        <v>1</v>
      </c>
      <c r="C8" s="27" t="s">
        <v>10</v>
      </c>
      <c r="D8" s="114"/>
      <c r="E8" s="28"/>
      <c r="F8" s="102"/>
      <c r="G8" s="102"/>
    </row>
    <row r="9" spans="1:7">
      <c r="A9" s="25" t="s">
        <v>219</v>
      </c>
      <c r="B9" s="26">
        <v>1</v>
      </c>
      <c r="C9" s="27" t="s">
        <v>10</v>
      </c>
      <c r="D9" s="114"/>
      <c r="E9" s="28"/>
      <c r="F9" s="102"/>
      <c r="G9" s="102"/>
    </row>
    <row r="10" spans="1:7">
      <c r="A10" s="25" t="s">
        <v>220</v>
      </c>
      <c r="B10" s="26">
        <v>1</v>
      </c>
      <c r="C10" s="27" t="s">
        <v>10</v>
      </c>
      <c r="D10" s="114"/>
      <c r="E10" s="28"/>
      <c r="F10" s="102"/>
      <c r="G10" s="102"/>
    </row>
    <row r="11" spans="1:7">
      <c r="A11" s="25" t="s">
        <v>221</v>
      </c>
      <c r="B11" s="26">
        <v>1</v>
      </c>
      <c r="C11" s="27" t="s">
        <v>10</v>
      </c>
      <c r="D11" s="114"/>
      <c r="E11" s="28"/>
      <c r="F11" s="102"/>
      <c r="G11" s="102"/>
    </row>
    <row r="12" spans="1:7">
      <c r="A12" s="25" t="s">
        <v>222</v>
      </c>
      <c r="B12" s="26">
        <v>1</v>
      </c>
      <c r="C12" s="27" t="s">
        <v>10</v>
      </c>
      <c r="D12" s="114"/>
      <c r="E12" s="28"/>
      <c r="F12" s="102"/>
      <c r="G12" s="102"/>
    </row>
    <row r="13" spans="1:7">
      <c r="A13" s="25" t="s">
        <v>223</v>
      </c>
      <c r="B13" s="26">
        <v>1</v>
      </c>
      <c r="C13" s="27" t="s">
        <v>10</v>
      </c>
      <c r="D13" s="114"/>
      <c r="E13" s="28"/>
      <c r="F13" s="102"/>
      <c r="G13" s="102"/>
    </row>
    <row r="14" spans="1:7">
      <c r="A14" s="25" t="s">
        <v>201</v>
      </c>
      <c r="B14" s="26">
        <v>1</v>
      </c>
      <c r="C14" s="27" t="s">
        <v>10</v>
      </c>
      <c r="D14" s="114"/>
      <c r="E14" s="28" t="s">
        <v>224</v>
      </c>
      <c r="F14" s="102"/>
      <c r="G14" s="102"/>
    </row>
    <row r="15" spans="1:7">
      <c r="A15" s="25"/>
      <c r="B15" s="26">
        <v>1</v>
      </c>
      <c r="C15" s="27" t="s">
        <v>10</v>
      </c>
      <c r="D15" s="115"/>
      <c r="E15" s="28" t="s">
        <v>225</v>
      </c>
      <c r="F15" s="102"/>
      <c r="G15" s="102"/>
    </row>
    <row r="16" spans="1:7">
      <c r="A16" s="25"/>
      <c r="B16" s="26"/>
      <c r="C16" s="27"/>
      <c r="D16" s="88"/>
      <c r="E16" s="28"/>
      <c r="F16" s="102"/>
      <c r="G16" s="102"/>
    </row>
    <row r="17" spans="1:7">
      <c r="A17" s="22" t="s">
        <v>226</v>
      </c>
      <c r="B17" s="23"/>
      <c r="C17" s="23"/>
      <c r="D17" s="23"/>
      <c r="E17" s="24"/>
      <c r="F17" s="102"/>
      <c r="G17" s="102"/>
    </row>
    <row r="18" spans="1:7">
      <c r="A18" s="30" t="s">
        <v>227</v>
      </c>
      <c r="B18" s="31">
        <v>10</v>
      </c>
      <c r="C18" s="32" t="s">
        <v>19</v>
      </c>
      <c r="D18" s="110">
        <v>1</v>
      </c>
      <c r="E18" s="33"/>
      <c r="F18" s="134">
        <v>5.8000000000000003E-2</v>
      </c>
      <c r="G18" s="105">
        <f t="shared" ref="G18:G21" si="0">F18*(1+$G$3)</f>
        <v>6.0900000000000003E-2</v>
      </c>
    </row>
    <row r="19" spans="1:7">
      <c r="A19" s="30" t="s">
        <v>228</v>
      </c>
      <c r="B19" s="31">
        <v>15</v>
      </c>
      <c r="C19" s="32" t="s">
        <v>134</v>
      </c>
      <c r="D19" s="111"/>
      <c r="E19" s="33"/>
      <c r="F19" s="134">
        <f>0.0214*1.5</f>
        <v>3.2099999999999997E-2</v>
      </c>
      <c r="G19" s="105">
        <f t="shared" si="0"/>
        <v>3.3704999999999999E-2</v>
      </c>
    </row>
    <row r="20" spans="1:7">
      <c r="A20" s="30" t="s">
        <v>229</v>
      </c>
      <c r="B20" s="31">
        <v>2</v>
      </c>
      <c r="C20" s="32" t="s">
        <v>230</v>
      </c>
      <c r="D20" s="111"/>
      <c r="E20" s="33"/>
      <c r="F20" s="102"/>
      <c r="G20" s="105">
        <f t="shared" si="0"/>
        <v>0</v>
      </c>
    </row>
    <row r="21" spans="1:7">
      <c r="A21" s="30" t="s">
        <v>231</v>
      </c>
      <c r="B21" s="31">
        <v>15</v>
      </c>
      <c r="C21" s="32" t="s">
        <v>19</v>
      </c>
      <c r="D21" s="112"/>
      <c r="E21" s="33"/>
      <c r="F21" s="102"/>
      <c r="G21" s="105">
        <f t="shared" si="0"/>
        <v>0</v>
      </c>
    </row>
    <row r="22" spans="1:7">
      <c r="A22" s="25"/>
      <c r="B22" s="26"/>
      <c r="C22" s="27"/>
      <c r="D22" s="88"/>
      <c r="E22" s="28"/>
      <c r="F22" s="103"/>
      <c r="G22" s="104">
        <f>SUM(G18:G21)</f>
        <v>9.4604999999999995E-2</v>
      </c>
    </row>
    <row r="23" spans="1:7">
      <c r="A23" s="22" t="s">
        <v>183</v>
      </c>
      <c r="B23" s="23"/>
      <c r="C23" s="23"/>
      <c r="D23" s="23"/>
      <c r="E23" s="23"/>
      <c r="F23" s="102"/>
      <c r="G23" s="102"/>
    </row>
    <row r="24" spans="1:7">
      <c r="A24" s="10" t="s">
        <v>184</v>
      </c>
      <c r="B24" s="13">
        <v>90</v>
      </c>
      <c r="C24" s="12" t="s">
        <v>19</v>
      </c>
      <c r="D24" s="127">
        <v>1</v>
      </c>
      <c r="E24" s="12" t="s">
        <v>50</v>
      </c>
      <c r="F24" s="102"/>
      <c r="G24" s="105">
        <f t="shared" ref="G24:G28" si="1">F24*(1+$G$3)</f>
        <v>0</v>
      </c>
    </row>
    <row r="25" spans="1:7">
      <c r="A25" s="10" t="s">
        <v>185</v>
      </c>
      <c r="B25" s="13">
        <v>30</v>
      </c>
      <c r="C25" s="12" t="s">
        <v>19</v>
      </c>
      <c r="D25" s="128"/>
      <c r="E25" s="12" t="s">
        <v>50</v>
      </c>
      <c r="F25" s="102"/>
      <c r="G25" s="105">
        <f t="shared" si="1"/>
        <v>0</v>
      </c>
    </row>
    <row r="26" spans="1:7">
      <c r="A26" s="10" t="s">
        <v>186</v>
      </c>
      <c r="B26" s="13">
        <v>30</v>
      </c>
      <c r="C26" s="12" t="s">
        <v>19</v>
      </c>
      <c r="D26" s="128"/>
      <c r="E26" s="12" t="s">
        <v>50</v>
      </c>
      <c r="F26" s="102"/>
      <c r="G26" s="105">
        <f t="shared" si="1"/>
        <v>0</v>
      </c>
    </row>
    <row r="27" spans="1:7">
      <c r="A27" s="10" t="s">
        <v>187</v>
      </c>
      <c r="B27" s="13">
        <v>60</v>
      </c>
      <c r="C27" s="12" t="s">
        <v>19</v>
      </c>
      <c r="D27" s="128"/>
      <c r="E27" s="12" t="s">
        <v>50</v>
      </c>
      <c r="F27" s="102"/>
      <c r="G27" s="105">
        <f t="shared" si="1"/>
        <v>0</v>
      </c>
    </row>
    <row r="28" spans="1:7">
      <c r="A28" s="10"/>
      <c r="B28" s="31"/>
      <c r="C28" s="32"/>
      <c r="D28" s="129"/>
      <c r="E28" s="12" t="s">
        <v>50</v>
      </c>
      <c r="F28" s="102"/>
      <c r="G28" s="105">
        <f t="shared" si="1"/>
        <v>0</v>
      </c>
    </row>
    <row r="29" spans="1:7">
      <c r="A29" s="25"/>
      <c r="B29" s="26"/>
      <c r="C29" s="27"/>
      <c r="D29" s="88"/>
      <c r="E29" s="28"/>
      <c r="F29" s="103"/>
      <c r="G29" s="104">
        <f>SUM(G24:G28)</f>
        <v>0</v>
      </c>
    </row>
    <row r="30" spans="1:7">
      <c r="A30" s="22" t="s">
        <v>232</v>
      </c>
      <c r="B30" s="23"/>
      <c r="C30" s="23"/>
      <c r="D30" s="23"/>
      <c r="E30" s="24"/>
      <c r="F30" s="102"/>
      <c r="G30" s="102"/>
    </row>
    <row r="31" spans="1:7" ht="14.4" customHeight="1">
      <c r="A31" s="30" t="s">
        <v>233</v>
      </c>
      <c r="B31" s="31">
        <v>45</v>
      </c>
      <c r="C31" s="32" t="s">
        <v>19</v>
      </c>
      <c r="D31" s="110">
        <v>1</v>
      </c>
      <c r="E31" s="33"/>
      <c r="F31" s="102"/>
      <c r="G31" s="105">
        <f t="shared" ref="G31:G32" si="2">F31*(1+$G$3)</f>
        <v>0</v>
      </c>
    </row>
    <row r="32" spans="1:7" ht="14.4" customHeight="1">
      <c r="A32" s="30"/>
      <c r="B32" s="31"/>
      <c r="C32" s="32"/>
      <c r="D32" s="112"/>
      <c r="E32" s="33"/>
      <c r="F32" s="102"/>
      <c r="G32" s="105">
        <f t="shared" si="2"/>
        <v>0</v>
      </c>
    </row>
    <row r="33" spans="1:7">
      <c r="A33" s="25"/>
      <c r="B33" s="26"/>
      <c r="C33" s="27"/>
      <c r="D33" s="88"/>
      <c r="E33" s="28"/>
      <c r="F33" s="103"/>
      <c r="G33" s="104">
        <f>SUM(G31:G32)</f>
        <v>0</v>
      </c>
    </row>
    <row r="34" spans="1:7">
      <c r="A34" s="22" t="s">
        <v>234</v>
      </c>
      <c r="B34" s="23"/>
      <c r="C34" s="23"/>
      <c r="D34" s="23"/>
      <c r="E34" s="24"/>
      <c r="F34" s="102"/>
      <c r="G34" s="102"/>
    </row>
    <row r="35" spans="1:7">
      <c r="A35" s="30" t="s">
        <v>235</v>
      </c>
      <c r="B35" s="31">
        <v>40</v>
      </c>
      <c r="C35" s="32" t="s">
        <v>19</v>
      </c>
      <c r="D35" s="65">
        <v>1.2</v>
      </c>
      <c r="E35" s="33" t="s">
        <v>236</v>
      </c>
      <c r="F35" s="102"/>
      <c r="G35" s="105">
        <f>F35*(1+$G$3)</f>
        <v>0</v>
      </c>
    </row>
    <row r="36" spans="1:7">
      <c r="A36" s="25"/>
      <c r="B36" s="26"/>
      <c r="C36" s="27"/>
      <c r="D36" s="88"/>
      <c r="E36" s="28"/>
      <c r="F36" s="103"/>
      <c r="G36" s="104">
        <f>SUM(G35)</f>
        <v>0</v>
      </c>
    </row>
    <row r="37" spans="1:7">
      <c r="A37" s="22" t="s">
        <v>237</v>
      </c>
      <c r="B37" s="23"/>
      <c r="C37" s="23"/>
      <c r="D37" s="23"/>
      <c r="E37" s="24"/>
      <c r="F37" s="102"/>
      <c r="G37" s="102"/>
    </row>
    <row r="38" spans="1:7">
      <c r="A38" s="30" t="s">
        <v>238</v>
      </c>
      <c r="B38" s="31">
        <v>1</v>
      </c>
      <c r="C38" s="32" t="s">
        <v>212</v>
      </c>
      <c r="D38" s="65">
        <v>1</v>
      </c>
      <c r="E38" s="33" t="s">
        <v>239</v>
      </c>
      <c r="F38" s="102"/>
      <c r="G38" s="105">
        <f>F38*(1+$G$3)</f>
        <v>0</v>
      </c>
    </row>
    <row r="39" spans="1:7">
      <c r="A39" s="25"/>
      <c r="B39" s="26"/>
      <c r="C39" s="27"/>
      <c r="D39" s="88"/>
      <c r="E39" s="28"/>
      <c r="F39" s="103"/>
      <c r="G39" s="104">
        <f>SUM(G38)</f>
        <v>0</v>
      </c>
    </row>
    <row r="40" spans="1:7">
      <c r="A40" s="22" t="s">
        <v>240</v>
      </c>
      <c r="B40" s="23"/>
      <c r="C40" s="23"/>
      <c r="D40" s="23"/>
      <c r="E40" s="24"/>
      <c r="F40" s="102"/>
      <c r="G40" s="102"/>
    </row>
    <row r="41" spans="1:7">
      <c r="A41" s="30" t="s">
        <v>241</v>
      </c>
      <c r="B41" s="31"/>
      <c r="C41" s="32"/>
      <c r="D41" s="110">
        <v>1</v>
      </c>
      <c r="E41" s="33" t="s">
        <v>242</v>
      </c>
      <c r="F41" s="102"/>
      <c r="G41" s="105">
        <f t="shared" ref="G41:G43" si="3">F41*(1+$G$3)</f>
        <v>0</v>
      </c>
    </row>
    <row r="42" spans="1:7">
      <c r="A42" s="30"/>
      <c r="B42" s="31"/>
      <c r="C42" s="32"/>
      <c r="D42" s="111"/>
      <c r="E42" s="33"/>
      <c r="F42" s="102"/>
      <c r="G42" s="105">
        <f t="shared" si="3"/>
        <v>0</v>
      </c>
    </row>
    <row r="43" spans="1:7">
      <c r="A43" s="30"/>
      <c r="B43" s="31"/>
      <c r="C43" s="32"/>
      <c r="D43" s="112"/>
      <c r="E43" s="33"/>
      <c r="F43" s="102"/>
      <c r="G43" s="105">
        <f t="shared" si="3"/>
        <v>0</v>
      </c>
    </row>
    <row r="44" spans="1:7">
      <c r="A44" s="25"/>
      <c r="B44" s="26"/>
      <c r="C44" s="27"/>
      <c r="D44" s="88"/>
      <c r="E44" s="28"/>
      <c r="F44" s="103"/>
      <c r="G44" s="104">
        <f>SUM(G41:G43)</f>
        <v>0</v>
      </c>
    </row>
  </sheetData>
  <mergeCells count="5">
    <mergeCell ref="D41:D43"/>
    <mergeCell ref="D5:D15"/>
    <mergeCell ref="D18:D21"/>
    <mergeCell ref="D24:D28"/>
    <mergeCell ref="D31:D32"/>
  </mergeCells>
  <pageMargins left="0.7" right="0.7" top="0.75" bottom="0.75" header="0.3" footer="0.3"/>
  <pageSetup scale="7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DB3A-6B59-4AA2-8C8C-100BCE99104F}">
  <sheetPr>
    <pageSetUpPr fitToPage="1"/>
  </sheetPr>
  <dimension ref="B1:I109"/>
  <sheetViews>
    <sheetView tabSelected="1" zoomScale="115" zoomScaleNormal="115" workbookViewId="0">
      <selection activeCell="G31" sqref="G31"/>
    </sheetView>
  </sheetViews>
  <sheetFormatPr defaultRowHeight="14.4"/>
  <cols>
    <col min="2" max="2" width="45.6640625" style="16" customWidth="1"/>
    <col min="3" max="3" width="17.44140625" style="17" customWidth="1"/>
    <col min="4" max="4" width="20.5546875" style="17" customWidth="1"/>
    <col min="5" max="5" width="61.33203125" style="17" customWidth="1"/>
    <col min="6" max="6" width="21.109375" customWidth="1"/>
    <col min="7" max="7" width="18.44140625" customWidth="1"/>
    <col min="10" max="10" width="44.5546875" bestFit="1" customWidth="1"/>
  </cols>
  <sheetData>
    <row r="1" spans="2:7">
      <c r="B1" s="16" t="s">
        <v>160</v>
      </c>
    </row>
    <row r="2" spans="2:7" ht="17.399999999999999">
      <c r="B2" s="19" t="s">
        <v>243</v>
      </c>
      <c r="C2" s="20"/>
      <c r="D2" s="20"/>
      <c r="E2" s="20"/>
    </row>
    <row r="3" spans="2:7">
      <c r="B3" s="4" t="s">
        <v>1</v>
      </c>
      <c r="C3" s="4" t="s">
        <v>2</v>
      </c>
      <c r="D3" s="4" t="s">
        <v>3</v>
      </c>
      <c r="E3" s="136" t="s">
        <v>5</v>
      </c>
      <c r="F3" s="102"/>
      <c r="G3" s="102"/>
    </row>
    <row r="4" spans="2:7">
      <c r="B4" s="34" t="s">
        <v>244</v>
      </c>
      <c r="C4" s="35"/>
      <c r="D4" s="29"/>
      <c r="E4" s="137"/>
      <c r="F4" s="102"/>
      <c r="G4" s="102"/>
    </row>
    <row r="5" spans="2:7">
      <c r="B5" s="58" t="s">
        <v>245</v>
      </c>
      <c r="C5" s="59">
        <v>1</v>
      </c>
      <c r="D5" s="60" t="s">
        <v>10</v>
      </c>
      <c r="E5" s="138"/>
      <c r="F5" s="102"/>
      <c r="G5" s="105">
        <f t="shared" ref="G5:G7" si="0">F5*(1+$G$3)</f>
        <v>0</v>
      </c>
    </row>
    <row r="6" spans="2:7">
      <c r="B6" s="58" t="s">
        <v>246</v>
      </c>
      <c r="C6" s="59">
        <v>1</v>
      </c>
      <c r="D6" s="60" t="s">
        <v>10</v>
      </c>
      <c r="E6" s="139" t="s">
        <v>247</v>
      </c>
      <c r="F6" s="102"/>
      <c r="G6" s="105">
        <f t="shared" si="0"/>
        <v>0</v>
      </c>
    </row>
    <row r="7" spans="2:7">
      <c r="B7" s="58" t="s">
        <v>248</v>
      </c>
      <c r="C7" s="59">
        <v>1</v>
      </c>
      <c r="D7" s="60" t="s">
        <v>10</v>
      </c>
      <c r="E7" s="140" t="s">
        <v>249</v>
      </c>
      <c r="F7" s="102"/>
      <c r="G7" s="105">
        <f t="shared" si="0"/>
        <v>0</v>
      </c>
    </row>
    <row r="8" spans="2:7">
      <c r="B8" s="145"/>
      <c r="C8" s="146"/>
      <c r="D8" s="39"/>
      <c r="E8" s="147"/>
      <c r="F8" s="103"/>
      <c r="G8" s="104">
        <f>SUM(G4:G7)</f>
        <v>0</v>
      </c>
    </row>
    <row r="9" spans="2:7">
      <c r="B9" s="34" t="s">
        <v>250</v>
      </c>
      <c r="C9" s="29"/>
      <c r="D9" s="29"/>
      <c r="E9" s="141"/>
      <c r="F9" s="102"/>
      <c r="G9" s="102"/>
    </row>
    <row r="10" spans="2:7">
      <c r="B10" s="58" t="s">
        <v>251</v>
      </c>
      <c r="C10" s="59">
        <v>30</v>
      </c>
      <c r="D10" s="60" t="s">
        <v>134</v>
      </c>
      <c r="E10" s="142" t="s">
        <v>252</v>
      </c>
      <c r="F10" s="102"/>
      <c r="G10" s="105">
        <f t="shared" ref="G10:G14" si="1">F10*(1+$G$3)</f>
        <v>0</v>
      </c>
    </row>
    <row r="11" spans="2:7">
      <c r="B11" s="58" t="s">
        <v>253</v>
      </c>
      <c r="C11" s="59">
        <v>10</v>
      </c>
      <c r="D11" s="60" t="s">
        <v>134</v>
      </c>
      <c r="E11" s="142"/>
      <c r="F11" s="102"/>
      <c r="G11" s="105">
        <f t="shared" si="1"/>
        <v>0</v>
      </c>
    </row>
    <row r="12" spans="2:7">
      <c r="B12" s="58" t="s">
        <v>254</v>
      </c>
      <c r="C12" s="59">
        <v>15</v>
      </c>
      <c r="D12" s="60" t="s">
        <v>134</v>
      </c>
      <c r="E12" s="142"/>
      <c r="F12" s="102"/>
      <c r="G12" s="105">
        <f t="shared" si="1"/>
        <v>0</v>
      </c>
    </row>
    <row r="13" spans="2:7">
      <c r="B13" s="58" t="s">
        <v>140</v>
      </c>
      <c r="C13" s="59">
        <v>3</v>
      </c>
      <c r="D13" s="60" t="s">
        <v>134</v>
      </c>
      <c r="E13" s="142"/>
      <c r="F13" s="102"/>
      <c r="G13" s="105">
        <f t="shared" si="1"/>
        <v>0</v>
      </c>
    </row>
    <row r="14" spans="2:7">
      <c r="B14" s="58" t="s">
        <v>255</v>
      </c>
      <c r="C14" s="59" t="s">
        <v>256</v>
      </c>
      <c r="D14" s="60" t="s">
        <v>134</v>
      </c>
      <c r="E14" s="142" t="s">
        <v>257</v>
      </c>
      <c r="F14" s="102"/>
      <c r="G14" s="105">
        <f t="shared" si="1"/>
        <v>0</v>
      </c>
    </row>
    <row r="15" spans="2:7">
      <c r="B15" s="145"/>
      <c r="C15" s="146"/>
      <c r="D15" s="39"/>
      <c r="E15" s="147"/>
      <c r="F15" s="103"/>
      <c r="G15" s="104">
        <f>SUM(G10:G14)</f>
        <v>0</v>
      </c>
    </row>
    <row r="16" spans="2:7">
      <c r="B16" s="34" t="s">
        <v>258</v>
      </c>
      <c r="C16" s="29"/>
      <c r="D16" s="29"/>
      <c r="E16" s="141"/>
      <c r="F16" s="102"/>
      <c r="G16" s="102"/>
    </row>
    <row r="17" spans="2:7">
      <c r="B17" s="58" t="s">
        <v>259</v>
      </c>
      <c r="C17" s="59">
        <v>20</v>
      </c>
      <c r="D17" s="60" t="s">
        <v>134</v>
      </c>
      <c r="E17" s="142"/>
      <c r="F17" s="102"/>
      <c r="G17" s="105">
        <f t="shared" ref="G17:G21" si="2">F17*(1+$G$3)</f>
        <v>0</v>
      </c>
    </row>
    <row r="18" spans="2:7">
      <c r="B18" s="58" t="s">
        <v>260</v>
      </c>
      <c r="C18" s="59">
        <v>10</v>
      </c>
      <c r="D18" s="60" t="s">
        <v>134</v>
      </c>
      <c r="E18" s="142"/>
      <c r="F18" s="102"/>
      <c r="G18" s="105">
        <f t="shared" si="2"/>
        <v>0</v>
      </c>
    </row>
    <row r="19" spans="2:7">
      <c r="B19" s="58" t="s">
        <v>261</v>
      </c>
      <c r="C19" s="59">
        <v>30</v>
      </c>
      <c r="D19" s="60" t="s">
        <v>134</v>
      </c>
      <c r="E19" s="142"/>
      <c r="F19" s="102"/>
      <c r="G19" s="105">
        <f t="shared" si="2"/>
        <v>0</v>
      </c>
    </row>
    <row r="20" spans="2:7">
      <c r="B20" s="58" t="s">
        <v>140</v>
      </c>
      <c r="C20" s="59">
        <v>3</v>
      </c>
      <c r="D20" s="60" t="s">
        <v>134</v>
      </c>
      <c r="E20" s="142"/>
      <c r="F20" s="102"/>
      <c r="G20" s="105">
        <f t="shared" si="2"/>
        <v>0</v>
      </c>
    </row>
    <row r="21" spans="2:7">
      <c r="B21" s="58" t="s">
        <v>262</v>
      </c>
      <c r="C21" s="59" t="s">
        <v>256</v>
      </c>
      <c r="D21" s="60" t="s">
        <v>134</v>
      </c>
      <c r="E21" s="142" t="s">
        <v>263</v>
      </c>
      <c r="F21" s="102"/>
      <c r="G21" s="105">
        <f t="shared" si="2"/>
        <v>0</v>
      </c>
    </row>
    <row r="22" spans="2:7">
      <c r="B22" s="145"/>
      <c r="C22" s="146"/>
      <c r="D22" s="39"/>
      <c r="E22" s="147"/>
      <c r="F22" s="103"/>
      <c r="G22" s="104">
        <f>SUM(G17:G21)</f>
        <v>0</v>
      </c>
    </row>
    <row r="23" spans="2:7">
      <c r="B23" s="34" t="s">
        <v>264</v>
      </c>
      <c r="C23" s="29"/>
      <c r="D23" s="29"/>
      <c r="E23" s="141"/>
      <c r="F23" s="102"/>
      <c r="G23" s="102"/>
    </row>
    <row r="24" spans="2:7">
      <c r="B24" s="58" t="s">
        <v>265</v>
      </c>
      <c r="C24" s="59">
        <v>40</v>
      </c>
      <c r="D24" s="60" t="s">
        <v>134</v>
      </c>
      <c r="E24" s="142"/>
      <c r="F24" s="102"/>
      <c r="G24" s="105">
        <f t="shared" ref="G24:G29" si="3">F24*(1+$G$3)</f>
        <v>0</v>
      </c>
    </row>
    <row r="25" spans="2:7">
      <c r="B25" s="58" t="s">
        <v>135</v>
      </c>
      <c r="C25" s="59">
        <v>30</v>
      </c>
      <c r="D25" s="60" t="s">
        <v>134</v>
      </c>
      <c r="E25" s="142"/>
      <c r="F25" s="102"/>
      <c r="G25" s="105">
        <f t="shared" si="3"/>
        <v>0</v>
      </c>
    </row>
    <row r="26" spans="2:7">
      <c r="B26" s="58" t="s">
        <v>140</v>
      </c>
      <c r="C26" s="59">
        <v>4</v>
      </c>
      <c r="D26" s="60" t="s">
        <v>134</v>
      </c>
      <c r="E26" s="142"/>
      <c r="F26" s="102"/>
      <c r="G26" s="105">
        <f t="shared" si="3"/>
        <v>0</v>
      </c>
    </row>
    <row r="27" spans="2:7">
      <c r="B27" s="58" t="s">
        <v>254</v>
      </c>
      <c r="C27" s="59">
        <v>2</v>
      </c>
      <c r="D27" s="60" t="s">
        <v>266</v>
      </c>
      <c r="E27" s="142"/>
      <c r="F27" s="102"/>
      <c r="G27" s="105">
        <f t="shared" si="3"/>
        <v>0</v>
      </c>
    </row>
    <row r="28" spans="2:7">
      <c r="B28" s="58" t="s">
        <v>267</v>
      </c>
      <c r="C28" s="59">
        <v>2</v>
      </c>
      <c r="D28" s="60" t="s">
        <v>10</v>
      </c>
      <c r="E28" s="138"/>
      <c r="F28" s="102"/>
      <c r="G28" s="105">
        <f t="shared" si="3"/>
        <v>0</v>
      </c>
    </row>
    <row r="29" spans="2:7">
      <c r="B29" s="58" t="s">
        <v>268</v>
      </c>
      <c r="C29" s="59">
        <v>120</v>
      </c>
      <c r="D29" s="60" t="s">
        <v>134</v>
      </c>
      <c r="E29" s="138"/>
      <c r="F29" s="102"/>
      <c r="G29" s="105">
        <f t="shared" si="3"/>
        <v>0</v>
      </c>
    </row>
    <row r="30" spans="2:7">
      <c r="B30" s="145"/>
      <c r="C30" s="146"/>
      <c r="D30" s="39"/>
      <c r="E30" s="147"/>
      <c r="F30" s="103"/>
      <c r="G30" s="104"/>
    </row>
    <row r="31" spans="2:7">
      <c r="B31" s="34" t="s">
        <v>269</v>
      </c>
      <c r="C31" s="29"/>
      <c r="D31" s="29"/>
      <c r="E31" s="137"/>
      <c r="F31" s="102"/>
      <c r="G31" s="102"/>
    </row>
    <row r="32" spans="2:7">
      <c r="B32" s="58" t="s">
        <v>270</v>
      </c>
      <c r="C32" s="59">
        <v>30</v>
      </c>
      <c r="D32" s="60" t="s">
        <v>134</v>
      </c>
      <c r="E32" s="139" t="s">
        <v>271</v>
      </c>
      <c r="F32" s="102"/>
      <c r="G32" s="105">
        <f t="shared" ref="G32:G37" si="4">F32*(1+$G$3)</f>
        <v>0</v>
      </c>
    </row>
    <row r="33" spans="2:7">
      <c r="B33" s="58" t="s">
        <v>135</v>
      </c>
      <c r="C33" s="59">
        <v>30</v>
      </c>
      <c r="D33" s="60" t="s">
        <v>134</v>
      </c>
      <c r="E33" s="138"/>
      <c r="F33" s="102"/>
      <c r="G33" s="105">
        <f t="shared" si="4"/>
        <v>0</v>
      </c>
    </row>
    <row r="34" spans="2:7">
      <c r="B34" s="58" t="s">
        <v>140</v>
      </c>
      <c r="C34" s="59">
        <v>4</v>
      </c>
      <c r="D34" s="60" t="s">
        <v>134</v>
      </c>
      <c r="E34" s="138"/>
      <c r="F34" s="102"/>
      <c r="G34" s="105">
        <f t="shared" si="4"/>
        <v>0</v>
      </c>
    </row>
    <row r="35" spans="2:7">
      <c r="B35" s="58" t="s">
        <v>272</v>
      </c>
      <c r="C35" s="59">
        <v>2</v>
      </c>
      <c r="D35" s="60" t="s">
        <v>10</v>
      </c>
      <c r="E35" s="138"/>
      <c r="F35" s="102"/>
      <c r="G35" s="105">
        <f t="shared" si="4"/>
        <v>0</v>
      </c>
    </row>
    <row r="36" spans="2:7">
      <c r="B36" s="58" t="s">
        <v>273</v>
      </c>
      <c r="C36" s="59">
        <v>30</v>
      </c>
      <c r="D36" s="60" t="s">
        <v>134</v>
      </c>
      <c r="E36" s="138"/>
      <c r="F36" s="102"/>
      <c r="G36" s="105">
        <f t="shared" si="4"/>
        <v>0</v>
      </c>
    </row>
    <row r="37" spans="2:7">
      <c r="B37" s="58" t="s">
        <v>268</v>
      </c>
      <c r="C37" s="59">
        <v>120</v>
      </c>
      <c r="D37" s="60" t="s">
        <v>134</v>
      </c>
      <c r="E37" s="138"/>
      <c r="F37" s="102"/>
      <c r="G37" s="105">
        <f t="shared" si="4"/>
        <v>0</v>
      </c>
    </row>
    <row r="38" spans="2:7">
      <c r="B38" s="145"/>
      <c r="C38" s="146"/>
      <c r="D38" s="39"/>
      <c r="E38" s="147"/>
      <c r="F38" s="103"/>
      <c r="G38" s="104">
        <f>SUM(G34:G37)</f>
        <v>0</v>
      </c>
    </row>
    <row r="39" spans="2:7">
      <c r="C39" s="16"/>
      <c r="D39" s="16"/>
      <c r="E39" s="16"/>
      <c r="F39" s="102"/>
      <c r="G39" s="102"/>
    </row>
    <row r="40" spans="2:7">
      <c r="B40" s="34" t="s">
        <v>274</v>
      </c>
      <c r="C40" s="29"/>
      <c r="D40" s="29"/>
      <c r="E40" s="137"/>
      <c r="F40" s="102"/>
      <c r="G40" s="102"/>
    </row>
    <row r="41" spans="2:7">
      <c r="B41" s="58" t="s">
        <v>275</v>
      </c>
      <c r="C41" s="59">
        <v>1</v>
      </c>
      <c r="D41" s="60" t="s">
        <v>10</v>
      </c>
      <c r="E41" s="138"/>
      <c r="F41" s="102"/>
      <c r="G41" s="105">
        <f t="shared" ref="G41:G44" si="5">F41*(1+$G$3)</f>
        <v>0</v>
      </c>
    </row>
    <row r="42" spans="2:7">
      <c r="B42" s="58" t="s">
        <v>276</v>
      </c>
      <c r="C42" s="59">
        <v>1</v>
      </c>
      <c r="D42" s="60" t="s">
        <v>10</v>
      </c>
      <c r="E42" s="139" t="s">
        <v>247</v>
      </c>
      <c r="F42" s="102"/>
      <c r="G42" s="105">
        <f t="shared" si="5"/>
        <v>0</v>
      </c>
    </row>
    <row r="43" spans="2:7">
      <c r="B43" s="58" t="s">
        <v>277</v>
      </c>
      <c r="C43" s="59">
        <v>1</v>
      </c>
      <c r="D43" s="60" t="s">
        <v>10</v>
      </c>
      <c r="E43" s="139" t="s">
        <v>249</v>
      </c>
      <c r="F43" s="102"/>
      <c r="G43" s="105">
        <f t="shared" si="5"/>
        <v>0</v>
      </c>
    </row>
    <row r="44" spans="2:7">
      <c r="B44" s="58" t="s">
        <v>278</v>
      </c>
      <c r="C44" s="59">
        <v>1</v>
      </c>
      <c r="D44" s="60" t="s">
        <v>10</v>
      </c>
      <c r="E44" s="138"/>
      <c r="F44" s="102"/>
      <c r="G44" s="105">
        <f t="shared" si="5"/>
        <v>0</v>
      </c>
    </row>
    <row r="45" spans="2:7">
      <c r="B45" s="145"/>
      <c r="C45" s="146"/>
      <c r="D45" s="39"/>
      <c r="E45" s="147"/>
      <c r="F45" s="103"/>
      <c r="G45" s="104">
        <f>SUM(G41:G44)</f>
        <v>0</v>
      </c>
    </row>
    <row r="46" spans="2:7">
      <c r="B46" s="34" t="s">
        <v>279</v>
      </c>
      <c r="C46" s="29"/>
      <c r="D46" s="29"/>
      <c r="E46" s="137"/>
      <c r="F46" s="102"/>
      <c r="G46" s="102"/>
    </row>
    <row r="47" spans="2:7">
      <c r="B47" s="58" t="s">
        <v>275</v>
      </c>
      <c r="C47" s="59">
        <v>1</v>
      </c>
      <c r="D47" s="60" t="s">
        <v>10</v>
      </c>
      <c r="E47" s="138"/>
      <c r="F47" s="102"/>
      <c r="G47" s="105">
        <f t="shared" ref="G47:G50" si="6">F47*(1+$G$3)</f>
        <v>0</v>
      </c>
    </row>
    <row r="48" spans="2:7">
      <c r="B48" s="58" t="s">
        <v>276</v>
      </c>
      <c r="C48" s="59">
        <v>1</v>
      </c>
      <c r="D48" s="60" t="s">
        <v>10</v>
      </c>
      <c r="E48" s="139" t="s">
        <v>247</v>
      </c>
      <c r="F48" s="102"/>
      <c r="G48" s="105">
        <f t="shared" si="6"/>
        <v>0</v>
      </c>
    </row>
    <row r="49" spans="2:9">
      <c r="B49" s="58" t="s">
        <v>277</v>
      </c>
      <c r="C49" s="59">
        <v>1</v>
      </c>
      <c r="D49" s="60" t="s">
        <v>10</v>
      </c>
      <c r="E49" s="139" t="s">
        <v>249</v>
      </c>
      <c r="F49" s="102"/>
      <c r="G49" s="105">
        <f t="shared" si="6"/>
        <v>0</v>
      </c>
    </row>
    <row r="50" spans="2:9">
      <c r="B50" s="58" t="s">
        <v>278</v>
      </c>
      <c r="C50" s="61">
        <v>1</v>
      </c>
      <c r="D50" s="62" t="s">
        <v>10</v>
      </c>
      <c r="E50" s="138"/>
      <c r="F50" s="102"/>
      <c r="G50" s="105">
        <f t="shared" si="6"/>
        <v>0</v>
      </c>
    </row>
    <row r="51" spans="2:9">
      <c r="B51" s="145"/>
      <c r="C51" s="146"/>
      <c r="D51" s="39"/>
      <c r="E51" s="147"/>
      <c r="F51" s="103"/>
      <c r="G51" s="104">
        <f>SUM(G47:G50)</f>
        <v>0</v>
      </c>
    </row>
    <row r="52" spans="2:9">
      <c r="B52" s="34" t="s">
        <v>280</v>
      </c>
      <c r="C52" s="29"/>
      <c r="D52" s="29"/>
      <c r="E52" s="137"/>
      <c r="F52" s="102"/>
      <c r="G52" s="102"/>
    </row>
    <row r="53" spans="2:9">
      <c r="B53" s="58" t="s">
        <v>227</v>
      </c>
      <c r="C53" s="59">
        <v>10</v>
      </c>
      <c r="D53" s="60" t="s">
        <v>19</v>
      </c>
      <c r="E53" s="138"/>
      <c r="F53" s="102"/>
      <c r="G53" s="105">
        <f t="shared" ref="G53:G56" si="7">F53*(1+$G$3)</f>
        <v>0</v>
      </c>
    </row>
    <row r="54" spans="2:9">
      <c r="B54" s="58" t="s">
        <v>281</v>
      </c>
      <c r="C54" s="59">
        <v>15</v>
      </c>
      <c r="D54" s="60" t="s">
        <v>134</v>
      </c>
      <c r="E54" s="138"/>
      <c r="F54" s="102"/>
      <c r="G54" s="105">
        <f t="shared" si="7"/>
        <v>0</v>
      </c>
    </row>
    <row r="55" spans="2:9">
      <c r="B55" s="58" t="s">
        <v>229</v>
      </c>
      <c r="C55" s="59">
        <v>2</v>
      </c>
      <c r="D55" s="60" t="s">
        <v>230</v>
      </c>
      <c r="E55" s="138"/>
      <c r="F55" s="102"/>
      <c r="G55" s="105">
        <f t="shared" si="7"/>
        <v>0</v>
      </c>
    </row>
    <row r="56" spans="2:9">
      <c r="B56" s="58" t="s">
        <v>231</v>
      </c>
      <c r="C56" s="59">
        <v>15</v>
      </c>
      <c r="D56" s="60" t="s">
        <v>19</v>
      </c>
      <c r="E56" s="138"/>
      <c r="F56" s="102"/>
      <c r="G56" s="105">
        <f t="shared" si="7"/>
        <v>0</v>
      </c>
    </row>
    <row r="57" spans="2:9">
      <c r="B57" s="145"/>
      <c r="C57" s="146"/>
      <c r="D57" s="39"/>
      <c r="E57" s="147"/>
      <c r="F57" s="103"/>
      <c r="G57" s="104">
        <f>SUM(G53:G56)</f>
        <v>0</v>
      </c>
    </row>
    <row r="58" spans="2:9">
      <c r="B58" s="34" t="s">
        <v>282</v>
      </c>
      <c r="C58" s="29"/>
      <c r="D58" s="29"/>
      <c r="E58" s="137"/>
      <c r="F58" s="102"/>
      <c r="G58" s="102"/>
    </row>
    <row r="59" spans="2:9">
      <c r="B59" s="58" t="s">
        <v>227</v>
      </c>
      <c r="C59" s="59">
        <v>10</v>
      </c>
      <c r="D59" s="60" t="s">
        <v>19</v>
      </c>
      <c r="E59" s="138"/>
      <c r="F59" s="102"/>
      <c r="G59" s="105">
        <f t="shared" ref="G59:G62" si="8">F59*(1+$G$3)</f>
        <v>0</v>
      </c>
    </row>
    <row r="60" spans="2:9">
      <c r="B60" s="58" t="s">
        <v>281</v>
      </c>
      <c r="C60" s="59">
        <v>15</v>
      </c>
      <c r="D60" s="60" t="s">
        <v>134</v>
      </c>
      <c r="E60" s="138"/>
      <c r="F60" s="102"/>
      <c r="G60" s="105">
        <f t="shared" si="8"/>
        <v>0</v>
      </c>
    </row>
    <row r="61" spans="2:9">
      <c r="B61" s="58" t="s">
        <v>229</v>
      </c>
      <c r="C61" s="59">
        <v>2</v>
      </c>
      <c r="D61" s="60" t="s">
        <v>230</v>
      </c>
      <c r="E61" s="138"/>
      <c r="F61" s="102"/>
      <c r="G61" s="105">
        <f t="shared" si="8"/>
        <v>0</v>
      </c>
    </row>
    <row r="62" spans="2:9">
      <c r="B62" s="58" t="s">
        <v>231</v>
      </c>
      <c r="C62" s="59">
        <v>15</v>
      </c>
      <c r="D62" s="60" t="s">
        <v>19</v>
      </c>
      <c r="E62" s="138"/>
      <c r="F62" s="102"/>
      <c r="G62" s="105">
        <f t="shared" si="8"/>
        <v>0</v>
      </c>
    </row>
    <row r="63" spans="2:9">
      <c r="B63" s="145"/>
      <c r="C63" s="146"/>
      <c r="D63" s="39"/>
      <c r="E63" s="147"/>
      <c r="F63" s="103"/>
      <c r="G63" s="104">
        <f>SUM(G59:G62)</f>
        <v>0</v>
      </c>
    </row>
    <row r="64" spans="2:9">
      <c r="B64" s="34" t="s">
        <v>283</v>
      </c>
      <c r="C64" s="29"/>
      <c r="D64" s="29"/>
      <c r="E64" s="137"/>
      <c r="F64" s="102"/>
      <c r="G64" s="102"/>
      <c r="I64" t="s">
        <v>284</v>
      </c>
    </row>
    <row r="65" spans="2:9">
      <c r="B65" s="10" t="s">
        <v>53</v>
      </c>
      <c r="C65" s="13">
        <v>90</v>
      </c>
      <c r="D65" s="12" t="s">
        <v>19</v>
      </c>
      <c r="E65" s="96" t="s">
        <v>285</v>
      </c>
      <c r="F65" s="102"/>
      <c r="G65" s="105">
        <f t="shared" ref="G65:G69" si="9">F65*(1+$G$3)</f>
        <v>0</v>
      </c>
    </row>
    <row r="66" spans="2:9">
      <c r="B66" s="10" t="s">
        <v>55</v>
      </c>
      <c r="C66" s="13">
        <v>30</v>
      </c>
      <c r="D66" s="12" t="s">
        <v>19</v>
      </c>
      <c r="E66" s="96"/>
      <c r="F66" s="102"/>
      <c r="G66" s="105">
        <f t="shared" si="9"/>
        <v>0</v>
      </c>
    </row>
    <row r="67" spans="2:9">
      <c r="B67" s="10" t="s">
        <v>56</v>
      </c>
      <c r="C67" s="13">
        <v>15</v>
      </c>
      <c r="D67" s="12" t="s">
        <v>19</v>
      </c>
      <c r="E67" s="96"/>
      <c r="F67" s="102"/>
      <c r="G67" s="105">
        <f t="shared" si="9"/>
        <v>0</v>
      </c>
    </row>
    <row r="68" spans="2:9">
      <c r="B68" s="10" t="s">
        <v>57</v>
      </c>
      <c r="C68" s="13">
        <v>60</v>
      </c>
      <c r="D68" s="12" t="s">
        <v>19</v>
      </c>
      <c r="E68" s="96"/>
      <c r="F68" s="102"/>
      <c r="G68" s="105">
        <f t="shared" si="9"/>
        <v>0</v>
      </c>
    </row>
    <row r="69" spans="2:9">
      <c r="B69" s="10" t="s">
        <v>58</v>
      </c>
      <c r="C69" s="31">
        <v>60</v>
      </c>
      <c r="D69" s="32" t="s">
        <v>19</v>
      </c>
      <c r="E69" s="96"/>
      <c r="F69" s="102"/>
      <c r="G69" s="105">
        <f t="shared" si="9"/>
        <v>0</v>
      </c>
    </row>
    <row r="70" spans="2:9">
      <c r="B70" s="145"/>
      <c r="C70" s="146"/>
      <c r="D70" s="39"/>
      <c r="E70" s="147"/>
      <c r="F70" s="103"/>
      <c r="G70" s="104">
        <f>SUM(G66:G69)</f>
        <v>0</v>
      </c>
    </row>
    <row r="71" spans="2:9">
      <c r="B71" s="34" t="s">
        <v>286</v>
      </c>
      <c r="C71" s="29"/>
      <c r="D71" s="29"/>
      <c r="E71" s="137"/>
      <c r="F71" s="102"/>
      <c r="G71" s="102"/>
      <c r="I71" t="s">
        <v>287</v>
      </c>
    </row>
    <row r="72" spans="2:9">
      <c r="B72" s="10" t="s">
        <v>53</v>
      </c>
      <c r="C72" s="13">
        <v>90</v>
      </c>
      <c r="D72" s="12" t="s">
        <v>19</v>
      </c>
      <c r="E72" s="96" t="s">
        <v>288</v>
      </c>
      <c r="F72" s="102"/>
      <c r="G72" s="105">
        <f t="shared" ref="G72:G76" si="10">F72*(1+$G$3)</f>
        <v>0</v>
      </c>
    </row>
    <row r="73" spans="2:9">
      <c r="B73" s="10" t="s">
        <v>55</v>
      </c>
      <c r="C73" s="13">
        <v>30</v>
      </c>
      <c r="D73" s="12" t="s">
        <v>19</v>
      </c>
      <c r="E73" s="96"/>
      <c r="F73" s="102"/>
      <c r="G73" s="105">
        <f t="shared" si="10"/>
        <v>0</v>
      </c>
    </row>
    <row r="74" spans="2:9">
      <c r="B74" s="10" t="s">
        <v>56</v>
      </c>
      <c r="C74" s="13">
        <v>15</v>
      </c>
      <c r="D74" s="12" t="s">
        <v>19</v>
      </c>
      <c r="E74" s="96"/>
      <c r="F74" s="102"/>
      <c r="G74" s="105">
        <f t="shared" si="10"/>
        <v>0</v>
      </c>
    </row>
    <row r="75" spans="2:9">
      <c r="B75" s="10" t="s">
        <v>57</v>
      </c>
      <c r="C75" s="13">
        <v>60</v>
      </c>
      <c r="D75" s="12" t="s">
        <v>19</v>
      </c>
      <c r="E75" s="96"/>
      <c r="F75" s="102"/>
      <c r="G75" s="105">
        <f t="shared" si="10"/>
        <v>0</v>
      </c>
    </row>
    <row r="76" spans="2:9">
      <c r="B76" s="10" t="s">
        <v>58</v>
      </c>
      <c r="C76" s="31">
        <v>60</v>
      </c>
      <c r="D76" s="32" t="s">
        <v>19</v>
      </c>
      <c r="E76" s="96"/>
      <c r="F76" s="102"/>
      <c r="G76" s="105">
        <f t="shared" si="10"/>
        <v>0</v>
      </c>
    </row>
    <row r="77" spans="2:9">
      <c r="B77" s="145"/>
      <c r="C77" s="146"/>
      <c r="D77" s="39"/>
      <c r="E77" s="147"/>
      <c r="F77" s="103"/>
      <c r="G77" s="104">
        <f>SUM(G73:G76)</f>
        <v>0</v>
      </c>
    </row>
    <row r="78" spans="2:9">
      <c r="B78" s="34" t="s">
        <v>289</v>
      </c>
      <c r="C78" s="29"/>
      <c r="D78" s="29"/>
      <c r="E78" s="137"/>
      <c r="F78" s="102"/>
      <c r="G78" s="102"/>
      <c r="I78" t="s">
        <v>284</v>
      </c>
    </row>
    <row r="79" spans="2:9">
      <c r="B79" s="10" t="s">
        <v>70</v>
      </c>
      <c r="C79" s="13">
        <v>90</v>
      </c>
      <c r="D79" s="12" t="s">
        <v>19</v>
      </c>
      <c r="E79" s="96"/>
      <c r="F79" s="102"/>
      <c r="G79" s="105">
        <f t="shared" ref="G79:G82" si="11">F79*(1+$G$3)</f>
        <v>0</v>
      </c>
    </row>
    <row r="80" spans="2:9">
      <c r="B80" s="10" t="s">
        <v>73</v>
      </c>
      <c r="C80" s="13">
        <v>60</v>
      </c>
      <c r="D80" s="12" t="s">
        <v>19</v>
      </c>
      <c r="E80" s="96"/>
      <c r="F80" s="102"/>
      <c r="G80" s="105">
        <f t="shared" si="11"/>
        <v>0</v>
      </c>
      <c r="I80">
        <v>2</v>
      </c>
    </row>
    <row r="81" spans="2:9">
      <c r="B81" s="10" t="s">
        <v>74</v>
      </c>
      <c r="C81" s="13">
        <v>60</v>
      </c>
      <c r="D81" s="12" t="s">
        <v>19</v>
      </c>
      <c r="E81" s="96"/>
      <c r="F81" s="102"/>
      <c r="G81" s="105">
        <f t="shared" si="11"/>
        <v>0</v>
      </c>
    </row>
    <row r="82" spans="2:9">
      <c r="B82" s="10" t="s">
        <v>75</v>
      </c>
      <c r="C82" s="13">
        <v>30</v>
      </c>
      <c r="D82" s="12" t="s">
        <v>19</v>
      </c>
      <c r="E82" s="96"/>
      <c r="F82" s="102"/>
      <c r="G82" s="105">
        <f t="shared" si="11"/>
        <v>0</v>
      </c>
    </row>
    <row r="83" spans="2:9">
      <c r="B83" s="145"/>
      <c r="C83" s="146"/>
      <c r="D83" s="39"/>
      <c r="E83" s="147"/>
      <c r="F83" s="103"/>
      <c r="G83" s="104">
        <f>SUM(G79:G82)</f>
        <v>0</v>
      </c>
    </row>
    <row r="84" spans="2:9">
      <c r="B84" s="34" t="s">
        <v>290</v>
      </c>
      <c r="C84" s="29"/>
      <c r="D84" s="29"/>
      <c r="E84" s="137"/>
      <c r="F84" s="102"/>
      <c r="G84" s="102"/>
    </row>
    <row r="85" spans="2:9">
      <c r="B85" s="10" t="s">
        <v>70</v>
      </c>
      <c r="C85" s="13">
        <v>90</v>
      </c>
      <c r="D85" s="12" t="s">
        <v>19</v>
      </c>
      <c r="E85" s="96"/>
      <c r="F85" s="102"/>
      <c r="G85" s="105">
        <f t="shared" ref="G85:G88" si="12">F85*(1+$G$3)</f>
        <v>0</v>
      </c>
      <c r="I85" t="s">
        <v>287</v>
      </c>
    </row>
    <row r="86" spans="2:9">
      <c r="B86" s="10" t="s">
        <v>73</v>
      </c>
      <c r="C86" s="13">
        <v>60</v>
      </c>
      <c r="D86" s="12" t="s">
        <v>19</v>
      </c>
      <c r="E86" s="96"/>
      <c r="F86" s="102"/>
      <c r="G86" s="105">
        <f t="shared" si="12"/>
        <v>0</v>
      </c>
    </row>
    <row r="87" spans="2:9">
      <c r="B87" s="10" t="s">
        <v>74</v>
      </c>
      <c r="C87" s="13">
        <v>60</v>
      </c>
      <c r="D87" s="12" t="s">
        <v>19</v>
      </c>
      <c r="E87" s="96"/>
      <c r="F87" s="102"/>
      <c r="G87" s="105">
        <f t="shared" si="12"/>
        <v>0</v>
      </c>
    </row>
    <row r="88" spans="2:9">
      <c r="B88" s="10" t="s">
        <v>75</v>
      </c>
      <c r="C88" s="13">
        <v>30</v>
      </c>
      <c r="D88" s="12" t="s">
        <v>19</v>
      </c>
      <c r="E88" s="96"/>
      <c r="F88" s="102"/>
      <c r="G88" s="105">
        <f t="shared" si="12"/>
        <v>0</v>
      </c>
    </row>
    <row r="89" spans="2:9">
      <c r="B89" s="145"/>
      <c r="C89" s="146"/>
      <c r="D89" s="39"/>
      <c r="E89" s="147"/>
      <c r="F89" s="103"/>
      <c r="G89" s="104">
        <f>SUM(G85:G88)</f>
        <v>0</v>
      </c>
    </row>
    <row r="90" spans="2:9">
      <c r="B90" s="34" t="s">
        <v>291</v>
      </c>
      <c r="C90" s="29"/>
      <c r="D90" s="29"/>
      <c r="E90" s="137"/>
      <c r="F90" s="102"/>
      <c r="G90" s="102"/>
    </row>
    <row r="91" spans="2:9">
      <c r="B91" s="37" t="s">
        <v>245</v>
      </c>
      <c r="C91" s="38">
        <v>1</v>
      </c>
      <c r="D91" s="39" t="s">
        <v>10</v>
      </c>
      <c r="E91" s="143"/>
      <c r="F91" s="102"/>
      <c r="G91" s="105">
        <f t="shared" ref="G91:G95" si="13">F91*(1+$G$3)</f>
        <v>0</v>
      </c>
    </row>
    <row r="92" spans="2:9">
      <c r="B92" s="37" t="s">
        <v>292</v>
      </c>
      <c r="C92" s="38">
        <v>1</v>
      </c>
      <c r="D92" s="39" t="s">
        <v>10</v>
      </c>
      <c r="E92" s="144" t="s">
        <v>293</v>
      </c>
      <c r="F92" s="102"/>
      <c r="G92" s="105">
        <f t="shared" si="13"/>
        <v>0</v>
      </c>
    </row>
    <row r="93" spans="2:9">
      <c r="B93" s="37" t="s">
        <v>294</v>
      </c>
      <c r="C93" s="38">
        <v>1</v>
      </c>
      <c r="D93" s="39" t="s">
        <v>10</v>
      </c>
      <c r="E93" s="144" t="s">
        <v>295</v>
      </c>
      <c r="F93" s="102"/>
      <c r="G93" s="105">
        <f t="shared" si="13"/>
        <v>0</v>
      </c>
    </row>
    <row r="94" spans="2:9">
      <c r="B94" s="37" t="s">
        <v>277</v>
      </c>
      <c r="C94" s="38">
        <v>2</v>
      </c>
      <c r="D94" s="39" t="s">
        <v>10</v>
      </c>
      <c r="E94" s="144" t="s">
        <v>296</v>
      </c>
      <c r="F94" s="102"/>
      <c r="G94" s="105">
        <f t="shared" si="13"/>
        <v>0</v>
      </c>
    </row>
    <row r="95" spans="2:9">
      <c r="B95" s="37" t="s">
        <v>246</v>
      </c>
      <c r="C95" s="38">
        <v>1</v>
      </c>
      <c r="D95" s="39" t="s">
        <v>10</v>
      </c>
      <c r="E95" s="144" t="s">
        <v>247</v>
      </c>
      <c r="F95" s="102"/>
      <c r="G95" s="105">
        <f t="shared" si="13"/>
        <v>0</v>
      </c>
    </row>
    <row r="96" spans="2:9">
      <c r="B96" s="145"/>
      <c r="C96" s="146"/>
      <c r="D96" s="39"/>
      <c r="E96" s="147"/>
      <c r="F96" s="103"/>
      <c r="G96" s="104">
        <f>SUM(G92:G95)</f>
        <v>0</v>
      </c>
    </row>
    <row r="97" spans="2:7">
      <c r="B97" s="34" t="s">
        <v>297</v>
      </c>
      <c r="C97" s="29"/>
      <c r="D97" s="29"/>
      <c r="E97" s="141"/>
      <c r="F97" s="102"/>
      <c r="G97" s="102"/>
    </row>
    <row r="98" spans="2:7">
      <c r="B98" s="37" t="s">
        <v>298</v>
      </c>
      <c r="C98" s="38">
        <v>100</v>
      </c>
      <c r="D98" s="39" t="s">
        <v>134</v>
      </c>
      <c r="E98" s="144"/>
      <c r="F98" s="102"/>
      <c r="G98" s="105">
        <f t="shared" ref="G98:G102" si="14">F98*(1+$G$3)</f>
        <v>0</v>
      </c>
    </row>
    <row r="99" spans="2:7">
      <c r="B99" s="37" t="s">
        <v>299</v>
      </c>
      <c r="C99" s="38">
        <v>30</v>
      </c>
      <c r="D99" s="39" t="s">
        <v>134</v>
      </c>
      <c r="E99" s="144"/>
      <c r="F99" s="102"/>
      <c r="G99" s="105">
        <f t="shared" si="14"/>
        <v>0</v>
      </c>
    </row>
    <row r="100" spans="2:7">
      <c r="B100" s="37" t="s">
        <v>300</v>
      </c>
      <c r="C100" s="38">
        <v>90</v>
      </c>
      <c r="D100" s="39" t="s">
        <v>301</v>
      </c>
      <c r="E100" s="144"/>
      <c r="F100" s="102"/>
      <c r="G100" s="105">
        <f t="shared" si="14"/>
        <v>0</v>
      </c>
    </row>
    <row r="101" spans="2:7">
      <c r="B101" s="37" t="s">
        <v>302</v>
      </c>
      <c r="C101" s="38" t="s">
        <v>303</v>
      </c>
      <c r="D101" s="39" t="s">
        <v>301</v>
      </c>
      <c r="E101" s="144"/>
      <c r="F101" s="102"/>
      <c r="G101" s="105">
        <f t="shared" si="14"/>
        <v>0</v>
      </c>
    </row>
    <row r="102" spans="2:7">
      <c r="B102" s="37"/>
      <c r="C102" s="38"/>
      <c r="D102" s="39"/>
      <c r="E102" s="144"/>
      <c r="F102" s="102"/>
      <c r="G102" s="105">
        <f t="shared" si="14"/>
        <v>0</v>
      </c>
    </row>
    <row r="103" spans="2:7">
      <c r="B103" s="145"/>
      <c r="C103" s="146"/>
      <c r="D103" s="39"/>
      <c r="E103" s="147"/>
      <c r="F103" s="103"/>
      <c r="G103" s="104">
        <f>SUM(G99:G102)</f>
        <v>0</v>
      </c>
    </row>
    <row r="104" spans="2:7">
      <c r="B104" s="36" t="s">
        <v>304</v>
      </c>
      <c r="C104" s="29"/>
      <c r="D104" s="29"/>
      <c r="E104" s="141"/>
      <c r="F104" s="102"/>
      <c r="G104" s="102"/>
    </row>
    <row r="105" spans="2:7">
      <c r="B105" s="37" t="s">
        <v>298</v>
      </c>
      <c r="C105" s="38">
        <v>100</v>
      </c>
      <c r="D105" s="39" t="s">
        <v>134</v>
      </c>
      <c r="E105" s="144"/>
      <c r="F105" s="102"/>
      <c r="G105" s="102"/>
    </row>
    <row r="106" spans="2:7">
      <c r="B106" s="37" t="s">
        <v>299</v>
      </c>
      <c r="C106" s="38">
        <v>30</v>
      </c>
      <c r="D106" s="39" t="s">
        <v>134</v>
      </c>
      <c r="E106" s="143"/>
      <c r="F106" s="102"/>
      <c r="G106" s="102"/>
    </row>
    <row r="107" spans="2:7">
      <c r="B107" s="37" t="s">
        <v>300</v>
      </c>
      <c r="C107" s="38">
        <v>90</v>
      </c>
      <c r="D107" s="39" t="s">
        <v>301</v>
      </c>
      <c r="E107" s="143"/>
      <c r="F107" s="102"/>
      <c r="G107" s="102"/>
    </row>
    <row r="108" spans="2:7">
      <c r="B108" s="37" t="s">
        <v>302</v>
      </c>
      <c r="C108" s="38" t="s">
        <v>303</v>
      </c>
      <c r="D108" s="39" t="s">
        <v>301</v>
      </c>
      <c r="E108" s="143"/>
      <c r="F108" s="102"/>
      <c r="G108" s="102"/>
    </row>
    <row r="109" spans="2:7">
      <c r="B109" s="145"/>
      <c r="C109" s="146"/>
      <c r="D109" s="39"/>
      <c r="E109" s="147"/>
      <c r="F109" s="103"/>
      <c r="G109" s="104">
        <f>SUM(G105:G108)</f>
        <v>0</v>
      </c>
    </row>
  </sheetData>
  <pageMargins left="0.7" right="0.7" top="0.75" bottom="0.75" header="0.3" footer="0.3"/>
  <pageSetup scale="5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EBAD-045D-4230-9F9C-02016997AFC6}">
  <sheetPr>
    <pageSetUpPr fitToPage="1"/>
  </sheetPr>
  <dimension ref="A1:O72"/>
  <sheetViews>
    <sheetView topLeftCell="A6" zoomScaleNormal="100" workbookViewId="0">
      <selection activeCell="G46" sqref="G46"/>
    </sheetView>
  </sheetViews>
  <sheetFormatPr defaultRowHeight="14.4"/>
  <cols>
    <col min="1" max="1" width="32" customWidth="1"/>
    <col min="2" max="3" width="10.6640625" style="48" customWidth="1"/>
    <col min="4" max="4" width="43.109375" customWidth="1"/>
    <col min="7" max="7" width="32.5546875" customWidth="1"/>
    <col min="10" max="10" width="31.5546875" customWidth="1"/>
    <col min="13" max="13" width="32.5546875" customWidth="1"/>
  </cols>
  <sheetData>
    <row r="1" spans="1:15" ht="17.399999999999999">
      <c r="A1" s="1" t="s">
        <v>305</v>
      </c>
      <c r="B1" s="2"/>
      <c r="C1" s="2"/>
      <c r="D1" s="1" t="s">
        <v>306</v>
      </c>
      <c r="E1" s="2"/>
      <c r="F1" s="2"/>
      <c r="G1" s="1" t="s">
        <v>307</v>
      </c>
      <c r="H1" s="2"/>
      <c r="I1" s="2"/>
      <c r="J1" s="1" t="s">
        <v>308</v>
      </c>
      <c r="K1" s="2"/>
      <c r="L1" s="2"/>
      <c r="M1" s="1" t="s">
        <v>309</v>
      </c>
      <c r="N1" s="2"/>
      <c r="O1" s="2"/>
    </row>
    <row r="2" spans="1:15" ht="27.6">
      <c r="A2" s="4" t="s">
        <v>1</v>
      </c>
      <c r="B2" s="46" t="s">
        <v>2</v>
      </c>
      <c r="C2" s="46" t="s">
        <v>3</v>
      </c>
      <c r="D2" s="4" t="s">
        <v>1</v>
      </c>
      <c r="E2" s="46" t="s">
        <v>2</v>
      </c>
      <c r="F2" s="46" t="s">
        <v>3</v>
      </c>
      <c r="G2" s="4" t="s">
        <v>1</v>
      </c>
      <c r="H2" s="46" t="s">
        <v>2</v>
      </c>
      <c r="I2" s="46" t="s">
        <v>3</v>
      </c>
      <c r="J2" s="4" t="s">
        <v>1</v>
      </c>
      <c r="K2" s="46" t="s">
        <v>2</v>
      </c>
      <c r="L2" s="46" t="s">
        <v>3</v>
      </c>
      <c r="M2" s="4" t="s">
        <v>1</v>
      </c>
      <c r="N2" s="46" t="s">
        <v>2</v>
      </c>
      <c r="O2" s="46" t="s">
        <v>3</v>
      </c>
    </row>
    <row r="3" spans="1:15">
      <c r="A3" s="5" t="s">
        <v>6</v>
      </c>
      <c r="B3" s="47"/>
      <c r="C3" s="47"/>
      <c r="D3" s="5" t="s">
        <v>6</v>
      </c>
      <c r="E3" s="47"/>
      <c r="F3" s="47"/>
      <c r="G3" s="5" t="s">
        <v>6</v>
      </c>
      <c r="H3" s="47"/>
      <c r="I3" s="47"/>
      <c r="J3" s="5" t="s">
        <v>6</v>
      </c>
      <c r="K3" s="47"/>
      <c r="L3" s="47"/>
      <c r="M3" s="5" t="s">
        <v>6</v>
      </c>
      <c r="N3" s="47"/>
      <c r="O3" s="47"/>
    </row>
    <row r="4" spans="1:15">
      <c r="A4" s="7" t="s">
        <v>9</v>
      </c>
      <c r="B4" s="44">
        <v>1</v>
      </c>
      <c r="C4" s="8" t="s">
        <v>10</v>
      </c>
      <c r="D4" s="7" t="s">
        <v>9</v>
      </c>
      <c r="E4" s="44">
        <v>1</v>
      </c>
      <c r="F4" s="8" t="s">
        <v>10</v>
      </c>
      <c r="G4" s="7" t="s">
        <v>9</v>
      </c>
      <c r="H4" s="44">
        <v>1</v>
      </c>
      <c r="I4" s="8" t="s">
        <v>10</v>
      </c>
      <c r="J4" s="7" t="s">
        <v>9</v>
      </c>
      <c r="K4" s="44">
        <v>1</v>
      </c>
      <c r="L4" s="8" t="s">
        <v>10</v>
      </c>
      <c r="M4" s="7" t="s">
        <v>9</v>
      </c>
      <c r="N4" s="44">
        <v>1</v>
      </c>
      <c r="O4" s="8" t="s">
        <v>10</v>
      </c>
    </row>
    <row r="5" spans="1:15">
      <c r="A5" s="9" t="s">
        <v>12</v>
      </c>
      <c r="B5" s="44">
        <v>3</v>
      </c>
      <c r="C5" s="8" t="s">
        <v>10</v>
      </c>
      <c r="D5" s="9" t="s">
        <v>12</v>
      </c>
      <c r="E5" s="44">
        <v>3</v>
      </c>
      <c r="F5" s="8" t="s">
        <v>10</v>
      </c>
      <c r="G5" s="9" t="s">
        <v>12</v>
      </c>
      <c r="H5" s="44">
        <v>3</v>
      </c>
      <c r="I5" s="8" t="s">
        <v>10</v>
      </c>
      <c r="J5" s="9" t="s">
        <v>12</v>
      </c>
      <c r="K5" s="44">
        <v>3</v>
      </c>
      <c r="L5" s="8" t="s">
        <v>10</v>
      </c>
      <c r="M5" s="9" t="s">
        <v>12</v>
      </c>
      <c r="N5" s="44">
        <v>3</v>
      </c>
      <c r="O5" s="8" t="s">
        <v>10</v>
      </c>
    </row>
    <row r="6" spans="1:15">
      <c r="A6" s="9" t="s">
        <v>13</v>
      </c>
      <c r="B6" s="44">
        <v>3</v>
      </c>
      <c r="C6" s="8" t="s">
        <v>10</v>
      </c>
      <c r="D6" s="9" t="s">
        <v>13</v>
      </c>
      <c r="E6" s="44">
        <v>3</v>
      </c>
      <c r="F6" s="8" t="s">
        <v>10</v>
      </c>
      <c r="G6" s="9" t="s">
        <v>13</v>
      </c>
      <c r="H6" s="44">
        <v>3</v>
      </c>
      <c r="I6" s="8" t="s">
        <v>10</v>
      </c>
      <c r="J6" s="9" t="s">
        <v>13</v>
      </c>
      <c r="K6" s="44">
        <v>3</v>
      </c>
      <c r="L6" s="8" t="s">
        <v>10</v>
      </c>
      <c r="M6" s="9" t="s">
        <v>13</v>
      </c>
      <c r="N6" s="44">
        <v>3</v>
      </c>
      <c r="O6" s="8" t="s">
        <v>10</v>
      </c>
    </row>
    <row r="7" spans="1:15">
      <c r="A7" s="9" t="s">
        <v>14</v>
      </c>
      <c r="B7" s="44">
        <v>1</v>
      </c>
      <c r="C7" s="8" t="s">
        <v>10</v>
      </c>
      <c r="D7" s="9" t="s">
        <v>14</v>
      </c>
      <c r="E7" s="44">
        <v>1</v>
      </c>
      <c r="F7" s="8" t="s">
        <v>10</v>
      </c>
      <c r="G7" s="9" t="s">
        <v>14</v>
      </c>
      <c r="H7" s="44">
        <v>1</v>
      </c>
      <c r="I7" s="8" t="s">
        <v>10</v>
      </c>
      <c r="J7" s="9" t="s">
        <v>14</v>
      </c>
      <c r="K7" s="44">
        <v>1</v>
      </c>
      <c r="L7" s="8" t="s">
        <v>10</v>
      </c>
      <c r="M7" s="9" t="s">
        <v>14</v>
      </c>
      <c r="N7" s="44">
        <v>1</v>
      </c>
      <c r="O7" s="8" t="s">
        <v>10</v>
      </c>
    </row>
    <row r="8" spans="1:15">
      <c r="A8" s="9" t="s">
        <v>15</v>
      </c>
      <c r="B8" s="44">
        <v>1</v>
      </c>
      <c r="C8" s="8" t="s">
        <v>10</v>
      </c>
      <c r="D8" s="9" t="s">
        <v>15</v>
      </c>
      <c r="E8" s="44">
        <v>1</v>
      </c>
      <c r="F8" s="8" t="s">
        <v>10</v>
      </c>
      <c r="G8" s="9" t="s">
        <v>15</v>
      </c>
      <c r="H8" s="44">
        <v>1</v>
      </c>
      <c r="I8" s="8" t="s">
        <v>10</v>
      </c>
      <c r="J8" s="9" t="s">
        <v>15</v>
      </c>
      <c r="K8" s="44">
        <v>1</v>
      </c>
      <c r="L8" s="8" t="s">
        <v>10</v>
      </c>
      <c r="M8" s="9" t="s">
        <v>15</v>
      </c>
      <c r="N8" s="44">
        <v>1</v>
      </c>
      <c r="O8" s="8" t="s">
        <v>10</v>
      </c>
    </row>
    <row r="9" spans="1:15">
      <c r="A9" s="9" t="s">
        <v>16</v>
      </c>
      <c r="B9" s="44">
        <v>1</v>
      </c>
      <c r="C9" s="8" t="s">
        <v>10</v>
      </c>
      <c r="D9" s="9" t="s">
        <v>16</v>
      </c>
      <c r="E9" s="44">
        <v>1</v>
      </c>
      <c r="F9" s="8" t="s">
        <v>10</v>
      </c>
      <c r="G9" s="9" t="s">
        <v>16</v>
      </c>
      <c r="H9" s="44">
        <v>1</v>
      </c>
      <c r="I9" s="8" t="s">
        <v>10</v>
      </c>
      <c r="J9" s="9" t="s">
        <v>16</v>
      </c>
      <c r="K9" s="44">
        <v>1</v>
      </c>
      <c r="L9" s="8" t="s">
        <v>10</v>
      </c>
      <c r="M9" s="9" t="s">
        <v>16</v>
      </c>
      <c r="N9" s="44">
        <v>1</v>
      </c>
      <c r="O9" s="8" t="s">
        <v>10</v>
      </c>
    </row>
    <row r="10" spans="1:15">
      <c r="A10" s="68" t="s">
        <v>158</v>
      </c>
      <c r="B10" s="47"/>
      <c r="C10" s="47"/>
      <c r="D10" s="68" t="s">
        <v>158</v>
      </c>
      <c r="E10" s="47"/>
      <c r="F10" s="47"/>
      <c r="G10" s="68" t="s">
        <v>158</v>
      </c>
      <c r="H10" s="47"/>
      <c r="I10" s="47"/>
      <c r="J10" s="68" t="s">
        <v>158</v>
      </c>
      <c r="K10" s="47"/>
      <c r="L10" s="47"/>
      <c r="M10" s="68" t="s">
        <v>158</v>
      </c>
      <c r="N10" s="47"/>
      <c r="O10" s="47"/>
    </row>
    <row r="11" spans="1:15">
      <c r="A11" s="66" t="s">
        <v>25</v>
      </c>
      <c r="B11" s="67">
        <v>14</v>
      </c>
      <c r="C11" s="70" t="s">
        <v>19</v>
      </c>
      <c r="D11" s="66" t="s">
        <v>25</v>
      </c>
      <c r="E11" s="67">
        <v>14</v>
      </c>
      <c r="F11" s="70" t="s">
        <v>19</v>
      </c>
      <c r="G11" s="66" t="s">
        <v>310</v>
      </c>
      <c r="H11" s="67">
        <v>14</v>
      </c>
      <c r="I11" s="70" t="s">
        <v>19</v>
      </c>
      <c r="J11" s="66" t="s">
        <v>310</v>
      </c>
      <c r="K11" s="67">
        <v>14</v>
      </c>
      <c r="L11" s="70" t="s">
        <v>19</v>
      </c>
      <c r="M11" s="66" t="s">
        <v>25</v>
      </c>
      <c r="N11" s="67">
        <v>14</v>
      </c>
      <c r="O11" s="70" t="s">
        <v>19</v>
      </c>
    </row>
    <row r="12" spans="1:15">
      <c r="A12" s="66" t="s">
        <v>27</v>
      </c>
      <c r="B12" s="67">
        <v>1</v>
      </c>
      <c r="C12" s="70" t="s">
        <v>19</v>
      </c>
      <c r="D12" s="66" t="s">
        <v>27</v>
      </c>
      <c r="E12" s="67">
        <v>1</v>
      </c>
      <c r="F12" s="70" t="s">
        <v>19</v>
      </c>
      <c r="G12" s="66"/>
      <c r="H12" s="67"/>
      <c r="I12" s="70" t="s">
        <v>19</v>
      </c>
      <c r="J12" s="66"/>
      <c r="K12" s="67"/>
      <c r="L12" s="70" t="s">
        <v>19</v>
      </c>
      <c r="M12" s="66" t="s">
        <v>27</v>
      </c>
      <c r="N12" s="67">
        <v>1</v>
      </c>
      <c r="O12" s="70" t="s">
        <v>19</v>
      </c>
    </row>
    <row r="13" spans="1:15">
      <c r="A13" s="69" t="s">
        <v>311</v>
      </c>
      <c r="B13" s="47"/>
      <c r="C13" s="47"/>
      <c r="D13" s="69" t="s">
        <v>311</v>
      </c>
      <c r="E13" s="47"/>
      <c r="F13" s="47"/>
      <c r="G13" s="69" t="s">
        <v>311</v>
      </c>
      <c r="H13" s="47"/>
      <c r="I13" s="47"/>
      <c r="J13" s="69" t="s">
        <v>311</v>
      </c>
      <c r="K13" s="47"/>
      <c r="L13" s="47"/>
      <c r="M13" s="69" t="s">
        <v>311</v>
      </c>
      <c r="N13" s="47"/>
      <c r="O13" s="47"/>
    </row>
    <row r="14" spans="1:15">
      <c r="A14" s="10" t="s">
        <v>312</v>
      </c>
      <c r="B14" s="13">
        <v>8</v>
      </c>
      <c r="C14" s="12" t="s">
        <v>19</v>
      </c>
      <c r="D14" s="10" t="s">
        <v>137</v>
      </c>
      <c r="E14" s="13">
        <v>15</v>
      </c>
      <c r="F14" s="12" t="s">
        <v>134</v>
      </c>
      <c r="G14" s="10" t="s">
        <v>37</v>
      </c>
      <c r="H14" s="13">
        <v>40</v>
      </c>
      <c r="I14" s="12" t="s">
        <v>19</v>
      </c>
      <c r="J14" s="10" t="s">
        <v>312</v>
      </c>
      <c r="K14" s="13">
        <v>8</v>
      </c>
      <c r="L14" s="12" t="s">
        <v>19</v>
      </c>
      <c r="M14" s="10" t="s">
        <v>313</v>
      </c>
      <c r="N14" s="13">
        <v>40</v>
      </c>
      <c r="O14" s="12" t="s">
        <v>19</v>
      </c>
    </row>
    <row r="15" spans="1:15">
      <c r="A15" s="10" t="s">
        <v>314</v>
      </c>
      <c r="B15" s="13">
        <v>20</v>
      </c>
      <c r="C15" s="12" t="s">
        <v>19</v>
      </c>
      <c r="D15" s="10" t="s">
        <v>315</v>
      </c>
      <c r="E15" s="13">
        <v>30</v>
      </c>
      <c r="F15" s="12" t="s">
        <v>19</v>
      </c>
      <c r="G15" s="10" t="s">
        <v>38</v>
      </c>
      <c r="H15" s="13">
        <v>20</v>
      </c>
      <c r="I15" s="12" t="s">
        <v>19</v>
      </c>
      <c r="J15" s="10" t="s">
        <v>314</v>
      </c>
      <c r="K15" s="13">
        <v>20</v>
      </c>
      <c r="L15" s="12" t="s">
        <v>19</v>
      </c>
      <c r="M15" s="10" t="s">
        <v>31</v>
      </c>
      <c r="N15" s="13">
        <v>30</v>
      </c>
      <c r="O15" s="12" t="s">
        <v>19</v>
      </c>
    </row>
    <row r="16" spans="1:15">
      <c r="A16" s="10" t="s">
        <v>316</v>
      </c>
      <c r="B16" s="13">
        <v>20</v>
      </c>
      <c r="C16" s="12" t="s">
        <v>19</v>
      </c>
      <c r="D16" s="10" t="s">
        <v>144</v>
      </c>
      <c r="E16" s="13">
        <v>1</v>
      </c>
      <c r="F16" s="12" t="s">
        <v>230</v>
      </c>
      <c r="G16" s="10" t="s">
        <v>39</v>
      </c>
      <c r="H16" s="13">
        <v>20</v>
      </c>
      <c r="I16" s="12" t="s">
        <v>19</v>
      </c>
      <c r="J16" s="10" t="s">
        <v>316</v>
      </c>
      <c r="K16" s="13">
        <v>20</v>
      </c>
      <c r="L16" s="12" t="s">
        <v>19</v>
      </c>
      <c r="M16" s="10" t="s">
        <v>32</v>
      </c>
      <c r="N16" s="13">
        <v>10</v>
      </c>
      <c r="O16" s="12" t="s">
        <v>19</v>
      </c>
    </row>
    <row r="17" spans="1:15">
      <c r="A17" s="10" t="s">
        <v>317</v>
      </c>
      <c r="B17" s="13">
        <v>20</v>
      </c>
      <c r="C17" s="12" t="s">
        <v>19</v>
      </c>
      <c r="D17" s="10" t="s">
        <v>312</v>
      </c>
      <c r="E17" s="13">
        <v>1</v>
      </c>
      <c r="F17" s="12" t="s">
        <v>10</v>
      </c>
      <c r="G17" s="10" t="s">
        <v>40</v>
      </c>
      <c r="H17" s="13">
        <v>10</v>
      </c>
      <c r="I17" s="12" t="s">
        <v>19</v>
      </c>
      <c r="J17" s="10" t="s">
        <v>317</v>
      </c>
      <c r="K17" s="13">
        <v>20</v>
      </c>
      <c r="L17" s="12" t="s">
        <v>19</v>
      </c>
      <c r="M17" s="10" t="s">
        <v>33</v>
      </c>
      <c r="N17" s="13">
        <v>5</v>
      </c>
      <c r="O17" s="12" t="s">
        <v>19</v>
      </c>
    </row>
    <row r="18" spans="1:15">
      <c r="A18" s="10" t="s">
        <v>315</v>
      </c>
      <c r="B18" s="13" t="s">
        <v>210</v>
      </c>
      <c r="C18" s="12" t="s">
        <v>19</v>
      </c>
      <c r="D18" s="10" t="s">
        <v>318</v>
      </c>
      <c r="E18" s="13">
        <v>1</v>
      </c>
      <c r="F18" s="12" t="s">
        <v>10</v>
      </c>
      <c r="G18" s="10"/>
      <c r="H18" s="13"/>
      <c r="I18" s="12"/>
      <c r="J18" s="10" t="s">
        <v>315</v>
      </c>
      <c r="K18" s="13" t="s">
        <v>210</v>
      </c>
      <c r="L18" s="12" t="s">
        <v>19</v>
      </c>
      <c r="M18" s="10" t="s">
        <v>35</v>
      </c>
      <c r="N18" s="13">
        <v>5</v>
      </c>
      <c r="O18" s="12" t="s">
        <v>19</v>
      </c>
    </row>
    <row r="19" spans="1:15">
      <c r="A19" s="10" t="s">
        <v>319</v>
      </c>
      <c r="B19" s="13" t="s">
        <v>320</v>
      </c>
      <c r="C19" s="12" t="s">
        <v>19</v>
      </c>
      <c r="D19" s="10" t="s">
        <v>321</v>
      </c>
      <c r="E19" s="13">
        <v>30</v>
      </c>
      <c r="F19" s="12" t="s">
        <v>19</v>
      </c>
      <c r="G19" s="10"/>
      <c r="H19" s="13"/>
      <c r="I19" s="12"/>
      <c r="J19" s="10" t="s">
        <v>319</v>
      </c>
      <c r="K19" s="13" t="s">
        <v>320</v>
      </c>
      <c r="L19" s="12" t="s">
        <v>19</v>
      </c>
      <c r="M19" s="10"/>
      <c r="N19" s="13"/>
      <c r="O19" s="12"/>
    </row>
    <row r="20" spans="1:15">
      <c r="A20" s="10" t="s">
        <v>322</v>
      </c>
      <c r="B20" s="13">
        <v>45</v>
      </c>
      <c r="C20" s="12" t="s">
        <v>19</v>
      </c>
      <c r="D20" s="10"/>
      <c r="E20" s="13"/>
      <c r="F20" s="12"/>
      <c r="G20" s="10"/>
      <c r="H20" s="13"/>
      <c r="I20" s="12"/>
      <c r="J20" s="10" t="s">
        <v>322</v>
      </c>
      <c r="K20" s="13">
        <v>45</v>
      </c>
      <c r="L20" s="12" t="s">
        <v>19</v>
      </c>
      <c r="M20" s="10"/>
      <c r="N20" s="13"/>
      <c r="O20" s="12"/>
    </row>
    <row r="21" spans="1:15">
      <c r="A21" s="10" t="s">
        <v>323</v>
      </c>
      <c r="B21" s="13">
        <v>1</v>
      </c>
      <c r="C21" s="12" t="s">
        <v>19</v>
      </c>
      <c r="D21" s="10"/>
      <c r="E21" s="13"/>
      <c r="F21" s="12"/>
      <c r="G21" s="10"/>
      <c r="H21" s="13"/>
      <c r="I21" s="12"/>
      <c r="J21" s="10" t="s">
        <v>323</v>
      </c>
      <c r="K21" s="13">
        <v>1</v>
      </c>
      <c r="L21" s="12" t="s">
        <v>19</v>
      </c>
      <c r="M21" s="10"/>
      <c r="N21" s="13"/>
      <c r="O21" s="12"/>
    </row>
    <row r="22" spans="1:15">
      <c r="A22" s="10"/>
      <c r="B22" s="13"/>
      <c r="C22" s="12"/>
      <c r="D22" s="10"/>
      <c r="E22" s="13"/>
      <c r="F22" s="12"/>
      <c r="G22" s="10"/>
      <c r="H22" s="13"/>
      <c r="I22" s="12"/>
      <c r="J22" s="10"/>
      <c r="K22" s="13"/>
      <c r="L22" s="12"/>
      <c r="M22" s="10"/>
      <c r="N22" s="13"/>
      <c r="O22" s="12"/>
    </row>
    <row r="23" spans="1:15">
      <c r="A23" s="5" t="s">
        <v>324</v>
      </c>
      <c r="B23" s="47"/>
      <c r="C23" s="47"/>
      <c r="D23" s="5" t="s">
        <v>324</v>
      </c>
      <c r="E23" s="47"/>
      <c r="F23" s="47"/>
      <c r="G23" s="5" t="s">
        <v>324</v>
      </c>
      <c r="H23" s="47"/>
      <c r="I23" s="47"/>
      <c r="J23" s="5" t="s">
        <v>324</v>
      </c>
      <c r="K23" s="47"/>
      <c r="L23" s="47"/>
      <c r="M23" s="5" t="s">
        <v>324</v>
      </c>
      <c r="N23" s="47"/>
      <c r="O23" s="47"/>
    </row>
    <row r="24" spans="1:15">
      <c r="A24" s="10" t="s">
        <v>325</v>
      </c>
      <c r="B24" s="13">
        <v>90</v>
      </c>
      <c r="C24" s="12" t="s">
        <v>19</v>
      </c>
      <c r="D24" s="10" t="s">
        <v>326</v>
      </c>
      <c r="E24" s="13">
        <v>90</v>
      </c>
      <c r="F24" s="12" t="s">
        <v>19</v>
      </c>
      <c r="G24" s="10" t="s">
        <v>70</v>
      </c>
      <c r="H24" s="13">
        <v>90</v>
      </c>
      <c r="I24" s="12" t="s">
        <v>19</v>
      </c>
      <c r="J24" s="10" t="s">
        <v>325</v>
      </c>
      <c r="K24" s="13">
        <v>90</v>
      </c>
      <c r="L24" s="12" t="s">
        <v>19</v>
      </c>
      <c r="M24" s="10" t="s">
        <v>61</v>
      </c>
      <c r="N24" s="13" t="s">
        <v>62</v>
      </c>
      <c r="O24" s="12" t="s">
        <v>19</v>
      </c>
    </row>
    <row r="25" spans="1:15">
      <c r="A25" s="10" t="s">
        <v>73</v>
      </c>
      <c r="B25" s="13">
        <v>60</v>
      </c>
      <c r="C25" s="12" t="s">
        <v>19</v>
      </c>
      <c r="D25" s="10" t="s">
        <v>327</v>
      </c>
      <c r="E25" s="13">
        <v>20</v>
      </c>
      <c r="F25" s="12" t="s">
        <v>19</v>
      </c>
      <c r="G25" s="10" t="s">
        <v>73</v>
      </c>
      <c r="H25" s="13">
        <v>60</v>
      </c>
      <c r="I25" s="12" t="s">
        <v>19</v>
      </c>
      <c r="J25" s="10" t="s">
        <v>73</v>
      </c>
      <c r="K25" s="13">
        <v>60</v>
      </c>
      <c r="L25" s="12" t="s">
        <v>19</v>
      </c>
      <c r="M25" s="10" t="s">
        <v>64</v>
      </c>
      <c r="N25" s="13">
        <v>75</v>
      </c>
      <c r="O25" s="12" t="s">
        <v>19</v>
      </c>
    </row>
    <row r="26" spans="1:15">
      <c r="A26" s="10" t="s">
        <v>74</v>
      </c>
      <c r="B26" s="13">
        <v>60</v>
      </c>
      <c r="C26" s="12" t="s">
        <v>19</v>
      </c>
      <c r="D26" s="10" t="s">
        <v>328</v>
      </c>
      <c r="E26" s="13">
        <v>60</v>
      </c>
      <c r="F26" s="12" t="s">
        <v>19</v>
      </c>
      <c r="G26" s="10" t="s">
        <v>74</v>
      </c>
      <c r="H26" s="13">
        <v>60</v>
      </c>
      <c r="I26" s="12" t="s">
        <v>19</v>
      </c>
      <c r="J26" s="10" t="s">
        <v>74</v>
      </c>
      <c r="K26" s="13">
        <v>60</v>
      </c>
      <c r="L26" s="12" t="s">
        <v>19</v>
      </c>
      <c r="M26" s="10" t="s">
        <v>66</v>
      </c>
      <c r="N26" s="13">
        <v>15</v>
      </c>
      <c r="O26" s="12" t="s">
        <v>19</v>
      </c>
    </row>
    <row r="27" spans="1:15">
      <c r="A27" s="10" t="s">
        <v>75</v>
      </c>
      <c r="B27" s="13">
        <v>30</v>
      </c>
      <c r="C27" s="12" t="s">
        <v>19</v>
      </c>
      <c r="D27" s="10" t="s">
        <v>329</v>
      </c>
      <c r="E27" s="13">
        <v>30</v>
      </c>
      <c r="F27" s="12" t="s">
        <v>19</v>
      </c>
      <c r="G27" s="10" t="s">
        <v>75</v>
      </c>
      <c r="H27" s="13">
        <v>30</v>
      </c>
      <c r="I27" s="12" t="s">
        <v>19</v>
      </c>
      <c r="J27" s="10" t="s">
        <v>75</v>
      </c>
      <c r="K27" s="13">
        <v>30</v>
      </c>
      <c r="L27" s="12" t="s">
        <v>19</v>
      </c>
      <c r="M27" s="10" t="s">
        <v>67</v>
      </c>
      <c r="N27" s="13">
        <v>5</v>
      </c>
      <c r="O27" s="12" t="s">
        <v>19</v>
      </c>
    </row>
    <row r="28" spans="1:15">
      <c r="A28" s="10"/>
      <c r="B28" s="13"/>
      <c r="C28" s="12" t="s">
        <v>19</v>
      </c>
      <c r="D28" s="10" t="s">
        <v>330</v>
      </c>
      <c r="E28" s="13">
        <v>10</v>
      </c>
      <c r="F28" s="12" t="s">
        <v>19</v>
      </c>
      <c r="G28" s="10"/>
      <c r="H28" s="31"/>
      <c r="I28" s="32"/>
      <c r="J28" s="10"/>
      <c r="K28" s="13"/>
      <c r="L28" s="12" t="s">
        <v>19</v>
      </c>
      <c r="M28" s="10" t="s">
        <v>68</v>
      </c>
      <c r="N28" s="13">
        <v>40</v>
      </c>
      <c r="O28" s="12" t="s">
        <v>19</v>
      </c>
    </row>
    <row r="29" spans="1:15" ht="17.25" customHeight="1">
      <c r="A29" s="10"/>
      <c r="B29" s="13"/>
      <c r="C29" s="12"/>
      <c r="D29" s="10"/>
      <c r="E29" s="13"/>
      <c r="F29" s="12"/>
      <c r="G29" s="10"/>
      <c r="H29" s="31"/>
      <c r="I29" s="32"/>
      <c r="J29" s="10"/>
      <c r="K29" s="13"/>
      <c r="L29" s="12"/>
      <c r="M29" s="10"/>
      <c r="N29" s="13"/>
      <c r="O29" s="12"/>
    </row>
    <row r="30" spans="1:15">
      <c r="A30" s="5" t="s">
        <v>79</v>
      </c>
      <c r="B30" s="47"/>
      <c r="C30" s="47"/>
      <c r="D30" s="5" t="s">
        <v>79</v>
      </c>
      <c r="E30" s="47"/>
      <c r="F30" s="47"/>
      <c r="G30" s="5" t="s">
        <v>79</v>
      </c>
      <c r="H30" s="47"/>
      <c r="I30" s="47"/>
      <c r="J30" s="5" t="s">
        <v>79</v>
      </c>
      <c r="K30" s="47"/>
      <c r="L30" s="47"/>
      <c r="M30" s="5" t="s">
        <v>79</v>
      </c>
      <c r="N30" s="47"/>
      <c r="O30" s="47"/>
    </row>
    <row r="31" spans="1:15">
      <c r="A31" s="10" t="s">
        <v>80</v>
      </c>
      <c r="B31" s="13">
        <v>20</v>
      </c>
      <c r="C31" s="12" t="s">
        <v>19</v>
      </c>
      <c r="D31" s="10" t="s">
        <v>80</v>
      </c>
      <c r="E31" s="13">
        <v>20</v>
      </c>
      <c r="F31" s="12" t="s">
        <v>19</v>
      </c>
      <c r="G31" s="10"/>
      <c r="H31" s="13"/>
      <c r="I31" s="12"/>
      <c r="J31" s="10"/>
      <c r="K31" s="13"/>
      <c r="L31" s="12"/>
      <c r="M31" s="10" t="s">
        <v>80</v>
      </c>
      <c r="N31" s="13">
        <v>20</v>
      </c>
      <c r="O31" s="12" t="s">
        <v>19</v>
      </c>
    </row>
    <row r="32" spans="1:15">
      <c r="A32" s="10" t="s">
        <v>84</v>
      </c>
      <c r="B32" s="13">
        <v>20</v>
      </c>
      <c r="C32" s="12" t="s">
        <v>19</v>
      </c>
      <c r="D32" s="10" t="s">
        <v>84</v>
      </c>
      <c r="E32" s="13">
        <v>20</v>
      </c>
      <c r="F32" s="12" t="s">
        <v>19</v>
      </c>
      <c r="G32" s="10"/>
      <c r="H32" s="13"/>
      <c r="I32" s="12"/>
      <c r="J32" s="10"/>
      <c r="K32" s="13"/>
      <c r="L32" s="12"/>
      <c r="M32" s="10" t="s">
        <v>84</v>
      </c>
      <c r="N32" s="13">
        <v>20</v>
      </c>
      <c r="O32" s="12" t="s">
        <v>19</v>
      </c>
    </row>
    <row r="33" spans="1:15">
      <c r="A33" s="5" t="s">
        <v>86</v>
      </c>
      <c r="B33" s="47"/>
      <c r="C33" s="47"/>
      <c r="D33" s="5" t="s">
        <v>86</v>
      </c>
      <c r="E33" s="47"/>
      <c r="F33" s="47"/>
      <c r="G33" s="5" t="s">
        <v>86</v>
      </c>
      <c r="H33" s="47"/>
      <c r="I33" s="47"/>
      <c r="J33" s="5" t="s">
        <v>86</v>
      </c>
      <c r="K33" s="47"/>
      <c r="L33" s="47"/>
      <c r="M33" s="5" t="s">
        <v>86</v>
      </c>
      <c r="N33" s="47"/>
      <c r="O33" s="47"/>
    </row>
    <row r="34" spans="1:15">
      <c r="A34" s="10" t="s">
        <v>87</v>
      </c>
      <c r="B34" s="13">
        <v>45</v>
      </c>
      <c r="C34" s="12" t="s">
        <v>19</v>
      </c>
      <c r="D34" s="10" t="s">
        <v>87</v>
      </c>
      <c r="E34" s="13">
        <v>45</v>
      </c>
      <c r="F34" s="12" t="s">
        <v>19</v>
      </c>
      <c r="G34" s="10" t="s">
        <v>87</v>
      </c>
      <c r="H34" s="13">
        <v>45</v>
      </c>
      <c r="I34" s="12" t="s">
        <v>19</v>
      </c>
      <c r="J34" s="10" t="s">
        <v>87</v>
      </c>
      <c r="K34" s="13">
        <v>45</v>
      </c>
      <c r="L34" s="12" t="s">
        <v>19</v>
      </c>
      <c r="M34" s="10" t="s">
        <v>87</v>
      </c>
      <c r="N34" s="13">
        <v>45</v>
      </c>
      <c r="O34" s="12" t="s">
        <v>19</v>
      </c>
    </row>
    <row r="35" spans="1:15">
      <c r="A35" s="10" t="s">
        <v>90</v>
      </c>
      <c r="B35" s="13">
        <v>3</v>
      </c>
      <c r="C35" s="12" t="s">
        <v>19</v>
      </c>
      <c r="D35" s="10" t="s">
        <v>90</v>
      </c>
      <c r="E35" s="13">
        <v>3</v>
      </c>
      <c r="F35" s="12" t="s">
        <v>19</v>
      </c>
      <c r="G35" s="10" t="s">
        <v>90</v>
      </c>
      <c r="H35" s="13">
        <v>3</v>
      </c>
      <c r="I35" s="12" t="s">
        <v>19</v>
      </c>
      <c r="J35" s="10" t="s">
        <v>90</v>
      </c>
      <c r="K35" s="13">
        <v>3</v>
      </c>
      <c r="L35" s="12" t="s">
        <v>19</v>
      </c>
      <c r="M35" s="10" t="s">
        <v>90</v>
      </c>
      <c r="N35" s="13">
        <v>3</v>
      </c>
      <c r="O35" s="12" t="s">
        <v>19</v>
      </c>
    </row>
    <row r="36" spans="1:15">
      <c r="A36" s="10" t="s">
        <v>92</v>
      </c>
      <c r="B36" s="13">
        <v>3</v>
      </c>
      <c r="C36" s="12" t="s">
        <v>19</v>
      </c>
      <c r="D36" s="10" t="s">
        <v>92</v>
      </c>
      <c r="E36" s="13">
        <v>3</v>
      </c>
      <c r="F36" s="12" t="s">
        <v>19</v>
      </c>
      <c r="G36" s="10" t="s">
        <v>92</v>
      </c>
      <c r="H36" s="13">
        <v>3</v>
      </c>
      <c r="I36" s="12" t="s">
        <v>19</v>
      </c>
      <c r="J36" s="10" t="s">
        <v>92</v>
      </c>
      <c r="K36" s="13">
        <v>3</v>
      </c>
      <c r="L36" s="12" t="s">
        <v>19</v>
      </c>
      <c r="M36" s="10" t="s">
        <v>92</v>
      </c>
      <c r="N36" s="13">
        <v>3</v>
      </c>
      <c r="O36" s="12" t="s">
        <v>19</v>
      </c>
    </row>
    <row r="37" spans="1:15">
      <c r="A37" s="5" t="s">
        <v>93</v>
      </c>
      <c r="B37" s="47"/>
      <c r="C37" s="47"/>
      <c r="D37" s="5" t="s">
        <v>93</v>
      </c>
      <c r="E37" s="47"/>
      <c r="F37" s="47"/>
      <c r="G37" s="5" t="s">
        <v>93</v>
      </c>
      <c r="H37" s="47"/>
      <c r="I37" s="47"/>
      <c r="J37" s="5" t="s">
        <v>93</v>
      </c>
      <c r="K37" s="47"/>
      <c r="L37" s="47"/>
      <c r="M37" s="5" t="s">
        <v>93</v>
      </c>
      <c r="N37" s="47"/>
      <c r="O37" s="47"/>
    </row>
    <row r="38" spans="1:15">
      <c r="A38" s="10" t="s">
        <v>94</v>
      </c>
      <c r="B38" s="13">
        <v>200</v>
      </c>
      <c r="C38" s="12" t="s">
        <v>19</v>
      </c>
      <c r="D38" s="10" t="s">
        <v>94</v>
      </c>
      <c r="E38" s="13">
        <v>200</v>
      </c>
      <c r="F38" s="12" t="s">
        <v>19</v>
      </c>
      <c r="G38" s="10" t="s">
        <v>94</v>
      </c>
      <c r="H38" s="13">
        <v>200</v>
      </c>
      <c r="I38" s="12" t="s">
        <v>19</v>
      </c>
      <c r="J38" s="10" t="s">
        <v>94</v>
      </c>
      <c r="K38" s="13">
        <v>200</v>
      </c>
      <c r="L38" s="12" t="s">
        <v>19</v>
      </c>
      <c r="M38" s="10" t="s">
        <v>94</v>
      </c>
      <c r="N38" s="13">
        <v>200</v>
      </c>
      <c r="O38" s="12" t="s">
        <v>19</v>
      </c>
    </row>
    <row r="39" spans="1:15">
      <c r="A39" s="5" t="s">
        <v>104</v>
      </c>
      <c r="B39" s="47"/>
      <c r="C39" s="47"/>
      <c r="D39" s="5" t="s">
        <v>104</v>
      </c>
      <c r="E39" s="47"/>
      <c r="F39" s="47"/>
      <c r="G39" s="5" t="s">
        <v>104</v>
      </c>
      <c r="H39" s="47"/>
      <c r="I39" s="47"/>
      <c r="J39" s="5" t="s">
        <v>104</v>
      </c>
      <c r="K39" s="47"/>
      <c r="L39" s="47"/>
      <c r="M39" s="5" t="s">
        <v>104</v>
      </c>
      <c r="N39" s="47"/>
      <c r="O39" s="47"/>
    </row>
    <row r="40" spans="1:15">
      <c r="A40" s="10" t="s">
        <v>106</v>
      </c>
      <c r="B40" s="13">
        <v>30</v>
      </c>
      <c r="C40" s="12" t="s">
        <v>19</v>
      </c>
      <c r="D40" s="10" t="s">
        <v>106</v>
      </c>
      <c r="E40" s="13">
        <v>30</v>
      </c>
      <c r="F40" s="12" t="s">
        <v>19</v>
      </c>
      <c r="G40" s="10" t="s">
        <v>331</v>
      </c>
      <c r="H40" s="13">
        <v>30</v>
      </c>
      <c r="I40" s="12" t="s">
        <v>301</v>
      </c>
      <c r="J40" s="10" t="s">
        <v>332</v>
      </c>
      <c r="K40" s="13">
        <v>30</v>
      </c>
      <c r="L40" s="12" t="s">
        <v>19</v>
      </c>
      <c r="M40" s="10" t="s">
        <v>106</v>
      </c>
      <c r="N40" s="13">
        <v>30</v>
      </c>
      <c r="O40" s="12" t="s">
        <v>19</v>
      </c>
    </row>
    <row r="41" spans="1:15">
      <c r="A41" s="10" t="s">
        <v>108</v>
      </c>
      <c r="B41" s="13">
        <v>40</v>
      </c>
      <c r="C41" s="12" t="s">
        <v>19</v>
      </c>
      <c r="D41" s="10" t="s">
        <v>108</v>
      </c>
      <c r="E41" s="13">
        <v>40</v>
      </c>
      <c r="F41" s="12" t="s">
        <v>19</v>
      </c>
      <c r="G41" s="10"/>
      <c r="H41" s="13"/>
      <c r="I41" s="12"/>
      <c r="J41" s="10" t="s">
        <v>108</v>
      </c>
      <c r="K41" s="13">
        <v>40</v>
      </c>
      <c r="L41" s="12" t="s">
        <v>19</v>
      </c>
      <c r="M41" s="10" t="s">
        <v>108</v>
      </c>
      <c r="N41" s="13">
        <v>40</v>
      </c>
      <c r="O41" s="12" t="s">
        <v>19</v>
      </c>
    </row>
    <row r="42" spans="1:15">
      <c r="A42" s="5" t="s">
        <v>109</v>
      </c>
      <c r="B42" s="47"/>
      <c r="C42" s="47"/>
      <c r="D42" s="5" t="s">
        <v>109</v>
      </c>
      <c r="E42" s="47"/>
      <c r="F42" s="47"/>
      <c r="G42" s="5" t="s">
        <v>109</v>
      </c>
      <c r="H42" s="47"/>
      <c r="I42" s="47"/>
      <c r="J42" s="5" t="s">
        <v>109</v>
      </c>
      <c r="K42" s="47"/>
      <c r="L42" s="47"/>
      <c r="M42" s="5" t="s">
        <v>109</v>
      </c>
      <c r="N42" s="47"/>
      <c r="O42" s="47"/>
    </row>
    <row r="43" spans="1:15">
      <c r="A43" s="10" t="s">
        <v>110</v>
      </c>
      <c r="B43" s="13">
        <v>500</v>
      </c>
      <c r="C43" s="12" t="s">
        <v>19</v>
      </c>
      <c r="D43" s="10" t="s">
        <v>110</v>
      </c>
      <c r="E43" s="13">
        <v>500</v>
      </c>
      <c r="F43" s="12" t="s">
        <v>19</v>
      </c>
      <c r="G43" s="10"/>
      <c r="H43" s="13"/>
      <c r="I43" s="12"/>
      <c r="J43" s="10" t="s">
        <v>110</v>
      </c>
      <c r="K43" s="13">
        <v>500</v>
      </c>
      <c r="L43" s="12" t="s">
        <v>19</v>
      </c>
      <c r="M43" s="10" t="s">
        <v>110</v>
      </c>
      <c r="N43" s="13">
        <v>500</v>
      </c>
      <c r="O43" s="12" t="s">
        <v>19</v>
      </c>
    </row>
    <row r="44" spans="1:15">
      <c r="A44" s="5" t="s">
        <v>121</v>
      </c>
      <c r="B44" s="47"/>
      <c r="C44" s="47"/>
      <c r="D44" s="5" t="s">
        <v>121</v>
      </c>
      <c r="E44" s="47"/>
      <c r="F44" s="47"/>
      <c r="G44" s="5" t="s">
        <v>121</v>
      </c>
      <c r="H44" s="47"/>
      <c r="I44" s="47"/>
      <c r="J44" s="5" t="s">
        <v>121</v>
      </c>
      <c r="K44" s="47"/>
      <c r="L44" s="47"/>
      <c r="M44" s="5" t="s">
        <v>121</v>
      </c>
      <c r="N44" s="47"/>
      <c r="O44" s="47"/>
    </row>
    <row r="45" spans="1:15">
      <c r="A45" s="49" t="s">
        <v>122</v>
      </c>
      <c r="B45" s="50">
        <v>1</v>
      </c>
      <c r="C45" s="51" t="s">
        <v>10</v>
      </c>
      <c r="D45" s="49" t="s">
        <v>122</v>
      </c>
      <c r="E45" s="50">
        <v>1</v>
      </c>
      <c r="F45" s="51" t="s">
        <v>10</v>
      </c>
      <c r="G45" s="49" t="s">
        <v>122</v>
      </c>
      <c r="H45" s="50">
        <v>1</v>
      </c>
      <c r="I45" s="51" t="s">
        <v>10</v>
      </c>
      <c r="J45" s="49" t="s">
        <v>122</v>
      </c>
      <c r="K45" s="50">
        <v>1</v>
      </c>
      <c r="L45" s="51" t="s">
        <v>10</v>
      </c>
      <c r="M45" s="49" t="s">
        <v>122</v>
      </c>
      <c r="N45" s="50">
        <v>1</v>
      </c>
      <c r="O45" s="51" t="s">
        <v>10</v>
      </c>
    </row>
    <row r="46" spans="1:15">
      <c r="A46" s="49" t="s">
        <v>123</v>
      </c>
      <c r="B46" s="50">
        <v>1</v>
      </c>
      <c r="C46" s="51" t="s">
        <v>10</v>
      </c>
      <c r="D46" s="49" t="s">
        <v>123</v>
      </c>
      <c r="E46" s="50">
        <v>1</v>
      </c>
      <c r="F46" s="51" t="s">
        <v>10</v>
      </c>
      <c r="G46" s="49" t="s">
        <v>123</v>
      </c>
      <c r="H46" s="50">
        <v>1</v>
      </c>
      <c r="I46" s="51" t="s">
        <v>10</v>
      </c>
      <c r="J46" s="49" t="s">
        <v>123</v>
      </c>
      <c r="K46" s="50">
        <v>1</v>
      </c>
      <c r="L46" s="51" t="s">
        <v>10</v>
      </c>
      <c r="M46" s="49" t="s">
        <v>123</v>
      </c>
      <c r="N46" s="50">
        <v>1</v>
      </c>
      <c r="O46" s="51" t="s">
        <v>10</v>
      </c>
    </row>
    <row r="47" spans="1:15">
      <c r="A47" s="49" t="s">
        <v>124</v>
      </c>
      <c r="B47" s="50">
        <v>1</v>
      </c>
      <c r="C47" s="51" t="s">
        <v>10</v>
      </c>
      <c r="D47" s="49" t="s">
        <v>124</v>
      </c>
      <c r="E47" s="50">
        <v>1</v>
      </c>
      <c r="F47" s="51" t="s">
        <v>10</v>
      </c>
      <c r="G47" s="49" t="s">
        <v>124</v>
      </c>
      <c r="H47" s="50">
        <v>1</v>
      </c>
      <c r="I47" s="51" t="s">
        <v>10</v>
      </c>
      <c r="J47" s="49" t="s">
        <v>124</v>
      </c>
      <c r="K47" s="50">
        <v>1</v>
      </c>
      <c r="L47" s="51" t="s">
        <v>10</v>
      </c>
      <c r="M47" s="49" t="s">
        <v>124</v>
      </c>
      <c r="N47" s="50">
        <v>1</v>
      </c>
      <c r="O47" s="51" t="s">
        <v>10</v>
      </c>
    </row>
    <row r="48" spans="1:15">
      <c r="A48" s="49" t="s">
        <v>125</v>
      </c>
      <c r="B48" s="50">
        <v>1</v>
      </c>
      <c r="C48" s="51" t="s">
        <v>10</v>
      </c>
      <c r="D48" s="49" t="s">
        <v>125</v>
      </c>
      <c r="E48" s="50">
        <v>1</v>
      </c>
      <c r="F48" s="51" t="s">
        <v>10</v>
      </c>
      <c r="G48" s="49" t="s">
        <v>125</v>
      </c>
      <c r="H48" s="50">
        <v>1</v>
      </c>
      <c r="I48" s="51" t="s">
        <v>10</v>
      </c>
      <c r="J48" s="49" t="s">
        <v>125</v>
      </c>
      <c r="K48" s="50">
        <v>1</v>
      </c>
      <c r="L48" s="51" t="s">
        <v>10</v>
      </c>
      <c r="M48" s="49" t="s">
        <v>125</v>
      </c>
      <c r="N48" s="50">
        <v>1</v>
      </c>
      <c r="O48" s="51" t="s">
        <v>10</v>
      </c>
    </row>
    <row r="49" spans="1:15">
      <c r="A49" s="49" t="s">
        <v>126</v>
      </c>
      <c r="B49" s="50">
        <v>1</v>
      </c>
      <c r="C49" s="51" t="s">
        <v>10</v>
      </c>
      <c r="D49" s="49" t="s">
        <v>126</v>
      </c>
      <c r="E49" s="50">
        <v>1</v>
      </c>
      <c r="F49" s="51" t="s">
        <v>10</v>
      </c>
      <c r="G49" s="49" t="s">
        <v>126</v>
      </c>
      <c r="H49" s="50">
        <v>1</v>
      </c>
      <c r="I49" s="51" t="s">
        <v>10</v>
      </c>
      <c r="J49" s="49" t="s">
        <v>126</v>
      </c>
      <c r="K49" s="50">
        <v>1</v>
      </c>
      <c r="L49" s="51" t="s">
        <v>10</v>
      </c>
      <c r="M49" s="49" t="s">
        <v>126</v>
      </c>
      <c r="N49" s="50">
        <v>1</v>
      </c>
      <c r="O49" s="51" t="s">
        <v>10</v>
      </c>
    </row>
    <row r="50" spans="1:15">
      <c r="A50" s="49" t="s">
        <v>127</v>
      </c>
      <c r="B50" s="50">
        <v>1</v>
      </c>
      <c r="C50" s="51" t="s">
        <v>10</v>
      </c>
      <c r="D50" s="49" t="s">
        <v>127</v>
      </c>
      <c r="E50" s="50">
        <v>1</v>
      </c>
      <c r="F50" s="51" t="s">
        <v>10</v>
      </c>
      <c r="G50" s="49" t="s">
        <v>127</v>
      </c>
      <c r="H50" s="50">
        <v>1</v>
      </c>
      <c r="I50" s="51" t="s">
        <v>10</v>
      </c>
      <c r="J50" s="49" t="s">
        <v>127</v>
      </c>
      <c r="K50" s="50">
        <v>1</v>
      </c>
      <c r="L50" s="51" t="s">
        <v>10</v>
      </c>
      <c r="M50" s="49" t="s">
        <v>127</v>
      </c>
      <c r="N50" s="50">
        <v>1</v>
      </c>
      <c r="O50" s="51" t="s">
        <v>10</v>
      </c>
    </row>
    <row r="51" spans="1:15">
      <c r="A51" s="49" t="s">
        <v>128</v>
      </c>
      <c r="B51" s="50">
        <v>1</v>
      </c>
      <c r="C51" s="51" t="s">
        <v>10</v>
      </c>
      <c r="D51" s="49" t="s">
        <v>128</v>
      </c>
      <c r="E51" s="50">
        <v>1</v>
      </c>
      <c r="F51" s="51" t="s">
        <v>10</v>
      </c>
      <c r="G51" s="49" t="s">
        <v>128</v>
      </c>
      <c r="H51" s="50">
        <v>1</v>
      </c>
      <c r="I51" s="51" t="s">
        <v>10</v>
      </c>
      <c r="J51" s="49" t="s">
        <v>128</v>
      </c>
      <c r="K51" s="50">
        <v>1</v>
      </c>
      <c r="L51" s="51" t="s">
        <v>10</v>
      </c>
      <c r="M51" s="49" t="s">
        <v>128</v>
      </c>
      <c r="N51" s="50">
        <v>1</v>
      </c>
      <c r="O51" s="51" t="s">
        <v>10</v>
      </c>
    </row>
    <row r="52" spans="1:15">
      <c r="A52" s="49" t="s">
        <v>129</v>
      </c>
      <c r="B52" s="50">
        <v>1</v>
      </c>
      <c r="C52" s="51" t="s">
        <v>10</v>
      </c>
      <c r="D52" s="49" t="s">
        <v>129</v>
      </c>
      <c r="E52" s="50">
        <v>1</v>
      </c>
      <c r="F52" s="51" t="s">
        <v>10</v>
      </c>
      <c r="G52" s="49" t="s">
        <v>129</v>
      </c>
      <c r="H52" s="50">
        <v>1</v>
      </c>
      <c r="I52" s="51" t="s">
        <v>10</v>
      </c>
      <c r="J52" s="49" t="s">
        <v>129</v>
      </c>
      <c r="K52" s="50">
        <v>1</v>
      </c>
      <c r="L52" s="51" t="s">
        <v>10</v>
      </c>
      <c r="M52" s="49" t="s">
        <v>129</v>
      </c>
      <c r="N52" s="50">
        <v>1</v>
      </c>
      <c r="O52" s="51" t="s">
        <v>10</v>
      </c>
    </row>
    <row r="53" spans="1:15">
      <c r="A53" s="52" t="s">
        <v>130</v>
      </c>
      <c r="B53" s="50">
        <v>1</v>
      </c>
      <c r="C53" s="51" t="s">
        <v>10</v>
      </c>
      <c r="D53" s="52" t="s">
        <v>130</v>
      </c>
      <c r="E53" s="50">
        <v>1</v>
      </c>
      <c r="F53" s="51" t="s">
        <v>10</v>
      </c>
      <c r="G53" s="52" t="s">
        <v>130</v>
      </c>
      <c r="H53" s="50">
        <v>1</v>
      </c>
      <c r="I53" s="51" t="s">
        <v>10</v>
      </c>
      <c r="J53" s="52" t="s">
        <v>130</v>
      </c>
      <c r="K53" s="50">
        <v>1</v>
      </c>
      <c r="L53" s="51" t="s">
        <v>10</v>
      </c>
      <c r="M53" s="52" t="s">
        <v>130</v>
      </c>
      <c r="N53" s="50">
        <v>1</v>
      </c>
      <c r="O53" s="51" t="s">
        <v>10</v>
      </c>
    </row>
    <row r="54" spans="1:15">
      <c r="A54" s="53" t="s">
        <v>131</v>
      </c>
      <c r="B54" s="54">
        <v>1</v>
      </c>
      <c r="C54" s="51" t="s">
        <v>10</v>
      </c>
      <c r="D54" s="53" t="s">
        <v>131</v>
      </c>
      <c r="E54" s="54">
        <v>1</v>
      </c>
      <c r="F54" s="51" t="s">
        <v>10</v>
      </c>
      <c r="G54" s="53" t="s">
        <v>131</v>
      </c>
      <c r="H54" s="54">
        <v>1</v>
      </c>
      <c r="I54" s="51" t="s">
        <v>10</v>
      </c>
      <c r="J54" s="53" t="s">
        <v>131</v>
      </c>
      <c r="K54" s="54">
        <v>1</v>
      </c>
      <c r="L54" s="51" t="s">
        <v>10</v>
      </c>
      <c r="M54" s="53" t="s">
        <v>131</v>
      </c>
      <c r="N54" s="54">
        <v>1</v>
      </c>
      <c r="O54" s="51" t="s">
        <v>10</v>
      </c>
    </row>
    <row r="55" spans="1:15">
      <c r="A55" s="5" t="s">
        <v>132</v>
      </c>
      <c r="B55" s="47"/>
      <c r="C55" s="47"/>
      <c r="D55" s="5" t="s">
        <v>132</v>
      </c>
      <c r="E55" s="47"/>
      <c r="F55" s="47"/>
      <c r="G55" s="5" t="s">
        <v>132</v>
      </c>
      <c r="H55" s="47"/>
      <c r="I55" s="47"/>
      <c r="J55" s="5" t="s">
        <v>132</v>
      </c>
      <c r="K55" s="47"/>
      <c r="L55" s="47"/>
      <c r="M55" s="5" t="s">
        <v>132</v>
      </c>
      <c r="N55" s="47"/>
      <c r="O55" s="47"/>
    </row>
    <row r="56" spans="1:15">
      <c r="A56" s="10" t="s">
        <v>133</v>
      </c>
      <c r="B56" s="13">
        <v>30</v>
      </c>
      <c r="C56" s="41" t="s">
        <v>134</v>
      </c>
      <c r="D56" s="40" t="s">
        <v>133</v>
      </c>
      <c r="E56" s="45">
        <v>30</v>
      </c>
      <c r="F56" s="41" t="s">
        <v>134</v>
      </c>
      <c r="G56" s="40" t="s">
        <v>333</v>
      </c>
      <c r="H56" s="45">
        <v>30</v>
      </c>
      <c r="I56" s="41" t="s">
        <v>134</v>
      </c>
      <c r="J56" s="10" t="s">
        <v>333</v>
      </c>
      <c r="K56" s="13">
        <v>30</v>
      </c>
      <c r="L56" s="12" t="s">
        <v>134</v>
      </c>
      <c r="M56" s="10" t="s">
        <v>133</v>
      </c>
      <c r="N56" s="13">
        <v>30</v>
      </c>
      <c r="O56" s="12" t="s">
        <v>134</v>
      </c>
    </row>
    <row r="57" spans="1:15">
      <c r="A57" s="10" t="s">
        <v>135</v>
      </c>
      <c r="B57" s="13">
        <v>25</v>
      </c>
      <c r="C57" s="41" t="s">
        <v>134</v>
      </c>
      <c r="D57" s="10" t="s">
        <v>135</v>
      </c>
      <c r="E57" s="13">
        <v>25</v>
      </c>
      <c r="F57" s="12" t="s">
        <v>134</v>
      </c>
      <c r="G57" s="10" t="s">
        <v>334</v>
      </c>
      <c r="H57" s="13">
        <v>25</v>
      </c>
      <c r="I57" s="12" t="s">
        <v>134</v>
      </c>
      <c r="J57" s="10" t="s">
        <v>334</v>
      </c>
      <c r="K57" s="13">
        <v>25</v>
      </c>
      <c r="L57" s="12" t="s">
        <v>134</v>
      </c>
      <c r="M57" s="10" t="s">
        <v>135</v>
      </c>
      <c r="N57" s="13">
        <v>25</v>
      </c>
      <c r="O57" s="12" t="s">
        <v>134</v>
      </c>
    </row>
    <row r="58" spans="1:15">
      <c r="A58" s="10" t="s">
        <v>325</v>
      </c>
      <c r="B58" s="13">
        <v>45</v>
      </c>
      <c r="C58" s="41" t="s">
        <v>134</v>
      </c>
      <c r="D58" s="10" t="s">
        <v>137</v>
      </c>
      <c r="E58" s="13">
        <v>20</v>
      </c>
      <c r="F58" s="12" t="s">
        <v>134</v>
      </c>
      <c r="G58" s="10" t="s">
        <v>137</v>
      </c>
      <c r="H58" s="13">
        <v>15</v>
      </c>
      <c r="I58" s="12" t="s">
        <v>134</v>
      </c>
      <c r="J58" s="10" t="s">
        <v>325</v>
      </c>
      <c r="K58" s="13">
        <v>45</v>
      </c>
      <c r="L58" s="12" t="s">
        <v>134</v>
      </c>
      <c r="M58" s="10" t="s">
        <v>325</v>
      </c>
      <c r="N58" s="13">
        <v>45</v>
      </c>
      <c r="O58" s="12" t="s">
        <v>134</v>
      </c>
    </row>
    <row r="59" spans="1:15">
      <c r="A59" s="10" t="s">
        <v>335</v>
      </c>
      <c r="B59" s="13">
        <v>15</v>
      </c>
      <c r="C59" s="41" t="s">
        <v>134</v>
      </c>
      <c r="D59" s="10"/>
      <c r="E59" s="13"/>
      <c r="F59" s="12"/>
      <c r="G59" s="10" t="s">
        <v>139</v>
      </c>
      <c r="H59" s="13">
        <v>10</v>
      </c>
      <c r="I59" s="12" t="s">
        <v>134</v>
      </c>
      <c r="J59" s="10" t="s">
        <v>335</v>
      </c>
      <c r="K59" s="13">
        <v>15</v>
      </c>
      <c r="L59" s="12" t="s">
        <v>134</v>
      </c>
      <c r="M59" s="10" t="s">
        <v>335</v>
      </c>
      <c r="N59" s="13">
        <v>15</v>
      </c>
      <c r="O59" s="12" t="s">
        <v>134</v>
      </c>
    </row>
    <row r="60" spans="1:15">
      <c r="A60" s="10" t="s">
        <v>140</v>
      </c>
      <c r="B60" s="13">
        <v>8</v>
      </c>
      <c r="C60" s="41" t="s">
        <v>134</v>
      </c>
      <c r="D60" s="10" t="s">
        <v>140</v>
      </c>
      <c r="E60" s="13">
        <v>8</v>
      </c>
      <c r="F60" s="12" t="s">
        <v>134</v>
      </c>
      <c r="G60" s="10" t="s">
        <v>140</v>
      </c>
      <c r="H60" s="13">
        <v>8</v>
      </c>
      <c r="I60" s="12" t="s">
        <v>134</v>
      </c>
      <c r="J60" s="10" t="s">
        <v>140</v>
      </c>
      <c r="K60" s="13">
        <v>8</v>
      </c>
      <c r="L60" s="12" t="s">
        <v>134</v>
      </c>
      <c r="M60" s="10" t="s">
        <v>140</v>
      </c>
      <c r="N60" s="13">
        <v>8</v>
      </c>
      <c r="O60" s="12" t="s">
        <v>134</v>
      </c>
    </row>
    <row r="61" spans="1:15">
      <c r="A61" s="40" t="s">
        <v>141</v>
      </c>
      <c r="B61" s="45" t="s">
        <v>142</v>
      </c>
      <c r="C61" s="41" t="s">
        <v>134</v>
      </c>
      <c r="D61" s="40" t="s">
        <v>141</v>
      </c>
      <c r="E61" s="45" t="s">
        <v>142</v>
      </c>
      <c r="F61" s="41" t="s">
        <v>134</v>
      </c>
      <c r="G61" s="40" t="s">
        <v>141</v>
      </c>
      <c r="H61" s="45" t="s">
        <v>142</v>
      </c>
      <c r="I61" s="41" t="s">
        <v>134</v>
      </c>
      <c r="J61" s="40" t="s">
        <v>141</v>
      </c>
      <c r="K61" s="45" t="s">
        <v>142</v>
      </c>
      <c r="L61" s="41" t="s">
        <v>134</v>
      </c>
      <c r="M61" s="40" t="s">
        <v>141</v>
      </c>
      <c r="N61" s="45" t="s">
        <v>142</v>
      </c>
      <c r="O61" s="41" t="s">
        <v>134</v>
      </c>
    </row>
    <row r="62" spans="1:15">
      <c r="A62" s="40" t="s">
        <v>144</v>
      </c>
      <c r="B62" s="45" t="s">
        <v>145</v>
      </c>
      <c r="C62" s="41" t="s">
        <v>19</v>
      </c>
      <c r="D62" s="40" t="s">
        <v>144</v>
      </c>
      <c r="E62" s="45" t="s">
        <v>145</v>
      </c>
      <c r="F62" s="41" t="s">
        <v>19</v>
      </c>
      <c r="G62" s="40" t="s">
        <v>144</v>
      </c>
      <c r="H62" s="45" t="s">
        <v>145</v>
      </c>
      <c r="I62" s="41" t="s">
        <v>19</v>
      </c>
      <c r="J62" s="40" t="s">
        <v>144</v>
      </c>
      <c r="K62" s="45" t="s">
        <v>145</v>
      </c>
      <c r="L62" s="41" t="s">
        <v>19</v>
      </c>
      <c r="M62" s="40" t="s">
        <v>144</v>
      </c>
      <c r="N62" s="45" t="s">
        <v>145</v>
      </c>
      <c r="O62" s="41" t="s">
        <v>19</v>
      </c>
    </row>
    <row r="63" spans="1:15">
      <c r="A63" s="40"/>
      <c r="B63" s="45"/>
      <c r="C63" s="41"/>
      <c r="D63" s="40"/>
      <c r="E63" s="45"/>
      <c r="F63" s="41"/>
      <c r="G63" s="40"/>
      <c r="H63" s="45"/>
      <c r="I63" s="41"/>
      <c r="J63" s="40"/>
      <c r="K63" s="45"/>
      <c r="L63" s="41"/>
      <c r="M63" s="40"/>
      <c r="N63" s="45"/>
      <c r="O63" s="41"/>
    </row>
    <row r="64" spans="1:15">
      <c r="A64" s="40"/>
      <c r="B64" s="45"/>
      <c r="C64" s="41"/>
      <c r="D64" s="40"/>
      <c r="E64" s="45"/>
      <c r="F64" s="41"/>
      <c r="G64" s="40"/>
      <c r="H64" s="45"/>
      <c r="I64" s="41"/>
      <c r="J64" s="40"/>
      <c r="K64" s="45"/>
      <c r="L64" s="41"/>
      <c r="M64" s="40"/>
      <c r="N64" s="45"/>
      <c r="O64" s="41"/>
    </row>
    <row r="65" spans="1:15">
      <c r="A65" s="5" t="s">
        <v>146</v>
      </c>
      <c r="B65" s="47"/>
      <c r="C65" s="47"/>
      <c r="D65" s="5" t="s">
        <v>146</v>
      </c>
      <c r="E65" s="47"/>
      <c r="F65" s="47"/>
      <c r="G65" s="5" t="s">
        <v>146</v>
      </c>
      <c r="H65" s="47"/>
      <c r="I65" s="47"/>
      <c r="J65" s="5" t="s">
        <v>146</v>
      </c>
      <c r="K65" s="47"/>
      <c r="L65" s="47"/>
      <c r="M65" s="5" t="s">
        <v>146</v>
      </c>
      <c r="N65" s="47"/>
      <c r="O65" s="47"/>
    </row>
    <row r="66" spans="1:15">
      <c r="A66" s="10" t="s">
        <v>147</v>
      </c>
      <c r="B66" s="13">
        <v>60</v>
      </c>
      <c r="C66" s="12" t="s">
        <v>19</v>
      </c>
      <c r="D66" s="10" t="s">
        <v>147</v>
      </c>
      <c r="E66" s="13">
        <v>60</v>
      </c>
      <c r="F66" s="12" t="s">
        <v>19</v>
      </c>
      <c r="G66" s="10" t="s">
        <v>336</v>
      </c>
      <c r="H66" s="13">
        <v>60</v>
      </c>
      <c r="I66" s="12" t="s">
        <v>19</v>
      </c>
      <c r="J66" s="10" t="s">
        <v>147</v>
      </c>
      <c r="K66" s="13">
        <v>60</v>
      </c>
      <c r="L66" s="12" t="s">
        <v>19</v>
      </c>
      <c r="M66" s="10" t="s">
        <v>147</v>
      </c>
      <c r="N66" s="13">
        <v>60</v>
      </c>
      <c r="O66" s="12" t="s">
        <v>19</v>
      </c>
    </row>
    <row r="67" spans="1:15">
      <c r="A67" s="10" t="s">
        <v>148</v>
      </c>
      <c r="B67" s="13">
        <v>15</v>
      </c>
      <c r="C67" s="12" t="s">
        <v>19</v>
      </c>
      <c r="D67" s="10" t="s">
        <v>148</v>
      </c>
      <c r="E67" s="13">
        <v>15</v>
      </c>
      <c r="F67" s="12" t="s">
        <v>19</v>
      </c>
      <c r="G67" s="10"/>
      <c r="H67" s="13"/>
      <c r="I67" s="12"/>
      <c r="J67" s="10" t="s">
        <v>148</v>
      </c>
      <c r="K67" s="13">
        <v>15</v>
      </c>
      <c r="L67" s="12" t="s">
        <v>19</v>
      </c>
      <c r="M67" s="10" t="s">
        <v>148</v>
      </c>
      <c r="N67" s="13">
        <v>15</v>
      </c>
      <c r="O67" s="12" t="s">
        <v>19</v>
      </c>
    </row>
    <row r="68" spans="1:15">
      <c r="A68" s="10" t="s">
        <v>149</v>
      </c>
      <c r="B68" s="13">
        <v>3</v>
      </c>
      <c r="C68" s="12" t="s">
        <v>19</v>
      </c>
      <c r="D68" s="10" t="s">
        <v>149</v>
      </c>
      <c r="E68" s="13">
        <v>3</v>
      </c>
      <c r="F68" s="12" t="s">
        <v>19</v>
      </c>
      <c r="G68" s="10"/>
      <c r="H68" s="13"/>
      <c r="I68" s="12"/>
      <c r="J68" s="10" t="s">
        <v>149</v>
      </c>
      <c r="K68" s="13">
        <v>3</v>
      </c>
      <c r="L68" s="12" t="s">
        <v>19</v>
      </c>
      <c r="M68" s="10" t="s">
        <v>149</v>
      </c>
      <c r="N68" s="13">
        <v>3</v>
      </c>
      <c r="O68" s="12" t="s">
        <v>19</v>
      </c>
    </row>
    <row r="69" spans="1:15">
      <c r="A69" s="5" t="s">
        <v>337</v>
      </c>
      <c r="B69" s="47"/>
      <c r="C69" s="47"/>
      <c r="D69" s="5" t="s">
        <v>337</v>
      </c>
      <c r="E69" s="47"/>
      <c r="F69" s="47"/>
      <c r="G69" s="5" t="s">
        <v>337</v>
      </c>
      <c r="H69" s="47"/>
      <c r="I69" s="47"/>
      <c r="J69" s="5" t="s">
        <v>337</v>
      </c>
      <c r="K69" s="47"/>
      <c r="L69" s="47"/>
      <c r="M69" s="5" t="s">
        <v>337</v>
      </c>
      <c r="N69" s="47"/>
      <c r="O69" s="47"/>
    </row>
    <row r="70" spans="1:15">
      <c r="A70" s="10" t="s">
        <v>151</v>
      </c>
      <c r="B70" s="13">
        <v>30</v>
      </c>
      <c r="C70" s="12" t="s">
        <v>19</v>
      </c>
      <c r="D70" s="10" t="s">
        <v>151</v>
      </c>
      <c r="E70" s="13">
        <v>30</v>
      </c>
      <c r="F70" s="12" t="s">
        <v>19</v>
      </c>
      <c r="G70" s="10" t="s">
        <v>331</v>
      </c>
      <c r="H70" s="13">
        <v>30</v>
      </c>
      <c r="I70" s="12" t="s">
        <v>301</v>
      </c>
      <c r="J70" s="10" t="s">
        <v>151</v>
      </c>
      <c r="K70" s="13">
        <v>30</v>
      </c>
      <c r="L70" s="12" t="s">
        <v>19</v>
      </c>
      <c r="M70" s="10" t="s">
        <v>151</v>
      </c>
      <c r="N70" s="13">
        <v>30</v>
      </c>
      <c r="O70" s="12" t="s">
        <v>19</v>
      </c>
    </row>
    <row r="71" spans="1:15">
      <c r="A71" s="10" t="s">
        <v>338</v>
      </c>
      <c r="B71" s="13">
        <v>40</v>
      </c>
      <c r="C71" s="12" t="s">
        <v>19</v>
      </c>
      <c r="D71" s="10" t="s">
        <v>338</v>
      </c>
      <c r="E71" s="13">
        <v>40</v>
      </c>
      <c r="F71" s="12" t="s">
        <v>19</v>
      </c>
      <c r="G71" s="10"/>
      <c r="H71" s="13"/>
      <c r="I71" s="12"/>
      <c r="J71" s="10" t="s">
        <v>338</v>
      </c>
      <c r="K71" s="13">
        <v>40</v>
      </c>
      <c r="L71" s="12" t="s">
        <v>19</v>
      </c>
      <c r="M71" s="10" t="s">
        <v>338</v>
      </c>
      <c r="N71" s="13">
        <v>40</v>
      </c>
      <c r="O71" s="12" t="s">
        <v>19</v>
      </c>
    </row>
    <row r="72" spans="1:15">
      <c r="A72" s="10" t="s">
        <v>154</v>
      </c>
      <c r="B72" s="13">
        <v>40</v>
      </c>
      <c r="C72" s="12" t="s">
        <v>19</v>
      </c>
      <c r="D72" s="10" t="s">
        <v>154</v>
      </c>
      <c r="E72" s="13">
        <v>40</v>
      </c>
      <c r="F72" s="12" t="s">
        <v>19</v>
      </c>
      <c r="G72" s="10"/>
      <c r="H72" s="13"/>
      <c r="I72" s="12"/>
      <c r="J72" s="10" t="s">
        <v>154</v>
      </c>
      <c r="K72" s="13">
        <v>40</v>
      </c>
      <c r="L72" s="12" t="s">
        <v>19</v>
      </c>
      <c r="M72" s="10" t="s">
        <v>154</v>
      </c>
      <c r="N72" s="13">
        <v>40</v>
      </c>
      <c r="O72" s="12" t="s">
        <v>19</v>
      </c>
    </row>
  </sheetData>
  <printOptions gridLines="1"/>
  <pageMargins left="0.25" right="0.25" top="0.75" bottom="0.75" header="0.3" footer="0.3"/>
  <pageSetup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D621-3AB1-49FD-A941-7F96DE40D542}">
  <sheetPr>
    <pageSetUpPr fitToPage="1"/>
  </sheetPr>
  <dimension ref="A1:O68"/>
  <sheetViews>
    <sheetView zoomScaleNormal="100" workbookViewId="0">
      <selection activeCell="M25" sqref="M25:O28"/>
    </sheetView>
  </sheetViews>
  <sheetFormatPr defaultRowHeight="14.4"/>
  <cols>
    <col min="1" max="1" width="37.33203125" style="16" customWidth="1"/>
    <col min="2" max="3" width="10.6640625" style="17" customWidth="1"/>
    <col min="4" max="4" width="46.5546875" customWidth="1"/>
    <col min="7" max="7" width="38.33203125" customWidth="1"/>
    <col min="10" max="10" width="41.6640625" customWidth="1"/>
    <col min="13" max="13" width="32.5546875" customWidth="1"/>
  </cols>
  <sheetData>
    <row r="1" spans="1:15" ht="17.399999999999999">
      <c r="A1" s="19" t="s">
        <v>305</v>
      </c>
      <c r="B1" s="20"/>
      <c r="C1" s="20"/>
      <c r="D1" s="19" t="s">
        <v>306</v>
      </c>
      <c r="E1" s="20"/>
      <c r="F1" s="20"/>
      <c r="G1" s="19" t="s">
        <v>307</v>
      </c>
      <c r="H1" s="20"/>
      <c r="I1" s="20"/>
      <c r="J1" s="19" t="s">
        <v>308</v>
      </c>
      <c r="K1" s="20"/>
      <c r="L1" s="20"/>
      <c r="M1" s="19" t="s">
        <v>309</v>
      </c>
      <c r="N1" s="20"/>
      <c r="O1" s="20"/>
    </row>
    <row r="2" spans="1:15" ht="27.6">
      <c r="A2" s="4" t="s">
        <v>1</v>
      </c>
      <c r="B2" s="4" t="s">
        <v>2</v>
      </c>
      <c r="C2" s="4" t="s">
        <v>3</v>
      </c>
      <c r="D2" s="4" t="s">
        <v>1</v>
      </c>
      <c r="E2" s="4" t="s">
        <v>2</v>
      </c>
      <c r="F2" s="4" t="s">
        <v>3</v>
      </c>
      <c r="G2" s="4" t="s">
        <v>1</v>
      </c>
      <c r="H2" s="4" t="s">
        <v>2</v>
      </c>
      <c r="I2" s="4" t="s">
        <v>3</v>
      </c>
      <c r="J2" s="4" t="s">
        <v>1</v>
      </c>
      <c r="K2" s="4" t="s">
        <v>2</v>
      </c>
      <c r="L2" s="4" t="s">
        <v>3</v>
      </c>
      <c r="M2" s="4" t="s">
        <v>1</v>
      </c>
      <c r="N2" s="4" t="s">
        <v>2</v>
      </c>
      <c r="O2" s="4" t="s">
        <v>3</v>
      </c>
    </row>
    <row r="3" spans="1:15">
      <c r="A3" s="22" t="s">
        <v>162</v>
      </c>
      <c r="B3" s="23"/>
      <c r="C3" s="23"/>
      <c r="D3" s="22" t="s">
        <v>162</v>
      </c>
      <c r="E3" s="23"/>
      <c r="F3" s="23"/>
      <c r="G3" s="22" t="s">
        <v>162</v>
      </c>
      <c r="H3" s="23"/>
      <c r="I3" s="23"/>
      <c r="J3" s="22" t="s">
        <v>162</v>
      </c>
      <c r="K3" s="23"/>
      <c r="L3" s="23"/>
      <c r="M3" s="22" t="s">
        <v>162</v>
      </c>
      <c r="N3" s="23"/>
      <c r="O3" s="23"/>
    </row>
    <row r="4" spans="1:15">
      <c r="A4" s="55" t="s">
        <v>122</v>
      </c>
      <c r="B4" s="56">
        <v>1</v>
      </c>
      <c r="C4" s="57" t="s">
        <v>10</v>
      </c>
      <c r="D4" s="55" t="s">
        <v>122</v>
      </c>
      <c r="E4" s="56">
        <v>1</v>
      </c>
      <c r="F4" s="57" t="s">
        <v>10</v>
      </c>
      <c r="G4" s="55" t="s">
        <v>122</v>
      </c>
      <c r="H4" s="56">
        <v>1</v>
      </c>
      <c r="I4" s="57" t="s">
        <v>10</v>
      </c>
      <c r="J4" s="55" t="s">
        <v>122</v>
      </c>
      <c r="K4" s="56">
        <v>1</v>
      </c>
      <c r="L4" s="57" t="s">
        <v>10</v>
      </c>
      <c r="M4" s="55" t="s">
        <v>122</v>
      </c>
      <c r="N4" s="56">
        <v>1</v>
      </c>
      <c r="O4" s="57" t="s">
        <v>10</v>
      </c>
    </row>
    <row r="5" spans="1:15">
      <c r="A5" s="55" t="s">
        <v>123</v>
      </c>
      <c r="B5" s="56">
        <v>1</v>
      </c>
      <c r="C5" s="57" t="s">
        <v>10</v>
      </c>
      <c r="D5" s="55" t="s">
        <v>123</v>
      </c>
      <c r="E5" s="56">
        <v>1</v>
      </c>
      <c r="F5" s="57" t="s">
        <v>10</v>
      </c>
      <c r="G5" s="55" t="s">
        <v>123</v>
      </c>
      <c r="H5" s="56">
        <v>1</v>
      </c>
      <c r="I5" s="57" t="s">
        <v>10</v>
      </c>
      <c r="J5" s="55" t="s">
        <v>123</v>
      </c>
      <c r="K5" s="56">
        <v>1</v>
      </c>
      <c r="L5" s="57" t="s">
        <v>10</v>
      </c>
      <c r="M5" s="55" t="s">
        <v>123</v>
      </c>
      <c r="N5" s="56">
        <v>1</v>
      </c>
      <c r="O5" s="57" t="s">
        <v>10</v>
      </c>
    </row>
    <row r="6" spans="1:15">
      <c r="A6" s="55" t="s">
        <v>163</v>
      </c>
      <c r="B6" s="56">
        <v>1</v>
      </c>
      <c r="C6" s="57" t="s">
        <v>10</v>
      </c>
      <c r="D6" s="55" t="s">
        <v>163</v>
      </c>
      <c r="E6" s="56">
        <v>1</v>
      </c>
      <c r="F6" s="57" t="s">
        <v>10</v>
      </c>
      <c r="G6" s="55" t="s">
        <v>163</v>
      </c>
      <c r="H6" s="56">
        <v>1</v>
      </c>
      <c r="I6" s="57" t="s">
        <v>10</v>
      </c>
      <c r="J6" s="55" t="s">
        <v>163</v>
      </c>
      <c r="K6" s="56">
        <v>1</v>
      </c>
      <c r="L6" s="57" t="s">
        <v>10</v>
      </c>
      <c r="M6" s="55" t="s">
        <v>163</v>
      </c>
      <c r="N6" s="56">
        <v>1</v>
      </c>
      <c r="O6" s="57" t="s">
        <v>10</v>
      </c>
    </row>
    <row r="7" spans="1:15">
      <c r="A7" s="55" t="s">
        <v>164</v>
      </c>
      <c r="B7" s="56">
        <v>1</v>
      </c>
      <c r="C7" s="57" t="s">
        <v>10</v>
      </c>
      <c r="D7" s="55" t="s">
        <v>164</v>
      </c>
      <c r="E7" s="56">
        <v>1</v>
      </c>
      <c r="F7" s="57" t="s">
        <v>10</v>
      </c>
      <c r="G7" s="55" t="s">
        <v>164</v>
      </c>
      <c r="H7" s="56">
        <v>1</v>
      </c>
      <c r="I7" s="57" t="s">
        <v>10</v>
      </c>
      <c r="J7" s="55" t="s">
        <v>164</v>
      </c>
      <c r="K7" s="56">
        <v>1</v>
      </c>
      <c r="L7" s="57" t="s">
        <v>10</v>
      </c>
      <c r="M7" s="55" t="s">
        <v>164</v>
      </c>
      <c r="N7" s="56">
        <v>1</v>
      </c>
      <c r="O7" s="57" t="s">
        <v>10</v>
      </c>
    </row>
    <row r="8" spans="1:15">
      <c r="A8" s="55" t="s">
        <v>165</v>
      </c>
      <c r="B8" s="56">
        <v>1</v>
      </c>
      <c r="C8" s="57" t="s">
        <v>10</v>
      </c>
      <c r="D8" s="55" t="s">
        <v>165</v>
      </c>
      <c r="E8" s="56">
        <v>1</v>
      </c>
      <c r="F8" s="57" t="s">
        <v>10</v>
      </c>
      <c r="G8" s="55" t="s">
        <v>165</v>
      </c>
      <c r="H8" s="56">
        <v>1</v>
      </c>
      <c r="I8" s="57" t="s">
        <v>10</v>
      </c>
      <c r="J8" s="55" t="s">
        <v>165</v>
      </c>
      <c r="K8" s="56">
        <v>1</v>
      </c>
      <c r="L8" s="57" t="s">
        <v>10</v>
      </c>
      <c r="M8" s="55" t="s">
        <v>165</v>
      </c>
      <c r="N8" s="56">
        <v>1</v>
      </c>
      <c r="O8" s="57" t="s">
        <v>10</v>
      </c>
    </row>
    <row r="9" spans="1:15">
      <c r="A9" s="55" t="s">
        <v>166</v>
      </c>
      <c r="B9" s="56">
        <v>1</v>
      </c>
      <c r="C9" s="57" t="s">
        <v>10</v>
      </c>
      <c r="D9" s="55" t="s">
        <v>166</v>
      </c>
      <c r="E9" s="56">
        <v>1</v>
      </c>
      <c r="F9" s="57" t="s">
        <v>10</v>
      </c>
      <c r="G9" s="55" t="s">
        <v>166</v>
      </c>
      <c r="H9" s="56">
        <v>1</v>
      </c>
      <c r="I9" s="57" t="s">
        <v>10</v>
      </c>
      <c r="J9" s="55" t="s">
        <v>166</v>
      </c>
      <c r="K9" s="56">
        <v>1</v>
      </c>
      <c r="L9" s="57" t="s">
        <v>10</v>
      </c>
      <c r="M9" s="55" t="s">
        <v>166</v>
      </c>
      <c r="N9" s="56">
        <v>1</v>
      </c>
      <c r="O9" s="57" t="s">
        <v>10</v>
      </c>
    </row>
    <row r="10" spans="1:15">
      <c r="A10" s="55" t="s">
        <v>167</v>
      </c>
      <c r="B10" s="56">
        <v>1</v>
      </c>
      <c r="C10" s="57" t="s">
        <v>10</v>
      </c>
      <c r="D10" s="55" t="s">
        <v>167</v>
      </c>
      <c r="E10" s="56">
        <v>1</v>
      </c>
      <c r="F10" s="57" t="s">
        <v>10</v>
      </c>
      <c r="G10" s="55" t="s">
        <v>167</v>
      </c>
      <c r="H10" s="56">
        <v>1</v>
      </c>
      <c r="I10" s="57" t="s">
        <v>10</v>
      </c>
      <c r="J10" s="55" t="s">
        <v>167</v>
      </c>
      <c r="K10" s="56">
        <v>1</v>
      </c>
      <c r="L10" s="57" t="s">
        <v>10</v>
      </c>
      <c r="M10" s="55" t="s">
        <v>167</v>
      </c>
      <c r="N10" s="56">
        <v>1</v>
      </c>
      <c r="O10" s="57" t="s">
        <v>10</v>
      </c>
    </row>
    <row r="11" spans="1:15">
      <c r="A11" s="55" t="s">
        <v>168</v>
      </c>
      <c r="B11" s="56">
        <v>1</v>
      </c>
      <c r="C11" s="57" t="s">
        <v>10</v>
      </c>
      <c r="D11" s="55" t="s">
        <v>168</v>
      </c>
      <c r="E11" s="56">
        <v>1</v>
      </c>
      <c r="F11" s="57" t="s">
        <v>10</v>
      </c>
      <c r="G11" s="55" t="s">
        <v>168</v>
      </c>
      <c r="H11" s="56">
        <v>1</v>
      </c>
      <c r="I11" s="57" t="s">
        <v>10</v>
      </c>
      <c r="J11" s="55" t="s">
        <v>168</v>
      </c>
      <c r="K11" s="56">
        <v>1</v>
      </c>
      <c r="L11" s="57" t="s">
        <v>10</v>
      </c>
      <c r="M11" s="55" t="s">
        <v>168</v>
      </c>
      <c r="N11" s="56">
        <v>1</v>
      </c>
      <c r="O11" s="57" t="s">
        <v>10</v>
      </c>
    </row>
    <row r="12" spans="1:15">
      <c r="A12" s="55" t="s">
        <v>169</v>
      </c>
      <c r="B12" s="56">
        <v>1</v>
      </c>
      <c r="C12" s="57" t="s">
        <v>10</v>
      </c>
      <c r="D12" s="55" t="s">
        <v>169</v>
      </c>
      <c r="E12" s="56">
        <v>1</v>
      </c>
      <c r="F12" s="57" t="s">
        <v>10</v>
      </c>
      <c r="G12" s="55" t="s">
        <v>169</v>
      </c>
      <c r="H12" s="56">
        <v>1</v>
      </c>
      <c r="I12" s="57" t="s">
        <v>10</v>
      </c>
      <c r="J12" s="55" t="s">
        <v>169</v>
      </c>
      <c r="K12" s="56">
        <v>1</v>
      </c>
      <c r="L12" s="57" t="s">
        <v>10</v>
      </c>
      <c r="M12" s="55" t="s">
        <v>169</v>
      </c>
      <c r="N12" s="56">
        <v>1</v>
      </c>
      <c r="O12" s="57" t="s">
        <v>10</v>
      </c>
    </row>
    <row r="13" spans="1:15">
      <c r="A13" s="55" t="s">
        <v>170</v>
      </c>
      <c r="B13" s="56">
        <v>1</v>
      </c>
      <c r="C13" s="57" t="s">
        <v>10</v>
      </c>
      <c r="D13" s="55" t="s">
        <v>170</v>
      </c>
      <c r="E13" s="56">
        <v>1</v>
      </c>
      <c r="F13" s="57" t="s">
        <v>10</v>
      </c>
      <c r="G13" s="55" t="s">
        <v>170</v>
      </c>
      <c r="H13" s="56">
        <v>1</v>
      </c>
      <c r="I13" s="57" t="s">
        <v>10</v>
      </c>
      <c r="J13" s="55" t="s">
        <v>170</v>
      </c>
      <c r="K13" s="56">
        <v>1</v>
      </c>
      <c r="L13" s="57" t="s">
        <v>10</v>
      </c>
      <c r="M13" s="55" t="s">
        <v>170</v>
      </c>
      <c r="N13" s="56">
        <v>1</v>
      </c>
      <c r="O13" s="57" t="s">
        <v>10</v>
      </c>
    </row>
    <row r="14" spans="1:15">
      <c r="A14" s="55" t="s">
        <v>171</v>
      </c>
      <c r="B14" s="56">
        <v>1</v>
      </c>
      <c r="C14" s="57" t="s">
        <v>10</v>
      </c>
      <c r="D14" s="55" t="s">
        <v>171</v>
      </c>
      <c r="E14" s="56">
        <v>1</v>
      </c>
      <c r="F14" s="57" t="s">
        <v>10</v>
      </c>
      <c r="G14" s="55" t="s">
        <v>171</v>
      </c>
      <c r="H14" s="56">
        <v>1</v>
      </c>
      <c r="I14" s="57" t="s">
        <v>10</v>
      </c>
      <c r="J14" s="55" t="s">
        <v>171</v>
      </c>
      <c r="K14" s="56">
        <v>1</v>
      </c>
      <c r="L14" s="57" t="s">
        <v>10</v>
      </c>
      <c r="M14" s="55" t="s">
        <v>171</v>
      </c>
      <c r="N14" s="56">
        <v>1</v>
      </c>
      <c r="O14" s="57" t="s">
        <v>10</v>
      </c>
    </row>
    <row r="15" spans="1:15">
      <c r="A15" s="55" t="s">
        <v>172</v>
      </c>
      <c r="B15" s="56">
        <v>1</v>
      </c>
      <c r="C15" s="57" t="s">
        <v>10</v>
      </c>
      <c r="D15" s="55" t="s">
        <v>172</v>
      </c>
      <c r="E15" s="56">
        <v>1</v>
      </c>
      <c r="F15" s="57" t="s">
        <v>10</v>
      </c>
      <c r="G15" s="55" t="s">
        <v>339</v>
      </c>
      <c r="H15" s="56">
        <v>1</v>
      </c>
      <c r="I15" s="57" t="s">
        <v>10</v>
      </c>
      <c r="J15" s="55" t="s">
        <v>340</v>
      </c>
      <c r="K15" s="56">
        <v>1</v>
      </c>
      <c r="L15" s="57" t="s">
        <v>10</v>
      </c>
      <c r="M15" s="55" t="s">
        <v>172</v>
      </c>
      <c r="N15" s="56">
        <v>1</v>
      </c>
      <c r="O15" s="57" t="s">
        <v>10</v>
      </c>
    </row>
    <row r="16" spans="1:15">
      <c r="A16" s="55" t="s">
        <v>173</v>
      </c>
      <c r="B16" s="56">
        <v>1</v>
      </c>
      <c r="C16" s="57" t="s">
        <v>10</v>
      </c>
      <c r="D16" s="55" t="s">
        <v>173</v>
      </c>
      <c r="E16" s="56">
        <v>1</v>
      </c>
      <c r="F16" s="57" t="s">
        <v>10</v>
      </c>
      <c r="G16" s="55"/>
      <c r="H16" s="56">
        <v>1</v>
      </c>
      <c r="I16" s="57" t="s">
        <v>10</v>
      </c>
      <c r="J16" s="55" t="s">
        <v>173</v>
      </c>
      <c r="K16" s="56">
        <v>1</v>
      </c>
      <c r="L16" s="57" t="s">
        <v>10</v>
      </c>
      <c r="M16" s="55" t="s">
        <v>173</v>
      </c>
      <c r="N16" s="56">
        <v>1</v>
      </c>
      <c r="O16" s="57" t="s">
        <v>10</v>
      </c>
    </row>
    <row r="17" spans="1:15">
      <c r="A17" s="55" t="s">
        <v>174</v>
      </c>
      <c r="B17" s="56">
        <v>1</v>
      </c>
      <c r="C17" s="57" t="s">
        <v>10</v>
      </c>
      <c r="D17" s="55" t="s">
        <v>174</v>
      </c>
      <c r="E17" s="56">
        <v>1</v>
      </c>
      <c r="F17" s="57" t="s">
        <v>10</v>
      </c>
      <c r="G17" s="55"/>
      <c r="H17" s="56">
        <v>1</v>
      </c>
      <c r="I17" s="57" t="s">
        <v>10</v>
      </c>
      <c r="J17" s="55"/>
      <c r="K17" s="56">
        <v>1</v>
      </c>
      <c r="L17" s="57" t="s">
        <v>10</v>
      </c>
      <c r="M17" s="55" t="s">
        <v>174</v>
      </c>
      <c r="N17" s="56">
        <v>1</v>
      </c>
      <c r="O17" s="57" t="s">
        <v>10</v>
      </c>
    </row>
    <row r="18" spans="1:15">
      <c r="A18" s="55"/>
      <c r="B18" s="56"/>
      <c r="C18" s="57"/>
      <c r="D18" s="55" t="s">
        <v>341</v>
      </c>
      <c r="E18" s="56">
        <v>1</v>
      </c>
      <c r="F18" s="57" t="s">
        <v>10</v>
      </c>
      <c r="G18" s="55"/>
      <c r="H18" s="56">
        <v>1</v>
      </c>
      <c r="I18" s="57" t="s">
        <v>10</v>
      </c>
      <c r="J18" s="55"/>
      <c r="K18" s="56"/>
      <c r="L18" s="57"/>
      <c r="M18" s="55"/>
      <c r="N18" s="56"/>
      <c r="O18" s="57"/>
    </row>
    <row r="19" spans="1:15">
      <c r="A19" s="22" t="s">
        <v>342</v>
      </c>
      <c r="B19" s="23"/>
      <c r="C19" s="23"/>
      <c r="D19" s="22" t="s">
        <v>342</v>
      </c>
      <c r="E19" s="23"/>
      <c r="F19" s="23"/>
      <c r="G19" s="22" t="s">
        <v>342</v>
      </c>
      <c r="H19" s="23"/>
      <c r="I19" s="23"/>
      <c r="J19" s="22" t="s">
        <v>342</v>
      </c>
      <c r="K19" s="23"/>
      <c r="L19" s="23"/>
      <c r="M19" s="22" t="s">
        <v>342</v>
      </c>
      <c r="N19" s="23"/>
      <c r="O19" s="23"/>
    </row>
    <row r="20" spans="1:15">
      <c r="A20" s="30" t="s">
        <v>343</v>
      </c>
      <c r="B20" s="31">
        <v>15</v>
      </c>
      <c r="C20" s="32" t="s">
        <v>19</v>
      </c>
      <c r="D20" s="30" t="s">
        <v>344</v>
      </c>
      <c r="E20" s="31" t="s">
        <v>345</v>
      </c>
      <c r="F20" s="32" t="s">
        <v>19</v>
      </c>
      <c r="G20" s="30" t="s">
        <v>343</v>
      </c>
      <c r="H20" s="31">
        <v>15</v>
      </c>
      <c r="I20" s="32" t="s">
        <v>19</v>
      </c>
      <c r="J20" s="30" t="s">
        <v>343</v>
      </c>
      <c r="K20" s="31">
        <v>15</v>
      </c>
      <c r="L20" s="32" t="s">
        <v>19</v>
      </c>
      <c r="M20" s="30" t="s">
        <v>343</v>
      </c>
      <c r="N20" s="31">
        <v>15</v>
      </c>
      <c r="O20" s="32" t="s">
        <v>19</v>
      </c>
    </row>
    <row r="21" spans="1:15">
      <c r="A21" s="30" t="s">
        <v>177</v>
      </c>
      <c r="B21" s="31">
        <v>45</v>
      </c>
      <c r="C21" s="32" t="s">
        <v>19</v>
      </c>
      <c r="D21" s="30" t="s">
        <v>346</v>
      </c>
      <c r="E21" s="31" t="s">
        <v>347</v>
      </c>
      <c r="F21" s="32" t="s">
        <v>19</v>
      </c>
      <c r="G21" s="30" t="s">
        <v>177</v>
      </c>
      <c r="H21" s="31">
        <v>45</v>
      </c>
      <c r="I21" s="32" t="s">
        <v>19</v>
      </c>
      <c r="J21" s="30" t="s">
        <v>177</v>
      </c>
      <c r="K21" s="31">
        <v>45</v>
      </c>
      <c r="L21" s="32" t="s">
        <v>19</v>
      </c>
      <c r="M21" s="30" t="s">
        <v>177</v>
      </c>
      <c r="N21" s="31">
        <v>45</v>
      </c>
      <c r="O21" s="32" t="s">
        <v>19</v>
      </c>
    </row>
    <row r="22" spans="1:15">
      <c r="A22" s="30"/>
      <c r="B22" s="31"/>
      <c r="C22" s="32"/>
      <c r="D22" s="30"/>
      <c r="E22" s="31"/>
      <c r="F22" s="32"/>
      <c r="G22" s="30"/>
      <c r="H22" s="31"/>
      <c r="I22" s="32"/>
      <c r="J22" s="30"/>
      <c r="K22" s="31"/>
      <c r="L22" s="32"/>
      <c r="M22" s="30"/>
      <c r="N22" s="31"/>
      <c r="O22" s="32"/>
    </row>
    <row r="23" spans="1:15">
      <c r="A23" s="30"/>
      <c r="B23" s="31"/>
      <c r="C23" s="32"/>
      <c r="D23" s="30" t="s">
        <v>318</v>
      </c>
      <c r="E23" s="31">
        <v>1</v>
      </c>
      <c r="F23" s="32" t="s">
        <v>212</v>
      </c>
      <c r="G23" s="30"/>
      <c r="H23" s="31"/>
      <c r="I23" s="32"/>
      <c r="J23" s="30"/>
      <c r="K23" s="31"/>
      <c r="L23" s="32"/>
      <c r="M23" s="30"/>
      <c r="N23" s="31"/>
      <c r="O23" s="32"/>
    </row>
    <row r="24" spans="1:15">
      <c r="A24" s="22" t="s">
        <v>178</v>
      </c>
      <c r="B24" s="23"/>
      <c r="C24" s="23"/>
      <c r="D24" s="22" t="s">
        <v>348</v>
      </c>
      <c r="E24" s="23"/>
      <c r="F24" s="23"/>
      <c r="G24" s="22" t="s">
        <v>348</v>
      </c>
      <c r="H24" s="23"/>
      <c r="I24" s="23"/>
      <c r="J24" s="22" t="s">
        <v>348</v>
      </c>
      <c r="K24" s="23"/>
      <c r="L24" s="23"/>
      <c r="M24" s="22" t="s">
        <v>348</v>
      </c>
      <c r="N24" s="23"/>
      <c r="O24" s="23"/>
    </row>
    <row r="25" spans="1:15">
      <c r="A25" s="30" t="s">
        <v>343</v>
      </c>
      <c r="B25" s="31">
        <v>90</v>
      </c>
      <c r="C25" s="32" t="s">
        <v>19</v>
      </c>
      <c r="D25" s="30" t="s">
        <v>349</v>
      </c>
      <c r="E25" s="31">
        <v>90</v>
      </c>
      <c r="F25" s="32" t="s">
        <v>19</v>
      </c>
      <c r="G25" s="30" t="s">
        <v>343</v>
      </c>
      <c r="H25" s="31">
        <v>90</v>
      </c>
      <c r="I25" s="32" t="s">
        <v>19</v>
      </c>
      <c r="J25" s="30" t="s">
        <v>343</v>
      </c>
      <c r="K25" s="31">
        <v>90</v>
      </c>
      <c r="L25" s="32" t="s">
        <v>19</v>
      </c>
      <c r="M25" s="10" t="s">
        <v>350</v>
      </c>
      <c r="N25" s="13" t="s">
        <v>351</v>
      </c>
      <c r="O25" s="12" t="s">
        <v>19</v>
      </c>
    </row>
    <row r="26" spans="1:15">
      <c r="A26" s="30" t="s">
        <v>352</v>
      </c>
      <c r="B26" s="31">
        <v>15</v>
      </c>
      <c r="C26" s="32" t="s">
        <v>19</v>
      </c>
      <c r="D26" s="30" t="s">
        <v>327</v>
      </c>
      <c r="E26" s="31">
        <v>30</v>
      </c>
      <c r="F26" s="32" t="s">
        <v>19</v>
      </c>
      <c r="G26" s="30" t="s">
        <v>352</v>
      </c>
      <c r="H26" s="31">
        <v>15</v>
      </c>
      <c r="I26" s="32" t="s">
        <v>19</v>
      </c>
      <c r="J26" s="30" t="s">
        <v>352</v>
      </c>
      <c r="K26" s="31">
        <v>15</v>
      </c>
      <c r="L26" s="32" t="s">
        <v>19</v>
      </c>
      <c r="M26" s="10" t="s">
        <v>327</v>
      </c>
      <c r="N26" s="13">
        <v>30</v>
      </c>
      <c r="O26" s="12" t="s">
        <v>19</v>
      </c>
    </row>
    <row r="27" spans="1:15">
      <c r="A27" s="30" t="s">
        <v>73</v>
      </c>
      <c r="B27" s="31">
        <v>60</v>
      </c>
      <c r="C27" s="32" t="s">
        <v>19</v>
      </c>
      <c r="D27" s="30" t="s">
        <v>353</v>
      </c>
      <c r="E27" s="31">
        <v>10</v>
      </c>
      <c r="F27" s="32" t="s">
        <v>19</v>
      </c>
      <c r="G27" s="30" t="s">
        <v>73</v>
      </c>
      <c r="H27" s="31">
        <v>60</v>
      </c>
      <c r="I27" s="32" t="s">
        <v>19</v>
      </c>
      <c r="J27" s="30" t="s">
        <v>73</v>
      </c>
      <c r="K27" s="31">
        <v>60</v>
      </c>
      <c r="L27" s="32" t="s">
        <v>19</v>
      </c>
      <c r="M27" s="10"/>
      <c r="N27" s="13"/>
      <c r="O27" s="12"/>
    </row>
    <row r="28" spans="1:15">
      <c r="A28" s="30" t="s">
        <v>354</v>
      </c>
      <c r="B28" s="31">
        <v>45</v>
      </c>
      <c r="C28" s="32" t="s">
        <v>19</v>
      </c>
      <c r="D28" s="30" t="s">
        <v>355</v>
      </c>
      <c r="E28" s="31">
        <v>60</v>
      </c>
      <c r="F28" s="32" t="s">
        <v>19</v>
      </c>
      <c r="G28" s="30" t="s">
        <v>354</v>
      </c>
      <c r="H28" s="31">
        <v>45</v>
      </c>
      <c r="I28" s="32" t="s">
        <v>19</v>
      </c>
      <c r="J28" s="30" t="s">
        <v>354</v>
      </c>
      <c r="K28" s="31">
        <v>45</v>
      </c>
      <c r="L28" s="32" t="s">
        <v>19</v>
      </c>
      <c r="M28" s="10" t="s">
        <v>356</v>
      </c>
      <c r="N28" s="13">
        <v>8</v>
      </c>
      <c r="O28" s="12" t="s">
        <v>19</v>
      </c>
    </row>
    <row r="29" spans="1:15">
      <c r="A29" s="30"/>
      <c r="B29" s="31"/>
      <c r="C29" s="32"/>
      <c r="D29" s="30"/>
      <c r="E29" s="31"/>
      <c r="F29" s="32"/>
      <c r="G29" s="30"/>
      <c r="H29" s="31"/>
      <c r="I29" s="32"/>
      <c r="J29" s="30"/>
      <c r="K29" s="31"/>
      <c r="L29" s="32"/>
      <c r="M29" s="30"/>
      <c r="N29" s="31"/>
      <c r="O29" s="32"/>
    </row>
    <row r="30" spans="1:15">
      <c r="A30" s="22" t="s">
        <v>188</v>
      </c>
      <c r="B30" s="23"/>
      <c r="C30" s="23"/>
      <c r="D30" s="22" t="s">
        <v>188</v>
      </c>
      <c r="E30" s="23"/>
      <c r="F30" s="23"/>
      <c r="G30" s="22" t="s">
        <v>357</v>
      </c>
      <c r="H30" s="23"/>
      <c r="I30" s="23"/>
      <c r="J30" s="22" t="s">
        <v>357</v>
      </c>
      <c r="K30" s="23"/>
      <c r="L30" s="23"/>
      <c r="M30" s="22" t="s">
        <v>357</v>
      </c>
      <c r="N30" s="23"/>
      <c r="O30" s="23"/>
    </row>
    <row r="31" spans="1:15">
      <c r="A31" s="30" t="s">
        <v>189</v>
      </c>
      <c r="B31" s="31">
        <v>60</v>
      </c>
      <c r="C31" s="32" t="s">
        <v>19</v>
      </c>
      <c r="D31" s="30" t="s">
        <v>189</v>
      </c>
      <c r="E31" s="31">
        <v>60</v>
      </c>
      <c r="F31" s="32" t="s">
        <v>19</v>
      </c>
      <c r="G31" s="30" t="s">
        <v>358</v>
      </c>
      <c r="H31" s="31">
        <v>60</v>
      </c>
      <c r="I31" s="32" t="s">
        <v>19</v>
      </c>
      <c r="J31" s="30" t="s">
        <v>358</v>
      </c>
      <c r="K31" s="31">
        <v>60</v>
      </c>
      <c r="L31" s="32" t="s">
        <v>134</v>
      </c>
      <c r="M31" s="30" t="s">
        <v>189</v>
      </c>
      <c r="N31" s="31">
        <v>60</v>
      </c>
      <c r="O31" s="32" t="s">
        <v>19</v>
      </c>
    </row>
    <row r="32" spans="1:15">
      <c r="A32" s="30" t="s">
        <v>190</v>
      </c>
      <c r="B32" s="31">
        <v>10</v>
      </c>
      <c r="C32" s="32" t="s">
        <v>19</v>
      </c>
      <c r="D32" s="30" t="s">
        <v>190</v>
      </c>
      <c r="E32" s="31">
        <v>10</v>
      </c>
      <c r="F32" s="32" t="s">
        <v>19</v>
      </c>
      <c r="G32" s="30"/>
      <c r="H32" s="31"/>
      <c r="I32" s="32" t="s">
        <v>19</v>
      </c>
      <c r="J32" s="30"/>
      <c r="K32" s="31"/>
      <c r="L32" s="32" t="s">
        <v>134</v>
      </c>
      <c r="M32" s="30" t="s">
        <v>190</v>
      </c>
      <c r="N32" s="31">
        <v>10</v>
      </c>
      <c r="O32" s="32" t="s">
        <v>19</v>
      </c>
    </row>
    <row r="33" spans="1:15">
      <c r="A33" s="22" t="s">
        <v>359</v>
      </c>
      <c r="B33" s="23"/>
      <c r="C33" s="23"/>
      <c r="D33" s="22" t="s">
        <v>359</v>
      </c>
      <c r="E33" s="23"/>
      <c r="F33" s="23"/>
      <c r="G33" s="22" t="s">
        <v>359</v>
      </c>
      <c r="H33" s="23"/>
      <c r="I33" s="23"/>
      <c r="J33" s="22" t="s">
        <v>359</v>
      </c>
      <c r="K33" s="23"/>
      <c r="L33" s="23"/>
      <c r="M33" s="22" t="s">
        <v>359</v>
      </c>
      <c r="N33" s="23"/>
      <c r="O33" s="23"/>
    </row>
    <row r="34" spans="1:15">
      <c r="A34" s="10" t="s">
        <v>192</v>
      </c>
      <c r="B34" s="31">
        <v>40</v>
      </c>
      <c r="C34" s="32" t="s">
        <v>19</v>
      </c>
      <c r="D34" s="10" t="s">
        <v>192</v>
      </c>
      <c r="E34" s="31">
        <v>40</v>
      </c>
      <c r="F34" s="32" t="s">
        <v>19</v>
      </c>
      <c r="G34" s="10" t="s">
        <v>360</v>
      </c>
      <c r="H34" s="31">
        <v>40</v>
      </c>
      <c r="I34" s="32" t="s">
        <v>19</v>
      </c>
      <c r="J34" s="10" t="s">
        <v>192</v>
      </c>
      <c r="K34" s="31">
        <v>40</v>
      </c>
      <c r="L34" s="32" t="s">
        <v>19</v>
      </c>
      <c r="M34" s="10" t="s">
        <v>192</v>
      </c>
      <c r="N34" s="31">
        <v>40</v>
      </c>
      <c r="O34" s="32" t="s">
        <v>19</v>
      </c>
    </row>
    <row r="35" spans="1:15">
      <c r="A35" s="22" t="s">
        <v>361</v>
      </c>
      <c r="B35" s="23"/>
      <c r="C35" s="23"/>
      <c r="D35" s="22" t="s">
        <v>361</v>
      </c>
      <c r="E35" s="23"/>
      <c r="F35" s="23"/>
      <c r="G35" s="22" t="s">
        <v>361</v>
      </c>
      <c r="H35" s="23"/>
      <c r="I35" s="23"/>
      <c r="J35" s="22" t="s">
        <v>361</v>
      </c>
      <c r="K35" s="23"/>
      <c r="L35" s="23"/>
      <c r="M35" s="22" t="s">
        <v>361</v>
      </c>
      <c r="N35" s="23"/>
      <c r="O35" s="23"/>
    </row>
    <row r="36" spans="1:15">
      <c r="A36" s="25" t="s">
        <v>195</v>
      </c>
      <c r="B36" s="26">
        <v>1</v>
      </c>
      <c r="C36" s="27" t="s">
        <v>10</v>
      </c>
      <c r="D36" s="25" t="s">
        <v>195</v>
      </c>
      <c r="E36" s="26">
        <v>1</v>
      </c>
      <c r="F36" s="27" t="s">
        <v>10</v>
      </c>
      <c r="G36" s="25" t="s">
        <v>195</v>
      </c>
      <c r="H36" s="26">
        <v>1</v>
      </c>
      <c r="I36" s="27" t="s">
        <v>10</v>
      </c>
      <c r="J36" s="25" t="s">
        <v>195</v>
      </c>
      <c r="K36" s="26">
        <v>1</v>
      </c>
      <c r="L36" s="27" t="s">
        <v>10</v>
      </c>
      <c r="M36" s="25" t="s">
        <v>195</v>
      </c>
      <c r="N36" s="26">
        <v>1</v>
      </c>
      <c r="O36" s="27" t="s">
        <v>10</v>
      </c>
    </row>
    <row r="37" spans="1:15">
      <c r="A37" s="25" t="s">
        <v>196</v>
      </c>
      <c r="B37" s="26">
        <v>1</v>
      </c>
      <c r="C37" s="27" t="s">
        <v>10</v>
      </c>
      <c r="D37" s="25" t="s">
        <v>196</v>
      </c>
      <c r="E37" s="26">
        <v>1</v>
      </c>
      <c r="F37" s="27" t="s">
        <v>10</v>
      </c>
      <c r="G37" s="25" t="s">
        <v>196</v>
      </c>
      <c r="H37" s="26">
        <v>1</v>
      </c>
      <c r="I37" s="27" t="s">
        <v>10</v>
      </c>
      <c r="J37" s="25" t="s">
        <v>196</v>
      </c>
      <c r="K37" s="26">
        <v>1</v>
      </c>
      <c r="L37" s="27" t="s">
        <v>10</v>
      </c>
      <c r="M37" s="25" t="s">
        <v>196</v>
      </c>
      <c r="N37" s="26">
        <v>1</v>
      </c>
      <c r="O37" s="27" t="s">
        <v>10</v>
      </c>
    </row>
    <row r="38" spans="1:15">
      <c r="A38" s="25" t="s">
        <v>197</v>
      </c>
      <c r="B38" s="26">
        <v>1</v>
      </c>
      <c r="C38" s="27" t="s">
        <v>10</v>
      </c>
      <c r="D38" s="25" t="s">
        <v>197</v>
      </c>
      <c r="E38" s="26">
        <v>1</v>
      </c>
      <c r="F38" s="27" t="s">
        <v>10</v>
      </c>
      <c r="G38" s="25" t="s">
        <v>197</v>
      </c>
      <c r="H38" s="26">
        <v>1</v>
      </c>
      <c r="I38" s="27" t="s">
        <v>10</v>
      </c>
      <c r="J38" s="25" t="s">
        <v>197</v>
      </c>
      <c r="K38" s="26">
        <v>1</v>
      </c>
      <c r="L38" s="27" t="s">
        <v>10</v>
      </c>
      <c r="M38" s="25" t="s">
        <v>197</v>
      </c>
      <c r="N38" s="26">
        <v>1</v>
      </c>
      <c r="O38" s="27" t="s">
        <v>10</v>
      </c>
    </row>
    <row r="39" spans="1:15">
      <c r="A39" s="25" t="s">
        <v>198</v>
      </c>
      <c r="B39" s="26">
        <v>1</v>
      </c>
      <c r="C39" s="27" t="s">
        <v>10</v>
      </c>
      <c r="D39" s="25" t="s">
        <v>198</v>
      </c>
      <c r="E39" s="26">
        <v>1</v>
      </c>
      <c r="F39" s="27" t="s">
        <v>10</v>
      </c>
      <c r="G39" s="25" t="s">
        <v>198</v>
      </c>
      <c r="H39" s="26">
        <v>1</v>
      </c>
      <c r="I39" s="27" t="s">
        <v>10</v>
      </c>
      <c r="J39" s="25" t="s">
        <v>198</v>
      </c>
      <c r="K39" s="26">
        <v>1</v>
      </c>
      <c r="L39" s="27" t="s">
        <v>10</v>
      </c>
      <c r="M39" s="25" t="s">
        <v>198</v>
      </c>
      <c r="N39" s="26">
        <v>1</v>
      </c>
      <c r="O39" s="27" t="s">
        <v>10</v>
      </c>
    </row>
    <row r="40" spans="1:15">
      <c r="A40" s="25" t="s">
        <v>199</v>
      </c>
      <c r="B40" s="26">
        <v>1</v>
      </c>
      <c r="C40" s="27" t="s">
        <v>10</v>
      </c>
      <c r="D40" s="25" t="s">
        <v>199</v>
      </c>
      <c r="E40" s="26">
        <v>1</v>
      </c>
      <c r="F40" s="27" t="s">
        <v>10</v>
      </c>
      <c r="G40" s="25" t="s">
        <v>199</v>
      </c>
      <c r="H40" s="26">
        <v>1</v>
      </c>
      <c r="I40" s="27" t="s">
        <v>10</v>
      </c>
      <c r="J40" s="25" t="s">
        <v>199</v>
      </c>
      <c r="K40" s="26">
        <v>1</v>
      </c>
      <c r="L40" s="27" t="s">
        <v>10</v>
      </c>
      <c r="M40" s="25" t="s">
        <v>199</v>
      </c>
      <c r="N40" s="26">
        <v>1</v>
      </c>
      <c r="O40" s="27" t="s">
        <v>10</v>
      </c>
    </row>
    <row r="41" spans="1:15">
      <c r="A41" s="25" t="s">
        <v>200</v>
      </c>
      <c r="B41" s="26">
        <v>1</v>
      </c>
      <c r="C41" s="27" t="s">
        <v>10</v>
      </c>
      <c r="D41" s="25" t="s">
        <v>200</v>
      </c>
      <c r="E41" s="26">
        <v>1</v>
      </c>
      <c r="F41" s="27" t="s">
        <v>10</v>
      </c>
      <c r="G41" s="25" t="s">
        <v>200</v>
      </c>
      <c r="H41" s="26">
        <v>1</v>
      </c>
      <c r="I41" s="27" t="s">
        <v>10</v>
      </c>
      <c r="J41" s="25" t="s">
        <v>200</v>
      </c>
      <c r="K41" s="26">
        <v>1</v>
      </c>
      <c r="L41" s="27" t="s">
        <v>10</v>
      </c>
      <c r="M41" s="25" t="s">
        <v>200</v>
      </c>
      <c r="N41" s="26">
        <v>1</v>
      </c>
      <c r="O41" s="27" t="s">
        <v>10</v>
      </c>
    </row>
    <row r="42" spans="1:15">
      <c r="A42" s="25" t="s">
        <v>201</v>
      </c>
      <c r="B42" s="26">
        <v>1</v>
      </c>
      <c r="C42" s="27" t="s">
        <v>10</v>
      </c>
      <c r="D42" s="25" t="s">
        <v>201</v>
      </c>
      <c r="E42" s="26">
        <v>1</v>
      </c>
      <c r="F42" s="27" t="s">
        <v>10</v>
      </c>
      <c r="G42" s="25" t="s">
        <v>362</v>
      </c>
      <c r="H42" s="26">
        <v>1</v>
      </c>
      <c r="I42" s="27" t="s">
        <v>10</v>
      </c>
      <c r="J42" s="25" t="s">
        <v>201</v>
      </c>
      <c r="K42" s="26">
        <v>1</v>
      </c>
      <c r="L42" s="27" t="s">
        <v>10</v>
      </c>
      <c r="M42" s="25" t="s">
        <v>201</v>
      </c>
      <c r="N42" s="26">
        <v>1</v>
      </c>
      <c r="O42" s="27" t="s">
        <v>10</v>
      </c>
    </row>
    <row r="43" spans="1:15">
      <c r="A43" s="25" t="s">
        <v>202</v>
      </c>
      <c r="B43" s="26">
        <v>1</v>
      </c>
      <c r="C43" s="27" t="s">
        <v>10</v>
      </c>
      <c r="D43" s="25" t="s">
        <v>202</v>
      </c>
      <c r="E43" s="26">
        <v>1</v>
      </c>
      <c r="F43" s="27" t="s">
        <v>10</v>
      </c>
      <c r="G43" s="25"/>
      <c r="H43" s="26">
        <v>1</v>
      </c>
      <c r="I43" s="27" t="s">
        <v>10</v>
      </c>
      <c r="J43" s="25" t="s">
        <v>202</v>
      </c>
      <c r="K43" s="26">
        <v>1</v>
      </c>
      <c r="L43" s="27" t="s">
        <v>10</v>
      </c>
      <c r="M43" s="25" t="s">
        <v>202</v>
      </c>
      <c r="N43" s="26">
        <v>1</v>
      </c>
      <c r="O43" s="27" t="s">
        <v>10</v>
      </c>
    </row>
    <row r="44" spans="1:15">
      <c r="A44" s="25" t="s">
        <v>203</v>
      </c>
      <c r="B44" s="26">
        <v>1</v>
      </c>
      <c r="C44" s="27" t="s">
        <v>10</v>
      </c>
      <c r="D44" s="25" t="s">
        <v>203</v>
      </c>
      <c r="E44" s="26">
        <v>1</v>
      </c>
      <c r="F44" s="27" t="s">
        <v>10</v>
      </c>
      <c r="G44" s="25" t="s">
        <v>203</v>
      </c>
      <c r="H44" s="26">
        <v>1</v>
      </c>
      <c r="I44" s="27" t="s">
        <v>10</v>
      </c>
      <c r="J44" s="25" t="s">
        <v>203</v>
      </c>
      <c r="K44" s="26">
        <v>1</v>
      </c>
      <c r="L44" s="27" t="s">
        <v>10</v>
      </c>
      <c r="M44" s="25" t="s">
        <v>203</v>
      </c>
      <c r="N44" s="26">
        <v>1</v>
      </c>
      <c r="O44" s="27" t="s">
        <v>10</v>
      </c>
    </row>
    <row r="45" spans="1:15">
      <c r="A45" s="25" t="s">
        <v>204</v>
      </c>
      <c r="B45" s="26">
        <v>1</v>
      </c>
      <c r="C45" s="27" t="s">
        <v>10</v>
      </c>
      <c r="D45" s="25" t="s">
        <v>204</v>
      </c>
      <c r="E45" s="26">
        <v>1</v>
      </c>
      <c r="F45" s="27" t="s">
        <v>10</v>
      </c>
      <c r="G45" s="25" t="s">
        <v>204</v>
      </c>
      <c r="H45" s="26">
        <v>1</v>
      </c>
      <c r="I45" s="27" t="s">
        <v>10</v>
      </c>
      <c r="J45" s="25" t="s">
        <v>204</v>
      </c>
      <c r="K45" s="26">
        <v>1</v>
      </c>
      <c r="L45" s="27" t="s">
        <v>10</v>
      </c>
      <c r="M45" s="25" t="s">
        <v>204</v>
      </c>
      <c r="N45" s="26">
        <v>1</v>
      </c>
      <c r="O45" s="27" t="s">
        <v>10</v>
      </c>
    </row>
    <row r="46" spans="1:15">
      <c r="A46" s="22" t="s">
        <v>205</v>
      </c>
      <c r="B46" s="23"/>
      <c r="C46" s="23"/>
      <c r="D46" s="22" t="s">
        <v>205</v>
      </c>
      <c r="E46" s="23"/>
      <c r="F46" s="23"/>
      <c r="G46" s="22" t="s">
        <v>205</v>
      </c>
      <c r="H46" s="23"/>
      <c r="I46" s="23"/>
      <c r="J46" s="22" t="s">
        <v>205</v>
      </c>
      <c r="K46" s="23"/>
      <c r="L46" s="23"/>
      <c r="M46" s="22" t="s">
        <v>205</v>
      </c>
      <c r="N46" s="23"/>
      <c r="O46" s="23"/>
    </row>
    <row r="47" spans="1:15">
      <c r="A47" s="30" t="s">
        <v>325</v>
      </c>
      <c r="B47" s="31">
        <v>30</v>
      </c>
      <c r="C47" s="32" t="s">
        <v>134</v>
      </c>
      <c r="D47" s="30" t="s">
        <v>137</v>
      </c>
      <c r="E47" s="31">
        <v>30</v>
      </c>
      <c r="F47" s="32" t="s">
        <v>134</v>
      </c>
      <c r="G47" s="30" t="s">
        <v>137</v>
      </c>
      <c r="H47" s="31">
        <v>30</v>
      </c>
      <c r="I47" s="32" t="s">
        <v>134</v>
      </c>
      <c r="J47" s="30" t="s">
        <v>325</v>
      </c>
      <c r="K47" s="31">
        <v>30</v>
      </c>
      <c r="L47" s="32" t="s">
        <v>134</v>
      </c>
      <c r="M47" s="30" t="s">
        <v>325</v>
      </c>
      <c r="N47" s="31">
        <v>30</v>
      </c>
      <c r="O47" s="32" t="s">
        <v>134</v>
      </c>
    </row>
    <row r="48" spans="1:15">
      <c r="A48" s="30" t="s">
        <v>206</v>
      </c>
      <c r="B48" s="31">
        <v>20</v>
      </c>
      <c r="C48" s="32" t="s">
        <v>134</v>
      </c>
      <c r="D48" s="10" t="s">
        <v>206</v>
      </c>
      <c r="E48" s="31">
        <v>20</v>
      </c>
      <c r="F48" s="32" t="s">
        <v>134</v>
      </c>
      <c r="G48" s="10" t="s">
        <v>363</v>
      </c>
      <c r="H48" s="31">
        <v>20</v>
      </c>
      <c r="I48" s="32" t="s">
        <v>134</v>
      </c>
      <c r="J48" s="30" t="s">
        <v>363</v>
      </c>
      <c r="K48" s="31">
        <v>20</v>
      </c>
      <c r="L48" s="32" t="s">
        <v>134</v>
      </c>
      <c r="M48" s="30" t="s">
        <v>206</v>
      </c>
      <c r="N48" s="31">
        <v>20</v>
      </c>
      <c r="O48" s="32" t="s">
        <v>134</v>
      </c>
    </row>
    <row r="49" spans="1:15">
      <c r="A49" s="30" t="s">
        <v>207</v>
      </c>
      <c r="B49" s="31">
        <v>1</v>
      </c>
      <c r="C49" s="32" t="s">
        <v>10</v>
      </c>
      <c r="D49" s="30" t="s">
        <v>207</v>
      </c>
      <c r="E49" s="31">
        <v>1</v>
      </c>
      <c r="F49" s="32" t="s">
        <v>10</v>
      </c>
      <c r="G49" s="30" t="s">
        <v>207</v>
      </c>
      <c r="H49" s="31">
        <v>1</v>
      </c>
      <c r="I49" s="32" t="s">
        <v>10</v>
      </c>
      <c r="J49" s="30" t="s">
        <v>322</v>
      </c>
      <c r="K49" s="31">
        <v>30</v>
      </c>
      <c r="L49" s="32" t="s">
        <v>134</v>
      </c>
      <c r="M49" s="30" t="s">
        <v>207</v>
      </c>
      <c r="N49" s="31">
        <v>1</v>
      </c>
      <c r="O49" s="32" t="s">
        <v>10</v>
      </c>
    </row>
    <row r="50" spans="1:15">
      <c r="A50" s="30" t="s">
        <v>208</v>
      </c>
      <c r="B50" s="31">
        <v>1</v>
      </c>
      <c r="C50" s="32" t="s">
        <v>10</v>
      </c>
      <c r="D50" s="30" t="s">
        <v>208</v>
      </c>
      <c r="E50" s="31">
        <v>1</v>
      </c>
      <c r="F50" s="32" t="s">
        <v>10</v>
      </c>
      <c r="G50" s="30" t="s">
        <v>208</v>
      </c>
      <c r="H50" s="31">
        <v>1</v>
      </c>
      <c r="I50" s="32" t="s">
        <v>10</v>
      </c>
      <c r="J50" s="30" t="s">
        <v>208</v>
      </c>
      <c r="K50" s="31">
        <v>1</v>
      </c>
      <c r="L50" s="32" t="s">
        <v>10</v>
      </c>
      <c r="M50" s="30" t="s">
        <v>208</v>
      </c>
      <c r="N50" s="31">
        <v>1</v>
      </c>
      <c r="O50" s="32" t="s">
        <v>10</v>
      </c>
    </row>
    <row r="51" spans="1:15">
      <c r="A51" s="30" t="s">
        <v>209</v>
      </c>
      <c r="B51" s="31" t="s">
        <v>210</v>
      </c>
      <c r="C51" s="32" t="s">
        <v>19</v>
      </c>
      <c r="D51" s="30" t="s">
        <v>209</v>
      </c>
      <c r="E51" s="31" t="s">
        <v>210</v>
      </c>
      <c r="F51" s="32" t="s">
        <v>19</v>
      </c>
      <c r="G51" s="30" t="s">
        <v>209</v>
      </c>
      <c r="H51" s="31" t="s">
        <v>210</v>
      </c>
      <c r="I51" s="32" t="s">
        <v>19</v>
      </c>
      <c r="J51" s="30" t="s">
        <v>209</v>
      </c>
      <c r="K51" s="31" t="s">
        <v>210</v>
      </c>
      <c r="L51" s="32" t="s">
        <v>19</v>
      </c>
      <c r="M51" s="30" t="s">
        <v>209</v>
      </c>
      <c r="N51" s="31" t="s">
        <v>210</v>
      </c>
      <c r="O51" s="32" t="s">
        <v>19</v>
      </c>
    </row>
    <row r="52" spans="1:15">
      <c r="A52" s="30" t="s">
        <v>140</v>
      </c>
      <c r="B52" s="31">
        <v>10</v>
      </c>
      <c r="C52" s="32" t="s">
        <v>19</v>
      </c>
      <c r="D52" s="30" t="s">
        <v>140</v>
      </c>
      <c r="E52" s="31">
        <v>10</v>
      </c>
      <c r="F52" s="32" t="s">
        <v>19</v>
      </c>
      <c r="G52" s="30" t="s">
        <v>140</v>
      </c>
      <c r="H52" s="31">
        <v>10</v>
      </c>
      <c r="I52" s="32" t="s">
        <v>19</v>
      </c>
      <c r="J52" s="30" t="s">
        <v>140</v>
      </c>
      <c r="K52" s="31">
        <v>10</v>
      </c>
      <c r="L52" s="32" t="s">
        <v>19</v>
      </c>
      <c r="M52" s="30" t="s">
        <v>140</v>
      </c>
      <c r="N52" s="31">
        <v>10</v>
      </c>
      <c r="O52" s="32" t="s">
        <v>19</v>
      </c>
    </row>
    <row r="53" spans="1:15">
      <c r="A53" s="30" t="s">
        <v>211</v>
      </c>
      <c r="B53" s="31">
        <v>1</v>
      </c>
      <c r="C53" s="32" t="s">
        <v>212</v>
      </c>
      <c r="D53" s="30" t="s">
        <v>211</v>
      </c>
      <c r="E53" s="31">
        <v>1</v>
      </c>
      <c r="F53" s="32" t="s">
        <v>212</v>
      </c>
      <c r="G53" s="30" t="s">
        <v>211</v>
      </c>
      <c r="H53" s="31">
        <v>1</v>
      </c>
      <c r="I53" s="32" t="s">
        <v>212</v>
      </c>
      <c r="J53" s="30" t="s">
        <v>211</v>
      </c>
      <c r="K53" s="31">
        <v>1</v>
      </c>
      <c r="L53" s="32" t="s">
        <v>212</v>
      </c>
      <c r="M53" s="30" t="s">
        <v>211</v>
      </c>
      <c r="N53" s="31">
        <v>1</v>
      </c>
      <c r="O53" s="32" t="s">
        <v>212</v>
      </c>
    </row>
    <row r="54" spans="1:15">
      <c r="A54" s="30" t="s">
        <v>213</v>
      </c>
      <c r="B54" s="31">
        <v>25</v>
      </c>
      <c r="C54" s="32" t="s">
        <v>134</v>
      </c>
      <c r="D54" s="30" t="s">
        <v>213</v>
      </c>
      <c r="E54" s="31">
        <v>25</v>
      </c>
      <c r="F54" s="32" t="s">
        <v>134</v>
      </c>
      <c r="G54" s="30" t="s">
        <v>213</v>
      </c>
      <c r="H54" s="31">
        <v>25</v>
      </c>
      <c r="I54" s="32" t="s">
        <v>134</v>
      </c>
      <c r="J54" s="30" t="s">
        <v>213</v>
      </c>
      <c r="K54" s="31">
        <v>25</v>
      </c>
      <c r="L54" s="32" t="s">
        <v>134</v>
      </c>
      <c r="M54" s="30" t="s">
        <v>213</v>
      </c>
      <c r="N54" s="31">
        <v>25</v>
      </c>
      <c r="O54" s="32" t="s">
        <v>134</v>
      </c>
    </row>
    <row r="55" spans="1:15">
      <c r="A55" s="30"/>
      <c r="B55" s="31"/>
      <c r="C55" s="32"/>
      <c r="D55" s="30"/>
      <c r="E55" s="31"/>
      <c r="F55" s="32"/>
      <c r="G55" s="30"/>
      <c r="H55" s="31"/>
      <c r="I55" s="32"/>
      <c r="J55" s="30"/>
      <c r="K55" s="31"/>
      <c r="L55" s="32"/>
      <c r="M55" s="30"/>
      <c r="N55" s="31"/>
      <c r="O55" s="32"/>
    </row>
    <row r="56" spans="1:15">
      <c r="D56" s="16"/>
      <c r="E56" s="17"/>
      <c r="F56" s="17"/>
      <c r="G56" s="16"/>
      <c r="H56" s="17"/>
      <c r="I56" s="17"/>
    </row>
    <row r="57" spans="1:15">
      <c r="D57" s="16"/>
      <c r="E57" s="17"/>
      <c r="F57" s="17"/>
      <c r="G57" s="16"/>
      <c r="H57" s="17"/>
      <c r="I57" s="17"/>
    </row>
    <row r="58" spans="1:15">
      <c r="D58" s="16"/>
      <c r="E58" s="17"/>
      <c r="F58" s="17"/>
      <c r="G58" s="16"/>
      <c r="H58" s="17"/>
      <c r="I58" s="17"/>
    </row>
    <row r="59" spans="1:15">
      <c r="D59" s="16"/>
      <c r="E59" s="17"/>
      <c r="F59" s="17"/>
      <c r="G59" s="16"/>
      <c r="H59" s="17"/>
      <c r="I59" s="17"/>
    </row>
    <row r="60" spans="1:15">
      <c r="D60" s="16"/>
      <c r="E60" s="17"/>
      <c r="F60" s="17"/>
      <c r="G60" s="16"/>
      <c r="H60" s="17"/>
      <c r="I60" s="17"/>
    </row>
    <row r="61" spans="1:15">
      <c r="D61" s="16"/>
      <c r="E61" s="17"/>
      <c r="F61" s="17"/>
      <c r="G61" s="16"/>
      <c r="H61" s="17"/>
      <c r="I61" s="17"/>
    </row>
    <row r="62" spans="1:15">
      <c r="D62" s="16"/>
      <c r="E62" s="17"/>
      <c r="F62" s="17"/>
      <c r="G62" s="16"/>
      <c r="H62" s="17"/>
      <c r="I62" s="17"/>
    </row>
    <row r="63" spans="1:15">
      <c r="D63" s="16"/>
      <c r="E63" s="17"/>
      <c r="F63" s="17"/>
      <c r="G63" s="16"/>
      <c r="H63" s="17"/>
      <c r="I63" s="17"/>
    </row>
    <row r="64" spans="1:15">
      <c r="D64" s="16"/>
      <c r="E64" s="17"/>
      <c r="F64" s="17"/>
      <c r="G64" s="16"/>
      <c r="H64" s="17"/>
      <c r="I64" s="17"/>
    </row>
    <row r="65" spans="4:9">
      <c r="D65" s="16"/>
      <c r="E65" s="17"/>
      <c r="F65" s="17"/>
      <c r="G65" s="16"/>
      <c r="H65" s="17"/>
      <c r="I65" s="17"/>
    </row>
    <row r="66" spans="4:9">
      <c r="D66" s="16"/>
      <c r="E66" s="17"/>
      <c r="F66" s="17"/>
      <c r="G66" s="16"/>
      <c r="H66" s="17"/>
      <c r="I66" s="17"/>
    </row>
    <row r="67" spans="4:9">
      <c r="D67" s="16"/>
      <c r="E67" s="17"/>
      <c r="F67" s="17"/>
      <c r="G67" s="16"/>
      <c r="H67" s="17"/>
      <c r="I67" s="17"/>
    </row>
    <row r="68" spans="4:9">
      <c r="D68" s="16"/>
      <c r="E68" s="17"/>
      <c r="F68" s="17"/>
      <c r="G68" s="16"/>
      <c r="H68" s="17"/>
      <c r="I68" s="17"/>
    </row>
  </sheetData>
  <pageMargins left="0.7" right="0.7" top="0.75" bottom="0.75" header="0.3" footer="0.3"/>
  <pageSetup scale="4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F9A7-05CD-4415-A821-28085CDD6465}">
  <sheetPr>
    <pageSetUpPr fitToPage="1"/>
  </sheetPr>
  <dimension ref="A1:AA51"/>
  <sheetViews>
    <sheetView topLeftCell="S1" zoomScale="120" zoomScaleNormal="120" workbookViewId="0">
      <selection activeCell="W30" sqref="W30"/>
    </sheetView>
  </sheetViews>
  <sheetFormatPr defaultRowHeight="14.4"/>
  <cols>
    <col min="1" max="1" width="32.6640625" style="16" customWidth="1"/>
    <col min="2" max="3" width="10.6640625" style="17" customWidth="1"/>
    <col min="4" max="4" width="38.88671875" customWidth="1"/>
    <col min="7" max="7" width="28.44140625" customWidth="1"/>
    <col min="10" max="10" width="33" customWidth="1"/>
    <col min="13" max="13" width="29.88671875" customWidth="1"/>
    <col min="16" max="16" width="38.109375" customWidth="1"/>
    <col min="19" max="19" width="33.5546875" customWidth="1"/>
    <col min="22" max="22" width="32.88671875" customWidth="1"/>
    <col min="25" max="25" width="38.109375" customWidth="1"/>
  </cols>
  <sheetData>
    <row r="1" spans="1:27" ht="34.799999999999997">
      <c r="A1" s="19" t="s">
        <v>364</v>
      </c>
      <c r="B1" s="20"/>
      <c r="C1" s="20"/>
      <c r="D1" s="19" t="s">
        <v>365</v>
      </c>
      <c r="E1" s="20"/>
      <c r="F1" s="20"/>
      <c r="G1" s="19" t="s">
        <v>366</v>
      </c>
      <c r="H1" s="20"/>
      <c r="I1" s="20"/>
      <c r="J1" s="19" t="s">
        <v>367</v>
      </c>
      <c r="K1" s="20"/>
      <c r="L1" s="20"/>
      <c r="M1" s="19" t="s">
        <v>368</v>
      </c>
      <c r="N1" s="20"/>
      <c r="O1" s="20"/>
      <c r="P1" s="19" t="s">
        <v>369</v>
      </c>
      <c r="Q1" s="20"/>
      <c r="R1" s="20"/>
      <c r="S1" s="19" t="s">
        <v>370</v>
      </c>
      <c r="T1" s="20"/>
      <c r="U1" s="20"/>
      <c r="V1" s="19" t="s">
        <v>371</v>
      </c>
      <c r="W1" s="20"/>
      <c r="X1" s="20"/>
      <c r="Y1" s="19" t="s">
        <v>372</v>
      </c>
      <c r="Z1" s="20"/>
      <c r="AA1" s="20"/>
    </row>
    <row r="2" spans="1:27" ht="20.25" customHeight="1">
      <c r="A2" s="4" t="s">
        <v>1</v>
      </c>
      <c r="B2" s="4" t="s">
        <v>2</v>
      </c>
      <c r="C2" s="4" t="s">
        <v>3</v>
      </c>
      <c r="D2" s="4" t="s">
        <v>1</v>
      </c>
      <c r="E2" s="4" t="s">
        <v>2</v>
      </c>
      <c r="F2" s="4" t="s">
        <v>3</v>
      </c>
      <c r="G2" s="4" t="s">
        <v>1</v>
      </c>
      <c r="H2" s="4" t="s">
        <v>2</v>
      </c>
      <c r="I2" s="4" t="s">
        <v>3</v>
      </c>
      <c r="J2" s="4" t="s">
        <v>1</v>
      </c>
      <c r="K2" s="4" t="s">
        <v>2</v>
      </c>
      <c r="L2" s="4" t="s">
        <v>3</v>
      </c>
      <c r="M2" s="4" t="s">
        <v>1</v>
      </c>
      <c r="N2" s="4" t="s">
        <v>2</v>
      </c>
      <c r="O2" s="4" t="s">
        <v>3</v>
      </c>
      <c r="P2" s="4" t="s">
        <v>1</v>
      </c>
      <c r="Q2" s="4" t="s">
        <v>2</v>
      </c>
      <c r="R2" s="4" t="s">
        <v>3</v>
      </c>
      <c r="S2" s="4" t="s">
        <v>1</v>
      </c>
      <c r="T2" s="4" t="s">
        <v>2</v>
      </c>
      <c r="U2" s="4" t="s">
        <v>3</v>
      </c>
      <c r="V2" s="4" t="s">
        <v>1</v>
      </c>
      <c r="W2" s="4" t="s">
        <v>2</v>
      </c>
      <c r="X2" s="4" t="s">
        <v>3</v>
      </c>
      <c r="Y2" s="4" t="s">
        <v>1</v>
      </c>
      <c r="Z2" s="4" t="s">
        <v>2</v>
      </c>
      <c r="AA2" s="4" t="s">
        <v>3</v>
      </c>
    </row>
    <row r="3" spans="1:27" ht="20.25" customHeight="1">
      <c r="A3" s="22" t="s">
        <v>215</v>
      </c>
      <c r="B3" s="23"/>
      <c r="C3" s="23"/>
      <c r="D3" s="22" t="s">
        <v>215</v>
      </c>
      <c r="E3" s="23"/>
      <c r="F3" s="23"/>
      <c r="G3" s="22" t="s">
        <v>215</v>
      </c>
      <c r="H3" s="23"/>
      <c r="I3" s="23"/>
      <c r="J3" s="22" t="s">
        <v>215</v>
      </c>
      <c r="K3" s="23"/>
      <c r="L3" s="23"/>
      <c r="M3" s="22" t="s">
        <v>215</v>
      </c>
      <c r="N3" s="23"/>
      <c r="O3" s="23"/>
      <c r="P3" s="22" t="s">
        <v>162</v>
      </c>
      <c r="Q3" s="23"/>
      <c r="R3" s="23"/>
      <c r="S3" s="22" t="s">
        <v>162</v>
      </c>
      <c r="T3" s="23"/>
      <c r="U3" s="23"/>
      <c r="V3" s="22" t="s">
        <v>162</v>
      </c>
      <c r="W3" s="23"/>
      <c r="X3" s="23"/>
      <c r="Y3" s="22" t="s">
        <v>162</v>
      </c>
      <c r="Z3" s="23"/>
      <c r="AA3" s="23"/>
    </row>
    <row r="4" spans="1:27" ht="20.25" customHeight="1">
      <c r="A4" s="25" t="s">
        <v>195</v>
      </c>
      <c r="B4" s="26">
        <v>1</v>
      </c>
      <c r="C4" s="27" t="s">
        <v>10</v>
      </c>
      <c r="D4" s="25" t="s">
        <v>195</v>
      </c>
      <c r="E4" s="26">
        <v>1</v>
      </c>
      <c r="F4" s="27" t="s">
        <v>10</v>
      </c>
      <c r="G4" s="25" t="s">
        <v>195</v>
      </c>
      <c r="H4" s="26">
        <v>1</v>
      </c>
      <c r="I4" s="27" t="s">
        <v>10</v>
      </c>
      <c r="J4" s="25" t="s">
        <v>195</v>
      </c>
      <c r="K4" s="26">
        <v>1</v>
      </c>
      <c r="L4" s="27" t="s">
        <v>10</v>
      </c>
      <c r="M4" s="25" t="s">
        <v>195</v>
      </c>
      <c r="N4" s="26">
        <v>1</v>
      </c>
      <c r="O4" s="27" t="s">
        <v>10</v>
      </c>
      <c r="P4" s="55" t="s">
        <v>122</v>
      </c>
      <c r="Q4" s="56">
        <v>1</v>
      </c>
      <c r="R4" s="57" t="s">
        <v>10</v>
      </c>
      <c r="S4" s="55" t="s">
        <v>122</v>
      </c>
      <c r="T4" s="56">
        <v>1</v>
      </c>
      <c r="U4" s="57" t="s">
        <v>10</v>
      </c>
      <c r="V4" s="55" t="s">
        <v>122</v>
      </c>
      <c r="W4" s="56">
        <v>1</v>
      </c>
      <c r="X4" s="57" t="s">
        <v>10</v>
      </c>
      <c r="Y4" s="55" t="s">
        <v>122</v>
      </c>
      <c r="Z4" s="56">
        <v>1</v>
      </c>
      <c r="AA4" s="57" t="s">
        <v>10</v>
      </c>
    </row>
    <row r="5" spans="1:27" ht="20.25" customHeight="1">
      <c r="A5" s="25" t="s">
        <v>216</v>
      </c>
      <c r="B5" s="26">
        <v>1</v>
      </c>
      <c r="C5" s="27" t="s">
        <v>10</v>
      </c>
      <c r="D5" s="25" t="s">
        <v>216</v>
      </c>
      <c r="E5" s="26">
        <v>1</v>
      </c>
      <c r="F5" s="27" t="s">
        <v>10</v>
      </c>
      <c r="G5" s="25" t="s">
        <v>216</v>
      </c>
      <c r="H5" s="26">
        <v>1</v>
      </c>
      <c r="I5" s="27" t="s">
        <v>10</v>
      </c>
      <c r="J5" s="25" t="s">
        <v>216</v>
      </c>
      <c r="K5" s="26">
        <v>1</v>
      </c>
      <c r="L5" s="27" t="s">
        <v>10</v>
      </c>
      <c r="M5" s="25" t="s">
        <v>216</v>
      </c>
      <c r="N5" s="26">
        <v>1</v>
      </c>
      <c r="O5" s="27" t="s">
        <v>10</v>
      </c>
      <c r="P5" s="55" t="s">
        <v>123</v>
      </c>
      <c r="Q5" s="56">
        <v>1</v>
      </c>
      <c r="R5" s="57" t="s">
        <v>10</v>
      </c>
      <c r="S5" s="55" t="s">
        <v>123</v>
      </c>
      <c r="T5" s="56">
        <v>1</v>
      </c>
      <c r="U5" s="57" t="s">
        <v>10</v>
      </c>
      <c r="V5" s="55" t="s">
        <v>123</v>
      </c>
      <c r="W5" s="56">
        <v>1</v>
      </c>
      <c r="X5" s="57" t="s">
        <v>10</v>
      </c>
      <c r="Y5" s="55" t="s">
        <v>123</v>
      </c>
      <c r="Z5" s="56">
        <v>1</v>
      </c>
      <c r="AA5" s="57" t="s">
        <v>10</v>
      </c>
    </row>
    <row r="6" spans="1:27" ht="20.25" customHeight="1">
      <c r="A6" s="25" t="s">
        <v>217</v>
      </c>
      <c r="B6" s="26">
        <v>1</v>
      </c>
      <c r="C6" s="27" t="s">
        <v>10</v>
      </c>
      <c r="D6" s="25" t="s">
        <v>217</v>
      </c>
      <c r="E6" s="26">
        <v>1</v>
      </c>
      <c r="F6" s="27" t="s">
        <v>10</v>
      </c>
      <c r="G6" s="25" t="s">
        <v>217</v>
      </c>
      <c r="H6" s="26">
        <v>1</v>
      </c>
      <c r="I6" s="27" t="s">
        <v>10</v>
      </c>
      <c r="J6" s="25" t="s">
        <v>217</v>
      </c>
      <c r="K6" s="26">
        <v>1</v>
      </c>
      <c r="L6" s="27" t="s">
        <v>10</v>
      </c>
      <c r="M6" s="25" t="s">
        <v>217</v>
      </c>
      <c r="N6" s="26">
        <v>1</v>
      </c>
      <c r="O6" s="27" t="s">
        <v>10</v>
      </c>
      <c r="P6" s="55" t="s">
        <v>163</v>
      </c>
      <c r="Q6" s="56">
        <v>1</v>
      </c>
      <c r="R6" s="57" t="s">
        <v>10</v>
      </c>
      <c r="S6" s="55" t="s">
        <v>163</v>
      </c>
      <c r="T6" s="56">
        <v>1</v>
      </c>
      <c r="U6" s="57" t="s">
        <v>10</v>
      </c>
      <c r="V6" s="55" t="s">
        <v>163</v>
      </c>
      <c r="W6" s="56">
        <v>1</v>
      </c>
      <c r="X6" s="57" t="s">
        <v>10</v>
      </c>
      <c r="Y6" s="55" t="s">
        <v>163</v>
      </c>
      <c r="Z6" s="56">
        <v>1</v>
      </c>
      <c r="AA6" s="57" t="s">
        <v>10</v>
      </c>
    </row>
    <row r="7" spans="1:27" ht="20.25" customHeight="1">
      <c r="A7" s="25" t="s">
        <v>218</v>
      </c>
      <c r="B7" s="26">
        <v>1</v>
      </c>
      <c r="C7" s="27" t="s">
        <v>10</v>
      </c>
      <c r="D7" s="25" t="s">
        <v>218</v>
      </c>
      <c r="E7" s="26">
        <v>1</v>
      </c>
      <c r="F7" s="27" t="s">
        <v>10</v>
      </c>
      <c r="G7" s="25" t="s">
        <v>218</v>
      </c>
      <c r="H7" s="26">
        <v>1</v>
      </c>
      <c r="I7" s="27" t="s">
        <v>10</v>
      </c>
      <c r="J7" s="25" t="s">
        <v>218</v>
      </c>
      <c r="K7" s="26">
        <v>1</v>
      </c>
      <c r="L7" s="27" t="s">
        <v>10</v>
      </c>
      <c r="M7" s="25" t="s">
        <v>218</v>
      </c>
      <c r="N7" s="26">
        <v>1</v>
      </c>
      <c r="O7" s="27" t="s">
        <v>10</v>
      </c>
      <c r="P7" s="55" t="s">
        <v>164</v>
      </c>
      <c r="Q7" s="56">
        <v>1</v>
      </c>
      <c r="R7" s="57" t="s">
        <v>10</v>
      </c>
      <c r="S7" s="55" t="s">
        <v>164</v>
      </c>
      <c r="T7" s="56">
        <v>1</v>
      </c>
      <c r="U7" s="57" t="s">
        <v>10</v>
      </c>
      <c r="V7" s="55" t="s">
        <v>164</v>
      </c>
      <c r="W7" s="56">
        <v>1</v>
      </c>
      <c r="X7" s="57" t="s">
        <v>10</v>
      </c>
      <c r="Y7" s="55" t="s">
        <v>164</v>
      </c>
      <c r="Z7" s="56">
        <v>1</v>
      </c>
      <c r="AA7" s="57" t="s">
        <v>10</v>
      </c>
    </row>
    <row r="8" spans="1:27" ht="20.25" customHeight="1">
      <c r="A8" s="25" t="s">
        <v>219</v>
      </c>
      <c r="B8" s="26">
        <v>1</v>
      </c>
      <c r="C8" s="27" t="s">
        <v>10</v>
      </c>
      <c r="D8" s="25" t="s">
        <v>219</v>
      </c>
      <c r="E8" s="26">
        <v>1</v>
      </c>
      <c r="F8" s="27" t="s">
        <v>10</v>
      </c>
      <c r="G8" s="25" t="s">
        <v>219</v>
      </c>
      <c r="H8" s="26">
        <v>1</v>
      </c>
      <c r="I8" s="27" t="s">
        <v>10</v>
      </c>
      <c r="J8" s="25" t="s">
        <v>219</v>
      </c>
      <c r="K8" s="26">
        <v>1</v>
      </c>
      <c r="L8" s="27" t="s">
        <v>10</v>
      </c>
      <c r="M8" s="25" t="s">
        <v>219</v>
      </c>
      <c r="N8" s="26">
        <v>1</v>
      </c>
      <c r="O8" s="27" t="s">
        <v>10</v>
      </c>
      <c r="P8" s="55" t="s">
        <v>165</v>
      </c>
      <c r="Q8" s="56">
        <v>1</v>
      </c>
      <c r="R8" s="57" t="s">
        <v>10</v>
      </c>
      <c r="S8" s="55" t="s">
        <v>165</v>
      </c>
      <c r="T8" s="56">
        <v>1</v>
      </c>
      <c r="U8" s="57" t="s">
        <v>10</v>
      </c>
      <c r="V8" s="55" t="s">
        <v>165</v>
      </c>
      <c r="W8" s="56">
        <v>1</v>
      </c>
      <c r="X8" s="57" t="s">
        <v>10</v>
      </c>
      <c r="Y8" s="55" t="s">
        <v>165</v>
      </c>
      <c r="Z8" s="56">
        <v>1</v>
      </c>
      <c r="AA8" s="57" t="s">
        <v>10</v>
      </c>
    </row>
    <row r="9" spans="1:27" ht="20.25" customHeight="1">
      <c r="A9" s="25" t="s">
        <v>220</v>
      </c>
      <c r="B9" s="26">
        <v>1</v>
      </c>
      <c r="C9" s="27" t="s">
        <v>10</v>
      </c>
      <c r="D9" s="25" t="s">
        <v>220</v>
      </c>
      <c r="E9" s="26">
        <v>1</v>
      </c>
      <c r="F9" s="27" t="s">
        <v>10</v>
      </c>
      <c r="G9" s="25" t="s">
        <v>220</v>
      </c>
      <c r="H9" s="26">
        <v>1</v>
      </c>
      <c r="I9" s="27" t="s">
        <v>10</v>
      </c>
      <c r="J9" s="25" t="s">
        <v>220</v>
      </c>
      <c r="K9" s="26">
        <v>1</v>
      </c>
      <c r="L9" s="27" t="s">
        <v>10</v>
      </c>
      <c r="M9" s="25" t="s">
        <v>220</v>
      </c>
      <c r="N9" s="26">
        <v>1</v>
      </c>
      <c r="O9" s="27" t="s">
        <v>10</v>
      </c>
      <c r="P9" s="55" t="s">
        <v>166</v>
      </c>
      <c r="Q9" s="56">
        <v>1</v>
      </c>
      <c r="R9" s="57" t="s">
        <v>10</v>
      </c>
      <c r="S9" s="55" t="s">
        <v>166</v>
      </c>
      <c r="T9" s="56">
        <v>1</v>
      </c>
      <c r="U9" s="57" t="s">
        <v>10</v>
      </c>
      <c r="V9" s="55" t="s">
        <v>166</v>
      </c>
      <c r="W9" s="56">
        <v>1</v>
      </c>
      <c r="X9" s="57" t="s">
        <v>10</v>
      </c>
      <c r="Y9" s="55" t="s">
        <v>166</v>
      </c>
      <c r="Z9" s="56">
        <v>1</v>
      </c>
      <c r="AA9" s="57" t="s">
        <v>10</v>
      </c>
    </row>
    <row r="10" spans="1:27" ht="20.25" customHeight="1">
      <c r="A10" s="25" t="s">
        <v>221</v>
      </c>
      <c r="B10" s="26">
        <v>1</v>
      </c>
      <c r="C10" s="27" t="s">
        <v>10</v>
      </c>
      <c r="D10" s="25" t="s">
        <v>221</v>
      </c>
      <c r="E10" s="26">
        <v>1</v>
      </c>
      <c r="F10" s="27" t="s">
        <v>10</v>
      </c>
      <c r="G10" s="25" t="s">
        <v>221</v>
      </c>
      <c r="H10" s="26">
        <v>1</v>
      </c>
      <c r="I10" s="27" t="s">
        <v>10</v>
      </c>
      <c r="J10" s="25" t="s">
        <v>221</v>
      </c>
      <c r="K10" s="26">
        <v>1</v>
      </c>
      <c r="L10" s="27" t="s">
        <v>10</v>
      </c>
      <c r="M10" s="25" t="s">
        <v>221</v>
      </c>
      <c r="N10" s="26">
        <v>1</v>
      </c>
      <c r="O10" s="27" t="s">
        <v>10</v>
      </c>
      <c r="P10" s="55" t="s">
        <v>167</v>
      </c>
      <c r="Q10" s="56">
        <v>1</v>
      </c>
      <c r="R10" s="57" t="s">
        <v>10</v>
      </c>
      <c r="S10" s="55" t="s">
        <v>167</v>
      </c>
      <c r="T10" s="56">
        <v>1</v>
      </c>
      <c r="U10" s="57" t="s">
        <v>10</v>
      </c>
      <c r="V10" s="55" t="s">
        <v>167</v>
      </c>
      <c r="W10" s="56">
        <v>1</v>
      </c>
      <c r="X10" s="57" t="s">
        <v>10</v>
      </c>
      <c r="Y10" s="55" t="s">
        <v>167</v>
      </c>
      <c r="Z10" s="56">
        <v>1</v>
      </c>
      <c r="AA10" s="57" t="s">
        <v>10</v>
      </c>
    </row>
    <row r="11" spans="1:27" ht="20.25" customHeight="1">
      <c r="A11" s="25" t="s">
        <v>222</v>
      </c>
      <c r="B11" s="26">
        <v>1</v>
      </c>
      <c r="C11" s="27" t="s">
        <v>10</v>
      </c>
      <c r="D11" s="25" t="s">
        <v>222</v>
      </c>
      <c r="E11" s="26">
        <v>1</v>
      </c>
      <c r="F11" s="27" t="s">
        <v>10</v>
      </c>
      <c r="G11" s="25" t="s">
        <v>222</v>
      </c>
      <c r="H11" s="26">
        <v>1</v>
      </c>
      <c r="I11" s="27" t="s">
        <v>10</v>
      </c>
      <c r="J11" s="25" t="s">
        <v>222</v>
      </c>
      <c r="K11" s="26">
        <v>1</v>
      </c>
      <c r="L11" s="27" t="s">
        <v>10</v>
      </c>
      <c r="M11" s="25" t="s">
        <v>222</v>
      </c>
      <c r="N11" s="26">
        <v>1</v>
      </c>
      <c r="O11" s="27" t="s">
        <v>10</v>
      </c>
      <c r="P11" s="55" t="s">
        <v>168</v>
      </c>
      <c r="Q11" s="56">
        <v>1</v>
      </c>
      <c r="R11" s="57" t="s">
        <v>10</v>
      </c>
      <c r="S11" s="55" t="s">
        <v>168</v>
      </c>
      <c r="T11" s="56">
        <v>1</v>
      </c>
      <c r="U11" s="57" t="s">
        <v>10</v>
      </c>
      <c r="V11" s="55" t="s">
        <v>168</v>
      </c>
      <c r="W11" s="56">
        <v>1</v>
      </c>
      <c r="X11" s="57" t="s">
        <v>10</v>
      </c>
      <c r="Y11" s="55" t="s">
        <v>168</v>
      </c>
      <c r="Z11" s="56">
        <v>1</v>
      </c>
      <c r="AA11" s="57" t="s">
        <v>10</v>
      </c>
    </row>
    <row r="12" spans="1:27">
      <c r="A12" s="25" t="s">
        <v>201</v>
      </c>
      <c r="B12" s="26">
        <v>1</v>
      </c>
      <c r="C12" s="27" t="s">
        <v>10</v>
      </c>
      <c r="D12" s="25" t="s">
        <v>201</v>
      </c>
      <c r="E12" s="26">
        <v>1</v>
      </c>
      <c r="F12" s="27" t="s">
        <v>10</v>
      </c>
      <c r="G12" s="55" t="s">
        <v>373</v>
      </c>
      <c r="H12" s="26">
        <v>1</v>
      </c>
      <c r="I12" s="27" t="s">
        <v>10</v>
      </c>
      <c r="J12" s="55" t="s">
        <v>373</v>
      </c>
      <c r="K12" s="26">
        <v>1</v>
      </c>
      <c r="L12" s="27" t="s">
        <v>10</v>
      </c>
      <c r="M12" s="25" t="s">
        <v>201</v>
      </c>
      <c r="N12" s="26">
        <v>1</v>
      </c>
      <c r="O12" s="27" t="s">
        <v>10</v>
      </c>
      <c r="P12" s="55" t="s">
        <v>169</v>
      </c>
      <c r="Q12" s="56">
        <v>1</v>
      </c>
      <c r="R12" s="57" t="s">
        <v>10</v>
      </c>
      <c r="S12" s="55" t="s">
        <v>169</v>
      </c>
      <c r="T12" s="56">
        <v>1</v>
      </c>
      <c r="U12" s="57" t="s">
        <v>10</v>
      </c>
      <c r="V12" s="55" t="s">
        <v>169</v>
      </c>
      <c r="W12" s="56">
        <v>1</v>
      </c>
      <c r="X12" s="57" t="s">
        <v>10</v>
      </c>
      <c r="Y12" s="55" t="s">
        <v>169</v>
      </c>
      <c r="Z12" s="56">
        <v>1</v>
      </c>
      <c r="AA12" s="57" t="s">
        <v>10</v>
      </c>
    </row>
    <row r="13" spans="1:27">
      <c r="A13" s="25" t="s">
        <v>374</v>
      </c>
      <c r="B13" s="26">
        <v>1</v>
      </c>
      <c r="C13" s="27" t="s">
        <v>10</v>
      </c>
      <c r="D13" s="25" t="s">
        <v>374</v>
      </c>
      <c r="E13" s="26">
        <v>1</v>
      </c>
      <c r="F13" s="27" t="s">
        <v>10</v>
      </c>
      <c r="G13" s="25" t="s">
        <v>375</v>
      </c>
      <c r="H13" s="26">
        <v>1</v>
      </c>
      <c r="I13" s="27" t="s">
        <v>10</v>
      </c>
      <c r="J13" s="25" t="s">
        <v>375</v>
      </c>
      <c r="K13" s="26">
        <v>1</v>
      </c>
      <c r="L13" s="27" t="s">
        <v>10</v>
      </c>
      <c r="M13" s="25" t="s">
        <v>376</v>
      </c>
      <c r="N13" s="26">
        <v>1</v>
      </c>
      <c r="O13" s="27" t="s">
        <v>10</v>
      </c>
      <c r="P13" s="55" t="s">
        <v>170</v>
      </c>
      <c r="Q13" s="56">
        <v>1</v>
      </c>
      <c r="R13" s="57" t="s">
        <v>10</v>
      </c>
      <c r="S13" s="55" t="s">
        <v>170</v>
      </c>
      <c r="T13" s="56">
        <v>1</v>
      </c>
      <c r="U13" s="57" t="s">
        <v>10</v>
      </c>
      <c r="V13" s="55" t="s">
        <v>170</v>
      </c>
      <c r="W13" s="56">
        <v>1</v>
      </c>
      <c r="X13" s="57" t="s">
        <v>10</v>
      </c>
      <c r="Y13" s="55" t="s">
        <v>170</v>
      </c>
      <c r="Z13" s="56">
        <v>1</v>
      </c>
      <c r="AA13" s="57" t="s">
        <v>10</v>
      </c>
    </row>
    <row r="14" spans="1:27">
      <c r="A14" s="25" t="s">
        <v>377</v>
      </c>
      <c r="B14" s="26">
        <v>1</v>
      </c>
      <c r="C14" s="27" t="s">
        <v>230</v>
      </c>
      <c r="D14" s="25" t="s">
        <v>377</v>
      </c>
      <c r="E14" s="26">
        <v>1</v>
      </c>
      <c r="F14" s="27" t="s">
        <v>230</v>
      </c>
      <c r="G14" s="25" t="s">
        <v>377</v>
      </c>
      <c r="H14" s="26">
        <v>1</v>
      </c>
      <c r="I14" s="27" t="s">
        <v>230</v>
      </c>
      <c r="J14" s="25" t="s">
        <v>377</v>
      </c>
      <c r="K14" s="26">
        <v>1</v>
      </c>
      <c r="L14" s="27" t="s">
        <v>230</v>
      </c>
      <c r="M14" s="25" t="s">
        <v>377</v>
      </c>
      <c r="N14" s="26">
        <v>1</v>
      </c>
      <c r="O14" s="27" t="s">
        <v>230</v>
      </c>
      <c r="P14" s="55"/>
      <c r="Q14" s="56"/>
      <c r="R14" s="57"/>
      <c r="S14" s="55"/>
      <c r="T14" s="56"/>
      <c r="U14" s="57"/>
      <c r="V14" s="55"/>
      <c r="W14" s="56"/>
      <c r="X14" s="57"/>
      <c r="Y14" s="55"/>
      <c r="Z14" s="56"/>
      <c r="AA14" s="57"/>
    </row>
    <row r="15" spans="1:27">
      <c r="A15" s="22" t="s">
        <v>378</v>
      </c>
      <c r="B15" s="23"/>
      <c r="C15" s="23"/>
      <c r="D15" s="22" t="s">
        <v>378</v>
      </c>
      <c r="E15" s="23"/>
      <c r="F15" s="23"/>
      <c r="G15" s="22" t="s">
        <v>378</v>
      </c>
      <c r="H15" s="23"/>
      <c r="I15" s="23"/>
      <c r="J15" s="22" t="s">
        <v>378</v>
      </c>
      <c r="K15" s="23"/>
      <c r="L15" s="23"/>
      <c r="M15" s="22" t="s">
        <v>378</v>
      </c>
      <c r="N15" s="23"/>
      <c r="O15" s="23"/>
      <c r="P15" s="55" t="s">
        <v>171</v>
      </c>
      <c r="Q15" s="56">
        <v>1</v>
      </c>
      <c r="R15" s="57" t="s">
        <v>10</v>
      </c>
      <c r="S15" s="55" t="s">
        <v>171</v>
      </c>
      <c r="T15" s="56">
        <v>1</v>
      </c>
      <c r="U15" s="57" t="s">
        <v>10</v>
      </c>
      <c r="V15" s="55" t="s">
        <v>171</v>
      </c>
      <c r="W15" s="56">
        <v>1</v>
      </c>
      <c r="X15" s="57" t="s">
        <v>10</v>
      </c>
      <c r="Y15" s="55" t="s">
        <v>171</v>
      </c>
      <c r="Z15" s="56">
        <v>1</v>
      </c>
      <c r="AA15" s="57" t="s">
        <v>10</v>
      </c>
    </row>
    <row r="16" spans="1:27">
      <c r="A16" s="30" t="s">
        <v>227</v>
      </c>
      <c r="B16" s="31">
        <v>10</v>
      </c>
      <c r="C16" s="32" t="s">
        <v>19</v>
      </c>
      <c r="D16" s="30" t="s">
        <v>379</v>
      </c>
      <c r="E16" s="31" t="s">
        <v>347</v>
      </c>
      <c r="F16" s="32" t="s">
        <v>19</v>
      </c>
      <c r="G16" s="30" t="s">
        <v>227</v>
      </c>
      <c r="H16" s="31">
        <v>10</v>
      </c>
      <c r="I16" s="32" t="s">
        <v>19</v>
      </c>
      <c r="J16" s="30" t="s">
        <v>227</v>
      </c>
      <c r="K16" s="31">
        <v>10</v>
      </c>
      <c r="L16" s="32" t="s">
        <v>19</v>
      </c>
      <c r="M16" s="30" t="s">
        <v>227</v>
      </c>
      <c r="N16" s="31">
        <v>10</v>
      </c>
      <c r="O16" s="32" t="s">
        <v>19</v>
      </c>
      <c r="P16" s="55" t="s">
        <v>172</v>
      </c>
      <c r="Q16" s="56">
        <v>1</v>
      </c>
      <c r="R16" s="57" t="s">
        <v>10</v>
      </c>
      <c r="S16" s="55" t="s">
        <v>172</v>
      </c>
      <c r="T16" s="56">
        <v>1</v>
      </c>
      <c r="U16" s="57" t="s">
        <v>10</v>
      </c>
      <c r="V16" s="55" t="s">
        <v>172</v>
      </c>
      <c r="W16" s="56">
        <v>1</v>
      </c>
      <c r="X16" s="57" t="s">
        <v>10</v>
      </c>
      <c r="Y16" s="55" t="s">
        <v>172</v>
      </c>
      <c r="Z16" s="56">
        <v>1</v>
      </c>
      <c r="AA16" s="57" t="s">
        <v>10</v>
      </c>
    </row>
    <row r="17" spans="1:27">
      <c r="A17" s="30" t="s">
        <v>228</v>
      </c>
      <c r="B17" s="31">
        <v>15</v>
      </c>
      <c r="C17" s="32" t="s">
        <v>134</v>
      </c>
      <c r="D17" s="30" t="s">
        <v>380</v>
      </c>
      <c r="E17" s="31" t="s">
        <v>381</v>
      </c>
      <c r="F17" s="32" t="s">
        <v>134</v>
      </c>
      <c r="G17" s="30" t="s">
        <v>228</v>
      </c>
      <c r="H17" s="31">
        <v>15</v>
      </c>
      <c r="I17" s="32" t="s">
        <v>134</v>
      </c>
      <c r="J17" s="30" t="s">
        <v>281</v>
      </c>
      <c r="K17" s="31">
        <v>15</v>
      </c>
      <c r="L17" s="32" t="s">
        <v>134</v>
      </c>
      <c r="M17" s="30" t="s">
        <v>228</v>
      </c>
      <c r="N17" s="31">
        <v>15</v>
      </c>
      <c r="O17" s="32" t="s">
        <v>134</v>
      </c>
      <c r="P17" s="55" t="s">
        <v>173</v>
      </c>
      <c r="Q17" s="56">
        <v>1</v>
      </c>
      <c r="R17" s="57" t="s">
        <v>10</v>
      </c>
      <c r="S17" s="55" t="s">
        <v>173</v>
      </c>
      <c r="T17" s="56">
        <v>1</v>
      </c>
      <c r="U17" s="57" t="s">
        <v>10</v>
      </c>
      <c r="V17" s="55" t="s">
        <v>173</v>
      </c>
      <c r="W17" s="56">
        <v>1</v>
      </c>
      <c r="X17" s="57" t="s">
        <v>10</v>
      </c>
      <c r="Y17" s="55" t="s">
        <v>173</v>
      </c>
      <c r="Z17" s="56">
        <v>1</v>
      </c>
      <c r="AA17" s="57" t="s">
        <v>10</v>
      </c>
    </row>
    <row r="18" spans="1:27">
      <c r="A18" s="30" t="s">
        <v>229</v>
      </c>
      <c r="B18" s="31">
        <v>2</v>
      </c>
      <c r="C18" s="32" t="s">
        <v>230</v>
      </c>
      <c r="D18" s="30"/>
      <c r="E18" s="31"/>
      <c r="F18" s="32"/>
      <c r="G18" s="30" t="s">
        <v>229</v>
      </c>
      <c r="H18" s="31">
        <v>2</v>
      </c>
      <c r="I18" s="32" t="s">
        <v>230</v>
      </c>
      <c r="J18" s="30" t="s">
        <v>144</v>
      </c>
      <c r="K18" s="31">
        <v>10</v>
      </c>
      <c r="L18" s="32" t="s">
        <v>19</v>
      </c>
      <c r="M18" s="30" t="s">
        <v>229</v>
      </c>
      <c r="N18" s="31">
        <v>2</v>
      </c>
      <c r="O18" s="32" t="s">
        <v>230</v>
      </c>
      <c r="P18" s="55" t="s">
        <v>174</v>
      </c>
      <c r="Q18" s="56">
        <v>1</v>
      </c>
      <c r="R18" s="57" t="s">
        <v>10</v>
      </c>
      <c r="S18" s="55" t="s">
        <v>174</v>
      </c>
      <c r="T18" s="56">
        <v>1</v>
      </c>
      <c r="U18" s="57" t="s">
        <v>10</v>
      </c>
      <c r="V18" s="55" t="s">
        <v>174</v>
      </c>
      <c r="W18" s="56">
        <v>1</v>
      </c>
      <c r="X18" s="57" t="s">
        <v>10</v>
      </c>
      <c r="Y18" s="55" t="s">
        <v>174</v>
      </c>
      <c r="Z18" s="56">
        <v>1</v>
      </c>
      <c r="AA18" s="57" t="s">
        <v>10</v>
      </c>
    </row>
    <row r="19" spans="1:27">
      <c r="A19" s="30" t="s">
        <v>231</v>
      </c>
      <c r="B19" s="31">
        <v>15</v>
      </c>
      <c r="C19" s="32" t="s">
        <v>19</v>
      </c>
      <c r="D19" s="30"/>
      <c r="E19" s="31"/>
      <c r="F19" s="32"/>
      <c r="G19" s="30"/>
      <c r="H19" s="31"/>
      <c r="I19" s="32" t="s">
        <v>19</v>
      </c>
      <c r="J19" s="30"/>
      <c r="K19" s="31"/>
      <c r="L19" s="32" t="s">
        <v>19</v>
      </c>
      <c r="M19" s="30" t="s">
        <v>231</v>
      </c>
      <c r="N19" s="31">
        <v>15</v>
      </c>
      <c r="O19" s="32" t="s">
        <v>19</v>
      </c>
      <c r="P19" s="55" t="s">
        <v>382</v>
      </c>
      <c r="Q19" s="56"/>
      <c r="R19" s="57"/>
      <c r="S19" s="55" t="s">
        <v>382</v>
      </c>
      <c r="T19" s="56"/>
      <c r="U19" s="57"/>
      <c r="V19" s="55" t="s">
        <v>382</v>
      </c>
      <c r="W19" s="56"/>
      <c r="X19" s="57"/>
      <c r="Y19" s="55" t="s">
        <v>382</v>
      </c>
      <c r="Z19" s="56"/>
      <c r="AA19" s="57"/>
    </row>
    <row r="20" spans="1:27">
      <c r="A20" s="22" t="s">
        <v>178</v>
      </c>
      <c r="B20" s="23"/>
      <c r="C20" s="23"/>
      <c r="D20" s="22" t="s">
        <v>383</v>
      </c>
      <c r="E20" s="23"/>
      <c r="F20" s="23"/>
      <c r="G20" s="22" t="s">
        <v>178</v>
      </c>
      <c r="H20" s="23"/>
      <c r="I20" s="23"/>
      <c r="J20" s="22" t="s">
        <v>178</v>
      </c>
      <c r="K20" s="23"/>
      <c r="L20" s="23"/>
      <c r="M20" s="22" t="s">
        <v>383</v>
      </c>
      <c r="N20" s="23"/>
      <c r="O20" s="23"/>
      <c r="P20" s="22" t="s">
        <v>175</v>
      </c>
      <c r="Q20" s="23"/>
      <c r="R20" s="23"/>
      <c r="S20" s="22" t="s">
        <v>175</v>
      </c>
      <c r="T20" s="23"/>
      <c r="U20" s="23"/>
      <c r="V20" s="22" t="s">
        <v>342</v>
      </c>
      <c r="W20" s="23"/>
      <c r="X20" s="23"/>
      <c r="Y20" s="22" t="s">
        <v>175</v>
      </c>
      <c r="Z20" s="23"/>
      <c r="AA20" s="23"/>
    </row>
    <row r="21" spans="1:27">
      <c r="A21" s="30" t="s">
        <v>343</v>
      </c>
      <c r="B21" s="31">
        <v>90</v>
      </c>
      <c r="C21" s="32" t="s">
        <v>19</v>
      </c>
      <c r="D21" s="30" t="s">
        <v>349</v>
      </c>
      <c r="E21" s="31">
        <v>90</v>
      </c>
      <c r="F21" s="32" t="s">
        <v>19</v>
      </c>
      <c r="G21" s="30" t="s">
        <v>343</v>
      </c>
      <c r="H21" s="31">
        <v>90</v>
      </c>
      <c r="I21" s="32" t="s">
        <v>19</v>
      </c>
      <c r="J21" s="30" t="s">
        <v>343</v>
      </c>
      <c r="K21" s="31">
        <v>90</v>
      </c>
      <c r="L21" s="32" t="s">
        <v>19</v>
      </c>
      <c r="M21" s="10" t="s">
        <v>350</v>
      </c>
      <c r="N21" s="13" t="s">
        <v>351</v>
      </c>
      <c r="O21" s="12" t="s">
        <v>19</v>
      </c>
      <c r="P21" s="30" t="s">
        <v>176</v>
      </c>
      <c r="Q21" s="31">
        <v>30</v>
      </c>
      <c r="R21" s="32" t="s">
        <v>19</v>
      </c>
      <c r="S21" s="30" t="s">
        <v>176</v>
      </c>
      <c r="T21" s="31">
        <v>30</v>
      </c>
      <c r="U21" s="32" t="s">
        <v>19</v>
      </c>
      <c r="V21" s="30" t="s">
        <v>343</v>
      </c>
      <c r="W21" s="31">
        <v>15</v>
      </c>
      <c r="X21" s="32" t="s">
        <v>19</v>
      </c>
      <c r="Y21" s="30" t="s">
        <v>176</v>
      </c>
      <c r="Z21" s="31">
        <v>30</v>
      </c>
      <c r="AA21" s="32" t="s">
        <v>19</v>
      </c>
    </row>
    <row r="22" spans="1:27">
      <c r="A22" s="30" t="s">
        <v>352</v>
      </c>
      <c r="B22" s="31">
        <v>15</v>
      </c>
      <c r="C22" s="32" t="s">
        <v>19</v>
      </c>
      <c r="D22" s="30" t="s">
        <v>327</v>
      </c>
      <c r="E22" s="31">
        <v>30</v>
      </c>
      <c r="F22" s="32" t="s">
        <v>19</v>
      </c>
      <c r="G22" s="30" t="s">
        <v>352</v>
      </c>
      <c r="H22" s="31">
        <v>15</v>
      </c>
      <c r="I22" s="32" t="s">
        <v>19</v>
      </c>
      <c r="J22" s="30" t="s">
        <v>352</v>
      </c>
      <c r="K22" s="31">
        <v>15</v>
      </c>
      <c r="L22" s="32" t="s">
        <v>19</v>
      </c>
      <c r="M22" s="10" t="s">
        <v>327</v>
      </c>
      <c r="N22" s="13">
        <v>30</v>
      </c>
      <c r="O22" s="12" t="s">
        <v>19</v>
      </c>
      <c r="P22" s="30" t="s">
        <v>177</v>
      </c>
      <c r="Q22" s="31">
        <v>45</v>
      </c>
      <c r="R22" s="32" t="s">
        <v>19</v>
      </c>
      <c r="S22" s="30" t="s">
        <v>177</v>
      </c>
      <c r="T22" s="31">
        <v>45</v>
      </c>
      <c r="U22" s="32" t="s">
        <v>19</v>
      </c>
      <c r="V22" s="30" t="s">
        <v>177</v>
      </c>
      <c r="W22" s="31">
        <v>45</v>
      </c>
      <c r="X22" s="32" t="s">
        <v>19</v>
      </c>
      <c r="Y22" s="30" t="s">
        <v>177</v>
      </c>
      <c r="Z22" s="31">
        <v>45</v>
      </c>
      <c r="AA22" s="32" t="s">
        <v>19</v>
      </c>
    </row>
    <row r="23" spans="1:27">
      <c r="A23" s="30" t="s">
        <v>73</v>
      </c>
      <c r="B23" s="31">
        <v>60</v>
      </c>
      <c r="C23" s="32" t="s">
        <v>19</v>
      </c>
      <c r="D23" s="30" t="s">
        <v>353</v>
      </c>
      <c r="E23" s="31">
        <v>10</v>
      </c>
      <c r="F23" s="32" t="s">
        <v>19</v>
      </c>
      <c r="G23" s="30" t="s">
        <v>73</v>
      </c>
      <c r="H23" s="31">
        <v>60</v>
      </c>
      <c r="I23" s="32" t="s">
        <v>19</v>
      </c>
      <c r="J23" s="30" t="s">
        <v>73</v>
      </c>
      <c r="K23" s="31">
        <v>60</v>
      </c>
      <c r="L23" s="32" t="s">
        <v>19</v>
      </c>
      <c r="M23" s="10"/>
      <c r="N23" s="13"/>
      <c r="O23" s="12"/>
      <c r="P23" s="30"/>
      <c r="Q23" s="31"/>
      <c r="R23" s="32"/>
      <c r="S23" s="30"/>
      <c r="T23" s="31"/>
      <c r="U23" s="32"/>
      <c r="V23" s="30"/>
      <c r="W23" s="31"/>
      <c r="X23" s="32"/>
      <c r="Y23" s="30"/>
      <c r="Z23" s="31"/>
      <c r="AA23" s="32"/>
    </row>
    <row r="24" spans="1:27">
      <c r="A24" s="30" t="s">
        <v>354</v>
      </c>
      <c r="B24" s="31">
        <v>45</v>
      </c>
      <c r="C24" s="32" t="s">
        <v>19</v>
      </c>
      <c r="D24" s="30" t="s">
        <v>384</v>
      </c>
      <c r="E24" s="31">
        <v>60</v>
      </c>
      <c r="F24" s="32" t="s">
        <v>19</v>
      </c>
      <c r="G24" s="30" t="s">
        <v>354</v>
      </c>
      <c r="H24" s="31">
        <v>45</v>
      </c>
      <c r="I24" s="32" t="s">
        <v>19</v>
      </c>
      <c r="J24" s="30" t="s">
        <v>354</v>
      </c>
      <c r="K24" s="31">
        <v>45</v>
      </c>
      <c r="L24" s="32" t="s">
        <v>19</v>
      </c>
      <c r="M24" s="10" t="s">
        <v>356</v>
      </c>
      <c r="N24" s="13">
        <v>8</v>
      </c>
      <c r="O24" s="12" t="s">
        <v>19</v>
      </c>
      <c r="P24" s="30"/>
      <c r="Q24" s="31"/>
      <c r="R24" s="32"/>
      <c r="S24" s="30"/>
      <c r="T24" s="31"/>
      <c r="U24" s="32"/>
      <c r="V24" s="30"/>
      <c r="W24" s="31"/>
      <c r="X24" s="32"/>
      <c r="Y24" s="30"/>
      <c r="Z24" s="31"/>
      <c r="AA24" s="32"/>
    </row>
    <row r="25" spans="1:27">
      <c r="A25" s="22" t="s">
        <v>359</v>
      </c>
      <c r="B25" s="23"/>
      <c r="C25" s="23"/>
      <c r="D25" s="22" t="s">
        <v>359</v>
      </c>
      <c r="E25" s="23"/>
      <c r="F25" s="23"/>
      <c r="G25" s="22" t="s">
        <v>359</v>
      </c>
      <c r="H25" s="23"/>
      <c r="I25" s="23"/>
      <c r="J25" s="22" t="s">
        <v>359</v>
      </c>
      <c r="K25" s="23"/>
      <c r="L25" s="23"/>
      <c r="M25" s="22" t="s">
        <v>359</v>
      </c>
      <c r="N25" s="23"/>
      <c r="O25" s="23"/>
      <c r="P25" s="22" t="s">
        <v>385</v>
      </c>
      <c r="Q25" s="23"/>
      <c r="R25" s="23"/>
      <c r="S25" s="22" t="s">
        <v>386</v>
      </c>
      <c r="T25" s="23"/>
      <c r="U25" s="23"/>
      <c r="V25" s="22" t="s">
        <v>387</v>
      </c>
      <c r="W25" s="23"/>
      <c r="X25" s="23"/>
      <c r="Y25" s="22" t="s">
        <v>388</v>
      </c>
      <c r="Z25" s="23"/>
      <c r="AA25" s="23"/>
    </row>
    <row r="26" spans="1:27">
      <c r="A26" s="30" t="s">
        <v>192</v>
      </c>
      <c r="B26" s="31">
        <v>40</v>
      </c>
      <c r="C26" s="32" t="s">
        <v>19</v>
      </c>
      <c r="D26" s="30" t="s">
        <v>192</v>
      </c>
      <c r="E26" s="31">
        <v>40</v>
      </c>
      <c r="F26" s="32" t="s">
        <v>19</v>
      </c>
      <c r="G26" s="30" t="s">
        <v>389</v>
      </c>
      <c r="H26" s="31">
        <v>40</v>
      </c>
      <c r="I26" s="32" t="s">
        <v>19</v>
      </c>
      <c r="J26" s="30" t="s">
        <v>192</v>
      </c>
      <c r="K26" s="31">
        <v>40</v>
      </c>
      <c r="L26" s="32" t="s">
        <v>19</v>
      </c>
      <c r="M26" s="30" t="s">
        <v>192</v>
      </c>
      <c r="N26" s="31">
        <v>40</v>
      </c>
      <c r="O26" s="32" t="s">
        <v>19</v>
      </c>
      <c r="P26" s="10" t="s">
        <v>45</v>
      </c>
      <c r="Q26" s="13">
        <v>90</v>
      </c>
      <c r="R26" s="12" t="s">
        <v>19</v>
      </c>
      <c r="S26" s="10" t="s">
        <v>53</v>
      </c>
      <c r="T26" s="13">
        <v>90</v>
      </c>
      <c r="U26" s="12" t="s">
        <v>19</v>
      </c>
      <c r="V26" s="10" t="s">
        <v>61</v>
      </c>
      <c r="W26" s="13" t="s">
        <v>62</v>
      </c>
      <c r="X26" s="12" t="s">
        <v>19</v>
      </c>
      <c r="Y26" s="10" t="s">
        <v>70</v>
      </c>
      <c r="Z26" s="13">
        <v>90</v>
      </c>
      <c r="AA26" s="12" t="s">
        <v>19</v>
      </c>
    </row>
    <row r="27" spans="1:27">
      <c r="A27" s="22" t="s">
        <v>390</v>
      </c>
      <c r="B27" s="23"/>
      <c r="C27" s="23"/>
      <c r="D27" s="22" t="s">
        <v>390</v>
      </c>
      <c r="E27" s="23"/>
      <c r="F27" s="23"/>
      <c r="G27" s="22" t="s">
        <v>390</v>
      </c>
      <c r="H27" s="23"/>
      <c r="I27" s="23"/>
      <c r="J27" s="22" t="s">
        <v>390</v>
      </c>
      <c r="K27" s="23"/>
      <c r="L27" s="23"/>
      <c r="M27" s="22" t="s">
        <v>390</v>
      </c>
      <c r="N27" s="23"/>
      <c r="O27" s="23"/>
      <c r="P27" s="10" t="s">
        <v>47</v>
      </c>
      <c r="Q27" s="13">
        <v>15</v>
      </c>
      <c r="R27" s="12" t="s">
        <v>19</v>
      </c>
      <c r="S27" s="10" t="s">
        <v>55</v>
      </c>
      <c r="T27" s="13">
        <v>30</v>
      </c>
      <c r="U27" s="12" t="s">
        <v>19</v>
      </c>
      <c r="V27" s="10" t="s">
        <v>64</v>
      </c>
      <c r="W27" s="13">
        <v>75</v>
      </c>
      <c r="X27" s="12" t="s">
        <v>19</v>
      </c>
      <c r="Y27" s="10" t="s">
        <v>73</v>
      </c>
      <c r="Z27" s="13">
        <v>60</v>
      </c>
      <c r="AA27" s="12" t="s">
        <v>19</v>
      </c>
    </row>
    <row r="28" spans="1:27">
      <c r="A28" s="30" t="s">
        <v>238</v>
      </c>
      <c r="B28" s="31">
        <v>1</v>
      </c>
      <c r="C28" s="32" t="s">
        <v>212</v>
      </c>
      <c r="D28" s="30" t="s">
        <v>238</v>
      </c>
      <c r="E28" s="31">
        <v>1</v>
      </c>
      <c r="F28" s="32" t="s">
        <v>212</v>
      </c>
      <c r="G28" s="30" t="s">
        <v>238</v>
      </c>
      <c r="H28" s="31">
        <v>1</v>
      </c>
      <c r="I28" s="32" t="s">
        <v>212</v>
      </c>
      <c r="J28" s="30" t="s">
        <v>238</v>
      </c>
      <c r="K28" s="31">
        <v>1</v>
      </c>
      <c r="L28" s="32" t="s">
        <v>212</v>
      </c>
      <c r="M28" s="30" t="s">
        <v>238</v>
      </c>
      <c r="N28" s="31">
        <v>1</v>
      </c>
      <c r="O28" s="32" t="s">
        <v>212</v>
      </c>
      <c r="P28" s="10" t="s">
        <v>48</v>
      </c>
      <c r="Q28" s="13">
        <v>30</v>
      </c>
      <c r="R28" s="12" t="s">
        <v>19</v>
      </c>
      <c r="S28" s="10" t="s">
        <v>56</v>
      </c>
      <c r="T28" s="13">
        <v>15</v>
      </c>
      <c r="U28" s="12" t="s">
        <v>19</v>
      </c>
      <c r="V28" s="10" t="s">
        <v>66</v>
      </c>
      <c r="W28" s="13">
        <v>15</v>
      </c>
      <c r="X28" s="12" t="s">
        <v>19</v>
      </c>
      <c r="Y28" s="10" t="s">
        <v>74</v>
      </c>
      <c r="Z28" s="13">
        <v>60</v>
      </c>
      <c r="AA28" s="12" t="s">
        <v>19</v>
      </c>
    </row>
    <row r="29" spans="1:27">
      <c r="A29" s="22" t="s">
        <v>240</v>
      </c>
      <c r="B29" s="23"/>
      <c r="C29" s="23"/>
      <c r="D29" s="22" t="s">
        <v>240</v>
      </c>
      <c r="E29" s="23"/>
      <c r="F29" s="23"/>
      <c r="G29" s="22" t="s">
        <v>240</v>
      </c>
      <c r="H29" s="23"/>
      <c r="I29" s="23"/>
      <c r="J29" s="22" t="s">
        <v>240</v>
      </c>
      <c r="K29" s="23"/>
      <c r="L29" s="23"/>
      <c r="M29" s="22" t="s">
        <v>240</v>
      </c>
      <c r="N29" s="23"/>
      <c r="O29" s="23"/>
      <c r="P29" s="10" t="s">
        <v>49</v>
      </c>
      <c r="Q29" s="13">
        <v>60</v>
      </c>
      <c r="R29" s="12" t="s">
        <v>19</v>
      </c>
      <c r="S29" s="10" t="s">
        <v>57</v>
      </c>
      <c r="T29" s="13">
        <v>60</v>
      </c>
      <c r="U29" s="12" t="s">
        <v>19</v>
      </c>
      <c r="V29" s="10" t="s">
        <v>67</v>
      </c>
      <c r="W29" s="13">
        <v>5</v>
      </c>
      <c r="X29" s="12" t="s">
        <v>19</v>
      </c>
      <c r="Y29" s="10" t="s">
        <v>75</v>
      </c>
      <c r="Z29" s="13">
        <v>30</v>
      </c>
      <c r="AA29" s="12" t="s">
        <v>19</v>
      </c>
    </row>
    <row r="30" spans="1:27">
      <c r="A30" s="80" t="s">
        <v>391</v>
      </c>
      <c r="B30" s="82">
        <v>30</v>
      </c>
      <c r="C30" s="83" t="s">
        <v>134</v>
      </c>
      <c r="D30" s="30" t="s">
        <v>392</v>
      </c>
      <c r="E30" s="31">
        <v>1</v>
      </c>
      <c r="F30" s="32" t="s">
        <v>212</v>
      </c>
      <c r="G30" s="30" t="s">
        <v>331</v>
      </c>
      <c r="H30" s="31">
        <v>60</v>
      </c>
      <c r="I30" s="32" t="s">
        <v>301</v>
      </c>
      <c r="J30" s="80" t="s">
        <v>393</v>
      </c>
      <c r="K30" s="82">
        <v>30</v>
      </c>
      <c r="L30" s="83" t="s">
        <v>134</v>
      </c>
      <c r="M30" s="80" t="s">
        <v>391</v>
      </c>
      <c r="N30" s="82">
        <v>30</v>
      </c>
      <c r="O30" s="83" t="s">
        <v>134</v>
      </c>
      <c r="P30" s="10" t="s">
        <v>51</v>
      </c>
      <c r="Q30" s="13">
        <v>40</v>
      </c>
      <c r="R30" s="12" t="s">
        <v>19</v>
      </c>
      <c r="S30" s="10" t="s">
        <v>58</v>
      </c>
      <c r="T30" s="31">
        <v>60</v>
      </c>
      <c r="U30" s="32" t="s">
        <v>19</v>
      </c>
      <c r="V30" s="10" t="s">
        <v>68</v>
      </c>
      <c r="W30" s="13">
        <v>40</v>
      </c>
      <c r="X30" s="12" t="s">
        <v>19</v>
      </c>
      <c r="Y30" s="10"/>
      <c r="Z30" s="13"/>
      <c r="AA30" s="12"/>
    </row>
    <row r="31" spans="1:27">
      <c r="A31" s="81" t="s">
        <v>394</v>
      </c>
      <c r="B31" s="84">
        <v>15</v>
      </c>
      <c r="C31" s="84" t="s">
        <v>301</v>
      </c>
      <c r="G31" s="80" t="s">
        <v>393</v>
      </c>
      <c r="H31" s="82">
        <v>30</v>
      </c>
      <c r="I31" s="83" t="s">
        <v>134</v>
      </c>
      <c r="J31" s="81" t="s">
        <v>394</v>
      </c>
      <c r="K31" s="84">
        <v>15</v>
      </c>
      <c r="L31" s="84" t="s">
        <v>301</v>
      </c>
      <c r="M31" s="81" t="s">
        <v>394</v>
      </c>
      <c r="N31" s="84">
        <v>15</v>
      </c>
      <c r="O31" s="84" t="s">
        <v>301</v>
      </c>
      <c r="P31" s="22" t="s">
        <v>359</v>
      </c>
      <c r="Q31" s="23"/>
      <c r="R31" s="23"/>
      <c r="S31" s="22" t="s">
        <v>359</v>
      </c>
      <c r="T31" s="23"/>
      <c r="U31" s="23"/>
      <c r="V31" s="22" t="s">
        <v>359</v>
      </c>
      <c r="W31" s="23"/>
      <c r="X31" s="23"/>
      <c r="Y31" s="22" t="s">
        <v>359</v>
      </c>
      <c r="Z31" s="23"/>
      <c r="AA31" s="23"/>
    </row>
    <row r="32" spans="1:27">
      <c r="A32" s="81" t="s">
        <v>395</v>
      </c>
      <c r="B32" s="84">
        <v>40</v>
      </c>
      <c r="C32" s="84" t="s">
        <v>301</v>
      </c>
      <c r="G32" s="81" t="s">
        <v>394</v>
      </c>
      <c r="H32" s="84">
        <v>15</v>
      </c>
      <c r="I32" s="84" t="s">
        <v>301</v>
      </c>
      <c r="J32" s="81" t="s">
        <v>396</v>
      </c>
      <c r="K32" s="84">
        <v>40</v>
      </c>
      <c r="L32" s="84" t="s">
        <v>301</v>
      </c>
      <c r="M32" s="81" t="s">
        <v>395</v>
      </c>
      <c r="N32" s="84">
        <v>40</v>
      </c>
      <c r="O32" s="84" t="s">
        <v>301</v>
      </c>
      <c r="P32" s="10" t="s">
        <v>192</v>
      </c>
      <c r="Q32" s="31">
        <v>40</v>
      </c>
      <c r="R32" s="32" t="s">
        <v>19</v>
      </c>
      <c r="S32" s="10" t="s">
        <v>192</v>
      </c>
      <c r="T32" s="31">
        <v>40</v>
      </c>
      <c r="U32" s="32" t="s">
        <v>19</v>
      </c>
      <c r="V32" s="10" t="s">
        <v>192</v>
      </c>
      <c r="W32" s="31">
        <v>40</v>
      </c>
      <c r="X32" s="32" t="s">
        <v>19</v>
      </c>
      <c r="Y32" s="10" t="s">
        <v>192</v>
      </c>
      <c r="Z32" s="31">
        <v>40</v>
      </c>
      <c r="AA32" s="32" t="s">
        <v>19</v>
      </c>
    </row>
    <row r="33" spans="1:27">
      <c r="A33"/>
      <c r="B33"/>
      <c r="C33"/>
      <c r="P33" s="22" t="s">
        <v>240</v>
      </c>
      <c r="Q33" s="23"/>
      <c r="R33" s="23"/>
      <c r="S33" s="22" t="s">
        <v>240</v>
      </c>
      <c r="T33" s="23"/>
      <c r="U33" s="23"/>
      <c r="V33" s="22" t="s">
        <v>240</v>
      </c>
      <c r="W33" s="23"/>
      <c r="X33" s="23"/>
      <c r="Y33" s="22" t="s">
        <v>240</v>
      </c>
      <c r="Z33" s="23"/>
      <c r="AA33" s="23"/>
    </row>
    <row r="34" spans="1:27">
      <c r="A34"/>
      <c r="B34"/>
      <c r="C34"/>
      <c r="P34" s="30" t="s">
        <v>392</v>
      </c>
      <c r="Q34" s="31">
        <v>1</v>
      </c>
      <c r="R34" s="32" t="s">
        <v>212</v>
      </c>
      <c r="S34" s="30" t="s">
        <v>392</v>
      </c>
      <c r="T34" s="31">
        <v>1</v>
      </c>
      <c r="U34" s="32" t="s">
        <v>212</v>
      </c>
      <c r="V34" s="80" t="s">
        <v>391</v>
      </c>
      <c r="W34" s="82">
        <v>30</v>
      </c>
      <c r="X34" s="83" t="s">
        <v>134</v>
      </c>
      <c r="Y34" s="30" t="s">
        <v>392</v>
      </c>
      <c r="Z34" s="31">
        <v>1</v>
      </c>
      <c r="AA34" s="32" t="s">
        <v>212</v>
      </c>
    </row>
    <row r="35" spans="1:27">
      <c r="A35"/>
      <c r="B35"/>
      <c r="C35"/>
      <c r="V35" s="81" t="s">
        <v>394</v>
      </c>
      <c r="W35" s="84">
        <v>15</v>
      </c>
      <c r="X35" s="84" t="s">
        <v>301</v>
      </c>
    </row>
    <row r="36" spans="1:27">
      <c r="A36"/>
      <c r="B36"/>
      <c r="C36"/>
      <c r="V36" s="81" t="s">
        <v>395</v>
      </c>
      <c r="W36" s="84">
        <v>40</v>
      </c>
      <c r="X36" s="84" t="s">
        <v>301</v>
      </c>
    </row>
    <row r="37" spans="1:27">
      <c r="A37"/>
      <c r="B37"/>
      <c r="C37"/>
    </row>
    <row r="38" spans="1:27">
      <c r="A38"/>
      <c r="B38"/>
      <c r="C38"/>
    </row>
    <row r="39" spans="1:27">
      <c r="A39"/>
      <c r="B39"/>
      <c r="C39"/>
    </row>
    <row r="40" spans="1:27">
      <c r="A40"/>
      <c r="B40"/>
      <c r="C40"/>
    </row>
    <row r="41" spans="1:27">
      <c r="A41"/>
      <c r="B41"/>
      <c r="C41"/>
    </row>
    <row r="42" spans="1:27">
      <c r="A42"/>
      <c r="B42"/>
      <c r="C42"/>
    </row>
    <row r="43" spans="1:27">
      <c r="A43"/>
      <c r="B43"/>
      <c r="C43"/>
    </row>
    <row r="44" spans="1:27">
      <c r="A44"/>
      <c r="B44"/>
      <c r="C44"/>
    </row>
    <row r="45" spans="1:27">
      <c r="A45"/>
      <c r="B45"/>
      <c r="C45"/>
    </row>
    <row r="46" spans="1:27">
      <c r="A46"/>
      <c r="B46"/>
      <c r="C46"/>
    </row>
    <row r="47" spans="1:27">
      <c r="A47"/>
      <c r="B47"/>
      <c r="C47"/>
    </row>
    <row r="48" spans="1:27">
      <c r="A48"/>
      <c r="B48"/>
      <c r="C48"/>
    </row>
    <row r="49" customFormat="1"/>
    <row r="50" customFormat="1"/>
    <row r="51" customFormat="1"/>
  </sheetData>
  <phoneticPr fontId="12" alignment="center"/>
  <pageMargins left="0.7" right="0.7" top="0.75" bottom="0.75" header="0.3" footer="0.3"/>
  <pageSetup scale="2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7227-90AD-43F8-8EC3-9E0598BF0F60}">
  <sheetPr>
    <pageSetUpPr fitToPage="1"/>
  </sheetPr>
  <dimension ref="B1:J73"/>
  <sheetViews>
    <sheetView topLeftCell="B1" zoomScale="115" zoomScaleNormal="115" workbookViewId="0">
      <selection activeCell="E70" sqref="E70"/>
    </sheetView>
  </sheetViews>
  <sheetFormatPr defaultRowHeight="14.4"/>
  <cols>
    <col min="2" max="2" width="45.6640625" style="16" customWidth="1"/>
    <col min="3" max="3" width="17.44140625" style="17" customWidth="1"/>
    <col min="4" max="4" width="20.5546875" style="17" customWidth="1"/>
    <col min="5" max="5" width="34" customWidth="1"/>
    <col min="8" max="8" width="27.6640625" customWidth="1"/>
  </cols>
  <sheetData>
    <row r="1" spans="2:10" ht="17.399999999999999">
      <c r="B1" s="19" t="s">
        <v>308</v>
      </c>
      <c r="C1" s="20"/>
      <c r="D1" s="20"/>
      <c r="E1" s="19" t="s">
        <v>309</v>
      </c>
      <c r="F1" s="20"/>
      <c r="G1" s="20"/>
      <c r="H1" s="19" t="s">
        <v>307</v>
      </c>
      <c r="I1" s="20"/>
      <c r="J1" s="20"/>
    </row>
    <row r="2" spans="2:10" ht="17.399999999999999">
      <c r="B2" s="130" t="s">
        <v>397</v>
      </c>
      <c r="C2" s="130"/>
      <c r="D2" s="130"/>
      <c r="E2" s="130" t="s">
        <v>397</v>
      </c>
      <c r="F2" s="130"/>
      <c r="G2" s="130"/>
      <c r="H2" s="130" t="s">
        <v>397</v>
      </c>
      <c r="I2" s="130"/>
      <c r="J2" s="130"/>
    </row>
    <row r="3" spans="2:10" ht="27.6"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</row>
    <row r="4" spans="2:10">
      <c r="B4" s="34" t="s">
        <v>244</v>
      </c>
      <c r="C4" s="35"/>
      <c r="D4" s="29"/>
      <c r="E4" s="34" t="s">
        <v>244</v>
      </c>
      <c r="F4" s="35"/>
      <c r="G4" s="29"/>
      <c r="H4" s="34" t="s">
        <v>244</v>
      </c>
      <c r="I4" s="35"/>
      <c r="J4" s="29"/>
    </row>
    <row r="5" spans="2:10">
      <c r="B5" s="58" t="s">
        <v>245</v>
      </c>
      <c r="C5" s="59">
        <v>1</v>
      </c>
      <c r="D5" s="60" t="s">
        <v>10</v>
      </c>
      <c r="E5" s="58" t="s">
        <v>245</v>
      </c>
      <c r="F5" s="59">
        <v>1</v>
      </c>
      <c r="G5" s="60" t="s">
        <v>10</v>
      </c>
      <c r="H5" s="58" t="s">
        <v>245</v>
      </c>
      <c r="I5" s="59">
        <v>1</v>
      </c>
      <c r="J5" s="60" t="s">
        <v>10</v>
      </c>
    </row>
    <row r="6" spans="2:10">
      <c r="B6" s="58" t="s">
        <v>246</v>
      </c>
      <c r="C6" s="59">
        <v>1</v>
      </c>
      <c r="D6" s="60" t="s">
        <v>10</v>
      </c>
      <c r="E6" s="58" t="s">
        <v>246</v>
      </c>
      <c r="F6" s="59">
        <v>1</v>
      </c>
      <c r="G6" s="60" t="s">
        <v>10</v>
      </c>
      <c r="H6" s="58" t="s">
        <v>246</v>
      </c>
      <c r="I6" s="59">
        <v>1</v>
      </c>
      <c r="J6" s="60" t="s">
        <v>10</v>
      </c>
    </row>
    <row r="7" spans="2:10">
      <c r="B7" s="58" t="s">
        <v>248</v>
      </c>
      <c r="C7" s="59">
        <v>1</v>
      </c>
      <c r="D7" s="60" t="s">
        <v>10</v>
      </c>
      <c r="E7" s="58" t="s">
        <v>248</v>
      </c>
      <c r="F7" s="59">
        <v>1</v>
      </c>
      <c r="G7" s="60" t="s">
        <v>10</v>
      </c>
      <c r="H7" s="58" t="s">
        <v>331</v>
      </c>
      <c r="I7" s="59">
        <v>1</v>
      </c>
      <c r="J7" s="60" t="s">
        <v>10</v>
      </c>
    </row>
    <row r="8" spans="2:10">
      <c r="B8" s="34" t="s">
        <v>250</v>
      </c>
      <c r="C8" s="29"/>
      <c r="D8" s="29"/>
      <c r="E8" s="34" t="s">
        <v>258</v>
      </c>
      <c r="F8" s="29"/>
      <c r="G8" s="29"/>
      <c r="H8" s="34" t="s">
        <v>250</v>
      </c>
      <c r="I8" s="29"/>
      <c r="J8" s="29"/>
    </row>
    <row r="9" spans="2:10">
      <c r="B9" s="58" t="s">
        <v>398</v>
      </c>
      <c r="C9" s="59">
        <v>20</v>
      </c>
      <c r="D9" s="60" t="s">
        <v>134</v>
      </c>
      <c r="E9" s="58" t="s">
        <v>259</v>
      </c>
      <c r="F9" s="59">
        <v>20</v>
      </c>
      <c r="G9" s="60" t="s">
        <v>134</v>
      </c>
      <c r="H9" s="58" t="s">
        <v>251</v>
      </c>
      <c r="I9" s="59">
        <v>30</v>
      </c>
      <c r="J9" s="60" t="s">
        <v>134</v>
      </c>
    </row>
    <row r="10" spans="2:10">
      <c r="B10" s="58" t="s">
        <v>35</v>
      </c>
      <c r="C10" s="59">
        <v>10</v>
      </c>
      <c r="D10" s="60" t="s">
        <v>134</v>
      </c>
      <c r="E10" s="58" t="s">
        <v>399</v>
      </c>
      <c r="F10" s="59">
        <v>10</v>
      </c>
      <c r="G10" s="60" t="s">
        <v>134</v>
      </c>
      <c r="H10" s="58" t="s">
        <v>400</v>
      </c>
      <c r="I10" s="59">
        <v>10</v>
      </c>
      <c r="J10" s="60" t="s">
        <v>134</v>
      </c>
    </row>
    <row r="11" spans="2:10">
      <c r="B11" s="58" t="s">
        <v>261</v>
      </c>
      <c r="C11" s="59">
        <v>30</v>
      </c>
      <c r="D11" s="60" t="s">
        <v>134</v>
      </c>
      <c r="E11" s="58" t="s">
        <v>261</v>
      </c>
      <c r="F11" s="59">
        <v>30</v>
      </c>
      <c r="G11" s="60" t="s">
        <v>134</v>
      </c>
      <c r="H11" s="58" t="s">
        <v>254</v>
      </c>
      <c r="I11" s="59">
        <v>15</v>
      </c>
      <c r="J11" s="60" t="s">
        <v>134</v>
      </c>
    </row>
    <row r="12" spans="2:10">
      <c r="B12" s="58" t="s">
        <v>401</v>
      </c>
      <c r="C12" s="59">
        <v>3</v>
      </c>
      <c r="D12" s="60" t="s">
        <v>134</v>
      </c>
      <c r="E12" s="58" t="s">
        <v>401</v>
      </c>
      <c r="F12" s="59">
        <v>3</v>
      </c>
      <c r="G12" s="60" t="s">
        <v>134</v>
      </c>
      <c r="H12" s="58" t="s">
        <v>402</v>
      </c>
      <c r="I12" s="59">
        <v>3</v>
      </c>
      <c r="J12" s="60" t="s">
        <v>134</v>
      </c>
    </row>
    <row r="13" spans="2:10">
      <c r="B13" s="58" t="s">
        <v>262</v>
      </c>
      <c r="C13" s="59" t="s">
        <v>256</v>
      </c>
      <c r="D13" s="60" t="s">
        <v>134</v>
      </c>
      <c r="E13" s="58" t="s">
        <v>262</v>
      </c>
      <c r="F13" s="59" t="s">
        <v>256</v>
      </c>
      <c r="G13" s="60" t="s">
        <v>134</v>
      </c>
      <c r="H13" s="58" t="s">
        <v>331</v>
      </c>
      <c r="I13" s="59" t="s">
        <v>256</v>
      </c>
      <c r="J13" s="60" t="s">
        <v>134</v>
      </c>
    </row>
    <row r="14" spans="2:10">
      <c r="B14" s="34" t="s">
        <v>403</v>
      </c>
      <c r="C14" s="29"/>
      <c r="D14" s="29"/>
      <c r="E14" s="34" t="s">
        <v>404</v>
      </c>
      <c r="F14" s="29"/>
      <c r="G14" s="29"/>
      <c r="H14" s="34" t="s">
        <v>264</v>
      </c>
      <c r="I14" s="29"/>
      <c r="J14" s="29"/>
    </row>
    <row r="15" spans="2:10">
      <c r="B15" s="85" t="s">
        <v>325</v>
      </c>
      <c r="C15" s="86">
        <v>40</v>
      </c>
      <c r="D15" s="87" t="s">
        <v>134</v>
      </c>
      <c r="E15" s="85" t="s">
        <v>325</v>
      </c>
      <c r="F15" s="86">
        <v>40</v>
      </c>
      <c r="G15" s="87" t="s">
        <v>134</v>
      </c>
      <c r="H15" s="58" t="s">
        <v>265</v>
      </c>
      <c r="I15" s="59">
        <v>40</v>
      </c>
      <c r="J15" s="60" t="s">
        <v>134</v>
      </c>
    </row>
    <row r="16" spans="2:10">
      <c r="B16" s="85" t="s">
        <v>398</v>
      </c>
      <c r="C16" s="86">
        <v>30</v>
      </c>
      <c r="D16" s="87" t="s">
        <v>134</v>
      </c>
      <c r="E16" s="85" t="s">
        <v>405</v>
      </c>
      <c r="F16" s="86">
        <v>30</v>
      </c>
      <c r="G16" s="87" t="s">
        <v>134</v>
      </c>
      <c r="H16" s="58" t="s">
        <v>406</v>
      </c>
      <c r="I16" s="59">
        <v>30</v>
      </c>
      <c r="J16" s="60" t="s">
        <v>134</v>
      </c>
    </row>
    <row r="17" spans="2:10">
      <c r="B17" s="85" t="s">
        <v>140</v>
      </c>
      <c r="C17" s="86">
        <v>4</v>
      </c>
      <c r="D17" s="87" t="s">
        <v>134</v>
      </c>
      <c r="E17" s="85" t="s">
        <v>140</v>
      </c>
      <c r="F17" s="86">
        <v>4</v>
      </c>
      <c r="G17" s="87" t="s">
        <v>134</v>
      </c>
      <c r="H17" s="58" t="s">
        <v>140</v>
      </c>
      <c r="I17" s="59">
        <v>4</v>
      </c>
      <c r="J17" s="60" t="s">
        <v>134</v>
      </c>
    </row>
    <row r="18" spans="2:10">
      <c r="B18" s="85" t="s">
        <v>254</v>
      </c>
      <c r="C18" s="86">
        <v>2</v>
      </c>
      <c r="D18" s="87" t="s">
        <v>266</v>
      </c>
      <c r="E18" s="85" t="s">
        <v>254</v>
      </c>
      <c r="F18" s="86">
        <v>2</v>
      </c>
      <c r="G18" s="87" t="s">
        <v>266</v>
      </c>
      <c r="H18" s="58" t="s">
        <v>254</v>
      </c>
      <c r="I18" s="59">
        <v>2</v>
      </c>
      <c r="J18" s="60" t="s">
        <v>266</v>
      </c>
    </row>
    <row r="19" spans="2:10">
      <c r="B19" s="85" t="s">
        <v>267</v>
      </c>
      <c r="C19" s="86">
        <v>2</v>
      </c>
      <c r="D19" s="87" t="s">
        <v>10</v>
      </c>
      <c r="E19" s="85" t="s">
        <v>267</v>
      </c>
      <c r="F19" s="86">
        <v>2</v>
      </c>
      <c r="G19" s="87" t="s">
        <v>10</v>
      </c>
      <c r="H19" s="79" t="s">
        <v>267</v>
      </c>
      <c r="I19" s="59">
        <v>2</v>
      </c>
      <c r="J19" s="60" t="s">
        <v>10</v>
      </c>
    </row>
    <row r="20" spans="2:10">
      <c r="B20" s="85" t="s">
        <v>268</v>
      </c>
      <c r="C20" s="86">
        <v>120</v>
      </c>
      <c r="D20" s="87" t="s">
        <v>134</v>
      </c>
      <c r="E20" s="85" t="s">
        <v>268</v>
      </c>
      <c r="F20" s="86">
        <v>120</v>
      </c>
      <c r="G20" s="87" t="s">
        <v>134</v>
      </c>
      <c r="H20" s="73" t="s">
        <v>268</v>
      </c>
      <c r="I20" s="74">
        <v>120</v>
      </c>
      <c r="J20" s="75" t="s">
        <v>134</v>
      </c>
    </row>
    <row r="21" spans="2:10">
      <c r="B21" s="73"/>
      <c r="C21" s="74"/>
      <c r="D21" s="75"/>
      <c r="E21" s="76"/>
      <c r="F21" s="77"/>
      <c r="G21" s="78"/>
      <c r="H21" s="73"/>
      <c r="I21" s="74"/>
      <c r="J21" s="75"/>
    </row>
    <row r="22" spans="2:10">
      <c r="B22" s="73"/>
      <c r="C22" s="74"/>
      <c r="D22" s="75"/>
      <c r="E22" s="76"/>
      <c r="F22" s="77"/>
      <c r="G22" s="78"/>
      <c r="H22" s="73"/>
      <c r="I22" s="74"/>
      <c r="J22" s="75"/>
    </row>
    <row r="23" spans="2:10">
      <c r="B23" s="131" t="s">
        <v>407</v>
      </c>
      <c r="C23" s="131"/>
      <c r="D23" s="131"/>
      <c r="E23" s="132" t="s">
        <v>407</v>
      </c>
      <c r="F23" s="132"/>
      <c r="G23" s="132"/>
      <c r="H23" s="131" t="s">
        <v>407</v>
      </c>
      <c r="I23" s="131"/>
      <c r="J23" s="131"/>
    </row>
    <row r="24" spans="2:10">
      <c r="B24" s="34" t="s">
        <v>274</v>
      </c>
      <c r="C24" s="29"/>
      <c r="D24" s="29"/>
      <c r="E24" s="34" t="s">
        <v>274</v>
      </c>
      <c r="F24" s="29"/>
      <c r="G24" s="29"/>
      <c r="H24" s="34" t="s">
        <v>274</v>
      </c>
      <c r="I24" s="29"/>
      <c r="J24" s="29"/>
    </row>
    <row r="25" spans="2:10">
      <c r="B25" s="58" t="s">
        <v>275</v>
      </c>
      <c r="C25" s="59">
        <v>1</v>
      </c>
      <c r="D25" s="60" t="s">
        <v>10</v>
      </c>
      <c r="E25" s="58" t="s">
        <v>275</v>
      </c>
      <c r="F25" s="59">
        <v>1</v>
      </c>
      <c r="G25" s="60" t="s">
        <v>10</v>
      </c>
      <c r="H25" s="58" t="s">
        <v>275</v>
      </c>
      <c r="I25" s="59">
        <v>1</v>
      </c>
      <c r="J25" s="60" t="s">
        <v>10</v>
      </c>
    </row>
    <row r="26" spans="2:10">
      <c r="B26" s="58" t="s">
        <v>408</v>
      </c>
      <c r="C26" s="59">
        <v>1</v>
      </c>
      <c r="D26" s="60" t="s">
        <v>10</v>
      </c>
      <c r="E26" s="58" t="s">
        <v>276</v>
      </c>
      <c r="F26" s="59">
        <v>1</v>
      </c>
      <c r="G26" s="60" t="s">
        <v>10</v>
      </c>
      <c r="H26" s="58" t="s">
        <v>276</v>
      </c>
      <c r="I26" s="59">
        <v>1</v>
      </c>
      <c r="J26" s="60" t="s">
        <v>10</v>
      </c>
    </row>
    <row r="27" spans="2:10">
      <c r="B27" s="58" t="s">
        <v>277</v>
      </c>
      <c r="C27" s="59">
        <v>1</v>
      </c>
      <c r="D27" s="60" t="s">
        <v>10</v>
      </c>
      <c r="E27" s="58" t="s">
        <v>277</v>
      </c>
      <c r="F27" s="59">
        <v>1</v>
      </c>
      <c r="G27" s="60" t="s">
        <v>10</v>
      </c>
      <c r="H27" s="58" t="s">
        <v>409</v>
      </c>
      <c r="I27" s="59">
        <v>1</v>
      </c>
      <c r="J27" s="60" t="s">
        <v>10</v>
      </c>
    </row>
    <row r="28" spans="2:10">
      <c r="B28" s="58" t="s">
        <v>278</v>
      </c>
      <c r="C28" s="59">
        <v>1</v>
      </c>
      <c r="D28" s="60" t="s">
        <v>10</v>
      </c>
      <c r="E28" s="58" t="s">
        <v>278</v>
      </c>
      <c r="F28" s="59">
        <v>1</v>
      </c>
      <c r="G28" s="60" t="s">
        <v>10</v>
      </c>
      <c r="H28" s="58" t="s">
        <v>278</v>
      </c>
      <c r="I28" s="59">
        <v>1</v>
      </c>
      <c r="J28" s="60" t="s">
        <v>10</v>
      </c>
    </row>
    <row r="29" spans="2:10">
      <c r="B29" s="34" t="s">
        <v>279</v>
      </c>
      <c r="C29" s="29"/>
      <c r="D29" s="29"/>
      <c r="E29" s="34" t="s">
        <v>279</v>
      </c>
      <c r="F29" s="29"/>
      <c r="G29" s="29"/>
      <c r="H29" s="34" t="s">
        <v>279</v>
      </c>
      <c r="I29" s="29"/>
      <c r="J29" s="29"/>
    </row>
    <row r="30" spans="2:10">
      <c r="B30" s="58" t="s">
        <v>275</v>
      </c>
      <c r="C30" s="59">
        <v>1</v>
      </c>
      <c r="D30" s="60" t="s">
        <v>10</v>
      </c>
      <c r="E30" s="58" t="s">
        <v>275</v>
      </c>
      <c r="F30" s="59">
        <v>1</v>
      </c>
      <c r="G30" s="60" t="s">
        <v>10</v>
      </c>
      <c r="H30" s="58" t="s">
        <v>275</v>
      </c>
      <c r="I30" s="59">
        <v>1</v>
      </c>
      <c r="J30" s="60" t="s">
        <v>10</v>
      </c>
    </row>
    <row r="31" spans="2:10">
      <c r="B31" s="58" t="s">
        <v>408</v>
      </c>
      <c r="C31" s="59">
        <v>1</v>
      </c>
      <c r="D31" s="60" t="s">
        <v>10</v>
      </c>
      <c r="E31" s="58" t="s">
        <v>276</v>
      </c>
      <c r="F31" s="59">
        <v>1</v>
      </c>
      <c r="G31" s="60" t="s">
        <v>10</v>
      </c>
      <c r="H31" s="58" t="s">
        <v>276</v>
      </c>
      <c r="I31" s="59">
        <v>1</v>
      </c>
      <c r="J31" s="60" t="s">
        <v>10</v>
      </c>
    </row>
    <row r="32" spans="2:10">
      <c r="B32" s="58" t="s">
        <v>277</v>
      </c>
      <c r="C32" s="59">
        <v>1</v>
      </c>
      <c r="D32" s="60" t="s">
        <v>10</v>
      </c>
      <c r="E32" s="58" t="s">
        <v>277</v>
      </c>
      <c r="F32" s="59">
        <v>1</v>
      </c>
      <c r="G32" s="60" t="s">
        <v>10</v>
      </c>
      <c r="H32" s="58" t="s">
        <v>277</v>
      </c>
      <c r="I32" s="59">
        <v>1</v>
      </c>
      <c r="J32" s="60" t="s">
        <v>10</v>
      </c>
    </row>
    <row r="33" spans="2:10">
      <c r="B33" s="58" t="s">
        <v>278</v>
      </c>
      <c r="C33" s="61">
        <v>1</v>
      </c>
      <c r="D33" s="62" t="s">
        <v>10</v>
      </c>
      <c r="E33" s="58" t="s">
        <v>278</v>
      </c>
      <c r="F33" s="61">
        <v>1</v>
      </c>
      <c r="G33" s="62" t="s">
        <v>10</v>
      </c>
      <c r="H33" s="58" t="s">
        <v>278</v>
      </c>
      <c r="I33" s="61">
        <v>1</v>
      </c>
      <c r="J33" s="62" t="s">
        <v>10</v>
      </c>
    </row>
    <row r="34" spans="2:10">
      <c r="B34" s="34" t="s">
        <v>280</v>
      </c>
      <c r="C34" s="29"/>
      <c r="D34" s="29"/>
      <c r="E34" s="34" t="s">
        <v>280</v>
      </c>
      <c r="F34" s="29"/>
      <c r="G34" s="29"/>
      <c r="H34" s="34" t="s">
        <v>280</v>
      </c>
      <c r="I34" s="29"/>
      <c r="J34" s="29"/>
    </row>
    <row r="35" spans="2:10">
      <c r="B35" s="58" t="s">
        <v>410</v>
      </c>
      <c r="C35" s="59">
        <v>25</v>
      </c>
      <c r="D35" s="60" t="s">
        <v>134</v>
      </c>
      <c r="E35" s="58" t="s">
        <v>410</v>
      </c>
      <c r="F35" s="59">
        <v>25</v>
      </c>
      <c r="G35" s="60" t="s">
        <v>134</v>
      </c>
      <c r="H35" s="58" t="s">
        <v>410</v>
      </c>
      <c r="I35" s="59">
        <v>25</v>
      </c>
      <c r="J35" s="60" t="s">
        <v>134</v>
      </c>
    </row>
    <row r="36" spans="2:10">
      <c r="B36" s="58" t="s">
        <v>411</v>
      </c>
      <c r="C36" s="59">
        <v>5</v>
      </c>
      <c r="D36" s="60" t="s">
        <v>134</v>
      </c>
      <c r="E36" s="58" t="s">
        <v>411</v>
      </c>
      <c r="F36" s="59">
        <v>5</v>
      </c>
      <c r="G36" s="60" t="s">
        <v>134</v>
      </c>
      <c r="H36" s="58" t="s">
        <v>411</v>
      </c>
      <c r="I36" s="59">
        <v>5</v>
      </c>
      <c r="J36" s="60" t="s">
        <v>134</v>
      </c>
    </row>
    <row r="37" spans="2:10">
      <c r="B37" s="58" t="s">
        <v>412</v>
      </c>
      <c r="C37" s="59">
        <v>2</v>
      </c>
      <c r="D37" s="60" t="s">
        <v>10</v>
      </c>
      <c r="E37" s="58" t="s">
        <v>412</v>
      </c>
      <c r="F37" s="59">
        <v>2</v>
      </c>
      <c r="G37" s="60" t="s">
        <v>10</v>
      </c>
      <c r="H37" s="58" t="s">
        <v>412</v>
      </c>
      <c r="I37" s="59">
        <v>2</v>
      </c>
      <c r="J37" s="60" t="s">
        <v>10</v>
      </c>
    </row>
    <row r="38" spans="2:10">
      <c r="B38" s="58"/>
      <c r="C38" s="59"/>
      <c r="D38" s="60"/>
      <c r="E38" s="58" t="s">
        <v>413</v>
      </c>
      <c r="F38" s="59">
        <v>15</v>
      </c>
      <c r="G38" s="60" t="s">
        <v>19</v>
      </c>
      <c r="H38" s="58"/>
      <c r="I38" s="59"/>
      <c r="J38" s="60"/>
    </row>
    <row r="39" spans="2:10">
      <c r="B39" s="34" t="s">
        <v>282</v>
      </c>
      <c r="C39" s="29"/>
      <c r="D39" s="29"/>
      <c r="E39" s="34" t="s">
        <v>282</v>
      </c>
      <c r="F39" s="29"/>
      <c r="G39" s="29"/>
      <c r="H39" s="34" t="s">
        <v>282</v>
      </c>
      <c r="I39" s="29"/>
      <c r="J39" s="29"/>
    </row>
    <row r="40" spans="2:10">
      <c r="B40" s="58" t="s">
        <v>410</v>
      </c>
      <c r="C40" s="59">
        <v>25</v>
      </c>
      <c r="D40" s="60" t="s">
        <v>134</v>
      </c>
      <c r="E40" s="58" t="s">
        <v>410</v>
      </c>
      <c r="F40" s="59">
        <v>25</v>
      </c>
      <c r="G40" s="60" t="s">
        <v>134</v>
      </c>
      <c r="H40" s="58" t="s">
        <v>410</v>
      </c>
      <c r="I40" s="59">
        <v>25</v>
      </c>
      <c r="J40" s="60" t="s">
        <v>134</v>
      </c>
    </row>
    <row r="41" spans="2:10">
      <c r="B41" s="58" t="s">
        <v>411</v>
      </c>
      <c r="C41" s="59">
        <v>5</v>
      </c>
      <c r="D41" s="60" t="s">
        <v>134</v>
      </c>
      <c r="E41" s="58" t="s">
        <v>411</v>
      </c>
      <c r="F41" s="59">
        <v>5</v>
      </c>
      <c r="G41" s="60" t="s">
        <v>134</v>
      </c>
      <c r="H41" s="58" t="s">
        <v>411</v>
      </c>
      <c r="I41" s="59">
        <v>5</v>
      </c>
      <c r="J41" s="60" t="s">
        <v>134</v>
      </c>
    </row>
    <row r="42" spans="2:10">
      <c r="B42" s="58" t="s">
        <v>412</v>
      </c>
      <c r="C42" s="59">
        <v>2</v>
      </c>
      <c r="D42" s="60" t="s">
        <v>10</v>
      </c>
      <c r="E42" s="58" t="s">
        <v>412</v>
      </c>
      <c r="F42" s="59">
        <v>2</v>
      </c>
      <c r="G42" s="60" t="s">
        <v>10</v>
      </c>
      <c r="H42" s="58" t="s">
        <v>412</v>
      </c>
      <c r="I42" s="59">
        <v>2</v>
      </c>
      <c r="J42" s="60" t="s">
        <v>10</v>
      </c>
    </row>
    <row r="43" spans="2:10">
      <c r="B43" s="58"/>
      <c r="C43" s="59"/>
      <c r="D43" s="60"/>
      <c r="E43" s="58" t="s">
        <v>413</v>
      </c>
      <c r="F43" s="59">
        <v>15</v>
      </c>
      <c r="G43" s="60" t="s">
        <v>19</v>
      </c>
      <c r="H43" s="58"/>
      <c r="I43" s="59"/>
      <c r="J43" s="60"/>
    </row>
    <row r="44" spans="2:10">
      <c r="B44" s="34" t="s">
        <v>283</v>
      </c>
      <c r="C44" s="29"/>
      <c r="D44" s="29"/>
      <c r="E44" s="34" t="s">
        <v>283</v>
      </c>
      <c r="F44" s="29"/>
      <c r="G44" s="29"/>
      <c r="H44" s="34" t="s">
        <v>283</v>
      </c>
      <c r="I44" s="29"/>
      <c r="J44" s="29"/>
    </row>
    <row r="45" spans="2:10">
      <c r="B45" s="10" t="s">
        <v>325</v>
      </c>
      <c r="C45" s="13">
        <v>90</v>
      </c>
      <c r="D45" s="12" t="s">
        <v>19</v>
      </c>
      <c r="E45" s="10" t="s">
        <v>61</v>
      </c>
      <c r="F45" s="13" t="s">
        <v>62</v>
      </c>
      <c r="G45" s="12" t="s">
        <v>19</v>
      </c>
      <c r="H45" s="10" t="s">
        <v>70</v>
      </c>
      <c r="I45" s="13">
        <v>90</v>
      </c>
      <c r="J45" s="12" t="s">
        <v>19</v>
      </c>
    </row>
    <row r="46" spans="2:10">
      <c r="B46" s="10" t="s">
        <v>73</v>
      </c>
      <c r="C46" s="13">
        <v>60</v>
      </c>
      <c r="D46" s="12" t="s">
        <v>19</v>
      </c>
      <c r="E46" s="10" t="s">
        <v>64</v>
      </c>
      <c r="F46" s="13">
        <v>75</v>
      </c>
      <c r="G46" s="12" t="s">
        <v>19</v>
      </c>
      <c r="H46" s="10" t="s">
        <v>73</v>
      </c>
      <c r="I46" s="13">
        <v>60</v>
      </c>
      <c r="J46" s="12" t="s">
        <v>19</v>
      </c>
    </row>
    <row r="47" spans="2:10">
      <c r="B47" s="10" t="s">
        <v>74</v>
      </c>
      <c r="C47" s="13">
        <v>60</v>
      </c>
      <c r="D47" s="12" t="s">
        <v>19</v>
      </c>
      <c r="E47" s="10" t="s">
        <v>66</v>
      </c>
      <c r="F47" s="13">
        <v>15</v>
      </c>
      <c r="G47" s="12" t="s">
        <v>19</v>
      </c>
      <c r="H47" s="10" t="s">
        <v>74</v>
      </c>
      <c r="I47" s="13">
        <v>60</v>
      </c>
      <c r="J47" s="12" t="s">
        <v>19</v>
      </c>
    </row>
    <row r="48" spans="2:10">
      <c r="B48" s="10" t="s">
        <v>75</v>
      </c>
      <c r="C48" s="13">
        <v>30</v>
      </c>
      <c r="D48" s="12" t="s">
        <v>19</v>
      </c>
      <c r="E48" s="10" t="s">
        <v>67</v>
      </c>
      <c r="F48" s="13">
        <v>5</v>
      </c>
      <c r="G48" s="12" t="s">
        <v>19</v>
      </c>
      <c r="H48" s="10" t="s">
        <v>75</v>
      </c>
      <c r="I48" s="13">
        <v>30</v>
      </c>
      <c r="J48" s="12" t="s">
        <v>19</v>
      </c>
    </row>
    <row r="49" spans="2:10">
      <c r="B49" s="10"/>
      <c r="C49" s="31"/>
      <c r="D49" s="32"/>
      <c r="E49" s="10" t="s">
        <v>68</v>
      </c>
      <c r="F49" s="13">
        <v>40</v>
      </c>
      <c r="G49" s="12" t="s">
        <v>19</v>
      </c>
      <c r="H49" s="10"/>
      <c r="I49" s="31"/>
      <c r="J49" s="32"/>
    </row>
    <row r="50" spans="2:10">
      <c r="B50" s="34" t="s">
        <v>286</v>
      </c>
      <c r="C50" s="29"/>
      <c r="D50" s="29"/>
      <c r="E50" s="34" t="s">
        <v>286</v>
      </c>
      <c r="F50" s="29"/>
      <c r="G50" s="29"/>
      <c r="H50" s="34" t="s">
        <v>286</v>
      </c>
      <c r="I50" s="29"/>
      <c r="J50" s="29"/>
    </row>
    <row r="51" spans="2:10">
      <c r="B51" s="10" t="s">
        <v>325</v>
      </c>
      <c r="C51" s="13">
        <v>90</v>
      </c>
      <c r="D51" s="12" t="s">
        <v>19</v>
      </c>
      <c r="E51" s="10" t="s">
        <v>61</v>
      </c>
      <c r="F51" s="13" t="s">
        <v>62</v>
      </c>
      <c r="G51" s="12" t="s">
        <v>19</v>
      </c>
      <c r="H51" s="10" t="s">
        <v>70</v>
      </c>
      <c r="I51" s="13">
        <v>90</v>
      </c>
      <c r="J51" s="12" t="s">
        <v>19</v>
      </c>
    </row>
    <row r="52" spans="2:10">
      <c r="B52" s="10" t="s">
        <v>73</v>
      </c>
      <c r="C52" s="13">
        <v>60</v>
      </c>
      <c r="D52" s="12" t="s">
        <v>19</v>
      </c>
      <c r="E52" s="10" t="s">
        <v>64</v>
      </c>
      <c r="F52" s="13">
        <v>75</v>
      </c>
      <c r="G52" s="12" t="s">
        <v>19</v>
      </c>
      <c r="H52" s="10" t="s">
        <v>73</v>
      </c>
      <c r="I52" s="13">
        <v>60</v>
      </c>
      <c r="J52" s="12" t="s">
        <v>19</v>
      </c>
    </row>
    <row r="53" spans="2:10">
      <c r="B53" s="10" t="s">
        <v>74</v>
      </c>
      <c r="C53" s="13">
        <v>60</v>
      </c>
      <c r="D53" s="12" t="s">
        <v>19</v>
      </c>
      <c r="E53" s="10" t="s">
        <v>66</v>
      </c>
      <c r="F53" s="13">
        <v>15</v>
      </c>
      <c r="G53" s="12" t="s">
        <v>19</v>
      </c>
      <c r="H53" s="10" t="s">
        <v>74</v>
      </c>
      <c r="I53" s="13">
        <v>60</v>
      </c>
      <c r="J53" s="12" t="s">
        <v>19</v>
      </c>
    </row>
    <row r="54" spans="2:10">
      <c r="B54" s="10" t="s">
        <v>75</v>
      </c>
      <c r="C54" s="13">
        <v>30</v>
      </c>
      <c r="D54" s="12" t="s">
        <v>19</v>
      </c>
      <c r="E54" s="10" t="s">
        <v>67</v>
      </c>
      <c r="F54" s="13">
        <v>5</v>
      </c>
      <c r="G54" s="12" t="s">
        <v>19</v>
      </c>
      <c r="H54" s="10" t="s">
        <v>75</v>
      </c>
      <c r="I54" s="13">
        <v>30</v>
      </c>
      <c r="J54" s="12" t="s">
        <v>19</v>
      </c>
    </row>
    <row r="55" spans="2:10">
      <c r="B55" s="10"/>
      <c r="C55" s="31"/>
      <c r="D55" s="32"/>
      <c r="E55" s="10" t="s">
        <v>68</v>
      </c>
      <c r="F55" s="13">
        <v>40</v>
      </c>
      <c r="G55" s="12" t="s">
        <v>19</v>
      </c>
      <c r="H55" s="10"/>
      <c r="I55" s="31"/>
      <c r="J55" s="32"/>
    </row>
    <row r="56" spans="2:10">
      <c r="B56" s="34" t="s">
        <v>291</v>
      </c>
      <c r="C56" s="29"/>
      <c r="D56" s="29"/>
      <c r="E56" s="34" t="s">
        <v>291</v>
      </c>
      <c r="F56" s="29"/>
      <c r="G56" s="29"/>
      <c r="H56" s="34" t="s">
        <v>291</v>
      </c>
      <c r="I56" s="29"/>
      <c r="J56" s="29"/>
    </row>
    <row r="57" spans="2:10">
      <c r="B57" s="37" t="s">
        <v>245</v>
      </c>
      <c r="C57" s="38">
        <v>1</v>
      </c>
      <c r="D57" s="39" t="s">
        <v>10</v>
      </c>
      <c r="E57" s="37" t="s">
        <v>245</v>
      </c>
      <c r="F57" s="38">
        <v>1</v>
      </c>
      <c r="G57" s="39" t="s">
        <v>10</v>
      </c>
      <c r="H57" s="37" t="s">
        <v>245</v>
      </c>
      <c r="I57" s="38">
        <v>1</v>
      </c>
      <c r="J57" s="39" t="s">
        <v>10</v>
      </c>
    </row>
    <row r="58" spans="2:10">
      <c r="B58" s="37" t="s">
        <v>292</v>
      </c>
      <c r="C58" s="38">
        <v>1</v>
      </c>
      <c r="D58" s="39" t="s">
        <v>10</v>
      </c>
      <c r="E58" s="37" t="s">
        <v>292</v>
      </c>
      <c r="F58" s="38">
        <v>1</v>
      </c>
      <c r="G58" s="39" t="s">
        <v>10</v>
      </c>
      <c r="H58" s="37" t="s">
        <v>414</v>
      </c>
      <c r="I58" s="38">
        <v>1</v>
      </c>
      <c r="J58" s="39" t="s">
        <v>10</v>
      </c>
    </row>
    <row r="59" spans="2:10">
      <c r="B59" s="37" t="s">
        <v>294</v>
      </c>
      <c r="C59" s="38">
        <v>1</v>
      </c>
      <c r="D59" s="39" t="s">
        <v>10</v>
      </c>
      <c r="E59" s="37" t="s">
        <v>294</v>
      </c>
      <c r="F59" s="38">
        <v>1</v>
      </c>
      <c r="G59" s="39" t="s">
        <v>10</v>
      </c>
      <c r="H59" s="37" t="s">
        <v>414</v>
      </c>
      <c r="I59" s="38">
        <v>1</v>
      </c>
      <c r="J59" s="39" t="s">
        <v>10</v>
      </c>
    </row>
    <row r="60" spans="2:10">
      <c r="B60" s="37" t="s">
        <v>277</v>
      </c>
      <c r="C60" s="38">
        <v>2</v>
      </c>
      <c r="D60" s="39" t="s">
        <v>10</v>
      </c>
      <c r="E60" s="37" t="s">
        <v>277</v>
      </c>
      <c r="F60" s="38">
        <v>2</v>
      </c>
      <c r="G60" s="39" t="s">
        <v>10</v>
      </c>
      <c r="H60" s="37" t="s">
        <v>409</v>
      </c>
      <c r="I60" s="38">
        <v>2</v>
      </c>
      <c r="J60" s="39" t="s">
        <v>10</v>
      </c>
    </row>
    <row r="61" spans="2:10">
      <c r="B61" s="37" t="s">
        <v>246</v>
      </c>
      <c r="C61" s="38">
        <v>1</v>
      </c>
      <c r="D61" s="39" t="s">
        <v>10</v>
      </c>
      <c r="E61" s="37" t="s">
        <v>246</v>
      </c>
      <c r="F61" s="38">
        <v>1</v>
      </c>
      <c r="G61" s="39" t="s">
        <v>10</v>
      </c>
      <c r="H61" s="37" t="s">
        <v>415</v>
      </c>
      <c r="I61" s="38">
        <v>1</v>
      </c>
      <c r="J61" s="39" t="s">
        <v>10</v>
      </c>
    </row>
    <row r="62" spans="2:10">
      <c r="B62" s="34" t="s">
        <v>297</v>
      </c>
      <c r="C62" s="29"/>
      <c r="D62" s="29"/>
      <c r="E62" s="34" t="s">
        <v>297</v>
      </c>
      <c r="F62" s="29"/>
      <c r="G62" s="29"/>
      <c r="H62" s="34" t="s">
        <v>297</v>
      </c>
      <c r="I62" s="29"/>
      <c r="J62" s="29"/>
    </row>
    <row r="63" spans="2:10">
      <c r="B63" s="37" t="s">
        <v>416</v>
      </c>
      <c r="C63" s="38">
        <v>90</v>
      </c>
      <c r="D63" s="39" t="s">
        <v>134</v>
      </c>
      <c r="E63" s="37" t="s">
        <v>417</v>
      </c>
      <c r="F63" s="38">
        <v>90</v>
      </c>
      <c r="G63" s="39" t="s">
        <v>134</v>
      </c>
      <c r="H63" s="37" t="s">
        <v>416</v>
      </c>
      <c r="I63" s="38">
        <v>90</v>
      </c>
      <c r="J63" s="39" t="s">
        <v>134</v>
      </c>
    </row>
    <row r="64" spans="2:10">
      <c r="B64" s="37" t="s">
        <v>299</v>
      </c>
      <c r="C64" s="38">
        <v>30</v>
      </c>
      <c r="D64" s="39" t="s">
        <v>134</v>
      </c>
      <c r="E64" s="37" t="s">
        <v>299</v>
      </c>
      <c r="F64" s="38">
        <v>30</v>
      </c>
      <c r="G64" s="39" t="s">
        <v>134</v>
      </c>
      <c r="H64" s="37" t="s">
        <v>299</v>
      </c>
      <c r="I64" s="38">
        <v>30</v>
      </c>
      <c r="J64" s="39" t="s">
        <v>134</v>
      </c>
    </row>
    <row r="65" spans="2:10">
      <c r="B65" s="37" t="s">
        <v>300</v>
      </c>
      <c r="C65" s="38">
        <v>90</v>
      </c>
      <c r="D65" s="39" t="s">
        <v>301</v>
      </c>
      <c r="E65" s="37" t="s">
        <v>300</v>
      </c>
      <c r="F65" s="38">
        <v>90</v>
      </c>
      <c r="G65" s="39" t="s">
        <v>301</v>
      </c>
      <c r="H65" s="37" t="s">
        <v>300</v>
      </c>
      <c r="I65" s="38">
        <v>90</v>
      </c>
      <c r="J65" s="39" t="s">
        <v>301</v>
      </c>
    </row>
    <row r="66" spans="2:10">
      <c r="B66" s="37" t="s">
        <v>418</v>
      </c>
      <c r="C66" s="38">
        <v>60</v>
      </c>
      <c r="D66" s="39" t="s">
        <v>301</v>
      </c>
      <c r="E66" s="37" t="s">
        <v>418</v>
      </c>
      <c r="F66" s="38">
        <v>60</v>
      </c>
      <c r="G66" s="39" t="s">
        <v>301</v>
      </c>
      <c r="H66" s="37" t="s">
        <v>418</v>
      </c>
      <c r="I66" s="38">
        <v>60</v>
      </c>
      <c r="J66" s="39" t="s">
        <v>301</v>
      </c>
    </row>
    <row r="67" spans="2:10">
      <c r="B67" s="37"/>
      <c r="C67" s="38"/>
      <c r="D67" s="39"/>
      <c r="E67" s="37"/>
      <c r="F67" s="38"/>
      <c r="G67" s="39"/>
      <c r="H67" s="37"/>
      <c r="I67" s="38"/>
      <c r="J67" s="39"/>
    </row>
    <row r="68" spans="2:10">
      <c r="B68" s="36" t="s">
        <v>304</v>
      </c>
      <c r="C68" s="29"/>
      <c r="D68" s="29"/>
      <c r="E68" s="36" t="s">
        <v>304</v>
      </c>
      <c r="F68" s="29"/>
      <c r="G68" s="29"/>
      <c r="H68" s="36" t="s">
        <v>304</v>
      </c>
      <c r="I68" s="29"/>
      <c r="J68" s="29"/>
    </row>
    <row r="69" spans="2:10">
      <c r="B69" s="37" t="s">
        <v>416</v>
      </c>
      <c r="C69" s="38">
        <v>90</v>
      </c>
      <c r="D69" s="39" t="s">
        <v>134</v>
      </c>
      <c r="E69" s="37" t="s">
        <v>419</v>
      </c>
      <c r="F69" s="38">
        <v>90</v>
      </c>
      <c r="G69" s="39" t="s">
        <v>134</v>
      </c>
      <c r="H69" s="37" t="s">
        <v>416</v>
      </c>
      <c r="I69" s="38">
        <v>90</v>
      </c>
      <c r="J69" s="39" t="s">
        <v>134</v>
      </c>
    </row>
    <row r="70" spans="2:10">
      <c r="B70" s="37" t="s">
        <v>299</v>
      </c>
      <c r="C70" s="38">
        <v>30</v>
      </c>
      <c r="D70" s="39" t="s">
        <v>134</v>
      </c>
      <c r="E70" s="37" t="s">
        <v>299</v>
      </c>
      <c r="F70" s="38">
        <v>30</v>
      </c>
      <c r="G70" s="39" t="s">
        <v>134</v>
      </c>
      <c r="H70" s="37" t="s">
        <v>299</v>
      </c>
      <c r="I70" s="38">
        <v>30</v>
      </c>
      <c r="J70" s="39" t="s">
        <v>134</v>
      </c>
    </row>
    <row r="71" spans="2:10">
      <c r="B71" s="37" t="s">
        <v>300</v>
      </c>
      <c r="C71" s="38">
        <v>90</v>
      </c>
      <c r="D71" s="39" t="s">
        <v>301</v>
      </c>
      <c r="E71" s="37" t="s">
        <v>300</v>
      </c>
      <c r="F71" s="38">
        <v>90</v>
      </c>
      <c r="G71" s="39" t="s">
        <v>301</v>
      </c>
      <c r="H71" s="37" t="s">
        <v>300</v>
      </c>
      <c r="I71" s="38">
        <v>90</v>
      </c>
      <c r="J71" s="39" t="s">
        <v>301</v>
      </c>
    </row>
    <row r="72" spans="2:10">
      <c r="B72" s="37" t="s">
        <v>418</v>
      </c>
      <c r="C72" s="38">
        <v>60</v>
      </c>
      <c r="D72" s="39" t="s">
        <v>301</v>
      </c>
      <c r="E72" s="37" t="s">
        <v>418</v>
      </c>
      <c r="F72" s="38">
        <v>60</v>
      </c>
      <c r="G72" s="39" t="s">
        <v>301</v>
      </c>
      <c r="H72" s="37" t="s">
        <v>418</v>
      </c>
      <c r="I72" s="38">
        <v>60</v>
      </c>
      <c r="J72" s="39" t="s">
        <v>301</v>
      </c>
    </row>
    <row r="73" spans="2:10">
      <c r="B73" s="37"/>
      <c r="C73" s="38"/>
      <c r="D73" s="39"/>
      <c r="E73" s="37"/>
      <c r="F73" s="38"/>
      <c r="G73" s="39"/>
      <c r="H73" s="37"/>
      <c r="I73" s="38"/>
      <c r="J73" s="39"/>
    </row>
  </sheetData>
  <mergeCells count="6">
    <mergeCell ref="B2:D2"/>
    <mergeCell ref="B23:D23"/>
    <mergeCell ref="E2:G2"/>
    <mergeCell ref="E23:G23"/>
    <mergeCell ref="H2:J2"/>
    <mergeCell ref="H23:J23"/>
  </mergeCells>
  <pageMargins left="0.7" right="0.7" top="0.75" bottom="0.75" header="0.3" footer="0.3"/>
  <pageSetup scale="6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EFDA-7468-4CE5-80FE-67875CD51B01}">
  <dimension ref="A2:A7"/>
  <sheetViews>
    <sheetView workbookViewId="0">
      <selection activeCell="B1" sqref="B1"/>
    </sheetView>
  </sheetViews>
  <sheetFormatPr defaultRowHeight="14.4"/>
  <cols>
    <col min="1" max="1" width="15" bestFit="1" customWidth="1"/>
  </cols>
  <sheetData>
    <row r="2" spans="1:1">
      <c r="A2" t="s">
        <v>420</v>
      </c>
    </row>
    <row r="3" spans="1:1">
      <c r="A3" t="s">
        <v>421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30F25CF8-9132-405C-BFF6-EEFD075DD216}"/>
</file>

<file path=customXml/itemProps2.xml><?xml version="1.0" encoding="utf-8"?>
<ds:datastoreItem xmlns:ds="http://schemas.openxmlformats.org/officeDocument/2006/customXml" ds:itemID="{19C7A03C-6546-469F-8411-4B59EEC417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321509-F9E0-4889-B1CD-7994E04532AC}">
  <ds:schemaRefs>
    <ds:schemaRef ds:uri="8be24d1f-f08e-46a7-9c6b-0452813a2a77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1cca795c-b702-4d9c-a00f-4ea8e3fb186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CS C C1-3</vt:lpstr>
      <vt:lpstr>Express Tray Set up</vt:lpstr>
      <vt:lpstr>CS Y C1-3</vt:lpstr>
      <vt:lpstr>CS M C1-3</vt:lpstr>
      <vt:lpstr>CS P K C3</vt:lpstr>
      <vt:lpstr>BC - Special Meals</vt:lpstr>
      <vt:lpstr>PLUS SPECIAL MEALS</vt:lpstr>
      <vt:lpstr>ECONOMY GO SPML</vt:lpstr>
      <vt:lpstr>CREW SPML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Sue  Lu</cp:lastModifiedBy>
  <cp:revision/>
  <dcterms:created xsi:type="dcterms:W3CDTF">2024-02-23T19:31:22Z</dcterms:created>
  <dcterms:modified xsi:type="dcterms:W3CDTF">2024-08-30T14:52:33Z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