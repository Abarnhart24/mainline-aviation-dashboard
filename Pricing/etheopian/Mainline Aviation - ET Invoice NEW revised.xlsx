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ullivanRoad/Shared Documents/ET - Ethiopian/ET Billing/2026 ET Billing New Cycle/May-2026 2nd half/"/>
    </mc:Choice>
  </mc:AlternateContent>
  <xr:revisionPtr revIDLastSave="769" documentId="8_{7B1E9265-95D6-40F4-A483-E59673C9BAC7}" xr6:coauthVersionLast="47" xr6:coauthVersionMax="47" xr10:uidLastSave="{5B84280E-243B-4BAB-9B99-ED66FF2CB963}"/>
  <bookViews>
    <workbookView xWindow="28680" yWindow="-120" windowWidth="29040" windowHeight="17520" tabRatio="939" activeTab="18" xr2:uid="{00000000-000D-0000-FFFF-FFFF00000000}"/>
  </bookViews>
  <sheets>
    <sheet name="Inv Summary" sheetId="20" r:id="rId1"/>
    <sheet name="Inv Detail" sheetId="2" r:id="rId2"/>
    <sheet name="DN01" sheetId="3" r:id="rId3"/>
    <sheet name="DN02" sheetId="8" r:id="rId4"/>
    <sheet name="DN03" sheetId="9" r:id="rId5"/>
    <sheet name="DN04" sheetId="10" r:id="rId6"/>
    <sheet name="DN05" sheetId="11" r:id="rId7"/>
    <sheet name="DN11" sheetId="17" r:id="rId8"/>
    <sheet name="DN06" sheetId="12" r:id="rId9"/>
    <sheet name="DN07" sheetId="13" r:id="rId10"/>
    <sheet name="DN08" sheetId="14" r:id="rId11"/>
    <sheet name="DN09" sheetId="15" r:id="rId12"/>
    <sheet name="DN10" sheetId="16" r:id="rId13"/>
    <sheet name="DN12" sheetId="18" r:id="rId14"/>
    <sheet name="DN13" sheetId="19" r:id="rId15"/>
    <sheet name="New Cycle change" sheetId="23" r:id="rId16"/>
    <sheet name="ET Standar Price List" sheetId="7" r:id="rId17"/>
    <sheet name="DRY ITEM LIST" sheetId="5" r:id="rId18"/>
    <sheet name="AR Invoice" sheetId="21" r:id="rId19"/>
    <sheet name="Old Cycle change " sheetId="22" r:id="rId20"/>
    <sheet name="Sheet1" sheetId="24" r:id="rId21"/>
  </sheets>
  <externalReferences>
    <externalReference r:id="rId22"/>
    <externalReference r:id="rId23"/>
  </externalReferences>
  <definedNames>
    <definedName name="_xlnm._FilterDatabase" localSheetId="17" hidden="1">'DRY ITEM LIST'!$B$3:$F$49</definedName>
    <definedName name="Data">[1]Summary!$A$2:$F$5004</definedName>
    <definedName name="DryItemList" localSheetId="0">'[2]DRY ITEM LIST'!$D$4:$D$46</definedName>
    <definedName name="DryItemList">'DRY ITEM LIST'!$D$4:$D$61</definedName>
    <definedName name="_xlnm.Print_Area" localSheetId="16">'ET Standar Price List'!$C$1:$K$38</definedName>
    <definedName name="_xlnm.Print_Area" localSheetId="1">'Inv Detail'!$D$1:$Q$61</definedName>
    <definedName name="_xlnm.Print_Area" localSheetId="0">'Inv Summary'!$D$1:$H$28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8" l="1"/>
  <c r="N44" i="9"/>
  <c r="N44" i="10"/>
  <c r="N46" i="3"/>
  <c r="B16" i="9"/>
  <c r="B14" i="9"/>
  <c r="B13" i="9"/>
  <c r="I36" i="2" l="1"/>
  <c r="J37" i="2"/>
  <c r="H37" i="2"/>
  <c r="G37" i="2"/>
  <c r="G15" i="20" l="1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L17" i="3"/>
  <c r="M17" i="3"/>
  <c r="N17" i="3"/>
  <c r="O17" i="3"/>
  <c r="I12" i="3" a="1"/>
  <c r="L18" i="3"/>
  <c r="M18" i="3"/>
  <c r="N18" i="3"/>
  <c r="O18" i="3"/>
  <c r="L19" i="3"/>
  <c r="M19" i="3"/>
  <c r="N19" i="3"/>
  <c r="O19" i="3"/>
  <c r="L20" i="3"/>
  <c r="M20" i="3"/>
  <c r="N20" i="3"/>
  <c r="O20" i="3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J25" i="3"/>
  <c r="K25" i="3"/>
  <c r="L25" i="3"/>
  <c r="M25" i="3"/>
  <c r="N25" i="3"/>
  <c r="O25" i="3"/>
  <c r="M12" i="21" l="1"/>
  <c r="M23" i="21"/>
  <c r="M24" i="21"/>
  <c r="M25" i="21"/>
  <c r="D19" i="2"/>
  <c r="D23" i="2"/>
  <c r="D25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B53" i="5" l="1"/>
  <c r="B54" i="5"/>
  <c r="B55" i="5"/>
  <c r="B56" i="5"/>
  <c r="B57" i="5"/>
  <c r="B52" i="5"/>
  <c r="B51" i="5"/>
  <c r="G3" i="2" l="1"/>
  <c r="G112" i="7"/>
  <c r="J112" i="7" s="1"/>
  <c r="M112" i="7" s="1"/>
  <c r="G111" i="7"/>
  <c r="J111" i="7" s="1"/>
  <c r="M111" i="7" s="1"/>
  <c r="G106" i="7"/>
  <c r="J106" i="7" s="1"/>
  <c r="M106" i="7" s="1"/>
  <c r="G105" i="7"/>
  <c r="G109" i="7" s="1"/>
  <c r="J109" i="7" s="1"/>
  <c r="M109" i="7" s="1"/>
  <c r="M98" i="7"/>
  <c r="J98" i="7"/>
  <c r="G98" i="7"/>
  <c r="M97" i="7"/>
  <c r="J97" i="7"/>
  <c r="G97" i="7"/>
  <c r="M96" i="7"/>
  <c r="J96" i="7"/>
  <c r="G96" i="7"/>
  <c r="M95" i="7"/>
  <c r="J95" i="7"/>
  <c r="G95" i="7"/>
  <c r="M94" i="7"/>
  <c r="J94" i="7"/>
  <c r="G94" i="7"/>
  <c r="M93" i="7"/>
  <c r="J93" i="7"/>
  <c r="G93" i="7"/>
  <c r="M92" i="7"/>
  <c r="J92" i="7"/>
  <c r="G92" i="7"/>
  <c r="M91" i="7"/>
  <c r="J91" i="7"/>
  <c r="G91" i="7"/>
  <c r="M88" i="7"/>
  <c r="J88" i="7"/>
  <c r="G88" i="7"/>
  <c r="M87" i="7"/>
  <c r="J87" i="7"/>
  <c r="G87" i="7"/>
  <c r="M86" i="7"/>
  <c r="J86" i="7"/>
  <c r="G86" i="7"/>
  <c r="M85" i="7"/>
  <c r="J85" i="7"/>
  <c r="G85" i="7"/>
  <c r="M84" i="7"/>
  <c r="J84" i="7"/>
  <c r="G84" i="7"/>
  <c r="M82" i="7"/>
  <c r="J82" i="7"/>
  <c r="G82" i="7"/>
  <c r="M81" i="7"/>
  <c r="J81" i="7"/>
  <c r="G81" i="7"/>
  <c r="M80" i="7"/>
  <c r="J80" i="7"/>
  <c r="G80" i="7"/>
  <c r="M79" i="7"/>
  <c r="M89" i="7" s="1"/>
  <c r="J79" i="7"/>
  <c r="J89" i="7" s="1"/>
  <c r="G79" i="7"/>
  <c r="G89" i="7" s="1"/>
  <c r="M78" i="7"/>
  <c r="J78" i="7"/>
  <c r="G78" i="7"/>
  <c r="M77" i="7"/>
  <c r="J77" i="7"/>
  <c r="G77" i="7"/>
  <c r="M75" i="7"/>
  <c r="J75" i="7"/>
  <c r="G75" i="7"/>
  <c r="M74" i="7"/>
  <c r="J74" i="7"/>
  <c r="G74" i="7"/>
  <c r="M73" i="7"/>
  <c r="J73" i="7"/>
  <c r="G73" i="7"/>
  <c r="J65" i="7"/>
  <c r="M65" i="7" s="1"/>
  <c r="J63" i="7"/>
  <c r="M63" i="7" s="1"/>
  <c r="J62" i="7"/>
  <c r="M62" i="7" s="1"/>
  <c r="J61" i="7"/>
  <c r="M61" i="7" s="1"/>
  <c r="J60" i="7"/>
  <c r="M60" i="7" s="1"/>
  <c r="J59" i="7"/>
  <c r="M59" i="7" s="1"/>
  <c r="M58" i="7"/>
  <c r="J58" i="7"/>
  <c r="J57" i="7"/>
  <c r="M57" i="7" s="1"/>
  <c r="J56" i="7"/>
  <c r="M56" i="7" s="1"/>
  <c r="M55" i="7"/>
  <c r="J55" i="7"/>
  <c r="G55" i="7"/>
  <c r="M54" i="7"/>
  <c r="J54" i="7"/>
  <c r="G54" i="7"/>
  <c r="M53" i="7"/>
  <c r="J53" i="7"/>
  <c r="G53" i="7"/>
  <c r="M52" i="7"/>
  <c r="J52" i="7"/>
  <c r="G52" i="7"/>
  <c r="M51" i="7"/>
  <c r="J51" i="7"/>
  <c r="G51" i="7"/>
  <c r="M50" i="7"/>
  <c r="J50" i="7"/>
  <c r="G50" i="7"/>
  <c r="M49" i="7"/>
  <c r="J49" i="7"/>
  <c r="G49" i="7"/>
  <c r="M48" i="7"/>
  <c r="J48" i="7"/>
  <c r="G48" i="7"/>
  <c r="M45" i="7"/>
  <c r="J45" i="7"/>
  <c r="G45" i="7"/>
  <c r="M44" i="7"/>
  <c r="J44" i="7"/>
  <c r="G44" i="7"/>
  <c r="M43" i="7"/>
  <c r="M46" i="7" s="1"/>
  <c r="J43" i="7"/>
  <c r="J46" i="7" s="1"/>
  <c r="G43" i="7"/>
  <c r="M39" i="7"/>
  <c r="J39" i="7"/>
  <c r="G39" i="7"/>
  <c r="M38" i="7"/>
  <c r="J38" i="7"/>
  <c r="G38" i="7"/>
  <c r="M37" i="7"/>
  <c r="J37" i="7"/>
  <c r="G37" i="7"/>
  <c r="M36" i="7"/>
  <c r="J36" i="7"/>
  <c r="G36" i="7"/>
  <c r="M35" i="7"/>
  <c r="J35" i="7"/>
  <c r="G35" i="7"/>
  <c r="M34" i="7"/>
  <c r="J34" i="7"/>
  <c r="G34" i="7"/>
  <c r="M33" i="7"/>
  <c r="J33" i="7"/>
  <c r="G33" i="7"/>
  <c r="M32" i="7"/>
  <c r="J32" i="7"/>
  <c r="G32" i="7"/>
  <c r="M31" i="7"/>
  <c r="J31" i="7"/>
  <c r="G31" i="7"/>
  <c r="M30" i="7"/>
  <c r="J30" i="7"/>
  <c r="G30" i="7"/>
  <c r="M28" i="7"/>
  <c r="J28" i="7"/>
  <c r="G28" i="7"/>
  <c r="M27" i="7"/>
  <c r="J27" i="7"/>
  <c r="G27" i="7"/>
  <c r="M26" i="7"/>
  <c r="J26" i="7"/>
  <c r="G26" i="7"/>
  <c r="M25" i="7"/>
  <c r="J25" i="7"/>
  <c r="G25" i="7"/>
  <c r="G24" i="7"/>
  <c r="M24" i="7" s="1"/>
  <c r="M23" i="7"/>
  <c r="J23" i="7"/>
  <c r="G23" i="7"/>
  <c r="M20" i="7"/>
  <c r="J20" i="7"/>
  <c r="G20" i="7"/>
  <c r="M19" i="7"/>
  <c r="J19" i="7"/>
  <c r="G19" i="7"/>
  <c r="M18" i="7"/>
  <c r="J18" i="7"/>
  <c r="G18" i="7"/>
  <c r="M17" i="7"/>
  <c r="J17" i="7"/>
  <c r="G17" i="7"/>
  <c r="M15" i="7"/>
  <c r="J15" i="7"/>
  <c r="G15" i="7"/>
  <c r="M14" i="7"/>
  <c r="J14" i="7"/>
  <c r="G14" i="7"/>
  <c r="M13" i="7"/>
  <c r="J13" i="7"/>
  <c r="G13" i="7"/>
  <c r="M12" i="7"/>
  <c r="J12" i="7"/>
  <c r="G12" i="7"/>
  <c r="M10" i="7"/>
  <c r="J10" i="7"/>
  <c r="G10" i="7"/>
  <c r="M9" i="7"/>
  <c r="J9" i="7"/>
  <c r="G9" i="7"/>
  <c r="M8" i="7"/>
  <c r="J8" i="7"/>
  <c r="G8" i="7"/>
  <c r="G21" i="7" s="1"/>
  <c r="A8" i="7"/>
  <c r="M7" i="7"/>
  <c r="M21" i="7" s="1"/>
  <c r="J7" i="7"/>
  <c r="G7" i="7"/>
  <c r="J24" i="7" l="1"/>
  <c r="J105" i="7"/>
  <c r="M105" i="7" s="1"/>
  <c r="G40" i="7"/>
  <c r="G9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G116" i="7"/>
  <c r="J116" i="7" s="1"/>
  <c r="M116" i="7" s="1"/>
  <c r="J21" i="7"/>
  <c r="J40" i="7"/>
  <c r="J99" i="7"/>
  <c r="M99" i="7"/>
  <c r="M40" i="7"/>
  <c r="G46" i="7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19" i="7"/>
  <c r="F27" i="2" l="1" a="1"/>
  <c r="A56" i="7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52" i="7"/>
  <c r="F13" i="2" l="1" a="1"/>
  <c r="A53" i="7"/>
  <c r="A54" i="7" s="1"/>
  <c r="A55" i="7" s="1"/>
  <c r="F35" i="2" a="1"/>
  <c r="F10" i="2" a="1"/>
  <c r="F14" i="2" a="1"/>
  <c r="F29" i="2" a="1"/>
  <c r="F29" i="2" s="1"/>
  <c r="F37" i="2" a="1"/>
  <c r="F37" i="2" s="1"/>
  <c r="F45" i="5"/>
  <c r="F44" i="5"/>
  <c r="N43" i="14"/>
  <c r="N41" i="13"/>
  <c r="N44" i="12"/>
  <c r="N41" i="11"/>
  <c r="N45" i="15"/>
  <c r="O42" i="9"/>
  <c r="M9" i="2"/>
  <c r="M29" i="2" s="1"/>
  <c r="L30" i="21"/>
  <c r="M27" i="2" l="1"/>
  <c r="M34" i="2"/>
  <c r="M26" i="2"/>
  <c r="M35" i="2"/>
  <c r="M10" i="2"/>
  <c r="M14" i="2"/>
  <c r="M13" i="2"/>
  <c r="M41" i="2"/>
  <c r="M55" i="2"/>
  <c r="N43" i="16"/>
  <c r="P9" i="2"/>
  <c r="P29" i="2" s="1"/>
  <c r="O47" i="13"/>
  <c r="P27" i="2" l="1"/>
  <c r="P34" i="2"/>
  <c r="P26" i="2"/>
  <c r="P35" i="2"/>
  <c r="P14" i="2"/>
  <c r="P13" i="2"/>
  <c r="P8" i="2"/>
  <c r="P44" i="2"/>
  <c r="P56" i="2"/>
  <c r="C17" i="11"/>
  <c r="G17" i="11" s="1"/>
  <c r="B16" i="11"/>
  <c r="F16" i="11" s="1"/>
  <c r="C14" i="11"/>
  <c r="G14" i="11" s="1"/>
  <c r="B14" i="11"/>
  <c r="F14" i="11" s="1"/>
  <c r="C13" i="11"/>
  <c r="G13" i="11" s="1"/>
  <c r="B13" i="11"/>
  <c r="F13" i="11" s="1"/>
  <c r="P55" i="2" l="1"/>
  <c r="O9" i="2"/>
  <c r="O29" i="2" s="1"/>
  <c r="N9" i="2"/>
  <c r="N29" i="2" s="1"/>
  <c r="L9" i="2"/>
  <c r="L29" i="2" s="1"/>
  <c r="L27" i="2" l="1"/>
  <c r="L34" i="2"/>
  <c r="L26" i="2"/>
  <c r="L35" i="2"/>
  <c r="N35" i="2"/>
  <c r="N27" i="2"/>
  <c r="N34" i="2"/>
  <c r="N26" i="2"/>
  <c r="O34" i="2"/>
  <c r="O26" i="2"/>
  <c r="O35" i="2"/>
  <c r="O27" i="2"/>
  <c r="L14" i="2"/>
  <c r="L13" i="2"/>
  <c r="N41" i="2"/>
  <c r="N14" i="2"/>
  <c r="N13" i="2"/>
  <c r="O42" i="2"/>
  <c r="O14" i="2"/>
  <c r="O13" i="2"/>
  <c r="O54" i="2"/>
  <c r="O55" i="2"/>
  <c r="N55" i="2"/>
  <c r="L57" i="2"/>
  <c r="L56" i="2"/>
  <c r="L55" i="2"/>
  <c r="L25" i="2"/>
  <c r="N33" i="2"/>
  <c r="O8" i="2"/>
  <c r="O24" i="2"/>
  <c r="N11" i="2"/>
  <c r="N24" i="2"/>
  <c r="N10" i="2"/>
  <c r="O25" i="2"/>
  <c r="O33" i="2"/>
  <c r="O11" i="2"/>
  <c r="O17" i="2"/>
  <c r="O18" i="2"/>
  <c r="O19" i="2"/>
  <c r="O10" i="2"/>
  <c r="N25" i="2"/>
  <c r="N21" i="2"/>
  <c r="N17" i="2"/>
  <c r="N20" i="2"/>
  <c r="N18" i="2"/>
  <c r="N16" i="2"/>
  <c r="N19" i="2"/>
  <c r="M25" i="2"/>
  <c r="M17" i="2"/>
  <c r="M19" i="2"/>
  <c r="M33" i="2"/>
  <c r="M18" i="2"/>
  <c r="M11" i="2"/>
  <c r="M24" i="2"/>
  <c r="L18" i="2"/>
  <c r="P18" i="2"/>
  <c r="P33" i="2"/>
  <c r="P25" i="2"/>
  <c r="P10" i="2"/>
  <c r="P11" i="2"/>
  <c r="P54" i="2"/>
  <c r="P19" i="2"/>
  <c r="P24" i="2"/>
  <c r="P17" i="2"/>
  <c r="O16" i="2"/>
  <c r="O20" i="2"/>
  <c r="L17" i="2"/>
  <c r="L11" i="2"/>
  <c r="L24" i="2"/>
  <c r="L19" i="2"/>
  <c r="N8" i="2"/>
  <c r="M8" i="2"/>
  <c r="L10" i="2"/>
  <c r="L33" i="2"/>
  <c r="P21" i="2"/>
  <c r="O21" i="2"/>
  <c r="M21" i="2"/>
  <c r="P20" i="2"/>
  <c r="P16" i="2"/>
  <c r="M20" i="2"/>
  <c r="M16" i="2"/>
  <c r="C13" i="3" l="1"/>
  <c r="B50" i="5" l="1"/>
  <c r="O68" i="21"/>
  <c r="N68" i="21"/>
  <c r="L68" i="21"/>
  <c r="K68" i="21"/>
  <c r="J68" i="21"/>
  <c r="I68" i="21"/>
  <c r="H68" i="21"/>
  <c r="G68" i="21"/>
  <c r="F68" i="21"/>
  <c r="E68" i="21"/>
  <c r="D68" i="21"/>
  <c r="O67" i="21"/>
  <c r="N67" i="21"/>
  <c r="L67" i="21"/>
  <c r="K67" i="21"/>
  <c r="J67" i="21"/>
  <c r="I67" i="21"/>
  <c r="H67" i="21"/>
  <c r="G67" i="21"/>
  <c r="F67" i="21"/>
  <c r="E67" i="21"/>
  <c r="D67" i="21"/>
  <c r="O66" i="21"/>
  <c r="N66" i="21"/>
  <c r="L66" i="21"/>
  <c r="K66" i="21"/>
  <c r="J66" i="21"/>
  <c r="I66" i="21"/>
  <c r="H66" i="21"/>
  <c r="G66" i="21"/>
  <c r="F66" i="21"/>
  <c r="E66" i="21"/>
  <c r="D66" i="21"/>
  <c r="O65" i="21"/>
  <c r="N65" i="21"/>
  <c r="L65" i="21"/>
  <c r="K65" i="21"/>
  <c r="J65" i="21"/>
  <c r="I65" i="21"/>
  <c r="H65" i="21"/>
  <c r="G65" i="21"/>
  <c r="F65" i="21"/>
  <c r="E65" i="21"/>
  <c r="D65" i="21"/>
  <c r="O64" i="21"/>
  <c r="N64" i="21"/>
  <c r="L64" i="21"/>
  <c r="K64" i="21"/>
  <c r="J64" i="21"/>
  <c r="I64" i="21"/>
  <c r="H64" i="21"/>
  <c r="G64" i="21"/>
  <c r="F64" i="21"/>
  <c r="E64" i="21"/>
  <c r="D64" i="21"/>
  <c r="O63" i="21"/>
  <c r="N63" i="21"/>
  <c r="L63" i="21"/>
  <c r="K63" i="21"/>
  <c r="J63" i="21"/>
  <c r="I63" i="21"/>
  <c r="H63" i="21"/>
  <c r="G63" i="21"/>
  <c r="F63" i="21"/>
  <c r="E63" i="21"/>
  <c r="D63" i="21"/>
  <c r="O62" i="21"/>
  <c r="N62" i="21"/>
  <c r="L62" i="21"/>
  <c r="K62" i="21"/>
  <c r="J62" i="21"/>
  <c r="I62" i="21"/>
  <c r="H62" i="21"/>
  <c r="G62" i="21"/>
  <c r="F62" i="21"/>
  <c r="E62" i="21"/>
  <c r="D62" i="21"/>
  <c r="O61" i="21"/>
  <c r="N61" i="21"/>
  <c r="L61" i="21"/>
  <c r="K61" i="21"/>
  <c r="J61" i="21"/>
  <c r="I61" i="21"/>
  <c r="H61" i="21"/>
  <c r="G61" i="21"/>
  <c r="F61" i="21"/>
  <c r="E61" i="21"/>
  <c r="D61" i="21"/>
  <c r="O60" i="21"/>
  <c r="N60" i="21"/>
  <c r="L60" i="21"/>
  <c r="K60" i="21"/>
  <c r="J60" i="21"/>
  <c r="I60" i="21"/>
  <c r="H60" i="21"/>
  <c r="G60" i="21"/>
  <c r="F60" i="21"/>
  <c r="E60" i="21"/>
  <c r="D60" i="21"/>
  <c r="O59" i="21"/>
  <c r="N59" i="21"/>
  <c r="L59" i="21"/>
  <c r="K59" i="21"/>
  <c r="J59" i="21"/>
  <c r="I59" i="21"/>
  <c r="H59" i="21"/>
  <c r="G59" i="21"/>
  <c r="F59" i="21"/>
  <c r="E59" i="21"/>
  <c r="D59" i="21"/>
  <c r="O58" i="21"/>
  <c r="N58" i="21"/>
  <c r="L58" i="21"/>
  <c r="K58" i="21"/>
  <c r="J58" i="21"/>
  <c r="I58" i="21"/>
  <c r="H58" i="21"/>
  <c r="G58" i="21"/>
  <c r="F58" i="21"/>
  <c r="E58" i="21"/>
  <c r="D58" i="21"/>
  <c r="O57" i="21"/>
  <c r="N57" i="21"/>
  <c r="L57" i="21"/>
  <c r="K57" i="21"/>
  <c r="J57" i="21"/>
  <c r="I57" i="21"/>
  <c r="H57" i="21"/>
  <c r="G57" i="21"/>
  <c r="F57" i="21"/>
  <c r="E57" i="21"/>
  <c r="D57" i="21"/>
  <c r="O56" i="21"/>
  <c r="N56" i="21"/>
  <c r="L56" i="21"/>
  <c r="K56" i="21"/>
  <c r="J56" i="21"/>
  <c r="I56" i="21"/>
  <c r="H56" i="21"/>
  <c r="G56" i="21"/>
  <c r="F56" i="21"/>
  <c r="E56" i="21"/>
  <c r="D56" i="21"/>
  <c r="O55" i="21"/>
  <c r="N55" i="21"/>
  <c r="L55" i="21"/>
  <c r="K55" i="21"/>
  <c r="J55" i="21"/>
  <c r="I55" i="21"/>
  <c r="H55" i="21"/>
  <c r="G55" i="21"/>
  <c r="F55" i="21"/>
  <c r="E55" i="21"/>
  <c r="D55" i="21"/>
  <c r="O54" i="21"/>
  <c r="N54" i="21"/>
  <c r="L54" i="21"/>
  <c r="K54" i="21"/>
  <c r="J54" i="21"/>
  <c r="I54" i="21"/>
  <c r="H54" i="21"/>
  <c r="G54" i="21"/>
  <c r="F54" i="21"/>
  <c r="E54" i="21"/>
  <c r="D54" i="21"/>
  <c r="O53" i="21"/>
  <c r="N53" i="21"/>
  <c r="L53" i="21"/>
  <c r="K53" i="21"/>
  <c r="J53" i="21"/>
  <c r="I53" i="21"/>
  <c r="H53" i="21"/>
  <c r="G53" i="21"/>
  <c r="F53" i="21"/>
  <c r="E53" i="21"/>
  <c r="D53" i="21"/>
  <c r="O52" i="21"/>
  <c r="N52" i="21"/>
  <c r="L52" i="21"/>
  <c r="K52" i="21"/>
  <c r="J52" i="21"/>
  <c r="I52" i="21"/>
  <c r="H52" i="21"/>
  <c r="G52" i="21"/>
  <c r="F52" i="21"/>
  <c r="E52" i="21"/>
  <c r="D52" i="21"/>
  <c r="O51" i="21"/>
  <c r="N51" i="21"/>
  <c r="L51" i="21"/>
  <c r="K51" i="21"/>
  <c r="J51" i="21"/>
  <c r="I51" i="21"/>
  <c r="H51" i="21"/>
  <c r="G51" i="21"/>
  <c r="F51" i="21"/>
  <c r="E51" i="21"/>
  <c r="D51" i="21"/>
  <c r="O50" i="21"/>
  <c r="N50" i="21"/>
  <c r="L50" i="21"/>
  <c r="K50" i="21"/>
  <c r="J50" i="21"/>
  <c r="I50" i="21"/>
  <c r="H50" i="21"/>
  <c r="G50" i="21"/>
  <c r="F50" i="21"/>
  <c r="E50" i="21"/>
  <c r="D50" i="21"/>
  <c r="O49" i="21"/>
  <c r="N49" i="21"/>
  <c r="L49" i="21"/>
  <c r="K49" i="21"/>
  <c r="J49" i="21"/>
  <c r="I49" i="21"/>
  <c r="H49" i="21"/>
  <c r="G49" i="21"/>
  <c r="F49" i="21"/>
  <c r="E49" i="21"/>
  <c r="D49" i="21"/>
  <c r="O48" i="21"/>
  <c r="N48" i="21"/>
  <c r="L48" i="21"/>
  <c r="K48" i="21"/>
  <c r="J48" i="21"/>
  <c r="I48" i="21"/>
  <c r="H48" i="21"/>
  <c r="G48" i="21"/>
  <c r="F48" i="21"/>
  <c r="E48" i="21"/>
  <c r="D48" i="21"/>
  <c r="O47" i="21"/>
  <c r="N47" i="21"/>
  <c r="L47" i="21"/>
  <c r="K47" i="21"/>
  <c r="J47" i="21"/>
  <c r="I47" i="21"/>
  <c r="H47" i="21"/>
  <c r="G47" i="21"/>
  <c r="F47" i="21"/>
  <c r="E47" i="21"/>
  <c r="D47" i="21"/>
  <c r="O46" i="21"/>
  <c r="N46" i="21"/>
  <c r="L46" i="21"/>
  <c r="K46" i="21"/>
  <c r="J46" i="21"/>
  <c r="I46" i="21"/>
  <c r="H46" i="21"/>
  <c r="G46" i="21"/>
  <c r="F46" i="21"/>
  <c r="E46" i="21"/>
  <c r="D46" i="21"/>
  <c r="O45" i="21"/>
  <c r="N45" i="21"/>
  <c r="L45" i="21"/>
  <c r="K45" i="21"/>
  <c r="J45" i="21"/>
  <c r="I45" i="21"/>
  <c r="H45" i="21"/>
  <c r="G45" i="21"/>
  <c r="F45" i="21"/>
  <c r="E45" i="21"/>
  <c r="D45" i="21"/>
  <c r="O44" i="21"/>
  <c r="N44" i="21"/>
  <c r="L44" i="21"/>
  <c r="K44" i="21"/>
  <c r="J44" i="21"/>
  <c r="I44" i="21"/>
  <c r="H44" i="21"/>
  <c r="G44" i="21"/>
  <c r="F44" i="21"/>
  <c r="E44" i="21"/>
  <c r="D44" i="21"/>
  <c r="O43" i="21"/>
  <c r="N43" i="21"/>
  <c r="L43" i="21"/>
  <c r="K43" i="21"/>
  <c r="J43" i="21"/>
  <c r="I43" i="21"/>
  <c r="H43" i="21"/>
  <c r="G43" i="21"/>
  <c r="F43" i="21"/>
  <c r="E43" i="21"/>
  <c r="D43" i="21"/>
  <c r="O42" i="21"/>
  <c r="N42" i="21"/>
  <c r="L42" i="21"/>
  <c r="K42" i="21"/>
  <c r="J42" i="21"/>
  <c r="I42" i="21"/>
  <c r="H42" i="21"/>
  <c r="G42" i="21"/>
  <c r="F42" i="21"/>
  <c r="E42" i="21"/>
  <c r="D42" i="21"/>
  <c r="O41" i="21"/>
  <c r="N41" i="21"/>
  <c r="L41" i="21"/>
  <c r="K41" i="21"/>
  <c r="J41" i="21"/>
  <c r="I41" i="21"/>
  <c r="H41" i="21"/>
  <c r="G41" i="21"/>
  <c r="F41" i="21"/>
  <c r="E41" i="21"/>
  <c r="D41" i="21"/>
  <c r="O40" i="21"/>
  <c r="N40" i="21"/>
  <c r="L40" i="21"/>
  <c r="K40" i="21"/>
  <c r="J40" i="21"/>
  <c r="I40" i="21"/>
  <c r="H40" i="21"/>
  <c r="G40" i="21"/>
  <c r="F40" i="21"/>
  <c r="E40" i="21"/>
  <c r="D40" i="21"/>
  <c r="O39" i="21"/>
  <c r="N39" i="21"/>
  <c r="L39" i="21"/>
  <c r="K39" i="21"/>
  <c r="J39" i="21"/>
  <c r="I39" i="21"/>
  <c r="H39" i="21"/>
  <c r="G39" i="21"/>
  <c r="F39" i="21"/>
  <c r="E39" i="21"/>
  <c r="D39" i="21"/>
  <c r="O38" i="21"/>
  <c r="N38" i="21"/>
  <c r="L38" i="21"/>
  <c r="K38" i="21"/>
  <c r="J38" i="21"/>
  <c r="I38" i="21"/>
  <c r="H38" i="21"/>
  <c r="G38" i="21"/>
  <c r="F38" i="21"/>
  <c r="E38" i="21"/>
  <c r="D38" i="21"/>
  <c r="O37" i="21"/>
  <c r="L37" i="21"/>
  <c r="K37" i="21"/>
  <c r="J37" i="21"/>
  <c r="I37" i="21"/>
  <c r="H37" i="21"/>
  <c r="G37" i="21"/>
  <c r="F37" i="21"/>
  <c r="E37" i="21"/>
  <c r="D37" i="21"/>
  <c r="O36" i="21"/>
  <c r="N36" i="21"/>
  <c r="L36" i="21"/>
  <c r="H36" i="21"/>
  <c r="G36" i="21"/>
  <c r="F36" i="21"/>
  <c r="E36" i="21"/>
  <c r="D36" i="21"/>
  <c r="O35" i="21"/>
  <c r="N35" i="21"/>
  <c r="L35" i="21"/>
  <c r="H35" i="21"/>
  <c r="G35" i="21"/>
  <c r="F35" i="21"/>
  <c r="E35" i="21"/>
  <c r="D35" i="21"/>
  <c r="O34" i="21"/>
  <c r="N34" i="21"/>
  <c r="L34" i="21"/>
  <c r="H34" i="21"/>
  <c r="G34" i="21"/>
  <c r="F34" i="21"/>
  <c r="E34" i="21"/>
  <c r="D34" i="21"/>
  <c r="O33" i="21"/>
  <c r="N33" i="21"/>
  <c r="L33" i="21"/>
  <c r="H33" i="21"/>
  <c r="G33" i="21"/>
  <c r="F33" i="21"/>
  <c r="E33" i="21"/>
  <c r="D33" i="21"/>
  <c r="O32" i="21"/>
  <c r="N32" i="21"/>
  <c r="L32" i="21"/>
  <c r="H32" i="21"/>
  <c r="M32" i="21" s="1"/>
  <c r="G32" i="21"/>
  <c r="F32" i="21"/>
  <c r="E32" i="21"/>
  <c r="D32" i="21"/>
  <c r="O31" i="21"/>
  <c r="N31" i="21"/>
  <c r="L31" i="21"/>
  <c r="H31" i="21"/>
  <c r="M31" i="21" s="1"/>
  <c r="G31" i="21"/>
  <c r="F31" i="21"/>
  <c r="E31" i="21"/>
  <c r="D31" i="21"/>
  <c r="O30" i="21"/>
  <c r="N30" i="21"/>
  <c r="H30" i="21"/>
  <c r="M30" i="21" s="1"/>
  <c r="G30" i="21"/>
  <c r="F30" i="21"/>
  <c r="E30" i="21"/>
  <c r="D30" i="21"/>
  <c r="O29" i="21"/>
  <c r="N29" i="21"/>
  <c r="L29" i="21"/>
  <c r="H29" i="21"/>
  <c r="M29" i="21" s="1"/>
  <c r="G29" i="21"/>
  <c r="F29" i="21"/>
  <c r="E29" i="21"/>
  <c r="D29" i="21"/>
  <c r="O28" i="21"/>
  <c r="N28" i="21"/>
  <c r="L28" i="21"/>
  <c r="H28" i="21"/>
  <c r="M28" i="21" s="1"/>
  <c r="G28" i="21"/>
  <c r="F28" i="21"/>
  <c r="E28" i="21"/>
  <c r="D28" i="21"/>
  <c r="O27" i="21"/>
  <c r="N27" i="21"/>
  <c r="L27" i="21"/>
  <c r="H27" i="21"/>
  <c r="M27" i="21" s="1"/>
  <c r="G27" i="21"/>
  <c r="F27" i="21"/>
  <c r="E27" i="21"/>
  <c r="D27" i="21"/>
  <c r="O26" i="21"/>
  <c r="N26" i="21"/>
  <c r="L26" i="21"/>
  <c r="H26" i="21"/>
  <c r="M26" i="21" s="1"/>
  <c r="G26" i="21"/>
  <c r="F26" i="21"/>
  <c r="E26" i="21"/>
  <c r="D26" i="21"/>
  <c r="O25" i="21"/>
  <c r="N25" i="21"/>
  <c r="L25" i="21"/>
  <c r="H25" i="21"/>
  <c r="G25" i="21"/>
  <c r="F25" i="21"/>
  <c r="E25" i="21"/>
  <c r="D25" i="21"/>
  <c r="O24" i="21"/>
  <c r="N24" i="21"/>
  <c r="L24" i="21"/>
  <c r="H24" i="21"/>
  <c r="G24" i="21"/>
  <c r="F24" i="21"/>
  <c r="E24" i="21"/>
  <c r="D24" i="21"/>
  <c r="O23" i="21"/>
  <c r="N23" i="21"/>
  <c r="L23" i="21"/>
  <c r="H23" i="21"/>
  <c r="G23" i="21"/>
  <c r="F23" i="21"/>
  <c r="E23" i="21"/>
  <c r="D23" i="21"/>
  <c r="B49" i="5" l="1"/>
  <c r="K9" i="2" l="1"/>
  <c r="K29" i="2" s="1"/>
  <c r="J9" i="2"/>
  <c r="I9" i="2"/>
  <c r="H9" i="2"/>
  <c r="G9" i="2"/>
  <c r="E9" i="20"/>
  <c r="E13" i="20"/>
  <c r="G36" i="2" l="1"/>
  <c r="G29" i="2"/>
  <c r="H36" i="2"/>
  <c r="H29" i="2"/>
  <c r="I35" i="2"/>
  <c r="I34" i="2"/>
  <c r="I29" i="2"/>
  <c r="I37" i="2"/>
  <c r="J36" i="2"/>
  <c r="J29" i="2"/>
  <c r="K35" i="2"/>
  <c r="K27" i="2"/>
  <c r="K34" i="2"/>
  <c r="K26" i="2"/>
  <c r="J14" i="2"/>
  <c r="J13" i="2"/>
  <c r="K14" i="2"/>
  <c r="K13" i="2"/>
  <c r="I14" i="2"/>
  <c r="I13" i="2"/>
  <c r="H14" i="2"/>
  <c r="H13" i="2"/>
  <c r="G14" i="2"/>
  <c r="K56" i="2"/>
  <c r="K55" i="2"/>
  <c r="K57" i="2"/>
  <c r="J56" i="2"/>
  <c r="J55" i="2"/>
  <c r="H57" i="2"/>
  <c r="H56" i="2"/>
  <c r="H55" i="2"/>
  <c r="K21" i="2"/>
  <c r="K20" i="2"/>
  <c r="I11" i="2"/>
  <c r="I10" i="2"/>
  <c r="B3" i="21" a="1"/>
  <c r="I24" i="2"/>
  <c r="G10" i="2"/>
  <c r="G20" i="2"/>
  <c r="G13" i="2"/>
  <c r="G33" i="2"/>
  <c r="G21" i="2"/>
  <c r="G24" i="2"/>
  <c r="G19" i="2"/>
  <c r="G11" i="2"/>
  <c r="G16" i="2"/>
  <c r="F28" i="2" a="1"/>
  <c r="G17" i="2"/>
  <c r="G25" i="2"/>
  <c r="G1" i="2"/>
  <c r="E12" i="20" s="1"/>
  <c r="G18" i="2"/>
  <c r="K19" i="2"/>
  <c r="K24" i="2"/>
  <c r="K25" i="2"/>
  <c r="K11" i="2"/>
  <c r="K17" i="2"/>
  <c r="K33" i="2"/>
  <c r="K10" i="2"/>
  <c r="K18" i="2"/>
  <c r="J19" i="2"/>
  <c r="J24" i="2"/>
  <c r="J25" i="2"/>
  <c r="J10" i="2"/>
  <c r="J11" i="2"/>
  <c r="J17" i="2"/>
  <c r="J33" i="2"/>
  <c r="J18" i="2"/>
  <c r="I19" i="2"/>
  <c r="I25" i="2"/>
  <c r="I17" i="2"/>
  <c r="I33" i="2"/>
  <c r="I18" i="2"/>
  <c r="H24" i="2"/>
  <c r="H25" i="2"/>
  <c r="H10" i="2"/>
  <c r="H11" i="2"/>
  <c r="H19" i="2"/>
  <c r="H17" i="2"/>
  <c r="H33" i="2"/>
  <c r="H18" i="2"/>
  <c r="I16" i="2"/>
  <c r="I20" i="2"/>
  <c r="I21" i="2"/>
  <c r="J16" i="2"/>
  <c r="J20" i="2"/>
  <c r="J21" i="2"/>
  <c r="L16" i="2"/>
  <c r="L20" i="2"/>
  <c r="L21" i="2"/>
  <c r="H16" i="2"/>
  <c r="H20" i="2"/>
  <c r="H21" i="2"/>
  <c r="L8" i="2"/>
  <c r="K8" i="2"/>
  <c r="J8" i="2"/>
  <c r="I8" i="2"/>
  <c r="H8" i="2"/>
  <c r="G8" i="2"/>
  <c r="F27" i="20"/>
  <c r="O49" i="19"/>
  <c r="O48" i="19"/>
  <c r="O47" i="19"/>
  <c r="O46" i="19"/>
  <c r="O45" i="19"/>
  <c r="O44" i="19"/>
  <c r="O38" i="19"/>
  <c r="O24" i="19"/>
  <c r="N24" i="19"/>
  <c r="M24" i="19"/>
  <c r="L24" i="19"/>
  <c r="O23" i="19"/>
  <c r="N23" i="19"/>
  <c r="M23" i="19"/>
  <c r="L23" i="19"/>
  <c r="O22" i="19"/>
  <c r="N22" i="19"/>
  <c r="M22" i="19"/>
  <c r="L22" i="19"/>
  <c r="O21" i="19"/>
  <c r="N21" i="19"/>
  <c r="M21" i="19"/>
  <c r="L21" i="19"/>
  <c r="O20" i="19"/>
  <c r="N20" i="19"/>
  <c r="M20" i="19"/>
  <c r="L20" i="19"/>
  <c r="O19" i="19"/>
  <c r="N19" i="19"/>
  <c r="M19" i="19"/>
  <c r="L19" i="19"/>
  <c r="C17" i="19"/>
  <c r="G17" i="19" s="1"/>
  <c r="F16" i="19"/>
  <c r="B16" i="19"/>
  <c r="F14" i="19"/>
  <c r="C14" i="19"/>
  <c r="G14" i="19" s="1"/>
  <c r="B14" i="19"/>
  <c r="G13" i="19"/>
  <c r="F13" i="19"/>
  <c r="C13" i="19"/>
  <c r="B13" i="19"/>
  <c r="I12" i="19" a="1"/>
  <c r="K25" i="19" s="1"/>
  <c r="M3" i="19"/>
  <c r="O49" i="18"/>
  <c r="O48" i="18"/>
  <c r="O47" i="18"/>
  <c r="O46" i="18"/>
  <c r="O45" i="18"/>
  <c r="O44" i="18"/>
  <c r="O38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C17" i="18"/>
  <c r="G17" i="18" s="1"/>
  <c r="F16" i="18"/>
  <c r="B16" i="18"/>
  <c r="C14" i="18"/>
  <c r="G14" i="18" s="1"/>
  <c r="B14" i="18"/>
  <c r="F14" i="18" s="1"/>
  <c r="G13" i="18"/>
  <c r="F13" i="18"/>
  <c r="C13" i="18"/>
  <c r="B13" i="18"/>
  <c r="I12" i="18" a="1"/>
  <c r="K25" i="18" s="1"/>
  <c r="M3" i="18"/>
  <c r="O49" i="17"/>
  <c r="O48" i="17"/>
  <c r="O47" i="17"/>
  <c r="O46" i="17"/>
  <c r="O45" i="17"/>
  <c r="O44" i="17"/>
  <c r="O38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C17" i="17"/>
  <c r="G17" i="17" s="1"/>
  <c r="F16" i="17"/>
  <c r="B16" i="17"/>
  <c r="F14" i="17"/>
  <c r="C14" i="17"/>
  <c r="G14" i="17" s="1"/>
  <c r="B14" i="17"/>
  <c r="G13" i="17"/>
  <c r="C13" i="17"/>
  <c r="B13" i="17"/>
  <c r="F13" i="17" s="1"/>
  <c r="I12" i="17" a="1"/>
  <c r="M3" i="17"/>
  <c r="O49" i="16"/>
  <c r="O48" i="16"/>
  <c r="O47" i="16"/>
  <c r="O46" i="16"/>
  <c r="O38" i="16"/>
  <c r="O24" i="16"/>
  <c r="N24" i="16"/>
  <c r="M24" i="16"/>
  <c r="L24" i="16"/>
  <c r="O23" i="16"/>
  <c r="N23" i="16"/>
  <c r="M23" i="16"/>
  <c r="L23" i="16"/>
  <c r="O22" i="16"/>
  <c r="N22" i="16"/>
  <c r="M22" i="16"/>
  <c r="L22" i="16"/>
  <c r="O21" i="16"/>
  <c r="N21" i="16"/>
  <c r="M21" i="16"/>
  <c r="L21" i="16"/>
  <c r="O20" i="16"/>
  <c r="N20" i="16"/>
  <c r="M20" i="16"/>
  <c r="L20" i="16"/>
  <c r="O19" i="16"/>
  <c r="N19" i="16"/>
  <c r="M19" i="16"/>
  <c r="L19" i="16"/>
  <c r="C17" i="16"/>
  <c r="G17" i="16" s="1"/>
  <c r="B16" i="16"/>
  <c r="F16" i="16" s="1"/>
  <c r="C14" i="16"/>
  <c r="G14" i="16" s="1"/>
  <c r="B14" i="16"/>
  <c r="F14" i="16" s="1"/>
  <c r="C13" i="16"/>
  <c r="G13" i="16" s="1"/>
  <c r="B13" i="16"/>
  <c r="F13" i="16" s="1"/>
  <c r="I12" i="16" a="1"/>
  <c r="K25" i="16" s="1"/>
  <c r="M3" i="16"/>
  <c r="O47" i="15"/>
  <c r="O45" i="15"/>
  <c r="O38" i="15"/>
  <c r="O24" i="15"/>
  <c r="N24" i="15"/>
  <c r="M24" i="15"/>
  <c r="L24" i="15"/>
  <c r="O23" i="15"/>
  <c r="N23" i="15"/>
  <c r="M23" i="15"/>
  <c r="L23" i="15"/>
  <c r="C17" i="15"/>
  <c r="G17" i="15" s="1"/>
  <c r="B16" i="15"/>
  <c r="F16" i="15" s="1"/>
  <c r="C14" i="15"/>
  <c r="G14" i="15" s="1"/>
  <c r="B14" i="15"/>
  <c r="F14" i="15" s="1"/>
  <c r="C13" i="15"/>
  <c r="G13" i="15" s="1"/>
  <c r="B13" i="15"/>
  <c r="F13" i="15" s="1"/>
  <c r="I12" i="15" a="1"/>
  <c r="K25" i="15" s="1"/>
  <c r="M3" i="15"/>
  <c r="O38" i="14"/>
  <c r="O24" i="14"/>
  <c r="N24" i="14"/>
  <c r="M24" i="14"/>
  <c r="L24" i="14"/>
  <c r="O23" i="14"/>
  <c r="N23" i="14"/>
  <c r="M23" i="14"/>
  <c r="L23" i="14"/>
  <c r="C17" i="14"/>
  <c r="G17" i="14" s="1"/>
  <c r="B16" i="14"/>
  <c r="F16" i="14" s="1"/>
  <c r="C14" i="14"/>
  <c r="G14" i="14" s="1"/>
  <c r="B14" i="14"/>
  <c r="F14" i="14" s="1"/>
  <c r="C13" i="14"/>
  <c r="G13" i="14" s="1"/>
  <c r="B13" i="14"/>
  <c r="F13" i="14" s="1"/>
  <c r="I12" i="14" a="1"/>
  <c r="M3" i="14"/>
  <c r="O24" i="13"/>
  <c r="N24" i="13"/>
  <c r="M24" i="13"/>
  <c r="L24" i="13"/>
  <c r="O23" i="13"/>
  <c r="N23" i="13"/>
  <c r="M23" i="13"/>
  <c r="L23" i="13"/>
  <c r="O22" i="13"/>
  <c r="N22" i="13"/>
  <c r="M22" i="13"/>
  <c r="L22" i="13"/>
  <c r="C17" i="13"/>
  <c r="G17" i="13" s="1"/>
  <c r="B16" i="13"/>
  <c r="F16" i="13" s="1"/>
  <c r="C14" i="13"/>
  <c r="G14" i="13" s="1"/>
  <c r="B14" i="13"/>
  <c r="F14" i="13" s="1"/>
  <c r="C13" i="13"/>
  <c r="G13" i="13" s="1"/>
  <c r="B13" i="13"/>
  <c r="F13" i="13" s="1"/>
  <c r="I12" i="13" a="1"/>
  <c r="O21" i="13" s="1"/>
  <c r="M3" i="13"/>
  <c r="O44" i="12"/>
  <c r="O38" i="12"/>
  <c r="O24" i="12"/>
  <c r="N24" i="12"/>
  <c r="M24" i="12"/>
  <c r="L24" i="12"/>
  <c r="O23" i="12"/>
  <c r="N23" i="12"/>
  <c r="M23" i="12"/>
  <c r="L23" i="12"/>
  <c r="O22" i="12"/>
  <c r="N22" i="12"/>
  <c r="M22" i="12"/>
  <c r="L22" i="12"/>
  <c r="O21" i="12"/>
  <c r="N21" i="12"/>
  <c r="M21" i="12"/>
  <c r="L21" i="12"/>
  <c r="C17" i="12"/>
  <c r="G17" i="12" s="1"/>
  <c r="B16" i="12"/>
  <c r="F16" i="12" s="1"/>
  <c r="C14" i="12"/>
  <c r="G14" i="12" s="1"/>
  <c r="B14" i="12"/>
  <c r="F14" i="12" s="1"/>
  <c r="C13" i="12"/>
  <c r="G13" i="12" s="1"/>
  <c r="B13" i="12"/>
  <c r="F13" i="12" s="1"/>
  <c r="I12" i="12" a="1"/>
  <c r="O20" i="12" s="1"/>
  <c r="M3" i="12"/>
  <c r="O24" i="11"/>
  <c r="N24" i="11"/>
  <c r="M24" i="11"/>
  <c r="L24" i="11"/>
  <c r="O23" i="11"/>
  <c r="N23" i="11"/>
  <c r="M23" i="11"/>
  <c r="L23" i="11"/>
  <c r="O22" i="11"/>
  <c r="N22" i="11"/>
  <c r="M22" i="11"/>
  <c r="L22" i="11"/>
  <c r="I12" i="11" a="1"/>
  <c r="M3" i="11"/>
  <c r="O44" i="10"/>
  <c r="O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C17" i="10"/>
  <c r="G17" i="10" s="1"/>
  <c r="J32" i="2" s="1"/>
  <c r="B16" i="10"/>
  <c r="F16" i="10" s="1"/>
  <c r="J23" i="2" s="1"/>
  <c r="C14" i="10"/>
  <c r="G14" i="10" s="1"/>
  <c r="J30" i="2" s="1"/>
  <c r="B14" i="10"/>
  <c r="F14" i="10" s="1"/>
  <c r="J15" i="2" s="1"/>
  <c r="C13" i="10"/>
  <c r="G13" i="10" s="1"/>
  <c r="J31" i="2" s="1"/>
  <c r="B13" i="10"/>
  <c r="F13" i="10" s="1"/>
  <c r="J22" i="2" s="1"/>
  <c r="I12" i="10" a="1"/>
  <c r="K25" i="10" s="1"/>
  <c r="M3" i="10"/>
  <c r="O44" i="9"/>
  <c r="O38" i="9"/>
  <c r="O24" i="9"/>
  <c r="N24" i="9"/>
  <c r="M24" i="9"/>
  <c r="L24" i="9"/>
  <c r="O23" i="9"/>
  <c r="N23" i="9"/>
  <c r="M23" i="9"/>
  <c r="L23" i="9"/>
  <c r="O22" i="9"/>
  <c r="N22" i="9"/>
  <c r="M22" i="9"/>
  <c r="L22" i="9"/>
  <c r="C17" i="9"/>
  <c r="G17" i="9" s="1"/>
  <c r="I32" i="2" s="1"/>
  <c r="F16" i="9"/>
  <c r="I23" i="2" s="1"/>
  <c r="C14" i="9"/>
  <c r="G14" i="9" s="1"/>
  <c r="I30" i="2" s="1"/>
  <c r="F14" i="9"/>
  <c r="I15" i="2" s="1"/>
  <c r="C13" i="9"/>
  <c r="G13" i="9" s="1"/>
  <c r="I31" i="2" s="1"/>
  <c r="F13" i="9"/>
  <c r="I22" i="2" s="1"/>
  <c r="I12" i="9" a="1"/>
  <c r="M3" i="9"/>
  <c r="I12" i="8" a="1"/>
  <c r="O21" i="8" s="1"/>
  <c r="O24" i="8"/>
  <c r="N24" i="8"/>
  <c r="M24" i="8"/>
  <c r="L24" i="8"/>
  <c r="O23" i="8"/>
  <c r="N23" i="8"/>
  <c r="M23" i="8"/>
  <c r="L23" i="8"/>
  <c r="O22" i="8"/>
  <c r="N22" i="8"/>
  <c r="M22" i="8"/>
  <c r="L22" i="8"/>
  <c r="C17" i="8"/>
  <c r="G17" i="8" s="1"/>
  <c r="H32" i="2" s="1"/>
  <c r="B16" i="8"/>
  <c r="F16" i="8" s="1"/>
  <c r="H23" i="2" s="1"/>
  <c r="C14" i="8"/>
  <c r="G14" i="8" s="1"/>
  <c r="H30" i="2" s="1"/>
  <c r="B14" i="8"/>
  <c r="F14" i="8" s="1"/>
  <c r="H15" i="2" s="1"/>
  <c r="C13" i="8"/>
  <c r="G13" i="8" s="1"/>
  <c r="H31" i="2" s="1"/>
  <c r="B13" i="8"/>
  <c r="F13" i="8" s="1"/>
  <c r="H22" i="2" s="1"/>
  <c r="M3" i="8"/>
  <c r="C17" i="3"/>
  <c r="G17" i="3" s="1"/>
  <c r="G32" i="2" s="1"/>
  <c r="C14" i="3"/>
  <c r="G14" i="3" s="1"/>
  <c r="G30" i="2" s="1"/>
  <c r="G13" i="3"/>
  <c r="G31" i="2" s="1"/>
  <c r="B16" i="3"/>
  <c r="F16" i="3" s="1"/>
  <c r="G23" i="2" s="1"/>
  <c r="B14" i="3"/>
  <c r="F14" i="3" s="1"/>
  <c r="G15" i="2" s="1"/>
  <c r="B13" i="3"/>
  <c r="F13" i="3" s="1"/>
  <c r="G22" i="2" s="1"/>
  <c r="M3" i="3"/>
  <c r="Q37" i="2" l="1"/>
  <c r="Q29" i="2"/>
  <c r="T14" i="2"/>
  <c r="L21" i="13"/>
  <c r="M21" i="13"/>
  <c r="N21" i="13"/>
  <c r="K25" i="13"/>
  <c r="M31" i="2" s="1"/>
  <c r="N20" i="13"/>
  <c r="L20" i="13"/>
  <c r="O20" i="13"/>
  <c r="M20" i="13"/>
  <c r="J22" i="21"/>
  <c r="K22" i="21"/>
  <c r="I22" i="21"/>
  <c r="I21" i="21"/>
  <c r="J21" i="21"/>
  <c r="K21" i="21"/>
  <c r="L22" i="21"/>
  <c r="L21" i="21"/>
  <c r="H22" i="21"/>
  <c r="M22" i="21" s="1"/>
  <c r="H21" i="21"/>
  <c r="M21" i="21" s="1"/>
  <c r="G22" i="21"/>
  <c r="G21" i="21"/>
  <c r="F21" i="21"/>
  <c r="E22" i="21"/>
  <c r="E21" i="21"/>
  <c r="D22" i="21"/>
  <c r="O22" i="21"/>
  <c r="N22" i="21"/>
  <c r="N21" i="21"/>
  <c r="F22" i="21"/>
  <c r="D21" i="21"/>
  <c r="O21" i="21"/>
  <c r="N21" i="15"/>
  <c r="O21" i="15"/>
  <c r="L20" i="15"/>
  <c r="L22" i="15"/>
  <c r="M20" i="15"/>
  <c r="N22" i="15"/>
  <c r="O20" i="15"/>
  <c r="L21" i="15"/>
  <c r="M22" i="15"/>
  <c r="N20" i="15"/>
  <c r="O22" i="15"/>
  <c r="M21" i="15"/>
  <c r="D20" i="21"/>
  <c r="O20" i="21" s="1"/>
  <c r="F19" i="21"/>
  <c r="G18" i="21"/>
  <c r="U20" i="21" s="1"/>
  <c r="N20" i="21"/>
  <c r="E19" i="21"/>
  <c r="T21" i="21" s="1"/>
  <c r="F18" i="21"/>
  <c r="L20" i="21"/>
  <c r="N19" i="21"/>
  <c r="D19" i="21"/>
  <c r="O19" i="21" s="1"/>
  <c r="E18" i="21"/>
  <c r="T20" i="21" s="1"/>
  <c r="L19" i="21"/>
  <c r="H20" i="21"/>
  <c r="N18" i="21"/>
  <c r="G20" i="21"/>
  <c r="U22" i="21" s="1"/>
  <c r="F20" i="21"/>
  <c r="H19" i="21"/>
  <c r="H18" i="21"/>
  <c r="K20" i="21"/>
  <c r="D18" i="21"/>
  <c r="O18" i="21" s="1"/>
  <c r="K19" i="21"/>
  <c r="L18" i="21"/>
  <c r="K18" i="21"/>
  <c r="E20" i="21"/>
  <c r="T22" i="21" s="1"/>
  <c r="G19" i="21"/>
  <c r="U21" i="21" s="1"/>
  <c r="K25" i="14"/>
  <c r="N30" i="2" s="1"/>
  <c r="L21" i="14"/>
  <c r="O22" i="14"/>
  <c r="N22" i="14"/>
  <c r="M22" i="14"/>
  <c r="L22" i="14"/>
  <c r="O21" i="14"/>
  <c r="N21" i="14"/>
  <c r="M21" i="14"/>
  <c r="O19" i="11"/>
  <c r="O21" i="11"/>
  <c r="N21" i="11"/>
  <c r="M21" i="11"/>
  <c r="L21" i="11"/>
  <c r="O30" i="2"/>
  <c r="O32" i="2"/>
  <c r="O31" i="2"/>
  <c r="L21" i="8"/>
  <c r="M21" i="8"/>
  <c r="N21" i="8"/>
  <c r="M32" i="2"/>
  <c r="P31" i="2"/>
  <c r="P30" i="2"/>
  <c r="P32" i="2"/>
  <c r="M20" i="11"/>
  <c r="L20" i="11"/>
  <c r="N20" i="11"/>
  <c r="O20" i="11"/>
  <c r="L21" i="10"/>
  <c r="M21" i="10"/>
  <c r="N21" i="10"/>
  <c r="O21" i="10"/>
  <c r="O21" i="9"/>
  <c r="N21" i="9"/>
  <c r="M21" i="9"/>
  <c r="L21" i="9"/>
  <c r="O20" i="9"/>
  <c r="L20" i="9"/>
  <c r="N20" i="9"/>
  <c r="M20" i="9"/>
  <c r="L20" i="10"/>
  <c r="M20" i="10"/>
  <c r="O20" i="10"/>
  <c r="N20" i="10"/>
  <c r="L19" i="10"/>
  <c r="M19" i="10"/>
  <c r="N19" i="10"/>
  <c r="O19" i="10"/>
  <c r="N19" i="13"/>
  <c r="O19" i="13"/>
  <c r="L19" i="13"/>
  <c r="M19" i="13"/>
  <c r="N20" i="12"/>
  <c r="L20" i="12"/>
  <c r="M20" i="12"/>
  <c r="O20" i="8"/>
  <c r="N20" i="8"/>
  <c r="M20" i="8"/>
  <c r="L20" i="8"/>
  <c r="G17" i="21"/>
  <c r="U19" i="21" s="1"/>
  <c r="F17" i="21"/>
  <c r="L17" i="21"/>
  <c r="K17" i="21"/>
  <c r="H17" i="21"/>
  <c r="M17" i="21" s="1"/>
  <c r="N17" i="21"/>
  <c r="E17" i="21"/>
  <c r="T19" i="21" s="1"/>
  <c r="D17" i="21"/>
  <c r="O17" i="21" s="1"/>
  <c r="L20" i="14"/>
  <c r="M20" i="14"/>
  <c r="N20" i="14"/>
  <c r="O20" i="14"/>
  <c r="L19" i="11"/>
  <c r="M19" i="11"/>
  <c r="N19" i="11"/>
  <c r="N18" i="11"/>
  <c r="O18" i="11"/>
  <c r="M18" i="11"/>
  <c r="L18" i="11"/>
  <c r="K25" i="11"/>
  <c r="O17" i="11"/>
  <c r="N17" i="11"/>
  <c r="M17" i="11"/>
  <c r="L17" i="11"/>
  <c r="K25" i="17"/>
  <c r="L19" i="17"/>
  <c r="M19" i="17"/>
  <c r="N19" i="17"/>
  <c r="O19" i="17"/>
  <c r="O19" i="15"/>
  <c r="N19" i="15"/>
  <c r="L19" i="15"/>
  <c r="M19" i="15"/>
  <c r="F14" i="21"/>
  <c r="K11" i="21"/>
  <c r="F12" i="21"/>
  <c r="N16" i="21"/>
  <c r="K13" i="21"/>
  <c r="H12" i="21"/>
  <c r="F15" i="21"/>
  <c r="E16" i="21"/>
  <c r="T18" i="21" s="1"/>
  <c r="K12" i="21"/>
  <c r="G16" i="21"/>
  <c r="U18" i="21" s="1"/>
  <c r="D12" i="21"/>
  <c r="O12" i="21" s="1"/>
  <c r="H15" i="21"/>
  <c r="M15" i="21" s="1"/>
  <c r="K15" i="21"/>
  <c r="K14" i="21"/>
  <c r="L13" i="21"/>
  <c r="G15" i="21"/>
  <c r="U17" i="21" s="1"/>
  <c r="N12" i="21"/>
  <c r="G13" i="21"/>
  <c r="U15" i="21" s="1"/>
  <c r="L14" i="21"/>
  <c r="N13" i="21"/>
  <c r="D16" i="21"/>
  <c r="O16" i="21" s="1"/>
  <c r="H16" i="21"/>
  <c r="M16" i="21" s="1"/>
  <c r="D11" i="21"/>
  <c r="O11" i="21" s="1"/>
  <c r="H14" i="21"/>
  <c r="M14" i="21" s="1"/>
  <c r="F11" i="21"/>
  <c r="N15" i="21"/>
  <c r="L11" i="21"/>
  <c r="D14" i="21"/>
  <c r="O14" i="21" s="1"/>
  <c r="D13" i="21"/>
  <c r="O13" i="21" s="1"/>
  <c r="E12" i="21"/>
  <c r="T14" i="21" s="1"/>
  <c r="G12" i="21"/>
  <c r="U14" i="21" s="1"/>
  <c r="G11" i="21"/>
  <c r="U13" i="21" s="1"/>
  <c r="E15" i="21"/>
  <c r="T17" i="21" s="1"/>
  <c r="E14" i="21"/>
  <c r="T16" i="21" s="1"/>
  <c r="F13" i="21"/>
  <c r="H13" i="21"/>
  <c r="M13" i="21" s="1"/>
  <c r="F16" i="21"/>
  <c r="G14" i="21"/>
  <c r="U16" i="21" s="1"/>
  <c r="K16" i="21"/>
  <c r="H11" i="21"/>
  <c r="M11" i="21" s="1"/>
  <c r="E13" i="21"/>
  <c r="T15" i="21" s="1"/>
  <c r="E11" i="21"/>
  <c r="T13" i="21" s="1"/>
  <c r="L12" i="21"/>
  <c r="L16" i="21"/>
  <c r="L15" i="21"/>
  <c r="D15" i="21"/>
  <c r="O15" i="21" s="1"/>
  <c r="N14" i="21"/>
  <c r="N11" i="21"/>
  <c r="F24" i="2" a="1"/>
  <c r="F25" i="2" a="1"/>
  <c r="F36" i="2" a="1"/>
  <c r="H10" i="21"/>
  <c r="D9" i="21"/>
  <c r="O9" i="21" s="1"/>
  <c r="F9" i="21"/>
  <c r="E10" i="21"/>
  <c r="T12" i="21" s="1"/>
  <c r="K9" i="21"/>
  <c r="L10" i="21"/>
  <c r="G10" i="21"/>
  <c r="U12" i="21" s="1"/>
  <c r="N9" i="21"/>
  <c r="K10" i="21"/>
  <c r="E9" i="21"/>
  <c r="N10" i="21"/>
  <c r="H9" i="21"/>
  <c r="L9" i="21"/>
  <c r="D10" i="21"/>
  <c r="O10" i="21" s="1"/>
  <c r="F10" i="21"/>
  <c r="G9" i="21"/>
  <c r="U11" i="21" s="1"/>
  <c r="O19" i="14"/>
  <c r="N19" i="14"/>
  <c r="L19" i="14"/>
  <c r="M19" i="14"/>
  <c r="H8" i="21"/>
  <c r="E5" i="21"/>
  <c r="T7" i="21" s="1"/>
  <c r="N6" i="21"/>
  <c r="K6" i="21"/>
  <c r="G6" i="21"/>
  <c r="U8" i="21" s="1"/>
  <c r="F8" i="21"/>
  <c r="L8" i="21"/>
  <c r="N8" i="21"/>
  <c r="E4" i="21"/>
  <c r="T6" i="21" s="1"/>
  <c r="H5" i="21"/>
  <c r="K7" i="21"/>
  <c r="L7" i="21"/>
  <c r="D4" i="21"/>
  <c r="O4" i="21" s="1"/>
  <c r="F4" i="21"/>
  <c r="K8" i="21"/>
  <c r="G5" i="21"/>
  <c r="U7" i="21" s="1"/>
  <c r="K5" i="21"/>
  <c r="H7" i="21"/>
  <c r="N4" i="21"/>
  <c r="D5" i="21"/>
  <c r="O5" i="21" s="1"/>
  <c r="H6" i="21"/>
  <c r="L6" i="21"/>
  <c r="L4" i="21"/>
  <c r="D7" i="21"/>
  <c r="O7" i="21" s="1"/>
  <c r="E6" i="21"/>
  <c r="T8" i="21" s="1"/>
  <c r="K4" i="21"/>
  <c r="E8" i="21"/>
  <c r="T10" i="21" s="1"/>
  <c r="G7" i="21"/>
  <c r="U9" i="21" s="1"/>
  <c r="N7" i="21"/>
  <c r="N5" i="21"/>
  <c r="F7" i="21"/>
  <c r="F6" i="21"/>
  <c r="L5" i="21"/>
  <c r="D8" i="21"/>
  <c r="O8" i="21" s="1"/>
  <c r="D6" i="21"/>
  <c r="O6" i="21" s="1"/>
  <c r="G8" i="21"/>
  <c r="U10" i="21" s="1"/>
  <c r="E7" i="21"/>
  <c r="T9" i="21" s="1"/>
  <c r="F5" i="21"/>
  <c r="F30" i="2" a="1"/>
  <c r="F34" i="2" a="1"/>
  <c r="F16" i="2" a="1"/>
  <c r="F20" i="2" a="1"/>
  <c r="F11" i="2" a="1"/>
  <c r="F21" i="2" a="1"/>
  <c r="F12" i="2" a="1"/>
  <c r="F22" i="2" a="1"/>
  <c r="F32" i="2" a="1"/>
  <c r="F23" i="2" a="1"/>
  <c r="F33" i="2" a="1"/>
  <c r="F18" i="2" a="1"/>
  <c r="F26" i="2" a="1"/>
  <c r="F15" i="2" a="1"/>
  <c r="F19" i="2" a="1"/>
  <c r="K25" i="12"/>
  <c r="L19" i="12"/>
  <c r="M19" i="12"/>
  <c r="N19" i="12"/>
  <c r="O19" i="12"/>
  <c r="N18" i="9"/>
  <c r="O19" i="9"/>
  <c r="N19" i="9"/>
  <c r="M19" i="9"/>
  <c r="L19" i="9"/>
  <c r="K25" i="8"/>
  <c r="O14" i="19"/>
  <c r="L13" i="19"/>
  <c r="L15" i="19"/>
  <c r="L17" i="19"/>
  <c r="M13" i="19"/>
  <c r="M15" i="19"/>
  <c r="M17" i="19"/>
  <c r="O13" i="19"/>
  <c r="O15" i="19"/>
  <c r="O17" i="19"/>
  <c r="N17" i="19"/>
  <c r="L12" i="19"/>
  <c r="L18" i="19"/>
  <c r="M12" i="19"/>
  <c r="M25" i="19" s="1"/>
  <c r="M18" i="19"/>
  <c r="N12" i="19"/>
  <c r="L16" i="19"/>
  <c r="N18" i="19"/>
  <c r="N13" i="19"/>
  <c r="O12" i="19"/>
  <c r="M16" i="19"/>
  <c r="O18" i="19"/>
  <c r="N15" i="19"/>
  <c r="L14" i="19"/>
  <c r="N16" i="19"/>
  <c r="J25" i="19"/>
  <c r="N14" i="19"/>
  <c r="M14" i="19"/>
  <c r="O16" i="19"/>
  <c r="N14" i="18"/>
  <c r="O14" i="18"/>
  <c r="L13" i="18"/>
  <c r="L15" i="18"/>
  <c r="L17" i="18"/>
  <c r="M13" i="18"/>
  <c r="M15" i="18"/>
  <c r="M17" i="18"/>
  <c r="O13" i="18"/>
  <c r="O15" i="18"/>
  <c r="O17" i="18"/>
  <c r="L12" i="18"/>
  <c r="L18" i="18"/>
  <c r="N17" i="18"/>
  <c r="M12" i="18"/>
  <c r="M18" i="18"/>
  <c r="N15" i="18"/>
  <c r="N12" i="18"/>
  <c r="L16" i="18"/>
  <c r="N18" i="18"/>
  <c r="O12" i="18"/>
  <c r="O25" i="18" s="1"/>
  <c r="M16" i="18"/>
  <c r="O18" i="18"/>
  <c r="N13" i="18"/>
  <c r="L14" i="18"/>
  <c r="N16" i="18"/>
  <c r="J25" i="18"/>
  <c r="M14" i="18"/>
  <c r="O16" i="18"/>
  <c r="O14" i="17"/>
  <c r="N14" i="17"/>
  <c r="L13" i="17"/>
  <c r="L15" i="17"/>
  <c r="L17" i="17"/>
  <c r="M13" i="17"/>
  <c r="M15" i="17"/>
  <c r="M17" i="17"/>
  <c r="O13" i="17"/>
  <c r="O15" i="17"/>
  <c r="O17" i="17"/>
  <c r="L12" i="17"/>
  <c r="L18" i="17"/>
  <c r="N17" i="17"/>
  <c r="M12" i="17"/>
  <c r="M18" i="17"/>
  <c r="N13" i="17"/>
  <c r="N12" i="17"/>
  <c r="L16" i="17"/>
  <c r="N18" i="17"/>
  <c r="N15" i="17"/>
  <c r="O12" i="17"/>
  <c r="M16" i="17"/>
  <c r="O18" i="17"/>
  <c r="L14" i="17"/>
  <c r="N16" i="17"/>
  <c r="J25" i="17"/>
  <c r="M14" i="17"/>
  <c r="O16" i="17"/>
  <c r="O14" i="16"/>
  <c r="N14" i="16"/>
  <c r="L13" i="16"/>
  <c r="L15" i="16"/>
  <c r="L17" i="16"/>
  <c r="M13" i="16"/>
  <c r="M15" i="16"/>
  <c r="M17" i="16"/>
  <c r="O13" i="16"/>
  <c r="O15" i="16"/>
  <c r="O17" i="16"/>
  <c r="N17" i="16"/>
  <c r="L12" i="16"/>
  <c r="L18" i="16"/>
  <c r="M12" i="16"/>
  <c r="M18" i="16"/>
  <c r="N12" i="16"/>
  <c r="L16" i="16"/>
  <c r="N18" i="16"/>
  <c r="N15" i="16"/>
  <c r="O12" i="16"/>
  <c r="M16" i="16"/>
  <c r="O18" i="16"/>
  <c r="N13" i="16"/>
  <c r="L14" i="16"/>
  <c r="N16" i="16"/>
  <c r="J25" i="16"/>
  <c r="P22" i="2" s="1"/>
  <c r="M14" i="16"/>
  <c r="O16" i="16"/>
  <c r="N14" i="15"/>
  <c r="O14" i="15"/>
  <c r="L13" i="15"/>
  <c r="L15" i="15"/>
  <c r="L17" i="15"/>
  <c r="M13" i="15"/>
  <c r="M15" i="15"/>
  <c r="M17" i="15"/>
  <c r="O13" i="15"/>
  <c r="O15" i="15"/>
  <c r="O17" i="15"/>
  <c r="L12" i="15"/>
  <c r="L18" i="15"/>
  <c r="M12" i="15"/>
  <c r="M18" i="15"/>
  <c r="N12" i="15"/>
  <c r="L16" i="15"/>
  <c r="N18" i="15"/>
  <c r="N17" i="15"/>
  <c r="O12" i="15"/>
  <c r="M16" i="15"/>
  <c r="O18" i="15"/>
  <c r="N13" i="15"/>
  <c r="L14" i="15"/>
  <c r="N16" i="15"/>
  <c r="J25" i="15"/>
  <c r="O15" i="2" s="1"/>
  <c r="N15" i="15"/>
  <c r="M14" i="15"/>
  <c r="O16" i="15"/>
  <c r="N14" i="14"/>
  <c r="O14" i="14"/>
  <c r="L13" i="14"/>
  <c r="L15" i="14"/>
  <c r="L17" i="14"/>
  <c r="M13" i="14"/>
  <c r="M15" i="14"/>
  <c r="M17" i="14"/>
  <c r="N17" i="14"/>
  <c r="O13" i="14"/>
  <c r="O15" i="14"/>
  <c r="O17" i="14"/>
  <c r="L12" i="14"/>
  <c r="L18" i="14"/>
  <c r="M12" i="14"/>
  <c r="M18" i="14"/>
  <c r="N13" i="14"/>
  <c r="N12" i="14"/>
  <c r="L16" i="14"/>
  <c r="N18" i="14"/>
  <c r="O12" i="14"/>
  <c r="M16" i="14"/>
  <c r="O18" i="14"/>
  <c r="N15" i="14"/>
  <c r="L14" i="14"/>
  <c r="N16" i="14"/>
  <c r="J25" i="14"/>
  <c r="N15" i="2" s="1"/>
  <c r="M14" i="14"/>
  <c r="O16" i="14"/>
  <c r="N14" i="13"/>
  <c r="O14" i="13"/>
  <c r="L13" i="13"/>
  <c r="L15" i="13"/>
  <c r="L17" i="13"/>
  <c r="M13" i="13"/>
  <c r="M15" i="13"/>
  <c r="M17" i="13"/>
  <c r="O13" i="13"/>
  <c r="O15" i="13"/>
  <c r="O17" i="13"/>
  <c r="L12" i="13"/>
  <c r="L18" i="13"/>
  <c r="N17" i="13"/>
  <c r="M12" i="13"/>
  <c r="M18" i="13"/>
  <c r="N12" i="13"/>
  <c r="L16" i="13"/>
  <c r="N18" i="13"/>
  <c r="N13" i="13"/>
  <c r="O12" i="13"/>
  <c r="M16" i="13"/>
  <c r="O18" i="13"/>
  <c r="N15" i="13"/>
  <c r="L14" i="13"/>
  <c r="N16" i="13"/>
  <c r="J25" i="13"/>
  <c r="M23" i="2" s="1"/>
  <c r="M14" i="13"/>
  <c r="O16" i="13"/>
  <c r="N14" i="12"/>
  <c r="O14" i="12"/>
  <c r="L13" i="12"/>
  <c r="L15" i="12"/>
  <c r="L17" i="12"/>
  <c r="M13" i="12"/>
  <c r="M15" i="12"/>
  <c r="M17" i="12"/>
  <c r="O13" i="12"/>
  <c r="O15" i="12"/>
  <c r="O17" i="12"/>
  <c r="L12" i="12"/>
  <c r="L18" i="12"/>
  <c r="N17" i="12"/>
  <c r="M12" i="12"/>
  <c r="M18" i="12"/>
  <c r="N12" i="12"/>
  <c r="L16" i="12"/>
  <c r="N18" i="12"/>
  <c r="N15" i="12"/>
  <c r="O12" i="12"/>
  <c r="M16" i="12"/>
  <c r="O18" i="12"/>
  <c r="N13" i="12"/>
  <c r="L14" i="12"/>
  <c r="N16" i="12"/>
  <c r="J25" i="12"/>
  <c r="M14" i="12"/>
  <c r="O16" i="12"/>
  <c r="O14" i="11"/>
  <c r="N14" i="11"/>
  <c r="L13" i="11"/>
  <c r="L15" i="11"/>
  <c r="M13" i="11"/>
  <c r="M15" i="11"/>
  <c r="N15" i="11"/>
  <c r="L12" i="11"/>
  <c r="O15" i="11"/>
  <c r="M12" i="11"/>
  <c r="N12" i="11"/>
  <c r="L16" i="11"/>
  <c r="O12" i="11"/>
  <c r="M16" i="11"/>
  <c r="N13" i="11"/>
  <c r="O13" i="11"/>
  <c r="L14" i="11"/>
  <c r="N16" i="11"/>
  <c r="J25" i="11"/>
  <c r="M14" i="11"/>
  <c r="O16" i="11"/>
  <c r="O12" i="9"/>
  <c r="M16" i="9"/>
  <c r="O18" i="9"/>
  <c r="N14" i="10"/>
  <c r="L14" i="9"/>
  <c r="N16" i="9"/>
  <c r="J25" i="9"/>
  <c r="O14" i="10"/>
  <c r="M14" i="9"/>
  <c r="O16" i="9"/>
  <c r="K25" i="9"/>
  <c r="L13" i="10"/>
  <c r="L15" i="10"/>
  <c r="L17" i="10"/>
  <c r="M13" i="10"/>
  <c r="M15" i="10"/>
  <c r="M17" i="10"/>
  <c r="N14" i="9"/>
  <c r="L13" i="9"/>
  <c r="O13" i="10"/>
  <c r="O15" i="10"/>
  <c r="O17" i="10"/>
  <c r="M13" i="9"/>
  <c r="M15" i="9"/>
  <c r="M17" i="9"/>
  <c r="L12" i="10"/>
  <c r="L18" i="10"/>
  <c r="M12" i="10"/>
  <c r="M18" i="10"/>
  <c r="N15" i="9"/>
  <c r="O13" i="9"/>
  <c r="O15" i="9"/>
  <c r="O17" i="9"/>
  <c r="N12" i="10"/>
  <c r="L16" i="10"/>
  <c r="N18" i="10"/>
  <c r="N17" i="10"/>
  <c r="L15" i="9"/>
  <c r="N17" i="9"/>
  <c r="L12" i="9"/>
  <c r="L18" i="9"/>
  <c r="O12" i="10"/>
  <c r="M16" i="10"/>
  <c r="O18" i="10"/>
  <c r="O14" i="9"/>
  <c r="N13" i="10"/>
  <c r="L17" i="9"/>
  <c r="M12" i="9"/>
  <c r="M18" i="9"/>
  <c r="L14" i="10"/>
  <c r="N16" i="10"/>
  <c r="J25" i="10"/>
  <c r="N15" i="10"/>
  <c r="N13" i="9"/>
  <c r="N12" i="9"/>
  <c r="L16" i="9"/>
  <c r="M14" i="10"/>
  <c r="O16" i="10"/>
  <c r="L13" i="8"/>
  <c r="L15" i="8"/>
  <c r="L17" i="8"/>
  <c r="M13" i="8"/>
  <c r="M15" i="8"/>
  <c r="M17" i="8"/>
  <c r="L12" i="8"/>
  <c r="L18" i="8"/>
  <c r="O19" i="8"/>
  <c r="O15" i="8"/>
  <c r="M12" i="8"/>
  <c r="M18" i="8"/>
  <c r="O14" i="8"/>
  <c r="N13" i="8"/>
  <c r="N12" i="8"/>
  <c r="L16" i="8"/>
  <c r="N18" i="8"/>
  <c r="N15" i="8"/>
  <c r="O17" i="8"/>
  <c r="O12" i="8"/>
  <c r="M16" i="8"/>
  <c r="O18" i="8"/>
  <c r="N19" i="8"/>
  <c r="N17" i="8"/>
  <c r="O13" i="8"/>
  <c r="L14" i="8"/>
  <c r="N16" i="8"/>
  <c r="L19" i="8"/>
  <c r="J25" i="8"/>
  <c r="N14" i="8"/>
  <c r="M14" i="8"/>
  <c r="O16" i="8"/>
  <c r="M19" i="8"/>
  <c r="E30" i="2"/>
  <c r="E23" i="2"/>
  <c r="E15" i="2"/>
  <c r="O46" i="3"/>
  <c r="J20" i="21" l="1"/>
  <c r="M20" i="21"/>
  <c r="J19" i="21"/>
  <c r="M19" i="21"/>
  <c r="J18" i="21"/>
  <c r="M18" i="21"/>
  <c r="M30" i="2"/>
  <c r="K30" i="2"/>
  <c r="K32" i="2"/>
  <c r="K31" i="2"/>
  <c r="K23" i="2"/>
  <c r="K15" i="2"/>
  <c r="K22" i="2"/>
  <c r="I9" i="21"/>
  <c r="T11" i="21"/>
  <c r="I10" i="21"/>
  <c r="I19" i="21"/>
  <c r="I20" i="21"/>
  <c r="I18" i="21"/>
  <c r="N31" i="2"/>
  <c r="N32" i="2"/>
  <c r="O22" i="2"/>
  <c r="O28" i="2"/>
  <c r="O36" i="2"/>
  <c r="O23" i="2"/>
  <c r="N22" i="2"/>
  <c r="N28" i="2"/>
  <c r="N36" i="2"/>
  <c r="N23" i="2"/>
  <c r="H28" i="2"/>
  <c r="M28" i="2"/>
  <c r="M36" i="2"/>
  <c r="M15" i="2"/>
  <c r="M22" i="2"/>
  <c r="L30" i="2"/>
  <c r="L31" i="2"/>
  <c r="L32" i="2"/>
  <c r="L36" i="2"/>
  <c r="L28" i="2"/>
  <c r="L22" i="2"/>
  <c r="L15" i="2"/>
  <c r="L23" i="2"/>
  <c r="P23" i="2"/>
  <c r="P28" i="2"/>
  <c r="P36" i="2"/>
  <c r="P15" i="2"/>
  <c r="J5" i="21"/>
  <c r="J11" i="21"/>
  <c r="J14" i="21"/>
  <c r="J17" i="21"/>
  <c r="J12" i="21"/>
  <c r="J10" i="21"/>
  <c r="J7" i="21"/>
  <c r="I17" i="21"/>
  <c r="I28" i="2"/>
  <c r="N25" i="9"/>
  <c r="I12" i="21"/>
  <c r="I8" i="21"/>
  <c r="I5" i="21"/>
  <c r="I11" i="21"/>
  <c r="I7" i="21"/>
  <c r="J15" i="21"/>
  <c r="I13" i="21"/>
  <c r="I14" i="21"/>
  <c r="I4" i="21"/>
  <c r="I15" i="21"/>
  <c r="J16" i="21"/>
  <c r="I6" i="21"/>
  <c r="I16" i="21"/>
  <c r="J13" i="21"/>
  <c r="J9" i="21"/>
  <c r="J6" i="21"/>
  <c r="J8" i="21"/>
  <c r="O25" i="13"/>
  <c r="K36" i="2"/>
  <c r="K28" i="2"/>
  <c r="J35" i="2"/>
  <c r="J28" i="2"/>
  <c r="N25" i="10"/>
  <c r="M25" i="8"/>
  <c r="O25" i="19"/>
  <c r="N25" i="19"/>
  <c r="L25" i="19"/>
  <c r="N25" i="18"/>
  <c r="M25" i="18"/>
  <c r="L25" i="18"/>
  <c r="O25" i="17"/>
  <c r="N25" i="17"/>
  <c r="M25" i="17"/>
  <c r="L25" i="17"/>
  <c r="O25" i="16"/>
  <c r="N25" i="16"/>
  <c r="M25" i="16"/>
  <c r="L25" i="16"/>
  <c r="O25" i="15"/>
  <c r="M25" i="15"/>
  <c r="N25" i="15"/>
  <c r="L25" i="15"/>
  <c r="O25" i="14"/>
  <c r="N25" i="14"/>
  <c r="M25" i="14"/>
  <c r="L25" i="14"/>
  <c r="N25" i="13"/>
  <c r="M25" i="13"/>
  <c r="L25" i="13"/>
  <c r="O25" i="12"/>
  <c r="M25" i="12"/>
  <c r="N25" i="12"/>
  <c r="L25" i="12"/>
  <c r="L25" i="11"/>
  <c r="N25" i="11"/>
  <c r="O25" i="11"/>
  <c r="M25" i="11"/>
  <c r="O25" i="10"/>
  <c r="L25" i="9"/>
  <c r="M25" i="10"/>
  <c r="L25" i="10"/>
  <c r="M25" i="9"/>
  <c r="O25" i="9"/>
  <c r="L25" i="8"/>
  <c r="O25" i="8"/>
  <c r="N25" i="8"/>
  <c r="H34" i="2" l="1"/>
  <c r="H35" i="2"/>
  <c r="H27" i="2"/>
  <c r="H26" i="2"/>
  <c r="J27" i="2"/>
  <c r="J26" i="2"/>
  <c r="I27" i="2"/>
  <c r="I26" i="2"/>
  <c r="J34" i="2"/>
  <c r="T12" i="2" l="1"/>
  <c r="B46" i="5"/>
  <c r="B45" i="5"/>
  <c r="B44" i="5"/>
  <c r="B43" i="5"/>
  <c r="O50" i="9" l="1"/>
  <c r="O46" i="13"/>
  <c r="O49" i="15"/>
  <c r="O49" i="14"/>
  <c r="O48" i="15"/>
  <c r="O48" i="12"/>
  <c r="O48" i="14"/>
  <c r="O44" i="13"/>
  <c r="O46" i="11"/>
  <c r="O48" i="8"/>
  <c r="O49" i="3"/>
  <c r="O50" i="10"/>
  <c r="O45" i="13"/>
  <c r="O50" i="3"/>
  <c r="O47" i="12"/>
  <c r="O49" i="9"/>
  <c r="O49" i="8"/>
  <c r="O47" i="8"/>
  <c r="O49" i="10"/>
  <c r="O45" i="16"/>
  <c r="O45" i="9"/>
  <c r="O46" i="12"/>
  <c r="O45" i="14"/>
  <c r="O47" i="3"/>
  <c r="O43" i="8"/>
  <c r="T13" i="2" l="1"/>
  <c r="T11" i="2"/>
  <c r="T10" i="2"/>
  <c r="V16" i="21" l="1"/>
  <c r="V14" i="21"/>
  <c r="V22" i="21"/>
  <c r="V20" i="21"/>
  <c r="V18" i="21"/>
  <c r="G28" i="2"/>
  <c r="B5" i="5"/>
  <c r="B6" i="5"/>
  <c r="B7" i="5"/>
  <c r="B8" i="5"/>
  <c r="B9" i="5"/>
  <c r="B10" i="5"/>
  <c r="B11" i="5"/>
  <c r="B12" i="5"/>
  <c r="O41" i="9" s="1"/>
  <c r="B13" i="5"/>
  <c r="B14" i="5"/>
  <c r="B15" i="5"/>
  <c r="B16" i="5"/>
  <c r="B17" i="5"/>
  <c r="B18" i="5"/>
  <c r="O38" i="11" s="1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" i="5"/>
  <c r="F17" i="2" a="1"/>
  <c r="G27" i="2" l="1"/>
  <c r="T27" i="2" s="1"/>
  <c r="G26" i="2"/>
  <c r="G34" i="2"/>
  <c r="G35" i="2"/>
  <c r="T35" i="2" s="1"/>
  <c r="O49" i="12"/>
  <c r="O46" i="8"/>
  <c r="O48" i="10"/>
  <c r="O44" i="15"/>
  <c r="O47" i="10"/>
  <c r="O45" i="11"/>
  <c r="O48" i="9"/>
  <c r="O48" i="11"/>
  <c r="O38" i="3"/>
  <c r="O44" i="16"/>
  <c r="O38" i="13"/>
  <c r="O45" i="12"/>
  <c r="O44" i="14"/>
  <c r="O45" i="10"/>
  <c r="O38" i="8"/>
  <c r="O47" i="9"/>
  <c r="O47" i="11"/>
  <c r="O43" i="3"/>
  <c r="O44" i="8"/>
  <c r="O44" i="11"/>
  <c r="O46" i="9"/>
  <c r="O42" i="13"/>
  <c r="O46" i="10"/>
  <c r="O47" i="14"/>
  <c r="O48" i="3"/>
  <c r="O45" i="3"/>
  <c r="O46" i="14"/>
  <c r="O43" i="13"/>
  <c r="O46" i="15"/>
  <c r="O43" i="18"/>
  <c r="O43" i="15"/>
  <c r="O41" i="13"/>
  <c r="O45" i="8"/>
  <c r="O43" i="17"/>
  <c r="O43" i="19"/>
  <c r="O43" i="12"/>
  <c r="O43" i="14"/>
  <c r="O41" i="11"/>
  <c r="O43" i="10"/>
  <c r="O43" i="16"/>
  <c r="O43" i="9"/>
  <c r="O44" i="3"/>
  <c r="O43" i="11"/>
  <c r="O42" i="11"/>
  <c r="T23" i="2"/>
  <c r="T18" i="2"/>
  <c r="T19" i="2"/>
  <c r="T20" i="2"/>
  <c r="T21" i="2"/>
  <c r="T16" i="2"/>
  <c r="T17" i="2"/>
  <c r="T30" i="2"/>
  <c r="F31" i="2" a="1"/>
  <c r="E38" i="2" l="1" a="1"/>
  <c r="T22" i="2"/>
  <c r="T15" i="2"/>
  <c r="T31" i="2"/>
  <c r="T32" i="2"/>
  <c r="T26" i="2"/>
  <c r="T36" i="2"/>
  <c r="T28" i="2"/>
  <c r="T34" i="2"/>
  <c r="T25" i="2"/>
  <c r="G42" i="2" l="1"/>
  <c r="G45" i="2"/>
  <c r="H42" i="2"/>
  <c r="J42" i="2"/>
  <c r="F47" i="2"/>
  <c r="L54" i="2"/>
  <c r="K54" i="2"/>
  <c r="I54" i="2"/>
  <c r="H54" i="2"/>
  <c r="J54" i="2"/>
  <c r="K53" i="2"/>
  <c r="L53" i="2"/>
  <c r="J53" i="2"/>
  <c r="I53" i="2"/>
  <c r="H53" i="2"/>
  <c r="O53" i="2" s="1"/>
  <c r="L48" i="2"/>
  <c r="K44" i="2"/>
  <c r="J51" i="2"/>
  <c r="J39" i="2"/>
  <c r="I43" i="2"/>
  <c r="H51" i="2"/>
  <c r="O51" i="2" s="1"/>
  <c r="H39" i="2"/>
  <c r="O39" i="2" s="1"/>
  <c r="G39" i="2"/>
  <c r="N39" i="2" s="1"/>
  <c r="L47" i="2"/>
  <c r="K43" i="2"/>
  <c r="J50" i="2"/>
  <c r="I42" i="2"/>
  <c r="H50" i="2"/>
  <c r="O50" i="2" s="1"/>
  <c r="L46" i="2"/>
  <c r="K42" i="2"/>
  <c r="J49" i="2"/>
  <c r="I41" i="2"/>
  <c r="H49" i="2"/>
  <c r="O49" i="2" s="1"/>
  <c r="G49" i="2"/>
  <c r="N49" i="2" s="1"/>
  <c r="L45" i="2"/>
  <c r="K41" i="2"/>
  <c r="J48" i="2"/>
  <c r="I52" i="2"/>
  <c r="I40" i="2"/>
  <c r="H48" i="2"/>
  <c r="O48" i="2" s="1"/>
  <c r="G48" i="2"/>
  <c r="N48" i="2" s="1"/>
  <c r="L44" i="2"/>
  <c r="K52" i="2"/>
  <c r="K40" i="2"/>
  <c r="J47" i="2"/>
  <c r="I51" i="2"/>
  <c r="I39" i="2"/>
  <c r="H47" i="2"/>
  <c r="O47" i="2" s="1"/>
  <c r="G47" i="2"/>
  <c r="N47" i="2" s="1"/>
  <c r="L43" i="2"/>
  <c r="K51" i="2"/>
  <c r="K39" i="2"/>
  <c r="J46" i="2"/>
  <c r="I50" i="2"/>
  <c r="H46" i="2"/>
  <c r="O46" i="2" s="1"/>
  <c r="G46" i="2"/>
  <c r="N46" i="2" s="1"/>
  <c r="J41" i="2"/>
  <c r="H41" i="2"/>
  <c r="O41" i="2" s="1"/>
  <c r="L49" i="2"/>
  <c r="K45" i="2"/>
  <c r="J40" i="2"/>
  <c r="H52" i="2"/>
  <c r="O52" i="2" s="1"/>
  <c r="H40" i="2"/>
  <c r="O40" i="2" s="1"/>
  <c r="L42" i="2"/>
  <c r="K50" i="2"/>
  <c r="J45" i="2"/>
  <c r="I49" i="2"/>
  <c r="H45" i="2"/>
  <c r="O45" i="2" s="1"/>
  <c r="N45" i="2"/>
  <c r="L41" i="2"/>
  <c r="K49" i="2"/>
  <c r="J44" i="2"/>
  <c r="I48" i="2"/>
  <c r="H44" i="2"/>
  <c r="O44" i="2" s="1"/>
  <c r="G44" i="2"/>
  <c r="N44" i="2" s="1"/>
  <c r="L52" i="2"/>
  <c r="L40" i="2"/>
  <c r="K48" i="2"/>
  <c r="J43" i="2"/>
  <c r="I47" i="2"/>
  <c r="H43" i="2"/>
  <c r="O43" i="2" s="1"/>
  <c r="G43" i="2"/>
  <c r="N43" i="2" s="1"/>
  <c r="L51" i="2"/>
  <c r="L39" i="2"/>
  <c r="K47" i="2"/>
  <c r="I46" i="2"/>
  <c r="N42" i="2"/>
  <c r="L50" i="2"/>
  <c r="K46" i="2"/>
  <c r="I45" i="2"/>
  <c r="G41" i="2"/>
  <c r="J52" i="2"/>
  <c r="I44" i="2"/>
  <c r="G40" i="2"/>
  <c r="N40" i="2" s="1"/>
  <c r="I58" i="2"/>
  <c r="K58" i="2"/>
  <c r="L58" i="2"/>
  <c r="J58" i="2"/>
  <c r="I55" i="2"/>
  <c r="F58" i="2"/>
  <c r="M58" i="2" s="1"/>
  <c r="H58" i="2"/>
  <c r="O58" i="2" s="1"/>
  <c r="G58" i="2"/>
  <c r="N58" i="2" s="1"/>
  <c r="G55" i="2"/>
  <c r="I57" i="2"/>
  <c r="G57" i="2"/>
  <c r="N57" i="2" s="1"/>
  <c r="O57" i="2"/>
  <c r="J57" i="2"/>
  <c r="F57" i="2"/>
  <c r="M57" i="2" s="1"/>
  <c r="G51" i="2"/>
  <c r="N51" i="2" s="1"/>
  <c r="P50" i="2"/>
  <c r="G50" i="2"/>
  <c r="N50" i="2" s="1"/>
  <c r="P43" i="2"/>
  <c r="F56" i="2"/>
  <c r="M56" i="2" s="1"/>
  <c r="I56" i="2"/>
  <c r="G56" i="2"/>
  <c r="N56" i="2" s="1"/>
  <c r="O56" i="2"/>
  <c r="P42" i="2"/>
  <c r="P39" i="2"/>
  <c r="P41" i="2"/>
  <c r="G52" i="2"/>
  <c r="N52" i="2" s="1"/>
  <c r="P49" i="2"/>
  <c r="G53" i="2"/>
  <c r="N53" i="2" s="1"/>
  <c r="P51" i="2"/>
  <c r="P48" i="2"/>
  <c r="P40" i="2"/>
  <c r="P52" i="2"/>
  <c r="G54" i="2"/>
  <c r="N54" i="2" s="1"/>
  <c r="P45" i="2"/>
  <c r="P46" i="2"/>
  <c r="P47" i="2"/>
  <c r="P53" i="2"/>
  <c r="F55" i="2"/>
  <c r="F54" i="2"/>
  <c r="M54" i="2" s="1"/>
  <c r="F53" i="2"/>
  <c r="M53" i="2" s="1"/>
  <c r="F52" i="2"/>
  <c r="M52" i="2" s="1"/>
  <c r="F51" i="2"/>
  <c r="M51" i="2" s="1"/>
  <c r="F50" i="2"/>
  <c r="M50" i="2" s="1"/>
  <c r="F49" i="2"/>
  <c r="M49" i="2" s="1"/>
  <c r="F46" i="2"/>
  <c r="M46" i="2" s="1"/>
  <c r="F48" i="2"/>
  <c r="M48" i="2" s="1"/>
  <c r="M47" i="2"/>
  <c r="F44" i="2"/>
  <c r="M44" i="2" s="1"/>
  <c r="F43" i="2"/>
  <c r="M43" i="2" s="1"/>
  <c r="F45" i="2"/>
  <c r="M45" i="2" s="1"/>
  <c r="F40" i="2"/>
  <c r="M40" i="2" s="1"/>
  <c r="F39" i="2"/>
  <c r="M39" i="2" s="1"/>
  <c r="F41" i="2"/>
  <c r="F42" i="2"/>
  <c r="M42" i="2" s="1"/>
  <c r="D11" i="2"/>
  <c r="Q44" i="2" l="1"/>
  <c r="K38" i="2"/>
  <c r="L38" i="2"/>
  <c r="Q58" i="2"/>
  <c r="Q43" i="2"/>
  <c r="Q57" i="2"/>
  <c r="Q56" i="2"/>
  <c r="Q55" i="2"/>
  <c r="Q54" i="2"/>
  <c r="Q53" i="2"/>
  <c r="Q52" i="2"/>
  <c r="Q51" i="2"/>
  <c r="Q47" i="2"/>
  <c r="Q42" i="2"/>
  <c r="Q48" i="2"/>
  <c r="Q46" i="2"/>
  <c r="Q39" i="2"/>
  <c r="Q49" i="2"/>
  <c r="Q41" i="2"/>
  <c r="Q40" i="2"/>
  <c r="Q50" i="2"/>
  <c r="Q45" i="2"/>
  <c r="N38" i="2" l="1"/>
  <c r="P38" i="2"/>
  <c r="V19" i="21" l="1"/>
  <c r="V13" i="21"/>
  <c r="V15" i="21"/>
  <c r="V17" i="21"/>
  <c r="B3" i="21" l="1"/>
  <c r="I12" i="19"/>
  <c r="I12" i="18"/>
  <c r="I12" i="16"/>
  <c r="I12" i="15"/>
  <c r="I12" i="14"/>
  <c r="I12" i="13"/>
  <c r="I12" i="12"/>
  <c r="I12" i="17"/>
  <c r="I12" i="11"/>
  <c r="I12" i="10"/>
  <c r="I12" i="9"/>
  <c r="I12" i="8"/>
  <c r="I12" i="3"/>
  <c r="E38" i="2"/>
  <c r="F36" i="2"/>
  <c r="Q36" i="2" s="1"/>
  <c r="F35" i="2"/>
  <c r="Q35" i="2" s="1"/>
  <c r="F34" i="2"/>
  <c r="Q34" i="2" s="1"/>
  <c r="F33" i="2"/>
  <c r="Q33" i="2" s="1"/>
  <c r="F32" i="2"/>
  <c r="Q32" i="2" s="1"/>
  <c r="F31" i="2"/>
  <c r="Q31" i="2" s="1"/>
  <c r="F30" i="2"/>
  <c r="Q30" i="2" s="1"/>
  <c r="F28" i="2"/>
  <c r="Q28" i="2" s="1"/>
  <c r="F27" i="2"/>
  <c r="Q27" i="2" s="1"/>
  <c r="F26" i="2"/>
  <c r="Q26" i="2" s="1"/>
  <c r="F25" i="2"/>
  <c r="Q25" i="2" s="1"/>
  <c r="F24" i="2"/>
  <c r="Q24" i="2" s="1"/>
  <c r="F23" i="2"/>
  <c r="Q23" i="2" s="1"/>
  <c r="F22" i="2"/>
  <c r="Q22" i="2" s="1"/>
  <c r="F21" i="2"/>
  <c r="Q21" i="2" s="1"/>
  <c r="F20" i="2"/>
  <c r="Q20" i="2" s="1"/>
  <c r="F19" i="2"/>
  <c r="Q19" i="2" s="1"/>
  <c r="F18" i="2"/>
  <c r="Q18" i="2" s="1"/>
  <c r="F17" i="2"/>
  <c r="Q17" i="2" s="1"/>
  <c r="F16" i="2"/>
  <c r="Q16" i="2" s="1"/>
  <c r="F15" i="2"/>
  <c r="Q15" i="2" s="1"/>
  <c r="F14" i="2"/>
  <c r="Q14" i="2" s="1"/>
  <c r="F13" i="2"/>
  <c r="Q13" i="2" s="1"/>
  <c r="F12" i="2"/>
  <c r="Q12" i="2" s="1"/>
  <c r="F11" i="2"/>
  <c r="Q11" i="2" s="1"/>
  <c r="F10" i="2"/>
  <c r="M6" i="21" l="1"/>
  <c r="V8" i="21" s="1"/>
  <c r="M8" i="21"/>
  <c r="V10" i="21" s="1"/>
  <c r="M10" i="21"/>
  <c r="V12" i="21" s="1"/>
  <c r="Q10" i="2"/>
  <c r="G38" i="2"/>
  <c r="I38" i="2"/>
  <c r="H38" i="2"/>
  <c r="O38" i="2" s="1"/>
  <c r="F38" i="2"/>
  <c r="J38" i="2"/>
  <c r="G4" i="21"/>
  <c r="U6" i="21" s="1"/>
  <c r="H4" i="21"/>
  <c r="E3" i="21"/>
  <c r="T5" i="21" s="1"/>
  <c r="D3" i="21"/>
  <c r="O3" i="21" s="1"/>
  <c r="H3" i="21"/>
  <c r="J3" i="21" s="1"/>
  <c r="N3" i="21"/>
  <c r="L3" i="21"/>
  <c r="F3" i="21"/>
  <c r="K3" i="21"/>
  <c r="G3" i="21"/>
  <c r="U5" i="21" s="1"/>
  <c r="J59" i="2" l="1"/>
  <c r="M9" i="21" s="1"/>
  <c r="V11" i="21" s="1"/>
  <c r="I59" i="2"/>
  <c r="M7" i="21" s="1"/>
  <c r="V9" i="21" s="1"/>
  <c r="G59" i="2"/>
  <c r="M3" i="21" s="1"/>
  <c r="V5" i="21" s="1"/>
  <c r="K59" i="2"/>
  <c r="L59" i="2"/>
  <c r="I3" i="21"/>
  <c r="M38" i="2"/>
  <c r="M59" i="2" s="1"/>
  <c r="O59" i="2"/>
  <c r="V21" i="21" s="1"/>
  <c r="H59" i="2"/>
  <c r="M5" i="21" s="1"/>
  <c r="V7" i="21" s="1"/>
  <c r="J4" i="21"/>
  <c r="M4" i="21"/>
  <c r="V6" i="21" s="1"/>
  <c r="F17" i="20"/>
  <c r="P59" i="2"/>
  <c r="N59" i="2"/>
  <c r="Q38" i="2" l="1"/>
  <c r="F15" i="20" s="1"/>
  <c r="F19" i="20" s="1"/>
  <c r="F25" i="20" s="1"/>
  <c r="L51" i="20" s="1"/>
  <c r="V23" i="21"/>
  <c r="Q59" i="2" l="1"/>
  <c r="K51" i="20"/>
  <c r="M51" i="20"/>
  <c r="J51" i="20"/>
  <c r="I51" i="20"/>
  <c r="G51" i="20"/>
  <c r="H5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  <author>Kruti Desai</author>
  </authors>
  <commentList>
    <comment ref="G15" authorId="0" shapeId="0" xr:uid="{450A7844-EF3C-4D7E-AC4E-DC8FFE90DB8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15" authorId="0" shapeId="0" xr:uid="{14889BC0-C2AC-43CF-B425-7FFCE06170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15" authorId="0" shapeId="0" xr:uid="{60FA7670-A1DB-450C-AACF-63C4B4DE8A3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15" authorId="1" shapeId="0" xr:uid="{BF70F194-C575-4BB7-B039-38DA32F98AB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K15" authorId="1" shapeId="0" xr:uid="{A24EDEC6-DB9F-408C-AA69-3EBB5CC3CC73}">
      <text>
        <r>
          <rPr>
            <b/>
            <sz val="9"/>
            <color indexed="81"/>
            <rFont val="Tahoma"/>
            <family val="2"/>
          </rPr>
          <t>Kruti Desai:
Minus 3, comlementary</t>
        </r>
      </text>
    </comment>
    <comment ref="L15" authorId="1" shapeId="0" xr:uid="{942B3AB4-4BE7-4DF0-A1CE-202887A5D38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0" authorId="0" shapeId="0" xr:uid="{0C176244-BE9B-4B83-BEF9-99129485FAB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0" authorId="0" shapeId="0" xr:uid="{C1BA9D6F-70E0-4B20-9F90-34BF0A927FC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0" authorId="0" shapeId="0" xr:uid="{1123EF3D-57CE-4650-938D-01AFC288D04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0" authorId="1" shapeId="0" xr:uid="{8FB35B90-E5C3-409D-A92D-52AEF8F3A0B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0" authorId="1" shapeId="0" xr:uid="{B99CB848-A2F6-4C8B-A267-574588F580B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0" authorId="1" shapeId="0" xr:uid="{9F4DFA92-CE78-4006-8A1A-EB211BE5FF3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1" authorId="0" shapeId="0" xr:uid="{FAE95D76-F336-4FB9-A2F5-ACAD23FB16B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1" authorId="0" shapeId="0" xr:uid="{813B97D9-EB4A-4F39-B65F-529DA7AE1834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1" authorId="0" shapeId="0" xr:uid="{A82963DF-F427-439D-9A1B-BDE90F875F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1" authorId="1" shapeId="0" xr:uid="{07423524-BC06-4DB2-8C1A-571590B6B2D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1" authorId="1" shapeId="0" xr:uid="{C4D7D920-CFF6-4273-B70D-F18FE552476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1" authorId="1" shapeId="0" xr:uid="{AE313D11-5E9B-4758-98B7-002D94B6818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2" authorId="0" shapeId="0" xr:uid="{C7EFF74E-DC18-4237-881F-46D8282A86E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2" authorId="0" shapeId="0" xr:uid="{E0728152-9078-459C-8760-BCC1C5902D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2" authorId="0" shapeId="0" xr:uid="{5F80D409-566C-4936-8F3F-DA063359E74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2" authorId="0" shapeId="0" xr:uid="{B672BA30-5DA6-4BDD-BE79-CA117306065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K22" authorId="1" shapeId="0" xr:uid="{D6298865-F5C3-4C75-B0DC-00243BAD28C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complementary</t>
        </r>
      </text>
    </comment>
    <comment ref="L22" authorId="1" shapeId="0" xr:uid="{46BCDACB-3B07-4488-9B41-3FBDD617114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3" authorId="0" shapeId="0" xr:uid="{D9BEB6B8-DE37-418E-9821-4FC3BDD99F8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3" authorId="0" shapeId="0" xr:uid="{02D65341-3AA2-4F54-90B1-9884A371859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3" authorId="0" shapeId="0" xr:uid="{CB78C508-E96A-4F92-9C43-0C210A7909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3" authorId="1" shapeId="0" xr:uid="{7975D747-175C-4EFC-B1CA-9B0738F35AC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K23" authorId="1" shapeId="0" xr:uid="{46108875-72F4-469A-A644-A945CD2C7BD1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
</t>
        </r>
      </text>
    </comment>
    <comment ref="L23" authorId="1" shapeId="0" xr:uid="{2A103ECF-C9CE-40A3-8092-73F22E99234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30" authorId="0" shapeId="0" xr:uid="{E5056D6D-0032-40F7-9B10-A0A6132D9E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0" authorId="0" shapeId="0" xr:uid="{56AB569F-4EA7-4787-962B-A7343C070B6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0" authorId="0" shapeId="0" xr:uid="{88424F24-F472-41F6-9351-D05E30BEAFB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0" authorId="1" shapeId="0" xr:uid="{CB219E19-5563-4284-9961-4E6B8364B2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K30" authorId="1" shapeId="0" xr:uid="{31DE75FB-9E9F-4731-91C7-98082D53A94C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0" authorId="1" shapeId="0" xr:uid="{600E731A-C1FB-4037-85D7-2C17D7C740C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1" authorId="0" shapeId="0" xr:uid="{6CA0A96A-237C-4BD4-9C21-60965F049B5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1" authorId="0" shapeId="0" xr:uid="{6C49D4BE-B4AE-4FD3-BF99-5B15DD68CCE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1" authorId="0" shapeId="0" xr:uid="{69B348A5-87FF-4A1C-927B-6F02B423AD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1" authorId="1" shapeId="0" xr:uid="{4B276F1C-101B-455C-A150-3AEEA041262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K31" authorId="1" shapeId="0" xr:uid="{F6B7EB65-93BA-4EAF-ABD1-CBDD11A0D7A4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1" authorId="1" shapeId="0" xr:uid="{4ECD77BA-AC48-4A48-B1D9-BA2BDB3A790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2" authorId="0" shapeId="0" xr:uid="{1D191C0E-1C69-4C53-B8DA-8F40F770ED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2" authorId="0" shapeId="0" xr:uid="{A6FC9349-BACD-4A13-911E-2058C66AB94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2" authorId="0" shapeId="0" xr:uid="{D67E556A-156E-48FC-87DA-24197B61670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2" authorId="1" shapeId="0" xr:uid="{35C7F8F4-4BA4-45CC-8706-2A6ED2A2464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K32" authorId="1" shapeId="0" xr:uid="{7EF30505-C53C-448C-ADA7-6D40AF3027E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2" authorId="1" shapeId="0" xr:uid="{BE9CAA35-4012-4EDB-A5B9-AC9FF6B6390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0706748A-1786-4E6A-BEDF-0890CE3479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3036BDC-63E9-4DD6-9E35-AA225608ED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A271C98-F479-409D-8D0D-892975EECB8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D0B5A043-E83F-4024-B995-B279145154C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E91C0B2A-C439-47E3-BF4D-0D64B04A640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F687EC0-A6F2-4D63-A4DB-E60AE8FFC37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5A3C07E-C1B3-4341-8C41-D8A8CE9F2A2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E39C1BA-DF69-4858-BFC2-A17D3420410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40E2214D-245D-41FB-BC00-3BDBA6D3C93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9C3A30A-3058-4444-92BB-43B0280B388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4A75FFA-A8DF-4B52-8A85-4AC18708832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6CC50F0-7E29-45E2-AE81-9C92C655CF8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3D79DA7C-D447-43FE-ADEE-F00562D403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2C4C00-A46B-443B-98D7-29D3A19587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7EA6D2C-4899-47E6-B101-9C94BB7D395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C73599A3-EB69-4491-936C-1523306024D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1BFE50E-2CA3-47B6-8F1E-1605659F2B5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5A21D3-F162-4C98-B3D5-3758D73864AA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B95CE15-B622-4351-98D1-162BCECDD8A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179B23AD-3A68-49BF-9090-048C0A6CE0B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D23656FC-BD8C-478E-AB8C-93E0FE8C236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89717664-2425-46B0-AB7D-C53481E090B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AFA6C40D-EA91-4122-9DB2-B8A8CBCEEB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AC926E52-9ADC-4DF2-AA2D-71CFD9133E8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5849C84-D492-4EB1-AD8A-0F3F384A19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5EB17B6-01AB-4F08-A13E-8E079A7CE1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<sst xmlns="http://schemas.openxmlformats.org/spreadsheetml/2006/main" count="1983" uniqueCount="544">
  <si>
    <t>ET $</t>
  </si>
  <si>
    <t>D Note</t>
  </si>
  <si>
    <t>TO:   Ethiopian Airlines Group</t>
  </si>
  <si>
    <t>Route ATL-ADD</t>
  </si>
  <si>
    <t>F17</t>
  </si>
  <si>
    <t>FOOD</t>
  </si>
  <si>
    <t>F29</t>
  </si>
  <si>
    <t>F32</t>
  </si>
  <si>
    <t>SERVICE</t>
  </si>
  <si>
    <t>F30</t>
  </si>
  <si>
    <t>F31</t>
  </si>
  <si>
    <t>SUBTOTAL</t>
  </si>
  <si>
    <t>M</t>
  </si>
  <si>
    <t>TAX</t>
  </si>
  <si>
    <t>F16</t>
  </si>
  <si>
    <t>F19</t>
  </si>
  <si>
    <t>PORT FEE</t>
  </si>
  <si>
    <t>XX</t>
  </si>
  <si>
    <t>F33</t>
  </si>
  <si>
    <t>TOTAL DUE</t>
  </si>
  <si>
    <t>**</t>
  </si>
  <si>
    <t>DUE DATE:</t>
  </si>
  <si>
    <t>G17</t>
  </si>
  <si>
    <t>G16</t>
  </si>
  <si>
    <t>G20</t>
  </si>
  <si>
    <t>DRY</t>
  </si>
  <si>
    <t>ITEM</t>
  </si>
  <si>
    <t>Invoice #:</t>
  </si>
  <si>
    <t>Bill-to:</t>
  </si>
  <si>
    <t xml:space="preserve"> Ethiopian Airlines Group</t>
  </si>
  <si>
    <t>Cycle 1</t>
  </si>
  <si>
    <t>Cycle 2</t>
  </si>
  <si>
    <t>Cycle 3</t>
  </si>
  <si>
    <t>Inv Date:</t>
  </si>
  <si>
    <t>Flight No:</t>
  </si>
  <si>
    <t>ET519</t>
  </si>
  <si>
    <t>Due Date:</t>
  </si>
  <si>
    <t>Cycle #</t>
  </si>
  <si>
    <t>+</t>
  </si>
  <si>
    <t>No.</t>
  </si>
  <si>
    <t>CODE</t>
  </si>
  <si>
    <t>PRICE</t>
  </si>
  <si>
    <t>** REF ONLY **</t>
  </si>
  <si>
    <t>Handling charges Per A/C - Turnaround 1 trip - B787</t>
  </si>
  <si>
    <t>Van Trip</t>
  </si>
  <si>
    <t>Custom Clearance Charge</t>
  </si>
  <si>
    <t>LAUNDARY CHARGES (per kg)</t>
  </si>
  <si>
    <t>Fruit Platter (Std )</t>
  </si>
  <si>
    <t>Garlic Bread (Std)</t>
  </si>
  <si>
    <t>Cheese Tray (Std)</t>
  </si>
  <si>
    <t>2L Fresh OJ (Std)</t>
  </si>
  <si>
    <t>Fresh Milk (Std)</t>
  </si>
  <si>
    <t>Condiments and Chocolate (Std)</t>
  </si>
  <si>
    <t xml:space="preserve">BC HBF </t>
  </si>
  <si>
    <t>Xtra BC Fasting Meals</t>
  </si>
  <si>
    <t xml:space="preserve">STANDARD UP LIFT </t>
  </si>
  <si>
    <t>ALL IATA BC SPML (NO KSML)</t>
  </si>
  <si>
    <t>KSML BC</t>
  </si>
  <si>
    <t>EY HBF</t>
  </si>
  <si>
    <t>EY SWH</t>
  </si>
  <si>
    <t>Xtra EC Fasting Meals</t>
  </si>
  <si>
    <t>KSML EY</t>
  </si>
  <si>
    <t>3013506 - Juice  Apple  1L</t>
  </si>
  <si>
    <t>3013499 - Mineral Water  1.5L</t>
  </si>
  <si>
    <t>3013498 - Mineral Water  330mL</t>
  </si>
  <si>
    <t>3013495 - Coke 355mL</t>
  </si>
  <si>
    <t>3013497 - Sprite 355mL</t>
  </si>
  <si>
    <t>3013502 - Soda Water 355L</t>
  </si>
  <si>
    <t>3013503 - Tonic Water 355mL</t>
  </si>
  <si>
    <t xml:space="preserve">SUB TOTAL </t>
  </si>
  <si>
    <t>All denominations reflected in US Dollars</t>
  </si>
  <si>
    <t>A/C TYPE</t>
  </si>
  <si>
    <t>STATION NAME</t>
  </si>
  <si>
    <t>DELIVERY NOTE</t>
  </si>
  <si>
    <t>DATE :</t>
  </si>
  <si>
    <t>FLIGHT NO</t>
  </si>
  <si>
    <t>DEPARTURE
TIME</t>
  </si>
  <si>
    <t>FROM</t>
  </si>
  <si>
    <t>TO</t>
  </si>
  <si>
    <t>SALES #</t>
  </si>
  <si>
    <t>B787-900</t>
  </si>
  <si>
    <t>ATL</t>
  </si>
  <si>
    <t>ADD</t>
  </si>
  <si>
    <t>Reg Meal</t>
  </si>
  <si>
    <t>Special Meal</t>
  </si>
  <si>
    <t>Meal count</t>
  </si>
  <si>
    <t>Business class:</t>
  </si>
  <si>
    <t>Email</t>
  </si>
  <si>
    <t>Economy class:</t>
  </si>
  <si>
    <t>LCH/DNR</t>
  </si>
  <si>
    <t>HCP /SWH</t>
  </si>
  <si>
    <t>HBF</t>
  </si>
  <si>
    <t>FINAL ORDER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</si>
  <si>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SVC/leg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</si>
  <si>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  <r>
      <rPr>
        <b/>
        <i/>
        <sz val="11"/>
        <color theme="1"/>
        <rFont val="Calibri"/>
        <family val="2"/>
        <scheme val="minor"/>
      </rPr>
      <t xml:space="preserve"> SVC/ leg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</si>
  <si>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  <r>
      <rPr>
        <b/>
        <i/>
        <sz val="11"/>
        <color theme="1"/>
        <rFont val="Calibri"/>
        <family val="2"/>
        <scheme val="minor"/>
      </rPr>
      <t xml:space="preserve"> SVC/leg </t>
    </r>
  </si>
  <si>
    <t>PRELIMINARY ORDER</t>
  </si>
  <si>
    <t>SPML</t>
  </si>
  <si>
    <t>BC</t>
  </si>
  <si>
    <t>EY</t>
  </si>
  <si>
    <t>CR</t>
  </si>
  <si>
    <t>CP</t>
  </si>
  <si>
    <t>HLM</t>
  </si>
  <si>
    <t>HCP</t>
  </si>
  <si>
    <t>SWH</t>
  </si>
  <si>
    <t>CCP</t>
  </si>
  <si>
    <t>Eye opener</t>
  </si>
  <si>
    <t>Fasting Meals</t>
  </si>
  <si>
    <t>NO.</t>
  </si>
  <si>
    <t>DESCRIPTION</t>
  </si>
  <si>
    <t>PLAN</t>
  </si>
  <si>
    <t>AMOUNT</t>
  </si>
  <si>
    <t xml:space="preserve">                   DRY ITEM LIST </t>
  </si>
  <si>
    <t>FRUIT BASKET</t>
  </si>
  <si>
    <t xml:space="preserve">AMOUNT </t>
  </si>
  <si>
    <t xml:space="preserve">CHEESE AND CRACKER </t>
  </si>
  <si>
    <t>ORANGE JUICE</t>
  </si>
  <si>
    <t>3013505 - Juice  Orange  1L</t>
  </si>
  <si>
    <t xml:space="preserve">FRESH ORANGE JUICE </t>
  </si>
  <si>
    <t>APPLE JUICE</t>
  </si>
  <si>
    <t xml:space="preserve">BREAD BASKET </t>
  </si>
  <si>
    <t>PINEAPLE JUICE</t>
  </si>
  <si>
    <t>3013504 - Juice Pineapple 1L</t>
  </si>
  <si>
    <t xml:space="preserve">Standard Uplift </t>
  </si>
  <si>
    <t>TOMATO JUICE</t>
  </si>
  <si>
    <t>3013507 - Juice Tomato 1L</t>
  </si>
  <si>
    <t>LAUNDRY SERVICE</t>
  </si>
  <si>
    <t>MINERAL WATER 1. L</t>
  </si>
  <si>
    <t xml:space="preserve">HANDLING CHARGES  </t>
  </si>
  <si>
    <t>MINERAL WATER 0.5 L</t>
  </si>
  <si>
    <t>EXTRA VAN CHARGE</t>
  </si>
  <si>
    <t>COCA COLA  BOTTLE 1.5 L</t>
  </si>
  <si>
    <t xml:space="preserve">COCA COLA CAN </t>
  </si>
  <si>
    <t>Bath Roll</t>
  </si>
  <si>
    <t xml:space="preserve">SPRIT CAN </t>
  </si>
  <si>
    <t xml:space="preserve">Wet Ice 5kg Bag </t>
  </si>
  <si>
    <t xml:space="preserve">3013522 - Wet Ice 5kg Bag </t>
  </si>
  <si>
    <t>Water 1.5 L</t>
  </si>
  <si>
    <t>Water 0.5 L</t>
  </si>
  <si>
    <t>Coke Light 355mL</t>
  </si>
  <si>
    <t>Tonic Water 355mL</t>
  </si>
  <si>
    <t>Soda Water 355L</t>
  </si>
  <si>
    <t>Fruit Platters</t>
  </si>
  <si>
    <t>Ginger Ale 355mL</t>
  </si>
  <si>
    <t>Sugar Sachet White</t>
  </si>
  <si>
    <t>Bulk Tray - Vegetarian (Fasting)</t>
  </si>
  <si>
    <t>Bulk Tray - Pasta (Fasting)</t>
  </si>
  <si>
    <t>Hand Towel Roll</t>
  </si>
  <si>
    <t>MINERAL WATER 1.5 L</t>
  </si>
  <si>
    <t>SPRIT BOTTLE 1.5 L</t>
  </si>
  <si>
    <t>Creamer</t>
  </si>
  <si>
    <t>Fasting</t>
  </si>
  <si>
    <t>Sparkling Water</t>
  </si>
  <si>
    <t>Dry Ice 1kg</t>
  </si>
  <si>
    <t>00 KSML, 00 AVML</t>
  </si>
  <si>
    <t>01 RVML</t>
  </si>
  <si>
    <t>04 KSML, 01 SFML, 07 MOML , 02 CHML, 01 VLML</t>
  </si>
  <si>
    <t>05 KSML, 02 AVML</t>
  </si>
  <si>
    <t>01 AVML, 02 MOML, 01 VGML, 01 VLML, 01 CHML, 01 BBML, 03 KSML</t>
  </si>
  <si>
    <t>FRUIT PLATTERS</t>
  </si>
  <si>
    <t>                          </t>
  </si>
  <si>
    <t>JAN &amp; FEB…..CYCLE 1</t>
  </si>
  <si>
    <t>MAR &amp; APR…CYCL 2</t>
  </si>
  <si>
    <t>MAY &amp; JUN…CYCLE 3</t>
  </si>
  <si>
    <t>JUL &amp; AUG….CYCLE 1</t>
  </si>
  <si>
    <t>SEP &amp; OCT….CYCLE 2</t>
  </si>
  <si>
    <t>NOV &amp; DEC…CYCLE 3</t>
  </si>
  <si>
    <t xml:space="preserve">ET'S STANDARD PRICE LIST </t>
  </si>
  <si>
    <t>LCH-DNR</t>
  </si>
  <si>
    <t>CYCLE ONE</t>
  </si>
  <si>
    <t>CYCLE TWO</t>
  </si>
  <si>
    <t>CYCLE THREE</t>
  </si>
  <si>
    <t>%AGE</t>
  </si>
  <si>
    <t>Each Item PRICE /local Currency</t>
  </si>
  <si>
    <t>Price per pax by LOCAL CURRENCY</t>
  </si>
  <si>
    <t>%age</t>
  </si>
  <si>
    <t xml:space="preserve"> CYC 1 BC LCH/DNR </t>
  </si>
  <si>
    <t>Appetizer Non-Veg</t>
  </si>
  <si>
    <t>Appetizer Veg</t>
  </si>
  <si>
    <t>Butter portion</t>
  </si>
  <si>
    <t>Salad &amp; Salad dressing</t>
  </si>
  <si>
    <t xml:space="preserve">Entrée </t>
  </si>
  <si>
    <t>Fish</t>
  </si>
  <si>
    <t xml:space="preserve">Choice #1 </t>
  </si>
  <si>
    <t>Beef</t>
  </si>
  <si>
    <t xml:space="preserve">Choice #2 </t>
  </si>
  <si>
    <t>Chicken</t>
  </si>
  <si>
    <t xml:space="preserve">Choice #3 </t>
  </si>
  <si>
    <t>veg</t>
  </si>
  <si>
    <t xml:space="preserve">Choice #4 </t>
  </si>
  <si>
    <t xml:space="preserve">Dessert #1 </t>
  </si>
  <si>
    <t xml:space="preserve">Dessert #2 </t>
  </si>
  <si>
    <t>Bakery Selection</t>
  </si>
  <si>
    <t>BC LCH/DNR  Price per passenger  Total</t>
  </si>
  <si>
    <t xml:space="preserve"> (BULK ITEM)</t>
  </si>
  <si>
    <t>Fruit Platter (STD ) =18 pieces</t>
  </si>
  <si>
    <t xml:space="preserve"> (STD ) =18 pieces</t>
  </si>
  <si>
    <t>1L Fresh OJ (1-8)</t>
  </si>
  <si>
    <t>1std=2LT</t>
  </si>
  <si>
    <t xml:space="preserve">Garlic Bread 1 OF 10 PCS
</t>
  </si>
  <si>
    <t>1std= 10 PCS</t>
  </si>
  <si>
    <t>FRESH MILK</t>
  </si>
  <si>
    <t>1std= 2LT</t>
  </si>
  <si>
    <t>CONDIMENTS AND CHOCOLATE</t>
  </si>
  <si>
    <t>STD</t>
  </si>
  <si>
    <t>Cheese Tray</t>
  </si>
  <si>
    <t>1std=16pax</t>
  </si>
  <si>
    <t xml:space="preserve"> CYC 1 EY  LCH/DNR</t>
  </si>
  <si>
    <t>Salad and salad dressing</t>
  </si>
  <si>
    <t>3 pcs</t>
  </si>
  <si>
    <t xml:space="preserve">Dessert </t>
  </si>
  <si>
    <t>WHITE BREAD ROLLS</t>
  </si>
  <si>
    <t>BUTER PORTION</t>
  </si>
  <si>
    <t>CHEESE PORTION</t>
  </si>
  <si>
    <t>CRAKERS PORTION</t>
  </si>
  <si>
    <t>EY LCH/DNR Price per passenger  Total</t>
  </si>
  <si>
    <t>Item for All Cycles</t>
  </si>
  <si>
    <t>Ice Cube</t>
  </si>
  <si>
    <t>5 KG</t>
  </si>
  <si>
    <t>Lemon Slices</t>
  </si>
  <si>
    <t>8 Slice</t>
  </si>
  <si>
    <t>Milk</t>
  </si>
  <si>
    <t>3 Ltr</t>
  </si>
  <si>
    <t>Standard Uplift Total Price</t>
  </si>
  <si>
    <t>ALL IATA BC SPML (NO KSML) : LCH/DNR</t>
  </si>
  <si>
    <t>ALL IATA EY  SPML (NO KSML) LCH/DNR</t>
  </si>
  <si>
    <t>ALL IATA EY  SPML (NO KSML)</t>
  </si>
  <si>
    <t>Handling charges Per A/C - Turnaround 1 trip - B737</t>
  </si>
  <si>
    <t xml:space="preserve">B737 </t>
  </si>
  <si>
    <t>Handling charges Per A/C - Turnaround 1 trip - B757</t>
  </si>
  <si>
    <t>B757</t>
  </si>
  <si>
    <t>Handling charges Per A/C - Turnaround 1 trip - B767</t>
  </si>
  <si>
    <t>B767</t>
  </si>
  <si>
    <t>Handling charges Per A/C - Turnaround 1 trip - B777</t>
  </si>
  <si>
    <t>B777</t>
  </si>
  <si>
    <t>B787</t>
  </si>
  <si>
    <t>Handling charges Per A/C - Turnaround 1 trip - A350</t>
  </si>
  <si>
    <t>A350</t>
  </si>
  <si>
    <t>Custom Clearance Chrg</t>
  </si>
  <si>
    <t>LAUNDARY CHARGES</t>
  </si>
  <si>
    <t>Linen Napkin (Laundry Items are charged per KG</t>
  </si>
  <si>
    <t>1 kg</t>
  </si>
  <si>
    <t>FBF</t>
  </si>
  <si>
    <t>1L Fresh OJ  2 LT</t>
  </si>
  <si>
    <t>Bulk</t>
  </si>
  <si>
    <t>Fresh Milk 2LT</t>
  </si>
  <si>
    <t xml:space="preserve"> </t>
  </si>
  <si>
    <t>Fresh fruit salad</t>
  </si>
  <si>
    <t>Yogurt</t>
  </si>
  <si>
    <t>Cereal</t>
  </si>
  <si>
    <t>Honey portion</t>
  </si>
  <si>
    <t>Jam portion</t>
  </si>
  <si>
    <t xml:space="preserve">main dish one </t>
  </si>
  <si>
    <t>main dish two</t>
  </si>
  <si>
    <t>main dish three</t>
  </si>
  <si>
    <t>BAKERY SELECTION  ONE</t>
  </si>
  <si>
    <t>BAKERY SELECTION TWO</t>
  </si>
  <si>
    <t>BC HBF Price per passenger  Total</t>
  </si>
  <si>
    <t xml:space="preserve">Fresh fruit salad </t>
  </si>
  <si>
    <t>main dish one</t>
  </si>
  <si>
    <t>main dish four</t>
  </si>
  <si>
    <t>3pcs</t>
  </si>
  <si>
    <t>CROISSANT</t>
  </si>
  <si>
    <t>RYE BREAD ROLL</t>
  </si>
  <si>
    <t>BUTTER PORTION</t>
  </si>
  <si>
    <t>JAM PORTION</t>
  </si>
  <si>
    <t>EY HBF Price per passenger  Total</t>
  </si>
  <si>
    <t xml:space="preserve">HOT Canape and Sandwich for All Cycle </t>
  </si>
  <si>
    <t xml:space="preserve">DESCRIPTION </t>
  </si>
  <si>
    <t>HSN</t>
  </si>
  <si>
    <t>CYC 1 BC HCP</t>
  </si>
  <si>
    <t>B/C</t>
  </si>
  <si>
    <t>HCP NON-VEG</t>
  </si>
  <si>
    <t>HCP VEG</t>
  </si>
  <si>
    <t>BC HCP Per passenger Charge Total</t>
  </si>
  <si>
    <t>Y/C</t>
  </si>
  <si>
    <t>Sandwich NON-VEG</t>
  </si>
  <si>
    <t>Sandwich VEG</t>
  </si>
  <si>
    <t>EY SWH Per passenger Charge Total</t>
  </si>
  <si>
    <t xml:space="preserve">ET's STANDARD PRICE LIST </t>
  </si>
  <si>
    <t>Part # &amp; Detail</t>
  </si>
  <si>
    <t>PART NUMBER</t>
  </si>
  <si>
    <t>DETAILS</t>
  </si>
  <si>
    <t>UNIT EACH</t>
  </si>
  <si>
    <t>Price/Local Currency</t>
  </si>
  <si>
    <t>Coke 355mL</t>
  </si>
  <si>
    <t>EA</t>
  </si>
  <si>
    <t>Sprite 355mL</t>
  </si>
  <si>
    <t>Mineral Water  330mL</t>
  </si>
  <si>
    <t>Mineral Water  1.5L</t>
  </si>
  <si>
    <t xml:space="preserve">Milk Fresh 2% 1L </t>
  </si>
  <si>
    <t>Half Cream Fresh 1L</t>
  </si>
  <si>
    <t>Juice Pineapple 1L</t>
  </si>
  <si>
    <t>Juice  Orange  1L</t>
  </si>
  <si>
    <t>Juice  Apple  1L</t>
  </si>
  <si>
    <t>Juice Tomato 1L</t>
  </si>
  <si>
    <t>Salt &amp; Pepper Sachet</t>
  </si>
  <si>
    <t>Sugar Sachet Brown</t>
  </si>
  <si>
    <t>Sweetener Sachet</t>
  </si>
  <si>
    <t>Coffee Nescafe 250ml</t>
  </si>
  <si>
    <t>BTL</t>
  </si>
  <si>
    <t>Instant Coffee Sachet 1.8g</t>
  </si>
  <si>
    <t xml:space="preserve">Tea Sachet - Lipton </t>
  </si>
  <si>
    <t>Cream Crackers</t>
  </si>
  <si>
    <t xml:space="preserve">Biscuits/Cookies </t>
  </si>
  <si>
    <t>Baby food 250g in jar</t>
  </si>
  <si>
    <t>Mixed Nuts 184g</t>
  </si>
  <si>
    <t>Hot Sauce (Tobasco) 60mL</t>
  </si>
  <si>
    <t xml:space="preserve">Foil Dish YC </t>
  </si>
  <si>
    <t xml:space="preserve">Foil Dish Lid YC </t>
  </si>
  <si>
    <t>Cutlery 9 in 1</t>
  </si>
  <si>
    <t>Refresher Towel</t>
  </si>
  <si>
    <t>Security Trolley Seals</t>
  </si>
  <si>
    <t>Lemon Sliced in disposable bowl</t>
  </si>
  <si>
    <t>Disposable bowl</t>
  </si>
  <si>
    <t>Disposable paper cup</t>
  </si>
  <si>
    <t xml:space="preserve">Disposable Lunch Box </t>
  </si>
  <si>
    <t>Disposable plastic Glass</t>
  </si>
  <si>
    <t>Facial Tissue Box</t>
  </si>
  <si>
    <t>Xtra</t>
  </si>
  <si>
    <t>Champagne</t>
  </si>
  <si>
    <t>Mix Fruit</t>
  </si>
  <si>
    <t>*** NOTE; all the price should be inclusive of all taxes and Airport fees.</t>
  </si>
  <si>
    <t>DONOTIMPORT</t>
  </si>
  <si>
    <t>INVOICE_NO</t>
  </si>
  <si>
    <t>PO_NO</t>
  </si>
  <si>
    <t>CUSTOMER_ID</t>
  </si>
  <si>
    <t>CREATED_DATE</t>
  </si>
  <si>
    <t>TERM_NAME</t>
  </si>
  <si>
    <t>LINE_NO</t>
  </si>
  <si>
    <t>MEMO</t>
  </si>
  <si>
    <t>ACCT_NO</t>
  </si>
  <si>
    <t>LOCATION_ID</t>
  </si>
  <si>
    <t>DEPT_ID</t>
  </si>
  <si>
    <t>ACTION</t>
  </si>
  <si>
    <t>ARINVOICEITEM_CUSTOMERID</t>
  </si>
  <si>
    <t>Billing Statement</t>
  </si>
  <si>
    <t>#
Any row which starts with a # will be ignored during import</t>
  </si>
  <si>
    <t xml:space="preserve">Field Name:INVOICE_NO
UI Field Name: Invoice Number  
Type: Alphanumeric
Length: 45
Default Value: None
Valid Values: Alphanumeric
Dependencies: None
Required: No
Editable: Yes
</t>
  </si>
  <si>
    <t xml:space="preserve">Field Name: PO_NO
UI Field Name: Reference Number  
Type: Alphanumeric
Length: 100
Default Value: None
Valid Values: Alphanumeric 
Dependencies: None
Required: No
Editable: Yes
</t>
  </si>
  <si>
    <t xml:space="preserve">Field Name: CUSTOMER_ID
UI Field Name: Customer  
Type: Alphanumeric
Length: 21
Default Value: None
Valid Values: Alphanumeric 
Dependencies: Should already exist
Required: Yes
Editable: No
</t>
  </si>
  <si>
    <t xml:space="preserve">Field Name: CREATED_DATE
UI Field Name: Date  
Type: Dater
Length: 
Default Value: None
Valid Values: Date
Dependencies: None
Required: Yes
Editable: No
</t>
  </si>
  <si>
    <t xml:space="preserve">Field Name:TERM_NAME
UI Field Name: Term  
Type: Alphanumeric
Length: 40
Default Value: None
Valid Values: Alphanumeric 
Dependencies: Should already exist
Required: No
Editable: No
</t>
  </si>
  <si>
    <t xml:space="preserve">Field Name: DESCRIPTION
UI Field Name: Description  
Type: Alphanumeric
Length: 1000
Default Value: None
Valid Values: Alphanumeric 
Dependencies: None
Required: No
Editable: No
</t>
  </si>
  <si>
    <t xml:space="preserve">Field Name: LINE_NO
UI Field Name: 
Type: Number
Length: 
Default Value: None
Valid Values:Number
Dependencies: None
Required: Yes
Editable: No
</t>
  </si>
  <si>
    <t xml:space="preserve">Field Name: MEMO
UI Field Name: Memo  
Type: 
Length:
Default Value: None
Valid Values: 
Dependencies: None
Required: No
Editable: No
</t>
  </si>
  <si>
    <t xml:space="preserve">Field Name: ACCT_NO
UI Field Name: 
Type: Alphanumeric
Length: 24
Default Value:
Valid Values: Alphanumeric 
Dependencies: Should already exist
Required: Yes
Editable: No
</t>
  </si>
  <si>
    <t xml:space="preserve">Field Name: LOCATION_ID
UI Field Name: Location
Type: Character 
Length: 20
Default Value: None
Valid Values: An existing valid location
Dependencies: None, except in shared multi-entity companies with multiple base currencies, the LOCATION_ID must use the same currency as the BASECURR field.
Required: No
Editable: Yes, if the bill is not partially paid or paid
Notes: In shared multi-entity companies with multiple base currencies, LOCATION_ID must be in an entity that uses the same base currency as BASECURR.
</t>
  </si>
  <si>
    <t xml:space="preserve">Field Name: DEPT_ID
UI Field Name: Department  
Type: Alphanumeric
Length: 20
Default Value: None
Valid Values: Alphanumeric 
Dependencies: None
Required: No
Editable: No
</t>
  </si>
  <si>
    <t xml:space="preserve">Field Name: AMOUNT
UI Field Name: Amount  
Type: Number
Length: 
Default Value: None
Valid Values:
Dependencies: None
Required: Yes
Editable: No
</t>
  </si>
  <si>
    <t>Field Name: ACTION
UI Field Name: Transaction Status
Type: Character
Default Value: Submit
Valid Values:  Draft, Submit
Dependencies: None
Required: No
Editable: No</t>
  </si>
  <si>
    <t>UI field name: Customer_x000D_
Type: Character_x000D_
Max length: 20_x000D_
Default value: None_x000D_
Dependencies: A valid customer_x000D_
Required: No_x000D_
Editable: No</t>
  </si>
  <si>
    <t>Service Date</t>
  </si>
  <si>
    <t>Service Type</t>
  </si>
  <si>
    <t>Total</t>
  </si>
  <si>
    <r>
      <t>Gena Fasting Season will</t>
    </r>
    <r>
      <rPr>
        <sz val="12"/>
        <color theme="1"/>
        <rFont val="Calibri"/>
        <family val="2"/>
        <scheme val="minor"/>
      </rPr>
      <t xml:space="preserve"> be starting from </t>
    </r>
    <r>
      <rPr>
        <sz val="12"/>
        <color rgb="FF000000"/>
        <rFont val="Bookman Old Style"/>
        <family val="1"/>
      </rPr>
      <t>24Nov till to 6 JAN 2025.</t>
    </r>
  </si>
  <si>
    <t>Therefore, we kindly request you to serve the usual fasting meals based on the below information.</t>
  </si>
  <si>
    <t>   </t>
  </si>
  <si>
    <r>
      <t xml:space="preserve">v </t>
    </r>
    <r>
      <rPr>
        <sz val="12"/>
        <color theme="1"/>
        <rFont val="Calibri"/>
        <family val="2"/>
        <scheme val="minor"/>
      </rPr>
      <t> The vegetable should be free from any animal product.</t>
    </r>
  </si>
  <si>
    <r>
      <t xml:space="preserve">v </t>
    </r>
    <r>
      <rPr>
        <sz val="12"/>
        <color theme="1"/>
        <rFont val="Calibri"/>
        <family val="2"/>
        <scheme val="minor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</si>
  <si>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Calibri"/>
        <family val="2"/>
        <scheme val="minor"/>
      </rPr>
      <t> Salad shall be of non-meat and dairy products as per the ratio.</t>
    </r>
  </si>
  <si>
    <r>
      <t xml:space="preserve">v </t>
    </r>
    <r>
      <rPr>
        <sz val="12"/>
        <color theme="1"/>
        <rFont val="Calibri"/>
        <family val="2"/>
        <scheme val="minor"/>
      </rPr>
      <t xml:space="preserve"> Regarding passengers fasting meal of both class (BC &amp; EY), please load the meal choices of Veg on the menu </t>
    </r>
    <r>
      <rPr>
        <sz val="12"/>
        <color rgb="FF000000"/>
        <rFont val="Calibri"/>
        <family val="2"/>
        <scheme val="minor"/>
      </rPr>
      <t>10 % without adding any animal products</t>
    </r>
    <r>
      <rPr>
        <sz val="12"/>
        <color theme="1"/>
        <rFont val="Calibri"/>
        <family val="2"/>
        <scheme val="minor"/>
      </rPr>
      <t>.</t>
    </r>
  </si>
  <si>
    <t>In Addition to these, please load extra pasta &amp; veg based on A/C type.</t>
  </si>
  <si>
    <r>
      <t>In the meantime, kindly record the loaded extra pasta &amp; veg to the delivery note</t>
    </r>
    <r>
      <rPr>
        <sz val="12"/>
        <color theme="1"/>
        <rFont val="Calibri"/>
        <family val="2"/>
        <scheme val="minor"/>
      </rPr>
      <t xml:space="preserve">. </t>
    </r>
  </si>
  <si>
    <t xml:space="preserve">EXTRA PASTA &amp; Veg IN BULK </t>
  </si>
  <si>
    <t>Aircraft Type</t>
  </si>
  <si>
    <t>Quantity loaded with large Aluminum  Foils</t>
  </si>
  <si>
    <t>2 big foil each that is (2 pasta with tomato and 2 veg)</t>
  </si>
  <si>
    <t>777-200</t>
  </si>
  <si>
    <t>3 big foil each that is (3 pasta with tomato and 3 veg)</t>
  </si>
  <si>
    <t>777-300</t>
  </si>
  <si>
    <r>
      <t> </t>
    </r>
    <r>
      <rPr>
        <sz val="11"/>
        <color theme="1"/>
        <rFont val="Tahoma"/>
        <family val="2"/>
      </rPr>
      <t xml:space="preserve"> </t>
    </r>
  </si>
  <si>
    <r>
      <t xml:space="preserve">Percentage of </t>
    </r>
    <r>
      <rPr>
        <b/>
        <sz val="14"/>
        <color theme="1"/>
        <rFont val="Verdana"/>
        <family val="2"/>
      </rPr>
      <t xml:space="preserve">Filesta </t>
    </r>
    <r>
      <rPr>
        <b/>
        <sz val="14"/>
        <color rgb="FF000000"/>
        <rFont val="Verdana"/>
        <family val="2"/>
      </rPr>
      <t>Fasting season meal loading ratio FOR CREWS</t>
    </r>
  </si>
  <si>
    <t>AIRCRAFT TYPE</t>
  </si>
  <si>
    <t>NO. OF COCKPIT CREW</t>
  </si>
  <si>
    <t>COCKPIT CREW FASTING VEG</t>
  </si>
  <si>
    <t>COCKPIT CREW FASTING FISH</t>
  </si>
  <si>
    <t>COCKPIT CREW NON FASTING MEAL</t>
  </si>
  <si>
    <t>NO.  OF CABIN CREW</t>
  </si>
  <si>
    <t>CABIN CREW FASTING VEG</t>
  </si>
  <si>
    <t>CABIN CREW FASTING FISH</t>
  </si>
  <si>
    <t>TOTAL NO. OF MEAL</t>
  </si>
  <si>
    <t xml:space="preserve">777-300/200 </t>
  </si>
  <si>
    <t>777-300/201</t>
  </si>
  <si>
    <t>Toilet Paper</t>
  </si>
  <si>
    <t>01 KSML, 01 VGML, 02 ALML</t>
  </si>
  <si>
    <t>3013550-Cake</t>
  </si>
  <si>
    <t>3013551-Champagne</t>
  </si>
  <si>
    <t>00 AVML</t>
  </si>
  <si>
    <t>00 DBML</t>
  </si>
  <si>
    <t xml:space="preserve">Date amendment , that is </t>
  </si>
  <si>
    <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</t>
    </r>
  </si>
  <si>
    <r>
      <t>From:</t>
    </r>
    <r>
      <rPr>
        <sz val="11"/>
        <color theme="1"/>
        <rFont val="Calibri"/>
        <family val="2"/>
      </rPr>
      <t xml:space="preserve"> Barnabas Worku</t>
    </r>
  </si>
  <si>
    <r>
      <t>Sent:</t>
    </r>
    <r>
      <rPr>
        <sz val="11"/>
        <color theme="1"/>
        <rFont val="Calibri"/>
        <family val="2"/>
      </rPr>
      <t xml:space="preserve"> Wednesday, July 23, 2025 4:11 PM</t>
    </r>
  </si>
  <si>
    <r>
      <t>Cc:</t>
    </r>
    <r>
      <rPr>
        <sz val="11"/>
        <color theme="1"/>
        <rFont val="Calibri"/>
        <family val="2"/>
      </rPr>
      <t xml:space="preserve"> catering sales &amp; Route catering &lt;CateringsalesRouteCatering@ethiopianairlines.com&gt;; Yonas Negussie (Mr.) &lt;YonasN@ethiopianairlines.com&gt;; Addis Kassa (Mrs.) &lt;Addisk@ethiopianairlines.com&gt;; Getachew Gebremariam &lt;GetachewG@ethiopianairlines.com&gt;; Solomon Worku &lt;SolomonWr@ethiopianairlines.com&gt;; Yared Abebe &lt;YaredAB@ethiopianairlines.com&gt;; Meron Hassen (Mrs.) &lt;MeronHs@ethiopianairlines.com&gt;; Fasika Berhanu &lt;FasikaB@ethiopianairlines.com&gt;; Fiker Getnet &lt;FikerG@ethiopianairlines.com&gt;; Teshome Gebreselassie (Mr.) &lt;TeshomeGb@ethiopianairlines.com&gt;; Eskedar Tamrat &lt;EskedarT@ethiopianairlines.com&gt;</t>
    </r>
  </si>
  <si>
    <r>
      <t>Subject:</t>
    </r>
    <r>
      <rPr>
        <sz val="11"/>
        <color theme="1"/>
        <rFont val="Calibri"/>
        <family val="2"/>
      </rPr>
      <t xml:space="preserve"> August fasting season Notice</t>
    </r>
  </si>
  <si>
    <t>Dear All</t>
  </si>
  <si>
    <t>Greetings!</t>
  </si>
  <si>
    <r>
      <t>August Fasting Season will</t>
    </r>
    <r>
      <rPr>
        <sz val="12"/>
        <color theme="1"/>
        <rFont val="Aptos"/>
        <family val="2"/>
      </rPr>
      <t xml:space="preserve"> be starting from </t>
    </r>
    <r>
      <rPr>
        <sz val="12"/>
        <color rgb="FF000000"/>
        <rFont val="Bookman Old Style"/>
        <family val="1"/>
      </rP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 </t>
    </r>
  </si>
  <si>
    <t>Therefore, we kindly request you to serve the usual fasting meals based on the below information the same as our previous notice.</t>
  </si>
  <si>
    <r>
      <t xml:space="preserve">v </t>
    </r>
    <r>
      <rPr>
        <sz val="12"/>
        <color theme="1"/>
        <rFont val="Aptos"/>
        <family val="2"/>
      </rPr>
      <t> The vegetable should be free from any animal product.</t>
    </r>
  </si>
  <si>
    <r>
      <t xml:space="preserve">v </t>
    </r>
    <r>
      <rPr>
        <sz val="12"/>
        <color theme="1"/>
        <rFont val="Aptos"/>
        <family val="2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</si>
  <si>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Aptos"/>
        <family val="2"/>
      </rPr>
      <t> Salad shall be of non-meat and dairy products as per the ratio.</t>
    </r>
  </si>
  <si>
    <r>
      <t xml:space="preserve">v </t>
    </r>
    <r>
      <rPr>
        <sz val="12"/>
        <color theme="1"/>
        <rFont val="Aptos"/>
        <family val="2"/>
      </rPr>
      <t xml:space="preserve"> Regarding passengers fasting meal of both class (BC &amp; EY), please load the meal choices of Veg on the menu </t>
    </r>
    <r>
      <rPr>
        <sz val="12"/>
        <color rgb="FF000000"/>
        <rFont val="Aptos"/>
        <family val="2"/>
      </rPr>
      <t>10 % without adding any animal products</t>
    </r>
    <r>
      <rPr>
        <sz val="12"/>
        <color theme="1"/>
        <rFont val="Aptos"/>
        <family val="2"/>
      </rPr>
      <t>.</t>
    </r>
  </si>
  <si>
    <r>
      <t>In the meantime, kindly record the loaded extra pasta &amp; veg to the delivery note</t>
    </r>
    <r>
      <rPr>
        <sz val="12"/>
        <color theme="1"/>
        <rFont val="Aptos"/>
        <family val="2"/>
      </rPr>
      <t xml:space="preserve">. </t>
    </r>
  </si>
  <si>
    <r>
      <t>Percentage of August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000000"/>
        <rFont val="Verdana"/>
        <family val="2"/>
      </rPr>
      <t>Fasting season meal loading ratio FOR CREWS</t>
    </r>
  </si>
  <si>
    <t>Please acknowledge</t>
  </si>
  <si>
    <t>00 VGML</t>
  </si>
  <si>
    <t>00 SFML</t>
  </si>
  <si>
    <t>02 DBML, 03 MOML, 03 AVML, 05 VGML, 07 VLML, 03 SPML</t>
  </si>
  <si>
    <t>01 KSML, 01 AVML</t>
  </si>
  <si>
    <t>01 DBML, 02 CHML, 03 AVML, 01 VGML, 01 VLML, 02 NLML, 02 BBML, 01 FAMF, 01 SFML, 01 HNML</t>
  </si>
  <si>
    <t>03 AVML</t>
  </si>
  <si>
    <t>01 VGML, 02 VLML, 03 MOML, 01 AVML</t>
  </si>
  <si>
    <t>02 KSML, 01 DBML, 01 HNML, 01 AVML, 04 VGML, 01 VLML, 01 NLML, 01 FPML, 03 SFML, 01 LCML</t>
  </si>
  <si>
    <t>Cake Sheet - 1 Full Sheet</t>
  </si>
  <si>
    <t>&lt;-VEG meal price</t>
  </si>
  <si>
    <t>&lt;- CHICKEN meal price</t>
  </si>
  <si>
    <t>ICE CREAM</t>
  </si>
  <si>
    <t>KSML BC LCH/DNR</t>
  </si>
  <si>
    <t>KSML EY  LCH/DNR</t>
  </si>
  <si>
    <t>KSML EY LCH/DNR</t>
  </si>
  <si>
    <t>ALL IATA BC SPML (NO KSML) : HBF</t>
  </si>
  <si>
    <t>ALL IATA BC SPML (NO KSML) HBF</t>
  </si>
  <si>
    <t>ALL IATA EY  SPML (NO KSML) HBF</t>
  </si>
  <si>
    <t>KSML BC HBF</t>
  </si>
  <si>
    <t>KSML EY  HBF</t>
  </si>
  <si>
    <t>KSML EY HBF</t>
  </si>
  <si>
    <t xml:space="preserve">INTERNATIONAL TRASH REMOVAL </t>
  </si>
  <si>
    <t>STD 1 chrage</t>
  </si>
  <si>
    <t>xx</t>
  </si>
  <si>
    <t>02 GFML</t>
  </si>
  <si>
    <t>AVML BBML</t>
  </si>
  <si>
    <t>MOML BBML</t>
  </si>
  <si>
    <t>03 SPML, 01 LCML, 03 AVML, 01 FPML, 03 MOML, 01 DBML, 01 AVML BBML, 01 MOML BBML</t>
  </si>
  <si>
    <t>01 BBML, 07 MOML, 02 CHML, 01 SFML</t>
  </si>
  <si>
    <t>Period Date : 05/22/2026 to 05/31/2026</t>
  </si>
  <si>
    <t>01 CHML, 01 VGML, 01 KIDS</t>
  </si>
  <si>
    <r>
      <t> </t>
    </r>
    <r>
      <rPr>
        <u/>
        <sz val="12"/>
        <color theme="1"/>
        <rFont val="Tahoma"/>
        <family val="2"/>
      </rPr>
      <t>Cycle change/Rotation</t>
    </r>
  </si>
  <si>
    <t>New cycle change from May-2026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</si>
  <si>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</si>
  <si>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</si>
  <si>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</si>
  <si>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</si>
  <si>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</si>
  <si>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</si>
  <si>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</si>
  <si>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</si>
  <si>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</si>
  <si>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</si>
  <si>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</si>
  <si>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</si>
  <si>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8"/>
        <rFont val="Franklin Gothic Book"/>
        <family val="2"/>
      </rPr>
      <t>VIRGIN ATLANTIC
CREW MENU</t>
    </r>
  </si>
  <si>
    <t>CYLCE 2 (2025)</t>
  </si>
  <si>
    <t>CYCLE1</t>
  </si>
  <si>
    <t>CYCLE 2</t>
  </si>
  <si>
    <t>JAN 1 , JAN 8 CHANGES</t>
  </si>
  <si>
    <t>6-May</t>
  </si>
  <si>
    <t>5-Nov</t>
  </si>
  <si>
    <t>Notes:</t>
  </si>
  <si>
    <r>
      <rPr>
        <sz val="18"/>
        <rFont val="Franklin Gothic Book"/>
        <family val="2"/>
      </rPr>
      <t>JAN1 - J/W SANDWICH/YOGURT CHANGE , J CRABCAKE CHANGE, JAN8 - WATER BOTTLES OF TSU
W/Y</t>
    </r>
  </si>
  <si>
    <t>xmas menu 22-26</t>
  </si>
  <si>
    <t>ROTATION 1</t>
  </si>
  <si>
    <t>ROTATION 2</t>
  </si>
  <si>
    <t>4-Feb</t>
  </si>
  <si>
    <t>8/52025</t>
  </si>
  <si>
    <t>4-Nov</t>
  </si>
  <si>
    <r>
      <rPr>
        <sz val="18"/>
        <rFont val="Franklin Gothic Book"/>
        <family val="2"/>
      </rPr>
      <t>STARTERS
/DESSERT J</t>
    </r>
  </si>
  <si>
    <t>CREW MENU 1</t>
  </si>
  <si>
    <t>CREW MENU 2</t>
  </si>
  <si>
    <t>5-Aug</t>
  </si>
  <si>
    <t>ETHIOPAN</t>
  </si>
  <si>
    <t>CYCLE 1</t>
  </si>
  <si>
    <t>CYCLE 3</t>
  </si>
  <si>
    <t>2-Jan</t>
  </si>
  <si>
    <t>1-Mar</t>
  </si>
  <si>
    <t>1-May</t>
  </si>
  <si>
    <t>1-Jul</t>
  </si>
  <si>
    <t>2-Sep</t>
  </si>
  <si>
    <t>1-Nov</t>
  </si>
  <si>
    <t>SCANDINAVIAN</t>
  </si>
  <si>
    <t>CYCLE 1 SPRING</t>
  </si>
  <si>
    <t>1-Feb</t>
  </si>
  <si>
    <t>1-Jun</t>
  </si>
  <si>
    <t>1-Oct</t>
  </si>
  <si>
    <t>AMERICAN AIRLINES - ATL</t>
  </si>
  <si>
    <t>CYCLE 4</t>
  </si>
  <si>
    <t>7-Jan</t>
  </si>
  <si>
    <t>11-Mar</t>
  </si>
  <si>
    <t>8-Apr</t>
  </si>
  <si>
    <t>13-May</t>
  </si>
  <si>
    <t>10-Jun</t>
  </si>
  <si>
    <t>8-Jul</t>
  </si>
  <si>
    <t>12-Aug</t>
  </si>
  <si>
    <t>9-Sep</t>
  </si>
  <si>
    <t>14-Oct</t>
  </si>
  <si>
    <t>11-Nov</t>
  </si>
  <si>
    <t>9-Dec</t>
  </si>
  <si>
    <t>VLML</t>
  </si>
  <si>
    <t>ALL IATA BC SPML (NO KSML) DNR</t>
  </si>
  <si>
    <t>ALL IATA EY SPML (NO KSML) DNR</t>
  </si>
  <si>
    <t>Per Sue, snack was added into Dinner and breakfast prize so don't add the snack in the billing</t>
  </si>
  <si>
    <t>GFML</t>
  </si>
  <si>
    <t>LCML</t>
  </si>
  <si>
    <t>AVML</t>
  </si>
  <si>
    <t>FPML</t>
  </si>
  <si>
    <t>MOML</t>
  </si>
  <si>
    <t>DBML</t>
  </si>
  <si>
    <t>1st SVC/leg</t>
  </si>
  <si>
    <t>2nd SVC/ leg</t>
  </si>
  <si>
    <t xml:space="preserve">3rd SVC/leg </t>
  </si>
  <si>
    <t>01 LFML  02 VLML, 01 SFML, 01 VGML, 03 AVML, 03 FPML, 01 KSML, 01 HNML, 01 CHML, 01 GFML</t>
  </si>
  <si>
    <t>According to the contract , EY total 135 and (-10) complimetary but no Special meal added</t>
  </si>
  <si>
    <t>According to the contract , BC total 35 and (-3) complimetary but no Special meal added</t>
  </si>
  <si>
    <t>01 AVML</t>
  </si>
  <si>
    <t>01 MOML , 02 CHML</t>
  </si>
  <si>
    <t>KSML HBF</t>
  </si>
  <si>
    <t>Ok – Lots of corrections below,</t>
  </si>
  <si>
    <t>Standard uplift should be = 1 so we charge for it</t>
  </si>
  <si>
    <t>Laundry we have it set to = 0.5 so we charge for it</t>
  </si>
  <si>
    <t>Handling charges &amp; Extra Van should be = 1 – Handling Charge ALWAYS should be included, Van charge always unless indicated otherwise by ops</t>
  </si>
  <si>
    <t>Also, Custom Clearance Charge should = 0, $0 – I was charging this in error.  Will only be charged in the rare case that we need Custom Clearance Services</t>
  </si>
  <si>
    <t>BC Counts were wrong based on the delivery note.</t>
  </si>
  <si>
    <t>BC should be 30 total (on the left matrix, not including SPML none in this case)</t>
  </si>
  <si>
    <t>Based on delivery note was 30 BC total, not 34</t>
  </si>
  <si>
    <t>Dry goods …</t>
  </si>
  <si>
    <t>Before – your input</t>
  </si>
  <si>
    <t>X</t>
  </si>
  <si>
    <r>
      <t>After Corrections</t>
    </r>
    <r>
      <rPr>
        <sz val="11"/>
        <color theme="1"/>
        <rFont val="Calibri"/>
        <family val="2"/>
        <scheme val="minor"/>
      </rPr>
      <t xml:space="preserve"> – Not sure how you came up with your numbers/quantities but they were NOT matching the delivery note</t>
    </r>
  </si>
  <si>
    <t>Your counts were not correct – already adjusted</t>
  </si>
  <si>
    <t>You had items like Soda water, Tonic Water, Ginger Ale that are not in the delivery note (not requested), should not be included</t>
  </si>
  <si>
    <t>The items not needed I removed them</t>
  </si>
  <si>
    <r>
      <t>Note:</t>
    </r>
    <r>
      <rPr>
        <sz val="11"/>
        <color theme="1"/>
        <rFont val="Calibri"/>
        <family val="2"/>
        <scheme val="minor"/>
      </rPr>
      <t xml:space="preserve"> the Bulk items are only for a period of time (fasting), I see that hey are not in the delivery note (should be), in this case I would check with Ops/Mohamed to make sure we do need to bill for this… or not. </t>
    </r>
  </si>
  <si>
    <t>Same for the “Fasting Meals (4 /20) they will go away I think mid to late JUL – Check with Mohamed please</t>
  </si>
  <si>
    <t>Let me know if the above makes sense, I will be in Marietta on WED if anything.</t>
  </si>
  <si>
    <t>OJ – In this case what I did is add the two numbers.  Remember that the OJ is a little tricky because</t>
  </si>
  <si>
    <t>The delivery note unfortunately is a little open to interpretations.</t>
  </si>
  <si>
    <t>Related to OJ, if you remember the “standard bulk” portion is supposed to be 2LT, but per ops they actually put 3LT in general so I always have 1LT as part of the Dry Items.</t>
  </si>
  <si>
    <t>In this case, I am interpreting that they add 2 + 6 in addition to the bulk count so that is where I get the 8, makes sense?</t>
  </si>
  <si>
    <t>On the sheet, I had the invoice OJ on the bulk section linked to the delivery note sheet, perhaps that is not correct and it should be set to 1 (3LT always on, 2LT bulk plus 1 extra)  </t>
  </si>
  <si>
    <t>Hello Mohamed,</t>
  </si>
  <si>
    <t>Per our phone conversation on Thursday evening, regarding the Fruit Platter that we need to charges them, see below the calculation on the attached Delivery note.</t>
  </si>
  <si>
    <t>Fruit Platters 15.00 (15/3x16.61=83.05 which we need to charge them correct please confirm that way I can change all sept calculation.</t>
  </si>
  <si>
    <t>Date issued: June-18, 2025, for service invoices from May-22 to May-31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</si>
</sst>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;\-&quot;$&quot;#,##0.00"/>
    <numFmt numFmtId="166" formatCode="&quot;$&quot;#,##0.00"/>
    <numFmt numFmtId="167" formatCode="mm/dd/yy"/>
    <numFmt numFmtId="168" formatCode="_([$USD]\ * #,##0.00_);_([$USD]\ * \(#,##0.00\);_([$USD]\ * &quot;-&quot;??_);_(@_)"/>
    <numFmt numFmtId="169" formatCode="[$-409]d\-mmm\-yyyy;@"/>
    <numFmt numFmtId="170" formatCode="_(* #,##0_);_(* \(#,##0\);_(* &quot;-&quot;??_);_(@_)"/>
    <numFmt numFmtId="171" formatCode="[$-F800]ddd\ \-\ mm/dd/yy"/>
    <numFmt numFmtId="172" formatCode="0.0000"/>
  </numFmts>
  <fonts count="9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24"/>
      <color theme="1" tint="4.9989318521683403E-2"/>
      <name val="Century Gothic"/>
      <family val="2"/>
    </font>
    <font>
      <sz val="11"/>
      <color theme="1" tint="4.9989318521683403E-2"/>
      <name val="Century Gothic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2060"/>
      <name val="Century Gothic"/>
      <family val="2"/>
    </font>
    <font>
      <sz val="12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theme="7" tint="-0.499984740745262"/>
      <name val="Century Gothic"/>
      <family val="2"/>
    </font>
    <font>
      <b/>
      <sz val="18"/>
      <color theme="1" tint="4.9989318521683403E-2"/>
      <name val="Century Gothic"/>
      <family val="2"/>
    </font>
    <font>
      <b/>
      <sz val="10"/>
      <color theme="7" tint="-0.49998474074526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rgb="FFFF0000"/>
      <name val="Century Gothic"/>
      <family val="2"/>
    </font>
    <font>
      <sz val="12"/>
      <color theme="1" tint="4.9989318521683403E-2"/>
      <name val="Century Gothic"/>
      <family val="2"/>
    </font>
    <font>
      <b/>
      <sz val="12"/>
      <color rgb="FFFF0000"/>
      <name val="Century Gothic"/>
      <family val="2"/>
    </font>
    <font>
      <sz val="8"/>
      <color theme="7" tint="-0.499984740745262"/>
      <name val="Century Gothic"/>
      <family val="2"/>
    </font>
    <font>
      <sz val="12"/>
      <color theme="7" tint="-0.499984740745262"/>
      <name val="Century Gothic"/>
      <family val="2"/>
    </font>
    <font>
      <b/>
      <sz val="12"/>
      <color theme="1" tint="4.9989318521683403E-2"/>
      <name val="Century Gothic"/>
      <family val="2"/>
    </font>
    <font>
      <sz val="12"/>
      <color theme="1"/>
      <name val="Century Gothic"/>
      <family val="2"/>
    </font>
    <font>
      <sz val="10"/>
      <color theme="7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4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theme="0"/>
      <name val="Century Gothic"/>
      <family val="2"/>
    </font>
    <font>
      <b/>
      <sz val="16"/>
      <color theme="1" tint="4.9989318521683403E-2"/>
      <name val="Century Gothic"/>
      <family val="2"/>
    </font>
    <font>
      <b/>
      <sz val="14"/>
      <color theme="1" tint="4.9989318521683403E-2"/>
      <name val="Century Gothic"/>
      <family val="2"/>
    </font>
    <font>
      <b/>
      <sz val="12"/>
      <color theme="7" tint="-0.499984740745262"/>
      <name val="Century Gothic"/>
      <family val="2"/>
    </font>
    <font>
      <sz val="10"/>
      <color theme="1" tint="4.9989318521683403E-2"/>
      <name val="Century Gothic"/>
      <family val="2"/>
    </font>
    <font>
      <b/>
      <sz val="16"/>
      <color theme="7" tint="-0.499984740745262"/>
      <name val="Century Gothic"/>
      <family val="2"/>
    </font>
    <font>
      <b/>
      <sz val="11"/>
      <color rgb="FFC0000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theme="1"/>
      <name val="Wingdings"/>
      <charset val="2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rgb="FF000000"/>
      <name val="Verdana"/>
      <family val="2"/>
    </font>
    <font>
      <b/>
      <sz val="11"/>
      <color theme="1"/>
      <name val="Verdana"/>
      <family val="2"/>
    </font>
    <font>
      <sz val="11"/>
      <color rgb="FF2F2F2F"/>
      <name val="Calibri"/>
      <family val="2"/>
      <scheme val="minor"/>
    </font>
    <font>
      <sz val="11"/>
      <color theme="1"/>
      <name val="Tahom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vertAlign val="superscript"/>
      <sz val="12"/>
      <color rgb="FF000000"/>
      <name val="Bookman Old Style"/>
      <family val="1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rgb="FF2F2F2F"/>
      <name val="Aptos"/>
      <family val="2"/>
    </font>
    <font>
      <b/>
      <sz val="11"/>
      <color rgb="FF000000"/>
      <name val="Aptos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Franklin Gothic Book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8" fillId="0" borderId="0"/>
    <xf numFmtId="0" fontId="56" fillId="0" borderId="0"/>
    <xf numFmtId="0" fontId="57" fillId="0" borderId="0"/>
    <xf numFmtId="0" fontId="94" fillId="0" borderId="0"/>
  </cellStyleXfs>
  <cellXfs count="548">
    <xf numFmtId="0" fontId="0" fillId="0" borderId="0" xfId="0"/>
    <xf numFmtId="3" fontId="2" fillId="0" borderId="0" xfId="0" applyNumberFormat="1" applyFont="1"/>
    <xf numFmtId="3" fontId="1" fillId="0" borderId="4" xfId="0" applyNumberFormat="1" applyFont="1" applyBorder="1"/>
    <xf numFmtId="3" fontId="0" fillId="0" borderId="0" xfId="0" applyNumberFormat="1"/>
    <xf numFmtId="3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/>
    <xf numFmtId="3" fontId="1" fillId="0" borderId="8" xfId="0" applyNumberFormat="1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  <xf numFmtId="44" fontId="1" fillId="0" borderId="4" xfId="1" applyFont="1" applyBorder="1" applyAlignment="1">
      <alignment horizontal="right"/>
    </xf>
    <xf numFmtId="44" fontId="1" fillId="0" borderId="3" xfId="1" applyFont="1" applyBorder="1"/>
    <xf numFmtId="3" fontId="3" fillId="2" borderId="7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0" fontId="16" fillId="0" borderId="0" xfId="0" applyFont="1"/>
    <xf numFmtId="1" fontId="17" fillId="0" borderId="12" xfId="3" applyNumberFormat="1" applyFont="1" applyBorder="1" applyAlignment="1">
      <alignment vertical="center"/>
    </xf>
    <xf numFmtId="0" fontId="19" fillId="0" borderId="28" xfId="4" applyFont="1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vertical="center"/>
    </xf>
    <xf numFmtId="1" fontId="17" fillId="0" borderId="5" xfId="3" applyNumberFormat="1" applyFont="1" applyBorder="1" applyAlignment="1">
      <alignment vertical="center"/>
    </xf>
    <xf numFmtId="0" fontId="19" fillId="0" borderId="29" xfId="4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1" fontId="19" fillId="0" borderId="5" xfId="3" applyNumberFormat="1" applyFont="1" applyBorder="1" applyAlignment="1">
      <alignment vertical="center"/>
    </xf>
    <xf numFmtId="166" fontId="19" fillId="11" borderId="4" xfId="0" applyNumberFormat="1" applyFont="1" applyFill="1" applyBorder="1" applyAlignment="1">
      <alignment vertical="center"/>
    </xf>
    <xf numFmtId="1" fontId="20" fillId="0" borderId="5" xfId="0" applyNumberFormat="1" applyFont="1" applyBorder="1"/>
    <xf numFmtId="0" fontId="20" fillId="0" borderId="29" xfId="0" applyFont="1" applyBorder="1" applyAlignment="1">
      <alignment horizontal="left" vertical="center"/>
    </xf>
    <xf numFmtId="2" fontId="19" fillId="0" borderId="2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66" fontId="16" fillId="0" borderId="0" xfId="0" applyNumberFormat="1" applyFont="1"/>
    <xf numFmtId="0" fontId="21" fillId="0" borderId="0" xfId="0" applyFont="1" applyAlignment="1">
      <alignment horizontal="left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9" fontId="26" fillId="0" borderId="46" xfId="0" applyNumberFormat="1" applyFont="1" applyBorder="1" applyAlignment="1">
      <alignment horizontal="left" vertical="center"/>
    </xf>
    <xf numFmtId="166" fontId="26" fillId="14" borderId="47" xfId="0" applyNumberFormat="1" applyFont="1" applyFill="1" applyBorder="1" applyAlignment="1">
      <alignment horizontal="left" vertical="center"/>
    </xf>
    <xf numFmtId="166" fontId="26" fillId="0" borderId="46" xfId="0" applyNumberFormat="1" applyFont="1" applyBorder="1" applyAlignment="1">
      <alignment horizontal="center" vertical="center"/>
    </xf>
    <xf numFmtId="0" fontId="26" fillId="13" borderId="46" xfId="0" applyFont="1" applyFill="1" applyBorder="1" applyAlignment="1">
      <alignment horizontal="left" vertical="center"/>
    </xf>
    <xf numFmtId="166" fontId="26" fillId="14" borderId="46" xfId="0" applyNumberFormat="1" applyFont="1" applyFill="1" applyBorder="1" applyAlignment="1">
      <alignment horizontal="left" vertical="center"/>
    </xf>
    <xf numFmtId="0" fontId="27" fillId="13" borderId="46" xfId="0" applyFont="1" applyFill="1" applyBorder="1" applyAlignment="1">
      <alignment horizontal="left" vertical="center"/>
    </xf>
    <xf numFmtId="166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9" fontId="26" fillId="0" borderId="49" xfId="0" applyNumberFormat="1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center" vertical="center"/>
    </xf>
    <xf numFmtId="0" fontId="26" fillId="13" borderId="49" xfId="0" applyFont="1" applyFill="1" applyBorder="1" applyAlignment="1">
      <alignment horizontal="left" vertical="center"/>
    </xf>
    <xf numFmtId="166" fontId="26" fillId="14" borderId="49" xfId="0" applyNumberFormat="1" applyFont="1" applyFill="1" applyBorder="1" applyAlignment="1">
      <alignment horizontal="left" vertical="center"/>
    </xf>
    <xf numFmtId="0" fontId="27" fillId="13" borderId="49" xfId="0" applyFont="1" applyFill="1" applyBorder="1" applyAlignment="1">
      <alignment horizontal="left" vertical="center"/>
    </xf>
    <xf numFmtId="166" fontId="26" fillId="0" borderId="50" xfId="0" applyNumberFormat="1" applyFont="1" applyBorder="1" applyAlignment="1">
      <alignment horizontal="center" vertical="center"/>
    </xf>
    <xf numFmtId="43" fontId="28" fillId="0" borderId="45" xfId="2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166" fontId="26" fillId="0" borderId="49" xfId="2" applyNumberFormat="1" applyFont="1" applyBorder="1" applyAlignment="1">
      <alignment horizontal="center" vertical="center"/>
    </xf>
    <xf numFmtId="43" fontId="29" fillId="13" borderId="49" xfId="2" applyFont="1" applyFill="1" applyBorder="1" applyAlignment="1">
      <alignment horizontal="left" vertical="center"/>
    </xf>
    <xf numFmtId="166" fontId="26" fillId="0" borderId="50" xfId="2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166" fontId="30" fillId="0" borderId="49" xfId="0" applyNumberFormat="1" applyFont="1" applyBorder="1" applyAlignment="1">
      <alignment horizontal="left" vertical="center"/>
    </xf>
    <xf numFmtId="43" fontId="28" fillId="0" borderId="45" xfId="2" applyFont="1" applyFill="1" applyBorder="1" applyAlignment="1">
      <alignment horizontal="right" vertical="center"/>
    </xf>
    <xf numFmtId="2" fontId="31" fillId="0" borderId="49" xfId="0" applyNumberFormat="1" applyFont="1" applyBorder="1" applyAlignment="1">
      <alignment horizontal="center" vertical="center"/>
    </xf>
    <xf numFmtId="166" fontId="31" fillId="0" borderId="50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left" vertical="center"/>
    </xf>
    <xf numFmtId="166" fontId="29" fillId="0" borderId="49" xfId="2" applyNumberFormat="1" applyFont="1" applyBorder="1" applyAlignment="1">
      <alignment horizontal="center" vertical="center"/>
    </xf>
    <xf numFmtId="166" fontId="29" fillId="14" borderId="49" xfId="0" applyNumberFormat="1" applyFont="1" applyFill="1" applyBorder="1" applyAlignment="1">
      <alignment horizontal="left" vertical="center"/>
    </xf>
    <xf numFmtId="0" fontId="32" fillId="15" borderId="49" xfId="0" applyFont="1" applyFill="1" applyBorder="1" applyAlignment="1">
      <alignment horizontal="left" vertical="center"/>
    </xf>
    <xf numFmtId="166" fontId="33" fillId="15" borderId="49" xfId="0" applyNumberFormat="1" applyFont="1" applyFill="1" applyBorder="1" applyAlignment="1">
      <alignment horizontal="center" vertical="center"/>
    </xf>
    <xf numFmtId="0" fontId="13" fillId="13" borderId="49" xfId="0" applyFont="1" applyFill="1" applyBorder="1" applyAlignment="1">
      <alignment horizontal="left" vertical="center"/>
    </xf>
    <xf numFmtId="166" fontId="32" fillId="15" borderId="49" xfId="0" applyNumberFormat="1" applyFont="1" applyFill="1" applyBorder="1" applyAlignment="1">
      <alignment horizontal="left" vertical="center"/>
    </xf>
    <xf numFmtId="0" fontId="25" fillId="13" borderId="49" xfId="0" applyFont="1" applyFill="1" applyBorder="1" applyAlignment="1">
      <alignment horizontal="left" vertical="center"/>
    </xf>
    <xf numFmtId="166" fontId="33" fillId="15" borderId="50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166" fontId="26" fillId="0" borderId="49" xfId="2" applyNumberFormat="1" applyFont="1" applyBorder="1" applyAlignment="1">
      <alignment horizontal="right" vertical="center"/>
    </xf>
    <xf numFmtId="0" fontId="21" fillId="0" borderId="49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center" vertical="center"/>
    </xf>
    <xf numFmtId="166" fontId="27" fillId="15" borderId="50" xfId="0" applyNumberFormat="1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7" fillId="13" borderId="49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9" fillId="13" borderId="49" xfId="0" applyFont="1" applyFill="1" applyBorder="1" applyAlignment="1">
      <alignment horizontal="left" vertical="center"/>
    </xf>
    <xf numFmtId="166" fontId="33" fillId="15" borderId="51" xfId="0" applyNumberFormat="1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left" vertical="center"/>
    </xf>
    <xf numFmtId="166" fontId="32" fillId="15" borderId="51" xfId="0" applyNumberFormat="1" applyFont="1" applyFill="1" applyBorder="1" applyAlignment="1">
      <alignment horizontal="left" vertical="center"/>
    </xf>
    <xf numFmtId="0" fontId="25" fillId="13" borderId="51" xfId="0" applyFont="1" applyFill="1" applyBorder="1" applyAlignment="1">
      <alignment horizontal="left" vertical="center"/>
    </xf>
    <xf numFmtId="166" fontId="33" fillId="15" borderId="52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166" fontId="29" fillId="14" borderId="49" xfId="0" applyNumberFormat="1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166" fontId="29" fillId="0" borderId="49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166" fontId="29" fillId="0" borderId="50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166" fontId="27" fillId="15" borderId="50" xfId="0" applyNumberFormat="1" applyFont="1" applyFill="1" applyBorder="1" applyAlignment="1">
      <alignment horizontal="center" vertical="center" wrapText="1"/>
    </xf>
    <xf numFmtId="166" fontId="30" fillId="14" borderId="49" xfId="0" applyNumberFormat="1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66" fontId="37" fillId="0" borderId="5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 wrapText="1"/>
    </xf>
    <xf numFmtId="166" fontId="26" fillId="0" borderId="51" xfId="0" applyNumberFormat="1" applyFont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/>
    </xf>
    <xf numFmtId="0" fontId="13" fillId="18" borderId="46" xfId="0" applyFont="1" applyFill="1" applyBorder="1" applyAlignment="1">
      <alignment horizontal="left" vertical="center"/>
    </xf>
    <xf numFmtId="0" fontId="26" fillId="18" borderId="46" xfId="0" applyFont="1" applyFill="1" applyBorder="1" applyAlignment="1">
      <alignment horizontal="left" vertical="center"/>
    </xf>
    <xf numFmtId="166" fontId="27" fillId="15" borderId="46" xfId="0" applyNumberFormat="1" applyFont="1" applyFill="1" applyBorder="1" applyAlignment="1">
      <alignment horizontal="center" vertical="center"/>
    </xf>
    <xf numFmtId="0" fontId="30" fillId="13" borderId="46" xfId="0" applyFont="1" applyFill="1" applyBorder="1" applyAlignment="1">
      <alignment horizontal="left" vertical="center"/>
    </xf>
    <xf numFmtId="166" fontId="27" fillId="15" borderId="48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13" fillId="18" borderId="47" xfId="0" applyFont="1" applyFill="1" applyBorder="1" applyAlignment="1">
      <alignment horizontal="left" vertical="center"/>
    </xf>
    <xf numFmtId="0" fontId="26" fillId="18" borderId="47" xfId="0" applyFont="1" applyFill="1" applyBorder="1" applyAlignment="1">
      <alignment horizontal="left" vertical="center"/>
    </xf>
    <xf numFmtId="0" fontId="30" fillId="13" borderId="49" xfId="0" applyFont="1" applyFill="1" applyBorder="1" applyAlignment="1">
      <alignment horizontal="left" vertical="center"/>
    </xf>
    <xf numFmtId="166" fontId="13" fillId="18" borderId="47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left" vertical="center"/>
    </xf>
    <xf numFmtId="0" fontId="13" fillId="18" borderId="50" xfId="0" applyFont="1" applyFill="1" applyBorder="1" applyAlignment="1">
      <alignment horizontal="left" vertical="center"/>
    </xf>
    <xf numFmtId="9" fontId="26" fillId="18" borderId="49" xfId="0" applyNumberFormat="1" applyFont="1" applyFill="1" applyBorder="1" applyAlignment="1">
      <alignment horizontal="left" vertical="center"/>
    </xf>
    <xf numFmtId="166" fontId="26" fillId="0" borderId="47" xfId="2" applyNumberFormat="1" applyFont="1" applyBorder="1" applyAlignment="1">
      <alignment horizontal="center" vertical="center"/>
    </xf>
    <xf numFmtId="166" fontId="26" fillId="0" borderId="54" xfId="2" applyNumberFormat="1" applyFont="1" applyBorder="1" applyAlignment="1">
      <alignment horizontal="center" vertical="center"/>
    </xf>
    <xf numFmtId="9" fontId="26" fillId="18" borderId="47" xfId="0" applyNumberFormat="1" applyFont="1" applyFill="1" applyBorder="1" applyAlignment="1">
      <alignment horizontal="left" vertical="center"/>
    </xf>
    <xf numFmtId="166" fontId="26" fillId="0" borderId="47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left" vertical="center"/>
    </xf>
    <xf numFmtId="9" fontId="29" fillId="0" borderId="61" xfId="0" applyNumberFormat="1" applyFont="1" applyBorder="1" applyAlignment="1">
      <alignment horizontal="left" vertical="center"/>
    </xf>
    <xf numFmtId="166" fontId="29" fillId="14" borderId="61" xfId="0" applyNumberFormat="1" applyFont="1" applyFill="1" applyBorder="1" applyAlignment="1">
      <alignment horizontal="left" vertical="center"/>
    </xf>
    <xf numFmtId="0" fontId="41" fillId="15" borderId="49" xfId="0" applyFont="1" applyFill="1" applyBorder="1" applyAlignment="1">
      <alignment horizontal="left" vertical="center"/>
    </xf>
    <xf numFmtId="0" fontId="29" fillId="15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right" vertical="center"/>
    </xf>
    <xf numFmtId="166" fontId="29" fillId="15" borderId="49" xfId="0" applyNumberFormat="1" applyFont="1" applyFill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right" vertical="center"/>
    </xf>
    <xf numFmtId="0" fontId="35" fillId="0" borderId="55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166" fontId="28" fillId="0" borderId="51" xfId="0" applyNumberFormat="1" applyFont="1" applyBorder="1" applyAlignment="1">
      <alignment horizontal="right" vertical="center"/>
    </xf>
    <xf numFmtId="0" fontId="21" fillId="13" borderId="10" xfId="0" applyFont="1" applyFill="1" applyBorder="1" applyAlignment="1">
      <alignment horizontal="left" vertical="center"/>
    </xf>
    <xf numFmtId="0" fontId="23" fillId="13" borderId="10" xfId="0" applyFont="1" applyFill="1" applyBorder="1" applyAlignment="1">
      <alignment horizontal="left" vertical="center"/>
    </xf>
    <xf numFmtId="166" fontId="28" fillId="0" borderId="52" xfId="0" applyNumberFormat="1" applyFont="1" applyBorder="1" applyAlignment="1">
      <alignment horizontal="right" vertical="center"/>
    </xf>
    <xf numFmtId="0" fontId="8" fillId="0" borderId="59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9" fontId="29" fillId="0" borderId="49" xfId="0" applyNumberFormat="1" applyFont="1" applyBorder="1" applyAlignment="1">
      <alignment horizontal="left" vertical="center"/>
    </xf>
    <xf numFmtId="166" fontId="29" fillId="0" borderId="50" xfId="2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166" fontId="29" fillId="18" borderId="50" xfId="2" applyNumberFormat="1" applyFont="1" applyFill="1" applyBorder="1" applyAlignment="1">
      <alignment horizontal="center" vertical="center"/>
    </xf>
    <xf numFmtId="0" fontId="23" fillId="0" borderId="45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43" fillId="0" borderId="56" xfId="0" applyFont="1" applyBorder="1" applyAlignment="1">
      <alignment vertical="center"/>
    </xf>
    <xf numFmtId="0" fontId="23" fillId="0" borderId="58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6" fontId="32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0" fontId="25" fillId="0" borderId="55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9" fillId="0" borderId="47" xfId="0" applyFont="1" applyBorder="1" applyAlignment="1">
      <alignment vertical="center" wrapText="1"/>
    </xf>
    <xf numFmtId="0" fontId="29" fillId="0" borderId="47" xfId="0" applyFont="1" applyBorder="1" applyAlignment="1">
      <alignment horizontal="left" vertical="center" wrapText="1"/>
    </xf>
    <xf numFmtId="166" fontId="29" fillId="14" borderId="47" xfId="0" applyNumberFormat="1" applyFont="1" applyFill="1" applyBorder="1" applyAlignment="1">
      <alignment horizontal="left" vertical="center" wrapText="1"/>
    </xf>
    <xf numFmtId="0" fontId="26" fillId="13" borderId="53" xfId="0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26" fillId="13" borderId="5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44" fillId="6" borderId="4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3" fillId="19" borderId="0" xfId="0" applyFont="1" applyFill="1" applyAlignment="1">
      <alignment horizontal="left" vertical="center"/>
    </xf>
    <xf numFmtId="3" fontId="3" fillId="2" borderId="8" xfId="0" applyNumberFormat="1" applyFont="1" applyFill="1" applyBorder="1" applyAlignment="1">
      <alignment horizontal="left"/>
    </xf>
    <xf numFmtId="44" fontId="1" fillId="0" borderId="3" xfId="1" applyFont="1" applyBorder="1" applyAlignment="1">
      <alignment horizontal="right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8" borderId="0" xfId="0" applyFont="1" applyFill="1" applyAlignment="1">
      <alignment vertical="center"/>
    </xf>
    <xf numFmtId="0" fontId="14" fillId="9" borderId="27" xfId="3" applyFont="1" applyFill="1" applyBorder="1" applyAlignment="1">
      <alignment vertical="center" wrapText="1"/>
    </xf>
    <xf numFmtId="0" fontId="14" fillId="9" borderId="65" xfId="3" applyFont="1" applyFill="1" applyBorder="1" applyAlignment="1">
      <alignment vertical="center" wrapText="1"/>
    </xf>
    <xf numFmtId="166" fontId="15" fillId="10" borderId="66" xfId="3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45" fillId="18" borderId="49" xfId="0" applyFont="1" applyFill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18" borderId="47" xfId="0" applyFont="1" applyFill="1" applyBorder="1" applyAlignment="1">
      <alignment horizontal="left" vertical="center"/>
    </xf>
    <xf numFmtId="0" fontId="36" fillId="18" borderId="4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20" fillId="0" borderId="0" xfId="0" applyFont="1"/>
    <xf numFmtId="0" fontId="20" fillId="6" borderId="29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/>
    </xf>
    <xf numFmtId="0" fontId="46" fillId="21" borderId="0" xfId="0" applyFon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3" fontId="1" fillId="6" borderId="4" xfId="0" applyNumberFormat="1" applyFont="1" applyFill="1" applyBorder="1"/>
    <xf numFmtId="44" fontId="4" fillId="10" borderId="4" xfId="1" applyFont="1" applyFill="1" applyBorder="1" applyAlignment="1"/>
    <xf numFmtId="0" fontId="5" fillId="10" borderId="4" xfId="0" applyFont="1" applyFill="1" applyBorder="1"/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1" fillId="6" borderId="3" xfId="0" applyNumberFormat="1" applyFont="1" applyFill="1" applyBorder="1"/>
    <xf numFmtId="0" fontId="49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3" fontId="52" fillId="0" borderId="0" xfId="0" applyNumberFormat="1" applyFont="1"/>
    <xf numFmtId="3" fontId="53" fillId="0" borderId="0" xfId="0" applyNumberFormat="1" applyFont="1"/>
    <xf numFmtId="44" fontId="54" fillId="0" borderId="0" xfId="1" applyFont="1"/>
    <xf numFmtId="168" fontId="53" fillId="0" borderId="0" xfId="1" applyNumberFormat="1" applyFont="1"/>
    <xf numFmtId="169" fontId="53" fillId="0" borderId="0" xfId="1" applyNumberFormat="1" applyFont="1"/>
    <xf numFmtId="14" fontId="0" fillId="3" borderId="0" xfId="0" applyNumberFormat="1" applyFill="1"/>
    <xf numFmtId="170" fontId="1" fillId="0" borderId="3" xfId="2" applyNumberFormat="1" applyFont="1" applyBorder="1"/>
    <xf numFmtId="170" fontId="1" fillId="0" borderId="4" xfId="2" applyNumberFormat="1" applyFont="1" applyBorder="1"/>
    <xf numFmtId="0" fontId="55" fillId="0" borderId="0" xfId="0" applyFont="1"/>
    <xf numFmtId="0" fontId="3" fillId="0" borderId="0" xfId="5" applyFont="1" applyAlignment="1">
      <alignment horizontal="left" vertical="top"/>
    </xf>
    <xf numFmtId="0" fontId="3" fillId="22" borderId="0" xfId="6" applyFont="1" applyFill="1" applyAlignment="1">
      <alignment horizontal="left" vertical="top"/>
    </xf>
    <xf numFmtId="0" fontId="3" fillId="3" borderId="0" xfId="6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2" fillId="0" borderId="0" xfId="6" applyFont="1" applyAlignment="1">
      <alignment horizontal="left" vertical="top"/>
    </xf>
    <xf numFmtId="0" fontId="58" fillId="0" borderId="0" xfId="6" applyFont="1" applyAlignment="1">
      <alignment horizontal="left" vertical="top"/>
    </xf>
    <xf numFmtId="0" fontId="59" fillId="0" borderId="0" xfId="6" applyFont="1" applyAlignment="1">
      <alignment horizontal="left" vertical="top"/>
    </xf>
    <xf numFmtId="0" fontId="60" fillId="0" borderId="0" xfId="6" applyFont="1" applyAlignment="1">
      <alignment horizontal="left" vertical="top"/>
    </xf>
    <xf numFmtId="0" fontId="61" fillId="0" borderId="0" xfId="6" applyFont="1"/>
    <xf numFmtId="14" fontId="60" fillId="0" borderId="0" xfId="6" applyNumberFormat="1" applyFont="1" applyAlignment="1">
      <alignment horizontal="left" vertical="top"/>
    </xf>
    <xf numFmtId="0" fontId="60" fillId="0" borderId="0" xfId="6" applyFont="1" applyAlignment="1">
      <alignment horizontal="left" vertical="top" wrapText="1"/>
    </xf>
    <xf numFmtId="14" fontId="59" fillId="23" borderId="0" xfId="6" applyNumberFormat="1" applyFont="1" applyFill="1" applyAlignment="1">
      <alignment horizontal="left" vertical="top"/>
    </xf>
    <xf numFmtId="14" fontId="59" fillId="0" borderId="0" xfId="6" applyNumberFormat="1" applyFont="1" applyAlignment="1">
      <alignment horizontal="left" vertical="top"/>
    </xf>
    <xf numFmtId="171" fontId="59" fillId="0" borderId="0" xfId="6" applyNumberFormat="1" applyFont="1" applyAlignment="1">
      <alignment horizontal="left" vertical="top"/>
    </xf>
    <xf numFmtId="44" fontId="59" fillId="0" borderId="0" xfId="1" applyFont="1" applyAlignment="1">
      <alignment horizontal="left" vertical="top"/>
    </xf>
    <xf numFmtId="0" fontId="62" fillId="0" borderId="5" xfId="0" applyFont="1" applyBorder="1"/>
    <xf numFmtId="0" fontId="2" fillId="0" borderId="6" xfId="6" applyFont="1" applyBorder="1" applyAlignment="1">
      <alignment horizontal="left" vertical="top"/>
    </xf>
    <xf numFmtId="0" fontId="2" fillId="0" borderId="7" xfId="6" applyFont="1" applyBorder="1" applyAlignment="1">
      <alignment horizontal="left" vertical="top"/>
    </xf>
    <xf numFmtId="171" fontId="58" fillId="0" borderId="67" xfId="6" applyNumberFormat="1" applyFont="1" applyBorder="1" applyAlignment="1">
      <alignment horizontal="left" vertical="top"/>
    </xf>
    <xf numFmtId="44" fontId="58" fillId="0" borderId="68" xfId="1" applyFont="1" applyBorder="1" applyAlignment="1">
      <alignment horizontal="left" vertical="top"/>
    </xf>
    <xf numFmtId="171" fontId="2" fillId="0" borderId="4" xfId="6" applyNumberFormat="1" applyFont="1" applyBorder="1" applyAlignment="1">
      <alignment horizontal="left" vertical="top"/>
    </xf>
    <xf numFmtId="0" fontId="2" fillId="0" borderId="4" xfId="6" applyFont="1" applyBorder="1" applyAlignment="1">
      <alignment horizontal="left" vertical="top"/>
    </xf>
    <xf numFmtId="44" fontId="2" fillId="0" borderId="4" xfId="1" applyFont="1" applyBorder="1" applyAlignment="1">
      <alignment horizontal="left" vertical="top"/>
    </xf>
    <xf numFmtId="171" fontId="59" fillId="0" borderId="4" xfId="6" applyNumberFormat="1" applyFont="1" applyBorder="1" applyAlignment="1">
      <alignment horizontal="left" vertical="top"/>
    </xf>
    <xf numFmtId="0" fontId="59" fillId="0" borderId="4" xfId="6" applyFont="1" applyBorder="1" applyAlignment="1">
      <alignment horizontal="left" vertical="top"/>
    </xf>
    <xf numFmtId="44" fontId="59" fillId="0" borderId="4" xfId="1" applyFont="1" applyBorder="1" applyAlignment="1">
      <alignment horizontal="left" vertical="top"/>
    </xf>
    <xf numFmtId="171" fontId="58" fillId="0" borderId="0" xfId="6" applyNumberFormat="1" applyFont="1" applyAlignment="1">
      <alignment horizontal="left" vertical="top"/>
    </xf>
    <xf numFmtId="44" fontId="58" fillId="0" borderId="0" xfId="1" applyFont="1" applyBorder="1" applyAlignment="1">
      <alignment horizontal="left" vertical="top"/>
    </xf>
    <xf numFmtId="44" fontId="65" fillId="0" borderId="0" xfId="1" applyFont="1" applyBorder="1" applyAlignment="1">
      <alignment horizontal="left" vertical="top"/>
    </xf>
    <xf numFmtId="0" fontId="4" fillId="4" borderId="4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6" xfId="0" applyFont="1" applyFill="1" applyBorder="1" applyAlignment="1">
      <alignment horizontal="centerContinuous" vertical="center" wrapText="1"/>
    </xf>
    <xf numFmtId="166" fontId="19" fillId="3" borderId="4" xfId="0" applyNumberFormat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55" fillId="0" borderId="0" xfId="0" applyFont="1" applyAlignment="1">
      <alignment vertical="center"/>
    </xf>
    <xf numFmtId="3" fontId="3" fillId="10" borderId="4" xfId="0" applyNumberFormat="1" applyFont="1" applyFill="1" applyBorder="1"/>
    <xf numFmtId="4" fontId="3" fillId="10" borderId="4" xfId="0" applyNumberFormat="1" applyFont="1" applyFill="1" applyBorder="1"/>
    <xf numFmtId="4" fontId="0" fillId="0" borderId="0" xfId="0" applyNumberFormat="1"/>
    <xf numFmtId="14" fontId="0" fillId="0" borderId="0" xfId="0" applyNumberFormat="1"/>
    <xf numFmtId="0" fontId="66" fillId="0" borderId="0" xfId="0" applyFont="1" applyAlignment="1">
      <alignment vertical="center"/>
    </xf>
    <xf numFmtId="0" fontId="66" fillId="3" borderId="0" xfId="0" applyFont="1" applyFill="1" applyAlignment="1">
      <alignment horizontal="left" vertical="center" indent="1"/>
    </xf>
    <xf numFmtId="0" fontId="68" fillId="0" borderId="0" xfId="0" applyFont="1"/>
    <xf numFmtId="44" fontId="64" fillId="0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6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5" fillId="0" borderId="73" xfId="0" applyFont="1" applyBorder="1" applyAlignment="1">
      <alignment horizontal="center" vertical="center"/>
    </xf>
    <xf numFmtId="0" fontId="74" fillId="25" borderId="7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5" fillId="26" borderId="75" xfId="0" applyFont="1" applyFill="1" applyBorder="1" applyAlignment="1">
      <alignment vertical="center"/>
    </xf>
    <xf numFmtId="0" fontId="55" fillId="27" borderId="72" xfId="0" applyFont="1" applyFill="1" applyBorder="1" applyAlignment="1">
      <alignment vertical="center"/>
    </xf>
    <xf numFmtId="0" fontId="55" fillId="26" borderId="73" xfId="0" applyFont="1" applyFill="1" applyBorder="1" applyAlignment="1">
      <alignment vertical="center"/>
    </xf>
    <xf numFmtId="0" fontId="55" fillId="27" borderId="7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80" fillId="28" borderId="77" xfId="0" applyFont="1" applyFill="1" applyBorder="1" applyAlignment="1">
      <alignment vertical="center" wrapText="1"/>
    </xf>
    <xf numFmtId="0" fontId="80" fillId="29" borderId="78" xfId="0" applyFont="1" applyFill="1" applyBorder="1" applyAlignment="1">
      <alignment vertical="center" wrapText="1"/>
    </xf>
    <xf numFmtId="0" fontId="80" fillId="28" borderId="78" xfId="0" applyFont="1" applyFill="1" applyBorder="1" applyAlignment="1">
      <alignment vertical="center" wrapText="1"/>
    </xf>
    <xf numFmtId="0" fontId="80" fillId="28" borderId="74" xfId="0" applyFont="1" applyFill="1" applyBorder="1" applyAlignment="1">
      <alignment vertical="center" wrapText="1"/>
    </xf>
    <xf numFmtId="0" fontId="80" fillId="29" borderId="74" xfId="0" applyFont="1" applyFill="1" applyBorder="1" applyAlignment="1">
      <alignment vertical="center" wrapText="1"/>
    </xf>
    <xf numFmtId="0" fontId="81" fillId="28" borderId="73" xfId="0" applyFont="1" applyFill="1" applyBorder="1" applyAlignment="1">
      <alignment vertical="center"/>
    </xf>
    <xf numFmtId="0" fontId="81" fillId="29" borderId="74" xfId="0" applyFont="1" applyFill="1" applyBorder="1" applyAlignment="1">
      <alignment horizontal="right" vertical="center"/>
    </xf>
    <xf numFmtId="0" fontId="81" fillId="30" borderId="74" xfId="0" applyFont="1" applyFill="1" applyBorder="1" applyAlignment="1">
      <alignment horizontal="right" vertical="center"/>
    </xf>
    <xf numFmtId="0" fontId="80" fillId="31" borderId="74" xfId="0" applyFont="1" applyFill="1" applyBorder="1" applyAlignment="1">
      <alignment horizontal="right" vertical="center"/>
    </xf>
    <xf numFmtId="0" fontId="80" fillId="30" borderId="74" xfId="0" applyFont="1" applyFill="1" applyBorder="1" applyAlignment="1">
      <alignment horizontal="right" vertical="center"/>
    </xf>
    <xf numFmtId="0" fontId="82" fillId="0" borderId="0" xfId="0" applyFont="1"/>
    <xf numFmtId="170" fontId="1" fillId="0" borderId="4" xfId="2" applyNumberFormat="1" applyFont="1" applyFill="1" applyBorder="1"/>
    <xf numFmtId="44" fontId="59" fillId="0" borderId="4" xfId="1" applyFont="1" applyFill="1" applyBorder="1" applyAlignment="1">
      <alignment horizontal="left" vertical="top"/>
    </xf>
    <xf numFmtId="44" fontId="1" fillId="0" borderId="4" xfId="1" applyFont="1" applyFill="1" applyBorder="1" applyAlignment="1">
      <alignment horizontal="right"/>
    </xf>
    <xf numFmtId="44" fontId="1" fillId="0" borderId="3" xfId="1" applyFont="1" applyFill="1" applyBorder="1"/>
    <xf numFmtId="0" fontId="4" fillId="0" borderId="79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28" borderId="77" xfId="0" applyFont="1" applyFill="1" applyBorder="1" applyAlignment="1">
      <alignment vertical="center" wrapText="1"/>
    </xf>
    <xf numFmtId="0" fontId="92" fillId="29" borderId="78" xfId="0" applyFont="1" applyFill="1" applyBorder="1" applyAlignment="1">
      <alignment vertical="center" wrapText="1"/>
    </xf>
    <xf numFmtId="0" fontId="92" fillId="28" borderId="78" xfId="0" applyFont="1" applyFill="1" applyBorder="1" applyAlignment="1">
      <alignment vertical="center" wrapText="1"/>
    </xf>
    <xf numFmtId="0" fontId="92" fillId="28" borderId="74" xfId="0" applyFont="1" applyFill="1" applyBorder="1" applyAlignment="1">
      <alignment vertical="center" wrapText="1"/>
    </xf>
    <xf numFmtId="0" fontId="92" fillId="29" borderId="74" xfId="0" applyFont="1" applyFill="1" applyBorder="1" applyAlignment="1">
      <alignment vertical="center" wrapText="1"/>
    </xf>
    <xf numFmtId="0" fontId="82" fillId="28" borderId="73" xfId="0" applyFont="1" applyFill="1" applyBorder="1" applyAlignment="1">
      <alignment vertical="center"/>
    </xf>
    <xf numFmtId="0" fontId="82" fillId="29" borderId="74" xfId="0" applyFont="1" applyFill="1" applyBorder="1" applyAlignment="1">
      <alignment horizontal="right" vertical="center"/>
    </xf>
    <xf numFmtId="0" fontId="82" fillId="30" borderId="74" xfId="0" applyFont="1" applyFill="1" applyBorder="1" applyAlignment="1">
      <alignment horizontal="right" vertical="center"/>
    </xf>
    <xf numFmtId="0" fontId="92" fillId="31" borderId="74" xfId="0" applyFont="1" applyFill="1" applyBorder="1" applyAlignment="1">
      <alignment horizontal="right" vertical="center"/>
    </xf>
    <xf numFmtId="0" fontId="92" fillId="30" borderId="74" xfId="0" applyFont="1" applyFill="1" applyBorder="1" applyAlignment="1">
      <alignment horizontal="right" vertical="center"/>
    </xf>
    <xf numFmtId="172" fontId="3" fillId="22" borderId="0" xfId="6" applyNumberFormat="1" applyFont="1" applyFill="1"/>
    <xf numFmtId="172" fontId="58" fillId="0" borderId="0" xfId="6" applyNumberFormat="1" applyFont="1"/>
    <xf numFmtId="172" fontId="60" fillId="0" borderId="0" xfId="6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3" borderId="45" xfId="0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93" fillId="0" borderId="0" xfId="0" applyFont="1"/>
    <xf numFmtId="0" fontId="93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6" fontId="16" fillId="3" borderId="0" xfId="0" applyNumberFormat="1" applyFont="1" applyFill="1"/>
    <xf numFmtId="0" fontId="19" fillId="3" borderId="29" xfId="4" applyFont="1" applyFill="1" applyBorder="1" applyAlignment="1">
      <alignment horizontal="left" vertical="center"/>
    </xf>
    <xf numFmtId="44" fontId="1" fillId="3" borderId="4" xfId="1" applyFont="1" applyFill="1" applyBorder="1" applyAlignment="1">
      <alignment horizontal="right"/>
    </xf>
    <xf numFmtId="170" fontId="1" fillId="3" borderId="4" xfId="2" applyNumberFormat="1" applyFont="1" applyFill="1" applyBorder="1"/>
    <xf numFmtId="0" fontId="94" fillId="0" borderId="0" xfId="7" applyAlignment="1">
      <alignment horizontal="left" vertical="top"/>
    </xf>
    <xf numFmtId="0" fontId="95" fillId="0" borderId="80" xfId="7" applyFont="1" applyBorder="1" applyAlignment="1">
      <alignment horizontal="left" vertical="center" wrapText="1"/>
    </xf>
    <xf numFmtId="0" fontId="95" fillId="0" borderId="81" xfId="7" applyFont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wrapText="1"/>
    </xf>
    <xf numFmtId="0" fontId="96" fillId="33" borderId="81" xfId="7" applyFont="1" applyFill="1" applyBorder="1" applyAlignment="1">
      <alignment horizontal="left" wrapText="1"/>
    </xf>
    <xf numFmtId="0" fontId="95" fillId="34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1"/>
    </xf>
    <xf numFmtId="0" fontId="95" fillId="35" borderId="81" xfId="7" applyFont="1" applyFill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vertical="center" wrapText="1" indent="2"/>
    </xf>
    <xf numFmtId="0" fontId="95" fillId="32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center" wrapText="1"/>
    </xf>
    <xf numFmtId="0" fontId="95" fillId="35" borderId="81" xfId="7" applyFont="1" applyFill="1" applyBorder="1" applyAlignment="1">
      <alignment horizontal="center" vertical="top" wrapText="1"/>
    </xf>
    <xf numFmtId="0" fontId="95" fillId="35" borderId="81" xfId="7" applyFont="1" applyFill="1" applyBorder="1" applyAlignment="1">
      <alignment horizontal="left" vertical="top" wrapText="1"/>
    </xf>
    <xf numFmtId="0" fontId="95" fillId="32" borderId="81" xfId="7" applyFont="1" applyFill="1" applyBorder="1" applyAlignment="1">
      <alignment horizontal="left" vertical="top" wrapText="1"/>
    </xf>
    <xf numFmtId="0" fontId="95" fillId="34" borderId="81" xfId="7" applyFont="1" applyFill="1" applyBorder="1" applyAlignment="1">
      <alignment horizontal="left" wrapText="1"/>
    </xf>
    <xf numFmtId="0" fontId="96" fillId="36" borderId="81" xfId="7" applyFont="1" applyFill="1" applyBorder="1" applyAlignment="1">
      <alignment horizontal="left" vertical="top" wrapText="1"/>
    </xf>
    <xf numFmtId="0" fontId="95" fillId="36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2"/>
    </xf>
    <xf numFmtId="0" fontId="95" fillId="37" borderId="81" xfId="7" applyFont="1" applyFill="1" applyBorder="1" applyAlignment="1">
      <alignment horizontal="left" vertical="center" wrapText="1"/>
    </xf>
    <xf numFmtId="0" fontId="96" fillId="38" borderId="81" xfId="7" applyFont="1" applyFill="1" applyBorder="1" applyAlignment="1">
      <alignment horizontal="left" vertical="center" wrapText="1" indent="2"/>
    </xf>
    <xf numFmtId="0" fontId="95" fillId="38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1"/>
    </xf>
    <xf numFmtId="0" fontId="96" fillId="36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top" wrapText="1"/>
    </xf>
    <xf numFmtId="0" fontId="95" fillId="37" borderId="81" xfId="7" applyFont="1" applyFill="1" applyBorder="1" applyAlignment="1">
      <alignment horizontal="left" vertical="top" wrapText="1" indent="1"/>
    </xf>
    <xf numFmtId="0" fontId="96" fillId="39" borderId="81" xfId="7" applyFont="1" applyFill="1" applyBorder="1" applyAlignment="1">
      <alignment horizontal="left" vertical="top" wrapText="1"/>
    </xf>
    <xf numFmtId="0" fontId="95" fillId="39" borderId="81" xfId="7" applyFont="1" applyFill="1" applyBorder="1" applyAlignment="1">
      <alignment horizontal="left" vertical="center" wrapText="1"/>
    </xf>
    <xf numFmtId="0" fontId="96" fillId="40" borderId="81" xfId="7" applyFont="1" applyFill="1" applyBorder="1" applyAlignment="1">
      <alignment horizontal="left" vertical="center" wrapText="1" indent="2"/>
    </xf>
    <xf numFmtId="0" fontId="95" fillId="40" borderId="81" xfId="7" applyFont="1" applyFill="1" applyBorder="1" applyAlignment="1">
      <alignment horizontal="left" vertical="center" wrapText="1"/>
    </xf>
    <xf numFmtId="0" fontId="96" fillId="41" borderId="81" xfId="7" applyFont="1" applyFill="1" applyBorder="1" applyAlignment="1">
      <alignment horizontal="left" vertical="center" wrapText="1" indent="2"/>
    </xf>
    <xf numFmtId="0" fontId="95" fillId="41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left" vertical="center" wrapText="1" indent="2"/>
    </xf>
    <xf numFmtId="0" fontId="95" fillId="42" borderId="81" xfId="7" applyFont="1" applyFill="1" applyBorder="1" applyAlignment="1">
      <alignment horizontal="left" vertical="center" wrapText="1"/>
    </xf>
    <xf numFmtId="0" fontId="96" fillId="39" borderId="81" xfId="7" applyFont="1" applyFill="1" applyBorder="1" applyAlignment="1">
      <alignment horizontal="left" vertical="center" wrapText="1" indent="2"/>
    </xf>
    <xf numFmtId="0" fontId="95" fillId="43" borderId="81" xfId="7" applyFont="1" applyFill="1" applyBorder="1" applyAlignment="1">
      <alignment horizontal="left" vertical="center" wrapText="1"/>
    </xf>
    <xf numFmtId="0" fontId="96" fillId="44" borderId="81" xfId="7" applyFont="1" applyFill="1" applyBorder="1" applyAlignment="1">
      <alignment horizontal="right" vertical="top" wrapText="1"/>
    </xf>
    <xf numFmtId="0" fontId="95" fillId="44" borderId="81" xfId="7" applyFont="1" applyFill="1" applyBorder="1" applyAlignment="1">
      <alignment horizontal="left" vertical="center" wrapText="1"/>
    </xf>
    <xf numFmtId="0" fontId="96" fillId="45" borderId="81" xfId="7" applyFont="1" applyFill="1" applyBorder="1" applyAlignment="1">
      <alignment horizontal="right" vertical="top" wrapText="1"/>
    </xf>
    <xf numFmtId="0" fontId="95" fillId="45" borderId="81" xfId="7" applyFont="1" applyFill="1" applyBorder="1" applyAlignment="1">
      <alignment horizontal="left" vertical="center" wrapText="1"/>
    </xf>
    <xf numFmtId="0" fontId="96" fillId="46" borderId="81" xfId="7" applyFont="1" applyFill="1" applyBorder="1" applyAlignment="1">
      <alignment horizontal="right" vertical="top" wrapText="1"/>
    </xf>
    <xf numFmtId="0" fontId="95" fillId="46" borderId="81" xfId="7" applyFont="1" applyFill="1" applyBorder="1" applyAlignment="1">
      <alignment horizontal="left" vertical="center" wrapText="1"/>
    </xf>
    <xf numFmtId="0" fontId="96" fillId="43" borderId="81" xfId="7" applyFont="1" applyFill="1" applyBorder="1" applyAlignment="1">
      <alignment horizontal="center" vertical="top" wrapText="1"/>
    </xf>
    <xf numFmtId="0" fontId="95" fillId="47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/>
    </xf>
    <xf numFmtId="0" fontId="96" fillId="48" borderId="81" xfId="7" applyFont="1" applyFill="1" applyBorder="1" applyAlignment="1">
      <alignment horizontal="right" vertical="center" wrapText="1"/>
    </xf>
    <xf numFmtId="0" fontId="95" fillId="48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right" vertical="center" wrapText="1"/>
    </xf>
    <xf numFmtId="0" fontId="96" fillId="35" borderId="81" xfId="7" applyFont="1" applyFill="1" applyBorder="1" applyAlignment="1">
      <alignment horizontal="right" vertical="center" wrapText="1"/>
    </xf>
    <xf numFmtId="0" fontId="96" fillId="47" borderId="81" xfId="7" applyFont="1" applyFill="1" applyBorder="1" applyAlignment="1">
      <alignment horizontal="center" vertical="top" wrapText="1"/>
    </xf>
    <xf numFmtId="0" fontId="96" fillId="49" borderId="81" xfId="7" applyFont="1" applyFill="1" applyBorder="1" applyAlignment="1">
      <alignment horizontal="left" vertical="center" wrapText="1"/>
    </xf>
    <xf numFmtId="0" fontId="96" fillId="50" borderId="81" xfId="7" applyFont="1" applyFill="1" applyBorder="1" applyAlignment="1">
      <alignment horizontal="left" vertical="center" wrapText="1"/>
    </xf>
    <xf numFmtId="0" fontId="96" fillId="34" borderId="81" xfId="7" applyFont="1" applyFill="1" applyBorder="1" applyAlignment="1">
      <alignment horizontal="left" vertical="center" wrapText="1"/>
    </xf>
    <xf numFmtId="0" fontId="96" fillId="51" borderId="81" xfId="7" applyFont="1" applyFill="1" applyBorder="1" applyAlignment="1">
      <alignment horizontal="left" vertical="center" wrapText="1"/>
    </xf>
    <xf numFmtId="0" fontId="96" fillId="49" borderId="81" xfId="7" applyFont="1" applyFill="1" applyBorder="1" applyAlignment="1">
      <alignment horizontal="right" vertical="center" wrapText="1"/>
    </xf>
    <xf numFmtId="0" fontId="96" fillId="50" borderId="81" xfId="7" applyFont="1" applyFill="1" applyBorder="1" applyAlignment="1">
      <alignment horizontal="right" vertical="center" wrapText="1"/>
    </xf>
    <xf numFmtId="0" fontId="96" fillId="34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left" vertical="center" wrapText="1" indent="3"/>
    </xf>
    <xf numFmtId="0" fontId="96" fillId="39" borderId="81" xfId="7" applyFont="1" applyFill="1" applyBorder="1" applyAlignment="1">
      <alignment horizontal="center" vertical="top" wrapText="1"/>
    </xf>
    <xf numFmtId="0" fontId="95" fillId="49" borderId="81" xfId="7" applyFont="1" applyFill="1" applyBorder="1" applyAlignment="1">
      <alignment horizontal="left" vertical="center" wrapText="1"/>
    </xf>
    <xf numFmtId="0" fontId="95" fillId="50" borderId="81" xfId="7" applyFont="1" applyFill="1" applyBorder="1" applyAlignment="1">
      <alignment horizontal="left" vertical="center" wrapText="1"/>
    </xf>
    <xf numFmtId="0" fontId="95" fillId="51" borderId="81" xfId="7" applyFont="1" applyFill="1" applyBorder="1" applyAlignment="1">
      <alignment horizontal="left" vertical="center" wrapText="1"/>
    </xf>
    <xf numFmtId="0" fontId="95" fillId="0" borderId="0" xfId="7" applyFont="1" applyAlignment="1">
      <alignment horizontal="left" vertical="top"/>
    </xf>
    <xf numFmtId="2" fontId="60" fillId="0" borderId="0" xfId="6" applyNumberFormat="1" applyFont="1"/>
    <xf numFmtId="0" fontId="95" fillId="3" borderId="0" xfId="7" applyFont="1" applyFill="1" applyAlignment="1">
      <alignment horizontal="left" vertical="top"/>
    </xf>
    <xf numFmtId="3" fontId="1" fillId="3" borderId="8" xfId="0" applyNumberFormat="1" applyFont="1" applyFill="1" applyBorder="1"/>
    <xf numFmtId="3" fontId="1" fillId="3" borderId="4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20" fontId="4" fillId="5" borderId="23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9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5" fillId="34" borderId="80" xfId="7" applyFont="1" applyFill="1" applyBorder="1" applyAlignment="1">
      <alignment horizontal="right" vertical="center" wrapText="1" indent="2"/>
    </xf>
    <xf numFmtId="0" fontId="96" fillId="35" borderId="82" xfId="7" applyFont="1" applyFill="1" applyBorder="1" applyAlignment="1">
      <alignment horizontal="center" vertical="center" wrapText="1"/>
    </xf>
    <xf numFmtId="0" fontId="96" fillId="35" borderId="83" xfId="7" applyFont="1" applyFill="1" applyBorder="1" applyAlignment="1">
      <alignment horizontal="center" vertical="center" wrapText="1"/>
    </xf>
    <xf numFmtId="0" fontId="96" fillId="35" borderId="84" xfId="7" applyFont="1" applyFill="1" applyBorder="1" applyAlignment="1">
      <alignment horizontal="center" vertical="center" wrapText="1"/>
    </xf>
    <xf numFmtId="0" fontId="96" fillId="32" borderId="82" xfId="7" applyFont="1" applyFill="1" applyBorder="1" applyAlignment="1">
      <alignment horizontal="center" vertical="center" wrapText="1"/>
    </xf>
    <xf numFmtId="0" fontId="96" fillId="32" borderId="83" xfId="7" applyFont="1" applyFill="1" applyBorder="1" applyAlignment="1">
      <alignment horizontal="center" vertical="center" wrapText="1"/>
    </xf>
    <xf numFmtId="0" fontId="96" fillId="32" borderId="84" xfId="7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left" wrapText="1" indent="5"/>
    </xf>
    <xf numFmtId="0" fontId="96" fillId="35" borderId="83" xfId="7" applyFont="1" applyFill="1" applyBorder="1" applyAlignment="1">
      <alignment horizontal="left" wrapText="1" indent="5"/>
    </xf>
    <xf numFmtId="0" fontId="96" fillId="37" borderId="82" xfId="7" applyFont="1" applyFill="1" applyBorder="1" applyAlignment="1">
      <alignment horizontal="center" vertical="top" wrapText="1"/>
    </xf>
    <xf numFmtId="0" fontId="96" fillId="37" borderId="83" xfId="7" applyFont="1" applyFill="1" applyBorder="1" applyAlignment="1">
      <alignment horizontal="center" vertical="top" wrapText="1"/>
    </xf>
    <xf numFmtId="0" fontId="96" fillId="37" borderId="84" xfId="7" applyFont="1" applyFill="1" applyBorder="1" applyAlignment="1">
      <alignment horizontal="center" vertical="top" wrapText="1"/>
    </xf>
    <xf numFmtId="0" fontId="96" fillId="38" borderId="82" xfId="7" applyFont="1" applyFill="1" applyBorder="1" applyAlignment="1">
      <alignment horizontal="center" vertical="top" wrapText="1"/>
    </xf>
    <xf numFmtId="0" fontId="96" fillId="38" borderId="83" xfId="7" applyFont="1" applyFill="1" applyBorder="1" applyAlignment="1">
      <alignment horizontal="center" vertical="top" wrapText="1"/>
    </xf>
    <xf numFmtId="0" fontId="96" fillId="38" borderId="84" xfId="7" applyFont="1" applyFill="1" applyBorder="1" applyAlignment="1">
      <alignment horizontal="center" vertical="top" wrapText="1"/>
    </xf>
    <xf numFmtId="0" fontId="96" fillId="36" borderId="82" xfId="7" applyFont="1" applyFill="1" applyBorder="1" applyAlignment="1">
      <alignment horizontal="left" vertical="top" wrapText="1" indent="3"/>
    </xf>
    <xf numFmtId="0" fontId="96" fillId="36" borderId="84" xfId="7" applyFont="1" applyFill="1" applyBorder="1" applyAlignment="1">
      <alignment horizontal="left" vertical="top" wrapText="1" indent="3"/>
    </xf>
    <xf numFmtId="0" fontId="96" fillId="40" borderId="82" xfId="7" applyFont="1" applyFill="1" applyBorder="1" applyAlignment="1">
      <alignment horizontal="center" vertical="top" wrapText="1"/>
    </xf>
    <xf numFmtId="0" fontId="96" fillId="40" borderId="83" xfId="7" applyFont="1" applyFill="1" applyBorder="1" applyAlignment="1">
      <alignment horizontal="center" vertical="top" wrapText="1"/>
    </xf>
    <xf numFmtId="0" fontId="96" fillId="40" borderId="84" xfId="7" applyFont="1" applyFill="1" applyBorder="1" applyAlignment="1">
      <alignment horizontal="center" vertical="top" wrapText="1"/>
    </xf>
    <xf numFmtId="0" fontId="96" fillId="41" borderId="82" xfId="7" applyFont="1" applyFill="1" applyBorder="1" applyAlignment="1">
      <alignment horizontal="center" vertical="top" wrapText="1"/>
    </xf>
    <xf numFmtId="0" fontId="96" fillId="41" borderId="83" xfId="7" applyFont="1" applyFill="1" applyBorder="1" applyAlignment="1">
      <alignment horizontal="center" vertical="top" wrapText="1"/>
    </xf>
    <xf numFmtId="0" fontId="96" fillId="41" borderId="84" xfId="7" applyFont="1" applyFill="1" applyBorder="1" applyAlignment="1">
      <alignment horizontal="center" vertical="top" wrapText="1"/>
    </xf>
    <xf numFmtId="0" fontId="96" fillId="42" borderId="82" xfId="7" applyFont="1" applyFill="1" applyBorder="1" applyAlignment="1">
      <alignment horizontal="center" vertical="top" wrapText="1"/>
    </xf>
    <xf numFmtId="0" fontId="96" fillId="42" borderId="83" xfId="7" applyFont="1" applyFill="1" applyBorder="1" applyAlignment="1">
      <alignment horizontal="center" vertical="top" wrapText="1"/>
    </xf>
    <xf numFmtId="0" fontId="96" fillId="42" borderId="84" xfId="7" applyFont="1" applyFill="1" applyBorder="1" applyAlignment="1">
      <alignment horizontal="center" vertical="top" wrapText="1"/>
    </xf>
    <xf numFmtId="0" fontId="96" fillId="39" borderId="82" xfId="7" applyFont="1" applyFill="1" applyBorder="1" applyAlignment="1">
      <alignment horizontal="left" vertical="top" wrapText="1" indent="3"/>
    </xf>
    <xf numFmtId="0" fontId="96" fillId="39" borderId="84" xfId="7" applyFont="1" applyFill="1" applyBorder="1" applyAlignment="1">
      <alignment horizontal="left" vertical="top" wrapText="1" indent="3"/>
    </xf>
    <xf numFmtId="0" fontId="96" fillId="39" borderId="80" xfId="7" applyFont="1" applyFill="1" applyBorder="1" applyAlignment="1">
      <alignment horizontal="left" vertical="center" wrapText="1" indent="1"/>
    </xf>
    <xf numFmtId="0" fontId="96" fillId="44" borderId="82" xfId="7" applyFont="1" applyFill="1" applyBorder="1" applyAlignment="1">
      <alignment horizontal="center" vertical="top" wrapText="1"/>
    </xf>
    <xf numFmtId="0" fontId="96" fillId="44" borderId="84" xfId="7" applyFont="1" applyFill="1" applyBorder="1" applyAlignment="1">
      <alignment horizontal="center" vertical="top" wrapText="1"/>
    </xf>
    <xf numFmtId="0" fontId="96" fillId="45" borderId="82" xfId="7" applyFont="1" applyFill="1" applyBorder="1" applyAlignment="1">
      <alignment horizontal="center" vertical="top" wrapText="1"/>
    </xf>
    <xf numFmtId="0" fontId="96" fillId="45" borderId="84" xfId="7" applyFont="1" applyFill="1" applyBorder="1" applyAlignment="1">
      <alignment horizontal="center" vertical="top" wrapText="1"/>
    </xf>
    <xf numFmtId="0" fontId="96" fillId="46" borderId="82" xfId="7" applyFont="1" applyFill="1" applyBorder="1" applyAlignment="1">
      <alignment horizontal="center" vertical="top" wrapText="1"/>
    </xf>
    <xf numFmtId="0" fontId="96" fillId="46" borderId="84" xfId="7" applyFont="1" applyFill="1" applyBorder="1" applyAlignment="1">
      <alignment horizontal="center" vertical="top" wrapText="1"/>
    </xf>
    <xf numFmtId="0" fontId="96" fillId="47" borderId="80" xfId="7" applyFont="1" applyFill="1" applyBorder="1" applyAlignment="1">
      <alignment horizontal="left" vertical="center" wrapText="1" indent="3"/>
    </xf>
    <xf numFmtId="0" fontId="96" fillId="48" borderId="82" xfId="7" applyFont="1" applyFill="1" applyBorder="1" applyAlignment="1">
      <alignment horizontal="center" vertical="center" wrapText="1"/>
    </xf>
    <xf numFmtId="0" fontId="96" fillId="48" borderId="83" xfId="7" applyFont="1" applyFill="1" applyBorder="1" applyAlignment="1">
      <alignment horizontal="center" vertical="center" wrapText="1"/>
    </xf>
    <xf numFmtId="0" fontId="96" fillId="48" borderId="84" xfId="7" applyFont="1" applyFill="1" applyBorder="1" applyAlignment="1">
      <alignment horizontal="center" vertical="center" wrapText="1"/>
    </xf>
    <xf numFmtId="0" fontId="96" fillId="42" borderId="82" xfId="7" applyFont="1" applyFill="1" applyBorder="1" applyAlignment="1">
      <alignment horizontal="center" vertical="center" wrapText="1"/>
    </xf>
    <xf numFmtId="0" fontId="96" fillId="42" borderId="83" xfId="7" applyFont="1" applyFill="1" applyBorder="1" applyAlignment="1">
      <alignment horizontal="center" vertical="center" wrapText="1"/>
    </xf>
    <xf numFmtId="0" fontId="96" fillId="42" borderId="84" xfId="7" applyFont="1" applyFill="1" applyBorder="1" applyAlignment="1">
      <alignment horizontal="center" vertical="center" wrapText="1"/>
    </xf>
    <xf numFmtId="0" fontId="96" fillId="43" borderId="80" xfId="7" applyFont="1" applyFill="1" applyBorder="1" applyAlignment="1">
      <alignment horizontal="left" vertical="top" wrapText="1"/>
    </xf>
    <xf numFmtId="0" fontId="12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6" fontId="24" fillId="0" borderId="34" xfId="0" applyNumberFormat="1" applyFont="1" applyBorder="1" applyAlignment="1">
      <alignment horizontal="center" vertical="center" wrapText="1"/>
    </xf>
    <xf numFmtId="166" fontId="24" fillId="0" borderId="39" xfId="0" applyNumberFormat="1" applyFont="1" applyBorder="1" applyAlignment="1">
      <alignment horizontal="center" vertical="center" wrapText="1"/>
    </xf>
    <xf numFmtId="166" fontId="24" fillId="0" borderId="44" xfId="0" applyNumberFormat="1" applyFont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 vertical="center" wrapText="1"/>
    </xf>
    <xf numFmtId="166" fontId="24" fillId="0" borderId="38" xfId="0" applyNumberFormat="1" applyFont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center" vertical="center" wrapText="1"/>
    </xf>
    <xf numFmtId="0" fontId="34" fillId="11" borderId="62" xfId="0" applyFont="1" applyFill="1" applyBorder="1" applyAlignment="1">
      <alignment horizontal="center" vertical="center"/>
    </xf>
    <xf numFmtId="0" fontId="34" fillId="11" borderId="63" xfId="0" applyFont="1" applyFill="1" applyBorder="1" applyAlignment="1">
      <alignment horizontal="center" vertical="center"/>
    </xf>
    <xf numFmtId="0" fontId="34" fillId="11" borderId="6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166" fontId="24" fillId="0" borderId="32" xfId="0" applyNumberFormat="1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166" fontId="24" fillId="0" borderId="42" xfId="0" applyNumberFormat="1" applyFont="1" applyBorder="1" applyAlignment="1">
      <alignment horizontal="center" vertical="center" wrapText="1"/>
    </xf>
    <xf numFmtId="0" fontId="39" fillId="12" borderId="56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166" fontId="24" fillId="0" borderId="57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4" fillId="24" borderId="71" xfId="0" applyFont="1" applyFill="1" applyBorder="1" applyAlignment="1">
      <alignment vertical="center"/>
    </xf>
    <xf numFmtId="0" fontId="74" fillId="24" borderId="72" xfId="0" applyFont="1" applyFill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9" xfId="0" applyFont="1" applyBorder="1" applyAlignment="1">
      <alignment vertical="center"/>
    </xf>
    <xf numFmtId="0" fontId="78" fillId="0" borderId="2" xfId="0" applyFont="1" applyBorder="1" applyAlignment="1">
      <alignment vertical="center"/>
    </xf>
    <xf numFmtId="0" fontId="78" fillId="0" borderId="76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78" fillId="0" borderId="74" xfId="0" applyFont="1" applyBorder="1" applyAlignment="1">
      <alignment vertical="center"/>
    </xf>
  </cellXfs>
  <cellStyles count="8">
    <cellStyle name="Comma" xfId="2" builtinId="3"/>
    <cellStyle name="Currency" xfId="1" builtinId="4"/>
    <cellStyle name="Normal" xfId="0" builtinId="0"/>
    <cellStyle name="Normal 2" xfId="7" xr:uid="{A8131625-50AC-47FE-A348-0C9D2005EC8C}"/>
    <cellStyle name="Normal 2 2" xfId="4" xr:uid="{365D81C5-0E9D-4AE3-A76C-94777F90ED12}"/>
    <cellStyle name="Normal 2 2 2" xfId="6" xr:uid="{F7DF3D4C-3CFB-4D2D-B102-FD2C781BDBB9}"/>
    <cellStyle name="Normal 2 3" xfId="5" xr:uid="{35F5E505-92FE-443F-AA0D-9CB01F099915}"/>
    <cellStyle name="Normal 3" xfId="3" xr:uid="{A9990211-06AF-4826-805E-1ED45721E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8.png@01D9B8DA.C6920560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cid:image001.png@01D9B8D8.B68EAA30" TargetMode="External"/><Relationship Id="rId1" Type="http://schemas.openxmlformats.org/officeDocument/2006/relationships/image" Target="../media/image3.png"/><Relationship Id="rId6" Type="http://schemas.openxmlformats.org/officeDocument/2006/relationships/image" Target="cid:image007.png@01D9B8D9.C7626A30" TargetMode="External"/><Relationship Id="rId5" Type="http://schemas.openxmlformats.org/officeDocument/2006/relationships/image" Target="../media/image5.png"/><Relationship Id="rId10" Type="http://schemas.openxmlformats.org/officeDocument/2006/relationships/image" Target="cid:image003.png@01D9B966.01D32D80" TargetMode="External"/><Relationship Id="rId4" Type="http://schemas.openxmlformats.org/officeDocument/2006/relationships/image" Target="cid:image006.png@01D9B8D9.0881360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876300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0392-9129-4C89-8F07-FE581C19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0"/>
          <a:ext cx="2819400" cy="1123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2819400</xdr:colOff>
      <xdr:row>6</xdr:row>
      <xdr:rowOff>6579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263865-22D4-B84D-5AF9-8BDB29BEB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0"/>
          <a:ext cx="2819400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20</xdr:col>
      <xdr:colOff>49333</xdr:colOff>
      <xdr:row>41</xdr:row>
      <xdr:rowOff>153184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ABC1-FAFE-8845-15FE-02C405DF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950"/>
          <a:ext cx="12241333" cy="5620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171450</xdr:colOff>
      <xdr:row>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9BFE5-167F-6B07-F91B-7E550371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2194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57150</xdr:colOff>
      <xdr:row>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BD416-77E1-B953-565C-5507D46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49339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8</xdr:col>
      <xdr:colOff>38100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7FDBE1-5582-CC3D-A4A5-B90FDD31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49149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8</xdr:col>
      <xdr:colOff>57150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92CAF-A160-7CAC-53F7-52B5AF7F5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493395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7</xdr:col>
      <xdr:colOff>114300</xdr:colOff>
      <xdr:row>56</xdr:row>
      <xdr:rowOff>38100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2CFC289-525F-927D-C8A5-9CDA45DE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43815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=ET%20Ops%20Calendar%20Revised.xlsx" TargetMode="External"/><Relationship Id="rId2" Type="http://schemas.openxmlformats.org/officeDocument/2006/relationships/externalLinkPath" Target="https://goldberggroup.sharepoint.com/sites/SullivanRoad/Shared%20Documents/ET%20-%20Ethiopian/ET%20Billing/=ET%20Ops%20Calendar%20Revised.xlsx" TargetMode="External"/><Relationship Id="rId1" Type="http://schemas.openxmlformats.org/officeDocument/2006/relationships/externalLinkPath" Target="/sites/SullivanRoad/Shared%20Documents/ET%20-%20Ethiopian/ET%20Billing/=ET%20Ops%20Calendar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3.09%20ET%20Billing/2023.07%20ET%20Billing%20Revised/2023.07.31%20-%20Mainline%20Aviation-EA%20LLC%20-%20ET%20Invoice%20Revised.xlsx" TargetMode="External"/><Relationship Id="rId2" Type="http://schemas.openxmlformats.org/officeDocument/2006/relationships/externalLinkPath" Target="https://goldberggroup.sharepoint.com/sites/SullivanRoad/Shared%20Documents/ET%20-%20Ethiopian/ET%20Billing/2023.07%20ET%20Billing%20Revised/2023.07.31%20-%20Mainline%20Aviation-EA%20LLC%20-%20ET%20Invoice%20Revised.xlsx" TargetMode="External"/><Relationship Id="rId1" Type="http://schemas.openxmlformats.org/officeDocument/2006/relationships/externalLinkPath" Target="/sites/SullivanRoad/Shared%20Documents/ET%20-%20Ethiopian/ET%20Billing/2023.09%20ET%20Billing/2023.07%20ET%20Billing%20Revised/2023.07.31%20-%20Mainline%20Aviation-EA%20LLC%20-%20ET%20Invoic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Summary"/>
      <sheetName val="Sheet1"/>
      <sheetName val="Calendar"/>
      <sheetName val="AR Invoice"/>
    </sheetNames>
    <sheetDataSet>
      <sheetData sheetId="0" refreshError="1"/>
      <sheetData sheetId="1">
        <row r="2">
          <cell r="A2" t="str">
            <v>Inv to ET  Date</v>
          </cell>
          <cell r="B2" t="str">
            <v>Service Date</v>
          </cell>
          <cell r="C2" t="str">
            <v>Invoice Num</v>
          </cell>
          <cell r="D2" t="str">
            <v>Food TTL</v>
          </cell>
          <cell r="E2" t="str">
            <v>Service TTL</v>
          </cell>
          <cell r="F2" t="str">
            <v>Invoice Total</v>
          </cell>
        </row>
        <row r="3">
          <cell r="A3">
            <v>45093</v>
          </cell>
          <cell r="B3">
            <v>45063</v>
          </cell>
          <cell r="C3" t="str">
            <v>ET20230517</v>
          </cell>
          <cell r="D3">
            <v>5772.8219867549678</v>
          </cell>
          <cell r="E3">
            <v>700</v>
          </cell>
          <cell r="F3">
            <v>6472.8219867549678</v>
          </cell>
        </row>
        <row r="4">
          <cell r="A4">
            <v>45093</v>
          </cell>
          <cell r="B4">
            <v>45065</v>
          </cell>
          <cell r="C4" t="str">
            <v>ET20230519</v>
          </cell>
          <cell r="D4">
            <v>5210.3460430463574</v>
          </cell>
          <cell r="E4">
            <v>700</v>
          </cell>
          <cell r="F4">
            <v>5910.3460430463574</v>
          </cell>
        </row>
        <row r="5">
          <cell r="A5">
            <v>45093</v>
          </cell>
          <cell r="B5">
            <v>45067</v>
          </cell>
          <cell r="C5" t="str">
            <v>ET20230521</v>
          </cell>
          <cell r="D5">
            <v>5541.0904370860926</v>
          </cell>
          <cell r="E5">
            <v>800</v>
          </cell>
          <cell r="F5">
            <v>6341.0904370860926</v>
          </cell>
        </row>
        <row r="6">
          <cell r="A6">
            <v>45093</v>
          </cell>
          <cell r="B6">
            <v>45068</v>
          </cell>
          <cell r="C6" t="str">
            <v>ET20230522</v>
          </cell>
          <cell r="D6">
            <v>4605.7805529801317</v>
          </cell>
          <cell r="E6">
            <v>800</v>
          </cell>
          <cell r="F6">
            <v>5405.7805529801317</v>
          </cell>
        </row>
        <row r="7">
          <cell r="A7">
            <v>45093</v>
          </cell>
          <cell r="B7">
            <v>45070</v>
          </cell>
          <cell r="C7" t="str">
            <v>ET20230524</v>
          </cell>
          <cell r="D7">
            <v>4513.5211225165558</v>
          </cell>
          <cell r="E7">
            <v>800</v>
          </cell>
          <cell r="F7">
            <v>5313.5211225165558</v>
          </cell>
        </row>
        <row r="8">
          <cell r="A8">
            <v>45093</v>
          </cell>
          <cell r="B8">
            <v>45072</v>
          </cell>
          <cell r="C8" t="str">
            <v>ET20230526</v>
          </cell>
          <cell r="D8">
            <v>6052.4995496688734</v>
          </cell>
          <cell r="E8">
            <v>800</v>
          </cell>
          <cell r="F8">
            <v>6852.4995496688734</v>
          </cell>
        </row>
        <row r="9">
          <cell r="A9">
            <v>45093</v>
          </cell>
          <cell r="B9">
            <v>45074</v>
          </cell>
          <cell r="C9" t="str">
            <v>ET20230528</v>
          </cell>
          <cell r="D9">
            <v>5837.698672185431</v>
          </cell>
          <cell r="E9">
            <v>800</v>
          </cell>
          <cell r="F9">
            <v>6637.698672185431</v>
          </cell>
        </row>
        <row r="10">
          <cell r="A10">
            <v>45093</v>
          </cell>
          <cell r="B10">
            <v>45075</v>
          </cell>
          <cell r="C10" t="str">
            <v>ET20230529</v>
          </cell>
          <cell r="D10">
            <v>5061.4364205298016</v>
          </cell>
          <cell r="E10">
            <v>800</v>
          </cell>
          <cell r="F10">
            <v>5861.4364205298016</v>
          </cell>
        </row>
        <row r="11">
          <cell r="A11">
            <v>45093</v>
          </cell>
          <cell r="B11">
            <v>45077</v>
          </cell>
          <cell r="C11" t="str">
            <v>ET20230531</v>
          </cell>
          <cell r="D11">
            <v>5873.3538609271518</v>
          </cell>
          <cell r="E11">
            <v>800</v>
          </cell>
          <cell r="F11">
            <v>6673.3538609271518</v>
          </cell>
        </row>
        <row r="12">
          <cell r="A12">
            <v>45093</v>
          </cell>
          <cell r="F12">
            <v>55468.548645695366</v>
          </cell>
        </row>
        <row r="13">
          <cell r="B13" t="str">
            <v>Service Date</v>
          </cell>
          <cell r="C13" t="str">
            <v>Invoice Num</v>
          </cell>
          <cell r="D13" t="str">
            <v>Food TTL</v>
          </cell>
          <cell r="E13" t="str">
            <v>Service TTL</v>
          </cell>
          <cell r="F13" t="str">
            <v>Invoice Total</v>
          </cell>
        </row>
        <row r="14">
          <cell r="A14">
            <v>45117</v>
          </cell>
          <cell r="B14">
            <v>45079</v>
          </cell>
          <cell r="C14" t="str">
            <v>ET20230602</v>
          </cell>
          <cell r="D14">
            <v>5457.8729503311251</v>
          </cell>
          <cell r="E14">
            <v>800</v>
          </cell>
          <cell r="F14">
            <v>6257.8729503311251</v>
          </cell>
        </row>
        <row r="15">
          <cell r="A15">
            <v>45117</v>
          </cell>
          <cell r="B15">
            <v>45081</v>
          </cell>
          <cell r="C15" t="str">
            <v>ET20230604</v>
          </cell>
          <cell r="D15">
            <v>5946.7271026490062</v>
          </cell>
          <cell r="E15">
            <v>800</v>
          </cell>
          <cell r="F15">
            <v>6746.7271026490062</v>
          </cell>
        </row>
        <row r="16">
          <cell r="A16">
            <v>45117</v>
          </cell>
          <cell r="B16">
            <v>45082</v>
          </cell>
          <cell r="C16" t="str">
            <v>ET20230605</v>
          </cell>
          <cell r="D16">
            <v>5205.4098940397344</v>
          </cell>
          <cell r="E16">
            <v>800</v>
          </cell>
          <cell r="F16">
            <v>6005.4098940397344</v>
          </cell>
        </row>
        <row r="17">
          <cell r="A17">
            <v>45117</v>
          </cell>
          <cell r="B17">
            <v>45084</v>
          </cell>
          <cell r="C17" t="str">
            <v>ET20230607</v>
          </cell>
          <cell r="D17">
            <v>5748.5735662251655</v>
          </cell>
          <cell r="E17">
            <v>800</v>
          </cell>
          <cell r="F17">
            <v>6548.5735662251655</v>
          </cell>
        </row>
        <row r="18">
          <cell r="A18">
            <v>45117</v>
          </cell>
          <cell r="B18">
            <v>45086</v>
          </cell>
          <cell r="C18" t="str">
            <v>ET20230609</v>
          </cell>
          <cell r="D18">
            <v>5109.6478576158943</v>
          </cell>
          <cell r="E18">
            <v>800</v>
          </cell>
          <cell r="F18">
            <v>5909.6478576158943</v>
          </cell>
        </row>
        <row r="19">
          <cell r="A19">
            <v>45117</v>
          </cell>
          <cell r="B19">
            <v>45088</v>
          </cell>
          <cell r="C19" t="str">
            <v>ET20230611</v>
          </cell>
          <cell r="D19">
            <v>3993.027947019867</v>
          </cell>
          <cell r="E19">
            <v>0</v>
          </cell>
          <cell r="F19">
            <v>3993.027947019867</v>
          </cell>
        </row>
        <row r="20">
          <cell r="A20">
            <v>45117</v>
          </cell>
          <cell r="B20">
            <v>45089</v>
          </cell>
          <cell r="C20" t="str">
            <v>ET20230612</v>
          </cell>
          <cell r="D20">
            <v>7222.5620132450331</v>
          </cell>
          <cell r="E20">
            <v>800</v>
          </cell>
          <cell r="F20">
            <v>8022.5620132450331</v>
          </cell>
        </row>
        <row r="21">
          <cell r="A21">
            <v>45117</v>
          </cell>
          <cell r="B21">
            <v>45091</v>
          </cell>
          <cell r="C21" t="str">
            <v>ET20230614</v>
          </cell>
          <cell r="D21">
            <v>3785.4193145695367</v>
          </cell>
          <cell r="E21">
            <v>800</v>
          </cell>
          <cell r="F21">
            <v>4585.4193145695372</v>
          </cell>
        </row>
        <row r="22">
          <cell r="A22">
            <v>45117</v>
          </cell>
          <cell r="B22">
            <v>45093</v>
          </cell>
          <cell r="C22" t="str">
            <v>ET20230616</v>
          </cell>
          <cell r="D22">
            <v>6515.6248874172188</v>
          </cell>
          <cell r="E22">
            <v>800</v>
          </cell>
          <cell r="F22">
            <v>7315.6248874172188</v>
          </cell>
        </row>
        <row r="23">
          <cell r="A23">
            <v>45117</v>
          </cell>
          <cell r="B23">
            <v>45095</v>
          </cell>
          <cell r="C23" t="str">
            <v>ET20230618</v>
          </cell>
          <cell r="D23">
            <v>6348.5815728476819</v>
          </cell>
          <cell r="E23">
            <v>800</v>
          </cell>
          <cell r="F23">
            <v>7148.5815728476819</v>
          </cell>
        </row>
        <row r="24">
          <cell r="A24">
            <v>45117</v>
          </cell>
          <cell r="B24">
            <v>45096</v>
          </cell>
          <cell r="C24" t="str">
            <v>ET20230619</v>
          </cell>
          <cell r="D24">
            <v>5795.5552516556299</v>
          </cell>
          <cell r="E24">
            <v>800</v>
          </cell>
          <cell r="F24">
            <v>6595.5552516556299</v>
          </cell>
        </row>
        <row r="25">
          <cell r="A25">
            <v>45117</v>
          </cell>
          <cell r="B25">
            <v>45098</v>
          </cell>
          <cell r="C25" t="str">
            <v>ET20230621</v>
          </cell>
          <cell r="D25">
            <v>4951.207516556291</v>
          </cell>
          <cell r="E25">
            <v>800</v>
          </cell>
          <cell r="F25">
            <v>5751.207516556291</v>
          </cell>
        </row>
        <row r="26">
          <cell r="A26">
            <v>45117</v>
          </cell>
          <cell r="B26">
            <v>45100</v>
          </cell>
          <cell r="C26" t="str">
            <v>ET20230623</v>
          </cell>
          <cell r="D26">
            <v>6527.0912483443717</v>
          </cell>
          <cell r="E26">
            <v>800</v>
          </cell>
          <cell r="F26">
            <v>7327.0912483443717</v>
          </cell>
        </row>
        <row r="27">
          <cell r="A27">
            <v>45117</v>
          </cell>
          <cell r="B27">
            <v>45102</v>
          </cell>
          <cell r="C27" t="str">
            <v>ET20230625</v>
          </cell>
          <cell r="D27">
            <v>4770.3555099337746</v>
          </cell>
          <cell r="E27">
            <v>800</v>
          </cell>
          <cell r="F27">
            <v>5570.3555099337746</v>
          </cell>
        </row>
        <row r="28">
          <cell r="A28">
            <v>45117</v>
          </cell>
          <cell r="B28">
            <v>45103</v>
          </cell>
          <cell r="C28" t="str">
            <v>ET20230626</v>
          </cell>
          <cell r="D28">
            <v>5916.8141059602649</v>
          </cell>
          <cell r="E28">
            <v>800</v>
          </cell>
          <cell r="F28">
            <v>6716.8141059602649</v>
          </cell>
        </row>
        <row r="29">
          <cell r="A29">
            <v>45117</v>
          </cell>
          <cell r="B29">
            <v>45105</v>
          </cell>
          <cell r="C29" t="str">
            <v>ET20230628</v>
          </cell>
          <cell r="D29">
            <v>6021.9492947019853</v>
          </cell>
          <cell r="E29">
            <v>800</v>
          </cell>
          <cell r="F29">
            <v>6821.9492947019853</v>
          </cell>
        </row>
        <row r="30">
          <cell r="A30">
            <v>45117</v>
          </cell>
          <cell r="B30">
            <v>45107</v>
          </cell>
          <cell r="C30" t="str">
            <v>ET20230630</v>
          </cell>
          <cell r="D30">
            <v>7108.9201655629149</v>
          </cell>
          <cell r="E30">
            <v>800</v>
          </cell>
          <cell r="F30">
            <v>7908.9201655629149</v>
          </cell>
        </row>
        <row r="31">
          <cell r="F31">
            <v>109225.34019867549</v>
          </cell>
        </row>
        <row r="32">
          <cell r="B32" t="str">
            <v>Billing Statement</v>
          </cell>
        </row>
        <row r="33">
          <cell r="B33" t="str">
            <v>Date issued: July 26, 2023, for service invoices from July 1 through July 15.</v>
          </cell>
        </row>
        <row r="34">
          <cell r="B34" t="str">
            <v>Service Date</v>
          </cell>
          <cell r="C34" t="str">
            <v>Invoice Num</v>
          </cell>
          <cell r="D34" t="str">
            <v>Food TTL</v>
          </cell>
          <cell r="E34" t="str">
            <v>Service TTL</v>
          </cell>
          <cell r="F34" t="str">
            <v>Invoice Total</v>
          </cell>
        </row>
        <row r="35">
          <cell r="A35">
            <v>45133</v>
          </cell>
          <cell r="B35">
            <v>45109</v>
          </cell>
          <cell r="C35" t="str">
            <v>ET20230702</v>
          </cell>
          <cell r="D35">
            <v>4648.6464172185424</v>
          </cell>
          <cell r="E35">
            <v>550</v>
          </cell>
          <cell r="F35">
            <v>5198.6464172185424</v>
          </cell>
        </row>
        <row r="36">
          <cell r="A36">
            <v>45133</v>
          </cell>
          <cell r="B36">
            <v>45110</v>
          </cell>
          <cell r="C36" t="str">
            <v>ET20230703</v>
          </cell>
          <cell r="D36">
            <v>3519.0993410596025</v>
          </cell>
          <cell r="E36">
            <v>550</v>
          </cell>
          <cell r="F36">
            <v>4069.0993410596025</v>
          </cell>
        </row>
        <row r="37">
          <cell r="A37">
            <v>45133</v>
          </cell>
          <cell r="B37">
            <v>45112</v>
          </cell>
          <cell r="C37" t="str">
            <v>ET20230705</v>
          </cell>
          <cell r="D37">
            <v>3828.2932251655629</v>
          </cell>
          <cell r="E37">
            <v>550</v>
          </cell>
          <cell r="F37">
            <v>4378.2932251655629</v>
          </cell>
        </row>
        <row r="38">
          <cell r="A38">
            <v>45133</v>
          </cell>
          <cell r="B38">
            <v>45114</v>
          </cell>
          <cell r="C38" t="str">
            <v>ET20230707</v>
          </cell>
          <cell r="D38">
            <v>3942.1731688741716</v>
          </cell>
          <cell r="E38">
            <v>550</v>
          </cell>
          <cell r="F38">
            <v>4492.1731688741711</v>
          </cell>
        </row>
        <row r="39">
          <cell r="A39">
            <v>45133</v>
          </cell>
          <cell r="B39">
            <v>45116</v>
          </cell>
          <cell r="C39" t="str">
            <v>ET20230709</v>
          </cell>
          <cell r="D39">
            <v>3048.7157649006617</v>
          </cell>
          <cell r="E39">
            <v>550</v>
          </cell>
          <cell r="F39">
            <v>3598.7157649006617</v>
          </cell>
        </row>
        <row r="40">
          <cell r="A40">
            <v>45133</v>
          </cell>
          <cell r="B40">
            <v>45117</v>
          </cell>
          <cell r="C40" t="str">
            <v>ET20230710</v>
          </cell>
          <cell r="D40">
            <v>2888.8314437086092</v>
          </cell>
          <cell r="E40">
            <v>550</v>
          </cell>
          <cell r="F40">
            <v>3438.8314437086092</v>
          </cell>
        </row>
        <row r="41">
          <cell r="A41">
            <v>45133</v>
          </cell>
          <cell r="B41">
            <v>45119</v>
          </cell>
          <cell r="C41" t="str">
            <v>ET20230712</v>
          </cell>
          <cell r="D41">
            <v>3313.1470430463573</v>
          </cell>
          <cell r="E41">
            <v>550</v>
          </cell>
          <cell r="F41">
            <v>3863.1470430463573</v>
          </cell>
        </row>
        <row r="42">
          <cell r="A42">
            <v>45133</v>
          </cell>
          <cell r="B42">
            <v>45121</v>
          </cell>
          <cell r="C42" t="str">
            <v>ET20230714</v>
          </cell>
          <cell r="D42">
            <v>4722.4278311258277</v>
          </cell>
          <cell r="E42">
            <v>550</v>
          </cell>
          <cell r="F42">
            <v>5272.4278311258277</v>
          </cell>
        </row>
        <row r="43">
          <cell r="F43">
            <v>34311.334235099333</v>
          </cell>
        </row>
        <row r="44">
          <cell r="B44" t="str">
            <v>Billing Statement</v>
          </cell>
        </row>
        <row r="45">
          <cell r="B45" t="str">
            <v>Date issued: August 4, 2023, for service invoices from July 16 through July 31.</v>
          </cell>
        </row>
        <row r="46">
          <cell r="B46" t="str">
            <v>Service Date</v>
          </cell>
          <cell r="C46" t="str">
            <v>Invoice Num</v>
          </cell>
          <cell r="D46" t="str">
            <v>Food TTL</v>
          </cell>
          <cell r="E46" t="str">
            <v>Service TTL</v>
          </cell>
          <cell r="F46" t="str">
            <v>Invoice Total</v>
          </cell>
        </row>
        <row r="47">
          <cell r="A47">
            <v>45138</v>
          </cell>
          <cell r="B47">
            <v>45123</v>
          </cell>
          <cell r="C47" t="str">
            <v>ET20230716</v>
          </cell>
          <cell r="D47">
            <v>4062.8247715231787</v>
          </cell>
          <cell r="E47">
            <v>550</v>
          </cell>
          <cell r="F47">
            <v>4612.8247715231792</v>
          </cell>
        </row>
        <row r="48">
          <cell r="A48">
            <v>45138</v>
          </cell>
          <cell r="B48">
            <v>45124</v>
          </cell>
          <cell r="C48" t="str">
            <v>ET20230717</v>
          </cell>
          <cell r="D48">
            <v>2498.7726589403974</v>
          </cell>
          <cell r="E48">
            <v>550</v>
          </cell>
          <cell r="F48">
            <v>3048.7726589403974</v>
          </cell>
        </row>
        <row r="49">
          <cell r="A49">
            <v>45138</v>
          </cell>
          <cell r="B49">
            <v>45126</v>
          </cell>
          <cell r="C49" t="str">
            <v>ET20230719</v>
          </cell>
          <cell r="D49">
            <v>3613.3686788079467</v>
          </cell>
          <cell r="E49">
            <v>550</v>
          </cell>
          <cell r="F49">
            <v>4163.3686788079467</v>
          </cell>
        </row>
        <row r="50">
          <cell r="A50">
            <v>45138</v>
          </cell>
          <cell r="B50">
            <v>45128</v>
          </cell>
          <cell r="C50" t="str">
            <v>ET20230721</v>
          </cell>
          <cell r="D50">
            <v>2600.7935165562913</v>
          </cell>
          <cell r="E50">
            <v>550</v>
          </cell>
          <cell r="F50">
            <v>3150.7935165562913</v>
          </cell>
        </row>
        <row r="51">
          <cell r="A51">
            <v>45138</v>
          </cell>
          <cell r="B51">
            <v>45130</v>
          </cell>
          <cell r="C51" t="str">
            <v>ET20230723</v>
          </cell>
          <cell r="D51">
            <v>1971.5212682119206</v>
          </cell>
          <cell r="E51">
            <v>550</v>
          </cell>
          <cell r="F51">
            <v>2521.5212682119209</v>
          </cell>
        </row>
        <row r="52">
          <cell r="A52">
            <v>45138</v>
          </cell>
          <cell r="B52">
            <v>45131</v>
          </cell>
          <cell r="C52" t="str">
            <v>ET20230724</v>
          </cell>
          <cell r="D52">
            <v>1973.5811854304638</v>
          </cell>
          <cell r="E52">
            <v>550</v>
          </cell>
          <cell r="F52">
            <v>2523.5811854304638</v>
          </cell>
        </row>
        <row r="53">
          <cell r="A53">
            <v>45138</v>
          </cell>
          <cell r="B53">
            <v>45133</v>
          </cell>
          <cell r="C53" t="str">
            <v>ET20230726</v>
          </cell>
          <cell r="D53">
            <v>2832.4921887417222</v>
          </cell>
          <cell r="E53">
            <v>550</v>
          </cell>
          <cell r="F53">
            <v>3382.4921887417222</v>
          </cell>
        </row>
        <row r="54">
          <cell r="A54">
            <v>45138</v>
          </cell>
          <cell r="B54">
            <v>45135</v>
          </cell>
          <cell r="C54" t="str">
            <v>ET20230728</v>
          </cell>
          <cell r="D54">
            <v>3062.6875099337749</v>
          </cell>
          <cell r="E54">
            <v>550</v>
          </cell>
          <cell r="F54">
            <v>3612.6875099337749</v>
          </cell>
        </row>
        <row r="55">
          <cell r="A55">
            <v>45138</v>
          </cell>
          <cell r="B55">
            <v>45137</v>
          </cell>
          <cell r="C55" t="str">
            <v>ET20230730</v>
          </cell>
          <cell r="D55">
            <v>2819.1273410596027</v>
          </cell>
          <cell r="E55">
            <v>550</v>
          </cell>
          <cell r="F55">
            <v>3369.1273410596027</v>
          </cell>
        </row>
        <row r="56">
          <cell r="A56">
            <v>45138</v>
          </cell>
          <cell r="B56">
            <v>45138</v>
          </cell>
          <cell r="C56" t="str">
            <v>ET20230731</v>
          </cell>
          <cell r="D56">
            <v>2129.2509105960262</v>
          </cell>
          <cell r="E56">
            <v>550</v>
          </cell>
          <cell r="F56">
            <v>2679.2509105960262</v>
          </cell>
        </row>
        <row r="57">
          <cell r="F57">
            <v>33064.420029801324</v>
          </cell>
        </row>
        <row r="61">
          <cell r="B61" t="str">
            <v>Billing Statement</v>
          </cell>
        </row>
        <row r="62">
          <cell r="B62" t="str">
            <v>Date issued: August 31, 2023, for service invoices from Aug 02 through Aug 14. revised</v>
          </cell>
        </row>
        <row r="63">
          <cell r="B63" t="str">
            <v>Service Date</v>
          </cell>
          <cell r="C63" t="str">
            <v>Invoice Num</v>
          </cell>
          <cell r="D63" t="str">
            <v>Food TTL</v>
          </cell>
          <cell r="E63" t="str">
            <v>Service TTL</v>
          </cell>
          <cell r="F63" t="str">
            <v>Invoice Total</v>
          </cell>
        </row>
        <row r="64">
          <cell r="A64">
            <v>45169</v>
          </cell>
          <cell r="B64">
            <v>45140</v>
          </cell>
          <cell r="C64" t="str">
            <v>ET20230802</v>
          </cell>
          <cell r="D64">
            <v>3732.6897582781457</v>
          </cell>
          <cell r="E64">
            <v>550</v>
          </cell>
          <cell r="F64">
            <v>4282.6897582781457</v>
          </cell>
        </row>
        <row r="65">
          <cell r="A65">
            <v>45169</v>
          </cell>
          <cell r="B65">
            <v>45142</v>
          </cell>
          <cell r="C65" t="str">
            <v>ET20230804</v>
          </cell>
          <cell r="D65">
            <v>2980.9897582781455</v>
          </cell>
          <cell r="E65">
            <v>550</v>
          </cell>
          <cell r="F65">
            <v>3530.9897582781455</v>
          </cell>
        </row>
        <row r="66">
          <cell r="A66">
            <v>45169</v>
          </cell>
          <cell r="B66">
            <v>45144</v>
          </cell>
          <cell r="C66" t="str">
            <v>ET20230806</v>
          </cell>
          <cell r="D66">
            <v>4605.9147814569533</v>
          </cell>
          <cell r="E66">
            <v>550</v>
          </cell>
          <cell r="F66">
            <v>5155.9147814569533</v>
          </cell>
        </row>
        <row r="67">
          <cell r="A67">
            <v>45169</v>
          </cell>
          <cell r="B67">
            <v>45145</v>
          </cell>
          <cell r="C67" t="str">
            <v>ET20230807</v>
          </cell>
          <cell r="D67">
            <v>4569.7373940397356</v>
          </cell>
          <cell r="E67">
            <v>550</v>
          </cell>
          <cell r="F67">
            <v>5119.7373940397356</v>
          </cell>
        </row>
        <row r="68">
          <cell r="A68">
            <v>45169</v>
          </cell>
          <cell r="B68">
            <v>45147</v>
          </cell>
          <cell r="C68" t="str">
            <v>ET20230809</v>
          </cell>
          <cell r="D68">
            <v>3383.9070298013248</v>
          </cell>
          <cell r="E68">
            <v>550</v>
          </cell>
          <cell r="F68">
            <v>3933.9070298013248</v>
          </cell>
        </row>
        <row r="69">
          <cell r="A69">
            <v>45169</v>
          </cell>
          <cell r="B69">
            <v>45149</v>
          </cell>
          <cell r="C69" t="str">
            <v>ET20230811</v>
          </cell>
          <cell r="D69">
            <v>3826.6238178807948</v>
          </cell>
          <cell r="E69">
            <v>550</v>
          </cell>
          <cell r="F69">
            <v>4376.6238178807944</v>
          </cell>
        </row>
        <row r="70">
          <cell r="A70">
            <v>45169</v>
          </cell>
          <cell r="B70">
            <v>45151</v>
          </cell>
          <cell r="C70" t="str">
            <v>ET20230813</v>
          </cell>
          <cell r="D70">
            <v>3413.1215993377482</v>
          </cell>
          <cell r="E70">
            <v>550</v>
          </cell>
          <cell r="F70">
            <v>3963.1215993377482</v>
          </cell>
        </row>
        <row r="71">
          <cell r="A71">
            <v>45169</v>
          </cell>
          <cell r="B71">
            <v>45152</v>
          </cell>
          <cell r="C71" t="str">
            <v>ET20230814</v>
          </cell>
          <cell r="D71">
            <v>4796.1293642384107</v>
          </cell>
          <cell r="E71">
            <v>550</v>
          </cell>
          <cell r="F71">
            <v>5346.1293642384107</v>
          </cell>
        </row>
        <row r="72">
          <cell r="F72">
            <v>35709.113503311259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livery Note"/>
      <sheetName val="INVOICE"/>
      <sheetName val="ET Standar Price List"/>
      <sheetName val="DRY ITEM LIST"/>
    </sheetNames>
    <sheetDataSet>
      <sheetData sheetId="0"/>
      <sheetData sheetId="1"/>
      <sheetData sheetId="2"/>
      <sheetData sheetId="3">
        <row r="4">
          <cell r="D4" t="str">
            <v>Coke 355mL</v>
          </cell>
        </row>
        <row r="5">
          <cell r="D5" t="str">
            <v>Coke Light 355mL</v>
          </cell>
        </row>
        <row r="6">
          <cell r="D6" t="str">
            <v>Sprite 355mL</v>
          </cell>
        </row>
        <row r="7">
          <cell r="D7" t="str">
            <v>Mineral Water  330mL</v>
          </cell>
        </row>
        <row r="8">
          <cell r="D8" t="str">
            <v>Mineral Water  1.5L</v>
          </cell>
        </row>
        <row r="9">
          <cell r="D9" t="str">
            <v xml:space="preserve">Milk Fresh 2% 1L </v>
          </cell>
        </row>
        <row r="10">
          <cell r="D10" t="str">
            <v>Half Cream Fresh 1L</v>
          </cell>
        </row>
        <row r="11">
          <cell r="D11" t="str">
            <v>Soda Water 355L</v>
          </cell>
        </row>
        <row r="12">
          <cell r="D12" t="str">
            <v>Tonic Water 355mL</v>
          </cell>
        </row>
        <row r="13">
          <cell r="D13" t="str">
            <v>Juice Pineapple 1L</v>
          </cell>
        </row>
        <row r="14">
          <cell r="D14" t="str">
            <v>Juice  Orange  1L</v>
          </cell>
        </row>
        <row r="15">
          <cell r="D15" t="str">
            <v>Juice  Apple  1L</v>
          </cell>
        </row>
        <row r="16">
          <cell r="D16" t="str">
            <v>Juice Tomato 1L</v>
          </cell>
        </row>
        <row r="17">
          <cell r="D17" t="str">
            <v>Salt &amp; Pepper Sachet</v>
          </cell>
        </row>
        <row r="18">
          <cell r="D18" t="str">
            <v>Sugar Sachet White</v>
          </cell>
        </row>
        <row r="19">
          <cell r="D19" t="str">
            <v>Sugar Sachet Brown</v>
          </cell>
        </row>
        <row r="20">
          <cell r="D20" t="str">
            <v>Sweetener Sachet</v>
          </cell>
        </row>
        <row r="21">
          <cell r="D21" t="str">
            <v>Coffee Nescafe 250ml</v>
          </cell>
        </row>
        <row r="22">
          <cell r="D22" t="str">
            <v>Instant Coffee Sachet 1.8g</v>
          </cell>
        </row>
        <row r="23">
          <cell r="D23" t="str">
            <v xml:space="preserve">Tea Sachet - Lipton </v>
          </cell>
        </row>
        <row r="24">
          <cell r="D24" t="str">
            <v>Cream Crackers</v>
          </cell>
        </row>
        <row r="25">
          <cell r="D25" t="str">
            <v xml:space="preserve">Biscuits/Cookies </v>
          </cell>
        </row>
        <row r="26">
          <cell r="D26" t="str">
            <v>Baby food 250g in jar</v>
          </cell>
        </row>
        <row r="27">
          <cell r="D27" t="str">
            <v>Mixed Nuts 184g</v>
          </cell>
        </row>
        <row r="28">
          <cell r="D28" t="str">
            <v>Hot Sauce (Tobasco) 60mL</v>
          </cell>
        </row>
        <row r="29">
          <cell r="D29" t="str">
            <v xml:space="preserve">Foil Dish YC </v>
          </cell>
        </row>
        <row r="30">
          <cell r="D30" t="str">
            <v xml:space="preserve">Foil Dish Lid YC </v>
          </cell>
        </row>
        <row r="31">
          <cell r="D31" t="str">
            <v xml:space="preserve">Wet Ice 5kg Bag </v>
          </cell>
        </row>
        <row r="32">
          <cell r="D32" t="str">
            <v>Dry Ice 1kg</v>
          </cell>
        </row>
        <row r="33">
          <cell r="D33" t="str">
            <v>Cutlery 9 in 1</v>
          </cell>
        </row>
        <row r="34">
          <cell r="D34" t="str">
            <v>Refresher Towel</v>
          </cell>
        </row>
        <row r="35">
          <cell r="D35" t="str">
            <v>Security Trolley Seals</v>
          </cell>
        </row>
        <row r="36">
          <cell r="D36" t="str">
            <v>Lemon Sliced in disposable bowl</v>
          </cell>
        </row>
        <row r="37">
          <cell r="D37" t="str">
            <v>Disposable bowl</v>
          </cell>
        </row>
        <row r="38">
          <cell r="D38" t="str">
            <v>Disposable paper cup</v>
          </cell>
        </row>
        <row r="39">
          <cell r="D39" t="str">
            <v xml:space="preserve">Disposable Lunch Box </v>
          </cell>
        </row>
        <row r="40">
          <cell r="D40" t="str">
            <v>Disposable plastic Glass</v>
          </cell>
        </row>
        <row r="41">
          <cell r="D41" t="str">
            <v>Bath Roll</v>
          </cell>
        </row>
        <row r="42">
          <cell r="D42" t="str">
            <v>Facial Tissue Box</v>
          </cell>
        </row>
        <row r="43">
          <cell r="D43" t="str">
            <v>Hand Towel Roll</v>
          </cell>
        </row>
        <row r="44">
          <cell r="D44" t="str">
            <v>Bulk Tray - Vegetarian (Fasting)</v>
          </cell>
        </row>
        <row r="45">
          <cell r="D45" t="str">
            <v>Bulk Tray - Pasta (Fasting)</v>
          </cell>
        </row>
        <row r="46">
          <cell r="D46" t="str">
            <v>Ginger Ale 355mL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D200-3388-4338-B230-91924FAF15F8}">
  <sheetPr>
    <tabColor rgb="FF00B050"/>
    <pageSetUpPr fitToPage="1"/>
  </sheetPr>
  <dimension ref="A1:M51"/>
  <sheetViews>
    <sheetView showGridLines="0" zoomScaleNormal="100" workbookViewId="0">
      <selection activeCell="G15" sqref="G15"/>
    </sheetView>
  </sheetViews>
  <sheetFormatPr defaultRowHeight="15" x14ac:dyDescent="0.25"/>
  <cols>
    <col min="1" max="1" width="5.7109375" style="24" customWidth="1"/>
    <col min="2" max="2" width="5.7109375" style="189" customWidth="1"/>
    <col min="3" max="3" width="2.7109375" style="190" customWidth="1"/>
    <col min="5" max="5" width="29.140625" customWidth="1"/>
    <col min="6" max="6" width="26.140625" customWidth="1"/>
    <col min="7" max="7" width="5" customWidth="1"/>
    <col min="8" max="8" width="9.7109375" bestFit="1" customWidth="1"/>
    <col min="9" max="9" width="2.7109375" customWidth="1"/>
    <col min="10" max="10" width="2.42578125" style="187" customWidth="1"/>
  </cols>
  <sheetData>
    <row r="1" spans="1:8" x14ac:dyDescent="0.25">
      <c r="A1" s="188" t="s">
        <v>0</v>
      </c>
      <c r="B1" s="189" t="s">
        <v>1</v>
      </c>
    </row>
    <row r="2" spans="1:8" x14ac:dyDescent="0.25">
      <c r="A2" s="188"/>
      <c r="H2" s="271">
        <v>45887</v>
      </c>
    </row>
    <row r="3" spans="1:8" x14ac:dyDescent="0.25">
      <c r="A3" s="188"/>
    </row>
    <row r="4" spans="1:8" x14ac:dyDescent="0.25">
      <c r="A4" s="188"/>
      <c r="E4" s="1"/>
    </row>
    <row r="5" spans="1:8" x14ac:dyDescent="0.25">
      <c r="A5" s="188"/>
      <c r="E5" s="1"/>
    </row>
    <row r="6" spans="1:8" x14ac:dyDescent="0.25">
      <c r="A6" s="188"/>
      <c r="E6" s="1"/>
    </row>
    <row r="7" spans="1:8" x14ac:dyDescent="0.25">
      <c r="A7" s="188"/>
      <c r="E7" s="1"/>
    </row>
    <row r="8" spans="1:8" ht="18.75" x14ac:dyDescent="0.3">
      <c r="A8" s="188"/>
      <c r="E8" s="221" t="s">
        <v>2</v>
      </c>
    </row>
    <row r="9" spans="1:8" ht="22.5" customHeight="1" x14ac:dyDescent="0.3">
      <c r="A9" s="188"/>
      <c r="E9" s="221" t="str">
        <f>"FLIGHT NO:  "&amp;'Inv Detail'!J2</f>
        <v>FLIGHT NO:  ET519</v>
      </c>
    </row>
    <row r="10" spans="1:8" ht="24.75" customHeight="1" x14ac:dyDescent="0.35">
      <c r="A10" s="188"/>
      <c r="E10" s="222" t="s">
        <v>3</v>
      </c>
    </row>
    <row r="11" spans="1:8" ht="24.75" customHeight="1" x14ac:dyDescent="0.35">
      <c r="A11" s="188"/>
      <c r="E11" s="222" t="s">
        <v>436</v>
      </c>
    </row>
    <row r="12" spans="1:8" ht="18" x14ac:dyDescent="0.25">
      <c r="A12" s="188"/>
      <c r="E12" s="224" t="str">
        <f>"Invoice Number:  "&amp;'Inv Detail'!G1</f>
        <v>Invoice Number:  ET202605B</v>
      </c>
    </row>
    <row r="13" spans="1:8" ht="18" x14ac:dyDescent="0.25">
      <c r="A13" s="188"/>
      <c r="E13" s="224" t="str">
        <f>"DATE:  "&amp;TEXT('Inv Detail'!G2,"dd-mmm-yyyy")</f>
        <v>DATE:  18-Jun-2026</v>
      </c>
    </row>
    <row r="14" spans="1:8" x14ac:dyDescent="0.25">
      <c r="A14" s="188"/>
      <c r="E14" s="1"/>
      <c r="F14" s="223"/>
      <c r="G14" s="223"/>
      <c r="H14" s="223"/>
    </row>
    <row r="15" spans="1:8" ht="18" x14ac:dyDescent="0.25">
      <c r="A15" s="188">
        <v>14</v>
      </c>
      <c r="B15" s="189" t="s">
        <v>4</v>
      </c>
      <c r="E15" s="224" t="s">
        <v>5</v>
      </c>
      <c r="F15" s="226">
        <f>SUM('Inv Detail'!Q15:Q58)</f>
        <v>39619.977347475717</v>
      </c>
      <c r="G15" s="223" t="str">
        <f>IF(G$9="","",'DN01'!$F$14+'DN01'!$J$25-3)</f>
        <v/>
      </c>
      <c r="H15" s="223"/>
    </row>
    <row r="16" spans="1:8" ht="18" x14ac:dyDescent="0.25">
      <c r="A16" s="188">
        <v>16</v>
      </c>
      <c r="B16" s="189" t="s">
        <v>6</v>
      </c>
      <c r="E16" s="224"/>
      <c r="F16" s="225"/>
      <c r="G16" s="223"/>
      <c r="H16" s="223"/>
    </row>
    <row r="17" spans="1:8" ht="18" x14ac:dyDescent="0.25">
      <c r="A17" s="188">
        <v>18</v>
      </c>
      <c r="B17" s="189" t="s">
        <v>7</v>
      </c>
      <c r="E17" s="224" t="s">
        <v>8</v>
      </c>
      <c r="F17" s="226">
        <f>SUM('Inv Detail'!Q10:Q14)</f>
        <v>4200</v>
      </c>
      <c r="G17" s="223"/>
      <c r="H17" s="223"/>
    </row>
    <row r="18" spans="1:8" ht="18" x14ac:dyDescent="0.25">
      <c r="A18" s="188">
        <v>21</v>
      </c>
      <c r="B18" s="189" t="s">
        <v>9</v>
      </c>
      <c r="E18" s="224"/>
      <c r="F18" s="225"/>
      <c r="G18" s="223"/>
      <c r="H18" s="223"/>
    </row>
    <row r="19" spans="1:8" ht="18" x14ac:dyDescent="0.25">
      <c r="A19" s="188">
        <v>17</v>
      </c>
      <c r="B19" s="189" t="s">
        <v>10</v>
      </c>
      <c r="E19" s="224" t="s">
        <v>11</v>
      </c>
      <c r="F19" s="226">
        <f>SUM(F15:F18)</f>
        <v>43819.977347475717</v>
      </c>
      <c r="G19" s="223"/>
      <c r="H19" s="223"/>
    </row>
    <row r="20" spans="1:8" ht="18" x14ac:dyDescent="0.25">
      <c r="A20" s="188">
        <v>19</v>
      </c>
      <c r="B20" s="189" t="s">
        <v>12</v>
      </c>
      <c r="E20" s="224"/>
      <c r="F20" s="226"/>
      <c r="G20" s="223"/>
      <c r="H20" s="223"/>
    </row>
    <row r="21" spans="1:8" ht="18" x14ac:dyDescent="0.25">
      <c r="A21" s="188">
        <v>20</v>
      </c>
      <c r="B21" s="189" t="s">
        <v>12</v>
      </c>
      <c r="E21" s="224" t="s">
        <v>13</v>
      </c>
      <c r="F21" s="226">
        <v>0</v>
      </c>
      <c r="G21" s="223"/>
      <c r="H21" s="223"/>
    </row>
    <row r="22" spans="1:8" ht="18" x14ac:dyDescent="0.25">
      <c r="A22" s="188">
        <v>78</v>
      </c>
      <c r="B22" s="189" t="s">
        <v>14</v>
      </c>
      <c r="E22" s="224"/>
      <c r="F22" s="226"/>
      <c r="G22" s="223"/>
      <c r="H22" s="223"/>
    </row>
    <row r="23" spans="1:8" ht="18" x14ac:dyDescent="0.25">
      <c r="A23" s="188">
        <v>98</v>
      </c>
      <c r="B23" s="189" t="s">
        <v>15</v>
      </c>
      <c r="E23" s="224" t="s">
        <v>16</v>
      </c>
      <c r="F23" s="226">
        <v>0</v>
      </c>
      <c r="G23" s="223"/>
      <c r="H23" s="223"/>
    </row>
    <row r="24" spans="1:8" ht="18" x14ac:dyDescent="0.25">
      <c r="A24" s="207" t="s">
        <v>17</v>
      </c>
      <c r="B24" s="208" t="s">
        <v>17</v>
      </c>
      <c r="E24" s="224"/>
      <c r="F24" s="226"/>
      <c r="G24" s="223"/>
      <c r="H24" s="223"/>
    </row>
    <row r="25" spans="1:8" ht="18" x14ac:dyDescent="0.25">
      <c r="A25" s="188">
        <v>39</v>
      </c>
      <c r="B25" s="189" t="s">
        <v>18</v>
      </c>
      <c r="E25" s="224" t="s">
        <v>19</v>
      </c>
      <c r="F25" s="226">
        <f>SUM(F19:F23)</f>
        <v>43819.977347475717</v>
      </c>
      <c r="G25" s="223"/>
      <c r="H25" s="223"/>
    </row>
    <row r="26" spans="1:8" ht="18" x14ac:dyDescent="0.25">
      <c r="A26" s="188">
        <v>41</v>
      </c>
      <c r="B26" s="189" t="s">
        <v>20</v>
      </c>
      <c r="E26" s="224"/>
      <c r="F26" s="226"/>
      <c r="G26" s="223"/>
      <c r="H26" s="223"/>
    </row>
    <row r="27" spans="1:8" ht="18" x14ac:dyDescent="0.25">
      <c r="A27" s="188">
        <v>43</v>
      </c>
      <c r="B27" s="189" t="s">
        <v>20</v>
      </c>
      <c r="E27" s="224" t="s">
        <v>21</v>
      </c>
      <c r="F27" s="227">
        <f>'Inv Detail'!G3</f>
        <v>46221</v>
      </c>
    </row>
    <row r="28" spans="1:8" x14ac:dyDescent="0.25">
      <c r="A28" s="188">
        <v>33</v>
      </c>
      <c r="B28" s="189" t="s">
        <v>22</v>
      </c>
    </row>
    <row r="29" spans="1:8" x14ac:dyDescent="0.25">
      <c r="A29" s="188">
        <v>88</v>
      </c>
      <c r="B29" s="189" t="s">
        <v>23</v>
      </c>
    </row>
    <row r="30" spans="1:8" x14ac:dyDescent="0.25">
      <c r="A30" s="188">
        <v>105</v>
      </c>
      <c r="B30" s="189" t="s">
        <v>24</v>
      </c>
    </row>
    <row r="31" spans="1:8" x14ac:dyDescent="0.25">
      <c r="A31" s="207" t="s">
        <v>17</v>
      </c>
      <c r="B31" s="208" t="s">
        <v>17</v>
      </c>
    </row>
    <row r="32" spans="1:8" x14ac:dyDescent="0.25">
      <c r="A32" s="188">
        <v>42</v>
      </c>
      <c r="B32" s="189" t="s">
        <v>20</v>
      </c>
    </row>
    <row r="33" spans="1:2" x14ac:dyDescent="0.25">
      <c r="A33" s="188">
        <v>44</v>
      </c>
      <c r="B33" s="189" t="s">
        <v>20</v>
      </c>
    </row>
    <row r="34" spans="1:2" x14ac:dyDescent="0.25">
      <c r="A34" s="195" t="s">
        <v>25</v>
      </c>
      <c r="B34" s="196" t="s">
        <v>26</v>
      </c>
    </row>
    <row r="35" spans="1:2" x14ac:dyDescent="0.25">
      <c r="A35" s="188"/>
    </row>
    <row r="36" spans="1:2" x14ac:dyDescent="0.25">
      <c r="A36" s="188"/>
    </row>
    <row r="37" spans="1:2" x14ac:dyDescent="0.25">
      <c r="A37" s="188"/>
    </row>
    <row r="51" spans="7:13" x14ac:dyDescent="0.25">
      <c r="G51" s="270">
        <f>SUMPRODUCT($F$10:$F$50,G10:G50)</f>
        <v>0</v>
      </c>
      <c r="H51" s="270">
        <f t="shared" ref="H51:M51" si="0">SUMPRODUCT($F$10:$F$50,H10:H50)</f>
        <v>0</v>
      </c>
      <c r="I51" s="270">
        <f t="shared" si="0"/>
        <v>0</v>
      </c>
      <c r="J51" s="270">
        <f t="shared" si="0"/>
        <v>0</v>
      </c>
      <c r="K51" s="270">
        <f t="shared" si="0"/>
        <v>0</v>
      </c>
      <c r="L51" s="270">
        <f t="shared" si="0"/>
        <v>0</v>
      </c>
      <c r="M51" s="270">
        <f t="shared" si="0"/>
        <v>0</v>
      </c>
    </row>
  </sheetData>
  <printOptions horizontalCentered="1"/>
  <pageMargins left="0.75" right="0.5" top="0.5" bottom="0.5" header="0.3" footer="0.3"/>
  <pageSetup orientation="portrait" r:id="rId1"/>
  <headerFooter>
    <oddFooter>&amp;L&amp;F&amp;C&amp;P/&amp;N&amp;R&amp;9&amp;D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F61"/>
  <sheetViews>
    <sheetView showGridLines="0" tabSelected="1" zoomScale="110" zoomScaleNormal="110" workbookViewId="0">
      <selection activeCell="T1" sqref="T1:V23"/>
    </sheetView>
  </sheetViews>
  <sheetFormatPr defaultRowHeight="15" x14ac:dyDescent="0.25"/>
  <cols>
    <col min="1" max="1" width="4.5703125" style="24" bestFit="1" customWidth="1"/>
    <col min="2" max="2" width="7.140625" style="189" bestFit="1" customWidth="1"/>
    <col min="3" max="3" width="0.85546875" style="190" customWidth="1"/>
    <col min="4" max="4" width="6" customWidth="1"/>
    <col min="5" max="5" width="63.28515625" customWidth="1"/>
    <col min="6" max="6" width="11.85546875" customWidth="1"/>
    <col min="7" max="7" width="10.140625" bestFit="1" customWidth="1"/>
    <col min="8" max="8" width="9.140625" bestFit="1" customWidth="1"/>
    <col min="9" max="9" width="9.28515625" customWidth="1"/>
    <col min="10" max="10" width="11.5703125" customWidth="1"/>
    <col min="11" max="16" width="5" hidden="1" customWidth="1"/>
    <col min="17" max="17" width="11.5703125" bestFit="1" customWidth="1"/>
    <col min="18" max="18" width="0.7109375" customWidth="1"/>
    <col min="19" max="19" width="2.42578125" style="187" customWidth="1"/>
    <col min="20" max="20" width="44.28515625" bestFit="1" customWidth="1"/>
    <col min="21" max="21" width="9.140625" customWidth="1"/>
    <col min="22" max="23" width="8.7109375" bestFit="1" customWidth="1"/>
    <col min="24" max="24" width="10.5703125" customWidth="1"/>
    <col min="25" max="25" width="3" bestFit="1" customWidth="1"/>
    <col min="26" max="26" width="2" bestFit="1" customWidth="1"/>
    <col min="27" max="27" width="4" bestFit="1" customWidth="1"/>
  </cols>
  <sheetData>
    <row r="1" spans="1:32" x14ac:dyDescent="0.25">
      <c r="A1" s="188" t="s">
        <v>0</v>
      </c>
      <c r="B1" s="189" t="s">
        <v>1</v>
      </c>
      <c r="F1" s="8" t="s">
        <v>27</v>
      </c>
      <c r="G1" s="327" t="str">
        <f>"ET"&amp;TEXT(G9,"YYYYMM")&amp;IF(DAY(G9)&lt;16,"A","B")</f>
        <v>ET202605B</v>
      </c>
      <c r="H1" s="327"/>
      <c r="I1" s="8" t="s">
        <v>28</v>
      </c>
      <c r="J1" s="8" t="s">
        <v>29</v>
      </c>
      <c r="V1" t="s">
        <v>30</v>
      </c>
      <c r="W1" t="s">
        <v>31</v>
      </c>
      <c r="X1" t="s">
        <v>32</v>
      </c>
    </row>
    <row r="2" spans="1:32" x14ac:dyDescent="0.25">
      <c r="A2" s="188"/>
      <c r="F2" s="8" t="s">
        <v>33</v>
      </c>
      <c r="G2" s="328">
        <v>46191</v>
      </c>
      <c r="H2" s="328"/>
      <c r="I2" s="8" t="s">
        <v>34</v>
      </c>
      <c r="J2" s="8" t="s">
        <v>35</v>
      </c>
      <c r="V2" s="228">
        <v>46023</v>
      </c>
      <c r="W2" s="228">
        <v>46082</v>
      </c>
      <c r="X2" s="228">
        <v>46143</v>
      </c>
      <c r="AA2" s="13"/>
      <c r="AB2" s="13"/>
      <c r="AC2" s="13"/>
      <c r="AD2" s="13"/>
      <c r="AE2" s="13"/>
      <c r="AF2" s="13"/>
    </row>
    <row r="3" spans="1:32" x14ac:dyDescent="0.25">
      <c r="A3" s="188"/>
      <c r="F3" s="8" t="s">
        <v>36</v>
      </c>
      <c r="G3" s="328">
        <f>G2+30</f>
        <v>46221</v>
      </c>
      <c r="H3" s="328"/>
      <c r="I3" s="8" t="s">
        <v>3</v>
      </c>
      <c r="J3" s="8"/>
      <c r="T3" s="182" t="s">
        <v>37</v>
      </c>
      <c r="AA3" s="13"/>
      <c r="AB3" s="13"/>
      <c r="AC3" s="13"/>
      <c r="AD3" s="13"/>
      <c r="AE3" s="13"/>
      <c r="AF3" s="13"/>
    </row>
    <row r="4" spans="1:32" x14ac:dyDescent="0.25">
      <c r="A4" s="188"/>
      <c r="E4" s="1"/>
      <c r="T4" s="183">
        <v>3</v>
      </c>
    </row>
    <row r="5" spans="1:32" x14ac:dyDescent="0.25">
      <c r="A5" s="188"/>
      <c r="E5" s="1"/>
    </row>
    <row r="6" spans="1:32" x14ac:dyDescent="0.25">
      <c r="A6" s="188"/>
      <c r="E6" s="1"/>
    </row>
    <row r="7" spans="1:32" x14ac:dyDescent="0.25">
      <c r="A7" s="188"/>
      <c r="E7" s="1" t="s">
        <v>38</v>
      </c>
    </row>
    <row r="8" spans="1:32" x14ac:dyDescent="0.25">
      <c r="A8" s="188"/>
      <c r="E8" s="8"/>
      <c r="G8" s="214" t="str">
        <f>TEXT(G9,"DDD")</f>
        <v>Fri</v>
      </c>
      <c r="H8" s="214" t="str">
        <f t="shared" ref="H8:P8" si="0">TEXT(H9,"DDD")</f>
        <v>Mon</v>
      </c>
      <c r="I8" s="214" t="str">
        <f t="shared" si="0"/>
        <v>Wed</v>
      </c>
      <c r="J8" s="214" t="str">
        <f t="shared" si="0"/>
        <v>Fri</v>
      </c>
      <c r="K8" s="214" t="str">
        <f t="shared" si="0"/>
        <v/>
      </c>
      <c r="L8" s="214" t="str">
        <f t="shared" si="0"/>
        <v/>
      </c>
      <c r="M8" s="214" t="str">
        <f t="shared" si="0"/>
        <v/>
      </c>
      <c r="N8" s="214" t="str">
        <f t="shared" si="0"/>
        <v/>
      </c>
      <c r="O8" s="214" t="str">
        <f t="shared" si="0"/>
        <v/>
      </c>
      <c r="P8" s="214" t="str">
        <f t="shared" si="0"/>
        <v/>
      </c>
      <c r="V8" s="12" t="s">
        <v>513</v>
      </c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25">
      <c r="A9" s="188"/>
      <c r="D9" s="217" t="s">
        <v>39</v>
      </c>
      <c r="E9" s="218" t="s">
        <v>40</v>
      </c>
      <c r="F9" s="219" t="s">
        <v>41</v>
      </c>
      <c r="G9" s="220">
        <f>IF('DN01'!$N$1="","",'DN01'!$N$1)</f>
        <v>46164</v>
      </c>
      <c r="H9" s="220">
        <f>IF('DN02'!$N$1="","",'DN02'!$N$1)</f>
        <v>46167</v>
      </c>
      <c r="I9" s="220">
        <f>IF('DN03'!$N$1="","",'DN03'!$N$1)</f>
        <v>46169</v>
      </c>
      <c r="J9" s="220">
        <f>IF('DN04'!$N$1="","",'DN04'!$N$1)</f>
        <v>46171</v>
      </c>
      <c r="K9" s="220" t="str">
        <f>IF('DN05'!$N$1="","",'DN05'!$N$1)</f>
        <v/>
      </c>
      <c r="L9" s="220" t="str">
        <f>IF('DN06'!$N$1="","",'DN06'!$N$1)</f>
        <v/>
      </c>
      <c r="M9" s="220" t="str">
        <f>IF('DN07'!$N$1="","",'DN07'!$N$1)</f>
        <v/>
      </c>
      <c r="N9" s="220" t="str">
        <f>IF('DN08'!$N$1="","",'DN08'!$N$1)</f>
        <v/>
      </c>
      <c r="O9" s="220" t="str">
        <f>IF('DN09'!$N$1="","",'DN09'!$N$1)</f>
        <v/>
      </c>
      <c r="P9" s="220" t="str">
        <f>IF('DN10'!$N$1="","",'DN10'!$N$1)</f>
        <v/>
      </c>
      <c r="Q9" s="218" t="s">
        <v>11</v>
      </c>
      <c r="T9" s="12" t="s">
        <v>42</v>
      </c>
      <c r="V9" s="12" t="s">
        <v>512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15.75" x14ac:dyDescent="0.25">
      <c r="A10" s="188">
        <v>49</v>
      </c>
      <c r="B10" s="189" t="s">
        <v>12</v>
      </c>
      <c r="D10" s="215">
        <v>1</v>
      </c>
      <c r="E10" s="216" t="s">
        <v>43</v>
      </c>
      <c r="F10" s="186" cm="1">
        <f t="array" ref="F10">_xlfn.XLOOKUP($A10,'ET Standar Price List'!$A:$A,_xlfn.SWITCH($T$4,1,'ET Standar Price List'!$G:$G,2,'ET Standar Price List'!$J:$J,3,'ET Standar Price List'!$M:$M),"XX")</f>
        <v>400</v>
      </c>
      <c r="G10" s="229">
        <f>IF(G$9="","",'DN01'!$F$35)</f>
        <v>1</v>
      </c>
      <c r="H10" s="229">
        <f>IF(H$9="","",'DN02'!$F$35)</f>
        <v>1</v>
      </c>
      <c r="I10" s="229">
        <f>IF(I$9="","",'DN02'!$F$35)</f>
        <v>1</v>
      </c>
      <c r="J10" s="229">
        <f>IF(J$9="","",'DN04'!$F$35)</f>
        <v>1</v>
      </c>
      <c r="K10" s="229" t="str">
        <f>IF(K$9="","",'DN05'!$F$35)</f>
        <v/>
      </c>
      <c r="L10" s="229" t="str">
        <f>IF(L$9="","",'DN06'!$F$35)</f>
        <v/>
      </c>
      <c r="M10" s="229" t="str">
        <f>IF(M$9="","",'DN07'!$F$35)</f>
        <v/>
      </c>
      <c r="N10" s="229" t="str">
        <f>IF(N$9="","",'DN08'!$F$35)</f>
        <v/>
      </c>
      <c r="O10" s="229" t="str">
        <f>IF(O$9="","",'DN09'!$F$35)</f>
        <v/>
      </c>
      <c r="P10" s="229" t="str">
        <f>IF(P$9="","",'DN10'!$F$35)</f>
        <v/>
      </c>
      <c r="Q10" s="10">
        <f>IF(F10="","",SUM(G10:P10)*F10)</f>
        <v>1600</v>
      </c>
      <c r="T10" t="str">
        <f>IF(G10="","",VLOOKUP(A10,'ET Standar Price List'!A:M,4,0))</f>
        <v>B787</v>
      </c>
    </row>
    <row r="11" spans="1:32" ht="15.75" x14ac:dyDescent="0.25">
      <c r="A11" s="188">
        <v>51</v>
      </c>
      <c r="B11" s="189" t="s">
        <v>12</v>
      </c>
      <c r="D11" s="7">
        <f>D10+1</f>
        <v>2</v>
      </c>
      <c r="E11" s="211" t="s">
        <v>44</v>
      </c>
      <c r="F11" s="9" cm="1">
        <f t="array" ref="F11">_xlfn.XLOOKUP($A11,'ET Standar Price List'!$A:$A,_xlfn.SWITCH($T$4,1,'ET Standar Price List'!$G:$G,2,'ET Standar Price List'!$J:$J,3,'ET Standar Price List'!$M:$M),"XX")</f>
        <v>200</v>
      </c>
      <c r="G11" s="230">
        <f>IF(G$9="","",'DN01'!$F$36)</f>
        <v>1</v>
      </c>
      <c r="H11" s="230">
        <f>IF(H$9="","",'DN02'!$F$36)</f>
        <v>1</v>
      </c>
      <c r="I11" s="230">
        <f>IF(I$9="","",'DN02'!$F$36)</f>
        <v>1</v>
      </c>
      <c r="J11" s="230">
        <f>IF(J$9="","",'DN04'!$F$36)</f>
        <v>1</v>
      </c>
      <c r="K11" s="230" t="str">
        <f>IF(K$9="","",'DN05'!$F$36)</f>
        <v/>
      </c>
      <c r="L11" s="230" t="str">
        <f>IF(L$9="","",'DN06'!$F$36)</f>
        <v/>
      </c>
      <c r="M11" s="230" t="str">
        <f>IF(M$9="","",'DN07'!$F$36)</f>
        <v/>
      </c>
      <c r="N11" s="230" t="str">
        <f>IF(N$9="","",'DN08'!$F$36)</f>
        <v/>
      </c>
      <c r="O11" s="230" t="str">
        <f>IF(O$9="","",'DN09'!$F$36)</f>
        <v/>
      </c>
      <c r="P11" s="230" t="str">
        <f>IF(P$9="","",'DN10'!$F$36)</f>
        <v/>
      </c>
      <c r="Q11" s="10">
        <f>IF(F11="","",SUM(G11:P11)*F11)</f>
        <v>800</v>
      </c>
      <c r="T11" t="str">
        <f>IF(G11="","",VLOOKUP(A11,'ET Standar Price List'!A:M,4,0))</f>
        <v>Van Trip</v>
      </c>
      <c r="U11" s="3"/>
    </row>
    <row r="12" spans="1:32" ht="15.75" x14ac:dyDescent="0.25">
      <c r="A12" s="188">
        <v>52</v>
      </c>
      <c r="B12" s="189" t="s">
        <v>12</v>
      </c>
      <c r="D12" s="215">
        <v>3</v>
      </c>
      <c r="E12" s="211" t="s">
        <v>45</v>
      </c>
      <c r="F12" s="9" cm="1">
        <f t="array" ref="F12">_xlfn.XLOOKUP($A12,'ET Standar Price List'!$A:$A,_xlfn.SWITCH($T$4,1,'ET Standar Price List'!$G:$G,2,'ET Standar Price List'!$J:$J,3,'ET Standar Price List'!$M:$M),"XX")</f>
        <v>250</v>
      </c>
      <c r="G12" s="23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10">
        <f t="shared" ref="Q12:Q58" si="1">IF(F12="","",SUM(G12:P12)*F12)</f>
        <v>0</v>
      </c>
      <c r="T12" t="str">
        <f>IF(G12="","",VLOOKUP(A12,'ET Standar Price List'!A:M,4,0))</f>
        <v>Custom Clearance Chrg</v>
      </c>
    </row>
    <row r="13" spans="1:32" ht="15.75" x14ac:dyDescent="0.25">
      <c r="A13" s="188">
        <v>54</v>
      </c>
      <c r="B13" s="189" t="s">
        <v>12</v>
      </c>
      <c r="D13" s="7">
        <v>4</v>
      </c>
      <c r="E13" s="211" t="s">
        <v>46</v>
      </c>
      <c r="F13" s="9" cm="1">
        <f t="array" ref="F13">_xlfn.XLOOKUP($A13,'ET Standar Price List'!$A:$A,_xlfn.SWITCH($T$4,1,'ET Standar Price List'!$G:$G,2,'ET Standar Price List'!$J:$J,3,'ET Standar Price List'!$M:$M),"XX")</f>
        <v>200</v>
      </c>
      <c r="G13" s="230">
        <f>IF(G$9="","",'DN01'!$F$34)</f>
        <v>0.5</v>
      </c>
      <c r="H13" s="230">
        <f>IF(H$9="","",'DN01'!$F$34)</f>
        <v>0.5</v>
      </c>
      <c r="I13" s="230">
        <f>IF(I$9="","",'DN01'!$F$34)</f>
        <v>0.5</v>
      </c>
      <c r="J13" s="230">
        <f>IF(J$9="","",'DN01'!$F$34)</f>
        <v>0.5</v>
      </c>
      <c r="K13" s="230" t="str">
        <f>IF(K$9="","",'DN01'!$F$34)</f>
        <v/>
      </c>
      <c r="L13" s="230" t="str">
        <f>IF(L$9="","",'DN01'!$F$34)</f>
        <v/>
      </c>
      <c r="M13" s="230" t="str">
        <f>IF(M$9="","",'DN01'!$F$34)</f>
        <v/>
      </c>
      <c r="N13" s="230" t="str">
        <f>IF(N$9="","",'DN01'!$F$34)</f>
        <v/>
      </c>
      <c r="O13" s="230" t="str">
        <f>IF(O$9="","",'DN01'!$F$34)</f>
        <v/>
      </c>
      <c r="P13" s="230" t="str">
        <f>IF(P$9="","",'DN01'!$F$34)</f>
        <v/>
      </c>
      <c r="Q13" s="10">
        <f>IF(F13="","",SUM(G13:P13)*F13)</f>
        <v>400</v>
      </c>
      <c r="T13" t="str">
        <f>IF(G13="","",VLOOKUP(A13,'ET Standar Price List'!A:M,4,0))</f>
        <v>Linen Napkin (Laundry Items are charged per KG</v>
      </c>
    </row>
    <row r="14" spans="1:32" ht="15.75" x14ac:dyDescent="0.25">
      <c r="A14" s="188">
        <v>55</v>
      </c>
      <c r="B14" s="189" t="s">
        <v>12</v>
      </c>
      <c r="D14" s="215">
        <v>5</v>
      </c>
      <c r="E14" s="407" t="s">
        <v>428</v>
      </c>
      <c r="F14" s="339" cm="1">
        <f t="array" ref="F14">_xlfn.XLOOKUP($A14,'ET Standar Price List'!$A:$A,_xlfn.SWITCH($T$4,1,'ET Standar Price List'!$G:$G,2,'ET Standar Price List'!$J:$J,3,'ET Standar Price List'!$M:$M),"XX")</f>
        <v>350</v>
      </c>
      <c r="G14" s="230">
        <f>IF(G$9="","",'DN01'!$F$37)</f>
        <v>1</v>
      </c>
      <c r="H14" s="230">
        <f>IF(H$9="","",'DN01'!$F$37)</f>
        <v>1</v>
      </c>
      <c r="I14" s="230">
        <f>IF(I$9="","",'DN01'!$F$37)</f>
        <v>1</v>
      </c>
      <c r="J14" s="230">
        <f>IF(J$9="","",'DN01'!$F$37)</f>
        <v>1</v>
      </c>
      <c r="K14" s="230" t="str">
        <f>IF(K$9="","",'DN01'!$F$37)</f>
        <v/>
      </c>
      <c r="L14" s="230" t="str">
        <f>IF(L$9="","",'DN01'!$F$37)</f>
        <v/>
      </c>
      <c r="M14" s="230" t="str">
        <f>IF(M$9="","",'DN01'!$F$37)</f>
        <v/>
      </c>
      <c r="N14" s="230" t="str">
        <f>IF(N$9="","",'DN01'!$F$37)</f>
        <v/>
      </c>
      <c r="O14" s="230" t="str">
        <f>IF(O$9="","",'DN01'!$F$37)</f>
        <v/>
      </c>
      <c r="P14" s="230" t="str">
        <f>IF(P$9="","",'DN01'!$F$37)</f>
        <v/>
      </c>
      <c r="Q14" s="10">
        <f>IF(F14=" "," ",SUM(G14:P14)*F14)</f>
        <v>1400</v>
      </c>
      <c r="T14">
        <f>IF(G14="","",VLOOKUP(A14,'ET Standar Price List'!A:M,4,0))</f>
        <v>0</v>
      </c>
    </row>
    <row r="15" spans="1:32" ht="15.75" x14ac:dyDescent="0.25">
      <c r="A15" s="188">
        <v>14</v>
      </c>
      <c r="B15" s="189" t="s">
        <v>4</v>
      </c>
      <c r="D15" s="7">
        <v>6</v>
      </c>
      <c r="E15" s="185" t="str">
        <f>"CYC "&amp;T4&amp;" BC LCH/DNR"</f>
        <v>CYC 3 BC LCH/DNR</v>
      </c>
      <c r="F15" s="186" cm="1">
        <f t="array" ref="F15">_xlfn.XLOOKUP($A15,'ET Standar Price List'!$A:$A,_xlfn.SWITCH($T$4,1,'ET Standar Price List'!$G:$G,2,'ET Standar Price List'!$J:$J,3,'ET Standar Price List'!$M:$M),"XX")</f>
        <v>29.31502241721855</v>
      </c>
      <c r="G15" s="229">
        <f>MAX(IF(G$9="","",'DN01'!$F$14+'DN01'!$J$25-3),32)</f>
        <v>33</v>
      </c>
      <c r="H15" s="229">
        <f>MAX(IF(H$9="","",'DN02'!$F$14+'DN02'!$J$25-3),32)</f>
        <v>36</v>
      </c>
      <c r="I15" s="229">
        <f>MAX(IF(I$9="","",'DN03'!$F$14+'DN03'!$J$25-3),32)</f>
        <v>33</v>
      </c>
      <c r="J15" s="229">
        <f>MAX(IF(J$9="","",'DN04'!$F$14+'DN04'!$J$25-3),32)</f>
        <v>36</v>
      </c>
      <c r="K15" s="229" t="str">
        <f>IF(K$9="","",'DN05'!$F$14+'DN05'!$J$25-3)</f>
        <v/>
      </c>
      <c r="L15" s="229" t="str">
        <f>IF(L$9="","",'DN06'!$F$14+'DN06'!$J$25-3)</f>
        <v/>
      </c>
      <c r="M15" s="229" t="str">
        <f>IF(M$9="","",'DN07'!$F$14+'DN07'!$J$25-3)</f>
        <v/>
      </c>
      <c r="N15" s="229" t="str">
        <f>IF(N$9="","",'DN08'!$F$14+'DN08'!$J$25-3)</f>
        <v/>
      </c>
      <c r="O15" s="229" t="str">
        <f>IF(O$9="","",'DN09'!$F$14+'DN09'!$J$25-3)</f>
        <v/>
      </c>
      <c r="P15" s="229" t="str">
        <f>IF(P$9="","",'DN10'!$F$14+'DN10'!$J$25-3)</f>
        <v/>
      </c>
      <c r="Q15" s="10">
        <f t="shared" si="1"/>
        <v>4045.47309357616</v>
      </c>
      <c r="T15" t="str">
        <f>IF(G15="","",VLOOKUP(A15,'ET Standar Price List'!A:M,4,0))</f>
        <v>BC LCH/DNR  Price per passenger  Total</v>
      </c>
    </row>
    <row r="16" spans="1:32" ht="15.75" x14ac:dyDescent="0.25">
      <c r="A16" s="188">
        <v>16</v>
      </c>
      <c r="B16" s="189" t="s">
        <v>6</v>
      </c>
      <c r="D16" s="215">
        <v>7</v>
      </c>
      <c r="E16" s="5" t="s">
        <v>47</v>
      </c>
      <c r="F16" s="9" cm="1">
        <f t="array" ref="F16">_xlfn.XLOOKUP($A16,'ET Standar Price List'!$A:$A,_xlfn.SWITCH($T$4,1,'ET Standar Price List'!$G:$G,2,'ET Standar Price List'!$J:$J,3,'ET Standar Price List'!$M:$M),"XX")</f>
        <v>16.605</v>
      </c>
      <c r="G16" s="230">
        <f>IF(G$9="","",1)</f>
        <v>1</v>
      </c>
      <c r="H16" s="230">
        <f t="shared" ref="H16:P16" si="2">IF(H$9="","",1)</f>
        <v>1</v>
      </c>
      <c r="I16" s="230">
        <f t="shared" si="2"/>
        <v>1</v>
      </c>
      <c r="J16" s="230">
        <f t="shared" si="2"/>
        <v>1</v>
      </c>
      <c r="K16" s="230">
        <v>0</v>
      </c>
      <c r="L16" s="230" t="str">
        <f t="shared" si="2"/>
        <v/>
      </c>
      <c r="M16" s="230" t="str">
        <f t="shared" si="2"/>
        <v/>
      </c>
      <c r="N16" s="230" t="str">
        <f t="shared" si="2"/>
        <v/>
      </c>
      <c r="O16" s="230" t="str">
        <f t="shared" si="2"/>
        <v/>
      </c>
      <c r="P16" s="230" t="str">
        <f t="shared" si="2"/>
        <v/>
      </c>
      <c r="Q16" s="10">
        <f t="shared" si="1"/>
        <v>66.42</v>
      </c>
      <c r="T16" t="str">
        <f>IF(G16="","",VLOOKUP(A16,'ET Standar Price List'!A:M,4,0))</f>
        <v>Fruit Platter (STD ) =18 pieces</v>
      </c>
    </row>
    <row r="17" spans="1:20" ht="15.75" x14ac:dyDescent="0.25">
      <c r="A17" s="188">
        <v>18</v>
      </c>
      <c r="B17" s="189" t="s">
        <v>7</v>
      </c>
      <c r="D17" s="7">
        <v>8</v>
      </c>
      <c r="E17" s="5" t="s">
        <v>48</v>
      </c>
      <c r="F17" s="9" cm="1">
        <f t="array" ref="F17">_xlfn.XLOOKUP($A17,'ET Standar Price List'!$A:$A,_xlfn.SWITCH($T$4,1,'ET Standar Price List'!$G:$G,2,'ET Standar Price List'!$J:$J,3,'ET Standar Price List'!$M:$M),"XX")</f>
        <v>6.75</v>
      </c>
      <c r="G17" s="230">
        <f>IF(G$9="","",'DN01'!$F$32)</f>
        <v>1</v>
      </c>
      <c r="H17" s="230">
        <f>IF(H$9="","",'DN02'!$F$32)</f>
        <v>2</v>
      </c>
      <c r="I17" s="230">
        <f>IF(I$9="","",'DN03'!$F$32)</f>
        <v>2</v>
      </c>
      <c r="J17" s="230">
        <f>IF(J$9="","",'DN04'!$F$32)</f>
        <v>1</v>
      </c>
      <c r="K17" s="230" t="str">
        <f>IF(K$9="","",'DN05'!$F$32)</f>
        <v/>
      </c>
      <c r="L17" s="230" t="str">
        <f>IF(L$9="","",'DN06'!$F$32)</f>
        <v/>
      </c>
      <c r="M17" s="230" t="str">
        <f>IF(M$9="","",'DN07'!$F$32)</f>
        <v/>
      </c>
      <c r="N17" s="230" t="str">
        <f>IF(N$9="","",'DN08'!$F$32)</f>
        <v/>
      </c>
      <c r="O17" s="230" t="str">
        <f>IF(O$9="","",'DN09'!$F$32)</f>
        <v/>
      </c>
      <c r="P17" s="230" t="str">
        <f>IF(P$9="","",'DN10'!$F$32)</f>
        <v/>
      </c>
      <c r="Q17" s="10">
        <f t="shared" si="1"/>
        <v>40.5</v>
      </c>
      <c r="T17" t="str">
        <f>IF(G17="","",VLOOKUP(A17,'ET Standar Price List'!A:M,4,0))</f>
        <v xml:space="preserve">Garlic Bread 1 OF 10 PCS
</v>
      </c>
    </row>
    <row r="18" spans="1:20" ht="15.75" x14ac:dyDescent="0.25">
      <c r="A18" s="188">
        <v>21</v>
      </c>
      <c r="B18" s="189" t="s">
        <v>9</v>
      </c>
      <c r="D18" s="215">
        <v>9</v>
      </c>
      <c r="E18" s="4" t="s">
        <v>49</v>
      </c>
      <c r="F18" s="9" cm="1">
        <f t="array" ref="F18">_xlfn.XLOOKUP($A18,'ET Standar Price List'!$A:$A,_xlfn.SWITCH($T$4,1,'ET Standar Price List'!$G:$G,2,'ET Standar Price List'!$J:$J,3,'ET Standar Price List'!$M:$M),"XX")</f>
        <v>26.941556291390732</v>
      </c>
      <c r="G18" s="230">
        <f>IF(G$9="","",'DN01'!$F$30)</f>
        <v>1</v>
      </c>
      <c r="H18" s="230">
        <f>IF(H$9="","",'DN02'!$F$30)</f>
        <v>2</v>
      </c>
      <c r="I18" s="230">
        <f>IF(I$9="","",'DN03'!$F$30)</f>
        <v>2</v>
      </c>
      <c r="J18" s="230">
        <f>IF(J$9="","",'DN04'!$F$30)</f>
        <v>2</v>
      </c>
      <c r="K18" s="230" t="str">
        <f>IF(K$9="","",'DN05'!$F$30)</f>
        <v/>
      </c>
      <c r="L18" s="230" t="str">
        <f>IF(L$9="","",'DN06'!$F$30)</f>
        <v/>
      </c>
      <c r="M18" s="230" t="str">
        <f>IF(M$9="","",'DN07'!$F$30)</f>
        <v/>
      </c>
      <c r="N18" s="230" t="str">
        <f>IF(N$9="","",'DN08'!$F$30)</f>
        <v/>
      </c>
      <c r="O18" s="230" t="str">
        <f>IF(O$9="","",'DN09'!$F$30)</f>
        <v/>
      </c>
      <c r="P18" s="230" t="str">
        <f>IF(P$9="","",'DN10'!$F$30)</f>
        <v/>
      </c>
      <c r="Q18" s="10">
        <f t="shared" si="1"/>
        <v>188.59089403973513</v>
      </c>
      <c r="T18" t="str">
        <f>IF(G18="","",VLOOKUP(A18,'ET Standar Price List'!A:M,4,0))</f>
        <v>Cheese Tray</v>
      </c>
    </row>
    <row r="19" spans="1:20" ht="15.75" x14ac:dyDescent="0.25">
      <c r="A19" s="188">
        <v>17</v>
      </c>
      <c r="B19" s="189" t="s">
        <v>10</v>
      </c>
      <c r="D19" s="7">
        <f t="shared" ref="D19" si="3">D18+1</f>
        <v>10</v>
      </c>
      <c r="E19" s="4" t="s">
        <v>50</v>
      </c>
      <c r="F19" s="9" cm="1">
        <f t="array" ref="F19">_xlfn.XLOOKUP($A19,'ET Standar Price List'!$A:$A,_xlfn.SWITCH($T$4,1,'ET Standar Price List'!$G:$G,2,'ET Standar Price List'!$J:$J,3,'ET Standar Price List'!$M:$M),"XX")</f>
        <v>6.53</v>
      </c>
      <c r="G19" s="230">
        <f>IF(G$9="","",'DN01'!$F$31)</f>
        <v>1</v>
      </c>
      <c r="H19" s="230">
        <f>IF(H$9="","",'DN02'!$F$31)</f>
        <v>1</v>
      </c>
      <c r="I19" s="230">
        <f>IF(I$9="","",'DN03'!$F$31)</f>
        <v>3</v>
      </c>
      <c r="J19" s="230">
        <f>IF(J$9="","",'DN04'!$F$31)</f>
        <v>1</v>
      </c>
      <c r="K19" s="230" t="str">
        <f>IF(K$9="","",'DN05'!$F$31)</f>
        <v/>
      </c>
      <c r="L19" s="230" t="str">
        <f>IF(L$9="","",'DN06'!$F$31)</f>
        <v/>
      </c>
      <c r="M19" s="230" t="str">
        <f>IF(M$9="","",'DN07'!$F$31)</f>
        <v/>
      </c>
      <c r="N19" s="230" t="str">
        <f>IF(N$9="","",'DN08'!$F$31)</f>
        <v/>
      </c>
      <c r="O19" s="230" t="str">
        <f>IF(O$9="","",'DN09'!$F$31)</f>
        <v/>
      </c>
      <c r="P19" s="230" t="str">
        <f>IF(P$9="","",'DN10'!$F$31)</f>
        <v/>
      </c>
      <c r="Q19" s="10">
        <f t="shared" si="1"/>
        <v>39.18</v>
      </c>
      <c r="T19" t="str">
        <f>IF(G19="","",VLOOKUP(A19,'ET Standar Price List'!A:M,4,0))</f>
        <v>1L Fresh OJ (1-8)</v>
      </c>
    </row>
    <row r="20" spans="1:20" ht="15.75" x14ac:dyDescent="0.25">
      <c r="A20" s="188">
        <v>19</v>
      </c>
      <c r="B20" s="189" t="s">
        <v>12</v>
      </c>
      <c r="D20" s="215">
        <v>11</v>
      </c>
      <c r="E20" s="4" t="s">
        <v>51</v>
      </c>
      <c r="F20" s="9" cm="1">
        <f t="array" ref="F20">_xlfn.XLOOKUP($A20,'ET Standar Price List'!$A:$A,_xlfn.SWITCH($T$4,1,'ET Standar Price List'!$G:$G,2,'ET Standar Price List'!$J:$J,3,'ET Standar Price List'!$M:$M),"XX")</f>
        <v>5.85</v>
      </c>
      <c r="G20" s="230">
        <f>IF(G$9="","",1)</f>
        <v>1</v>
      </c>
      <c r="H20" s="230">
        <f t="shared" ref="H20:P21" si="4">IF(H$9="","",1)</f>
        <v>1</v>
      </c>
      <c r="I20" s="230">
        <f t="shared" si="4"/>
        <v>1</v>
      </c>
      <c r="J20" s="230">
        <f t="shared" si="4"/>
        <v>1</v>
      </c>
      <c r="K20" s="230" t="str">
        <f>IF(K$9="","",1)</f>
        <v/>
      </c>
      <c r="L20" s="230" t="str">
        <f t="shared" si="4"/>
        <v/>
      </c>
      <c r="M20" s="230" t="str">
        <f t="shared" si="4"/>
        <v/>
      </c>
      <c r="N20" s="230" t="str">
        <f t="shared" si="4"/>
        <v/>
      </c>
      <c r="O20" s="230" t="str">
        <f t="shared" si="4"/>
        <v/>
      </c>
      <c r="P20" s="230" t="str">
        <f t="shared" si="4"/>
        <v/>
      </c>
      <c r="Q20" s="10">
        <f t="shared" si="1"/>
        <v>23.4</v>
      </c>
      <c r="T20" t="str">
        <f>IF(G20="","",VLOOKUP(A20,'ET Standar Price List'!A:M,4,0))</f>
        <v>FRESH MILK</v>
      </c>
    </row>
    <row r="21" spans="1:20" ht="15.75" x14ac:dyDescent="0.25">
      <c r="A21" s="188">
        <v>20</v>
      </c>
      <c r="B21" s="189" t="s">
        <v>12</v>
      </c>
      <c r="D21" s="7">
        <v>12</v>
      </c>
      <c r="E21" s="4" t="s">
        <v>52</v>
      </c>
      <c r="F21" s="9" cm="1">
        <f t="array" ref="F21">_xlfn.XLOOKUP($A21,'ET Standar Price List'!$A:$A,_xlfn.SWITCH($T$4,1,'ET Standar Price List'!$G:$G,2,'ET Standar Price List'!$J:$J,3,'ET Standar Price List'!$M:$M),"XX")</f>
        <v>1.8</v>
      </c>
      <c r="G21" s="230">
        <f>IF(G$9="","",1)</f>
        <v>1</v>
      </c>
      <c r="H21" s="230">
        <f t="shared" si="4"/>
        <v>1</v>
      </c>
      <c r="I21" s="230">
        <f t="shared" si="4"/>
        <v>1</v>
      </c>
      <c r="J21" s="230">
        <f t="shared" si="4"/>
        <v>1</v>
      </c>
      <c r="K21" s="230" t="str">
        <f>IF(K$9="","",1)</f>
        <v/>
      </c>
      <c r="L21" s="230" t="str">
        <f t="shared" si="4"/>
        <v/>
      </c>
      <c r="M21" s="230" t="str">
        <f t="shared" si="4"/>
        <v/>
      </c>
      <c r="N21" s="230" t="str">
        <f t="shared" si="4"/>
        <v/>
      </c>
      <c r="O21" s="230" t="str">
        <f t="shared" si="4"/>
        <v/>
      </c>
      <c r="P21" s="230" t="str">
        <f t="shared" si="4"/>
        <v/>
      </c>
      <c r="Q21" s="10">
        <f t="shared" si="1"/>
        <v>7.2</v>
      </c>
      <c r="T21" t="str">
        <f>IF(G21="","",VLOOKUP(A21,'ET Standar Price List'!A:M,4,0))</f>
        <v>CONDIMENTS AND CHOCOLATE</v>
      </c>
    </row>
    <row r="22" spans="1:20" ht="15.75" x14ac:dyDescent="0.25">
      <c r="A22" s="188">
        <v>78</v>
      </c>
      <c r="B22" s="189" t="s">
        <v>14</v>
      </c>
      <c r="D22" s="215">
        <v>13</v>
      </c>
      <c r="E22" s="11" t="s">
        <v>53</v>
      </c>
      <c r="F22" s="9" cm="1">
        <f t="array" ref="F22">_xlfn.XLOOKUP($A22,'ET Standar Price List'!$A:$A,_xlfn.SWITCH($T$4,1,'ET Standar Price List'!$G:$G,2,'ET Standar Price List'!$J:$J,3,'ET Standar Price List'!$M:$M),"XX")</f>
        <v>18.90647681125828</v>
      </c>
      <c r="G22" s="229">
        <f>MAX(IF(G$9="","",'DN01'!$F$13+'DN01'!$J$25-3),32)</f>
        <v>33</v>
      </c>
      <c r="H22" s="229">
        <f>MAX(IF(H$9="","",'DN02'!$F$13+'DN02'!$J$25-3),32)</f>
        <v>36</v>
      </c>
      <c r="I22" s="229">
        <f>MAX(IF(I$9="","",'DN03'!$F$13+'DN03'!$J$25-3),32)</f>
        <v>33</v>
      </c>
      <c r="J22" s="229">
        <f>MAX(IF(J$9="","",'DN04'!$F$13+'DN04'!$J$25-3),32)</f>
        <v>36</v>
      </c>
      <c r="K22" s="229" t="str">
        <f>IF(K$9="","",'DN05'!$F$13+'DN05'!$J$25-3)</f>
        <v/>
      </c>
      <c r="L22" s="229" t="str">
        <f>IF(L$9="","",'DN06'!$F$13+'DN06'!$J$25-3)</f>
        <v/>
      </c>
      <c r="M22" s="229" t="str">
        <f>IF(M$9="","",'DN07'!$F$13+'DN07'!$J$25-3)</f>
        <v/>
      </c>
      <c r="N22" s="229" t="str">
        <f>IF(N$9="","",'DN08'!$F$13+'DN08'!$J$25-3)</f>
        <v/>
      </c>
      <c r="O22" s="229" t="str">
        <f>IF(O$9="","",'DN09'!$F$13+'DN09'!$J$25-3)</f>
        <v/>
      </c>
      <c r="P22" s="229" t="str">
        <f>IF(P$9="","",'DN10'!$F$13+'DN10'!$J$25-3)</f>
        <v/>
      </c>
      <c r="Q22" s="10">
        <f t="shared" si="1"/>
        <v>2609.0937999536427</v>
      </c>
      <c r="T22" t="str">
        <f>IF(G22="","",VLOOKUP(A22,'ET Standar Price List'!A:M,4,0))</f>
        <v>BC HBF Price per passenger  Total</v>
      </c>
    </row>
    <row r="23" spans="1:20" ht="15.75" x14ac:dyDescent="0.25">
      <c r="A23" s="188">
        <v>98</v>
      </c>
      <c r="B23" s="189" t="s">
        <v>15</v>
      </c>
      <c r="D23" s="7">
        <f t="shared" ref="D23" si="5">D22+1</f>
        <v>14</v>
      </c>
      <c r="E23" s="11" t="str">
        <f>"CYC "&amp;T4&amp;" BC HCP"</f>
        <v>CYC 3 BC HCP</v>
      </c>
      <c r="F23" s="9" cm="1">
        <f t="array" ref="F23">_xlfn.XLOOKUP($A23,'ET Standar Price List'!$A:$A,_xlfn.SWITCH($T$4,1,'ET Standar Price List'!$G:$G,2,'ET Standar Price List'!$J:$J,3,'ET Standar Price List'!$M:$M),"XX")</f>
        <v>8.7645187500000006</v>
      </c>
      <c r="G23" s="229">
        <f>MAX(IF(G$9="","",'DN01'!$F$16+'DN01'!$J$25-3),32)</f>
        <v>33</v>
      </c>
      <c r="H23" s="229">
        <f>MAX(IF(H$9="","",'DN02'!$F$16+'DN02'!$J$25-3),32)</f>
        <v>36</v>
      </c>
      <c r="I23" s="229">
        <f>MAX(IF(I$9="","",'DN03'!$F$16+'DN03'!$J$25-3),32)</f>
        <v>33</v>
      </c>
      <c r="J23" s="229">
        <f>MAX(IF(J$9="","",'DN04'!$F$16+'DN04'!$J$25-3),32)</f>
        <v>36</v>
      </c>
      <c r="K23" s="229" t="str">
        <f>IF(K$9="","",'DN05'!$F$16+'DN05'!$J$25-3)</f>
        <v/>
      </c>
      <c r="L23" s="229" t="str">
        <f>IF(L$9="","",'DN06'!$F$16+'DN06'!$J$25-3)</f>
        <v/>
      </c>
      <c r="M23" s="229" t="str">
        <f>IF(M$9="","",'DN07'!$F$16+'DN07'!$J$25-3)</f>
        <v/>
      </c>
      <c r="N23" s="229" t="str">
        <f>IF(N$9="","",'DN08'!$F$16+'DN08'!$J$25-3)</f>
        <v/>
      </c>
      <c r="O23" s="229" t="str">
        <f>IF(O$9="","",'DN09'!$F$16+'DN09'!$J$25-3)</f>
        <v/>
      </c>
      <c r="P23" s="229" t="str">
        <f>IF(P$9="","",'DN10'!$F$16+'DN10'!$J$25-3)</f>
        <v/>
      </c>
      <c r="Q23" s="10">
        <f t="shared" si="1"/>
        <v>1209.5035875000001</v>
      </c>
      <c r="T23" t="str">
        <f>IF(G23="","",VLOOKUP(A23,'ET Standar Price List'!A:M,4,0))</f>
        <v>BC HCP Per passenger Charge Total</v>
      </c>
    </row>
    <row r="24" spans="1:20" ht="15.75" x14ac:dyDescent="0.25">
      <c r="A24" s="207">
        <v>14</v>
      </c>
      <c r="B24" s="208" t="s">
        <v>17</v>
      </c>
      <c r="D24" s="215">
        <v>15</v>
      </c>
      <c r="E24" s="185" t="s">
        <v>54</v>
      </c>
      <c r="F24" s="9" cm="1">
        <f t="array" ref="F24">_xlfn.XLOOKUP($A24,'ET Standar Price List'!$A:$A,_xlfn.SWITCH($T$4,1,'ET Standar Price List'!$G:$G,2,'ET Standar Price List'!$J:$J,3,'ET Standar Price List'!$M:$M),"XX")</f>
        <v>29.31502241721855</v>
      </c>
      <c r="G24" s="301">
        <f>IF(G$9="","",'DN01'!$F$20)</f>
        <v>0</v>
      </c>
      <c r="H24" s="301">
        <f>IF(H$9="","",'DN02'!$F$20)</f>
        <v>0</v>
      </c>
      <c r="I24" s="301">
        <f>IF(I$9="","",'DN03'!$F$20)</f>
        <v>0</v>
      </c>
      <c r="J24" s="301">
        <f>IF(J$9="","",'DN04'!$F$20)</f>
        <v>0</v>
      </c>
      <c r="K24" s="301" t="str">
        <f>IF(K$9="","",'DN05'!$F$20)</f>
        <v/>
      </c>
      <c r="L24" s="301" t="str">
        <f>IF(L$9="","",'DN06'!$F$20)</f>
        <v/>
      </c>
      <c r="M24" s="301" t="str">
        <f>IF(M$9="","",'DN07'!$F$20)</f>
        <v/>
      </c>
      <c r="N24" s="230" t="str">
        <f>IF(N$9="","",'DN08'!$F$20)</f>
        <v/>
      </c>
      <c r="O24" s="230" t="str">
        <f>IF(O$9="","",'DN09'!$F$20)</f>
        <v/>
      </c>
      <c r="P24" s="230" t="str">
        <f>IF(P$9="","",'DN10'!$F$20)</f>
        <v/>
      </c>
      <c r="Q24" s="10">
        <f t="shared" si="1"/>
        <v>0</v>
      </c>
    </row>
    <row r="25" spans="1:20" ht="15.75" x14ac:dyDescent="0.25">
      <c r="A25" s="188">
        <v>39</v>
      </c>
      <c r="B25" s="189" t="s">
        <v>18</v>
      </c>
      <c r="D25" s="7">
        <f t="shared" ref="D25" si="6">D24+1</f>
        <v>16</v>
      </c>
      <c r="E25" s="6" t="s">
        <v>55</v>
      </c>
      <c r="F25" s="9" cm="1">
        <f t="array" ref="F25">_xlfn.XLOOKUP($A25,'ET Standar Price List'!$A:$A,_xlfn.SWITCH($T$4,1,'ET Standar Price List'!$G:$G,2,'ET Standar Price List'!$J:$J,3,'ET Standar Price List'!$M:$M),"XX")</f>
        <v>15.62</v>
      </c>
      <c r="G25" s="301">
        <f>IF(G$9="","",'DN01'!$F$33)</f>
        <v>1</v>
      </c>
      <c r="H25" s="301">
        <f>IF(H$9="","",'DN02'!$F$33)</f>
        <v>1</v>
      </c>
      <c r="I25" s="301">
        <f>IF(I$9="","",'DN03'!$F$33)</f>
        <v>1</v>
      </c>
      <c r="J25" s="301">
        <f>IF(J$9="","",'DN04'!$F$33)</f>
        <v>1</v>
      </c>
      <c r="K25" s="301" t="str">
        <f>IF(K$9="","",'DN05'!$F$33)</f>
        <v/>
      </c>
      <c r="L25" s="301" t="str">
        <f>IF(L$9="","",'DN06'!$F$33)</f>
        <v/>
      </c>
      <c r="M25" s="301" t="str">
        <f>IF(M$9="","",'DN07'!$F$33)</f>
        <v/>
      </c>
      <c r="N25" s="230" t="str">
        <f>IF(N$9="","",'DN08'!$F$33)</f>
        <v/>
      </c>
      <c r="O25" s="230" t="str">
        <f>IF(O$9="","",'DN09'!$F$33)</f>
        <v/>
      </c>
      <c r="P25" s="230" t="str">
        <f>IF(P$9="","",'DN10'!$F$33)</f>
        <v/>
      </c>
      <c r="Q25" s="10">
        <f t="shared" si="1"/>
        <v>62.48</v>
      </c>
      <c r="T25" t="str">
        <f>IF(G25="","",VLOOKUP(A25,'ET Standar Price List'!A:M,4,0))</f>
        <v>Standard Uplift Total Price</v>
      </c>
    </row>
    <row r="26" spans="1:20" ht="15.75" x14ac:dyDescent="0.25">
      <c r="A26" s="188">
        <v>41</v>
      </c>
      <c r="B26" s="189" t="s">
        <v>20</v>
      </c>
      <c r="D26" s="215">
        <v>17</v>
      </c>
      <c r="E26" s="407" t="s">
        <v>499</v>
      </c>
      <c r="F26" s="9" cm="1">
        <f t="array" ref="F26">_xlfn.XLOOKUP($A26,'ET Standar Price List'!$A:$A,_xlfn.SWITCH($T$4,1,'ET Standar Price List'!$G:$G,2,'ET Standar Price List'!$J:$J,3,'ET Standar Price List'!$M:$M),"XX")</f>
        <v>25.34</v>
      </c>
      <c r="G26" s="301">
        <f>IF(G$9="","",('DN01'!$J$25)-G28)</f>
        <v>2</v>
      </c>
      <c r="H26" s="301">
        <f>IF(H$9="","",('DN02'!$J$25)-H28)</f>
        <v>3</v>
      </c>
      <c r="I26" s="301">
        <f>IF(I$9="","",('DN03'!$J$25)-I28)</f>
        <v>0</v>
      </c>
      <c r="J26" s="301">
        <f>IF(J$9="","",('DN04'!$J$25)-J28)</f>
        <v>1</v>
      </c>
      <c r="K26" s="301" t="str">
        <f>IF(K$9="","",('DN01'!$J$25)-K28)</f>
        <v/>
      </c>
      <c r="L26" s="301" t="str">
        <f>IF(L$9="","",('DN01'!$J$25)-L28)</f>
        <v/>
      </c>
      <c r="M26" s="301" t="str">
        <f>IF(M$9="","",('DN01'!$J$25)-M28)</f>
        <v/>
      </c>
      <c r="N26" s="301" t="str">
        <f>IF(N$9="","",('DN01'!$J$25)-N28)</f>
        <v/>
      </c>
      <c r="O26" s="301" t="str">
        <f>IF(O$9="","",('DN01'!$J$25)-O28)</f>
        <v/>
      </c>
      <c r="P26" s="301" t="str">
        <f>IF(P$9="","",('DN01'!$J$25)-P28)</f>
        <v/>
      </c>
      <c r="Q26" s="10">
        <f t="shared" si="1"/>
        <v>152.04</v>
      </c>
      <c r="T26" t="str">
        <f>IF(G26="","",VLOOKUP(A26,'ET Standar Price List'!A:M,4,0))</f>
        <v>ALL IATA BC SPML (NO KSML)</v>
      </c>
    </row>
    <row r="27" spans="1:20" ht="15.75" x14ac:dyDescent="0.25">
      <c r="A27" s="188">
        <v>45</v>
      </c>
      <c r="B27" s="189" t="s">
        <v>20</v>
      </c>
      <c r="D27" s="7">
        <f t="shared" ref="D27:D57" si="7">D26+1</f>
        <v>18</v>
      </c>
      <c r="E27" s="407" t="s">
        <v>422</v>
      </c>
      <c r="F27" s="9" cm="1">
        <f t="array" ref="F27">_xlfn.XLOOKUP($A27,'ET Standar Price List'!$A:$A,_xlfn.SWITCH($T$4,1,'ET Standar Price List'!$G:$G,2,'ET Standar Price List'!$J:$J,3,'ET Standar Price List'!$M:$M),"XX")</f>
        <v>19.98</v>
      </c>
      <c r="G27" s="301">
        <f>IF(G$9="","",('DN01'!$N$25)-G28)</f>
        <v>2</v>
      </c>
      <c r="H27" s="301">
        <f>IF(H$9="","",('DN02'!$N$25)-H28)</f>
        <v>3</v>
      </c>
      <c r="I27" s="301">
        <f>IF(I$9="","",('DN03'!$N$25)-I28)</f>
        <v>0</v>
      </c>
      <c r="J27" s="301">
        <f>IF(J$9="","",('DN04'!$N$25)-J28)</f>
        <v>1</v>
      </c>
      <c r="K27" s="301" t="str">
        <f>IF(K$9="","",('DN01'!$N$25)-K28)</f>
        <v/>
      </c>
      <c r="L27" s="301" t="str">
        <f>IF(L$9="","",('DN01'!$N$25)-L28)</f>
        <v/>
      </c>
      <c r="M27" s="301" t="str">
        <f>IF(M$9="","",('DN01'!$N$25)-M28)</f>
        <v/>
      </c>
      <c r="N27" s="301" t="str">
        <f>IF(N$9="","",('DN01'!$N$25)-N28)</f>
        <v/>
      </c>
      <c r="O27" s="301" t="str">
        <f>IF(O$9="","",('DN01'!$N$25)-O28)</f>
        <v/>
      </c>
      <c r="P27" s="301" t="str">
        <f>IF(P$9="","",('DN01'!$N$25)-P28)</f>
        <v/>
      </c>
      <c r="Q27" s="10">
        <f t="shared" si="1"/>
        <v>119.88</v>
      </c>
      <c r="T27" t="str">
        <f>IF(G27="","",VLOOKUP(A27,'ET Standar Price List'!A:M,4,0))</f>
        <v>ALL IATA BC SPML (NO KSML) HBF</v>
      </c>
    </row>
    <row r="28" spans="1:20" ht="15.75" x14ac:dyDescent="0.25">
      <c r="A28" s="188">
        <v>43</v>
      </c>
      <c r="B28" s="189" t="s">
        <v>20</v>
      </c>
      <c r="D28" s="7">
        <f t="shared" si="7"/>
        <v>19</v>
      </c>
      <c r="E28" s="407" t="s">
        <v>57</v>
      </c>
      <c r="F28" s="9" cm="1">
        <f t="array" ref="F28">_xlfn.XLOOKUP($A28,'ET Standar Price List'!$A:$A,_xlfn.SWITCH($T$4,1,'ET Standar Price List'!$G:$G,2,'ET Standar Price List'!$J:$J,3,'ET Standar Price List'!$M:$M),"XX")</f>
        <v>50</v>
      </c>
      <c r="G28" s="301">
        <f>IF(G$9="","",SUMIFS('DN01'!$J$12:$J$24,'DN01'!$I$12:$I$24,"KSML")+SUMIFS('DN01'!$L$12:$L$24,'DN01'!$I$12:$I$24,"KSML")+SUMIFS('DN01'!$N$12:$N$24,'DN01'!$I$12:$I$24,"KSML"))</f>
        <v>0</v>
      </c>
      <c r="H28" s="301">
        <f>IF(H$9="","",SUMIFS('DN02'!$J$12:$J$24,'DN02'!$I$12:$I$24,"KSML")+SUMIFS('DN02'!$L$12:$L$24,'DN02'!$I$12:$I$24,"KSML")+SUMIFS('DN02'!$N$12:$N$24,'DN02'!$I$12:$I$24,"KSML"))</f>
        <v>0</v>
      </c>
      <c r="I28" s="301">
        <f>IF(I$9="","",SUMIFS('DN03'!$J$12:$J$24,'DN03'!$I$12:$I$24,"KSML")+SUMIFS('DN03'!$L$12:$L$24,'DN03'!$I$12:$I$24,"KSML")+SUMIFS('DN03'!$N$12:$N$24,'DN03'!$I$12:$I$24,"KSML"))</f>
        <v>0</v>
      </c>
      <c r="J28" s="301">
        <f>IF(J$9="","",SUMIFS('DN04'!$J$12:$J$24,'DN04'!$I$12:$I$24,"KSML")+SUMIFS('DN04'!$L$12:$L$24,'DN04'!$I$12:$I$24,"KSML")+SUMIFS('DN04'!$N$12:$N$24,'DN04'!$I$12:$I$24,"KSML"))</f>
        <v>0</v>
      </c>
      <c r="K28" s="301" t="str">
        <f>IF(K$9="","",SUMIFS('DN05'!$J$12:$J$24,'DN05'!$I$12:$I$24,"KSML")+SUMIFS('DN05'!$L$12:$L$24,'DN05'!$I$12:$I$24,"KSML")+SUMIFS('DN05'!$N$12:$N$24,'DN05'!$I$12:$I$24,"KSML"))</f>
        <v/>
      </c>
      <c r="L28" s="301" t="str">
        <f>IF(L$9="","",SUMIFS('DN06'!$J$12:$J$24,'DN06'!$I$12:$I$24,"KSML")+SUMIFS('DN06'!$L$12:$L$24,'DN06'!$I$12:$I$24,"KSML")+SUMIFS('DN06'!$N$12:$N$24,'DN06'!$I$12:$I$24,"KSML"))</f>
        <v/>
      </c>
      <c r="M28" s="301" t="str">
        <f>IF(M$9="","",SUMIFS('DN07'!$J$12:$J$24,'DN07'!$I$12:$I$24,"KSML")+SUMIFS('DN07'!$L$12:$L$24,'DN07'!$I$12:$I$24,"KSML")+SUMIFS('DN07'!$N$12:$N$24,'DN07'!$I$12:$I$24,"KSML"))</f>
        <v/>
      </c>
      <c r="N28" s="230" t="str">
        <f>IF(N$9="","",SUMIFS('DN08'!$J$12:$J$24,'DN08'!$I$12:$I$24,"KSML")+SUMIFS('DN08'!$L$12:$L$24,'DN08'!$I$12:$I$24,"KSML")+SUMIFS('DN08'!$N$12:$N$24,'DN08'!$I$12:$I$24,"KSML"))</f>
        <v/>
      </c>
      <c r="O28" s="230" t="str">
        <f>IF(O$9="","",SUMIFS('DN09'!$J$12:$J$24,'DN09'!$I$12:$I$24,"KSML")+SUMIFS('DN09'!$L$12:$L$24,'DN09'!$I$12:$I$24,"KSML")+SUMIFS('DN09'!$N$12:$N$24,'DN09'!$I$12:$I$24,"KSML"))</f>
        <v/>
      </c>
      <c r="P28" s="230" t="str">
        <f>IF(P$9="","",SUMIFS('DN10'!$J$12:$J$24,'DN10'!$I$12:$I$24,"KSML")+SUMIFS('DN10'!$L$12:$L$24,'DN10'!$I$12:$I$24,"KSML")+SUMIFS('DN10'!$N$12:$N$24,'DN10'!$I$12:$I$24,"KSML"))</f>
        <v/>
      </c>
      <c r="Q28" s="10">
        <f t="shared" si="1"/>
        <v>0</v>
      </c>
      <c r="T28" t="str">
        <f>IF(G28="","",VLOOKUP(A28,'ET Standar Price List'!A:M,4,0))</f>
        <v>KSML BC LCH/DNR</v>
      </c>
    </row>
    <row r="29" spans="1:20" ht="15.75" x14ac:dyDescent="0.25">
      <c r="A29" s="188">
        <v>47</v>
      </c>
      <c r="B29" s="189" t="s">
        <v>20</v>
      </c>
      <c r="D29" s="7">
        <f t="shared" si="7"/>
        <v>20</v>
      </c>
      <c r="E29" s="407" t="s">
        <v>516</v>
      </c>
      <c r="F29" s="9" cm="1">
        <f t="array" ref="F29">_xlfn.XLOOKUP($A29,'ET Standar Price List'!$A:$A,_xlfn.SWITCH($T$4,1,'ET Standar Price List'!$G:$G,2,'ET Standar Price List'!$J:$J,3,'ET Standar Price List'!$M:$M),"XX")</f>
        <v>45</v>
      </c>
      <c r="G29" s="301">
        <f>IF(G$9="","",SUMIFS('DN01'!$J$12:$J$24,'DN01'!$I$12:$I$24,"KSML")+SUMIFS('DN01'!$L$12:$L$24,'DN01'!$I$12:$I$24,"KSML")+SUMIFS('DN01'!$N$12:$N$24,'DN01'!$I$12:$I$24,"KSML"))</f>
        <v>0</v>
      </c>
      <c r="H29" s="301">
        <f>IF(H$9="","",SUMIFS('DN02'!$J$12:$J$24,'DN02'!$I$12:$I$24,"KSML")+SUMIFS('DN02'!$L$12:$L$24,'DN02'!$I$12:$I$24,"KSML")+SUMIFS('DN02'!$N$12:$N$24,'DN02'!$I$12:$I$24,"KSML"))</f>
        <v>0</v>
      </c>
      <c r="I29" s="301">
        <f>IF(I$9="","",SUMIFS('DN03'!$J$12:$J$24,'DN03'!$I$12:$I$24,"KSML")+SUMIFS('DN03'!$L$12:$L$24,'DN03'!$I$12:$I$24,"KSML")+SUMIFS('DN03'!$N$12:$N$24,'DN03'!$I$12:$I$24,"KSML"))</f>
        <v>0</v>
      </c>
      <c r="J29" s="301">
        <f>IF(J$9="","",SUMIFS('DN04'!$J$12:$J$24,'DN04'!$I$12:$I$24,"KSML")+SUMIFS('DN04'!$L$12:$L$24,'DN04'!$I$12:$I$24,"KSML")+SUMIFS('DN04'!$N$12:$N$24,'DN04'!$I$12:$I$24,"KSML"))</f>
        <v>0</v>
      </c>
      <c r="K29" s="301" t="str">
        <f>IF(K$9="","",SUMIFS('DN05'!$J$12:$J$24,'DN05'!$I$12:$I$24,"KSML")+SUMIFS('DN05'!$L$12:$L$24,'DN05'!$I$12:$I$24,"KSML")+SUMIFS('DN05'!$N$12:$N$24,'DN05'!$I$12:$I$24,"KSML"))</f>
        <v/>
      </c>
      <c r="L29" s="301" t="str">
        <f>IF(L$9="","",SUMIFS('DN06'!$J$12:$J$24,'DN06'!$I$12:$I$24,"KSML")+SUMIFS('DN06'!$L$12:$L$24,'DN06'!$I$12:$I$24,"KSML")+SUMIFS('DN06'!$N$12:$N$24,'DN06'!$I$12:$I$24,"KSML"))</f>
        <v/>
      </c>
      <c r="M29" s="301" t="str">
        <f>IF(M$9="","",SUMIFS('DN07'!$J$12:$J$24,'DN07'!$I$12:$I$24,"KSML")+SUMIFS('DN07'!$L$12:$L$24,'DN07'!$I$12:$I$24,"KSML")+SUMIFS('DN07'!$N$12:$N$24,'DN07'!$I$12:$I$24,"KSML"))</f>
        <v/>
      </c>
      <c r="N29" s="230" t="str">
        <f>IF(N$9="","",SUMIFS('DN08'!$J$12:$J$24,'DN08'!$I$12:$I$24,"KSML")+SUMIFS('DN08'!$L$12:$L$24,'DN08'!$I$12:$I$24,"KSML")+SUMIFS('DN08'!$N$12:$N$24,'DN08'!$I$12:$I$24,"KSML"))</f>
        <v/>
      </c>
      <c r="O29" s="230" t="str">
        <f>IF(O$9="","",SUMIFS('DN09'!$J$12:$J$24,'DN09'!$I$12:$I$24,"KSML")+SUMIFS('DN09'!$L$12:$L$24,'DN09'!$I$12:$I$24,"KSML")+SUMIFS('DN09'!$N$12:$N$24,'DN09'!$I$12:$I$24,"KSML"))</f>
        <v/>
      </c>
      <c r="P29" s="230" t="str">
        <f>IF(P$9="","",SUMIFS('DN10'!$J$12:$J$24,'DN10'!$I$12:$I$24,"KSML")+SUMIFS('DN10'!$L$12:$L$24,'DN10'!$I$12:$I$24,"KSML")+SUMIFS('DN10'!$N$12:$N$24,'DN10'!$I$12:$I$24,"KSML"))</f>
        <v/>
      </c>
      <c r="Q29" s="10">
        <f t="shared" ref="Q29" si="8">IF(F29="","",SUM(G29:P29)*F29)</f>
        <v>0</v>
      </c>
    </row>
    <row r="30" spans="1:20" ht="15.75" x14ac:dyDescent="0.25">
      <c r="A30" s="188">
        <v>33</v>
      </c>
      <c r="B30" s="189" t="s">
        <v>22</v>
      </c>
      <c r="D30" s="7">
        <f t="shared" si="7"/>
        <v>21</v>
      </c>
      <c r="E30" s="11" t="str">
        <f>"CYC "&amp;T4&amp;" EY  LCH/DNR"</f>
        <v>CYC 3 EY  LCH/DNR</v>
      </c>
      <c r="F30" s="9" cm="1">
        <f t="array" ref="F30">_xlfn.XLOOKUP($A30,'ET Standar Price List'!$A:$A,_xlfn.SWITCH($T$4,1,'ET Standar Price List'!$G:$G,2,'ET Standar Price List'!$J:$J,3,'ET Standar Price List'!$M:$M),"XX")</f>
        <v>14.381358774834432</v>
      </c>
      <c r="G30" s="301">
        <f>MAX(IF(G$9="","",'DN01'!$G$14+'DN01'!$K$25-10),125)</f>
        <v>235</v>
      </c>
      <c r="H30" s="301">
        <f>MAX(IF(H$9="","",'DN02'!$G$14+'DN02'!$K$25-10),125)</f>
        <v>240</v>
      </c>
      <c r="I30" s="301">
        <f>MAX(IF(I$9="","",'DN03'!$G$14+'DN03'!$K$25-10),125)</f>
        <v>230</v>
      </c>
      <c r="J30" s="301">
        <f>MAX(IF(J$9="","",'DN04'!$G$14+'DN04'!$K$25-10),125)</f>
        <v>215</v>
      </c>
      <c r="K30" s="301" t="str">
        <f>IF(K$9="","",'DN05'!$G$14+'DN05'!$K$25-10)</f>
        <v/>
      </c>
      <c r="L30" s="301" t="str">
        <f>IF(L$9="","",'DN06'!$G$14+'DN06'!$K$25-10)</f>
        <v/>
      </c>
      <c r="M30" s="301" t="str">
        <f>IF(M$9="","",'DN07'!$G$14+'DN07'!$K$25-10)</f>
        <v/>
      </c>
      <c r="N30" s="230" t="str">
        <f>IF(N$9="","",'DN08'!$G$14+'DN08'!$K$25-10)</f>
        <v/>
      </c>
      <c r="O30" s="230" t="str">
        <f>IF(O$9="","",'DN09'!$G$14+'DN09'!$K$25-10)</f>
        <v/>
      </c>
      <c r="P30" s="230" t="str">
        <f>IF(P$9="","",'DN10'!$G$14+'DN10'!$K$25-10)</f>
        <v/>
      </c>
      <c r="Q30" s="10">
        <f t="shared" si="1"/>
        <v>13230.850072847677</v>
      </c>
      <c r="T30" t="str">
        <f>IF(G30="","",VLOOKUP(A30,'ET Standar Price List'!A:M,4,0))</f>
        <v>EY LCH/DNR Price per passenger  Total</v>
      </c>
    </row>
    <row r="31" spans="1:20" ht="15.75" x14ac:dyDescent="0.25">
      <c r="A31" s="188">
        <v>88</v>
      </c>
      <c r="B31" s="189" t="s">
        <v>23</v>
      </c>
      <c r="D31" s="7">
        <f t="shared" si="7"/>
        <v>22</v>
      </c>
      <c r="E31" s="11" t="s">
        <v>58</v>
      </c>
      <c r="F31" s="9" cm="1">
        <f t="array" ref="F31">_xlfn.XLOOKUP($A31,'ET Standar Price List'!$A:$A,_xlfn.SWITCH($T$4,1,'ET Standar Price List'!$G:$G,2,'ET Standar Price List'!$J:$J,3,'ET Standar Price List'!$M:$M),"XX")</f>
        <v>11.503079884105961</v>
      </c>
      <c r="G31" s="301">
        <f>MAX(IF(G$9="","",'DN01'!$G$13+'DN01'!$K$25-10),125)</f>
        <v>235</v>
      </c>
      <c r="H31" s="301">
        <f>MAX(IF(H$9="","",'DN02'!$G$13+'DN02'!$K$25-10),125)</f>
        <v>240</v>
      </c>
      <c r="I31" s="301">
        <f>MAX(IF(I$9="","",'DN03'!$G$13+'DN03'!$K$25-10),125)</f>
        <v>230</v>
      </c>
      <c r="J31" s="301">
        <f>MAX(IF(J$9="","",'DN04'!$G$13+'DN04'!$K$25-10),125)</f>
        <v>215</v>
      </c>
      <c r="K31" s="301" t="str">
        <f>IF(K$9="","",'DN05'!$G$13+'DN05'!$K$25-10)</f>
        <v/>
      </c>
      <c r="L31" s="301" t="str">
        <f>IF(L$9="","",'DN06'!$G$13+'DN06'!$K$25-10)</f>
        <v/>
      </c>
      <c r="M31" s="301" t="str">
        <f>IF(M$9="","",'DN07'!$G$13+'DN07'!$K$25-10)</f>
        <v/>
      </c>
      <c r="N31" s="230" t="str">
        <f>IF(N$9="","",'DN08'!$G$13+'DN08'!$K$25-10)</f>
        <v/>
      </c>
      <c r="O31" s="230" t="str">
        <f>IF(O$9="","",'DN09'!$G$13+'DN09'!$K$25-10)</f>
        <v/>
      </c>
      <c r="P31" s="230" t="str">
        <f>IF(P$9="","",'DN10'!$G$13+'DN10'!$K$25-10)</f>
        <v/>
      </c>
      <c r="Q31" s="10">
        <f t="shared" si="1"/>
        <v>10582.833493377484</v>
      </c>
      <c r="T31" t="str">
        <f>IF(G31="","",VLOOKUP(A31,'ET Standar Price List'!A:M,4,0))</f>
        <v>EY HBF Price per passenger  Total</v>
      </c>
    </row>
    <row r="32" spans="1:20" ht="15.75" x14ac:dyDescent="0.25">
      <c r="A32" s="188">
        <v>105</v>
      </c>
      <c r="B32" s="189" t="s">
        <v>24</v>
      </c>
      <c r="D32" s="7">
        <f t="shared" si="7"/>
        <v>23</v>
      </c>
      <c r="E32" s="11" t="s">
        <v>59</v>
      </c>
      <c r="F32" s="9" cm="1">
        <f t="array" ref="F32">_xlfn.XLOOKUP($A32,'ET Standar Price List'!$A:$A,_xlfn.SWITCH($T$4,1,'ET Standar Price List'!$G:$G,2,'ET Standar Price List'!$J:$J,3,'ET Standar Price List'!$M:$M),"XX")</f>
        <v>2.4031837748344387</v>
      </c>
      <c r="G32" s="301">
        <f>MAX(IF(G$9="","",'DN01'!$G$17+'DN01'!$K$25-10),125)</f>
        <v>235</v>
      </c>
      <c r="H32" s="301">
        <f>MAX(IF(H$9="","",'DN02'!$G$17+'DN02'!$K$25-10),125)</f>
        <v>240</v>
      </c>
      <c r="I32" s="301">
        <f>MAX(IF(I$9="","",'DN03'!$G$17+'DN03'!$K$25-10),125)</f>
        <v>230</v>
      </c>
      <c r="J32" s="301">
        <f>MAX(IF(J$9="","",'DN04'!$G$17+'DN04'!$K$25-10),125)</f>
        <v>215</v>
      </c>
      <c r="K32" s="301" t="str">
        <f>IF(K$9="","",'DN05'!$G$17+'DN05'!$K$25-10)</f>
        <v/>
      </c>
      <c r="L32" s="301" t="str">
        <f>IF(L$9="","",'DN06'!$G$17+'DN06'!$K$25-10)</f>
        <v/>
      </c>
      <c r="M32" s="301" t="str">
        <f>IF(M$9="","",'DN07'!$G$17+'DN07'!$K$25-10)</f>
        <v/>
      </c>
      <c r="N32" s="230" t="str">
        <f>IF(N$9="","",'DN08'!$G$17+'DN08'!$K$25-10)</f>
        <v/>
      </c>
      <c r="O32" s="230" t="str">
        <f>IF(O$9="","",'DN09'!$G$17+'DN09'!$K$25-10)</f>
        <v/>
      </c>
      <c r="P32" s="230" t="str">
        <f>IF(P$9="","",'DN10'!$G$17+'DN10'!$K$25-10)</f>
        <v/>
      </c>
      <c r="Q32" s="10">
        <f t="shared" si="1"/>
        <v>2210.9290728476835</v>
      </c>
      <c r="T32" t="str">
        <f>IF(G32="","",VLOOKUP(A32,'ET Standar Price List'!A:M,4,0))</f>
        <v>EY SWH Per passenger Charge Total</v>
      </c>
    </row>
    <row r="33" spans="1:27" ht="15.75" x14ac:dyDescent="0.25">
      <c r="A33" s="207">
        <v>33</v>
      </c>
      <c r="B33" s="208" t="s">
        <v>17</v>
      </c>
      <c r="D33" s="7">
        <f t="shared" si="7"/>
        <v>24</v>
      </c>
      <c r="E33" s="185" t="s">
        <v>60</v>
      </c>
      <c r="F33" s="9" cm="1">
        <f t="array" ref="F33">_xlfn.XLOOKUP($A33,'ET Standar Price List'!$A:$A,_xlfn.SWITCH($T$4,1,'ET Standar Price List'!$G:$G,2,'ET Standar Price List'!$J:$J,3,'ET Standar Price List'!$M:$M),"XX")</f>
        <v>14.381358774834432</v>
      </c>
      <c r="G33" s="301">
        <f>IF(G$9="","",'DN01'!$G$20)</f>
        <v>0</v>
      </c>
      <c r="H33" s="301">
        <f>IF(H$9="","",'DN02'!$G$20)</f>
        <v>0</v>
      </c>
      <c r="I33" s="301">
        <f>IF(I$9="","",'DN03'!$G$20)</f>
        <v>0</v>
      </c>
      <c r="J33" s="301">
        <f>IF(J$9="","",'DN04'!$G$20)</f>
        <v>0</v>
      </c>
      <c r="K33" s="301" t="str">
        <f>IF(K$9="","",'DN05'!$G$20)</f>
        <v/>
      </c>
      <c r="L33" s="301" t="str">
        <f>IF(L$9="","",'DN06'!$G$20)</f>
        <v/>
      </c>
      <c r="M33" s="301" t="str">
        <f>IF(M$9="","",'DN07'!$G$20)</f>
        <v/>
      </c>
      <c r="N33" s="301" t="str">
        <f>IF(N$9="","",'DN08'!$G$20)</f>
        <v/>
      </c>
      <c r="O33" s="301" t="str">
        <f>IF(O$9="","",'DN09'!$G$20)</f>
        <v/>
      </c>
      <c r="P33" s="230" t="str">
        <f>IF(P$9="","",'DN10'!$G$20)</f>
        <v/>
      </c>
      <c r="Q33" s="10">
        <f t="shared" si="1"/>
        <v>0</v>
      </c>
    </row>
    <row r="34" spans="1:27" ht="15.75" x14ac:dyDescent="0.25">
      <c r="A34" s="188">
        <v>42</v>
      </c>
      <c r="B34" s="189" t="s">
        <v>20</v>
      </c>
      <c r="D34" s="7">
        <f t="shared" si="7"/>
        <v>25</v>
      </c>
      <c r="E34" s="407" t="s">
        <v>500</v>
      </c>
      <c r="F34" s="9" cm="1">
        <f t="array" ref="F34">_xlfn.XLOOKUP($A34,'ET Standar Price List'!$A:$A,_xlfn.SWITCH($T$4,1,'ET Standar Price List'!$G:$G,2,'ET Standar Price List'!$J:$J,3,'ET Standar Price List'!$M:$M),"XX")</f>
        <v>15.68</v>
      </c>
      <c r="G34" s="301">
        <f>IF(G$9="","",('DN01'!$K$25)-G36)</f>
        <v>14</v>
      </c>
      <c r="H34" s="301">
        <f>IF(H$9="","",('DN02'!$K$25)-H36)</f>
        <v>11</v>
      </c>
      <c r="I34" s="301">
        <f>IF(I$9="","",('DN03'!$K$25)-I36)</f>
        <v>14</v>
      </c>
      <c r="J34" s="301">
        <f>IF(J$9="","",('DN04'!$K$25)-J36)</f>
        <v>3</v>
      </c>
      <c r="K34" s="340" t="str">
        <f>IF(K$9="","",('DN01'!$K$25)-K36)</f>
        <v/>
      </c>
      <c r="L34" s="340" t="str">
        <f>IF(L$9="","",('DN01'!$K$25)-L36)</f>
        <v/>
      </c>
      <c r="M34" s="340" t="str">
        <f>IF(M$9="","",('DN01'!$K$25)-M36)</f>
        <v/>
      </c>
      <c r="N34" s="340" t="str">
        <f>IF(N$9="","",('DN01'!$K$25)-N36)</f>
        <v/>
      </c>
      <c r="O34" s="340" t="str">
        <f>IF(O$9="","",('DN01'!$K$25)-O36)</f>
        <v/>
      </c>
      <c r="P34" s="340" t="str">
        <f>IF(P$9="","",('DN01'!$K$25)-P36)</f>
        <v/>
      </c>
      <c r="Q34" s="10">
        <f t="shared" si="1"/>
        <v>658.56</v>
      </c>
      <c r="T34" t="str">
        <f>IF(G34="","",VLOOKUP(A34,'ET Standar Price List'!A:M,4,0))</f>
        <v>ALL IATA EY  SPML (NO KSML)</v>
      </c>
    </row>
    <row r="35" spans="1:27" ht="15.75" x14ac:dyDescent="0.25">
      <c r="A35" s="188">
        <v>46</v>
      </c>
      <c r="B35" s="189" t="s">
        <v>20</v>
      </c>
      <c r="D35" s="7">
        <f t="shared" si="7"/>
        <v>26</v>
      </c>
      <c r="E35" s="407" t="s">
        <v>424</v>
      </c>
      <c r="F35" s="9" cm="1">
        <f t="array" ref="F35">_xlfn.XLOOKUP($A35,'ET Standar Price List'!$A:$A,_xlfn.SWITCH($T$4,1,'ET Standar Price List'!$G:$G,2,'ET Standar Price List'!$J:$J,3,'ET Standar Price List'!$M:$M),"XX")</f>
        <v>11.35</v>
      </c>
      <c r="G35" s="301">
        <f>IF(G$9="","",('DN01'!$O$25)-G36)</f>
        <v>14</v>
      </c>
      <c r="H35" s="301">
        <f>IF(H$9="","",('DN02'!$O$25)-H36)</f>
        <v>11</v>
      </c>
      <c r="I35" s="301">
        <f>IF(I$9="","",('DN03'!$O$25)-I37)</f>
        <v>14</v>
      </c>
      <c r="J35" s="301">
        <f>IF(J$9="","",('DN04'!$O$25)-J36)</f>
        <v>3</v>
      </c>
      <c r="K35" s="340" t="str">
        <f>IF(K$9="","",('DN01'!$O$25)-K36)</f>
        <v/>
      </c>
      <c r="L35" s="340" t="str">
        <f>IF(L$9="","",('DN01'!$O$25)-L36)</f>
        <v/>
      </c>
      <c r="M35" s="340" t="str">
        <f>IF(M$9="","",('DN01'!$O$25)-M36)</f>
        <v/>
      </c>
      <c r="N35" s="340" t="str">
        <f>IF(N$9="","",('DN01'!$O$25)-N36)</f>
        <v/>
      </c>
      <c r="O35" s="340" t="str">
        <f>IF(O$9="","",('DN01'!$O$25)-O36)</f>
        <v/>
      </c>
      <c r="P35" s="340" t="str">
        <f>IF(P$9="","",('DN01'!$O$25)-P36)</f>
        <v/>
      </c>
      <c r="Q35" s="10">
        <f t="shared" si="1"/>
        <v>476.7</v>
      </c>
      <c r="T35" t="str">
        <f>IF(G35="","",VLOOKUP(A35,'ET Standar Price List'!A:M,4,0))</f>
        <v>ALL IATA EY  SPML (NO KSML) HBF</v>
      </c>
    </row>
    <row r="36" spans="1:27" ht="15.75" x14ac:dyDescent="0.25">
      <c r="A36" s="188">
        <v>44</v>
      </c>
      <c r="B36" s="189" t="s">
        <v>20</v>
      </c>
      <c r="D36" s="7">
        <f t="shared" si="7"/>
        <v>27</v>
      </c>
      <c r="E36" s="408" t="s">
        <v>61</v>
      </c>
      <c r="F36" s="9" cm="1">
        <f t="array" ref="F36">_xlfn.XLOOKUP($A36,'ET Standar Price List'!$A:$A,_xlfn.SWITCH($T$4,1,'ET Standar Price List'!$G:$G,2,'ET Standar Price List'!$J:$J,3,'ET Standar Price List'!$M:$M),"XX")</f>
        <v>45</v>
      </c>
      <c r="G36" s="301">
        <f>IF(G$9="","",SUMIFS('DN01'!$K$12:$K$24,'DN01'!$I$12:$I$24,"KSML")+SUMIFS('DN01'!$M$12:$M$24,'DN01'!$I$12:$I$24,"KSML"))</f>
        <v>0</v>
      </c>
      <c r="H36" s="301">
        <f>IF(H$9="","",SUMIFS('DN02'!$K$12:$K$24,'DN02'!$I$12:$I$24,"KSML")+SUMIFS('DN02'!$M$12:$M$24,'DN02'!$I$12:$I$24,"KSML"))</f>
        <v>0</v>
      </c>
      <c r="I36" s="301">
        <f>IF(I$9="","",SUMIFS('DN03'!$K$12:$K$24,'DN03'!$I$12:$I$24,"KSML"))</f>
        <v>1</v>
      </c>
      <c r="J36" s="301">
        <f>IF(J$9="","",SUMIFS('DN04'!$K$12:$K$24,'DN04'!$I$12:$I$24,"KSML")+SUMIFS('DN04'!$M$12:$M$24,'DN04'!$I$12:$I$24,"KSML"))</f>
        <v>0</v>
      </c>
      <c r="K36" s="301" t="str">
        <f>IF(K$9="","",SUMIFS('DN05'!$K$12:$K$24,'DN05'!$I$12:$I$24,"KSML")+SUMIFS('DN05'!$M$12:$M$24,'DN05'!$I$12:$I$24,"KSML")+SUMIFS('DN05'!$O$12:$O$24,'DN05'!$I$12:$I$24,"KSML"))</f>
        <v/>
      </c>
      <c r="L36" s="301" t="str">
        <f>IF(L$9="","",SUMIFS('DN06'!$K$12:$K$24,'DN06'!$I$12:$I$24,"KSML")+SUMIFS('DN06'!$M$12:$M$24,'DN06'!$I$12:$I$24,"KSML")+SUMIFS('DN06'!$O$12:$O$24,'DN06'!$I$12:$I$24,"KSML"))</f>
        <v/>
      </c>
      <c r="M36" s="301" t="str">
        <f>IF(M$9="","",SUMIFS('DN07'!$K$12:$K$24,'DN07'!$I$12:$I$24,"KSML")+SUMIFS('DN07'!$M$12:$M$24,'DN07'!$I$12:$I$24,"KSML")+SUMIFS('DN07'!$O$12:$O$24,'DN07'!$I$12:$I$24,"KSML"))</f>
        <v/>
      </c>
      <c r="N36" s="230" t="str">
        <f>IF(N$9="","",SUMIFS('DN08'!$K$12:$K$24,'DN08'!$I$12:$I$24,"KSML")+SUMIFS('DN08'!$M$12:$M$24,'DN08'!$I$12:$I$24,"KSML")+SUMIFS('DN08'!$O$12:$O$24,'DN08'!$I$12:$I$24,"KSML"))</f>
        <v/>
      </c>
      <c r="O36" s="230" t="str">
        <f>IF(O$9="","",SUMIFS('DN09'!$K$12:$K$24,'DN09'!$I$12:$I$24,"KSML")+SUMIFS('DN09'!$M$12:$M$24,'DN09'!$I$12:$I$24,"KSML")+SUMIFS('DN09'!$O$12:$O$24,'DN09'!$I$12:$I$24,"KSML"))</f>
        <v/>
      </c>
      <c r="P36" s="230" t="str">
        <f>IF(P$9="","",SUMIFS('DN10'!$K$12:$K$24,'DN10'!$I$12:$I$24,"KSML")+SUMIFS('DN10'!$M$12:$M$24,'DN10'!$I$12:$I$24,"KSML")+SUMIFS('DN10'!$O$12:$O$24,'DN10'!$I$12:$I$24,"KSML"))</f>
        <v/>
      </c>
      <c r="Q36" s="10">
        <f t="shared" si="1"/>
        <v>45</v>
      </c>
      <c r="T36" t="str">
        <f>IF(G36="","",VLOOKUP(A36,'ET Standar Price List'!A:M,4,0))</f>
        <v>KSML EY LCH/DNR</v>
      </c>
    </row>
    <row r="37" spans="1:27" ht="15.75" x14ac:dyDescent="0.25">
      <c r="A37" s="188">
        <v>48</v>
      </c>
      <c r="B37" s="189" t="s">
        <v>20</v>
      </c>
      <c r="D37" s="7">
        <f t="shared" si="7"/>
        <v>28</v>
      </c>
      <c r="E37" s="408" t="s">
        <v>516</v>
      </c>
      <c r="F37" s="9" cm="1">
        <f t="array" ref="F37">_xlfn.XLOOKUP($A37,'ET Standar Price List'!$A:$A,_xlfn.SWITCH($T$4,1,'ET Standar Price List'!$G:$G,2,'ET Standar Price List'!$J:$J,3,'ET Standar Price List'!$M:$M),"XX")</f>
        <v>28</v>
      </c>
      <c r="G37" s="301">
        <f>IF(G$9="","",SUMIFS('DN01'!$O$12:$O$24,'DN01'!$I$12:$I$24,"KSML"))</f>
        <v>0</v>
      </c>
      <c r="H37" s="301">
        <f>IF(H$9="","",SUMIFS('DN02'!$O$12:$O$24,'DN02'!$I$12:$I$24,"KSML"))</f>
        <v>0</v>
      </c>
      <c r="I37" s="301">
        <f>IF(I$9="","",SUMIFS('DN03'!$O$12:$O$24,'DN03'!$I$12:$I$24,"KSML"))</f>
        <v>1</v>
      </c>
      <c r="J37" s="301">
        <f>IF(J$9="","",SUMIFS('DN04'!$O$12:$O$24,'DN04'!$I$12:$I$24,"KSML"))</f>
        <v>0</v>
      </c>
      <c r="K37" s="301"/>
      <c r="L37" s="301"/>
      <c r="M37" s="301"/>
      <c r="N37" s="230"/>
      <c r="O37" s="230"/>
      <c r="P37" s="230"/>
      <c r="Q37" s="10">
        <f t="shared" si="1"/>
        <v>28</v>
      </c>
    </row>
    <row r="38" spans="1:27" ht="15.75" x14ac:dyDescent="0.25">
      <c r="A38" s="195" t="s">
        <v>25</v>
      </c>
      <c r="B38" s="196" t="s">
        <v>26</v>
      </c>
      <c r="D38" s="7">
        <f t="shared" si="7"/>
        <v>29</v>
      </c>
      <c r="E38" s="2" t="str" cm="1">
        <f t="array" ref="E38:E54">_xlfn.UNIQUE(_xlfn._xlws.FILTER(_xlfn.VSTACK('DN01:DN13'!$O$30:$O$51),_xlfn.VSTACK('DN01:DN13'!$N$30:$N$51)&lt;&gt;""))</f>
        <v>3013499 - Mineral Water  1.5L</v>
      </c>
      <c r="F38" s="9">
        <f>IF(E38="","",VLOOKUP(E38,'DRY ITEM LIST'!B:F,5,0))</f>
        <v>4</v>
      </c>
      <c r="G38" s="301">
        <f>IF(G$9="","",IF($E38=0,0,_xlfn.XLOOKUP($E38,'DN01'!$O$30:$O$51,'DN01'!$N$30:$N$51,0)+IF(LEFT(E38,7)="3013522",-2,0)))</f>
        <v>100</v>
      </c>
      <c r="H38" s="301">
        <f>IF(H$9="","",IF($E38=0,0,_xlfn.XLOOKUP($E38,'DN02'!$O$30:$O$51,'DN02'!$N$30:$N$51,0)+IF(LEFT(E38,7)="3013522",-2,0)))</f>
        <v>36</v>
      </c>
      <c r="I38" s="301">
        <f>IF(I$9="","",IF($E38=0,0,_xlfn.XLOOKUP($E38,'DN03'!$O$30:$O$51,'DN03'!$N$30:$N$51,0)+IF(LEFT(E38,7)="3013522",-2,0)))</f>
        <v>48</v>
      </c>
      <c r="J38" s="301">
        <f>IF(J$9="","",IF($E38=0,0,_xlfn.XLOOKUP($E38,'DN04'!$O$30:$O$51,'DN04'!$N$30:$N$51,0)+IF(LEFT(E38,7)="3013522",-2,0)))</f>
        <v>90</v>
      </c>
      <c r="K38" s="301" t="str">
        <f>IF(K$9="","",IF($E38=0,0,_xlfn.XLOOKUP($E38,'DN05'!$O$30:$O$51,'DN05'!$N$30:$N$51,0)+IF(LEFT(E38,7)="3013522",-2,0)))</f>
        <v/>
      </c>
      <c r="L38" s="301" t="str">
        <f>IF(L$9="","",IF($E38=0,0,_xlfn.XLOOKUP($E38,'DN06'!$O$30:$O$51,'DN06'!$N$30:$N$51,0)+IF(LEFT(E38,7)="3013522",-2,0)))</f>
        <v/>
      </c>
      <c r="M38" s="301" t="str">
        <f>IF(M$9="","",IF($E38=0,0,_xlfn.XLOOKUP($E38,'DN07'!$O$30:$O$51,'DN07'!$N$30:$N$51,0)+IF(LEFT(F38,7)="3013522",-2,0)))</f>
        <v/>
      </c>
      <c r="N38" s="230" t="str">
        <f>IF(N$9="","",IF($E38=0,0,_xlfn.XLOOKUP($E38,'DN08'!$O$30:$O$51,'DN08'!$N$30:$N$51,0)+IF(LEFT(G38,7)="3013522",-2,0)))</f>
        <v/>
      </c>
      <c r="O38" s="230" t="str">
        <f>IF(O$9="","",IF($E38=0,0,_xlfn.XLOOKUP($E38,'DN09'!$O$30:$O$51,'DN09'!$N$30:$N$51,0)+IF(LEFT(H38,7)="3013522",-2,0)))</f>
        <v/>
      </c>
      <c r="P38" s="230" t="str">
        <f>IF(P$9="","",IF($E38=0,0,_xlfn.XLOOKUP($E38,'DN10'!$O$30:$O$49,'DN10'!$N$30:$N$49,0)+IF(LEFT(I38,7)="3013522",-2,0)))</f>
        <v/>
      </c>
      <c r="Q38" s="10">
        <f t="shared" si="1"/>
        <v>1096</v>
      </c>
      <c r="W38">
        <v>20</v>
      </c>
      <c r="X38" t="s">
        <v>62</v>
      </c>
      <c r="Y38">
        <v>18</v>
      </c>
      <c r="Z38">
        <v>5</v>
      </c>
      <c r="AA38">
        <v>90</v>
      </c>
    </row>
    <row r="39" spans="1:27" ht="15.75" x14ac:dyDescent="0.25">
      <c r="A39" s="195" t="s">
        <v>25</v>
      </c>
      <c r="B39" s="196" t="s">
        <v>26</v>
      </c>
      <c r="D39" s="7">
        <f t="shared" si="7"/>
        <v>30</v>
      </c>
      <c r="E39" s="2" t="str">
        <v>3013498 - Mineral Water  330mL</v>
      </c>
      <c r="F39" s="9">
        <f>IF(E39="","",VLOOKUP(E39,'DRY ITEM LIST'!B:F,5,0))</f>
        <v>2</v>
      </c>
      <c r="G39" s="301">
        <f>IF(G$9="","",IF($E39=0,0,_xlfn.XLOOKUP($E39,'DN01'!$O$30:$O$51,'DN01'!$N$30:$N$51,0)+IF(LEFT(E39,7)="3013522",-2,0)))</f>
        <v>72</v>
      </c>
      <c r="H39" s="301">
        <f>IF(H$9="","",IF($E39=0,0,_xlfn.XLOOKUP($E39,'DN02'!$O$30:$O$51,'DN02'!$N$30:$N$51,0)+IF(LEFT(E39,7)="3013522",-2,0)))</f>
        <v>48</v>
      </c>
      <c r="I39" s="301">
        <f>IF(I$9="","",IF($E39=0,0,_xlfn.XLOOKUP($E39,'DN03'!$O$30:$O$51,'DN03'!$N$30:$N$51,0)+IF(LEFT(E39,7)="3013522",-2,0)))</f>
        <v>24</v>
      </c>
      <c r="J39" s="301">
        <f>IF(J$9="","",IF($E39=0,0,_xlfn.XLOOKUP($E39,'DN04'!$O$30:$O$51,'DN04'!$N$30:$N$51,0)+IF(LEFT(E39,7)="3013522",-2,0)))</f>
        <v>36</v>
      </c>
      <c r="K39" s="301" t="str">
        <f>IF(K$9="","",IF($E39=0,0,_xlfn.XLOOKUP($E39,'DN05'!$O$30:$O$51,'DN05'!$N$30:$N$51,0)+IF(LEFT(E39,7)="3013522",-2,0)))</f>
        <v/>
      </c>
      <c r="L39" s="301" t="str">
        <f>IF(L$9="","",IF($E39=0,0,_xlfn.XLOOKUP($E39,'DN06'!$O$30:$O$51,'DN06'!$N$30:$N$51,0)+IF(LEFT(E39,7)="3013522",-2,0)))</f>
        <v/>
      </c>
      <c r="M39" s="301" t="str">
        <f>IF(M$9="","",IF($E39=0,0,_xlfn.XLOOKUP($E39,'DN07'!$O$30:$O$51,'DN07'!$N$30:$N$51,0)+IF(LEFT(F39,7)="3013522",-2,0)))</f>
        <v/>
      </c>
      <c r="N39" s="230" t="str">
        <f>IF(N$9="","",IF($E39=0,0,_xlfn.XLOOKUP($E39,'DN08'!$O$30:$O$51,'DN08'!$N$30:$N$51,0)+IF(LEFT(G39,7)="3013522",-2,0)))</f>
        <v/>
      </c>
      <c r="O39" s="230" t="str">
        <f>IF(O$9="","",IF($E39=0,0,_xlfn.XLOOKUP($E39,'DN09'!$O$30:$O$51,'DN09'!$N$30:$N$51,0)+IF(LEFT(H39,7)="3013522",-2,0)))</f>
        <v/>
      </c>
      <c r="P39" s="230" t="str">
        <f>IF(P$9="","",IF($E39=0,0,_xlfn.XLOOKUP($E39,'DN10'!$O$30:$O$49,'DN10'!$N$30:$N$49,0)+IF(LEFT(I39,7)="3013522",-2,0)))</f>
        <v/>
      </c>
      <c r="Q39" s="10">
        <f t="shared" si="1"/>
        <v>360</v>
      </c>
    </row>
    <row r="40" spans="1:27" ht="15.75" x14ac:dyDescent="0.25">
      <c r="A40" s="195" t="s">
        <v>25</v>
      </c>
      <c r="B40" s="196" t="s">
        <v>26</v>
      </c>
      <c r="D40" s="7">
        <f t="shared" si="7"/>
        <v>31</v>
      </c>
      <c r="E40" s="2" t="str">
        <v>3013495 - Coke 355mL</v>
      </c>
      <c r="F40" s="9">
        <f>IF(E40="","",VLOOKUP(E40,'DRY ITEM LIST'!B:F,5,0))</f>
        <v>3</v>
      </c>
      <c r="G40" s="301">
        <f>IF(G$9="","",IF($E40=0,0,_xlfn.XLOOKUP($E40,'DN01'!$O$30:$O$51,'DN01'!$N$30:$N$51,0)+IF(LEFT(E40,7)="3013522",-2,0)))</f>
        <v>48</v>
      </c>
      <c r="H40" s="301">
        <f>IF(H$9="","",IF($E40=0,0,_xlfn.XLOOKUP($E40,'DN02'!$O$30:$O$51,'DN02'!$N$30:$N$51,0)+IF(LEFT(E40,7)="3013522",-2,0)))</f>
        <v>0</v>
      </c>
      <c r="I40" s="301">
        <f>IF(I$9="","",IF($E40=0,0,_xlfn.XLOOKUP($E40,'DN03'!$O$30:$O$51,'DN03'!$N$30:$N$51,0)+IF(LEFT(E40,7)="3013522",-2,0)))</f>
        <v>24</v>
      </c>
      <c r="J40" s="301">
        <f>IF(J$9="","",IF($E40=0,0,_xlfn.XLOOKUP($E40,'DN04'!$O$30:$O$51,'DN04'!$N$30:$N$51,0)+IF(LEFT(E40,7)="3013522",-2,0)))</f>
        <v>0</v>
      </c>
      <c r="K40" s="301" t="str">
        <f>IF(K$9="","",IF($E40=0,0,_xlfn.XLOOKUP($E40,'DN05'!$O$30:$O$51,'DN05'!$N$30:$N$51,0)+IF(LEFT(E40,7)="3013522",-2,0)))</f>
        <v/>
      </c>
      <c r="L40" s="301" t="str">
        <f>IF(L$9="","",IF($E40=0,0,_xlfn.XLOOKUP($E40,'DN06'!$O$30:$O$51,'DN06'!$N$30:$N$51,0)+IF(LEFT(E40,7)="3013522",-2,0)))</f>
        <v/>
      </c>
      <c r="M40" s="301" t="str">
        <f>IF(M$9="","",IF($E40=0,0,_xlfn.XLOOKUP($E40,'DN07'!$O$30:$O$51,'DN07'!$N$30:$N$51,0)+IF(LEFT(F40,7)="3013522",-2,0)))</f>
        <v/>
      </c>
      <c r="N40" s="230" t="str">
        <f>IF(N$9="","",IF($E40=0,0,_xlfn.XLOOKUP($E40,'DN08'!$O$30:$O$51,'DN08'!$N$30:$N$51,0)+IF(LEFT(G40,7)="3013522",-2,0)))</f>
        <v/>
      </c>
      <c r="O40" s="230" t="str">
        <f>IF(O$9="","",IF($E40=0,0,_xlfn.XLOOKUP($E40,'DN09'!$O$30:$O$51,'DN09'!$N$30:$N$51,0)+IF(LEFT(H40,7)="3013522",-2,0)))</f>
        <v/>
      </c>
      <c r="P40" s="230" t="str">
        <f>IF(P$9="","",IF($E40=0,0,_xlfn.XLOOKUP($E40,'DN10'!$O$30:$O$49,'DN10'!$N$30:$N$49,0)+IF(LEFT(I40,7)="3013522",-2,0)))</f>
        <v/>
      </c>
      <c r="Q40" s="10">
        <f t="shared" si="1"/>
        <v>216</v>
      </c>
      <c r="W40">
        <v>21</v>
      </c>
      <c r="X40" t="s">
        <v>63</v>
      </c>
      <c r="Y40">
        <v>60</v>
      </c>
      <c r="Z40">
        <v>4</v>
      </c>
      <c r="AA40">
        <v>240</v>
      </c>
    </row>
    <row r="41" spans="1:27" ht="15.75" x14ac:dyDescent="0.25">
      <c r="A41" s="195" t="s">
        <v>25</v>
      </c>
      <c r="B41" s="196" t="s">
        <v>26</v>
      </c>
      <c r="D41" s="7">
        <f t="shared" si="7"/>
        <v>32</v>
      </c>
      <c r="E41" s="2" t="str">
        <v>3013497 - Sprite 355mL</v>
      </c>
      <c r="F41" s="9">
        <f>IF(E41="","",VLOOKUP(E41,'DRY ITEM LIST'!B:F,5,0))</f>
        <v>3</v>
      </c>
      <c r="G41" s="301">
        <f>IF(G$9="","",IF($E41=0,0,_xlfn.XLOOKUP($E41,'DN01'!$O$30:$O$51,'DN01'!$N$30:$N$51,0)+IF(LEFT(E41,7)="3013522",-2,0)))</f>
        <v>48</v>
      </c>
      <c r="H41" s="301">
        <f>IF(H$9="","",IF($E41=0,0,_xlfn.XLOOKUP($E41,'DN02'!$O$30:$O$51,'DN02'!$N$30:$N$51,0)+IF(LEFT(E41,7)="3013522",-2,0)))</f>
        <v>36</v>
      </c>
      <c r="I41" s="301">
        <f>IF(I$9="","",IF($E41=0,0,_xlfn.XLOOKUP($E41,'DN03'!$O$30:$O$51,'DN03'!$N$30:$N$51,0)+IF(LEFT(E41,7)="3013522",-2,0)))</f>
        <v>0</v>
      </c>
      <c r="J41" s="301">
        <f>IF(J$9="","",IF($E41=0,0,_xlfn.XLOOKUP($E41,'DN04'!$O$30:$O$51,'DN04'!$N$30:$N$51,0)+IF(LEFT(E41,7)="3013522",-2,0)))</f>
        <v>0</v>
      </c>
      <c r="K41" s="301" t="str">
        <f>IF(K$9="","",IF($E41=0,0,_xlfn.XLOOKUP($E41,'DN05'!$O$30:$O$51,'DN05'!$N$30:$N$51,0)+IF(LEFT(E41,7)="3013522",-2,0)))</f>
        <v/>
      </c>
      <c r="L41" s="301" t="str">
        <f>IF(L$9="","",IF($E41=0,0,_xlfn.XLOOKUP($E41,'DN06'!$O$30:$O$51,'DN06'!$N$30:$N$51,0)+IF(LEFT(E41,7)="3013522",-2,0)))</f>
        <v/>
      </c>
      <c r="M41" s="301" t="str">
        <f>IF(M$9="","",IF($E41=0,0,_xlfn.XLOOKUP($E41,'DN07'!$O$30:$O$51,'DN07'!$N$30:$N$51,0)+IF(LEFT(F41,7)="3013522",-2,0)))</f>
        <v/>
      </c>
      <c r="N41" s="230" t="str">
        <f>IF(N$9="","",IF($E41=0,0,_xlfn.XLOOKUP($E41,'DN08'!$O$30:$O$51,'DN08'!$N$30:$N$51,0)+IF(LEFT(G41,7)="3013522",-2,0)))</f>
        <v/>
      </c>
      <c r="O41" s="230" t="str">
        <f>IF(O$9="","",IF($E41=0,0,_xlfn.XLOOKUP($E41,'DN09'!$O$30:$O$51,'DN09'!$N$30:$N$51,0)+IF(LEFT(H41,7)="3013522",-2,0)))</f>
        <v/>
      </c>
      <c r="P41" s="230" t="str">
        <f>IF(P$9="","",IF($E41=0,0,_xlfn.XLOOKUP($E41,'DN10'!$O$30:$O$49,'DN10'!$N$30:$N$49,0)+IF(LEFT(I41,7)="3013522",-2,0)))</f>
        <v/>
      </c>
      <c r="Q41" s="10">
        <f t="shared" si="1"/>
        <v>252</v>
      </c>
      <c r="W41">
        <v>22</v>
      </c>
      <c r="X41" t="s">
        <v>64</v>
      </c>
      <c r="Y41">
        <v>36</v>
      </c>
      <c r="Z41">
        <v>2</v>
      </c>
      <c r="AA41">
        <v>72</v>
      </c>
    </row>
    <row r="42" spans="1:27" ht="15.75" x14ac:dyDescent="0.25">
      <c r="A42" s="195" t="s">
        <v>25</v>
      </c>
      <c r="B42" s="196" t="s">
        <v>26</v>
      </c>
      <c r="D42" s="7">
        <f t="shared" si="7"/>
        <v>33</v>
      </c>
      <c r="E42" s="2" t="str">
        <v xml:space="preserve">3013522 - Wet Ice 5kg Bag </v>
      </c>
      <c r="F42" s="9">
        <f>IF(E42="","",VLOOKUP(E42,'DRY ITEM LIST'!B:F,5,0))</f>
        <v>5.5</v>
      </c>
      <c r="G42" s="301">
        <f>IF(G$9="","",IF($E42=0,0,_xlfn.XLOOKUP($E42,'DN01'!$O$30:$O$51,'DN01'!$N$30:$N$51,0)+IF(LEFT(E42,7)="3013522",-2,0)))</f>
        <v>8</v>
      </c>
      <c r="H42" s="301">
        <f>IF(H$9="","",IF($E42=0,0,_xlfn.XLOOKUP($E42,'DN02'!$O$30:$O$51,'DN02'!$N$30:$N$51,0)+IF(LEFT(E42,7)="3013522",-2,0)))</f>
        <v>8</v>
      </c>
      <c r="I42" s="301">
        <f>IF(I$9="","",IF($E42=0,0,_xlfn.XLOOKUP($E42,'DN03'!$O$30:$O$51,'DN03'!$N$30:$N$51,0)+IF(LEFT(E42,7)="3013522",-2,0)))</f>
        <v>8</v>
      </c>
      <c r="J42" s="301">
        <f>IF(J$9="","",IF($E42=0,0,_xlfn.XLOOKUP($E42,'DN04'!$O$30:$O$51,'DN04'!$N$30:$N$51,0)+IF(LEFT(E42,7)="3013522",-2,0)))+10</f>
        <v>18</v>
      </c>
      <c r="K42" s="301" t="str">
        <f>IF(K$9="","",IF($E42=0,0,_xlfn.XLOOKUP($E42,'DN05'!$O$30:$O$51,'DN05'!$N$30:$N$51,0)+IF(LEFT(E42,7)="3013522",-2,0)))</f>
        <v/>
      </c>
      <c r="L42" s="301" t="str">
        <f>IF(L$9="","",IF($E42=0,0,_xlfn.XLOOKUP($E42,'DN06'!$O$30:$O$51,'DN06'!$N$30:$N$51,0)+IF(LEFT(E42,7)="3013522",-2,0)))</f>
        <v/>
      </c>
      <c r="M42" s="301" t="str">
        <f>IF(M$9="","",IF($E42=0,0,_xlfn.XLOOKUP($E42,'DN07'!$O$30:$O$51,'DN07'!$N$30:$N$51,0)+IF(LEFT(F42,7)="3013522",-2,0)))</f>
        <v/>
      </c>
      <c r="N42" s="230" t="str">
        <f>IF(N$9="","",IF($E42=0,0,_xlfn.XLOOKUP($E42,'DN08'!$O$30:$O$51,'DN08'!$N$30:$N$51,0)+IF(LEFT(G42,7)="3013522",-2,0)))</f>
        <v/>
      </c>
      <c r="O42" s="230" t="str">
        <f>IF(O$9="","",IF($E42=0,0,_xlfn.XLOOKUP($E42,'DN09'!$O$30:$O$51,'DN09'!$N$30:$N$51,0)+IF(LEFT(H42,7)="3013522",-2,0)))</f>
        <v/>
      </c>
      <c r="P42" s="230" t="str">
        <f>IF(P$9="","",IF($E42=0,0,_xlfn.XLOOKUP($E42,'DN10'!$O$30:$O$49,'DN10'!$N$30:$N$49,0)+IF(LEFT(I42,7)="3013522",-2,0)))</f>
        <v/>
      </c>
      <c r="Q42" s="10">
        <f t="shared" si="1"/>
        <v>231</v>
      </c>
      <c r="W42">
        <v>23</v>
      </c>
      <c r="X42" t="s">
        <v>65</v>
      </c>
      <c r="Y42">
        <v>48</v>
      </c>
      <c r="Z42">
        <v>3</v>
      </c>
      <c r="AA42">
        <v>144</v>
      </c>
    </row>
    <row r="43" spans="1:27" ht="15.75" x14ac:dyDescent="0.25">
      <c r="A43" s="195" t="s">
        <v>25</v>
      </c>
      <c r="B43" s="196" t="s">
        <v>26</v>
      </c>
      <c r="D43" s="7">
        <f t="shared" si="7"/>
        <v>34</v>
      </c>
      <c r="E43" s="2" t="str">
        <v>3013496 - Coke Light 355mL</v>
      </c>
      <c r="F43" s="9">
        <f>IF(E43="","",VLOOKUP(E43,'DRY ITEM LIST'!B:F,5,0))</f>
        <v>3</v>
      </c>
      <c r="G43" s="301">
        <f>IF(G$9="","",IF($E43=0,0,_xlfn.XLOOKUP($E43,'DN01'!$O$30:$O$51,'DN01'!$N$30:$N$51,0)+IF(LEFT(E43,7)="3013522",-2,0)))</f>
        <v>24</v>
      </c>
      <c r="H43" s="301">
        <f>IF(H$9="","",IF($E43=0,0,_xlfn.XLOOKUP($E43,'DN02'!$O$30:$O$51,'DN02'!$N$30:$N$51,0)+IF(LEFT(E43,7)="3013522",-2,0)))</f>
        <v>0</v>
      </c>
      <c r="I43" s="301">
        <f>IF(I$9="","",IF($E43=0,0,_xlfn.XLOOKUP($E43,'DN03'!$O$30:$O$51,'DN03'!$N$30:$N$51,0)+IF(LEFT(E43,7)="3013522",-2,0)))</f>
        <v>12</v>
      </c>
      <c r="J43" s="301">
        <f>IF(J$9="","",IF($E43=0,0,_xlfn.XLOOKUP($E43,'DN04'!$O$30:$O$51,'DN04'!$N$30:$N$51,0)+IF(LEFT(E43,7)="3013522",-2,0)))</f>
        <v>24</v>
      </c>
      <c r="K43" s="301" t="str">
        <f>IF(K$9="","",IF($E43=0,0,_xlfn.XLOOKUP($E43,'DN05'!$O$30:$O$51,'DN05'!$N$30:$N$51,0)+IF(LEFT(E43,7)="3013522",-2,0)))</f>
        <v/>
      </c>
      <c r="L43" s="301" t="str">
        <f>IF(L$9="","",IF($E43=0,0,_xlfn.XLOOKUP($E43,'DN06'!$O$30:$O$51,'DN06'!$N$30:$N$51,0)+IF(LEFT(E43,7)="3013522",-2,0)))</f>
        <v/>
      </c>
      <c r="M43" s="301" t="str">
        <f>IF(M$9="","",IF($E43=0,0,_xlfn.XLOOKUP($E43,'DN07'!$O$30:$O$51,'DN07'!$N$30:$N$51,0)+IF(LEFT(F43,7)="3013522",-2,0)))</f>
        <v/>
      </c>
      <c r="N43" s="230" t="str">
        <f>IF(N$9="","",IF($E43=0,0,_xlfn.XLOOKUP($E43,'DN08'!$O$30:$O$51,'DN08'!$N$30:$N$51,0)+IF(LEFT(G43,7)="3013522",-2,0)))</f>
        <v/>
      </c>
      <c r="O43" s="230" t="str">
        <f>IF(O$9="","",IF($E43=0,0,_xlfn.XLOOKUP($E43,'DN09'!$O$30:$O$51,'DN09'!$N$30:$N$51,0)+IF(LEFT(H43,7)="3013522",-2,0)))</f>
        <v/>
      </c>
      <c r="P43" s="230" t="str">
        <f>IF(P$9="","",IF($E43=0,0,_xlfn.XLOOKUP($E43,'DN10'!$O$30:$O$49,'DN10'!$N$30:$N$49,0)+IF(LEFT(I43,7)="3013522",-2,0)))</f>
        <v/>
      </c>
      <c r="Q43" s="10">
        <f t="shared" si="1"/>
        <v>180</v>
      </c>
      <c r="W43">
        <v>24</v>
      </c>
      <c r="X43" t="s">
        <v>66</v>
      </c>
      <c r="Y43">
        <v>18</v>
      </c>
      <c r="Z43">
        <v>3</v>
      </c>
      <c r="AA43">
        <v>54</v>
      </c>
    </row>
    <row r="44" spans="1:27" ht="15.75" x14ac:dyDescent="0.25">
      <c r="A44" s="195" t="s">
        <v>25</v>
      </c>
      <c r="B44" s="196" t="s">
        <v>26</v>
      </c>
      <c r="D44" s="7">
        <f t="shared" si="7"/>
        <v>35</v>
      </c>
      <c r="E44" s="2" t="str">
        <v>3013502 - Soda Water 355L</v>
      </c>
      <c r="F44" s="9">
        <f>IF(E44="","",VLOOKUP(E44,'DRY ITEM LIST'!B:F,5,0))</f>
        <v>3</v>
      </c>
      <c r="G44" s="301">
        <f>IF(G$9="","",IF($E44=0,0,_xlfn.XLOOKUP($E44,'DN01'!$O$30:$O$51,'DN01'!$N$30:$N$51,0)+IF(LEFT(E44,7)="3013522",-2,0)))</f>
        <v>12</v>
      </c>
      <c r="H44" s="301">
        <f>IF(H$9="","",IF($E44=0,0,_xlfn.XLOOKUP($E44,'DN02'!$O$30:$O$51,'DN02'!$N$30:$N$51,0)+IF(LEFT(E44,7)="3013522",-2,0)))</f>
        <v>0</v>
      </c>
      <c r="I44" s="301">
        <f>IF(I$9="","",IF($E44=0,0,_xlfn.XLOOKUP($E44,'DN03'!$O$30:$O$51,'DN03'!$N$30:$N$51,0)+IF(LEFT(E44,7)="3013522",-2,0)))</f>
        <v>0</v>
      </c>
      <c r="J44" s="301">
        <f>IF(J$9="","",IF($E44=0,0,_xlfn.XLOOKUP($E44,'DN04'!$O$30:$O$51,'DN04'!$N$30:$N$51,0)+IF(LEFT(E44,7)="3013522",-2,0)))</f>
        <v>0</v>
      </c>
      <c r="K44" s="301" t="str">
        <f>IF(K$9="","",IF($E44=0,0,_xlfn.XLOOKUP($E44,'DN05'!$O$30:$O$51,'DN05'!$N$30:$N$51,0)+IF(LEFT(E44,7)="3013522",-2,0)))</f>
        <v/>
      </c>
      <c r="L44" s="301" t="str">
        <f>IF(L$9="","",IF($E44=0,0,_xlfn.XLOOKUP($E44,'DN06'!$O$30:$O$51,'DN06'!$N$30:$N$51,0)+IF(LEFT(E44,7)="3013522",-2,0)))</f>
        <v/>
      </c>
      <c r="M44" s="301" t="str">
        <f>IF(M$9="","",IF($E44=0,0,_xlfn.XLOOKUP($E44,'DN07'!$O$30:$O$51,'DN07'!$N$30:$N$51,0)+IF(LEFT(F44,7)="3013522",-2,0)))</f>
        <v/>
      </c>
      <c r="N44" s="230" t="str">
        <f>IF(N$9="","",IF($E44=0,0,_xlfn.XLOOKUP($E44,'DN08'!$O$30:$O$51,'DN08'!$N$30:$N$51,0)+IF(LEFT(G44,7)="3013522",-2,0)))</f>
        <v/>
      </c>
      <c r="O44" s="230" t="str">
        <f>IF(O$9="","",IF($E44=0,0,_xlfn.XLOOKUP($E44,'DN09'!$O$30:$O$51,'DN09'!$N$30:$N$51,0)+IF(LEFT(H44,7)="3013522",-2,0)))</f>
        <v/>
      </c>
      <c r="P44" s="230" t="str">
        <f>IF(P$9="","",IF($E44=0,0,_xlfn.XLOOKUP($E44,'DN05'!$O$30:$O$47,'DN05'!$N$30:$N$47,0)+IF(LEFT(J44,7)="3013522",-2,0)))</f>
        <v/>
      </c>
      <c r="Q44" s="10">
        <f t="shared" si="1"/>
        <v>36</v>
      </c>
      <c r="W44">
        <v>25</v>
      </c>
      <c r="X44" t="s">
        <v>67</v>
      </c>
      <c r="Y44">
        <v>18</v>
      </c>
      <c r="Z44">
        <v>3</v>
      </c>
      <c r="AA44">
        <v>54</v>
      </c>
    </row>
    <row r="45" spans="1:27" ht="15.75" x14ac:dyDescent="0.25">
      <c r="A45" s="195" t="s">
        <v>25</v>
      </c>
      <c r="B45" s="196" t="s">
        <v>26</v>
      </c>
      <c r="D45" s="7">
        <f t="shared" si="7"/>
        <v>36</v>
      </c>
      <c r="E45" s="2" t="str">
        <v>3013538 - Fruit Platters</v>
      </c>
      <c r="F45" s="9">
        <f>IF(E45="","",VLOOKUP(E45,'DRY ITEM LIST'!B:F,5,0))</f>
        <v>16.61</v>
      </c>
      <c r="G45" s="301">
        <f>IF(G$9="","",IF($E45=0,0,_xlfn.XLOOKUP($E45,'DN01'!$O$30:$O$51,'DN01'!$N$30:$N$51,0)+IF(LEFT(E45,7)="3013522",-2,0)))</f>
        <v>11.666666666666666</v>
      </c>
      <c r="H45" s="301">
        <f>IF(H$9="","",IF($E45=0,0,_xlfn.XLOOKUP($E45,'DN02'!$O$30:$O$51,'DN02'!$N$30:$N$51,0)+IF(LEFT(E45,7)="3013522",-2,0)))</f>
        <v>14</v>
      </c>
      <c r="I45" s="301">
        <f>IF(I$9="","",IF($E45=0,0,_xlfn.XLOOKUP($E45,'DN03'!$O$30:$O$51,'DN03'!$N$30:$N$51,0)+IF(LEFT(E45,7)="3013522",-2,0)))</f>
        <v>13.333333333333334</v>
      </c>
      <c r="J45" s="301">
        <f>IF(J$9="","",IF($E45=0,0,_xlfn.XLOOKUP($E45,'DN04'!$O$30:$O$51,'DN04'!$N$30:$N$51,0)+IF(LEFT(E45,7)="3013522",-2,0)))</f>
        <v>12.666666666666666</v>
      </c>
      <c r="K45" s="301" t="str">
        <f>IF(K$9="","",IF($E45=0,0,_xlfn.XLOOKUP($E45,'DN05'!$O$30:$O$51,'DN05'!$N$30:$N$51,0)+IF(LEFT(E45,7)="3013522",-2,0)))</f>
        <v/>
      </c>
      <c r="L45" s="301" t="str">
        <f>IF(L$9="","",IF($E45=0,0,_xlfn.XLOOKUP($E45,'DN06'!$O$30:$O$51,'DN06'!$N$30:$N$51,0)+IF(LEFT(E45,7)="3013522",-2,0)))</f>
        <v/>
      </c>
      <c r="M45" s="301" t="str">
        <f>IF(M$9="","",IF($E45=0,0,_xlfn.XLOOKUP($E45,'DN07'!$O$30:$O$51,'DN07'!$N$30:$N$51,0)+IF(LEFT(F45,7)="3013522",-2,0)))</f>
        <v/>
      </c>
      <c r="N45" s="230" t="str">
        <f>IF(N$9="","",IF($E45=0,0,_xlfn.XLOOKUP($E45,'DN08'!$O$30:$O$51,'DN08'!$N$30:$N$51,0)+IF(LEFT(G45,7)="3013522",-2,0)))</f>
        <v/>
      </c>
      <c r="O45" s="230" t="str">
        <f>IF(O$9="","",IF($E45=0,0,_xlfn.XLOOKUP($E45,'DN09'!$O$30:$O$51,'DN09'!$N$30:$N$51,0)+IF(LEFT(H45,7)="3013522",-2,0)))</f>
        <v/>
      </c>
      <c r="P45" s="230" t="str">
        <f>IF(P$9="","",IF($E45=0,0,_xlfn.XLOOKUP($E45,'DN10'!$O$30:$O$49,'DN10'!$N$30:$N$49,0)+IF(LEFT(I45,7)="3013522",-2,0)))</f>
        <v/>
      </c>
      <c r="Q45" s="10">
        <f t="shared" si="1"/>
        <v>858.18333333333328</v>
      </c>
      <c r="W45">
        <v>26</v>
      </c>
      <c r="X45" t="s">
        <v>68</v>
      </c>
      <c r="Y45">
        <v>12</v>
      </c>
      <c r="Z45">
        <v>3</v>
      </c>
      <c r="AA45">
        <v>36</v>
      </c>
    </row>
    <row r="46" spans="1:27" ht="15.75" x14ac:dyDescent="0.25">
      <c r="A46" s="195" t="s">
        <v>25</v>
      </c>
      <c r="B46" s="196" t="s">
        <v>26</v>
      </c>
      <c r="D46" s="7">
        <f t="shared" si="7"/>
        <v>37</v>
      </c>
      <c r="E46" s="2" t="str">
        <v>3013540 - Ginger Ale 355mL</v>
      </c>
      <c r="F46" s="303">
        <f>IF(E46="","",VLOOKUP(E46,'DRY ITEM LIST'!B:F,5,0))</f>
        <v>3</v>
      </c>
      <c r="G46" s="301">
        <f>IF(G$9="","",IF($E46=0,0,_xlfn.XLOOKUP($E46,'DN01'!$O$30:$O$51,'DN01'!$N$30:$N$51,0)+IF(LEFT(E46,7)="3013522",-2,0)))</f>
        <v>24</v>
      </c>
      <c r="H46" s="301">
        <f>IF(H$9="","",IF($E46=0,0,_xlfn.XLOOKUP($E46,'DN02'!$O$30:$O$51,'DN02'!$N$30:$N$51,0)+IF(LEFT(E46,7)="3013522",-2,0)))</f>
        <v>0</v>
      </c>
      <c r="I46" s="301">
        <f>IF(I$9="","",IF($E46=0,0,_xlfn.XLOOKUP($E46,'DN03'!$O$30:$O$51,'DN03'!$N$30:$N$51,0)+IF(LEFT(E46,7)="3013522",-2,0)))</f>
        <v>12</v>
      </c>
      <c r="J46" s="301">
        <f>IF(J$9="","",IF($E46=0,0,_xlfn.XLOOKUP($E46,'DN04'!$O$30:$O$51,'DN04'!$N$30:$N$51,0)+IF(LEFT(E46,7)="3013522",-2,0)))</f>
        <v>36</v>
      </c>
      <c r="K46" s="301" t="str">
        <f>IF(K$9="","",IF($E46=0,0,_xlfn.XLOOKUP($E46,'DN05'!$O$30:$O$51,'DN05'!$N$30:$N$51,0)+IF(LEFT(E46,7)="3013522",-2,0)))</f>
        <v/>
      </c>
      <c r="L46" s="301" t="str">
        <f>IF(L$9="","",IF($E46=0,0,_xlfn.XLOOKUP($E46,'DN06'!$O$30:$O$51,'DN06'!$N$30:$N$51,0)+IF(LEFT(E46,7)="3013522",-2,0)))</f>
        <v/>
      </c>
      <c r="M46" s="301" t="str">
        <f>IF(M$9="","",IF($E46=0,0,_xlfn.XLOOKUP($E46,'DN07'!$O$30:$O$51,'DN07'!$N$30:$N$51,0)+IF(LEFT(F46,7)="3013522",-2,0)))</f>
        <v/>
      </c>
      <c r="N46" s="230" t="str">
        <f>IF(N$9="","",IF($E46=0,0,_xlfn.XLOOKUP($E46,'DN08'!$O$30:$O$51,'DN08'!$N$30:$N$51,0)+IF(LEFT(G46,7)="3013522",-2,0)))</f>
        <v/>
      </c>
      <c r="O46" s="230" t="str">
        <f>IF(O$9="","",IF($E46=0,0,_xlfn.XLOOKUP($E46,'DN09'!$O$30:$O$51,'DN09'!$N$30:$N$51,0)+IF(LEFT(H46,7)="3013522",-2,0)))</f>
        <v/>
      </c>
      <c r="P46" s="230" t="str">
        <f>IF(P$9="","",IF($E46=0,0,_xlfn.XLOOKUP($E46,'DN10'!$O$30:$O$49,'DN10'!$N$30:$N$49,0)+IF(LEFT(I46,7)="3013522",-2,0)))</f>
        <v/>
      </c>
      <c r="Q46" s="10">
        <f t="shared" si="1"/>
        <v>216</v>
      </c>
    </row>
    <row r="47" spans="1:27" ht="15.75" x14ac:dyDescent="0.25">
      <c r="A47" s="195" t="s">
        <v>25</v>
      </c>
      <c r="B47" s="196" t="s">
        <v>26</v>
      </c>
      <c r="D47" s="7">
        <f t="shared" si="7"/>
        <v>38</v>
      </c>
      <c r="E47" s="2" t="str">
        <v>3013541 - Sparkling Water</v>
      </c>
      <c r="F47" s="303">
        <f>IF(E47="","",VLOOKUP(E47,'DRY ITEM LIST'!B:F,5,0))</f>
        <v>3.89</v>
      </c>
      <c r="G47" s="301">
        <f>IF(G$9="","",IF($E47=0,0,_xlfn.XLOOKUP($E47,'DN01'!$O$30:$O$51,'DN01'!$N$30:$N$51,0)+IF(LEFT(E47,7)="3013522",-2,0)))</f>
        <v>8</v>
      </c>
      <c r="H47" s="301">
        <f>IF(H$9="","",IF($E47=0,0,_xlfn.XLOOKUP($E47,'DN02'!$O$30:$O$51,'DN02'!$N$30:$N$51,0)+IF(LEFT(E47,7)="3013522",-2,0)))</f>
        <v>0</v>
      </c>
      <c r="I47" s="301">
        <f>IF(I$9="","",IF($E47=0,0,_xlfn.XLOOKUP($E47,'DN03'!$O$30:$O$51,'DN03'!$N$30:$N$51,0)+IF(LEFT(E47,7)="3013522",-2,0)))</f>
        <v>12</v>
      </c>
      <c r="J47" s="301">
        <f>IF(J$9="","",IF($E47=0,0,_xlfn.XLOOKUP($E47,'DN04'!$O$30:$O$51,'DN04'!$N$30:$N$51,0)+IF(LEFT(E47,7)="3013522",-2,0)))</f>
        <v>24</v>
      </c>
      <c r="K47" s="301" t="str">
        <f>IF(K$9="","",IF($E47=0,0,_xlfn.XLOOKUP($E47,'DN05'!$O$30:$O$51,'DN05'!$N$30:$N$51,0)+IF(LEFT(E47,7)="3013522",-2,0)))</f>
        <v/>
      </c>
      <c r="L47" s="301" t="str">
        <f>IF(L$9="","",IF($E47=0,0,_xlfn.XLOOKUP($E47,'DN06'!$O$30:$O$51,'DN06'!$N$30:$N$51,0)+IF(LEFT(E47,7)="3013522",-2,0)))</f>
        <v/>
      </c>
      <c r="M47" s="301" t="str">
        <f>IF(M$9="","",IF($E47=0,0,_xlfn.XLOOKUP($E47,'DN07'!$O$30:$O$51,'DN07'!$N$30:$N$51,0)+IF(LEFT(F47,7)="3013522",-2,0)))</f>
        <v/>
      </c>
      <c r="N47" s="230" t="str">
        <f>IF(N$9="","",IF($E47=0,0,_xlfn.XLOOKUP($E47,'DN08'!$O$30:$O$51,'DN08'!$N$30:$N$51,0)+IF(LEFT(G47,7)="3013522",-2,0)))</f>
        <v/>
      </c>
      <c r="O47" s="230" t="str">
        <f>IF(O$9="","",IF($E47=0,0,_xlfn.XLOOKUP($E47,'DN09'!$O$30:$O$51,'DN09'!$N$30:$N$51,0)+IF(LEFT(H47,7)="3013522",-2,0)))</f>
        <v/>
      </c>
      <c r="P47" s="230" t="str">
        <f>IF(P$9="","",IF($E47=0,0,_xlfn.XLOOKUP($E47,'DN10'!$O$30:$O$49,'DN10'!$N$30:$N$49,0)+IF(LEFT(I47,7)="3013522",-2,0)))</f>
        <v/>
      </c>
      <c r="Q47" s="10">
        <f t="shared" ref="Q47:Q52" si="9">IF(F47="","",SUM(G47:P47)*F47)</f>
        <v>171.16</v>
      </c>
    </row>
    <row r="48" spans="1:27" ht="15.75" x14ac:dyDescent="0.25">
      <c r="A48" s="195" t="s">
        <v>25</v>
      </c>
      <c r="B48" s="196" t="s">
        <v>26</v>
      </c>
      <c r="D48" s="7">
        <f t="shared" si="7"/>
        <v>39</v>
      </c>
      <c r="E48" s="2" t="str">
        <v>3013505 - Juice  Orange  1L</v>
      </c>
      <c r="F48" s="9">
        <f>IF(E48="","",VLOOKUP(E48,'DRY ITEM LIST'!B:F,5,0))</f>
        <v>4.5</v>
      </c>
      <c r="G48" s="301">
        <f>IF(G$9="","",IF($E48=0,0,_xlfn.XLOOKUP($E48,'DN01'!$O$30:$O$51,'DN01'!$N$30:$N$51,0)+IF(LEFT(E48,7)="3013522",-2,0)))</f>
        <v>0</v>
      </c>
      <c r="H48" s="301">
        <f>IF(H$9="","",IF($E48=0,0,_xlfn.XLOOKUP($E48,'DN02'!$O$30:$O$51,'DN02'!$N$30:$N$51,0)+IF(LEFT(E48,7)="3013522",-2,0)))</f>
        <v>2</v>
      </c>
      <c r="I48" s="301">
        <f>IF(I$9="","",IF($E48=0,0,_xlfn.XLOOKUP($E48,'DN03'!$O$30:$O$51,'DN03'!$N$30:$N$51,0)+IF(LEFT(E48,7)="3013522",-2,0)))</f>
        <v>6</v>
      </c>
      <c r="J48" s="301">
        <f>IF(J$9="","",IF($E48=0,0,_xlfn.XLOOKUP($E48,'DN04'!$O$30:$O$51,'DN04'!$N$30:$N$51,0)+IF(LEFT(E48,7)="3013522",-2,0)))</f>
        <v>2</v>
      </c>
      <c r="K48" s="301" t="str">
        <f>IF(K$9="","",IF($E48=0,0,_xlfn.XLOOKUP($E48,'DN05'!$O$30:$O$51,'DN05'!$N$30:$N$51,0)+IF(LEFT(E48,7)="3013522",-2,0)))</f>
        <v/>
      </c>
      <c r="L48" s="301" t="str">
        <f>IF(L$9="","",IF($E48=0,0,_xlfn.XLOOKUP($E48,'DN06'!$O$30:$O$51,'DN06'!$N$30:$N$51,0)+IF(LEFT(E48,7)="3013522",-2,0)))</f>
        <v/>
      </c>
      <c r="M48" s="301" t="str">
        <f>IF(M$9="","",IF($E48=0,0,_xlfn.XLOOKUP($E48,'DN07'!$O$30:$O$51,'DN07'!$N$30:$N$51,0)+IF(LEFT(F48,7)="3013522",-2,0)))</f>
        <v/>
      </c>
      <c r="N48" s="230" t="str">
        <f>IF(N$9="","",IF($E48=0,0,_xlfn.XLOOKUP($E48,'DN08'!$O$30:$O$51,'DN08'!$N$30:$N$51,0)+IF(LEFT(G48,7)="3013522",-2,0)))</f>
        <v/>
      </c>
      <c r="O48" s="230" t="str">
        <f>IF(O$9="","",IF($E48=0,0,_xlfn.XLOOKUP($E48,'DN09'!$O$30:$O$51,'DN09'!$N$30:$N$51,0)+IF(LEFT(H48,7)="3013522",-2,0)))</f>
        <v/>
      </c>
      <c r="P48" s="230" t="str">
        <f>IF(P$9="","",IF($E48=0,0,_xlfn.XLOOKUP($E48,'DN10'!$O$30:$O$49,'DN10'!$N$30:$N$49,0)+IF(LEFT(I48,7)="3013522",-2,0)))</f>
        <v/>
      </c>
      <c r="Q48" s="10">
        <f t="shared" si="9"/>
        <v>45</v>
      </c>
    </row>
    <row r="49" spans="1:17" ht="15.75" x14ac:dyDescent="0.25">
      <c r="A49" s="195" t="s">
        <v>25</v>
      </c>
      <c r="B49" s="196" t="s">
        <v>26</v>
      </c>
      <c r="D49" s="7">
        <f t="shared" si="7"/>
        <v>40</v>
      </c>
      <c r="E49" s="2" t="str">
        <v>3013506 - Juice  Apple  1L</v>
      </c>
      <c r="F49" s="9">
        <f>IF(E49="","",VLOOKUP(E49,'DRY ITEM LIST'!B:F,5,0))</f>
        <v>4.5</v>
      </c>
      <c r="G49" s="301">
        <f>IF(G$9="","",IF($E49=0,0,_xlfn.XLOOKUP($E49,'DN01'!$O$30:$O$51,'DN01'!$N$30:$N$51,0)+IF(LEFT(E49,7)="3013522",-2,0)))</f>
        <v>0</v>
      </c>
      <c r="H49" s="301">
        <f>IF(H$9="","",IF($E49=0,0,_xlfn.XLOOKUP($E49,'DN02'!$O$30:$O$51,'DN02'!$N$30:$N$51,0)+IF(LEFT(E49,7)="3013522",-2,0)))</f>
        <v>16</v>
      </c>
      <c r="I49" s="301">
        <f>IF(I$9="","",IF($E49=0,0,_xlfn.XLOOKUP($E49,'DN03'!$O$30:$O$51,'DN03'!$N$30:$N$51,0)+IF(LEFT(E49,7)="3013522",-2,0)))</f>
        <v>0</v>
      </c>
      <c r="J49" s="301">
        <f>IF(J$9="","",IF($E49=0,0,_xlfn.XLOOKUP($E49,'DN04'!$O$30:$O$51,'DN04'!$N$30:$N$51,0)+IF(LEFT(E49,7)="3013522",-2,0)))</f>
        <v>12</v>
      </c>
      <c r="K49" s="301" t="str">
        <f>IF(K$9="","",IF($E49=0,0,_xlfn.XLOOKUP($E49,'DN05'!$O$30:$O$51,'DN05'!$N$30:$N$51,0)+IF(LEFT(E49,7)="3013522",-2,0)))</f>
        <v/>
      </c>
      <c r="L49" s="301" t="str">
        <f>IF(L$9="","",IF($E49=0,0,_xlfn.XLOOKUP($E49,'DN06'!$O$30:$O$51,'DN06'!$N$30:$N$51,0)+IF(LEFT(E49,7)="3013522",-2,0)))</f>
        <v/>
      </c>
      <c r="M49" s="301" t="str">
        <f>IF(M$9="","",IF($E49=0,0,_xlfn.XLOOKUP($E49,'DN07'!$O$30:$O$51,'DN07'!$N$30:$N$51,0)+IF(LEFT(F49,7)="3013522",-2,0)))</f>
        <v/>
      </c>
      <c r="N49" s="230" t="str">
        <f>IF(N$9="","",IF($E49=0,0,_xlfn.XLOOKUP($E49,'DN08'!$O$30:$O$51,'DN08'!$N$30:$N$51,0)+IF(LEFT(G49,7)="3013522",-2,0)))</f>
        <v/>
      </c>
      <c r="O49" s="230" t="str">
        <f>IF(O$9="","",IF($E49=0,0,_xlfn.XLOOKUP($E49,'DN09'!$O$30:$O$51,'DN09'!$N$30:$N$51,0)+IF(LEFT(H49,7)="3013522",-2,0)))</f>
        <v/>
      </c>
      <c r="P49" s="230" t="str">
        <f>IF(P$9="","",IF($E49=0,0,_xlfn.XLOOKUP($E49,'DN10'!$O$30:$O$49,'DN10'!$N$30:$N$49,0)+IF(LEFT(I49,7)="3013522",-2,0)))</f>
        <v/>
      </c>
      <c r="Q49" s="10">
        <f t="shared" si="9"/>
        <v>126</v>
      </c>
    </row>
    <row r="50" spans="1:17" ht="15.75" x14ac:dyDescent="0.25">
      <c r="A50" s="195" t="s">
        <v>25</v>
      </c>
      <c r="B50" s="196" t="s">
        <v>26</v>
      </c>
      <c r="D50" s="7">
        <f t="shared" si="7"/>
        <v>41</v>
      </c>
      <c r="E50" s="2" t="str">
        <v>3013503 - Tonic Water 355mL</v>
      </c>
      <c r="F50" s="303">
        <f>IF(E50="","",VLOOKUP(E50,'DRY ITEM LIST'!B:F,5,0))</f>
        <v>3</v>
      </c>
      <c r="G50" s="301">
        <f>IF(G$9="","",IF($E50=0,0,_xlfn.XLOOKUP($E50,'DN01'!$O$30:$O$50,'DN01'!$N$30:$N$50,0)+IF(LEFT(E50,7)="3013522",-2,0)))</f>
        <v>0</v>
      </c>
      <c r="H50" s="301">
        <f>IF(H$9="","",IF($E50=0,0,_xlfn.XLOOKUP($E50,'DN02'!$O$30:$O$51,'DN02'!$N$30:$N$51,0)+IF(LEFT(E50,7)="3013522",-2,0)))</f>
        <v>0</v>
      </c>
      <c r="I50" s="301">
        <f>IF(I$9="","",IF($E50=0,0,_xlfn.XLOOKUP($E50,'DN03'!$O$30:$O$51,'DN03'!$N$30:$N$51,0)+IF(LEFT(E50,7)="3013522",-2,0)))</f>
        <v>12</v>
      </c>
      <c r="J50" s="301">
        <f>IF(J$9="","",IF($E50=0,0,_xlfn.XLOOKUP($E50,'DN04'!$O$30:$O$51,'DN04'!$N$30:$N$51,0)+IF(LEFT(E50,7)="3013522",-2,0)))</f>
        <v>0</v>
      </c>
      <c r="K50" s="301" t="str">
        <f>IF(K$9="","",IF($E50=0,0,_xlfn.XLOOKUP($E50,'DN05'!$O$30:$O$51,'DN05'!$N$30:$N$51,0)+IF(LEFT(E50,7)="3013522",-2,0)))</f>
        <v/>
      </c>
      <c r="L50" s="301" t="str">
        <f>IF(L$9="","",IF($E50=0,0,_xlfn.XLOOKUP($E50,'DN06'!$O$30:$O$51,'DN06'!$N$30:$N$51,0)+IF(LEFT(E50,7)="3013522",-2,0)))</f>
        <v/>
      </c>
      <c r="M50" s="301" t="str">
        <f>IF(M$9="","",IF($E50=0,0,_xlfn.XLOOKUP($E50,'DN07'!$O$30:$O$51,'DN07'!$N$30:$N$51,0)+IF(LEFT(F50,7)="3013522",-2,0)))</f>
        <v/>
      </c>
      <c r="N50" s="230" t="str">
        <f>IF(N$9="","",IF($E50=0,0,_xlfn.XLOOKUP($E50,'DN08'!$O$30:$O$51,'DN08'!$N$30:$N$51,0)+IF(LEFT(G50,7)="3013522",-2,0)))</f>
        <v/>
      </c>
      <c r="O50" s="230" t="str">
        <f>IF(O$9="","",IF($E50=0,0,_xlfn.XLOOKUP($E50,'DN09'!$O$30:$O$51,'DN09'!$N$30:$N$51,0)+IF(LEFT(H50,7)="3013522",-2,0)))</f>
        <v/>
      </c>
      <c r="P50" s="301" t="str">
        <f>IF(P$9="","",IF($E50=0,0,_xlfn.XLOOKUP($E50,'DN10'!$O$30:$O$49,'DN10'!$N$30:$N$49,0)+IF(LEFT(I50,7)="3013522",-2,0)))</f>
        <v/>
      </c>
      <c r="Q50" s="304">
        <f t="shared" si="9"/>
        <v>36</v>
      </c>
    </row>
    <row r="51" spans="1:17" ht="15.75" x14ac:dyDescent="0.25">
      <c r="A51" s="195" t="s">
        <v>25</v>
      </c>
      <c r="B51" s="196" t="s">
        <v>26</v>
      </c>
      <c r="D51" s="7">
        <f t="shared" si="7"/>
        <v>42</v>
      </c>
      <c r="E51" s="2" t="str">
        <v>3013542 - Creamer</v>
      </c>
      <c r="F51" s="9">
        <f>IF(E51="","",VLOOKUP(E51,'DRY ITEM LIST'!B:F,5,0))</f>
        <v>0.2</v>
      </c>
      <c r="G51" s="230">
        <f>IF(G$9="","",IF($E51=0,0,_xlfn.XLOOKUP($E51,'DN01'!$O$30:$O$50,'DN01'!$N$30:$N$50,0)+IF(LEFT(E51,7)="3013522",-2,0)))</f>
        <v>0</v>
      </c>
      <c r="H51" s="301">
        <f>IF(H$9="","",IF($E51=0,0,_xlfn.XLOOKUP($E51,'DN02'!$O$30:$O$51,'DN02'!$N$30:$N$51,0)+IF(LEFT(E51,7)="3013522",-2,0)))</f>
        <v>0</v>
      </c>
      <c r="I51" s="301">
        <f>IF(I$9="","",IF($E51=0,0,_xlfn.XLOOKUP($E51,'DN03'!$O$30:$O$51,'DN03'!$N$30:$N$51,0)+IF(LEFT(E51,7)="3013522",-2,0)))</f>
        <v>0</v>
      </c>
      <c r="J51" s="301">
        <f>IF(J$9="","",IF($E51=0,0,_xlfn.XLOOKUP($E51,'DN04'!$O$30:$O$51,'DN04'!$N$30:$N$51,0)+IF(LEFT(E51,7)="3013522",-2,0)))</f>
        <v>0</v>
      </c>
      <c r="K51" s="301" t="str">
        <f>IF(K$9="","",IF($E51=0,0,_xlfn.XLOOKUP($E51,'DN05'!$O$30:$O$51,'DN05'!$N$30:$N$51,0)+IF(LEFT(E51,7)="3013522",-2,0)))</f>
        <v/>
      </c>
      <c r="L51" s="301" t="str">
        <f>IF(L$9="","",IF($E51=0,0,_xlfn.XLOOKUP($E51,'DN06'!$O$30:$O$51,'DN06'!$N$30:$N$51,0)+IF(LEFT(E51,7)="3013522",-2,0)))</f>
        <v/>
      </c>
      <c r="M51" s="301" t="str">
        <f>IF(M$9="","",IF($E51=0,0,_xlfn.XLOOKUP($E51,'DN07'!$O$30:$O$51,'DN07'!$N$30:$N$51,0)+IF(LEFT(F51,7)="3013522",-2,0)))</f>
        <v/>
      </c>
      <c r="N51" s="230" t="str">
        <f>IF(N$9="","",IF($E51=0,0,_xlfn.XLOOKUP($E51,'DN08'!$O$30:$O$51,'DN08'!$N$30:$N$51,0)+IF(LEFT(G51,7)="3013522",-2,0)))</f>
        <v/>
      </c>
      <c r="O51" s="230" t="str">
        <f>IF(O$9="","",IF($E51=0,0,_xlfn.XLOOKUP($E51,'DN09'!$O$30:$O$51,'DN09'!$N$30:$N$51,0)+IF(LEFT(H51,7)="3013522",-2,0)))</f>
        <v/>
      </c>
      <c r="P51" s="230" t="str">
        <f>IF(P$9="","",IF($E51=0,0,_xlfn.XLOOKUP($E51,'DN10'!$O$30:$O$49,'DN10'!$N$30:$N$49,0)+IF(LEFT(I51,7)="3013522",-2,0)))</f>
        <v/>
      </c>
      <c r="Q51" s="10">
        <f t="shared" si="9"/>
        <v>0</v>
      </c>
    </row>
    <row r="52" spans="1:17" ht="15.75" x14ac:dyDescent="0.25">
      <c r="A52" s="195" t="s">
        <v>25</v>
      </c>
      <c r="B52" s="196" t="s">
        <v>26</v>
      </c>
      <c r="D52" s="7">
        <f t="shared" si="7"/>
        <v>43</v>
      </c>
      <c r="E52" s="2" t="str">
        <v>3013534 - Hand Towel Roll</v>
      </c>
      <c r="F52" s="9">
        <f>IF(E52="","",VLOOKUP(E52,'DRY ITEM LIST'!B:F,5,0))</f>
        <v>2.75</v>
      </c>
      <c r="G52" s="230">
        <f>IF(G$9="","",IF($E52=0,0,_xlfn.XLOOKUP($E52,'DN01'!$O$30:$O$50,'DN01'!$N$30:$N$50,0)+IF(LEFT(E52,7)="3013522",-2,0)))</f>
        <v>0</v>
      </c>
      <c r="H52" s="301">
        <f>IF(H$9="","",IF($E52=0,0,_xlfn.XLOOKUP($E52,'DN02'!$O$30:$O$51,'DN02'!$N$30:$N$51,0)+IF(LEFT(E52,7)="3013522",-2,0)))</f>
        <v>0</v>
      </c>
      <c r="I52" s="301">
        <f>IF(I$9="","",IF($E52=0,0,_xlfn.XLOOKUP($E52,'DN03'!$O$30:$O$51,'DN03'!$N$30:$N$51,0)+IF(LEFT(E52,7)="3013522",-2,0)))</f>
        <v>0</v>
      </c>
      <c r="J52" s="301">
        <f>IF(J$9="","",IF($E52=0,0,_xlfn.XLOOKUP($E52,'DN04'!$O$30:$O$51,'DN04'!$N$30:$N$51,0)+IF(LEFT(E52,7)="3013522",-2,0)))</f>
        <v>0</v>
      </c>
      <c r="K52" s="301" t="str">
        <f>IF(K$9="","",IF($E52=0,0,_xlfn.XLOOKUP($E52,'DN05'!$O$30:$O$51,'DN05'!$N$30:$N$51,0)+IF(LEFT(E52,7)="3013522",-2,0)))</f>
        <v/>
      </c>
      <c r="L52" s="301" t="str">
        <f>IF(L$9="","",IF($E52=0,0,_xlfn.XLOOKUP($E52,'DN06'!$O$30:$O$51,'DN06'!$N$30:$N$51,0)+IF(LEFT(E52,7)="3013522",-2,0)))</f>
        <v/>
      </c>
      <c r="M52" s="301" t="str">
        <f>IF(M$9="","",IF($E52=0,0,_xlfn.XLOOKUP($E52,'DN07'!$O$30:$O$51,'DN07'!$N$30:$N$51,0)+IF(LEFT(F52,7)="3013522",-2,0)))</f>
        <v/>
      </c>
      <c r="N52" s="230" t="str">
        <f>IF(N$9="","",IF($E52=0,0,_xlfn.XLOOKUP($E52,'DN08'!$O$30:$O$51,'DN08'!$N$30:$N$51,0)+IF(LEFT(G52,7)="3013522",-2,0)))</f>
        <v/>
      </c>
      <c r="O52" s="230" t="str">
        <f>IF(O$9="","",IF($E52=0,0,_xlfn.XLOOKUP($E52,'DN09'!$O$30:$O$51,'DN09'!$N$30:$N$51,0)+IF(LEFT(H52,7)="3013522",-2,0)))</f>
        <v/>
      </c>
      <c r="P52" s="230" t="str">
        <f>IF(P$9="","",IF($E52=0,0,_xlfn.XLOOKUP($E52,'DN10'!$O$30:$O$49,'DN10'!$N$30:$N$49,0)+IF(LEFT(I52,7)="3013522",-2,0)))</f>
        <v/>
      </c>
      <c r="Q52" s="10">
        <f t="shared" si="9"/>
        <v>0</v>
      </c>
    </row>
    <row r="53" spans="1:17" ht="15.75" x14ac:dyDescent="0.25">
      <c r="A53" s="195" t="s">
        <v>25</v>
      </c>
      <c r="B53" s="196" t="s">
        <v>26</v>
      </c>
      <c r="D53" s="7">
        <f t="shared" si="7"/>
        <v>44</v>
      </c>
      <c r="E53" s="2" t="str">
        <v>Xtra - Bulk Tray - Vegetarian (Fasting)</v>
      </c>
      <c r="F53" s="9">
        <f>IF(E53="","",VLOOKUP(E53,'DRY ITEM LIST'!B:F,5,0))</f>
        <v>118.35</v>
      </c>
      <c r="G53" s="230">
        <f>IF(G$9="","",IF($E53=0,0,_xlfn.XLOOKUP($E53,'DN01'!$O$30:$O$49,'DN01'!$N$30:$N$49,0)+IF(LEFT(E53,7)="3013522",-2,0)))</f>
        <v>0</v>
      </c>
      <c r="H53" s="301">
        <f>IF(H$9="","",IF($E53=0,0,_xlfn.XLOOKUP($E53,'DN02'!$O$30:$O$51,'DN02'!$N$30:$N$51,0)+IF(LEFT(E53,7)="3013522",-2,0)))</f>
        <v>0</v>
      </c>
      <c r="I53" s="301">
        <f>IF(I$9="","",IF($E53=0,0,_xlfn.XLOOKUP($E53,'DN03'!$O$30:$O$51,'DN03'!$N$30:$N$51,0)+IF(LEFT(E53,7)="3013522",-2,0)))</f>
        <v>0</v>
      </c>
      <c r="J53" s="301">
        <f>IF(J$9="","",IF($E53=0,0,_xlfn.XLOOKUP($E53,'DN04'!$O$30:$O$51,'DN04'!$N$30:$N$51,0)+IF(LEFT(E53,7)="3013522",-2,0)))</f>
        <v>0</v>
      </c>
      <c r="K53" s="301" t="str">
        <f>IF(K$9="","",IF($E53=0,0,_xlfn.XLOOKUP($E53,'DN05'!$O$30:$O$51,'DN05'!$N$30:$N$51,0)+IF(LEFT(E53,7)="3013522",-2,0)))</f>
        <v/>
      </c>
      <c r="L53" s="301" t="str">
        <f>IF(L$9="","",IF($E53=0,0,_xlfn.XLOOKUP($E53,'DN06'!$O$30:$O$51,'DN06'!$N$30:$N$51,0)+IF(LEFT(E53,7)="3013522",-2,0)))</f>
        <v/>
      </c>
      <c r="M53" s="230" t="str">
        <f>IF(M$9="","",IF($E53=0,0,_xlfn.XLOOKUP($E53,'DN07'!$O$30:$O$49,'DN07'!$N$30:$N$49,0)+IF(LEFT(F53,7)="3013522",-2,0)))</f>
        <v/>
      </c>
      <c r="N53" s="230" t="str">
        <f>IF(N$9="","",IF($E53=0,0,_xlfn.XLOOKUP($E53,'DN08'!$O$30:$O$49,'DN08'!$N$30:$N$49,0)+IF(LEFT(G53,7)="3013522",-2,0)))</f>
        <v/>
      </c>
      <c r="O53" s="230" t="str">
        <f>IF(O$9="","",IF($E53=0,0,_xlfn.XLOOKUP($E53,'DN09'!$O$30:$O$51,'DN09'!$N$30:$N$51,0)+IF(LEFT(H53,7)="3013522",-2,0)))</f>
        <v/>
      </c>
      <c r="P53" s="230" t="str">
        <f>IF(P$9="","",IF($E53=0,0,_xlfn.XLOOKUP($E53,'DN10'!$O$30:$O$49,'DN10'!$N$30:$N$49,0)+IF(LEFT(I53,7)="3013522",-2,0)))</f>
        <v/>
      </c>
      <c r="Q53" s="10">
        <f t="shared" si="1"/>
        <v>0</v>
      </c>
    </row>
    <row r="54" spans="1:17" ht="15.75" x14ac:dyDescent="0.25">
      <c r="A54" s="195" t="s">
        <v>25</v>
      </c>
      <c r="B54" s="196" t="s">
        <v>26</v>
      </c>
      <c r="D54" s="7">
        <f t="shared" si="7"/>
        <v>45</v>
      </c>
      <c r="E54" s="2" t="str">
        <v>Xtra - Bulk Tray - Pasta (Fasting)</v>
      </c>
      <c r="F54" s="9">
        <f>IF(E54="","",VLOOKUP(E54,'DRY ITEM LIST'!B:F,5,0))</f>
        <v>128.25</v>
      </c>
      <c r="G54" s="230">
        <f>IF(G$9="","",IF($E54=0,0,_xlfn.XLOOKUP($E54,'DN01'!$O$30:$O$49,'DN01'!$N$30:$N$49,0)+IF(LEFT(E54,7)="3013522",-2,0)))</f>
        <v>0</v>
      </c>
      <c r="H54" s="301">
        <f>IF(H$9="","",IF($E54=0,0,_xlfn.XLOOKUP($E54,'DN02'!$O$30:$O$51,'DN02'!$N$30:$N$51,0)+IF(LEFT(E54,7)="3013522",-2,0)))</f>
        <v>0</v>
      </c>
      <c r="I54" s="301">
        <f>IF(I$9="","",IF($E54=0,0,_xlfn.XLOOKUP($E54,'DN03'!$O$30:$O$51,'DN03'!$N$30:$N$51,0)+IF(LEFT(E54,7)="3013522",-2,0)))</f>
        <v>0</v>
      </c>
      <c r="J54" s="301">
        <f>IF(J$9="","",IF($E54=0,0,_xlfn.XLOOKUP($E54,'DN04'!$O$30:$O$51,'DN04'!$N$30:$N$51,0)+IF(LEFT(E54,7)="3013522",-2,0)))</f>
        <v>0</v>
      </c>
      <c r="K54" s="301" t="str">
        <f>IF(K$9="","",IF($E54=0,0,_xlfn.XLOOKUP($E54,'DN05'!$O$30:$O$51,'DN05'!$N$30:$N$51,0)+IF(LEFT(E54,7)="3013522",-2,0)))</f>
        <v/>
      </c>
      <c r="L54" s="301" t="str">
        <f>IF(L$9="","",IF($E54=0,0,_xlfn.XLOOKUP($E54,'DN06'!$O$30:$O$51,'DN06'!$N$30:$N$51,0)+IF(LEFT(E54,7)="3013522",-2,0)))</f>
        <v/>
      </c>
      <c r="M54" s="230" t="str">
        <f>IF(M$9="","",IF($E54=0,0,_xlfn.XLOOKUP($E54,'DN07'!$O$30:$O$49,'DN07'!$N$30:$N$49,0)+IF(LEFT(F54,7)="3013522",-2,0)))</f>
        <v/>
      </c>
      <c r="N54" s="230" t="str">
        <f>IF(N$9="","",IF($E54=0,0,_xlfn.XLOOKUP($E54,'DN08'!$O$30:$O$49,'DN08'!$N$30:$N$49,0)+IF(LEFT(G54,7)="3013522",-2,0)))</f>
        <v/>
      </c>
      <c r="O54" s="230" t="str">
        <f>IF(O$9="","",IF($E54=0,0,_xlfn.XLOOKUP($E54,'DN09'!$O$30:$O$51,'DN09'!$N$30:$N$51,0)+IF(LEFT(H54,7)="3013522",-2,0)))</f>
        <v/>
      </c>
      <c r="P54" s="230" t="str">
        <f>IF(P$9="","",IF($E54=0,0,_xlfn.XLOOKUP($E54,'DN10'!$O$30:$O$49,'DN10'!$N$30:$N$49,0)+IF(LEFT(I54,7)="3013522",-2,0)))</f>
        <v/>
      </c>
      <c r="Q54" s="10">
        <f t="shared" si="1"/>
        <v>0</v>
      </c>
    </row>
    <row r="55" spans="1:17" ht="15.75" x14ac:dyDescent="0.25">
      <c r="A55" s="195" t="s">
        <v>25</v>
      </c>
      <c r="B55" s="196" t="s">
        <v>26</v>
      </c>
      <c r="D55" s="7">
        <f t="shared" si="7"/>
        <v>46</v>
      </c>
      <c r="E55" s="2"/>
      <c r="F55" s="9" t="str">
        <f>IF(E55="","",VLOOKUP(E55,'DRY ITEM LIST'!B:F,5,0))</f>
        <v/>
      </c>
      <c r="G55" s="230">
        <f>IF(G$9="","",IF($E55=0,0,_xlfn.XLOOKUP($E55,'DN01'!$O$30:$O$49,'DN01'!$N$30:$N$49,0)+IF(LEFT(E55,7)="3013522",-2,0)))</f>
        <v>0</v>
      </c>
      <c r="H55" s="301">
        <f>IF(H$9="","",IF($E55=0,0,_xlfn.XLOOKUP($E55,'DN02'!$O$30:$O$51,'DN02'!$N$30:$N$51,0)+IF(LEFT(E55,7)="3013522",-2,0)))</f>
        <v>0</v>
      </c>
      <c r="I55" s="230">
        <f>IF(I$9="","",IF($E55=0,0,_xlfn.XLOOKUP($E55,'DN03'!$O$30:$O$50,'DN03'!$N$30:$N$50,0)+IF(LEFT(E55,7)="3013522",-2,0)))</f>
        <v>0</v>
      </c>
      <c r="J55" s="301">
        <f>IF(J$9="","",IF($E55=0,0,_xlfn.XLOOKUP($E55,'DN04'!$O$30:$O$51,'DN04'!$N$30:$N$51,0)+IF(LEFT(E55,7)="3013522",-2,0)))</f>
        <v>0</v>
      </c>
      <c r="K55" s="301" t="str">
        <f>IF(K$9="","",IF($E55=0,0,_xlfn.XLOOKUP($E55,'DN05'!$O$30:$O$51,'DN05'!$N$30:$N$51,0)+IF(LEFT(E55,7)="3013522",-2,0)))</f>
        <v/>
      </c>
      <c r="L55" s="301" t="str">
        <f>IF(L$9="","",IF($E55=0,0,_xlfn.XLOOKUP($E55,'DN06'!$O$30:$O$51,'DN06'!$N$30:$N$51,0)+IF(LEFT(E55,7)="3013522",-2,0)))</f>
        <v/>
      </c>
      <c r="M55" s="230" t="str">
        <f>IF(M$9="","",IF($E55=0,0,_xlfn.XLOOKUP($E55,'DN07'!$O$30:$O$49,'DN07'!$N$30:$N$49,0)+IF(LEFT(F55,7)="3013522",-2,0)))</f>
        <v/>
      </c>
      <c r="N55" s="230" t="str">
        <f>IF(N$9="","",IF($E55=0,0,_xlfn.XLOOKUP($E55,'DN08'!$O$30:$O$49,'DN08'!$N$30:$N$49,0)+IF(LEFT(G55,7)="3013522",-2,0)))</f>
        <v/>
      </c>
      <c r="O55" s="230" t="str">
        <f>IF(O$9="","",IF($E55=0,0,_xlfn.XLOOKUP($E55,'DN09'!$O$30:$O$51,'DN09'!$N$30:$N$51,0)+IF(LEFT(H55,7)="3013522",-2,0)))</f>
        <v/>
      </c>
      <c r="P55" s="230" t="str">
        <f>IF(P$9="","",IF($E55=0,0,_xlfn.XLOOKUP($E55,'DN10'!$O$30:$O$49,'DN10'!$N$30:$N$49,0)+IF(LEFT(I55,7)="3013522",-2,0)))</f>
        <v/>
      </c>
      <c r="Q55" s="10" t="str">
        <f t="shared" si="1"/>
        <v/>
      </c>
    </row>
    <row r="56" spans="1:17" ht="15.75" x14ac:dyDescent="0.25">
      <c r="A56" s="195" t="s">
        <v>25</v>
      </c>
      <c r="B56" s="196" t="s">
        <v>26</v>
      </c>
      <c r="D56" s="7">
        <f t="shared" si="7"/>
        <v>47</v>
      </c>
      <c r="E56" s="2"/>
      <c r="F56" s="9" t="str">
        <f>IF(E56="","",VLOOKUP(E56,'DRY ITEM LIST'!B:F,5,0))</f>
        <v/>
      </c>
      <c r="G56" s="230">
        <f>IF(G$9="","",IF($E56=0,0,_xlfn.XLOOKUP($E56,'DN01'!$O$30:$O$49,'DN01'!$N$30:$N$49,0)+IF(LEFT(E56,7)="3013522",-2,0)))</f>
        <v>0</v>
      </c>
      <c r="H56" s="301">
        <f>IF(H$9="","",IF($E56=0,0,_xlfn.XLOOKUP($E56,'DN02'!$O$30:$O$51,'DN02'!$N$30:$N$51,0)+IF(LEFT(E56,7)="3013522",-2,0)))</f>
        <v>0</v>
      </c>
      <c r="I56" s="230">
        <f>IF(I$9="","",IF($E56=0,0,_xlfn.XLOOKUP($E56,'DN03'!$O$30:$O$49,'DN03'!$N$30:$N$49,0)+IF(LEFT(E56,7)="3013522",-2,0)))</f>
        <v>0</v>
      </c>
      <c r="J56" s="301">
        <f>IF(J$9="","",IF($E56=0,0,_xlfn.XLOOKUP($E56,'DN04'!$O$30:$O$51,'DN04'!$N$30:$N$51,0)+IF(LEFT(E56,7)="3013522",-2,0)))</f>
        <v>0</v>
      </c>
      <c r="K56" s="301" t="str">
        <f>IF(K$9="","",IF($E56=0,0,_xlfn.XLOOKUP($E56,'DN05'!$O$30:$O$51,'DN05'!$N$30:$N$51,0)+IF(LEFT(E56,7)="3013522",-2,0)))</f>
        <v/>
      </c>
      <c r="L56" s="301" t="str">
        <f>IF(L$9="","",IF($E56=0,0,_xlfn.XLOOKUP($E56,'DN06'!$O$30:$O$51,'DN06'!$N$30:$N$51,0)+IF(LEFT(E56,7)="3013522",-2,0)))</f>
        <v/>
      </c>
      <c r="M56" s="230" t="str">
        <f>IF(M$9="","",IF($E56=0,0,_xlfn.XLOOKUP($E56,'DN07'!$O$30:$O$49,'DN07'!$N$30:$N$49,0)+IF(LEFT(F56,7)="3013522",-2,0)))</f>
        <v/>
      </c>
      <c r="N56" s="230" t="str">
        <f>IF(N$9="","",IF($E56=0,0,_xlfn.XLOOKUP($E56,'DN08'!$O$30:$O$49,'DN08'!$N$30:$N$49,0)+IF(LEFT(G56,7)="3013522",-2,0)))</f>
        <v/>
      </c>
      <c r="O56" s="230" t="str">
        <f>IF(O$9="","",IF($E56=0,0,_xlfn.XLOOKUP($E56,'DN09'!$O$30:$O$49,'DN09'!$N$30:$N$49,0)+IF(LEFT(H56,7)="3013522",-2,0)))</f>
        <v/>
      </c>
      <c r="P56" s="230" t="str">
        <f>IF(P$9="","",IF($E56=0,0,_xlfn.XLOOKUP($E56,'DN10'!$O$30:$O$49,'DN10'!$N$30:$N$49,0)+IF(LEFT(I56,7)="3013522",-2,0)))</f>
        <v/>
      </c>
      <c r="Q56" s="10" t="str">
        <f t="shared" si="1"/>
        <v/>
      </c>
    </row>
    <row r="57" spans="1:17" ht="15.75" x14ac:dyDescent="0.25">
      <c r="A57" s="195" t="s">
        <v>25</v>
      </c>
      <c r="B57" s="196" t="s">
        <v>26</v>
      </c>
      <c r="D57" s="7">
        <f t="shared" si="7"/>
        <v>48</v>
      </c>
      <c r="E57" s="2"/>
      <c r="F57" s="9" t="str">
        <f>IF(E57="","",VLOOKUP(E57,'DRY ITEM LIST'!B:F,5,0))</f>
        <v/>
      </c>
      <c r="G57" s="230">
        <f>IF(G$9="","",IF($E57=0,0,_xlfn.XLOOKUP($E57,'DN01'!$O$30:$O$49,'DN01'!$N$30:$N$49,0)+IF(LEFT(E57,7)="3013522",-2,0)))</f>
        <v>0</v>
      </c>
      <c r="H57" s="301">
        <f>IF(H$9="","",IF($E57=0,0,_xlfn.XLOOKUP($E57,'DN02'!$O$30:$O$51,'DN02'!$N$30:$N$51,0)+IF(LEFT(E57,7)="3013522",-2,0)))</f>
        <v>0</v>
      </c>
      <c r="I57" s="230">
        <f>IF(I$9="","",IF($E57=0,0,_xlfn.XLOOKUP($E57,'DN03'!$O$30:$O$49,'DN03'!$N$30:$N$49,0)+IF(LEFT(E57,7)="3013522",-2,0)))</f>
        <v>0</v>
      </c>
      <c r="J57" s="230">
        <f>IF(J$9="","",IF($E57=0,0,_xlfn.XLOOKUP($E57,'DN04'!$O$30:$O$51,'DN04'!$N$30:$N$51,0)+IF(LEFT(E57,7)="3013522",-2,0)))</f>
        <v>0</v>
      </c>
      <c r="K57" s="301" t="str">
        <f>IF(K$9="","",IF($E57=0,0,_xlfn.XLOOKUP($E57,'DN05'!$O$30:$O$51,'DN05'!$N$30:$N$51,0)+IF(LEFT(E57,7)="3013522",-2,0)))</f>
        <v/>
      </c>
      <c r="L57" s="301" t="str">
        <f>IF(L$9="","",IF($E57=0,0,_xlfn.XLOOKUP($E57,'DN06'!$O$30:$O$51,'DN06'!$N$30:$N$51,0)+IF(LEFT(E57,7)="3013522",-2,0)))</f>
        <v/>
      </c>
      <c r="M57" s="230" t="str">
        <f>IF(M$9="","",IF($E57=0,0,_xlfn.XLOOKUP($E57,'DN07'!$O$30:$O$49,'DN07'!$N$30:$N$49,0)+IF(LEFT(F57,7)="3013522",-2,0)))</f>
        <v/>
      </c>
      <c r="N57" s="230" t="str">
        <f>IF(N$9="","",IF($E57=0,0,_xlfn.XLOOKUP($E57,'DN08'!$O$30:$O$49,'DN08'!$N$30:$N$49,0)+IF(LEFT(G57,7)="3013522",-2,0)))</f>
        <v/>
      </c>
      <c r="O57" s="230" t="str">
        <f>IF(O$9="","",IF($E57=0,0,_xlfn.XLOOKUP($E57,'DN09'!$O$30:$O$49,'DN09'!$N$30:$N$49,0)+IF(LEFT(H57,7)="3013522",-2,0)))</f>
        <v/>
      </c>
      <c r="P57" s="230"/>
      <c r="Q57" s="10" t="str">
        <f t="shared" si="1"/>
        <v/>
      </c>
    </row>
    <row r="58" spans="1:17" ht="15.75" x14ac:dyDescent="0.25">
      <c r="A58" s="195"/>
      <c r="B58" s="196" t="s">
        <v>26</v>
      </c>
      <c r="D58" s="7">
        <f>D57+1</f>
        <v>49</v>
      </c>
      <c r="E58" s="2"/>
      <c r="F58" s="9" t="str">
        <f>IF(E58="","",VLOOKUP(E58,'DRY ITEM LIST'!B:F,5,0))</f>
        <v/>
      </c>
      <c r="G58" s="230">
        <f>IF(G$9="","",IF($E58=0,0,_xlfn.XLOOKUP($E58,'DN01'!$O$30:$O$49,'DN01'!$N$30:$N$49,0)+IF(LEFT(E58,7)="3013522",-2,0)))</f>
        <v>0</v>
      </c>
      <c r="H58" s="230">
        <f>IF(H$9="","",IF($E58=0,0,_xlfn.XLOOKUP($E58,'DN02'!$O$30:$O$49,'DN02'!$N$30:$N$49,0)+IF(LEFT(E58,7)="3013522",-2,0)))</f>
        <v>0</v>
      </c>
      <c r="I58" s="230">
        <f>IF(I$9="","",IF($E58=0,0,_xlfn.XLOOKUP($E58,'DN03'!$O$30:$O$49,'DN03'!$N$30:$N$49,0)+IF(LEFT(E58,7)="3013522",-2,0)))</f>
        <v>0</v>
      </c>
      <c r="J58" s="230">
        <f>IF(J$9="","",IF($E58=0,0,_xlfn.XLOOKUP($E58,'DN04'!$O$30:$O$51,'DN04'!$N$30:$N$51,0)+IF(LEFT(E58,7)="3013522",-2,0)))</f>
        <v>0</v>
      </c>
      <c r="K58" s="230" t="str">
        <f>IF(K$9="","",IF($E58=0,0,_xlfn.XLOOKUP($E58,'DN05'!$O$30:$O$48,'DN05'!$N$30:$N$48,0)+IF(LEFT(E58,7)="3013522",-2,0)))</f>
        <v/>
      </c>
      <c r="L58" s="230" t="str">
        <f>IF(L$9="","",IF($E58=0,0,_xlfn.XLOOKUP($E58,'DN06'!$O$30:$O$49,'DN06'!$N$30:$N$49,0)+IF(LEFT(E58,7)="3013522",-2,0)))</f>
        <v/>
      </c>
      <c r="M58" s="230" t="str">
        <f>IF(M$9="","",IF($E58=0,0,_xlfn.XLOOKUP($E58,'DN07'!$O$30:$O$49,'DN07'!$N$30:$N$49,0)+IF(LEFT(F58,7)="3013522",-2,0)))</f>
        <v/>
      </c>
      <c r="N58" s="230" t="str">
        <f>IF(N$9="","",IF($E58=0,0,_xlfn.XLOOKUP($E58,'DN08'!$O$30:$O$49,'DN08'!$N$30:$N$49,0)+IF(LEFT(G58,7)="3013522",-2,0)))</f>
        <v/>
      </c>
      <c r="O58" s="230" t="str">
        <f>IF(O$9="","",IF($E58=0,0,_xlfn.XLOOKUP($E58,'DN09'!$O$30:$O$49,'DN09'!$N$30:$N$49,0)+IF(LEFT(H58,7)="3013522",-2,0)))</f>
        <v/>
      </c>
      <c r="P58" s="230"/>
      <c r="Q58" s="10" t="str">
        <f t="shared" si="1"/>
        <v/>
      </c>
    </row>
    <row r="59" spans="1:17" ht="15.75" x14ac:dyDescent="0.25">
      <c r="A59" s="188"/>
      <c r="D59" s="213"/>
      <c r="E59" s="268" t="s">
        <v>69</v>
      </c>
      <c r="F59" s="268"/>
      <c r="G59" s="269">
        <f>SUMPRODUCT($F$10:$F$58,G10:G58)</f>
        <v>11408.189754851546</v>
      </c>
      <c r="H59" s="269">
        <f t="shared" ref="H59:O59" si="10">SUMPRODUCT($F$10:$F$58,H10:H58)</f>
        <v>11143.144143913907</v>
      </c>
      <c r="I59" s="269">
        <f t="shared" si="10"/>
        <v>10774.106532307396</v>
      </c>
      <c r="J59" s="269">
        <f t="shared" si="10"/>
        <v>10494.536916402871</v>
      </c>
      <c r="K59" s="269">
        <f t="shared" si="10"/>
        <v>0</v>
      </c>
      <c r="L59" s="269">
        <f t="shared" si="10"/>
        <v>0</v>
      </c>
      <c r="M59" s="269">
        <f t="shared" si="10"/>
        <v>0</v>
      </c>
      <c r="N59" s="269">
        <f t="shared" si="10"/>
        <v>0</v>
      </c>
      <c r="O59" s="269">
        <f t="shared" si="10"/>
        <v>0</v>
      </c>
      <c r="P59" s="269">
        <f t="shared" ref="P59" si="11">SUMPRODUCT($F$10:$F$57,P10:P57)</f>
        <v>0</v>
      </c>
      <c r="Q59" s="212">
        <f>SUM(Q10:Q58)</f>
        <v>43819.977347475717</v>
      </c>
    </row>
    <row r="60" spans="1:17" ht="5.0999999999999996" customHeight="1" x14ac:dyDescent="0.25">
      <c r="A60" s="188"/>
    </row>
    <row r="61" spans="1:17" x14ac:dyDescent="0.25">
      <c r="A61" s="188"/>
      <c r="D61" t="s">
        <v>70</v>
      </c>
    </row>
  </sheetData>
  <printOptions horizontalCentered="1"/>
  <pageMargins left="0" right="0" top="0.5" bottom="0.5" header="0.3" footer="0.3"/>
  <pageSetup scale="59" orientation="landscape" r:id="rId1"/>
  <headerFooter>
    <oddFooter>&amp;L&amp;F&amp;C&amp;P/&amp;N&amp;R&amp;9&amp;D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B7BFC-469F-44AF-8B68-5B2D88747795}">
          <x14:formula1>
            <xm:f>'DRY ITEM LIST'!$B$4:$B$49</xm:f>
          </x14:formula1>
          <xm:sqref>E38:F58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C2B2-BC0C-4901-A64D-441F9DBB9865}">
  <sheetPr>
    <tabColor theme="4" tint="-0.249977111117893"/>
    <pageSetUpPr fitToPage="1"/>
  </sheetPr>
  <dimension ref="A1:O51"/>
  <sheetViews>
    <sheetView showGridLines="0" topLeftCell="A14" workbookViewId="0">
      <selection activeCell="F30" sqref="F30"/>
    </sheetView>
  </sheetViews>
  <sheetFormatPr defaultRowHeight="15" x14ac:dyDescent="0.25"/>
  <cols>
    <col min="1" max="1" width="14.140625" customWidth="1"/>
    <col min="9" max="9" width="18.28515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46164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ET20260522</v>
      </c>
      <c r="N3" s="449"/>
      <c r="O3" s="450"/>
    </row>
    <row r="5" spans="1:15" x14ac:dyDescent="0.25">
      <c r="D5" t="s">
        <v>83</v>
      </c>
      <c r="E5" t="s">
        <v>84</v>
      </c>
    </row>
    <row r="6" spans="1:15" ht="20.25" x14ac:dyDescent="0.3">
      <c r="A6" s="209" t="s">
        <v>85</v>
      </c>
      <c r="B6" s="453" t="s">
        <v>86</v>
      </c>
      <c r="C6" s="453"/>
      <c r="D6">
        <v>20</v>
      </c>
      <c r="E6" s="332" t="s">
        <v>431</v>
      </c>
    </row>
    <row r="7" spans="1:15" ht="20.25" x14ac:dyDescent="0.25">
      <c r="A7" s="209" t="s">
        <v>87</v>
      </c>
      <c r="B7" s="453" t="s">
        <v>88</v>
      </c>
      <c r="C7" s="453"/>
      <c r="D7">
        <v>231</v>
      </c>
      <c r="E7" s="333" t="s">
        <v>434</v>
      </c>
    </row>
    <row r="8" spans="1:15" x14ac:dyDescent="0.25">
      <c r="B8" s="210"/>
      <c r="C8" s="210"/>
    </row>
    <row r="9" spans="1:15" ht="14.45" customHeight="1" x14ac:dyDescent="0.25">
      <c r="A9" s="14"/>
      <c r="I9" s="19" t="s">
        <v>89</v>
      </c>
      <c r="L9" s="432" t="s">
        <v>90</v>
      </c>
      <c r="M9" s="433"/>
      <c r="N9" s="432" t="s">
        <v>91</v>
      </c>
      <c r="O9" s="433"/>
    </row>
    <row r="10" spans="1:15" ht="14.45" customHeight="1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16" t="s">
        <v>93</v>
      </c>
      <c r="J10" s="426"/>
      <c r="K10" s="417"/>
      <c r="L10" s="416" t="s">
        <v>94</v>
      </c>
      <c r="M10" s="417"/>
      <c r="N10" s="416" t="s">
        <v>95</v>
      </c>
      <c r="O10" s="417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GFML</v>
      </c>
      <c r="J12" s="18">
        <v>2</v>
      </c>
      <c r="K12" s="18">
        <v>0</v>
      </c>
      <c r="L12" s="18">
        <f>J12</f>
        <v>2</v>
      </c>
      <c r="M12" s="18">
        <f>K12</f>
        <v>0</v>
      </c>
      <c r="N12" s="18">
        <f>J12</f>
        <v>2</v>
      </c>
      <c r="O12" s="18">
        <f>K12</f>
        <v>0</v>
      </c>
    </row>
    <row r="13" spans="1:15" x14ac:dyDescent="0.25">
      <c r="A13" s="19" t="s">
        <v>91</v>
      </c>
      <c r="B13" s="20">
        <f>$D$6</f>
        <v>20</v>
      </c>
      <c r="C13" s="20">
        <f>$D$7</f>
        <v>231</v>
      </c>
      <c r="D13" s="20">
        <v>11</v>
      </c>
      <c r="E13" s="20">
        <v>3</v>
      </c>
      <c r="F13" s="20">
        <f>SUM(B13,D13:E13)</f>
        <v>34</v>
      </c>
      <c r="G13" s="20">
        <f>C13</f>
        <v>231</v>
      </c>
      <c r="I13" s="16" t="str">
        <v>SPML</v>
      </c>
      <c r="J13" s="18">
        <v>0</v>
      </c>
      <c r="K13" s="18">
        <v>3</v>
      </c>
      <c r="L13" s="18">
        <f t="shared" ref="L13:L24" si="0">J13</f>
        <v>0</v>
      </c>
      <c r="M13" s="18">
        <f t="shared" ref="M13:M24" si="1">K13</f>
        <v>3</v>
      </c>
      <c r="N13" s="18">
        <f t="shared" ref="N13:N24" si="2">J13</f>
        <v>0</v>
      </c>
      <c r="O13" s="18">
        <f t="shared" ref="O13:O24" si="3">K13</f>
        <v>3</v>
      </c>
    </row>
    <row r="14" spans="1:15" x14ac:dyDescent="0.25">
      <c r="A14" s="19" t="s">
        <v>89</v>
      </c>
      <c r="B14" s="20">
        <f>$D$6</f>
        <v>20</v>
      </c>
      <c r="C14" s="20">
        <f>$D$7</f>
        <v>231</v>
      </c>
      <c r="D14" s="20">
        <v>11</v>
      </c>
      <c r="E14" s="20">
        <v>3</v>
      </c>
      <c r="F14" s="20">
        <f>SUM(B14,D14:E14)</f>
        <v>34</v>
      </c>
      <c r="G14" s="20">
        <f>C14</f>
        <v>231</v>
      </c>
      <c r="I14" s="16" t="str">
        <v>LCML</v>
      </c>
      <c r="J14" s="18">
        <v>0</v>
      </c>
      <c r="K14" s="18">
        <v>1</v>
      </c>
      <c r="L14" s="18">
        <f t="shared" ref="L14:L18" si="4">J14</f>
        <v>0</v>
      </c>
      <c r="M14" s="18">
        <f t="shared" ref="M14:M18" si="5">K14</f>
        <v>1</v>
      </c>
      <c r="N14" s="18">
        <f t="shared" ref="N14:N18" si="6">J14</f>
        <v>0</v>
      </c>
      <c r="O14" s="18">
        <f t="shared" ref="O14:O18" si="7">K14</f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4"/>
        <v>0</v>
      </c>
      <c r="M15" s="18">
        <f t="shared" si="5"/>
        <v>3</v>
      </c>
      <c r="N15" s="18">
        <f t="shared" si="6"/>
        <v>0</v>
      </c>
      <c r="O15" s="18">
        <f t="shared" si="7"/>
        <v>3</v>
      </c>
    </row>
    <row r="16" spans="1:15" x14ac:dyDescent="0.25">
      <c r="A16" s="19" t="s">
        <v>103</v>
      </c>
      <c r="B16" s="20">
        <f>$D$6</f>
        <v>20</v>
      </c>
      <c r="C16" s="25">
        <v>0</v>
      </c>
      <c r="D16" s="20">
        <v>11</v>
      </c>
      <c r="E16" s="20">
        <v>3</v>
      </c>
      <c r="F16" s="20">
        <f>SUM(B16,D16:E16)</f>
        <v>34</v>
      </c>
      <c r="G16" s="25">
        <v>0</v>
      </c>
      <c r="I16" s="16" t="str">
        <v>FPML</v>
      </c>
      <c r="J16" s="18">
        <v>0</v>
      </c>
      <c r="K16" s="18">
        <v>1</v>
      </c>
      <c r="L16" s="18">
        <f t="shared" si="4"/>
        <v>0</v>
      </c>
      <c r="M16" s="18">
        <f t="shared" si="5"/>
        <v>1</v>
      </c>
      <c r="N16" s="18">
        <f t="shared" si="6"/>
        <v>0</v>
      </c>
      <c r="O16" s="18">
        <f t="shared" si="7"/>
        <v>1</v>
      </c>
    </row>
    <row r="17" spans="1:15" x14ac:dyDescent="0.25">
      <c r="A17" s="19" t="s">
        <v>104</v>
      </c>
      <c r="B17" s="26">
        <v>0</v>
      </c>
      <c r="C17" s="20">
        <f>$D$7</f>
        <v>231</v>
      </c>
      <c r="D17" s="26"/>
      <c r="E17" s="26"/>
      <c r="F17" s="26">
        <v>0</v>
      </c>
      <c r="G17" s="20">
        <f>C17</f>
        <v>231</v>
      </c>
      <c r="I17" s="16" t="str">
        <v>MOML</v>
      </c>
      <c r="J17" s="18">
        <v>0</v>
      </c>
      <c r="K17" s="18">
        <v>3</v>
      </c>
      <c r="L17" s="18">
        <f t="shared" si="4"/>
        <v>0</v>
      </c>
      <c r="M17" s="18">
        <f t="shared" si="5"/>
        <v>3</v>
      </c>
      <c r="N17" s="18">
        <f t="shared" si="6"/>
        <v>0</v>
      </c>
      <c r="O17" s="18">
        <f t="shared" si="7"/>
        <v>3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DBML</v>
      </c>
      <c r="J18" s="18">
        <v>0</v>
      </c>
      <c r="K18" s="18">
        <v>1</v>
      </c>
      <c r="L18" s="18">
        <f t="shared" si="4"/>
        <v>0</v>
      </c>
      <c r="M18" s="18">
        <f t="shared" si="5"/>
        <v>1</v>
      </c>
      <c r="N18" s="18">
        <f t="shared" si="6"/>
        <v>0</v>
      </c>
      <c r="O18" s="18">
        <f t="shared" si="7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">
        <v>432</v>
      </c>
      <c r="J19" s="18">
        <v>0</v>
      </c>
      <c r="K19" s="18">
        <v>1</v>
      </c>
      <c r="L19" s="18">
        <f t="shared" si="0"/>
        <v>0</v>
      </c>
      <c r="M19" s="18">
        <f t="shared" si="1"/>
        <v>1</v>
      </c>
      <c r="N19" s="18">
        <f t="shared" si="2"/>
        <v>0</v>
      </c>
      <c r="O19" s="18">
        <f t="shared" si="3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">
        <v>433</v>
      </c>
      <c r="J20" s="18">
        <v>0</v>
      </c>
      <c r="K20" s="18">
        <v>1</v>
      </c>
      <c r="L20" s="18">
        <f t="shared" si="0"/>
        <v>0</v>
      </c>
      <c r="M20" s="18">
        <f t="shared" si="1"/>
        <v>1</v>
      </c>
      <c r="N20" s="18">
        <f t="shared" si="2"/>
        <v>0</v>
      </c>
      <c r="O20" s="18">
        <f t="shared" si="3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ref="L21:L23" si="8">J21</f>
        <v>0</v>
      </c>
      <c r="M21" s="18">
        <f t="shared" ref="M21:M23" si="9">K21</f>
        <v>0</v>
      </c>
      <c r="N21" s="18">
        <f t="shared" ref="N21:N23" si="10">J21</f>
        <v>0</v>
      </c>
      <c r="O21" s="18">
        <f t="shared" ref="O21:O23" si="11">K21</f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8"/>
        <v>0</v>
      </c>
      <c r="M22" s="18">
        <f t="shared" si="9"/>
        <v>0</v>
      </c>
      <c r="N22" s="18">
        <f t="shared" si="10"/>
        <v>0</v>
      </c>
      <c r="O22" s="18">
        <f t="shared" si="1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8"/>
        <v>0</v>
      </c>
      <c r="M23" s="18">
        <f t="shared" si="9"/>
        <v>0</v>
      </c>
      <c r="N23" s="18">
        <f t="shared" si="10"/>
        <v>0</v>
      </c>
      <c r="O23" s="18">
        <f t="shared" si="1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1"/>
        <v>0</v>
      </c>
      <c r="N24" s="18">
        <f t="shared" si="2"/>
        <v>0</v>
      </c>
      <c r="O24" s="18">
        <f t="shared" si="3"/>
        <v>0</v>
      </c>
    </row>
    <row r="25" spans="1:15" x14ac:dyDescent="0.25">
      <c r="I25" s="14"/>
      <c r="J25" s="22">
        <f t="shared" ref="J25:O25" si="12">SUM(J12:J24)</f>
        <v>2</v>
      </c>
      <c r="K25" s="22">
        <f t="shared" si="12"/>
        <v>14</v>
      </c>
      <c r="L25" s="22">
        <f t="shared" si="12"/>
        <v>2</v>
      </c>
      <c r="M25" s="22">
        <f t="shared" si="12"/>
        <v>14</v>
      </c>
      <c r="N25" s="22">
        <f t="shared" si="12"/>
        <v>2</v>
      </c>
      <c r="O25" s="22">
        <f t="shared" si="12"/>
        <v>14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/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100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72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25.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48</v>
      </c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48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139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3013496 - Coke Light 355mL</v>
      </c>
    </row>
    <row r="44" spans="1:15" ht="16.149999999999999" customHeight="1" x14ac:dyDescent="0.25">
      <c r="I44" s="20">
        <v>15</v>
      </c>
      <c r="J44" s="413" t="s">
        <v>150</v>
      </c>
      <c r="K44" s="414"/>
      <c r="L44" s="415"/>
      <c r="M44" s="181"/>
      <c r="N44" s="20"/>
      <c r="O44" t="str">
        <f>IF(J44="","",_xlfn.XLOOKUP(J44,'DRY ITEM LIST'!D:D,'DRY ITEM LIST'!B:B,""))</f>
        <v>3013542 - Creamer</v>
      </c>
    </row>
    <row r="45" spans="1:15" x14ac:dyDescent="0.25">
      <c r="I45" s="20">
        <v>16</v>
      </c>
      <c r="J45" s="413" t="s">
        <v>141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3013502 - Soda Water 355L</v>
      </c>
    </row>
    <row r="46" spans="1:15" x14ac:dyDescent="0.25">
      <c r="I46" s="20">
        <v>17</v>
      </c>
      <c r="J46" s="413" t="s">
        <v>142</v>
      </c>
      <c r="K46" s="414"/>
      <c r="L46" s="415"/>
      <c r="M46" s="181"/>
      <c r="N46" s="20">
        <f>35/3</f>
        <v>11.666666666666666</v>
      </c>
      <c r="O46" t="str">
        <f>IF(J46="","",_xlfn.XLOOKUP(J46,'DRY ITEM LIST'!D:D,'DRY ITEM LIST'!B:B,""))</f>
        <v>3013538 - Fruit Platters</v>
      </c>
    </row>
    <row r="47" spans="1:15" x14ac:dyDescent="0.25">
      <c r="I47" s="20">
        <v>18</v>
      </c>
      <c r="J47" s="413" t="s">
        <v>143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3013540 - Ginger Ale 355mL</v>
      </c>
    </row>
    <row r="48" spans="1:15" ht="15" customHeight="1" x14ac:dyDescent="0.25">
      <c r="I48" s="20">
        <v>19</v>
      </c>
      <c r="J48" s="413" t="s">
        <v>152</v>
      </c>
      <c r="K48" s="414"/>
      <c r="L48" s="415"/>
      <c r="M48" s="181"/>
      <c r="N48" s="20">
        <v>8</v>
      </c>
      <c r="O48" t="str">
        <f>IF(J48="","",_xlfn.XLOOKUP(J48,'DRY ITEM LIST'!D:D,'DRY ITEM LIST'!B:B,""))</f>
        <v>3013541 - Sparkling Water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B6:C6"/>
    <mergeCell ref="B7:C7"/>
    <mergeCell ref="J46:L46"/>
    <mergeCell ref="J47:L47"/>
    <mergeCell ref="J48:L48"/>
    <mergeCell ref="L9:M9"/>
    <mergeCell ref="B29:D29"/>
    <mergeCell ref="B30:D30"/>
    <mergeCell ref="B31:D31"/>
    <mergeCell ref="B32:D32"/>
    <mergeCell ref="B33:D33"/>
    <mergeCell ref="B34:D34"/>
    <mergeCell ref="A10:A11"/>
    <mergeCell ref="B10:E10"/>
    <mergeCell ref="B11:E11"/>
    <mergeCell ref="F10:G11"/>
    <mergeCell ref="J45:L45"/>
    <mergeCell ref="J43:L43"/>
    <mergeCell ref="J44:L44"/>
    <mergeCell ref="B39:D39"/>
    <mergeCell ref="B40:D40"/>
    <mergeCell ref="B41:D41"/>
    <mergeCell ref="B42:D42"/>
    <mergeCell ref="B43:D43"/>
    <mergeCell ref="B37:D37"/>
    <mergeCell ref="B38:D38"/>
    <mergeCell ref="B28:D28"/>
    <mergeCell ref="N9:O9"/>
    <mergeCell ref="K2:L2"/>
    <mergeCell ref="A1:B2"/>
    <mergeCell ref="C1:D2"/>
    <mergeCell ref="E1:L1"/>
    <mergeCell ref="N1:O1"/>
    <mergeCell ref="A3:B3"/>
    <mergeCell ref="C3:D3"/>
    <mergeCell ref="E2:F2"/>
    <mergeCell ref="G2:H2"/>
    <mergeCell ref="I3:J3"/>
    <mergeCell ref="K3:L3"/>
    <mergeCell ref="M3:O3"/>
    <mergeCell ref="M2:O2"/>
    <mergeCell ref="E3:F3"/>
    <mergeCell ref="I2:J2"/>
    <mergeCell ref="G3:H3"/>
    <mergeCell ref="J39:L39"/>
    <mergeCell ref="J40:L40"/>
    <mergeCell ref="J42:L42"/>
    <mergeCell ref="J41:L41"/>
    <mergeCell ref="J33:L33"/>
    <mergeCell ref="J34:L34"/>
    <mergeCell ref="J35:L35"/>
    <mergeCell ref="J36:L36"/>
    <mergeCell ref="J37:L37"/>
    <mergeCell ref="J38:L38"/>
    <mergeCell ref="J50:L50"/>
    <mergeCell ref="N10:O10"/>
    <mergeCell ref="B35:D35"/>
    <mergeCell ref="B36:D36"/>
    <mergeCell ref="J30:L30"/>
    <mergeCell ref="J31:L31"/>
    <mergeCell ref="J32:L32"/>
    <mergeCell ref="I28:N28"/>
    <mergeCell ref="J29:L29"/>
    <mergeCell ref="I10:K10"/>
    <mergeCell ref="L10:M10"/>
    <mergeCell ref="J49:L49"/>
  </mergeCells>
  <dataValidations count="1">
    <dataValidation type="list" allowBlank="1" showInputMessage="1" showErrorMessage="1" sqref="J43:L50 J38:L38" xr:uid="{A44299BD-477D-4F26-914B-80BCCAC3E6A4}">
      <formula1>DryItemList</formula1>
    </dataValidation>
  </dataValidations>
  <pageMargins left="0.25" right="0.25" top="0.75" bottom="0.75" header="0.3" footer="0.3"/>
  <pageSetup scale="56" orientation="portrait" horizontalDpi="1200" verticalDpi="1200" r:id="rId1"/>
  <headerFooter>
    <oddFooter>&amp;C&amp;F&amp;R&amp;D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946E-80F9-4ACF-A3A6-518410F987E3}">
  <sheetPr>
    <tabColor theme="4" tint="-0.249977111117893"/>
    <pageSetUpPr fitToPage="1"/>
  </sheetPr>
  <dimension ref="A1:O51"/>
  <sheetViews>
    <sheetView showGridLines="0" topLeftCell="A6" workbookViewId="0">
      <selection activeCell="N44" sqref="N44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46167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ET20260525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22</v>
      </c>
      <c r="E6" t="s">
        <v>437</v>
      </c>
    </row>
    <row r="7" spans="1:15" x14ac:dyDescent="0.25">
      <c r="A7" s="209" t="s">
        <v>87</v>
      </c>
      <c r="B7" s="453" t="s">
        <v>88</v>
      </c>
      <c r="C7" s="453"/>
      <c r="D7">
        <v>239</v>
      </c>
      <c r="E7" s="267" t="s">
        <v>435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CHML</v>
      </c>
      <c r="J12" s="18">
        <v>1</v>
      </c>
      <c r="K12" s="18">
        <v>2</v>
      </c>
      <c r="L12" s="18">
        <f>J12</f>
        <v>1</v>
      </c>
      <c r="M12" s="18">
        <f>K12</f>
        <v>2</v>
      </c>
      <c r="N12" s="18">
        <f>J12</f>
        <v>1</v>
      </c>
      <c r="O12" s="18">
        <f>K12</f>
        <v>2</v>
      </c>
    </row>
    <row r="13" spans="1:15" x14ac:dyDescent="0.25">
      <c r="A13" s="19" t="s">
        <v>91</v>
      </c>
      <c r="B13" s="20">
        <f>$D$6</f>
        <v>22</v>
      </c>
      <c r="C13" s="20">
        <f>$D$7</f>
        <v>239</v>
      </c>
      <c r="D13" s="20">
        <v>11</v>
      </c>
      <c r="E13" s="20">
        <v>3</v>
      </c>
      <c r="F13" s="20">
        <f>SUM(B13,D13:E13)</f>
        <v>36</v>
      </c>
      <c r="G13" s="20">
        <f>C13</f>
        <v>239</v>
      </c>
      <c r="I13" s="16" t="str">
        <v>VGML</v>
      </c>
      <c r="J13" s="18">
        <v>1</v>
      </c>
      <c r="K13" s="18">
        <v>0</v>
      </c>
      <c r="L13" s="18">
        <f t="shared" ref="L13:M24" si="0">J13</f>
        <v>1</v>
      </c>
      <c r="M13" s="18">
        <f t="shared" si="0"/>
        <v>0</v>
      </c>
      <c r="N13" s="18">
        <f t="shared" ref="N13:O24" si="1">J13</f>
        <v>1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22</v>
      </c>
      <c r="C14" s="20">
        <f>$D$7</f>
        <v>239</v>
      </c>
      <c r="D14" s="20">
        <v>11</v>
      </c>
      <c r="E14" s="20">
        <v>3</v>
      </c>
      <c r="F14" s="20">
        <f>SUM(B14,D14:E14)</f>
        <v>36</v>
      </c>
      <c r="G14" s="20">
        <f>C14</f>
        <v>239</v>
      </c>
      <c r="I14" s="16" t="str">
        <v>KIDS</v>
      </c>
      <c r="J14" s="18">
        <v>1</v>
      </c>
      <c r="K14" s="18">
        <v>0</v>
      </c>
      <c r="L14" s="18">
        <f t="shared" si="0"/>
        <v>1</v>
      </c>
      <c r="M14" s="18">
        <f t="shared" si="0"/>
        <v>0</v>
      </c>
      <c r="N14" s="18">
        <f t="shared" si="1"/>
        <v>1</v>
      </c>
      <c r="O14" s="18">
        <f t="shared" si="1"/>
        <v>0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BBML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3</v>
      </c>
      <c r="F16" s="20">
        <f>SUM(B16,D16:E16)</f>
        <v>36</v>
      </c>
      <c r="G16" s="266">
        <v>0</v>
      </c>
      <c r="I16" s="16" t="str">
        <v>MOML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25">
      <c r="A17" s="19" t="s">
        <v>104</v>
      </c>
      <c r="B17" s="26">
        <v>0</v>
      </c>
      <c r="C17" s="20">
        <f>$D$7</f>
        <v>239</v>
      </c>
      <c r="D17" s="26"/>
      <c r="E17" s="26"/>
      <c r="F17" s="26">
        <v>0</v>
      </c>
      <c r="G17" s="20">
        <f>C17</f>
        <v>239</v>
      </c>
      <c r="I17" s="16" t="str">
        <v>SFML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3</v>
      </c>
      <c r="K25" s="22">
        <f t="shared" si="2"/>
        <v>11</v>
      </c>
      <c r="L25" s="22">
        <f t="shared" si="2"/>
        <v>3</v>
      </c>
      <c r="M25" s="22">
        <f t="shared" si="2"/>
        <v>11</v>
      </c>
      <c r="N25" s="22">
        <f t="shared" si="2"/>
        <v>3</v>
      </c>
      <c r="O25" s="22">
        <f t="shared" si="2"/>
        <v>11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16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36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48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139</v>
      </c>
      <c r="K38" s="414"/>
      <c r="L38" s="415"/>
      <c r="M38" s="181"/>
      <c r="N38" s="20"/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36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42/3</f>
        <v>14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143</v>
      </c>
      <c r="K44" s="414"/>
      <c r="L44" s="415"/>
      <c r="M44" s="181"/>
      <c r="N44" s="20"/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3" t="s">
        <v>141</v>
      </c>
      <c r="K46" s="414"/>
      <c r="L46" s="415"/>
      <c r="M46" s="181"/>
      <c r="N46" s="20"/>
      <c r="O46" t="str">
        <f>IF(J46="","",_xlfn.XLOOKUP(J46,'DRY ITEM LIST'!D:D,'DRY ITEM LIST'!B:B,""))</f>
        <v>3013502 - Soda Water 355L</v>
      </c>
    </row>
    <row r="47" spans="1:15" x14ac:dyDescent="0.25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 J38:L38" xr:uid="{D1FED043-3937-430F-82F0-6536BC160D04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C95-91A2-444A-887C-B1B2AB3B5E1D}">
  <sheetPr>
    <tabColor theme="4" tint="-0.249977111117893"/>
    <pageSetUpPr fitToPage="1"/>
  </sheetPr>
  <dimension ref="A1:O51"/>
  <sheetViews>
    <sheetView showGridLines="0" topLeftCell="A2" workbookViewId="0">
      <selection activeCell="F29" sqref="F29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46169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ET20260527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20</v>
      </c>
      <c r="E6" t="s">
        <v>408</v>
      </c>
    </row>
    <row r="7" spans="1:15" x14ac:dyDescent="0.25">
      <c r="A7" s="209" t="s">
        <v>87</v>
      </c>
      <c r="B7" s="453" t="s">
        <v>88</v>
      </c>
      <c r="C7" s="453"/>
      <c r="D7">
        <v>225</v>
      </c>
      <c r="E7" t="s">
        <v>511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D6</f>
        <v>20</v>
      </c>
      <c r="C13" s="20">
        <f>$D$7</f>
        <v>225</v>
      </c>
      <c r="D13" s="20">
        <v>11</v>
      </c>
      <c r="E13" s="20">
        <v>5</v>
      </c>
      <c r="F13" s="20">
        <f>SUM(B13,D13:E13)</f>
        <v>36</v>
      </c>
      <c r="G13" s="20">
        <f>C13</f>
        <v>225</v>
      </c>
      <c r="I13" s="16" t="str">
        <v>LFML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D6</f>
        <v>20</v>
      </c>
      <c r="C14" s="20">
        <f>$D$7</f>
        <v>225</v>
      </c>
      <c r="D14" s="20">
        <v>11</v>
      </c>
      <c r="E14" s="20">
        <v>5</v>
      </c>
      <c r="F14" s="20">
        <f>SUM(B14,D14:E14)</f>
        <v>36</v>
      </c>
      <c r="G14" s="20">
        <f>C14</f>
        <v>225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D6</f>
        <v>20</v>
      </c>
      <c r="C16" s="25">
        <v>0</v>
      </c>
      <c r="D16" s="20">
        <v>11</v>
      </c>
      <c r="E16" s="20">
        <v>5</v>
      </c>
      <c r="F16" s="20">
        <f>SUM(B16,D16:E16)</f>
        <v>36</v>
      </c>
      <c r="G16" s="25">
        <v>0</v>
      </c>
      <c r="I16" s="16" t="str">
        <v>FPML</v>
      </c>
      <c r="J16" s="18">
        <v>0</v>
      </c>
      <c r="K16" s="18">
        <v>3</v>
      </c>
      <c r="L16" s="18">
        <f t="shared" si="0"/>
        <v>0</v>
      </c>
      <c r="M16" s="18">
        <f t="shared" si="0"/>
        <v>3</v>
      </c>
      <c r="N16" s="18">
        <f t="shared" si="1"/>
        <v>0</v>
      </c>
      <c r="O16" s="18">
        <f t="shared" si="1"/>
        <v>3</v>
      </c>
    </row>
    <row r="17" spans="1:15" x14ac:dyDescent="0.25">
      <c r="A17" s="19" t="s">
        <v>104</v>
      </c>
      <c r="B17" s="26">
        <v>0</v>
      </c>
      <c r="C17" s="20">
        <f>$D$7</f>
        <v>225</v>
      </c>
      <c r="D17" s="26"/>
      <c r="E17" s="26"/>
      <c r="F17" s="26">
        <v>0</v>
      </c>
      <c r="G17" s="20">
        <f>C17</f>
        <v>225</v>
      </c>
      <c r="I17" s="16" t="str">
        <v>KSML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HNML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CHML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GFML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 t="s">
        <v>498</v>
      </c>
      <c r="J21" s="18">
        <v>0</v>
      </c>
      <c r="K21" s="18">
        <v>2</v>
      </c>
      <c r="L21" s="18">
        <f t="shared" si="0"/>
        <v>0</v>
      </c>
      <c r="M21" s="18">
        <f t="shared" si="0"/>
        <v>2</v>
      </c>
      <c r="N21" s="18">
        <f t="shared" si="1"/>
        <v>0</v>
      </c>
      <c r="O21" s="18">
        <f t="shared" si="1"/>
        <v>2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6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0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48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140</v>
      </c>
      <c r="K41" s="414"/>
      <c r="L41" s="415"/>
      <c r="M41" s="181"/>
      <c r="N41" s="20">
        <v>12</v>
      </c>
      <c r="O41" t="str">
        <f>IF(J41="","",_xlfn.XLOOKUP(J41,'DRY ITEM LIST'!D:D,'DRY ITEM LIST'!B:B,""))</f>
        <v>3013503 - Tonic Water 355mL</v>
      </c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13" t="s">
        <v>384</v>
      </c>
      <c r="K42" s="414"/>
      <c r="L42" s="415"/>
      <c r="M42" s="181"/>
      <c r="N42" s="20"/>
      <c r="O42" t="str">
        <f>IF(J42="","",_xlfn.XLOOKUP(J42,'DRY ITEM LIST'!D:D,'DRY ITEM LIST'!B:B,""))</f>
        <v/>
      </c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152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3013541 - Sparkling Water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40/3</f>
        <v>13.333333333333334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 t="s">
        <v>150</v>
      </c>
      <c r="K46" s="414"/>
      <c r="L46" s="415"/>
      <c r="M46" s="181"/>
      <c r="N46" s="20">
        <v>0</v>
      </c>
      <c r="O46" t="str">
        <f>IF(J46="","",_xlfn.XLOOKUP(J46,'DRY ITEM LIST'!D:D,'DRY ITEM LIST'!B:B,""))</f>
        <v>3013542 - Creamer</v>
      </c>
    </row>
    <row r="47" spans="1:15" x14ac:dyDescent="0.25">
      <c r="I47" s="20">
        <v>18</v>
      </c>
      <c r="J47" s="413" t="s">
        <v>147</v>
      </c>
      <c r="K47" s="414"/>
      <c r="L47" s="415"/>
      <c r="M47" s="181"/>
      <c r="N47" s="20">
        <v>0</v>
      </c>
      <c r="O47" t="str">
        <f>IF(J47="","",_xlfn.XLOOKUP(J47,'DRY ITEM LIST'!D:D,'DRY ITEM LIST'!B:B,""))</f>
        <v>3013534 - Hand Towel Roll</v>
      </c>
    </row>
    <row r="48" spans="1:15" ht="15" customHeight="1" x14ac:dyDescent="0.25">
      <c r="I48" s="20">
        <v>19</v>
      </c>
      <c r="J48" s="413" t="s">
        <v>139</v>
      </c>
      <c r="K48" s="414"/>
      <c r="L48" s="415"/>
      <c r="M48" s="181"/>
      <c r="N48" s="20">
        <v>12</v>
      </c>
      <c r="O48" t="str">
        <f>IF(J48="","",_xlfn.XLOOKUP(J48,'DRY ITEM LIST'!D:D,'DRY ITEM LIST'!B:B,""))</f>
        <v>3013496 - Coke Light 355mL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>
        <v>0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305">
        <v>21</v>
      </c>
      <c r="J50" s="413" t="s">
        <v>146</v>
      </c>
      <c r="K50" s="414"/>
      <c r="L50" s="415"/>
      <c r="M50" s="181"/>
      <c r="N50" s="20">
        <v>0</v>
      </c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1:L50" xr:uid="{885AEAED-B07D-4C2A-A498-2ED43BDE98F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D22-5C88-4197-9E09-92F8D2B14AEB}">
  <sheetPr>
    <tabColor rgb="FF0070C0"/>
    <pageSetUpPr fitToPage="1"/>
  </sheetPr>
  <dimension ref="A1:O50"/>
  <sheetViews>
    <sheetView showGridLines="0" topLeftCell="A14" workbookViewId="0">
      <selection activeCell="F29" sqref="F29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46171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ET20260529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22</v>
      </c>
      <c r="E6" t="s">
        <v>514</v>
      </c>
    </row>
    <row r="7" spans="1:15" x14ac:dyDescent="0.25">
      <c r="A7" s="209" t="s">
        <v>87</v>
      </c>
      <c r="B7" s="453" t="s">
        <v>88</v>
      </c>
      <c r="C7" s="453"/>
      <c r="D7">
        <v>222</v>
      </c>
      <c r="E7" t="s">
        <v>515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22</v>
      </c>
      <c r="C13" s="20">
        <f>$D$7</f>
        <v>222</v>
      </c>
      <c r="D13" s="20">
        <v>11</v>
      </c>
      <c r="E13" s="20">
        <v>5</v>
      </c>
      <c r="F13" s="20">
        <f>SUM(B13,D13:E13)</f>
        <v>38</v>
      </c>
      <c r="G13" s="20">
        <f>C13</f>
        <v>222</v>
      </c>
      <c r="I13" s="16" t="str">
        <v>MOML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22</v>
      </c>
      <c r="C14" s="20">
        <f>$D$7</f>
        <v>222</v>
      </c>
      <c r="D14" s="20">
        <v>11</v>
      </c>
      <c r="E14" s="20">
        <v>5</v>
      </c>
      <c r="F14" s="20">
        <f>SUM(B14,D14:E14)</f>
        <v>38</v>
      </c>
      <c r="G14" s="20">
        <f>C14</f>
        <v>222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25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5</v>
      </c>
      <c r="F16" s="20">
        <f>SUM(B16,D16:E16)</f>
        <v>38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222</v>
      </c>
      <c r="D17" s="26"/>
      <c r="E17" s="26"/>
      <c r="F17" s="26">
        <v>0</v>
      </c>
      <c r="G17" s="20">
        <f>C17</f>
        <v>222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21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151</v>
      </c>
      <c r="B20" s="206"/>
      <c r="C20" s="206"/>
      <c r="D20" s="206"/>
      <c r="E20" s="206"/>
      <c r="F20" s="206"/>
      <c r="G20" s="206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3</v>
      </c>
      <c r="L25" s="22">
        <f t="shared" si="2"/>
        <v>1</v>
      </c>
      <c r="M25" s="22">
        <f t="shared" si="2"/>
        <v>3</v>
      </c>
      <c r="N25" s="22">
        <f t="shared" si="2"/>
        <v>1</v>
      </c>
      <c r="O25" s="22">
        <f t="shared" si="2"/>
        <v>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12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90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36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38/3</f>
        <v>12.666666666666666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3" t="s">
        <v>152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3" t="s">
        <v>139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3013496 - Coke Light 355mL</v>
      </c>
    </row>
    <row r="48" spans="1:15" ht="15" customHeight="1" x14ac:dyDescent="0.25">
      <c r="I48" s="20">
        <v>19</v>
      </c>
      <c r="J48" s="413" t="s">
        <v>141</v>
      </c>
      <c r="K48" s="414"/>
      <c r="L48" s="415"/>
      <c r="M48" s="181"/>
      <c r="N48" s="20"/>
      <c r="O48" t="str">
        <f>IF(J48="","",_xlfn.XLOOKUP(J48,'DRY ITEM LIST'!D:D,'DRY ITEM LIST'!B:B,""))</f>
        <v>3013502 - Soda Water 355L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disablePrompts="1" count="1">
    <dataValidation type="list" allowBlank="1" showInputMessage="1" showErrorMessage="1" sqref="J43:L50" xr:uid="{CA78095B-B9B5-42ED-9CE8-7CF5F49C34DF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80F-DA05-4350-8A7C-DF872DA09F28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5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53" t="s">
        <v>86</v>
      </c>
      <c r="C6" s="453"/>
      <c r="D6">
        <v>15</v>
      </c>
      <c r="E6" s="274" t="s">
        <v>407</v>
      </c>
    </row>
    <row r="7" spans="1:15" ht="15.75" x14ac:dyDescent="0.25">
      <c r="A7" s="209" t="s">
        <v>87</v>
      </c>
      <c r="B7" s="453" t="s">
        <v>88</v>
      </c>
      <c r="C7" s="453"/>
      <c r="D7">
        <v>65</v>
      </c>
      <c r="E7" s="274" t="s">
        <v>410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ht="15" customHeight="1" x14ac:dyDescent="0.25">
      <c r="A10" s="452" t="s">
        <v>8</v>
      </c>
      <c r="B10" s="263"/>
      <c r="C10" s="264"/>
      <c r="D10" s="264"/>
      <c r="E10" s="262"/>
      <c r="F10" s="456" t="s">
        <v>92</v>
      </c>
      <c r="G10" s="457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ht="15" customHeight="1" x14ac:dyDescent="0.25">
      <c r="A11" s="452"/>
      <c r="B11" s="261" t="s">
        <v>96</v>
      </c>
      <c r="C11" s="261"/>
      <c r="D11" s="261"/>
      <c r="E11" s="261"/>
      <c r="F11" s="421"/>
      <c r="G11" s="458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VGML</v>
      </c>
      <c r="J12" s="18">
        <v>0</v>
      </c>
      <c r="K12" s="18">
        <v>0</v>
      </c>
      <c r="L12" s="18">
        <f>J12</f>
        <v>0</v>
      </c>
      <c r="M12" s="18">
        <f>K12</f>
        <v>0</v>
      </c>
      <c r="N12" s="18">
        <f>J12</f>
        <v>0</v>
      </c>
      <c r="O12" s="18">
        <f>K12</f>
        <v>0</v>
      </c>
    </row>
    <row r="13" spans="1:15" x14ac:dyDescent="0.25">
      <c r="A13" s="19" t="s">
        <v>91</v>
      </c>
      <c r="B13" s="20">
        <f>$D$6</f>
        <v>15</v>
      </c>
      <c r="C13" s="20">
        <f>$D$7</f>
        <v>65</v>
      </c>
      <c r="D13" s="20">
        <v>14</v>
      </c>
      <c r="E13" s="20">
        <v>3</v>
      </c>
      <c r="F13" s="20">
        <f>SUM(B13,D13:E13)</f>
        <v>32</v>
      </c>
      <c r="G13" s="20">
        <f>C13</f>
        <v>65</v>
      </c>
      <c r="I13" s="16" t="str">
        <v>KSML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15</v>
      </c>
      <c r="C14" s="20">
        <f>$D$7</f>
        <v>65</v>
      </c>
      <c r="D14" s="20">
        <v>14</v>
      </c>
      <c r="E14" s="20">
        <v>3</v>
      </c>
      <c r="F14" s="20">
        <f>SUM(B14,D14:E14)</f>
        <v>32</v>
      </c>
      <c r="G14" s="20">
        <f>C14</f>
        <v>65</v>
      </c>
      <c r="I14" s="16" t="str">
        <v>AVML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25">
      <c r="A16" s="19" t="s">
        <v>103</v>
      </c>
      <c r="B16" s="20">
        <f>$D$6</f>
        <v>15</v>
      </c>
      <c r="C16" s="25">
        <v>0</v>
      </c>
      <c r="D16" s="20">
        <v>14</v>
      </c>
      <c r="E16" s="20">
        <v>3</v>
      </c>
      <c r="F16" s="20">
        <f>SUM(B16,D16:E16)</f>
        <v>32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65</v>
      </c>
      <c r="D17" s="26"/>
      <c r="E17" s="26"/>
      <c r="F17" s="26">
        <v>0</v>
      </c>
      <c r="G17" s="20">
        <f>C17</f>
        <v>65</v>
      </c>
      <c r="I17" s="16"/>
      <c r="J17" s="18"/>
      <c r="K17" s="18"/>
      <c r="L17" s="18">
        <f t="shared" ref="L17" si="2">J17</f>
        <v>0</v>
      </c>
      <c r="M17" s="18">
        <f t="shared" ref="M17" si="3">K17</f>
        <v>0</v>
      </c>
      <c r="N17" s="18">
        <f t="shared" ref="N17" si="4">J17</f>
        <v>0</v>
      </c>
      <c r="O17" s="18">
        <f t="shared" ref="O17" si="5">K17</f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6">SUM(J12:J24)</f>
        <v>0</v>
      </c>
      <c r="K25" s="22">
        <f t="shared" si="6"/>
        <v>2</v>
      </c>
      <c r="L25" s="22">
        <f t="shared" si="6"/>
        <v>0</v>
      </c>
      <c r="M25" s="22">
        <f t="shared" si="6"/>
        <v>2</v>
      </c>
      <c r="N25" s="22">
        <f t="shared" si="6"/>
        <v>0</v>
      </c>
      <c r="O25" s="22">
        <f t="shared" si="6"/>
        <v>2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42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3" t="s">
        <v>143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3013540 - Ginger Ale 355mL</v>
      </c>
    </row>
    <row r="43" spans="1:15" x14ac:dyDescent="0.25">
      <c r="I43" s="20">
        <v>14</v>
      </c>
      <c r="J43" s="413" t="s">
        <v>141</v>
      </c>
      <c r="K43" s="414"/>
      <c r="L43" s="415"/>
      <c r="M43" s="181"/>
      <c r="N43" s="20"/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3" t="s">
        <v>140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3013503 - Tonic Water 355mL</v>
      </c>
    </row>
    <row r="45" spans="1:15" x14ac:dyDescent="0.25">
      <c r="I45" s="20">
        <v>16</v>
      </c>
      <c r="J45" s="413" t="s">
        <v>139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3013496 - Coke Light 355mL</v>
      </c>
    </row>
    <row r="46" spans="1:15" ht="15" customHeight="1" x14ac:dyDescent="0.25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ht="24.6" customHeight="1" x14ac:dyDescent="0.25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24.6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ht="24.6" customHeight="1" x14ac:dyDescent="0.25"/>
  </sheetData>
  <mergeCells count="60">
    <mergeCell ref="J48:L48"/>
    <mergeCell ref="N1:O1"/>
    <mergeCell ref="E2:F2"/>
    <mergeCell ref="G2:H2"/>
    <mergeCell ref="I2:J2"/>
    <mergeCell ref="K2:L2"/>
    <mergeCell ref="M2:O2"/>
    <mergeCell ref="I3:J3"/>
    <mergeCell ref="K3:L3"/>
    <mergeCell ref="N10:O10"/>
    <mergeCell ref="J47:L47"/>
    <mergeCell ref="A10:A11"/>
    <mergeCell ref="F10:G11"/>
    <mergeCell ref="I10:K10"/>
    <mergeCell ref="L10:M10"/>
    <mergeCell ref="A1:B2"/>
    <mergeCell ref="C1:D2"/>
    <mergeCell ref="E1:L1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B41:D41"/>
    <mergeCell ref="J41:L41"/>
    <mergeCell ref="J42:L42"/>
    <mergeCell ref="J43:L43"/>
  </mergeCells>
  <dataValidations count="1">
    <dataValidation type="list" allowBlank="1" showInputMessage="1" showErrorMessage="1" sqref="J41:L48" xr:uid="{B2261871-3276-46F4-AF26-638E335B2C5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40DB-D2C8-45B7-A836-C810FB1F630C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53" t="s">
        <v>86</v>
      </c>
      <c r="C6" s="453"/>
      <c r="D6">
        <v>15</v>
      </c>
      <c r="E6" s="231" t="s">
        <v>155</v>
      </c>
    </row>
    <row r="7" spans="1:15" ht="15.75" x14ac:dyDescent="0.25">
      <c r="A7" s="209" t="s">
        <v>87</v>
      </c>
      <c r="B7" s="453" t="s">
        <v>88</v>
      </c>
      <c r="C7" s="453"/>
      <c r="D7">
        <v>130</v>
      </c>
      <c r="E7" s="231" t="s">
        <v>156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RVML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15</v>
      </c>
      <c r="C13" s="20">
        <f>$D$7</f>
        <v>130</v>
      </c>
      <c r="D13" s="20">
        <v>12</v>
      </c>
      <c r="E13" s="20">
        <v>3</v>
      </c>
      <c r="F13" s="20">
        <f>SUM(B13,D13:E13)</f>
        <v>30</v>
      </c>
      <c r="G13" s="20">
        <f>C13</f>
        <v>130</v>
      </c>
      <c r="I13" s="16" t="str">
        <v>KSML</v>
      </c>
      <c r="J13" s="18">
        <v>0</v>
      </c>
      <c r="K13" s="18">
        <v>4</v>
      </c>
      <c r="L13" s="18">
        <f t="shared" ref="L13:M24" si="0">J13</f>
        <v>0</v>
      </c>
      <c r="M13" s="18">
        <f t="shared" si="0"/>
        <v>4</v>
      </c>
      <c r="N13" s="18">
        <f t="shared" ref="N13:O24" si="1">J13</f>
        <v>0</v>
      </c>
      <c r="O13" s="18">
        <f t="shared" si="1"/>
        <v>4</v>
      </c>
    </row>
    <row r="14" spans="1:15" x14ac:dyDescent="0.25">
      <c r="A14" s="19" t="s">
        <v>89</v>
      </c>
      <c r="B14" s="20">
        <f>$D$6</f>
        <v>15</v>
      </c>
      <c r="C14" s="20">
        <f>$D$7</f>
        <v>130</v>
      </c>
      <c r="D14" s="20">
        <v>12</v>
      </c>
      <c r="E14" s="20">
        <v>3</v>
      </c>
      <c r="F14" s="20">
        <f>SUM(B14,D14:E14)</f>
        <v>30</v>
      </c>
      <c r="G14" s="20">
        <f>C14</f>
        <v>130</v>
      </c>
      <c r="I14" s="16" t="str">
        <v>SFML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25">
      <c r="A16" s="19" t="s">
        <v>103</v>
      </c>
      <c r="B16" s="20">
        <f>$D$6</f>
        <v>15</v>
      </c>
      <c r="C16" s="25">
        <v>0</v>
      </c>
      <c r="D16" s="20">
        <v>12</v>
      </c>
      <c r="E16" s="20">
        <v>3</v>
      </c>
      <c r="F16" s="20">
        <f>SUM(B16,D16:E16)</f>
        <v>30</v>
      </c>
      <c r="G16" s="25">
        <v>0</v>
      </c>
      <c r="I16" s="16" t="str">
        <v>CHML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25">
      <c r="A17" s="19" t="s">
        <v>104</v>
      </c>
      <c r="B17" s="26">
        <v>0</v>
      </c>
      <c r="C17" s="20">
        <f>$D$7</f>
        <v>130</v>
      </c>
      <c r="D17" s="26"/>
      <c r="E17" s="26"/>
      <c r="F17" s="26">
        <v>0</v>
      </c>
      <c r="G17" s="20">
        <f>C17</f>
        <v>130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15</v>
      </c>
      <c r="L25" s="22">
        <f t="shared" si="2"/>
        <v>1</v>
      </c>
      <c r="M25" s="22">
        <f t="shared" si="2"/>
        <v>15</v>
      </c>
      <c r="N25" s="22">
        <f t="shared" si="2"/>
        <v>1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7007E715-D335-45E8-B078-4053C574515A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04A-A4A5-4B22-AB64-5DEF9F9B0190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21</v>
      </c>
      <c r="E6" t="s">
        <v>408</v>
      </c>
    </row>
    <row r="7" spans="1:15" x14ac:dyDescent="0.25">
      <c r="A7" s="209" t="s">
        <v>87</v>
      </c>
      <c r="B7" s="453" t="s">
        <v>88</v>
      </c>
      <c r="C7" s="453"/>
      <c r="D7">
        <v>181</v>
      </c>
      <c r="E7" s="267" t="s">
        <v>411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21</v>
      </c>
      <c r="C13" s="20">
        <f>$D$7</f>
        <v>181</v>
      </c>
      <c r="D13" s="20">
        <v>14</v>
      </c>
      <c r="E13" s="20">
        <v>3</v>
      </c>
      <c r="F13" s="20">
        <f>SUM(B13,D13:E13)</f>
        <v>38</v>
      </c>
      <c r="G13" s="20">
        <f>C13</f>
        <v>181</v>
      </c>
      <c r="I13" s="16" t="str">
        <v>DBML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21</v>
      </c>
      <c r="C14" s="20">
        <f>$D$7</f>
        <v>181</v>
      </c>
      <c r="D14" s="20">
        <v>14</v>
      </c>
      <c r="E14" s="20">
        <v>3</v>
      </c>
      <c r="F14" s="20">
        <f>SUM(B14,D14:E14)</f>
        <v>38</v>
      </c>
      <c r="G14" s="20">
        <f>C14</f>
        <v>181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$D$6</f>
        <v>21</v>
      </c>
      <c r="C16" s="25">
        <v>0</v>
      </c>
      <c r="D16" s="20">
        <v>14</v>
      </c>
      <c r="E16" s="20">
        <v>3</v>
      </c>
      <c r="F16" s="20">
        <f>SUM(B16,D16:E16)</f>
        <v>38</v>
      </c>
      <c r="G16" s="266">
        <v>0</v>
      </c>
      <c r="I16" s="16" t="str">
        <v>VGML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181</v>
      </c>
      <c r="D17" s="26"/>
      <c r="E17" s="26"/>
      <c r="F17" s="26">
        <v>0</v>
      </c>
      <c r="G17" s="20">
        <f>C17</f>
        <v>181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2</v>
      </c>
      <c r="L18" s="18">
        <f t="shared" si="0"/>
        <v>0</v>
      </c>
      <c r="M18" s="18">
        <f t="shared" si="0"/>
        <v>2</v>
      </c>
      <c r="N18" s="18">
        <f t="shared" si="1"/>
        <v>0</v>
      </c>
      <c r="O18" s="18">
        <f t="shared" si="1"/>
        <v>2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BBML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FAMF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HNML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27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140</v>
      </c>
      <c r="K43" s="414"/>
      <c r="L43" s="415"/>
      <c r="M43" s="181"/>
      <c r="N43" s="20"/>
      <c r="O43" t="str">
        <f>IF(J43="","",_xlfn.XLOOKUP(J43,'DRY ITEM LIST'!D:D,'DRY ITEM LIST'!B:B,""))</f>
        <v>3013503 - Tonic Water 355mL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35/3</f>
        <v>11.666666666666666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152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3013541 - Sparkling Water</v>
      </c>
    </row>
    <row r="46" spans="1:15" x14ac:dyDescent="0.25">
      <c r="I46" s="20">
        <v>17</v>
      </c>
      <c r="J46" s="413" t="s">
        <v>143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3013540 - Ginger Ale 355mL</v>
      </c>
    </row>
    <row r="47" spans="1:15" x14ac:dyDescent="0.25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141</v>
      </c>
      <c r="K49" s="414"/>
      <c r="L49" s="415"/>
      <c r="M49" s="181"/>
      <c r="N49" s="20">
        <v>12</v>
      </c>
      <c r="O49" t="str">
        <f>IF(J49="","",_xlfn.XLOOKUP(J49,'DRY ITEM LIST'!D:D,'DRY ITEM LIST'!B:B,""))</f>
        <v>3013502 - Soda Water 355L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0FE954EF-9612-49D3-A579-6B246708A44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9AD-D40C-428A-BA8D-84F24EE3B9FB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23</v>
      </c>
      <c r="E6" t="s">
        <v>412</v>
      </c>
    </row>
    <row r="7" spans="1:15" ht="15.75" x14ac:dyDescent="0.25">
      <c r="A7" s="209" t="s">
        <v>87</v>
      </c>
      <c r="B7" s="453" t="s">
        <v>88</v>
      </c>
      <c r="C7" s="453"/>
      <c r="D7">
        <v>173</v>
      </c>
      <c r="E7" s="231" t="s">
        <v>413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3</v>
      </c>
      <c r="K12" s="18">
        <v>1</v>
      </c>
      <c r="L12" s="18">
        <f>J12</f>
        <v>3</v>
      </c>
      <c r="M12" s="18">
        <f>K12</f>
        <v>1</v>
      </c>
      <c r="N12" s="18">
        <f>J12</f>
        <v>3</v>
      </c>
      <c r="O12" s="18">
        <f>K12</f>
        <v>1</v>
      </c>
    </row>
    <row r="13" spans="1:15" x14ac:dyDescent="0.25">
      <c r="A13" s="19" t="s">
        <v>91</v>
      </c>
      <c r="B13" s="20">
        <f>$D$6</f>
        <v>23</v>
      </c>
      <c r="C13" s="20">
        <f>$D$7</f>
        <v>173</v>
      </c>
      <c r="D13" s="20">
        <v>14</v>
      </c>
      <c r="E13" s="20">
        <v>3</v>
      </c>
      <c r="F13" s="20">
        <f>SUM(B13,D13:E13)</f>
        <v>40</v>
      </c>
      <c r="G13" s="20">
        <f>C13</f>
        <v>173</v>
      </c>
      <c r="I13" s="16" t="str">
        <v>VGML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23</v>
      </c>
      <c r="C14" s="20">
        <f>$D$7</f>
        <v>173</v>
      </c>
      <c r="D14" s="20">
        <v>14</v>
      </c>
      <c r="E14" s="20">
        <v>3</v>
      </c>
      <c r="F14" s="20">
        <f>SUM(B14,D14:E14)</f>
        <v>40</v>
      </c>
      <c r="G14" s="20">
        <f>C14</f>
        <v>173</v>
      </c>
      <c r="I14" s="16" t="str">
        <v>VLML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$D$6</f>
        <v>23</v>
      </c>
      <c r="C16" s="25">
        <v>0</v>
      </c>
      <c r="D16" s="20">
        <v>14</v>
      </c>
      <c r="E16" s="20">
        <v>3</v>
      </c>
      <c r="F16" s="20">
        <f>SUM(B16,D16:E16)</f>
        <v>40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3</v>
      </c>
      <c r="K25" s="22">
        <f t="shared" si="2"/>
        <v>7</v>
      </c>
      <c r="L25" s="22">
        <f t="shared" si="2"/>
        <v>3</v>
      </c>
      <c r="M25" s="22">
        <f t="shared" si="2"/>
        <v>7</v>
      </c>
      <c r="N25" s="22">
        <f t="shared" si="2"/>
        <v>3</v>
      </c>
      <c r="O25" s="22">
        <f t="shared" si="2"/>
        <v>7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15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70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139</v>
      </c>
      <c r="K38" s="414"/>
      <c r="L38" s="415"/>
      <c r="M38" s="181"/>
      <c r="N38" s="20">
        <v>24</v>
      </c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3" t="s">
        <v>140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3013503 - Tonic Water 355mL</v>
      </c>
    </row>
    <row r="43" spans="1:15" x14ac:dyDescent="0.25">
      <c r="I43" s="20">
        <v>14</v>
      </c>
      <c r="J43" s="413" t="s">
        <v>141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3" t="s">
        <v>143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3" t="s">
        <v>145</v>
      </c>
      <c r="K45" s="414"/>
      <c r="L45" s="415"/>
      <c r="M45" s="181"/>
      <c r="N45" s="20"/>
      <c r="O45" t="str">
        <f>IF(J45="","",_xlfn.XLOOKUP(J45,'DRY ITEM LIST'!D:D,'DRY ITEM LIST'!B:B,""))</f>
        <v>Xtra - Bulk Tray - Vegetarian (Fasting)</v>
      </c>
    </row>
    <row r="46" spans="1:15" ht="15" customHeight="1" x14ac:dyDescent="0.25">
      <c r="I46" s="20">
        <v>17</v>
      </c>
      <c r="J46" s="413" t="s">
        <v>146</v>
      </c>
      <c r="K46" s="414"/>
      <c r="L46" s="415"/>
      <c r="M46" s="181"/>
      <c r="N46" s="20"/>
      <c r="O46" t="str">
        <f>IF(J46="","",_xlfn.XLOOKUP(J46,'DRY ITEM LIST'!D:D,'DRY ITEM LIST'!B:B,""))</f>
        <v>Xtra - Bulk Tray - Pasta (Fasting)</v>
      </c>
    </row>
    <row r="47" spans="1:15" ht="24.6" customHeight="1" x14ac:dyDescent="0.25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24.6" customHeight="1" x14ac:dyDescent="0.25"/>
    <row r="49" ht="24.6" customHeight="1" x14ac:dyDescent="0.25"/>
  </sheetData>
  <mergeCells count="61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J47:L47"/>
    <mergeCell ref="B41:D41"/>
    <mergeCell ref="J41:L41"/>
    <mergeCell ref="J42:L42"/>
    <mergeCell ref="J43:L43"/>
  </mergeCells>
  <dataValidations count="1">
    <dataValidation type="list" allowBlank="1" showInputMessage="1" showErrorMessage="1" sqref="J41:L47" xr:uid="{842D8935-2BC0-414C-AE58-6200C17AB3D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2764-0B81-47D9-846A-C1D1FD00332B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16</v>
      </c>
      <c r="E6" t="s">
        <v>388</v>
      </c>
    </row>
    <row r="7" spans="1:15" ht="15.75" x14ac:dyDescent="0.25">
      <c r="A7" s="209" t="s">
        <v>87</v>
      </c>
      <c r="B7" s="453" t="s">
        <v>88</v>
      </c>
      <c r="C7" s="453"/>
      <c r="D7">
        <v>122</v>
      </c>
      <c r="E7" s="231" t="s">
        <v>414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16</v>
      </c>
      <c r="C13" s="20">
        <f>$D$7</f>
        <v>122</v>
      </c>
      <c r="D13" s="20">
        <v>14</v>
      </c>
      <c r="E13" s="20">
        <v>3</v>
      </c>
      <c r="F13" s="20">
        <f>SUM(B13,D13:E13)</f>
        <v>33</v>
      </c>
      <c r="G13" s="20">
        <f>C13</f>
        <v>122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$D$6</f>
        <v>16</v>
      </c>
      <c r="C14" s="20">
        <f>$D$7</f>
        <v>122</v>
      </c>
      <c r="D14" s="20">
        <v>14</v>
      </c>
      <c r="E14" s="20">
        <v>3</v>
      </c>
      <c r="F14" s="20">
        <f>SUM(B14,D14:E14)</f>
        <v>33</v>
      </c>
      <c r="G14" s="20">
        <f>C14</f>
        <v>122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HNML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16</v>
      </c>
      <c r="C16" s="25">
        <v>0</v>
      </c>
      <c r="D16" s="20">
        <v>14</v>
      </c>
      <c r="E16" s="20">
        <v>3</v>
      </c>
      <c r="F16" s="20">
        <f>SUM(B16,D16:E16)</f>
        <v>33</v>
      </c>
      <c r="G16" s="25">
        <v>0</v>
      </c>
      <c r="I16" s="16" t="str">
        <v>VGML</v>
      </c>
      <c r="J16" s="18">
        <v>0</v>
      </c>
      <c r="K16" s="18">
        <v>4</v>
      </c>
      <c r="L16" s="18">
        <f t="shared" si="0"/>
        <v>0</v>
      </c>
      <c r="M16" s="18">
        <f t="shared" si="0"/>
        <v>4</v>
      </c>
      <c r="N16" s="18">
        <f t="shared" si="1"/>
        <v>0</v>
      </c>
      <c r="O16" s="18">
        <f t="shared" si="1"/>
        <v>4</v>
      </c>
    </row>
    <row r="17" spans="1:15" x14ac:dyDescent="0.25">
      <c r="A17" s="19" t="s">
        <v>104</v>
      </c>
      <c r="B17" s="26">
        <v>0</v>
      </c>
      <c r="C17" s="20">
        <f>$D$7</f>
        <v>122</v>
      </c>
      <c r="D17" s="26"/>
      <c r="E17" s="26"/>
      <c r="F17" s="26">
        <v>0</v>
      </c>
      <c r="G17" s="20">
        <f>C17</f>
        <v>122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FPML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3</v>
      </c>
      <c r="L20" s="18">
        <f t="shared" si="0"/>
        <v>0</v>
      </c>
      <c r="M20" s="18">
        <f t="shared" si="0"/>
        <v>3</v>
      </c>
      <c r="N20" s="18">
        <f t="shared" si="1"/>
        <v>0</v>
      </c>
      <c r="O20" s="18">
        <f t="shared" si="1"/>
        <v>3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LCML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12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30/3</f>
        <v>10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3" t="s">
        <v>140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3013503 - Tonic Water 355mL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10DB26AC-1B19-4BC9-A6EA-A0EF14260083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3BB-A4D3-454B-B808-E3913401092A}">
  <sheetPr>
    <tabColor rgb="FF0070C0"/>
    <pageSetUpPr fitToPage="1"/>
  </sheetPr>
  <dimension ref="A1:O51"/>
  <sheetViews>
    <sheetView showGridLines="0" workbookViewId="0">
      <selection activeCell="R14" sqref="R14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6</v>
      </c>
      <c r="E6" t="s">
        <v>389</v>
      </c>
    </row>
    <row r="7" spans="1:15" x14ac:dyDescent="0.25">
      <c r="A7" s="209" t="s">
        <v>87</v>
      </c>
      <c r="B7" s="453" t="s">
        <v>88</v>
      </c>
      <c r="C7" s="453"/>
      <c r="D7">
        <v>173</v>
      </c>
      <c r="E7" t="s">
        <v>409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DBML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25">
      <c r="A13" s="19" t="s">
        <v>91</v>
      </c>
      <c r="B13" s="20">
        <f>$D$6</f>
        <v>6</v>
      </c>
      <c r="C13" s="20">
        <f>$D$7</f>
        <v>173</v>
      </c>
      <c r="D13" s="20">
        <v>14</v>
      </c>
      <c r="E13" s="20">
        <v>3</v>
      </c>
      <c r="F13" s="20">
        <f>SUM(B13,D13:E13)</f>
        <v>23</v>
      </c>
      <c r="G13" s="20">
        <f>C13</f>
        <v>173</v>
      </c>
      <c r="I13" s="16" t="str">
        <v>MOML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25">
      <c r="A14" s="19" t="s">
        <v>89</v>
      </c>
      <c r="B14" s="20">
        <f>$D$6</f>
        <v>6</v>
      </c>
      <c r="C14" s="20">
        <f>$D$7</f>
        <v>173</v>
      </c>
      <c r="D14" s="20">
        <v>14</v>
      </c>
      <c r="E14" s="20">
        <v>3</v>
      </c>
      <c r="F14" s="20">
        <f>SUM(B14,D14:E14)</f>
        <v>23</v>
      </c>
      <c r="G14" s="20">
        <f>C14</f>
        <v>173</v>
      </c>
      <c r="I14" s="16" t="str">
        <v>AVML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25">
      <c r="A16" s="19" t="s">
        <v>103</v>
      </c>
      <c r="B16" s="20">
        <f>$D$6</f>
        <v>6</v>
      </c>
      <c r="C16" s="25">
        <v>0</v>
      </c>
      <c r="D16" s="20">
        <v>14</v>
      </c>
      <c r="E16" s="20">
        <v>3</v>
      </c>
      <c r="F16" s="20">
        <f>SUM(B16,D16:E16)</f>
        <v>23</v>
      </c>
      <c r="G16" s="25">
        <v>0</v>
      </c>
      <c r="I16" s="16" t="str">
        <v>VLML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25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 t="str">
        <v>SPML</v>
      </c>
      <c r="J17" s="18">
        <v>0</v>
      </c>
      <c r="K17" s="18">
        <v>3</v>
      </c>
      <c r="L17" s="18">
        <f t="shared" si="0"/>
        <v>0</v>
      </c>
      <c r="M17" s="18">
        <f t="shared" si="0"/>
        <v>3</v>
      </c>
      <c r="N17" s="18">
        <f t="shared" si="1"/>
        <v>0</v>
      </c>
      <c r="O17" s="18">
        <f t="shared" si="1"/>
        <v>3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>
        <v>1</v>
      </c>
      <c r="C20" s="206">
        <v>20</v>
      </c>
      <c r="D20" s="206">
        <v>8</v>
      </c>
      <c r="E20" s="206"/>
      <c r="F20" s="206">
        <v>9</v>
      </c>
      <c r="G20" s="206">
        <v>20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23</v>
      </c>
      <c r="L25" s="22">
        <f t="shared" si="2"/>
        <v>0</v>
      </c>
      <c r="M25" s="22">
        <f t="shared" si="2"/>
        <v>23</v>
      </c>
      <c r="N25" s="22">
        <f t="shared" si="2"/>
        <v>0</v>
      </c>
      <c r="O25" s="22">
        <f t="shared" si="2"/>
        <v>23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9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36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142</v>
      </c>
      <c r="K45" s="414"/>
      <c r="L45" s="415"/>
      <c r="M45" s="181"/>
      <c r="N45" s="20">
        <f>30/3</f>
        <v>10</v>
      </c>
      <c r="O45" t="str">
        <f>IF(J45="","",_xlfn.XLOOKUP(J45,'DRY ITEM LIST'!D:D,'DRY ITEM LIST'!B:B,""))</f>
        <v>3013538 - Fruit Platters</v>
      </c>
    </row>
    <row r="46" spans="1:15" x14ac:dyDescent="0.25">
      <c r="I46" s="20">
        <v>17</v>
      </c>
      <c r="J46" s="413" t="s">
        <v>140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3013503 - Tonic Water 355mL</v>
      </c>
    </row>
    <row r="47" spans="1:15" x14ac:dyDescent="0.25">
      <c r="I47" s="20">
        <v>18</v>
      </c>
      <c r="J47" s="413" t="s">
        <v>152</v>
      </c>
      <c r="K47" s="414"/>
      <c r="L47" s="415"/>
      <c r="M47" s="181"/>
      <c r="N47" s="20">
        <v>16</v>
      </c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>
        <v>2</v>
      </c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FC157704-4EFB-41EF-A8C4-27500EF3B285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E6D-536C-4E2F-99C6-38C6C19E3B39}">
  <sheetPr>
    <tabColor rgb="FF0070C0"/>
    <pageSetUpPr fitToPage="1"/>
  </sheetPr>
  <dimension ref="A1:O51"/>
  <sheetViews>
    <sheetView showGridLines="0" workbookViewId="0">
      <selection activeCell="B20" sqref="B20:D20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9</v>
      </c>
      <c r="E6" t="s">
        <v>154</v>
      </c>
    </row>
    <row r="7" spans="1:15" ht="15.75" x14ac:dyDescent="0.25">
      <c r="A7" s="209" t="s">
        <v>87</v>
      </c>
      <c r="B7" s="453" t="s">
        <v>88</v>
      </c>
      <c r="C7" s="453"/>
      <c r="D7">
        <v>119</v>
      </c>
      <c r="E7" s="231" t="s">
        <v>385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9</v>
      </c>
      <c r="C13" s="20">
        <f>$D$7</f>
        <v>119</v>
      </c>
      <c r="D13" s="20">
        <v>12</v>
      </c>
      <c r="E13" s="20">
        <v>3</v>
      </c>
      <c r="F13" s="20">
        <f>SUM(B13,D13:E13)</f>
        <v>24</v>
      </c>
      <c r="G13" s="20">
        <f>C13</f>
        <v>119</v>
      </c>
      <c r="I13" s="16" t="str">
        <v>AVML</v>
      </c>
      <c r="J13" s="18">
        <v>0</v>
      </c>
      <c r="K13" s="18">
        <v>0</v>
      </c>
      <c r="L13" s="18">
        <f t="shared" ref="L13:M24" si="0">J13</f>
        <v>0</v>
      </c>
      <c r="M13" s="18">
        <f t="shared" si="0"/>
        <v>0</v>
      </c>
      <c r="N13" s="18">
        <f t="shared" ref="N13:O24" si="1">J13</f>
        <v>0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9</v>
      </c>
      <c r="C14" s="20">
        <f>$D$7</f>
        <v>119</v>
      </c>
      <c r="D14" s="20">
        <v>12</v>
      </c>
      <c r="E14" s="20">
        <v>3</v>
      </c>
      <c r="F14" s="20">
        <f>SUM(B14,D14:E14)</f>
        <v>24</v>
      </c>
      <c r="G14" s="20">
        <f>C14</f>
        <v>119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ALML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25">
      <c r="A16" s="19" t="s">
        <v>103</v>
      </c>
      <c r="B16" s="20">
        <f>$D$6</f>
        <v>9</v>
      </c>
      <c r="C16" s="25">
        <v>0</v>
      </c>
      <c r="D16" s="20">
        <v>12</v>
      </c>
      <c r="E16" s="20">
        <v>3</v>
      </c>
      <c r="F16" s="20">
        <f>SUM(B16,D16:E16)</f>
        <v>24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119</v>
      </c>
      <c r="D17" s="26"/>
      <c r="E17" s="26"/>
      <c r="F17" s="26">
        <v>0</v>
      </c>
      <c r="G17" s="20">
        <f>C17</f>
        <v>119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4</v>
      </c>
      <c r="L25" s="22">
        <f t="shared" si="2"/>
        <v>0</v>
      </c>
      <c r="M25" s="22">
        <f t="shared" si="2"/>
        <v>4</v>
      </c>
      <c r="N25" s="22">
        <f t="shared" si="2"/>
        <v>0</v>
      </c>
      <c r="O25" s="22">
        <f t="shared" si="2"/>
        <v>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2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29/3</f>
        <v>9.6666666666666661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44C01DA1-71DA-40E0-ADD1-3A823E2A7DB2}">
      <formula1>DryItemList</formula1>
    </dataValidation>
  </dataValidations>
  <pageMargins left="0.25" right="0.25" top="0.75" bottom="0.75" header="0.3" footer="0.3"/>
  <pageSetup scale="62" orientation="portrait" horizontalDpi="1200" verticalDpi="1200" r:id="rId1"/>
  <headerFooter>
    <oddFooter>&amp;C&amp;F&amp;R&amp;D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C58C-05FD-4C6C-A0C8-80529E80C74B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25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A5202CFD-262D-4A82-86CE-FEB7948A049A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81E-D39D-414C-B6EB-7DB3F79A7625}">
  <sheetPr>
    <tabColor rgb="FF0070C0"/>
    <pageSetUpPr fitToPage="1"/>
  </sheetPr>
  <dimension ref="A1:O51"/>
  <sheetViews>
    <sheetView showGridLines="0" topLeftCell="C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25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22CED774-1E97-416A-A263-26E38657192F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66E2-8B4D-4BF6-9808-3B3A3C56AB73}">
  <dimension ref="A1:N50"/>
  <sheetViews>
    <sheetView topLeftCell="A18" workbookViewId="0">
      <selection activeCell="A33" sqref="A33"/>
    </sheetView>
  </sheetViews>
  <sheetFormatPr defaultColWidth="9.140625" defaultRowHeight="23.25" x14ac:dyDescent="0.25"/>
  <cols>
    <col min="1" max="1" width="27.5703125" style="404" customWidth="1"/>
    <col min="2" max="2" width="21.7109375" style="404" customWidth="1"/>
    <col min="3" max="3" width="38.7109375" style="404" customWidth="1"/>
    <col min="4" max="4" width="32" style="404" customWidth="1"/>
    <col min="5" max="5" width="31.140625" style="404" customWidth="1"/>
    <col min="6" max="14" width="80.140625" style="404" customWidth="1"/>
    <col min="15" max="16384" width="9.140625" style="341"/>
  </cols>
  <sheetData>
    <row r="1" spans="1:14" ht="24" x14ac:dyDescent="0.4">
      <c r="A1" s="342"/>
      <c r="B1" s="343"/>
      <c r="C1" s="344" t="s">
        <v>440</v>
      </c>
      <c r="D1" s="345" t="s">
        <v>441</v>
      </c>
      <c r="E1" s="345" t="s">
        <v>442</v>
      </c>
      <c r="F1" s="345" t="s">
        <v>443</v>
      </c>
      <c r="G1" s="345" t="s">
        <v>444</v>
      </c>
      <c r="H1" s="345" t="s">
        <v>445</v>
      </c>
      <c r="I1" s="345" t="s">
        <v>446</v>
      </c>
      <c r="J1" s="345" t="s">
        <v>447</v>
      </c>
      <c r="K1" s="345" t="s">
        <v>448</v>
      </c>
      <c r="L1" s="345" t="s">
        <v>449</v>
      </c>
      <c r="M1" s="345" t="s">
        <v>450</v>
      </c>
      <c r="N1" s="345" t="s">
        <v>451</v>
      </c>
    </row>
    <row r="2" spans="1:14" ht="24" x14ac:dyDescent="0.25">
      <c r="A2" s="459" t="s">
        <v>452</v>
      </c>
      <c r="B2" s="346"/>
      <c r="C2" s="460" t="s">
        <v>453</v>
      </c>
      <c r="D2" s="461"/>
      <c r="E2" s="461"/>
      <c r="F2" s="462"/>
      <c r="G2" s="463" t="s">
        <v>454</v>
      </c>
      <c r="H2" s="464"/>
      <c r="I2" s="464"/>
      <c r="J2" s="464"/>
      <c r="K2" s="464"/>
      <c r="L2" s="465"/>
      <c r="M2" s="460" t="s">
        <v>455</v>
      </c>
      <c r="N2" s="462"/>
    </row>
    <row r="3" spans="1:14" ht="24" x14ac:dyDescent="0.25">
      <c r="A3" s="459"/>
      <c r="B3" s="346"/>
      <c r="C3" s="347" t="s">
        <v>456</v>
      </c>
      <c r="D3" s="348"/>
      <c r="E3" s="348"/>
      <c r="F3" s="348"/>
      <c r="G3" s="349" t="s">
        <v>457</v>
      </c>
      <c r="H3" s="350"/>
      <c r="I3" s="350"/>
      <c r="J3" s="350"/>
      <c r="K3" s="350"/>
      <c r="L3" s="350"/>
      <c r="M3" s="351" t="s">
        <v>458</v>
      </c>
      <c r="N3" s="348"/>
    </row>
    <row r="4" spans="1:14" ht="144" x14ac:dyDescent="0.4">
      <c r="A4" s="459"/>
      <c r="B4" s="352" t="s">
        <v>459</v>
      </c>
      <c r="C4" s="353" t="s">
        <v>460</v>
      </c>
      <c r="D4" s="354"/>
      <c r="E4" s="354"/>
      <c r="F4" s="354"/>
      <c r="G4" s="355"/>
      <c r="H4" s="355"/>
      <c r="I4" s="355"/>
      <c r="J4" s="355"/>
      <c r="K4" s="355"/>
      <c r="L4" s="355"/>
      <c r="M4" s="466" t="s">
        <v>461</v>
      </c>
      <c r="N4" s="467"/>
    </row>
    <row r="5" spans="1:14" ht="24" x14ac:dyDescent="0.35">
      <c r="A5" s="459"/>
      <c r="B5" s="356"/>
      <c r="C5" s="357" t="s">
        <v>462</v>
      </c>
      <c r="D5" s="468" t="s">
        <v>463</v>
      </c>
      <c r="E5" s="469"/>
      <c r="F5" s="470"/>
      <c r="G5" s="471" t="s">
        <v>462</v>
      </c>
      <c r="H5" s="472"/>
      <c r="I5" s="473"/>
      <c r="J5" s="468" t="s">
        <v>463</v>
      </c>
      <c r="K5" s="469"/>
      <c r="L5" s="470"/>
      <c r="M5" s="474" t="s">
        <v>462</v>
      </c>
      <c r="N5" s="475"/>
    </row>
    <row r="6" spans="1:14" ht="24" x14ac:dyDescent="0.25">
      <c r="A6" s="459"/>
      <c r="B6" s="346"/>
      <c r="C6" s="358"/>
      <c r="D6" s="359" t="s">
        <v>464</v>
      </c>
      <c r="E6" s="360"/>
      <c r="F6" s="360"/>
      <c r="G6" s="361" t="s">
        <v>457</v>
      </c>
      <c r="H6" s="362"/>
      <c r="I6" s="362"/>
      <c r="J6" s="363" t="s">
        <v>465</v>
      </c>
      <c r="K6" s="360"/>
      <c r="L6" s="360"/>
      <c r="M6" s="364" t="s">
        <v>466</v>
      </c>
      <c r="N6" s="358"/>
    </row>
    <row r="7" spans="1:14" ht="48" x14ac:dyDescent="0.25">
      <c r="A7" s="459"/>
      <c r="B7" s="365" t="s">
        <v>459</v>
      </c>
      <c r="C7" s="358"/>
      <c r="D7" s="366" t="s">
        <v>467</v>
      </c>
      <c r="E7" s="360"/>
      <c r="F7" s="360"/>
      <c r="G7" s="362"/>
      <c r="H7" s="362"/>
      <c r="I7" s="362"/>
      <c r="J7" s="360"/>
      <c r="K7" s="360"/>
      <c r="L7" s="360"/>
      <c r="M7" s="358"/>
      <c r="N7" s="358"/>
    </row>
    <row r="8" spans="1:14" ht="24" x14ac:dyDescent="0.35">
      <c r="A8" s="459"/>
      <c r="B8" s="356"/>
      <c r="C8" s="367" t="s">
        <v>468</v>
      </c>
      <c r="D8" s="476" t="s">
        <v>469</v>
      </c>
      <c r="E8" s="477"/>
      <c r="F8" s="478"/>
      <c r="G8" s="479" t="s">
        <v>468</v>
      </c>
      <c r="H8" s="480"/>
      <c r="I8" s="481"/>
      <c r="J8" s="482" t="s">
        <v>469</v>
      </c>
      <c r="K8" s="483"/>
      <c r="L8" s="484"/>
      <c r="M8" s="485" t="s">
        <v>468</v>
      </c>
      <c r="N8" s="486"/>
    </row>
    <row r="9" spans="1:14" ht="24" x14ac:dyDescent="0.25">
      <c r="A9" s="459"/>
      <c r="B9" s="346"/>
      <c r="C9" s="368"/>
      <c r="D9" s="369" t="s">
        <v>464</v>
      </c>
      <c r="E9" s="370"/>
      <c r="F9" s="370"/>
      <c r="G9" s="371" t="s">
        <v>457</v>
      </c>
      <c r="H9" s="372"/>
      <c r="I9" s="372"/>
      <c r="J9" s="373" t="s">
        <v>470</v>
      </c>
      <c r="K9" s="374"/>
      <c r="L9" s="374"/>
      <c r="M9" s="375" t="s">
        <v>466</v>
      </c>
      <c r="N9" s="368"/>
    </row>
    <row r="10" spans="1:14" ht="24" x14ac:dyDescent="0.25">
      <c r="A10" s="459"/>
      <c r="B10" s="365" t="s">
        <v>459</v>
      </c>
      <c r="C10" s="368"/>
      <c r="D10" s="370"/>
      <c r="E10" s="370"/>
      <c r="F10" s="370"/>
      <c r="G10" s="372"/>
      <c r="H10" s="372"/>
      <c r="I10" s="372"/>
      <c r="J10" s="374"/>
      <c r="K10" s="374"/>
      <c r="L10" s="374"/>
      <c r="M10" s="368"/>
      <c r="N10" s="368"/>
    </row>
    <row r="11" spans="1:14" ht="24" x14ac:dyDescent="0.25">
      <c r="A11" s="501" t="s">
        <v>471</v>
      </c>
      <c r="B11" s="376"/>
      <c r="C11" s="488" t="s">
        <v>472</v>
      </c>
      <c r="D11" s="489"/>
      <c r="E11" s="490" t="s">
        <v>455</v>
      </c>
      <c r="F11" s="491"/>
      <c r="G11" s="492" t="s">
        <v>473</v>
      </c>
      <c r="H11" s="493"/>
      <c r="I11" s="488" t="s">
        <v>472</v>
      </c>
      <c r="J11" s="489"/>
      <c r="K11" s="490" t="s">
        <v>455</v>
      </c>
      <c r="L11" s="491"/>
      <c r="M11" s="492" t="s">
        <v>473</v>
      </c>
      <c r="N11" s="493"/>
    </row>
    <row r="12" spans="1:14" ht="24" x14ac:dyDescent="0.25">
      <c r="A12" s="501"/>
      <c r="B12" s="376"/>
      <c r="C12" s="377" t="s">
        <v>474</v>
      </c>
      <c r="D12" s="378"/>
      <c r="E12" s="379" t="s">
        <v>475</v>
      </c>
      <c r="F12" s="380"/>
      <c r="G12" s="381" t="s">
        <v>476</v>
      </c>
      <c r="H12" s="382"/>
      <c r="I12" s="377" t="s">
        <v>477</v>
      </c>
      <c r="J12" s="378"/>
      <c r="K12" s="379" t="s">
        <v>478</v>
      </c>
      <c r="L12" s="380"/>
      <c r="M12" s="381" t="s">
        <v>479</v>
      </c>
      <c r="N12" s="382"/>
    </row>
    <row r="13" spans="1:14" ht="24" x14ac:dyDescent="0.25">
      <c r="A13" s="501"/>
      <c r="B13" s="383" t="s">
        <v>459</v>
      </c>
      <c r="C13" s="378"/>
      <c r="D13" s="378"/>
      <c r="E13" s="380"/>
      <c r="F13" s="380"/>
      <c r="G13" s="382"/>
      <c r="H13" s="382"/>
      <c r="I13" s="378"/>
      <c r="J13" s="378"/>
      <c r="K13" s="380"/>
      <c r="L13" s="380"/>
      <c r="M13" s="382"/>
      <c r="N13" s="382"/>
    </row>
    <row r="14" spans="1:14" ht="24" x14ac:dyDescent="0.25">
      <c r="A14" s="494" t="s">
        <v>480</v>
      </c>
      <c r="B14" s="384"/>
      <c r="C14" s="385" t="s">
        <v>473</v>
      </c>
      <c r="D14" s="495" t="s">
        <v>481</v>
      </c>
      <c r="E14" s="496"/>
      <c r="F14" s="496"/>
      <c r="G14" s="497"/>
      <c r="H14" s="498" t="s">
        <v>455</v>
      </c>
      <c r="I14" s="499"/>
      <c r="J14" s="499"/>
      <c r="K14" s="500"/>
      <c r="L14" s="460" t="s">
        <v>473</v>
      </c>
      <c r="M14" s="461"/>
      <c r="N14" s="462"/>
    </row>
    <row r="15" spans="1:14" ht="24" x14ac:dyDescent="0.25">
      <c r="A15" s="494"/>
      <c r="B15" s="384"/>
      <c r="C15" s="348"/>
      <c r="D15" s="386" t="s">
        <v>482</v>
      </c>
      <c r="E15" s="387"/>
      <c r="F15" s="387"/>
      <c r="G15" s="387"/>
      <c r="H15" s="388" t="s">
        <v>483</v>
      </c>
      <c r="I15" s="374"/>
      <c r="J15" s="374"/>
      <c r="K15" s="374"/>
      <c r="L15" s="389" t="s">
        <v>484</v>
      </c>
      <c r="M15" s="348"/>
      <c r="N15" s="348"/>
    </row>
    <row r="16" spans="1:14" ht="24" x14ac:dyDescent="0.25">
      <c r="A16" s="494"/>
      <c r="B16" s="390" t="s">
        <v>459</v>
      </c>
      <c r="C16" s="348"/>
      <c r="D16" s="387"/>
      <c r="E16" s="387"/>
      <c r="F16" s="387"/>
      <c r="G16" s="387"/>
      <c r="H16" s="374"/>
      <c r="I16" s="374"/>
      <c r="J16" s="374"/>
      <c r="K16" s="374"/>
      <c r="L16" s="348"/>
      <c r="M16" s="348"/>
      <c r="N16" s="348"/>
    </row>
    <row r="17" spans="1:14" ht="24" x14ac:dyDescent="0.25">
      <c r="A17" s="487" t="s">
        <v>485</v>
      </c>
      <c r="B17" s="368"/>
      <c r="C17" s="391" t="s">
        <v>472</v>
      </c>
      <c r="D17" s="392" t="s">
        <v>455</v>
      </c>
      <c r="E17" s="393" t="s">
        <v>473</v>
      </c>
      <c r="F17" s="394" t="s">
        <v>486</v>
      </c>
      <c r="G17" s="391" t="s">
        <v>472</v>
      </c>
      <c r="H17" s="392" t="s">
        <v>455</v>
      </c>
      <c r="I17" s="393" t="s">
        <v>473</v>
      </c>
      <c r="J17" s="394" t="s">
        <v>486</v>
      </c>
      <c r="K17" s="391" t="s">
        <v>472</v>
      </c>
      <c r="L17" s="392" t="s">
        <v>455</v>
      </c>
      <c r="M17" s="393" t="s">
        <v>473</v>
      </c>
      <c r="N17" s="394" t="s">
        <v>486</v>
      </c>
    </row>
    <row r="18" spans="1:14" ht="24" x14ac:dyDescent="0.25">
      <c r="A18" s="487"/>
      <c r="B18" s="368"/>
      <c r="C18" s="395" t="s">
        <v>487</v>
      </c>
      <c r="D18" s="396" t="s">
        <v>464</v>
      </c>
      <c r="E18" s="397" t="s">
        <v>488</v>
      </c>
      <c r="F18" s="398" t="s">
        <v>489</v>
      </c>
      <c r="G18" s="395" t="s">
        <v>490</v>
      </c>
      <c r="H18" s="396" t="s">
        <v>491</v>
      </c>
      <c r="I18" s="397" t="s">
        <v>492</v>
      </c>
      <c r="J18" s="399" t="s">
        <v>493</v>
      </c>
      <c r="K18" s="395" t="s">
        <v>494</v>
      </c>
      <c r="L18" s="396" t="s">
        <v>495</v>
      </c>
      <c r="M18" s="397" t="s">
        <v>496</v>
      </c>
      <c r="N18" s="399" t="s">
        <v>497</v>
      </c>
    </row>
    <row r="19" spans="1:14" ht="24" x14ac:dyDescent="0.25">
      <c r="A19" s="487"/>
      <c r="B19" s="400" t="s">
        <v>459</v>
      </c>
      <c r="C19" s="401"/>
      <c r="D19" s="402"/>
      <c r="E19" s="346"/>
      <c r="F19" s="403"/>
      <c r="G19" s="401"/>
      <c r="H19" s="402"/>
      <c r="I19" s="346"/>
      <c r="J19" s="403"/>
      <c r="K19" s="401"/>
      <c r="L19" s="402"/>
      <c r="M19" s="346"/>
      <c r="N19" s="403"/>
    </row>
    <row r="21" spans="1:14" x14ac:dyDescent="0.25">
      <c r="A21" s="272" t="s">
        <v>438</v>
      </c>
      <c r="B21" s="272"/>
      <c r="C21" s="272"/>
    </row>
    <row r="22" spans="1:14" x14ac:dyDescent="0.25">
      <c r="A22" s="272" t="s">
        <v>160</v>
      </c>
      <c r="B22"/>
      <c r="C22"/>
    </row>
    <row r="23" spans="1:14" x14ac:dyDescent="0.25">
      <c r="A23" s="273" t="s">
        <v>161</v>
      </c>
      <c r="B23" s="12"/>
      <c r="C23" s="12"/>
    </row>
    <row r="24" spans="1:14" x14ac:dyDescent="0.25">
      <c r="A24" s="273" t="s">
        <v>162</v>
      </c>
      <c r="B24" s="12"/>
      <c r="C24" s="12"/>
    </row>
    <row r="25" spans="1:14" x14ac:dyDescent="0.25">
      <c r="A25" s="273" t="s">
        <v>163</v>
      </c>
      <c r="B25" s="12"/>
      <c r="C25" s="12"/>
    </row>
    <row r="26" spans="1:14" x14ac:dyDescent="0.25">
      <c r="A26" s="273" t="s">
        <v>164</v>
      </c>
      <c r="B26" s="12"/>
      <c r="C26" s="12"/>
    </row>
    <row r="27" spans="1:14" x14ac:dyDescent="0.25">
      <c r="A27" s="273" t="s">
        <v>165</v>
      </c>
      <c r="B27" s="12"/>
      <c r="C27" s="12"/>
    </row>
    <row r="28" spans="1:14" x14ac:dyDescent="0.25">
      <c r="A28" s="273" t="s">
        <v>166</v>
      </c>
      <c r="B28" s="12"/>
      <c r="C28" s="12"/>
    </row>
    <row r="33" spans="1:7" x14ac:dyDescent="0.25">
      <c r="A33" s="406" t="s">
        <v>501</v>
      </c>
      <c r="B33" s="406"/>
      <c r="C33" s="406"/>
      <c r="D33" s="406"/>
      <c r="E33" s="406"/>
    </row>
    <row r="34" spans="1:7" x14ac:dyDescent="0.25">
      <c r="A34" s="404" t="s">
        <v>89</v>
      </c>
      <c r="D34" s="406" t="s">
        <v>90</v>
      </c>
      <c r="F34" s="404" t="s">
        <v>91</v>
      </c>
    </row>
    <row r="35" spans="1:7" x14ac:dyDescent="0.25">
      <c r="A35" s="404" t="s">
        <v>508</v>
      </c>
      <c r="D35" s="406" t="s">
        <v>509</v>
      </c>
      <c r="F35" s="404" t="s">
        <v>510</v>
      </c>
    </row>
    <row r="36" spans="1:7" x14ac:dyDescent="0.25">
      <c r="A36" s="404" t="s">
        <v>97</v>
      </c>
      <c r="B36" s="404" t="s">
        <v>98</v>
      </c>
      <c r="C36" s="404" t="s">
        <v>99</v>
      </c>
      <c r="D36" s="406" t="s">
        <v>98</v>
      </c>
      <c r="E36" s="404" t="s">
        <v>99</v>
      </c>
      <c r="F36" s="404" t="s">
        <v>98</v>
      </c>
      <c r="G36" s="404" t="s">
        <v>99</v>
      </c>
    </row>
    <row r="37" spans="1:7" x14ac:dyDescent="0.25">
      <c r="A37" s="404" t="s">
        <v>502</v>
      </c>
      <c r="B37" s="404">
        <v>2</v>
      </c>
      <c r="C37" s="404">
        <v>0</v>
      </c>
      <c r="D37" s="404">
        <v>2</v>
      </c>
      <c r="E37" s="404">
        <v>0</v>
      </c>
      <c r="F37" s="404">
        <v>2</v>
      </c>
      <c r="G37" s="404">
        <v>0</v>
      </c>
    </row>
    <row r="38" spans="1:7" x14ac:dyDescent="0.25">
      <c r="A38" s="404" t="s">
        <v>97</v>
      </c>
      <c r="B38" s="404">
        <v>0</v>
      </c>
      <c r="C38" s="404">
        <v>3</v>
      </c>
      <c r="D38" s="404">
        <v>0</v>
      </c>
      <c r="E38" s="404">
        <v>3</v>
      </c>
      <c r="F38" s="404">
        <v>0</v>
      </c>
      <c r="G38" s="404">
        <v>3</v>
      </c>
    </row>
    <row r="39" spans="1:7" x14ac:dyDescent="0.25">
      <c r="A39" s="404" t="s">
        <v>503</v>
      </c>
      <c r="B39" s="404">
        <v>0</v>
      </c>
      <c r="C39" s="404">
        <v>1</v>
      </c>
      <c r="D39" s="404">
        <v>0</v>
      </c>
      <c r="E39" s="404">
        <v>1</v>
      </c>
      <c r="F39" s="404">
        <v>0</v>
      </c>
      <c r="G39" s="404">
        <v>1</v>
      </c>
    </row>
    <row r="40" spans="1:7" x14ac:dyDescent="0.25">
      <c r="A40" s="404" t="s">
        <v>504</v>
      </c>
      <c r="B40" s="404">
        <v>0</v>
      </c>
      <c r="C40" s="404">
        <v>3</v>
      </c>
      <c r="D40" s="404">
        <v>0</v>
      </c>
      <c r="E40" s="404">
        <v>3</v>
      </c>
      <c r="F40" s="404">
        <v>0</v>
      </c>
      <c r="G40" s="404">
        <v>3</v>
      </c>
    </row>
    <row r="41" spans="1:7" x14ac:dyDescent="0.25">
      <c r="A41" s="404" t="s">
        <v>505</v>
      </c>
      <c r="B41" s="404">
        <v>0</v>
      </c>
      <c r="C41" s="404">
        <v>1</v>
      </c>
      <c r="D41" s="404">
        <v>0</v>
      </c>
      <c r="E41" s="404">
        <v>1</v>
      </c>
      <c r="F41" s="404">
        <v>0</v>
      </c>
      <c r="G41" s="404">
        <v>1</v>
      </c>
    </row>
    <row r="42" spans="1:7" x14ac:dyDescent="0.25">
      <c r="A42" s="404" t="s">
        <v>506</v>
      </c>
      <c r="B42" s="404">
        <v>0</v>
      </c>
      <c r="C42" s="404">
        <v>3</v>
      </c>
      <c r="D42" s="404">
        <v>0</v>
      </c>
      <c r="E42" s="404">
        <v>3</v>
      </c>
      <c r="F42" s="404">
        <v>0</v>
      </c>
      <c r="G42" s="404">
        <v>3</v>
      </c>
    </row>
    <row r="43" spans="1:7" x14ac:dyDescent="0.25">
      <c r="A43" s="404" t="s">
        <v>507</v>
      </c>
      <c r="B43" s="404">
        <v>0</v>
      </c>
      <c r="C43" s="404">
        <v>1</v>
      </c>
      <c r="D43" s="404">
        <v>0</v>
      </c>
      <c r="E43" s="404">
        <v>1</v>
      </c>
      <c r="F43" s="404">
        <v>0</v>
      </c>
      <c r="G43" s="404">
        <v>1</v>
      </c>
    </row>
    <row r="44" spans="1:7" x14ac:dyDescent="0.25">
      <c r="A44" s="404" t="s">
        <v>432</v>
      </c>
      <c r="B44" s="404">
        <v>0</v>
      </c>
      <c r="C44" s="404">
        <v>1</v>
      </c>
      <c r="D44" s="404">
        <v>0</v>
      </c>
      <c r="E44" s="404">
        <v>1</v>
      </c>
      <c r="F44" s="404">
        <v>0</v>
      </c>
      <c r="G44" s="404">
        <v>1</v>
      </c>
    </row>
    <row r="45" spans="1:7" x14ac:dyDescent="0.25">
      <c r="A45" s="404" t="s">
        <v>433</v>
      </c>
      <c r="B45" s="404">
        <v>0</v>
      </c>
      <c r="C45" s="404">
        <v>1</v>
      </c>
      <c r="D45" s="404">
        <v>0</v>
      </c>
      <c r="E45" s="404">
        <v>1</v>
      </c>
      <c r="F45" s="404">
        <v>0</v>
      </c>
      <c r="G45" s="404">
        <v>1</v>
      </c>
    </row>
    <row r="46" spans="1:7" x14ac:dyDescent="0.25">
      <c r="D46" s="404">
        <v>0</v>
      </c>
      <c r="E46" s="404">
        <v>0</v>
      </c>
      <c r="F46" s="404">
        <v>0</v>
      </c>
      <c r="G46" s="404">
        <v>0</v>
      </c>
    </row>
    <row r="47" spans="1:7" x14ac:dyDescent="0.25">
      <c r="D47" s="404">
        <v>0</v>
      </c>
      <c r="E47" s="404">
        <v>0</v>
      </c>
      <c r="F47" s="404">
        <v>0</v>
      </c>
      <c r="G47" s="404">
        <v>0</v>
      </c>
    </row>
    <row r="48" spans="1:7" x14ac:dyDescent="0.25">
      <c r="D48" s="404">
        <v>0</v>
      </c>
      <c r="E48" s="404">
        <v>0</v>
      </c>
      <c r="F48" s="404">
        <v>0</v>
      </c>
      <c r="G48" s="404">
        <v>0</v>
      </c>
    </row>
    <row r="49" spans="2:7" x14ac:dyDescent="0.25">
      <c r="D49" s="404">
        <v>0</v>
      </c>
      <c r="E49" s="404">
        <v>0</v>
      </c>
      <c r="F49" s="404">
        <v>0</v>
      </c>
      <c r="G49" s="404">
        <v>0</v>
      </c>
    </row>
    <row r="50" spans="2:7" x14ac:dyDescent="0.25">
      <c r="B50" s="404">
        <v>2</v>
      </c>
      <c r="C50" s="404">
        <v>14</v>
      </c>
      <c r="D50" s="404">
        <v>2</v>
      </c>
      <c r="E50" s="404">
        <v>14</v>
      </c>
      <c r="F50" s="404">
        <v>2</v>
      </c>
      <c r="G50" s="404">
        <v>14</v>
      </c>
    </row>
  </sheetData>
  <mergeCells count="25">
    <mergeCell ref="L14:N14"/>
    <mergeCell ref="A17:A19"/>
    <mergeCell ref="C11:D11"/>
    <mergeCell ref="E11:F11"/>
    <mergeCell ref="G11:H11"/>
    <mergeCell ref="I11:J11"/>
    <mergeCell ref="A14:A16"/>
    <mergeCell ref="D14:G14"/>
    <mergeCell ref="H14:K14"/>
    <mergeCell ref="K11:L11"/>
    <mergeCell ref="M11:N11"/>
    <mergeCell ref="A11:A13"/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60F-2E44-43A5-A1D7-6BF2BB60F66D}">
  <sheetPr>
    <tabColor rgb="FFFFFF00"/>
    <pageSetUpPr fitToPage="1"/>
  </sheetPr>
  <dimension ref="A1:M117"/>
  <sheetViews>
    <sheetView zoomScaleNormal="100" zoomScaleSheetLayoutView="10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E23" sqref="E23"/>
    </sheetView>
  </sheetViews>
  <sheetFormatPr defaultColWidth="9.140625" defaultRowHeight="16.5" x14ac:dyDescent="0.25"/>
  <cols>
    <col min="1" max="1" width="9.140625" style="27"/>
    <col min="2" max="2" width="13.7109375" style="27" customWidth="1"/>
    <col min="3" max="3" width="29.85546875" style="46" customWidth="1"/>
    <col min="4" max="4" width="34" style="27" customWidth="1"/>
    <col min="5" max="5" width="25" style="27" customWidth="1"/>
    <col min="6" max="6" width="16.42578125" style="27" customWidth="1"/>
    <col min="7" max="7" width="32.5703125" style="30" customWidth="1"/>
    <col min="8" max="8" width="2.42578125" style="27" customWidth="1"/>
    <col min="9" max="9" width="16.5703125" style="27" customWidth="1"/>
    <col min="10" max="10" width="18.140625" style="27" customWidth="1"/>
    <col min="11" max="11" width="2.5703125" style="46" customWidth="1"/>
    <col min="12" max="12" width="16.5703125" style="27" customWidth="1"/>
    <col min="13" max="13" width="21.5703125" style="27" customWidth="1"/>
    <col min="14" max="16384" width="9.140625" style="27"/>
  </cols>
  <sheetData>
    <row r="1" spans="1:13" ht="16.5" customHeight="1" x14ac:dyDescent="0.25">
      <c r="D1" s="502" t="s">
        <v>167</v>
      </c>
      <c r="E1" s="502"/>
      <c r="F1" s="502"/>
      <c r="G1" s="502"/>
      <c r="H1" s="502"/>
      <c r="I1" s="502"/>
      <c r="J1" s="502"/>
      <c r="K1" s="502"/>
    </row>
    <row r="2" spans="1:13" ht="16.5" customHeight="1" x14ac:dyDescent="0.25">
      <c r="D2" s="502"/>
      <c r="E2" s="502"/>
      <c r="F2" s="502"/>
      <c r="G2" s="502"/>
      <c r="H2" s="502"/>
      <c r="I2" s="502"/>
      <c r="J2" s="502"/>
      <c r="K2" s="502"/>
    </row>
    <row r="3" spans="1:13" ht="23.25" thickBot="1" x14ac:dyDescent="0.3">
      <c r="B3" s="180"/>
      <c r="C3" s="115" t="s">
        <v>168</v>
      </c>
      <c r="F3" s="503" t="s">
        <v>169</v>
      </c>
      <c r="G3" s="503"/>
      <c r="H3" s="47"/>
      <c r="I3" s="504" t="s">
        <v>170</v>
      </c>
      <c r="J3" s="504"/>
      <c r="K3" s="48"/>
      <c r="L3" s="503" t="s">
        <v>171</v>
      </c>
      <c r="M3" s="503"/>
    </row>
    <row r="4" spans="1:13" s="49" customFormat="1" ht="17.25" customHeight="1" x14ac:dyDescent="0.25">
      <c r="B4" s="179"/>
      <c r="C4" s="520" t="s">
        <v>109</v>
      </c>
      <c r="D4" s="523" t="s">
        <v>89</v>
      </c>
      <c r="E4" s="523" t="s">
        <v>172</v>
      </c>
      <c r="F4" s="505" t="s">
        <v>173</v>
      </c>
      <c r="G4" s="526" t="s">
        <v>174</v>
      </c>
      <c r="H4" s="511"/>
      <c r="I4" s="505" t="s">
        <v>173</v>
      </c>
      <c r="J4" s="514" t="s">
        <v>174</v>
      </c>
      <c r="K4" s="511"/>
      <c r="L4" s="505" t="s">
        <v>173</v>
      </c>
      <c r="M4" s="508" t="s">
        <v>174</v>
      </c>
    </row>
    <row r="5" spans="1:13" s="49" customFormat="1" ht="17.25" customHeight="1" x14ac:dyDescent="0.25">
      <c r="B5" s="179"/>
      <c r="C5" s="521"/>
      <c r="D5" s="524"/>
      <c r="E5" s="524" t="s">
        <v>175</v>
      </c>
      <c r="F5" s="506"/>
      <c r="G5" s="527"/>
      <c r="H5" s="512"/>
      <c r="I5" s="506"/>
      <c r="J5" s="515"/>
      <c r="K5" s="512"/>
      <c r="L5" s="506"/>
      <c r="M5" s="509"/>
    </row>
    <row r="6" spans="1:13" s="49" customFormat="1" ht="6.75" customHeight="1" thickBot="1" x14ac:dyDescent="0.3">
      <c r="B6" s="179"/>
      <c r="C6" s="522"/>
      <c r="D6" s="525"/>
      <c r="E6" s="525"/>
      <c r="F6" s="507"/>
      <c r="G6" s="528"/>
      <c r="H6" s="513"/>
      <c r="I6" s="507"/>
      <c r="J6" s="516"/>
      <c r="K6" s="513"/>
      <c r="L6" s="507"/>
      <c r="M6" s="510"/>
    </row>
    <row r="7" spans="1:13" ht="18" thickTop="1" x14ac:dyDescent="0.25">
      <c r="A7" s="180">
        <v>1</v>
      </c>
      <c r="B7" s="180"/>
      <c r="C7" s="50" t="s">
        <v>176</v>
      </c>
      <c r="D7" s="51" t="s">
        <v>177</v>
      </c>
      <c r="E7" s="52">
        <v>0.9</v>
      </c>
      <c r="F7" s="53">
        <v>4.0647450331125725</v>
      </c>
      <c r="G7" s="54">
        <f>F7*E7</f>
        <v>3.6582705298013152</v>
      </c>
      <c r="H7" s="55"/>
      <c r="I7" s="56">
        <v>3.2444692052980071</v>
      </c>
      <c r="J7" s="54">
        <f>I7*E7</f>
        <v>2.9200222847682062</v>
      </c>
      <c r="K7" s="57"/>
      <c r="L7" s="56">
        <v>3.899809602649007</v>
      </c>
      <c r="M7" s="58">
        <f>L7*E7</f>
        <v>3.5098286423841065</v>
      </c>
    </row>
    <row r="8" spans="1:13" ht="17.25" x14ac:dyDescent="0.25">
      <c r="A8" s="180">
        <f>A7+1</f>
        <v>2</v>
      </c>
      <c r="B8" s="180"/>
      <c r="C8" s="50"/>
      <c r="D8" s="59" t="s">
        <v>178</v>
      </c>
      <c r="E8" s="60">
        <v>0.1</v>
      </c>
      <c r="F8" s="53">
        <v>2.8938178807947046</v>
      </c>
      <c r="G8" s="61">
        <f>F8*E8</f>
        <v>0.28938178807947046</v>
      </c>
      <c r="H8" s="62"/>
      <c r="I8" s="63">
        <v>2.0445978145695367</v>
      </c>
      <c r="J8" s="61">
        <f>I8*E8</f>
        <v>0.20445978145695368</v>
      </c>
      <c r="K8" s="64"/>
      <c r="L8" s="63">
        <v>2.4911894039735207</v>
      </c>
      <c r="M8" s="65">
        <f>L8*E8</f>
        <v>0.24911894039735208</v>
      </c>
    </row>
    <row r="9" spans="1:13" ht="17.25" x14ac:dyDescent="0.25">
      <c r="A9" s="180">
        <f t="shared" ref="A9:A72" si="0">A8+1</f>
        <v>3</v>
      </c>
      <c r="B9" s="180"/>
      <c r="C9" s="66"/>
      <c r="D9" s="67" t="s">
        <v>179</v>
      </c>
      <c r="E9" s="60">
        <v>1</v>
      </c>
      <c r="F9" s="53">
        <v>0.66</v>
      </c>
      <c r="G9" s="68">
        <f>F9*E9</f>
        <v>0.66</v>
      </c>
      <c r="H9" s="62"/>
      <c r="I9" s="53">
        <v>0.66</v>
      </c>
      <c r="J9" s="68">
        <f>I9*E9</f>
        <v>0.66</v>
      </c>
      <c r="K9" s="69"/>
      <c r="L9" s="53">
        <v>0.66</v>
      </c>
      <c r="M9" s="70">
        <f>L9*E9</f>
        <v>0.66</v>
      </c>
    </row>
    <row r="10" spans="1:13" ht="17.25" x14ac:dyDescent="0.25">
      <c r="A10" s="180">
        <f t="shared" si="0"/>
        <v>4</v>
      </c>
      <c r="B10" s="180"/>
      <c r="C10" s="66"/>
      <c r="D10" s="59" t="s">
        <v>180</v>
      </c>
      <c r="E10" s="60">
        <v>1</v>
      </c>
      <c r="F10" s="53">
        <v>2.5750000000000002</v>
      </c>
      <c r="G10" s="68">
        <f>F10*E10</f>
        <v>2.5750000000000002</v>
      </c>
      <c r="H10" s="62"/>
      <c r="I10" s="63">
        <v>3.9682499999999994</v>
      </c>
      <c r="J10" s="68">
        <f>I10*E10</f>
        <v>3.9682499999999994</v>
      </c>
      <c r="K10" s="69"/>
      <c r="L10" s="63">
        <v>2.8272499999999998</v>
      </c>
      <c r="M10" s="70">
        <f>L10*E10</f>
        <v>2.8272499999999998</v>
      </c>
    </row>
    <row r="11" spans="1:13" ht="17.25" x14ac:dyDescent="0.25">
      <c r="A11" s="180">
        <f t="shared" si="0"/>
        <v>5</v>
      </c>
      <c r="B11" s="180"/>
      <c r="C11" s="66"/>
      <c r="D11" s="71" t="s">
        <v>181</v>
      </c>
      <c r="E11" s="71"/>
      <c r="G11" s="68"/>
      <c r="H11" s="62"/>
      <c r="I11" s="72"/>
      <c r="J11" s="61"/>
      <c r="K11" s="69"/>
      <c r="L11" s="72"/>
      <c r="M11" s="70"/>
    </row>
    <row r="12" spans="1:13" ht="17.25" x14ac:dyDescent="0.25">
      <c r="A12" s="180">
        <f t="shared" si="0"/>
        <v>6</v>
      </c>
      <c r="B12" s="180"/>
      <c r="C12" s="73" t="s">
        <v>182</v>
      </c>
      <c r="D12" s="59" t="s">
        <v>183</v>
      </c>
      <c r="E12" s="60">
        <v>0.15</v>
      </c>
      <c r="F12" s="53">
        <v>14.370860927152306</v>
      </c>
      <c r="G12" s="74">
        <f>F12*E12</f>
        <v>2.1556291390728459</v>
      </c>
      <c r="H12" s="62"/>
      <c r="I12" s="63">
        <v>19.834768211920501</v>
      </c>
      <c r="J12" s="61">
        <f>I12*E12</f>
        <v>2.9752152317880749</v>
      </c>
      <c r="K12" s="69"/>
      <c r="L12" s="63">
        <v>14.076158940397352</v>
      </c>
      <c r="M12" s="75">
        <f>L12*E12</f>
        <v>2.1114238410596027</v>
      </c>
    </row>
    <row r="13" spans="1:13" ht="17.25" x14ac:dyDescent="0.25">
      <c r="A13" s="180">
        <f t="shared" si="0"/>
        <v>7</v>
      </c>
      <c r="B13" s="180"/>
      <c r="C13" s="73" t="s">
        <v>184</v>
      </c>
      <c r="D13" s="59" t="s">
        <v>185</v>
      </c>
      <c r="E13" s="60">
        <v>0.25</v>
      </c>
      <c r="F13" s="53">
        <v>17.652516556291403</v>
      </c>
      <c r="G13" s="74">
        <f>F13*E13</f>
        <v>4.4131291390728506</v>
      </c>
      <c r="H13" s="62"/>
      <c r="I13" s="63">
        <v>20.462913907284801</v>
      </c>
      <c r="J13" s="68">
        <f>I13*E13</f>
        <v>5.1157284768212001</v>
      </c>
      <c r="K13" s="69"/>
      <c r="L13" s="63">
        <v>19.198460264900667</v>
      </c>
      <c r="M13" s="75">
        <f>L13*E13</f>
        <v>4.7996150662251669</v>
      </c>
    </row>
    <row r="14" spans="1:13" ht="17.25" x14ac:dyDescent="0.25">
      <c r="A14" s="180">
        <f t="shared" si="0"/>
        <v>8</v>
      </c>
      <c r="B14" s="180"/>
      <c r="C14" s="73" t="s">
        <v>186</v>
      </c>
      <c r="D14" s="59" t="s">
        <v>187</v>
      </c>
      <c r="E14" s="60">
        <v>0.5</v>
      </c>
      <c r="F14" s="53">
        <v>7.8422185430463607</v>
      </c>
      <c r="G14" s="74">
        <f>F14*E14</f>
        <v>3.9211092715231803</v>
      </c>
      <c r="H14" s="62"/>
      <c r="I14" s="63">
        <v>9.2376655629139108</v>
      </c>
      <c r="J14" s="68">
        <f>I14*E14</f>
        <v>4.6188327814569554</v>
      </c>
      <c r="K14" s="69"/>
      <c r="L14" s="63">
        <v>8.5738410596026498</v>
      </c>
      <c r="M14" s="75">
        <f>L14*E14</f>
        <v>4.2869205298013249</v>
      </c>
    </row>
    <row r="15" spans="1:13" ht="17.25" x14ac:dyDescent="0.25">
      <c r="A15" s="180">
        <f t="shared" si="0"/>
        <v>9</v>
      </c>
      <c r="B15" s="180"/>
      <c r="C15" s="73" t="s">
        <v>188</v>
      </c>
      <c r="D15" s="59" t="s">
        <v>189</v>
      </c>
      <c r="E15" s="60">
        <v>0.1</v>
      </c>
      <c r="F15" s="53">
        <v>6.7496109271523093</v>
      </c>
      <c r="G15" s="74">
        <f>F15*E15</f>
        <v>0.67496109271523097</v>
      </c>
      <c r="H15" s="62"/>
      <c r="I15" s="63">
        <v>6.7496109271523093</v>
      </c>
      <c r="J15" s="61">
        <f>I15*E15</f>
        <v>0.67496109271523097</v>
      </c>
      <c r="K15" s="69"/>
      <c r="L15" s="63">
        <v>10.166394039735099</v>
      </c>
      <c r="M15" s="75">
        <f>L15*E15</f>
        <v>1.01663940397351</v>
      </c>
    </row>
    <row r="16" spans="1:13" ht="17.25" x14ac:dyDescent="0.25">
      <c r="A16" s="180">
        <f t="shared" si="0"/>
        <v>10</v>
      </c>
      <c r="B16" s="180"/>
      <c r="C16" s="66"/>
      <c r="D16" s="59"/>
      <c r="E16" s="59"/>
      <c r="G16" s="68"/>
      <c r="H16" s="62"/>
      <c r="I16" s="76"/>
      <c r="J16" s="61"/>
      <c r="K16" s="69"/>
      <c r="L16" s="76"/>
      <c r="M16" s="70"/>
    </row>
    <row r="17" spans="1:13" ht="17.25" x14ac:dyDescent="0.25">
      <c r="A17" s="180">
        <f t="shared" si="0"/>
        <v>11</v>
      </c>
      <c r="B17" s="180"/>
      <c r="C17" s="66"/>
      <c r="D17" s="59" t="s">
        <v>190</v>
      </c>
      <c r="E17" s="60">
        <v>0.5</v>
      </c>
      <c r="F17" s="53">
        <v>3.7125000000000004</v>
      </c>
      <c r="G17" s="68">
        <f>F17*E17</f>
        <v>1.8562500000000002</v>
      </c>
      <c r="H17" s="62"/>
      <c r="I17" s="63">
        <v>4.590852649006627</v>
      </c>
      <c r="J17" s="68">
        <f>I17*E17</f>
        <v>2.2954263245033135</v>
      </c>
      <c r="K17" s="69"/>
      <c r="L17" s="63">
        <v>4.2634519867549745</v>
      </c>
      <c r="M17" s="70">
        <f>L17*E17</f>
        <v>2.1317259933774872</v>
      </c>
    </row>
    <row r="18" spans="1:13" ht="17.25" x14ac:dyDescent="0.25">
      <c r="A18" s="180">
        <f t="shared" si="0"/>
        <v>12</v>
      </c>
      <c r="B18" s="180"/>
      <c r="C18" s="66"/>
      <c r="D18" s="59" t="s">
        <v>191</v>
      </c>
      <c r="E18" s="60">
        <v>0.5</v>
      </c>
      <c r="F18" s="53">
        <v>2.6980132450331156</v>
      </c>
      <c r="G18" s="68">
        <f>F18*E18</f>
        <v>1.3490066225165578</v>
      </c>
      <c r="H18" s="62"/>
      <c r="I18" s="63">
        <v>3.934602649006627</v>
      </c>
      <c r="J18" s="68">
        <f>I18*E18</f>
        <v>1.9673013245033135</v>
      </c>
      <c r="K18" s="69"/>
      <c r="L18" s="63">
        <v>3.1949999999999998</v>
      </c>
      <c r="M18" s="70">
        <f>L18*E18</f>
        <v>1.5974999999999999</v>
      </c>
    </row>
    <row r="19" spans="1:13" ht="17.25" x14ac:dyDescent="0.25">
      <c r="A19" s="180">
        <f t="shared" si="0"/>
        <v>13</v>
      </c>
      <c r="B19" s="180"/>
      <c r="C19" s="66"/>
      <c r="D19" s="67" t="s">
        <v>418</v>
      </c>
      <c r="E19" s="60">
        <v>1</v>
      </c>
      <c r="F19" s="53">
        <v>4.0999999999999996</v>
      </c>
      <c r="G19" s="68">
        <f>F19*E19</f>
        <v>4.0999999999999996</v>
      </c>
      <c r="H19" s="62"/>
      <c r="I19" s="53">
        <v>4.0999999999999996</v>
      </c>
      <c r="J19" s="68">
        <f>I19*E19</f>
        <v>4.0999999999999996</v>
      </c>
      <c r="K19" s="69"/>
      <c r="L19" s="53">
        <v>4.0999999999999996</v>
      </c>
      <c r="M19" s="70">
        <f>L19*E19</f>
        <v>4.0999999999999996</v>
      </c>
    </row>
    <row r="20" spans="1:13" ht="18" thickBot="1" x14ac:dyDescent="0.3">
      <c r="A20" s="180">
        <f>A18+1</f>
        <v>13</v>
      </c>
      <c r="B20" s="180"/>
      <c r="C20" s="50"/>
      <c r="D20" s="59" t="s">
        <v>192</v>
      </c>
      <c r="E20" s="60">
        <v>1.5</v>
      </c>
      <c r="F20" s="53">
        <v>1.3499999999999999</v>
      </c>
      <c r="G20" s="77">
        <f>F20*E20</f>
        <v>2.0249999999999999</v>
      </c>
      <c r="H20" s="62"/>
      <c r="I20" s="78">
        <v>1.35</v>
      </c>
      <c r="J20" s="61">
        <f>I20*E20</f>
        <v>2.0250000000000004</v>
      </c>
      <c r="K20" s="64"/>
      <c r="L20" s="78">
        <v>1.3499999999999999</v>
      </c>
      <c r="M20" s="65">
        <f>L20*E20</f>
        <v>2.0249999999999999</v>
      </c>
    </row>
    <row r="21" spans="1:13" ht="21" thickTop="1" x14ac:dyDescent="0.25">
      <c r="A21" s="184">
        <f t="shared" si="0"/>
        <v>14</v>
      </c>
      <c r="B21" s="180"/>
      <c r="C21" s="50"/>
      <c r="D21" s="79" t="s">
        <v>193</v>
      </c>
      <c r="E21" s="79"/>
      <c r="F21" s="56">
        <v>29.936192052980136</v>
      </c>
      <c r="G21" s="80">
        <f>SUM(G7:G20)</f>
        <v>27.677737582781447</v>
      </c>
      <c r="H21" s="81"/>
      <c r="I21" s="82"/>
      <c r="J21" s="80">
        <f>SUM(J7:J20)</f>
        <v>31.525197298013246</v>
      </c>
      <c r="K21" s="83"/>
      <c r="L21" s="82"/>
      <c r="M21" s="84">
        <f>SUM(M7:M20)</f>
        <v>29.31502241721855</v>
      </c>
    </row>
    <row r="22" spans="1:13" ht="17.25" x14ac:dyDescent="0.25">
      <c r="A22" s="180">
        <f t="shared" si="0"/>
        <v>15</v>
      </c>
      <c r="B22" s="180"/>
      <c r="C22" s="50"/>
      <c r="D22" s="85"/>
      <c r="E22" s="59"/>
      <c r="F22" s="76"/>
      <c r="G22" s="86"/>
      <c r="H22" s="62"/>
      <c r="I22" s="76"/>
      <c r="J22" s="68"/>
      <c r="K22" s="64"/>
      <c r="L22" s="76"/>
      <c r="M22" s="70"/>
    </row>
    <row r="23" spans="1:13" ht="17.25" x14ac:dyDescent="0.25">
      <c r="A23" s="184">
        <f t="shared" si="0"/>
        <v>16</v>
      </c>
      <c r="B23" s="180"/>
      <c r="C23" s="50" t="s">
        <v>194</v>
      </c>
      <c r="D23" s="87" t="s">
        <v>195</v>
      </c>
      <c r="E23" s="88" t="s">
        <v>196</v>
      </c>
      <c r="F23" s="63">
        <v>16.605</v>
      </c>
      <c r="G23" s="89">
        <f t="shared" ref="G23:G28" si="1">F23</f>
        <v>16.605</v>
      </c>
      <c r="H23" s="62"/>
      <c r="I23" s="63">
        <v>16.605</v>
      </c>
      <c r="J23" s="89">
        <f>G23</f>
        <v>16.605</v>
      </c>
      <c r="K23" s="64"/>
      <c r="L23" s="63">
        <v>16.605</v>
      </c>
      <c r="M23" s="90">
        <f>G23</f>
        <v>16.605</v>
      </c>
    </row>
    <row r="24" spans="1:13" ht="17.25" customHeight="1" x14ac:dyDescent="0.25">
      <c r="A24" s="184">
        <f t="shared" si="0"/>
        <v>17</v>
      </c>
      <c r="B24" s="180"/>
      <c r="C24" s="91" t="s">
        <v>194</v>
      </c>
      <c r="D24" s="85" t="s">
        <v>197</v>
      </c>
      <c r="E24" s="59" t="s">
        <v>198</v>
      </c>
      <c r="F24" s="63">
        <v>6.53</v>
      </c>
      <c r="G24" s="89">
        <f t="shared" si="1"/>
        <v>6.53</v>
      </c>
      <c r="H24" s="62"/>
      <c r="I24" s="63">
        <v>6.53</v>
      </c>
      <c r="J24" s="89">
        <f>G24</f>
        <v>6.53</v>
      </c>
      <c r="K24" s="92"/>
      <c r="L24" s="63">
        <v>6.53</v>
      </c>
      <c r="M24" s="90">
        <f>G24</f>
        <v>6.53</v>
      </c>
    </row>
    <row r="25" spans="1:13" ht="17.25" x14ac:dyDescent="0.25">
      <c r="A25" s="184">
        <f t="shared" si="0"/>
        <v>18</v>
      </c>
      <c r="B25" s="180"/>
      <c r="C25" s="91" t="s">
        <v>194</v>
      </c>
      <c r="D25" s="85" t="s">
        <v>199</v>
      </c>
      <c r="E25" s="88" t="s">
        <v>200</v>
      </c>
      <c r="F25" s="63">
        <v>6.75</v>
      </c>
      <c r="G25" s="89">
        <f t="shared" si="1"/>
        <v>6.75</v>
      </c>
      <c r="H25" s="62"/>
      <c r="I25" s="63">
        <v>6.75</v>
      </c>
      <c r="J25" s="89">
        <f>I25</f>
        <v>6.75</v>
      </c>
      <c r="K25" s="69"/>
      <c r="L25" s="63">
        <v>6.75</v>
      </c>
      <c r="M25" s="89">
        <f>L25</f>
        <v>6.75</v>
      </c>
    </row>
    <row r="26" spans="1:13" ht="17.25" x14ac:dyDescent="0.25">
      <c r="A26" s="184">
        <f t="shared" si="0"/>
        <v>19</v>
      </c>
      <c r="B26" s="180"/>
      <c r="C26" s="91" t="s">
        <v>194</v>
      </c>
      <c r="D26" s="85" t="s">
        <v>201</v>
      </c>
      <c r="E26" s="59" t="s">
        <v>202</v>
      </c>
      <c r="F26" s="63">
        <v>5.85</v>
      </c>
      <c r="G26" s="89">
        <f t="shared" si="1"/>
        <v>5.85</v>
      </c>
      <c r="H26" s="62"/>
      <c r="I26" s="63">
        <v>5.85</v>
      </c>
      <c r="J26" s="89">
        <f>I26</f>
        <v>5.85</v>
      </c>
      <c r="K26" s="69"/>
      <c r="L26" s="63">
        <v>5.85</v>
      </c>
      <c r="M26" s="89">
        <f>L26</f>
        <v>5.85</v>
      </c>
    </row>
    <row r="27" spans="1:13" ht="17.25" x14ac:dyDescent="0.25">
      <c r="A27" s="184">
        <f t="shared" si="0"/>
        <v>20</v>
      </c>
      <c r="B27" s="180"/>
      <c r="C27" s="91" t="s">
        <v>194</v>
      </c>
      <c r="D27" s="85" t="s">
        <v>203</v>
      </c>
      <c r="E27" s="59" t="s">
        <v>204</v>
      </c>
      <c r="F27" s="63">
        <v>1.8</v>
      </c>
      <c r="G27" s="89">
        <f t="shared" si="1"/>
        <v>1.8</v>
      </c>
      <c r="H27" s="62"/>
      <c r="I27" s="63">
        <v>1.8</v>
      </c>
      <c r="J27" s="89">
        <f>I27</f>
        <v>1.8</v>
      </c>
      <c r="K27" s="69"/>
      <c r="L27" s="63">
        <v>1.8</v>
      </c>
      <c r="M27" s="89">
        <f>L27</f>
        <v>1.8</v>
      </c>
    </row>
    <row r="28" spans="1:13" ht="17.25" x14ac:dyDescent="0.25">
      <c r="A28" s="184">
        <f t="shared" si="0"/>
        <v>21</v>
      </c>
      <c r="B28" s="180"/>
      <c r="C28" s="91"/>
      <c r="D28" s="85" t="s">
        <v>205</v>
      </c>
      <c r="E28" s="59" t="s">
        <v>206</v>
      </c>
      <c r="F28" s="63">
        <v>26.941556291390732</v>
      </c>
      <c r="G28" s="89">
        <f t="shared" si="1"/>
        <v>26.941556291390732</v>
      </c>
      <c r="H28" s="62"/>
      <c r="I28" s="63">
        <v>26.941556291390732</v>
      </c>
      <c r="J28" s="89">
        <f>I28</f>
        <v>26.941556291390732</v>
      </c>
      <c r="K28" s="69"/>
      <c r="L28" s="63">
        <v>26.941556291390732</v>
      </c>
      <c r="M28" s="89">
        <f>L28</f>
        <v>26.941556291390732</v>
      </c>
    </row>
    <row r="29" spans="1:13" ht="17.25" x14ac:dyDescent="0.25">
      <c r="A29" s="180">
        <f t="shared" si="0"/>
        <v>22</v>
      </c>
      <c r="B29" s="180"/>
      <c r="C29" s="66"/>
      <c r="D29" s="85"/>
      <c r="E29" s="59"/>
      <c r="F29" s="76"/>
      <c r="G29" s="68"/>
      <c r="H29" s="62"/>
      <c r="I29" s="76"/>
      <c r="J29" s="68"/>
      <c r="K29" s="69"/>
      <c r="L29" s="76"/>
      <c r="M29" s="70"/>
    </row>
    <row r="30" spans="1:13" ht="17.25" x14ac:dyDescent="0.25">
      <c r="A30" s="180">
        <f t="shared" si="0"/>
        <v>23</v>
      </c>
      <c r="B30" s="180"/>
      <c r="C30" s="50" t="s">
        <v>207</v>
      </c>
      <c r="D30" s="85" t="s">
        <v>208</v>
      </c>
      <c r="E30" s="60">
        <v>1</v>
      </c>
      <c r="F30" s="63">
        <v>2.2199999999999998</v>
      </c>
      <c r="G30" s="68">
        <f>F30*E30</f>
        <v>2.2199999999999998</v>
      </c>
      <c r="H30" s="62"/>
      <c r="I30" s="63">
        <v>1.7544999999999999</v>
      </c>
      <c r="J30" s="68">
        <f>I30*E30</f>
        <v>1.7544999999999999</v>
      </c>
      <c r="K30" s="64"/>
      <c r="L30" s="63">
        <v>2.1830000000000003</v>
      </c>
      <c r="M30" s="70">
        <f>L30*E30</f>
        <v>2.1830000000000003</v>
      </c>
    </row>
    <row r="31" spans="1:13" ht="17.25" x14ac:dyDescent="0.25">
      <c r="A31" s="180">
        <f t="shared" si="0"/>
        <v>24</v>
      </c>
      <c r="B31" s="180"/>
      <c r="C31" s="66"/>
      <c r="D31" s="85" t="s">
        <v>183</v>
      </c>
      <c r="E31" s="60">
        <v>0.3</v>
      </c>
      <c r="F31" s="63">
        <v>7.8135761589403874</v>
      </c>
      <c r="G31" s="68">
        <f>F31*E31</f>
        <v>2.3440728476821162</v>
      </c>
      <c r="H31" s="62"/>
      <c r="I31" s="63">
        <v>7.939900662251655</v>
      </c>
      <c r="J31" s="68">
        <f>I31*E31</f>
        <v>2.3819701986754964</v>
      </c>
      <c r="K31" s="69"/>
      <c r="L31" s="63">
        <v>6.0607119205297995</v>
      </c>
      <c r="M31" s="70">
        <f>L31*E31</f>
        <v>1.8182135761589397</v>
      </c>
    </row>
    <row r="32" spans="1:13" ht="17.25" x14ac:dyDescent="0.25">
      <c r="A32" s="180">
        <f t="shared" si="0"/>
        <v>25</v>
      </c>
      <c r="B32" s="180"/>
      <c r="C32" s="66"/>
      <c r="D32" s="85" t="s">
        <v>185</v>
      </c>
      <c r="E32" s="60">
        <v>0.2</v>
      </c>
      <c r="F32" s="63">
        <v>7.2850993377483473</v>
      </c>
      <c r="G32" s="68">
        <f>F32*E32</f>
        <v>1.4570198675496695</v>
      </c>
      <c r="H32" s="62"/>
      <c r="I32" s="63">
        <v>7.3246092715231716</v>
      </c>
      <c r="J32" s="68">
        <f>I32*E32</f>
        <v>1.4649218543046345</v>
      </c>
      <c r="K32" s="69"/>
      <c r="L32" s="63">
        <v>7.9304900662251612</v>
      </c>
      <c r="M32" s="70">
        <f>L32*E32</f>
        <v>1.5860980132450324</v>
      </c>
    </row>
    <row r="33" spans="1:13" ht="17.25" x14ac:dyDescent="0.25">
      <c r="A33" s="180">
        <f t="shared" si="0"/>
        <v>26</v>
      </c>
      <c r="B33" s="180"/>
      <c r="C33" s="66"/>
      <c r="D33" s="85" t="s">
        <v>187</v>
      </c>
      <c r="E33" s="60">
        <v>0.5</v>
      </c>
      <c r="F33" s="63">
        <v>5.7933774834436997</v>
      </c>
      <c r="G33" s="68">
        <f>F33*E33</f>
        <v>2.8966887417218499</v>
      </c>
      <c r="H33" s="62"/>
      <c r="I33" s="63">
        <v>6.2622516556291403</v>
      </c>
      <c r="J33" s="68">
        <f>I33*E33</f>
        <v>3.1311258278145702</v>
      </c>
      <c r="K33" s="69"/>
      <c r="L33" s="63">
        <v>5.1051655629139008</v>
      </c>
      <c r="M33" s="70">
        <f>L33*E33</f>
        <v>2.5525827814569504</v>
      </c>
    </row>
    <row r="34" spans="1:13" ht="17.25" x14ac:dyDescent="0.25">
      <c r="A34" s="180">
        <f t="shared" si="0"/>
        <v>27</v>
      </c>
      <c r="B34" s="180"/>
      <c r="C34" s="66"/>
      <c r="D34" s="85" t="s">
        <v>189</v>
      </c>
      <c r="E34" s="60" t="s">
        <v>209</v>
      </c>
      <c r="F34" s="63">
        <v>6.2415894039735065</v>
      </c>
      <c r="G34" s="68">
        <f>F34*0.03</f>
        <v>0.1872476821192052</v>
      </c>
      <c r="H34" s="62"/>
      <c r="I34" s="63">
        <v>4.6341059602648951</v>
      </c>
      <c r="J34" s="68">
        <f>I34*0.03</f>
        <v>0.13902317880794685</v>
      </c>
      <c r="K34" s="69"/>
      <c r="L34" s="63">
        <v>7.0696192052980127</v>
      </c>
      <c r="M34" s="68">
        <f>L34*0.03</f>
        <v>0.21208857615894036</v>
      </c>
    </row>
    <row r="35" spans="1:13" ht="17.25" x14ac:dyDescent="0.25">
      <c r="A35" s="180">
        <f t="shared" si="0"/>
        <v>28</v>
      </c>
      <c r="B35" s="180"/>
      <c r="C35" s="66"/>
      <c r="D35" s="85" t="s">
        <v>210</v>
      </c>
      <c r="E35" s="60">
        <v>1</v>
      </c>
      <c r="F35" s="63">
        <v>3.1312499999999996</v>
      </c>
      <c r="G35" s="68">
        <f>F35*E35</f>
        <v>3.1312499999999996</v>
      </c>
      <c r="H35" s="62"/>
      <c r="I35" s="63">
        <v>3.0808549668874181</v>
      </c>
      <c r="J35" s="68">
        <f>I35*E35</f>
        <v>3.0808549668874181</v>
      </c>
      <c r="K35" s="69"/>
      <c r="L35" s="63">
        <v>2.8443758278145692</v>
      </c>
      <c r="M35" s="70">
        <f>L35*E35</f>
        <v>2.8443758278145692</v>
      </c>
    </row>
    <row r="36" spans="1:13" ht="17.25" x14ac:dyDescent="0.25">
      <c r="A36" s="180">
        <f t="shared" si="0"/>
        <v>29</v>
      </c>
      <c r="B36" s="180"/>
      <c r="C36" s="66"/>
      <c r="D36" s="85" t="s">
        <v>211</v>
      </c>
      <c r="E36" s="60">
        <v>1</v>
      </c>
      <c r="F36" s="63">
        <v>0.91500000000000004</v>
      </c>
      <c r="G36" s="68">
        <f>F36*E36</f>
        <v>0.91500000000000004</v>
      </c>
      <c r="H36" s="62"/>
      <c r="I36" s="63">
        <v>0.91500000000000004</v>
      </c>
      <c r="J36" s="68">
        <f>I36*E36</f>
        <v>0.91500000000000004</v>
      </c>
      <c r="K36" s="69"/>
      <c r="L36" s="63">
        <v>0.91500000000000004</v>
      </c>
      <c r="M36" s="70">
        <f>L36*E36</f>
        <v>0.91500000000000004</v>
      </c>
    </row>
    <row r="37" spans="1:13" ht="17.25" x14ac:dyDescent="0.25">
      <c r="A37" s="180">
        <f t="shared" si="0"/>
        <v>30</v>
      </c>
      <c r="B37" s="180"/>
      <c r="C37" s="66"/>
      <c r="D37" s="85" t="s">
        <v>212</v>
      </c>
      <c r="E37" s="60">
        <v>1</v>
      </c>
      <c r="F37" s="63">
        <v>0.26</v>
      </c>
      <c r="G37" s="68">
        <f>F37*E37</f>
        <v>0.26</v>
      </c>
      <c r="H37" s="62"/>
      <c r="I37" s="63">
        <v>0.26</v>
      </c>
      <c r="J37" s="68">
        <f>I37*E37</f>
        <v>0.26</v>
      </c>
      <c r="K37" s="69"/>
      <c r="L37" s="63">
        <v>0.26</v>
      </c>
      <c r="M37" s="70">
        <f>L37*E37</f>
        <v>0.26</v>
      </c>
    </row>
    <row r="38" spans="1:13" ht="17.25" x14ac:dyDescent="0.25">
      <c r="A38" s="180">
        <f t="shared" si="0"/>
        <v>31</v>
      </c>
      <c r="B38" s="180"/>
      <c r="C38" s="66"/>
      <c r="D38" s="85" t="s">
        <v>213</v>
      </c>
      <c r="E38" s="60">
        <v>1</v>
      </c>
      <c r="F38" s="63">
        <v>1.635</v>
      </c>
      <c r="G38" s="68">
        <f>F38*E38</f>
        <v>1.635</v>
      </c>
      <c r="H38" s="62"/>
      <c r="I38" s="63">
        <v>1.635</v>
      </c>
      <c r="J38" s="68">
        <f>I38*E38</f>
        <v>1.635</v>
      </c>
      <c r="K38" s="69"/>
      <c r="L38" s="63">
        <v>1.635</v>
      </c>
      <c r="M38" s="70">
        <f>L38*E38</f>
        <v>1.635</v>
      </c>
    </row>
    <row r="39" spans="1:13" ht="17.25" x14ac:dyDescent="0.25">
      <c r="A39" s="180">
        <f t="shared" si="0"/>
        <v>32</v>
      </c>
      <c r="B39" s="180"/>
      <c r="C39" s="93"/>
      <c r="D39" s="85" t="s">
        <v>214</v>
      </c>
      <c r="E39" s="60">
        <v>1</v>
      </c>
      <c r="F39" s="63">
        <v>0.375</v>
      </c>
      <c r="G39" s="68">
        <f>F39*E39</f>
        <v>0.375</v>
      </c>
      <c r="H39" s="62"/>
      <c r="I39" s="63">
        <v>0.375</v>
      </c>
      <c r="J39" s="68">
        <f>I39*E39</f>
        <v>0.375</v>
      </c>
      <c r="K39" s="94"/>
      <c r="L39" s="63">
        <v>0.375</v>
      </c>
      <c r="M39" s="70">
        <f>L39*E39</f>
        <v>0.375</v>
      </c>
    </row>
    <row r="40" spans="1:13" ht="21" thickBot="1" x14ac:dyDescent="0.3">
      <c r="A40" s="103">
        <f t="shared" si="0"/>
        <v>33</v>
      </c>
      <c r="B40" s="180"/>
      <c r="C40" s="170"/>
      <c r="D40" s="171" t="s">
        <v>215</v>
      </c>
      <c r="E40" s="171"/>
      <c r="F40" s="97"/>
      <c r="G40" s="95">
        <f>SUM(G30:G39)</f>
        <v>15.421279139072841</v>
      </c>
      <c r="H40" s="96"/>
      <c r="I40" s="97"/>
      <c r="J40" s="95">
        <f>SUM(J30:J39)</f>
        <v>15.137396026490066</v>
      </c>
      <c r="K40" s="98"/>
      <c r="L40" s="97"/>
      <c r="M40" s="99">
        <f>SUM(M30:M39)</f>
        <v>14.381358774834432</v>
      </c>
    </row>
    <row r="41" spans="1:13" ht="21" thickBot="1" x14ac:dyDescent="0.3">
      <c r="A41" s="180">
        <f t="shared" si="0"/>
        <v>34</v>
      </c>
      <c r="B41" s="180"/>
      <c r="C41" s="166"/>
      <c r="D41" s="167"/>
      <c r="E41" s="167"/>
      <c r="F41" s="168"/>
      <c r="G41" s="169"/>
      <c r="I41" s="168"/>
      <c r="J41" s="169"/>
      <c r="K41" s="166"/>
      <c r="L41" s="168"/>
      <c r="M41" s="169"/>
    </row>
    <row r="42" spans="1:13" ht="18.75" thickBot="1" x14ac:dyDescent="0.3">
      <c r="A42" s="180">
        <f t="shared" si="0"/>
        <v>35</v>
      </c>
      <c r="B42" s="180"/>
      <c r="C42" s="517" t="s">
        <v>216</v>
      </c>
      <c r="D42" s="518"/>
      <c r="E42" s="518"/>
      <c r="F42" s="518"/>
      <c r="G42" s="519"/>
      <c r="H42" s="175"/>
      <c r="I42" s="176"/>
      <c r="J42" s="176"/>
      <c r="K42" s="175"/>
      <c r="L42" s="176"/>
      <c r="M42" s="177"/>
    </row>
    <row r="43" spans="1:13" ht="17.25" x14ac:dyDescent="0.25">
      <c r="A43" s="180">
        <f t="shared" si="0"/>
        <v>36</v>
      </c>
      <c r="B43" s="180"/>
      <c r="C43" s="123" t="s">
        <v>55</v>
      </c>
      <c r="D43" s="172" t="s">
        <v>217</v>
      </c>
      <c r="E43" s="173" t="s">
        <v>218</v>
      </c>
      <c r="F43" s="174">
        <v>5.5</v>
      </c>
      <c r="G43" s="133">
        <f>F43</f>
        <v>5.5</v>
      </c>
      <c r="H43" s="62"/>
      <c r="I43" s="174">
        <v>5.5</v>
      </c>
      <c r="J43" s="133">
        <f>I43</f>
        <v>5.5</v>
      </c>
      <c r="K43" s="62"/>
      <c r="L43" s="174">
        <v>5.5</v>
      </c>
      <c r="M43" s="133">
        <f>L43</f>
        <v>5.5</v>
      </c>
    </row>
    <row r="44" spans="1:13" ht="17.25" x14ac:dyDescent="0.25">
      <c r="A44" s="180">
        <f t="shared" si="0"/>
        <v>37</v>
      </c>
      <c r="B44" s="180"/>
      <c r="C44" s="50"/>
      <c r="D44" s="100" t="s">
        <v>219</v>
      </c>
      <c r="E44" s="101" t="s">
        <v>220</v>
      </c>
      <c r="F44" s="102">
        <v>1.35</v>
      </c>
      <c r="G44" s="70">
        <f>F44</f>
        <v>1.35</v>
      </c>
      <c r="H44" s="62"/>
      <c r="I44" s="102">
        <v>1.35</v>
      </c>
      <c r="J44" s="70">
        <f>I44</f>
        <v>1.35</v>
      </c>
      <c r="K44" s="62"/>
      <c r="L44" s="102">
        <v>1.35</v>
      </c>
      <c r="M44" s="70">
        <f>L44</f>
        <v>1.35</v>
      </c>
    </row>
    <row r="45" spans="1:13" ht="17.25" x14ac:dyDescent="0.25">
      <c r="A45" s="180">
        <f t="shared" si="0"/>
        <v>38</v>
      </c>
      <c r="B45" s="180"/>
      <c r="C45" s="93"/>
      <c r="D45" s="100" t="s">
        <v>221</v>
      </c>
      <c r="E45" s="101" t="s">
        <v>222</v>
      </c>
      <c r="F45" s="102">
        <v>8.77</v>
      </c>
      <c r="G45" s="70">
        <f>F45</f>
        <v>8.77</v>
      </c>
      <c r="H45" s="62"/>
      <c r="I45" s="102">
        <v>8.77</v>
      </c>
      <c r="J45" s="70">
        <f>I45</f>
        <v>8.77</v>
      </c>
      <c r="K45" s="62"/>
      <c r="L45" s="102">
        <v>8.77</v>
      </c>
      <c r="M45" s="70">
        <f>L45</f>
        <v>8.77</v>
      </c>
    </row>
    <row r="46" spans="1:13" ht="17.25" x14ac:dyDescent="0.25">
      <c r="A46" s="184">
        <f t="shared" si="0"/>
        <v>39</v>
      </c>
      <c r="B46" s="180"/>
      <c r="C46" s="104"/>
      <c r="D46" s="88" t="s">
        <v>223</v>
      </c>
      <c r="E46" s="88"/>
      <c r="F46" s="105"/>
      <c r="G46" s="90">
        <f>G43+G44+G45</f>
        <v>15.62</v>
      </c>
      <c r="H46" s="62"/>
      <c r="I46" s="105"/>
      <c r="J46" s="90">
        <f>J43+J44+J45</f>
        <v>15.62</v>
      </c>
      <c r="K46" s="62"/>
      <c r="L46" s="105"/>
      <c r="M46" s="90">
        <f>M43+M44+M45</f>
        <v>15.62</v>
      </c>
    </row>
    <row r="47" spans="1:13" ht="17.25" x14ac:dyDescent="0.25">
      <c r="A47" s="180">
        <f t="shared" si="0"/>
        <v>40</v>
      </c>
      <c r="B47" s="180"/>
      <c r="C47" s="106"/>
      <c r="D47" s="88"/>
      <c r="E47" s="88"/>
      <c r="F47" s="105"/>
      <c r="G47" s="107"/>
      <c r="H47" s="62"/>
      <c r="I47" s="105"/>
      <c r="J47" s="107"/>
      <c r="K47" s="62"/>
      <c r="L47" s="105"/>
      <c r="M47" s="107"/>
    </row>
    <row r="48" spans="1:13" ht="28.5" x14ac:dyDescent="0.25">
      <c r="A48" s="184">
        <f t="shared" si="0"/>
        <v>41</v>
      </c>
      <c r="B48" s="180"/>
      <c r="C48" s="106" t="s">
        <v>224</v>
      </c>
      <c r="D48" s="101" t="s">
        <v>56</v>
      </c>
      <c r="E48" s="101"/>
      <c r="F48" s="102">
        <v>29.87</v>
      </c>
      <c r="G48" s="90">
        <f t="shared" ref="G48:G52" si="2">F48</f>
        <v>29.87</v>
      </c>
      <c r="H48" s="62"/>
      <c r="I48" s="102">
        <v>25.34</v>
      </c>
      <c r="J48" s="90">
        <f t="shared" ref="J48:J55" si="3">I48</f>
        <v>25.34</v>
      </c>
      <c r="K48" s="62"/>
      <c r="L48" s="102">
        <v>25.34</v>
      </c>
      <c r="M48" s="90">
        <f t="shared" ref="M48:M55" si="4">L48</f>
        <v>25.34</v>
      </c>
    </row>
    <row r="49" spans="1:13" ht="34.5" x14ac:dyDescent="0.25">
      <c r="A49" s="103">
        <f t="shared" si="0"/>
        <v>42</v>
      </c>
      <c r="B49" s="180"/>
      <c r="C49" s="106" t="s">
        <v>225</v>
      </c>
      <c r="D49" s="101" t="s">
        <v>226</v>
      </c>
      <c r="E49" s="101"/>
      <c r="F49" s="102">
        <v>15.68</v>
      </c>
      <c r="G49" s="90">
        <f>F49</f>
        <v>15.68</v>
      </c>
      <c r="H49" s="62"/>
      <c r="I49" s="102">
        <v>15.68</v>
      </c>
      <c r="J49" s="90">
        <f t="shared" si="3"/>
        <v>15.68</v>
      </c>
      <c r="K49" s="62"/>
      <c r="L49" s="102">
        <v>15.68</v>
      </c>
      <c r="M49" s="90">
        <f t="shared" si="4"/>
        <v>15.68</v>
      </c>
    </row>
    <row r="50" spans="1:13" ht="17.25" x14ac:dyDescent="0.25">
      <c r="A50" s="184">
        <f t="shared" si="0"/>
        <v>43</v>
      </c>
      <c r="B50" s="180"/>
      <c r="C50" s="108" t="s">
        <v>419</v>
      </c>
      <c r="D50" s="88" t="s">
        <v>419</v>
      </c>
      <c r="E50" s="88"/>
      <c r="F50" s="78">
        <v>50</v>
      </c>
      <c r="G50" s="90">
        <f t="shared" si="2"/>
        <v>50</v>
      </c>
      <c r="H50" s="62"/>
      <c r="I50" s="102">
        <v>50</v>
      </c>
      <c r="J50" s="90">
        <f t="shared" si="3"/>
        <v>50</v>
      </c>
      <c r="K50" s="62"/>
      <c r="L50" s="102">
        <v>50</v>
      </c>
      <c r="M50" s="90">
        <f t="shared" si="4"/>
        <v>50</v>
      </c>
    </row>
    <row r="51" spans="1:13" ht="17.25" x14ac:dyDescent="0.25">
      <c r="A51" s="103">
        <f t="shared" si="0"/>
        <v>44</v>
      </c>
      <c r="B51" s="180"/>
      <c r="C51" s="108" t="s">
        <v>420</v>
      </c>
      <c r="D51" s="88" t="s">
        <v>421</v>
      </c>
      <c r="E51" s="88"/>
      <c r="F51" s="78">
        <v>45</v>
      </c>
      <c r="G51" s="90">
        <f t="shared" si="2"/>
        <v>45</v>
      </c>
      <c r="H51" s="62"/>
      <c r="I51" s="102">
        <v>45</v>
      </c>
      <c r="J51" s="90">
        <f t="shared" si="3"/>
        <v>45</v>
      </c>
      <c r="K51" s="62"/>
      <c r="L51" s="78">
        <v>45</v>
      </c>
      <c r="M51" s="90">
        <f t="shared" si="4"/>
        <v>45</v>
      </c>
    </row>
    <row r="52" spans="1:13" ht="34.5" x14ac:dyDescent="0.25">
      <c r="A52" s="184">
        <f t="shared" si="0"/>
        <v>45</v>
      </c>
      <c r="B52" s="180"/>
      <c r="C52" s="329" t="s">
        <v>422</v>
      </c>
      <c r="D52" s="101" t="s">
        <v>423</v>
      </c>
      <c r="E52" s="101"/>
      <c r="F52" s="102">
        <v>19.98</v>
      </c>
      <c r="G52" s="90">
        <f t="shared" si="2"/>
        <v>19.98</v>
      </c>
      <c r="H52" s="62"/>
      <c r="I52" s="102">
        <v>19.98</v>
      </c>
      <c r="J52" s="90">
        <f t="shared" si="3"/>
        <v>19.98</v>
      </c>
      <c r="K52" s="62"/>
      <c r="L52" s="102">
        <v>19.98</v>
      </c>
      <c r="M52" s="90">
        <f t="shared" si="4"/>
        <v>19.98</v>
      </c>
    </row>
    <row r="53" spans="1:13" ht="34.5" x14ac:dyDescent="0.25">
      <c r="A53" s="103">
        <f t="shared" si="0"/>
        <v>46</v>
      </c>
      <c r="B53" s="180"/>
      <c r="C53" s="329" t="s">
        <v>424</v>
      </c>
      <c r="D53" s="101" t="s">
        <v>424</v>
      </c>
      <c r="E53" s="101"/>
      <c r="F53" s="102">
        <v>11.35</v>
      </c>
      <c r="G53" s="90">
        <f>F53</f>
        <v>11.35</v>
      </c>
      <c r="H53" s="62"/>
      <c r="I53" s="102">
        <v>11.35</v>
      </c>
      <c r="J53" s="90">
        <f t="shared" si="3"/>
        <v>11.35</v>
      </c>
      <c r="K53" s="62"/>
      <c r="L53" s="102">
        <v>11.35</v>
      </c>
      <c r="M53" s="90">
        <f t="shared" si="4"/>
        <v>11.35</v>
      </c>
    </row>
    <row r="54" spans="1:13" ht="17.25" x14ac:dyDescent="0.25">
      <c r="A54" s="184">
        <f t="shared" si="0"/>
        <v>47</v>
      </c>
      <c r="B54" s="180"/>
      <c r="C54" s="330" t="s">
        <v>425</v>
      </c>
      <c r="D54" s="88" t="s">
        <v>425</v>
      </c>
      <c r="E54" s="88"/>
      <c r="F54" s="78">
        <v>45</v>
      </c>
      <c r="G54" s="90">
        <f t="shared" ref="G54:G55" si="5">F54</f>
        <v>45</v>
      </c>
      <c r="H54" s="62"/>
      <c r="I54" s="78">
        <v>45</v>
      </c>
      <c r="J54" s="90">
        <f t="shared" si="3"/>
        <v>45</v>
      </c>
      <c r="K54" s="62"/>
      <c r="L54" s="78">
        <v>45</v>
      </c>
      <c r="M54" s="90">
        <f t="shared" si="4"/>
        <v>45</v>
      </c>
    </row>
    <row r="55" spans="1:13" ht="17.25" x14ac:dyDescent="0.25">
      <c r="A55" s="103">
        <f t="shared" si="0"/>
        <v>48</v>
      </c>
      <c r="B55" s="180"/>
      <c r="C55" s="330" t="s">
        <v>426</v>
      </c>
      <c r="D55" s="88" t="s">
        <v>427</v>
      </c>
      <c r="E55" s="88"/>
      <c r="F55" s="78">
        <v>28</v>
      </c>
      <c r="G55" s="90">
        <f t="shared" si="5"/>
        <v>28</v>
      </c>
      <c r="H55" s="62"/>
      <c r="I55" s="78">
        <v>28</v>
      </c>
      <c r="J55" s="90">
        <f t="shared" si="3"/>
        <v>28</v>
      </c>
      <c r="K55" s="62"/>
      <c r="L55" s="78">
        <v>28</v>
      </c>
      <c r="M55" s="90">
        <f t="shared" si="4"/>
        <v>28</v>
      </c>
    </row>
    <row r="56" spans="1:13" ht="28.5" x14ac:dyDescent="0.25">
      <c r="A56" s="27">
        <f>A51+1</f>
        <v>45</v>
      </c>
      <c r="B56" s="180"/>
      <c r="C56" s="106" t="s">
        <v>227</v>
      </c>
      <c r="D56" s="88" t="s">
        <v>228</v>
      </c>
      <c r="E56" s="88"/>
      <c r="F56" s="78"/>
      <c r="G56" s="109">
        <v>400</v>
      </c>
      <c r="H56" s="62"/>
      <c r="I56" s="78"/>
      <c r="J56" s="90">
        <f>G56</f>
        <v>400</v>
      </c>
      <c r="K56" s="62"/>
      <c r="L56" s="78"/>
      <c r="M56" s="109">
        <f>J56</f>
        <v>400</v>
      </c>
    </row>
    <row r="57" spans="1:13" ht="28.5" x14ac:dyDescent="0.25">
      <c r="A57" s="27">
        <f t="shared" si="0"/>
        <v>46</v>
      </c>
      <c r="B57" s="180"/>
      <c r="C57" s="106" t="s">
        <v>229</v>
      </c>
      <c r="D57" s="88" t="s">
        <v>230</v>
      </c>
      <c r="E57" s="88"/>
      <c r="F57" s="78"/>
      <c r="G57" s="109">
        <v>400</v>
      </c>
      <c r="H57" s="62"/>
      <c r="I57" s="78"/>
      <c r="J57" s="90">
        <f t="shared" ref="J57:J65" si="6">G57</f>
        <v>400</v>
      </c>
      <c r="K57" s="62"/>
      <c r="L57" s="78"/>
      <c r="M57" s="109">
        <f t="shared" ref="M57:M65" si="7">J57</f>
        <v>400</v>
      </c>
    </row>
    <row r="58" spans="1:13" ht="28.5" x14ac:dyDescent="0.25">
      <c r="A58" s="27">
        <f t="shared" si="0"/>
        <v>47</v>
      </c>
      <c r="B58" s="180"/>
      <c r="C58" s="106" t="s">
        <v>231</v>
      </c>
      <c r="D58" s="88" t="s">
        <v>232</v>
      </c>
      <c r="E58" s="88"/>
      <c r="F58" s="78"/>
      <c r="G58" s="109">
        <v>400</v>
      </c>
      <c r="H58" s="62"/>
      <c r="I58" s="78"/>
      <c r="J58" s="90">
        <f t="shared" si="6"/>
        <v>400</v>
      </c>
      <c r="K58" s="62"/>
      <c r="L58" s="78"/>
      <c r="M58" s="109">
        <f t="shared" si="7"/>
        <v>400</v>
      </c>
    </row>
    <row r="59" spans="1:13" ht="28.5" x14ac:dyDescent="0.25">
      <c r="A59" s="27">
        <f t="shared" si="0"/>
        <v>48</v>
      </c>
      <c r="B59" s="180"/>
      <c r="C59" s="106" t="s">
        <v>233</v>
      </c>
      <c r="D59" s="88" t="s">
        <v>234</v>
      </c>
      <c r="E59" s="88"/>
      <c r="F59" s="78"/>
      <c r="G59" s="109">
        <v>400</v>
      </c>
      <c r="H59" s="62"/>
      <c r="I59" s="78"/>
      <c r="J59" s="90">
        <f t="shared" si="6"/>
        <v>400</v>
      </c>
      <c r="K59" s="62"/>
      <c r="L59" s="78"/>
      <c r="M59" s="109">
        <f t="shared" si="7"/>
        <v>400</v>
      </c>
    </row>
    <row r="60" spans="1:13" ht="28.5" x14ac:dyDescent="0.25">
      <c r="A60" s="184">
        <f t="shared" si="0"/>
        <v>49</v>
      </c>
      <c r="B60" s="180"/>
      <c r="C60" s="106" t="s">
        <v>43</v>
      </c>
      <c r="D60" s="88" t="s">
        <v>235</v>
      </c>
      <c r="E60" s="88"/>
      <c r="F60" s="78"/>
      <c r="G60" s="109">
        <v>400</v>
      </c>
      <c r="H60" s="62"/>
      <c r="I60" s="78"/>
      <c r="J60" s="90">
        <f t="shared" si="6"/>
        <v>400</v>
      </c>
      <c r="K60" s="62"/>
      <c r="L60" s="78"/>
      <c r="M60" s="109">
        <f t="shared" si="7"/>
        <v>400</v>
      </c>
    </row>
    <row r="61" spans="1:13" ht="28.5" x14ac:dyDescent="0.25">
      <c r="A61" s="27">
        <f t="shared" si="0"/>
        <v>50</v>
      </c>
      <c r="B61" s="180"/>
      <c r="C61" s="106" t="s">
        <v>236</v>
      </c>
      <c r="D61" s="88" t="s">
        <v>237</v>
      </c>
      <c r="E61" s="88"/>
      <c r="F61" s="110"/>
      <c r="G61" s="109">
        <v>475</v>
      </c>
      <c r="H61" s="62"/>
      <c r="I61" s="110"/>
      <c r="J61" s="90">
        <f t="shared" si="6"/>
        <v>475</v>
      </c>
      <c r="K61" s="62"/>
      <c r="L61" s="110"/>
      <c r="M61" s="109">
        <f t="shared" si="7"/>
        <v>475</v>
      </c>
    </row>
    <row r="62" spans="1:13" ht="17.25" x14ac:dyDescent="0.25">
      <c r="A62" s="184">
        <f t="shared" si="0"/>
        <v>51</v>
      </c>
      <c r="B62" s="180"/>
      <c r="C62" s="106" t="s">
        <v>44</v>
      </c>
      <c r="D62" s="88" t="s">
        <v>44</v>
      </c>
      <c r="E62" s="88"/>
      <c r="F62" s="110"/>
      <c r="G62" s="109">
        <v>200</v>
      </c>
      <c r="H62" s="62"/>
      <c r="I62" s="110"/>
      <c r="J62" s="90">
        <f t="shared" si="6"/>
        <v>200</v>
      </c>
      <c r="K62" s="62"/>
      <c r="L62" s="110"/>
      <c r="M62" s="109">
        <f t="shared" si="7"/>
        <v>200</v>
      </c>
    </row>
    <row r="63" spans="1:13" ht="28.5" x14ac:dyDescent="0.25">
      <c r="A63" s="184">
        <f t="shared" si="0"/>
        <v>52</v>
      </c>
      <c r="B63" s="180"/>
      <c r="C63" s="106" t="s">
        <v>45</v>
      </c>
      <c r="D63" s="88" t="s">
        <v>238</v>
      </c>
      <c r="E63" s="88"/>
      <c r="F63" s="110"/>
      <c r="G63" s="109">
        <v>250</v>
      </c>
      <c r="H63" s="62"/>
      <c r="I63" s="110"/>
      <c r="J63" s="90">
        <f t="shared" si="6"/>
        <v>250</v>
      </c>
      <c r="K63" s="62"/>
      <c r="L63" s="110"/>
      <c r="M63" s="109">
        <f t="shared" si="7"/>
        <v>250</v>
      </c>
    </row>
    <row r="64" spans="1:13" ht="17.25" x14ac:dyDescent="0.25">
      <c r="A64" s="180">
        <f t="shared" si="0"/>
        <v>53</v>
      </c>
      <c r="B64" s="180"/>
      <c r="C64" s="111"/>
      <c r="D64" s="59"/>
      <c r="E64" s="59"/>
      <c r="F64" s="76"/>
      <c r="G64" s="112"/>
      <c r="H64" s="62"/>
      <c r="I64" s="76"/>
      <c r="J64" s="112"/>
      <c r="K64" s="62"/>
      <c r="L64" s="76"/>
      <c r="M64" s="112"/>
    </row>
    <row r="65" spans="1:13" ht="30" x14ac:dyDescent="0.25">
      <c r="A65" s="184">
        <f t="shared" si="0"/>
        <v>54</v>
      </c>
      <c r="B65" s="180"/>
      <c r="C65" s="106" t="s">
        <v>239</v>
      </c>
      <c r="D65" s="113" t="s">
        <v>240</v>
      </c>
      <c r="E65" s="113" t="s">
        <v>241</v>
      </c>
      <c r="F65" s="110"/>
      <c r="G65" s="109">
        <v>200</v>
      </c>
      <c r="H65" s="62"/>
      <c r="I65" s="110"/>
      <c r="J65" s="90">
        <f t="shared" si="6"/>
        <v>200</v>
      </c>
      <c r="K65" s="62"/>
      <c r="L65" s="110"/>
      <c r="M65" s="109">
        <f t="shared" si="7"/>
        <v>200</v>
      </c>
    </row>
    <row r="66" spans="1:13" ht="29.25" thickBot="1" x14ac:dyDescent="0.3">
      <c r="A66" s="180">
        <f t="shared" si="0"/>
        <v>55</v>
      </c>
      <c r="B66" s="180"/>
      <c r="C66" s="329" t="s">
        <v>428</v>
      </c>
      <c r="D66" s="331"/>
      <c r="E66" s="331" t="s">
        <v>429</v>
      </c>
      <c r="F66" s="114"/>
      <c r="G66" s="109">
        <v>350</v>
      </c>
      <c r="H66" s="178"/>
      <c r="I66" s="114"/>
      <c r="J66" s="109">
        <v>350</v>
      </c>
      <c r="K66" s="178"/>
      <c r="L66" s="114"/>
      <c r="M66" s="109">
        <v>350</v>
      </c>
    </row>
    <row r="67" spans="1:13" x14ac:dyDescent="0.25">
      <c r="A67" s="180">
        <f t="shared" si="0"/>
        <v>56</v>
      </c>
    </row>
    <row r="68" spans="1:13" x14ac:dyDescent="0.25">
      <c r="A68" s="180">
        <f t="shared" si="0"/>
        <v>57</v>
      </c>
    </row>
    <row r="69" spans="1:13" ht="23.25" thickBot="1" x14ac:dyDescent="0.3">
      <c r="A69" s="180">
        <f t="shared" si="0"/>
        <v>58</v>
      </c>
      <c r="B69" s="180"/>
      <c r="C69" s="115" t="s">
        <v>91</v>
      </c>
      <c r="F69" s="529" t="s">
        <v>169</v>
      </c>
      <c r="G69" s="529"/>
      <c r="H69" s="47"/>
      <c r="I69" s="529" t="s">
        <v>170</v>
      </c>
      <c r="J69" s="529"/>
      <c r="K69" s="47"/>
      <c r="L69" s="529" t="s">
        <v>171</v>
      </c>
      <c r="M69" s="529"/>
    </row>
    <row r="70" spans="1:13" ht="17.25" thickTop="1" x14ac:dyDescent="0.25">
      <c r="A70" s="180">
        <f t="shared" si="0"/>
        <v>59</v>
      </c>
      <c r="B70" s="180"/>
      <c r="C70" s="530" t="s">
        <v>109</v>
      </c>
      <c r="D70" s="533" t="s">
        <v>242</v>
      </c>
      <c r="E70" s="534" t="s">
        <v>172</v>
      </c>
      <c r="F70" s="534" t="s">
        <v>173</v>
      </c>
      <c r="G70" s="535" t="s">
        <v>174</v>
      </c>
      <c r="H70" s="511"/>
      <c r="I70" s="534" t="s">
        <v>173</v>
      </c>
      <c r="J70" s="535" t="s">
        <v>174</v>
      </c>
      <c r="K70" s="511"/>
      <c r="L70" s="534" t="s">
        <v>173</v>
      </c>
      <c r="M70" s="535" t="s">
        <v>174</v>
      </c>
    </row>
    <row r="71" spans="1:13" x14ac:dyDescent="0.25">
      <c r="A71" s="180">
        <f t="shared" si="0"/>
        <v>60</v>
      </c>
      <c r="B71" s="180"/>
      <c r="C71" s="531"/>
      <c r="D71" s="524"/>
      <c r="E71" s="506"/>
      <c r="F71" s="506"/>
      <c r="G71" s="515"/>
      <c r="H71" s="512"/>
      <c r="I71" s="506"/>
      <c r="J71" s="515"/>
      <c r="K71" s="512"/>
      <c r="L71" s="506"/>
      <c r="M71" s="515"/>
    </row>
    <row r="72" spans="1:13" ht="17.25" thickBot="1" x14ac:dyDescent="0.3">
      <c r="A72" s="180">
        <f t="shared" si="0"/>
        <v>61</v>
      </c>
      <c r="B72" s="180"/>
      <c r="C72" s="532"/>
      <c r="D72" s="524"/>
      <c r="E72" s="507"/>
      <c r="F72" s="507"/>
      <c r="G72" s="516"/>
      <c r="H72" s="513"/>
      <c r="I72" s="507"/>
      <c r="J72" s="516"/>
      <c r="K72" s="513"/>
      <c r="L72" s="507"/>
      <c r="M72" s="516"/>
    </row>
    <row r="73" spans="1:13" ht="18" thickTop="1" x14ac:dyDescent="0.25">
      <c r="A73" s="180">
        <f t="shared" ref="A73:A117" si="8">A72+1</f>
        <v>62</v>
      </c>
      <c r="B73" s="180"/>
      <c r="C73" s="117" t="s">
        <v>53</v>
      </c>
      <c r="D73" s="118" t="s">
        <v>243</v>
      </c>
      <c r="E73" s="119" t="s">
        <v>244</v>
      </c>
      <c r="F73" s="56">
        <v>6.53</v>
      </c>
      <c r="G73" s="120">
        <f>F73</f>
        <v>6.53</v>
      </c>
      <c r="H73" s="55"/>
      <c r="I73" s="56">
        <v>6.53</v>
      </c>
      <c r="J73" s="120">
        <f>I73</f>
        <v>6.53</v>
      </c>
      <c r="K73" s="121"/>
      <c r="L73" s="56">
        <v>6.53</v>
      </c>
      <c r="M73" s="122">
        <f>L73</f>
        <v>6.53</v>
      </c>
    </row>
    <row r="74" spans="1:13" ht="17.25" x14ac:dyDescent="0.25">
      <c r="A74" s="180">
        <f t="shared" si="8"/>
        <v>63</v>
      </c>
      <c r="B74" s="180"/>
      <c r="C74" s="123"/>
      <c r="D74" s="124" t="s">
        <v>203</v>
      </c>
      <c r="E74" s="125" t="s">
        <v>244</v>
      </c>
      <c r="F74" s="53">
        <v>1.8</v>
      </c>
      <c r="G74" s="89">
        <f>F74</f>
        <v>1.8</v>
      </c>
      <c r="H74" s="62"/>
      <c r="I74" s="63">
        <v>1.8</v>
      </c>
      <c r="J74" s="89">
        <f>I74</f>
        <v>1.8</v>
      </c>
      <c r="K74" s="126"/>
      <c r="L74" s="63">
        <v>1.8</v>
      </c>
      <c r="M74" s="90">
        <f>L74</f>
        <v>1.8</v>
      </c>
    </row>
    <row r="75" spans="1:13" ht="17.25" x14ac:dyDescent="0.25">
      <c r="A75" s="180">
        <f t="shared" si="8"/>
        <v>64</v>
      </c>
      <c r="B75" s="180"/>
      <c r="C75" s="123"/>
      <c r="D75" s="200" t="s">
        <v>245</v>
      </c>
      <c r="E75" s="125" t="s">
        <v>244</v>
      </c>
      <c r="F75" s="53">
        <v>5.85</v>
      </c>
      <c r="G75" s="89">
        <f>F75</f>
        <v>5.85</v>
      </c>
      <c r="H75" s="62"/>
      <c r="I75" s="53">
        <v>5.85</v>
      </c>
      <c r="J75" s="89">
        <f>I75</f>
        <v>5.85</v>
      </c>
      <c r="K75" s="126"/>
      <c r="L75" s="53">
        <v>5.85</v>
      </c>
      <c r="M75" s="90">
        <f>L75</f>
        <v>5.85</v>
      </c>
    </row>
    <row r="76" spans="1:13" ht="17.25" x14ac:dyDescent="0.25">
      <c r="A76" s="180">
        <f t="shared" si="8"/>
        <v>65</v>
      </c>
      <c r="B76" s="180"/>
      <c r="C76" s="123"/>
      <c r="D76" s="124"/>
      <c r="E76" s="125"/>
      <c r="F76" s="127"/>
      <c r="G76" s="124"/>
      <c r="H76" s="128"/>
      <c r="I76" s="127"/>
      <c r="J76" s="124"/>
      <c r="K76" s="129"/>
      <c r="L76" s="127"/>
      <c r="M76" s="130"/>
    </row>
    <row r="77" spans="1:13" ht="17.25" x14ac:dyDescent="0.25">
      <c r="A77" s="180">
        <f t="shared" si="8"/>
        <v>66</v>
      </c>
      <c r="B77" s="180"/>
      <c r="C77" s="50" t="s">
        <v>246</v>
      </c>
      <c r="D77" s="197" t="s">
        <v>247</v>
      </c>
      <c r="E77" s="131">
        <v>1</v>
      </c>
      <c r="F77" s="63">
        <v>2.4500000000000002</v>
      </c>
      <c r="G77" s="132">
        <f t="shared" ref="G77:G82" si="9">F77*E77</f>
        <v>2.4500000000000002</v>
      </c>
      <c r="H77" s="128"/>
      <c r="I77" s="63">
        <v>2.4500000000000002</v>
      </c>
      <c r="J77" s="132">
        <f t="shared" ref="J77:J82" si="10">I77*E77</f>
        <v>2.4500000000000002</v>
      </c>
      <c r="K77" s="129"/>
      <c r="L77" s="63">
        <v>2.4500000000000002</v>
      </c>
      <c r="M77" s="133">
        <f t="shared" ref="M77:M82" si="11">L77*E77</f>
        <v>2.4500000000000002</v>
      </c>
    </row>
    <row r="78" spans="1:13" ht="17.25" x14ac:dyDescent="0.25">
      <c r="A78" s="180">
        <f t="shared" si="8"/>
        <v>67</v>
      </c>
      <c r="B78" s="180"/>
      <c r="C78" s="123"/>
      <c r="D78" s="198" t="s">
        <v>248</v>
      </c>
      <c r="E78" s="60">
        <v>1</v>
      </c>
      <c r="F78" s="63">
        <v>0.79500000000000004</v>
      </c>
      <c r="G78" s="68">
        <f t="shared" si="9"/>
        <v>0.79500000000000004</v>
      </c>
      <c r="H78" s="128"/>
      <c r="I78" s="63">
        <v>0.79500000000000004</v>
      </c>
      <c r="J78" s="68">
        <f t="shared" si="10"/>
        <v>0.79500000000000004</v>
      </c>
      <c r="K78" s="129"/>
      <c r="L78" s="63">
        <v>0.79500000000000004</v>
      </c>
      <c r="M78" s="70">
        <f t="shared" si="11"/>
        <v>0.79500000000000004</v>
      </c>
    </row>
    <row r="79" spans="1:13" ht="17.25" x14ac:dyDescent="0.25">
      <c r="A79" s="180">
        <f t="shared" si="8"/>
        <v>68</v>
      </c>
      <c r="B79" s="180"/>
      <c r="C79" s="123"/>
      <c r="D79" s="198" t="s">
        <v>179</v>
      </c>
      <c r="E79" s="60">
        <v>1</v>
      </c>
      <c r="F79" s="63">
        <v>0.66</v>
      </c>
      <c r="G79" s="68">
        <f t="shared" si="9"/>
        <v>0.66</v>
      </c>
      <c r="H79" s="128"/>
      <c r="I79" s="63">
        <v>0.66</v>
      </c>
      <c r="J79" s="68">
        <f t="shared" si="10"/>
        <v>0.66</v>
      </c>
      <c r="K79" s="129"/>
      <c r="L79" s="63">
        <v>0.66</v>
      </c>
      <c r="M79" s="70">
        <f t="shared" si="11"/>
        <v>0.66</v>
      </c>
    </row>
    <row r="80" spans="1:13" ht="17.25" x14ac:dyDescent="0.25">
      <c r="A80" s="180">
        <f t="shared" si="8"/>
        <v>69</v>
      </c>
      <c r="B80" s="180"/>
      <c r="C80" s="123" t="s">
        <v>246</v>
      </c>
      <c r="D80" s="198" t="s">
        <v>249</v>
      </c>
      <c r="E80" s="60">
        <v>1</v>
      </c>
      <c r="F80" s="63">
        <v>0.99</v>
      </c>
      <c r="G80" s="68">
        <f t="shared" si="9"/>
        <v>0.99</v>
      </c>
      <c r="H80" s="128"/>
      <c r="I80" s="63">
        <v>0.99</v>
      </c>
      <c r="J80" s="68">
        <f t="shared" si="10"/>
        <v>0.99</v>
      </c>
      <c r="K80" s="129"/>
      <c r="L80" s="63">
        <v>0.99</v>
      </c>
      <c r="M80" s="70">
        <f t="shared" si="11"/>
        <v>0.99</v>
      </c>
    </row>
    <row r="81" spans="1:13" ht="17.25" x14ac:dyDescent="0.25">
      <c r="A81" s="180">
        <f t="shared" si="8"/>
        <v>70</v>
      </c>
      <c r="B81" s="180"/>
      <c r="C81" s="123"/>
      <c r="D81" s="199" t="s">
        <v>250</v>
      </c>
      <c r="E81" s="134">
        <v>1</v>
      </c>
      <c r="F81" s="53">
        <v>0.69</v>
      </c>
      <c r="G81" s="135">
        <f t="shared" si="9"/>
        <v>0.69</v>
      </c>
      <c r="H81" s="128"/>
      <c r="I81" s="53">
        <v>0.69</v>
      </c>
      <c r="J81" s="68">
        <f t="shared" si="10"/>
        <v>0.69</v>
      </c>
      <c r="K81" s="129"/>
      <c r="L81" s="63">
        <v>0.69</v>
      </c>
      <c r="M81" s="70">
        <f t="shared" si="11"/>
        <v>0.69</v>
      </c>
    </row>
    <row r="82" spans="1:13" ht="17.25" x14ac:dyDescent="0.25">
      <c r="A82" s="180">
        <f t="shared" si="8"/>
        <v>71</v>
      </c>
      <c r="B82" s="180"/>
      <c r="C82" s="123"/>
      <c r="D82" s="199" t="s">
        <v>251</v>
      </c>
      <c r="E82" s="134">
        <v>1</v>
      </c>
      <c r="F82" s="53">
        <v>0.35</v>
      </c>
      <c r="G82" s="135">
        <f t="shared" si="9"/>
        <v>0.35</v>
      </c>
      <c r="H82" s="128"/>
      <c r="I82" s="53">
        <v>0.35</v>
      </c>
      <c r="J82" s="68">
        <f t="shared" si="10"/>
        <v>0.35</v>
      </c>
      <c r="K82" s="129"/>
      <c r="L82" s="53">
        <v>0.35</v>
      </c>
      <c r="M82" s="70">
        <f t="shared" si="11"/>
        <v>0.35</v>
      </c>
    </row>
    <row r="83" spans="1:13" ht="18" x14ac:dyDescent="0.25">
      <c r="A83" s="180">
        <f t="shared" si="8"/>
        <v>72</v>
      </c>
      <c r="B83" s="180"/>
      <c r="C83" s="50"/>
      <c r="D83" s="136" t="s">
        <v>181</v>
      </c>
      <c r="E83" s="71"/>
      <c r="F83" s="72"/>
      <c r="G83" s="68"/>
      <c r="H83" s="128"/>
      <c r="I83" s="72"/>
      <c r="J83" s="68"/>
      <c r="K83" s="129"/>
      <c r="L83" s="72"/>
      <c r="M83" s="70"/>
    </row>
    <row r="84" spans="1:13" ht="17.25" x14ac:dyDescent="0.25">
      <c r="A84" s="180">
        <f t="shared" si="8"/>
        <v>73</v>
      </c>
      <c r="B84" s="180"/>
      <c r="C84" s="50"/>
      <c r="D84" s="85" t="s">
        <v>252</v>
      </c>
      <c r="E84" s="60">
        <v>0.6</v>
      </c>
      <c r="F84" s="63">
        <v>7.6708325165562856</v>
      </c>
      <c r="G84" s="68">
        <f>F84*E84</f>
        <v>4.6024995099337715</v>
      </c>
      <c r="H84" s="128"/>
      <c r="I84" s="63">
        <v>8.8023658278145707</v>
      </c>
      <c r="J84" s="68">
        <f>I84*E84</f>
        <v>5.2814194966887422</v>
      </c>
      <c r="K84" s="129"/>
      <c r="L84" s="63">
        <v>7.7299774668874246</v>
      </c>
      <c r="M84" s="70">
        <f>L84*E84</f>
        <v>4.6379864801324544</v>
      </c>
    </row>
    <row r="85" spans="1:13" ht="17.25" x14ac:dyDescent="0.25">
      <c r="A85" s="180">
        <f t="shared" si="8"/>
        <v>74</v>
      </c>
      <c r="B85" s="180"/>
      <c r="C85" s="50"/>
      <c r="D85" s="85" t="s">
        <v>253</v>
      </c>
      <c r="E85" s="60">
        <v>0.3</v>
      </c>
      <c r="F85" s="63">
        <v>6.7007494701986685</v>
      </c>
      <c r="G85" s="68">
        <f>F85*E85</f>
        <v>2.0102248410596006</v>
      </c>
      <c r="H85" s="128"/>
      <c r="I85" s="63">
        <v>7.3384847682119343</v>
      </c>
      <c r="J85" s="68">
        <f>I85*E85</f>
        <v>2.2015454304635802</v>
      </c>
      <c r="K85" s="129"/>
      <c r="L85" s="63">
        <v>8.6980629139072807</v>
      </c>
      <c r="M85" s="70">
        <f>L85*E85</f>
        <v>2.6094188741721842</v>
      </c>
    </row>
    <row r="86" spans="1:13" ht="17.25" x14ac:dyDescent="0.25">
      <c r="A86" s="180">
        <f t="shared" si="8"/>
        <v>75</v>
      </c>
      <c r="B86" s="180"/>
      <c r="C86" s="50"/>
      <c r="D86" s="85" t="s">
        <v>254</v>
      </c>
      <c r="E86" s="60">
        <v>0.1</v>
      </c>
      <c r="F86" s="63">
        <v>6.4083754370860859</v>
      </c>
      <c r="G86" s="68">
        <f>F86*E86</f>
        <v>0.64083754370860868</v>
      </c>
      <c r="H86" s="128"/>
      <c r="I86" s="63">
        <v>5.0837748344370866</v>
      </c>
      <c r="J86" s="68">
        <f>I86*E86</f>
        <v>0.5083774834437087</v>
      </c>
      <c r="K86" s="129"/>
      <c r="L86" s="63">
        <v>6.7282145695364175</v>
      </c>
      <c r="M86" s="70">
        <f>L86*E86</f>
        <v>0.67282145695364182</v>
      </c>
    </row>
    <row r="87" spans="1:13" ht="17.25" x14ac:dyDescent="0.25">
      <c r="A87" s="180">
        <f t="shared" si="8"/>
        <v>76</v>
      </c>
      <c r="B87" s="180"/>
      <c r="C87" s="50"/>
      <c r="D87" s="85" t="s">
        <v>255</v>
      </c>
      <c r="E87" s="60">
        <v>1.5</v>
      </c>
      <c r="F87" s="78">
        <v>1.3725000000000001</v>
      </c>
      <c r="G87" s="77">
        <f>F87*E87</f>
        <v>2.0587499999999999</v>
      </c>
      <c r="H87" s="128"/>
      <c r="I87" s="78">
        <v>1.3725000000000001</v>
      </c>
      <c r="J87" s="68">
        <f>I87*E87</f>
        <v>2.0587499999999999</v>
      </c>
      <c r="K87" s="129"/>
      <c r="L87" s="63">
        <v>1.3725000000000001</v>
      </c>
      <c r="M87" s="70">
        <f>L87*E87</f>
        <v>2.0587499999999999</v>
      </c>
    </row>
    <row r="88" spans="1:13" ht="17.25" x14ac:dyDescent="0.25">
      <c r="A88" s="180">
        <f t="shared" si="8"/>
        <v>77</v>
      </c>
      <c r="B88" s="180"/>
      <c r="C88" s="50"/>
      <c r="D88" s="85" t="s">
        <v>256</v>
      </c>
      <c r="E88" s="137">
        <v>1.5</v>
      </c>
      <c r="F88" s="138">
        <v>1.9950000000000001</v>
      </c>
      <c r="G88" s="77">
        <f>F88*E88</f>
        <v>2.9925000000000002</v>
      </c>
      <c r="H88" s="128"/>
      <c r="I88" s="138">
        <v>1.9950000000000001</v>
      </c>
      <c r="J88" s="68">
        <f>I88*E88</f>
        <v>2.9925000000000002</v>
      </c>
      <c r="K88" s="129"/>
      <c r="L88" s="63">
        <v>1.9950000000000001</v>
      </c>
      <c r="M88" s="70">
        <f>L88*E88</f>
        <v>2.9925000000000002</v>
      </c>
    </row>
    <row r="89" spans="1:13" ht="17.25" x14ac:dyDescent="0.25">
      <c r="A89" s="184">
        <f t="shared" si="8"/>
        <v>78</v>
      </c>
      <c r="B89" s="180"/>
      <c r="C89" s="50"/>
      <c r="D89" s="139" t="s">
        <v>257</v>
      </c>
      <c r="E89" s="140"/>
      <c r="F89" s="140"/>
      <c r="G89" s="89">
        <f>SUM(G77:G88)</f>
        <v>18.239811894701983</v>
      </c>
      <c r="H89" s="128"/>
      <c r="I89" s="140"/>
      <c r="J89" s="89">
        <f>SUM(J77:J88)</f>
        <v>18.977592410596035</v>
      </c>
      <c r="K89" s="129"/>
      <c r="L89" s="140"/>
      <c r="M89" s="90">
        <f>SUM(M77:M88)</f>
        <v>18.90647681125828</v>
      </c>
    </row>
    <row r="90" spans="1:13" ht="17.25" x14ac:dyDescent="0.25">
      <c r="A90" s="27">
        <f t="shared" si="8"/>
        <v>79</v>
      </c>
      <c r="B90" s="180"/>
      <c r="C90" s="50"/>
      <c r="D90" s="141"/>
      <c r="E90" s="59"/>
      <c r="F90" s="59"/>
      <c r="G90" s="142"/>
      <c r="H90" s="128"/>
      <c r="I90" s="59"/>
      <c r="J90" s="61"/>
      <c r="K90" s="129"/>
      <c r="L90" s="59"/>
      <c r="M90" s="65"/>
    </row>
    <row r="91" spans="1:13" ht="17.25" x14ac:dyDescent="0.25">
      <c r="A91" s="27">
        <f t="shared" si="8"/>
        <v>80</v>
      </c>
      <c r="B91" s="180"/>
      <c r="C91" s="50" t="s">
        <v>58</v>
      </c>
      <c r="D91" s="85" t="s">
        <v>258</v>
      </c>
      <c r="E91" s="60">
        <v>1</v>
      </c>
      <c r="F91" s="138">
        <v>1.03</v>
      </c>
      <c r="G91" s="86">
        <f>F91*E91</f>
        <v>1.03</v>
      </c>
      <c r="H91" s="128"/>
      <c r="I91" s="138">
        <v>1.03</v>
      </c>
      <c r="J91" s="68">
        <f>I91*E91</f>
        <v>1.03</v>
      </c>
      <c r="K91" s="129"/>
      <c r="L91" s="138">
        <v>1.03</v>
      </c>
      <c r="M91" s="70">
        <f>L91*E91</f>
        <v>1.03</v>
      </c>
    </row>
    <row r="92" spans="1:13" ht="17.25" x14ac:dyDescent="0.25">
      <c r="A92" s="27">
        <f t="shared" si="8"/>
        <v>81</v>
      </c>
      <c r="B92" s="180"/>
      <c r="C92" s="50"/>
      <c r="D92" s="85" t="s">
        <v>259</v>
      </c>
      <c r="E92" s="60">
        <v>0.7</v>
      </c>
      <c r="F92" s="138">
        <v>5.7096596026490118</v>
      </c>
      <c r="G92" s="86">
        <f>F92*E92</f>
        <v>3.9967617218543081</v>
      </c>
      <c r="H92" s="128"/>
      <c r="I92" s="138">
        <v>5.470894039735092</v>
      </c>
      <c r="J92" s="68">
        <f>I92*E92</f>
        <v>3.8296258278145641</v>
      </c>
      <c r="K92" s="129"/>
      <c r="L92" s="63">
        <v>7.8507243377483444</v>
      </c>
      <c r="M92" s="70">
        <f>L92*E92</f>
        <v>5.4955070364238408</v>
      </c>
    </row>
    <row r="93" spans="1:13" ht="17.25" x14ac:dyDescent="0.25">
      <c r="A93" s="27">
        <f t="shared" si="8"/>
        <v>82</v>
      </c>
      <c r="B93" s="180"/>
      <c r="C93" s="50"/>
      <c r="D93" s="85" t="s">
        <v>253</v>
      </c>
      <c r="E93" s="60">
        <v>0.3</v>
      </c>
      <c r="F93" s="138">
        <v>4.4466887417218501</v>
      </c>
      <c r="G93" s="86">
        <f t="shared" ref="G93:G98" si="12">F93*E93</f>
        <v>1.334006622516555</v>
      </c>
      <c r="H93" s="128"/>
      <c r="I93" s="138">
        <v>4.6831953642384034</v>
      </c>
      <c r="J93" s="68">
        <f t="shared" ref="J93:J98" si="13">I93*E93</f>
        <v>1.4049586092715209</v>
      </c>
      <c r="K93" s="129"/>
      <c r="L93" s="63">
        <v>6.0278311258278139</v>
      </c>
      <c r="M93" s="70">
        <f t="shared" ref="M93:M98" si="14">L93*E93</f>
        <v>1.8083493377483442</v>
      </c>
    </row>
    <row r="94" spans="1:13" ht="17.25" x14ac:dyDescent="0.25">
      <c r="A94" s="27">
        <f t="shared" si="8"/>
        <v>83</v>
      </c>
      <c r="B94" s="180"/>
      <c r="C94" s="50"/>
      <c r="D94" s="85" t="s">
        <v>260</v>
      </c>
      <c r="E94" s="60" t="s">
        <v>261</v>
      </c>
      <c r="F94" s="138">
        <v>3.2152980132450302</v>
      </c>
      <c r="G94" s="86">
        <f>F94*0.03</f>
        <v>9.6458940397350895E-2</v>
      </c>
      <c r="H94" s="128"/>
      <c r="I94" s="138">
        <v>3.7098261589403965</v>
      </c>
      <c r="J94" s="68">
        <f>I94*0.03</f>
        <v>0.11129478476821189</v>
      </c>
      <c r="K94" s="129"/>
      <c r="L94" s="63">
        <v>5.8074503311258354</v>
      </c>
      <c r="M94" s="70">
        <f>L94*0.03</f>
        <v>0.17422350993377506</v>
      </c>
    </row>
    <row r="95" spans="1:13" ht="17.25" x14ac:dyDescent="0.25">
      <c r="A95" s="27">
        <f t="shared" si="8"/>
        <v>84</v>
      </c>
      <c r="B95" s="180"/>
      <c r="C95" s="50"/>
      <c r="D95" s="85" t="s">
        <v>262</v>
      </c>
      <c r="E95" s="60">
        <v>1</v>
      </c>
      <c r="F95" s="138">
        <v>1.47</v>
      </c>
      <c r="G95" s="86">
        <f t="shared" si="12"/>
        <v>1.47</v>
      </c>
      <c r="H95" s="128"/>
      <c r="I95" s="138">
        <v>1.47</v>
      </c>
      <c r="J95" s="68">
        <f t="shared" si="13"/>
        <v>1.47</v>
      </c>
      <c r="K95" s="129"/>
      <c r="L95" s="63">
        <v>1.47</v>
      </c>
      <c r="M95" s="70">
        <f t="shared" si="14"/>
        <v>1.47</v>
      </c>
    </row>
    <row r="96" spans="1:13" ht="17.25" x14ac:dyDescent="0.25">
      <c r="A96" s="27">
        <f t="shared" si="8"/>
        <v>85</v>
      </c>
      <c r="B96" s="180"/>
      <c r="C96" s="50"/>
      <c r="D96" s="85" t="s">
        <v>263</v>
      </c>
      <c r="E96" s="60">
        <v>1</v>
      </c>
      <c r="F96" s="138">
        <v>0.91500000000000004</v>
      </c>
      <c r="G96" s="86">
        <f t="shared" si="12"/>
        <v>0.91500000000000004</v>
      </c>
      <c r="H96" s="128"/>
      <c r="I96" s="138">
        <v>0.91500000000000004</v>
      </c>
      <c r="J96" s="68">
        <f t="shared" si="13"/>
        <v>0.91500000000000004</v>
      </c>
      <c r="K96" s="129"/>
      <c r="L96" s="63">
        <v>0.91500000000000004</v>
      </c>
      <c r="M96" s="70">
        <f t="shared" si="14"/>
        <v>0.91500000000000004</v>
      </c>
    </row>
    <row r="97" spans="1:13" ht="17.25" x14ac:dyDescent="0.25">
      <c r="A97" s="27">
        <f t="shared" si="8"/>
        <v>86</v>
      </c>
      <c r="B97" s="180"/>
      <c r="C97" s="50"/>
      <c r="D97" s="85" t="s">
        <v>264</v>
      </c>
      <c r="E97" s="60">
        <v>1</v>
      </c>
      <c r="F97" s="138">
        <v>0.26</v>
      </c>
      <c r="G97" s="86">
        <f t="shared" si="12"/>
        <v>0.26</v>
      </c>
      <c r="H97" s="128"/>
      <c r="I97" s="138">
        <v>0.26</v>
      </c>
      <c r="J97" s="68">
        <f t="shared" si="13"/>
        <v>0.26</v>
      </c>
      <c r="K97" s="129"/>
      <c r="L97" s="138">
        <v>0.26</v>
      </c>
      <c r="M97" s="70">
        <f t="shared" si="14"/>
        <v>0.26</v>
      </c>
    </row>
    <row r="98" spans="1:13" ht="17.25" x14ac:dyDescent="0.25">
      <c r="A98" s="27">
        <f t="shared" si="8"/>
        <v>87</v>
      </c>
      <c r="B98" s="180"/>
      <c r="C98" s="50"/>
      <c r="D98" s="85" t="s">
        <v>265</v>
      </c>
      <c r="E98" s="60">
        <v>1</v>
      </c>
      <c r="F98" s="138">
        <v>0.35</v>
      </c>
      <c r="G98" s="86">
        <f t="shared" si="12"/>
        <v>0.35</v>
      </c>
      <c r="H98" s="128"/>
      <c r="I98" s="138">
        <v>0.35</v>
      </c>
      <c r="J98" s="68">
        <f t="shared" si="13"/>
        <v>0.35</v>
      </c>
      <c r="K98" s="129"/>
      <c r="L98" s="138">
        <v>0.35</v>
      </c>
      <c r="M98" s="70">
        <f t="shared" si="14"/>
        <v>0.35</v>
      </c>
    </row>
    <row r="99" spans="1:13" ht="17.25" x14ac:dyDescent="0.25">
      <c r="A99" s="103">
        <f t="shared" si="8"/>
        <v>88</v>
      </c>
      <c r="B99" s="180"/>
      <c r="C99" s="50"/>
      <c r="D99" s="139" t="s">
        <v>266</v>
      </c>
      <c r="E99" s="140"/>
      <c r="F99" s="143"/>
      <c r="G99" s="144">
        <f>SUM(G91:G98)</f>
        <v>9.4522272847682132</v>
      </c>
      <c r="H99" s="128"/>
      <c r="I99" s="143"/>
      <c r="J99" s="89">
        <f>SUM(J91:J98)</f>
        <v>9.3708792218542953</v>
      </c>
      <c r="K99" s="129"/>
      <c r="L99" s="143"/>
      <c r="M99" s="90">
        <f>SUM(M91:M98)</f>
        <v>11.503079884105961</v>
      </c>
    </row>
    <row r="100" spans="1:13" ht="17.25" thickBot="1" x14ac:dyDescent="0.3">
      <c r="A100" s="180">
        <f t="shared" si="8"/>
        <v>89</v>
      </c>
      <c r="B100" s="180"/>
      <c r="C100" s="145"/>
      <c r="D100" s="146"/>
      <c r="E100" s="146"/>
      <c r="F100" s="146"/>
      <c r="G100" s="147"/>
      <c r="H100" s="148"/>
      <c r="I100" s="146"/>
      <c r="J100" s="147"/>
      <c r="K100" s="149"/>
      <c r="L100" s="146"/>
      <c r="M100" s="150"/>
    </row>
    <row r="101" spans="1:13" x14ac:dyDescent="0.25">
      <c r="A101" s="180">
        <f t="shared" si="8"/>
        <v>90</v>
      </c>
    </row>
    <row r="102" spans="1:13" ht="21" thickBot="1" x14ac:dyDescent="0.3">
      <c r="A102" s="180">
        <f t="shared" si="8"/>
        <v>91</v>
      </c>
      <c r="B102" s="46"/>
      <c r="C102" s="115" t="s">
        <v>103</v>
      </c>
      <c r="D102" s="163" t="s">
        <v>267</v>
      </c>
      <c r="E102" s="163"/>
      <c r="F102" s="163"/>
      <c r="G102" s="163"/>
    </row>
    <row r="103" spans="1:13" ht="27" thickTop="1" thickBot="1" x14ac:dyDescent="0.3">
      <c r="A103" s="180">
        <f t="shared" si="8"/>
        <v>92</v>
      </c>
      <c r="B103" s="164" t="s">
        <v>268</v>
      </c>
      <c r="C103" s="164"/>
      <c r="D103" s="165" t="s">
        <v>269</v>
      </c>
      <c r="E103" s="116" t="s">
        <v>172</v>
      </c>
      <c r="F103" s="116" t="s">
        <v>173</v>
      </c>
      <c r="G103" s="116" t="s">
        <v>174</v>
      </c>
      <c r="H103" s="128"/>
      <c r="I103" s="116" t="s">
        <v>173</v>
      </c>
      <c r="J103" s="116" t="s">
        <v>174</v>
      </c>
      <c r="K103" s="128"/>
      <c r="L103" s="116" t="s">
        <v>173</v>
      </c>
      <c r="M103" s="116" t="s">
        <v>174</v>
      </c>
    </row>
    <row r="104" spans="1:13" ht="18" thickTop="1" x14ac:dyDescent="0.25">
      <c r="A104" s="180">
        <f t="shared" si="8"/>
        <v>93</v>
      </c>
      <c r="B104" s="151" t="s">
        <v>270</v>
      </c>
      <c r="C104" s="152" t="s">
        <v>271</v>
      </c>
      <c r="D104" s="153"/>
      <c r="E104" s="153"/>
      <c r="F104" s="153"/>
      <c r="G104" s="154"/>
      <c r="H104" s="128"/>
      <c r="I104" s="153"/>
      <c r="J104" s="154"/>
      <c r="K104" s="128"/>
      <c r="L104" s="153"/>
      <c r="M104" s="154"/>
    </row>
    <row r="105" spans="1:13" ht="17.25" x14ac:dyDescent="0.25">
      <c r="A105" s="180">
        <f t="shared" si="8"/>
        <v>94</v>
      </c>
      <c r="B105" s="50"/>
      <c r="C105" s="155"/>
      <c r="D105" s="88" t="s">
        <v>272</v>
      </c>
      <c r="E105" s="156">
        <v>0.95</v>
      </c>
      <c r="F105" s="78">
        <v>9.0465</v>
      </c>
      <c r="G105" s="157">
        <f>F105*E105</f>
        <v>8.5941749999999999</v>
      </c>
      <c r="H105" s="128"/>
      <c r="I105" s="78">
        <v>9.0465</v>
      </c>
      <c r="J105" s="157">
        <f>G105</f>
        <v>8.5941749999999999</v>
      </c>
      <c r="K105" s="128"/>
      <c r="L105" s="78">
        <v>9.0465</v>
      </c>
      <c r="M105" s="157">
        <f>J105</f>
        <v>8.5941749999999999</v>
      </c>
    </row>
    <row r="106" spans="1:13" ht="17.25" x14ac:dyDescent="0.25">
      <c r="A106" s="180">
        <f t="shared" si="8"/>
        <v>95</v>
      </c>
      <c r="B106" s="50"/>
      <c r="C106" s="155"/>
      <c r="D106" s="88" t="s">
        <v>273</v>
      </c>
      <c r="E106" s="156">
        <v>0.05</v>
      </c>
      <c r="F106" s="78">
        <v>3.4068750000000003</v>
      </c>
      <c r="G106" s="157">
        <f>F106*E106</f>
        <v>0.17034375000000002</v>
      </c>
      <c r="H106" s="128"/>
      <c r="I106" s="78">
        <v>3.4068750000000003</v>
      </c>
      <c r="J106" s="157">
        <f>G106</f>
        <v>0.17034375000000002</v>
      </c>
      <c r="K106" s="128"/>
      <c r="L106" s="78">
        <v>3.4068750000000003</v>
      </c>
      <c r="M106" s="157">
        <f>J106</f>
        <v>0.17034375000000002</v>
      </c>
    </row>
    <row r="107" spans="1:13" ht="17.25" x14ac:dyDescent="0.25">
      <c r="A107" s="180">
        <f t="shared" si="8"/>
        <v>96</v>
      </c>
      <c r="B107" s="50"/>
      <c r="C107" s="155"/>
      <c r="D107" s="88"/>
      <c r="E107" s="88"/>
      <c r="F107" s="88"/>
      <c r="G107" s="157"/>
      <c r="H107" s="128"/>
      <c r="I107" s="88"/>
      <c r="J107" s="157"/>
      <c r="K107" s="128"/>
      <c r="L107" s="88"/>
      <c r="M107" s="157"/>
    </row>
    <row r="108" spans="1:13" ht="17.25" x14ac:dyDescent="0.25">
      <c r="A108" s="180">
        <f t="shared" si="8"/>
        <v>97</v>
      </c>
      <c r="B108" s="50"/>
      <c r="C108" s="155"/>
      <c r="D108" s="88"/>
      <c r="E108" s="88"/>
      <c r="F108" s="88"/>
      <c r="G108" s="157"/>
      <c r="H108" s="128"/>
      <c r="I108" s="88"/>
      <c r="J108" s="157"/>
      <c r="K108" s="128"/>
      <c r="L108" s="88"/>
      <c r="M108" s="157"/>
    </row>
    <row r="109" spans="1:13" ht="17.25" x14ac:dyDescent="0.25">
      <c r="A109" s="184">
        <f t="shared" si="8"/>
        <v>98</v>
      </c>
      <c r="B109" s="50"/>
      <c r="C109" s="155"/>
      <c r="D109" s="140" t="s">
        <v>274</v>
      </c>
      <c r="E109" s="140"/>
      <c r="F109" s="140"/>
      <c r="G109" s="90">
        <f>G105+G106</f>
        <v>8.7645187500000006</v>
      </c>
      <c r="H109" s="128"/>
      <c r="I109" s="140"/>
      <c r="J109" s="90">
        <f>G109</f>
        <v>8.7645187500000006</v>
      </c>
      <c r="K109" s="128"/>
      <c r="L109" s="140"/>
      <c r="M109" s="90">
        <f>J109</f>
        <v>8.7645187500000006</v>
      </c>
    </row>
    <row r="110" spans="1:13" ht="17.25" x14ac:dyDescent="0.25">
      <c r="A110" s="180">
        <f t="shared" si="8"/>
        <v>99</v>
      </c>
      <c r="B110" s="50"/>
      <c r="C110" s="155"/>
      <c r="D110" s="88"/>
      <c r="E110" s="88"/>
      <c r="F110" s="88"/>
      <c r="G110" s="157"/>
      <c r="H110" s="128"/>
      <c r="I110" s="88"/>
      <c r="J110" s="157"/>
      <c r="K110" s="128"/>
      <c r="L110" s="88"/>
      <c r="M110" s="157"/>
    </row>
    <row r="111" spans="1:13" ht="17.25" x14ac:dyDescent="0.25">
      <c r="A111" s="180">
        <f t="shared" si="8"/>
        <v>100</v>
      </c>
      <c r="B111" s="158" t="s">
        <v>59</v>
      </c>
      <c r="C111" s="155" t="s">
        <v>275</v>
      </c>
      <c r="D111" s="88" t="s">
        <v>276</v>
      </c>
      <c r="E111" s="156">
        <v>0.9</v>
      </c>
      <c r="F111" s="78">
        <v>2.5267218543046375</v>
      </c>
      <c r="G111" s="159">
        <f>F111*E111</f>
        <v>2.2740496688741736</v>
      </c>
      <c r="H111" s="128"/>
      <c r="I111" s="78">
        <v>2.5267218543046375</v>
      </c>
      <c r="J111" s="159">
        <f t="shared" ref="J111:J116" si="15">G111</f>
        <v>2.2740496688741736</v>
      </c>
      <c r="K111" s="128"/>
      <c r="L111" s="78">
        <v>2.5267218543046375</v>
      </c>
      <c r="M111" s="159">
        <f t="shared" ref="M111:M112" si="16">J111</f>
        <v>2.2740496688741736</v>
      </c>
    </row>
    <row r="112" spans="1:13" ht="17.25" x14ac:dyDescent="0.25">
      <c r="A112" s="180">
        <f t="shared" si="8"/>
        <v>101</v>
      </c>
      <c r="B112" s="160"/>
      <c r="C112" s="155"/>
      <c r="D112" s="88" t="s">
        <v>277</v>
      </c>
      <c r="E112" s="156">
        <v>0.1</v>
      </c>
      <c r="F112" s="78">
        <v>1.2913410596026487</v>
      </c>
      <c r="G112" s="159">
        <f>F112*E112</f>
        <v>0.12913410596026487</v>
      </c>
      <c r="H112" s="128"/>
      <c r="I112" s="78">
        <v>1.2913410596026487</v>
      </c>
      <c r="J112" s="159">
        <f t="shared" si="15"/>
        <v>0.12913410596026487</v>
      </c>
      <c r="K112" s="128"/>
      <c r="L112" s="78">
        <v>1.2913410596026487</v>
      </c>
      <c r="M112" s="159">
        <f t="shared" si="16"/>
        <v>0.12913410596026487</v>
      </c>
    </row>
    <row r="113" spans="1:13" ht="17.25" x14ac:dyDescent="0.25">
      <c r="A113" s="180">
        <f t="shared" si="8"/>
        <v>102</v>
      </c>
      <c r="B113" s="160"/>
      <c r="C113" s="155"/>
      <c r="D113" s="88"/>
      <c r="E113" s="88"/>
      <c r="F113" s="88"/>
      <c r="G113" s="159"/>
      <c r="H113" s="128"/>
      <c r="I113" s="88"/>
      <c r="J113" s="159"/>
      <c r="K113" s="128"/>
      <c r="L113" s="88"/>
      <c r="M113" s="159"/>
    </row>
    <row r="114" spans="1:13" ht="14.45" customHeight="1" x14ac:dyDescent="0.25">
      <c r="A114" s="180">
        <f t="shared" si="8"/>
        <v>103</v>
      </c>
      <c r="B114" s="160"/>
      <c r="C114" s="155"/>
      <c r="D114" s="88"/>
      <c r="E114" s="88"/>
      <c r="F114" s="88"/>
      <c r="G114" s="159"/>
      <c r="H114" s="128"/>
      <c r="I114" s="88"/>
      <c r="J114" s="159"/>
      <c r="K114" s="128"/>
      <c r="L114" s="88"/>
      <c r="M114" s="159"/>
    </row>
    <row r="115" spans="1:13" ht="17.25" x14ac:dyDescent="0.25">
      <c r="A115" s="180">
        <f t="shared" si="8"/>
        <v>104</v>
      </c>
      <c r="B115" s="160"/>
      <c r="C115" s="155"/>
      <c r="D115" s="88"/>
      <c r="E115" s="88"/>
      <c r="F115" s="88"/>
      <c r="G115" s="159"/>
      <c r="H115" s="128"/>
      <c r="I115" s="88"/>
      <c r="J115" s="159"/>
      <c r="K115" s="128"/>
      <c r="L115" s="88"/>
      <c r="M115" s="159"/>
    </row>
    <row r="116" spans="1:13" ht="17.25" x14ac:dyDescent="0.25">
      <c r="A116" s="27">
        <f t="shared" si="8"/>
        <v>105</v>
      </c>
      <c r="B116" s="160"/>
      <c r="C116" s="155"/>
      <c r="D116" s="140" t="s">
        <v>278</v>
      </c>
      <c r="E116" s="140"/>
      <c r="F116" s="140"/>
      <c r="G116" s="90">
        <f>G111+G112</f>
        <v>2.4031837748344387</v>
      </c>
      <c r="H116" s="128"/>
      <c r="I116" s="140"/>
      <c r="J116" s="90">
        <f t="shared" si="15"/>
        <v>2.4031837748344387</v>
      </c>
      <c r="K116" s="128"/>
      <c r="L116" s="140"/>
      <c r="M116" s="90">
        <f t="shared" ref="M116" si="17">J116</f>
        <v>2.4031837748344387</v>
      </c>
    </row>
    <row r="117" spans="1:13" ht="18" thickBot="1" x14ac:dyDescent="0.3">
      <c r="A117" s="27">
        <f t="shared" si="8"/>
        <v>106</v>
      </c>
      <c r="B117" s="161"/>
      <c r="C117" s="162"/>
      <c r="D117" s="146"/>
      <c r="E117" s="146"/>
      <c r="F117" s="146"/>
      <c r="G117" s="150"/>
      <c r="H117" s="128"/>
      <c r="I117" s="146"/>
      <c r="J117" s="150"/>
      <c r="K117" s="128"/>
      <c r="L117" s="146"/>
      <c r="M117" s="150"/>
    </row>
  </sheetData>
  <mergeCells count="30">
    <mergeCell ref="F69:G69"/>
    <mergeCell ref="I69:J69"/>
    <mergeCell ref="L69:M69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C42:G42"/>
    <mergeCell ref="C4:C6"/>
    <mergeCell ref="D4:D6"/>
    <mergeCell ref="E4:E6"/>
    <mergeCell ref="F4:F6"/>
    <mergeCell ref="G4:G6"/>
    <mergeCell ref="D1:K2"/>
    <mergeCell ref="F3:G3"/>
    <mergeCell ref="I3:J3"/>
    <mergeCell ref="L3:M3"/>
    <mergeCell ref="L4:L6"/>
    <mergeCell ref="M4:M6"/>
    <mergeCell ref="H4:H6"/>
    <mergeCell ref="I4:I6"/>
    <mergeCell ref="J4:J6"/>
    <mergeCell ref="K4:K6"/>
  </mergeCells>
  <printOptions horizontalCentered="1"/>
  <pageMargins left="0.5" right="0.5" top="0.5" bottom="0.5" header="0.3" footer="0.3"/>
  <pageSetup paperSize="9" scale="3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5AE-27CB-44DA-9575-8FEAC4A2AAA5}">
  <sheetPr>
    <tabColor rgb="FFFFFF00"/>
  </sheetPr>
  <dimension ref="A1:L65"/>
  <sheetViews>
    <sheetView topLeftCell="A23" zoomScale="110" zoomScaleNormal="110" workbookViewId="0">
      <selection activeCell="F54" sqref="F54"/>
    </sheetView>
  </sheetViews>
  <sheetFormatPr defaultColWidth="8.85546875" defaultRowHeight="16.5" x14ac:dyDescent="0.3"/>
  <cols>
    <col min="1" max="1" width="8.85546875" style="31"/>
    <col min="2" max="2" width="44.5703125" style="31" bestFit="1" customWidth="1"/>
    <col min="3" max="3" width="13.42578125" style="31" customWidth="1"/>
    <col min="4" max="4" width="38.42578125" style="31" customWidth="1"/>
    <col min="5" max="5" width="15.5703125" style="31" customWidth="1"/>
    <col min="6" max="6" width="13.140625" style="45" customWidth="1"/>
    <col min="7" max="16384" width="8.85546875" style="31"/>
  </cols>
  <sheetData>
    <row r="1" spans="2:12" s="27" customFormat="1" ht="31.9" customHeight="1" x14ac:dyDescent="0.25">
      <c r="B1" s="191"/>
      <c r="C1" s="536" t="s">
        <v>279</v>
      </c>
      <c r="D1" s="536"/>
      <c r="E1" s="536"/>
      <c r="F1" s="536"/>
      <c r="G1" s="28"/>
      <c r="H1" s="28"/>
      <c r="K1" s="29"/>
      <c r="L1" s="30"/>
    </row>
    <row r="2" spans="2:12" s="27" customFormat="1" ht="17.25" customHeight="1" thickBot="1" x14ac:dyDescent="0.35">
      <c r="B2" s="31"/>
      <c r="G2" s="31"/>
      <c r="H2" s="31"/>
      <c r="K2" s="29"/>
      <c r="L2" s="30"/>
    </row>
    <row r="3" spans="2:12" ht="27" thickTop="1" thickBot="1" x14ac:dyDescent="0.35">
      <c r="B3" s="193" t="s">
        <v>280</v>
      </c>
      <c r="C3" s="192" t="s">
        <v>281</v>
      </c>
      <c r="D3" s="192" t="s">
        <v>282</v>
      </c>
      <c r="E3" s="193" t="s">
        <v>283</v>
      </c>
      <c r="F3" s="194" t="s">
        <v>284</v>
      </c>
    </row>
    <row r="4" spans="2:12" ht="17.25" thickTop="1" x14ac:dyDescent="0.3">
      <c r="B4" s="31" t="str">
        <f t="shared" ref="B4:B49" si="0">C4&amp;" - "&amp;D4</f>
        <v>3013495 - Coke 355mL</v>
      </c>
      <c r="C4" s="32">
        <v>3013495</v>
      </c>
      <c r="D4" s="33" t="s">
        <v>285</v>
      </c>
      <c r="E4" s="34" t="s">
        <v>286</v>
      </c>
      <c r="F4" s="35">
        <v>3</v>
      </c>
    </row>
    <row r="5" spans="2:12" x14ac:dyDescent="0.3">
      <c r="B5" s="31" t="str">
        <f t="shared" si="0"/>
        <v>3013496 - Coke Light 355mL</v>
      </c>
      <c r="C5" s="36">
        <v>3013496</v>
      </c>
      <c r="D5" s="37" t="s">
        <v>139</v>
      </c>
      <c r="E5" s="38" t="s">
        <v>286</v>
      </c>
      <c r="F5" s="40">
        <v>3</v>
      </c>
    </row>
    <row r="6" spans="2:12" x14ac:dyDescent="0.3">
      <c r="B6" s="31" t="str">
        <f t="shared" si="0"/>
        <v>3013497 - Sprite 355mL</v>
      </c>
      <c r="C6" s="39">
        <v>3013497</v>
      </c>
      <c r="D6" s="37" t="s">
        <v>287</v>
      </c>
      <c r="E6" s="38" t="s">
        <v>286</v>
      </c>
      <c r="F6" s="40">
        <v>3</v>
      </c>
    </row>
    <row r="7" spans="2:12" x14ac:dyDescent="0.3">
      <c r="B7" s="31" t="str">
        <f t="shared" si="0"/>
        <v>3013498 - Mineral Water  330mL</v>
      </c>
      <c r="C7" s="36">
        <v>3013498</v>
      </c>
      <c r="D7" s="37" t="s">
        <v>288</v>
      </c>
      <c r="E7" s="38" t="s">
        <v>286</v>
      </c>
      <c r="F7" s="40">
        <v>2</v>
      </c>
    </row>
    <row r="8" spans="2:12" x14ac:dyDescent="0.3">
      <c r="B8" s="31" t="str">
        <f t="shared" si="0"/>
        <v>3013499 - Mineral Water  1.5L</v>
      </c>
      <c r="C8" s="39">
        <v>3013499</v>
      </c>
      <c r="D8" s="37" t="s">
        <v>289</v>
      </c>
      <c r="E8" s="38" t="s">
        <v>286</v>
      </c>
      <c r="F8" s="40">
        <v>4</v>
      </c>
    </row>
    <row r="9" spans="2:12" x14ac:dyDescent="0.3">
      <c r="B9" s="31" t="str">
        <f t="shared" si="0"/>
        <v xml:space="preserve">3013500 - Milk Fresh 2% 1L </v>
      </c>
      <c r="C9" s="39">
        <v>3013500</v>
      </c>
      <c r="D9" s="37" t="s">
        <v>290</v>
      </c>
      <c r="E9" s="38" t="s">
        <v>286</v>
      </c>
      <c r="F9" s="40">
        <v>4.2299999999999995</v>
      </c>
    </row>
    <row r="10" spans="2:12" x14ac:dyDescent="0.3">
      <c r="B10" s="31" t="str">
        <f t="shared" si="0"/>
        <v>3013501 - Half Cream Fresh 1L</v>
      </c>
      <c r="C10" s="39">
        <v>3013501</v>
      </c>
      <c r="D10" s="37" t="s">
        <v>291</v>
      </c>
      <c r="E10" s="38" t="s">
        <v>286</v>
      </c>
      <c r="F10" s="40">
        <v>6.8849999999999998</v>
      </c>
    </row>
    <row r="11" spans="2:12" x14ac:dyDescent="0.3">
      <c r="B11" s="31" t="str">
        <f t="shared" si="0"/>
        <v>3013502 - Soda Water 355L</v>
      </c>
      <c r="C11" s="39">
        <v>3013502</v>
      </c>
      <c r="D11" s="37" t="s">
        <v>141</v>
      </c>
      <c r="E11" s="38" t="s">
        <v>286</v>
      </c>
      <c r="F11" s="40">
        <v>3</v>
      </c>
    </row>
    <row r="12" spans="2:12" x14ac:dyDescent="0.3">
      <c r="B12" s="31" t="str">
        <f t="shared" si="0"/>
        <v>3013503 - Tonic Water 355mL</v>
      </c>
      <c r="C12" s="39">
        <v>3013503</v>
      </c>
      <c r="D12" s="37" t="s">
        <v>140</v>
      </c>
      <c r="E12" s="38" t="s">
        <v>286</v>
      </c>
      <c r="F12" s="40">
        <v>3</v>
      </c>
    </row>
    <row r="13" spans="2:12" x14ac:dyDescent="0.3">
      <c r="B13" s="31" t="str">
        <f t="shared" si="0"/>
        <v>3013504 - Juice Pineapple 1L</v>
      </c>
      <c r="C13" s="39">
        <v>3013504</v>
      </c>
      <c r="D13" s="37" t="s">
        <v>292</v>
      </c>
      <c r="E13" s="38" t="s">
        <v>286</v>
      </c>
      <c r="F13" s="40">
        <v>10.68</v>
      </c>
    </row>
    <row r="14" spans="2:12" x14ac:dyDescent="0.3">
      <c r="B14" s="31" t="str">
        <f t="shared" si="0"/>
        <v>3013505 - Juice  Orange  1L</v>
      </c>
      <c r="C14" s="39">
        <v>3013505</v>
      </c>
      <c r="D14" s="37" t="s">
        <v>293</v>
      </c>
      <c r="E14" s="38" t="s">
        <v>286</v>
      </c>
      <c r="F14" s="40">
        <v>4.5</v>
      </c>
    </row>
    <row r="15" spans="2:12" x14ac:dyDescent="0.3">
      <c r="B15" s="31" t="str">
        <f t="shared" si="0"/>
        <v>3013506 - Juice  Apple  1L</v>
      </c>
      <c r="C15" s="39">
        <v>3013506</v>
      </c>
      <c r="D15" s="37" t="s">
        <v>294</v>
      </c>
      <c r="E15" s="38" t="s">
        <v>286</v>
      </c>
      <c r="F15" s="40">
        <v>4.5</v>
      </c>
    </row>
    <row r="16" spans="2:12" x14ac:dyDescent="0.3">
      <c r="B16" s="31" t="str">
        <f t="shared" si="0"/>
        <v>3013507 - Juice Tomato 1L</v>
      </c>
      <c r="C16" s="39">
        <v>3013507</v>
      </c>
      <c r="D16" s="37" t="s">
        <v>295</v>
      </c>
      <c r="E16" s="38" t="s">
        <v>286</v>
      </c>
      <c r="F16" s="40">
        <v>8.19</v>
      </c>
    </row>
    <row r="17" spans="2:6" x14ac:dyDescent="0.3">
      <c r="B17" s="31" t="str">
        <f t="shared" si="0"/>
        <v>3013508 - Salt &amp; Pepper Sachet</v>
      </c>
      <c r="C17" s="39">
        <v>3013508</v>
      </c>
      <c r="D17" s="37" t="s">
        <v>296</v>
      </c>
      <c r="E17" s="38" t="s">
        <v>286</v>
      </c>
      <c r="F17" s="40">
        <v>0.15</v>
      </c>
    </row>
    <row r="18" spans="2:6" x14ac:dyDescent="0.3">
      <c r="B18" s="31" t="str">
        <f t="shared" si="0"/>
        <v>3013509 - Sugar Sachet White</v>
      </c>
      <c r="C18" s="39">
        <v>3013509</v>
      </c>
      <c r="D18" s="37" t="s">
        <v>144</v>
      </c>
      <c r="E18" s="38" t="s">
        <v>286</v>
      </c>
      <c r="F18" s="40">
        <v>0.15</v>
      </c>
    </row>
    <row r="19" spans="2:6" x14ac:dyDescent="0.3">
      <c r="B19" s="31" t="str">
        <f t="shared" si="0"/>
        <v>3013510 - Sugar Sachet Brown</v>
      </c>
      <c r="C19" s="36">
        <v>3013510</v>
      </c>
      <c r="D19" s="37" t="s">
        <v>297</v>
      </c>
      <c r="E19" s="38" t="s">
        <v>286</v>
      </c>
      <c r="F19" s="40">
        <v>0.15</v>
      </c>
    </row>
    <row r="20" spans="2:6" x14ac:dyDescent="0.3">
      <c r="B20" s="31" t="str">
        <f t="shared" si="0"/>
        <v>3013511 - Sweetener Sachet</v>
      </c>
      <c r="C20" s="36">
        <v>3013511</v>
      </c>
      <c r="D20" s="37" t="s">
        <v>298</v>
      </c>
      <c r="E20" s="38" t="s">
        <v>286</v>
      </c>
      <c r="F20" s="40">
        <v>0.15</v>
      </c>
    </row>
    <row r="21" spans="2:6" x14ac:dyDescent="0.3">
      <c r="B21" s="31" t="str">
        <f t="shared" si="0"/>
        <v>3013512 - Coffee Nescafe 250ml</v>
      </c>
      <c r="C21" s="39">
        <v>3013512</v>
      </c>
      <c r="D21" s="37" t="s">
        <v>299</v>
      </c>
      <c r="E21" s="38" t="s">
        <v>300</v>
      </c>
      <c r="F21" s="40">
        <v>8</v>
      </c>
    </row>
    <row r="22" spans="2:6" x14ac:dyDescent="0.3">
      <c r="B22" s="31" t="str">
        <f t="shared" si="0"/>
        <v>3013514 - Instant Coffee Sachet 1.8g</v>
      </c>
      <c r="C22" s="39">
        <v>3013514</v>
      </c>
      <c r="D22" s="37" t="s">
        <v>301</v>
      </c>
      <c r="E22" s="38" t="s">
        <v>286</v>
      </c>
      <c r="F22" s="40">
        <v>1.5</v>
      </c>
    </row>
    <row r="23" spans="2:6" x14ac:dyDescent="0.3">
      <c r="B23" s="31" t="str">
        <f t="shared" si="0"/>
        <v xml:space="preserve">3013515 - Tea Sachet - Lipton </v>
      </c>
      <c r="C23" s="41">
        <v>3013515</v>
      </c>
      <c r="D23" s="42" t="s">
        <v>302</v>
      </c>
      <c r="E23" s="38" t="s">
        <v>286</v>
      </c>
      <c r="F23" s="40">
        <v>0.75</v>
      </c>
    </row>
    <row r="24" spans="2:6" x14ac:dyDescent="0.3">
      <c r="B24" s="31" t="str">
        <f t="shared" si="0"/>
        <v>3013516 - Cream Crackers</v>
      </c>
      <c r="C24" s="41">
        <v>3013516</v>
      </c>
      <c r="D24" s="42" t="s">
        <v>303</v>
      </c>
      <c r="E24" s="38" t="s">
        <v>286</v>
      </c>
      <c r="F24" s="40">
        <v>0.25</v>
      </c>
    </row>
    <row r="25" spans="2:6" x14ac:dyDescent="0.3">
      <c r="B25" s="31" t="str">
        <f t="shared" si="0"/>
        <v xml:space="preserve">xx - Biscuits/Cookies </v>
      </c>
      <c r="C25" s="41" t="s">
        <v>430</v>
      </c>
      <c r="D25" s="42" t="s">
        <v>304</v>
      </c>
      <c r="E25" s="38" t="s">
        <v>286</v>
      </c>
      <c r="F25" s="40">
        <v>1.25</v>
      </c>
    </row>
    <row r="26" spans="2:6" x14ac:dyDescent="0.3">
      <c r="B26" s="31" t="str">
        <f t="shared" si="0"/>
        <v>3013517 - Baby food 250g in jar</v>
      </c>
      <c r="C26" s="41">
        <v>3013517</v>
      </c>
      <c r="D26" s="42" t="s">
        <v>305</v>
      </c>
      <c r="E26" s="38" t="s">
        <v>286</v>
      </c>
      <c r="F26" s="40">
        <v>2.25</v>
      </c>
    </row>
    <row r="27" spans="2:6" x14ac:dyDescent="0.3">
      <c r="B27" s="31" t="str">
        <f t="shared" si="0"/>
        <v>3013518 - Mixed Nuts 184g</v>
      </c>
      <c r="C27" s="41">
        <v>3013518</v>
      </c>
      <c r="D27" s="42" t="s">
        <v>306</v>
      </c>
      <c r="E27" s="38" t="s">
        <v>286</v>
      </c>
      <c r="F27" s="40">
        <v>2.99</v>
      </c>
    </row>
    <row r="28" spans="2:6" x14ac:dyDescent="0.3">
      <c r="B28" s="31" t="str">
        <f t="shared" si="0"/>
        <v>3013519 - Hot Sauce (Tobasco) 60mL</v>
      </c>
      <c r="C28" s="41">
        <v>3013519</v>
      </c>
      <c r="D28" s="42" t="s">
        <v>307</v>
      </c>
      <c r="E28" s="38" t="s">
        <v>300</v>
      </c>
      <c r="F28" s="40">
        <v>2.25</v>
      </c>
    </row>
    <row r="29" spans="2:6" x14ac:dyDescent="0.3">
      <c r="B29" s="31" t="str">
        <f t="shared" si="0"/>
        <v xml:space="preserve">3013520 - Foil Dish YC </v>
      </c>
      <c r="C29" s="39">
        <v>3013520</v>
      </c>
      <c r="D29" s="37" t="s">
        <v>308</v>
      </c>
      <c r="E29" s="38" t="s">
        <v>286</v>
      </c>
      <c r="F29" s="40">
        <v>0.5</v>
      </c>
    </row>
    <row r="30" spans="2:6" x14ac:dyDescent="0.3">
      <c r="B30" s="31" t="str">
        <f t="shared" si="0"/>
        <v xml:space="preserve">3013521 - Foil Dish Lid YC </v>
      </c>
      <c r="C30" s="39">
        <v>3013521</v>
      </c>
      <c r="D30" s="37" t="s">
        <v>309</v>
      </c>
      <c r="E30" s="38" t="s">
        <v>286</v>
      </c>
      <c r="F30" s="40">
        <v>0.3</v>
      </c>
    </row>
    <row r="31" spans="2:6" x14ac:dyDescent="0.3">
      <c r="B31" s="31" t="str">
        <f t="shared" si="0"/>
        <v xml:space="preserve">3013522 - Wet Ice 5kg Bag </v>
      </c>
      <c r="C31" s="36">
        <v>3013522</v>
      </c>
      <c r="D31" s="37" t="s">
        <v>135</v>
      </c>
      <c r="E31" s="38" t="s">
        <v>286</v>
      </c>
      <c r="F31" s="40">
        <v>5.5</v>
      </c>
    </row>
    <row r="32" spans="2:6" x14ac:dyDescent="0.3">
      <c r="B32" s="31" t="str">
        <f t="shared" si="0"/>
        <v>3013523 - Dry Ice 1kg</v>
      </c>
      <c r="C32" s="39">
        <v>3013523</v>
      </c>
      <c r="D32" s="37" t="s">
        <v>153</v>
      </c>
      <c r="E32" s="38" t="s">
        <v>286</v>
      </c>
      <c r="F32" s="40">
        <v>3</v>
      </c>
    </row>
    <row r="33" spans="2:9" x14ac:dyDescent="0.3">
      <c r="B33" s="31" t="str">
        <f t="shared" si="0"/>
        <v>3013524 - Cutlery 9 in 1</v>
      </c>
      <c r="C33" s="39">
        <v>3013524</v>
      </c>
      <c r="D33" s="37" t="s">
        <v>310</v>
      </c>
      <c r="E33" s="38" t="s">
        <v>286</v>
      </c>
      <c r="F33" s="40">
        <v>0.35</v>
      </c>
    </row>
    <row r="34" spans="2:9" x14ac:dyDescent="0.3">
      <c r="B34" s="31" t="str">
        <f t="shared" si="0"/>
        <v>3013525 - Refresher Towel</v>
      </c>
      <c r="C34" s="36">
        <v>3013525</v>
      </c>
      <c r="D34" s="37" t="s">
        <v>311</v>
      </c>
      <c r="E34" s="38" t="s">
        <v>286</v>
      </c>
      <c r="F34" s="40">
        <v>0.5</v>
      </c>
    </row>
    <row r="35" spans="2:9" x14ac:dyDescent="0.3">
      <c r="B35" s="31" t="str">
        <f t="shared" si="0"/>
        <v>3013526 - Security Trolley Seals</v>
      </c>
      <c r="C35" s="39">
        <v>3013526</v>
      </c>
      <c r="D35" s="37" t="s">
        <v>312</v>
      </c>
      <c r="E35" s="38" t="s">
        <v>286</v>
      </c>
      <c r="F35" s="40">
        <v>0.5</v>
      </c>
    </row>
    <row r="36" spans="2:9" x14ac:dyDescent="0.3">
      <c r="B36" s="31" t="str">
        <f t="shared" si="0"/>
        <v>3013527 - Lemon Sliced in disposable bowl</v>
      </c>
      <c r="C36" s="39">
        <v>3013527</v>
      </c>
      <c r="D36" s="37" t="s">
        <v>313</v>
      </c>
      <c r="E36" s="38" t="s">
        <v>286</v>
      </c>
      <c r="F36" s="40">
        <v>1.35</v>
      </c>
      <c r="G36" s="31">
        <v>1.35</v>
      </c>
    </row>
    <row r="37" spans="2:9" x14ac:dyDescent="0.3">
      <c r="B37" s="31" t="str">
        <f t="shared" si="0"/>
        <v>3013528 - Disposable bowl</v>
      </c>
      <c r="C37" s="39">
        <v>3013528</v>
      </c>
      <c r="D37" s="43" t="s">
        <v>314</v>
      </c>
      <c r="E37" s="44" t="s">
        <v>286</v>
      </c>
      <c r="F37" s="40">
        <v>0.85</v>
      </c>
    </row>
    <row r="38" spans="2:9" x14ac:dyDescent="0.3">
      <c r="B38" s="31" t="str">
        <f t="shared" si="0"/>
        <v>3013529 - Disposable paper cup</v>
      </c>
      <c r="C38" s="39">
        <v>3013529</v>
      </c>
      <c r="D38" s="43" t="s">
        <v>315</v>
      </c>
      <c r="E38" s="44" t="s">
        <v>286</v>
      </c>
      <c r="F38" s="40">
        <v>0.25</v>
      </c>
    </row>
    <row r="39" spans="2:9" x14ac:dyDescent="0.3">
      <c r="B39" s="31" t="str">
        <f t="shared" si="0"/>
        <v xml:space="preserve">3013530 - Disposable Lunch Box </v>
      </c>
      <c r="C39" s="39">
        <v>3013530</v>
      </c>
      <c r="D39" s="43" t="s">
        <v>316</v>
      </c>
      <c r="E39" s="44" t="s">
        <v>286</v>
      </c>
      <c r="F39" s="40">
        <v>0.85</v>
      </c>
    </row>
    <row r="40" spans="2:9" x14ac:dyDescent="0.3">
      <c r="B40" s="31" t="str">
        <f t="shared" si="0"/>
        <v>3013531 - Disposable plastic Glass</v>
      </c>
      <c r="C40" s="39">
        <v>3013531</v>
      </c>
      <c r="D40" s="37" t="s">
        <v>317</v>
      </c>
      <c r="E40" s="38" t="s">
        <v>286</v>
      </c>
      <c r="F40" s="40">
        <v>0.25</v>
      </c>
    </row>
    <row r="41" spans="2:9" x14ac:dyDescent="0.3">
      <c r="B41" s="31" t="str">
        <f t="shared" si="0"/>
        <v>3013532 - Bath Roll</v>
      </c>
      <c r="C41" s="41">
        <v>3013532</v>
      </c>
      <c r="D41" s="42" t="s">
        <v>133</v>
      </c>
      <c r="E41" s="44" t="s">
        <v>286</v>
      </c>
      <c r="F41" s="40">
        <v>2.75</v>
      </c>
    </row>
    <row r="42" spans="2:9" x14ac:dyDescent="0.3">
      <c r="B42" s="31" t="str">
        <f t="shared" si="0"/>
        <v>3013533 - Facial Tissue Box</v>
      </c>
      <c r="C42" s="41">
        <v>3013533</v>
      </c>
      <c r="D42" s="42" t="s">
        <v>318</v>
      </c>
      <c r="E42" s="44" t="s">
        <v>286</v>
      </c>
      <c r="F42" s="40">
        <v>2.25</v>
      </c>
    </row>
    <row r="43" spans="2:9" x14ac:dyDescent="0.3">
      <c r="B43" s="31" t="str">
        <f t="shared" si="0"/>
        <v>3013534 - Hand Towel Roll</v>
      </c>
      <c r="C43" s="41">
        <v>3013534</v>
      </c>
      <c r="D43" s="42" t="s">
        <v>147</v>
      </c>
      <c r="E43" s="44" t="s">
        <v>286</v>
      </c>
      <c r="F43" s="40">
        <v>2.75</v>
      </c>
      <c r="G43" s="203"/>
      <c r="H43" s="203"/>
      <c r="I43" s="203"/>
    </row>
    <row r="44" spans="2:9" x14ac:dyDescent="0.3">
      <c r="B44" s="31" t="str">
        <f t="shared" si="0"/>
        <v>Xtra - Bulk Tray - Vegetarian (Fasting)</v>
      </c>
      <c r="C44" s="41" t="s">
        <v>319</v>
      </c>
      <c r="D44" s="204" t="s">
        <v>145</v>
      </c>
      <c r="E44" s="205" t="s">
        <v>286</v>
      </c>
      <c r="F44" s="265">
        <f>G44*H44</f>
        <v>118.35</v>
      </c>
      <c r="G44" s="203">
        <v>15</v>
      </c>
      <c r="H44" s="203">
        <v>7.89</v>
      </c>
      <c r="I44" s="203" t="s">
        <v>416</v>
      </c>
    </row>
    <row r="45" spans="2:9" x14ac:dyDescent="0.3">
      <c r="B45" s="31" t="str">
        <f t="shared" si="0"/>
        <v>Xtra - Bulk Tray - Pasta (Fasting)</v>
      </c>
      <c r="C45" s="41" t="s">
        <v>319</v>
      </c>
      <c r="D45" s="204" t="s">
        <v>146</v>
      </c>
      <c r="E45" s="205" t="s">
        <v>286</v>
      </c>
      <c r="F45" s="265">
        <f>G45*H45</f>
        <v>128.25</v>
      </c>
      <c r="G45" s="203">
        <v>15</v>
      </c>
      <c r="H45" s="203">
        <v>8.5500000000000007</v>
      </c>
      <c r="I45" s="203" t="s">
        <v>417</v>
      </c>
    </row>
    <row r="46" spans="2:9" x14ac:dyDescent="0.3">
      <c r="B46" s="31" t="str">
        <f t="shared" si="0"/>
        <v>3013535 - Champagne</v>
      </c>
      <c r="C46" s="41">
        <v>3013535</v>
      </c>
      <c r="D46" s="42" t="s">
        <v>320</v>
      </c>
      <c r="E46" s="38" t="s">
        <v>286</v>
      </c>
      <c r="F46" s="40">
        <v>40</v>
      </c>
    </row>
    <row r="47" spans="2:9" x14ac:dyDescent="0.3">
      <c r="B47" s="31" t="s">
        <v>387</v>
      </c>
      <c r="C47" s="41">
        <v>3013536</v>
      </c>
      <c r="D47" s="42" t="s">
        <v>415</v>
      </c>
      <c r="E47" s="334" t="s">
        <v>286</v>
      </c>
      <c r="F47" s="40">
        <v>88.8</v>
      </c>
    </row>
    <row r="48" spans="2:9" x14ac:dyDescent="0.3">
      <c r="B48" s="31" t="s">
        <v>386</v>
      </c>
      <c r="C48" s="41">
        <v>3013537</v>
      </c>
      <c r="D48" s="42" t="s">
        <v>321</v>
      </c>
      <c r="E48" s="334" t="s">
        <v>286</v>
      </c>
      <c r="F48" s="40">
        <v>1.39</v>
      </c>
    </row>
    <row r="49" spans="2:6" x14ac:dyDescent="0.3">
      <c r="B49" s="31" t="str">
        <f t="shared" si="0"/>
        <v>3013538 - Fruit Platters</v>
      </c>
      <c r="C49" s="41">
        <v>3013538</v>
      </c>
      <c r="D49" s="42" t="s">
        <v>142</v>
      </c>
      <c r="E49" s="44" t="s">
        <v>286</v>
      </c>
      <c r="F49" s="40">
        <v>16.61</v>
      </c>
    </row>
    <row r="50" spans="2:6" x14ac:dyDescent="0.3">
      <c r="B50" s="31" t="str">
        <f t="shared" ref="B50:B57" si="1">C50&amp;" - "&amp;D50</f>
        <v>3013538 - Fruit Platters</v>
      </c>
      <c r="C50" s="41">
        <v>3013538</v>
      </c>
      <c r="D50" s="42" t="s">
        <v>142</v>
      </c>
      <c r="E50" s="44" t="s">
        <v>286</v>
      </c>
      <c r="F50" s="40">
        <v>16.61</v>
      </c>
    </row>
    <row r="51" spans="2:6" x14ac:dyDescent="0.3">
      <c r="B51" s="335" t="str">
        <f t="shared" si="1"/>
        <v>3013541 - Sparkling Water</v>
      </c>
      <c r="C51" s="335">
        <v>3013541</v>
      </c>
      <c r="D51" s="335" t="s">
        <v>152</v>
      </c>
      <c r="E51" s="336" t="s">
        <v>286</v>
      </c>
      <c r="F51" s="337">
        <v>3.89</v>
      </c>
    </row>
    <row r="52" spans="2:6" x14ac:dyDescent="0.3">
      <c r="B52" s="335" t="str">
        <f t="shared" si="1"/>
        <v>3013540 - Ginger Ale 355mL</v>
      </c>
      <c r="C52" s="335">
        <v>3013540</v>
      </c>
      <c r="D52" s="338" t="s">
        <v>143</v>
      </c>
      <c r="E52" s="336" t="s">
        <v>286</v>
      </c>
      <c r="F52" s="337">
        <v>3</v>
      </c>
    </row>
    <row r="53" spans="2:6" x14ac:dyDescent="0.3">
      <c r="B53" s="31" t="str">
        <f t="shared" si="1"/>
        <v>3013542 - Creamer</v>
      </c>
      <c r="C53" s="31">
        <v>3013542</v>
      </c>
      <c r="D53" s="31" t="s">
        <v>150</v>
      </c>
      <c r="E53" s="336" t="s">
        <v>286</v>
      </c>
      <c r="F53" s="337">
        <v>0.2</v>
      </c>
    </row>
    <row r="54" spans="2:6" x14ac:dyDescent="0.3">
      <c r="B54" s="31" t="str">
        <f t="shared" si="1"/>
        <v xml:space="preserve"> - </v>
      </c>
    </row>
    <row r="55" spans="2:6" x14ac:dyDescent="0.3">
      <c r="B55" s="31" t="str">
        <f t="shared" si="1"/>
        <v xml:space="preserve"> - </v>
      </c>
    </row>
    <row r="56" spans="2:6" x14ac:dyDescent="0.3">
      <c r="B56" s="31" t="str">
        <f t="shared" si="1"/>
        <v xml:space="preserve"> - </v>
      </c>
    </row>
    <row r="57" spans="2:6" x14ac:dyDescent="0.3">
      <c r="B57" s="31" t="str">
        <f t="shared" si="1"/>
        <v xml:space="preserve"> - </v>
      </c>
    </row>
    <row r="59" spans="2:6" x14ac:dyDescent="0.3">
      <c r="B59" s="300"/>
    </row>
    <row r="65" spans="1:1" x14ac:dyDescent="0.3">
      <c r="A65" s="27" t="s">
        <v>322</v>
      </c>
    </row>
  </sheetData>
  <autoFilter ref="B3:F49" xr:uid="{D87655AE-27CB-44DA-9575-8FEAC4A2AAA5}"/>
  <mergeCells count="1">
    <mergeCell ref="C1:F1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60D-B211-4B91-9A68-073B78FA910A}">
  <dimension ref="A1:V68"/>
  <sheetViews>
    <sheetView tabSelected="1" workbookViewId="0">
      <selection activeCell="T1" sqref="T1:V23"/>
    </sheetView>
  </sheetViews>
  <sheetFormatPr defaultColWidth="11.42578125" defaultRowHeight="14.25" x14ac:dyDescent="0.2"/>
  <cols>
    <col min="1" max="1" width="4.85546875" style="238" customWidth="1"/>
    <col min="2" max="2" width="14.42578125" style="239" customWidth="1"/>
    <col min="3" max="3" width="6.85546875" style="239" customWidth="1"/>
    <col min="4" max="4" width="8.28515625" style="239" customWidth="1"/>
    <col min="5" max="5" width="11.5703125" style="239" customWidth="1"/>
    <col min="6" max="6" width="8" style="239" customWidth="1"/>
    <col min="7" max="7" width="16.7109375" style="239" customWidth="1"/>
    <col min="8" max="8" width="4.42578125" style="239" customWidth="1"/>
    <col min="9" max="9" width="23.7109375" style="239" customWidth="1"/>
    <col min="10" max="10" width="20.28515625" style="239" customWidth="1"/>
    <col min="11" max="11" width="14" style="239" customWidth="1"/>
    <col min="12" max="12" width="6.5703125" style="239" customWidth="1"/>
    <col min="13" max="13" width="11.28515625" style="326" customWidth="1"/>
    <col min="14" max="14" width="9.5703125" style="238" customWidth="1"/>
    <col min="15" max="15" width="10" style="238" customWidth="1"/>
    <col min="16" max="19" width="11.42578125" style="238"/>
    <col min="20" max="20" width="34" style="245" customWidth="1"/>
    <col min="21" max="21" width="42.85546875" style="238" customWidth="1"/>
    <col min="22" max="22" width="18.7109375" style="246" customWidth="1"/>
    <col min="23" max="16384" width="11.42578125" style="238"/>
  </cols>
  <sheetData>
    <row r="1" spans="1:22" s="236" customFormat="1" ht="18.75" x14ac:dyDescent="0.3">
      <c r="A1" s="232" t="s">
        <v>323</v>
      </c>
      <c r="B1" s="233" t="s">
        <v>324</v>
      </c>
      <c r="C1" s="234" t="s">
        <v>325</v>
      </c>
      <c r="D1" s="233" t="s">
        <v>326</v>
      </c>
      <c r="E1" s="233" t="s">
        <v>327</v>
      </c>
      <c r="F1" s="233" t="s">
        <v>328</v>
      </c>
      <c r="G1" s="233" t="s">
        <v>109</v>
      </c>
      <c r="H1" s="233" t="s">
        <v>329</v>
      </c>
      <c r="I1" s="235" t="s">
        <v>330</v>
      </c>
      <c r="J1" s="233" t="s">
        <v>331</v>
      </c>
      <c r="K1" s="233" t="s">
        <v>332</v>
      </c>
      <c r="L1" s="233" t="s">
        <v>333</v>
      </c>
      <c r="M1" s="324" t="s">
        <v>111</v>
      </c>
      <c r="N1" s="233" t="s">
        <v>334</v>
      </c>
      <c r="O1" s="233" t="s">
        <v>335</v>
      </c>
      <c r="T1" s="247" t="s">
        <v>336</v>
      </c>
      <c r="U1" s="248"/>
      <c r="V1" s="249"/>
    </row>
    <row r="2" spans="1:22" s="237" customFormat="1" ht="12" x14ac:dyDescent="0.2">
      <c r="A2" s="237" t="s">
        <v>337</v>
      </c>
      <c r="B2" s="237" t="s">
        <v>338</v>
      </c>
      <c r="C2" s="237" t="s">
        <v>339</v>
      </c>
      <c r="D2" s="237" t="s">
        <v>340</v>
      </c>
      <c r="E2" s="237" t="s">
        <v>341</v>
      </c>
      <c r="F2" s="237" t="s">
        <v>342</v>
      </c>
      <c r="G2" s="237" t="s">
        <v>343</v>
      </c>
      <c r="H2" s="237" t="s">
        <v>344</v>
      </c>
      <c r="I2" s="237" t="s">
        <v>345</v>
      </c>
      <c r="J2" s="237" t="s">
        <v>346</v>
      </c>
      <c r="K2" s="237" t="s">
        <v>347</v>
      </c>
      <c r="L2" s="237" t="s">
        <v>348</v>
      </c>
      <c r="M2" s="325" t="s">
        <v>349</v>
      </c>
      <c r="N2" s="237" t="s">
        <v>350</v>
      </c>
      <c r="O2" s="237" t="s">
        <v>351</v>
      </c>
      <c r="T2" s="250"/>
      <c r="V2" s="251"/>
    </row>
    <row r="3" spans="1:22" x14ac:dyDescent="0.2">
      <c r="B3" s="239" t="str" cm="1">
        <f t="array" ref="B3:B10">"ET"&amp;TEXT(_xlfn._xlws.SORT(TRANSPOSE(_xlfn.HSTACK(_xlfn._xlws.FILTER('Inv Detail'!G9:P9,('Inv Detail'!G9:P9&lt;&gt;"")*('Inv Detail'!G9:P9&gt;=Q3)*('Inv Detail'!G9:P9&lt;=Q4)),_xlfn._xlws.FILTER('Inv Detail'!G9:P9,('Inv Detail'!G9:P9&lt;&gt;"")*('Inv Detail'!G9:P9&gt;=Q3)*('Inv Detail'!G9:P9&lt;=Q4))))),"YYYYMMDD")</f>
        <v>ET20260522</v>
      </c>
      <c r="D3" s="240" t="str">
        <f>IF(B3="","","C0594")</f>
        <v>C0594</v>
      </c>
      <c r="E3" s="241">
        <f>IF(B3="","",DATE(VALUE(MID(B3,3,4)),VALUE(MID(B3,7,2)),VALUE(RIGHT(B3,2))))</f>
        <v>46164</v>
      </c>
      <c r="F3" s="239" t="str">
        <f>IF(B3="","","Net 30")</f>
        <v>Net 30</v>
      </c>
      <c r="G3" s="242" t="str">
        <f>IF(B3="","",IF(B3=B2,"Service Revenue","Food Sales"))</f>
        <v>Food Sales</v>
      </c>
      <c r="H3" s="239">
        <f>IF(B3="","",IF(B3=B2,2,1))</f>
        <v>1</v>
      </c>
      <c r="I3" s="239" t="str">
        <f>IF(B3="","","ET F&amp;S "&amp;TEXT(E3,"MM.DD.YY")&amp;" invoice")</f>
        <v>ET F&amp;S 05.22.26 invoice</v>
      </c>
      <c r="J3" s="239">
        <f>IF(B3="","",IF(H3=1,411001,413909))</f>
        <v>411001</v>
      </c>
      <c r="K3" s="240" t="str">
        <f>IF(B3="","","GG10M2")</f>
        <v>GG10M2</v>
      </c>
      <c r="L3" s="239" t="str">
        <f>IF(B3="","","6001")</f>
        <v>6001</v>
      </c>
      <c r="M3" s="405">
        <f>IF(H3=1,SUMPRODUCT(_xlfn.XLOOKUP($E3,'Inv Detail'!$G$9:$P$9,'Inv Detail'!$G$15:$P$59,0),'Inv Detail'!$F$15:$F$59),IF(H3=2,SUMPRODUCT(_xlfn.XLOOKUP($E3,'Inv Detail'!$G$9:$P$9,'Inv Detail'!$G$10:$P$14,0),'Inv Detail'!$F$10:$F$14),""))</f>
        <v>10358.189754851546</v>
      </c>
      <c r="N3" s="238" t="str">
        <f>IF(B3="","","Submit")</f>
        <v>Submit</v>
      </c>
      <c r="O3" s="238" t="str">
        <f>IF(B3="","",D3)</f>
        <v>C0594</v>
      </c>
      <c r="Q3" s="243">
        <v>46164</v>
      </c>
      <c r="R3" s="244"/>
      <c r="T3" s="537" t="s">
        <v>543</v>
      </c>
      <c r="U3" s="538"/>
      <c r="V3" s="539"/>
    </row>
    <row r="4" spans="1:22" ht="15" x14ac:dyDescent="0.2">
      <c r="B4" s="239" t="str">
        <v>ET20260522</v>
      </c>
      <c r="D4" s="240" t="str">
        <f t="shared" ref="D4:D60" si="0">IF(B4="","","C0594")</f>
        <v>C0594</v>
      </c>
      <c r="E4" s="241">
        <f t="shared" ref="E4:E60" si="1">IF(B4="","",DATE(VALUE(MID(B4,3,4)),VALUE(MID(B4,7,2)),VALUE(RIGHT(B4,2))))</f>
        <v>46164</v>
      </c>
      <c r="F4" s="239" t="str">
        <f t="shared" ref="F4:F60" si="2">IF(B4="","","Net 30")</f>
        <v>Net 30</v>
      </c>
      <c r="G4" s="242" t="str">
        <f t="shared" ref="G4:G60" si="3">IF(B4="","",IF(B4=B3,"Service Revenue","Food Sales"))</f>
        <v>Service Revenue</v>
      </c>
      <c r="H4" s="239">
        <f t="shared" ref="H4:H60" si="4">IF(B4="","",IF(B4=B3,2,1))</f>
        <v>2</v>
      </c>
      <c r="I4" s="239" t="str">
        <f t="shared" ref="I4:I60" si="5">IF(B4="","","ET F&amp;S "&amp;TEXT(E4,"MM.DD.YY")&amp;" invoice")</f>
        <v>ET F&amp;S 05.22.26 invoice</v>
      </c>
      <c r="J4" s="239">
        <f t="shared" ref="J4:J60" si="6">IF(B4="","",IF(H4=1,411001,413909))</f>
        <v>413909</v>
      </c>
      <c r="K4" s="240" t="str">
        <f t="shared" ref="K4:K60" si="7">IF(B4="","","GG10M2")</f>
        <v>GG10M2</v>
      </c>
      <c r="L4" s="239" t="str">
        <f t="shared" ref="L4:L60" si="8">IF(B4="","","6001")</f>
        <v>6001</v>
      </c>
      <c r="M4" s="405">
        <f>IF(H4=1,SUMPRODUCT(_xlfn.XLOOKUP($E4,'Inv Detail'!$G$9:$P$9,'Inv Detail'!$G$15:$P$59,0),'Inv Detail'!$F$15:$F$59),IF(H4=2,SUMPRODUCT(_xlfn.XLOOKUP($E4,'Inv Detail'!$G$9:$P$9,'Inv Detail'!$G$10:$P$14,0),'Inv Detail'!$F$10:$F$14),""))</f>
        <v>1050</v>
      </c>
      <c r="N4" s="238" t="str">
        <f t="shared" ref="N4:N60" si="9">IF(B4="","","Submit")</f>
        <v>Submit</v>
      </c>
      <c r="O4" s="238" t="str">
        <f t="shared" ref="O4:O60" si="10">IF(B4="","",D4)</f>
        <v>C0594</v>
      </c>
      <c r="Q4" s="243">
        <v>46173</v>
      </c>
      <c r="T4" s="252" t="s">
        <v>352</v>
      </c>
      <c r="U4" s="253" t="s">
        <v>353</v>
      </c>
      <c r="V4" s="254" t="s">
        <v>354</v>
      </c>
    </row>
    <row r="5" spans="1:22" x14ac:dyDescent="0.2">
      <c r="B5" s="239" t="str">
        <v>ET20260525</v>
      </c>
      <c r="D5" s="240" t="str">
        <f t="shared" si="0"/>
        <v>C0594</v>
      </c>
      <c r="E5" s="241">
        <f t="shared" si="1"/>
        <v>46167</v>
      </c>
      <c r="F5" s="239" t="str">
        <f t="shared" si="2"/>
        <v>Net 30</v>
      </c>
      <c r="G5" s="242" t="str">
        <f t="shared" si="3"/>
        <v>Food Sales</v>
      </c>
      <c r="H5" s="239">
        <f t="shared" si="4"/>
        <v>1</v>
      </c>
      <c r="I5" s="239" t="str">
        <f t="shared" si="5"/>
        <v>ET F&amp;S 05.25.26 invoice</v>
      </c>
      <c r="J5" s="239">
        <f t="shared" si="6"/>
        <v>411001</v>
      </c>
      <c r="K5" s="240" t="str">
        <f t="shared" si="7"/>
        <v>GG10M2</v>
      </c>
      <c r="L5" s="239" t="str">
        <f t="shared" si="8"/>
        <v>6001</v>
      </c>
      <c r="M5" s="405">
        <f>IF(H5=1,SUMPRODUCT(_xlfn.XLOOKUP($E5,'Inv Detail'!$G$9:$P$9,'Inv Detail'!$G$15:$P$59,0),'Inv Detail'!$F$15:$F$59),IF(H5=2,SUMPRODUCT(_xlfn.XLOOKUP($E5,'Inv Detail'!$G$9:$P$9,'Inv Detail'!$G$10:$P$14,0),'Inv Detail'!$F$10:$F$14),""))</f>
        <v>10093.144143913907</v>
      </c>
      <c r="N5" s="238" t="str">
        <f t="shared" si="9"/>
        <v>Submit</v>
      </c>
      <c r="O5" s="238" t="str">
        <f t="shared" si="10"/>
        <v>C0594</v>
      </c>
      <c r="T5" s="255" t="str">
        <f t="shared" ref="T5:T17" si="11">TEXT(E3,"DDD - MM/DD/YY")</f>
        <v>Fri - 05/22/26</v>
      </c>
      <c r="U5" s="256" t="str">
        <f t="shared" ref="U5:U17" si="12">G3</f>
        <v>Food Sales</v>
      </c>
      <c r="V5" s="257">
        <f t="shared" ref="V5:V17" si="13">M3</f>
        <v>10358.189754851546</v>
      </c>
    </row>
    <row r="6" spans="1:22" x14ac:dyDescent="0.2">
      <c r="B6" s="239" t="str">
        <v>ET20260525</v>
      </c>
      <c r="D6" s="240" t="str">
        <f t="shared" si="0"/>
        <v>C0594</v>
      </c>
      <c r="E6" s="241">
        <f t="shared" si="1"/>
        <v>46167</v>
      </c>
      <c r="F6" s="239" t="str">
        <f t="shared" si="2"/>
        <v>Net 30</v>
      </c>
      <c r="G6" s="242" t="str">
        <f t="shared" si="3"/>
        <v>Service Revenue</v>
      </c>
      <c r="H6" s="239">
        <f t="shared" si="4"/>
        <v>2</v>
      </c>
      <c r="I6" s="239" t="str">
        <f t="shared" si="5"/>
        <v>ET F&amp;S 05.25.26 invoice</v>
      </c>
      <c r="J6" s="239">
        <f t="shared" si="6"/>
        <v>413909</v>
      </c>
      <c r="K6" s="240" t="str">
        <f t="shared" si="7"/>
        <v>GG10M2</v>
      </c>
      <c r="L6" s="239" t="str">
        <f t="shared" si="8"/>
        <v>6001</v>
      </c>
      <c r="M6" s="405">
        <f>IF(H6=1,SUMPRODUCT(_xlfn.XLOOKUP($E6,'Inv Detail'!$G$9:$P$9,'Inv Detail'!$G$15:$P$59,0),'Inv Detail'!$F$15:$F$59),IF(H6=2,SUMPRODUCT(_xlfn.XLOOKUP($E6,'Inv Detail'!$G$9:$P$9,'Inv Detail'!$G$10:$P$14,0),'Inv Detail'!$F$10:$F$14),""))</f>
        <v>1050</v>
      </c>
      <c r="N6" s="238" t="str">
        <f t="shared" si="9"/>
        <v>Submit</v>
      </c>
      <c r="O6" s="238" t="str">
        <f t="shared" si="10"/>
        <v>C0594</v>
      </c>
      <c r="T6" s="255" t="str">
        <f t="shared" si="11"/>
        <v>Fri - 05/22/26</v>
      </c>
      <c r="U6" s="256" t="str">
        <f t="shared" si="12"/>
        <v>Service Revenue</v>
      </c>
      <c r="V6" s="257">
        <f t="shared" si="13"/>
        <v>1050</v>
      </c>
    </row>
    <row r="7" spans="1:22" x14ac:dyDescent="0.2">
      <c r="B7" s="239" t="str">
        <v>ET20260527</v>
      </c>
      <c r="D7" s="240" t="str">
        <f t="shared" si="0"/>
        <v>C0594</v>
      </c>
      <c r="E7" s="241">
        <f t="shared" si="1"/>
        <v>46169</v>
      </c>
      <c r="F7" s="239" t="str">
        <f t="shared" si="2"/>
        <v>Net 30</v>
      </c>
      <c r="G7" s="242" t="str">
        <f t="shared" si="3"/>
        <v>Food Sales</v>
      </c>
      <c r="H7" s="239">
        <f t="shared" si="4"/>
        <v>1</v>
      </c>
      <c r="I7" s="239" t="str">
        <f t="shared" si="5"/>
        <v>ET F&amp;S 05.27.26 invoice</v>
      </c>
      <c r="J7" s="239">
        <f t="shared" si="6"/>
        <v>411001</v>
      </c>
      <c r="K7" s="240" t="str">
        <f t="shared" si="7"/>
        <v>GG10M2</v>
      </c>
      <c r="L7" s="239" t="str">
        <f t="shared" si="8"/>
        <v>6001</v>
      </c>
      <c r="M7" s="405">
        <f>IF(H7=1,SUMPRODUCT(_xlfn.XLOOKUP($E7,'Inv Detail'!$G$9:$P$9,'Inv Detail'!$G$15:$P$59,0),'Inv Detail'!$F$15:$F$59),IF(H7=2,SUMPRODUCT(_xlfn.XLOOKUP($E7,'Inv Detail'!$G$9:$P$9,'Inv Detail'!$G$10:$P$14,0),'Inv Detail'!$F$10:$F$14),""))</f>
        <v>9724.1065323073963</v>
      </c>
      <c r="N7" s="238" t="str">
        <f t="shared" si="9"/>
        <v>Submit</v>
      </c>
      <c r="O7" s="238" t="str">
        <f t="shared" si="10"/>
        <v>C0594</v>
      </c>
      <c r="T7" s="255" t="str">
        <f t="shared" si="11"/>
        <v>Mon - 05/25/26</v>
      </c>
      <c r="U7" s="256" t="str">
        <f t="shared" si="12"/>
        <v>Food Sales</v>
      </c>
      <c r="V7" s="257">
        <f t="shared" si="13"/>
        <v>10093.144143913907</v>
      </c>
    </row>
    <row r="8" spans="1:22" x14ac:dyDescent="0.2">
      <c r="B8" s="239" t="str">
        <v>ET20260527</v>
      </c>
      <c r="D8" s="240" t="str">
        <f t="shared" si="0"/>
        <v>C0594</v>
      </c>
      <c r="E8" s="241">
        <f t="shared" si="1"/>
        <v>46169</v>
      </c>
      <c r="F8" s="239" t="str">
        <f t="shared" si="2"/>
        <v>Net 30</v>
      </c>
      <c r="G8" s="242" t="str">
        <f t="shared" si="3"/>
        <v>Service Revenue</v>
      </c>
      <c r="H8" s="239">
        <f t="shared" si="4"/>
        <v>2</v>
      </c>
      <c r="I8" s="239" t="str">
        <f t="shared" si="5"/>
        <v>ET F&amp;S 05.27.26 invoice</v>
      </c>
      <c r="J8" s="239">
        <f t="shared" si="6"/>
        <v>413909</v>
      </c>
      <c r="K8" s="240" t="str">
        <f t="shared" si="7"/>
        <v>GG10M2</v>
      </c>
      <c r="L8" s="239" t="str">
        <f t="shared" si="8"/>
        <v>6001</v>
      </c>
      <c r="M8" s="405">
        <f>IF(H8=1,SUMPRODUCT(_xlfn.XLOOKUP($E8,'Inv Detail'!$G$9:$P$9,'Inv Detail'!$G$15:$P$59,0),'Inv Detail'!$F$15:$F$59),IF(H8=2,SUMPRODUCT(_xlfn.XLOOKUP($E8,'Inv Detail'!$G$9:$P$9,'Inv Detail'!$G$10:$P$14,0),'Inv Detail'!$F$10:$F$14),""))</f>
        <v>1050</v>
      </c>
      <c r="N8" s="238" t="str">
        <f t="shared" si="9"/>
        <v>Submit</v>
      </c>
      <c r="O8" s="238" t="str">
        <f t="shared" si="10"/>
        <v>C0594</v>
      </c>
      <c r="T8" s="255" t="str">
        <f t="shared" si="11"/>
        <v>Mon - 05/25/26</v>
      </c>
      <c r="U8" s="256" t="str">
        <f t="shared" si="12"/>
        <v>Service Revenue</v>
      </c>
      <c r="V8" s="257">
        <f t="shared" si="13"/>
        <v>1050</v>
      </c>
    </row>
    <row r="9" spans="1:22" x14ac:dyDescent="0.2">
      <c r="B9" s="239" t="str">
        <v>ET20260529</v>
      </c>
      <c r="D9" s="240" t="str">
        <f t="shared" si="0"/>
        <v>C0594</v>
      </c>
      <c r="E9" s="241">
        <f t="shared" si="1"/>
        <v>46171</v>
      </c>
      <c r="F9" s="239" t="str">
        <f t="shared" si="2"/>
        <v>Net 30</v>
      </c>
      <c r="G9" s="242" t="str">
        <f t="shared" si="3"/>
        <v>Food Sales</v>
      </c>
      <c r="H9" s="239">
        <f t="shared" si="4"/>
        <v>1</v>
      </c>
      <c r="I9" s="239" t="str">
        <f>IF(B9="","","ET F&amp;S "&amp;TEXT(E9,"MM.DD.YY")&amp;" invoice")</f>
        <v>ET F&amp;S 05.29.26 invoice</v>
      </c>
      <c r="J9" s="239">
        <f t="shared" si="6"/>
        <v>411001</v>
      </c>
      <c r="K9" s="240" t="str">
        <f t="shared" si="7"/>
        <v>GG10M2</v>
      </c>
      <c r="L9" s="239" t="str">
        <f t="shared" si="8"/>
        <v>6001</v>
      </c>
      <c r="M9" s="405">
        <f>IF(H9=1,SUMPRODUCT(_xlfn.XLOOKUP($E9,'Inv Detail'!$G$9:$P$9,'Inv Detail'!$G$15:$P$59,0),'Inv Detail'!$F$15:$F$59),IF(H9=2,SUMPRODUCT(_xlfn.XLOOKUP($E9,'Inv Detail'!$G$9:$P$9,'Inv Detail'!$G$10:$P$14,0),'Inv Detail'!$F$10:$F$14),""))</f>
        <v>9444.5369164028707</v>
      </c>
      <c r="N9" s="238" t="str">
        <f t="shared" si="9"/>
        <v>Submit</v>
      </c>
      <c r="O9" s="238" t="str">
        <f t="shared" si="10"/>
        <v>C0594</v>
      </c>
      <c r="T9" s="255" t="str">
        <f t="shared" si="11"/>
        <v>Wed - 05/27/26</v>
      </c>
      <c r="U9" s="256" t="str">
        <f t="shared" si="12"/>
        <v>Food Sales</v>
      </c>
      <c r="V9" s="302">
        <f>M7</f>
        <v>9724.1065323073963</v>
      </c>
    </row>
    <row r="10" spans="1:22" x14ac:dyDescent="0.2">
      <c r="B10" s="239" t="str">
        <v>ET20260529</v>
      </c>
      <c r="D10" s="240" t="str">
        <f t="shared" si="0"/>
        <v>C0594</v>
      </c>
      <c r="E10" s="241">
        <f t="shared" si="1"/>
        <v>46171</v>
      </c>
      <c r="F10" s="239" t="str">
        <f t="shared" si="2"/>
        <v>Net 30</v>
      </c>
      <c r="G10" s="242" t="str">
        <f t="shared" si="3"/>
        <v>Service Revenue</v>
      </c>
      <c r="H10" s="239">
        <f t="shared" si="4"/>
        <v>2</v>
      </c>
      <c r="I10" s="239" t="str">
        <f>IF(B10="","","ET F&amp;S "&amp;TEXT(E10,"MM.DD.YY")&amp;" invoice")</f>
        <v>ET F&amp;S 05.29.26 invoice</v>
      </c>
      <c r="J10" s="239">
        <f t="shared" si="6"/>
        <v>413909</v>
      </c>
      <c r="K10" s="240" t="str">
        <f t="shared" si="7"/>
        <v>GG10M2</v>
      </c>
      <c r="L10" s="239" t="str">
        <f t="shared" si="8"/>
        <v>6001</v>
      </c>
      <c r="M10" s="405">
        <f>IF(H10=1,SUMPRODUCT(_xlfn.XLOOKUP($E10,'Inv Detail'!$G$9:$P$9,'Inv Detail'!$G$15:$P$59,0),'Inv Detail'!$F$15:$F$59),IF(H10=2,SUMPRODUCT(_xlfn.XLOOKUP($E10,'Inv Detail'!$G$9:$P$9,'Inv Detail'!$G$10:$P$14,0),'Inv Detail'!$F$10:$F$14),""))</f>
        <v>1050</v>
      </c>
      <c r="N10" s="238" t="str">
        <f t="shared" si="9"/>
        <v>Submit</v>
      </c>
      <c r="O10" s="238" t="str">
        <f t="shared" si="10"/>
        <v>C0594</v>
      </c>
      <c r="T10" s="255" t="str">
        <f t="shared" si="11"/>
        <v>Wed - 05/27/26</v>
      </c>
      <c r="U10" s="256" t="str">
        <f t="shared" si="12"/>
        <v>Service Revenue</v>
      </c>
      <c r="V10" s="302">
        <f t="shared" si="13"/>
        <v>1050</v>
      </c>
    </row>
    <row r="11" spans="1:22" x14ac:dyDescent="0.2">
      <c r="D11" s="240" t="str">
        <f t="shared" si="0"/>
        <v/>
      </c>
      <c r="E11" s="241" t="str">
        <f t="shared" si="1"/>
        <v/>
      </c>
      <c r="F11" s="239" t="str">
        <f t="shared" si="2"/>
        <v/>
      </c>
      <c r="G11" s="242" t="str">
        <f t="shared" si="3"/>
        <v/>
      </c>
      <c r="H11" s="239" t="str">
        <f t="shared" si="4"/>
        <v/>
      </c>
      <c r="I11" s="239" t="str">
        <f t="shared" si="5"/>
        <v/>
      </c>
      <c r="J11" s="239" t="str">
        <f t="shared" si="6"/>
        <v/>
      </c>
      <c r="K11" s="240" t="str">
        <f t="shared" si="7"/>
        <v/>
      </c>
      <c r="L11" s="239" t="str">
        <f t="shared" si="8"/>
        <v/>
      </c>
      <c r="M11" s="405" t="str">
        <f>IF(H11=1,SUMPRODUCT(_xlfn.XLOOKUP($E11,'Inv Detail'!$G$9:$P$9,'Inv Detail'!$G$15:$P$59,0),'Inv Detail'!$F$15:$F$59),IF(H11=2,SUMPRODUCT(_xlfn.XLOOKUP($E11,'Inv Detail'!$G$9:$P$9,'Inv Detail'!$G$10:$P$14,0),'Inv Detail'!$F$10:$F$14),""))</f>
        <v/>
      </c>
      <c r="N11" s="238" t="str">
        <f t="shared" si="9"/>
        <v/>
      </c>
      <c r="O11" s="238" t="str">
        <f t="shared" si="10"/>
        <v/>
      </c>
      <c r="T11" s="255" t="str">
        <f t="shared" si="11"/>
        <v>Fri - 05/29/26</v>
      </c>
      <c r="U11" s="256" t="str">
        <f t="shared" si="12"/>
        <v>Food Sales</v>
      </c>
      <c r="V11" s="257">
        <f t="shared" si="13"/>
        <v>9444.5369164028707</v>
      </c>
    </row>
    <row r="12" spans="1:22" x14ac:dyDescent="0.2">
      <c r="D12" s="240" t="str">
        <f t="shared" si="0"/>
        <v/>
      </c>
      <c r="E12" s="241" t="str">
        <f t="shared" si="1"/>
        <v/>
      </c>
      <c r="F12" s="239" t="str">
        <f t="shared" si="2"/>
        <v/>
      </c>
      <c r="G12" s="242" t="str">
        <f t="shared" si="3"/>
        <v/>
      </c>
      <c r="H12" s="239" t="str">
        <f t="shared" si="4"/>
        <v/>
      </c>
      <c r="I12" s="239" t="str">
        <f t="shared" si="5"/>
        <v/>
      </c>
      <c r="J12" s="239" t="str">
        <f t="shared" si="6"/>
        <v/>
      </c>
      <c r="K12" s="240" t="str">
        <f t="shared" si="7"/>
        <v/>
      </c>
      <c r="L12" s="239" t="str">
        <f t="shared" si="8"/>
        <v/>
      </c>
      <c r="M12" s="405" t="str">
        <f>IF(H12=1,SUMPRODUCT(_xlfn.XLOOKUP($E12,'Inv Detail'!$G$9:$P$9,'Inv Detail'!$G$15:$P$59,0),'Inv Detail'!$F$15:$F$59),IF(H12=2,SUMPRODUCT(_xlfn.XLOOKUP($E12,'Inv Detail'!$G$9:$P$9,'Inv Detail'!$G$10:$P$14,0),'Inv Detail'!$F$10:$F$14),""))</f>
        <v/>
      </c>
      <c r="N12" s="238" t="str">
        <f t="shared" si="9"/>
        <v/>
      </c>
      <c r="O12" s="238" t="str">
        <f t="shared" si="10"/>
        <v/>
      </c>
      <c r="T12" s="255" t="str">
        <f t="shared" si="11"/>
        <v>Fri - 05/29/26</v>
      </c>
      <c r="U12" s="256" t="str">
        <f t="shared" si="12"/>
        <v>Service Revenue</v>
      </c>
      <c r="V12" s="257">
        <f t="shared" si="13"/>
        <v>1050</v>
      </c>
    </row>
    <row r="13" spans="1:22" hidden="1" x14ac:dyDescent="0.2">
      <c r="D13" s="240" t="str">
        <f t="shared" si="0"/>
        <v/>
      </c>
      <c r="E13" s="241" t="str">
        <f t="shared" si="1"/>
        <v/>
      </c>
      <c r="F13" s="239" t="str">
        <f t="shared" si="2"/>
        <v/>
      </c>
      <c r="G13" s="242" t="str">
        <f t="shared" si="3"/>
        <v/>
      </c>
      <c r="H13" s="239" t="str">
        <f t="shared" si="4"/>
        <v/>
      </c>
      <c r="I13" s="239" t="str">
        <f t="shared" si="5"/>
        <v/>
      </c>
      <c r="J13" s="239" t="str">
        <f t="shared" si="6"/>
        <v/>
      </c>
      <c r="K13" s="240" t="str">
        <f t="shared" si="7"/>
        <v/>
      </c>
      <c r="L13" s="239" t="str">
        <f t="shared" si="8"/>
        <v/>
      </c>
      <c r="M13" s="405" t="str">
        <f>IF(H13=1,SUMPRODUCT(_xlfn.XLOOKUP($E13,'Inv Detail'!$G$9:$P$9,'Inv Detail'!$G$15:$P$59,0),'Inv Detail'!$F$15:$F$59),IF(H13=2,SUMPRODUCT(_xlfn.XLOOKUP($E13,'Inv Detail'!$G$9:$P$9,'Inv Detail'!$G$10:$P$14,0),'Inv Detail'!$F$10:$F$14),""))</f>
        <v/>
      </c>
      <c r="N13" s="238" t="str">
        <f t="shared" si="9"/>
        <v/>
      </c>
      <c r="O13" s="238" t="str">
        <f t="shared" si="10"/>
        <v/>
      </c>
      <c r="T13" s="255" t="str">
        <f t="shared" si="11"/>
        <v/>
      </c>
      <c r="U13" s="256" t="str">
        <f t="shared" si="12"/>
        <v/>
      </c>
      <c r="V13" s="257" t="str">
        <f t="shared" si="13"/>
        <v/>
      </c>
    </row>
    <row r="14" spans="1:22" hidden="1" x14ac:dyDescent="0.2">
      <c r="D14" s="240" t="str">
        <f t="shared" si="0"/>
        <v/>
      </c>
      <c r="E14" s="241" t="str">
        <f t="shared" si="1"/>
        <v/>
      </c>
      <c r="F14" s="239" t="str">
        <f t="shared" si="2"/>
        <v/>
      </c>
      <c r="G14" s="242" t="str">
        <f t="shared" si="3"/>
        <v/>
      </c>
      <c r="H14" s="239" t="str">
        <f t="shared" si="4"/>
        <v/>
      </c>
      <c r="I14" s="239" t="str">
        <f t="shared" si="5"/>
        <v/>
      </c>
      <c r="J14" s="239" t="str">
        <f t="shared" si="6"/>
        <v/>
      </c>
      <c r="K14" s="240" t="str">
        <f t="shared" si="7"/>
        <v/>
      </c>
      <c r="L14" s="239" t="str">
        <f t="shared" si="8"/>
        <v/>
      </c>
      <c r="M14" s="405" t="str">
        <f>IF(H14=1,SUMPRODUCT(_xlfn.XLOOKUP($E14,'Inv Detail'!$G$9:$P$9,'Inv Detail'!$G$15:$P$59,0),'Inv Detail'!$F$15:$F$59),IF(H14=2,SUMPRODUCT(_xlfn.XLOOKUP($E14,'Inv Detail'!$G$9:$P$9,'Inv Detail'!$G$10:$P$14,0),'Inv Detail'!$F$10:$F$14),""))</f>
        <v/>
      </c>
      <c r="N14" s="238" t="str">
        <f t="shared" si="9"/>
        <v/>
      </c>
      <c r="O14" s="238" t="str">
        <f t="shared" si="10"/>
        <v/>
      </c>
      <c r="T14" s="255" t="str">
        <f t="shared" si="11"/>
        <v/>
      </c>
      <c r="U14" s="256" t="str">
        <f t="shared" si="12"/>
        <v/>
      </c>
      <c r="V14" s="257" t="str">
        <f t="shared" si="13"/>
        <v/>
      </c>
    </row>
    <row r="15" spans="1:22" hidden="1" x14ac:dyDescent="0.2">
      <c r="D15" s="240" t="str">
        <f t="shared" si="0"/>
        <v/>
      </c>
      <c r="E15" s="241" t="str">
        <f t="shared" si="1"/>
        <v/>
      </c>
      <c r="F15" s="239" t="str">
        <f t="shared" si="2"/>
        <v/>
      </c>
      <c r="G15" s="242" t="str">
        <f>IF(B15="","",IF(B15=B14,"Service Revenue","Food Sales"))</f>
        <v/>
      </c>
      <c r="H15" s="239" t="str">
        <f>IF(B15="","",IF(B15=B14,2,1))</f>
        <v/>
      </c>
      <c r="I15" s="239" t="str">
        <f t="shared" si="5"/>
        <v/>
      </c>
      <c r="J15" s="239" t="str">
        <f t="shared" si="6"/>
        <v/>
      </c>
      <c r="K15" s="240" t="str">
        <f t="shared" si="7"/>
        <v/>
      </c>
      <c r="L15" s="239" t="str">
        <f t="shared" si="8"/>
        <v/>
      </c>
      <c r="M15" s="405" t="str">
        <f>IF(H15=1,SUMPRODUCT(_xlfn.XLOOKUP($E15,'Inv Detail'!$G$9:$P$9,'Inv Detail'!$G$15:$P$59,0),'Inv Detail'!$F$15:$F$59),IF(H15=2,SUMPRODUCT(_xlfn.XLOOKUP($E15,'Inv Detail'!$G$9:$P$9,'Inv Detail'!$G$10:$P$14,0),'Inv Detail'!$F$10:$F$14),""))</f>
        <v/>
      </c>
      <c r="N15" s="238" t="str">
        <f t="shared" si="9"/>
        <v/>
      </c>
      <c r="O15" s="238" t="str">
        <f t="shared" si="10"/>
        <v/>
      </c>
      <c r="T15" s="255" t="str">
        <f>TEXT(E13,"DDD - MM/DD/YY")</f>
        <v/>
      </c>
      <c r="U15" s="256" t="str">
        <f>G13</f>
        <v/>
      </c>
      <c r="V15" s="257" t="str">
        <f>M13</f>
        <v/>
      </c>
    </row>
    <row r="16" spans="1:22" hidden="1" x14ac:dyDescent="0.2">
      <c r="D16" s="240" t="str">
        <f t="shared" si="0"/>
        <v/>
      </c>
      <c r="E16" s="241" t="str">
        <f t="shared" si="1"/>
        <v/>
      </c>
      <c r="F16" s="239" t="str">
        <f t="shared" si="2"/>
        <v/>
      </c>
      <c r="G16" s="242" t="str">
        <f t="shared" si="3"/>
        <v/>
      </c>
      <c r="H16" s="239" t="str">
        <f t="shared" si="4"/>
        <v/>
      </c>
      <c r="I16" s="239" t="str">
        <f t="shared" si="5"/>
        <v/>
      </c>
      <c r="J16" s="239" t="str">
        <f t="shared" si="6"/>
        <v/>
      </c>
      <c r="K16" s="240" t="str">
        <f t="shared" si="7"/>
        <v/>
      </c>
      <c r="L16" s="239" t="str">
        <f t="shared" si="8"/>
        <v/>
      </c>
      <c r="M16" s="405" t="str">
        <f>IF(H16=1,SUMPRODUCT(_xlfn.XLOOKUP($E16,'Inv Detail'!$G$9:$P$9,'Inv Detail'!$G$15:$P$59,0),'Inv Detail'!$F$15:$F$59),IF(H16=2,SUMPRODUCT(_xlfn.XLOOKUP($E16,'Inv Detail'!$G$9:$P$9,'Inv Detail'!$G$10:$P$14,0),'Inv Detail'!$F$10:$F$14),""))</f>
        <v/>
      </c>
      <c r="N16" s="238" t="str">
        <f t="shared" si="9"/>
        <v/>
      </c>
      <c r="O16" s="238" t="str">
        <f t="shared" si="10"/>
        <v/>
      </c>
      <c r="T16" s="255" t="str">
        <f>TEXT(E14,"DDD - MM/DD/YY")</f>
        <v/>
      </c>
      <c r="U16" s="256" t="str">
        <f>G14</f>
        <v/>
      </c>
      <c r="V16" s="257" t="str">
        <f>M14</f>
        <v/>
      </c>
    </row>
    <row r="17" spans="4:22" hidden="1" x14ac:dyDescent="0.2">
      <c r="D17" s="240" t="str">
        <f t="shared" si="0"/>
        <v/>
      </c>
      <c r="E17" s="241" t="str">
        <f t="shared" si="1"/>
        <v/>
      </c>
      <c r="F17" s="239" t="str">
        <f t="shared" si="2"/>
        <v/>
      </c>
      <c r="G17" s="242" t="str">
        <f t="shared" si="3"/>
        <v/>
      </c>
      <c r="H17" s="239" t="str">
        <f t="shared" si="4"/>
        <v/>
      </c>
      <c r="I17" s="239" t="str">
        <f t="shared" si="5"/>
        <v/>
      </c>
      <c r="J17" s="239" t="str">
        <f t="shared" si="6"/>
        <v/>
      </c>
      <c r="K17" s="240" t="str">
        <f t="shared" si="7"/>
        <v/>
      </c>
      <c r="L17" s="239" t="str">
        <f t="shared" si="8"/>
        <v/>
      </c>
      <c r="M17" s="405" t="str">
        <f>IF(H17=1,SUMPRODUCT(_xlfn.XLOOKUP($E17,'Inv Detail'!$G$9:$P$9,'Inv Detail'!$G$15:$P$59,0),'Inv Detail'!$F$15:$F$59),IF(H17=2,SUMPRODUCT(_xlfn.XLOOKUP($E17,'Inv Detail'!$G$9:$P$9,'Inv Detail'!$G$10:$P$14,0),'Inv Detail'!$F$10:$F$14),""))</f>
        <v/>
      </c>
      <c r="N17" s="238" t="str">
        <f t="shared" si="9"/>
        <v/>
      </c>
      <c r="O17" s="238" t="str">
        <f t="shared" si="10"/>
        <v/>
      </c>
      <c r="T17" s="255" t="str">
        <f t="shared" si="11"/>
        <v/>
      </c>
      <c r="U17" s="256" t="str">
        <f t="shared" si="12"/>
        <v/>
      </c>
      <c r="V17" s="257" t="str">
        <f t="shared" si="13"/>
        <v/>
      </c>
    </row>
    <row r="18" spans="4:22" hidden="1" x14ac:dyDescent="0.2">
      <c r="D18" s="240" t="str">
        <f t="shared" ref="D18:D20" si="14">IF(B18="","","C0594")</f>
        <v/>
      </c>
      <c r="E18" s="241" t="str">
        <f t="shared" ref="E18:E20" si="15">IF(B18="","",DATE(VALUE(MID(B18,3,4)),VALUE(MID(B18,7,2)),VALUE(RIGHT(B18,2))))</f>
        <v/>
      </c>
      <c r="F18" s="239" t="str">
        <f t="shared" ref="F18:F20" si="16">IF(B18="","","Net 30")</f>
        <v/>
      </c>
      <c r="G18" s="242" t="str">
        <f t="shared" ref="G18:G20" si="17">IF(B18="","",IF(B18=B17,"Service Revenue","Food Sales"))</f>
        <v/>
      </c>
      <c r="H18" s="239" t="str">
        <f t="shared" ref="H18:H20" si="18">IF(B18="","",IF(B18=B17,2,1))</f>
        <v/>
      </c>
      <c r="I18" s="239" t="str">
        <f t="shared" ref="I18:I20" si="19">IF(B18="","","ET F&amp;S "&amp;TEXT(E18,"MM.DD.YY")&amp;" invoice")</f>
        <v/>
      </c>
      <c r="J18" s="239" t="str">
        <f t="shared" ref="J18:J20" si="20">IF(B18="","",IF(H18=1,411001,413909))</f>
        <v/>
      </c>
      <c r="K18" s="240" t="str">
        <f t="shared" ref="K18:K20" si="21">IF(B18="","","GG10M2")</f>
        <v/>
      </c>
      <c r="L18" s="239" t="str">
        <f t="shared" ref="L18:L20" si="22">IF(B18="","","6001")</f>
        <v/>
      </c>
      <c r="M18" s="405" t="str">
        <f>IF(H18=1,SUMPRODUCT(_xlfn.XLOOKUP($E18,'Inv Detail'!$G$9:$P$9,'Inv Detail'!$G$15:$P$59,0),'Inv Detail'!$F$15:$F$59),IF(H18=2,SUMPRODUCT(_xlfn.XLOOKUP($E18,'Inv Detail'!$G$9:$P$9,'Inv Detail'!$G$10:$P$14,0),'Inv Detail'!$F$10:$F$14),""))</f>
        <v/>
      </c>
      <c r="N18" s="238" t="str">
        <f t="shared" ref="N18:N20" si="23">IF(B18="","","Submit")</f>
        <v/>
      </c>
      <c r="O18" s="238" t="str">
        <f t="shared" ref="O18:O20" si="24">IF(B18="","",D18)</f>
        <v/>
      </c>
      <c r="T18" s="255" t="str">
        <f t="shared" ref="T18:T19" si="25">TEXT(E16,"DDD - MM/DD/YY")</f>
        <v/>
      </c>
      <c r="U18" s="256" t="str">
        <f t="shared" ref="U18:U19" si="26">G16</f>
        <v/>
      </c>
      <c r="V18" s="257" t="str">
        <f t="shared" ref="V18:V19" si="27">M16</f>
        <v/>
      </c>
    </row>
    <row r="19" spans="4:22" hidden="1" x14ac:dyDescent="0.2">
      <c r="D19" s="240" t="str">
        <f t="shared" si="14"/>
        <v/>
      </c>
      <c r="E19" s="241" t="str">
        <f t="shared" si="15"/>
        <v/>
      </c>
      <c r="F19" s="239" t="str">
        <f t="shared" si="16"/>
        <v/>
      </c>
      <c r="G19" s="242" t="str">
        <f t="shared" si="17"/>
        <v/>
      </c>
      <c r="H19" s="239" t="str">
        <f t="shared" si="18"/>
        <v/>
      </c>
      <c r="I19" s="239" t="str">
        <f t="shared" si="19"/>
        <v/>
      </c>
      <c r="J19" s="239" t="str">
        <f t="shared" si="20"/>
        <v/>
      </c>
      <c r="K19" s="240" t="str">
        <f t="shared" si="21"/>
        <v/>
      </c>
      <c r="L19" s="239" t="str">
        <f t="shared" si="22"/>
        <v/>
      </c>
      <c r="M19" s="405" t="str">
        <f>IF(H19=1,SUMPRODUCT(_xlfn.XLOOKUP($E19,'Inv Detail'!$G$9:$P$9,'Inv Detail'!$G$15:$P$59,0),'Inv Detail'!$F$15:$F$59),IF(H19=2,SUMPRODUCT(_xlfn.XLOOKUP($E19,'Inv Detail'!$G$9:$P$9,'Inv Detail'!$G$10:$P$14,0),'Inv Detail'!$F$10:$F$14),""))</f>
        <v/>
      </c>
      <c r="N19" s="238" t="str">
        <f t="shared" si="23"/>
        <v/>
      </c>
      <c r="O19" s="238" t="str">
        <f t="shared" si="24"/>
        <v/>
      </c>
      <c r="T19" s="255" t="str">
        <f t="shared" si="25"/>
        <v/>
      </c>
      <c r="U19" s="256" t="str">
        <f t="shared" si="26"/>
        <v/>
      </c>
      <c r="V19" s="257" t="str">
        <f t="shared" si="27"/>
        <v/>
      </c>
    </row>
    <row r="20" spans="4:22" hidden="1" x14ac:dyDescent="0.2">
      <c r="D20" s="240" t="str">
        <f t="shared" si="14"/>
        <v/>
      </c>
      <c r="E20" s="241" t="str">
        <f t="shared" si="15"/>
        <v/>
      </c>
      <c r="F20" s="239" t="str">
        <f t="shared" si="16"/>
        <v/>
      </c>
      <c r="G20" s="242" t="str">
        <f t="shared" si="17"/>
        <v/>
      </c>
      <c r="H20" s="239" t="str">
        <f t="shared" si="18"/>
        <v/>
      </c>
      <c r="I20" s="239" t="str">
        <f t="shared" si="19"/>
        <v/>
      </c>
      <c r="J20" s="239" t="str">
        <f t="shared" si="20"/>
        <v/>
      </c>
      <c r="K20" s="240" t="str">
        <f t="shared" si="21"/>
        <v/>
      </c>
      <c r="L20" s="239" t="str">
        <f t="shared" si="22"/>
        <v/>
      </c>
      <c r="M20" s="405" t="str">
        <f>IF(H20=1,SUMPRODUCT(_xlfn.XLOOKUP($E20,'Inv Detail'!$G$9:$P$9,'Inv Detail'!$G$15:$P$59,0),'Inv Detail'!$F$15:$F$59),IF(H20=2,SUMPRODUCT(_xlfn.XLOOKUP($E20,'Inv Detail'!$G$9:$P$9,'Inv Detail'!$G$10:$P$14,0),'Inv Detail'!$F$10:$F$14),""))</f>
        <v/>
      </c>
      <c r="N20" s="238" t="str">
        <f t="shared" si="23"/>
        <v/>
      </c>
      <c r="O20" s="238" t="str">
        <f t="shared" si="24"/>
        <v/>
      </c>
      <c r="T20" s="255" t="str">
        <f t="shared" ref="T20:T22" si="28">TEXT(E18,"DDD - MM/DD/YY")</f>
        <v/>
      </c>
      <c r="U20" s="256" t="str">
        <f t="shared" ref="U20:U22" si="29">G18</f>
        <v/>
      </c>
      <c r="V20" s="257" t="str">
        <f t="shared" ref="V20:V22" si="30">M18</f>
        <v/>
      </c>
    </row>
    <row r="21" spans="4:22" hidden="1" x14ac:dyDescent="0.2">
      <c r="D21" s="240" t="str">
        <f t="shared" si="0"/>
        <v/>
      </c>
      <c r="E21" s="241" t="str">
        <f t="shared" si="1"/>
        <v/>
      </c>
      <c r="F21" s="239" t="str">
        <f t="shared" si="2"/>
        <v/>
      </c>
      <c r="G21" s="242" t="str">
        <f t="shared" si="3"/>
        <v/>
      </c>
      <c r="H21" s="239" t="str">
        <f t="shared" si="4"/>
        <v/>
      </c>
      <c r="I21" s="239" t="str">
        <f t="shared" ref="I21:I22" si="31">IF(B21="","","ET F&amp;S "&amp;TEXT(E21,"MM.DD.YY")&amp;" invoice")</f>
        <v/>
      </c>
      <c r="J21" s="239" t="str">
        <f t="shared" ref="J21:J22" si="32">IF(B21="","",IF(H21=1,411001,413909))</f>
        <v/>
      </c>
      <c r="K21" s="240" t="str">
        <f t="shared" ref="K21:K22" si="33">IF(B21="","","GG10M2")</f>
        <v/>
      </c>
      <c r="L21" s="239" t="str">
        <f t="shared" si="8"/>
        <v/>
      </c>
      <c r="M21" s="405" t="str">
        <f>IF(H21=1,SUMPRODUCT(_xlfn.XLOOKUP($E21,'Inv Detail'!$G$9:$P$9,'Inv Detail'!$G$15:$P$59,0),'Inv Detail'!$F$15:$F$59),IF(H21=2,SUMPRODUCT(_xlfn.XLOOKUP($E21,'Inv Detail'!$G$9:$P$9,'Inv Detail'!$G$10:$P$14,0),'Inv Detail'!$F$10:$F$14),""))</f>
        <v/>
      </c>
      <c r="N21" s="238" t="str">
        <f t="shared" si="9"/>
        <v/>
      </c>
      <c r="O21" s="238" t="str">
        <f t="shared" si="10"/>
        <v/>
      </c>
      <c r="T21" s="255" t="str">
        <f t="shared" si="28"/>
        <v/>
      </c>
      <c r="U21" s="256" t="str">
        <f t="shared" si="29"/>
        <v/>
      </c>
      <c r="V21" s="257" t="str">
        <f t="shared" si="30"/>
        <v/>
      </c>
    </row>
    <row r="22" spans="4:22" hidden="1" x14ac:dyDescent="0.2">
      <c r="D22" s="240" t="str">
        <f t="shared" si="0"/>
        <v/>
      </c>
      <c r="E22" s="241" t="str">
        <f t="shared" si="1"/>
        <v/>
      </c>
      <c r="F22" s="239" t="str">
        <f t="shared" si="2"/>
        <v/>
      </c>
      <c r="G22" s="242" t="str">
        <f t="shared" si="3"/>
        <v/>
      </c>
      <c r="H22" s="239" t="str">
        <f t="shared" si="4"/>
        <v/>
      </c>
      <c r="I22" s="239" t="str">
        <f t="shared" si="31"/>
        <v/>
      </c>
      <c r="J22" s="239" t="str">
        <f t="shared" si="32"/>
        <v/>
      </c>
      <c r="K22" s="240" t="str">
        <f t="shared" si="33"/>
        <v/>
      </c>
      <c r="L22" s="239" t="str">
        <f t="shared" si="8"/>
        <v/>
      </c>
      <c r="M22" s="405" t="str">
        <f>IF(H22=1,SUMPRODUCT(_xlfn.XLOOKUP($E22,'Inv Detail'!$G$9:$P$9,'Inv Detail'!$G$15:$P$59,0),'Inv Detail'!$F$15:$F$59),IF(H22=2,SUMPRODUCT(_xlfn.XLOOKUP($E22,'Inv Detail'!$G$9:$P$9,'Inv Detail'!$G$10:$P$14,0),'Inv Detail'!$F$10:$F$14),""))</f>
        <v/>
      </c>
      <c r="N22" s="238" t="str">
        <f t="shared" si="9"/>
        <v/>
      </c>
      <c r="O22" s="238" t="str">
        <f t="shared" si="10"/>
        <v/>
      </c>
      <c r="T22" s="255" t="str">
        <f t="shared" si="28"/>
        <v/>
      </c>
      <c r="U22" s="256" t="str">
        <f t="shared" si="29"/>
        <v/>
      </c>
      <c r="V22" s="257" t="str">
        <f t="shared" si="30"/>
        <v/>
      </c>
    </row>
    <row r="23" spans="4:22" ht="15" x14ac:dyDescent="0.2">
      <c r="D23" s="240" t="str">
        <f t="shared" si="0"/>
        <v/>
      </c>
      <c r="E23" s="241" t="str">
        <f t="shared" si="1"/>
        <v/>
      </c>
      <c r="F23" s="239" t="str">
        <f t="shared" si="2"/>
        <v/>
      </c>
      <c r="G23" s="242" t="str">
        <f>IF(B23="","",IF(B23=#REF!,"Service Revenue","Food Sales"))</f>
        <v/>
      </c>
      <c r="H23" s="239" t="str">
        <f>IF(B23="","",IF(B23=#REF!,2,1))</f>
        <v/>
      </c>
      <c r="I23" s="258"/>
      <c r="J23" s="237"/>
      <c r="K23" s="259"/>
      <c r="L23" s="239" t="str">
        <f t="shared" si="8"/>
        <v/>
      </c>
      <c r="M23" s="405" t="str">
        <f>IF(H23=1,SUMPRODUCT(_xlfn.XLOOKUP($E23,'Inv Detail'!$G$9:$P$9,'Inv Detail'!$G$15:$P$59,0),'Inv Detail'!$F$15:$F$59),IF(H23=2,SUMPRODUCT(_xlfn.XLOOKUP($E23,'Inv Detail'!$G$9:$P$9,'Inv Detail'!$G$10:$P$14,0),'Inv Detail'!$F$10:$F$14),""))</f>
        <v/>
      </c>
      <c r="N23" s="238" t="str">
        <f t="shared" si="9"/>
        <v/>
      </c>
      <c r="O23" s="238" t="str">
        <f t="shared" si="10"/>
        <v/>
      </c>
      <c r="V23" s="275">
        <f>+SUM(V5:V22)</f>
        <v>43819.977347475724</v>
      </c>
    </row>
    <row r="24" spans="4:22" x14ac:dyDescent="0.2">
      <c r="D24" s="240" t="str">
        <f t="shared" si="0"/>
        <v/>
      </c>
      <c r="E24" s="241" t="str">
        <f t="shared" si="1"/>
        <v/>
      </c>
      <c r="F24" s="239" t="str">
        <f t="shared" si="2"/>
        <v/>
      </c>
      <c r="G24" s="242" t="str">
        <f t="shared" si="3"/>
        <v/>
      </c>
      <c r="H24" s="239" t="str">
        <f t="shared" si="4"/>
        <v/>
      </c>
      <c r="I24" s="258"/>
      <c r="J24" s="237"/>
      <c r="K24" s="259"/>
      <c r="L24" s="239" t="str">
        <f t="shared" si="8"/>
        <v/>
      </c>
      <c r="M24" s="405" t="str">
        <f>IF(H24=1,SUMPRODUCT(_xlfn.XLOOKUP($E24,'Inv Detail'!$G$9:$P$9,'Inv Detail'!$G$15:$P$59,0),'Inv Detail'!$F$15:$F$59),IF(H24=2,SUMPRODUCT(_xlfn.XLOOKUP($E24,'Inv Detail'!$G$9:$P$9,'Inv Detail'!$G$10:$P$14,0),'Inv Detail'!$F$10:$F$14),""))</f>
        <v/>
      </c>
      <c r="N24" s="238" t="str">
        <f t="shared" si="9"/>
        <v/>
      </c>
      <c r="O24" s="238" t="str">
        <f t="shared" si="10"/>
        <v/>
      </c>
    </row>
    <row r="25" spans="4:22" x14ac:dyDescent="0.2">
      <c r="D25" s="240" t="str">
        <f t="shared" si="0"/>
        <v/>
      </c>
      <c r="E25" s="241" t="str">
        <f t="shared" si="1"/>
        <v/>
      </c>
      <c r="F25" s="239" t="str">
        <f t="shared" si="2"/>
        <v/>
      </c>
      <c r="G25" s="242" t="str">
        <f t="shared" si="3"/>
        <v/>
      </c>
      <c r="H25" s="239" t="str">
        <f t="shared" si="4"/>
        <v/>
      </c>
      <c r="I25" s="258"/>
      <c r="J25" s="237"/>
      <c r="K25" s="259"/>
      <c r="L25" s="239" t="str">
        <f t="shared" si="8"/>
        <v/>
      </c>
      <c r="M25" s="405" t="str">
        <f>IF(H25=1,SUMPRODUCT(_xlfn.XLOOKUP($E25,'Inv Detail'!$G$9:$P$9,'Inv Detail'!$G$15:$P$59,0),'Inv Detail'!$F$15:$F$59),IF(H25=2,SUMPRODUCT(_xlfn.XLOOKUP($E25,'Inv Detail'!$G$9:$P$9,'Inv Detail'!$G$10:$P$14,0),'Inv Detail'!$F$10:$F$14),""))</f>
        <v/>
      </c>
      <c r="N25" s="238" t="str">
        <f t="shared" si="9"/>
        <v/>
      </c>
      <c r="O25" s="238" t="str">
        <f t="shared" si="10"/>
        <v/>
      </c>
    </row>
    <row r="26" spans="4:22" x14ac:dyDescent="0.2">
      <c r="D26" s="240" t="str">
        <f t="shared" si="0"/>
        <v/>
      </c>
      <c r="E26" s="241" t="str">
        <f t="shared" si="1"/>
        <v/>
      </c>
      <c r="F26" s="239" t="str">
        <f t="shared" si="2"/>
        <v/>
      </c>
      <c r="G26" s="242" t="str">
        <f t="shared" si="3"/>
        <v/>
      </c>
      <c r="H26" s="239" t="str">
        <f t="shared" si="4"/>
        <v/>
      </c>
      <c r="I26" s="258"/>
      <c r="J26" s="237"/>
      <c r="K26" s="259"/>
      <c r="L26" s="239" t="str">
        <f t="shared" si="8"/>
        <v/>
      </c>
      <c r="M26" s="326" t="str">
        <f>IF(H26=1,SUMPRODUCT(_xlfn.XLOOKUP($E26,'Inv Detail'!$G$9:$P$9,'Inv Detail'!$G$15:$P$55,0),'Inv Detail'!$F$15:$F$55),IF(H26=2,SUMPRODUCT(_xlfn.XLOOKUP($E26,'Inv Detail'!$G$9:$P$9,'Inv Detail'!$G$10:$P$13,0),'Inv Detail'!$F$10:$F$13),""))</f>
        <v/>
      </c>
      <c r="N26" s="238" t="str">
        <f t="shared" si="9"/>
        <v/>
      </c>
      <c r="O26" s="238" t="str">
        <f t="shared" si="10"/>
        <v/>
      </c>
    </row>
    <row r="27" spans="4:22" x14ac:dyDescent="0.2">
      <c r="D27" s="240" t="str">
        <f t="shared" si="0"/>
        <v/>
      </c>
      <c r="E27" s="241" t="str">
        <f t="shared" si="1"/>
        <v/>
      </c>
      <c r="F27" s="239" t="str">
        <f t="shared" si="2"/>
        <v/>
      </c>
      <c r="G27" s="242" t="str">
        <f t="shared" si="3"/>
        <v/>
      </c>
      <c r="H27" s="239" t="str">
        <f t="shared" si="4"/>
        <v/>
      </c>
      <c r="I27" s="258"/>
      <c r="J27" s="237"/>
      <c r="K27" s="259"/>
      <c r="L27" s="239" t="str">
        <f t="shared" si="8"/>
        <v/>
      </c>
      <c r="M27" s="326" t="str">
        <f>IF(H27=1,SUMPRODUCT(_xlfn.XLOOKUP($E27,'Inv Detail'!$G$9:$P$9,'Inv Detail'!$G$15:$P$55,0),'Inv Detail'!$F$15:$F$55),IF(H27=2,SUMPRODUCT(_xlfn.XLOOKUP($E27,'Inv Detail'!$G$9:$P$9,'Inv Detail'!$G$10:$P$13,0),'Inv Detail'!$F$10:$F$13),""))</f>
        <v/>
      </c>
      <c r="N27" s="238" t="str">
        <f t="shared" si="9"/>
        <v/>
      </c>
      <c r="O27" s="238" t="str">
        <f t="shared" si="10"/>
        <v/>
      </c>
    </row>
    <row r="28" spans="4:22" x14ac:dyDescent="0.2">
      <c r="D28" s="240" t="str">
        <f t="shared" si="0"/>
        <v/>
      </c>
      <c r="E28" s="241" t="str">
        <f t="shared" si="1"/>
        <v/>
      </c>
      <c r="F28" s="239" t="str">
        <f t="shared" si="2"/>
        <v/>
      </c>
      <c r="G28" s="242" t="str">
        <f t="shared" si="3"/>
        <v/>
      </c>
      <c r="H28" s="239" t="str">
        <f t="shared" si="4"/>
        <v/>
      </c>
      <c r="I28" s="258"/>
      <c r="J28" s="237"/>
      <c r="K28" s="259"/>
      <c r="L28" s="239" t="str">
        <f t="shared" si="8"/>
        <v/>
      </c>
      <c r="M28" s="326" t="str">
        <f>IF(H28=1,SUMPRODUCT(_xlfn.XLOOKUP($E28,'Inv Detail'!$G$9:$P$9,'Inv Detail'!$G$15:$P$55,0),'Inv Detail'!$F$15:$F$55),IF(H28=2,SUMPRODUCT(_xlfn.XLOOKUP($E28,'Inv Detail'!$G$9:$P$9,'Inv Detail'!$G$10:$P$13,0),'Inv Detail'!$F$10:$F$13),""))</f>
        <v/>
      </c>
      <c r="N28" s="238" t="str">
        <f t="shared" si="9"/>
        <v/>
      </c>
      <c r="O28" s="238" t="str">
        <f t="shared" si="10"/>
        <v/>
      </c>
    </row>
    <row r="29" spans="4:22" x14ac:dyDescent="0.2">
      <c r="D29" s="240" t="str">
        <f t="shared" si="0"/>
        <v/>
      </c>
      <c r="E29" s="241" t="str">
        <f t="shared" si="1"/>
        <v/>
      </c>
      <c r="F29" s="239" t="str">
        <f t="shared" si="2"/>
        <v/>
      </c>
      <c r="G29" s="242" t="str">
        <f t="shared" si="3"/>
        <v/>
      </c>
      <c r="H29" s="239" t="str">
        <f t="shared" si="4"/>
        <v/>
      </c>
      <c r="I29" s="258"/>
      <c r="J29" s="237"/>
      <c r="K29" s="259"/>
      <c r="L29" s="239" t="str">
        <f t="shared" si="8"/>
        <v/>
      </c>
      <c r="M29" s="326" t="str">
        <f>IF(H29=1,SUMPRODUCT(_xlfn.XLOOKUP($E29,'Inv Detail'!$G$9:$P$9,'Inv Detail'!$G$15:$P$55,0),'Inv Detail'!$F$15:$F$55),IF(H29=2,SUMPRODUCT(_xlfn.XLOOKUP($E29,'Inv Detail'!$G$9:$P$9,'Inv Detail'!$G$10:$P$13,0),'Inv Detail'!$F$10:$F$13),""))</f>
        <v/>
      </c>
      <c r="N29" s="238" t="str">
        <f t="shared" si="9"/>
        <v/>
      </c>
      <c r="O29" s="238" t="str">
        <f t="shared" si="10"/>
        <v/>
      </c>
    </row>
    <row r="30" spans="4:22" x14ac:dyDescent="0.2">
      <c r="D30" s="240" t="str">
        <f t="shared" si="0"/>
        <v/>
      </c>
      <c r="E30" s="241" t="str">
        <f t="shared" si="1"/>
        <v/>
      </c>
      <c r="F30" s="239" t="str">
        <f t="shared" si="2"/>
        <v/>
      </c>
      <c r="G30" s="242" t="str">
        <f t="shared" si="3"/>
        <v/>
      </c>
      <c r="H30" s="239" t="str">
        <f t="shared" si="4"/>
        <v/>
      </c>
      <c r="I30" s="258"/>
      <c r="J30" s="237"/>
      <c r="K30" s="259"/>
      <c r="L30" s="239" t="str">
        <f>IF(B30="","","6001")</f>
        <v/>
      </c>
      <c r="M30" s="326" t="str">
        <f>IF(H30=1,SUMPRODUCT(_xlfn.XLOOKUP($E30,'Inv Detail'!$G$9:$P$9,'Inv Detail'!$G$15:$P$55,0),'Inv Detail'!$F$15:$F$55),IF(H30=2,SUMPRODUCT(_xlfn.XLOOKUP($E30,'Inv Detail'!$G$9:$P$9,'Inv Detail'!$G$10:$P$13,0),'Inv Detail'!$F$10:$F$13),""))</f>
        <v/>
      </c>
      <c r="N30" s="238" t="str">
        <f t="shared" si="9"/>
        <v/>
      </c>
      <c r="O30" s="238" t="str">
        <f t="shared" si="10"/>
        <v/>
      </c>
    </row>
    <row r="31" spans="4:22" x14ac:dyDescent="0.2">
      <c r="D31" s="240" t="str">
        <f t="shared" si="0"/>
        <v/>
      </c>
      <c r="E31" s="241" t="str">
        <f t="shared" si="1"/>
        <v/>
      </c>
      <c r="F31" s="239" t="str">
        <f t="shared" si="2"/>
        <v/>
      </c>
      <c r="G31" s="242" t="str">
        <f t="shared" si="3"/>
        <v/>
      </c>
      <c r="H31" s="239" t="str">
        <f t="shared" si="4"/>
        <v/>
      </c>
      <c r="I31" s="258"/>
      <c r="J31" s="237"/>
      <c r="K31" s="259"/>
      <c r="L31" s="239" t="str">
        <f t="shared" si="8"/>
        <v/>
      </c>
      <c r="M31" s="326" t="str">
        <f>IF(H31=1,SUMPRODUCT(_xlfn.XLOOKUP($E31,'Inv Detail'!$G$9:$P$9,'Inv Detail'!$G$15:$P$55,0),'Inv Detail'!$F$15:$F$55),IF(H31=2,SUMPRODUCT(_xlfn.XLOOKUP($E31,'Inv Detail'!$G$9:$P$9,'Inv Detail'!$G$10:$P$13,0),'Inv Detail'!$F$10:$F$13),""))</f>
        <v/>
      </c>
      <c r="N31" s="238" t="str">
        <f t="shared" si="9"/>
        <v/>
      </c>
      <c r="O31" s="238" t="str">
        <f t="shared" si="10"/>
        <v/>
      </c>
    </row>
    <row r="32" spans="4:22" x14ac:dyDescent="0.2">
      <c r="D32" s="240" t="str">
        <f t="shared" si="0"/>
        <v/>
      </c>
      <c r="E32" s="241" t="str">
        <f t="shared" si="1"/>
        <v/>
      </c>
      <c r="F32" s="239" t="str">
        <f t="shared" si="2"/>
        <v/>
      </c>
      <c r="G32" s="242" t="str">
        <f t="shared" si="3"/>
        <v/>
      </c>
      <c r="H32" s="239" t="str">
        <f t="shared" si="4"/>
        <v/>
      </c>
      <c r="I32" s="258"/>
      <c r="J32" s="237"/>
      <c r="K32" s="259"/>
      <c r="L32" s="239" t="str">
        <f t="shared" si="8"/>
        <v/>
      </c>
      <c r="M32" s="326" t="str">
        <f>IF(H32=1,SUMPRODUCT(_xlfn.XLOOKUP($E32,'Inv Detail'!$G$9:$P$9,'Inv Detail'!$G$15:$P$55,0),'Inv Detail'!$F$15:$F$55),IF(H32=2,SUMPRODUCT(_xlfn.XLOOKUP($E32,'Inv Detail'!$G$9:$P$9,'Inv Detail'!$G$10:$P$13,0),'Inv Detail'!$F$10:$F$13),""))</f>
        <v/>
      </c>
      <c r="N32" s="238" t="str">
        <f t="shared" si="9"/>
        <v/>
      </c>
      <c r="O32" s="238" t="str">
        <f t="shared" si="10"/>
        <v/>
      </c>
    </row>
    <row r="33" spans="4:15" x14ac:dyDescent="0.2">
      <c r="D33" s="240" t="str">
        <f t="shared" si="0"/>
        <v/>
      </c>
      <c r="E33" s="241" t="str">
        <f t="shared" si="1"/>
        <v/>
      </c>
      <c r="F33" s="239" t="str">
        <f t="shared" si="2"/>
        <v/>
      </c>
      <c r="G33" s="242" t="str">
        <f t="shared" si="3"/>
        <v/>
      </c>
      <c r="H33" s="239" t="str">
        <f t="shared" si="4"/>
        <v/>
      </c>
      <c r="I33" s="258"/>
      <c r="J33" s="237"/>
      <c r="K33" s="259"/>
      <c r="L33" s="239" t="str">
        <f t="shared" si="8"/>
        <v/>
      </c>
      <c r="N33" s="238" t="str">
        <f t="shared" si="9"/>
        <v/>
      </c>
      <c r="O33" s="238" t="str">
        <f t="shared" si="10"/>
        <v/>
      </c>
    </row>
    <row r="34" spans="4:15" x14ac:dyDescent="0.2">
      <c r="D34" s="240" t="str">
        <f t="shared" si="0"/>
        <v/>
      </c>
      <c r="E34" s="241" t="str">
        <f t="shared" si="1"/>
        <v/>
      </c>
      <c r="F34" s="239" t="str">
        <f t="shared" si="2"/>
        <v/>
      </c>
      <c r="G34" s="242" t="str">
        <f t="shared" si="3"/>
        <v/>
      </c>
      <c r="H34" s="239" t="str">
        <f t="shared" si="4"/>
        <v/>
      </c>
      <c r="I34" s="258"/>
      <c r="J34" s="237"/>
      <c r="K34" s="260"/>
      <c r="L34" s="239" t="str">
        <f t="shared" si="8"/>
        <v/>
      </c>
      <c r="N34" s="238" t="str">
        <f t="shared" si="9"/>
        <v/>
      </c>
      <c r="O34" s="238" t="str">
        <f t="shared" si="10"/>
        <v/>
      </c>
    </row>
    <row r="35" spans="4:15" x14ac:dyDescent="0.2">
      <c r="D35" s="240" t="str">
        <f t="shared" si="0"/>
        <v/>
      </c>
      <c r="E35" s="241" t="str">
        <f t="shared" si="1"/>
        <v/>
      </c>
      <c r="F35" s="239" t="str">
        <f t="shared" si="2"/>
        <v/>
      </c>
      <c r="G35" s="242" t="str">
        <f t="shared" si="3"/>
        <v/>
      </c>
      <c r="H35" s="239" t="str">
        <f t="shared" si="4"/>
        <v/>
      </c>
      <c r="K35" s="240"/>
      <c r="L35" s="239" t="str">
        <f t="shared" si="8"/>
        <v/>
      </c>
      <c r="N35" s="238" t="str">
        <f t="shared" si="9"/>
        <v/>
      </c>
      <c r="O35" s="238" t="str">
        <f t="shared" si="10"/>
        <v/>
      </c>
    </row>
    <row r="36" spans="4:15" x14ac:dyDescent="0.2">
      <c r="D36" s="240" t="str">
        <f t="shared" si="0"/>
        <v/>
      </c>
      <c r="E36" s="241" t="str">
        <f t="shared" si="1"/>
        <v/>
      </c>
      <c r="F36" s="239" t="str">
        <f t="shared" si="2"/>
        <v/>
      </c>
      <c r="G36" s="242" t="str">
        <f t="shared" si="3"/>
        <v/>
      </c>
      <c r="H36" s="239" t="str">
        <f t="shared" si="4"/>
        <v/>
      </c>
      <c r="K36" s="240"/>
      <c r="L36" s="239" t="str">
        <f t="shared" si="8"/>
        <v/>
      </c>
      <c r="N36" s="238" t="str">
        <f t="shared" si="9"/>
        <v/>
      </c>
      <c r="O36" s="238" t="str">
        <f t="shared" si="10"/>
        <v/>
      </c>
    </row>
    <row r="37" spans="4:15" x14ac:dyDescent="0.2">
      <c r="D37" s="240" t="str">
        <f t="shared" si="0"/>
        <v/>
      </c>
      <c r="E37" s="241" t="str">
        <f t="shared" si="1"/>
        <v/>
      </c>
      <c r="F37" s="239" t="str">
        <f t="shared" si="2"/>
        <v/>
      </c>
      <c r="G37" s="242" t="str">
        <f t="shared" si="3"/>
        <v/>
      </c>
      <c r="H37" s="239" t="str">
        <f t="shared" si="4"/>
        <v/>
      </c>
      <c r="I37" s="239" t="str">
        <f t="shared" si="5"/>
        <v/>
      </c>
      <c r="J37" s="239" t="str">
        <f t="shared" si="6"/>
        <v/>
      </c>
      <c r="K37" s="240" t="str">
        <f t="shared" si="7"/>
        <v/>
      </c>
      <c r="L37" s="239" t="str">
        <f t="shared" si="8"/>
        <v/>
      </c>
      <c r="O37" s="238" t="str">
        <f t="shared" si="10"/>
        <v/>
      </c>
    </row>
    <row r="38" spans="4:15" x14ac:dyDescent="0.2">
      <c r="D38" s="240" t="str">
        <f t="shared" si="0"/>
        <v/>
      </c>
      <c r="E38" s="241" t="str">
        <f t="shared" si="1"/>
        <v/>
      </c>
      <c r="F38" s="239" t="str">
        <f t="shared" si="2"/>
        <v/>
      </c>
      <c r="G38" s="242" t="str">
        <f t="shared" si="3"/>
        <v/>
      </c>
      <c r="H38" s="239" t="str">
        <f t="shared" si="4"/>
        <v/>
      </c>
      <c r="I38" s="239" t="str">
        <f t="shared" si="5"/>
        <v/>
      </c>
      <c r="J38" s="239" t="str">
        <f t="shared" si="6"/>
        <v/>
      </c>
      <c r="K38" s="240" t="str">
        <f t="shared" si="7"/>
        <v/>
      </c>
      <c r="L38" s="239" t="str">
        <f t="shared" si="8"/>
        <v/>
      </c>
      <c r="N38" s="238" t="str">
        <f t="shared" si="9"/>
        <v/>
      </c>
      <c r="O38" s="238" t="str">
        <f t="shared" si="10"/>
        <v/>
      </c>
    </row>
    <row r="39" spans="4:15" x14ac:dyDescent="0.2">
      <c r="D39" s="240" t="str">
        <f t="shared" si="0"/>
        <v/>
      </c>
      <c r="E39" s="241" t="str">
        <f t="shared" si="1"/>
        <v/>
      </c>
      <c r="F39" s="239" t="str">
        <f t="shared" si="2"/>
        <v/>
      </c>
      <c r="G39" s="242" t="str">
        <f t="shared" si="3"/>
        <v/>
      </c>
      <c r="H39" s="239" t="str">
        <f t="shared" si="4"/>
        <v/>
      </c>
      <c r="I39" s="239" t="str">
        <f t="shared" si="5"/>
        <v/>
      </c>
      <c r="J39" s="239" t="str">
        <f t="shared" si="6"/>
        <v/>
      </c>
      <c r="K39" s="240" t="str">
        <f t="shared" si="7"/>
        <v/>
      </c>
      <c r="L39" s="239" t="str">
        <f t="shared" si="8"/>
        <v/>
      </c>
      <c r="N39" s="238" t="str">
        <f t="shared" si="9"/>
        <v/>
      </c>
      <c r="O39" s="238" t="str">
        <f t="shared" si="10"/>
        <v/>
      </c>
    </row>
    <row r="40" spans="4:15" x14ac:dyDescent="0.2">
      <c r="D40" s="240" t="str">
        <f t="shared" si="0"/>
        <v/>
      </c>
      <c r="E40" s="241" t="str">
        <f t="shared" si="1"/>
        <v/>
      </c>
      <c r="F40" s="239" t="str">
        <f t="shared" si="2"/>
        <v/>
      </c>
      <c r="G40" s="242" t="str">
        <f t="shared" si="3"/>
        <v/>
      </c>
      <c r="H40" s="239" t="str">
        <f t="shared" si="4"/>
        <v/>
      </c>
      <c r="I40" s="239" t="str">
        <f t="shared" si="5"/>
        <v/>
      </c>
      <c r="J40" s="239" t="str">
        <f t="shared" si="6"/>
        <v/>
      </c>
      <c r="K40" s="240" t="str">
        <f t="shared" si="7"/>
        <v/>
      </c>
      <c r="L40" s="239" t="str">
        <f t="shared" si="8"/>
        <v/>
      </c>
      <c r="N40" s="238" t="str">
        <f t="shared" si="9"/>
        <v/>
      </c>
      <c r="O40" s="238" t="str">
        <f t="shared" si="10"/>
        <v/>
      </c>
    </row>
    <row r="41" spans="4:15" x14ac:dyDescent="0.2">
      <c r="D41" s="240" t="str">
        <f t="shared" si="0"/>
        <v/>
      </c>
      <c r="E41" s="241" t="str">
        <f t="shared" si="1"/>
        <v/>
      </c>
      <c r="F41" s="239" t="str">
        <f t="shared" si="2"/>
        <v/>
      </c>
      <c r="G41" s="242" t="str">
        <f t="shared" si="3"/>
        <v/>
      </c>
      <c r="H41" s="239" t="str">
        <f t="shared" si="4"/>
        <v/>
      </c>
      <c r="I41" s="239" t="str">
        <f t="shared" si="5"/>
        <v/>
      </c>
      <c r="J41" s="239" t="str">
        <f t="shared" si="6"/>
        <v/>
      </c>
      <c r="K41" s="240" t="str">
        <f t="shared" si="7"/>
        <v/>
      </c>
      <c r="L41" s="239" t="str">
        <f t="shared" si="8"/>
        <v/>
      </c>
      <c r="N41" s="238" t="str">
        <f t="shared" si="9"/>
        <v/>
      </c>
      <c r="O41" s="238" t="str">
        <f t="shared" si="10"/>
        <v/>
      </c>
    </row>
    <row r="42" spans="4:15" x14ac:dyDescent="0.2">
      <c r="D42" s="240" t="str">
        <f t="shared" si="0"/>
        <v/>
      </c>
      <c r="E42" s="241" t="str">
        <f t="shared" si="1"/>
        <v/>
      </c>
      <c r="F42" s="239" t="str">
        <f t="shared" si="2"/>
        <v/>
      </c>
      <c r="G42" s="242" t="str">
        <f t="shared" si="3"/>
        <v/>
      </c>
      <c r="H42" s="239" t="str">
        <f t="shared" si="4"/>
        <v/>
      </c>
      <c r="I42" s="239" t="str">
        <f t="shared" si="5"/>
        <v/>
      </c>
      <c r="J42" s="239" t="str">
        <f t="shared" si="6"/>
        <v/>
      </c>
      <c r="K42" s="240" t="str">
        <f t="shared" si="7"/>
        <v/>
      </c>
      <c r="L42" s="239" t="str">
        <f t="shared" si="8"/>
        <v/>
      </c>
      <c r="N42" s="238" t="str">
        <f t="shared" si="9"/>
        <v/>
      </c>
      <c r="O42" s="238" t="str">
        <f t="shared" si="10"/>
        <v/>
      </c>
    </row>
    <row r="43" spans="4:15" x14ac:dyDescent="0.2">
      <c r="D43" s="240" t="str">
        <f t="shared" si="0"/>
        <v/>
      </c>
      <c r="E43" s="241" t="str">
        <f t="shared" si="1"/>
        <v/>
      </c>
      <c r="F43" s="239" t="str">
        <f t="shared" si="2"/>
        <v/>
      </c>
      <c r="G43" s="242" t="str">
        <f t="shared" si="3"/>
        <v/>
      </c>
      <c r="H43" s="239" t="str">
        <f t="shared" si="4"/>
        <v/>
      </c>
      <c r="I43" s="239" t="str">
        <f t="shared" si="5"/>
        <v/>
      </c>
      <c r="J43" s="239" t="str">
        <f t="shared" si="6"/>
        <v/>
      </c>
      <c r="K43" s="240" t="str">
        <f t="shared" si="7"/>
        <v/>
      </c>
      <c r="L43" s="239" t="str">
        <f t="shared" si="8"/>
        <v/>
      </c>
      <c r="N43" s="238" t="str">
        <f t="shared" si="9"/>
        <v/>
      </c>
      <c r="O43" s="238" t="str">
        <f t="shared" si="10"/>
        <v/>
      </c>
    </row>
    <row r="44" spans="4:15" x14ac:dyDescent="0.2">
      <c r="D44" s="240" t="str">
        <f t="shared" si="0"/>
        <v/>
      </c>
      <c r="E44" s="241" t="str">
        <f t="shared" si="1"/>
        <v/>
      </c>
      <c r="F44" s="239" t="str">
        <f t="shared" si="2"/>
        <v/>
      </c>
      <c r="G44" s="242" t="str">
        <f t="shared" si="3"/>
        <v/>
      </c>
      <c r="H44" s="239" t="str">
        <f t="shared" si="4"/>
        <v/>
      </c>
      <c r="I44" s="239" t="str">
        <f t="shared" si="5"/>
        <v/>
      </c>
      <c r="J44" s="239" t="str">
        <f t="shared" si="6"/>
        <v/>
      </c>
      <c r="K44" s="240" t="str">
        <f t="shared" si="7"/>
        <v/>
      </c>
      <c r="L44" s="239" t="str">
        <f t="shared" si="8"/>
        <v/>
      </c>
      <c r="N44" s="238" t="str">
        <f t="shared" si="9"/>
        <v/>
      </c>
      <c r="O44" s="238" t="str">
        <f t="shared" si="10"/>
        <v/>
      </c>
    </row>
    <row r="45" spans="4:15" x14ac:dyDescent="0.2">
      <c r="D45" s="240" t="str">
        <f t="shared" si="0"/>
        <v/>
      </c>
      <c r="E45" s="241" t="str">
        <f t="shared" si="1"/>
        <v/>
      </c>
      <c r="F45" s="239" t="str">
        <f t="shared" si="2"/>
        <v/>
      </c>
      <c r="G45" s="242" t="str">
        <f t="shared" si="3"/>
        <v/>
      </c>
      <c r="H45" s="239" t="str">
        <f t="shared" si="4"/>
        <v/>
      </c>
      <c r="I45" s="239" t="str">
        <f t="shared" si="5"/>
        <v/>
      </c>
      <c r="J45" s="239" t="str">
        <f t="shared" si="6"/>
        <v/>
      </c>
      <c r="K45" s="240" t="str">
        <f t="shared" si="7"/>
        <v/>
      </c>
      <c r="L45" s="239" t="str">
        <f t="shared" si="8"/>
        <v/>
      </c>
      <c r="N45" s="238" t="str">
        <f t="shared" si="9"/>
        <v/>
      </c>
      <c r="O45" s="238" t="str">
        <f t="shared" si="10"/>
        <v/>
      </c>
    </row>
    <row r="46" spans="4:15" x14ac:dyDescent="0.2">
      <c r="D46" s="240" t="str">
        <f t="shared" si="0"/>
        <v/>
      </c>
      <c r="E46" s="241" t="str">
        <f t="shared" si="1"/>
        <v/>
      </c>
      <c r="F46" s="239" t="str">
        <f t="shared" si="2"/>
        <v/>
      </c>
      <c r="G46" s="242" t="str">
        <f t="shared" si="3"/>
        <v/>
      </c>
      <c r="H46" s="239" t="str">
        <f t="shared" si="4"/>
        <v/>
      </c>
      <c r="I46" s="239" t="str">
        <f t="shared" si="5"/>
        <v/>
      </c>
      <c r="J46" s="239" t="str">
        <f t="shared" si="6"/>
        <v/>
      </c>
      <c r="K46" s="240" t="str">
        <f t="shared" si="7"/>
        <v/>
      </c>
      <c r="L46" s="239" t="str">
        <f t="shared" si="8"/>
        <v/>
      </c>
      <c r="N46" s="238" t="str">
        <f t="shared" si="9"/>
        <v/>
      </c>
      <c r="O46" s="238" t="str">
        <f t="shared" si="10"/>
        <v/>
      </c>
    </row>
    <row r="47" spans="4:15" x14ac:dyDescent="0.2">
      <c r="D47" s="240" t="str">
        <f t="shared" si="0"/>
        <v/>
      </c>
      <c r="E47" s="241" t="str">
        <f t="shared" si="1"/>
        <v/>
      </c>
      <c r="F47" s="239" t="str">
        <f t="shared" si="2"/>
        <v/>
      </c>
      <c r="G47" s="242" t="str">
        <f t="shared" si="3"/>
        <v/>
      </c>
      <c r="H47" s="239" t="str">
        <f t="shared" si="4"/>
        <v/>
      </c>
      <c r="I47" s="239" t="str">
        <f t="shared" si="5"/>
        <v/>
      </c>
      <c r="J47" s="239" t="str">
        <f t="shared" si="6"/>
        <v/>
      </c>
      <c r="K47" s="240" t="str">
        <f t="shared" si="7"/>
        <v/>
      </c>
      <c r="L47" s="239" t="str">
        <f t="shared" si="8"/>
        <v/>
      </c>
      <c r="N47" s="238" t="str">
        <f t="shared" si="9"/>
        <v/>
      </c>
      <c r="O47" s="238" t="str">
        <f t="shared" si="10"/>
        <v/>
      </c>
    </row>
    <row r="48" spans="4:15" x14ac:dyDescent="0.2">
      <c r="D48" s="240" t="str">
        <f t="shared" si="0"/>
        <v/>
      </c>
      <c r="E48" s="241" t="str">
        <f t="shared" si="1"/>
        <v/>
      </c>
      <c r="F48" s="239" t="str">
        <f t="shared" si="2"/>
        <v/>
      </c>
      <c r="G48" s="242" t="str">
        <f t="shared" si="3"/>
        <v/>
      </c>
      <c r="H48" s="239" t="str">
        <f t="shared" si="4"/>
        <v/>
      </c>
      <c r="I48" s="239" t="str">
        <f t="shared" si="5"/>
        <v/>
      </c>
      <c r="J48" s="239" t="str">
        <f t="shared" si="6"/>
        <v/>
      </c>
      <c r="K48" s="240" t="str">
        <f t="shared" si="7"/>
        <v/>
      </c>
      <c r="L48" s="239" t="str">
        <f t="shared" si="8"/>
        <v/>
      </c>
      <c r="N48" s="238" t="str">
        <f t="shared" si="9"/>
        <v/>
      </c>
      <c r="O48" s="238" t="str">
        <f t="shared" si="10"/>
        <v/>
      </c>
    </row>
    <row r="49" spans="4:15" x14ac:dyDescent="0.2">
      <c r="D49" s="240" t="str">
        <f t="shared" si="0"/>
        <v/>
      </c>
      <c r="E49" s="241" t="str">
        <f t="shared" si="1"/>
        <v/>
      </c>
      <c r="F49" s="239" t="str">
        <f t="shared" si="2"/>
        <v/>
      </c>
      <c r="G49" s="242" t="str">
        <f t="shared" si="3"/>
        <v/>
      </c>
      <c r="H49" s="239" t="str">
        <f t="shared" si="4"/>
        <v/>
      </c>
      <c r="I49" s="239" t="str">
        <f t="shared" si="5"/>
        <v/>
      </c>
      <c r="J49" s="239" t="str">
        <f t="shared" si="6"/>
        <v/>
      </c>
      <c r="K49" s="240" t="str">
        <f t="shared" si="7"/>
        <v/>
      </c>
      <c r="L49" s="239" t="str">
        <f t="shared" si="8"/>
        <v/>
      </c>
      <c r="N49" s="238" t="str">
        <f t="shared" si="9"/>
        <v/>
      </c>
      <c r="O49" s="238" t="str">
        <f t="shared" si="10"/>
        <v/>
      </c>
    </row>
    <row r="50" spans="4:15" x14ac:dyDescent="0.2">
      <c r="D50" s="240" t="str">
        <f t="shared" si="0"/>
        <v/>
      </c>
      <c r="E50" s="241" t="str">
        <f t="shared" si="1"/>
        <v/>
      </c>
      <c r="F50" s="239" t="str">
        <f t="shared" si="2"/>
        <v/>
      </c>
      <c r="G50" s="242" t="str">
        <f t="shared" si="3"/>
        <v/>
      </c>
      <c r="H50" s="239" t="str">
        <f t="shared" si="4"/>
        <v/>
      </c>
      <c r="I50" s="239" t="str">
        <f t="shared" si="5"/>
        <v/>
      </c>
      <c r="J50" s="239" t="str">
        <f t="shared" si="6"/>
        <v/>
      </c>
      <c r="K50" s="240" t="str">
        <f t="shared" si="7"/>
        <v/>
      </c>
      <c r="L50" s="239" t="str">
        <f t="shared" si="8"/>
        <v/>
      </c>
      <c r="N50" s="238" t="str">
        <f t="shared" si="9"/>
        <v/>
      </c>
      <c r="O50" s="238" t="str">
        <f t="shared" si="10"/>
        <v/>
      </c>
    </row>
    <row r="51" spans="4:15" x14ac:dyDescent="0.2">
      <c r="D51" s="240" t="str">
        <f t="shared" si="0"/>
        <v/>
      </c>
      <c r="E51" s="241" t="str">
        <f t="shared" si="1"/>
        <v/>
      </c>
      <c r="F51" s="239" t="str">
        <f t="shared" si="2"/>
        <v/>
      </c>
      <c r="G51" s="242" t="str">
        <f t="shared" si="3"/>
        <v/>
      </c>
      <c r="H51" s="239" t="str">
        <f t="shared" si="4"/>
        <v/>
      </c>
      <c r="I51" s="239" t="str">
        <f t="shared" si="5"/>
        <v/>
      </c>
      <c r="J51" s="239" t="str">
        <f t="shared" si="6"/>
        <v/>
      </c>
      <c r="K51" s="240" t="str">
        <f t="shared" si="7"/>
        <v/>
      </c>
      <c r="L51" s="239" t="str">
        <f t="shared" si="8"/>
        <v/>
      </c>
      <c r="N51" s="238" t="str">
        <f t="shared" si="9"/>
        <v/>
      </c>
      <c r="O51" s="238" t="str">
        <f t="shared" si="10"/>
        <v/>
      </c>
    </row>
    <row r="52" spans="4:15" x14ac:dyDescent="0.2">
      <c r="D52" s="240" t="str">
        <f t="shared" si="0"/>
        <v/>
      </c>
      <c r="E52" s="241" t="str">
        <f t="shared" si="1"/>
        <v/>
      </c>
      <c r="F52" s="239" t="str">
        <f t="shared" si="2"/>
        <v/>
      </c>
      <c r="G52" s="242" t="str">
        <f t="shared" si="3"/>
        <v/>
      </c>
      <c r="H52" s="239" t="str">
        <f t="shared" si="4"/>
        <v/>
      </c>
      <c r="I52" s="239" t="str">
        <f t="shared" si="5"/>
        <v/>
      </c>
      <c r="J52" s="239" t="str">
        <f t="shared" si="6"/>
        <v/>
      </c>
      <c r="K52" s="240" t="str">
        <f t="shared" si="7"/>
        <v/>
      </c>
      <c r="L52" s="239" t="str">
        <f t="shared" si="8"/>
        <v/>
      </c>
      <c r="N52" s="238" t="str">
        <f t="shared" si="9"/>
        <v/>
      </c>
      <c r="O52" s="238" t="str">
        <f t="shared" si="10"/>
        <v/>
      </c>
    </row>
    <row r="53" spans="4:15" x14ac:dyDescent="0.2">
      <c r="D53" s="240" t="str">
        <f t="shared" si="0"/>
        <v/>
      </c>
      <c r="E53" s="241" t="str">
        <f t="shared" si="1"/>
        <v/>
      </c>
      <c r="F53" s="239" t="str">
        <f t="shared" si="2"/>
        <v/>
      </c>
      <c r="G53" s="242" t="str">
        <f t="shared" si="3"/>
        <v/>
      </c>
      <c r="H53" s="239" t="str">
        <f t="shared" si="4"/>
        <v/>
      </c>
      <c r="I53" s="239" t="str">
        <f t="shared" si="5"/>
        <v/>
      </c>
      <c r="J53" s="239" t="str">
        <f t="shared" si="6"/>
        <v/>
      </c>
      <c r="K53" s="240" t="str">
        <f t="shared" si="7"/>
        <v/>
      </c>
      <c r="L53" s="239" t="str">
        <f t="shared" si="8"/>
        <v/>
      </c>
      <c r="N53" s="238" t="str">
        <f t="shared" si="9"/>
        <v/>
      </c>
      <c r="O53" s="238" t="str">
        <f t="shared" si="10"/>
        <v/>
      </c>
    </row>
    <row r="54" spans="4:15" x14ac:dyDescent="0.2">
      <c r="D54" s="240" t="str">
        <f t="shared" si="0"/>
        <v/>
      </c>
      <c r="E54" s="241" t="str">
        <f t="shared" si="1"/>
        <v/>
      </c>
      <c r="F54" s="239" t="str">
        <f t="shared" si="2"/>
        <v/>
      </c>
      <c r="G54" s="242" t="str">
        <f t="shared" si="3"/>
        <v/>
      </c>
      <c r="H54" s="239" t="str">
        <f t="shared" si="4"/>
        <v/>
      </c>
      <c r="I54" s="239" t="str">
        <f t="shared" si="5"/>
        <v/>
      </c>
      <c r="J54" s="239" t="str">
        <f t="shared" si="6"/>
        <v/>
      </c>
      <c r="K54" s="240" t="str">
        <f t="shared" si="7"/>
        <v/>
      </c>
      <c r="L54" s="239" t="str">
        <f t="shared" si="8"/>
        <v/>
      </c>
      <c r="N54" s="238" t="str">
        <f t="shared" si="9"/>
        <v/>
      </c>
      <c r="O54" s="238" t="str">
        <f t="shared" si="10"/>
        <v/>
      </c>
    </row>
    <row r="55" spans="4:15" x14ac:dyDescent="0.2">
      <c r="D55" s="240" t="str">
        <f t="shared" si="0"/>
        <v/>
      </c>
      <c r="E55" s="241" t="str">
        <f t="shared" si="1"/>
        <v/>
      </c>
      <c r="F55" s="239" t="str">
        <f t="shared" si="2"/>
        <v/>
      </c>
      <c r="G55" s="242" t="str">
        <f t="shared" si="3"/>
        <v/>
      </c>
      <c r="H55" s="239" t="str">
        <f t="shared" si="4"/>
        <v/>
      </c>
      <c r="I55" s="239" t="str">
        <f t="shared" si="5"/>
        <v/>
      </c>
      <c r="J55" s="239" t="str">
        <f t="shared" si="6"/>
        <v/>
      </c>
      <c r="K55" s="240" t="str">
        <f t="shared" si="7"/>
        <v/>
      </c>
      <c r="L55" s="239" t="str">
        <f t="shared" si="8"/>
        <v/>
      </c>
      <c r="N55" s="238" t="str">
        <f t="shared" si="9"/>
        <v/>
      </c>
      <c r="O55" s="238" t="str">
        <f t="shared" si="10"/>
        <v/>
      </c>
    </row>
    <row r="56" spans="4:15" x14ac:dyDescent="0.2">
      <c r="D56" s="240" t="str">
        <f t="shared" si="0"/>
        <v/>
      </c>
      <c r="E56" s="241" t="str">
        <f t="shared" si="1"/>
        <v/>
      </c>
      <c r="F56" s="239" t="str">
        <f t="shared" si="2"/>
        <v/>
      </c>
      <c r="G56" s="242" t="str">
        <f t="shared" si="3"/>
        <v/>
      </c>
      <c r="H56" s="239" t="str">
        <f t="shared" si="4"/>
        <v/>
      </c>
      <c r="I56" s="239" t="str">
        <f t="shared" si="5"/>
        <v/>
      </c>
      <c r="J56" s="239" t="str">
        <f t="shared" si="6"/>
        <v/>
      </c>
      <c r="K56" s="240" t="str">
        <f t="shared" si="7"/>
        <v/>
      </c>
      <c r="L56" s="239" t="str">
        <f t="shared" si="8"/>
        <v/>
      </c>
      <c r="N56" s="238" t="str">
        <f t="shared" si="9"/>
        <v/>
      </c>
      <c r="O56" s="238" t="str">
        <f t="shared" si="10"/>
        <v/>
      </c>
    </row>
    <row r="57" spans="4:15" x14ac:dyDescent="0.2">
      <c r="D57" s="240" t="str">
        <f t="shared" si="0"/>
        <v/>
      </c>
      <c r="E57" s="241" t="str">
        <f t="shared" si="1"/>
        <v/>
      </c>
      <c r="F57" s="239" t="str">
        <f t="shared" si="2"/>
        <v/>
      </c>
      <c r="G57" s="242" t="str">
        <f t="shared" si="3"/>
        <v/>
      </c>
      <c r="H57" s="239" t="str">
        <f t="shared" si="4"/>
        <v/>
      </c>
      <c r="I57" s="239" t="str">
        <f t="shared" si="5"/>
        <v/>
      </c>
      <c r="J57" s="239" t="str">
        <f t="shared" si="6"/>
        <v/>
      </c>
      <c r="K57" s="240" t="str">
        <f t="shared" si="7"/>
        <v/>
      </c>
      <c r="L57" s="239" t="str">
        <f t="shared" si="8"/>
        <v/>
      </c>
      <c r="N57" s="238" t="str">
        <f t="shared" si="9"/>
        <v/>
      </c>
      <c r="O57" s="238" t="str">
        <f t="shared" si="10"/>
        <v/>
      </c>
    </row>
    <row r="58" spans="4:15" x14ac:dyDescent="0.2">
      <c r="D58" s="240" t="str">
        <f t="shared" si="0"/>
        <v/>
      </c>
      <c r="E58" s="241" t="str">
        <f t="shared" si="1"/>
        <v/>
      </c>
      <c r="F58" s="239" t="str">
        <f t="shared" si="2"/>
        <v/>
      </c>
      <c r="G58" s="242" t="str">
        <f t="shared" si="3"/>
        <v/>
      </c>
      <c r="H58" s="239" t="str">
        <f t="shared" si="4"/>
        <v/>
      </c>
      <c r="I58" s="239" t="str">
        <f t="shared" si="5"/>
        <v/>
      </c>
      <c r="J58" s="239" t="str">
        <f t="shared" si="6"/>
        <v/>
      </c>
      <c r="K58" s="240" t="str">
        <f t="shared" si="7"/>
        <v/>
      </c>
      <c r="L58" s="239" t="str">
        <f t="shared" si="8"/>
        <v/>
      </c>
      <c r="N58" s="238" t="str">
        <f t="shared" si="9"/>
        <v/>
      </c>
      <c r="O58" s="238" t="str">
        <f t="shared" si="10"/>
        <v/>
      </c>
    </row>
    <row r="59" spans="4:15" x14ac:dyDescent="0.2">
      <c r="D59" s="240" t="str">
        <f t="shared" si="0"/>
        <v/>
      </c>
      <c r="E59" s="241" t="str">
        <f t="shared" si="1"/>
        <v/>
      </c>
      <c r="F59" s="239" t="str">
        <f t="shared" si="2"/>
        <v/>
      </c>
      <c r="G59" s="242" t="str">
        <f t="shared" si="3"/>
        <v/>
      </c>
      <c r="H59" s="239" t="str">
        <f t="shared" si="4"/>
        <v/>
      </c>
      <c r="I59" s="239" t="str">
        <f t="shared" si="5"/>
        <v/>
      </c>
      <c r="J59" s="239" t="str">
        <f t="shared" si="6"/>
        <v/>
      </c>
      <c r="K59" s="240" t="str">
        <f t="shared" si="7"/>
        <v/>
      </c>
      <c r="L59" s="239" t="str">
        <f t="shared" si="8"/>
        <v/>
      </c>
      <c r="N59" s="238" t="str">
        <f t="shared" si="9"/>
        <v/>
      </c>
      <c r="O59" s="238" t="str">
        <f t="shared" si="10"/>
        <v/>
      </c>
    </row>
    <row r="60" spans="4:15" x14ac:dyDescent="0.2">
      <c r="D60" s="240" t="str">
        <f t="shared" si="0"/>
        <v/>
      </c>
      <c r="E60" s="241" t="str">
        <f t="shared" si="1"/>
        <v/>
      </c>
      <c r="F60" s="239" t="str">
        <f t="shared" si="2"/>
        <v/>
      </c>
      <c r="G60" s="242" t="str">
        <f t="shared" si="3"/>
        <v/>
      </c>
      <c r="H60" s="239" t="str">
        <f t="shared" si="4"/>
        <v/>
      </c>
      <c r="I60" s="239" t="str">
        <f t="shared" si="5"/>
        <v/>
      </c>
      <c r="J60" s="239" t="str">
        <f t="shared" si="6"/>
        <v/>
      </c>
      <c r="K60" s="240" t="str">
        <f t="shared" si="7"/>
        <v/>
      </c>
      <c r="L60" s="239" t="str">
        <f t="shared" si="8"/>
        <v/>
      </c>
      <c r="N60" s="238" t="str">
        <f t="shared" si="9"/>
        <v/>
      </c>
      <c r="O60" s="238" t="str">
        <f t="shared" si="10"/>
        <v/>
      </c>
    </row>
    <row r="61" spans="4:15" x14ac:dyDescent="0.2">
      <c r="D61" s="240" t="str">
        <f t="shared" ref="D61:D68" si="34">IF(B61="","","C0594")</f>
        <v/>
      </c>
      <c r="E61" s="241" t="str">
        <f t="shared" ref="E61:E68" si="35">IF(B61="","",DATE(VALUE(MID(B61,3,4)),VALUE(MID(B61,7,2)),VALUE(RIGHT(B61,2))))</f>
        <v/>
      </c>
      <c r="F61" s="239" t="str">
        <f t="shared" ref="F61:F68" si="36">IF(B61="","","Net 30")</f>
        <v/>
      </c>
      <c r="G61" s="242" t="str">
        <f t="shared" ref="G61:G68" si="37">IF(B61="","",IF(B61=B60,"Service Revenue","Food Sales"))</f>
        <v/>
      </c>
      <c r="H61" s="239" t="str">
        <f t="shared" ref="H61:H68" si="38">IF(B61="","",IF(B61=B60,2,1))</f>
        <v/>
      </c>
      <c r="I61" s="239" t="str">
        <f t="shared" ref="I61:I68" si="39">IF(B61="","","ET F&amp;S "&amp;TEXT(E61,"MM.DD.YY")&amp;" invoice")</f>
        <v/>
      </c>
      <c r="J61" s="239" t="str">
        <f t="shared" ref="J61:J68" si="40">IF(B61="","",IF(H61=1,411001,413909))</f>
        <v/>
      </c>
      <c r="K61" s="240" t="str">
        <f t="shared" ref="K61:K68" si="41">IF(B61="","","GG10M2")</f>
        <v/>
      </c>
      <c r="L61" s="239" t="str">
        <f t="shared" ref="L61:L68" si="42">IF(B61="","","6001")</f>
        <v/>
      </c>
      <c r="N61" s="238" t="str">
        <f t="shared" ref="N61:N68" si="43">IF(B61="","","Submit")</f>
        <v/>
      </c>
      <c r="O61" s="238" t="str">
        <f t="shared" ref="O61:O68" si="44">IF(B61="","",D61)</f>
        <v/>
      </c>
    </row>
    <row r="62" spans="4:15" x14ac:dyDescent="0.2">
      <c r="D62" s="240" t="str">
        <f t="shared" si="34"/>
        <v/>
      </c>
      <c r="E62" s="241" t="str">
        <f t="shared" si="35"/>
        <v/>
      </c>
      <c r="F62" s="239" t="str">
        <f t="shared" si="36"/>
        <v/>
      </c>
      <c r="G62" s="242" t="str">
        <f t="shared" si="37"/>
        <v/>
      </c>
      <c r="H62" s="239" t="str">
        <f t="shared" si="38"/>
        <v/>
      </c>
      <c r="I62" s="239" t="str">
        <f t="shared" si="39"/>
        <v/>
      </c>
      <c r="J62" s="239" t="str">
        <f t="shared" si="40"/>
        <v/>
      </c>
      <c r="K62" s="240" t="str">
        <f t="shared" si="41"/>
        <v/>
      </c>
      <c r="L62" s="239" t="str">
        <f t="shared" si="42"/>
        <v/>
      </c>
      <c r="N62" s="238" t="str">
        <f t="shared" si="43"/>
        <v/>
      </c>
      <c r="O62" s="238" t="str">
        <f t="shared" si="44"/>
        <v/>
      </c>
    </row>
    <row r="63" spans="4:15" x14ac:dyDescent="0.2">
      <c r="D63" s="240" t="str">
        <f t="shared" si="34"/>
        <v/>
      </c>
      <c r="E63" s="241" t="str">
        <f t="shared" si="35"/>
        <v/>
      </c>
      <c r="F63" s="239" t="str">
        <f t="shared" si="36"/>
        <v/>
      </c>
      <c r="G63" s="242" t="str">
        <f t="shared" si="37"/>
        <v/>
      </c>
      <c r="H63" s="239" t="str">
        <f t="shared" si="38"/>
        <v/>
      </c>
      <c r="I63" s="239" t="str">
        <f t="shared" si="39"/>
        <v/>
      </c>
      <c r="J63" s="239" t="str">
        <f t="shared" si="40"/>
        <v/>
      </c>
      <c r="K63" s="240" t="str">
        <f t="shared" si="41"/>
        <v/>
      </c>
      <c r="L63" s="239" t="str">
        <f t="shared" si="42"/>
        <v/>
      </c>
      <c r="N63" s="238" t="str">
        <f t="shared" si="43"/>
        <v/>
      </c>
      <c r="O63" s="238" t="str">
        <f t="shared" si="44"/>
        <v/>
      </c>
    </row>
    <row r="64" spans="4:15" x14ac:dyDescent="0.2">
      <c r="D64" s="240" t="str">
        <f t="shared" si="34"/>
        <v/>
      </c>
      <c r="E64" s="241" t="str">
        <f t="shared" si="35"/>
        <v/>
      </c>
      <c r="F64" s="239" t="str">
        <f t="shared" si="36"/>
        <v/>
      </c>
      <c r="G64" s="242" t="str">
        <f t="shared" si="37"/>
        <v/>
      </c>
      <c r="H64" s="239" t="str">
        <f t="shared" si="38"/>
        <v/>
      </c>
      <c r="I64" s="239" t="str">
        <f t="shared" si="39"/>
        <v/>
      </c>
      <c r="J64" s="239" t="str">
        <f t="shared" si="40"/>
        <v/>
      </c>
      <c r="K64" s="240" t="str">
        <f t="shared" si="41"/>
        <v/>
      </c>
      <c r="L64" s="239" t="str">
        <f t="shared" si="42"/>
        <v/>
      </c>
      <c r="N64" s="238" t="str">
        <f t="shared" si="43"/>
        <v/>
      </c>
      <c r="O64" s="238" t="str">
        <f t="shared" si="44"/>
        <v/>
      </c>
    </row>
    <row r="65" spans="4:15" x14ac:dyDescent="0.2">
      <c r="D65" s="240" t="str">
        <f t="shared" si="34"/>
        <v/>
      </c>
      <c r="E65" s="241" t="str">
        <f t="shared" si="35"/>
        <v/>
      </c>
      <c r="F65" s="239" t="str">
        <f t="shared" si="36"/>
        <v/>
      </c>
      <c r="G65" s="242" t="str">
        <f t="shared" si="37"/>
        <v/>
      </c>
      <c r="H65" s="239" t="str">
        <f t="shared" si="38"/>
        <v/>
      </c>
      <c r="I65" s="239" t="str">
        <f t="shared" si="39"/>
        <v/>
      </c>
      <c r="J65" s="239" t="str">
        <f t="shared" si="40"/>
        <v/>
      </c>
      <c r="K65" s="240" t="str">
        <f t="shared" si="41"/>
        <v/>
      </c>
      <c r="L65" s="239" t="str">
        <f t="shared" si="42"/>
        <v/>
      </c>
      <c r="N65" s="238" t="str">
        <f t="shared" si="43"/>
        <v/>
      </c>
      <c r="O65" s="238" t="str">
        <f t="shared" si="44"/>
        <v/>
      </c>
    </row>
    <row r="66" spans="4:15" x14ac:dyDescent="0.2">
      <c r="D66" s="240" t="str">
        <f t="shared" si="34"/>
        <v/>
      </c>
      <c r="E66" s="241" t="str">
        <f t="shared" si="35"/>
        <v/>
      </c>
      <c r="F66" s="239" t="str">
        <f t="shared" si="36"/>
        <v/>
      </c>
      <c r="G66" s="242" t="str">
        <f t="shared" si="37"/>
        <v/>
      </c>
      <c r="H66" s="239" t="str">
        <f t="shared" si="38"/>
        <v/>
      </c>
      <c r="I66" s="239" t="str">
        <f t="shared" si="39"/>
        <v/>
      </c>
      <c r="J66" s="239" t="str">
        <f t="shared" si="40"/>
        <v/>
      </c>
      <c r="K66" s="240" t="str">
        <f t="shared" si="41"/>
        <v/>
      </c>
      <c r="L66" s="239" t="str">
        <f t="shared" si="42"/>
        <v/>
      </c>
      <c r="N66" s="238" t="str">
        <f t="shared" si="43"/>
        <v/>
      </c>
      <c r="O66" s="238" t="str">
        <f t="shared" si="44"/>
        <v/>
      </c>
    </row>
    <row r="67" spans="4:15" x14ac:dyDescent="0.2">
      <c r="D67" s="240" t="str">
        <f t="shared" si="34"/>
        <v/>
      </c>
      <c r="E67" s="241" t="str">
        <f t="shared" si="35"/>
        <v/>
      </c>
      <c r="F67" s="239" t="str">
        <f t="shared" si="36"/>
        <v/>
      </c>
      <c r="G67" s="242" t="str">
        <f t="shared" si="37"/>
        <v/>
      </c>
      <c r="H67" s="239" t="str">
        <f t="shared" si="38"/>
        <v/>
      </c>
      <c r="I67" s="239" t="str">
        <f t="shared" si="39"/>
        <v/>
      </c>
      <c r="J67" s="239" t="str">
        <f t="shared" si="40"/>
        <v/>
      </c>
      <c r="K67" s="240" t="str">
        <f t="shared" si="41"/>
        <v/>
      </c>
      <c r="L67" s="239" t="str">
        <f t="shared" si="42"/>
        <v/>
      </c>
      <c r="N67" s="238" t="str">
        <f t="shared" si="43"/>
        <v/>
      </c>
      <c r="O67" s="238" t="str">
        <f t="shared" si="44"/>
        <v/>
      </c>
    </row>
    <row r="68" spans="4:15" x14ac:dyDescent="0.2">
      <c r="D68" s="240" t="str">
        <f t="shared" si="34"/>
        <v/>
      </c>
      <c r="E68" s="241" t="str">
        <f t="shared" si="35"/>
        <v/>
      </c>
      <c r="F68" s="239" t="str">
        <f t="shared" si="36"/>
        <v/>
      </c>
      <c r="G68" s="242" t="str">
        <f t="shared" si="37"/>
        <v/>
      </c>
      <c r="H68" s="239" t="str">
        <f t="shared" si="38"/>
        <v/>
      </c>
      <c r="I68" s="239" t="str">
        <f t="shared" si="39"/>
        <v/>
      </c>
      <c r="J68" s="239" t="str">
        <f t="shared" si="40"/>
        <v/>
      </c>
      <c r="K68" s="240" t="str">
        <f t="shared" si="41"/>
        <v/>
      </c>
      <c r="L68" s="239" t="str">
        <f t="shared" si="42"/>
        <v/>
      </c>
      <c r="N68" s="238" t="str">
        <f t="shared" si="43"/>
        <v/>
      </c>
      <c r="O68" s="238" t="str">
        <f t="shared" si="44"/>
        <v/>
      </c>
    </row>
  </sheetData>
  <mergeCells count="1">
    <mergeCell ref="T3:V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F06-3899-435F-8462-A6F72FF2EC63}">
  <dimension ref="A4:AD80"/>
  <sheetViews>
    <sheetView topLeftCell="I1" workbookViewId="0">
      <selection activeCell="A6" sqref="A6:C13"/>
    </sheetView>
  </sheetViews>
  <sheetFormatPr defaultRowHeight="15" x14ac:dyDescent="0.25"/>
  <cols>
    <col min="23" max="23" width="67.85546875" bestFit="1" customWidth="1"/>
  </cols>
  <sheetData>
    <row r="4" spans="1:29" x14ac:dyDescent="0.25">
      <c r="A4" s="272"/>
    </row>
    <row r="5" spans="1:29" x14ac:dyDescent="0.25">
      <c r="A5" s="272"/>
    </row>
    <row r="6" spans="1:29" ht="15.75" x14ac:dyDescent="0.25">
      <c r="A6" s="272" t="s">
        <v>438</v>
      </c>
      <c r="B6" s="272"/>
      <c r="C6" s="272"/>
      <c r="D6" s="272"/>
      <c r="E6" s="272"/>
      <c r="F6" s="272"/>
      <c r="V6" s="276" t="s">
        <v>355</v>
      </c>
      <c r="W6" s="12"/>
      <c r="X6" s="12"/>
      <c r="Y6" s="12"/>
      <c r="Z6" s="12"/>
      <c r="AA6" s="12"/>
      <c r="AB6" s="12"/>
      <c r="AC6" s="12"/>
    </row>
    <row r="7" spans="1:29" ht="15.75" x14ac:dyDescent="0.25">
      <c r="A7" s="272" t="s">
        <v>160</v>
      </c>
      <c r="V7" s="277" t="s">
        <v>356</v>
      </c>
    </row>
    <row r="8" spans="1:29" ht="15.75" x14ac:dyDescent="0.25">
      <c r="A8" s="273" t="s">
        <v>161</v>
      </c>
      <c r="B8" s="12"/>
      <c r="C8" s="12"/>
      <c r="V8" s="277" t="s">
        <v>357</v>
      </c>
    </row>
    <row r="9" spans="1:29" ht="15.75" x14ac:dyDescent="0.25">
      <c r="A9" s="273" t="s">
        <v>162</v>
      </c>
      <c r="B9" s="12"/>
      <c r="C9" s="12"/>
      <c r="V9" s="278" t="s">
        <v>358</v>
      </c>
    </row>
    <row r="10" spans="1:29" ht="15.75" x14ac:dyDescent="0.25">
      <c r="A10" s="273" t="s">
        <v>163</v>
      </c>
      <c r="B10" s="12"/>
      <c r="C10" s="12"/>
      <c r="V10" s="278" t="s">
        <v>359</v>
      </c>
    </row>
    <row r="11" spans="1:29" ht="15.75" x14ac:dyDescent="0.25">
      <c r="A11" s="273" t="s">
        <v>164</v>
      </c>
      <c r="B11" s="12"/>
      <c r="C11" s="12"/>
      <c r="V11" s="278" t="s">
        <v>360</v>
      </c>
    </row>
    <row r="12" spans="1:29" ht="15.75" x14ac:dyDescent="0.25">
      <c r="A12" s="273" t="s">
        <v>165</v>
      </c>
      <c r="B12" s="12"/>
      <c r="C12" s="12"/>
      <c r="V12" s="278" t="s">
        <v>361</v>
      </c>
    </row>
    <row r="13" spans="1:29" ht="15.75" x14ac:dyDescent="0.25">
      <c r="A13" s="273" t="s">
        <v>166</v>
      </c>
      <c r="B13" s="12"/>
      <c r="C13" s="12"/>
      <c r="V13" s="277" t="s">
        <v>357</v>
      </c>
    </row>
    <row r="14" spans="1:29" ht="15.75" x14ac:dyDescent="0.25">
      <c r="V14" s="277" t="s">
        <v>362</v>
      </c>
    </row>
    <row r="15" spans="1:29" ht="15.75" x14ac:dyDescent="0.25">
      <c r="A15" s="273" t="s">
        <v>439</v>
      </c>
      <c r="V15" s="277"/>
    </row>
    <row r="16" spans="1:29" ht="15.75" x14ac:dyDescent="0.25">
      <c r="V16" s="279" t="s">
        <v>363</v>
      </c>
    </row>
    <row r="17" spans="22:30" ht="16.5" thickBot="1" x14ac:dyDescent="0.3">
      <c r="V17" s="280"/>
    </row>
    <row r="18" spans="22:30" ht="15.75" thickBot="1" x14ac:dyDescent="0.3">
      <c r="V18" s="540" t="s">
        <v>364</v>
      </c>
      <c r="W18" s="541"/>
    </row>
    <row r="19" spans="22:30" ht="15.75" thickBot="1" x14ac:dyDescent="0.3">
      <c r="V19" s="281" t="s">
        <v>365</v>
      </c>
      <c r="W19" s="282" t="s">
        <v>366</v>
      </c>
    </row>
    <row r="20" spans="22:30" ht="15.75" thickBot="1" x14ac:dyDescent="0.3">
      <c r="V20" s="283"/>
    </row>
    <row r="21" spans="22:30" ht="15.75" thickBot="1" x14ac:dyDescent="0.3">
      <c r="V21" s="284">
        <v>787</v>
      </c>
      <c r="W21" s="285" t="s">
        <v>367</v>
      </c>
    </row>
    <row r="22" spans="22:30" ht="15.75" thickBot="1" x14ac:dyDescent="0.3">
      <c r="V22" s="286" t="s">
        <v>368</v>
      </c>
      <c r="W22" s="287" t="s">
        <v>369</v>
      </c>
    </row>
    <row r="23" spans="22:30" ht="15.75" thickBot="1" x14ac:dyDescent="0.3">
      <c r="V23" s="286" t="s">
        <v>370</v>
      </c>
      <c r="W23" s="287" t="s">
        <v>369</v>
      </c>
    </row>
    <row r="24" spans="22:30" ht="15.75" thickBot="1" x14ac:dyDescent="0.3">
      <c r="V24" s="286" t="s">
        <v>237</v>
      </c>
      <c r="W24" s="287" t="s">
        <v>369</v>
      </c>
    </row>
    <row r="25" spans="22:30" x14ac:dyDescent="0.25">
      <c r="V25" s="288"/>
    </row>
    <row r="26" spans="22:30" ht="15.75" thickBot="1" x14ac:dyDescent="0.3">
      <c r="V26" s="289" t="s">
        <v>371</v>
      </c>
    </row>
    <row r="27" spans="22:30" x14ac:dyDescent="0.25">
      <c r="V27" s="542" t="s">
        <v>372</v>
      </c>
      <c r="W27" s="543"/>
      <c r="X27" s="543"/>
      <c r="Y27" s="543"/>
      <c r="Z27" s="543"/>
      <c r="AA27" s="543"/>
      <c r="AB27" s="543"/>
      <c r="AC27" s="543"/>
      <c r="AD27" s="544"/>
    </row>
    <row r="28" spans="22:30" ht="15.75" thickBot="1" x14ac:dyDescent="0.3">
      <c r="V28" s="545"/>
      <c r="W28" s="546"/>
      <c r="X28" s="546"/>
      <c r="Y28" s="546"/>
      <c r="Z28" s="546"/>
      <c r="AA28" s="546"/>
      <c r="AB28" s="546"/>
      <c r="AC28" s="546"/>
      <c r="AD28" s="547"/>
    </row>
    <row r="29" spans="22:30" ht="75.75" thickBot="1" x14ac:dyDescent="0.3">
      <c r="V29" s="290" t="s">
        <v>373</v>
      </c>
      <c r="W29" s="291" t="s">
        <v>374</v>
      </c>
      <c r="X29" s="292" t="s">
        <v>375</v>
      </c>
      <c r="Y29" s="292" t="s">
        <v>376</v>
      </c>
      <c r="Z29" s="293" t="s">
        <v>377</v>
      </c>
      <c r="AA29" s="294" t="s">
        <v>378</v>
      </c>
      <c r="AB29" s="293" t="s">
        <v>379</v>
      </c>
      <c r="AC29" s="293" t="s">
        <v>380</v>
      </c>
      <c r="AD29" s="293" t="s">
        <v>381</v>
      </c>
    </row>
    <row r="30" spans="22:30" ht="15.75" thickBot="1" x14ac:dyDescent="0.3">
      <c r="V30" s="295">
        <v>787</v>
      </c>
      <c r="W30" s="296">
        <v>2</v>
      </c>
      <c r="X30" s="297">
        <v>1</v>
      </c>
      <c r="Y30" s="297">
        <v>1</v>
      </c>
      <c r="Z30" s="297">
        <v>2</v>
      </c>
      <c r="AA30" s="296">
        <v>13</v>
      </c>
      <c r="AB30" s="297">
        <v>4</v>
      </c>
      <c r="AC30" s="297">
        <v>4</v>
      </c>
      <c r="AD30" s="298">
        <v>17</v>
      </c>
    </row>
    <row r="31" spans="22:30" ht="15.75" thickBot="1" x14ac:dyDescent="0.3">
      <c r="V31" s="295" t="s">
        <v>382</v>
      </c>
      <c r="W31" s="296">
        <v>2</v>
      </c>
      <c r="X31" s="299">
        <v>1</v>
      </c>
      <c r="Y31" s="297">
        <v>1</v>
      </c>
      <c r="Z31" s="297">
        <v>2</v>
      </c>
      <c r="AA31" s="296">
        <v>13</v>
      </c>
      <c r="AB31" s="297">
        <v>4</v>
      </c>
      <c r="AC31" s="297">
        <v>4</v>
      </c>
      <c r="AD31" s="298">
        <v>17</v>
      </c>
    </row>
    <row r="32" spans="22:30" ht="15.75" thickBot="1" x14ac:dyDescent="0.3">
      <c r="V32" s="295" t="s">
        <v>383</v>
      </c>
      <c r="W32" s="296">
        <v>2</v>
      </c>
      <c r="X32" s="299">
        <v>1</v>
      </c>
      <c r="Y32" s="297">
        <v>1</v>
      </c>
      <c r="Z32" s="297">
        <v>2</v>
      </c>
      <c r="AA32" s="296">
        <v>11</v>
      </c>
      <c r="AB32" s="297">
        <v>4</v>
      </c>
      <c r="AC32" s="297">
        <v>3</v>
      </c>
      <c r="AD32" s="298">
        <v>15</v>
      </c>
    </row>
    <row r="33" spans="22:30" ht="15.75" thickBot="1" x14ac:dyDescent="0.3">
      <c r="V33" s="295" t="s">
        <v>237</v>
      </c>
      <c r="W33" s="296">
        <v>2</v>
      </c>
      <c r="X33" s="299">
        <v>1</v>
      </c>
      <c r="Y33" s="297">
        <v>1</v>
      </c>
      <c r="Z33" s="297">
        <v>2</v>
      </c>
      <c r="AA33" s="296">
        <v>11</v>
      </c>
      <c r="AB33" s="297">
        <v>4</v>
      </c>
      <c r="AC33" s="297">
        <v>3</v>
      </c>
      <c r="AD33" s="298">
        <v>15</v>
      </c>
    </row>
    <row r="34" spans="22:30" x14ac:dyDescent="0.25">
      <c r="V34" s="272"/>
    </row>
    <row r="39" spans="22:30" x14ac:dyDescent="0.25">
      <c r="V39" s="272" t="s">
        <v>390</v>
      </c>
    </row>
    <row r="40" spans="22:30" ht="18.75" x14ac:dyDescent="0.25">
      <c r="V40" s="306" t="s">
        <v>391</v>
      </c>
    </row>
    <row r="41" spans="22:30" x14ac:dyDescent="0.25">
      <c r="V41" s="272"/>
    </row>
    <row r="42" spans="22:30" x14ac:dyDescent="0.25">
      <c r="V42" s="308" t="s">
        <v>392</v>
      </c>
    </row>
    <row r="43" spans="22:30" x14ac:dyDescent="0.25">
      <c r="V43" s="308" t="s">
        <v>393</v>
      </c>
    </row>
    <row r="44" spans="22:30" x14ac:dyDescent="0.25">
      <c r="V44" s="308" t="s">
        <v>394</v>
      </c>
    </row>
    <row r="45" spans="22:30" x14ac:dyDescent="0.25">
      <c r="V45" s="308" t="s">
        <v>395</v>
      </c>
    </row>
    <row r="46" spans="22:30" x14ac:dyDescent="0.25">
      <c r="V46" s="309"/>
    </row>
    <row r="47" spans="22:30" ht="15.75" x14ac:dyDescent="0.25">
      <c r="V47" s="307" t="s">
        <v>396</v>
      </c>
    </row>
    <row r="48" spans="22:30" ht="15.75" x14ac:dyDescent="0.25">
      <c r="V48" s="307" t="s">
        <v>397</v>
      </c>
    </row>
    <row r="49" spans="22:23" x14ac:dyDescent="0.25">
      <c r="V49" s="272"/>
    </row>
    <row r="50" spans="22:23" ht="18.75" x14ac:dyDescent="0.25">
      <c r="V50" s="310" t="s">
        <v>398</v>
      </c>
    </row>
    <row r="51" spans="22:23" ht="15.75" x14ac:dyDescent="0.25">
      <c r="V51" s="307" t="s">
        <v>399</v>
      </c>
    </row>
    <row r="52" spans="22:23" ht="15.75" x14ac:dyDescent="0.25">
      <c r="V52" s="307" t="s">
        <v>357</v>
      </c>
    </row>
    <row r="53" spans="22:23" ht="15.75" x14ac:dyDescent="0.25">
      <c r="V53" s="278" t="s">
        <v>400</v>
      </c>
    </row>
    <row r="54" spans="22:23" ht="15.75" x14ac:dyDescent="0.25">
      <c r="V54" s="278" t="s">
        <v>401</v>
      </c>
    </row>
    <row r="55" spans="22:23" ht="15.75" x14ac:dyDescent="0.25">
      <c r="V55" s="278" t="s">
        <v>402</v>
      </c>
    </row>
    <row r="56" spans="22:23" ht="15.75" x14ac:dyDescent="0.25">
      <c r="V56" s="278" t="s">
        <v>403</v>
      </c>
    </row>
    <row r="57" spans="22:23" ht="15.75" x14ac:dyDescent="0.25">
      <c r="V57" s="307" t="s">
        <v>357</v>
      </c>
    </row>
    <row r="58" spans="22:23" ht="15.75" x14ac:dyDescent="0.25">
      <c r="V58" s="307" t="s">
        <v>362</v>
      </c>
    </row>
    <row r="59" spans="22:23" ht="15.75" x14ac:dyDescent="0.25">
      <c r="V59" s="307"/>
    </row>
    <row r="60" spans="22:23" ht="15.75" x14ac:dyDescent="0.25">
      <c r="V60" s="310" t="s">
        <v>404</v>
      </c>
    </row>
    <row r="61" spans="22:23" ht="16.5" thickBot="1" x14ac:dyDescent="0.3">
      <c r="V61" s="311"/>
    </row>
    <row r="62" spans="22:23" ht="15.75" thickBot="1" x14ac:dyDescent="0.3">
      <c r="V62" s="540" t="s">
        <v>364</v>
      </c>
      <c r="W62" s="541"/>
    </row>
    <row r="63" spans="22:23" ht="15.75" thickBot="1" x14ac:dyDescent="0.3">
      <c r="V63" s="281" t="s">
        <v>365</v>
      </c>
      <c r="W63" s="282" t="s">
        <v>366</v>
      </c>
    </row>
    <row r="64" spans="22:23" ht="15.75" thickBot="1" x14ac:dyDescent="0.3">
      <c r="V64" s="312"/>
    </row>
    <row r="65" spans="22:30" ht="15.75" thickBot="1" x14ac:dyDescent="0.3">
      <c r="V65" s="284">
        <v>787</v>
      </c>
      <c r="W65" s="285" t="s">
        <v>367</v>
      </c>
    </row>
    <row r="66" spans="22:30" ht="15.75" thickBot="1" x14ac:dyDescent="0.3">
      <c r="V66" s="286" t="s">
        <v>368</v>
      </c>
      <c r="W66" s="287" t="s">
        <v>369</v>
      </c>
    </row>
    <row r="67" spans="22:30" ht="15.75" thickBot="1" x14ac:dyDescent="0.3">
      <c r="V67" s="286" t="s">
        <v>370</v>
      </c>
      <c r="W67" s="287" t="s">
        <v>369</v>
      </c>
    </row>
    <row r="68" spans="22:30" ht="15.75" thickBot="1" x14ac:dyDescent="0.3">
      <c r="V68" s="286" t="s">
        <v>237</v>
      </c>
      <c r="W68" s="287" t="s">
        <v>369</v>
      </c>
    </row>
    <row r="69" spans="22:30" x14ac:dyDescent="0.25">
      <c r="V69" s="288"/>
    </row>
    <row r="70" spans="22:30" ht="15.75" thickBot="1" x14ac:dyDescent="0.3">
      <c r="V70" s="313" t="s">
        <v>371</v>
      </c>
    </row>
    <row r="71" spans="22:30" x14ac:dyDescent="0.25">
      <c r="V71" s="542" t="s">
        <v>405</v>
      </c>
      <c r="W71" s="543"/>
      <c r="X71" s="543"/>
      <c r="Y71" s="543"/>
      <c r="Z71" s="543"/>
      <c r="AA71" s="543"/>
      <c r="AB71" s="543"/>
      <c r="AC71" s="543"/>
      <c r="AD71" s="544"/>
    </row>
    <row r="72" spans="22:30" ht="15.75" thickBot="1" x14ac:dyDescent="0.3">
      <c r="V72" s="545"/>
      <c r="W72" s="546"/>
      <c r="X72" s="546"/>
      <c r="Y72" s="546"/>
      <c r="Z72" s="546"/>
      <c r="AA72" s="546"/>
      <c r="AB72" s="546"/>
      <c r="AC72" s="546"/>
      <c r="AD72" s="547"/>
    </row>
    <row r="73" spans="22:30" ht="75.75" thickBot="1" x14ac:dyDescent="0.3">
      <c r="V73" s="314" t="s">
        <v>373</v>
      </c>
      <c r="W73" s="315" t="s">
        <v>374</v>
      </c>
      <c r="X73" s="316" t="s">
        <v>375</v>
      </c>
      <c r="Y73" s="316" t="s">
        <v>376</v>
      </c>
      <c r="Z73" s="317" t="s">
        <v>377</v>
      </c>
      <c r="AA73" s="318" t="s">
        <v>378</v>
      </c>
      <c r="AB73" s="317" t="s">
        <v>379</v>
      </c>
      <c r="AC73" s="317" t="s">
        <v>380</v>
      </c>
      <c r="AD73" s="317" t="s">
        <v>381</v>
      </c>
    </row>
    <row r="74" spans="22:30" ht="15.75" thickBot="1" x14ac:dyDescent="0.3">
      <c r="V74" s="319">
        <v>787</v>
      </c>
      <c r="W74" s="320">
        <v>2</v>
      </c>
      <c r="X74" s="321">
        <v>1</v>
      </c>
      <c r="Y74" s="321">
        <v>1</v>
      </c>
      <c r="Z74" s="321">
        <v>2</v>
      </c>
      <c r="AA74" s="320">
        <v>13</v>
      </c>
      <c r="AB74" s="321">
        <v>4</v>
      </c>
      <c r="AC74" s="321">
        <v>4</v>
      </c>
      <c r="AD74" s="322">
        <v>17</v>
      </c>
    </row>
    <row r="75" spans="22:30" ht="15.75" thickBot="1" x14ac:dyDescent="0.3">
      <c r="V75" s="319" t="s">
        <v>382</v>
      </c>
      <c r="W75" s="320">
        <v>2</v>
      </c>
      <c r="X75" s="323">
        <v>1</v>
      </c>
      <c r="Y75" s="321">
        <v>1</v>
      </c>
      <c r="Z75" s="321">
        <v>2</v>
      </c>
      <c r="AA75" s="320">
        <v>13</v>
      </c>
      <c r="AB75" s="321">
        <v>4</v>
      </c>
      <c r="AC75" s="321">
        <v>4</v>
      </c>
      <c r="AD75" s="322">
        <v>17</v>
      </c>
    </row>
    <row r="76" spans="22:30" ht="15.75" thickBot="1" x14ac:dyDescent="0.3">
      <c r="V76" s="319" t="s">
        <v>383</v>
      </c>
      <c r="W76" s="320">
        <v>2</v>
      </c>
      <c r="X76" s="323">
        <v>1</v>
      </c>
      <c r="Y76" s="321">
        <v>1</v>
      </c>
      <c r="Z76" s="321">
        <v>2</v>
      </c>
      <c r="AA76" s="320">
        <v>11</v>
      </c>
      <c r="AB76" s="321">
        <v>4</v>
      </c>
      <c r="AC76" s="321">
        <v>3</v>
      </c>
      <c r="AD76" s="322">
        <v>15</v>
      </c>
    </row>
    <row r="77" spans="22:30" ht="15.75" thickBot="1" x14ac:dyDescent="0.3">
      <c r="V77" s="319" t="s">
        <v>237</v>
      </c>
      <c r="W77" s="320">
        <v>2</v>
      </c>
      <c r="X77" s="323">
        <v>1</v>
      </c>
      <c r="Y77" s="321">
        <v>1</v>
      </c>
      <c r="Z77" s="321">
        <v>2</v>
      </c>
      <c r="AA77" s="320">
        <v>11</v>
      </c>
      <c r="AB77" s="321">
        <v>4</v>
      </c>
      <c r="AC77" s="321">
        <v>3</v>
      </c>
      <c r="AD77" s="322">
        <v>15</v>
      </c>
    </row>
    <row r="78" spans="22:30" x14ac:dyDescent="0.25">
      <c r="V78" s="272"/>
    </row>
    <row r="79" spans="22:30" ht="15.75" x14ac:dyDescent="0.25">
      <c r="V79" s="307" t="s">
        <v>406</v>
      </c>
    </row>
    <row r="80" spans="22:30" ht="15.75" x14ac:dyDescent="0.25">
      <c r="V80" s="307"/>
    </row>
  </sheetData>
  <mergeCells count="4">
    <mergeCell ref="V18:W18"/>
    <mergeCell ref="V27:AD28"/>
    <mergeCell ref="V62:W62"/>
    <mergeCell ref="V71:AD7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B40-0839-471F-AC3A-84392A715D9E}">
  <dimension ref="A1:A67"/>
  <sheetViews>
    <sheetView topLeftCell="A34" workbookViewId="0">
      <selection activeCell="A63" sqref="A63:P67"/>
    </sheetView>
  </sheetViews>
  <sheetFormatPr defaultRowHeight="15" x14ac:dyDescent="0.25"/>
  <sheetData>
    <row r="1" spans="1:1" x14ac:dyDescent="0.25">
      <c r="A1" s="288" t="s">
        <v>517</v>
      </c>
    </row>
    <row r="2" spans="1:1" x14ac:dyDescent="0.25">
      <c r="A2" s="288"/>
    </row>
    <row r="3" spans="1:1" x14ac:dyDescent="0.25">
      <c r="A3" s="409" t="s">
        <v>518</v>
      </c>
    </row>
    <row r="4" spans="1:1" x14ac:dyDescent="0.25">
      <c r="A4" s="409" t="s">
        <v>519</v>
      </c>
    </row>
    <row r="5" spans="1:1" x14ac:dyDescent="0.25">
      <c r="A5" s="409" t="s">
        <v>520</v>
      </c>
    </row>
    <row r="6" spans="1:1" x14ac:dyDescent="0.25">
      <c r="A6" s="409" t="s">
        <v>521</v>
      </c>
    </row>
    <row r="7" spans="1:1" x14ac:dyDescent="0.25">
      <c r="A7" s="410"/>
    </row>
    <row r="9" spans="1:1" x14ac:dyDescent="0.25">
      <c r="A9" s="410"/>
    </row>
    <row r="10" spans="1:1" x14ac:dyDescent="0.25">
      <c r="A10" s="409" t="s">
        <v>522</v>
      </c>
    </row>
    <row r="11" spans="1:1" x14ac:dyDescent="0.25">
      <c r="A11" s="411" t="s">
        <v>523</v>
      </c>
    </row>
    <row r="12" spans="1:1" x14ac:dyDescent="0.25">
      <c r="A12" s="411" t="s">
        <v>524</v>
      </c>
    </row>
    <row r="13" spans="1:1" x14ac:dyDescent="0.25">
      <c r="A13" s="288"/>
    </row>
    <row r="14" spans="1:1" x14ac:dyDescent="0.25">
      <c r="A14" s="409" t="s">
        <v>525</v>
      </c>
    </row>
    <row r="15" spans="1:1" x14ac:dyDescent="0.25">
      <c r="A15" s="412" t="s">
        <v>526</v>
      </c>
    </row>
    <row r="16" spans="1:1" x14ac:dyDescent="0.25">
      <c r="A16" s="409"/>
    </row>
    <row r="17" spans="1:1" x14ac:dyDescent="0.25">
      <c r="A17" s="409" t="s">
        <v>527</v>
      </c>
    </row>
    <row r="18" spans="1:1" x14ac:dyDescent="0.25">
      <c r="A18" s="412" t="s">
        <v>528</v>
      </c>
    </row>
    <row r="19" spans="1:1" x14ac:dyDescent="0.25">
      <c r="A19" s="411" t="s">
        <v>529</v>
      </c>
    </row>
    <row r="20" spans="1:1" x14ac:dyDescent="0.25">
      <c r="A20" s="411" t="s">
        <v>530</v>
      </c>
    </row>
    <row r="21" spans="1:1" x14ac:dyDescent="0.25">
      <c r="A21" s="411" t="s">
        <v>531</v>
      </c>
    </row>
    <row r="22" spans="1:1" x14ac:dyDescent="0.25">
      <c r="A22" s="412" t="s">
        <v>532</v>
      </c>
    </row>
    <row r="23" spans="1:1" x14ac:dyDescent="0.25">
      <c r="A23" s="411" t="s">
        <v>533</v>
      </c>
    </row>
    <row r="25" spans="1:1" x14ac:dyDescent="0.25">
      <c r="A25" s="288"/>
    </row>
    <row r="26" spans="1:1" x14ac:dyDescent="0.25">
      <c r="A26" s="288" t="s">
        <v>534</v>
      </c>
    </row>
    <row r="39" spans="1:1" x14ac:dyDescent="0.25">
      <c r="A39" s="288" t="s">
        <v>535</v>
      </c>
    </row>
    <row r="40" spans="1:1" x14ac:dyDescent="0.25">
      <c r="A40" s="288"/>
    </row>
    <row r="41" spans="1:1" x14ac:dyDescent="0.25">
      <c r="A41" s="288" t="s">
        <v>536</v>
      </c>
    </row>
    <row r="42" spans="1:1" x14ac:dyDescent="0.25">
      <c r="A42" s="288" t="s">
        <v>537</v>
      </c>
    </row>
    <row r="43" spans="1:1" x14ac:dyDescent="0.25">
      <c r="A43" s="288" t="s">
        <v>538</v>
      </c>
    </row>
    <row r="44" spans="1:1" x14ac:dyDescent="0.25">
      <c r="A44" s="288" t="s">
        <v>539</v>
      </c>
    </row>
    <row r="45" spans="1:1" x14ac:dyDescent="0.25">
      <c r="A45" s="288"/>
    </row>
    <row r="47" spans="1:1" x14ac:dyDescent="0.25">
      <c r="A47" s="288"/>
    </row>
    <row r="63" spans="1:1" x14ac:dyDescent="0.25">
      <c r="A63" s="288" t="s">
        <v>540</v>
      </c>
    </row>
    <row r="64" spans="1:1" x14ac:dyDescent="0.25">
      <c r="A64" s="288"/>
    </row>
    <row r="65" spans="1:1" x14ac:dyDescent="0.25">
      <c r="A65" s="288" t="s">
        <v>541</v>
      </c>
    </row>
    <row r="66" spans="1:1" x14ac:dyDescent="0.25">
      <c r="A66" s="288"/>
    </row>
    <row r="67" spans="1:1" x14ac:dyDescent="0.25">
      <c r="A67" s="288" t="s">
        <v>542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A3BFDC-FA22-4981-B771-6F43154D3A40}"/>
</file>

<file path=customXml/itemProps2.xml><?xml version="1.0" encoding="utf-8"?>
<ds:datastoreItem xmlns:ds="http://schemas.openxmlformats.org/officeDocument/2006/customXml" ds:itemID="{B69E0478-14BC-4292-BC43-47A35B05F549}">
  <ds:schemaRefs>
    <ds:schemaRef ds:uri="http://schemas.microsoft.com/office/2006/metadata/properties"/>
    <ds:schemaRef ds:uri="http://schemas.microsoft.com/office/infopath/2007/PartnerControls"/>
    <ds:schemaRef ds:uri="173d4cca-d12e-42be-98eb-9d55375e886e"/>
    <ds:schemaRef ds:uri="1b20320e-5bc9-4dea-9abd-7bcacf0c9240"/>
  </ds:schemaRefs>
</ds:datastoreItem>
</file>

<file path=customXml/itemProps3.xml><?xml version="1.0" encoding="utf-8"?>
<ds:datastoreItem xmlns:ds="http://schemas.openxmlformats.org/officeDocument/2006/customXml" ds:itemID="{8B9AEA66-BD42-48C7-BB5B-0AFF831824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Inv Summary</vt:lpstr>
      <vt:lpstr>Inv Detail</vt:lpstr>
      <vt:lpstr>DN01</vt:lpstr>
      <vt:lpstr>DN02</vt:lpstr>
      <vt:lpstr>DN03</vt:lpstr>
      <vt:lpstr>DN04</vt:lpstr>
      <vt:lpstr>DN05</vt:lpstr>
      <vt:lpstr>DN11</vt:lpstr>
      <vt:lpstr>DN06</vt:lpstr>
      <vt:lpstr>DN07</vt:lpstr>
      <vt:lpstr>DN08</vt:lpstr>
      <vt:lpstr>DN09</vt:lpstr>
      <vt:lpstr>DN10</vt:lpstr>
      <vt:lpstr>DN12</vt:lpstr>
      <vt:lpstr>DN13</vt:lpstr>
      <vt:lpstr>New Cycle change</vt:lpstr>
      <vt:lpstr>ET Standar Price List</vt:lpstr>
      <vt:lpstr>DRY ITEM LIST</vt:lpstr>
      <vt:lpstr>AR Invoice</vt:lpstr>
      <vt:lpstr>Old Cycle change </vt:lpstr>
      <vt:lpstr>Sheet1</vt:lpstr>
      <vt:lpstr>DryItemList</vt:lpstr>
      <vt:lpstr>'ET Standar Price List'!Print_Area</vt:lpstr>
      <vt:lpstr>'Inv Detail'!Print_Area</vt:lpstr>
      <vt:lpstr>'Inv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Khouma AYEMEROU</dc:creator>
  <cp:keywords/>
  <dc:description/>
  <cp:lastModifiedBy>Kruti Desai</cp:lastModifiedBy>
  <cp:revision/>
  <cp:lastPrinted>2026-06-18T16:47:43Z</cp:lastPrinted>
  <dcterms:created xsi:type="dcterms:W3CDTF">2017-01-12T14:23:12Z</dcterms:created>
  <dcterms:modified xsi:type="dcterms:W3CDTF">2026-06-18T20:26:06Z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8" name="ContentTypeId">
    <vt:lpwstr>0x0101000560CDE7020FBE4F987D5680CBA97CD3</vt:lpwstr>
  </property>
  <property fmtid="{D5CDD505-2E9C-101B-9397-08002B2CF9AE}" pid="9" name="MediaServiceImageTags">
    <vt:lpwstr/>
  </property>
</Properties>
</file>