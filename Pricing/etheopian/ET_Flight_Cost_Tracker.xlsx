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 Price Reference" sheetId="1" state="visible" r:id="rId3"/>
    <sheet name="Flight Cost Tracker" sheetId="2" state="visible" r:id="rId4"/>
    <sheet name="Service Code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<sst xmlns="http://schemas.openxmlformats.org/spreadsheetml/2006/main" count="261" uniqueCount="170">
  <si>
    <t xml:space="preserve">ETHIOPIAN AIRLINES — MAINLINE AVIATION PRICE REFERENCE</t>
  </si>
  <si>
    <t xml:space="preserve">Source: Mainline Aviation - ET Invoice NEW revised.xlsx  |  Invoice #ET202605B  |  Cycle: Jan-Feb=1  Mar-Apr=2  May-Jun=3</t>
  </si>
  <si>
    <t xml:space="preserve">MEAL SERVICE</t>
  </si>
  <si>
    <t xml:space="preserve">CYC 1 RATE</t>
  </si>
  <si>
    <t xml:space="preserve">CYC 2 RATE</t>
  </si>
  <si>
    <t xml:space="preserve">CYC 3 RATE</t>
  </si>
  <si>
    <t xml:space="preserve">UNIT</t>
  </si>
  <si>
    <t xml:space="preserve">NOTES</t>
  </si>
  <si>
    <t xml:space="preserve">SOURCE</t>
  </si>
  <si>
    <t xml:space="preserve">BC Breakfast (HBF)</t>
  </si>
  <si>
    <t xml:space="preserve">$/pax</t>
  </si>
  <si>
    <t xml:space="preserve">ET Standar Price List</t>
  </si>
  <si>
    <t xml:space="preserve">EY Breakfast (HBF)</t>
  </si>
  <si>
    <t xml:space="preserve">Cyc 2 = Cyc 3 est.</t>
  </si>
  <si>
    <t xml:space="preserve">BC Lunch/Dinner</t>
  </si>
  <si>
    <t xml:space="preserve">EY Lunch/Dinner</t>
  </si>
  <si>
    <t xml:space="preserve">BC Hot Canape (HCP)</t>
  </si>
  <si>
    <t xml:space="preserve">Flat — all cycles</t>
  </si>
  <si>
    <t xml:space="preserve">EY Sandwich (SWH)</t>
  </si>
  <si>
    <t xml:space="preserve">SPECIAL MEALS</t>
  </si>
  <si>
    <t xml:space="preserve">BC SPML LCH (no KSML)</t>
  </si>
  <si>
    <t xml:space="preserve">$/meal</t>
  </si>
  <si>
    <t xml:space="preserve">ALL IATA excl. KSML</t>
  </si>
  <si>
    <t xml:space="preserve">Inv Detail</t>
  </si>
  <si>
    <t xml:space="preserve">EY SPML LCH (no KSML)</t>
  </si>
  <si>
    <t xml:space="preserve">BC KSML LCH</t>
  </si>
  <si>
    <t xml:space="preserve">Kosher — separate billing</t>
  </si>
  <si>
    <t xml:space="preserve">EY KSML LCH</t>
  </si>
  <si>
    <t xml:space="preserve">Kosher</t>
  </si>
  <si>
    <t xml:space="preserve">BC SPML HBF</t>
  </si>
  <si>
    <t xml:space="preserve">ALL IATA HBF excl. KSML</t>
  </si>
  <si>
    <t xml:space="preserve">EY SPML HBF</t>
  </si>
  <si>
    <t xml:space="preserve">BC KSML HBF</t>
  </si>
  <si>
    <t xml:space="preserve">EY KSML HBF</t>
  </si>
  <si>
    <t xml:space="preserve">MISC CHARGES</t>
  </si>
  <si>
    <t xml:space="preserve">Handling — B787</t>
  </si>
  <si>
    <t xml:space="preserve">$/flt</t>
  </si>
  <si>
    <t xml:space="preserve">Handling — A350</t>
  </si>
  <si>
    <t xml:space="preserve">Van Trip</t>
  </si>
  <si>
    <t xml:space="preserve">$/trip</t>
  </si>
  <si>
    <t xml:space="preserve">Standard Uplift</t>
  </si>
  <si>
    <t xml:space="preserve">Ice, lemon, milk</t>
  </si>
  <si>
    <t xml:space="preserve">DRY ITEMS</t>
  </si>
  <si>
    <t xml:space="preserve">Coke 355mL</t>
  </si>
  <si>
    <t xml:space="preserve">$/unit</t>
  </si>
  <si>
    <t xml:space="preserve">Sprite 355mL</t>
  </si>
  <si>
    <t xml:space="preserve">Ginger Ale 355mL</t>
  </si>
  <si>
    <t xml:space="preserve">Soda/Tonic Water 355mL</t>
  </si>
  <si>
    <t xml:space="preserve">Sparkling Water</t>
  </si>
  <si>
    <t xml:space="preserve">Mineral Water 1.5L</t>
  </si>
  <si>
    <t xml:space="preserve">Apple Juice 1L</t>
  </si>
  <si>
    <t xml:space="preserve">OJ 1L</t>
  </si>
  <si>
    <t xml:space="preserve">MAINLINE AVIATION  ·  ETHIOPIAN AIRLINES FLIGHT COST TRACKER  ·  MAY – JUNE 2026</t>
  </si>
  <si>
    <t xml:space="preserve">  Flight: ET519  |  Route: ATL → ADD  |  Aircraft: B787-900  |  Cycle 3 Pricing (May–Jun)</t>
  </si>
  <si>
    <t xml:space="preserve">  ⚠  Column Z (Other SPML) must always be 0.  Special meal notes → Column P (LCH Notes).</t>
  </si>
  <si>
    <t xml:space="preserve">FLIGHT INFORMATION</t>
  </si>
  <si>
    <t xml:space="preserve">BREAKFAST SERVICE (HBF)</t>
  </si>
  <si>
    <t xml:space="preserve">LUNCH / DINNER SERVICE (LCH)</t>
  </si>
  <si>
    <t xml:space="preserve">HCP / SWH</t>
  </si>
  <si>
    <t xml:space="preserve">SPECIAL MEALS — LCH / DNR</t>
  </si>
  <si>
    <t xml:space="preserve">SPECIAL MEALS — HBF</t>
  </si>
  <si>
    <t xml:space="preserve">MISC</t>
  </si>
  <si>
    <t xml:space="preserve">CALCULATED COSTS  ►</t>
  </si>
  <si>
    <t xml:space="preserve">Date</t>
  </si>
  <si>
    <t xml:space="preserve">Flight #</t>
  </si>
  <si>
    <t xml:space="preserve">A/C Type</t>
  </si>
  <si>
    <t xml:space="preserve">Cycle</t>
  </si>
  <si>
    <t xml:space="preserve">BC</t>
  </si>
  <si>
    <t xml:space="preserve">EY</t>
  </si>
  <si>
    <t xml:space="preserve">CR</t>
  </si>
  <si>
    <t xml:space="preserve">Free BC</t>
  </si>
  <si>
    <t xml:space="preserve">Free EY</t>
  </si>
  <si>
    <t xml:space="preserve">Notes</t>
  </si>
  <si>
    <t xml:space="preserve">Notes / Specials</t>
  </si>
  <si>
    <t xml:space="preserve">HCP BC</t>
  </si>
  <si>
    <t xml:space="preserve">HCP CR</t>
  </si>
  <si>
    <t xml:space="preserve">SWH EY</t>
  </si>
  <si>
    <t xml:space="preserve">SPML BC</t>
  </si>
  <si>
    <t xml:space="preserve">SPML EY</t>
  </si>
  <si>
    <t xml:space="preserve">KSML BC</t>
  </si>
  <si>
    <t xml:space="preserve">KSML EY</t>
  </si>
  <si>
    <t xml:space="preserve">MOML BC</t>
  </si>
  <si>
    <t xml:space="preserve">MOML EY</t>
  </si>
  <si>
    <t xml:space="preserve">Other (=0)</t>
  </si>
  <si>
    <t xml:space="preserve">Coke</t>
  </si>
  <si>
    <t xml:space="preserve">Sprite</t>
  </si>
  <si>
    <t xml:space="preserve">Ginger Ale</t>
  </si>
  <si>
    <t xml:space="preserve">Soda/Tonic</t>
  </si>
  <si>
    <t xml:space="preserve">Sparkling</t>
  </si>
  <si>
    <t xml:space="preserve">Water 1.5L</t>
  </si>
  <si>
    <t xml:space="preserve">Apple Jce</t>
  </si>
  <si>
    <t xml:space="preserve">OJ</t>
  </si>
  <si>
    <t xml:space="preserve">Handling</t>
  </si>
  <si>
    <t xml:space="preserve">Van Trips</t>
  </si>
  <si>
    <t xml:space="preserve">HBF Cost</t>
  </si>
  <si>
    <t xml:space="preserve">LCH Cost</t>
  </si>
  <si>
    <t xml:space="preserve">HCP/SWH</t>
  </si>
  <si>
    <t xml:space="preserve">Specials</t>
  </si>
  <si>
    <t xml:space="preserve">Dry Items</t>
  </si>
  <si>
    <t xml:space="preserve">Misc</t>
  </si>
  <si>
    <t xml:space="preserve">GRAND TOTAL</t>
  </si>
  <si>
    <t xml:space="preserve">ET519</t>
  </si>
  <si>
    <t xml:space="preserve">B787</t>
  </si>
  <si>
    <t xml:space="preserve">DBML EY, MOML BC</t>
  </si>
  <si>
    <t xml:space="preserve">CHML EY, MOML EY</t>
  </si>
  <si>
    <t xml:space="preserve">CHML EY, MOML BC/EY</t>
  </si>
  <si>
    <t xml:space="preserve">SFML EY, MOML BC/EY</t>
  </si>
  <si>
    <t xml:space="preserve">DBML BC, MOML BC/EY</t>
  </si>
  <si>
    <t xml:space="preserve">AVML EY, KSML EY, MOML BC</t>
  </si>
  <si>
    <t xml:space="preserve">NLML EY, KSML EY, MOML EY</t>
  </si>
  <si>
    <t xml:space="preserve">AVML EY, MOML EY</t>
  </si>
  <si>
    <t xml:space="preserve">VGML EY, KSML EY, MOML EY</t>
  </si>
  <si>
    <t xml:space="preserve">PERIOD TOTALS  —  11 Flights  |  ET519  |  May 22 – Jun 15, 2026</t>
  </si>
  <si>
    <t xml:space="preserve">IATA SPECIAL MEAL CODE REFERENCE  ·  MAINLINE AVIATION</t>
  </si>
  <si>
    <t xml:space="preserve">Code</t>
  </si>
  <si>
    <t xml:space="preserve">Description</t>
  </si>
  <si>
    <t xml:space="preserve">Billing Category</t>
  </si>
  <si>
    <t xml:space="preserve">SPML</t>
  </si>
  <si>
    <t xml:space="preserve">Special Meal (generic)</t>
  </si>
  <si>
    <t xml:space="preserve">ALL IATA SPML rate</t>
  </si>
  <si>
    <t xml:space="preserve">KSML</t>
  </si>
  <si>
    <t xml:space="preserve">Kosher Meal</t>
  </si>
  <si>
    <t xml:space="preserve">KSML rate — separate, higher</t>
  </si>
  <si>
    <t xml:space="preserve">MOML</t>
  </si>
  <si>
    <t xml:space="preserve">Muslim Meal</t>
  </si>
  <si>
    <t xml:space="preserve">AVML</t>
  </si>
  <si>
    <t xml:space="preserve">Asian Vegetarian</t>
  </si>
  <si>
    <t xml:space="preserve">VGML</t>
  </si>
  <si>
    <t xml:space="preserve">Vegan Meal</t>
  </si>
  <si>
    <t xml:space="preserve">CHML</t>
  </si>
  <si>
    <t xml:space="preserve">Child Meal</t>
  </si>
  <si>
    <t xml:space="preserve">DBML</t>
  </si>
  <si>
    <t xml:space="preserve">Diabetic Meal</t>
  </si>
  <si>
    <t xml:space="preserve">SFML</t>
  </si>
  <si>
    <t xml:space="preserve">Seafood Meal</t>
  </si>
  <si>
    <t xml:space="preserve">NLML</t>
  </si>
  <si>
    <t xml:space="preserve">Non-Lactose Meal</t>
  </si>
  <si>
    <t xml:space="preserve">FPML</t>
  </si>
  <si>
    <t xml:space="preserve">Fruit Platter Meal</t>
  </si>
  <si>
    <t xml:space="preserve">LCML</t>
  </si>
  <si>
    <t xml:space="preserve">Low-Calorie Meal</t>
  </si>
  <si>
    <t xml:space="preserve">GFML</t>
  </si>
  <si>
    <t xml:space="preserve">Gluten-Free Meal</t>
  </si>
  <si>
    <t xml:space="preserve">HBF</t>
  </si>
  <si>
    <t xml:space="preserve">Hot Breakfast</t>
  </si>
  <si>
    <t xml:space="preserve">Service — BC/EY/Crew</t>
  </si>
  <si>
    <t xml:space="preserve">LCH / DNR</t>
  </si>
  <si>
    <t xml:space="preserve">Lunch / Dinner</t>
  </si>
  <si>
    <t xml:space="preserve">HCP</t>
  </si>
  <si>
    <t xml:space="preserve">Hot Canape</t>
  </si>
  <si>
    <t xml:space="preserve">Snack service — BC &amp; crew</t>
  </si>
  <si>
    <t xml:space="preserve">SWH</t>
  </si>
  <si>
    <t xml:space="preserve">Sandwich</t>
  </si>
  <si>
    <t xml:space="preserve">Economy snack service</t>
  </si>
  <si>
    <t xml:space="preserve">TRACKER NOTES</t>
  </si>
  <si>
    <t xml:space="preserve">Column Z</t>
  </si>
  <si>
    <t xml:space="preserve">Must always = 0</t>
  </si>
  <si>
    <t xml:space="preserve">Text in this column breaks the AR/AU cost formulas</t>
  </si>
  <si>
    <t xml:space="preserve">Column P</t>
  </si>
  <si>
    <t xml:space="preserve">LCH Notes (free text)</t>
  </si>
  <si>
    <t xml:space="preserve">Record special meal descriptions here</t>
  </si>
  <si>
    <t xml:space="preserve">Column D</t>
  </si>
  <si>
    <t xml:space="preserve">Cycle selector</t>
  </si>
  <si>
    <t xml:space="preserve">1=Jan/Feb  2=Mar/Apr  3=May/Jun</t>
  </si>
  <si>
    <t xml:space="preserve">Blue text</t>
  </si>
  <si>
    <t xml:space="preserve">Hardcoded inputs</t>
  </si>
  <si>
    <t xml:space="preserve">Values you enter manually</t>
  </si>
  <si>
    <t xml:space="preserve">Black text</t>
  </si>
  <si>
    <t xml:space="preserve">Calculated formulas</t>
  </si>
  <si>
    <t xml:space="preserve">Do not edit AO–AU columns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</si>
</sst>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mm/dd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FFF2C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0070C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7F6000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274472"/>
      </patternFill>
    </fill>
    <fill>
      <patternFill patternType="solid">
        <fgColor rgb="FF2F5496"/>
        <bgColor rgb="FF274472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4472C4"/>
        <bgColor rgb="FF2F5496"/>
      </patternFill>
    </fill>
    <fill>
      <patternFill patternType="solid">
        <fgColor rgb="FF274472"/>
        <bgColor rgb="FF1F3864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555555"/>
      </patternFill>
    </fill>
    <fill>
      <patternFill patternType="solid">
        <fgColor rgb="FF595959"/>
        <bgColor rgb="FF555555"/>
      </patternFill>
    </fill>
    <fill>
      <patternFill patternType="solid">
        <fgColor rgb="FFDEEBF7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DFF0D8"/>
        <bgColor rgb="FFE2EFDA"/>
      </patternFill>
    </fill>
    <fill>
      <patternFill patternType="solid">
        <fgColor rgb="FFD6E4F0"/>
        <bgColor rgb="FFDEEBF7"/>
      </patternFill>
    </fill>
    <fill>
      <patternFill patternType="solid">
        <fgColor rgb="FFC8E6C9"/>
        <bgColor rgb="FFD9D9D9"/>
      </patternFill>
    </fill>
    <fill>
      <patternFill patternType="solid">
        <fgColor rgb="FFC9A400"/>
        <bgColor rgb="FF99CC00"/>
      </patternFill>
    </fill>
    <fill>
      <patternFill patternType="solid">
        <fgColor rgb="FFE2EFDA"/>
        <bgColor rgb="FFDFF0D8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 style="medium">
        <color rgb="FFFFFFFF"/>
      </right>
      <top/>
      <bottom style="thin">
        <color rgb="FFFFFFFF"/>
      </bottom>
      <diagonal/>
    </border>
    <border diagonalUp="false" diagonalDown="false">
      <left/>
      <right style="thin">
        <color rgb="FF8EA9C1"/>
      </right>
      <top/>
      <bottom style="medium">
        <color rgb="FFFFFFFF"/>
      </bottom>
      <diagonal/>
    </border>
    <border diagonalUp="false" diagonalDown="false">
      <left/>
      <right style="thin">
        <color rgb="FFD9D9D9"/>
      </right>
      <top/>
      <bottom style="thin">
        <color rgb="FFBFBFBF"/>
      </bottom>
      <diagonal/>
    </border>
    <border diagonalUp="false" diagonalDown="false">
      <left style="thin">
        <color rgb="FFA9C4A0"/>
      </left>
      <right style="thin">
        <color rgb="FFA9C4A0"/>
      </right>
      <top/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/>
      <bottom style="thin">
        <color rgb="FFBFBFBF"/>
      </bottom>
      <diagonal/>
    </border>
    <border diagonalUp="false" diagonalDown="false">
      <left style="thin">
        <color rgb="FFFFFFFF"/>
      </left>
      <right/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1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1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1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9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2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2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17" borderId="2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" fillId="17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F5496"/>
      <rgbColor rgb="FFBFBFBF"/>
      <rgbColor rgb="FF555555"/>
      <rgbColor rgb="FF9999FF"/>
      <rgbColor rgb="FF7030A0"/>
      <rgbColor rgb="FFFFF2CC"/>
      <rgbColor rgb="FFDE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FF0D8"/>
      <rgbColor rgb="FFF7F9FC"/>
      <rgbColor rgb="FFA9C4A0"/>
      <rgbColor rgb="FFFF99CC"/>
      <rgbColor rgb="FFD6E4F0"/>
      <rgbColor rgb="FFC8E6C9"/>
      <rgbColor rgb="FF4472C4"/>
      <rgbColor rgb="FF33CCCC"/>
      <rgbColor rgb="FF99CC00"/>
      <rgbColor rgb="FFFFCC00"/>
      <rgbColor rgb="FFC9A400"/>
      <rgbColor rgb="FFFF6600"/>
      <rgbColor rgb="FF595959"/>
      <rgbColor rgb="FF8EA9C1"/>
      <rgbColor rgb="FF1F3864"/>
      <rgbColor rgb="FF339966"/>
      <rgbColor rgb="FF003300"/>
      <rgbColor rgb="FF375623"/>
      <rgbColor rgb="FF993300"/>
      <rgbColor rgb="FF993366"/>
      <rgbColor rgb="FF274472"/>
      <rgbColor rgb="FF1A1A2E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1"/>
    <col collapsed="false" customWidth="true" hidden="false" outlineLevel="0" max="5" min="5" style="1" width="8"/>
    <col collapsed="false" customWidth="true" hidden="false" outlineLevel="0" max="7" min="6" style="1" width="2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v>18.24</v>
      </c>
      <c r="C5" s="6" t="n">
        <v>18.98</v>
      </c>
      <c r="D5" s="6" t="n">
        <v>18.91</v>
      </c>
      <c r="E5" s="7" t="s">
        <v>10</v>
      </c>
      <c r="F5" s="7"/>
      <c r="G5" s="7" t="s">
        <v>11</v>
      </c>
    </row>
    <row r="6" customFormat="false" ht="15" hidden="false" customHeight="true" outlineLevel="0" collapsed="false">
      <c r="A6" s="8" t="s">
        <v>12</v>
      </c>
      <c r="B6" s="9" t="n">
        <v>9.45</v>
      </c>
      <c r="C6" s="9" t="n">
        <v>11.5</v>
      </c>
      <c r="D6" s="9" t="n">
        <v>11.5</v>
      </c>
      <c r="E6" s="10" t="s">
        <v>10</v>
      </c>
      <c r="F6" s="10" t="s">
        <v>13</v>
      </c>
      <c r="G6" s="10" t="s">
        <v>11</v>
      </c>
    </row>
    <row r="7" customFormat="false" ht="15" hidden="false" customHeight="true" outlineLevel="0" collapsed="false">
      <c r="A7" s="5" t="s">
        <v>14</v>
      </c>
      <c r="B7" s="6" t="n">
        <v>27.68</v>
      </c>
      <c r="C7" s="6" t="n">
        <v>31.53</v>
      </c>
      <c r="D7" s="6" t="n">
        <v>29.32</v>
      </c>
      <c r="E7" s="7" t="s">
        <v>10</v>
      </c>
      <c r="F7" s="7"/>
      <c r="G7" s="7" t="s">
        <v>11</v>
      </c>
    </row>
    <row r="8" customFormat="false" ht="15" hidden="false" customHeight="true" outlineLevel="0" collapsed="false">
      <c r="A8" s="8" t="s">
        <v>15</v>
      </c>
      <c r="B8" s="9" t="n">
        <v>15.42</v>
      </c>
      <c r="C8" s="9" t="n">
        <v>14.38</v>
      </c>
      <c r="D8" s="9" t="n">
        <v>14.38</v>
      </c>
      <c r="E8" s="10" t="s">
        <v>10</v>
      </c>
      <c r="F8" s="10" t="s">
        <v>13</v>
      </c>
      <c r="G8" s="10" t="s">
        <v>11</v>
      </c>
    </row>
    <row r="9" customFormat="false" ht="15" hidden="false" customHeight="true" outlineLevel="0" collapsed="false">
      <c r="A9" s="5" t="s">
        <v>16</v>
      </c>
      <c r="B9" s="6" t="n">
        <v>8.76</v>
      </c>
      <c r="C9" s="6" t="n">
        <v>8.76</v>
      </c>
      <c r="D9" s="6" t="n">
        <v>8.76</v>
      </c>
      <c r="E9" s="7" t="s">
        <v>10</v>
      </c>
      <c r="F9" s="7" t="s">
        <v>17</v>
      </c>
      <c r="G9" s="7" t="s">
        <v>11</v>
      </c>
    </row>
    <row r="10" customFormat="false" ht="15" hidden="false" customHeight="true" outlineLevel="0" collapsed="false">
      <c r="A10" s="8" t="s">
        <v>18</v>
      </c>
      <c r="B10" s="9" t="n">
        <v>2.4</v>
      </c>
      <c r="C10" s="9" t="n">
        <v>2.4</v>
      </c>
      <c r="D10" s="9" t="n">
        <v>2.4</v>
      </c>
      <c r="E10" s="10" t="s">
        <v>10</v>
      </c>
      <c r="F10" s="10" t="s">
        <v>17</v>
      </c>
      <c r="G10" s="10" t="s">
        <v>11</v>
      </c>
    </row>
    <row r="12" customFormat="false" ht="18" hidden="false" customHeight="true" outlineLevel="0" collapsed="false">
      <c r="A12" s="11" t="s">
        <v>19</v>
      </c>
      <c r="B12" s="11"/>
      <c r="C12" s="11"/>
      <c r="D12" s="11"/>
      <c r="E12" s="11"/>
      <c r="F12" s="11"/>
      <c r="G12" s="11"/>
    </row>
    <row r="13" customFormat="false" ht="15" hidden="false" customHeight="true" outlineLevel="0" collapsed="false">
      <c r="A13" s="5" t="s">
        <v>20</v>
      </c>
      <c r="B13" s="6" t="n">
        <v>29.87</v>
      </c>
      <c r="C13" s="6" t="n">
        <v>25.34</v>
      </c>
      <c r="D13" s="6" t="n">
        <v>25.34</v>
      </c>
      <c r="E13" s="7" t="s">
        <v>21</v>
      </c>
      <c r="F13" s="7" t="s">
        <v>22</v>
      </c>
      <c r="G13" s="7" t="s">
        <v>23</v>
      </c>
    </row>
    <row r="14" customFormat="false" ht="15" hidden="false" customHeight="true" outlineLevel="0" collapsed="false">
      <c r="A14" s="8" t="s">
        <v>24</v>
      </c>
      <c r="B14" s="9" t="n">
        <v>15.68</v>
      </c>
      <c r="C14" s="9" t="n">
        <v>15.68</v>
      </c>
      <c r="D14" s="9" t="n">
        <v>15.68</v>
      </c>
      <c r="E14" s="10" t="s">
        <v>21</v>
      </c>
      <c r="F14" s="10" t="s">
        <v>22</v>
      </c>
      <c r="G14" s="10" t="s">
        <v>23</v>
      </c>
    </row>
    <row r="15" customFormat="false" ht="15" hidden="false" customHeight="true" outlineLevel="0" collapsed="false">
      <c r="A15" s="5" t="s">
        <v>25</v>
      </c>
      <c r="B15" s="6" t="n">
        <v>50</v>
      </c>
      <c r="C15" s="6" t="n">
        <v>50</v>
      </c>
      <c r="D15" s="6" t="n">
        <v>50</v>
      </c>
      <c r="E15" s="7" t="s">
        <v>21</v>
      </c>
      <c r="F15" s="7" t="s">
        <v>26</v>
      </c>
      <c r="G15" s="7" t="s">
        <v>23</v>
      </c>
    </row>
    <row r="16" customFormat="false" ht="15" hidden="false" customHeight="true" outlineLevel="0" collapsed="false">
      <c r="A16" s="8" t="s">
        <v>27</v>
      </c>
      <c r="B16" s="9" t="n">
        <v>45</v>
      </c>
      <c r="C16" s="9" t="n">
        <v>45</v>
      </c>
      <c r="D16" s="9" t="n">
        <v>45</v>
      </c>
      <c r="E16" s="10" t="s">
        <v>21</v>
      </c>
      <c r="F16" s="10" t="s">
        <v>28</v>
      </c>
      <c r="G16" s="10" t="s">
        <v>23</v>
      </c>
    </row>
    <row r="17" customFormat="false" ht="15" hidden="false" customHeight="true" outlineLevel="0" collapsed="false">
      <c r="A17" s="5" t="s">
        <v>29</v>
      </c>
      <c r="B17" s="6" t="n">
        <v>19.98</v>
      </c>
      <c r="C17" s="6" t="n">
        <v>19.98</v>
      </c>
      <c r="D17" s="6" t="n">
        <v>19.98</v>
      </c>
      <c r="E17" s="7" t="s">
        <v>21</v>
      </c>
      <c r="F17" s="7" t="s">
        <v>30</v>
      </c>
      <c r="G17" s="7" t="s">
        <v>23</v>
      </c>
    </row>
    <row r="18" customFormat="false" ht="15" hidden="false" customHeight="true" outlineLevel="0" collapsed="false">
      <c r="A18" s="8" t="s">
        <v>31</v>
      </c>
      <c r="B18" s="9" t="n">
        <v>11.35</v>
      </c>
      <c r="C18" s="9" t="n">
        <v>11.35</v>
      </c>
      <c r="D18" s="9" t="n">
        <v>11.35</v>
      </c>
      <c r="E18" s="10" t="s">
        <v>21</v>
      </c>
      <c r="F18" s="10"/>
      <c r="G18" s="10" t="s">
        <v>23</v>
      </c>
    </row>
    <row r="19" customFormat="false" ht="15" hidden="false" customHeight="true" outlineLevel="0" collapsed="false">
      <c r="A19" s="5" t="s">
        <v>32</v>
      </c>
      <c r="B19" s="6" t="n">
        <v>45</v>
      </c>
      <c r="C19" s="6" t="n">
        <v>45</v>
      </c>
      <c r="D19" s="6" t="n">
        <v>45</v>
      </c>
      <c r="E19" s="7" t="s">
        <v>21</v>
      </c>
      <c r="F19" s="7"/>
      <c r="G19" s="7" t="s">
        <v>23</v>
      </c>
    </row>
    <row r="20" customFormat="false" ht="15" hidden="false" customHeight="true" outlineLevel="0" collapsed="false">
      <c r="A20" s="8" t="s">
        <v>33</v>
      </c>
      <c r="B20" s="9" t="n">
        <v>28</v>
      </c>
      <c r="C20" s="9" t="n">
        <v>28</v>
      </c>
      <c r="D20" s="9" t="n">
        <v>28</v>
      </c>
      <c r="E20" s="10" t="s">
        <v>21</v>
      </c>
      <c r="F20" s="10"/>
      <c r="G20" s="10" t="s">
        <v>23</v>
      </c>
    </row>
    <row r="22" customFormat="false" ht="18" hidden="false" customHeight="true" outlineLevel="0" collapsed="false">
      <c r="A22" s="11" t="s">
        <v>34</v>
      </c>
      <c r="B22" s="11"/>
      <c r="C22" s="11"/>
      <c r="D22" s="11"/>
      <c r="E22" s="11"/>
      <c r="F22" s="11"/>
      <c r="G22" s="11"/>
    </row>
    <row r="23" customFormat="false" ht="15" hidden="false" customHeight="true" outlineLevel="0" collapsed="false">
      <c r="A23" s="5" t="s">
        <v>35</v>
      </c>
      <c r="B23" s="6" t="n">
        <v>400</v>
      </c>
      <c r="C23" s="6" t="n">
        <v>400</v>
      </c>
      <c r="D23" s="6" t="n">
        <v>400</v>
      </c>
      <c r="E23" s="7" t="s">
        <v>36</v>
      </c>
      <c r="F23" s="7"/>
      <c r="G23" s="7" t="s">
        <v>11</v>
      </c>
    </row>
    <row r="24" customFormat="false" ht="15" hidden="false" customHeight="true" outlineLevel="0" collapsed="false">
      <c r="A24" s="8" t="s">
        <v>37</v>
      </c>
      <c r="B24" s="9" t="n">
        <v>475</v>
      </c>
      <c r="C24" s="9" t="n">
        <v>475</v>
      </c>
      <c r="D24" s="9" t="n">
        <v>475</v>
      </c>
      <c r="E24" s="10" t="s">
        <v>36</v>
      </c>
      <c r="F24" s="10"/>
      <c r="G24" s="10" t="s">
        <v>11</v>
      </c>
    </row>
    <row r="25" customFormat="false" ht="15" hidden="false" customHeight="true" outlineLevel="0" collapsed="false">
      <c r="A25" s="5" t="s">
        <v>38</v>
      </c>
      <c r="B25" s="6" t="n">
        <v>200</v>
      </c>
      <c r="C25" s="6" t="n">
        <v>200</v>
      </c>
      <c r="D25" s="6" t="n">
        <v>200</v>
      </c>
      <c r="E25" s="7" t="s">
        <v>39</v>
      </c>
      <c r="F25" s="7"/>
      <c r="G25" s="7" t="s">
        <v>11</v>
      </c>
    </row>
    <row r="26" customFormat="false" ht="15" hidden="false" customHeight="true" outlineLevel="0" collapsed="false">
      <c r="A26" s="8" t="s">
        <v>40</v>
      </c>
      <c r="B26" s="9" t="n">
        <v>15.62</v>
      </c>
      <c r="C26" s="9" t="n">
        <v>15.62</v>
      </c>
      <c r="D26" s="9" t="n">
        <v>15.62</v>
      </c>
      <c r="E26" s="10" t="s">
        <v>36</v>
      </c>
      <c r="F26" s="10" t="s">
        <v>41</v>
      </c>
      <c r="G26" s="10" t="s">
        <v>11</v>
      </c>
    </row>
    <row r="28" customFormat="false" ht="18" hidden="false" customHeight="true" outlineLevel="0" collapsed="false">
      <c r="A28" s="11" t="s">
        <v>42</v>
      </c>
      <c r="B28" s="11"/>
      <c r="C28" s="11"/>
      <c r="D28" s="11"/>
      <c r="E28" s="11"/>
      <c r="F28" s="11"/>
      <c r="G28" s="11"/>
    </row>
    <row r="29" customFormat="false" ht="15" hidden="false" customHeight="true" outlineLevel="0" collapsed="false">
      <c r="A29" s="5" t="s">
        <v>43</v>
      </c>
      <c r="B29" s="6" t="n">
        <v>3</v>
      </c>
      <c r="C29" s="6" t="n">
        <v>3</v>
      </c>
      <c r="D29" s="6" t="n">
        <v>3</v>
      </c>
      <c r="E29" s="7" t="s">
        <v>44</v>
      </c>
      <c r="F29" s="7"/>
      <c r="G29" s="7" t="s">
        <v>23</v>
      </c>
    </row>
    <row r="30" customFormat="false" ht="15" hidden="false" customHeight="true" outlineLevel="0" collapsed="false">
      <c r="A30" s="8" t="s">
        <v>45</v>
      </c>
      <c r="B30" s="9" t="n">
        <v>3</v>
      </c>
      <c r="C30" s="9" t="n">
        <v>3</v>
      </c>
      <c r="D30" s="9" t="n">
        <v>3</v>
      </c>
      <c r="E30" s="10" t="s">
        <v>44</v>
      </c>
      <c r="F30" s="10"/>
      <c r="G30" s="10" t="s">
        <v>23</v>
      </c>
    </row>
    <row r="31" customFormat="false" ht="15" hidden="false" customHeight="true" outlineLevel="0" collapsed="false">
      <c r="A31" s="5" t="s">
        <v>46</v>
      </c>
      <c r="B31" s="6" t="n">
        <v>3</v>
      </c>
      <c r="C31" s="6" t="n">
        <v>3</v>
      </c>
      <c r="D31" s="6" t="n">
        <v>3</v>
      </c>
      <c r="E31" s="7" t="s">
        <v>44</v>
      </c>
      <c r="F31" s="7"/>
      <c r="G31" s="7" t="s">
        <v>23</v>
      </c>
    </row>
    <row r="32" customFormat="false" ht="15" hidden="false" customHeight="true" outlineLevel="0" collapsed="false">
      <c r="A32" s="8" t="s">
        <v>47</v>
      </c>
      <c r="B32" s="9" t="n">
        <v>3</v>
      </c>
      <c r="C32" s="9" t="n">
        <v>3</v>
      </c>
      <c r="D32" s="9" t="n">
        <v>3</v>
      </c>
      <c r="E32" s="10" t="s">
        <v>44</v>
      </c>
      <c r="F32" s="10"/>
      <c r="G32" s="10" t="s">
        <v>23</v>
      </c>
    </row>
    <row r="33" customFormat="false" ht="15" hidden="false" customHeight="true" outlineLevel="0" collapsed="false">
      <c r="A33" s="5" t="s">
        <v>48</v>
      </c>
      <c r="B33" s="6" t="n">
        <v>3.89</v>
      </c>
      <c r="C33" s="6" t="n">
        <v>3.89</v>
      </c>
      <c r="D33" s="6" t="n">
        <v>3.89</v>
      </c>
      <c r="E33" s="7" t="s">
        <v>44</v>
      </c>
      <c r="F33" s="7"/>
      <c r="G33" s="7" t="s">
        <v>23</v>
      </c>
    </row>
    <row r="34" customFormat="false" ht="15" hidden="false" customHeight="true" outlineLevel="0" collapsed="false">
      <c r="A34" s="8" t="s">
        <v>49</v>
      </c>
      <c r="B34" s="9" t="n">
        <v>4</v>
      </c>
      <c r="C34" s="9" t="n">
        <v>4</v>
      </c>
      <c r="D34" s="9" t="n">
        <v>4</v>
      </c>
      <c r="E34" s="10" t="s">
        <v>44</v>
      </c>
      <c r="F34" s="10"/>
      <c r="G34" s="10" t="s">
        <v>23</v>
      </c>
    </row>
    <row r="35" customFormat="false" ht="15" hidden="false" customHeight="true" outlineLevel="0" collapsed="false">
      <c r="A35" s="5" t="s">
        <v>50</v>
      </c>
      <c r="B35" s="6" t="n">
        <v>4.5</v>
      </c>
      <c r="C35" s="6" t="n">
        <v>4.5</v>
      </c>
      <c r="D35" s="6" t="n">
        <v>4.5</v>
      </c>
      <c r="E35" s="7" t="s">
        <v>44</v>
      </c>
      <c r="F35" s="7"/>
      <c r="G35" s="7" t="s">
        <v>23</v>
      </c>
    </row>
    <row r="36" customFormat="false" ht="15" hidden="false" customHeight="true" outlineLevel="0" collapsed="false">
      <c r="A36" s="8" t="s">
        <v>51</v>
      </c>
      <c r="B36" s="9" t="n">
        <v>4.5</v>
      </c>
      <c r="C36" s="9" t="n">
        <v>4.5</v>
      </c>
      <c r="D36" s="9" t="n">
        <v>4.5</v>
      </c>
      <c r="E36" s="10" t="s">
        <v>44</v>
      </c>
      <c r="F36" s="10"/>
      <c r="G36" s="10" t="s">
        <v>23</v>
      </c>
    </row>
  </sheetData>
  <mergeCells count="5">
    <mergeCell ref="A1:G1"/>
    <mergeCell ref="A2:G2"/>
    <mergeCell ref="A12:G12"/>
    <mergeCell ref="A22:G22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6" min="5" style="1" width="6"/>
    <col collapsed="false" customWidth="true" hidden="false" outlineLevel="0" max="7" min="7" style="1" width="5"/>
    <col collapsed="false" customWidth="true" hidden="false" outlineLevel="0" max="9" min="8" style="1" width="7"/>
    <col collapsed="false" customWidth="true" hidden="false" outlineLevel="0" max="10" min="10" style="1" width="18"/>
    <col collapsed="false" customWidth="true" hidden="false" outlineLevel="0" max="12" min="11" style="1" width="6"/>
    <col collapsed="false" customWidth="true" hidden="false" outlineLevel="0" max="13" min="13" style="1" width="5"/>
    <col collapsed="false" customWidth="true" hidden="false" outlineLevel="0" max="15" min="14" style="1" width="7"/>
    <col collapsed="false" customWidth="true" hidden="false" outlineLevel="0" max="16" min="16" style="1" width="24"/>
    <col collapsed="false" customWidth="true" hidden="false" outlineLevel="0" max="25" min="17" style="1" width="7"/>
    <col collapsed="false" customWidth="true" hidden="false" outlineLevel="0" max="26" min="26" style="1" width="8"/>
    <col collapsed="false" customWidth="true" hidden="false" outlineLevel="0" max="30" min="27" style="1" width="7"/>
    <col collapsed="false" customWidth="true" hidden="false" outlineLevel="0" max="32" min="31" style="1" width="6"/>
    <col collapsed="false" customWidth="true" hidden="false" outlineLevel="0" max="37" min="33" style="1" width="8"/>
    <col collapsed="false" customWidth="true" hidden="false" outlineLevel="0" max="38" min="38" style="1" width="6"/>
    <col collapsed="false" customWidth="true" hidden="false" outlineLevel="0" max="39" min="39" style="1" width="9"/>
    <col collapsed="false" customWidth="true" hidden="false" outlineLevel="0" max="40" min="40" style="1" width="7"/>
    <col collapsed="false" customWidth="true" hidden="false" outlineLevel="0" max="42" min="41" style="1" width="13"/>
    <col collapsed="false" customWidth="true" hidden="false" outlineLevel="0" max="46" min="43" style="1" width="11"/>
    <col collapsed="false" customWidth="true" hidden="false" outlineLevel="0" max="47" min="47" style="1" width="15"/>
  </cols>
  <sheetData>
    <row r="1" customFormat="false" ht="36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customFormat="false" ht="19.5" hidden="false" customHeight="true" outlineLevel="0" collapsed="false">
      <c r="A2" s="12" t="s">
        <v>53</v>
      </c>
      <c r="B2" s="12"/>
      <c r="C2" s="12"/>
      <c r="D2" s="12"/>
      <c r="E2" s="12"/>
      <c r="F2" s="12"/>
      <c r="G2" s="12"/>
      <c r="H2" s="12"/>
      <c r="I2" s="12"/>
      <c r="J2" s="12"/>
      <c r="K2" s="13" t="s">
        <v>54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</row>
    <row r="3" customFormat="false" ht="21.75" hidden="false" customHeight="true" outlineLevel="0" collapsed="false">
      <c r="A3" s="14" t="s">
        <v>55</v>
      </c>
      <c r="B3" s="14"/>
      <c r="C3" s="14"/>
      <c r="D3" s="14"/>
      <c r="E3" s="15" t="s">
        <v>56</v>
      </c>
      <c r="F3" s="15"/>
      <c r="G3" s="15"/>
      <c r="H3" s="15"/>
      <c r="I3" s="15"/>
      <c r="J3" s="15"/>
      <c r="K3" s="15" t="s">
        <v>57</v>
      </c>
      <c r="L3" s="15"/>
      <c r="M3" s="15"/>
      <c r="N3" s="15"/>
      <c r="O3" s="15"/>
      <c r="P3" s="15"/>
      <c r="Q3" s="16" t="s">
        <v>58</v>
      </c>
      <c r="R3" s="16"/>
      <c r="S3" s="16"/>
      <c r="T3" s="17" t="s">
        <v>59</v>
      </c>
      <c r="U3" s="17"/>
      <c r="V3" s="17"/>
      <c r="W3" s="17"/>
      <c r="X3" s="17"/>
      <c r="Y3" s="17"/>
      <c r="Z3" s="17"/>
      <c r="AA3" s="17" t="s">
        <v>60</v>
      </c>
      <c r="AB3" s="17"/>
      <c r="AC3" s="17"/>
      <c r="AD3" s="17"/>
      <c r="AE3" s="18" t="s">
        <v>42</v>
      </c>
      <c r="AF3" s="18"/>
      <c r="AG3" s="18"/>
      <c r="AH3" s="18"/>
      <c r="AI3" s="18"/>
      <c r="AJ3" s="18"/>
      <c r="AK3" s="18"/>
      <c r="AL3" s="18"/>
      <c r="AM3" s="19" t="s">
        <v>61</v>
      </c>
      <c r="AN3" s="19"/>
      <c r="AO3" s="18" t="s">
        <v>62</v>
      </c>
      <c r="AP3" s="18"/>
      <c r="AQ3" s="18"/>
      <c r="AR3" s="18"/>
      <c r="AS3" s="18"/>
      <c r="AT3" s="18"/>
      <c r="AU3" s="18"/>
    </row>
    <row r="4" customFormat="false" ht="37.5" hidden="false" customHeight="true" outlineLevel="0" collapsed="false">
      <c r="A4" s="20" t="s">
        <v>63</v>
      </c>
      <c r="B4" s="20" t="s">
        <v>64</v>
      </c>
      <c r="C4" s="20" t="s">
        <v>65</v>
      </c>
      <c r="D4" s="20" t="s">
        <v>66</v>
      </c>
      <c r="E4" s="20" t="s">
        <v>67</v>
      </c>
      <c r="F4" s="20" t="s">
        <v>68</v>
      </c>
      <c r="G4" s="20" t="s">
        <v>69</v>
      </c>
      <c r="H4" s="20" t="s">
        <v>70</v>
      </c>
      <c r="I4" s="20" t="s">
        <v>71</v>
      </c>
      <c r="J4" s="20" t="s">
        <v>72</v>
      </c>
      <c r="K4" s="20" t="s">
        <v>67</v>
      </c>
      <c r="L4" s="20" t="s">
        <v>68</v>
      </c>
      <c r="M4" s="20" t="s">
        <v>69</v>
      </c>
      <c r="N4" s="20" t="s">
        <v>70</v>
      </c>
      <c r="O4" s="20" t="s">
        <v>71</v>
      </c>
      <c r="P4" s="20" t="s">
        <v>73</v>
      </c>
      <c r="Q4" s="20" t="s">
        <v>74</v>
      </c>
      <c r="R4" s="20" t="s">
        <v>75</v>
      </c>
      <c r="S4" s="20" t="s">
        <v>76</v>
      </c>
      <c r="T4" s="20" t="s">
        <v>77</v>
      </c>
      <c r="U4" s="20" t="s">
        <v>78</v>
      </c>
      <c r="V4" s="20" t="s">
        <v>79</v>
      </c>
      <c r="W4" s="20" t="s">
        <v>80</v>
      </c>
      <c r="X4" s="20" t="s">
        <v>81</v>
      </c>
      <c r="Y4" s="20" t="s">
        <v>82</v>
      </c>
      <c r="Z4" s="20" t="s">
        <v>83</v>
      </c>
      <c r="AA4" s="20" t="s">
        <v>77</v>
      </c>
      <c r="AB4" s="20" t="s">
        <v>78</v>
      </c>
      <c r="AC4" s="20" t="s">
        <v>79</v>
      </c>
      <c r="AD4" s="20" t="s">
        <v>80</v>
      </c>
      <c r="AE4" s="20" t="s">
        <v>84</v>
      </c>
      <c r="AF4" s="20" t="s">
        <v>85</v>
      </c>
      <c r="AG4" s="20" t="s">
        <v>86</v>
      </c>
      <c r="AH4" s="20" t="s">
        <v>87</v>
      </c>
      <c r="AI4" s="20" t="s">
        <v>88</v>
      </c>
      <c r="AJ4" s="20" t="s">
        <v>89</v>
      </c>
      <c r="AK4" s="20" t="s">
        <v>90</v>
      </c>
      <c r="AL4" s="20" t="s">
        <v>91</v>
      </c>
      <c r="AM4" s="20" t="s">
        <v>92</v>
      </c>
      <c r="AN4" s="20" t="s">
        <v>93</v>
      </c>
      <c r="AO4" s="21" t="s">
        <v>94</v>
      </c>
      <c r="AP4" s="21" t="s">
        <v>95</v>
      </c>
      <c r="AQ4" s="21" t="s">
        <v>96</v>
      </c>
      <c r="AR4" s="21" t="s">
        <v>97</v>
      </c>
      <c r="AS4" s="21" t="s">
        <v>98</v>
      </c>
      <c r="AT4" s="21" t="s">
        <v>99</v>
      </c>
      <c r="AU4" s="21" t="s">
        <v>100</v>
      </c>
    </row>
    <row r="5" customFormat="false" ht="18" hidden="false" customHeight="true" outlineLevel="0" collapsed="false">
      <c r="A5" s="22" t="n">
        <v>46164</v>
      </c>
      <c r="B5" s="23" t="s">
        <v>101</v>
      </c>
      <c r="C5" s="24" t="s">
        <v>102</v>
      </c>
      <c r="D5" s="25" t="n">
        <v>3</v>
      </c>
      <c r="E5" s="26" t="n">
        <v>19</v>
      </c>
      <c r="F5" s="26" t="n">
        <v>235</v>
      </c>
      <c r="G5" s="26" t="n">
        <v>13</v>
      </c>
      <c r="H5" s="26" t="n">
        <v>3</v>
      </c>
      <c r="I5" s="26" t="n">
        <v>10</v>
      </c>
      <c r="J5" s="27"/>
      <c r="K5" s="26" t="n">
        <v>19</v>
      </c>
      <c r="L5" s="26" t="n">
        <v>235</v>
      </c>
      <c r="M5" s="26" t="n">
        <v>13</v>
      </c>
      <c r="N5" s="26" t="n">
        <v>3</v>
      </c>
      <c r="O5" s="26" t="n">
        <v>10</v>
      </c>
      <c r="P5" s="27" t="s">
        <v>103</v>
      </c>
      <c r="Q5" s="26" t="n">
        <v>19</v>
      </c>
      <c r="R5" s="26" t="n">
        <v>13</v>
      </c>
      <c r="S5" s="26" t="n">
        <v>235</v>
      </c>
      <c r="T5" s="26" t="n">
        <v>0</v>
      </c>
      <c r="U5" s="26" t="n">
        <v>11</v>
      </c>
      <c r="V5" s="26" t="n">
        <v>0</v>
      </c>
      <c r="W5" s="26" t="n">
        <v>0</v>
      </c>
      <c r="X5" s="26" t="n">
        <v>3</v>
      </c>
      <c r="Y5" s="26" t="n">
        <v>0</v>
      </c>
      <c r="Z5" s="28" t="n">
        <v>0</v>
      </c>
      <c r="AA5" s="26" t="n">
        <v>0</v>
      </c>
      <c r="AB5" s="26" t="n">
        <v>11</v>
      </c>
      <c r="AC5" s="26" t="n">
        <v>0</v>
      </c>
      <c r="AD5" s="26" t="n">
        <v>0</v>
      </c>
      <c r="AE5" s="26" t="n">
        <v>48</v>
      </c>
      <c r="AF5" s="26" t="n">
        <v>48</v>
      </c>
      <c r="AG5" s="26" t="n">
        <v>24</v>
      </c>
      <c r="AH5" s="26" t="n">
        <v>0</v>
      </c>
      <c r="AI5" s="26" t="n">
        <v>8</v>
      </c>
      <c r="AJ5" s="26" t="n">
        <v>100</v>
      </c>
      <c r="AK5" s="26" t="n">
        <v>0</v>
      </c>
      <c r="AL5" s="26" t="n">
        <v>0</v>
      </c>
      <c r="AM5" s="26" t="n">
        <v>1</v>
      </c>
      <c r="AN5" s="26" t="n">
        <v>1</v>
      </c>
      <c r="AO5" s="29" t="n">
        <f aca="false">(E5+H5)*IF(D5=1,18.24,IF(D5=2,18.98,18.91))+(F5+I5)*IF(D5=1,9.45,IF(D5=2,11.5,11.5))+G5*IF(D5=1,18.24,IF(D5=2,18.98,18.91))</f>
        <v>3479.35</v>
      </c>
      <c r="AP5" s="29" t="n">
        <f aca="false">(K5+N5)*IF(D5=1,27.68,IF(D5=2,31.53,29.32))+(L5+O5)*IF(D5=1,15.42,IF(D5=2,14.38,14.38))+M5*IF(D5=1,27.68,IF(D5=2,31.53,29.32))</f>
        <v>4549.3</v>
      </c>
      <c r="AQ5" s="29" t="n">
        <f aca="false">Q5*8.76+R5*8.76+S5*2.4</f>
        <v>844.32</v>
      </c>
      <c r="AR5" s="29" t="n">
        <f aca="false">T5*IF(D5=1,29.87,IF(D5=2,25.34,25.34))+U5*15.68+V5*50+W5*45+X5*IF(D5=1,29.87,IF(D5=2,25.34,25.34))+Y5*15.68+AA5*19.98+AB5*11.35+AC5*45+AD5*28</f>
        <v>373.35</v>
      </c>
      <c r="AS5" s="29" t="n">
        <f aca="false">AE5*3+AF5*3+AG5*3+AH5*3+AI5*3.89+AJ5*4+AK5*4.5+AL5*4.5</f>
        <v>791.12</v>
      </c>
      <c r="AT5" s="29" t="n">
        <f aca="false">IF(C5="A350",475,IF(C5="B787",400,IF(C5="B777",400,400)))+AN5*200+15.62</f>
        <v>615.62</v>
      </c>
      <c r="AU5" s="30" t="n">
        <f aca="false">IF(A5="","",SUM(AO5:AT5))</f>
        <v>10653.06</v>
      </c>
    </row>
    <row r="6" customFormat="false" ht="18" hidden="false" customHeight="true" outlineLevel="0" collapsed="false">
      <c r="A6" s="31" t="n">
        <v>46167</v>
      </c>
      <c r="B6" s="32" t="s">
        <v>101</v>
      </c>
      <c r="C6" s="33" t="s">
        <v>102</v>
      </c>
      <c r="D6" s="25" t="n">
        <v>3</v>
      </c>
      <c r="E6" s="34" t="n">
        <v>22</v>
      </c>
      <c r="F6" s="34" t="n">
        <v>240</v>
      </c>
      <c r="G6" s="34" t="n">
        <v>11</v>
      </c>
      <c r="H6" s="34" t="n">
        <v>3</v>
      </c>
      <c r="I6" s="34" t="n">
        <v>10</v>
      </c>
      <c r="J6" s="27"/>
      <c r="K6" s="34" t="n">
        <v>22</v>
      </c>
      <c r="L6" s="34" t="n">
        <v>240</v>
      </c>
      <c r="M6" s="34" t="n">
        <v>11</v>
      </c>
      <c r="N6" s="34" t="n">
        <v>3</v>
      </c>
      <c r="O6" s="34" t="n">
        <v>10</v>
      </c>
      <c r="P6" s="27" t="s">
        <v>104</v>
      </c>
      <c r="Q6" s="34" t="n">
        <v>22</v>
      </c>
      <c r="R6" s="34" t="n">
        <v>11</v>
      </c>
      <c r="S6" s="34" t="n">
        <v>240</v>
      </c>
      <c r="T6" s="34" t="n">
        <v>0</v>
      </c>
      <c r="U6" s="34" t="n">
        <v>11</v>
      </c>
      <c r="V6" s="34" t="n">
        <v>0</v>
      </c>
      <c r="W6" s="34" t="n">
        <v>0</v>
      </c>
      <c r="X6" s="34" t="n">
        <v>0</v>
      </c>
      <c r="Y6" s="34" t="n">
        <v>7</v>
      </c>
      <c r="Z6" s="35" t="n">
        <v>0</v>
      </c>
      <c r="AA6" s="34" t="n">
        <v>0</v>
      </c>
      <c r="AB6" s="34" t="n">
        <v>11</v>
      </c>
      <c r="AC6" s="34" t="n">
        <v>0</v>
      </c>
      <c r="AD6" s="34" t="n">
        <v>0</v>
      </c>
      <c r="AE6" s="34" t="n">
        <v>0</v>
      </c>
      <c r="AF6" s="34" t="n">
        <v>36</v>
      </c>
      <c r="AG6" s="34" t="n">
        <v>0</v>
      </c>
      <c r="AH6" s="34" t="n">
        <v>0</v>
      </c>
      <c r="AI6" s="34" t="n">
        <v>0</v>
      </c>
      <c r="AJ6" s="34" t="n">
        <v>350</v>
      </c>
      <c r="AK6" s="34" t="n">
        <v>0</v>
      </c>
      <c r="AL6" s="34" t="n">
        <v>0</v>
      </c>
      <c r="AM6" s="34" t="n">
        <v>1</v>
      </c>
      <c r="AN6" s="34" t="n">
        <v>1</v>
      </c>
      <c r="AO6" s="36" t="n">
        <f aca="false">(E6+H6)*IF(D6=1,18.24,IF(D6=2,18.98,18.91))+(F6+I6)*IF(D6=1,9.45,IF(D6=2,11.5,11.5))+G6*IF(D6=1,18.24,IF(D6=2,18.98,18.91))</f>
        <v>3555.76</v>
      </c>
      <c r="AP6" s="36" t="n">
        <f aca="false">(K6+N6)*IF(D6=1,27.68,IF(D6=2,31.53,29.32))+(L6+O6)*IF(D6=1,15.42,IF(D6=2,14.38,14.38))+M6*IF(D6=1,27.68,IF(D6=2,31.53,29.32))</f>
        <v>4650.52</v>
      </c>
      <c r="AQ6" s="36" t="n">
        <f aca="false">Q6*8.76+R6*8.76+S6*2.4</f>
        <v>865.08</v>
      </c>
      <c r="AR6" s="36" t="n">
        <f aca="false">T6*IF(D6=1,29.87,IF(D6=2,25.34,25.34))+U6*15.68+V6*50+W6*45+X6*IF(D6=1,29.87,IF(D6=2,25.34,25.34))+Y6*15.68+AA6*19.98+AB6*11.35+AC6*45+AD6*28</f>
        <v>407.09</v>
      </c>
      <c r="AS6" s="36" t="n">
        <f aca="false">AE6*3+AF6*3+AG6*3+AH6*3+AI6*3.89+AJ6*4+AK6*4.5+AL6*4.5</f>
        <v>1508</v>
      </c>
      <c r="AT6" s="36" t="n">
        <f aca="false">IF(C6="A350",475,IF(C6="B787",400,IF(C6="B777",400,400)))+AN6*200+15.62</f>
        <v>615.62</v>
      </c>
      <c r="AU6" s="37" t="n">
        <f aca="false">IF(A6="","",SUM(AO6:AT6))</f>
        <v>11602.07</v>
      </c>
    </row>
    <row r="7" customFormat="false" ht="18" hidden="false" customHeight="true" outlineLevel="0" collapsed="false">
      <c r="A7" s="22" t="n">
        <v>46169</v>
      </c>
      <c r="B7" s="23" t="s">
        <v>101</v>
      </c>
      <c r="C7" s="24" t="s">
        <v>102</v>
      </c>
      <c r="D7" s="25" t="n">
        <v>3</v>
      </c>
      <c r="E7" s="26" t="n">
        <v>17</v>
      </c>
      <c r="F7" s="26" t="n">
        <v>215</v>
      </c>
      <c r="G7" s="26" t="n">
        <v>16</v>
      </c>
      <c r="H7" s="26" t="n">
        <v>3</v>
      </c>
      <c r="I7" s="26" t="n">
        <v>10</v>
      </c>
      <c r="J7" s="27"/>
      <c r="K7" s="26" t="n">
        <v>17</v>
      </c>
      <c r="L7" s="26" t="n">
        <v>215</v>
      </c>
      <c r="M7" s="26" t="n">
        <v>16</v>
      </c>
      <c r="N7" s="26" t="n">
        <v>3</v>
      </c>
      <c r="O7" s="26" t="n">
        <v>10</v>
      </c>
      <c r="P7" s="27" t="s">
        <v>80</v>
      </c>
      <c r="Q7" s="26" t="n">
        <v>17</v>
      </c>
      <c r="R7" s="26" t="n">
        <v>16</v>
      </c>
      <c r="S7" s="26" t="n">
        <v>215</v>
      </c>
      <c r="T7" s="26" t="n">
        <v>0</v>
      </c>
      <c r="U7" s="26" t="n">
        <v>15</v>
      </c>
      <c r="V7" s="26" t="n">
        <v>0</v>
      </c>
      <c r="W7" s="26" t="n">
        <v>0</v>
      </c>
      <c r="X7" s="26" t="n">
        <v>0</v>
      </c>
      <c r="Y7" s="26" t="n">
        <v>0</v>
      </c>
      <c r="Z7" s="28" t="n">
        <v>0</v>
      </c>
      <c r="AA7" s="26" t="n">
        <v>0</v>
      </c>
      <c r="AB7" s="26" t="n">
        <v>15</v>
      </c>
      <c r="AC7" s="26" t="n">
        <v>0</v>
      </c>
      <c r="AD7" s="26" t="n">
        <v>0</v>
      </c>
      <c r="AE7" s="26" t="n">
        <v>0</v>
      </c>
      <c r="AF7" s="26" t="n">
        <v>0</v>
      </c>
      <c r="AG7" s="26" t="n">
        <v>12</v>
      </c>
      <c r="AH7" s="26" t="n">
        <v>0</v>
      </c>
      <c r="AI7" s="26" t="n">
        <v>12</v>
      </c>
      <c r="AJ7" s="26" t="n">
        <v>48</v>
      </c>
      <c r="AK7" s="26" t="n">
        <v>0</v>
      </c>
      <c r="AL7" s="26" t="n">
        <v>0</v>
      </c>
      <c r="AM7" s="26" t="n">
        <v>1</v>
      </c>
      <c r="AN7" s="26" t="n">
        <v>1</v>
      </c>
      <c r="AO7" s="29" t="n">
        <f aca="false">(E7+H7)*IF(D7=1,18.24,IF(D7=2,18.98,18.91))+(F7+I7)*IF(D7=1,9.45,IF(D7=2,11.5,11.5))+G7*IF(D7=1,18.24,IF(D7=2,18.98,18.91))</f>
        <v>3268.26</v>
      </c>
      <c r="AP7" s="29" t="n">
        <f aca="false">(K7+N7)*IF(D7=1,27.68,IF(D7=2,31.53,29.32))+(L7+O7)*IF(D7=1,15.42,IF(D7=2,14.38,14.38))+M7*IF(D7=1,27.68,IF(D7=2,31.53,29.32))</f>
        <v>4291.02</v>
      </c>
      <c r="AQ7" s="29" t="n">
        <f aca="false">Q7*8.76+R7*8.76+S7*2.4</f>
        <v>805.08</v>
      </c>
      <c r="AR7" s="29" t="n">
        <f aca="false">T7*IF(D7=1,29.87,IF(D7=2,25.34,25.34))+U7*15.68+V7*50+W7*45+X7*IF(D7=1,29.87,IF(D7=2,25.34,25.34))+Y7*15.68+AA7*19.98+AB7*11.35+AC7*45+AD7*28</f>
        <v>405.45</v>
      </c>
      <c r="AS7" s="29" t="n">
        <f aca="false">AE7*3+AF7*3+AG7*3+AH7*3+AI7*3.89+AJ7*4+AK7*4.5+AL7*4.5</f>
        <v>274.68</v>
      </c>
      <c r="AT7" s="29" t="n">
        <f aca="false">IF(C7="A350",475,IF(C7="B787",400,IF(C7="B777",400,400)))+AN7*200+15.62</f>
        <v>615.62</v>
      </c>
      <c r="AU7" s="30" t="n">
        <f aca="false">IF(A7="","",SUM(AO7:AT7))</f>
        <v>9660.11</v>
      </c>
    </row>
    <row r="8" customFormat="false" ht="18" hidden="false" customHeight="true" outlineLevel="0" collapsed="false">
      <c r="A8" s="31" t="n">
        <v>46171</v>
      </c>
      <c r="B8" s="32" t="s">
        <v>101</v>
      </c>
      <c r="C8" s="33" t="s">
        <v>102</v>
      </c>
      <c r="D8" s="25" t="n">
        <v>3</v>
      </c>
      <c r="E8" s="34" t="n">
        <v>24</v>
      </c>
      <c r="F8" s="34" t="n">
        <v>225</v>
      </c>
      <c r="G8" s="34" t="n">
        <v>14</v>
      </c>
      <c r="H8" s="34" t="n">
        <v>3</v>
      </c>
      <c r="I8" s="34" t="n">
        <v>10</v>
      </c>
      <c r="J8" s="27"/>
      <c r="K8" s="34" t="n">
        <v>24</v>
      </c>
      <c r="L8" s="34" t="n">
        <v>225</v>
      </c>
      <c r="M8" s="34" t="n">
        <v>14</v>
      </c>
      <c r="N8" s="34" t="n">
        <v>3</v>
      </c>
      <c r="O8" s="34" t="n">
        <v>10</v>
      </c>
      <c r="P8" s="27" t="s">
        <v>105</v>
      </c>
      <c r="Q8" s="34" t="n">
        <v>24</v>
      </c>
      <c r="R8" s="34" t="n">
        <v>14</v>
      </c>
      <c r="S8" s="34" t="n">
        <v>225</v>
      </c>
      <c r="T8" s="34" t="n">
        <v>0</v>
      </c>
      <c r="U8" s="34" t="n">
        <v>23</v>
      </c>
      <c r="V8" s="34" t="n">
        <v>0</v>
      </c>
      <c r="W8" s="34" t="n">
        <v>0</v>
      </c>
      <c r="X8" s="34" t="n">
        <v>1</v>
      </c>
      <c r="Y8" s="34" t="n">
        <v>1</v>
      </c>
      <c r="Z8" s="35" t="n">
        <v>0</v>
      </c>
      <c r="AA8" s="34" t="n">
        <v>0</v>
      </c>
      <c r="AB8" s="34" t="n">
        <v>23</v>
      </c>
      <c r="AC8" s="34" t="n">
        <v>0</v>
      </c>
      <c r="AD8" s="34" t="n">
        <v>0</v>
      </c>
      <c r="AE8" s="34" t="n">
        <v>0</v>
      </c>
      <c r="AF8" s="34" t="n">
        <v>0</v>
      </c>
      <c r="AG8" s="34" t="n">
        <v>36</v>
      </c>
      <c r="AH8" s="34" t="n">
        <v>0</v>
      </c>
      <c r="AI8" s="34" t="n">
        <v>24</v>
      </c>
      <c r="AJ8" s="34" t="n">
        <v>90</v>
      </c>
      <c r="AK8" s="34" t="n">
        <v>0</v>
      </c>
      <c r="AL8" s="34" t="n">
        <v>0</v>
      </c>
      <c r="AM8" s="34" t="n">
        <v>1</v>
      </c>
      <c r="AN8" s="34" t="n">
        <v>1</v>
      </c>
      <c r="AO8" s="36" t="n">
        <f aca="false">(E8+H8)*IF(D8=1,18.24,IF(D8=2,18.98,18.91))+(F8+I8)*IF(D8=1,9.45,IF(D8=2,11.5,11.5))+G8*IF(D8=1,18.24,IF(D8=2,18.98,18.91))</f>
        <v>3477.81</v>
      </c>
      <c r="AP8" s="36" t="n">
        <f aca="false">(K8+N8)*IF(D8=1,27.68,IF(D8=2,31.53,29.32))+(L8+O8)*IF(D8=1,15.42,IF(D8=2,14.38,14.38))+M8*IF(D8=1,27.68,IF(D8=2,31.53,29.32))</f>
        <v>4581.42</v>
      </c>
      <c r="AQ8" s="36" t="n">
        <f aca="false">Q8*8.76+R8*8.76+S8*2.4</f>
        <v>872.88</v>
      </c>
      <c r="AR8" s="36" t="n">
        <f aca="false">T8*IF(D8=1,29.87,IF(D8=2,25.34,25.34))+U8*15.68+V8*50+W8*45+X8*IF(D8=1,29.87,IF(D8=2,25.34,25.34))+Y8*15.68+AA8*19.98+AB8*11.35+AC8*45+AD8*28</f>
        <v>662.71</v>
      </c>
      <c r="AS8" s="36" t="n">
        <f aca="false">AE8*3+AF8*3+AG8*3+AH8*3+AI8*3.89+AJ8*4+AK8*4.5+AL8*4.5</f>
        <v>561.36</v>
      </c>
      <c r="AT8" s="36" t="n">
        <f aca="false">IF(C8="A350",475,IF(C8="B787",400,IF(C8="B777",400,400)))+AN8*200+15.62</f>
        <v>615.62</v>
      </c>
      <c r="AU8" s="37" t="n">
        <f aca="false">IF(A8="","",SUM(AO8:AT8))</f>
        <v>10771.8</v>
      </c>
    </row>
    <row r="9" customFormat="false" ht="18" hidden="false" customHeight="true" outlineLevel="0" collapsed="false">
      <c r="A9" s="22" t="n">
        <v>46174</v>
      </c>
      <c r="B9" s="23" t="s">
        <v>101</v>
      </c>
      <c r="C9" s="24" t="s">
        <v>102</v>
      </c>
      <c r="D9" s="25" t="n">
        <v>3</v>
      </c>
      <c r="E9" s="26" t="n">
        <v>19</v>
      </c>
      <c r="F9" s="26" t="n">
        <v>230</v>
      </c>
      <c r="G9" s="26" t="n">
        <v>14</v>
      </c>
      <c r="H9" s="26" t="n">
        <v>3</v>
      </c>
      <c r="I9" s="26" t="n">
        <v>10</v>
      </c>
      <c r="J9" s="27"/>
      <c r="K9" s="26" t="n">
        <v>19</v>
      </c>
      <c r="L9" s="26" t="n">
        <v>230</v>
      </c>
      <c r="M9" s="26" t="n">
        <v>14</v>
      </c>
      <c r="N9" s="26" t="n">
        <v>3</v>
      </c>
      <c r="O9" s="26" t="n">
        <v>10</v>
      </c>
      <c r="P9" s="27" t="s">
        <v>106</v>
      </c>
      <c r="Q9" s="26" t="n">
        <v>19</v>
      </c>
      <c r="R9" s="26" t="n">
        <v>14</v>
      </c>
      <c r="S9" s="26" t="n">
        <v>230</v>
      </c>
      <c r="T9" s="26" t="n">
        <v>0</v>
      </c>
      <c r="U9" s="26" t="n">
        <v>3</v>
      </c>
      <c r="V9" s="26" t="n">
        <v>0</v>
      </c>
      <c r="W9" s="26" t="n">
        <v>0</v>
      </c>
      <c r="X9" s="26" t="n">
        <v>1</v>
      </c>
      <c r="Y9" s="26" t="n">
        <v>2</v>
      </c>
      <c r="Z9" s="28" t="n">
        <v>0</v>
      </c>
      <c r="AA9" s="26" t="n">
        <v>0</v>
      </c>
      <c r="AB9" s="26" t="n">
        <v>3</v>
      </c>
      <c r="AC9" s="26" t="n">
        <v>0</v>
      </c>
      <c r="AD9" s="26" t="n">
        <v>0</v>
      </c>
      <c r="AE9" s="26" t="n">
        <v>17</v>
      </c>
      <c r="AF9" s="26" t="n">
        <v>0</v>
      </c>
      <c r="AG9" s="26" t="n">
        <v>0</v>
      </c>
      <c r="AH9" s="26" t="n">
        <v>0</v>
      </c>
      <c r="AI9" s="26" t="n">
        <v>0</v>
      </c>
      <c r="AJ9" s="26" t="n">
        <v>72</v>
      </c>
      <c r="AK9" s="26" t="n">
        <v>0</v>
      </c>
      <c r="AL9" s="26" t="n">
        <v>0</v>
      </c>
      <c r="AM9" s="26" t="n">
        <v>1</v>
      </c>
      <c r="AN9" s="26" t="n">
        <v>1</v>
      </c>
      <c r="AO9" s="29" t="n">
        <f aca="false">(E9+H9)*IF(D9=1,18.24,IF(D9=2,18.98,18.91))+(F9+I9)*IF(D9=1,9.45,IF(D9=2,11.5,11.5))+G9*IF(D9=1,18.24,IF(D9=2,18.98,18.91))</f>
        <v>3440.76</v>
      </c>
      <c r="AP9" s="29" t="n">
        <f aca="false">(K9+N9)*IF(D9=1,27.68,IF(D9=2,31.53,29.32))+(L9+O9)*IF(D9=1,15.42,IF(D9=2,14.38,14.38))+M9*IF(D9=1,27.68,IF(D9=2,31.53,29.32))</f>
        <v>4506.72</v>
      </c>
      <c r="AQ9" s="29" t="n">
        <f aca="false">Q9*8.76+R9*8.76+S9*2.4</f>
        <v>841.08</v>
      </c>
      <c r="AR9" s="29" t="n">
        <f aca="false">T9*IF(D9=1,29.87,IF(D9=2,25.34,25.34))+U9*15.68+V9*50+W9*45+X9*IF(D9=1,29.87,IF(D9=2,25.34,25.34))+Y9*15.68+AA9*19.98+AB9*11.35+AC9*45+AD9*28</f>
        <v>137.79</v>
      </c>
      <c r="AS9" s="29" t="n">
        <f aca="false">AE9*3+AF9*3+AG9*3+AH9*3+AI9*3.89+AJ9*4+AK9*4.5+AL9*4.5</f>
        <v>339</v>
      </c>
      <c r="AT9" s="29" t="n">
        <f aca="false">IF(C9="A350",475,IF(C9="B787",400,IF(C9="B777",400,400)))+AN9*200+15.62</f>
        <v>615.62</v>
      </c>
      <c r="AU9" s="30" t="n">
        <f aca="false">IF(A9="","",SUM(AO9:AT9))</f>
        <v>9880.97</v>
      </c>
    </row>
    <row r="10" customFormat="false" ht="18" hidden="false" customHeight="true" outlineLevel="0" collapsed="false">
      <c r="A10" s="31" t="n">
        <v>46176</v>
      </c>
      <c r="B10" s="32" t="s">
        <v>101</v>
      </c>
      <c r="C10" s="33" t="s">
        <v>102</v>
      </c>
      <c r="D10" s="25" t="n">
        <v>3</v>
      </c>
      <c r="E10" s="34" t="n">
        <v>22</v>
      </c>
      <c r="F10" s="34" t="n">
        <v>237</v>
      </c>
      <c r="G10" s="34" t="n">
        <v>16</v>
      </c>
      <c r="H10" s="34" t="n">
        <v>3</v>
      </c>
      <c r="I10" s="34" t="n">
        <v>10</v>
      </c>
      <c r="J10" s="27"/>
      <c r="K10" s="34" t="n">
        <v>22</v>
      </c>
      <c r="L10" s="34" t="n">
        <v>237</v>
      </c>
      <c r="M10" s="34" t="n">
        <v>16</v>
      </c>
      <c r="N10" s="34" t="n">
        <v>3</v>
      </c>
      <c r="O10" s="34" t="n">
        <v>10</v>
      </c>
      <c r="P10" s="27" t="s">
        <v>107</v>
      </c>
      <c r="Q10" s="34" t="n">
        <v>22</v>
      </c>
      <c r="R10" s="34" t="n">
        <v>16</v>
      </c>
      <c r="S10" s="34" t="n">
        <v>237</v>
      </c>
      <c r="T10" s="34" t="n">
        <v>0</v>
      </c>
      <c r="U10" s="34" t="n">
        <v>0</v>
      </c>
      <c r="V10" s="34" t="n">
        <v>0</v>
      </c>
      <c r="W10" s="34" t="n">
        <v>0</v>
      </c>
      <c r="X10" s="34" t="n">
        <v>3</v>
      </c>
      <c r="Y10" s="34" t="n">
        <v>8</v>
      </c>
      <c r="Z10" s="35" t="n">
        <v>0</v>
      </c>
      <c r="AA10" s="34" t="n">
        <v>0</v>
      </c>
      <c r="AB10" s="34" t="n">
        <v>0</v>
      </c>
      <c r="AC10" s="34" t="n">
        <v>0</v>
      </c>
      <c r="AD10" s="34" t="n">
        <v>0</v>
      </c>
      <c r="AE10" s="34" t="n">
        <v>36</v>
      </c>
      <c r="AF10" s="34" t="n">
        <v>12</v>
      </c>
      <c r="AG10" s="34" t="n">
        <v>36</v>
      </c>
      <c r="AH10" s="34" t="n">
        <v>12</v>
      </c>
      <c r="AI10" s="34" t="n">
        <v>12</v>
      </c>
      <c r="AJ10" s="34" t="n">
        <v>100</v>
      </c>
      <c r="AK10" s="34" t="n">
        <v>12</v>
      </c>
      <c r="AL10" s="34" t="n">
        <v>0</v>
      </c>
      <c r="AM10" s="34" t="n">
        <v>1</v>
      </c>
      <c r="AN10" s="34" t="n">
        <v>1</v>
      </c>
      <c r="AO10" s="36" t="n">
        <f aca="false">(E10+H10)*IF(D10=1,18.24,IF(D10=2,18.98,18.91))+(F10+I10)*IF(D10=1,9.45,IF(D10=2,11.5,11.5))+G10*IF(D10=1,18.24,IF(D10=2,18.98,18.91))</f>
        <v>3615.81</v>
      </c>
      <c r="AP10" s="36" t="n">
        <f aca="false">(K10+N10)*IF(D10=1,27.68,IF(D10=2,31.53,29.32))+(L10+O10)*IF(D10=1,15.42,IF(D10=2,14.38,14.38))+M10*IF(D10=1,27.68,IF(D10=2,31.53,29.32))</f>
        <v>4753.98</v>
      </c>
      <c r="AQ10" s="36" t="n">
        <f aca="false">Q10*8.76+R10*8.76+S10*2.4</f>
        <v>901.68</v>
      </c>
      <c r="AR10" s="36" t="n">
        <f aca="false">T10*IF(D10=1,29.87,IF(D10=2,25.34,25.34))+U10*15.68+V10*50+W10*45+X10*IF(D10=1,29.87,IF(D10=2,25.34,25.34))+Y10*15.68+AA10*19.98+AB10*11.35+AC10*45+AD10*28</f>
        <v>201.46</v>
      </c>
      <c r="AS10" s="36" t="n">
        <f aca="false">AE10*3+AF10*3+AG10*3+AH10*3+AI10*3.89+AJ10*4+AK10*4.5+AL10*4.5</f>
        <v>788.68</v>
      </c>
      <c r="AT10" s="36" t="n">
        <f aca="false">IF(C10="A350",475,IF(C10="B787",400,IF(C10="B777",400,400)))+AN10*200+15.62</f>
        <v>615.62</v>
      </c>
      <c r="AU10" s="37" t="n">
        <f aca="false">IF(A10="","",SUM(AO10:AT10))</f>
        <v>10877.23</v>
      </c>
    </row>
    <row r="11" customFormat="false" ht="18" hidden="false" customHeight="true" outlineLevel="0" collapsed="false">
      <c r="A11" s="22" t="n">
        <v>46178</v>
      </c>
      <c r="B11" s="23" t="s">
        <v>101</v>
      </c>
      <c r="C11" s="24" t="s">
        <v>102</v>
      </c>
      <c r="D11" s="25" t="n">
        <v>3</v>
      </c>
      <c r="E11" s="26" t="n">
        <v>24</v>
      </c>
      <c r="F11" s="26" t="n">
        <v>258</v>
      </c>
      <c r="G11" s="26" t="n">
        <v>14</v>
      </c>
      <c r="H11" s="26" t="n">
        <v>3</v>
      </c>
      <c r="I11" s="26" t="n">
        <v>10</v>
      </c>
      <c r="J11" s="27"/>
      <c r="K11" s="26" t="n">
        <v>24</v>
      </c>
      <c r="L11" s="26" t="n">
        <v>258</v>
      </c>
      <c r="M11" s="26" t="n">
        <v>14</v>
      </c>
      <c r="N11" s="26" t="n">
        <v>3</v>
      </c>
      <c r="O11" s="26" t="n">
        <v>10</v>
      </c>
      <c r="P11" s="27" t="s">
        <v>108</v>
      </c>
      <c r="Q11" s="26" t="n">
        <v>24</v>
      </c>
      <c r="R11" s="26" t="n">
        <v>14</v>
      </c>
      <c r="S11" s="26" t="n">
        <v>258</v>
      </c>
      <c r="T11" s="26" t="n">
        <v>0</v>
      </c>
      <c r="U11" s="26" t="n">
        <v>0</v>
      </c>
      <c r="V11" s="26" t="n">
        <v>0</v>
      </c>
      <c r="W11" s="26" t="n">
        <v>3</v>
      </c>
      <c r="X11" s="26" t="n">
        <v>1</v>
      </c>
      <c r="Y11" s="26" t="n">
        <v>0</v>
      </c>
      <c r="Z11" s="28" t="n">
        <v>0</v>
      </c>
      <c r="AA11" s="26" t="n">
        <v>0</v>
      </c>
      <c r="AB11" s="26" t="n">
        <v>0</v>
      </c>
      <c r="AC11" s="26" t="n">
        <v>0</v>
      </c>
      <c r="AD11" s="26" t="n">
        <v>3</v>
      </c>
      <c r="AE11" s="26" t="n">
        <v>24</v>
      </c>
      <c r="AF11" s="26" t="n">
        <v>36</v>
      </c>
      <c r="AG11" s="26" t="n">
        <v>24</v>
      </c>
      <c r="AH11" s="26" t="n">
        <v>12</v>
      </c>
      <c r="AI11" s="26" t="n">
        <v>12</v>
      </c>
      <c r="AJ11" s="26" t="n">
        <v>72</v>
      </c>
      <c r="AK11" s="26" t="n">
        <v>0</v>
      </c>
      <c r="AL11" s="26" t="n">
        <v>0</v>
      </c>
      <c r="AM11" s="26" t="n">
        <v>1</v>
      </c>
      <c r="AN11" s="26" t="n">
        <v>1</v>
      </c>
      <c r="AO11" s="29" t="n">
        <f aca="false">(E11+H11)*IF(D11=1,18.24,IF(D11=2,18.98,18.91))+(F11+I11)*IF(D11=1,9.45,IF(D11=2,11.5,11.5))+G11*IF(D11=1,18.24,IF(D11=2,18.98,18.91))</f>
        <v>3857.31</v>
      </c>
      <c r="AP11" s="29" t="n">
        <f aca="false">(K11+N11)*IF(D11=1,27.68,IF(D11=2,31.53,29.32))+(L11+O11)*IF(D11=1,15.42,IF(D11=2,14.38,14.38))+M11*IF(D11=1,27.68,IF(D11=2,31.53,29.32))</f>
        <v>5055.96</v>
      </c>
      <c r="AQ11" s="29" t="n">
        <f aca="false">Q11*8.76+R11*8.76+S11*2.4</f>
        <v>952.08</v>
      </c>
      <c r="AR11" s="29" t="n">
        <f aca="false">T11*IF(D11=1,29.87,IF(D11=2,25.34,25.34))+U11*15.68+V11*50+W11*45+X11*IF(D11=1,29.87,IF(D11=2,25.34,25.34))+Y11*15.68+AA11*19.98+AB11*11.35+AC11*45+AD11*28</f>
        <v>244.34</v>
      </c>
      <c r="AS11" s="29" t="n">
        <f aca="false">AE11*3+AF11*3+AG11*3+AH11*3+AI11*3.89+AJ11*4+AK11*4.5+AL11*4.5</f>
        <v>622.68</v>
      </c>
      <c r="AT11" s="29" t="n">
        <f aca="false">IF(C11="A350",475,IF(C11="B787",400,IF(C11="B777",400,400)))+AN11*200+15.62</f>
        <v>615.62</v>
      </c>
      <c r="AU11" s="30" t="n">
        <f aca="false">IF(A11="","",SUM(AO11:AT11))</f>
        <v>11347.99</v>
      </c>
    </row>
    <row r="12" customFormat="false" ht="18" hidden="false" customHeight="true" outlineLevel="0" collapsed="false">
      <c r="A12" s="31" t="n">
        <v>46181</v>
      </c>
      <c r="B12" s="32" t="s">
        <v>101</v>
      </c>
      <c r="C12" s="33" t="s">
        <v>102</v>
      </c>
      <c r="D12" s="25" t="n">
        <v>3</v>
      </c>
      <c r="E12" s="34" t="n">
        <v>22</v>
      </c>
      <c r="F12" s="34" t="n">
        <v>237</v>
      </c>
      <c r="G12" s="34" t="n">
        <v>14</v>
      </c>
      <c r="H12" s="34" t="n">
        <v>3</v>
      </c>
      <c r="I12" s="34" t="n">
        <v>10</v>
      </c>
      <c r="J12" s="27"/>
      <c r="K12" s="34" t="n">
        <v>22</v>
      </c>
      <c r="L12" s="34" t="n">
        <v>237</v>
      </c>
      <c r="M12" s="34" t="n">
        <v>14</v>
      </c>
      <c r="N12" s="34" t="n">
        <v>3</v>
      </c>
      <c r="O12" s="34" t="n">
        <v>10</v>
      </c>
      <c r="P12" s="27" t="s">
        <v>108</v>
      </c>
      <c r="Q12" s="34" t="n">
        <v>22</v>
      </c>
      <c r="R12" s="34" t="n">
        <v>14</v>
      </c>
      <c r="S12" s="34" t="n">
        <v>237</v>
      </c>
      <c r="T12" s="34" t="n">
        <v>0</v>
      </c>
      <c r="U12" s="34" t="n">
        <v>0</v>
      </c>
      <c r="V12" s="34" t="n">
        <v>0</v>
      </c>
      <c r="W12" s="34" t="n">
        <v>3</v>
      </c>
      <c r="X12" s="34" t="n">
        <v>3</v>
      </c>
      <c r="Y12" s="34" t="n">
        <v>0</v>
      </c>
      <c r="Z12" s="35" t="n">
        <v>0</v>
      </c>
      <c r="AA12" s="34" t="n">
        <v>0</v>
      </c>
      <c r="AB12" s="34" t="n">
        <v>0</v>
      </c>
      <c r="AC12" s="34" t="n">
        <v>0</v>
      </c>
      <c r="AD12" s="34" t="n">
        <v>3</v>
      </c>
      <c r="AE12" s="34" t="n">
        <v>24</v>
      </c>
      <c r="AF12" s="34" t="n">
        <v>0</v>
      </c>
      <c r="AG12" s="34" t="n">
        <v>24</v>
      </c>
      <c r="AH12" s="34" t="n">
        <v>12</v>
      </c>
      <c r="AI12" s="34" t="n">
        <v>24</v>
      </c>
      <c r="AJ12" s="34" t="n">
        <v>80</v>
      </c>
      <c r="AK12" s="34" t="n">
        <v>0</v>
      </c>
      <c r="AL12" s="34" t="n">
        <v>0</v>
      </c>
      <c r="AM12" s="34" t="n">
        <v>1</v>
      </c>
      <c r="AN12" s="34" t="n">
        <v>1</v>
      </c>
      <c r="AO12" s="36" t="n">
        <f aca="false">(E12+H12)*IF(D12=1,18.24,IF(D12=2,18.98,18.91))+(F12+I12)*IF(D12=1,9.45,IF(D12=2,11.5,11.5))+G12*IF(D12=1,18.24,IF(D12=2,18.98,18.91))</f>
        <v>3577.99</v>
      </c>
      <c r="AP12" s="36" t="n">
        <f aca="false">(K12+N12)*IF(D12=1,27.68,IF(D12=2,31.53,29.32))+(L12+O12)*IF(D12=1,15.42,IF(D12=2,14.38,14.38))+M12*IF(D12=1,27.68,IF(D12=2,31.53,29.32))</f>
        <v>4695.34</v>
      </c>
      <c r="AQ12" s="36" t="n">
        <f aca="false">Q12*8.76+R12*8.76+S12*2.4</f>
        <v>884.16</v>
      </c>
      <c r="AR12" s="36" t="n">
        <f aca="false">T12*IF(D12=1,29.87,IF(D12=2,25.34,25.34))+U12*15.68+V12*50+W12*45+X12*IF(D12=1,29.87,IF(D12=2,25.34,25.34))+Y12*15.68+AA12*19.98+AB12*11.35+AC12*45+AD12*28</f>
        <v>295.02</v>
      </c>
      <c r="AS12" s="36" t="n">
        <f aca="false">AE12*3+AF12*3+AG12*3+AH12*3+AI12*3.89+AJ12*4+AK12*4.5+AL12*4.5</f>
        <v>593.36</v>
      </c>
      <c r="AT12" s="36" t="n">
        <f aca="false">IF(C12="A350",475,IF(C12="B787",400,IF(C12="B777",400,400)))+AN12*200+15.62</f>
        <v>615.62</v>
      </c>
      <c r="AU12" s="37" t="n">
        <f aca="false">IF(A12="","",SUM(AO12:AT12))</f>
        <v>10661.49</v>
      </c>
    </row>
    <row r="13" customFormat="false" ht="18" hidden="false" customHeight="true" outlineLevel="0" collapsed="false">
      <c r="A13" s="22" t="n">
        <v>46183</v>
      </c>
      <c r="B13" s="23" t="s">
        <v>101</v>
      </c>
      <c r="C13" s="24" t="s">
        <v>102</v>
      </c>
      <c r="D13" s="25" t="n">
        <v>3</v>
      </c>
      <c r="E13" s="26" t="n">
        <v>22</v>
      </c>
      <c r="F13" s="26" t="n">
        <v>236</v>
      </c>
      <c r="G13" s="26" t="n">
        <v>16</v>
      </c>
      <c r="H13" s="26" t="n">
        <v>3</v>
      </c>
      <c r="I13" s="26" t="n">
        <v>10</v>
      </c>
      <c r="J13" s="27"/>
      <c r="K13" s="26" t="n">
        <v>22</v>
      </c>
      <c r="L13" s="26" t="n">
        <v>236</v>
      </c>
      <c r="M13" s="26" t="n">
        <v>16</v>
      </c>
      <c r="N13" s="26" t="n">
        <v>3</v>
      </c>
      <c r="O13" s="26" t="n">
        <v>10</v>
      </c>
      <c r="P13" s="27" t="s">
        <v>109</v>
      </c>
      <c r="Q13" s="26" t="n">
        <v>22</v>
      </c>
      <c r="R13" s="26" t="n">
        <v>16</v>
      </c>
      <c r="S13" s="26" t="n">
        <v>236</v>
      </c>
      <c r="T13" s="26" t="n">
        <v>0</v>
      </c>
      <c r="U13" s="26" t="n">
        <v>1</v>
      </c>
      <c r="V13" s="26" t="n">
        <v>0</v>
      </c>
      <c r="W13" s="26" t="n">
        <v>2</v>
      </c>
      <c r="X13" s="26" t="n">
        <v>0</v>
      </c>
      <c r="Y13" s="26" t="n">
        <v>4</v>
      </c>
      <c r="Z13" s="28" t="n">
        <v>0</v>
      </c>
      <c r="AA13" s="26" t="n">
        <v>0</v>
      </c>
      <c r="AB13" s="26" t="n">
        <v>1</v>
      </c>
      <c r="AC13" s="26" t="n">
        <v>0</v>
      </c>
      <c r="AD13" s="26" t="n">
        <v>2</v>
      </c>
      <c r="AE13" s="26" t="n">
        <v>0</v>
      </c>
      <c r="AF13" s="26" t="n">
        <v>0</v>
      </c>
      <c r="AG13" s="26" t="n">
        <v>0</v>
      </c>
      <c r="AH13" s="26" t="n">
        <v>0</v>
      </c>
      <c r="AI13" s="26" t="n">
        <v>0</v>
      </c>
      <c r="AJ13" s="26" t="n">
        <v>60</v>
      </c>
      <c r="AK13" s="26" t="n">
        <v>0</v>
      </c>
      <c r="AL13" s="26" t="n">
        <v>0</v>
      </c>
      <c r="AM13" s="26" t="n">
        <v>1</v>
      </c>
      <c r="AN13" s="26" t="n">
        <v>1</v>
      </c>
      <c r="AO13" s="29" t="n">
        <f aca="false">(E13+H13)*IF(D13=1,18.24,IF(D13=2,18.98,18.91))+(F13+I13)*IF(D13=1,9.45,IF(D13=2,11.5,11.5))+G13*IF(D13=1,18.24,IF(D13=2,18.98,18.91))</f>
        <v>3604.31</v>
      </c>
      <c r="AP13" s="29" t="n">
        <f aca="false">(K13+N13)*IF(D13=1,27.68,IF(D13=2,31.53,29.32))+(L13+O13)*IF(D13=1,15.42,IF(D13=2,14.38,14.38))+M13*IF(D13=1,27.68,IF(D13=2,31.53,29.32))</f>
        <v>4739.6</v>
      </c>
      <c r="AQ13" s="29" t="n">
        <f aca="false">Q13*8.76+R13*8.76+S13*2.4</f>
        <v>899.28</v>
      </c>
      <c r="AR13" s="29" t="n">
        <f aca="false">T13*IF(D13=1,29.87,IF(D13=2,25.34,25.34))+U13*15.68+V13*50+W13*45+X13*IF(D13=1,29.87,IF(D13=2,25.34,25.34))+Y13*15.68+AA13*19.98+AB13*11.35+AC13*45+AD13*28</f>
        <v>235.75</v>
      </c>
      <c r="AS13" s="29" t="n">
        <f aca="false">AE13*3+AF13*3+AG13*3+AH13*3+AI13*3.89+AJ13*4+AK13*4.5+AL13*4.5</f>
        <v>240</v>
      </c>
      <c r="AT13" s="29" t="n">
        <f aca="false">IF(C13="A350",475,IF(C13="B787",400,IF(C13="B777",400,400)))+AN13*200+15.62</f>
        <v>615.62</v>
      </c>
      <c r="AU13" s="30" t="n">
        <f aca="false">IF(A13="","",SUM(AO13:AT13))</f>
        <v>10334.56</v>
      </c>
    </row>
    <row r="14" customFormat="false" ht="18" hidden="false" customHeight="true" outlineLevel="0" collapsed="false">
      <c r="A14" s="31" t="n">
        <v>46185</v>
      </c>
      <c r="B14" s="32" t="s">
        <v>101</v>
      </c>
      <c r="C14" s="33" t="s">
        <v>102</v>
      </c>
      <c r="D14" s="25" t="n">
        <v>3</v>
      </c>
      <c r="E14" s="34" t="n">
        <v>22</v>
      </c>
      <c r="F14" s="34" t="n">
        <v>180</v>
      </c>
      <c r="G14" s="34" t="n">
        <v>14</v>
      </c>
      <c r="H14" s="34" t="n">
        <v>3</v>
      </c>
      <c r="I14" s="34" t="n">
        <v>10</v>
      </c>
      <c r="J14" s="27"/>
      <c r="K14" s="34" t="n">
        <v>22</v>
      </c>
      <c r="L14" s="34" t="n">
        <v>180</v>
      </c>
      <c r="M14" s="34" t="n">
        <v>14</v>
      </c>
      <c r="N14" s="34" t="n">
        <v>3</v>
      </c>
      <c r="O14" s="34" t="n">
        <v>10</v>
      </c>
      <c r="P14" s="27" t="s">
        <v>110</v>
      </c>
      <c r="Q14" s="34" t="n">
        <v>22</v>
      </c>
      <c r="R14" s="34" t="n">
        <v>14</v>
      </c>
      <c r="S14" s="34" t="n">
        <v>180</v>
      </c>
      <c r="T14" s="34" t="n">
        <v>0</v>
      </c>
      <c r="U14" s="34" t="n">
        <v>0</v>
      </c>
      <c r="V14" s="34" t="n">
        <v>0</v>
      </c>
      <c r="W14" s="34" t="n">
        <v>0</v>
      </c>
      <c r="X14" s="34" t="n">
        <v>0</v>
      </c>
      <c r="Y14" s="34" t="n">
        <v>5</v>
      </c>
      <c r="Z14" s="35" t="n">
        <v>0</v>
      </c>
      <c r="AA14" s="34" t="n">
        <v>0</v>
      </c>
      <c r="AB14" s="34" t="n">
        <v>0</v>
      </c>
      <c r="AC14" s="34" t="n">
        <v>0</v>
      </c>
      <c r="AD14" s="34" t="n">
        <v>0</v>
      </c>
      <c r="AE14" s="34" t="n">
        <v>12</v>
      </c>
      <c r="AF14" s="34" t="n">
        <v>12</v>
      </c>
      <c r="AG14" s="34" t="n">
        <v>24</v>
      </c>
      <c r="AH14" s="34" t="n">
        <v>0</v>
      </c>
      <c r="AI14" s="34" t="n">
        <v>12</v>
      </c>
      <c r="AJ14" s="34" t="n">
        <v>54</v>
      </c>
      <c r="AK14" s="34" t="n">
        <v>0</v>
      </c>
      <c r="AL14" s="34" t="n">
        <v>0</v>
      </c>
      <c r="AM14" s="34" t="n">
        <v>1</v>
      </c>
      <c r="AN14" s="34" t="n">
        <v>1</v>
      </c>
      <c r="AO14" s="36" t="n">
        <f aca="false">(E14+H14)*IF(D14=1,18.24,IF(D14=2,18.98,18.91))+(F14+I14)*IF(D14=1,9.45,IF(D14=2,11.5,11.5))+G14*IF(D14=1,18.24,IF(D14=2,18.98,18.91))</f>
        <v>2922.49</v>
      </c>
      <c r="AP14" s="36" t="n">
        <f aca="false">(K14+N14)*IF(D14=1,27.68,IF(D14=2,31.53,29.32))+(L14+O14)*IF(D14=1,15.42,IF(D14=2,14.38,14.38))+M14*IF(D14=1,27.68,IF(D14=2,31.53,29.32))</f>
        <v>3875.68</v>
      </c>
      <c r="AQ14" s="36" t="n">
        <f aca="false">Q14*8.76+R14*8.76+S14*2.4</f>
        <v>747.36</v>
      </c>
      <c r="AR14" s="36" t="n">
        <f aca="false">T14*IF(D14=1,29.87,IF(D14=2,25.34,25.34))+U14*15.68+V14*50+W14*45+X14*IF(D14=1,29.87,IF(D14=2,25.34,25.34))+Y14*15.68+AA14*19.98+AB14*11.35+AC14*45+AD14*28</f>
        <v>78.4</v>
      </c>
      <c r="AS14" s="36" t="n">
        <f aca="false">AE14*3+AF14*3+AG14*3+AH14*3+AI14*3.89+AJ14*4+AK14*4.5+AL14*4.5</f>
        <v>406.68</v>
      </c>
      <c r="AT14" s="36" t="n">
        <f aca="false">IF(C14="A350",475,IF(C14="B787",400,IF(C14="B777",400,400)))+AN14*200+15.62</f>
        <v>615.62</v>
      </c>
      <c r="AU14" s="37" t="n">
        <f aca="false">IF(A14="","",SUM(AO14:AT14))</f>
        <v>8646.23</v>
      </c>
    </row>
    <row r="15" customFormat="false" ht="18" hidden="false" customHeight="true" outlineLevel="0" collapsed="false">
      <c r="A15" s="22" t="n">
        <v>46188</v>
      </c>
      <c r="B15" s="23" t="s">
        <v>101</v>
      </c>
      <c r="C15" s="24" t="s">
        <v>102</v>
      </c>
      <c r="D15" s="25" t="n">
        <v>3</v>
      </c>
      <c r="E15" s="26" t="n">
        <v>20</v>
      </c>
      <c r="F15" s="26" t="n">
        <v>252</v>
      </c>
      <c r="G15" s="26" t="n">
        <v>14</v>
      </c>
      <c r="H15" s="26" t="n">
        <v>3</v>
      </c>
      <c r="I15" s="26" t="n">
        <v>10</v>
      </c>
      <c r="J15" s="27"/>
      <c r="K15" s="26" t="n">
        <v>20</v>
      </c>
      <c r="L15" s="26" t="n">
        <v>252</v>
      </c>
      <c r="M15" s="26" t="n">
        <v>14</v>
      </c>
      <c r="N15" s="26" t="n">
        <v>3</v>
      </c>
      <c r="O15" s="26" t="n">
        <v>10</v>
      </c>
      <c r="P15" s="27" t="s">
        <v>111</v>
      </c>
      <c r="Q15" s="26" t="n">
        <v>20</v>
      </c>
      <c r="R15" s="26" t="n">
        <v>14</v>
      </c>
      <c r="S15" s="26" t="n">
        <v>252</v>
      </c>
      <c r="T15" s="26" t="n">
        <v>0</v>
      </c>
      <c r="U15" s="26" t="n">
        <v>4</v>
      </c>
      <c r="V15" s="26" t="n">
        <v>0</v>
      </c>
      <c r="W15" s="26" t="n">
        <v>2</v>
      </c>
      <c r="X15" s="26" t="n">
        <v>0</v>
      </c>
      <c r="Y15" s="26" t="n">
        <v>7</v>
      </c>
      <c r="Z15" s="28" t="n">
        <v>0</v>
      </c>
      <c r="AA15" s="26" t="n">
        <v>0</v>
      </c>
      <c r="AB15" s="26" t="n">
        <v>4</v>
      </c>
      <c r="AC15" s="26" t="n">
        <v>0</v>
      </c>
      <c r="AD15" s="26" t="n">
        <v>2</v>
      </c>
      <c r="AE15" s="26" t="n">
        <v>48</v>
      </c>
      <c r="AF15" s="26" t="n">
        <v>0</v>
      </c>
      <c r="AG15" s="26" t="n">
        <v>48</v>
      </c>
      <c r="AH15" s="26" t="n">
        <v>24</v>
      </c>
      <c r="AI15" s="26" t="n">
        <v>24</v>
      </c>
      <c r="AJ15" s="26" t="n">
        <v>60</v>
      </c>
      <c r="AK15" s="26" t="n">
        <v>0</v>
      </c>
      <c r="AL15" s="26" t="n">
        <v>0</v>
      </c>
      <c r="AM15" s="26" t="n">
        <v>1</v>
      </c>
      <c r="AN15" s="26" t="n">
        <v>1</v>
      </c>
      <c r="AO15" s="29" t="n">
        <f aca="false">(E15+H15)*IF(D15=1,18.24,IF(D15=2,18.98,18.91))+(F15+I15)*IF(D15=1,9.45,IF(D15=2,11.5,11.5))+G15*IF(D15=1,18.24,IF(D15=2,18.98,18.91))</f>
        <v>3712.67</v>
      </c>
      <c r="AP15" s="29" t="n">
        <f aca="false">(K15+N15)*IF(D15=1,27.68,IF(D15=2,31.53,29.32))+(L15+O15)*IF(D15=1,15.42,IF(D15=2,14.38,14.38))+M15*IF(D15=1,27.68,IF(D15=2,31.53,29.32))</f>
        <v>4852.4</v>
      </c>
      <c r="AQ15" s="29" t="n">
        <f aca="false">Q15*8.76+R15*8.76+S15*2.4</f>
        <v>902.64</v>
      </c>
      <c r="AR15" s="29" t="n">
        <f aca="false">T15*IF(D15=1,29.87,IF(D15=2,25.34,25.34))+U15*15.68+V15*50+W15*45+X15*IF(D15=1,29.87,IF(D15=2,25.34,25.34))+Y15*15.68+AA15*19.98+AB15*11.35+AC15*45+AD15*28</f>
        <v>363.88</v>
      </c>
      <c r="AS15" s="29" t="n">
        <f aca="false">AE15*3+AF15*3+AG15*3+AH15*3+AI15*3.89+AJ15*4+AK15*4.5+AL15*4.5</f>
        <v>693.36</v>
      </c>
      <c r="AT15" s="29" t="n">
        <f aca="false">IF(C15="A350",475,IF(C15="B787",400,IF(C15="B777",400,400)))+AN15*200+15.62</f>
        <v>615.62</v>
      </c>
      <c r="AU15" s="30" t="n">
        <f aca="false">IF(A15="","",SUM(AO15:AT15))</f>
        <v>11140.57</v>
      </c>
    </row>
    <row r="16" customFormat="false" ht="21.75" hidden="false" customHeight="true" outlineLevel="0" collapsed="false">
      <c r="A16" s="38" t="s">
        <v>112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9" t="n">
        <f aca="false">SUM(AO5:AO15)</f>
        <v>38512.52</v>
      </c>
      <c r="AP16" s="39" t="n">
        <f aca="false">SUM(AP5:AP15)</f>
        <v>50551.94</v>
      </c>
      <c r="AQ16" s="39" t="n">
        <f aca="false">SUM(AQ5:AQ15)</f>
        <v>9515.64</v>
      </c>
      <c r="AR16" s="39" t="n">
        <f aca="false">SUM(AR5:AR15)</f>
        <v>3405.24</v>
      </c>
      <c r="AS16" s="39" t="n">
        <f aca="false">SUM(AS5:AS15)</f>
        <v>6818.92</v>
      </c>
      <c r="AT16" s="39" t="n">
        <f aca="false">SUM(AT5:AT15)</f>
        <v>6771.82</v>
      </c>
      <c r="AU16" s="40" t="n">
        <f aca="false">SUM(AU5:AU15)</f>
        <v>115576.08</v>
      </c>
    </row>
  </sheetData>
  <mergeCells count="13">
    <mergeCell ref="A1:AU1"/>
    <mergeCell ref="A2:J2"/>
    <mergeCell ref="K2:AU2"/>
    <mergeCell ref="A3:D3"/>
    <mergeCell ref="E3:J3"/>
    <mergeCell ref="K3:P3"/>
    <mergeCell ref="Q3:S3"/>
    <mergeCell ref="T3:Z3"/>
    <mergeCell ref="AA3:AD3"/>
    <mergeCell ref="AE3:AL3"/>
    <mergeCell ref="AM3:AN3"/>
    <mergeCell ref="AO3:AU3"/>
    <mergeCell ref="A16:A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2"/>
    <col collapsed="false" customWidth="true" hidden="false" outlineLevel="0" max="3" min="3" style="1" width="42"/>
  </cols>
  <sheetData>
    <row r="1" customFormat="false" ht="30" hidden="false" customHeight="true" outlineLevel="0" collapsed="false">
      <c r="A1" s="41" t="s">
        <v>113</v>
      </c>
      <c r="B1" s="41"/>
      <c r="C1" s="41"/>
    </row>
    <row r="3" customFormat="false" ht="15.75" hidden="false" customHeight="true" outlineLevel="0" collapsed="false">
      <c r="A3" s="42" t="s">
        <v>114</v>
      </c>
      <c r="B3" s="43" t="s">
        <v>115</v>
      </c>
      <c r="C3" s="43" t="s">
        <v>116</v>
      </c>
    </row>
    <row r="4" customFormat="false" ht="15.75" hidden="false" customHeight="true" outlineLevel="0" collapsed="false">
      <c r="A4" s="44" t="s">
        <v>117</v>
      </c>
      <c r="B4" s="45" t="s">
        <v>118</v>
      </c>
      <c r="C4" s="45" t="s">
        <v>119</v>
      </c>
    </row>
    <row r="5" customFormat="false" ht="15.75" hidden="false" customHeight="true" outlineLevel="0" collapsed="false">
      <c r="A5" s="46" t="s">
        <v>120</v>
      </c>
      <c r="B5" s="47" t="s">
        <v>121</v>
      </c>
      <c r="C5" s="47" t="s">
        <v>122</v>
      </c>
    </row>
    <row r="6" customFormat="false" ht="15.75" hidden="false" customHeight="true" outlineLevel="0" collapsed="false">
      <c r="A6" s="44" t="s">
        <v>123</v>
      </c>
      <c r="B6" s="45" t="s">
        <v>124</v>
      </c>
      <c r="C6" s="45" t="s">
        <v>119</v>
      </c>
    </row>
    <row r="7" customFormat="false" ht="15.75" hidden="false" customHeight="true" outlineLevel="0" collapsed="false">
      <c r="A7" s="46" t="s">
        <v>125</v>
      </c>
      <c r="B7" s="47" t="s">
        <v>126</v>
      </c>
      <c r="C7" s="47" t="s">
        <v>119</v>
      </c>
    </row>
    <row r="8" customFormat="false" ht="15.75" hidden="false" customHeight="true" outlineLevel="0" collapsed="false">
      <c r="A8" s="44" t="s">
        <v>127</v>
      </c>
      <c r="B8" s="45" t="s">
        <v>128</v>
      </c>
      <c r="C8" s="45" t="s">
        <v>119</v>
      </c>
    </row>
    <row r="9" customFormat="false" ht="15.75" hidden="false" customHeight="true" outlineLevel="0" collapsed="false">
      <c r="A9" s="46" t="s">
        <v>129</v>
      </c>
      <c r="B9" s="47" t="s">
        <v>130</v>
      </c>
      <c r="C9" s="47" t="s">
        <v>119</v>
      </c>
    </row>
    <row r="10" customFormat="false" ht="15.75" hidden="false" customHeight="true" outlineLevel="0" collapsed="false">
      <c r="A10" s="44" t="s">
        <v>131</v>
      </c>
      <c r="B10" s="45" t="s">
        <v>132</v>
      </c>
      <c r="C10" s="45" t="s">
        <v>119</v>
      </c>
    </row>
    <row r="11" customFormat="false" ht="15.75" hidden="false" customHeight="true" outlineLevel="0" collapsed="false">
      <c r="A11" s="46" t="s">
        <v>133</v>
      </c>
      <c r="B11" s="47" t="s">
        <v>134</v>
      </c>
      <c r="C11" s="47" t="s">
        <v>119</v>
      </c>
    </row>
    <row r="12" customFormat="false" ht="15.75" hidden="false" customHeight="true" outlineLevel="0" collapsed="false">
      <c r="A12" s="44" t="s">
        <v>135</v>
      </c>
      <c r="B12" s="45" t="s">
        <v>136</v>
      </c>
      <c r="C12" s="45" t="s">
        <v>119</v>
      </c>
    </row>
    <row r="13" customFormat="false" ht="15.75" hidden="false" customHeight="true" outlineLevel="0" collapsed="false">
      <c r="A13" s="46" t="s">
        <v>137</v>
      </c>
      <c r="B13" s="47" t="s">
        <v>138</v>
      </c>
      <c r="C13" s="47" t="s">
        <v>119</v>
      </c>
    </row>
    <row r="14" customFormat="false" ht="15.75" hidden="false" customHeight="true" outlineLevel="0" collapsed="false">
      <c r="A14" s="44" t="s">
        <v>139</v>
      </c>
      <c r="B14" s="45" t="s">
        <v>140</v>
      </c>
      <c r="C14" s="45" t="s">
        <v>119</v>
      </c>
    </row>
    <row r="15" customFormat="false" ht="15.75" hidden="false" customHeight="true" outlineLevel="0" collapsed="false">
      <c r="A15" s="46" t="s">
        <v>141</v>
      </c>
      <c r="B15" s="47" t="s">
        <v>142</v>
      </c>
      <c r="C15" s="47" t="s">
        <v>119</v>
      </c>
    </row>
    <row r="17" customFormat="false" ht="15.75" hidden="false" customHeight="true" outlineLevel="0" collapsed="false">
      <c r="A17" s="46" t="s">
        <v>143</v>
      </c>
      <c r="B17" s="47" t="s">
        <v>144</v>
      </c>
      <c r="C17" s="47" t="s">
        <v>145</v>
      </c>
    </row>
    <row r="18" customFormat="false" ht="15.75" hidden="false" customHeight="true" outlineLevel="0" collapsed="false">
      <c r="A18" s="44" t="s">
        <v>146</v>
      </c>
      <c r="B18" s="45" t="s">
        <v>147</v>
      </c>
      <c r="C18" s="45" t="s">
        <v>145</v>
      </c>
    </row>
    <row r="19" customFormat="false" ht="15.75" hidden="false" customHeight="true" outlineLevel="0" collapsed="false">
      <c r="A19" s="46" t="s">
        <v>148</v>
      </c>
      <c r="B19" s="47" t="s">
        <v>149</v>
      </c>
      <c r="C19" s="47" t="s">
        <v>150</v>
      </c>
    </row>
    <row r="20" customFormat="false" ht="15.75" hidden="false" customHeight="true" outlineLevel="0" collapsed="false">
      <c r="A20" s="44" t="s">
        <v>151</v>
      </c>
      <c r="B20" s="45" t="s">
        <v>152</v>
      </c>
      <c r="C20" s="45" t="s">
        <v>153</v>
      </c>
    </row>
    <row r="22" customFormat="false" ht="15.75" hidden="false" customHeight="true" outlineLevel="0" collapsed="false">
      <c r="A22" s="48" t="s">
        <v>154</v>
      </c>
      <c r="B22" s="49"/>
      <c r="C22" s="49"/>
    </row>
    <row r="23" customFormat="false" ht="15.75" hidden="false" customHeight="true" outlineLevel="0" collapsed="false">
      <c r="A23" s="46" t="s">
        <v>155</v>
      </c>
      <c r="B23" s="47" t="s">
        <v>156</v>
      </c>
      <c r="C23" s="47" t="s">
        <v>157</v>
      </c>
    </row>
    <row r="24" customFormat="false" ht="15.75" hidden="false" customHeight="true" outlineLevel="0" collapsed="false">
      <c r="A24" s="44" t="s">
        <v>158</v>
      </c>
      <c r="B24" s="45" t="s">
        <v>159</v>
      </c>
      <c r="C24" s="45" t="s">
        <v>160</v>
      </c>
    </row>
    <row r="25" customFormat="false" ht="15.75" hidden="false" customHeight="true" outlineLevel="0" collapsed="false">
      <c r="A25" s="46" t="s">
        <v>161</v>
      </c>
      <c r="B25" s="47" t="s">
        <v>162</v>
      </c>
      <c r="C25" s="47" t="s">
        <v>163</v>
      </c>
    </row>
    <row r="26" customFormat="false" ht="15.75" hidden="false" customHeight="true" outlineLevel="0" collapsed="false">
      <c r="A26" s="44" t="s">
        <v>164</v>
      </c>
      <c r="B26" s="45" t="s">
        <v>165</v>
      </c>
      <c r="C26" s="45" t="s">
        <v>166</v>
      </c>
    </row>
    <row r="27" customFormat="false" ht="15.75" hidden="false" customHeight="true" outlineLevel="0" collapsed="false">
      <c r="A27" s="46" t="s">
        <v>167</v>
      </c>
      <c r="B27" s="47" t="s">
        <v>168</v>
      </c>
      <c r="C27" s="47" t="s">
        <v>169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DFC0D097-727F-4C20-8A4B-03C10A528E29}"/>
</file>

<file path=customXml/itemProps2.xml><?xml version="1.0" encoding="utf-8"?>
<ds:datastoreItem xmlns:ds="http://schemas.openxmlformats.org/officeDocument/2006/customXml" ds:itemID="{2D4ABD02-A1AE-4045-9BCD-D2ABFB86D1F7}"/>
</file>

<file path=customXml/itemProps3.xml><?xml version="1.0" encoding="utf-8"?>
<ds:datastoreItem xmlns:ds="http://schemas.openxmlformats.org/officeDocument/2006/customXml" ds:itemID="{EB8B7A70-F610-4C5D-8DE2-872774BAA2C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2026-06-24T13:03:10Z</dcterms:created>
  <dcterms:modified xsi:type="dcterms:W3CDTF">2026-06-24T13:03:32Z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